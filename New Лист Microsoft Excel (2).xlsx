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52511"/>
</workbook>
</file>

<file path=xl/calcChain.xml><?xml version="1.0" encoding="utf-8"?>
<calcChain xmlns="http://schemas.openxmlformats.org/spreadsheetml/2006/main">
  <c r="T25" i="1" l="1"/>
  <c r="R25" i="1"/>
  <c r="P25" i="1"/>
  <c r="N25" i="1"/>
  <c r="L25" i="1"/>
  <c r="J25" i="1"/>
  <c r="U25" i="1" s="1"/>
  <c r="F25" i="1"/>
  <c r="G25" i="1" s="1"/>
  <c r="T24" i="1"/>
  <c r="R24" i="1"/>
  <c r="P24" i="1"/>
  <c r="N24" i="1"/>
  <c r="L24" i="1"/>
  <c r="U24" i="1" s="1"/>
  <c r="J24" i="1"/>
  <c r="F24" i="1"/>
  <c r="G24" i="1" s="1"/>
  <c r="T23" i="1"/>
  <c r="R23" i="1"/>
  <c r="P23" i="1"/>
  <c r="N23" i="1"/>
  <c r="L23" i="1"/>
  <c r="U23" i="1" s="1"/>
  <c r="J23" i="1"/>
  <c r="F23" i="1"/>
  <c r="G23" i="1" s="1"/>
  <c r="T22" i="1"/>
  <c r="R22" i="1"/>
  <c r="P22" i="1"/>
  <c r="N22" i="1"/>
  <c r="L22" i="1"/>
  <c r="J22" i="1"/>
  <c r="U22" i="1" s="1"/>
  <c r="G22" i="1"/>
  <c r="F22" i="1"/>
  <c r="T21" i="1"/>
  <c r="R21" i="1"/>
  <c r="P21" i="1"/>
  <c r="N21" i="1"/>
  <c r="L21" i="1"/>
  <c r="J21" i="1"/>
  <c r="U21" i="1" s="1"/>
  <c r="F21" i="1"/>
  <c r="G21" i="1" s="1"/>
  <c r="T20" i="1"/>
  <c r="R20" i="1"/>
  <c r="P20" i="1"/>
  <c r="N20" i="1"/>
  <c r="L20" i="1"/>
  <c r="U20" i="1" s="1"/>
  <c r="J20" i="1"/>
  <c r="F20" i="1"/>
  <c r="G20" i="1" s="1"/>
  <c r="T19" i="1"/>
  <c r="R19" i="1"/>
  <c r="P19" i="1"/>
  <c r="N19" i="1"/>
  <c r="L19" i="1"/>
  <c r="U19" i="1" s="1"/>
  <c r="J19" i="1"/>
  <c r="F19" i="1"/>
  <c r="G19" i="1" s="1"/>
  <c r="T18" i="1"/>
  <c r="R18" i="1"/>
  <c r="P18" i="1"/>
  <c r="N18" i="1"/>
  <c r="L18" i="1"/>
  <c r="J18" i="1"/>
  <c r="U18" i="1" s="1"/>
  <c r="G18" i="1"/>
  <c r="F18" i="1"/>
  <c r="T17" i="1"/>
  <c r="R17" i="1"/>
  <c r="P17" i="1"/>
  <c r="N17" i="1"/>
  <c r="L17" i="1"/>
  <c r="J17" i="1"/>
  <c r="U17" i="1" s="1"/>
  <c r="F17" i="1"/>
  <c r="G17" i="1" s="1"/>
  <c r="T16" i="1"/>
  <c r="R16" i="1"/>
  <c r="P16" i="1"/>
  <c r="N16" i="1"/>
  <c r="L16" i="1"/>
  <c r="U16" i="1" s="1"/>
  <c r="J16" i="1"/>
  <c r="F16" i="1"/>
  <c r="G16" i="1" s="1"/>
  <c r="T15" i="1"/>
  <c r="R15" i="1"/>
  <c r="P15" i="1"/>
  <c r="N15" i="1"/>
  <c r="L15" i="1"/>
  <c r="U15" i="1" s="1"/>
  <c r="J15" i="1"/>
  <c r="F15" i="1"/>
  <c r="G15" i="1" s="1"/>
  <c r="T14" i="1"/>
  <c r="R14" i="1"/>
  <c r="P14" i="1"/>
  <c r="N14" i="1"/>
  <c r="L14" i="1"/>
  <c r="J14" i="1"/>
  <c r="U14" i="1" s="1"/>
  <c r="G14" i="1"/>
  <c r="F14" i="1"/>
  <c r="T13" i="1"/>
  <c r="R13" i="1"/>
  <c r="P13" i="1"/>
  <c r="N13" i="1"/>
  <c r="L13" i="1"/>
  <c r="J13" i="1"/>
  <c r="U13" i="1" s="1"/>
  <c r="F13" i="1"/>
  <c r="G13" i="1" s="1"/>
  <c r="T12" i="1"/>
  <c r="R12" i="1"/>
  <c r="P12" i="1"/>
  <c r="N12" i="1"/>
  <c r="L12" i="1"/>
  <c r="U12" i="1" s="1"/>
  <c r="J12" i="1"/>
  <c r="F12" i="1"/>
  <c r="G12" i="1" s="1"/>
  <c r="T11" i="1"/>
  <c r="R11" i="1"/>
  <c r="P11" i="1"/>
  <c r="N11" i="1"/>
  <c r="L11" i="1"/>
  <c r="U11" i="1" s="1"/>
  <c r="J11" i="1"/>
  <c r="F11" i="1"/>
  <c r="G11" i="1" s="1"/>
  <c r="T10" i="1"/>
  <c r="R10" i="1"/>
  <c r="P10" i="1"/>
  <c r="N10" i="1"/>
  <c r="L10" i="1"/>
  <c r="J10" i="1"/>
  <c r="U10" i="1" s="1"/>
  <c r="G10" i="1"/>
  <c r="F10" i="1"/>
  <c r="T9" i="1"/>
  <c r="R9" i="1"/>
  <c r="P9" i="1"/>
  <c r="N9" i="1"/>
  <c r="L9" i="1"/>
  <c r="J9" i="1"/>
  <c r="U9" i="1" s="1"/>
  <c r="F9" i="1"/>
  <c r="G9" i="1" s="1"/>
  <c r="T8" i="1"/>
  <c r="R8" i="1"/>
  <c r="P8" i="1"/>
  <c r="N8" i="1"/>
  <c r="L8" i="1"/>
  <c r="U8" i="1" s="1"/>
  <c r="J8" i="1"/>
  <c r="F8" i="1"/>
  <c r="G8" i="1" s="1"/>
  <c r="T7" i="1"/>
  <c r="R7" i="1"/>
  <c r="P7" i="1"/>
  <c r="N7" i="1"/>
  <c r="L7" i="1"/>
  <c r="L3" i="1" s="1"/>
  <c r="J7" i="1"/>
  <c r="F7" i="1"/>
  <c r="G7" i="1" s="1"/>
  <c r="T6" i="1"/>
  <c r="R6" i="1"/>
  <c r="P6" i="1"/>
  <c r="N6" i="1"/>
  <c r="N3" i="1" s="1"/>
  <c r="L6" i="1"/>
  <c r="J6" i="1"/>
  <c r="U6" i="1" s="1"/>
  <c r="F6" i="1"/>
  <c r="G6" i="1" s="1"/>
  <c r="T5" i="1"/>
  <c r="R5" i="1"/>
  <c r="P5" i="1"/>
  <c r="N5" i="1"/>
  <c r="L5" i="1"/>
  <c r="J5" i="1"/>
  <c r="U5" i="1" s="1"/>
  <c r="F5" i="1"/>
  <c r="G5" i="1" s="1"/>
  <c r="T4" i="1"/>
  <c r="T3" i="1" s="1"/>
  <c r="R4" i="1"/>
  <c r="R3" i="1" s="1"/>
  <c r="P4" i="1"/>
  <c r="N4" i="1"/>
  <c r="L4" i="1"/>
  <c r="U4" i="1" s="1"/>
  <c r="J4" i="1"/>
  <c r="F4" i="1"/>
  <c r="G4" i="1" s="1"/>
  <c r="P3" i="1"/>
  <c r="J3" i="1"/>
  <c r="U7" i="1" l="1"/>
</calcChain>
</file>

<file path=xl/sharedStrings.xml><?xml version="1.0" encoding="utf-8"?>
<sst xmlns="http://schemas.openxmlformats.org/spreadsheetml/2006/main" count="67" uniqueCount="47">
  <si>
    <t>2026/ 2027 cı tədris ili.  99 nömrəli tam orta ümumtəhsil məktəbi. 5____ sinfi üzrə tədris vahidlərinə uyğun diaqnostiq qiymətləndirmə cədvəli.</t>
  </si>
  <si>
    <t>Sıra  nömrəsi</t>
  </si>
  <si>
    <t>Qiymətləndirmə hərəkətləri</t>
  </si>
  <si>
    <t>Cins</t>
  </si>
  <si>
    <t>Şagirdin  Boyu</t>
  </si>
  <si>
    <t>Şagirdin Çəki</t>
  </si>
  <si>
    <t>Şagirdin Boy çəki indeksi</t>
  </si>
  <si>
    <t>İndeks/Kateqoriya</t>
  </si>
  <si>
    <t>Şagirdin   1 dəqiqə ərzindəki nəbz vurğusu</t>
  </si>
  <si>
    <t>30m- Nəticə</t>
  </si>
  <si>
    <t>YUT- Nəticə</t>
  </si>
  <si>
    <t>3x10m- Nəticə</t>
  </si>
  <si>
    <t>DVİƏ- Nəticə</t>
  </si>
  <si>
    <t>AvəHTD- Nəticə</t>
  </si>
  <si>
    <t>1000m-
Nəticə</t>
  </si>
  <si>
    <t>Ortalama</t>
  </si>
  <si>
    <t>Şagirdin adı soyadı</t>
  </si>
  <si>
    <t>K</t>
  </si>
  <si>
    <t>Ağazadə Məryəm Eltun qızı</t>
  </si>
  <si>
    <t>Q</t>
  </si>
  <si>
    <t>Əhmədova Ləman Şahin qızı</t>
  </si>
  <si>
    <t>Əliyev Murad Tərlan oğlu</t>
  </si>
  <si>
    <t>Fərəcova Sevinc Elnur qızı</t>
  </si>
  <si>
    <t>Hacaliyeva Sevgi Səbuhi qızı</t>
  </si>
  <si>
    <t>Haqverdiyev Rihat Zaur oğlu</t>
  </si>
  <si>
    <t>Hüseynov Elmir Elşən oğlu</t>
  </si>
  <si>
    <t>İsayev Ömər Azər oğlu</t>
  </si>
  <si>
    <t>Qənbərov Səid Sakit oğlu</t>
  </si>
  <si>
    <t>Quliyev Murad Aləm oğlu</t>
  </si>
  <si>
    <t>Mehtiyev Xəlil Saqil oğlu</t>
  </si>
  <si>
    <t>Mehtiyeva Sevil Saqil qızı</t>
  </si>
  <si>
    <t>Məmmədov Elvir Rüstəm oğlu</t>
  </si>
  <si>
    <t>Məmmədova Elvira Rüstəm qızı</t>
  </si>
  <si>
    <t>Möhbalıyeva Ləman Anar qızı</t>
  </si>
  <si>
    <t>Murquzova Fidan Ceyhun qızı</t>
  </si>
  <si>
    <t>Mürsəlzadə Sevda Samir qızı</t>
  </si>
  <si>
    <t>Nəbiyev Osman Dəyanət oğlu</t>
  </si>
  <si>
    <t>Nəzirova Nuray Nurlan qızı</t>
  </si>
  <si>
    <t>Osmanlı Hüseyn Elşən oğlu</t>
  </si>
  <si>
    <t>Səmədov Murad Çingiz oğlu</t>
  </si>
  <si>
    <r>
      <rPr>
        <sz val="9"/>
        <color rgb="FF00B0F0"/>
        <rFont val="Times New Roman"/>
        <family val="1"/>
      </rPr>
      <t xml:space="preserve">30m qaçış 3.1.3 </t>
    </r>
    <r>
      <rPr>
        <sz val="9"/>
        <color rgb="FFFF0000"/>
        <rFont val="Times New Roman"/>
        <family val="1"/>
      </rPr>
      <t>Oğlanlar</t>
    </r>
    <r>
      <rPr>
        <sz val="9"/>
        <color theme="1"/>
        <rFont val="Times New Roman"/>
        <family val="1"/>
      </rPr>
      <t xml:space="preserve">
6,9-6,3  Kafi
6,2-5,6  Yaxşı
5,5  Əla
</t>
    </r>
    <r>
      <rPr>
        <sz val="9"/>
        <color rgb="FFFF0000"/>
        <rFont val="Times New Roman"/>
        <family val="1"/>
      </rPr>
      <t>Qızlar</t>
    </r>
    <r>
      <rPr>
        <sz val="9"/>
        <color theme="1"/>
        <rFont val="Times New Roman"/>
        <family val="1"/>
      </rPr>
      <t xml:space="preserve">
7,2-6,5  Kafi
6,4-5,7  Yaxşı
5,6  Əla</t>
    </r>
    <r>
      <rPr>
        <sz val="9"/>
        <color rgb="FF00B0F0"/>
        <rFont val="Times New Roman"/>
        <family val="1"/>
      </rPr>
      <t xml:space="preserve">
</t>
    </r>
  </si>
  <si>
    <r>
      <rPr>
        <sz val="9"/>
        <color rgb="FF00B0F0"/>
        <rFont val="Times New Roman"/>
        <family val="1"/>
      </rPr>
      <t xml:space="preserve">Yerindən uzunluğa tullanma. </t>
    </r>
    <r>
      <rPr>
        <sz val="9"/>
        <color rgb="FFFF0000"/>
        <rFont val="Times New Roman"/>
        <family val="1"/>
      </rPr>
      <t>Oğlanlar</t>
    </r>
    <r>
      <rPr>
        <sz val="9"/>
        <color theme="1"/>
        <rFont val="Times New Roman"/>
        <family val="1"/>
      </rPr>
      <t xml:space="preserve">
116-140  Kafi
141-164  Yaxşı
165  Əla
</t>
    </r>
    <r>
      <rPr>
        <sz val="9"/>
        <color rgb="FFFF0000"/>
        <rFont val="Times New Roman"/>
        <family val="1"/>
      </rPr>
      <t>Qızlar</t>
    </r>
    <r>
      <rPr>
        <sz val="9"/>
        <color theme="1"/>
        <rFont val="Times New Roman"/>
        <family val="1"/>
      </rPr>
      <t xml:space="preserve">
106-130  Kafi
131-150  Yaxşı
151  Əla</t>
    </r>
  </si>
  <si>
    <r>
      <t xml:space="preserve"> </t>
    </r>
    <r>
      <rPr>
        <sz val="9"/>
        <color rgb="FF00B0F0"/>
        <rFont val="Times New Roman"/>
        <family val="1"/>
      </rPr>
      <t xml:space="preserve">3x10 metr məkik qaçış. </t>
    </r>
    <r>
      <rPr>
        <sz val="9"/>
        <color rgb="FFFF0000"/>
        <rFont val="Times New Roman"/>
        <family val="1"/>
      </rPr>
      <t>Oğlanlar</t>
    </r>
    <r>
      <rPr>
        <sz val="9"/>
        <color theme="1"/>
        <rFont val="Times New Roman"/>
        <family val="1"/>
      </rPr>
      <t xml:space="preserve">
11,3-10,7  Kafi
10,6-10,1  Yaxşı
10,0  Əla
</t>
    </r>
    <r>
      <rPr>
        <sz val="9"/>
        <color rgb="FFFF0000"/>
        <rFont val="Times New Roman"/>
        <family val="1"/>
      </rPr>
      <t>Qızlar</t>
    </r>
    <r>
      <rPr>
        <sz val="9"/>
        <color theme="1"/>
        <rFont val="Times New Roman"/>
        <family val="1"/>
      </rPr>
      <t xml:space="preserve">
11,9-11,0  Kafi
10,9-10,3  Yaxşı
10,2  Əla</t>
    </r>
  </si>
  <si>
    <r>
      <rPr>
        <sz val="9"/>
        <color rgb="FFFF0000"/>
        <rFont val="Times New Roman"/>
        <family val="1"/>
      </rPr>
      <t xml:space="preserve"> </t>
    </r>
    <r>
      <rPr>
        <sz val="9"/>
        <color rgb="FF00B0F0"/>
        <rFont val="Times New Roman"/>
        <family val="1"/>
      </rPr>
      <t xml:space="preserve">Oturmuş vəziyyətdən irəliyə əyilmə </t>
    </r>
    <r>
      <rPr>
        <sz val="9"/>
        <color rgb="FFFF0000"/>
        <rFont val="Times New Roman"/>
        <family val="1"/>
      </rPr>
      <t>Oğlanlar</t>
    </r>
    <r>
      <rPr>
        <sz val="9"/>
        <color theme="1"/>
        <rFont val="Times New Roman"/>
        <family val="1"/>
      </rPr>
      <t xml:space="preserve">
2-6  Kafi
7-9  Yaxşı
10  Əla
</t>
    </r>
    <r>
      <rPr>
        <sz val="9"/>
        <color rgb="FFFF0000"/>
        <rFont val="Times New Roman"/>
        <family val="1"/>
      </rPr>
      <t>Qızlar</t>
    </r>
    <r>
      <rPr>
        <sz val="9"/>
        <color theme="1"/>
        <rFont val="Times New Roman"/>
        <family val="1"/>
      </rPr>
      <t xml:space="preserve">
4-7  Kafi
8-14  Yaxşı
15  Əla</t>
    </r>
  </si>
  <si>
    <r>
      <rPr>
        <sz val="9"/>
        <color rgb="FF00B0F0"/>
        <rFont val="Times New Roman"/>
        <family val="1"/>
      </rPr>
      <t xml:space="preserve">Alçaq və hündür turnikdə dartınma </t>
    </r>
    <r>
      <rPr>
        <sz val="9"/>
        <color rgb="FFFF0000"/>
        <rFont val="Times New Roman"/>
        <family val="1"/>
      </rPr>
      <t>Oğlanlar</t>
    </r>
    <r>
      <rPr>
        <sz val="9"/>
        <color theme="1"/>
        <rFont val="Times New Roman"/>
        <family val="1"/>
      </rPr>
      <t xml:space="preserve">
1  Kafi
2-4  Yaxşı
5  Əla
</t>
    </r>
    <r>
      <rPr>
        <sz val="9"/>
        <color rgb="FFFF0000"/>
        <rFont val="Times New Roman"/>
        <family val="1"/>
      </rPr>
      <t>Qızlar</t>
    </r>
    <r>
      <rPr>
        <sz val="9"/>
        <color theme="1"/>
        <rFont val="Times New Roman"/>
        <family val="1"/>
      </rPr>
      <t xml:space="preserve">
5  Kafi
6-9  Yaxşı
10  Əla</t>
    </r>
  </si>
  <si>
    <r>
      <rPr>
        <sz val="9"/>
        <color rgb="FF00B0F0"/>
        <rFont val="Times New Roman"/>
        <family val="1"/>
      </rPr>
      <t xml:space="preserve">1000m qaçış </t>
    </r>
    <r>
      <rPr>
        <sz val="9"/>
        <color rgb="FFFF0000"/>
        <rFont val="Times New Roman"/>
        <family val="1"/>
      </rPr>
      <t>Oğlanlar</t>
    </r>
    <r>
      <rPr>
        <sz val="9"/>
        <color theme="1"/>
        <rFont val="Times New Roman"/>
        <family val="1"/>
      </rPr>
      <t xml:space="preserve">
6.40-6.21  Kafi
6.20-6.01  Yaxşı
6.00  Əla
</t>
    </r>
    <r>
      <rPr>
        <sz val="9"/>
        <color rgb="FFFF0000"/>
        <rFont val="Times New Roman"/>
        <family val="1"/>
      </rPr>
      <t>Qızlar</t>
    </r>
    <r>
      <rPr>
        <sz val="9"/>
        <color theme="1"/>
        <rFont val="Times New Roman"/>
        <family val="1"/>
      </rPr>
      <t xml:space="preserve">
7.10-6.51  Kafi
6.50-6.31  Yaxşı
6.30  Əla</t>
    </r>
  </si>
  <si>
    <t xml:space="preserve">Abaszadə Yasin Taleh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</si>
</sst>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sz val="9"/>
      <color theme="1"/>
      <name val="Times New Roman"/>
      <family val="1"/>
    </font>
    <font>
      <sz val="9"/>
      <color rgb="FFFF0000"/>
      <name val="Times New Roman"/>
      <family val="1"/>
    </font>
    <font>
      <sz val="9"/>
      <color rgb="FF00B0F0"/>
      <name val="Times New Roman"/>
      <family val="1"/>
    </font>
    <font>
      <b/>
      <sz val="9"/>
      <color rgb="FFFF0000"/>
      <name val="Times New Roman"/>
      <family val="1"/>
    </font>
    <font>
      <sz val="9"/>
      <color rgb="FF071E58"/>
      <name val="Times New Roman"/>
      <family val="1"/>
      <charset val="204"/>
    </font>
    <font>
      <sz val="9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43" fontId="4" fillId="0" borderId="1" xfId="1" applyFont="1" applyBorder="1"/>
    <xf numFmtId="0" fontId="4" fillId="0" borderId="1" xfId="0" applyFont="1" applyBorder="1"/>
    <xf numFmtId="0" fontId="3" fillId="0" borderId="1" xfId="0" applyFont="1" applyBorder="1" applyAlignment="1" applyProtection="1">
      <alignment horizontal="center" vertical="center" textRotation="90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43" fontId="5" fillId="0" borderId="1" xfId="1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left" vertical="top" wrapText="1"/>
      <protection locked="0"/>
    </xf>
    <xf numFmtId="43" fontId="6" fillId="0" borderId="1" xfId="1" applyFont="1" applyBorder="1" applyAlignment="1" applyProtection="1">
      <alignment horizontal="left" vertical="top" wrapText="1"/>
      <protection locked="0"/>
    </xf>
    <xf numFmtId="43" fontId="6" fillId="0" borderId="1" xfId="1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left" vertical="top" wrapText="1"/>
      <protection locked="0"/>
    </xf>
    <xf numFmtId="43" fontId="4" fillId="0" borderId="2" xfId="1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Protection="1">
      <protection locked="0"/>
    </xf>
    <xf numFmtId="0" fontId="5" fillId="0" borderId="3" xfId="0" applyFont="1" applyBorder="1" applyAlignment="1" applyProtection="1">
      <alignment horizontal="center" vertical="center" wrapText="1"/>
      <protection locked="0"/>
    </xf>
    <xf numFmtId="43" fontId="8" fillId="0" borderId="1" xfId="1" applyFont="1" applyBorder="1" applyAlignment="1">
      <alignment horizontal="center" vertical="center" wrapText="1"/>
    </xf>
    <xf numFmtId="43" fontId="4" fillId="0" borderId="3" xfId="1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9" fillId="0" borderId="4" xfId="0" applyFont="1" applyBorder="1" applyAlignment="1" applyProtection="1">
      <alignment vertical="center" wrapText="1"/>
      <protection locked="0"/>
    </xf>
    <xf numFmtId="0" fontId="10" fillId="0" borderId="1" xfId="0" applyFont="1" applyBorder="1" applyAlignment="1" applyProtection="1">
      <alignment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43" fontId="3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43" fontId="4" fillId="0" borderId="1" xfId="1" applyFont="1" applyBorder="1" applyAlignment="1"/>
    <xf numFmtId="0" fontId="4" fillId="0" borderId="1" xfId="0" applyFont="1" applyBorder="1" applyAlignment="1" applyProtection="1">
      <protection locked="0"/>
    </xf>
    <xf numFmtId="0" fontId="9" fillId="0" borderId="5" xfId="0" applyFont="1" applyBorder="1" applyAlignment="1" applyProtection="1">
      <alignment vertical="center" wrapText="1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9" fillId="2" borderId="5" xfId="0" applyFont="1" applyFill="1" applyBorder="1" applyAlignment="1" applyProtection="1">
      <alignment vertical="center" wrapText="1"/>
      <protection locked="0"/>
    </xf>
    <xf numFmtId="0" fontId="3" fillId="0" borderId="1" xfId="0" applyFont="1" applyBorder="1" applyAlignment="1" applyProtection="1">
      <alignment horizontal="center" vertical="top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vertical="center" wrapText="1"/>
      <protection locked="0"/>
    </xf>
  </cellXfs>
  <cellStyles count="2">
    <cellStyle name="Обычный" xfId="0" builtinId="0"/>
    <cellStyle name="Финансовый" xfId="1" builtinId="3"/>
  </cellStyles>
  <dxfs count="2"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tabSelected="1" workbookViewId="0">
      <selection activeCell="F4" sqref="F4:F5"/>
    </sheetView>
  </sheetViews>
  <sheetFormatPr defaultRowHeight="13.8" x14ac:dyDescent="0.3"/>
  <cols>
    <col min="1" max="1" width="4" style="1" customWidth="1"/>
    <col min="2" max="2" width="8.88671875" style="1"/>
    <col min="3" max="3" width="4.6640625" style="1" customWidth="1"/>
    <col min="4" max="4" width="4.88671875" style="1" customWidth="1"/>
    <col min="5" max="5" width="4.5546875" style="1" customWidth="1"/>
    <col min="6" max="6" width="6.88671875" style="1" customWidth="1"/>
    <col min="7" max="7" width="5.109375" style="1" customWidth="1"/>
    <col min="8" max="8" width="4.77734375" style="1" customWidth="1"/>
    <col min="9" max="9" width="5.77734375" style="1" customWidth="1"/>
    <col min="10" max="10" width="6.44140625" style="1" customWidth="1"/>
    <col min="11" max="11" width="4.5546875" style="1" customWidth="1"/>
    <col min="12" max="12" width="7.44140625" style="1" customWidth="1"/>
    <col min="13" max="13" width="6.77734375" style="1" customWidth="1"/>
    <col min="14" max="14" width="6.33203125" style="1" customWidth="1"/>
    <col min="15" max="15" width="5.77734375" style="1" customWidth="1"/>
    <col min="16" max="16" width="6.33203125" style="1" customWidth="1"/>
    <col min="17" max="17" width="4.44140625" style="1" customWidth="1"/>
    <col min="18" max="18" width="6.33203125" style="1" customWidth="1"/>
    <col min="19" max="19" width="5.77734375" style="1" customWidth="1"/>
    <col min="20" max="20" width="6.109375" style="1" customWidth="1"/>
    <col min="21" max="21" width="5.5546875" style="1" customWidth="1"/>
    <col min="22" max="16384" width="8.88671875" style="1"/>
  </cols>
  <sheetData>
    <row r="1" spans="1:21" s="4" customFormat="1" ht="28.2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</row>
    <row r="2" spans="1:21" s="15" customFormat="1" ht="48" x14ac:dyDescent="0.25">
      <c r="A2" s="5" t="s">
        <v>1</v>
      </c>
      <c r="B2" s="6" t="s">
        <v>2</v>
      </c>
      <c r="C2" s="7" t="s">
        <v>3</v>
      </c>
      <c r="D2" s="8" t="s">
        <v>4</v>
      </c>
      <c r="E2" s="8" t="s">
        <v>5</v>
      </c>
      <c r="F2" s="9" t="s">
        <v>6</v>
      </c>
      <c r="G2" s="7" t="s">
        <v>7</v>
      </c>
      <c r="H2" s="8" t="s">
        <v>8</v>
      </c>
      <c r="I2" s="10" t="s">
        <v>40</v>
      </c>
      <c r="J2" s="11" t="s">
        <v>9</v>
      </c>
      <c r="K2" s="10" t="s">
        <v>41</v>
      </c>
      <c r="L2" s="12" t="s">
        <v>10</v>
      </c>
      <c r="M2" s="10" t="s">
        <v>42</v>
      </c>
      <c r="N2" s="12" t="s">
        <v>11</v>
      </c>
      <c r="O2" s="13" t="s">
        <v>43</v>
      </c>
      <c r="P2" s="12" t="s">
        <v>12</v>
      </c>
      <c r="Q2" s="13" t="s">
        <v>44</v>
      </c>
      <c r="R2" s="12" t="s">
        <v>13</v>
      </c>
      <c r="S2" s="10" t="s">
        <v>45</v>
      </c>
      <c r="T2" s="12" t="s">
        <v>14</v>
      </c>
      <c r="U2" s="14" t="s">
        <v>15</v>
      </c>
    </row>
    <row r="3" spans="1:21" s="15" customFormat="1" ht="135.6" customHeight="1" thickBot="1" x14ac:dyDescent="0.3">
      <c r="A3" s="5"/>
      <c r="B3" s="6" t="s">
        <v>16</v>
      </c>
      <c r="C3" s="16"/>
      <c r="D3" s="8"/>
      <c r="E3" s="8"/>
      <c r="F3" s="9"/>
      <c r="G3" s="16"/>
      <c r="H3" s="8"/>
      <c r="I3" s="10"/>
      <c r="J3" s="17">
        <f>IFERROR(AVERAGE(J4:J100),"")</f>
        <v>3</v>
      </c>
      <c r="K3" s="10"/>
      <c r="L3" s="17">
        <f>IFERROR(AVERAGE(L4:L100),"")</f>
        <v>3.1363636363636362</v>
      </c>
      <c r="M3" s="10"/>
      <c r="N3" s="17">
        <f>IFERROR(AVERAGE(N4:N100),"")</f>
        <v>4.0909090909090908</v>
      </c>
      <c r="O3" s="13"/>
      <c r="P3" s="17">
        <f>IFERROR(AVERAGE(P4:P100),"")</f>
        <v>4.0454545454545459</v>
      </c>
      <c r="Q3" s="13"/>
      <c r="R3" s="17">
        <f>IFERROR(AVERAGE(R4:R100),"")</f>
        <v>4.3</v>
      </c>
      <c r="S3" s="10"/>
      <c r="T3" s="17">
        <f>IFERROR(AVERAGE(T4:T100),"")</f>
        <v>3.9090909090909092</v>
      </c>
      <c r="U3" s="18"/>
    </row>
    <row r="4" spans="1:21" s="27" customFormat="1" ht="24.6" thickBot="1" x14ac:dyDescent="0.3">
      <c r="A4" s="19">
        <v>1</v>
      </c>
      <c r="B4" s="20" t="s">
        <v>46</v>
      </c>
      <c r="C4" s="21" t="s">
        <v>17</v>
      </c>
      <c r="D4" s="22">
        <v>140</v>
      </c>
      <c r="E4" s="22">
        <v>35</v>
      </c>
      <c r="F4" s="23">
        <f>IF(OR(D4="",E4=""),"",IFERROR(E4/(D4/100)^2,""))</f>
        <v>17.857142857142861</v>
      </c>
      <c r="G4" s="24" t="str">
        <f>IF(F4="","",IF(F4&lt;18.5,"Arıq",IF(F4&lt;24.9,"Sağlam",IF(F4&lt;29.9,"Artıq çəkili",IF(F4&gt;29.9,"Piylənmə")))))</f>
        <v>Arıq</v>
      </c>
      <c r="H4" s="22">
        <v>95</v>
      </c>
      <c r="I4" s="22">
        <v>6.1</v>
      </c>
      <c r="J4" s="25">
        <f t="shared" ref="J4:J25" si="0">IF(OR(C4="",H4=""),"",IF(AND(C4="K",H4&lt;=5.5),5,IF(AND(C4="K",H4&lt;=6.2),4,IF(AND(C4="K",H4&gt;=6.3),3,IF(AND(C4="Q",H4&lt;=5.6),5,IF(AND(C4="Q",H4&lt;=6.4),4,IF(AND(C4="Q",H4&gt;=6.5),3,"")))))))</f>
        <v>3</v>
      </c>
      <c r="K4" s="22">
        <v>150</v>
      </c>
      <c r="L4" s="25">
        <f>IF(OR(C4="",K4=""),"",IF(AND(C4="K",K4&gt;=165),5,IF(AND(C4="K",K4&gt;=141),4,IF(AND(C4="K",K4&lt;=140),3,IF(AND(C4="Q",K4&gt;=151),5,IF(AND(C4="Q",K4&gt;=131),4,IF(AND(C4="Q",K4&lt;=130),3,"")))))))</f>
        <v>4</v>
      </c>
      <c r="M4" s="22">
        <v>10.5</v>
      </c>
      <c r="N4" s="25">
        <f>IF(OR(C4="",M4=""),"",IF(M4="","",IF(AND(C4="K",M4&lt;=10),5,IF(AND(C4="K",M4&lt;=10.6),4,IF(AND(C4="K",M4&gt;=10.7),3,IF(AND(C4="Q",M4&lt;=10.2),5,IF(AND(C4="Q",M4&lt;=10.9),4,IF(AND(C4="Q",M4&gt;=11),3,""))))))))</f>
        <v>4</v>
      </c>
      <c r="O4" s="22">
        <v>9</v>
      </c>
      <c r="P4" s="25">
        <f>IF(OR(C4="",O4=""),"",IF(AND(C4="K",O4&gt;=10),5,IF(AND(C4="K",O4&gt;=7),4,IF(AND(C4="K",O4&lt;=6),3,IF(AND(C4="Q",O4&gt;=15),5,IF(AND(C4="Q",O4&gt;=8),4,IF(AND(C4="Q",O4&lt;=7),3,"")))))))</f>
        <v>4</v>
      </c>
      <c r="Q4" s="22">
        <v>0</v>
      </c>
      <c r="R4" s="25" t="str">
        <f>IF(OR(C4="",Q4=""),"",IF(AND(C4="K",Q4&gt;=5),5,IF(AND(C4="K",Q4&gt;=2),4,IF(AND(C4="K",Q4&gt;=1),3,IF(AND(C4="Q",Q4&gt;=10),5,IF(AND(C4="Q",Q4&gt;=6),4,IF(AND(C4="Q",Q4&gt;=5),3,"")))))))</f>
        <v/>
      </c>
      <c r="S4" s="22">
        <v>6.11</v>
      </c>
      <c r="T4" s="25">
        <f>IF(OR(C4="",S4=""),"",IF(S4="","",IF(AND(C4="K",S4&lt;=6),5,IF(AND(C4="K",S4&lt;=6.2),4,IF(AND(C4="K",S4&gt;=6.21),3,IF(AND(C4="Q",S4&lt;=6.3),5,IF(AND(C4="Q",S4&lt;=6.5),4,IF(AND(C4="Q",S4&gt;=6.51),3,""))))))))</f>
        <v>4</v>
      </c>
      <c r="U4" s="26">
        <f>IFERROR(AVERAGE(J4,L4,N4,P4,R4,T4),"")</f>
        <v>3.8</v>
      </c>
    </row>
    <row r="5" spans="1:21" s="27" customFormat="1" ht="36.6" thickBot="1" x14ac:dyDescent="0.3">
      <c r="A5" s="19">
        <v>2</v>
      </c>
      <c r="B5" s="28" t="s">
        <v>18</v>
      </c>
      <c r="C5" s="21" t="s">
        <v>19</v>
      </c>
      <c r="D5" s="29">
        <v>140</v>
      </c>
      <c r="E5" s="29">
        <v>30</v>
      </c>
      <c r="F5" s="23">
        <f t="shared" ref="F5:F25" si="1">IF(OR(D5="",E5=""),"",IFERROR(E5/(D5/100)^2,""))</f>
        <v>15.306122448979593</v>
      </c>
      <c r="G5" s="24" t="str">
        <f t="shared" ref="G5:G25" si="2">IF(F5="","",IF(F5&lt;18.5,"Arıq",IF(F5&lt;24.9,"Sağlam",IF(F5&lt;29.9,"Artıq çəkili",IF(F5&gt;29.9,"Piylənmə")))))</f>
        <v>Arıq</v>
      </c>
      <c r="H5" s="29">
        <v>90</v>
      </c>
      <c r="I5" s="29">
        <v>6.3</v>
      </c>
      <c r="J5" s="25">
        <f t="shared" si="0"/>
        <v>3</v>
      </c>
      <c r="K5" s="29">
        <v>110</v>
      </c>
      <c r="L5" s="25">
        <f t="shared" ref="L5:L25" si="3">IF(OR(C5="",K5=""),"",IF(AND(C5="K",K5&gt;=165),5,IF(AND(C5="K",K5&gt;=141),4,IF(AND(C5="K",K5&lt;=140),3,IF(AND(C5="Q",K5&gt;=151),5,IF(AND(C5="Q",K5&gt;=131),4,IF(AND(C5="Q",K5&lt;=130),3,"")))))))</f>
        <v>3</v>
      </c>
      <c r="M5" s="29">
        <v>10.8</v>
      </c>
      <c r="N5" s="25">
        <f t="shared" ref="N5:N25" si="4">IF(OR(C5="",M5=""),"",IF(M5="","",IF(AND(C5="K",M5&lt;=10),5,IF(AND(C5="K",M5&lt;=10.6),4,IF(AND(C5="K",M5&gt;=10.7),3,IF(AND(C5="Q",M5&lt;=10.2),5,IF(AND(C5="Q",M5&lt;=10.9),4,IF(AND(C5="Q",M5&gt;=11),3,""))))))))</f>
        <v>4</v>
      </c>
      <c r="O5" s="29">
        <v>14</v>
      </c>
      <c r="P5" s="25">
        <f t="shared" ref="P5:P25" si="5">IF(OR(C5="",O5=""),"",IF(AND(C5="K",O5&gt;=10),5,IF(AND(C5="K",O5&gt;=7),4,IF(AND(C5="K",O5&lt;=6),3,IF(AND(C5="Q",O5&gt;=15),5,IF(AND(C5="Q",O5&gt;=8),4,IF(AND(C5="Q",O5&lt;=7),3,"")))))))</f>
        <v>4</v>
      </c>
      <c r="Q5" s="29">
        <v>10</v>
      </c>
      <c r="R5" s="25">
        <f t="shared" ref="R5:R25" si="6">IF(OR(C5="",Q5=""),"",IF(AND(C5="K",Q5&gt;=5),5,IF(AND(C5="K",Q5&gt;=2),4,IF(AND(C5="K",Q5&gt;=1),3,IF(AND(C5="Q",Q5&gt;=10),5,IF(AND(C5="Q",Q5&gt;=6),4,IF(AND(C5="Q",Q5&gt;=5),3,"")))))))</f>
        <v>5</v>
      </c>
      <c r="S5" s="29">
        <v>6.4</v>
      </c>
      <c r="T5" s="25">
        <f t="shared" ref="T5:T25" si="7">IF(OR(C5="",S5=""),"",IF(S5="","",IF(AND(C5="K",S5&lt;=6),5,IF(AND(C5="K",S5&lt;=6.2),4,IF(AND(C5="K",S5&gt;=6.21),3,IF(AND(C5="Q",S5&lt;=6.3),5,IF(AND(C5="Q",S5&lt;=6.5),4,IF(AND(C5="Q",S5&gt;=6.51),3,""))))))))</f>
        <v>4</v>
      </c>
      <c r="U5" s="26">
        <f t="shared" ref="U5:U25" si="8">IFERROR(AVERAGE(J5,L5,N5,P5,R5,T5),"")</f>
        <v>3.8333333333333335</v>
      </c>
    </row>
    <row r="6" spans="1:21" s="27" customFormat="1" ht="36.6" thickBot="1" x14ac:dyDescent="0.3">
      <c r="A6" s="19">
        <v>3</v>
      </c>
      <c r="B6" s="30" t="s">
        <v>20</v>
      </c>
      <c r="C6" s="21" t="s">
        <v>19</v>
      </c>
      <c r="D6" s="29">
        <v>146</v>
      </c>
      <c r="E6" s="29">
        <v>37</v>
      </c>
      <c r="F6" s="23">
        <f t="shared" si="1"/>
        <v>17.357853255770316</v>
      </c>
      <c r="G6" s="24" t="str">
        <f t="shared" si="2"/>
        <v>Arıq</v>
      </c>
      <c r="H6" s="29">
        <v>87</v>
      </c>
      <c r="I6" s="29">
        <v>6.2</v>
      </c>
      <c r="J6" s="25">
        <f t="shared" si="0"/>
        <v>3</v>
      </c>
      <c r="K6" s="29">
        <v>146</v>
      </c>
      <c r="L6" s="25">
        <f t="shared" si="3"/>
        <v>4</v>
      </c>
      <c r="M6" s="29">
        <v>10.5</v>
      </c>
      <c r="N6" s="25">
        <f t="shared" si="4"/>
        <v>4</v>
      </c>
      <c r="O6" s="29">
        <v>15</v>
      </c>
      <c r="P6" s="25">
        <f t="shared" si="5"/>
        <v>5</v>
      </c>
      <c r="Q6" s="29">
        <v>11</v>
      </c>
      <c r="R6" s="25">
        <f t="shared" si="6"/>
        <v>5</v>
      </c>
      <c r="S6" s="29">
        <v>6.8</v>
      </c>
      <c r="T6" s="25">
        <f t="shared" si="7"/>
        <v>3</v>
      </c>
      <c r="U6" s="26">
        <f t="shared" si="8"/>
        <v>4</v>
      </c>
    </row>
    <row r="7" spans="1:21" s="27" customFormat="1" ht="36.6" thickBot="1" x14ac:dyDescent="0.3">
      <c r="A7" s="19">
        <v>4</v>
      </c>
      <c r="B7" s="28" t="s">
        <v>21</v>
      </c>
      <c r="C7" s="21" t="s">
        <v>17</v>
      </c>
      <c r="D7" s="29">
        <v>143</v>
      </c>
      <c r="E7" s="29">
        <v>30</v>
      </c>
      <c r="F7" s="23">
        <f t="shared" si="1"/>
        <v>14.670644041273414</v>
      </c>
      <c r="G7" s="24" t="str">
        <f t="shared" si="2"/>
        <v>Arıq</v>
      </c>
      <c r="H7" s="29">
        <v>97</v>
      </c>
      <c r="I7" s="29">
        <v>5.8</v>
      </c>
      <c r="J7" s="25">
        <f t="shared" si="0"/>
        <v>3</v>
      </c>
      <c r="K7" s="29">
        <v>130</v>
      </c>
      <c r="L7" s="25">
        <f t="shared" si="3"/>
        <v>3</v>
      </c>
      <c r="M7" s="29">
        <v>10.199999999999999</v>
      </c>
      <c r="N7" s="25">
        <f t="shared" si="4"/>
        <v>4</v>
      </c>
      <c r="O7" s="29">
        <v>10</v>
      </c>
      <c r="P7" s="25">
        <f t="shared" si="5"/>
        <v>5</v>
      </c>
      <c r="Q7" s="29">
        <v>0</v>
      </c>
      <c r="R7" s="25" t="str">
        <f t="shared" si="6"/>
        <v/>
      </c>
      <c r="S7" s="29">
        <v>6.15</v>
      </c>
      <c r="T7" s="25">
        <f t="shared" si="7"/>
        <v>4</v>
      </c>
      <c r="U7" s="26">
        <f t="shared" si="8"/>
        <v>3.8</v>
      </c>
    </row>
    <row r="8" spans="1:21" s="27" customFormat="1" ht="36.6" thickBot="1" x14ac:dyDescent="0.3">
      <c r="A8" s="19">
        <v>5</v>
      </c>
      <c r="B8" s="30" t="s">
        <v>22</v>
      </c>
      <c r="C8" s="21" t="s">
        <v>19</v>
      </c>
      <c r="D8" s="29">
        <v>135</v>
      </c>
      <c r="E8" s="29">
        <v>37</v>
      </c>
      <c r="F8" s="23">
        <f t="shared" si="1"/>
        <v>20.301783264746224</v>
      </c>
      <c r="G8" s="24" t="str">
        <f t="shared" si="2"/>
        <v>Sağlam</v>
      </c>
      <c r="H8" s="29">
        <v>98</v>
      </c>
      <c r="I8" s="29">
        <v>6.3</v>
      </c>
      <c r="J8" s="25">
        <f t="shared" si="0"/>
        <v>3</v>
      </c>
      <c r="K8" s="29">
        <v>115</v>
      </c>
      <c r="L8" s="25">
        <f t="shared" si="3"/>
        <v>3</v>
      </c>
      <c r="M8" s="29">
        <v>10.7</v>
      </c>
      <c r="N8" s="25">
        <f t="shared" si="4"/>
        <v>4</v>
      </c>
      <c r="O8" s="29">
        <v>8</v>
      </c>
      <c r="P8" s="25">
        <f t="shared" si="5"/>
        <v>4</v>
      </c>
      <c r="Q8" s="29">
        <v>9</v>
      </c>
      <c r="R8" s="25">
        <f t="shared" si="6"/>
        <v>4</v>
      </c>
      <c r="S8" s="29">
        <v>6.35</v>
      </c>
      <c r="T8" s="25">
        <f t="shared" si="7"/>
        <v>4</v>
      </c>
      <c r="U8" s="26">
        <f t="shared" si="8"/>
        <v>3.6666666666666665</v>
      </c>
    </row>
    <row r="9" spans="1:21" s="15" customFormat="1" ht="36.6" thickBot="1" x14ac:dyDescent="0.3">
      <c r="A9" s="31">
        <v>6</v>
      </c>
      <c r="B9" s="28" t="s">
        <v>23</v>
      </c>
      <c r="C9" s="21" t="s">
        <v>19</v>
      </c>
      <c r="D9" s="29">
        <v>137</v>
      </c>
      <c r="E9" s="29">
        <v>36</v>
      </c>
      <c r="F9" s="23">
        <f t="shared" si="1"/>
        <v>19.18056369545527</v>
      </c>
      <c r="G9" s="24" t="str">
        <f t="shared" si="2"/>
        <v>Sağlam</v>
      </c>
      <c r="H9" s="32">
        <v>80</v>
      </c>
      <c r="I9" s="29">
        <v>6.4</v>
      </c>
      <c r="J9" s="25">
        <f t="shared" si="0"/>
        <v>3</v>
      </c>
      <c r="K9" s="29">
        <v>120</v>
      </c>
      <c r="L9" s="25">
        <f t="shared" si="3"/>
        <v>3</v>
      </c>
      <c r="M9" s="29">
        <v>11.2</v>
      </c>
      <c r="N9" s="25">
        <f t="shared" si="4"/>
        <v>3</v>
      </c>
      <c r="O9" s="29">
        <v>7</v>
      </c>
      <c r="P9" s="25">
        <f t="shared" si="5"/>
        <v>3</v>
      </c>
      <c r="Q9" s="32">
        <v>8</v>
      </c>
      <c r="R9" s="25">
        <f t="shared" si="6"/>
        <v>4</v>
      </c>
      <c r="S9" s="32">
        <v>6.44</v>
      </c>
      <c r="T9" s="25">
        <f t="shared" si="7"/>
        <v>4</v>
      </c>
      <c r="U9" s="26">
        <f t="shared" si="8"/>
        <v>3.3333333333333335</v>
      </c>
    </row>
    <row r="10" spans="1:21" s="15" customFormat="1" ht="36.6" thickBot="1" x14ac:dyDescent="0.3">
      <c r="A10" s="31">
        <v>7</v>
      </c>
      <c r="B10" s="30" t="s">
        <v>24</v>
      </c>
      <c r="C10" s="21" t="s">
        <v>17</v>
      </c>
      <c r="D10" s="29">
        <v>133</v>
      </c>
      <c r="E10" s="29">
        <v>39</v>
      </c>
      <c r="F10" s="23">
        <f t="shared" si="1"/>
        <v>22.047600203516307</v>
      </c>
      <c r="G10" s="24" t="str">
        <f t="shared" si="2"/>
        <v>Sağlam</v>
      </c>
      <c r="H10" s="32">
        <v>100</v>
      </c>
      <c r="I10" s="29">
        <v>6.2</v>
      </c>
      <c r="J10" s="25">
        <f t="shared" si="0"/>
        <v>3</v>
      </c>
      <c r="K10" s="29">
        <v>135</v>
      </c>
      <c r="L10" s="25">
        <f t="shared" si="3"/>
        <v>3</v>
      </c>
      <c r="M10" s="29">
        <v>10.4</v>
      </c>
      <c r="N10" s="25">
        <f t="shared" si="4"/>
        <v>4</v>
      </c>
      <c r="O10" s="29">
        <v>8</v>
      </c>
      <c r="P10" s="25">
        <f t="shared" si="5"/>
        <v>4</v>
      </c>
      <c r="Q10" s="32">
        <v>0</v>
      </c>
      <c r="R10" s="25" t="str">
        <f t="shared" si="6"/>
        <v/>
      </c>
      <c r="S10" s="32">
        <v>6.12</v>
      </c>
      <c r="T10" s="25">
        <f t="shared" si="7"/>
        <v>4</v>
      </c>
      <c r="U10" s="26">
        <f t="shared" si="8"/>
        <v>3.6</v>
      </c>
    </row>
    <row r="11" spans="1:21" s="15" customFormat="1" ht="36.6" thickBot="1" x14ac:dyDescent="0.3">
      <c r="A11" s="31">
        <v>8</v>
      </c>
      <c r="B11" s="28" t="s">
        <v>25</v>
      </c>
      <c r="C11" s="21" t="s">
        <v>17</v>
      </c>
      <c r="D11" s="29">
        <v>143</v>
      </c>
      <c r="E11" s="29">
        <v>40</v>
      </c>
      <c r="F11" s="23">
        <f t="shared" si="1"/>
        <v>19.560858721697887</v>
      </c>
      <c r="G11" s="24" t="str">
        <f t="shared" si="2"/>
        <v>Sağlam</v>
      </c>
      <c r="H11" s="32">
        <v>105</v>
      </c>
      <c r="I11" s="29">
        <v>5.7</v>
      </c>
      <c r="J11" s="25">
        <f t="shared" si="0"/>
        <v>3</v>
      </c>
      <c r="K11" s="29">
        <v>150</v>
      </c>
      <c r="L11" s="25">
        <f t="shared" si="3"/>
        <v>4</v>
      </c>
      <c r="M11" s="29">
        <v>9.8000000000000007</v>
      </c>
      <c r="N11" s="25">
        <f t="shared" si="4"/>
        <v>5</v>
      </c>
      <c r="O11" s="29">
        <v>6</v>
      </c>
      <c r="P11" s="25">
        <f t="shared" si="5"/>
        <v>3</v>
      </c>
      <c r="Q11" s="32">
        <v>0</v>
      </c>
      <c r="R11" s="25" t="str">
        <f t="shared" si="6"/>
        <v/>
      </c>
      <c r="S11" s="32">
        <v>6.16</v>
      </c>
      <c r="T11" s="25">
        <f t="shared" si="7"/>
        <v>4</v>
      </c>
      <c r="U11" s="26">
        <f t="shared" si="8"/>
        <v>3.8</v>
      </c>
    </row>
    <row r="12" spans="1:21" s="15" customFormat="1" ht="36.6" thickBot="1" x14ac:dyDescent="0.3">
      <c r="A12" s="31">
        <v>9</v>
      </c>
      <c r="B12" s="30" t="s">
        <v>26</v>
      </c>
      <c r="C12" s="33" t="s">
        <v>17</v>
      </c>
      <c r="D12" s="29">
        <v>135</v>
      </c>
      <c r="E12" s="29">
        <v>26</v>
      </c>
      <c r="F12" s="23">
        <f t="shared" si="1"/>
        <v>14.266117969821671</v>
      </c>
      <c r="G12" s="24" t="str">
        <f t="shared" si="2"/>
        <v>Arıq</v>
      </c>
      <c r="H12" s="32">
        <v>96</v>
      </c>
      <c r="I12" s="29">
        <v>5.9</v>
      </c>
      <c r="J12" s="25">
        <f t="shared" si="0"/>
        <v>3</v>
      </c>
      <c r="K12" s="29">
        <v>120</v>
      </c>
      <c r="L12" s="25">
        <f t="shared" si="3"/>
        <v>3</v>
      </c>
      <c r="M12" s="29">
        <v>10.199999999999999</v>
      </c>
      <c r="N12" s="25">
        <f t="shared" si="4"/>
        <v>4</v>
      </c>
      <c r="O12" s="29">
        <v>7</v>
      </c>
      <c r="P12" s="25">
        <f t="shared" si="5"/>
        <v>4</v>
      </c>
      <c r="Q12" s="32">
        <v>0</v>
      </c>
      <c r="R12" s="25" t="str">
        <f t="shared" si="6"/>
        <v/>
      </c>
      <c r="S12" s="32">
        <v>6.25</v>
      </c>
      <c r="T12" s="25">
        <f t="shared" si="7"/>
        <v>3</v>
      </c>
      <c r="U12" s="26">
        <f t="shared" si="8"/>
        <v>3.4</v>
      </c>
    </row>
    <row r="13" spans="1:21" s="15" customFormat="1" ht="36.6" thickBot="1" x14ac:dyDescent="0.3">
      <c r="A13" s="31">
        <v>10</v>
      </c>
      <c r="B13" s="28" t="s">
        <v>27</v>
      </c>
      <c r="C13" s="33" t="s">
        <v>17</v>
      </c>
      <c r="D13" s="29">
        <v>142</v>
      </c>
      <c r="E13" s="29">
        <v>39</v>
      </c>
      <c r="F13" s="23">
        <f t="shared" si="1"/>
        <v>19.34140051577068</v>
      </c>
      <c r="G13" s="24" t="str">
        <f t="shared" si="2"/>
        <v>Sağlam</v>
      </c>
      <c r="H13" s="32">
        <v>85</v>
      </c>
      <c r="I13" s="29">
        <v>6.1</v>
      </c>
      <c r="J13" s="25">
        <f t="shared" si="0"/>
        <v>3</v>
      </c>
      <c r="K13" s="29">
        <v>130</v>
      </c>
      <c r="L13" s="25">
        <f t="shared" si="3"/>
        <v>3</v>
      </c>
      <c r="M13" s="29">
        <v>9.9</v>
      </c>
      <c r="N13" s="25">
        <f t="shared" si="4"/>
        <v>5</v>
      </c>
      <c r="O13" s="29">
        <v>8</v>
      </c>
      <c r="P13" s="25">
        <f t="shared" si="5"/>
        <v>4</v>
      </c>
      <c r="Q13" s="32">
        <v>0</v>
      </c>
      <c r="R13" s="25" t="str">
        <f t="shared" si="6"/>
        <v/>
      </c>
      <c r="S13" s="32">
        <v>6.15</v>
      </c>
      <c r="T13" s="25">
        <f t="shared" si="7"/>
        <v>4</v>
      </c>
      <c r="U13" s="26">
        <f t="shared" si="8"/>
        <v>3.8</v>
      </c>
    </row>
    <row r="14" spans="1:21" s="15" customFormat="1" ht="36.6" thickBot="1" x14ac:dyDescent="0.3">
      <c r="A14" s="31">
        <v>11</v>
      </c>
      <c r="B14" s="30" t="s">
        <v>28</v>
      </c>
      <c r="C14" s="33" t="s">
        <v>17</v>
      </c>
      <c r="D14" s="29">
        <v>140</v>
      </c>
      <c r="E14" s="29">
        <v>30</v>
      </c>
      <c r="F14" s="23">
        <f t="shared" si="1"/>
        <v>15.306122448979593</v>
      </c>
      <c r="G14" s="24" t="str">
        <f t="shared" si="2"/>
        <v>Arıq</v>
      </c>
      <c r="H14" s="32">
        <v>110</v>
      </c>
      <c r="I14" s="29">
        <v>5.9</v>
      </c>
      <c r="J14" s="25">
        <f t="shared" si="0"/>
        <v>3</v>
      </c>
      <c r="K14" s="29">
        <v>100</v>
      </c>
      <c r="L14" s="25">
        <f t="shared" si="3"/>
        <v>3</v>
      </c>
      <c r="M14" s="29">
        <v>9.6999999999999993</v>
      </c>
      <c r="N14" s="25">
        <f t="shared" si="4"/>
        <v>5</v>
      </c>
      <c r="O14" s="29">
        <v>9</v>
      </c>
      <c r="P14" s="25">
        <f t="shared" si="5"/>
        <v>4</v>
      </c>
      <c r="Q14" s="32">
        <v>0</v>
      </c>
      <c r="R14" s="25" t="str">
        <f t="shared" si="6"/>
        <v/>
      </c>
      <c r="S14" s="32">
        <v>6.24</v>
      </c>
      <c r="T14" s="25">
        <f t="shared" si="7"/>
        <v>3</v>
      </c>
      <c r="U14" s="26">
        <f t="shared" si="8"/>
        <v>3.6</v>
      </c>
    </row>
    <row r="15" spans="1:21" s="15" customFormat="1" ht="36.6" thickBot="1" x14ac:dyDescent="0.3">
      <c r="A15" s="31">
        <v>12</v>
      </c>
      <c r="B15" s="28" t="s">
        <v>29</v>
      </c>
      <c r="C15" s="33" t="s">
        <v>17</v>
      </c>
      <c r="D15" s="29">
        <v>140</v>
      </c>
      <c r="E15" s="29">
        <v>35</v>
      </c>
      <c r="F15" s="23">
        <f t="shared" si="1"/>
        <v>17.857142857142861</v>
      </c>
      <c r="G15" s="24" t="str">
        <f t="shared" si="2"/>
        <v>Arıq</v>
      </c>
      <c r="H15" s="32">
        <v>103</v>
      </c>
      <c r="I15" s="29">
        <v>6.2</v>
      </c>
      <c r="J15" s="25">
        <f t="shared" si="0"/>
        <v>3</v>
      </c>
      <c r="K15" s="29">
        <v>110</v>
      </c>
      <c r="L15" s="25">
        <f t="shared" si="3"/>
        <v>3</v>
      </c>
      <c r="M15" s="29">
        <v>10.199999999999999</v>
      </c>
      <c r="N15" s="25">
        <f t="shared" si="4"/>
        <v>4</v>
      </c>
      <c r="O15" s="29">
        <v>8</v>
      </c>
      <c r="P15" s="25">
        <f t="shared" si="5"/>
        <v>4</v>
      </c>
      <c r="Q15" s="32">
        <v>0</v>
      </c>
      <c r="R15" s="25" t="str">
        <f t="shared" si="6"/>
        <v/>
      </c>
      <c r="S15" s="32">
        <v>6.11</v>
      </c>
      <c r="T15" s="25">
        <f t="shared" si="7"/>
        <v>4</v>
      </c>
      <c r="U15" s="26">
        <f t="shared" si="8"/>
        <v>3.6</v>
      </c>
    </row>
    <row r="16" spans="1:21" s="15" customFormat="1" ht="36.6" thickBot="1" x14ac:dyDescent="0.3">
      <c r="A16" s="31">
        <v>13</v>
      </c>
      <c r="B16" s="30" t="s">
        <v>30</v>
      </c>
      <c r="C16" s="33" t="s">
        <v>19</v>
      </c>
      <c r="D16" s="29">
        <v>144</v>
      </c>
      <c r="E16" s="29">
        <v>38</v>
      </c>
      <c r="F16" s="23">
        <f t="shared" si="1"/>
        <v>18.325617283950617</v>
      </c>
      <c r="G16" s="24" t="str">
        <f t="shared" si="2"/>
        <v>Arıq</v>
      </c>
      <c r="H16" s="32">
        <v>99</v>
      </c>
      <c r="I16" s="29">
        <v>6.5</v>
      </c>
      <c r="J16" s="25">
        <f t="shared" si="0"/>
        <v>3</v>
      </c>
      <c r="K16" s="29">
        <v>125</v>
      </c>
      <c r="L16" s="25">
        <f t="shared" si="3"/>
        <v>3</v>
      </c>
      <c r="M16" s="29">
        <v>10.8</v>
      </c>
      <c r="N16" s="25">
        <f t="shared" si="4"/>
        <v>4</v>
      </c>
      <c r="O16" s="29">
        <v>12</v>
      </c>
      <c r="P16" s="25">
        <f t="shared" si="5"/>
        <v>4</v>
      </c>
      <c r="Q16" s="32">
        <v>7</v>
      </c>
      <c r="R16" s="25">
        <f t="shared" si="6"/>
        <v>4</v>
      </c>
      <c r="S16" s="32">
        <v>6.34</v>
      </c>
      <c r="T16" s="25">
        <f t="shared" si="7"/>
        <v>4</v>
      </c>
      <c r="U16" s="26">
        <f t="shared" si="8"/>
        <v>3.6666666666666665</v>
      </c>
    </row>
    <row r="17" spans="1:21" s="15" customFormat="1" ht="36.6" thickBot="1" x14ac:dyDescent="0.3">
      <c r="A17" s="31">
        <v>14</v>
      </c>
      <c r="B17" s="28" t="s">
        <v>31</v>
      </c>
      <c r="C17" s="33" t="s">
        <v>17</v>
      </c>
      <c r="D17" s="29">
        <v>142</v>
      </c>
      <c r="E17" s="29">
        <v>46</v>
      </c>
      <c r="F17" s="23">
        <f t="shared" si="1"/>
        <v>22.812933941678239</v>
      </c>
      <c r="G17" s="24" t="str">
        <f t="shared" si="2"/>
        <v>Sağlam</v>
      </c>
      <c r="H17" s="32">
        <v>107</v>
      </c>
      <c r="I17" s="29">
        <v>6.3</v>
      </c>
      <c r="J17" s="25">
        <f t="shared" si="0"/>
        <v>3</v>
      </c>
      <c r="K17" s="29">
        <v>90</v>
      </c>
      <c r="L17" s="25">
        <f t="shared" si="3"/>
        <v>3</v>
      </c>
      <c r="M17" s="29">
        <v>10.5</v>
      </c>
      <c r="N17" s="25">
        <f t="shared" si="4"/>
        <v>4</v>
      </c>
      <c r="O17" s="29">
        <v>9</v>
      </c>
      <c r="P17" s="25">
        <f t="shared" si="5"/>
        <v>4</v>
      </c>
      <c r="Q17" s="32">
        <v>0</v>
      </c>
      <c r="R17" s="25" t="str">
        <f t="shared" si="6"/>
        <v/>
      </c>
      <c r="S17" s="32">
        <v>6.25</v>
      </c>
      <c r="T17" s="25">
        <f t="shared" si="7"/>
        <v>3</v>
      </c>
      <c r="U17" s="26">
        <f t="shared" si="8"/>
        <v>3.4</v>
      </c>
    </row>
    <row r="18" spans="1:21" s="15" customFormat="1" ht="36.6" thickBot="1" x14ac:dyDescent="0.3">
      <c r="A18" s="31">
        <v>15</v>
      </c>
      <c r="B18" s="30" t="s">
        <v>32</v>
      </c>
      <c r="C18" s="33" t="s">
        <v>19</v>
      </c>
      <c r="D18" s="32">
        <v>136</v>
      </c>
      <c r="E18" s="32">
        <v>25</v>
      </c>
      <c r="F18" s="23">
        <f t="shared" si="1"/>
        <v>13.516435986159166</v>
      </c>
      <c r="G18" s="24" t="str">
        <f t="shared" si="2"/>
        <v>Arıq</v>
      </c>
      <c r="H18" s="32">
        <v>90</v>
      </c>
      <c r="I18" s="29">
        <v>6.6</v>
      </c>
      <c r="J18" s="25">
        <f t="shared" si="0"/>
        <v>3</v>
      </c>
      <c r="K18" s="29">
        <v>105</v>
      </c>
      <c r="L18" s="25">
        <f t="shared" si="3"/>
        <v>3</v>
      </c>
      <c r="M18" s="29">
        <v>11</v>
      </c>
      <c r="N18" s="25">
        <f t="shared" si="4"/>
        <v>3</v>
      </c>
      <c r="O18" s="29">
        <v>14</v>
      </c>
      <c r="P18" s="25">
        <f t="shared" si="5"/>
        <v>4</v>
      </c>
      <c r="Q18" s="32">
        <v>8</v>
      </c>
      <c r="R18" s="25">
        <f t="shared" si="6"/>
        <v>4</v>
      </c>
      <c r="S18" s="32">
        <v>6.33</v>
      </c>
      <c r="T18" s="25">
        <f t="shared" si="7"/>
        <v>4</v>
      </c>
      <c r="U18" s="26">
        <f t="shared" si="8"/>
        <v>3.5</v>
      </c>
    </row>
    <row r="19" spans="1:21" s="15" customFormat="1" ht="36.6" thickBot="1" x14ac:dyDescent="0.3">
      <c r="A19" s="31">
        <v>16</v>
      </c>
      <c r="B19" s="28" t="s">
        <v>33</v>
      </c>
      <c r="C19" s="33" t="s">
        <v>19</v>
      </c>
      <c r="D19" s="32">
        <v>129</v>
      </c>
      <c r="E19" s="32">
        <v>26</v>
      </c>
      <c r="F19" s="23">
        <f t="shared" si="1"/>
        <v>15.624061054023194</v>
      </c>
      <c r="G19" s="24" t="str">
        <f t="shared" si="2"/>
        <v>Arıq</v>
      </c>
      <c r="H19" s="32">
        <v>89</v>
      </c>
      <c r="I19" s="29">
        <v>6.1</v>
      </c>
      <c r="J19" s="25">
        <f t="shared" si="0"/>
        <v>3</v>
      </c>
      <c r="K19" s="29">
        <v>100</v>
      </c>
      <c r="L19" s="25">
        <f t="shared" si="3"/>
        <v>3</v>
      </c>
      <c r="M19" s="29">
        <v>10.8</v>
      </c>
      <c r="N19" s="25">
        <f t="shared" si="4"/>
        <v>4</v>
      </c>
      <c r="O19" s="29">
        <v>15</v>
      </c>
      <c r="P19" s="25">
        <f t="shared" si="5"/>
        <v>5</v>
      </c>
      <c r="Q19" s="32">
        <v>10</v>
      </c>
      <c r="R19" s="25">
        <f t="shared" si="6"/>
        <v>5</v>
      </c>
      <c r="S19" s="32">
        <v>6.25</v>
      </c>
      <c r="T19" s="25">
        <f t="shared" si="7"/>
        <v>5</v>
      </c>
      <c r="U19" s="26">
        <f t="shared" si="8"/>
        <v>4.166666666666667</v>
      </c>
    </row>
    <row r="20" spans="1:21" s="15" customFormat="1" ht="36.6" thickBot="1" x14ac:dyDescent="0.3">
      <c r="A20" s="31">
        <v>17</v>
      </c>
      <c r="B20" s="30" t="s">
        <v>34</v>
      </c>
      <c r="C20" s="33" t="s">
        <v>19</v>
      </c>
      <c r="D20" s="32">
        <v>153</v>
      </c>
      <c r="E20" s="32">
        <v>37</v>
      </c>
      <c r="F20" s="23">
        <f t="shared" si="1"/>
        <v>15.805886624802426</v>
      </c>
      <c r="G20" s="24" t="str">
        <f t="shared" si="2"/>
        <v>Arıq</v>
      </c>
      <c r="H20" s="32">
        <v>100</v>
      </c>
      <c r="I20" s="29">
        <v>6.3</v>
      </c>
      <c r="J20" s="25">
        <f t="shared" si="0"/>
        <v>3</v>
      </c>
      <c r="K20" s="29">
        <v>120</v>
      </c>
      <c r="L20" s="25">
        <f t="shared" si="3"/>
        <v>3</v>
      </c>
      <c r="M20" s="29">
        <v>10.6</v>
      </c>
      <c r="N20" s="25">
        <f t="shared" si="4"/>
        <v>4</v>
      </c>
      <c r="O20" s="29">
        <v>13</v>
      </c>
      <c r="P20" s="25">
        <f t="shared" si="5"/>
        <v>4</v>
      </c>
      <c r="Q20" s="32">
        <v>9</v>
      </c>
      <c r="R20" s="25">
        <f t="shared" si="6"/>
        <v>4</v>
      </c>
      <c r="S20" s="32">
        <v>6.35</v>
      </c>
      <c r="T20" s="25">
        <f t="shared" si="7"/>
        <v>4</v>
      </c>
      <c r="U20" s="26">
        <f t="shared" si="8"/>
        <v>3.6666666666666665</v>
      </c>
    </row>
    <row r="21" spans="1:21" s="15" customFormat="1" ht="36.6" thickBot="1" x14ac:dyDescent="0.3">
      <c r="A21" s="31">
        <v>18</v>
      </c>
      <c r="B21" s="28" t="s">
        <v>35</v>
      </c>
      <c r="C21" s="33" t="s">
        <v>19</v>
      </c>
      <c r="D21" s="32">
        <v>142</v>
      </c>
      <c r="E21" s="32">
        <v>40</v>
      </c>
      <c r="F21" s="23">
        <f t="shared" si="1"/>
        <v>19.837333862328904</v>
      </c>
      <c r="G21" s="24" t="str">
        <f t="shared" si="2"/>
        <v>Sağlam</v>
      </c>
      <c r="H21" s="32">
        <v>102</v>
      </c>
      <c r="I21" s="29">
        <v>6.4</v>
      </c>
      <c r="J21" s="25">
        <f t="shared" si="0"/>
        <v>3</v>
      </c>
      <c r="K21" s="29">
        <v>90</v>
      </c>
      <c r="L21" s="25">
        <f t="shared" si="3"/>
        <v>3</v>
      </c>
      <c r="M21" s="29">
        <v>10.4</v>
      </c>
      <c r="N21" s="25">
        <f t="shared" si="4"/>
        <v>4</v>
      </c>
      <c r="O21" s="29">
        <v>11</v>
      </c>
      <c r="P21" s="25">
        <f t="shared" si="5"/>
        <v>4</v>
      </c>
      <c r="Q21" s="32">
        <v>7</v>
      </c>
      <c r="R21" s="25">
        <f t="shared" si="6"/>
        <v>4</v>
      </c>
      <c r="S21" s="32">
        <v>6.29</v>
      </c>
      <c r="T21" s="25">
        <f t="shared" si="7"/>
        <v>5</v>
      </c>
      <c r="U21" s="26">
        <f t="shared" si="8"/>
        <v>3.8333333333333335</v>
      </c>
    </row>
    <row r="22" spans="1:21" s="15" customFormat="1" ht="48.6" thickBot="1" x14ac:dyDescent="0.3">
      <c r="A22" s="31">
        <v>19</v>
      </c>
      <c r="B22" s="30" t="s">
        <v>36</v>
      </c>
      <c r="C22" s="33" t="s">
        <v>17</v>
      </c>
      <c r="D22" s="32">
        <v>133</v>
      </c>
      <c r="E22" s="32">
        <v>25</v>
      </c>
      <c r="F22" s="23">
        <f t="shared" si="1"/>
        <v>14.133077053536095</v>
      </c>
      <c r="G22" s="24" t="str">
        <f t="shared" si="2"/>
        <v>Arıq</v>
      </c>
      <c r="H22" s="32">
        <v>98</v>
      </c>
      <c r="I22" s="29">
        <v>6.1</v>
      </c>
      <c r="J22" s="25">
        <f t="shared" si="0"/>
        <v>3</v>
      </c>
      <c r="K22" s="29">
        <v>105</v>
      </c>
      <c r="L22" s="25">
        <f t="shared" si="3"/>
        <v>3</v>
      </c>
      <c r="M22" s="29">
        <v>9.8000000000000007</v>
      </c>
      <c r="N22" s="25">
        <f t="shared" si="4"/>
        <v>5</v>
      </c>
      <c r="O22" s="29">
        <v>8</v>
      </c>
      <c r="P22" s="25">
        <f t="shared" si="5"/>
        <v>4</v>
      </c>
      <c r="Q22" s="32">
        <v>0</v>
      </c>
      <c r="R22" s="25" t="str">
        <f t="shared" si="6"/>
        <v/>
      </c>
      <c r="S22" s="32">
        <v>6.23</v>
      </c>
      <c r="T22" s="25">
        <f t="shared" si="7"/>
        <v>3</v>
      </c>
      <c r="U22" s="26">
        <f t="shared" si="8"/>
        <v>3.6</v>
      </c>
    </row>
    <row r="23" spans="1:21" s="15" customFormat="1" ht="36.6" thickBot="1" x14ac:dyDescent="0.3">
      <c r="A23" s="31">
        <v>20</v>
      </c>
      <c r="B23" s="28" t="s">
        <v>37</v>
      </c>
      <c r="C23" s="33" t="s">
        <v>19</v>
      </c>
      <c r="D23" s="32">
        <v>143</v>
      </c>
      <c r="E23" s="32">
        <v>38</v>
      </c>
      <c r="F23" s="23">
        <f t="shared" si="1"/>
        <v>18.58281578561299</v>
      </c>
      <c r="G23" s="24" t="str">
        <f t="shared" si="2"/>
        <v>Sağlam</v>
      </c>
      <c r="H23" s="32">
        <v>79</v>
      </c>
      <c r="I23" s="29">
        <v>6.5</v>
      </c>
      <c r="J23" s="25">
        <f t="shared" si="0"/>
        <v>3</v>
      </c>
      <c r="K23" s="29">
        <v>100</v>
      </c>
      <c r="L23" s="25">
        <f t="shared" si="3"/>
        <v>3</v>
      </c>
      <c r="M23" s="29">
        <v>10.7</v>
      </c>
      <c r="N23" s="25">
        <f t="shared" si="4"/>
        <v>4</v>
      </c>
      <c r="O23" s="29">
        <v>13</v>
      </c>
      <c r="P23" s="25">
        <f t="shared" si="5"/>
        <v>4</v>
      </c>
      <c r="Q23" s="32">
        <v>8</v>
      </c>
      <c r="R23" s="25">
        <f t="shared" si="6"/>
        <v>4</v>
      </c>
      <c r="S23" s="32">
        <v>6.15</v>
      </c>
      <c r="T23" s="25">
        <f t="shared" si="7"/>
        <v>5</v>
      </c>
      <c r="U23" s="26">
        <f t="shared" si="8"/>
        <v>3.8333333333333335</v>
      </c>
    </row>
    <row r="24" spans="1:21" s="15" customFormat="1" ht="36.6" thickBot="1" x14ac:dyDescent="0.3">
      <c r="A24" s="31">
        <v>21</v>
      </c>
      <c r="B24" s="30" t="s">
        <v>38</v>
      </c>
      <c r="C24" s="33" t="s">
        <v>17</v>
      </c>
      <c r="D24" s="32">
        <v>130</v>
      </c>
      <c r="E24" s="32">
        <v>26</v>
      </c>
      <c r="F24" s="23">
        <f t="shared" si="1"/>
        <v>15.384615384615383</v>
      </c>
      <c r="G24" s="24" t="str">
        <f t="shared" si="2"/>
        <v>Arıq</v>
      </c>
      <c r="H24" s="32">
        <v>86</v>
      </c>
      <c r="I24" s="32">
        <v>5.8</v>
      </c>
      <c r="J24" s="25">
        <f t="shared" si="0"/>
        <v>3</v>
      </c>
      <c r="K24" s="32">
        <v>100</v>
      </c>
      <c r="L24" s="25">
        <f t="shared" si="3"/>
        <v>3</v>
      </c>
      <c r="M24" s="32">
        <v>10.5</v>
      </c>
      <c r="N24" s="25">
        <f t="shared" si="4"/>
        <v>4</v>
      </c>
      <c r="O24" s="29">
        <v>9</v>
      </c>
      <c r="P24" s="25">
        <f t="shared" si="5"/>
        <v>4</v>
      </c>
      <c r="Q24" s="32">
        <v>0</v>
      </c>
      <c r="R24" s="25" t="str">
        <f t="shared" si="6"/>
        <v/>
      </c>
      <c r="S24" s="32">
        <v>6.05</v>
      </c>
      <c r="T24" s="25">
        <f t="shared" si="7"/>
        <v>4</v>
      </c>
      <c r="U24" s="26">
        <f t="shared" si="8"/>
        <v>3.6</v>
      </c>
    </row>
    <row r="25" spans="1:21" s="15" customFormat="1" ht="36.6" thickBot="1" x14ac:dyDescent="0.3">
      <c r="A25" s="31">
        <v>22</v>
      </c>
      <c r="B25" s="28" t="s">
        <v>39</v>
      </c>
      <c r="C25" s="33" t="s">
        <v>17</v>
      </c>
      <c r="D25" s="32">
        <v>148</v>
      </c>
      <c r="E25" s="32">
        <v>40</v>
      </c>
      <c r="F25" s="23">
        <f t="shared" si="1"/>
        <v>18.261504747991236</v>
      </c>
      <c r="G25" s="24" t="str">
        <f t="shared" si="2"/>
        <v>Arıq</v>
      </c>
      <c r="H25" s="32">
        <v>90</v>
      </c>
      <c r="I25" s="32">
        <v>5.7</v>
      </c>
      <c r="J25" s="25">
        <f t="shared" si="0"/>
        <v>3</v>
      </c>
      <c r="K25" s="32">
        <v>110</v>
      </c>
      <c r="L25" s="25">
        <f t="shared" si="3"/>
        <v>3</v>
      </c>
      <c r="M25" s="32">
        <v>10.4</v>
      </c>
      <c r="N25" s="25">
        <f t="shared" si="4"/>
        <v>4</v>
      </c>
      <c r="O25" s="29">
        <v>9</v>
      </c>
      <c r="P25" s="25">
        <f t="shared" si="5"/>
        <v>4</v>
      </c>
      <c r="Q25" s="32">
        <v>0</v>
      </c>
      <c r="R25" s="25" t="str">
        <f t="shared" si="6"/>
        <v/>
      </c>
      <c r="S25" s="32">
        <v>6.11</v>
      </c>
      <c r="T25" s="25">
        <f t="shared" si="7"/>
        <v>4</v>
      </c>
      <c r="U25" s="26">
        <f t="shared" si="8"/>
        <v>3.6</v>
      </c>
    </row>
  </sheetData>
  <mergeCells count="15">
    <mergeCell ref="A1:S1"/>
    <mergeCell ref="A2:A3"/>
    <mergeCell ref="C2:C3"/>
    <mergeCell ref="D2:D3"/>
    <mergeCell ref="E2:E3"/>
    <mergeCell ref="F2:F3"/>
    <mergeCell ref="G2:G3"/>
    <mergeCell ref="H2:H3"/>
    <mergeCell ref="I2:I3"/>
    <mergeCell ref="K2:K3"/>
    <mergeCell ref="M2:M3"/>
    <mergeCell ref="O2:O3"/>
    <mergeCell ref="Q2:Q3"/>
    <mergeCell ref="S2:S3"/>
    <mergeCell ref="U2:U3"/>
  </mergeCells>
  <conditionalFormatting sqref="G4:G25">
    <cfRule type="expression" dxfId="1" priority="1">
      <formula>AND($G4&lt;&gt;"Sağlam",$G4&lt;&gt;"")</formula>
    </cfRule>
    <cfRule type="cellIs" dxfId="0" priority="2" operator="equal">
      <formula>"Sağlam"</formula>
    </cfRule>
  </conditionalFormatting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2026-09-28T14:55:29Z</dcterms:modified>
</cp:coreProperties>
</file>