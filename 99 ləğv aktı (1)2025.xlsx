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10344" activeTab="3"/>
  </bookViews>
  <sheets>
    <sheet name="ləğv aktı 126" sheetId="1" r:id="rId1"/>
    <sheet name="akt 126" sheetId="2" r:id="rId2"/>
    <sheet name="akt əsaslar" sheetId="3" r:id="rId3"/>
    <sheet name="231-2-4.231-4-1" sheetId="4" r:id="rId4"/>
    <sheet name=" kitabxana 2019" sheetId="5" r:id="rId5"/>
    <sheet name="akt kitab 2019" sheetId="6" r:id="rId6"/>
    <sheet name="2020 kitabxa" sheetId="7" r:id="rId7"/>
    <sheet name="akt 2020 kitabxana" sheetId="8" r:id="rId8"/>
  </sheet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38" i="7" l="1"/>
  <c r="G238" i="7"/>
  <c r="E237" i="7"/>
  <c r="G236" i="7"/>
  <c r="G235" i="7"/>
  <c r="G234" i="7"/>
  <c r="E234" i="7"/>
  <c r="G207" i="7"/>
  <c r="E207" i="7"/>
  <c r="E205" i="8"/>
  <c r="E206" i="8" s="1"/>
  <c r="G204" i="8"/>
  <c r="G203" i="8"/>
  <c r="G205" i="8" s="1"/>
  <c r="G206" i="8" s="1"/>
  <c r="G202" i="8"/>
  <c r="E202" i="8"/>
  <c r="G175" i="8"/>
  <c r="E175" i="8"/>
  <c r="G237" i="7" l="1"/>
  <c r="G104" i="6" l="1"/>
  <c r="G105" i="6" s="1"/>
  <c r="E104" i="6"/>
  <c r="E105" i="6" s="1"/>
  <c r="F103" i="6"/>
  <c r="F102" i="6"/>
  <c r="F101" i="6"/>
  <c r="F100" i="6"/>
  <c r="G99" i="6"/>
  <c r="G97" i="6"/>
  <c r="E97" i="6"/>
  <c r="F96" i="6"/>
  <c r="F95" i="6"/>
  <c r="F94" i="6"/>
  <c r="F93" i="6"/>
  <c r="F92" i="6"/>
  <c r="F91" i="6"/>
  <c r="F90" i="6"/>
  <c r="F89" i="6"/>
  <c r="F88" i="6"/>
  <c r="F87" i="6"/>
  <c r="F86" i="6"/>
  <c r="F85" i="6"/>
  <c r="F84" i="6"/>
  <c r="F83" i="6"/>
  <c r="F82" i="6"/>
  <c r="F81" i="6"/>
  <c r="F79" i="6"/>
  <c r="F78" i="6"/>
  <c r="F77" i="6"/>
  <c r="F76" i="6"/>
  <c r="F75" i="6"/>
  <c r="F74" i="6"/>
  <c r="F73" i="6"/>
  <c r="F72" i="6"/>
  <c r="F71" i="6"/>
  <c r="F70" i="6"/>
  <c r="F69" i="6"/>
  <c r="F67" i="6"/>
  <c r="F66" i="6"/>
  <c r="F65" i="6"/>
  <c r="F64" i="6"/>
  <c r="F63" i="6"/>
  <c r="F62" i="6"/>
  <c r="F61" i="6"/>
  <c r="F60" i="6"/>
  <c r="F59" i="6"/>
  <c r="F58" i="6"/>
  <c r="F57" i="6"/>
  <c r="G56" i="6"/>
  <c r="E56" i="6"/>
  <c r="G53" i="6"/>
  <c r="E53" i="6"/>
  <c r="F52" i="6"/>
  <c r="F51" i="6"/>
  <c r="F50" i="6"/>
  <c r="F49" i="6"/>
  <c r="F48" i="6"/>
  <c r="F47" i="6"/>
  <c r="F46" i="6"/>
  <c r="F45" i="6"/>
  <c r="F44" i="6"/>
  <c r="F43" i="6"/>
  <c r="F42" i="6"/>
  <c r="F41" i="6"/>
  <c r="F40" i="6"/>
  <c r="F39" i="6"/>
  <c r="F38" i="6"/>
  <c r="F37" i="6"/>
  <c r="F33" i="6"/>
  <c r="F32" i="6"/>
  <c r="F31" i="6"/>
  <c r="F30" i="6"/>
  <c r="F29" i="6"/>
  <c r="F28" i="6"/>
  <c r="F27" i="6"/>
  <c r="F26" i="6"/>
  <c r="F25" i="6"/>
  <c r="F24" i="6"/>
  <c r="F23" i="6"/>
  <c r="F22" i="6"/>
  <c r="F21" i="6"/>
  <c r="F20" i="6"/>
  <c r="F19" i="6"/>
  <c r="F18" i="6"/>
  <c r="F17" i="6"/>
  <c r="F16" i="6"/>
  <c r="F15" i="6"/>
  <c r="F14" i="6"/>
  <c r="G13" i="6"/>
  <c r="E13" i="6"/>
  <c r="G88" i="5"/>
  <c r="E88" i="5"/>
  <c r="G45" i="5"/>
  <c r="E45" i="5"/>
  <c r="G85" i="5"/>
  <c r="G136" i="5" l="1"/>
  <c r="E136" i="5"/>
  <c r="F135" i="5"/>
  <c r="F134" i="5"/>
  <c r="F133" i="5"/>
  <c r="F132" i="5"/>
  <c r="G131" i="5"/>
  <c r="E131" i="5"/>
  <c r="F130" i="5"/>
  <c r="G129" i="5"/>
  <c r="E129" i="5"/>
  <c r="F128" i="5"/>
  <c r="F127" i="5"/>
  <c r="F126" i="5"/>
  <c r="F125" i="5"/>
  <c r="F124" i="5"/>
  <c r="F123" i="5"/>
  <c r="F122" i="5"/>
  <c r="F121" i="5"/>
  <c r="F120" i="5"/>
  <c r="F119" i="5"/>
  <c r="F118" i="5"/>
  <c r="F117" i="5"/>
  <c r="F116" i="5"/>
  <c r="F115" i="5"/>
  <c r="F114" i="5"/>
  <c r="F113" i="5"/>
  <c r="F111" i="5"/>
  <c r="F110" i="5"/>
  <c r="F109" i="5"/>
  <c r="F108" i="5"/>
  <c r="F107" i="5"/>
  <c r="F106" i="5"/>
  <c r="F105" i="5"/>
  <c r="F104" i="5"/>
  <c r="F103" i="5"/>
  <c r="F102" i="5"/>
  <c r="F101" i="5"/>
  <c r="F100" i="5"/>
  <c r="F99" i="5"/>
  <c r="F98" i="5"/>
  <c r="F97" i="5"/>
  <c r="F96" i="5"/>
  <c r="F95" i="5"/>
  <c r="F94" i="5"/>
  <c r="F93" i="5"/>
  <c r="F92" i="5"/>
  <c r="F91" i="5"/>
  <c r="F90" i="5"/>
  <c r="F89" i="5"/>
  <c r="E85" i="5"/>
  <c r="F84" i="5"/>
  <c r="F83" i="5"/>
  <c r="F82" i="5"/>
  <c r="F81" i="5"/>
  <c r="F80" i="5"/>
  <c r="F79" i="5"/>
  <c r="F78" i="5"/>
  <c r="F77" i="5"/>
  <c r="F76" i="5"/>
  <c r="F75" i="5"/>
  <c r="F74" i="5"/>
  <c r="F73" i="5"/>
  <c r="F72" i="5"/>
  <c r="F71" i="5"/>
  <c r="F70" i="5"/>
  <c r="F69" i="5"/>
  <c r="F65" i="5"/>
  <c r="F64" i="5"/>
  <c r="F63" i="5"/>
  <c r="F62" i="5"/>
  <c r="F61" i="5"/>
  <c r="F60" i="5"/>
  <c r="F59" i="5"/>
  <c r="F58" i="5"/>
  <c r="F57" i="5"/>
  <c r="F56" i="5"/>
  <c r="F55" i="5"/>
  <c r="F54" i="5"/>
  <c r="F53" i="5"/>
  <c r="F52" i="5"/>
  <c r="F51" i="5"/>
  <c r="F50" i="5"/>
  <c r="F49" i="5"/>
  <c r="F48" i="5"/>
  <c r="F47" i="5"/>
  <c r="F46" i="5"/>
  <c r="G137" i="5" l="1"/>
  <c r="E137" i="5"/>
  <c r="G21" i="3"/>
  <c r="H51" i="4"/>
  <c r="G51" i="4"/>
  <c r="G41" i="1" l="1"/>
  <c r="G42" i="1"/>
  <c r="G43" i="1"/>
  <c r="G44" i="1"/>
  <c r="G45" i="1"/>
  <c r="G46" i="1"/>
  <c r="G47" i="1"/>
  <c r="G48" i="1"/>
  <c r="G49" i="1"/>
  <c r="G50" i="1"/>
  <c r="G51" i="1" l="1"/>
</calcChain>
</file>

<file path=xl/sharedStrings.xml><?xml version="1.0" encoding="utf-8"?>
<sst xmlns="http://schemas.openxmlformats.org/spreadsheetml/2006/main" count="1664" uniqueCount="408">
  <si>
    <t>Gül dibçəkləri</t>
  </si>
  <si>
    <t>ədəd</t>
  </si>
  <si>
    <t>Dispenser PURELL</t>
  </si>
  <si>
    <t>Mikrafon</t>
  </si>
  <si>
    <t>Hesablayıcı maşın</t>
  </si>
  <si>
    <t>Əl nasosu (Top doldurmaq üçün)</t>
  </si>
  <si>
    <t>Top futbol</t>
  </si>
  <si>
    <t>Top voleybol</t>
  </si>
  <si>
    <t>Top basgetbol</t>
  </si>
  <si>
    <t>Qlobus</t>
  </si>
  <si>
    <t>Masaüstü sənəd rəfi</t>
  </si>
  <si>
    <t xml:space="preserve">"Dövlət müəssisə və təşkilatlarının,habelə nizamnamə </t>
  </si>
  <si>
    <t>kapitalında dövlətin payı olan müssisələrin balansında</t>
  </si>
  <si>
    <t>olan yararsız hala düşmüş əsas vəsaitlərin silinməsi</t>
  </si>
  <si>
    <t>və bu vəsaitlərin söküntüsündən əldə edilən material</t>
  </si>
  <si>
    <t>qiymətlilərinin satışı üzrə</t>
  </si>
  <si>
    <t>Qaydalar"a</t>
  </si>
  <si>
    <t>1 nömrəli əlavə</t>
  </si>
  <si>
    <t>(vəzifəsi, soyadı, adı, atasının adı)</t>
  </si>
  <si>
    <t>(imza)</t>
  </si>
  <si>
    <t>Əmlakın (qiymətlilərin) ləğvi aktı</t>
  </si>
  <si>
    <t>(müəssisənin, idarənin, təşkilatın adı)</t>
  </si>
  <si>
    <t>1 saylı Xidmət və əməliyyat mərkəzinin rəhbəri :</t>
  </si>
  <si>
    <t>İsmayılova Hüsniyyə Bəkir qızı</t>
  </si>
  <si>
    <t xml:space="preserve">  Hacıbabayeva Günel Fikrət qızı</t>
  </si>
  <si>
    <t/>
  </si>
  <si>
    <t>Sıra №-sı</t>
  </si>
  <si>
    <t>Alınma tarixi</t>
  </si>
  <si>
    <t>Əmlakın (qiymətlilərin) adı və nişanələri</t>
  </si>
  <si>
    <t>Ölçü vahidi</t>
  </si>
  <si>
    <t>Miqdarı</t>
  </si>
  <si>
    <t xml:space="preserve">Qiyməti </t>
  </si>
  <si>
    <t>İlkin dəyər</t>
  </si>
  <si>
    <t>köhnəlmə</t>
  </si>
  <si>
    <t>Yararsızlığın səbəbi</t>
  </si>
  <si>
    <t xml:space="preserve">Binəqədi rayonu 99 №li məktəb </t>
  </si>
  <si>
    <t>Yekun cəmi:</t>
  </si>
  <si>
    <t xml:space="preserve">Məbləğ </t>
  </si>
  <si>
    <t>Yuxarıda göstərilən əmlakın (qiymətlilərin) istismar vəziyyətini yoxlayarkən komissiya belə qərara gəldi ki, bu əmlaklar (qiymətlilər) köhnəlmiş, istismar müddətini bitirmiş, tamamilə yararsız hala düşmüş və gələcəkdə istifadəsi mümkün olmadığı üçün ləğv edilsin və maddi-məsul şəxsin öhdəsindən silinsin.</t>
  </si>
  <si>
    <t>Silinən əmlakın (qiymətlilərin) tərkibi:qızıl __yox___ kq, gümüş __yox___ kq, platin __yox___ kq, əlvan metal __yox___ kq, qara metal _____ kq, cında __yox___ kq, yanacaq (odun) _____ kubmetr,ehtiyat hissələri__yox___ədəd</t>
  </si>
  <si>
    <t>Qəbul-təhvil qaimələri akta əlavə edilir.</t>
  </si>
  <si>
    <t xml:space="preserve">Əlavə qeyd  </t>
  </si>
  <si>
    <t>Qeyd:</t>
  </si>
  <si>
    <t xml:space="preserve">Akt üç nüsxədən ibarət tərtib edilir və birinci nüsxə mühasibatlığa təhvil verilir. 
Vahidin (dəstin) ilkin balans dəyəri 5 min manatadək (5 min manatdan yuxarı olduğu halda Azərbaycan Respublikası Əmlak Məsələləri Dövlət Komitəsinin müvafiq rəyi əsasında) bu aktla silinir.
Əsas vəsaitlərin ləğvindən əldə edilən qiymətli metalların, material qiymətlilərinin və ehtiyat hissələrinin qəbul-təhvil sənədləri bu akta əlavə edilir.
</t>
  </si>
  <si>
    <t>(soyadı, adı, atasının adı)</t>
  </si>
  <si>
    <t>imza,tarix</t>
  </si>
  <si>
    <t>( soyadı, adı, atasının adı)</t>
  </si>
  <si>
    <t xml:space="preserve">                                           Hacıbabayeva Günel Fikrət qızı</t>
  </si>
  <si>
    <t xml:space="preserve">                                           Həşimova ZöhrəTaryel qızı</t>
  </si>
  <si>
    <t xml:space="preserve">                 (soyadı, adı, atasının adı)</t>
  </si>
  <si>
    <t>İki min yüz altmış bir manat, 75 qəp</t>
  </si>
  <si>
    <t>Bakı şəhəri Binəqədi rayonu</t>
  </si>
  <si>
    <t xml:space="preserve">  A K T</t>
  </si>
  <si>
    <t>Cəmi:</t>
  </si>
  <si>
    <t>Aktın doğruluğunu imzalarımızla təsdiq edirik.</t>
  </si>
  <si>
    <t>Mühasib:</t>
  </si>
  <si>
    <t>Həşimova Z.T.</t>
  </si>
  <si>
    <t>Direktor:</t>
  </si>
  <si>
    <t>Sıra 
№-si</t>
  </si>
  <si>
    <t xml:space="preserve">Alınma 
tarixi </t>
  </si>
  <si>
    <t xml:space="preserve">İnventarın
 adı </t>
  </si>
  <si>
    <t xml:space="preserve">Ölçü   
vahidi </t>
  </si>
  <si>
    <t>Məbləğ</t>
  </si>
  <si>
    <t xml:space="preserve">                                            Məmmədova Ofelya Həsən qızı</t>
  </si>
  <si>
    <t xml:space="preserve"> Məmmədova O. H.</t>
  </si>
  <si>
    <t xml:space="preserve">   Biz aşağıda imza edən şəxslər: 99 №li məktəbin direktoru  O.Məmmədova, </t>
  </si>
  <si>
    <t>99№li tam orta məktəb</t>
  </si>
  <si>
    <t xml:space="preserve">         Azərbaycan Respublikasının Elm və Təhsil Nazirliyi yanında Məktəbəqədər və Ümumi Təhsil üzrə Dövlət Agentliyinin direktor müavini, Agentliyin Bakı Şəhəri üzrə Təhsil İdarəsinin müdir vəzifəsini müvəqqəti icra edən</t>
  </si>
  <si>
    <t>Lövhə</t>
  </si>
  <si>
    <t>Müəllim stolu</t>
  </si>
  <si>
    <t>Tərəzi tibbi</t>
  </si>
  <si>
    <t>Parta</t>
  </si>
  <si>
    <t>dəst</t>
  </si>
  <si>
    <t xml:space="preserve">Notebook "Nexus" </t>
  </si>
  <si>
    <t xml:space="preserve">Komputer HP prosessor HP </t>
  </si>
  <si>
    <t>Kondisioner LG</t>
  </si>
  <si>
    <t>Soyuducu Dnepr</t>
  </si>
  <si>
    <t>Hüseynova Nərminə  Arif qızı</t>
  </si>
  <si>
    <t>Əmlakın (qiymətlilərin) istismar vəziyyətini müəyyən etmək üçün «23» Aprel 2025-ci il tarixli 3-29-59/3-2-210 F/2025 №-li əmrlə təyin edilmiş daim fəaliyyətdə olan komissiya üzvləri:</t>
  </si>
  <si>
    <t xml:space="preserve">                                             Nəbiyev Arif Moyla oğlu   məzuniyyətdə</t>
  </si>
  <si>
    <t>Maliyyə-mühasibatlıq sektorunun müdiri,sədr:</t>
  </si>
  <si>
    <t>Əliyeva İlahə Bağı qızı</t>
  </si>
  <si>
    <t>Elm və Təhsil Nazirliyinin Audit şöbəsinin Dövlət Əmlakının monitorinqi sektorunun baş məsləhətçisi:</t>
  </si>
  <si>
    <t>Bakı Şəhəri üzrə Təhsil İdarəsinin Təminat,təchizat və təsərrüfat sektorunun aparıcı məsləhətçisi:</t>
  </si>
  <si>
    <t xml:space="preserve">      Əliyev Ziya Hüseynqulu oğlu</t>
  </si>
  <si>
    <t>1 saylı Xidmət və əməliyyat mərkəzinin mal-material qrupunun böyük mühasibi:</t>
  </si>
  <si>
    <t xml:space="preserve">            Ağamoğlanova Aygün Şakir qızı</t>
  </si>
  <si>
    <t>1 saylı Xidmət və əməliyyat mərkəzinin təsərrüfat qrupunun rəhbəri:</t>
  </si>
  <si>
    <t xml:space="preserve">              Məmmədzadə Bəxtiyar Elşad oğlu</t>
  </si>
  <si>
    <t>1 saylı Xidmət və əməliyyat mərkəzinin  mühasibi:                                                          Həşimova ZöhrəTaryel qızı</t>
  </si>
  <si>
    <t xml:space="preserve">                          Məmmədzadə Bəxtiyar Elşad oğlu</t>
  </si>
  <si>
    <t xml:space="preserve">                                            Ağamoğlanova Aygün Şakir qızı</t>
  </si>
  <si>
    <t xml:space="preserve">                     Əliyev Ziya Hüseynqulu oğlu</t>
  </si>
  <si>
    <t xml:space="preserve">                                             Əliyev Fərman İlqar oğlu</t>
  </si>
  <si>
    <t>Sədr:                                       Əliyeva İlahə Bağı qızı</t>
  </si>
  <si>
    <t>Komissiyanın üzvləri:          İsmayılova Hüsniyyə Bəkir qızı</t>
  </si>
  <si>
    <t xml:space="preserve">"_    _" iyun 2025-ci il </t>
  </si>
  <si>
    <t xml:space="preserve">"_    _" iyun  2025-ci il </t>
  </si>
  <si>
    <t>On beş min üç yüz on beş manat, 86  qəp</t>
  </si>
  <si>
    <t>Maddi-məsul şəxs-Məmmədova Ofelya Həsən qızının öhdəsində olan aşağıdakı əmlakın (qiymətlilərin) istismar vəziyyətini yoxladıq.</t>
  </si>
  <si>
    <t>Binəqədi rayonu 99 №li məktəbin direktoru:                                                           Məmmədova Ofelya Həsən qızı</t>
  </si>
  <si>
    <t xml:space="preserve">Binəqədi rayonu  99№li  məktəbin təsərrüfat müdiri:                                   Nəbiyev Arif Moyla oğlu - məzuniyyətdə                             </t>
  </si>
  <si>
    <t xml:space="preserve">                                             Nəbiyev Arif Moyla oğlu - məzuniyyətdə</t>
  </si>
  <si>
    <t>iyun.2025-ci il</t>
  </si>
  <si>
    <t>Ağayeva K.M</t>
  </si>
  <si>
    <t xml:space="preserve">Təlim-tərbiyə işləri üzrə direktor müavini K.Ağayeva , I saylı Xidmət </t>
  </si>
  <si>
    <t xml:space="preserve">və əməliyyat mərkəzinin mühasibi  Z.Həşimova bu aktı tərtib etdik ondan </t>
  </si>
  <si>
    <t>ötrü ki, məktəbin balansında olan  aşağıda adları göstərilən inventarlara</t>
  </si>
  <si>
    <t xml:space="preserve"> baxış keçirildi və həqiqətən yararsız olduğu qeydə alındı.</t>
  </si>
  <si>
    <t xml:space="preserve">   Təlim-tərbiyə işləri üzrə direktor müavini:</t>
  </si>
  <si>
    <t>Azərbaycan Respublikasının Elm və Təhsil Nazirliyi yanında Məktəbəqədər və Ümumi Təhsil üzrə Dövlət Agentliyinin direktor müavini, Agentliyin Bakı Şəhəri üzrə Təhsil İdarəsinin müdir vəzifəsini müvəqqəti icra edən</t>
  </si>
  <si>
    <t xml:space="preserve"> Hüseynova Nərminə  Arif qızı</t>
  </si>
  <si>
    <t>Binəqədi rayonu 99 №li məktəb</t>
  </si>
  <si>
    <t xml:space="preserve">        Hacıbabayeva Günel Fikrət qızı</t>
  </si>
  <si>
    <t>Maddi-məsul şəxs-Rüstəmova Kəmalə Rüstəm qızının öhdəsində olan aşağıdakı əmlakın (qiymətlilərin) istismar vəziyyətini yoxladıq.</t>
  </si>
  <si>
    <t>Qarabağ tarixi tədris vəsaiti az dilində</t>
  </si>
  <si>
    <t>Məktəbəhazırlıq üçün dərslik  I kitab</t>
  </si>
  <si>
    <t>Məktəbəhazırlıq üçün dərslik  II kitab</t>
  </si>
  <si>
    <t>Məktəbəhazırlıq üçün dərslik  III kitab</t>
  </si>
  <si>
    <t>Məktəbəhazırlıq üçün dərslik  IV kitab</t>
  </si>
  <si>
    <t>Silinən əmlakın (qiymətlilərin) tərkibi:qızıl _yox_ kq, gümüş _yox_ kq, platin _yox_ kq, əlvan metal _yox_ kq, qara metal _yox_ kq, cında _yox_ kq, yanacaq (odun) ____ kubmetr,ehtiyat hissələri_yox_ədəd</t>
  </si>
  <si>
    <t xml:space="preserve">Akt üç nüsxədən ibarət tərtib edilir və birinci nüsxə mühasibatlığa təhvil verilir. 
Vahidin (dəstin) ilkin balans dəyəri 5 min manatadək (5 min manatdan yuxarı olduğu halda Azərbaycan Respublikası Əmlak Məsələləri Dövlət Komitəsinin müvafiq rəyi əsasında) bu aktla silinir.
Əsas vəsaitlərin ləğvindən əldə edilən qiymətli metalların, material qiymətlilərinin və ehtiyat hissələrinin  qəbul-təhvil sənədləri bu akta əlavə edilir.
</t>
  </si>
  <si>
    <t xml:space="preserve">                                                Həşimova Zöhrə Taryel qızı</t>
  </si>
  <si>
    <t xml:space="preserve">                                                Məmmədova Ofelya Həsən qızı</t>
  </si>
  <si>
    <t xml:space="preserve">Maddi-məsul şəxs:                  Rüstəmova Kəmalə Rüstəm qızı </t>
  </si>
  <si>
    <t>Azərbaycan dili (tədris dili)Az.b IV sinif</t>
  </si>
  <si>
    <t>Alman dili (əsas xarici dil) IV sinif</t>
  </si>
  <si>
    <t>İngilis dili (əsas xarici dil) IV sinif</t>
  </si>
  <si>
    <t>Həyat bilgisiAz.b IV sinif</t>
  </si>
  <si>
    <t>İnformatika Az.b IV sinif</t>
  </si>
  <si>
    <t>Musiqi Az.b IV sinif</t>
  </si>
  <si>
    <t>Riyaziyyat Az.b IV sinif</t>
  </si>
  <si>
    <t>Təsviri incəsənət Az.b IV sinif</t>
  </si>
  <si>
    <t>Texnologiya Az.b IV sinif</t>
  </si>
  <si>
    <t>İngilis dili (əsas xarici dil) VI sinif</t>
  </si>
  <si>
    <t>İngilis dili (əsas xarici dil) VII sinif</t>
  </si>
  <si>
    <t>Qarabağ tarixi fakultativ kursu  Az.b VII sinif</t>
  </si>
  <si>
    <t>Azərbaycan dili (tədris dili) Az.b VIII sinif</t>
  </si>
  <si>
    <t>Azərbaycan tarixiAz.b VIII sinif</t>
  </si>
  <si>
    <t>Coğrafiya Az.b VIII sinif</t>
  </si>
  <si>
    <t>Ədəbiyyat Az.b VIII sinif</t>
  </si>
  <si>
    <t>Həyat bilgisi Az.b VIII sinif</t>
  </si>
  <si>
    <t>İnformatika Az.b VIII sinif</t>
  </si>
  <si>
    <t>Riyaziyyat Az.b VIII sinif</t>
  </si>
  <si>
    <t>Ümumi tarix Az.b VIII sinif</t>
  </si>
  <si>
    <t>Biologiya Az.b VIII sinif</t>
  </si>
  <si>
    <t>Fizika Az.b VIII sinif</t>
  </si>
  <si>
    <t>Kimya Az.b VIII sinif</t>
  </si>
  <si>
    <t>Русский язык (əsas xarici dil)Az.b VIII sinif</t>
  </si>
  <si>
    <t>Azərbaycan dili (tədris dili) Az.b IX sinif</t>
  </si>
  <si>
    <t>Azərbaycan tarixi Az.b IX sinif</t>
  </si>
  <si>
    <t>Biologiya Az.b IX sinif</t>
  </si>
  <si>
    <t>Coğrafiya Az.b IX sinif</t>
  </si>
  <si>
    <t>Ədəbiyyat Az.b IX sinif</t>
  </si>
  <si>
    <t>Fizika Az.b  IX sinif</t>
  </si>
  <si>
    <t>Həyat bilgisi Az.b IX sinif</t>
  </si>
  <si>
    <t>İnformatika Az.b IX sinif</t>
  </si>
  <si>
    <t>Kimya Az.b IX sinif</t>
  </si>
  <si>
    <t>Musiqi Az.b IX sinif</t>
  </si>
  <si>
    <t>Riyaziyyat Az.b IX sinif</t>
  </si>
  <si>
    <t>Təsviri incəsənət Az.b IX sinif</t>
  </si>
  <si>
    <t>Texnologiya Az.b IX sinif</t>
  </si>
  <si>
    <t>Ümumi tarix Az.b IX sinif</t>
  </si>
  <si>
    <t>Məktəbəhazırlıq üçün dərslik m/h sinif</t>
  </si>
  <si>
    <t>Fizika,kimya,biologiya 11-ci sinif</t>
  </si>
  <si>
    <t xml:space="preserve">Məktəbəqədərhazırlıq </t>
  </si>
  <si>
    <t>Azərbaycan dili (tədris dili) Az.b MMV VI sinif</t>
  </si>
  <si>
    <t>Azərbaycan tarixi Az.b MMV VI sinif</t>
  </si>
  <si>
    <t>Biologiya Az.b  MMV VI sinif</t>
  </si>
  <si>
    <t>Coğrafiya Az.b  MMV VI sinif</t>
  </si>
  <si>
    <t>Ədəbiyyat  Az.b  MMV VI sinif</t>
  </si>
  <si>
    <t>İngilis dili (əsas xarici dil)Az.b  MMV VI sinif</t>
  </si>
  <si>
    <t>Fizika Az.b  MMV VI sinif</t>
  </si>
  <si>
    <t>Həyat bilgisi Az.b MMV VI sinif</t>
  </si>
  <si>
    <t>İnformatika Az.b  MMV VI sinif</t>
  </si>
  <si>
    <t>Musiqi Az.b  MMV VI sinif</t>
  </si>
  <si>
    <t>Riyaziyyat Az.b  MMV VI sinif</t>
  </si>
  <si>
    <t>Təsviri incəsənət Az.b  MMV VI sinif</t>
  </si>
  <si>
    <t>Texnologiya Az.b  MMV VI sinif</t>
  </si>
  <si>
    <t>Ümumi tarix Az.b  MMV VI sinif</t>
  </si>
  <si>
    <t>Azərbaycan dili (tədris dili)Az.b  MMV IV sinif</t>
  </si>
  <si>
    <t>Alman dili (əsas xarici dil) MMV IV sinif</t>
  </si>
  <si>
    <t>İngilis dili (əsas xarici dil) MMV IV sinif</t>
  </si>
  <si>
    <t>Həyat bilgisiAz.b  MMV IV sinif</t>
  </si>
  <si>
    <t>İnformatika Az.b  MMV IV sinif</t>
  </si>
  <si>
    <t>Texnologiya Az.b  MMV IV sinif</t>
  </si>
  <si>
    <t>Musiqi Az.b MMV IV sinif</t>
  </si>
  <si>
    <t>Riyaziyyat Az.b  MMV IV sinif</t>
  </si>
  <si>
    <t>Təsviri incəsənət Az.b  MMV IV sinif</t>
  </si>
  <si>
    <t>Alman dili V sinif</t>
  </si>
  <si>
    <t>Azərbaycan dili (tədris dili) Az.b  MM VIII sinif</t>
  </si>
  <si>
    <t>Azərbaycan tarixi Az.b  MMV VIII sinif</t>
  </si>
  <si>
    <t>Biologiya Az.b  MMV VIII sinif</t>
  </si>
  <si>
    <t>Coğrafiya Az.b  MMV VIII sinif</t>
  </si>
  <si>
    <t>Ədəbiyyat  Az.b MMV VIII sinif</t>
  </si>
  <si>
    <t>İngilis dili (əsas xarici dil)Az.b  MMV VIII sinif</t>
  </si>
  <si>
    <t>Fizika Az.b  MMV VIII sinif</t>
  </si>
  <si>
    <t>Həyat bilgisi Az.b  MMV VIII sinif</t>
  </si>
  <si>
    <t>İnformatika Az.b MMV VIII sinif</t>
  </si>
  <si>
    <t>Musiqi Az.b  MMV VIII sinif</t>
  </si>
  <si>
    <t>Riyaziyyat Az.b  MMV  sinif</t>
  </si>
  <si>
    <t>Təsviri incəsənət Az.b  MMV VIII sinif</t>
  </si>
  <si>
    <t>Texnologiya Az.b MMV VIII sinif</t>
  </si>
  <si>
    <t>Ümumi tarix Az.b  MMV VIII sinif</t>
  </si>
  <si>
    <t>Русский язык (əsas xarici dil)Az.b MMV VIII sinif</t>
  </si>
  <si>
    <t>Fizika,kimya,biologiya XI-ci sinif</t>
  </si>
  <si>
    <t>On bir min beş yüz otuz dörd manat,46 qəpik</t>
  </si>
  <si>
    <t>Təstiq edirəm</t>
  </si>
  <si>
    <t xml:space="preserve">99 №-li  məktəbin direktoru </t>
  </si>
  <si>
    <t>_____________Məmmədova Ofelya Həsən qızı</t>
  </si>
  <si>
    <t xml:space="preserve">Bakı şəhəri                                                                     </t>
  </si>
  <si>
    <t>iyun  2025-ci il</t>
  </si>
  <si>
    <t>Akt</t>
  </si>
  <si>
    <t xml:space="preserve">    Biz aşağıda adları qeyd olunan komissiya üzvləri:</t>
  </si>
  <si>
    <t>Sıra №</t>
  </si>
  <si>
    <t xml:space="preserve">  Nəşrin              ili</t>
  </si>
  <si>
    <t xml:space="preserve">   Dərsliyin adı</t>
  </si>
  <si>
    <t xml:space="preserve"> Vahidin qiyməti</t>
  </si>
  <si>
    <t xml:space="preserve"> Məbləğ</t>
  </si>
  <si>
    <t>Qeyd</t>
  </si>
  <si>
    <t>Ədəd</t>
  </si>
  <si>
    <t>Qarabağ tarixi tədris vəsaiti az dilində VII</t>
  </si>
  <si>
    <t>Məktəbəhazırlıq üçün dərslik  I kitab m/h</t>
  </si>
  <si>
    <t>Məktəbəhazırlıq üçün dərslik  II kitab m/h</t>
  </si>
  <si>
    <t>Məktəbəhazırlıq üçün dərslik  III kitab m/h</t>
  </si>
  <si>
    <t>Məktəbəhazırlıq üçün dərslik  IV kitab m/h</t>
  </si>
  <si>
    <t xml:space="preserve">        Binəqədi  rayonu 99 № li tam orta  məktəbin kitabxana müdiri: Rüstəmova Kəmalə Rüstəm qızı , kitabxanaçı: Yusifli Aytac Tarməmməd qızı,1 saylı Xidmət və Əməliyyat mərkəzinin mühasibi Həşimova Zöhrə Taryel qızı, bu aktı  tərtib edirik ondan ötəri ki, həqiqətən  məktəbin kitabxanasında 2018 ci il dərslik 225 ədəd 570.00 manat ,vəsait 30 ədəd  64.37 manat məbləğində, 2019-cu il dərslik  3993 ədəd 9076.21 manat ,vəsait 224 ədəd  673.44 manat məbləğində,Qarabağ tarixi tədris vəsaiti az dilində 52 ədəd 178.04 manat məbləğində, 2022 ci ilin Məktəbəhazırlıq üçün dərslik  I,II,III,IV kitabların 440 ədəd 972.40 manat dəyərində dərslik və vəsaitin yararsız hala düşdüyü üçün məktəbin kitabxana fondundan silinir.        </t>
  </si>
  <si>
    <t>Biologiya  XI-ci sinif</t>
  </si>
  <si>
    <t>Fizika  XI sinif</t>
  </si>
  <si>
    <t>Kimya  XI sinif</t>
  </si>
  <si>
    <t>Biologiya  XI sinif</t>
  </si>
  <si>
    <t xml:space="preserve">      Aktın doğruluğunu öz imzamızla təsdiq edirik :</t>
  </si>
  <si>
    <t xml:space="preserve">Kitabxanaçı:                                                                                      Yusifli Aytac Tarməmməd qızı                       </t>
  </si>
  <si>
    <t xml:space="preserve">Kitabxana müdiri :                                                                        Rüstəmova Kəmalə Rüstəm qızı </t>
  </si>
  <si>
    <t xml:space="preserve">1 saylı Xidmət və əməliyyat mərkəzinin mühasibi :                           Həşimova Zöhrə Taryel qızı           </t>
  </si>
  <si>
    <t>Fizika XI-ci sinif</t>
  </si>
  <si>
    <t>Kimya  XI-ci sinif</t>
  </si>
  <si>
    <t xml:space="preserve">         Binəqədi rayonu 99№li  orta məktəbin direktoru:                                      Məmmədova Ofelya Həsən qızı                        </t>
  </si>
  <si>
    <t xml:space="preserve">         Binəqədi rayonu 99№li tam orta məktəbin kitabxana müdiri:                       Rüstəmova Kəmalə Rüstəm qızı                                       </t>
  </si>
  <si>
    <t>Məmmədzadə Bəxtiyar Elşad oğlu</t>
  </si>
  <si>
    <t xml:space="preserve">             '"_    _" iyun 2025-ci il </t>
  </si>
  <si>
    <t xml:space="preserve">    'İsmayılova Hüsniyyə Bəkir qızı</t>
  </si>
  <si>
    <t xml:space="preserve">       Əliyev Ziya Hüseynqulu oğlu</t>
  </si>
  <si>
    <t>Əmlakın (qiymətlilərin) istismar vəziyyətini müəyyən etmək üçün «23» Aprel 2025-ci il tarixli 3-29-59/3-2-210                   F/2025 №-li əmrlə təyin edilmiş daim fəaliyyətdə olan komissiya üzvləri:</t>
  </si>
  <si>
    <t xml:space="preserve">1 saylı Xidmət və əməliyyat mərkəzinin təsərrüfat qrupunun rəhbəri: </t>
  </si>
  <si>
    <t xml:space="preserve">        Binəqədi  rayonu 99 № li tam orta  məktəbin kitabxana müdiri: Rüstəmova Kəmalə Rüstəm qızı , kitabxanaçı: Yusifli Aytac Tarməmməd qızı,1 saylı xidmət və Əməliyyat mərkəzinin mühasibi Həşimova Zöhrə Taryel qızı, bu aktı  tərtib edirik ondan ötəri ki, həqiqətən  məktəbin kitabxanasında  2020-ci il dərslik 6471ədəd, 12124.64 manat məbləğində, vəsait 142 ədəd 483.76 manat 2023-cü ilin Məktəbəhazırlıq üçün dərslik  75 ədəd 458.25 manat məbləğ, 2024 -cü ilin Məktəbəhazırlıq üçün dərslik 92 ədəd 510.60 manat dəyərində dərslik və vəsaitin yararsız hala düşdüyü üçün məktəbin kitabxana fondundan silinir.        </t>
  </si>
  <si>
    <t>Musiqi fənni üzrə Vsinif üçün dərslik</t>
  </si>
  <si>
    <t>Təsviri İncəsənət fənni üzrə V sinif üçün dərslik</t>
  </si>
  <si>
    <t>Texnologiya fənni üzrə V sinif üçün dərslik</t>
  </si>
  <si>
    <t>Biologiya fənni üzrə IX sinif üçün dərslik</t>
  </si>
  <si>
    <t>Fizika fənni üzrə IX sinif üçün dərslik</t>
  </si>
  <si>
    <t>Həyat bilgisi fənni üzrə IX sinif üçün dərslik</t>
  </si>
  <si>
    <t>Riyaziyyat fənni üzrə IX sinif üçün dərslik</t>
  </si>
  <si>
    <t>Kimya fənni üzrə IX sinif üçün dərslik</t>
  </si>
  <si>
    <t>Musiqi fənni üzrə IX sinif üçün dərslik</t>
  </si>
  <si>
    <t xml:space="preserve">Təsviri İncəsənət fənni üzrə IX sinif üçün dərslik
</t>
  </si>
  <si>
    <t>Texnologiya fənni üzrə IX sinif üçün dərslik</t>
  </si>
  <si>
    <t>Azərbaycan dili (tədris dili) II sinif</t>
  </si>
  <si>
    <t>İngilis dili (əsas xarici dil) II sinif</t>
  </si>
  <si>
    <t>Həyat bilgisi  II sinif</t>
  </si>
  <si>
    <t>İnformatika  II sinif</t>
  </si>
  <si>
    <t>Musiqi  II sinif</t>
  </si>
  <si>
    <t>Riyaziyyat  II sinif</t>
  </si>
  <si>
    <t>Təsviri İncəsənət  II sinif</t>
  </si>
  <si>
    <t>Texnologiya  II sinif</t>
  </si>
  <si>
    <t>İngilis dili( əsas xarıcı dil)  III sinif</t>
  </si>
  <si>
    <t>Həyat bilgisi  III sinif</t>
  </si>
  <si>
    <t>İnformatika III sinif</t>
  </si>
  <si>
    <t>Musiqi III sinif</t>
  </si>
  <si>
    <t>Riyaziyyat III sinif</t>
  </si>
  <si>
    <t>Təsviri incəsənət III sinif</t>
  </si>
  <si>
    <t>Azərbaycan dili ( tədris dili) III sinif</t>
  </si>
  <si>
    <t>İngilis dili (əsas xarici dil ) III sinif</t>
  </si>
  <si>
    <t>Musiqi  III sinif</t>
  </si>
  <si>
    <t>Texnologiya  III sinif</t>
  </si>
  <si>
    <t>Русский язык ( əsas xarici dil) IV sinif</t>
  </si>
  <si>
    <t>Azərbaycan dili (tədris dili) IV sinif</t>
  </si>
  <si>
    <t>Həyat bilgisi  IV sinif</t>
  </si>
  <si>
    <t>İnformatika IV sinif</t>
  </si>
  <si>
    <t>Musiqi IV sinif</t>
  </si>
  <si>
    <t>Riyaziyyat IV sinif</t>
  </si>
  <si>
    <t>Təsviri incəsənət IV sinif</t>
  </si>
  <si>
    <t>Texnologiya  IV sinif</t>
  </si>
  <si>
    <t>Alman dili (əsas xarici dil) V sinif</t>
  </si>
  <si>
    <t>Həyat bilgisi V sinif</t>
  </si>
  <si>
    <t>Azərbaycan dili (tədris dili) V sinif</t>
  </si>
  <si>
    <t>Azərbaycan tarixi  V sinif</t>
  </si>
  <si>
    <t>Ədəbiyyat  V sinif</t>
  </si>
  <si>
    <t>İngilis dili (əsas xarici dil) V sinif</t>
  </si>
  <si>
    <t>İnformatika  V sinif</t>
  </si>
  <si>
    <t>Riyaziyyat V sinif</t>
  </si>
  <si>
    <t>Azərbaycan dili ( tədris dili) VI sinif</t>
  </si>
  <si>
    <t>Azərbaycan tarixi  VI sinif</t>
  </si>
  <si>
    <t>Biologiya VI sinif</t>
  </si>
  <si>
    <t>Coğrafiya VI sinif</t>
  </si>
  <si>
    <t>Ədəbiyyat  VI sinif</t>
  </si>
  <si>
    <t>Fizika  VI sinif</t>
  </si>
  <si>
    <t>Həyat bilgisi  VI sinif</t>
  </si>
  <si>
    <t>İnformatika VI sinif</t>
  </si>
  <si>
    <t>Musiqi VI sinif</t>
  </si>
  <si>
    <t>Riyaziyyat VI sinif</t>
  </si>
  <si>
    <t>Təsviri incəsənət VI sinif</t>
  </si>
  <si>
    <t>Texnologiya  VI sinif</t>
  </si>
  <si>
    <t>Ümumi tarix VI sinif</t>
  </si>
  <si>
    <t>İngilis dili( əsas xarıcı dil)  VI sinif</t>
  </si>
  <si>
    <t>Azərbaycan dili tədris dili VII sinif</t>
  </si>
  <si>
    <t>Azərbaycan tarxi VII sinif</t>
  </si>
  <si>
    <t>Biologiya VII sinif</t>
  </si>
  <si>
    <t>Coğrafiya VII sinif</t>
  </si>
  <si>
    <t>Fizika  VII sinif</t>
  </si>
  <si>
    <t>Həyat bilgisi VII sinif</t>
  </si>
  <si>
    <t>İnformatika VII sinif</t>
  </si>
  <si>
    <t>Musiqi VII sinif</t>
  </si>
  <si>
    <t>Təsviri incəsənət VII sinif</t>
  </si>
  <si>
    <t>Qarabağ tarixi  VII sinif</t>
  </si>
  <si>
    <t>Ədəbiyyat VII sinif</t>
  </si>
  <si>
    <t>İngilis dili əsas xarici dil VII sinif</t>
  </si>
  <si>
    <t>Həyat bilgisi  VII sinif</t>
  </si>
  <si>
    <t>Kimya VII sinif</t>
  </si>
  <si>
    <t>Texnologiya VII sinif</t>
  </si>
  <si>
    <t>Ümumi tarix VII sinif</t>
  </si>
  <si>
    <t>Azərbaycan dili ( tədris dili) VIII sinif</t>
  </si>
  <si>
    <t>Azərbaycan tarixi  VIII sinif</t>
  </si>
  <si>
    <t>Biologiya VIII sinif</t>
  </si>
  <si>
    <t>Coğrafiya VIII sinif</t>
  </si>
  <si>
    <t>Ədəbiyyat  VIII sinif</t>
  </si>
  <si>
    <t>İngilis dili ( əsas xarici dil) VIII sinif</t>
  </si>
  <si>
    <t>Fizika  VIII sinif</t>
  </si>
  <si>
    <t>Həyat bilgisi  VIII sinif</t>
  </si>
  <si>
    <t>İnformatika VIII sinif</t>
  </si>
  <si>
    <t>Kimya VIII sinif</t>
  </si>
  <si>
    <t>Musiqi VIII sinif</t>
  </si>
  <si>
    <t>Riyaziyyat VIII sinif</t>
  </si>
  <si>
    <t>Təsviri incəsənət VIII sinif</t>
  </si>
  <si>
    <t>Texnologiya  VIII sinif</t>
  </si>
  <si>
    <t>Ümumi tarix VIII sinif</t>
  </si>
  <si>
    <t>Orta Türk tarixi VIII sinif</t>
  </si>
  <si>
    <t>Русский язык - основной иностранный язык  IX sinif</t>
  </si>
  <si>
    <t>Azərbaycan dili (tədris dili) IX sinif</t>
  </si>
  <si>
    <t>Azərbaycan tarixi  IX sinif</t>
  </si>
  <si>
    <t>Coğrafiya IX sinif</t>
  </si>
  <si>
    <t>Ədəbiyyat IX sinif</t>
  </si>
  <si>
    <t>İnformatika  IX sinif</t>
  </si>
  <si>
    <t>Ümumi tarix  IX sinif</t>
  </si>
  <si>
    <t>Azərbaycan dili tədris dili X sinif</t>
  </si>
  <si>
    <t>Azərbaycan tarixi  X sinif</t>
  </si>
  <si>
    <t>Ədəbiyyat X sinif</t>
  </si>
  <si>
    <t>İngilis dili əsas xarici dil X sinif</t>
  </si>
  <si>
    <t>İnformatika X sinif</t>
  </si>
  <si>
    <t>Ümumi tarix X sinif</t>
  </si>
  <si>
    <t>Biologiya X sinif</t>
  </si>
  <si>
    <t>Çağırışaqədərki hazırlıq X sinif</t>
  </si>
  <si>
    <t>Coğrafiya X sinif</t>
  </si>
  <si>
    <t>Fizika  X sinif</t>
  </si>
  <si>
    <t>Kimya X sinif</t>
  </si>
  <si>
    <t>Riyaziyyat X sinif</t>
  </si>
  <si>
    <t>Azərbaycan dili tədris dili XI sinif</t>
  </si>
  <si>
    <t>Azərbaycan tarixi  XI sinif</t>
  </si>
  <si>
    <t>Biologiya XI sinif</t>
  </si>
  <si>
    <t>Çağırışaqədərki hazırlıq XI sinif</t>
  </si>
  <si>
    <t>Coğrafiya XI sinif</t>
  </si>
  <si>
    <t>Ədəbiyyat XI sinif</t>
  </si>
  <si>
    <t>İngilis dili XI sinif</t>
  </si>
  <si>
    <t>İnformatika XI sinif</t>
  </si>
  <si>
    <t>Kimya XI sinif</t>
  </si>
  <si>
    <t>Riyaziyyat XI sinif</t>
  </si>
  <si>
    <t>Ümumi tarix XI sinif</t>
  </si>
  <si>
    <t>Azərbaycan dili ( tədris dili) V sinif MMV</t>
  </si>
  <si>
    <t>Azərbaycan tarixi  V sinif MMV</t>
  </si>
  <si>
    <t>İngilis dili( əsas xarıcı dil)  V sinif MMV</t>
  </si>
  <si>
    <t>İnformatika V sinif MMV</t>
  </si>
  <si>
    <t>Ədəbiyyat  V sinif MMV</t>
  </si>
  <si>
    <t>Həyat bilgisi  V sinif MMV</t>
  </si>
  <si>
    <t>Musiqi V sinif MMV</t>
  </si>
  <si>
    <t>Riyaziyyat V sinif MMV</t>
  </si>
  <si>
    <t>Təsviri incəsənət V sinif MMV</t>
  </si>
  <si>
    <t>Texnologiya  V sinif MMV</t>
  </si>
  <si>
    <t>Русский язык (əsas xarici dil ) IX sinif MMV</t>
  </si>
  <si>
    <t>Azərbaycan dili ( tədris dili) IX sinif MMV</t>
  </si>
  <si>
    <t>Azərbaycan tarixi  IX sinif MMV</t>
  </si>
  <si>
    <t>Biologiya IX sinif MMV</t>
  </si>
  <si>
    <t>Coğrafiya IX sinif MMV</t>
  </si>
  <si>
    <t>Ədəbiyyat  IX sinif MMV</t>
  </si>
  <si>
    <t>Fizika  IX sinif MMV</t>
  </si>
  <si>
    <t>Həyat bilgisi  IX sinif MMV</t>
  </si>
  <si>
    <t>İnformatika IX sinif MMV</t>
  </si>
  <si>
    <t>Kimya IX sinif MMV</t>
  </si>
  <si>
    <t>Musiqi IX sinif MMV</t>
  </si>
  <si>
    <t>Riyaziyyat IX sinif MMV</t>
  </si>
  <si>
    <t>Təsviri incəsənət IX sinif MMV</t>
  </si>
  <si>
    <t>Texnologiya  IX sinif MMV</t>
  </si>
  <si>
    <t>Ümumi tarix IX sinif MMV</t>
  </si>
  <si>
    <t>İngilis dili  IX sinif MMV</t>
  </si>
  <si>
    <t>Məktəbəqədər hazrlıq 4 kitab m/h</t>
  </si>
  <si>
    <t>Məktəbəqədər hazrlıq  4 kitab m/h</t>
  </si>
  <si>
    <t xml:space="preserve">Kitabxana müdiri :                                                   Rüstəmova Kəmalə Rüstəm qızı </t>
  </si>
  <si>
    <t xml:space="preserve">Kitabxanaçı:                                                                 Yusifli Aytac Tarməmməd qızı                       </t>
  </si>
  <si>
    <t xml:space="preserve">1 saylı Xidmət və əməliyyat mərkəzinin mühasibi :        Həşimova Zöhrə Taryel qızı           </t>
  </si>
  <si>
    <t>1 saylı Xidmət və əməliyyat mərkəzinin  mühasibi:                                                Həşimova ZöhrəTaryel qızı</t>
  </si>
  <si>
    <t xml:space="preserve">         Binəqədi rayonu 99№li  orta məktəbin direktoru:                                Məmmədova Ofelya Həsən qızı                        </t>
  </si>
  <si>
    <t xml:space="preserve">         Binəqədi rayonu 99№li tam orta məktəbin kitabxana müdiri:               Rüstəmova Kəmalə Rüstəm qızı                                       </t>
  </si>
  <si>
    <t>On üç min beş yüz yetmiş yeddi manat,25 qəpik</t>
  </si>
  <si>
    <t xml:space="preserve">               Əliyeva İlahə Bağı qızı</t>
  </si>
  <si>
    <t xml:space="preserve">            Əliyev Fərman İlqar oğlu</t>
  </si>
  <si>
    <t xml:space="preserve">  Ağamoğlanova Aygün Şakir qızı</t>
  </si>
  <si>
    <t>Binəqədi rayonu 99 №li məktəbin direktoru:                                                        Məmmədova Ofelya Həsən qızı</t>
  </si>
  <si>
    <t>1 saylı Xidmət və əməliyyat mərkəzinin  mühasibi:                                                   Həşimova ZöhrəTaryel qızı</t>
  </si>
  <si>
    <t xml:space="preserve">Binəqədi rayonu  99№li  məktəbin təsərrüfat müdiri:                               Nəbiyev Arif Moyla oğlu-məzuniyyətdə                             </t>
  </si>
</sst>
</file>

<file path=xl/styles.xml><?xml version="1.0" encoding="utf-8"?>
<styleSheet xmlns="http://schemas.openxmlformats.org/spreadsheetml/2006/main" xmlns:mc="http://schemas.openxmlformats.org/markup-compatibility/2006" xmlns:x14ac="http://schemas.microsoft.com/office/spreadsheetml/2009/9/ac" mc:Ignorable="x14ac">
  <fonts count="28" x14ac:knownFonts="1">
    <font>
      <sz val="11"/>
      <color theme="1"/>
      <name val="Calibri"/>
      <family val="2"/>
      <scheme val="minor"/>
    </font>
    <font>
      <sz val="12"/>
      <name val="Times New Roman"/>
      <family val="1"/>
      <charset val="204"/>
    </font>
    <font>
      <sz val="11"/>
      <name val="Times New Roman"/>
      <family val="1"/>
      <charset val="204"/>
    </font>
    <font>
      <sz val="8"/>
      <name val="Times New Roman"/>
      <family val="1"/>
      <charset val="204"/>
    </font>
    <font>
      <i/>
      <sz val="8"/>
      <name val="Times New Roman"/>
      <family val="1"/>
      <charset val="204"/>
    </font>
    <font>
      <b/>
      <sz val="11"/>
      <name val="Times New Roman"/>
      <family val="1"/>
      <charset val="204"/>
    </font>
    <font>
      <sz val="10"/>
      <name val="Times New Roman"/>
      <family val="1"/>
      <charset val="204"/>
    </font>
    <font>
      <sz val="12"/>
      <color theme="1"/>
      <name val="Times New Roman"/>
      <family val="1"/>
      <charset val="204"/>
    </font>
    <font>
      <sz val="11"/>
      <color theme="1"/>
      <name val="Times New Roman"/>
      <family val="1"/>
      <charset val="204"/>
    </font>
    <font>
      <sz val="13"/>
      <name val="Times New Roman"/>
      <family val="1"/>
      <charset val="204"/>
    </font>
    <font>
      <b/>
      <sz val="12"/>
      <color theme="1"/>
      <name val="Calibri"/>
      <family val="2"/>
      <charset val="204"/>
      <scheme val="minor"/>
    </font>
    <font>
      <sz val="12"/>
      <color theme="1"/>
      <name val="Calibri"/>
      <family val="2"/>
      <charset val="204"/>
      <scheme val="minor"/>
    </font>
    <font>
      <b/>
      <sz val="12"/>
      <name val="Times New Roman"/>
      <family val="1"/>
      <charset val="204"/>
    </font>
    <font>
      <b/>
      <sz val="9"/>
      <name val="Times New Roman"/>
      <family val="1"/>
      <charset val="204"/>
    </font>
    <font>
      <sz val="12"/>
      <name val="Calibri"/>
      <family val="2"/>
      <charset val="204"/>
    </font>
    <font>
      <sz val="12"/>
      <color theme="1"/>
      <name val="Calibri"/>
      <family val="2"/>
      <charset val="204"/>
    </font>
    <font>
      <b/>
      <sz val="16"/>
      <color theme="1"/>
      <name val="Times New Roman"/>
      <family val="1"/>
      <charset val="204"/>
    </font>
    <font>
      <sz val="14"/>
      <color theme="1"/>
      <name val="Times New Roman"/>
      <family val="1"/>
      <charset val="204"/>
    </font>
    <font>
      <b/>
      <sz val="18"/>
      <color theme="1"/>
      <name val="Times New Roman"/>
      <family val="1"/>
      <charset val="204"/>
    </font>
    <font>
      <sz val="14"/>
      <name val="Times New Roman"/>
      <family val="1"/>
      <charset val="204"/>
    </font>
    <font>
      <b/>
      <sz val="11"/>
      <color theme="1"/>
      <name val="Calibri"/>
      <family val="2"/>
      <scheme val="minor"/>
    </font>
    <font>
      <i/>
      <sz val="10"/>
      <name val="Times New Roman"/>
      <family val="1"/>
      <charset val="204"/>
    </font>
    <font>
      <b/>
      <sz val="16"/>
      <name val="Times New Roman"/>
      <family val="1"/>
      <charset val="204"/>
    </font>
    <font>
      <b/>
      <sz val="11"/>
      <color theme="1"/>
      <name val="Times New Roman"/>
      <family val="1"/>
      <charset val="204"/>
    </font>
    <font>
      <b/>
      <sz val="12"/>
      <color theme="1"/>
      <name val="Times New Roman"/>
      <family val="1"/>
      <charset val="204"/>
    </font>
    <font>
      <sz val="11"/>
      <color theme="1"/>
      <name val="Calibri"/>
      <family val="2"/>
      <charset val="204"/>
    </font>
    <font>
      <b/>
      <sz val="11"/>
      <color theme="1"/>
      <name val="Calibri"/>
      <family val="2"/>
      <charset val="204"/>
      <scheme val="minor"/>
    </font>
    <font>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bgColor rgb="FF99CCFF"/>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8"/>
      </left>
      <right style="thin">
        <color indexed="8"/>
      </right>
      <top style="thin">
        <color indexed="8"/>
      </top>
      <bottom/>
      <diagonal/>
    </border>
    <border>
      <left style="thin">
        <color indexed="8"/>
      </left>
      <right/>
      <top style="thin">
        <color indexed="8"/>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right/>
      <top style="thin">
        <color indexed="64"/>
      </top>
      <bottom/>
      <diagonal/>
    </border>
    <border>
      <left/>
      <right style="thin">
        <color indexed="8"/>
      </right>
      <top style="thin">
        <color indexed="8"/>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medium">
        <color indexed="64"/>
      </top>
      <bottom style="medium">
        <color indexed="64"/>
      </bottom>
      <diagonal/>
    </border>
    <border>
      <left style="thin">
        <color auto="1"/>
      </left>
      <right/>
      <top style="thin">
        <color auto="1"/>
      </top>
      <bottom style="thin">
        <color auto="1"/>
      </bottom>
      <diagonal/>
    </border>
    <border>
      <left style="thin">
        <color auto="1"/>
      </left>
      <right/>
      <top style="thin">
        <color auto="1"/>
      </top>
      <bottom/>
      <diagonal/>
    </border>
    <border>
      <left style="thin">
        <color indexed="64"/>
      </left>
      <right/>
      <top style="medium">
        <color indexed="64"/>
      </top>
      <bottom style="medium">
        <color indexed="64"/>
      </bottom>
      <diagonal/>
    </border>
    <border>
      <left style="thin">
        <color auto="1"/>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auto="1"/>
      </left>
      <right/>
      <top/>
      <bottom/>
      <diagonal/>
    </border>
    <border>
      <left/>
      <right style="thin">
        <color indexed="64"/>
      </right>
      <top/>
      <bottom/>
      <diagonal/>
    </border>
  </borders>
  <cellStyleXfs count="1">
    <xf numFmtId="0" fontId="0" fillId="0" borderId="0"/>
  </cellStyleXfs>
  <cellXfs count="381">
    <xf numFmtId="0" fontId="0" fillId="0" borderId="0" xfId="0"/>
    <xf numFmtId="0" fontId="1" fillId="2" borderId="0" xfId="0" applyFont="1" applyFill="1"/>
    <xf numFmtId="0" fontId="1" fillId="2" borderId="0" xfId="0" applyFont="1" applyFill="1" applyAlignment="1"/>
    <xf numFmtId="2" fontId="1" fillId="2" borderId="0" xfId="0" applyNumberFormat="1" applyFont="1" applyFill="1"/>
    <xf numFmtId="0" fontId="2" fillId="2" borderId="0" xfId="0" applyFont="1" applyFill="1"/>
    <xf numFmtId="0" fontId="2" fillId="2" borderId="0" xfId="0" applyFont="1" applyFill="1" applyAlignment="1"/>
    <xf numFmtId="0" fontId="3" fillId="2" borderId="0" xfId="0" applyFont="1" applyFill="1"/>
    <xf numFmtId="0" fontId="3" fillId="2" borderId="0" xfId="0" applyFont="1" applyFill="1" applyAlignment="1"/>
    <xf numFmtId="0" fontId="2" fillId="2" borderId="3" xfId="0" applyFont="1" applyFill="1" applyBorder="1"/>
    <xf numFmtId="0" fontId="5" fillId="2" borderId="0" xfId="0" applyFont="1" applyFill="1" applyAlignment="1">
      <alignment horizontal="center"/>
    </xf>
    <xf numFmtId="2" fontId="2" fillId="2" borderId="0" xfId="0" applyNumberFormat="1" applyFont="1" applyFill="1"/>
    <xf numFmtId="0" fontId="2" fillId="2" borderId="0" xfId="0" applyFont="1" applyFill="1" applyBorder="1" applyAlignment="1"/>
    <xf numFmtId="0" fontId="2" fillId="2" borderId="0" xfId="0" applyFont="1" applyFill="1" applyBorder="1"/>
    <xf numFmtId="0" fontId="2" fillId="2" borderId="0" xfId="0" applyFont="1" applyFill="1" applyBorder="1" applyAlignment="1">
      <alignment wrapText="1"/>
    </xf>
    <xf numFmtId="0" fontId="3" fillId="2" borderId="0" xfId="0" applyFont="1" applyFill="1" applyAlignment="1">
      <alignment wrapText="1"/>
    </xf>
    <xf numFmtId="0" fontId="4" fillId="2" borderId="4" xfId="0" applyFont="1" applyFill="1" applyBorder="1" applyAlignment="1"/>
    <xf numFmtId="2" fontId="3" fillId="2" borderId="0" xfId="0" applyNumberFormat="1" applyFont="1" applyFill="1"/>
    <xf numFmtId="0" fontId="4" fillId="2" borderId="0" xfId="0" applyFont="1" applyFill="1" applyAlignment="1">
      <alignment horizontal="center" wrapText="1"/>
    </xf>
    <xf numFmtId="0" fontId="6" fillId="2" borderId="0" xfId="0" applyFont="1" applyFill="1"/>
    <xf numFmtId="2" fontId="6" fillId="2" borderId="0" xfId="0" applyNumberFormat="1" applyFont="1" applyFill="1"/>
    <xf numFmtId="0" fontId="7" fillId="2" borderId="1" xfId="0" applyFont="1" applyFill="1" applyBorder="1" applyAlignment="1">
      <alignment horizontal="center" vertical="center" wrapText="1"/>
    </xf>
    <xf numFmtId="0" fontId="7" fillId="2" borderId="2" xfId="0" applyFont="1" applyFill="1" applyBorder="1" applyAlignment="1">
      <alignment horizontal="center" vertical="center" wrapText="1"/>
    </xf>
    <xf numFmtId="2" fontId="1" fillId="2" borderId="5" xfId="0" applyNumberFormat="1" applyFont="1" applyFill="1" applyBorder="1" applyAlignment="1">
      <alignment horizontal="center" vertical="center" wrapText="1"/>
    </xf>
    <xf numFmtId="2" fontId="1" fillId="2" borderId="6" xfId="0" applyNumberFormat="1"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8" fillId="0" borderId="1" xfId="0" applyFont="1" applyBorder="1" applyAlignment="1">
      <alignment horizontal="center" vertical="center"/>
    </xf>
    <xf numFmtId="0" fontId="8" fillId="0" borderId="1" xfId="0" applyFont="1" applyBorder="1"/>
    <xf numFmtId="0" fontId="0" fillId="0" borderId="1" xfId="0" applyBorder="1"/>
    <xf numFmtId="0" fontId="0" fillId="0" borderId="2" xfId="0" applyBorder="1"/>
    <xf numFmtId="0" fontId="0" fillId="0" borderId="8" xfId="0" applyBorder="1"/>
    <xf numFmtId="0" fontId="0" fillId="0" borderId="9" xfId="0" applyBorder="1"/>
    <xf numFmtId="0" fontId="10" fillId="0" borderId="8" xfId="0" applyFont="1" applyBorder="1"/>
    <xf numFmtId="2" fontId="10" fillId="0" borderId="8" xfId="0" applyNumberFormat="1" applyFont="1" applyBorder="1" applyAlignment="1">
      <alignment horizontal="center"/>
    </xf>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3" fillId="2" borderId="0" xfId="0" applyFont="1" applyFill="1" applyAlignment="1">
      <alignment vertical="center" wrapText="1"/>
    </xf>
    <xf numFmtId="0" fontId="0" fillId="0" borderId="1" xfId="0" applyBorder="1" applyAlignment="1">
      <alignment horizontal="center" vertical="center"/>
    </xf>
    <xf numFmtId="0" fontId="0" fillId="0" borderId="2" xfId="0" applyBorder="1" applyAlignment="1">
      <alignment horizontal="center" vertical="center"/>
    </xf>
    <xf numFmtId="0" fontId="0" fillId="0" borderId="7" xfId="0" applyBorder="1" applyAlignment="1">
      <alignment vertical="center"/>
    </xf>
    <xf numFmtId="0" fontId="0" fillId="0" borderId="0" xfId="0" applyAlignment="1">
      <alignment vertical="center"/>
    </xf>
    <xf numFmtId="2" fontId="11" fillId="0" borderId="8" xfId="0" applyNumberFormat="1" applyFont="1" applyBorder="1"/>
    <xf numFmtId="2" fontId="1" fillId="2" borderId="0" xfId="0" applyNumberFormat="1" applyFont="1" applyFill="1" applyAlignment="1"/>
    <xf numFmtId="0" fontId="1" fillId="2" borderId="3" xfId="0" applyFont="1" applyFill="1" applyBorder="1" applyAlignment="1">
      <alignment wrapText="1"/>
    </xf>
    <xf numFmtId="2" fontId="1" fillId="2" borderId="3" xfId="0" applyNumberFormat="1" applyFont="1" applyFill="1" applyBorder="1" applyAlignment="1">
      <alignment wrapText="1"/>
    </xf>
    <xf numFmtId="0" fontId="1" fillId="2" borderId="0" xfId="0" applyFont="1" applyFill="1" applyAlignment="1">
      <alignment wrapText="1"/>
    </xf>
    <xf numFmtId="0" fontId="13" fillId="2" borderId="0" xfId="0" applyFont="1" applyFill="1" applyAlignment="1">
      <alignment vertical="top" wrapText="1"/>
    </xf>
    <xf numFmtId="0" fontId="12" fillId="2" borderId="0" xfId="0" applyFont="1" applyFill="1" applyAlignment="1">
      <alignment vertical="top" wrapText="1"/>
    </xf>
    <xf numFmtId="0" fontId="6" fillId="2" borderId="0" xfId="0" applyFont="1" applyFill="1" applyAlignment="1">
      <alignment wrapText="1"/>
    </xf>
    <xf numFmtId="0" fontId="6" fillId="2" borderId="0" xfId="0" applyFont="1" applyFill="1" applyBorder="1" applyAlignment="1">
      <alignment wrapText="1"/>
    </xf>
    <xf numFmtId="2" fontId="6" fillId="2" borderId="0" xfId="0" applyNumberFormat="1" applyFont="1" applyFill="1" applyBorder="1"/>
    <xf numFmtId="0" fontId="6" fillId="2" borderId="0" xfId="0" applyFont="1" applyFill="1" applyBorder="1"/>
    <xf numFmtId="0" fontId="6" fillId="2" borderId="0" xfId="0" applyFont="1" applyFill="1" applyAlignment="1">
      <alignment horizontal="left" wrapText="1"/>
    </xf>
    <xf numFmtId="0" fontId="6" fillId="2" borderId="0" xfId="0" applyFont="1" applyFill="1" applyAlignment="1">
      <alignment horizontal="right" wrapText="1"/>
    </xf>
    <xf numFmtId="0" fontId="4" fillId="2" borderId="0" xfId="0" applyFont="1" applyFill="1" applyBorder="1" applyAlignment="1">
      <alignment horizontal="left"/>
    </xf>
    <xf numFmtId="0" fontId="6" fillId="2" borderId="0" xfId="0" applyFont="1" applyFill="1" applyAlignment="1">
      <alignment horizontal="left"/>
    </xf>
    <xf numFmtId="0" fontId="0" fillId="0" borderId="0" xfId="0" applyAlignment="1"/>
    <xf numFmtId="0" fontId="14" fillId="2" borderId="1" xfId="0" applyFont="1" applyFill="1" applyBorder="1" applyAlignment="1">
      <alignment horizontal="center" vertical="center"/>
    </xf>
    <xf numFmtId="2" fontId="15" fillId="2" borderId="1" xfId="0" applyNumberFormat="1" applyFont="1" applyFill="1" applyBorder="1" applyAlignment="1">
      <alignment vertical="center" wrapText="1"/>
    </xf>
    <xf numFmtId="0" fontId="14" fillId="2" borderId="1" xfId="0" quotePrefix="1" applyFont="1" applyFill="1" applyBorder="1" applyAlignment="1">
      <alignment horizontal="center" vertical="center"/>
    </xf>
    <xf numFmtId="1" fontId="15" fillId="2" borderId="1" xfId="0" applyNumberFormat="1" applyFont="1" applyFill="1" applyBorder="1" applyAlignment="1">
      <alignment horizontal="center" vertical="center"/>
    </xf>
    <xf numFmtId="2" fontId="15" fillId="2" borderId="1" xfId="0" applyNumberFormat="1" applyFont="1" applyFill="1" applyBorder="1" applyAlignment="1">
      <alignment horizontal="center" vertical="center"/>
    </xf>
    <xf numFmtId="0" fontId="14" fillId="2" borderId="1" xfId="0" applyFont="1" applyFill="1" applyBorder="1" applyAlignment="1">
      <alignment vertical="center"/>
    </xf>
    <xf numFmtId="0" fontId="14" fillId="2" borderId="1" xfId="0" applyFont="1" applyFill="1" applyBorder="1" applyAlignment="1">
      <alignment horizontal="left" vertical="center"/>
    </xf>
    <xf numFmtId="0" fontId="11" fillId="2" borderId="1" xfId="0" applyFont="1" applyFill="1" applyBorder="1" applyAlignment="1">
      <alignment horizontal="center" vertical="center"/>
    </xf>
    <xf numFmtId="2" fontId="11" fillId="2" borderId="1" xfId="0" applyNumberFormat="1" applyFont="1" applyFill="1" applyBorder="1" applyAlignment="1">
      <alignment horizontal="center" vertical="center"/>
    </xf>
    <xf numFmtId="0" fontId="14" fillId="2" borderId="1" xfId="0" applyFont="1" applyFill="1" applyBorder="1" applyAlignment="1">
      <alignment horizontal="left" vertical="center" wrapText="1"/>
    </xf>
    <xf numFmtId="0" fontId="14" fillId="2" borderId="2" xfId="0" applyFont="1" applyFill="1" applyBorder="1" applyAlignment="1">
      <alignment horizontal="center" vertical="center"/>
    </xf>
    <xf numFmtId="0" fontId="14" fillId="2" borderId="2" xfId="0" applyFont="1" applyFill="1" applyBorder="1" applyAlignment="1">
      <alignment vertical="center"/>
    </xf>
    <xf numFmtId="1" fontId="15" fillId="2" borderId="2" xfId="0" applyNumberFormat="1" applyFont="1" applyFill="1" applyBorder="1" applyAlignment="1">
      <alignment horizontal="center" vertical="center"/>
    </xf>
    <xf numFmtId="2" fontId="15" fillId="2" borderId="2" xfId="0" applyNumberFormat="1" applyFont="1" applyFill="1" applyBorder="1" applyAlignment="1">
      <alignment horizontal="center" vertical="center"/>
    </xf>
    <xf numFmtId="0" fontId="16" fillId="2" borderId="0" xfId="0" applyFont="1" applyFill="1" applyBorder="1" applyAlignment="1">
      <alignment horizontal="center" vertical="center" wrapText="1"/>
    </xf>
    <xf numFmtId="0" fontId="6" fillId="0" borderId="0" xfId="0" applyFont="1"/>
    <xf numFmtId="0" fontId="6" fillId="0" borderId="0" xfId="0" applyFont="1" applyAlignment="1"/>
    <xf numFmtId="0" fontId="17" fillId="2" borderId="0" xfId="0" applyFont="1" applyFill="1" applyAlignment="1">
      <alignment horizontal="left"/>
    </xf>
    <xf numFmtId="0" fontId="17" fillId="2" borderId="0" xfId="0" applyFont="1" applyFill="1" applyBorder="1" applyAlignment="1">
      <alignment horizontal="left" vertical="center"/>
    </xf>
    <xf numFmtId="0" fontId="17" fillId="2" borderId="0" xfId="0" applyFont="1" applyFill="1" applyBorder="1" applyAlignment="1">
      <alignment horizontal="left"/>
    </xf>
    <xf numFmtId="0" fontId="17" fillId="2" borderId="0" xfId="0" applyFont="1" applyFill="1" applyAlignment="1">
      <alignment horizontal="left" vertical="center"/>
    </xf>
    <xf numFmtId="2" fontId="11" fillId="0" borderId="1" xfId="0" applyNumberFormat="1" applyFont="1" applyBorder="1" applyAlignment="1">
      <alignment horizontal="center" vertical="center"/>
    </xf>
    <xf numFmtId="2" fontId="11" fillId="0" borderId="2" xfId="0" applyNumberFormat="1" applyFont="1" applyBorder="1" applyAlignment="1">
      <alignment horizontal="center" vertical="center"/>
    </xf>
    <xf numFmtId="0" fontId="14" fillId="2" borderId="2" xfId="0" applyFont="1" applyFill="1" applyBorder="1" applyAlignment="1">
      <alignment vertical="center" wrapText="1"/>
    </xf>
    <xf numFmtId="0" fontId="17" fillId="2" borderId="2" xfId="0" applyFont="1" applyFill="1" applyBorder="1" applyAlignment="1">
      <alignment horizontal="center" wrapText="1"/>
    </xf>
    <xf numFmtId="0" fontId="1" fillId="2" borderId="1" xfId="0" applyFont="1" applyFill="1" applyBorder="1" applyAlignment="1">
      <alignment horizontal="center" vertical="center" wrapText="1"/>
    </xf>
    <xf numFmtId="0" fontId="0" fillId="0" borderId="0" xfId="0" applyBorder="1"/>
    <xf numFmtId="2" fontId="11" fillId="0" borderId="0" xfId="0" applyNumberFormat="1" applyFont="1" applyBorder="1" applyAlignment="1">
      <alignment horizontal="center" vertical="center"/>
    </xf>
    <xf numFmtId="0" fontId="17" fillId="2" borderId="1" xfId="0" applyFont="1" applyFill="1" applyBorder="1" applyAlignment="1">
      <alignment horizontal="center" wrapText="1"/>
    </xf>
    <xf numFmtId="0" fontId="17" fillId="2" borderId="2" xfId="0" quotePrefix="1" applyFont="1" applyFill="1" applyBorder="1" applyAlignment="1">
      <alignment horizontal="center" wrapText="1"/>
    </xf>
    <xf numFmtId="0" fontId="10" fillId="0" borderId="10" xfId="0" applyFont="1" applyBorder="1"/>
    <xf numFmtId="0" fontId="10" fillId="0" borderId="11" xfId="0" applyFont="1" applyBorder="1"/>
    <xf numFmtId="2" fontId="10" fillId="0" borderId="12" xfId="0" applyNumberFormat="1" applyFont="1" applyBorder="1" applyAlignment="1">
      <alignment vertical="center"/>
    </xf>
    <xf numFmtId="1" fontId="7" fillId="2" borderId="1" xfId="0" applyNumberFormat="1" applyFont="1" applyFill="1" applyBorder="1" applyAlignment="1">
      <alignment horizontal="left" vertical="center"/>
    </xf>
    <xf numFmtId="2" fontId="7" fillId="2" borderId="1" xfId="0" applyNumberFormat="1" applyFont="1" applyFill="1" applyBorder="1" applyAlignment="1">
      <alignment horizontal="left" vertical="center"/>
    </xf>
    <xf numFmtId="0" fontId="4" fillId="2" borderId="0" xfId="0" applyFont="1" applyFill="1" applyBorder="1" applyAlignment="1"/>
    <xf numFmtId="0" fontId="21" fillId="2" borderId="0" xfId="0" applyFont="1" applyFill="1" applyAlignment="1">
      <alignment horizontal="center" wrapText="1"/>
    </xf>
    <xf numFmtId="0" fontId="2" fillId="2" borderId="3" xfId="0" quotePrefix="1" applyFont="1" applyFill="1" applyBorder="1" applyAlignment="1"/>
    <xf numFmtId="0" fontId="1" fillId="2" borderId="3" xfId="0" applyFont="1" applyFill="1" applyBorder="1" applyAlignment="1"/>
    <xf numFmtId="0" fontId="1" fillId="2" borderId="0" xfId="0" applyFont="1" applyFill="1" applyBorder="1" applyAlignment="1"/>
    <xf numFmtId="0" fontId="6" fillId="2" borderId="0" xfId="0" applyFont="1" applyFill="1" applyAlignment="1">
      <alignment horizontal="center"/>
    </xf>
    <xf numFmtId="2" fontId="10" fillId="0" borderId="8" xfId="0" applyNumberFormat="1" applyFont="1" applyBorder="1"/>
    <xf numFmtId="2" fontId="15" fillId="2" borderId="1" xfId="0" applyNumberFormat="1" applyFont="1" applyFill="1" applyBorder="1" applyAlignment="1">
      <alignment horizontal="left" vertical="center" wrapText="1"/>
    </xf>
    <xf numFmtId="0" fontId="0" fillId="0" borderId="0" xfId="0" applyAlignment="1">
      <alignment horizontal="center"/>
    </xf>
    <xf numFmtId="0" fontId="7" fillId="0" borderId="1" xfId="0" applyFont="1" applyBorder="1" applyAlignment="1">
      <alignment horizontal="left" vertical="center"/>
    </xf>
    <xf numFmtId="0" fontId="6" fillId="2" borderId="1" xfId="0" applyFont="1" applyFill="1" applyBorder="1" applyAlignment="1">
      <alignment horizontal="center" vertical="center" wrapText="1"/>
    </xf>
    <xf numFmtId="0" fontId="7" fillId="2" borderId="2" xfId="0" quotePrefix="1" applyFont="1" applyFill="1" applyBorder="1" applyAlignment="1">
      <alignment horizontal="center" vertical="center" wrapText="1"/>
    </xf>
    <xf numFmtId="0" fontId="7" fillId="0" borderId="1" xfId="0" applyFont="1" applyBorder="1" applyAlignment="1">
      <alignment horizontal="center" vertical="center"/>
    </xf>
    <xf numFmtId="0" fontId="7" fillId="0" borderId="1" xfId="0" applyFont="1" applyBorder="1" applyAlignment="1">
      <alignment horizontal="left" vertical="center" wrapText="1"/>
    </xf>
    <xf numFmtId="0" fontId="7" fillId="0" borderId="1" xfId="0" applyFont="1" applyBorder="1"/>
    <xf numFmtId="0" fontId="1" fillId="2" borderId="0" xfId="0" applyFont="1" applyFill="1" applyAlignment="1">
      <alignment horizontal="center"/>
    </xf>
    <xf numFmtId="2" fontId="1" fillId="2" borderId="0" xfId="0" applyNumberFormat="1" applyFont="1" applyFill="1" applyAlignment="1">
      <alignment horizontal="center"/>
    </xf>
    <xf numFmtId="0" fontId="6" fillId="2" borderId="0" xfId="0" applyFont="1" applyFill="1" applyAlignment="1"/>
    <xf numFmtId="0" fontId="22" fillId="2" borderId="0" xfId="0" applyFont="1" applyFill="1" applyAlignment="1">
      <alignment horizontal="center"/>
    </xf>
    <xf numFmtId="2" fontId="6" fillId="2" borderId="0" xfId="0" applyNumberFormat="1" applyFont="1" applyFill="1" applyAlignment="1">
      <alignment horizontal="center"/>
    </xf>
    <xf numFmtId="0" fontId="1" fillId="2" borderId="0" xfId="0" applyFont="1" applyFill="1" applyBorder="1" applyAlignment="1">
      <alignment horizontal="center" wrapText="1"/>
    </xf>
    <xf numFmtId="0" fontId="1" fillId="2" borderId="0" xfId="0" applyFont="1" applyFill="1" applyBorder="1" applyAlignment="1">
      <alignment horizontal="center"/>
    </xf>
    <xf numFmtId="0" fontId="6" fillId="2" borderId="5" xfId="0" applyFont="1" applyFill="1" applyBorder="1" applyAlignment="1">
      <alignment horizontal="center" vertical="center" wrapText="1"/>
    </xf>
    <xf numFmtId="0" fontId="1" fillId="2" borderId="1" xfId="0" applyFont="1" applyFill="1" applyBorder="1" applyAlignment="1">
      <alignment horizontal="center" vertical="center"/>
    </xf>
    <xf numFmtId="0" fontId="8" fillId="0" borderId="16" xfId="0" applyFont="1" applyBorder="1" applyAlignment="1">
      <alignment horizontal="center" vertical="center"/>
    </xf>
    <xf numFmtId="0" fontId="8" fillId="2" borderId="16" xfId="0" applyFont="1" applyFill="1" applyBorder="1" applyAlignment="1">
      <alignment horizontal="center" vertical="center"/>
    </xf>
    <xf numFmtId="2" fontId="8" fillId="2" borderId="16" xfId="0" applyNumberFormat="1" applyFont="1" applyFill="1" applyBorder="1" applyAlignment="1">
      <alignment horizontal="center" vertical="center"/>
    </xf>
    <xf numFmtId="0" fontId="8" fillId="2" borderId="16" xfId="0" applyFont="1" applyFill="1" applyBorder="1" applyAlignment="1">
      <alignment vertical="center"/>
    </xf>
    <xf numFmtId="0" fontId="0" fillId="0" borderId="16" xfId="0" applyBorder="1" applyAlignment="1">
      <alignment vertical="center"/>
    </xf>
    <xf numFmtId="0" fontId="0" fillId="0" borderId="17" xfId="0" applyBorder="1" applyAlignment="1">
      <alignment vertical="center"/>
    </xf>
    <xf numFmtId="0" fontId="8" fillId="2" borderId="16" xfId="0" applyFont="1" applyFill="1" applyBorder="1" applyAlignment="1">
      <alignment vertical="center" wrapText="1"/>
    </xf>
    <xf numFmtId="0" fontId="8" fillId="0" borderId="0" xfId="0" applyFont="1" applyAlignment="1">
      <alignment horizontal="center" vertical="center"/>
    </xf>
    <xf numFmtId="0" fontId="1" fillId="2" borderId="3" xfId="0" applyFont="1" applyFill="1" applyBorder="1" applyAlignment="1">
      <alignment vertical="center" wrapText="1"/>
    </xf>
    <xf numFmtId="0" fontId="1" fillId="2" borderId="3" xfId="0" applyFont="1" applyFill="1" applyBorder="1" applyAlignment="1">
      <alignment horizontal="center" wrapText="1"/>
    </xf>
    <xf numFmtId="2" fontId="1" fillId="2" borderId="3" xfId="0" applyNumberFormat="1" applyFont="1" applyFill="1" applyBorder="1" applyAlignment="1">
      <alignment horizontal="center" wrapText="1"/>
    </xf>
    <xf numFmtId="2" fontId="1" fillId="2" borderId="0" xfId="0" applyNumberFormat="1" applyFont="1" applyFill="1" applyBorder="1" applyAlignment="1">
      <alignment wrapText="1"/>
    </xf>
    <xf numFmtId="0" fontId="1" fillId="2" borderId="19" xfId="0" applyFont="1" applyFill="1" applyBorder="1" applyAlignment="1">
      <alignment horizontal="center" vertical="center" wrapText="1"/>
    </xf>
    <xf numFmtId="2" fontId="1" fillId="2" borderId="2" xfId="0" applyNumberFormat="1" applyFont="1" applyFill="1" applyBorder="1" applyAlignment="1">
      <alignment horizontal="center" vertical="center" wrapText="1"/>
    </xf>
    <xf numFmtId="2" fontId="12"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xf>
    <xf numFmtId="0" fontId="8" fillId="0" borderId="1" xfId="0" applyFont="1" applyBorder="1" applyAlignment="1">
      <alignment vertical="center"/>
    </xf>
    <xf numFmtId="0" fontId="8" fillId="2" borderId="15" xfId="0" applyFont="1" applyFill="1" applyBorder="1" applyAlignment="1">
      <alignment horizontal="center" vertical="center"/>
    </xf>
    <xf numFmtId="0" fontId="23" fillId="2" borderId="1" xfId="0" applyFont="1" applyFill="1" applyBorder="1" applyAlignment="1">
      <alignment horizontal="center" vertical="center"/>
    </xf>
    <xf numFmtId="2" fontId="23" fillId="2" borderId="1" xfId="0" applyNumberFormat="1" applyFont="1" applyFill="1" applyBorder="1" applyAlignment="1">
      <alignment horizontal="center" vertical="center"/>
    </xf>
    <xf numFmtId="0" fontId="0" fillId="0" borderId="1" xfId="0" applyBorder="1" applyAlignment="1">
      <alignment vertical="center"/>
    </xf>
    <xf numFmtId="0" fontId="8" fillId="2" borderId="13" xfId="0" applyFont="1" applyFill="1" applyBorder="1" applyAlignment="1">
      <alignment vertical="center" wrapText="1"/>
    </xf>
    <xf numFmtId="0" fontId="1" fillId="2" borderId="6" xfId="0" applyFont="1" applyFill="1" applyBorder="1" applyAlignment="1">
      <alignment horizontal="center" vertical="center" wrapText="1"/>
    </xf>
    <xf numFmtId="0" fontId="1" fillId="2" borderId="13" xfId="0" applyFont="1" applyFill="1" applyBorder="1" applyAlignment="1">
      <alignment horizontal="left" vertical="center" wrapText="1"/>
    </xf>
    <xf numFmtId="0" fontId="12" fillId="2" borderId="13" xfId="0" applyFont="1" applyFill="1" applyBorder="1" applyAlignment="1">
      <alignment horizontal="center" vertical="center" wrapText="1"/>
    </xf>
    <xf numFmtId="0" fontId="8" fillId="3" borderId="13" xfId="0" applyFont="1" applyFill="1" applyBorder="1" applyAlignment="1">
      <alignment vertical="center" wrapText="1"/>
    </xf>
    <xf numFmtId="0" fontId="1" fillId="2" borderId="15" xfId="0" applyFont="1" applyFill="1" applyBorder="1" applyAlignment="1">
      <alignment horizontal="center" vertical="center" wrapText="1"/>
    </xf>
    <xf numFmtId="0" fontId="12" fillId="2" borderId="15" xfId="0" applyFont="1" applyFill="1" applyBorder="1" applyAlignment="1">
      <alignment horizontal="center" vertical="center" wrapText="1"/>
    </xf>
    <xf numFmtId="2" fontId="8" fillId="2" borderId="1" xfId="0" applyNumberFormat="1" applyFont="1" applyFill="1" applyBorder="1" applyAlignment="1">
      <alignment horizontal="center" vertical="center"/>
    </xf>
    <xf numFmtId="0" fontId="8" fillId="0" borderId="0" xfId="0" applyFont="1"/>
    <xf numFmtId="0" fontId="7" fillId="0" borderId="0" xfId="0" applyFont="1" applyAlignment="1">
      <alignment horizontal="center" vertical="center"/>
    </xf>
    <xf numFmtId="0" fontId="8" fillId="0" borderId="0" xfId="0" applyFont="1" applyAlignment="1">
      <alignment vertical="center"/>
    </xf>
    <xf numFmtId="0" fontId="8" fillId="0" borderId="0" xfId="0" applyFont="1" applyAlignment="1">
      <alignment horizontal="center"/>
    </xf>
    <xf numFmtId="2" fontId="8" fillId="0" borderId="0" xfId="0" applyNumberFormat="1" applyFont="1" applyAlignment="1">
      <alignment horizontal="center"/>
    </xf>
    <xf numFmtId="0" fontId="8" fillId="2" borderId="0" xfId="0" applyFont="1" applyFill="1" applyAlignment="1">
      <alignment horizontal="center" vertical="center"/>
    </xf>
    <xf numFmtId="0" fontId="23" fillId="0" borderId="1" xfId="0" applyFont="1" applyBorder="1" applyAlignment="1">
      <alignment vertical="center"/>
    </xf>
    <xf numFmtId="0" fontId="24" fillId="0" borderId="1" xfId="0" applyFont="1" applyBorder="1" applyAlignment="1">
      <alignment horizontal="center" vertical="center" wrapText="1"/>
    </xf>
    <xf numFmtId="0" fontId="23" fillId="0" borderId="1" xfId="0" applyFont="1" applyBorder="1" applyAlignment="1">
      <alignment horizontal="center" vertical="center" wrapText="1"/>
    </xf>
    <xf numFmtId="2" fontId="23" fillId="0" borderId="1" xfId="0" applyNumberFormat="1" applyFont="1" applyBorder="1" applyAlignment="1">
      <alignment horizontal="center" vertical="center" wrapText="1"/>
    </xf>
    <xf numFmtId="0" fontId="23" fillId="0" borderId="1" xfId="0" applyFont="1" applyBorder="1" applyAlignment="1">
      <alignment horizontal="center" vertical="center"/>
    </xf>
    <xf numFmtId="2" fontId="8" fillId="0" borderId="1" xfId="0" applyNumberFormat="1" applyFont="1" applyBorder="1" applyAlignment="1">
      <alignment horizontal="center" vertical="center"/>
    </xf>
    <xf numFmtId="0" fontId="23" fillId="0" borderId="1" xfId="0" applyFont="1" applyBorder="1"/>
    <xf numFmtId="2" fontId="23" fillId="0" borderId="1" xfId="0" applyNumberFormat="1" applyFont="1" applyBorder="1" applyAlignment="1">
      <alignment horizontal="center" vertical="center"/>
    </xf>
    <xf numFmtId="2" fontId="8" fillId="2" borderId="1" xfId="0" applyNumberFormat="1" applyFont="1" applyFill="1" applyBorder="1" applyAlignment="1">
      <alignment horizontal="center"/>
    </xf>
    <xf numFmtId="0" fontId="8" fillId="2" borderId="1" xfId="0" applyFont="1" applyFill="1" applyBorder="1"/>
    <xf numFmtId="2" fontId="23" fillId="2" borderId="1" xfId="0" applyNumberFormat="1" applyFont="1" applyFill="1" applyBorder="1"/>
    <xf numFmtId="0" fontId="8" fillId="2" borderId="0" xfId="0" applyFont="1" applyFill="1" applyBorder="1"/>
    <xf numFmtId="0" fontId="23" fillId="2" borderId="0" xfId="0" applyFont="1" applyFill="1" applyBorder="1"/>
    <xf numFmtId="0" fontId="23" fillId="2" borderId="1" xfId="0" applyFont="1" applyFill="1" applyBorder="1" applyAlignment="1">
      <alignment horizontal="center" vertical="center" wrapText="1"/>
    </xf>
    <xf numFmtId="0" fontId="8" fillId="0" borderId="0" xfId="0" applyFont="1" applyBorder="1"/>
    <xf numFmtId="0" fontId="20" fillId="0" borderId="0" xfId="0" applyFont="1" applyBorder="1"/>
    <xf numFmtId="0" fontId="8" fillId="2" borderId="1" xfId="0" applyFont="1" applyFill="1" applyBorder="1" applyAlignment="1">
      <alignment vertical="center" wrapText="1"/>
    </xf>
    <xf numFmtId="0" fontId="25" fillId="0" borderId="1" xfId="0" applyFont="1" applyBorder="1" applyAlignment="1">
      <alignment horizontal="center" vertical="center"/>
    </xf>
    <xf numFmtId="0" fontId="0" fillId="0" borderId="1" xfId="0" applyFill="1" applyBorder="1" applyAlignment="1">
      <alignment horizontal="center" vertical="center"/>
    </xf>
    <xf numFmtId="0" fontId="0" fillId="0" borderId="1" xfId="0" applyFill="1" applyBorder="1" applyAlignment="1">
      <alignment vertical="center"/>
    </xf>
    <xf numFmtId="0" fontId="8" fillId="3" borderId="1" xfId="0" applyFont="1" applyFill="1" applyBorder="1" applyAlignment="1">
      <alignment vertical="center" wrapText="1"/>
    </xf>
    <xf numFmtId="0" fontId="23" fillId="0" borderId="0" xfId="0" applyFont="1"/>
    <xf numFmtId="0" fontId="24" fillId="0" borderId="0" xfId="0" applyFont="1"/>
    <xf numFmtId="0" fontId="23" fillId="0" borderId="0" xfId="0" applyFont="1" applyAlignment="1">
      <alignment vertical="center"/>
    </xf>
    <xf numFmtId="0" fontId="23" fillId="0" borderId="0" xfId="0" applyFont="1" applyAlignment="1">
      <alignment horizontal="center"/>
    </xf>
    <xf numFmtId="2" fontId="23" fillId="0" borderId="0" xfId="0" applyNumberFormat="1" applyFont="1" applyAlignment="1">
      <alignment horizontal="center"/>
    </xf>
    <xf numFmtId="0" fontId="23" fillId="2" borderId="0" xfId="0" applyFont="1" applyFill="1" applyAlignment="1">
      <alignment horizontal="center" vertical="center"/>
    </xf>
    <xf numFmtId="0" fontId="1" fillId="2" borderId="3" xfId="0" applyFont="1" applyFill="1" applyBorder="1" applyAlignment="1">
      <alignment vertical="center"/>
    </xf>
    <xf numFmtId="0" fontId="1" fillId="2" borderId="0" xfId="0" applyFont="1" applyFill="1" applyBorder="1" applyAlignment="1">
      <alignment vertical="center"/>
    </xf>
    <xf numFmtId="0" fontId="2" fillId="2" borderId="0" xfId="0" quotePrefix="1" applyFont="1" applyFill="1" applyBorder="1" applyAlignment="1"/>
    <xf numFmtId="0" fontId="2" fillId="2" borderId="0" xfId="0" applyFont="1" applyFill="1" applyBorder="1" applyAlignment="1">
      <alignment vertical="center"/>
    </xf>
    <xf numFmtId="0" fontId="6" fillId="2" borderId="0" xfId="0" applyFont="1" applyFill="1" applyAlignment="1">
      <alignment vertical="center"/>
    </xf>
    <xf numFmtId="0" fontId="21" fillId="2" borderId="0" xfId="0" applyFont="1" applyFill="1" applyAlignment="1">
      <alignment horizontal="center" vertical="center" wrapText="1"/>
    </xf>
    <xf numFmtId="0" fontId="4" fillId="2" borderId="0" xfId="0" applyFont="1" applyFill="1" applyAlignment="1">
      <alignment horizontal="center" vertical="center" wrapText="1"/>
    </xf>
    <xf numFmtId="0" fontId="10" fillId="0" borderId="8" xfId="0" applyFont="1" applyBorder="1" applyAlignment="1">
      <alignment vertical="center"/>
    </xf>
    <xf numFmtId="0" fontId="1" fillId="2" borderId="1" xfId="0" quotePrefix="1" applyFont="1" applyFill="1" applyBorder="1" applyAlignment="1">
      <alignment horizontal="left" vertical="center" wrapText="1"/>
    </xf>
    <xf numFmtId="1" fontId="7" fillId="2" borderId="1" xfId="0" applyNumberFormat="1" applyFont="1" applyFill="1" applyBorder="1" applyAlignment="1">
      <alignment horizontal="center" vertical="center"/>
    </xf>
    <xf numFmtId="2" fontId="7" fillId="2" borderId="1" xfId="0" applyNumberFormat="1" applyFont="1" applyFill="1" applyBorder="1" applyAlignment="1">
      <alignment horizontal="center" vertical="center"/>
    </xf>
    <xf numFmtId="2" fontId="1" fillId="2" borderId="1" xfId="0" applyNumberFormat="1" applyFont="1" applyFill="1" applyBorder="1" applyAlignment="1">
      <alignment horizontal="center" vertical="center"/>
    </xf>
    <xf numFmtId="0" fontId="27" fillId="0" borderId="1" xfId="0" applyFont="1" applyBorder="1" applyAlignment="1">
      <alignment horizontal="center" vertical="center"/>
    </xf>
    <xf numFmtId="0" fontId="27" fillId="0" borderId="1" xfId="0" applyFont="1" applyBorder="1"/>
    <xf numFmtId="0" fontId="27" fillId="0" borderId="7" xfId="0" applyFont="1" applyBorder="1" applyAlignment="1">
      <alignment vertical="center"/>
    </xf>
    <xf numFmtId="0" fontId="27" fillId="0" borderId="8" xfId="0" applyFont="1" applyBorder="1"/>
    <xf numFmtId="0" fontId="27" fillId="0" borderId="9" xfId="0" applyFont="1" applyBorder="1"/>
    <xf numFmtId="2" fontId="8" fillId="0" borderId="0" xfId="0" applyNumberFormat="1" applyFont="1" applyAlignment="1">
      <alignment horizontal="center" vertical="center"/>
    </xf>
    <xf numFmtId="0" fontId="23" fillId="0" borderId="20" xfId="0" applyFont="1" applyBorder="1" applyAlignment="1">
      <alignment vertical="center" wrapText="1"/>
    </xf>
    <xf numFmtId="0" fontId="24" fillId="0" borderId="20" xfId="0" applyFont="1" applyBorder="1" applyAlignment="1">
      <alignment horizontal="center" vertical="center" wrapText="1"/>
    </xf>
    <xf numFmtId="0" fontId="23" fillId="0" borderId="20" xfId="0" applyFont="1" applyBorder="1" applyAlignment="1">
      <alignment vertical="center"/>
    </xf>
    <xf numFmtId="0" fontId="23" fillId="0" borderId="20" xfId="0" applyFont="1" applyBorder="1" applyAlignment="1">
      <alignment horizontal="center" vertical="center" wrapText="1"/>
    </xf>
    <xf numFmtId="2" fontId="23" fillId="0" borderId="20" xfId="0" applyNumberFormat="1" applyFont="1" applyBorder="1" applyAlignment="1">
      <alignment horizontal="center" vertical="center" wrapText="1"/>
    </xf>
    <xf numFmtId="0" fontId="23" fillId="2" borderId="20" xfId="0" applyFont="1" applyFill="1" applyBorder="1" applyAlignment="1">
      <alignment horizontal="center" vertical="center" wrapText="1"/>
    </xf>
    <xf numFmtId="0" fontId="23" fillId="0" borderId="20" xfId="0" applyFont="1" applyBorder="1" applyAlignment="1">
      <alignment horizontal="center" vertical="center"/>
    </xf>
    <xf numFmtId="0" fontId="0" fillId="2" borderId="20" xfId="0" applyFill="1" applyBorder="1" applyAlignment="1">
      <alignment horizontal="center" vertical="center"/>
    </xf>
    <xf numFmtId="0" fontId="2" fillId="2" borderId="20" xfId="0" applyFont="1" applyFill="1" applyBorder="1" applyAlignment="1">
      <alignment horizontal="left" vertical="center" wrapText="1"/>
    </xf>
    <xf numFmtId="0" fontId="8" fillId="2" borderId="20" xfId="0" applyFont="1" applyFill="1" applyBorder="1" applyAlignment="1">
      <alignment horizontal="center" vertical="center"/>
    </xf>
    <xf numFmtId="0" fontId="0" fillId="0" borderId="20" xfId="0" applyBorder="1"/>
    <xf numFmtId="0" fontId="8" fillId="2" borderId="20" xfId="0" applyFont="1" applyFill="1" applyBorder="1" applyAlignment="1">
      <alignment horizontal="left" vertical="center" wrapText="1"/>
    </xf>
    <xf numFmtId="0" fontId="8" fillId="2" borderId="20" xfId="0" applyFont="1" applyFill="1" applyBorder="1" applyAlignment="1" applyProtection="1">
      <alignment horizontal="center" vertical="center"/>
    </xf>
    <xf numFmtId="2" fontId="8" fillId="2" borderId="20" xfId="0" applyNumberFormat="1" applyFont="1" applyFill="1" applyBorder="1" applyAlignment="1">
      <alignment horizontal="center" vertical="center"/>
    </xf>
    <xf numFmtId="0" fontId="0" fillId="0" borderId="20" xfId="0" applyBorder="1" applyAlignment="1">
      <alignment horizontal="center" vertical="center"/>
    </xf>
    <xf numFmtId="2" fontId="0" fillId="0" borderId="20" xfId="0" applyNumberFormat="1" applyFont="1" applyBorder="1" applyAlignment="1">
      <alignment horizontal="center" vertical="center"/>
    </xf>
    <xf numFmtId="0" fontId="0" fillId="2" borderId="21" xfId="0" applyFill="1" applyBorder="1" applyAlignment="1">
      <alignment horizontal="center" vertical="center"/>
    </xf>
    <xf numFmtId="0" fontId="0" fillId="2" borderId="21" xfId="0" applyFill="1" applyBorder="1" applyAlignment="1">
      <alignment vertical="center"/>
    </xf>
    <xf numFmtId="0" fontId="0" fillId="0" borderId="21" xfId="0" applyBorder="1"/>
    <xf numFmtId="0" fontId="0" fillId="2" borderId="8" xfId="0" applyFill="1" applyBorder="1" applyAlignment="1">
      <alignment horizontal="center" vertical="center"/>
    </xf>
    <xf numFmtId="0" fontId="26" fillId="2" borderId="8" xfId="0" applyFont="1" applyFill="1" applyBorder="1" applyAlignment="1">
      <alignment horizontal="center" vertical="center"/>
    </xf>
    <xf numFmtId="0" fontId="0" fillId="2" borderId="0" xfId="0" applyFill="1" applyAlignment="1">
      <alignment horizontal="center" vertical="center"/>
    </xf>
    <xf numFmtId="0" fontId="0" fillId="2" borderId="0" xfId="0" applyFill="1" applyAlignment="1">
      <alignment vertical="center"/>
    </xf>
    <xf numFmtId="0" fontId="0" fillId="0" borderId="20" xfId="0" applyBorder="1" applyAlignment="1">
      <alignment vertical="center" wrapText="1"/>
    </xf>
    <xf numFmtId="0" fontId="26" fillId="2" borderId="21" xfId="0" applyFont="1" applyFill="1" applyBorder="1" applyAlignment="1">
      <alignment vertical="center"/>
    </xf>
    <xf numFmtId="0" fontId="26" fillId="2" borderId="21" xfId="0" applyFont="1" applyFill="1" applyBorder="1" applyAlignment="1">
      <alignment horizontal="center" vertical="center"/>
    </xf>
    <xf numFmtId="0" fontId="0" fillId="0" borderId="23" xfId="0" applyBorder="1"/>
    <xf numFmtId="0" fontId="0" fillId="0" borderId="24" xfId="0" applyBorder="1"/>
    <xf numFmtId="0" fontId="0" fillId="0" borderId="25" xfId="0" applyBorder="1"/>
    <xf numFmtId="0" fontId="8" fillId="0" borderId="26" xfId="0" applyFont="1" applyBorder="1" applyAlignment="1">
      <alignment horizontal="center" vertical="center"/>
    </xf>
    <xf numFmtId="0" fontId="0" fillId="0" borderId="26" xfId="0" applyBorder="1" applyAlignment="1">
      <alignment vertical="center"/>
    </xf>
    <xf numFmtId="0" fontId="8" fillId="0" borderId="7" xfId="0" applyFont="1" applyBorder="1" applyAlignment="1">
      <alignment vertical="center"/>
    </xf>
    <xf numFmtId="0" fontId="8" fillId="0" borderId="8" xfId="0" applyFont="1" applyBorder="1" applyAlignment="1">
      <alignment horizontal="center" vertical="center"/>
    </xf>
    <xf numFmtId="0" fontId="23" fillId="0" borderId="8" xfId="0" applyFont="1" applyBorder="1" applyAlignment="1">
      <alignment vertical="center"/>
    </xf>
    <xf numFmtId="2" fontId="23" fillId="2" borderId="8" xfId="0" applyNumberFormat="1" applyFont="1" applyFill="1" applyBorder="1" applyAlignment="1">
      <alignment horizontal="center" vertical="center"/>
    </xf>
    <xf numFmtId="0" fontId="8" fillId="2" borderId="25" xfId="0" applyFont="1" applyFill="1" applyBorder="1" applyAlignment="1">
      <alignment vertical="center"/>
    </xf>
    <xf numFmtId="0" fontId="0" fillId="0" borderId="9" xfId="0" applyBorder="1" applyAlignment="1">
      <alignment vertical="center"/>
    </xf>
    <xf numFmtId="0" fontId="8" fillId="2" borderId="21" xfId="0" applyFont="1" applyFill="1" applyBorder="1" applyAlignment="1">
      <alignment horizontal="left" vertical="center" wrapText="1"/>
    </xf>
    <xf numFmtId="0" fontId="8" fillId="2" borderId="21" xfId="0" applyFont="1" applyFill="1" applyBorder="1" applyAlignment="1">
      <alignment horizontal="center" vertical="center"/>
    </xf>
    <xf numFmtId="0" fontId="0" fillId="2" borderId="26" xfId="0" applyFill="1" applyBorder="1" applyAlignment="1">
      <alignment horizontal="center" vertical="center"/>
    </xf>
    <xf numFmtId="0" fontId="0" fillId="0" borderId="26" xfId="0" applyBorder="1" applyAlignment="1">
      <alignment horizontal="center" vertical="center"/>
    </xf>
    <xf numFmtId="0" fontId="0" fillId="0" borderId="26" xfId="0" applyBorder="1" applyAlignment="1">
      <alignment vertical="center" wrapText="1"/>
    </xf>
    <xf numFmtId="0" fontId="0" fillId="0" borderId="26" xfId="0" applyFont="1" applyBorder="1" applyAlignment="1">
      <alignment horizontal="center" vertical="center"/>
    </xf>
    <xf numFmtId="0" fontId="0" fillId="0" borderId="27" xfId="0" applyBorder="1"/>
    <xf numFmtId="0" fontId="0" fillId="0" borderId="26" xfId="0" applyBorder="1"/>
    <xf numFmtId="0" fontId="0" fillId="2" borderId="7" xfId="0" applyFill="1" applyBorder="1" applyAlignment="1">
      <alignment horizontal="center" vertical="center"/>
    </xf>
    <xf numFmtId="0" fontId="26" fillId="2" borderId="8" xfId="0" applyFont="1" applyFill="1" applyBorder="1" applyAlignment="1">
      <alignment vertical="center"/>
    </xf>
    <xf numFmtId="0" fontId="8" fillId="2" borderId="21" xfId="0" applyFont="1" applyFill="1" applyBorder="1" applyAlignment="1" applyProtection="1">
      <alignment horizontal="center" vertical="center"/>
    </xf>
    <xf numFmtId="0" fontId="8" fillId="2" borderId="26" xfId="0" applyFont="1" applyFill="1" applyBorder="1" applyAlignment="1">
      <alignment horizontal="left" vertical="center" wrapText="1"/>
    </xf>
    <xf numFmtId="0" fontId="8" fillId="2" borderId="26" xfId="0" applyFont="1" applyFill="1" applyBorder="1" applyAlignment="1">
      <alignment horizontal="center" vertical="center"/>
    </xf>
    <xf numFmtId="0" fontId="8" fillId="2" borderId="8" xfId="0" applyFont="1" applyFill="1" applyBorder="1" applyAlignment="1">
      <alignment horizontal="center" vertical="center"/>
    </xf>
    <xf numFmtId="0" fontId="23" fillId="2" borderId="8" xfId="0" applyFont="1" applyFill="1" applyBorder="1" applyAlignment="1">
      <alignment horizontal="left" vertical="center" wrapText="1"/>
    </xf>
    <xf numFmtId="0" fontId="23" fillId="2" borderId="8" xfId="0" applyFont="1" applyFill="1" applyBorder="1" applyAlignment="1" applyProtection="1">
      <alignment horizontal="center" vertical="center"/>
    </xf>
    <xf numFmtId="0" fontId="23" fillId="2" borderId="8" xfId="0" applyFont="1" applyFill="1" applyBorder="1" applyAlignment="1">
      <alignment horizontal="center" vertical="center"/>
    </xf>
    <xf numFmtId="1" fontId="23" fillId="2" borderId="8" xfId="0" applyNumberFormat="1" applyFont="1" applyFill="1" applyBorder="1" applyAlignment="1">
      <alignment horizontal="center" vertical="center"/>
    </xf>
    <xf numFmtId="0" fontId="8" fillId="3" borderId="21" xfId="0" applyFont="1" applyFill="1" applyBorder="1" applyAlignment="1">
      <alignment vertical="center" wrapText="1"/>
    </xf>
    <xf numFmtId="0" fontId="0" fillId="0" borderId="21" xfId="0" applyBorder="1" applyAlignment="1">
      <alignment horizontal="center" vertical="center"/>
    </xf>
    <xf numFmtId="2" fontId="8" fillId="2" borderId="21" xfId="0" applyNumberFormat="1" applyFont="1" applyFill="1" applyBorder="1" applyAlignment="1">
      <alignment horizontal="center" vertical="center"/>
    </xf>
    <xf numFmtId="0" fontId="8" fillId="2" borderId="21" xfId="0" applyFont="1" applyFill="1" applyBorder="1"/>
    <xf numFmtId="2" fontId="8" fillId="2" borderId="26" xfId="0" applyNumberFormat="1" applyFont="1" applyFill="1" applyBorder="1" applyAlignment="1">
      <alignment horizontal="center" vertical="center"/>
    </xf>
    <xf numFmtId="2" fontId="23" fillId="2" borderId="9" xfId="0" applyNumberFormat="1" applyFont="1" applyFill="1" applyBorder="1" applyAlignment="1">
      <alignment horizontal="center"/>
    </xf>
    <xf numFmtId="0" fontId="8" fillId="2" borderId="28" xfId="0" applyFont="1" applyFill="1" applyBorder="1" applyAlignment="1">
      <alignment horizontal="center" vertical="center"/>
    </xf>
    <xf numFmtId="0" fontId="2" fillId="2" borderId="28" xfId="0" applyFont="1" applyFill="1" applyBorder="1" applyAlignment="1">
      <alignment horizontal="center" vertical="center"/>
    </xf>
    <xf numFmtId="0" fontId="9" fillId="2" borderId="28" xfId="0" applyFont="1" applyFill="1" applyBorder="1" applyAlignment="1">
      <alignment horizontal="left" vertical="center" wrapText="1"/>
    </xf>
    <xf numFmtId="0" fontId="0" fillId="0" borderId="28" xfId="0" applyBorder="1" applyAlignment="1">
      <alignment vertical="center"/>
    </xf>
    <xf numFmtId="2" fontId="8" fillId="2" borderId="28" xfId="0" applyNumberFormat="1" applyFont="1" applyFill="1" applyBorder="1" applyAlignment="1">
      <alignment horizontal="center" vertical="center"/>
    </xf>
    <xf numFmtId="0" fontId="8" fillId="2" borderId="26" xfId="0" applyFont="1" applyFill="1" applyBorder="1" applyAlignment="1">
      <alignment vertical="center" wrapText="1"/>
    </xf>
    <xf numFmtId="0" fontId="8" fillId="0" borderId="21" xfId="0" applyFont="1" applyBorder="1" applyAlignment="1">
      <alignment horizontal="center" vertical="center"/>
    </xf>
    <xf numFmtId="0" fontId="8" fillId="2" borderId="21" xfId="0" applyFont="1" applyFill="1" applyBorder="1" applyAlignment="1">
      <alignment vertical="center" wrapText="1"/>
    </xf>
    <xf numFmtId="0" fontId="0" fillId="0" borderId="21" xfId="0" applyBorder="1" applyAlignment="1">
      <alignment vertical="center"/>
    </xf>
    <xf numFmtId="0" fontId="23" fillId="0" borderId="30" xfId="0" applyFont="1" applyBorder="1" applyAlignment="1">
      <alignment horizontal="center" vertical="center"/>
    </xf>
    <xf numFmtId="2" fontId="23" fillId="0" borderId="30" xfId="0" applyNumberFormat="1" applyFont="1" applyBorder="1" applyAlignment="1">
      <alignment horizontal="center" vertical="center"/>
    </xf>
    <xf numFmtId="0" fontId="23" fillId="2" borderId="31" xfId="0" applyFont="1" applyFill="1" applyBorder="1" applyAlignment="1">
      <alignment horizontal="center"/>
    </xf>
    <xf numFmtId="0" fontId="23" fillId="0" borderId="8" xfId="0" applyFont="1" applyBorder="1" applyAlignment="1">
      <alignment horizontal="center" vertical="center"/>
    </xf>
    <xf numFmtId="0" fontId="8" fillId="2" borderId="24" xfId="0" applyFont="1" applyFill="1" applyBorder="1" applyAlignment="1">
      <alignment vertical="center" wrapText="1"/>
    </xf>
    <xf numFmtId="0" fontId="8" fillId="2" borderId="32" xfId="0" applyFont="1" applyFill="1" applyBorder="1" applyAlignment="1">
      <alignment horizontal="center" vertical="center"/>
    </xf>
    <xf numFmtId="0" fontId="8" fillId="2" borderId="21" xfId="0" applyFont="1" applyFill="1" applyBorder="1" applyAlignment="1">
      <alignment vertical="center"/>
    </xf>
    <xf numFmtId="0" fontId="8" fillId="2" borderId="27" xfId="0" applyFont="1" applyFill="1" applyBorder="1" applyAlignment="1">
      <alignment vertical="center" wrapText="1"/>
    </xf>
    <xf numFmtId="0" fontId="8" fillId="2" borderId="33" xfId="0" applyFont="1" applyFill="1" applyBorder="1" applyAlignment="1">
      <alignment horizontal="center" vertical="center"/>
    </xf>
    <xf numFmtId="0" fontId="8" fillId="2" borderId="26" xfId="0" applyFont="1" applyFill="1" applyBorder="1" applyAlignment="1">
      <alignment vertical="center"/>
    </xf>
    <xf numFmtId="0" fontId="8" fillId="2" borderId="7" xfId="0" applyFont="1" applyFill="1" applyBorder="1" applyAlignment="1">
      <alignment vertical="center"/>
    </xf>
    <xf numFmtId="0" fontId="8" fillId="2" borderId="25" xfId="0" applyFont="1" applyFill="1" applyBorder="1" applyAlignment="1">
      <alignment vertical="center" wrapText="1"/>
    </xf>
    <xf numFmtId="0" fontId="23" fillId="2" borderId="22" xfId="0" applyFont="1" applyFill="1" applyBorder="1" applyAlignment="1">
      <alignment horizontal="center" vertical="center"/>
    </xf>
    <xf numFmtId="0" fontId="8" fillId="2" borderId="8" xfId="0" applyFont="1" applyFill="1" applyBorder="1" applyAlignment="1">
      <alignment vertical="center"/>
    </xf>
    <xf numFmtId="0" fontId="8" fillId="3" borderId="24" xfId="0" applyFont="1" applyFill="1" applyBorder="1" applyAlignment="1">
      <alignment vertical="center" wrapText="1"/>
    </xf>
    <xf numFmtId="0" fontId="8" fillId="2" borderId="7" xfId="0" applyFont="1" applyFill="1" applyBorder="1" applyAlignment="1">
      <alignment horizontal="center" vertical="center"/>
    </xf>
    <xf numFmtId="0" fontId="23" fillId="2" borderId="25" xfId="0" applyFont="1" applyFill="1" applyBorder="1" applyAlignment="1">
      <alignment vertical="center"/>
    </xf>
    <xf numFmtId="0" fontId="9" fillId="2" borderId="34" xfId="0" applyFont="1" applyFill="1" applyBorder="1" applyAlignment="1">
      <alignment horizontal="left" vertical="center" wrapText="1"/>
    </xf>
    <xf numFmtId="0" fontId="8" fillId="2" borderId="35" xfId="0" applyFont="1" applyFill="1" applyBorder="1" applyAlignment="1">
      <alignment horizontal="center" vertical="center"/>
    </xf>
    <xf numFmtId="0" fontId="8" fillId="2" borderId="28" xfId="0" applyFont="1" applyFill="1" applyBorder="1" applyAlignment="1">
      <alignment vertical="center"/>
    </xf>
    <xf numFmtId="0" fontId="8" fillId="0" borderId="22" xfId="0" applyFont="1" applyBorder="1" applyAlignment="1">
      <alignment horizontal="center" vertical="center"/>
    </xf>
    <xf numFmtId="0" fontId="8" fillId="0" borderId="29" xfId="0" applyFont="1" applyBorder="1" applyAlignment="1">
      <alignment vertical="center"/>
    </xf>
    <xf numFmtId="0" fontId="8" fillId="0" borderId="30" xfId="0" applyFont="1" applyBorder="1" applyAlignment="1">
      <alignment horizontal="center" vertical="center"/>
    </xf>
    <xf numFmtId="0" fontId="23" fillId="0" borderId="30" xfId="0" applyFont="1" applyBorder="1" applyAlignment="1">
      <alignment vertical="center"/>
    </xf>
    <xf numFmtId="0" fontId="23" fillId="2" borderId="30" xfId="0" applyFont="1" applyFill="1" applyBorder="1" applyAlignment="1">
      <alignment horizontal="center" vertical="center"/>
    </xf>
    <xf numFmtId="2" fontId="23" fillId="2" borderId="30" xfId="0" applyNumberFormat="1" applyFont="1" applyFill="1" applyBorder="1" applyAlignment="1">
      <alignment horizontal="center" vertical="center"/>
    </xf>
    <xf numFmtId="0" fontId="8" fillId="2" borderId="30" xfId="0" applyFont="1" applyFill="1" applyBorder="1" applyAlignment="1">
      <alignment vertical="center"/>
    </xf>
    <xf numFmtId="0" fontId="0" fillId="0" borderId="31" xfId="0" applyBorder="1" applyAlignment="1">
      <alignment vertical="center"/>
    </xf>
    <xf numFmtId="0" fontId="8" fillId="0" borderId="10" xfId="0" applyFont="1" applyBorder="1" applyAlignment="1">
      <alignment horizontal="center" vertical="center"/>
    </xf>
    <xf numFmtId="0" fontId="20" fillId="2" borderId="7" xfId="0" applyFont="1" applyFill="1" applyBorder="1" applyAlignment="1">
      <alignment horizontal="center" vertical="center"/>
    </xf>
    <xf numFmtId="0" fontId="20" fillId="2" borderId="8" xfId="0" applyFont="1" applyFill="1" applyBorder="1" applyAlignment="1">
      <alignment horizontal="center" vertical="center"/>
    </xf>
    <xf numFmtId="0" fontId="20" fillId="0" borderId="9" xfId="0" applyFont="1" applyBorder="1"/>
    <xf numFmtId="0" fontId="0" fillId="0" borderId="21" xfId="0" applyBorder="1" applyAlignment="1">
      <alignment vertical="center" wrapText="1"/>
    </xf>
    <xf numFmtId="2" fontId="0" fillId="0" borderId="21" xfId="0" applyNumberFormat="1" applyFont="1" applyBorder="1" applyAlignment="1">
      <alignment horizontal="center" vertical="center"/>
    </xf>
    <xf numFmtId="0" fontId="0" fillId="2" borderId="8" xfId="0" applyFill="1" applyBorder="1" applyAlignment="1">
      <alignment vertical="center"/>
    </xf>
    <xf numFmtId="0" fontId="24" fillId="0" borderId="13" xfId="0" applyFont="1" applyBorder="1" applyAlignment="1">
      <alignment horizontal="center"/>
    </xf>
    <xf numFmtId="0" fontId="24" fillId="0" borderId="14" xfId="0" applyFont="1" applyBorder="1" applyAlignment="1">
      <alignment horizontal="center"/>
    </xf>
    <xf numFmtId="0" fontId="24" fillId="0" borderId="15" xfId="0" applyFont="1" applyBorder="1" applyAlignment="1">
      <alignment horizontal="center"/>
    </xf>
    <xf numFmtId="2" fontId="24" fillId="0" borderId="1" xfId="0" applyNumberFormat="1" applyFont="1" applyBorder="1"/>
    <xf numFmtId="0" fontId="6" fillId="2" borderId="0" xfId="0" applyFont="1" applyFill="1" applyBorder="1" applyAlignment="1">
      <alignment vertical="center"/>
    </xf>
    <xf numFmtId="0" fontId="2" fillId="2" borderId="3" xfId="0" quotePrefix="1" applyFont="1" applyFill="1" applyBorder="1" applyAlignment="1">
      <alignment vertical="center"/>
    </xf>
    <xf numFmtId="0" fontId="2" fillId="2" borderId="20" xfId="0" applyFont="1" applyFill="1" applyBorder="1" applyAlignment="1">
      <alignment horizontal="left" vertical="top" wrapText="1"/>
    </xf>
    <xf numFmtId="0" fontId="1" fillId="2" borderId="3" xfId="0" applyFont="1" applyFill="1" applyBorder="1" applyAlignment="1">
      <alignment horizontal="center"/>
    </xf>
    <xf numFmtId="0" fontId="1" fillId="2" borderId="3" xfId="0" applyFont="1" applyFill="1" applyBorder="1" applyAlignment="1">
      <alignment horizontal="center" vertical="center"/>
    </xf>
    <xf numFmtId="0" fontId="6" fillId="2" borderId="4" xfId="0" applyFont="1" applyFill="1" applyBorder="1" applyAlignment="1">
      <alignment horizontal="center"/>
    </xf>
    <xf numFmtId="0" fontId="2" fillId="2" borderId="3" xfId="0" quotePrefix="1" applyFont="1" applyFill="1" applyBorder="1" applyAlignment="1">
      <alignment horizontal="left"/>
    </xf>
    <xf numFmtId="0" fontId="1" fillId="2" borderId="0" xfId="0" quotePrefix="1" applyFont="1" applyFill="1" applyAlignment="1">
      <alignment horizontal="left" vertical="top" wrapText="1"/>
    </xf>
    <xf numFmtId="0" fontId="1" fillId="2" borderId="0" xfId="0" applyFont="1" applyFill="1" applyAlignment="1">
      <alignment horizontal="left" vertical="top" wrapText="1"/>
    </xf>
    <xf numFmtId="0" fontId="1" fillId="2" borderId="0" xfId="0" quotePrefix="1" applyFont="1" applyFill="1" applyAlignment="1">
      <alignment horizontal="left" wrapText="1"/>
    </xf>
    <xf numFmtId="0" fontId="1" fillId="2" borderId="0" xfId="0" applyFont="1" applyFill="1" applyAlignment="1">
      <alignment horizontal="left" wrapText="1"/>
    </xf>
    <xf numFmtId="0" fontId="1" fillId="2" borderId="3" xfId="0" quotePrefix="1" applyFont="1" applyFill="1" applyBorder="1" applyAlignment="1">
      <alignment horizontal="center"/>
    </xf>
    <xf numFmtId="0" fontId="12" fillId="2" borderId="3" xfId="0" quotePrefix="1" applyFont="1" applyFill="1" applyBorder="1" applyAlignment="1">
      <alignment horizontal="center"/>
    </xf>
    <xf numFmtId="0" fontId="12" fillId="2" borderId="3" xfId="0" applyFont="1" applyFill="1" applyBorder="1" applyAlignment="1">
      <alignment horizontal="center"/>
    </xf>
    <xf numFmtId="0" fontId="4" fillId="2" borderId="4" xfId="0" applyFont="1" applyFill="1" applyBorder="1" applyAlignment="1">
      <alignment horizontal="center"/>
    </xf>
    <xf numFmtId="0" fontId="1" fillId="2" borderId="3" xfId="0" quotePrefix="1" applyFont="1" applyFill="1" applyBorder="1" applyAlignment="1">
      <alignment horizontal="left" wrapText="1"/>
    </xf>
    <xf numFmtId="0" fontId="1" fillId="2" borderId="3" xfId="0" applyFont="1" applyFill="1" applyBorder="1" applyAlignment="1">
      <alignment horizontal="left" wrapText="1"/>
    </xf>
    <xf numFmtId="0" fontId="1" fillId="2" borderId="3" xfId="0" applyFont="1" applyFill="1" applyBorder="1" applyAlignment="1">
      <alignment horizontal="right"/>
    </xf>
    <xf numFmtId="0" fontId="2" fillId="2" borderId="3" xfId="0" quotePrefix="1" applyFont="1" applyFill="1" applyBorder="1" applyAlignment="1">
      <alignment horizontal="center"/>
    </xf>
    <xf numFmtId="0" fontId="2" fillId="2" borderId="3" xfId="0" quotePrefix="1" applyFont="1" applyFill="1" applyBorder="1" applyAlignment="1">
      <alignment horizontal="right"/>
    </xf>
    <xf numFmtId="0" fontId="2" fillId="2" borderId="3" xfId="0" quotePrefix="1" applyFont="1" applyFill="1" applyBorder="1" applyAlignment="1">
      <alignment horizontal="left" wrapText="1"/>
    </xf>
    <xf numFmtId="0" fontId="2" fillId="2" borderId="3" xfId="0" applyFont="1" applyFill="1" applyBorder="1" applyAlignment="1">
      <alignment horizontal="left" wrapText="1"/>
    </xf>
    <xf numFmtId="0" fontId="2" fillId="2" borderId="0" xfId="0" quotePrefix="1" applyFont="1" applyFill="1" applyAlignment="1">
      <alignment horizontal="left" wrapText="1"/>
    </xf>
    <xf numFmtId="0" fontId="2" fillId="2" borderId="0" xfId="0" applyFont="1" applyFill="1" applyAlignment="1">
      <alignment horizontal="left" wrapText="1"/>
    </xf>
    <xf numFmtId="0" fontId="1" fillId="2" borderId="0" xfId="0" applyFont="1" applyFill="1" applyAlignment="1">
      <alignment horizontal="left"/>
    </xf>
    <xf numFmtId="2" fontId="1" fillId="2" borderId="0" xfId="0" applyNumberFormat="1" applyFont="1" applyFill="1" applyAlignment="1">
      <alignment horizontal="center" vertical="center"/>
    </xf>
    <xf numFmtId="0" fontId="1" fillId="2" borderId="0" xfId="0" applyFont="1" applyFill="1" applyAlignment="1">
      <alignment horizontal="center" vertical="center" wrapText="1"/>
    </xf>
    <xf numFmtId="0" fontId="2" fillId="2" borderId="3" xfId="0" applyFont="1" applyFill="1" applyBorder="1" applyAlignment="1">
      <alignment horizontal="center"/>
    </xf>
    <xf numFmtId="0" fontId="4" fillId="2" borderId="4" xfId="0" applyFont="1" applyFill="1" applyBorder="1" applyAlignment="1">
      <alignment horizontal="center" vertical="top"/>
    </xf>
    <xf numFmtId="0" fontId="2" fillId="2" borderId="3" xfId="0" applyFont="1" applyFill="1" applyBorder="1" applyAlignment="1">
      <alignment horizontal="left"/>
    </xf>
    <xf numFmtId="0" fontId="4" fillId="2" borderId="0" xfId="0" applyFont="1" applyFill="1" applyBorder="1" applyAlignment="1">
      <alignment horizontal="center" vertical="top"/>
    </xf>
    <xf numFmtId="0" fontId="2" fillId="2" borderId="0" xfId="0" quotePrefix="1" applyFont="1" applyFill="1" applyBorder="1" applyAlignment="1">
      <alignment horizontal="right"/>
    </xf>
    <xf numFmtId="0" fontId="2" fillId="2" borderId="0" xfId="0" quotePrefix="1" applyFont="1" applyFill="1" applyBorder="1" applyAlignment="1">
      <alignment horizontal="center"/>
    </xf>
    <xf numFmtId="0" fontId="1" fillId="2" borderId="3" xfId="0" applyFont="1" applyFill="1" applyBorder="1" applyAlignment="1">
      <alignment horizontal="right" vertical="center"/>
    </xf>
    <xf numFmtId="0" fontId="1" fillId="2" borderId="3" xfId="0" quotePrefix="1" applyFont="1" applyFill="1" applyBorder="1" applyAlignment="1">
      <alignment horizontal="left" vertical="center"/>
    </xf>
    <xf numFmtId="0" fontId="1" fillId="2" borderId="3" xfId="0" applyFont="1" applyFill="1" applyBorder="1" applyAlignment="1">
      <alignment horizontal="left" vertical="center"/>
    </xf>
    <xf numFmtId="0" fontId="1" fillId="2" borderId="3" xfId="0" quotePrefix="1" applyFont="1" applyFill="1" applyBorder="1" applyAlignment="1">
      <alignment horizontal="left"/>
    </xf>
    <xf numFmtId="0" fontId="1" fillId="2" borderId="3" xfId="0" applyFont="1" applyFill="1" applyBorder="1" applyAlignment="1">
      <alignment horizontal="left"/>
    </xf>
    <xf numFmtId="0" fontId="4" fillId="2" borderId="4" xfId="0" quotePrefix="1" applyFont="1" applyFill="1" applyBorder="1" applyAlignment="1">
      <alignment horizontal="center" vertical="center"/>
    </xf>
    <xf numFmtId="0" fontId="4" fillId="2" borderId="4" xfId="0" applyFont="1" applyFill="1" applyBorder="1" applyAlignment="1">
      <alignment horizontal="center" vertical="center"/>
    </xf>
    <xf numFmtId="0" fontId="17" fillId="2" borderId="0" xfId="0" applyFont="1" applyFill="1" applyAlignment="1">
      <alignment horizontal="right" vertical="center"/>
    </xf>
    <xf numFmtId="0" fontId="17" fillId="2" borderId="0" xfId="0" quotePrefix="1" applyFont="1" applyFill="1" applyBorder="1" applyAlignment="1">
      <alignment horizontal="left" vertical="center"/>
    </xf>
    <xf numFmtId="0" fontId="17" fillId="2" borderId="0" xfId="0" quotePrefix="1" applyFont="1" applyFill="1" applyAlignment="1">
      <alignment horizontal="right" vertical="center"/>
    </xf>
    <xf numFmtId="0" fontId="17" fillId="2" borderId="0" xfId="0" applyFont="1" applyFill="1" applyBorder="1" applyAlignment="1">
      <alignment horizontal="left" vertical="center" wrapText="1"/>
    </xf>
    <xf numFmtId="0" fontId="18" fillId="2" borderId="0" xfId="0" applyFont="1" applyFill="1" applyBorder="1" applyAlignment="1">
      <alignment horizontal="center" vertical="center" wrapText="1"/>
    </xf>
    <xf numFmtId="0" fontId="17" fillId="2" borderId="0" xfId="0" quotePrefix="1" applyFont="1" applyFill="1" applyBorder="1" applyAlignment="1">
      <alignment horizontal="right" vertical="center" wrapText="1"/>
    </xf>
    <xf numFmtId="0" fontId="17" fillId="2" borderId="0" xfId="0" quotePrefix="1" applyFont="1" applyFill="1" applyBorder="1" applyAlignment="1">
      <alignment horizontal="center" vertical="center"/>
    </xf>
    <xf numFmtId="0" fontId="19" fillId="0" borderId="0" xfId="0" quotePrefix="1" applyFont="1" applyAlignment="1">
      <alignment horizontal="left"/>
    </xf>
    <xf numFmtId="0" fontId="19" fillId="0" borderId="0" xfId="0" quotePrefix="1" applyFont="1" applyAlignment="1"/>
    <xf numFmtId="0" fontId="10" fillId="0" borderId="11" xfId="0" applyFont="1" applyBorder="1" applyAlignment="1">
      <alignment horizontal="center"/>
    </xf>
    <xf numFmtId="0" fontId="17" fillId="2" borderId="0" xfId="0" applyFont="1" applyFill="1" applyAlignment="1">
      <alignment horizontal="center"/>
    </xf>
    <xf numFmtId="0" fontId="4" fillId="2" borderId="4" xfId="0" quotePrefix="1" applyFont="1" applyFill="1" applyBorder="1" applyAlignment="1">
      <alignment horizontal="center"/>
    </xf>
    <xf numFmtId="0" fontId="1" fillId="2" borderId="3" xfId="0" applyFont="1" applyFill="1" applyBorder="1" applyAlignment="1"/>
    <xf numFmtId="0" fontId="2" fillId="2" borderId="0" xfId="0" applyFont="1" applyFill="1" applyAlignment="1">
      <alignment horizontal="left" vertical="top" wrapText="1"/>
    </xf>
    <xf numFmtId="0" fontId="21" fillId="2" borderId="18" xfId="0" applyFont="1" applyFill="1" applyBorder="1" applyAlignment="1">
      <alignment horizontal="center"/>
    </xf>
    <xf numFmtId="0" fontId="21" fillId="2" borderId="18" xfId="0" applyFont="1" applyFill="1" applyBorder="1" applyAlignment="1">
      <alignment horizontal="center" vertical="center"/>
    </xf>
    <xf numFmtId="0" fontId="1" fillId="2" borderId="0" xfId="0" applyFont="1" applyFill="1" applyBorder="1" applyAlignment="1">
      <alignment horizontal="center"/>
    </xf>
    <xf numFmtId="0" fontId="1" fillId="2" borderId="0" xfId="0" quotePrefix="1" applyFont="1" applyFill="1" applyBorder="1" applyAlignment="1">
      <alignment horizontal="center"/>
    </xf>
    <xf numFmtId="0" fontId="21" fillId="2" borderId="0" xfId="0" applyFont="1" applyFill="1" applyAlignment="1">
      <alignment horizontal="center" vertical="top"/>
    </xf>
    <xf numFmtId="0" fontId="1" fillId="2" borderId="0" xfId="0" applyFont="1" applyFill="1" applyAlignment="1">
      <alignment horizontal="center" vertical="top" wrapText="1"/>
    </xf>
    <xf numFmtId="0" fontId="23" fillId="0" borderId="0" xfId="0" applyFont="1" applyAlignment="1">
      <alignment horizontal="center"/>
    </xf>
    <xf numFmtId="0" fontId="23" fillId="0" borderId="0" xfId="0" applyFont="1" applyAlignment="1">
      <alignment horizontal="left"/>
    </xf>
    <xf numFmtId="0" fontId="7" fillId="0" borderId="0" xfId="0" applyFont="1" applyBorder="1" applyAlignment="1">
      <alignment horizontal="left" vertical="top" wrapText="1"/>
    </xf>
    <xf numFmtId="0" fontId="23" fillId="0" borderId="29" xfId="0" applyFont="1" applyBorder="1" applyAlignment="1">
      <alignment horizontal="center" vertical="center"/>
    </xf>
    <xf numFmtId="0" fontId="23" fillId="0" borderId="30" xfId="0" applyFont="1" applyBorder="1" applyAlignment="1">
      <alignment horizontal="center" vertical="center"/>
    </xf>
    <xf numFmtId="0" fontId="23" fillId="0" borderId="7" xfId="0" applyFont="1" applyBorder="1" applyAlignment="1">
      <alignment horizontal="center" vertical="center"/>
    </xf>
    <xf numFmtId="0" fontId="23" fillId="0" borderId="8" xfId="0" applyFont="1" applyBorder="1" applyAlignment="1">
      <alignment horizontal="center" vertical="center"/>
    </xf>
    <xf numFmtId="0" fontId="23" fillId="2" borderId="7" xfId="0" applyFont="1" applyFill="1" applyBorder="1" applyAlignment="1">
      <alignment horizontal="center" vertical="center"/>
    </xf>
    <xf numFmtId="0" fontId="23" fillId="2" borderId="8" xfId="0" applyFont="1" applyFill="1" applyBorder="1" applyAlignment="1">
      <alignment horizontal="center" vertical="center"/>
    </xf>
    <xf numFmtId="0" fontId="23" fillId="2" borderId="1" xfId="0" applyFont="1" applyFill="1" applyBorder="1" applyAlignment="1">
      <alignment horizontal="center" vertical="center"/>
    </xf>
    <xf numFmtId="0" fontId="8" fillId="0" borderId="0" xfId="0" applyFont="1" applyAlignment="1">
      <alignment horizontal="left"/>
    </xf>
    <xf numFmtId="0" fontId="8" fillId="0" borderId="0" xfId="0" applyFont="1" applyAlignment="1">
      <alignment horizontal="right"/>
    </xf>
    <xf numFmtId="0" fontId="8" fillId="0" borderId="0" xfId="0" applyFont="1" applyAlignment="1">
      <alignment horizontal="center"/>
    </xf>
    <xf numFmtId="0" fontId="26" fillId="2" borderId="10" xfId="0" applyFont="1" applyFill="1" applyBorder="1" applyAlignment="1">
      <alignment horizontal="center" vertical="center"/>
    </xf>
    <xf numFmtId="0" fontId="26" fillId="2" borderId="11" xfId="0" applyFont="1" applyFill="1" applyBorder="1" applyAlignment="1">
      <alignment horizontal="center" vertical="center"/>
    </xf>
    <xf numFmtId="0" fontId="26" fillId="2" borderId="22" xfId="0" applyFont="1" applyFill="1" applyBorder="1" applyAlignment="1">
      <alignment horizontal="center" vertic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7"/>
  <sheetViews>
    <sheetView topLeftCell="A27" workbookViewId="0">
      <selection activeCell="A55" sqref="A55:I55"/>
    </sheetView>
  </sheetViews>
  <sheetFormatPr defaultRowHeight="14.4" x14ac:dyDescent="0.3"/>
  <cols>
    <col min="1" max="1" width="5.33203125" style="40" customWidth="1"/>
    <col min="2" max="2" width="7.109375" customWidth="1"/>
    <col min="3" max="3" width="23.109375" customWidth="1"/>
    <col min="4" max="4" width="8" customWidth="1"/>
    <col min="5" max="5" width="8.33203125" customWidth="1"/>
    <col min="6" max="6" width="8.44140625" customWidth="1"/>
    <col min="7" max="7" width="10.44140625" customWidth="1"/>
  </cols>
  <sheetData>
    <row r="1" spans="1:9" ht="15.6" x14ac:dyDescent="0.3">
      <c r="A1" s="33"/>
      <c r="B1" s="1"/>
      <c r="C1" s="2"/>
      <c r="D1" s="1"/>
      <c r="E1" s="329" t="s">
        <v>11</v>
      </c>
      <c r="F1" s="329"/>
      <c r="G1" s="329"/>
      <c r="H1" s="329"/>
      <c r="I1" s="329"/>
    </row>
    <row r="2" spans="1:9" ht="15.6" x14ac:dyDescent="0.3">
      <c r="A2" s="33"/>
      <c r="B2" s="1"/>
      <c r="C2" s="2"/>
      <c r="D2" s="1"/>
      <c r="E2" s="1" t="s">
        <v>12</v>
      </c>
      <c r="F2" s="1"/>
      <c r="G2" s="3"/>
      <c r="H2" s="3"/>
      <c r="I2" s="1"/>
    </row>
    <row r="3" spans="1:9" ht="15.6" x14ac:dyDescent="0.3">
      <c r="A3" s="33"/>
      <c r="B3" s="1"/>
      <c r="C3" s="2"/>
      <c r="D3" s="1"/>
      <c r="E3" s="1" t="s">
        <v>13</v>
      </c>
      <c r="F3" s="1"/>
      <c r="G3" s="3"/>
      <c r="H3" s="3"/>
      <c r="I3" s="1"/>
    </row>
    <row r="4" spans="1:9" ht="15.6" x14ac:dyDescent="0.3">
      <c r="A4" s="33"/>
      <c r="B4" s="1"/>
      <c r="C4" s="2"/>
      <c r="D4" s="1"/>
      <c r="E4" s="1" t="s">
        <v>14</v>
      </c>
      <c r="F4" s="1"/>
      <c r="G4" s="3"/>
      <c r="H4" s="3"/>
      <c r="I4" s="1"/>
    </row>
    <row r="5" spans="1:9" ht="15.6" x14ac:dyDescent="0.3">
      <c r="A5" s="33"/>
      <c r="B5" s="1"/>
      <c r="C5" s="2"/>
      <c r="D5" s="1"/>
      <c r="E5" s="1" t="s">
        <v>15</v>
      </c>
      <c r="F5" s="1"/>
      <c r="G5" s="3"/>
      <c r="H5" s="3"/>
      <c r="I5" s="1"/>
    </row>
    <row r="6" spans="1:9" ht="15.6" x14ac:dyDescent="0.3">
      <c r="A6" s="33"/>
      <c r="B6" s="1"/>
      <c r="C6" s="2"/>
      <c r="D6" s="1"/>
      <c r="E6" s="1" t="s">
        <v>16</v>
      </c>
      <c r="F6" s="1"/>
      <c r="G6" s="3"/>
      <c r="H6" s="3"/>
      <c r="I6" s="1"/>
    </row>
    <row r="7" spans="1:9" ht="19.5" customHeight="1" x14ac:dyDescent="0.3">
      <c r="A7" s="33"/>
      <c r="B7" s="1"/>
      <c r="C7" s="2"/>
      <c r="D7" s="1"/>
      <c r="E7" s="1"/>
      <c r="F7" s="1"/>
      <c r="G7" s="3"/>
      <c r="H7" s="330" t="s">
        <v>17</v>
      </c>
      <c r="I7" s="330"/>
    </row>
    <row r="8" spans="1:9" ht="86.25" customHeight="1" x14ac:dyDescent="0.3">
      <c r="A8" s="33"/>
      <c r="B8" s="1"/>
      <c r="C8" s="2"/>
      <c r="D8" s="1"/>
      <c r="E8" s="331" t="s">
        <v>67</v>
      </c>
      <c r="F8" s="331"/>
      <c r="G8" s="331"/>
      <c r="H8" s="331"/>
      <c r="I8" s="331"/>
    </row>
    <row r="9" spans="1:9" x14ac:dyDescent="0.3">
      <c r="A9" s="34"/>
      <c r="B9" s="4"/>
      <c r="C9" s="5"/>
      <c r="D9" s="4"/>
      <c r="E9" s="332" t="s">
        <v>77</v>
      </c>
      <c r="F9" s="332"/>
      <c r="G9" s="332"/>
      <c r="H9" s="332"/>
      <c r="I9" s="332"/>
    </row>
    <row r="10" spans="1:9" x14ac:dyDescent="0.3">
      <c r="A10" s="35"/>
      <c r="B10" s="6"/>
      <c r="C10" s="7"/>
      <c r="D10" s="6"/>
      <c r="E10" s="6"/>
      <c r="F10" s="333" t="s">
        <v>18</v>
      </c>
      <c r="G10" s="333"/>
      <c r="H10" s="333"/>
      <c r="I10" s="333"/>
    </row>
    <row r="11" spans="1:9" ht="8.25" customHeight="1" x14ac:dyDescent="0.3">
      <c r="A11" s="34"/>
      <c r="B11" s="4"/>
      <c r="C11" s="5"/>
      <c r="D11" s="4"/>
      <c r="E11" s="8"/>
      <c r="F11" s="334"/>
      <c r="G11" s="334"/>
      <c r="H11" s="334"/>
      <c r="I11" s="334"/>
    </row>
    <row r="12" spans="1:9" x14ac:dyDescent="0.3">
      <c r="A12" s="35"/>
      <c r="B12" s="6"/>
      <c r="C12" s="7"/>
      <c r="D12" s="6"/>
      <c r="E12" s="6"/>
      <c r="F12" s="335" t="s">
        <v>19</v>
      </c>
      <c r="G12" s="335"/>
      <c r="H12" s="335"/>
      <c r="I12" s="335"/>
    </row>
    <row r="13" spans="1:9" x14ac:dyDescent="0.3">
      <c r="A13" s="34"/>
      <c r="B13" s="4"/>
      <c r="C13" s="5"/>
      <c r="D13" s="4"/>
      <c r="E13" s="4"/>
      <c r="F13" s="336" t="s">
        <v>96</v>
      </c>
      <c r="G13" s="336"/>
      <c r="H13" s="336"/>
      <c r="I13" s="336"/>
    </row>
    <row r="14" spans="1:9" ht="19.5" customHeight="1" x14ac:dyDescent="0.3">
      <c r="A14" s="34"/>
      <c r="B14" s="4"/>
      <c r="C14" s="5"/>
      <c r="D14" s="4"/>
      <c r="E14" s="9" t="s">
        <v>20</v>
      </c>
      <c r="F14" s="4"/>
      <c r="G14" s="10"/>
      <c r="H14" s="10"/>
      <c r="I14" s="4"/>
    </row>
    <row r="15" spans="1:9" x14ac:dyDescent="0.3">
      <c r="A15" s="34"/>
      <c r="B15" s="4"/>
      <c r="C15" s="11"/>
      <c r="D15" s="12"/>
      <c r="E15" s="12"/>
      <c r="F15" s="13"/>
      <c r="G15" s="336" t="s">
        <v>97</v>
      </c>
      <c r="H15" s="337"/>
      <c r="I15" s="337"/>
    </row>
    <row r="16" spans="1:9" x14ac:dyDescent="0.3">
      <c r="A16" s="34"/>
      <c r="B16" s="4"/>
      <c r="C16" s="323" t="s">
        <v>35</v>
      </c>
      <c r="D16" s="323"/>
      <c r="E16" s="323"/>
      <c r="F16" s="323"/>
      <c r="G16" s="323"/>
      <c r="H16" s="323"/>
      <c r="I16" s="12"/>
    </row>
    <row r="17" spans="1:10" x14ac:dyDescent="0.3">
      <c r="A17" s="35"/>
      <c r="B17" s="6"/>
      <c r="C17" s="319" t="s">
        <v>21</v>
      </c>
      <c r="D17" s="319"/>
      <c r="E17" s="319"/>
      <c r="F17" s="319"/>
      <c r="G17" s="319"/>
      <c r="H17" s="319"/>
      <c r="I17" s="6"/>
    </row>
    <row r="18" spans="1:10" ht="16.5" customHeight="1" x14ac:dyDescent="0.3">
      <c r="A18" s="327" t="s">
        <v>78</v>
      </c>
      <c r="B18" s="328"/>
      <c r="C18" s="328"/>
      <c r="D18" s="328"/>
      <c r="E18" s="328"/>
      <c r="F18" s="328"/>
      <c r="G18" s="328"/>
      <c r="H18" s="328"/>
      <c r="I18" s="328"/>
    </row>
    <row r="19" spans="1:10" ht="15.75" customHeight="1" x14ac:dyDescent="0.3">
      <c r="A19" s="328"/>
      <c r="B19" s="328"/>
      <c r="C19" s="328"/>
      <c r="D19" s="328"/>
      <c r="E19" s="328"/>
      <c r="F19" s="328"/>
      <c r="G19" s="328"/>
      <c r="H19" s="328"/>
      <c r="I19" s="328"/>
    </row>
    <row r="20" spans="1:10" ht="15.75" customHeight="1" x14ac:dyDescent="0.3">
      <c r="A20" s="321" t="s">
        <v>80</v>
      </c>
      <c r="B20" s="321"/>
      <c r="C20" s="321"/>
      <c r="D20" s="321"/>
      <c r="E20" s="321"/>
      <c r="F20" s="321"/>
      <c r="G20" s="338" t="s">
        <v>81</v>
      </c>
      <c r="H20" s="338"/>
      <c r="I20" s="338"/>
      <c r="J20" s="338"/>
    </row>
    <row r="21" spans="1:10" ht="9.75" customHeight="1" x14ac:dyDescent="0.3">
      <c r="A21" s="48"/>
      <c r="B21" s="48"/>
      <c r="C21" s="18"/>
      <c r="D21" s="319" t="s">
        <v>18</v>
      </c>
      <c r="E21" s="319"/>
      <c r="F21" s="319"/>
      <c r="G21" s="19"/>
      <c r="H21" s="19"/>
      <c r="I21" s="19"/>
      <c r="J21" s="18"/>
    </row>
    <row r="22" spans="1:10" ht="29.25" customHeight="1" x14ac:dyDescent="0.3">
      <c r="A22" s="321" t="s">
        <v>83</v>
      </c>
      <c r="B22" s="321"/>
      <c r="C22" s="321"/>
      <c r="D22" s="321"/>
      <c r="E22" s="321"/>
      <c r="F22" s="321"/>
      <c r="G22" s="322" t="s">
        <v>84</v>
      </c>
      <c r="H22" s="322"/>
      <c r="I22" s="322"/>
      <c r="J22" s="322"/>
    </row>
    <row r="23" spans="1:10" ht="12.75" customHeight="1" x14ac:dyDescent="0.3">
      <c r="A23" s="48"/>
      <c r="B23" s="48"/>
      <c r="C23" s="93"/>
      <c r="D23" s="319" t="s">
        <v>18</v>
      </c>
      <c r="E23" s="319"/>
      <c r="F23" s="319"/>
      <c r="G23" s="19"/>
      <c r="H23" s="19"/>
      <c r="I23" s="19"/>
      <c r="J23" s="18"/>
    </row>
    <row r="24" spans="1:10" x14ac:dyDescent="0.3">
      <c r="A24" s="311" t="s">
        <v>22</v>
      </c>
      <c r="B24" s="311"/>
      <c r="C24" s="311"/>
      <c r="D24" s="311"/>
      <c r="E24" s="311"/>
      <c r="F24" s="311"/>
      <c r="G24" s="324" t="s">
        <v>23</v>
      </c>
      <c r="H24" s="324"/>
      <c r="I24" s="324"/>
      <c r="J24" s="324"/>
    </row>
    <row r="25" spans="1:10" ht="9.75" customHeight="1" x14ac:dyDescent="0.3">
      <c r="A25" s="36"/>
      <c r="B25" s="14"/>
      <c r="C25" s="7"/>
      <c r="D25" s="92" t="s">
        <v>18</v>
      </c>
      <c r="E25" s="92"/>
      <c r="F25" s="92"/>
      <c r="G25" s="16"/>
      <c r="H25" s="16"/>
      <c r="I25" s="6"/>
    </row>
    <row r="26" spans="1:10" ht="29.25" customHeight="1" x14ac:dyDescent="0.3">
      <c r="A26" s="325" t="s">
        <v>85</v>
      </c>
      <c r="B26" s="326"/>
      <c r="C26" s="326"/>
      <c r="D26" s="326"/>
      <c r="E26" s="326"/>
      <c r="F26" s="326"/>
      <c r="G26" s="324" t="s">
        <v>24</v>
      </c>
      <c r="H26" s="324"/>
      <c r="I26" s="324"/>
      <c r="J26" s="324"/>
    </row>
    <row r="27" spans="1:10" ht="10.5" customHeight="1" x14ac:dyDescent="0.3">
      <c r="A27" s="36"/>
      <c r="B27" s="14"/>
      <c r="C27" s="17"/>
      <c r="D27" s="92" t="s">
        <v>18</v>
      </c>
      <c r="E27" s="92"/>
      <c r="F27" s="92"/>
      <c r="G27" s="16"/>
      <c r="H27" s="16"/>
      <c r="I27" s="6"/>
    </row>
    <row r="28" spans="1:10" ht="28.5" customHeight="1" x14ac:dyDescent="0.3">
      <c r="A28" s="321" t="s">
        <v>85</v>
      </c>
      <c r="B28" s="321"/>
      <c r="C28" s="321"/>
      <c r="D28" s="321"/>
      <c r="E28" s="321"/>
      <c r="F28" s="321"/>
      <c r="G28" s="322" t="s">
        <v>86</v>
      </c>
      <c r="H28" s="322"/>
      <c r="I28" s="322"/>
      <c r="J28" s="322"/>
    </row>
    <row r="29" spans="1:10" ht="10.5" customHeight="1" x14ac:dyDescent="0.3">
      <c r="A29" s="48"/>
      <c r="B29" s="48"/>
      <c r="C29" s="93"/>
      <c r="D29" s="319" t="s">
        <v>18</v>
      </c>
      <c r="E29" s="319"/>
      <c r="F29" s="319"/>
      <c r="G29" s="19"/>
      <c r="H29" s="19"/>
      <c r="I29" s="19"/>
      <c r="J29" s="18"/>
    </row>
    <row r="30" spans="1:10" ht="15.75" customHeight="1" x14ac:dyDescent="0.3">
      <c r="A30" s="321" t="s">
        <v>87</v>
      </c>
      <c r="B30" s="321"/>
      <c r="C30" s="321"/>
      <c r="D30" s="321"/>
      <c r="E30" s="321"/>
      <c r="F30" s="321"/>
      <c r="G30" s="308" t="s">
        <v>88</v>
      </c>
      <c r="H30" s="308"/>
      <c r="I30" s="308"/>
      <c r="J30" s="308"/>
    </row>
    <row r="31" spans="1:10" ht="12.75" customHeight="1" x14ac:dyDescent="0.3">
      <c r="A31" s="48"/>
      <c r="B31" s="48"/>
      <c r="C31" s="93"/>
      <c r="D31" s="319" t="s">
        <v>18</v>
      </c>
      <c r="E31" s="319"/>
      <c r="F31" s="319"/>
      <c r="G31" s="19"/>
      <c r="H31" s="19"/>
      <c r="I31" s="19"/>
      <c r="J31" s="18"/>
    </row>
    <row r="32" spans="1:10" x14ac:dyDescent="0.3">
      <c r="A32" s="311" t="s">
        <v>89</v>
      </c>
      <c r="B32" s="311"/>
      <c r="C32" s="311"/>
      <c r="D32" s="311"/>
      <c r="E32" s="311"/>
      <c r="F32" s="311"/>
      <c r="G32" s="311"/>
      <c r="H32" s="311"/>
      <c r="I32" s="311"/>
      <c r="J32" s="311"/>
    </row>
    <row r="33" spans="1:10" ht="12" customHeight="1" x14ac:dyDescent="0.3">
      <c r="A33" s="36"/>
      <c r="B33" s="14"/>
      <c r="C33" s="17"/>
      <c r="D33" s="92" t="s">
        <v>18</v>
      </c>
      <c r="E33" s="92"/>
      <c r="F33" s="92"/>
      <c r="G33" s="16"/>
      <c r="H33" s="16"/>
      <c r="I33" s="6"/>
    </row>
    <row r="34" spans="1:10" x14ac:dyDescent="0.3">
      <c r="A34" s="323" t="s">
        <v>100</v>
      </c>
      <c r="B34" s="323"/>
      <c r="C34" s="323"/>
      <c r="D34" s="323"/>
      <c r="E34" s="323"/>
      <c r="F34" s="323"/>
      <c r="G34" s="323"/>
      <c r="H34" s="323"/>
      <c r="I34" s="323"/>
      <c r="J34" s="323"/>
    </row>
    <row r="35" spans="1:10" ht="11.25" customHeight="1" x14ac:dyDescent="0.3">
      <c r="A35" s="36"/>
      <c r="B35" s="14"/>
      <c r="C35" s="17"/>
      <c r="D35" s="92" t="s">
        <v>18</v>
      </c>
      <c r="E35" s="92"/>
      <c r="F35" s="92"/>
      <c r="G35" s="16"/>
      <c r="H35" s="16"/>
      <c r="I35" s="6"/>
    </row>
    <row r="36" spans="1:10" x14ac:dyDescent="0.3">
      <c r="A36" s="311" t="s">
        <v>101</v>
      </c>
      <c r="B36" s="311"/>
      <c r="C36" s="311"/>
      <c r="D36" s="311"/>
      <c r="E36" s="311"/>
      <c r="F36" s="311"/>
      <c r="G36" s="311"/>
      <c r="H36" s="311"/>
      <c r="I36" s="311"/>
      <c r="J36" s="311"/>
    </row>
    <row r="37" spans="1:10" ht="12" customHeight="1" x14ac:dyDescent="0.3">
      <c r="A37" s="36"/>
      <c r="B37" s="14"/>
      <c r="C37" s="17"/>
      <c r="D37" s="92" t="s">
        <v>18</v>
      </c>
      <c r="E37" s="92"/>
      <c r="F37" s="92"/>
      <c r="G37" s="16"/>
      <c r="H37" s="16"/>
      <c r="I37" s="6"/>
    </row>
    <row r="38" spans="1:10" ht="30" customHeight="1" x14ac:dyDescent="0.3">
      <c r="A38" s="314" t="s">
        <v>99</v>
      </c>
      <c r="B38" s="315"/>
      <c r="C38" s="315"/>
      <c r="D38" s="315"/>
      <c r="E38" s="315"/>
      <c r="F38" s="315"/>
      <c r="G38" s="315"/>
      <c r="H38" s="315"/>
      <c r="I38" s="315"/>
    </row>
    <row r="39" spans="1:10" ht="2.25" customHeight="1" x14ac:dyDescent="0.3">
      <c r="A39" s="316" t="s">
        <v>25</v>
      </c>
      <c r="B39" s="308"/>
      <c r="C39" s="308"/>
      <c r="D39" s="18"/>
      <c r="E39" s="18"/>
      <c r="F39" s="18"/>
      <c r="G39" s="19"/>
      <c r="H39" s="19"/>
      <c r="I39" s="18"/>
    </row>
    <row r="40" spans="1:10" ht="46.8" x14ac:dyDescent="0.3">
      <c r="A40" s="20" t="s">
        <v>26</v>
      </c>
      <c r="B40" s="20" t="s">
        <v>27</v>
      </c>
      <c r="C40" s="21" t="s">
        <v>28</v>
      </c>
      <c r="D40" s="21" t="s">
        <v>29</v>
      </c>
      <c r="E40" s="20" t="s">
        <v>30</v>
      </c>
      <c r="F40" s="22" t="s">
        <v>31</v>
      </c>
      <c r="G40" s="23" t="s">
        <v>32</v>
      </c>
      <c r="H40" s="22" t="s">
        <v>33</v>
      </c>
      <c r="I40" s="24" t="s">
        <v>34</v>
      </c>
    </row>
    <row r="41" spans="1:10" ht="15.6" x14ac:dyDescent="0.3">
      <c r="A41" s="37">
        <v>1</v>
      </c>
      <c r="B41" s="57">
        <v>2019</v>
      </c>
      <c r="C41" s="58" t="s">
        <v>0</v>
      </c>
      <c r="D41" s="59" t="s">
        <v>1</v>
      </c>
      <c r="E41" s="60">
        <v>5</v>
      </c>
      <c r="F41" s="61">
        <v>11.8</v>
      </c>
      <c r="G41" s="61">
        <f>F41*E41</f>
        <v>59</v>
      </c>
      <c r="H41" s="78"/>
      <c r="I41" s="27"/>
    </row>
    <row r="42" spans="1:10" ht="15.6" x14ac:dyDescent="0.3">
      <c r="A42" s="37">
        <v>2</v>
      </c>
      <c r="B42" s="57">
        <v>2015</v>
      </c>
      <c r="C42" s="58" t="s">
        <v>2</v>
      </c>
      <c r="D42" s="59" t="s">
        <v>1</v>
      </c>
      <c r="E42" s="60">
        <v>2</v>
      </c>
      <c r="F42" s="61">
        <v>59</v>
      </c>
      <c r="G42" s="61">
        <f t="shared" ref="G42:G50" si="0">F42*E42</f>
        <v>118</v>
      </c>
      <c r="H42" s="78"/>
      <c r="I42" s="27"/>
    </row>
    <row r="43" spans="1:10" ht="15.6" x14ac:dyDescent="0.3">
      <c r="A43" s="37">
        <v>3</v>
      </c>
      <c r="B43" s="57">
        <v>2014</v>
      </c>
      <c r="C43" s="62" t="s">
        <v>3</v>
      </c>
      <c r="D43" s="59" t="s">
        <v>1</v>
      </c>
      <c r="E43" s="60">
        <v>1</v>
      </c>
      <c r="F43" s="61">
        <v>157.66</v>
      </c>
      <c r="G43" s="61">
        <f t="shared" si="0"/>
        <v>157.66</v>
      </c>
      <c r="H43" s="78"/>
      <c r="I43" s="27"/>
    </row>
    <row r="44" spans="1:10" ht="15.6" x14ac:dyDescent="0.3">
      <c r="A44" s="37">
        <v>4</v>
      </c>
      <c r="B44" s="57">
        <v>2020</v>
      </c>
      <c r="C44" s="62" t="s">
        <v>4</v>
      </c>
      <c r="D44" s="59" t="s">
        <v>1</v>
      </c>
      <c r="E44" s="60">
        <v>6</v>
      </c>
      <c r="F44" s="61">
        <v>21.48</v>
      </c>
      <c r="G44" s="61">
        <f t="shared" si="0"/>
        <v>128.88</v>
      </c>
      <c r="H44" s="78"/>
      <c r="I44" s="27"/>
    </row>
    <row r="45" spans="1:10" ht="15.6" x14ac:dyDescent="0.3">
      <c r="A45" s="37">
        <v>5</v>
      </c>
      <c r="B45" s="57">
        <v>2019</v>
      </c>
      <c r="C45" s="63" t="s">
        <v>6</v>
      </c>
      <c r="D45" s="59" t="s">
        <v>1</v>
      </c>
      <c r="E45" s="64">
        <v>10</v>
      </c>
      <c r="F45" s="65">
        <v>60.215499999999999</v>
      </c>
      <c r="G45" s="61">
        <f t="shared" si="0"/>
        <v>602.15499999999997</v>
      </c>
      <c r="H45" s="78"/>
      <c r="I45" s="27"/>
    </row>
    <row r="46" spans="1:10" ht="15.6" x14ac:dyDescent="0.3">
      <c r="A46" s="37">
        <v>6</v>
      </c>
      <c r="B46" s="57">
        <v>2019</v>
      </c>
      <c r="C46" s="66" t="s">
        <v>7</v>
      </c>
      <c r="D46" s="59" t="s">
        <v>1</v>
      </c>
      <c r="E46" s="64">
        <v>8</v>
      </c>
      <c r="F46" s="65">
        <v>26.361000000000001</v>
      </c>
      <c r="G46" s="61">
        <f t="shared" si="0"/>
        <v>210.88800000000001</v>
      </c>
      <c r="H46" s="78"/>
      <c r="I46" s="27"/>
    </row>
    <row r="47" spans="1:10" ht="15.6" x14ac:dyDescent="0.3">
      <c r="A47" s="37">
        <v>7</v>
      </c>
      <c r="B47" s="57">
        <v>2019</v>
      </c>
      <c r="C47" s="66" t="s">
        <v>8</v>
      </c>
      <c r="D47" s="59" t="s">
        <v>1</v>
      </c>
      <c r="E47" s="64">
        <v>8</v>
      </c>
      <c r="F47" s="65">
        <v>21.818000000000001</v>
      </c>
      <c r="G47" s="61">
        <f t="shared" si="0"/>
        <v>174.54400000000001</v>
      </c>
      <c r="H47" s="78"/>
      <c r="I47" s="27"/>
    </row>
    <row r="48" spans="1:10" ht="15.6" x14ac:dyDescent="0.3">
      <c r="A48" s="37">
        <v>8</v>
      </c>
      <c r="B48" s="57">
        <v>2016</v>
      </c>
      <c r="C48" s="66" t="s">
        <v>9</v>
      </c>
      <c r="D48" s="57" t="s">
        <v>1</v>
      </c>
      <c r="E48" s="60">
        <v>10</v>
      </c>
      <c r="F48" s="61">
        <v>59.294999999999995</v>
      </c>
      <c r="G48" s="61">
        <f t="shared" si="0"/>
        <v>592.94999999999993</v>
      </c>
      <c r="H48" s="78"/>
      <c r="I48" s="27"/>
    </row>
    <row r="49" spans="1:10" ht="31.2" x14ac:dyDescent="0.3">
      <c r="A49" s="37">
        <v>9</v>
      </c>
      <c r="B49" s="57">
        <v>2019</v>
      </c>
      <c r="C49" s="66" t="s">
        <v>5</v>
      </c>
      <c r="D49" s="57" t="s">
        <v>1</v>
      </c>
      <c r="E49" s="64">
        <v>1</v>
      </c>
      <c r="F49" s="65">
        <v>19.12</v>
      </c>
      <c r="G49" s="61">
        <f t="shared" si="0"/>
        <v>19.12</v>
      </c>
      <c r="H49" s="78"/>
      <c r="I49" s="27"/>
    </row>
    <row r="50" spans="1:10" ht="16.2" thickBot="1" x14ac:dyDescent="0.35">
      <c r="A50" s="38">
        <v>10</v>
      </c>
      <c r="B50" s="67">
        <v>2019</v>
      </c>
      <c r="C50" s="68" t="s">
        <v>10</v>
      </c>
      <c r="D50" s="67" t="s">
        <v>1</v>
      </c>
      <c r="E50" s="69">
        <v>4</v>
      </c>
      <c r="F50" s="70">
        <v>24.637999999999998</v>
      </c>
      <c r="G50" s="70">
        <f t="shared" si="0"/>
        <v>98.551999999999992</v>
      </c>
      <c r="H50" s="79"/>
      <c r="I50" s="28"/>
    </row>
    <row r="51" spans="1:10" ht="16.2" thickBot="1" x14ac:dyDescent="0.35">
      <c r="A51" s="39"/>
      <c r="B51" s="29"/>
      <c r="C51" s="31" t="s">
        <v>36</v>
      </c>
      <c r="D51" s="31"/>
      <c r="E51" s="31"/>
      <c r="F51" s="31"/>
      <c r="G51" s="32">
        <f>SUM(G41:G50)</f>
        <v>2161.7489999999998</v>
      </c>
      <c r="H51" s="41"/>
      <c r="I51" s="30"/>
    </row>
    <row r="52" spans="1:10" ht="15.6" x14ac:dyDescent="0.3">
      <c r="A52" s="2" t="s">
        <v>37</v>
      </c>
      <c r="B52" s="2"/>
      <c r="C52" s="317" t="s">
        <v>50</v>
      </c>
      <c r="D52" s="318"/>
      <c r="E52" s="318"/>
      <c r="F52" s="318"/>
      <c r="G52" s="318"/>
      <c r="H52" s="318"/>
      <c r="I52" s="318"/>
    </row>
    <row r="53" spans="1:10" x14ac:dyDescent="0.3">
      <c r="A53" s="315" t="s">
        <v>38</v>
      </c>
      <c r="B53" s="315"/>
      <c r="C53" s="315"/>
      <c r="D53" s="315"/>
      <c r="E53" s="315"/>
      <c r="F53" s="315"/>
      <c r="G53" s="315"/>
      <c r="H53" s="315"/>
      <c r="I53" s="315"/>
    </row>
    <row r="54" spans="1:10" ht="43.5" customHeight="1" x14ac:dyDescent="0.3">
      <c r="A54" s="315"/>
      <c r="B54" s="315"/>
      <c r="C54" s="315"/>
      <c r="D54" s="315"/>
      <c r="E54" s="315"/>
      <c r="F54" s="315"/>
      <c r="G54" s="315"/>
      <c r="H54" s="315"/>
      <c r="I54" s="315"/>
    </row>
    <row r="55" spans="1:10" ht="46.5" customHeight="1" x14ac:dyDescent="0.3">
      <c r="A55" s="312" t="s">
        <v>39</v>
      </c>
      <c r="B55" s="313"/>
      <c r="C55" s="313"/>
      <c r="D55" s="313"/>
      <c r="E55" s="313"/>
      <c r="F55" s="313"/>
      <c r="G55" s="313"/>
      <c r="H55" s="313"/>
      <c r="I55" s="313"/>
    </row>
    <row r="56" spans="1:10" ht="15.6" x14ac:dyDescent="0.3">
      <c r="A56" s="2" t="s">
        <v>40</v>
      </c>
      <c r="B56" s="2"/>
      <c r="C56" s="2"/>
      <c r="D56" s="2"/>
      <c r="E56" s="2"/>
      <c r="F56" s="2"/>
      <c r="G56" s="42"/>
      <c r="H56" s="42"/>
      <c r="I56" s="2"/>
    </row>
    <row r="57" spans="1:10" ht="15.6" x14ac:dyDescent="0.3">
      <c r="A57" s="2" t="s">
        <v>41</v>
      </c>
      <c r="B57" s="2"/>
      <c r="C57" s="43"/>
      <c r="D57" s="43"/>
      <c r="E57" s="43"/>
      <c r="F57" s="43"/>
      <c r="G57" s="44"/>
      <c r="H57" s="44"/>
      <c r="I57" s="45"/>
    </row>
    <row r="58" spans="1:10" ht="93.75" customHeight="1" x14ac:dyDescent="0.3">
      <c r="A58" s="46" t="s">
        <v>42</v>
      </c>
      <c r="B58" s="47"/>
      <c r="C58" s="312" t="s">
        <v>43</v>
      </c>
      <c r="D58" s="313"/>
      <c r="E58" s="313"/>
      <c r="F58" s="313"/>
      <c r="G58" s="313"/>
      <c r="H58" s="313"/>
      <c r="I58" s="313"/>
    </row>
    <row r="59" spans="1:10" ht="15.6" x14ac:dyDescent="0.3">
      <c r="A59" s="320" t="s">
        <v>94</v>
      </c>
      <c r="B59" s="321"/>
      <c r="C59" s="321"/>
      <c r="D59" s="321"/>
      <c r="E59" s="321"/>
      <c r="F59" s="321"/>
      <c r="G59" s="322"/>
      <c r="H59" s="322"/>
      <c r="I59" s="322"/>
    </row>
    <row r="60" spans="1:10" x14ac:dyDescent="0.3">
      <c r="A60" s="48"/>
      <c r="B60" s="48"/>
      <c r="C60" s="319" t="s">
        <v>44</v>
      </c>
      <c r="D60" s="319"/>
      <c r="E60" s="319"/>
      <c r="F60" s="319"/>
      <c r="G60" s="18"/>
      <c r="H60" s="18"/>
      <c r="I60" s="18" t="s">
        <v>45</v>
      </c>
    </row>
    <row r="61" spans="1:10" ht="15.6" x14ac:dyDescent="0.3">
      <c r="A61" s="309" t="s">
        <v>92</v>
      </c>
      <c r="B61" s="309"/>
      <c r="C61" s="309"/>
      <c r="D61" s="309"/>
      <c r="E61" s="309"/>
      <c r="F61" s="309"/>
      <c r="G61" s="308"/>
      <c r="H61" s="308"/>
      <c r="I61" s="308"/>
      <c r="J61" s="96"/>
    </row>
    <row r="62" spans="1:10" x14ac:dyDescent="0.3">
      <c r="A62" s="48"/>
      <c r="B62" s="48"/>
      <c r="C62" s="310" t="s">
        <v>44</v>
      </c>
      <c r="D62" s="310"/>
      <c r="E62" s="310"/>
      <c r="F62" s="310"/>
      <c r="G62" s="18"/>
      <c r="H62" s="18"/>
      <c r="I62" s="18" t="s">
        <v>45</v>
      </c>
      <c r="J62" s="18"/>
    </row>
    <row r="63" spans="1:10" ht="15.6" x14ac:dyDescent="0.3">
      <c r="A63" s="339" t="s">
        <v>95</v>
      </c>
      <c r="B63" s="340"/>
      <c r="C63" s="340"/>
      <c r="D63" s="340"/>
      <c r="E63" s="340"/>
      <c r="F63" s="340"/>
      <c r="G63" s="322"/>
      <c r="H63" s="322"/>
      <c r="I63" s="322"/>
    </row>
    <row r="64" spans="1:10" x14ac:dyDescent="0.3">
      <c r="A64" s="48"/>
      <c r="B64" s="48"/>
      <c r="C64" s="319" t="s">
        <v>44</v>
      </c>
      <c r="D64" s="319"/>
      <c r="E64" s="319"/>
      <c r="F64" s="319"/>
      <c r="G64" s="18"/>
      <c r="H64" s="18"/>
      <c r="I64" s="18" t="s">
        <v>45</v>
      </c>
    </row>
    <row r="65" spans="1:10" ht="15.6" x14ac:dyDescent="0.3">
      <c r="A65" s="341" t="s">
        <v>47</v>
      </c>
      <c r="B65" s="342"/>
      <c r="C65" s="342"/>
      <c r="D65" s="342"/>
      <c r="E65" s="342"/>
      <c r="F65" s="342"/>
      <c r="G65" s="342"/>
      <c r="H65" s="342"/>
      <c r="I65" s="342"/>
    </row>
    <row r="66" spans="1:10" x14ac:dyDescent="0.3">
      <c r="A66" s="48"/>
      <c r="B66" s="48"/>
      <c r="C66" s="319" t="s">
        <v>44</v>
      </c>
      <c r="D66" s="319"/>
      <c r="E66" s="319"/>
      <c r="F66" s="319"/>
      <c r="G66" s="18"/>
      <c r="H66" s="18"/>
      <c r="I66" s="18" t="s">
        <v>45</v>
      </c>
    </row>
    <row r="67" spans="1:10" ht="15.6" x14ac:dyDescent="0.3">
      <c r="A67" s="95" t="s">
        <v>91</v>
      </c>
      <c r="B67" s="95"/>
      <c r="C67" s="95"/>
      <c r="D67" s="95"/>
      <c r="E67" s="95"/>
      <c r="F67" s="95"/>
      <c r="G67" s="95"/>
      <c r="H67" s="95"/>
      <c r="I67" s="95"/>
      <c r="J67" s="96"/>
    </row>
    <row r="68" spans="1:10" x14ac:dyDescent="0.3">
      <c r="A68" s="48"/>
      <c r="B68" s="48"/>
      <c r="C68" s="310" t="s">
        <v>44</v>
      </c>
      <c r="D68" s="310"/>
      <c r="E68" s="310"/>
      <c r="F68" s="310"/>
      <c r="G68" s="18"/>
      <c r="H68" s="18"/>
      <c r="I68" s="18" t="s">
        <v>45</v>
      </c>
      <c r="J68" s="18"/>
    </row>
    <row r="69" spans="1:10" ht="15.75" customHeight="1" x14ac:dyDescent="0.3">
      <c r="A69" s="309" t="s">
        <v>90</v>
      </c>
      <c r="B69" s="309"/>
      <c r="C69" s="309"/>
      <c r="D69" s="309"/>
      <c r="E69" s="309"/>
      <c r="F69" s="309"/>
      <c r="G69" s="308"/>
      <c r="H69" s="308"/>
      <c r="I69" s="308"/>
      <c r="J69" s="96"/>
    </row>
    <row r="70" spans="1:10" x14ac:dyDescent="0.3">
      <c r="A70" s="48"/>
      <c r="B70" s="48"/>
      <c r="C70" s="310" t="s">
        <v>44</v>
      </c>
      <c r="D70" s="310"/>
      <c r="E70" s="310"/>
      <c r="F70" s="310"/>
      <c r="G70" s="18"/>
      <c r="H70" s="18"/>
      <c r="I70" s="18" t="s">
        <v>45</v>
      </c>
      <c r="J70" s="18"/>
    </row>
    <row r="71" spans="1:10" ht="15.6" x14ac:dyDescent="0.3">
      <c r="A71" s="320" t="s">
        <v>48</v>
      </c>
      <c r="B71" s="321"/>
      <c r="C71" s="321"/>
      <c r="D71" s="321"/>
      <c r="E71" s="321"/>
      <c r="F71" s="321"/>
      <c r="G71" s="321"/>
      <c r="H71" s="321"/>
      <c r="I71" s="321"/>
    </row>
    <row r="72" spans="1:10" x14ac:dyDescent="0.3">
      <c r="A72" s="52"/>
      <c r="B72" s="53"/>
      <c r="C72" s="343" t="s">
        <v>49</v>
      </c>
      <c r="D72" s="344"/>
      <c r="E72" s="344"/>
      <c r="F72" s="54"/>
      <c r="G72" s="55"/>
      <c r="H72" s="55"/>
      <c r="I72" s="55" t="s">
        <v>45</v>
      </c>
    </row>
    <row r="73" spans="1:10" ht="15.6" x14ac:dyDescent="0.3">
      <c r="A73" s="339" t="s">
        <v>63</v>
      </c>
      <c r="B73" s="340"/>
      <c r="C73" s="340"/>
      <c r="D73" s="340"/>
      <c r="E73" s="340"/>
      <c r="F73" s="340"/>
      <c r="G73" s="340"/>
      <c r="H73" s="340"/>
      <c r="I73" s="340"/>
    </row>
    <row r="74" spans="1:10" x14ac:dyDescent="0.3">
      <c r="A74" s="48"/>
      <c r="B74" s="48"/>
      <c r="C74" s="319" t="s">
        <v>44</v>
      </c>
      <c r="D74" s="319"/>
      <c r="E74" s="319"/>
      <c r="F74" s="319"/>
      <c r="G74" s="18"/>
      <c r="H74" s="18"/>
      <c r="I74" s="18" t="s">
        <v>45</v>
      </c>
    </row>
    <row r="75" spans="1:10" ht="15.6" x14ac:dyDescent="0.3">
      <c r="A75" s="341" t="s">
        <v>102</v>
      </c>
      <c r="B75" s="341"/>
      <c r="C75" s="341"/>
      <c r="D75" s="341"/>
      <c r="E75" s="341"/>
      <c r="F75" s="341"/>
      <c r="G75" s="341"/>
      <c r="H75" s="341"/>
      <c r="I75" s="341"/>
    </row>
    <row r="76" spans="1:10" x14ac:dyDescent="0.3">
      <c r="A76" s="48"/>
      <c r="B76" s="48"/>
      <c r="C76" s="319" t="s">
        <v>44</v>
      </c>
      <c r="D76" s="319"/>
      <c r="E76" s="319"/>
      <c r="F76" s="319"/>
      <c r="G76" s="18"/>
      <c r="H76" s="18"/>
      <c r="I76" s="18" t="s">
        <v>45</v>
      </c>
    </row>
    <row r="77" spans="1:10" x14ac:dyDescent="0.3">
      <c r="A77"/>
      <c r="C77" s="56"/>
    </row>
  </sheetData>
  <mergeCells count="58">
    <mergeCell ref="C74:F74"/>
    <mergeCell ref="A75:I75"/>
    <mergeCell ref="C76:F76"/>
    <mergeCell ref="C70:F70"/>
    <mergeCell ref="A71:I71"/>
    <mergeCell ref="C72:E72"/>
    <mergeCell ref="A73:I73"/>
    <mergeCell ref="C60:F60"/>
    <mergeCell ref="A63:F63"/>
    <mergeCell ref="G63:I63"/>
    <mergeCell ref="C64:F64"/>
    <mergeCell ref="A65:I65"/>
    <mergeCell ref="A20:F20"/>
    <mergeCell ref="A24:F24"/>
    <mergeCell ref="G20:J20"/>
    <mergeCell ref="D21:F21"/>
    <mergeCell ref="A22:F22"/>
    <mergeCell ref="G22:J22"/>
    <mergeCell ref="D23:F23"/>
    <mergeCell ref="A18:I19"/>
    <mergeCell ref="E1:I1"/>
    <mergeCell ref="H7:I7"/>
    <mergeCell ref="E8:I8"/>
    <mergeCell ref="E9:I9"/>
    <mergeCell ref="F10:I10"/>
    <mergeCell ref="F11:I11"/>
    <mergeCell ref="F12:I12"/>
    <mergeCell ref="F13:I13"/>
    <mergeCell ref="G15:I15"/>
    <mergeCell ref="C16:H16"/>
    <mergeCell ref="C17:H17"/>
    <mergeCell ref="D31:F31"/>
    <mergeCell ref="A34:J34"/>
    <mergeCell ref="A32:J32"/>
    <mergeCell ref="G26:J26"/>
    <mergeCell ref="G24:J24"/>
    <mergeCell ref="A26:F26"/>
    <mergeCell ref="A30:F30"/>
    <mergeCell ref="A28:F28"/>
    <mergeCell ref="G28:J28"/>
    <mergeCell ref="D29:F29"/>
    <mergeCell ref="G30:J30"/>
    <mergeCell ref="G69:I69"/>
    <mergeCell ref="A69:F69"/>
    <mergeCell ref="C68:F68"/>
    <mergeCell ref="A36:J36"/>
    <mergeCell ref="A61:F61"/>
    <mergeCell ref="G61:I61"/>
    <mergeCell ref="C62:F62"/>
    <mergeCell ref="A55:I55"/>
    <mergeCell ref="A38:I38"/>
    <mergeCell ref="A39:C39"/>
    <mergeCell ref="C52:I52"/>
    <mergeCell ref="A53:I54"/>
    <mergeCell ref="C66:F66"/>
    <mergeCell ref="C58:I58"/>
    <mergeCell ref="A59:F59"/>
    <mergeCell ref="G59:I59"/>
  </mergeCells>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0"/>
  <sheetViews>
    <sheetView workbookViewId="0">
      <selection activeCell="D28" sqref="D28:G28"/>
    </sheetView>
  </sheetViews>
  <sheetFormatPr defaultRowHeight="14.4" x14ac:dyDescent="0.3"/>
  <cols>
    <col min="3" max="3" width="9.109375" customWidth="1"/>
    <col min="4" max="4" width="17" customWidth="1"/>
  </cols>
  <sheetData>
    <row r="1" spans="1:9" ht="20.25" customHeight="1" x14ac:dyDescent="0.3">
      <c r="A1" s="71"/>
      <c r="B1" s="348" t="s">
        <v>51</v>
      </c>
      <c r="C1" s="348"/>
      <c r="D1" s="348"/>
      <c r="E1" s="348"/>
      <c r="F1" s="348"/>
    </row>
    <row r="2" spans="1:9" ht="20.25" customHeight="1" x14ac:dyDescent="0.3">
      <c r="A2" s="71"/>
      <c r="B2" s="348" t="s">
        <v>66</v>
      </c>
      <c r="C2" s="348"/>
      <c r="D2" s="348"/>
      <c r="E2" s="350" t="s">
        <v>103</v>
      </c>
      <c r="F2" s="350"/>
      <c r="G2" s="350"/>
      <c r="H2" s="350"/>
    </row>
    <row r="3" spans="1:9" ht="22.8" x14ac:dyDescent="0.3">
      <c r="A3" s="71"/>
      <c r="B3" s="71"/>
      <c r="C3" s="349" t="s">
        <v>52</v>
      </c>
      <c r="D3" s="349"/>
      <c r="E3" s="349"/>
    </row>
    <row r="4" spans="1:9" x14ac:dyDescent="0.3">
      <c r="A4" s="72"/>
      <c r="B4" s="72"/>
      <c r="C4" s="73"/>
      <c r="D4" s="72"/>
      <c r="E4" s="72"/>
    </row>
    <row r="5" spans="1:9" ht="18" x14ac:dyDescent="0.35">
      <c r="A5" s="352" t="s">
        <v>65</v>
      </c>
      <c r="B5" s="352"/>
      <c r="C5" s="352"/>
      <c r="D5" s="352"/>
      <c r="E5" s="352"/>
      <c r="F5" s="352"/>
      <c r="G5" s="352"/>
      <c r="H5" s="352"/>
      <c r="I5" s="352"/>
    </row>
    <row r="6" spans="1:9" ht="18" x14ac:dyDescent="0.35">
      <c r="A6" s="353" t="s">
        <v>105</v>
      </c>
      <c r="B6" s="353"/>
      <c r="C6" s="353"/>
      <c r="D6" s="353"/>
      <c r="E6" s="353"/>
      <c r="F6" s="353"/>
      <c r="G6" s="353"/>
      <c r="H6" s="353"/>
      <c r="I6" s="353"/>
    </row>
    <row r="7" spans="1:9" ht="18" x14ac:dyDescent="0.35">
      <c r="A7" s="352" t="s">
        <v>106</v>
      </c>
      <c r="B7" s="352"/>
      <c r="C7" s="352"/>
      <c r="D7" s="352"/>
      <c r="E7" s="352"/>
      <c r="F7" s="352"/>
      <c r="G7" s="352"/>
      <c r="H7" s="352"/>
    </row>
    <row r="8" spans="1:9" ht="18" x14ac:dyDescent="0.35">
      <c r="A8" s="352" t="s">
        <v>107</v>
      </c>
      <c r="B8" s="352"/>
      <c r="C8" s="352"/>
      <c r="D8" s="352"/>
      <c r="E8" s="352"/>
      <c r="F8" s="352"/>
      <c r="G8" s="352"/>
      <c r="H8" s="352"/>
    </row>
    <row r="9" spans="1:9" ht="18" x14ac:dyDescent="0.35">
      <c r="A9" s="352" t="s">
        <v>108</v>
      </c>
      <c r="B9" s="352"/>
      <c r="C9" s="352"/>
      <c r="D9" s="352"/>
      <c r="E9" s="352"/>
      <c r="F9" s="352"/>
      <c r="G9" s="352"/>
      <c r="H9" s="352"/>
    </row>
    <row r="11" spans="1:9" ht="36" x14ac:dyDescent="0.35">
      <c r="B11" s="85" t="s">
        <v>58</v>
      </c>
      <c r="C11" s="85" t="s">
        <v>59</v>
      </c>
      <c r="D11" s="81" t="s">
        <v>60</v>
      </c>
      <c r="E11" s="86" t="s">
        <v>61</v>
      </c>
      <c r="F11" s="82" t="s">
        <v>30</v>
      </c>
      <c r="G11" s="24" t="s">
        <v>62</v>
      </c>
      <c r="H11" s="83"/>
    </row>
    <row r="12" spans="1:9" ht="35.25" customHeight="1" x14ac:dyDescent="0.3">
      <c r="B12" s="37">
        <v>1</v>
      </c>
      <c r="C12" s="57">
        <v>2019</v>
      </c>
      <c r="D12" s="58" t="s">
        <v>0</v>
      </c>
      <c r="E12" s="59" t="s">
        <v>1</v>
      </c>
      <c r="F12" s="60">
        <v>5</v>
      </c>
      <c r="G12" s="78">
        <v>59</v>
      </c>
      <c r="H12" s="84"/>
    </row>
    <row r="13" spans="1:9" ht="31.2" x14ac:dyDescent="0.3">
      <c r="B13" s="37">
        <v>2</v>
      </c>
      <c r="C13" s="57">
        <v>2015</v>
      </c>
      <c r="D13" s="58" t="s">
        <v>2</v>
      </c>
      <c r="E13" s="59" t="s">
        <v>1</v>
      </c>
      <c r="F13" s="60">
        <v>2</v>
      </c>
      <c r="G13" s="78">
        <v>118</v>
      </c>
      <c r="H13" s="84"/>
    </row>
    <row r="14" spans="1:9" ht="15.6" x14ac:dyDescent="0.3">
      <c r="B14" s="37">
        <v>3</v>
      </c>
      <c r="C14" s="57">
        <v>2014</v>
      </c>
      <c r="D14" s="62" t="s">
        <v>3</v>
      </c>
      <c r="E14" s="59" t="s">
        <v>1</v>
      </c>
      <c r="F14" s="60">
        <v>1</v>
      </c>
      <c r="G14" s="78">
        <v>157.66</v>
      </c>
      <c r="H14" s="84"/>
    </row>
    <row r="15" spans="1:9" ht="15.6" x14ac:dyDescent="0.3">
      <c r="B15" s="37">
        <v>4</v>
      </c>
      <c r="C15" s="57">
        <v>2020</v>
      </c>
      <c r="D15" s="62" t="s">
        <v>4</v>
      </c>
      <c r="E15" s="59" t="s">
        <v>1</v>
      </c>
      <c r="F15" s="60">
        <v>6</v>
      </c>
      <c r="G15" s="78">
        <v>128.88</v>
      </c>
      <c r="H15" s="84"/>
    </row>
    <row r="16" spans="1:9" ht="22.5" customHeight="1" x14ac:dyDescent="0.3">
      <c r="B16" s="37">
        <v>5</v>
      </c>
      <c r="C16" s="57">
        <v>2019</v>
      </c>
      <c r="D16" s="63" t="s">
        <v>6</v>
      </c>
      <c r="E16" s="59" t="s">
        <v>1</v>
      </c>
      <c r="F16" s="64">
        <v>10</v>
      </c>
      <c r="G16" s="78">
        <v>602.15499999999997</v>
      </c>
      <c r="H16" s="84"/>
    </row>
    <row r="17" spans="1:8" ht="22.5" customHeight="1" x14ac:dyDescent="0.3">
      <c r="B17" s="37">
        <v>6</v>
      </c>
      <c r="C17" s="57">
        <v>2019</v>
      </c>
      <c r="D17" s="66" t="s">
        <v>7</v>
      </c>
      <c r="E17" s="59" t="s">
        <v>1</v>
      </c>
      <c r="F17" s="64">
        <v>8</v>
      </c>
      <c r="G17" s="78">
        <v>210.88800000000001</v>
      </c>
      <c r="H17" s="84"/>
    </row>
    <row r="18" spans="1:8" ht="15.6" x14ac:dyDescent="0.3">
      <c r="B18" s="37">
        <v>7</v>
      </c>
      <c r="C18" s="57">
        <v>2019</v>
      </c>
      <c r="D18" s="66" t="s">
        <v>8</v>
      </c>
      <c r="E18" s="59" t="s">
        <v>1</v>
      </c>
      <c r="F18" s="64">
        <v>8</v>
      </c>
      <c r="G18" s="78">
        <v>174.54400000000001</v>
      </c>
      <c r="H18" s="84"/>
    </row>
    <row r="19" spans="1:8" ht="36" customHeight="1" x14ac:dyDescent="0.3">
      <c r="B19" s="37">
        <v>8</v>
      </c>
      <c r="C19" s="57">
        <v>2016</v>
      </c>
      <c r="D19" s="66" t="s">
        <v>9</v>
      </c>
      <c r="E19" s="57" t="s">
        <v>1</v>
      </c>
      <c r="F19" s="60">
        <v>10</v>
      </c>
      <c r="G19" s="78">
        <v>592.94999999999993</v>
      </c>
      <c r="H19" s="84"/>
    </row>
    <row r="20" spans="1:8" ht="33.75" customHeight="1" x14ac:dyDescent="0.3">
      <c r="B20" s="37">
        <v>9</v>
      </c>
      <c r="C20" s="57">
        <v>2019</v>
      </c>
      <c r="D20" s="66" t="s">
        <v>5</v>
      </c>
      <c r="E20" s="57" t="s">
        <v>1</v>
      </c>
      <c r="F20" s="64">
        <v>1</v>
      </c>
      <c r="G20" s="78">
        <v>19.12</v>
      </c>
      <c r="H20" s="84"/>
    </row>
    <row r="21" spans="1:8" ht="31.8" thickBot="1" x14ac:dyDescent="0.35">
      <c r="B21" s="38">
        <v>10</v>
      </c>
      <c r="C21" s="67">
        <v>2019</v>
      </c>
      <c r="D21" s="80" t="s">
        <v>10</v>
      </c>
      <c r="E21" s="67" t="s">
        <v>1</v>
      </c>
      <c r="F21" s="69">
        <v>4</v>
      </c>
      <c r="G21" s="79">
        <v>98.551999999999992</v>
      </c>
      <c r="H21" s="84"/>
    </row>
    <row r="22" spans="1:8" ht="16.2" thickBot="1" x14ac:dyDescent="0.35">
      <c r="B22" s="87"/>
      <c r="C22" s="354" t="s">
        <v>53</v>
      </c>
      <c r="D22" s="354"/>
      <c r="E22" s="354"/>
      <c r="F22" s="88"/>
      <c r="G22" s="89">
        <v>2161.7489999999998</v>
      </c>
    </row>
    <row r="24" spans="1:8" ht="18" x14ac:dyDescent="0.35">
      <c r="B24" s="355" t="s">
        <v>54</v>
      </c>
      <c r="C24" s="355"/>
      <c r="D24" s="355"/>
      <c r="E24" s="355"/>
      <c r="F24" s="355"/>
      <c r="G24" s="355"/>
    </row>
    <row r="25" spans="1:8" ht="18" x14ac:dyDescent="0.35">
      <c r="B25" s="74"/>
      <c r="C25" s="74"/>
      <c r="D25" s="74"/>
      <c r="E25" s="74"/>
    </row>
    <row r="26" spans="1:8" ht="18" x14ac:dyDescent="0.3">
      <c r="A26" s="351" t="s">
        <v>55</v>
      </c>
      <c r="B26" s="351"/>
      <c r="C26" s="351"/>
      <c r="D26" s="345" t="s">
        <v>56</v>
      </c>
      <c r="E26" s="345"/>
      <c r="F26" s="345"/>
      <c r="G26" s="345"/>
    </row>
    <row r="27" spans="1:8" ht="18" x14ac:dyDescent="0.35">
      <c r="B27" s="75"/>
      <c r="C27" s="76"/>
      <c r="D27" s="77"/>
      <c r="E27" s="77"/>
    </row>
    <row r="28" spans="1:8" ht="18" x14ac:dyDescent="0.3">
      <c r="A28" s="351" t="s">
        <v>57</v>
      </c>
      <c r="B28" s="351"/>
      <c r="C28" s="351"/>
      <c r="D28" s="347" t="s">
        <v>64</v>
      </c>
      <c r="E28" s="347"/>
      <c r="F28" s="347"/>
      <c r="G28" s="347"/>
    </row>
    <row r="29" spans="1:8" ht="18" x14ac:dyDescent="0.35">
      <c r="B29" s="75"/>
      <c r="C29" s="76"/>
      <c r="D29" s="77"/>
      <c r="E29" s="77"/>
    </row>
    <row r="30" spans="1:8" ht="18" x14ac:dyDescent="0.3">
      <c r="A30" s="346" t="s">
        <v>109</v>
      </c>
      <c r="B30" s="346"/>
      <c r="C30" s="346"/>
      <c r="D30" s="346"/>
      <c r="E30" s="346"/>
      <c r="F30" s="347" t="s">
        <v>104</v>
      </c>
      <c r="G30" s="347"/>
    </row>
  </sheetData>
  <mergeCells count="17">
    <mergeCell ref="B1:F1"/>
    <mergeCell ref="E2:H2"/>
    <mergeCell ref="D28:G28"/>
    <mergeCell ref="A28:C28"/>
    <mergeCell ref="A5:I5"/>
    <mergeCell ref="A6:I6"/>
    <mergeCell ref="A9:H9"/>
    <mergeCell ref="A7:H7"/>
    <mergeCell ref="A8:H8"/>
    <mergeCell ref="A26:C26"/>
    <mergeCell ref="C22:E22"/>
    <mergeCell ref="B24:G24"/>
    <mergeCell ref="D26:G26"/>
    <mergeCell ref="A30:E30"/>
    <mergeCell ref="F30:G30"/>
    <mergeCell ref="B2:D2"/>
    <mergeCell ref="C3:E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selection activeCell="G21" sqref="G21"/>
    </sheetView>
  </sheetViews>
  <sheetFormatPr defaultRowHeight="14.4" x14ac:dyDescent="0.3"/>
  <cols>
    <col min="4" max="4" width="17.44140625" customWidth="1"/>
    <col min="7" max="7" width="9.5546875" bestFit="1" customWidth="1"/>
  </cols>
  <sheetData>
    <row r="1" spans="1:9" ht="20.399999999999999" x14ac:dyDescent="0.3">
      <c r="A1" s="71"/>
      <c r="B1" s="348" t="s">
        <v>51</v>
      </c>
      <c r="C1" s="348"/>
      <c r="D1" s="348"/>
      <c r="E1" s="348"/>
      <c r="F1" s="348"/>
    </row>
    <row r="2" spans="1:9" ht="20.399999999999999" x14ac:dyDescent="0.3">
      <c r="A2" s="71"/>
      <c r="B2" s="348" t="s">
        <v>66</v>
      </c>
      <c r="C2" s="348"/>
      <c r="D2" s="348"/>
      <c r="E2" s="350" t="s">
        <v>103</v>
      </c>
      <c r="F2" s="350"/>
      <c r="G2" s="350"/>
      <c r="H2" s="350"/>
    </row>
    <row r="3" spans="1:9" ht="22.8" x14ac:dyDescent="0.3">
      <c r="A3" s="71"/>
      <c r="B3" s="71"/>
      <c r="C3" s="349" t="s">
        <v>52</v>
      </c>
      <c r="D3" s="349"/>
      <c r="E3" s="349"/>
    </row>
    <row r="4" spans="1:9" x14ac:dyDescent="0.3">
      <c r="A4" s="72"/>
      <c r="B4" s="72"/>
      <c r="C4" s="73"/>
      <c r="D4" s="72"/>
      <c r="E4" s="72"/>
    </row>
    <row r="5" spans="1:9" ht="18" x14ac:dyDescent="0.35">
      <c r="A5" s="352" t="s">
        <v>65</v>
      </c>
      <c r="B5" s="352"/>
      <c r="C5" s="352"/>
      <c r="D5" s="352"/>
      <c r="E5" s="352"/>
      <c r="F5" s="352"/>
      <c r="G5" s="352"/>
      <c r="H5" s="352"/>
      <c r="I5" s="352"/>
    </row>
    <row r="6" spans="1:9" ht="18" x14ac:dyDescent="0.35">
      <c r="A6" s="353" t="s">
        <v>105</v>
      </c>
      <c r="B6" s="353"/>
      <c r="C6" s="353"/>
      <c r="D6" s="353"/>
      <c r="E6" s="353"/>
      <c r="F6" s="353"/>
      <c r="G6" s="353"/>
      <c r="H6" s="353"/>
      <c r="I6" s="353"/>
    </row>
    <row r="7" spans="1:9" ht="18" x14ac:dyDescent="0.35">
      <c r="A7" s="352" t="s">
        <v>106</v>
      </c>
      <c r="B7" s="352"/>
      <c r="C7" s="352"/>
      <c r="D7" s="352"/>
      <c r="E7" s="352"/>
      <c r="F7" s="352"/>
      <c r="G7" s="352"/>
      <c r="H7" s="352"/>
    </row>
    <row r="8" spans="1:9" ht="18" x14ac:dyDescent="0.35">
      <c r="A8" s="352" t="s">
        <v>107</v>
      </c>
      <c r="B8" s="352"/>
      <c r="C8" s="352"/>
      <c r="D8" s="352"/>
      <c r="E8" s="352"/>
      <c r="F8" s="352"/>
      <c r="G8" s="352"/>
      <c r="H8" s="352"/>
    </row>
    <row r="9" spans="1:9" ht="18" x14ac:dyDescent="0.35">
      <c r="A9" s="352" t="s">
        <v>108</v>
      </c>
      <c r="B9" s="352"/>
      <c r="C9" s="352"/>
      <c r="D9" s="352"/>
      <c r="E9" s="352"/>
      <c r="F9" s="352"/>
      <c r="G9" s="352"/>
      <c r="H9" s="352"/>
    </row>
    <row r="11" spans="1:9" ht="31.2" x14ac:dyDescent="0.3">
      <c r="B11" s="20" t="s">
        <v>58</v>
      </c>
      <c r="C11" s="20" t="s">
        <v>59</v>
      </c>
      <c r="D11" s="21" t="s">
        <v>60</v>
      </c>
      <c r="E11" s="103" t="s">
        <v>61</v>
      </c>
      <c r="F11" s="82" t="s">
        <v>30</v>
      </c>
      <c r="G11" s="24" t="s">
        <v>62</v>
      </c>
    </row>
    <row r="12" spans="1:9" ht="31.2" x14ac:dyDescent="0.3">
      <c r="B12" s="104">
        <v>1</v>
      </c>
      <c r="C12" s="101">
        <v>2011</v>
      </c>
      <c r="D12" s="105" t="s">
        <v>73</v>
      </c>
      <c r="E12" s="101" t="s">
        <v>1</v>
      </c>
      <c r="F12" s="101">
        <v>1</v>
      </c>
      <c r="G12" s="101">
        <v>800</v>
      </c>
    </row>
    <row r="13" spans="1:9" ht="31.2" x14ac:dyDescent="0.3">
      <c r="B13" s="104">
        <v>2</v>
      </c>
      <c r="C13" s="101">
        <v>2011</v>
      </c>
      <c r="D13" s="105" t="s">
        <v>74</v>
      </c>
      <c r="E13" s="101" t="s">
        <v>72</v>
      </c>
      <c r="F13" s="101">
        <v>5</v>
      </c>
      <c r="G13" s="101">
        <v>3450</v>
      </c>
    </row>
    <row r="14" spans="1:9" ht="15.6" x14ac:dyDescent="0.3">
      <c r="B14" s="104">
        <v>3</v>
      </c>
      <c r="C14" s="101">
        <v>2010</v>
      </c>
      <c r="D14" s="105" t="s">
        <v>75</v>
      </c>
      <c r="E14" s="101" t="s">
        <v>1</v>
      </c>
      <c r="F14" s="90">
        <v>1</v>
      </c>
      <c r="G14" s="91">
        <v>1100</v>
      </c>
    </row>
    <row r="15" spans="1:9" ht="15.6" x14ac:dyDescent="0.3">
      <c r="B15" s="104">
        <v>4</v>
      </c>
      <c r="C15" s="101">
        <v>2010</v>
      </c>
      <c r="D15" s="105" t="s">
        <v>76</v>
      </c>
      <c r="E15" s="101" t="s">
        <v>1</v>
      </c>
      <c r="F15" s="101">
        <v>1</v>
      </c>
      <c r="G15" s="101">
        <v>680</v>
      </c>
    </row>
    <row r="16" spans="1:9" ht="15.6" x14ac:dyDescent="0.3">
      <c r="B16" s="104">
        <v>5</v>
      </c>
      <c r="C16" s="101">
        <v>2007</v>
      </c>
      <c r="D16" s="105" t="s">
        <v>68</v>
      </c>
      <c r="E16" s="101" t="s">
        <v>1</v>
      </c>
      <c r="F16" s="101">
        <v>12</v>
      </c>
      <c r="G16" s="101">
        <v>600</v>
      </c>
    </row>
    <row r="17" spans="1:7" ht="15.6" x14ac:dyDescent="0.3">
      <c r="B17" s="104">
        <v>6</v>
      </c>
      <c r="C17" s="101">
        <v>2008</v>
      </c>
      <c r="D17" s="101" t="s">
        <v>69</v>
      </c>
      <c r="E17" s="101" t="s">
        <v>1</v>
      </c>
      <c r="F17" s="101">
        <v>8</v>
      </c>
      <c r="G17" s="101">
        <v>881.36</v>
      </c>
    </row>
    <row r="18" spans="1:7" ht="15.6" x14ac:dyDescent="0.3">
      <c r="B18" s="104">
        <v>7</v>
      </c>
      <c r="C18" s="101">
        <v>2009</v>
      </c>
      <c r="D18" s="101" t="s">
        <v>69</v>
      </c>
      <c r="E18" s="101" t="s">
        <v>1</v>
      </c>
      <c r="F18" s="101">
        <v>5</v>
      </c>
      <c r="G18" s="101">
        <v>607.70000000000005</v>
      </c>
    </row>
    <row r="19" spans="1:7" ht="15.6" x14ac:dyDescent="0.3">
      <c r="B19" s="104">
        <v>8</v>
      </c>
      <c r="C19" s="101">
        <v>2015</v>
      </c>
      <c r="D19" s="101" t="s">
        <v>70</v>
      </c>
      <c r="E19" s="101" t="s">
        <v>1</v>
      </c>
      <c r="F19" s="101">
        <v>1</v>
      </c>
      <c r="G19" s="101">
        <v>188.8</v>
      </c>
    </row>
    <row r="20" spans="1:7" ht="15.6" x14ac:dyDescent="0.3">
      <c r="B20" s="104">
        <v>9</v>
      </c>
      <c r="C20" s="101">
        <v>2006</v>
      </c>
      <c r="D20" s="101" t="s">
        <v>71</v>
      </c>
      <c r="E20" s="101" t="s">
        <v>72</v>
      </c>
      <c r="F20" s="101">
        <v>80</v>
      </c>
      <c r="G20" s="101">
        <v>7008</v>
      </c>
    </row>
    <row r="21" spans="1:7" ht="15.6" x14ac:dyDescent="0.3">
      <c r="B21" s="301" t="s">
        <v>53</v>
      </c>
      <c r="C21" s="302"/>
      <c r="D21" s="302"/>
      <c r="E21" s="302"/>
      <c r="F21" s="303"/>
      <c r="G21" s="304">
        <f>SUM(G12:G20)</f>
        <v>15315.859999999999</v>
      </c>
    </row>
    <row r="22" spans="1:7" ht="18" x14ac:dyDescent="0.35">
      <c r="B22" s="355" t="s">
        <v>54</v>
      </c>
      <c r="C22" s="355"/>
      <c r="D22" s="355"/>
      <c r="E22" s="355"/>
      <c r="F22" s="355"/>
      <c r="G22" s="355"/>
    </row>
    <row r="23" spans="1:7" ht="18" x14ac:dyDescent="0.35">
      <c r="B23" s="74"/>
      <c r="C23" s="74"/>
      <c r="D23" s="74"/>
      <c r="E23" s="74"/>
    </row>
    <row r="24" spans="1:7" ht="18" x14ac:dyDescent="0.3">
      <c r="A24" s="351" t="s">
        <v>55</v>
      </c>
      <c r="B24" s="351"/>
      <c r="C24" s="351"/>
      <c r="D24" s="345" t="s">
        <v>56</v>
      </c>
      <c r="E24" s="345"/>
      <c r="F24" s="345"/>
      <c r="G24" s="345"/>
    </row>
    <row r="25" spans="1:7" ht="18" x14ac:dyDescent="0.35">
      <c r="B25" s="75"/>
      <c r="C25" s="76"/>
      <c r="D25" s="77"/>
      <c r="E25" s="77"/>
    </row>
    <row r="26" spans="1:7" ht="18" x14ac:dyDescent="0.3">
      <c r="A26" s="351" t="s">
        <v>57</v>
      </c>
      <c r="B26" s="351"/>
      <c r="C26" s="351"/>
      <c r="D26" s="347" t="s">
        <v>64</v>
      </c>
      <c r="E26" s="347"/>
      <c r="F26" s="347"/>
      <c r="G26" s="347"/>
    </row>
    <row r="27" spans="1:7" ht="18" x14ac:dyDescent="0.35">
      <c r="B27" s="75"/>
      <c r="C27" s="76"/>
      <c r="D27" s="77"/>
      <c r="E27" s="77"/>
    </row>
    <row r="28" spans="1:7" ht="18" x14ac:dyDescent="0.3">
      <c r="A28" s="346" t="s">
        <v>109</v>
      </c>
      <c r="B28" s="346"/>
      <c r="C28" s="346"/>
      <c r="D28" s="346"/>
      <c r="E28" s="346"/>
      <c r="F28" s="347" t="s">
        <v>104</v>
      </c>
      <c r="G28" s="347"/>
    </row>
  </sheetData>
  <mergeCells count="16">
    <mergeCell ref="A6:I6"/>
    <mergeCell ref="B1:F1"/>
    <mergeCell ref="B2:D2"/>
    <mergeCell ref="E2:H2"/>
    <mergeCell ref="C3:E3"/>
    <mergeCell ref="A5:I5"/>
    <mergeCell ref="A26:C26"/>
    <mergeCell ref="D26:G26"/>
    <mergeCell ref="A28:E28"/>
    <mergeCell ref="F28:G28"/>
    <mergeCell ref="A7:H7"/>
    <mergeCell ref="A8:H8"/>
    <mergeCell ref="A9:H9"/>
    <mergeCell ref="B22:G22"/>
    <mergeCell ref="A24:C24"/>
    <mergeCell ref="D24:G24"/>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tabSelected="1" topLeftCell="A16" workbookViewId="0">
      <selection activeCell="N30" sqref="N30"/>
    </sheetView>
  </sheetViews>
  <sheetFormatPr defaultRowHeight="14.4" x14ac:dyDescent="0.3"/>
  <cols>
    <col min="1" max="1" width="5.33203125" customWidth="1"/>
    <col min="2" max="2" width="8.5546875" customWidth="1"/>
    <col min="3" max="3" width="23.109375" style="40" customWidth="1"/>
    <col min="4" max="4" width="6.33203125" customWidth="1"/>
    <col min="5" max="5" width="8.109375" customWidth="1"/>
    <col min="7" max="7" width="9.5546875" bestFit="1" customWidth="1"/>
    <col min="8" max="8" width="10" customWidth="1"/>
    <col min="9" max="9" width="11.6640625" customWidth="1"/>
  </cols>
  <sheetData>
    <row r="1" spans="1:9" ht="15.6" x14ac:dyDescent="0.3">
      <c r="A1" s="33"/>
      <c r="B1" s="1"/>
      <c r="C1" s="33"/>
      <c r="D1" s="1"/>
      <c r="E1" s="329" t="s">
        <v>11</v>
      </c>
      <c r="F1" s="329"/>
      <c r="G1" s="329"/>
      <c r="H1" s="329"/>
      <c r="I1" s="329"/>
    </row>
    <row r="2" spans="1:9" ht="15.6" x14ac:dyDescent="0.3">
      <c r="A2" s="33"/>
      <c r="B2" s="1"/>
      <c r="C2" s="33"/>
      <c r="D2" s="1"/>
      <c r="E2" s="1" t="s">
        <v>12</v>
      </c>
      <c r="F2" s="1"/>
      <c r="G2" s="3"/>
      <c r="H2" s="3"/>
      <c r="I2" s="1"/>
    </row>
    <row r="3" spans="1:9" ht="15.6" x14ac:dyDescent="0.3">
      <c r="A3" s="33"/>
      <c r="B3" s="1"/>
      <c r="C3" s="33"/>
      <c r="D3" s="1"/>
      <c r="E3" s="1" t="s">
        <v>13</v>
      </c>
      <c r="F3" s="1"/>
      <c r="G3" s="3"/>
      <c r="H3" s="3"/>
      <c r="I3" s="1"/>
    </row>
    <row r="4" spans="1:9" ht="15.6" x14ac:dyDescent="0.3">
      <c r="A4" s="33"/>
      <c r="B4" s="1"/>
      <c r="C4" s="33"/>
      <c r="D4" s="1"/>
      <c r="E4" s="1" t="s">
        <v>14</v>
      </c>
      <c r="F4" s="1"/>
      <c r="G4" s="3"/>
      <c r="H4" s="3"/>
      <c r="I4" s="1"/>
    </row>
    <row r="5" spans="1:9" ht="15.6" x14ac:dyDescent="0.3">
      <c r="A5" s="33"/>
      <c r="B5" s="1"/>
      <c r="C5" s="33"/>
      <c r="D5" s="1"/>
      <c r="E5" s="1" t="s">
        <v>15</v>
      </c>
      <c r="F5" s="1"/>
      <c r="G5" s="3"/>
      <c r="H5" s="3"/>
      <c r="I5" s="1"/>
    </row>
    <row r="6" spans="1:9" ht="15.6" x14ac:dyDescent="0.3">
      <c r="A6" s="33"/>
      <c r="B6" s="1"/>
      <c r="C6" s="33"/>
      <c r="D6" s="1"/>
      <c r="E6" s="1" t="s">
        <v>16</v>
      </c>
      <c r="F6" s="1"/>
      <c r="G6" s="3"/>
      <c r="H6" s="3"/>
      <c r="I6" s="1"/>
    </row>
    <row r="7" spans="1:9" ht="15.6" x14ac:dyDescent="0.3">
      <c r="A7" s="33"/>
      <c r="B7" s="1"/>
      <c r="C7" s="33"/>
      <c r="D7" s="1"/>
      <c r="E7" s="1"/>
      <c r="F7" s="1"/>
      <c r="G7" s="3"/>
      <c r="H7" s="330" t="s">
        <v>17</v>
      </c>
      <c r="I7" s="330"/>
    </row>
    <row r="8" spans="1:9" ht="78.75" customHeight="1" x14ac:dyDescent="0.3">
      <c r="A8" s="33"/>
      <c r="B8" s="1"/>
      <c r="C8" s="33"/>
      <c r="D8" s="1"/>
      <c r="E8" s="331" t="s">
        <v>67</v>
      </c>
      <c r="F8" s="331"/>
      <c r="G8" s="331"/>
      <c r="H8" s="331"/>
      <c r="I8" s="331"/>
    </row>
    <row r="9" spans="1:9" x14ac:dyDescent="0.3">
      <c r="A9" s="34"/>
      <c r="B9" s="4"/>
      <c r="C9" s="34"/>
      <c r="D9" s="4"/>
      <c r="E9" s="332" t="s">
        <v>77</v>
      </c>
      <c r="F9" s="332"/>
      <c r="G9" s="332"/>
      <c r="H9" s="332"/>
      <c r="I9" s="332"/>
    </row>
    <row r="10" spans="1:9" x14ac:dyDescent="0.3">
      <c r="A10" s="35"/>
      <c r="B10" s="6"/>
      <c r="C10" s="35"/>
      <c r="D10" s="6"/>
      <c r="E10" s="6"/>
      <c r="F10" s="333" t="s">
        <v>18</v>
      </c>
      <c r="G10" s="333"/>
      <c r="H10" s="333"/>
      <c r="I10" s="333"/>
    </row>
    <row r="11" spans="1:9" ht="15" customHeight="1" x14ac:dyDescent="0.3">
      <c r="A11" s="34"/>
      <c r="B11" s="4"/>
      <c r="C11" s="34"/>
      <c r="D11" s="4"/>
      <c r="E11" s="8"/>
      <c r="F11" s="334"/>
      <c r="G11" s="334"/>
      <c r="H11" s="334"/>
      <c r="I11" s="334"/>
    </row>
    <row r="12" spans="1:9" x14ac:dyDescent="0.3">
      <c r="A12" s="35"/>
      <c r="B12" s="6"/>
      <c r="C12" s="35"/>
      <c r="D12" s="6"/>
      <c r="E12" s="6"/>
      <c r="F12" s="335" t="s">
        <v>19</v>
      </c>
      <c r="G12" s="335"/>
      <c r="H12" s="335"/>
      <c r="I12" s="335"/>
    </row>
    <row r="13" spans="1:9" x14ac:dyDescent="0.3">
      <c r="A13" s="34"/>
      <c r="B13" s="4"/>
      <c r="C13" s="34"/>
      <c r="D13" s="4"/>
      <c r="E13" s="4"/>
      <c r="F13" s="336" t="s">
        <v>96</v>
      </c>
      <c r="G13" s="336"/>
      <c r="H13" s="336"/>
      <c r="I13" s="336"/>
    </row>
    <row r="14" spans="1:9" x14ac:dyDescent="0.3">
      <c r="A14" s="34"/>
      <c r="B14" s="4"/>
      <c r="C14" s="34"/>
      <c r="D14" s="4"/>
      <c r="E14" s="9" t="s">
        <v>20</v>
      </c>
      <c r="F14" s="4"/>
      <c r="G14" s="10"/>
      <c r="H14" s="10"/>
      <c r="I14" s="4"/>
    </row>
    <row r="15" spans="1:9" x14ac:dyDescent="0.3">
      <c r="A15" s="34"/>
      <c r="B15" s="4"/>
      <c r="C15" s="181"/>
      <c r="D15" s="12"/>
      <c r="E15" s="12"/>
      <c r="F15" s="13"/>
      <c r="G15" s="336" t="s">
        <v>96</v>
      </c>
      <c r="H15" s="337"/>
      <c r="I15" s="337"/>
    </row>
    <row r="16" spans="1:9" x14ac:dyDescent="0.3">
      <c r="A16" s="34"/>
      <c r="B16" s="4"/>
      <c r="C16" s="323" t="s">
        <v>35</v>
      </c>
      <c r="D16" s="323"/>
      <c r="E16" s="323"/>
      <c r="F16" s="323"/>
      <c r="G16" s="323"/>
      <c r="H16" s="323"/>
      <c r="I16" s="12"/>
    </row>
    <row r="17" spans="1:10" x14ac:dyDescent="0.3">
      <c r="A17" s="35"/>
      <c r="B17" s="6"/>
      <c r="C17" s="319" t="s">
        <v>21</v>
      </c>
      <c r="D17" s="319"/>
      <c r="E17" s="319"/>
      <c r="F17" s="319"/>
      <c r="G17" s="319"/>
      <c r="H17" s="319"/>
      <c r="I17" s="6"/>
    </row>
    <row r="18" spans="1:10" ht="15" customHeight="1" x14ac:dyDescent="0.3">
      <c r="A18" s="327" t="s">
        <v>243</v>
      </c>
      <c r="B18" s="327"/>
      <c r="C18" s="327"/>
      <c r="D18" s="327"/>
      <c r="E18" s="327"/>
      <c r="F18" s="327"/>
      <c r="G18" s="327"/>
      <c r="H18" s="327"/>
      <c r="I18" s="327"/>
      <c r="J18" s="327"/>
    </row>
    <row r="19" spans="1:10" x14ac:dyDescent="0.3">
      <c r="A19" s="327"/>
      <c r="B19" s="327"/>
      <c r="C19" s="327"/>
      <c r="D19" s="327"/>
      <c r="E19" s="327"/>
      <c r="F19" s="327"/>
      <c r="G19" s="327"/>
      <c r="H19" s="327"/>
      <c r="I19" s="327"/>
      <c r="J19" s="327"/>
    </row>
    <row r="20" spans="1:10" ht="15.6" x14ac:dyDescent="0.3">
      <c r="A20" s="321" t="s">
        <v>80</v>
      </c>
      <c r="B20" s="321"/>
      <c r="C20" s="321"/>
      <c r="D20" s="321"/>
      <c r="E20" s="321"/>
      <c r="F20" s="321"/>
      <c r="G20" s="340" t="s">
        <v>402</v>
      </c>
      <c r="H20" s="340"/>
      <c r="I20" s="340"/>
      <c r="J20" s="340"/>
    </row>
    <row r="21" spans="1:10" ht="10.5" customHeight="1" x14ac:dyDescent="0.3">
      <c r="A21" s="48"/>
      <c r="B21" s="48"/>
      <c r="C21" s="182"/>
      <c r="D21" s="319" t="s">
        <v>18</v>
      </c>
      <c r="E21" s="319"/>
      <c r="F21" s="319"/>
      <c r="G21" s="19"/>
      <c r="H21" s="19"/>
      <c r="I21" s="19"/>
      <c r="J21" s="18"/>
    </row>
    <row r="22" spans="1:10" ht="15.6" x14ac:dyDescent="0.3">
      <c r="A22" s="321" t="s">
        <v>82</v>
      </c>
      <c r="B22" s="321"/>
      <c r="C22" s="321"/>
      <c r="D22" s="321"/>
      <c r="E22" s="321"/>
      <c r="F22" s="321"/>
      <c r="G22" s="342" t="s">
        <v>403</v>
      </c>
      <c r="H22" s="342"/>
      <c r="I22" s="342"/>
      <c r="J22" s="342"/>
    </row>
    <row r="23" spans="1:10" ht="10.5" customHeight="1" x14ac:dyDescent="0.3">
      <c r="A23" s="48"/>
      <c r="B23" s="48"/>
      <c r="C23" s="183"/>
      <c r="D23" s="319" t="s">
        <v>18</v>
      </c>
      <c r="E23" s="319"/>
      <c r="F23" s="319"/>
      <c r="G23" s="19"/>
      <c r="H23" s="19"/>
      <c r="I23" s="19"/>
      <c r="J23" s="18"/>
    </row>
    <row r="24" spans="1:10" ht="15.6" x14ac:dyDescent="0.3">
      <c r="A24" s="321" t="s">
        <v>83</v>
      </c>
      <c r="B24" s="321"/>
      <c r="C24" s="321"/>
      <c r="D24" s="321"/>
      <c r="E24" s="321"/>
      <c r="F24" s="321"/>
      <c r="G24" s="342" t="s">
        <v>242</v>
      </c>
      <c r="H24" s="342"/>
      <c r="I24" s="342"/>
      <c r="J24" s="342"/>
    </row>
    <row r="25" spans="1:10" ht="9.75" customHeight="1" x14ac:dyDescent="0.3">
      <c r="A25" s="48"/>
      <c r="B25" s="48"/>
      <c r="C25" s="183"/>
      <c r="D25" s="319" t="s">
        <v>18</v>
      </c>
      <c r="E25" s="319"/>
      <c r="F25" s="319"/>
      <c r="G25" s="19"/>
      <c r="H25" s="19"/>
      <c r="I25" s="19"/>
      <c r="J25" s="18"/>
    </row>
    <row r="26" spans="1:10" x14ac:dyDescent="0.3">
      <c r="A26" s="311" t="s">
        <v>22</v>
      </c>
      <c r="B26" s="311"/>
      <c r="C26" s="311"/>
      <c r="D26" s="311"/>
      <c r="E26" s="311"/>
      <c r="F26" s="311"/>
      <c r="G26" s="311" t="s">
        <v>241</v>
      </c>
      <c r="H26" s="311"/>
      <c r="I26" s="311"/>
      <c r="J26" s="311"/>
    </row>
    <row r="27" spans="1:10" ht="12.6" customHeight="1" x14ac:dyDescent="0.3">
      <c r="A27" s="36"/>
      <c r="B27" s="14"/>
      <c r="C27" s="35"/>
      <c r="D27" s="92" t="s">
        <v>18</v>
      </c>
      <c r="E27" s="92"/>
      <c r="F27" s="92"/>
      <c r="G27" s="16"/>
      <c r="H27" s="16"/>
      <c r="I27" s="6"/>
    </row>
    <row r="28" spans="1:10" ht="31.2" customHeight="1" x14ac:dyDescent="0.3">
      <c r="A28" s="325" t="s">
        <v>85</v>
      </c>
      <c r="B28" s="326"/>
      <c r="C28" s="326"/>
      <c r="D28" s="326"/>
      <c r="E28" s="326"/>
      <c r="F28" s="326"/>
      <c r="G28" s="311" t="s">
        <v>113</v>
      </c>
      <c r="H28" s="311"/>
      <c r="I28" s="311"/>
      <c r="J28" s="311"/>
    </row>
    <row r="29" spans="1:10" ht="9.75" customHeight="1" x14ac:dyDescent="0.3">
      <c r="A29" s="36"/>
      <c r="B29" s="14"/>
      <c r="C29" s="184"/>
      <c r="D29" s="92" t="s">
        <v>18</v>
      </c>
      <c r="E29" s="92"/>
      <c r="F29" s="92"/>
      <c r="G29" s="16"/>
      <c r="H29" s="16"/>
      <c r="I29" s="6"/>
    </row>
    <row r="30" spans="1:10" ht="29.25" customHeight="1" x14ac:dyDescent="0.3">
      <c r="A30" s="321" t="s">
        <v>85</v>
      </c>
      <c r="B30" s="321"/>
      <c r="C30" s="321"/>
      <c r="D30" s="321"/>
      <c r="E30" s="321"/>
      <c r="F30" s="321"/>
      <c r="G30" s="342" t="s">
        <v>404</v>
      </c>
      <c r="H30" s="342"/>
      <c r="I30" s="342"/>
      <c r="J30" s="342"/>
    </row>
    <row r="31" spans="1:10" ht="12.75" customHeight="1" x14ac:dyDescent="0.3">
      <c r="A31" s="48"/>
      <c r="B31" s="48"/>
      <c r="C31" s="183"/>
      <c r="D31" s="319" t="s">
        <v>18</v>
      </c>
      <c r="E31" s="319"/>
      <c r="F31" s="319"/>
      <c r="G31" s="19"/>
      <c r="H31" s="19"/>
      <c r="I31" s="19"/>
      <c r="J31" s="18"/>
    </row>
    <row r="32" spans="1:10" ht="15.6" x14ac:dyDescent="0.3">
      <c r="A32" s="321" t="s">
        <v>244</v>
      </c>
      <c r="B32" s="321"/>
      <c r="C32" s="321"/>
      <c r="D32" s="321"/>
      <c r="E32" s="321"/>
      <c r="F32" s="321"/>
      <c r="G32" s="357" t="s">
        <v>239</v>
      </c>
      <c r="H32" s="357"/>
      <c r="I32" s="357"/>
      <c r="J32" s="357"/>
    </row>
    <row r="33" spans="1:10" ht="12.75" customHeight="1" x14ac:dyDescent="0.3">
      <c r="A33" s="48"/>
      <c r="B33" s="48"/>
      <c r="C33" s="183"/>
      <c r="D33" s="319" t="s">
        <v>18</v>
      </c>
      <c r="E33" s="319"/>
      <c r="F33" s="319"/>
      <c r="G33" s="19"/>
      <c r="H33" s="19"/>
      <c r="I33" s="19"/>
      <c r="J33" s="18"/>
    </row>
    <row r="34" spans="1:10" x14ac:dyDescent="0.3">
      <c r="A34" s="311" t="s">
        <v>406</v>
      </c>
      <c r="B34" s="311"/>
      <c r="C34" s="311"/>
      <c r="D34" s="311"/>
      <c r="E34" s="311"/>
      <c r="F34" s="311"/>
      <c r="G34" s="311"/>
      <c r="H34" s="311"/>
      <c r="I34" s="311"/>
      <c r="J34" s="311"/>
    </row>
    <row r="35" spans="1:10" ht="12.75" customHeight="1" x14ac:dyDescent="0.3">
      <c r="A35" s="36"/>
      <c r="B35" s="14"/>
      <c r="C35" s="184"/>
      <c r="D35" s="92" t="s">
        <v>18</v>
      </c>
      <c r="E35" s="92"/>
      <c r="F35" s="92"/>
      <c r="G35" s="16"/>
      <c r="H35" s="16"/>
      <c r="I35" s="6"/>
    </row>
    <row r="36" spans="1:10" x14ac:dyDescent="0.3">
      <c r="A36" s="311" t="s">
        <v>405</v>
      </c>
      <c r="B36" s="311"/>
      <c r="C36" s="311"/>
      <c r="D36" s="311"/>
      <c r="E36" s="311"/>
      <c r="F36" s="311"/>
      <c r="G36" s="311"/>
      <c r="H36" s="311"/>
      <c r="I36" s="311"/>
      <c r="J36" s="311"/>
    </row>
    <row r="37" spans="1:10" ht="9" customHeight="1" x14ac:dyDescent="0.3">
      <c r="A37" s="36"/>
      <c r="B37" s="14"/>
      <c r="C37" s="184"/>
      <c r="D37" s="92" t="s">
        <v>18</v>
      </c>
      <c r="E37" s="92"/>
      <c r="F37" s="92"/>
      <c r="G37" s="16"/>
      <c r="H37" s="16"/>
      <c r="I37" s="6"/>
    </row>
    <row r="38" spans="1:10" x14ac:dyDescent="0.3">
      <c r="A38" s="311" t="s">
        <v>407</v>
      </c>
      <c r="B38" s="311"/>
      <c r="C38" s="311"/>
      <c r="D38" s="311"/>
      <c r="E38" s="311"/>
      <c r="F38" s="311"/>
      <c r="G38" s="311"/>
      <c r="H38" s="311"/>
      <c r="I38" s="311"/>
      <c r="J38" s="311"/>
    </row>
    <row r="39" spans="1:10" ht="9.75" customHeight="1" x14ac:dyDescent="0.3">
      <c r="A39" s="36"/>
      <c r="B39" s="14"/>
      <c r="C39" s="184"/>
      <c r="D39" s="92" t="s">
        <v>18</v>
      </c>
      <c r="E39" s="92"/>
      <c r="F39" s="92"/>
      <c r="G39" s="16"/>
      <c r="H39" s="16"/>
      <c r="I39" s="6"/>
    </row>
    <row r="40" spans="1:10" ht="34.5" customHeight="1" x14ac:dyDescent="0.3">
      <c r="A40" s="314" t="s">
        <v>99</v>
      </c>
      <c r="B40" s="315"/>
      <c r="C40" s="315"/>
      <c r="D40" s="315"/>
      <c r="E40" s="315"/>
      <c r="F40" s="315"/>
      <c r="G40" s="315"/>
      <c r="H40" s="315"/>
      <c r="I40" s="315"/>
    </row>
    <row r="41" spans="1:10" ht="33.6" customHeight="1" x14ac:dyDescent="0.3">
      <c r="A41" s="20" t="s">
        <v>26</v>
      </c>
      <c r="B41" s="20" t="s">
        <v>27</v>
      </c>
      <c r="C41" s="21" t="s">
        <v>28</v>
      </c>
      <c r="D41" s="21" t="s">
        <v>29</v>
      </c>
      <c r="E41" s="20" t="s">
        <v>30</v>
      </c>
      <c r="F41" s="22" t="s">
        <v>31</v>
      </c>
      <c r="G41" s="23" t="s">
        <v>32</v>
      </c>
      <c r="H41" s="22" t="s">
        <v>33</v>
      </c>
      <c r="I41" s="24" t="s">
        <v>34</v>
      </c>
    </row>
    <row r="42" spans="1:10" ht="15.6" x14ac:dyDescent="0.3">
      <c r="A42" s="104">
        <v>1</v>
      </c>
      <c r="B42" s="115">
        <v>2011</v>
      </c>
      <c r="C42" s="186" t="s">
        <v>73</v>
      </c>
      <c r="D42" s="115" t="s">
        <v>1</v>
      </c>
      <c r="E42" s="187">
        <v>1</v>
      </c>
      <c r="F42" s="188">
        <v>800</v>
      </c>
      <c r="G42" s="188">
        <v>800</v>
      </c>
      <c r="H42" s="189">
        <v>800</v>
      </c>
      <c r="I42" s="106"/>
    </row>
    <row r="43" spans="1:10" ht="31.2" x14ac:dyDescent="0.3">
      <c r="A43" s="190">
        <v>2</v>
      </c>
      <c r="B43" s="57">
        <v>2011</v>
      </c>
      <c r="C43" s="99" t="s">
        <v>74</v>
      </c>
      <c r="D43" s="59" t="s">
        <v>72</v>
      </c>
      <c r="E43" s="60">
        <v>5</v>
      </c>
      <c r="F43" s="61">
        <v>690</v>
      </c>
      <c r="G43" s="61">
        <v>3450</v>
      </c>
      <c r="H43" s="78">
        <v>3450</v>
      </c>
      <c r="I43" s="191"/>
    </row>
    <row r="44" spans="1:10" ht="15.6" x14ac:dyDescent="0.3">
      <c r="A44" s="104">
        <v>3</v>
      </c>
      <c r="B44" s="57">
        <v>2010</v>
      </c>
      <c r="C44" s="99" t="s">
        <v>75</v>
      </c>
      <c r="D44" s="59" t="s">
        <v>1</v>
      </c>
      <c r="E44" s="60">
        <v>1</v>
      </c>
      <c r="F44" s="61">
        <v>1100</v>
      </c>
      <c r="G44" s="61">
        <v>1100</v>
      </c>
      <c r="H44" s="78">
        <v>1100</v>
      </c>
      <c r="I44" s="191"/>
    </row>
    <row r="45" spans="1:10" ht="15.6" x14ac:dyDescent="0.3">
      <c r="A45" s="190">
        <v>4</v>
      </c>
      <c r="B45" s="57">
        <v>2010</v>
      </c>
      <c r="C45" s="66" t="s">
        <v>76</v>
      </c>
      <c r="D45" s="59" t="s">
        <v>1</v>
      </c>
      <c r="E45" s="60">
        <v>1</v>
      </c>
      <c r="F45" s="61">
        <v>680</v>
      </c>
      <c r="G45" s="61">
        <v>680</v>
      </c>
      <c r="H45" s="78">
        <v>680</v>
      </c>
      <c r="I45" s="191"/>
    </row>
    <row r="46" spans="1:10" ht="15.6" x14ac:dyDescent="0.3">
      <c r="A46" s="104">
        <v>5</v>
      </c>
      <c r="B46" s="57">
        <v>2007</v>
      </c>
      <c r="C46" s="66" t="s">
        <v>68</v>
      </c>
      <c r="D46" s="59" t="s">
        <v>1</v>
      </c>
      <c r="E46" s="60">
        <v>12</v>
      </c>
      <c r="F46" s="61">
        <v>50</v>
      </c>
      <c r="G46" s="61">
        <v>600</v>
      </c>
      <c r="H46" s="78">
        <v>600</v>
      </c>
      <c r="I46" s="191"/>
    </row>
    <row r="47" spans="1:10" ht="15.6" x14ac:dyDescent="0.3">
      <c r="A47" s="190">
        <v>6</v>
      </c>
      <c r="B47" s="57">
        <v>2008</v>
      </c>
      <c r="C47" s="66" t="s">
        <v>69</v>
      </c>
      <c r="D47" s="59" t="s">
        <v>1</v>
      </c>
      <c r="E47" s="64">
        <v>8</v>
      </c>
      <c r="F47" s="65">
        <v>110.17</v>
      </c>
      <c r="G47" s="61">
        <v>881.36</v>
      </c>
      <c r="H47" s="78">
        <v>881.36</v>
      </c>
      <c r="I47" s="191"/>
    </row>
    <row r="48" spans="1:10" ht="15.6" x14ac:dyDescent="0.3">
      <c r="A48" s="104">
        <v>7</v>
      </c>
      <c r="B48" s="57">
        <v>2009</v>
      </c>
      <c r="C48" s="66" t="s">
        <v>69</v>
      </c>
      <c r="D48" s="59" t="s">
        <v>1</v>
      </c>
      <c r="E48" s="64">
        <v>5</v>
      </c>
      <c r="F48" s="65">
        <v>121.54</v>
      </c>
      <c r="G48" s="61">
        <v>607.70000000000005</v>
      </c>
      <c r="H48" s="78">
        <v>607.70000000000005</v>
      </c>
      <c r="I48" s="191"/>
    </row>
    <row r="49" spans="1:10" ht="15.6" x14ac:dyDescent="0.3">
      <c r="A49" s="190">
        <v>8</v>
      </c>
      <c r="B49" s="57">
        <v>2015</v>
      </c>
      <c r="C49" s="66" t="s">
        <v>70</v>
      </c>
      <c r="D49" s="59" t="s">
        <v>1</v>
      </c>
      <c r="E49" s="64">
        <v>1</v>
      </c>
      <c r="F49" s="65">
        <v>188.8</v>
      </c>
      <c r="G49" s="61">
        <v>188.8</v>
      </c>
      <c r="H49" s="78">
        <v>188.8</v>
      </c>
      <c r="I49" s="191"/>
    </row>
    <row r="50" spans="1:10" ht="16.2" thickBot="1" x14ac:dyDescent="0.35">
      <c r="A50" s="104">
        <v>9</v>
      </c>
      <c r="B50" s="57">
        <v>2006</v>
      </c>
      <c r="C50" s="66" t="s">
        <v>71</v>
      </c>
      <c r="D50" s="57" t="s">
        <v>72</v>
      </c>
      <c r="E50" s="60">
        <v>80</v>
      </c>
      <c r="F50" s="61">
        <v>87.6</v>
      </c>
      <c r="G50" s="61">
        <v>7008</v>
      </c>
      <c r="H50" s="78">
        <v>7008</v>
      </c>
      <c r="I50" s="191"/>
    </row>
    <row r="51" spans="1:10" ht="16.2" thickBot="1" x14ac:dyDescent="0.35">
      <c r="A51" s="192"/>
      <c r="B51" s="193"/>
      <c r="C51" s="185" t="s">
        <v>36</v>
      </c>
      <c r="D51" s="31"/>
      <c r="E51" s="31"/>
      <c r="F51" s="31"/>
      <c r="G51" s="32">
        <f>SUM(G42:G50)</f>
        <v>15315.859999999999</v>
      </c>
      <c r="H51" s="98">
        <f>SUM(H42:H50)</f>
        <v>15315.859999999999</v>
      </c>
      <c r="I51" s="194"/>
    </row>
    <row r="52" spans="1:10" ht="15.6" x14ac:dyDescent="0.3">
      <c r="A52" s="2" t="s">
        <v>37</v>
      </c>
      <c r="B52" s="2"/>
      <c r="C52" s="317" t="s">
        <v>98</v>
      </c>
      <c r="D52" s="318"/>
      <c r="E52" s="318"/>
      <c r="F52" s="318"/>
      <c r="G52" s="318"/>
      <c r="H52" s="318"/>
      <c r="I52" s="318"/>
    </row>
    <row r="53" spans="1:10" x14ac:dyDescent="0.3">
      <c r="A53" s="315" t="s">
        <v>38</v>
      </c>
      <c r="B53" s="315"/>
      <c r="C53" s="315"/>
      <c r="D53" s="315"/>
      <c r="E53" s="315"/>
      <c r="F53" s="315"/>
      <c r="G53" s="315"/>
      <c r="H53" s="315"/>
      <c r="I53" s="315"/>
    </row>
    <row r="54" spans="1:10" ht="51" customHeight="1" x14ac:dyDescent="0.3">
      <c r="A54" s="315"/>
      <c r="B54" s="315"/>
      <c r="C54" s="315"/>
      <c r="D54" s="315"/>
      <c r="E54" s="315"/>
      <c r="F54" s="315"/>
      <c r="G54" s="315"/>
      <c r="H54" s="315"/>
      <c r="I54" s="315"/>
    </row>
    <row r="55" spans="1:10" ht="48.75" customHeight="1" x14ac:dyDescent="0.3">
      <c r="A55" s="312" t="s">
        <v>39</v>
      </c>
      <c r="B55" s="313"/>
      <c r="C55" s="313"/>
      <c r="D55" s="313"/>
      <c r="E55" s="313"/>
      <c r="F55" s="313"/>
      <c r="G55" s="313"/>
      <c r="H55" s="313"/>
      <c r="I55" s="313"/>
    </row>
    <row r="56" spans="1:10" ht="15.6" x14ac:dyDescent="0.3">
      <c r="A56" s="2" t="s">
        <v>40</v>
      </c>
      <c r="B56" s="2"/>
      <c r="C56" s="33"/>
      <c r="D56" s="2"/>
      <c r="E56" s="2"/>
      <c r="F56" s="2"/>
      <c r="G56" s="42"/>
      <c r="H56" s="42"/>
      <c r="I56" s="2"/>
    </row>
    <row r="57" spans="1:10" ht="15.6" x14ac:dyDescent="0.3">
      <c r="A57" s="2" t="s">
        <v>41</v>
      </c>
      <c r="B57" s="2"/>
      <c r="C57" s="124"/>
      <c r="D57" s="43"/>
      <c r="E57" s="43"/>
      <c r="F57" s="43"/>
      <c r="G57" s="44"/>
      <c r="H57" s="44"/>
      <c r="I57" s="45"/>
    </row>
    <row r="58" spans="1:10" ht="99.75" customHeight="1" x14ac:dyDescent="0.3">
      <c r="A58" s="46" t="s">
        <v>42</v>
      </c>
      <c r="B58" s="47"/>
      <c r="C58" s="312" t="s">
        <v>43</v>
      </c>
      <c r="D58" s="313"/>
      <c r="E58" s="313"/>
      <c r="F58" s="313"/>
      <c r="G58" s="313"/>
      <c r="H58" s="313"/>
      <c r="I58" s="313"/>
    </row>
    <row r="59" spans="1:10" ht="15.6" x14ac:dyDescent="0.3">
      <c r="A59" s="320" t="s">
        <v>94</v>
      </c>
      <c r="B59" s="321"/>
      <c r="C59" s="321"/>
      <c r="D59" s="321"/>
      <c r="E59" s="321"/>
      <c r="F59" s="321"/>
      <c r="G59" s="322"/>
      <c r="H59" s="322"/>
      <c r="I59" s="322"/>
    </row>
    <row r="60" spans="1:10" x14ac:dyDescent="0.3">
      <c r="A60" s="48"/>
      <c r="B60" s="48"/>
      <c r="C60" s="319" t="s">
        <v>44</v>
      </c>
      <c r="D60" s="319"/>
      <c r="E60" s="319"/>
      <c r="F60" s="319"/>
      <c r="G60" s="18"/>
      <c r="H60" s="18"/>
      <c r="I60" s="18" t="s">
        <v>45</v>
      </c>
    </row>
    <row r="61" spans="1:10" ht="15.6" x14ac:dyDescent="0.3">
      <c r="A61" s="321" t="s">
        <v>93</v>
      </c>
      <c r="B61" s="321"/>
      <c r="C61" s="321"/>
      <c r="D61" s="321"/>
      <c r="E61" s="321"/>
      <c r="F61" s="321"/>
      <c r="G61" s="322"/>
      <c r="H61" s="322"/>
      <c r="I61" s="322"/>
    </row>
    <row r="62" spans="1:10" x14ac:dyDescent="0.3">
      <c r="A62" s="49"/>
      <c r="B62" s="49"/>
      <c r="C62" s="356" t="s">
        <v>46</v>
      </c>
      <c r="D62" s="319"/>
      <c r="E62" s="319"/>
      <c r="F62" s="319"/>
      <c r="G62" s="50"/>
      <c r="H62" s="50"/>
      <c r="I62" s="51" t="s">
        <v>45</v>
      </c>
    </row>
    <row r="63" spans="1:10" ht="15.6" x14ac:dyDescent="0.3">
      <c r="A63" s="309" t="s">
        <v>92</v>
      </c>
      <c r="B63" s="309"/>
      <c r="C63" s="309"/>
      <c r="D63" s="309"/>
      <c r="E63" s="309"/>
      <c r="F63" s="309"/>
      <c r="G63" s="308"/>
      <c r="H63" s="308"/>
      <c r="I63" s="308"/>
      <c r="J63" s="96"/>
    </row>
    <row r="64" spans="1:10" x14ac:dyDescent="0.3">
      <c r="A64" s="48"/>
      <c r="B64" s="48"/>
      <c r="C64" s="310" t="s">
        <v>44</v>
      </c>
      <c r="D64" s="310"/>
      <c r="E64" s="310"/>
      <c r="F64" s="310"/>
      <c r="G64" s="18"/>
      <c r="H64" s="18"/>
      <c r="I64" s="18" t="s">
        <v>45</v>
      </c>
      <c r="J64" s="18"/>
    </row>
    <row r="65" spans="1:10" ht="15.6" x14ac:dyDescent="0.3">
      <c r="A65" s="339" t="s">
        <v>95</v>
      </c>
      <c r="B65" s="340"/>
      <c r="C65" s="340"/>
      <c r="D65" s="340"/>
      <c r="E65" s="340"/>
      <c r="F65" s="340"/>
      <c r="G65" s="322"/>
      <c r="H65" s="322"/>
      <c r="I65" s="322"/>
    </row>
    <row r="66" spans="1:10" x14ac:dyDescent="0.3">
      <c r="A66" s="48"/>
      <c r="B66" s="48"/>
      <c r="C66" s="319" t="s">
        <v>44</v>
      </c>
      <c r="D66" s="319"/>
      <c r="E66" s="319"/>
      <c r="F66" s="319"/>
      <c r="G66" s="18"/>
      <c r="H66" s="18"/>
      <c r="I66" s="18" t="s">
        <v>45</v>
      </c>
    </row>
    <row r="67" spans="1:10" ht="15.6" x14ac:dyDescent="0.3">
      <c r="A67" s="341" t="s">
        <v>47</v>
      </c>
      <c r="B67" s="342"/>
      <c r="C67" s="342"/>
      <c r="D67" s="342"/>
      <c r="E67" s="342"/>
      <c r="F67" s="342"/>
      <c r="G67" s="342"/>
      <c r="H67" s="342"/>
      <c r="I67" s="342"/>
    </row>
    <row r="68" spans="1:10" x14ac:dyDescent="0.3">
      <c r="A68" s="48"/>
      <c r="B68" s="48"/>
      <c r="C68" s="319" t="s">
        <v>44</v>
      </c>
      <c r="D68" s="319"/>
      <c r="E68" s="319"/>
      <c r="F68" s="319"/>
      <c r="G68" s="18"/>
      <c r="H68" s="18"/>
      <c r="I68" s="18" t="s">
        <v>45</v>
      </c>
    </row>
    <row r="69" spans="1:10" ht="15.6" x14ac:dyDescent="0.3">
      <c r="A69" s="95" t="s">
        <v>91</v>
      </c>
      <c r="B69" s="95"/>
      <c r="C69" s="178"/>
      <c r="D69" s="95"/>
      <c r="E69" s="95"/>
      <c r="F69" s="95"/>
      <c r="G69" s="95"/>
      <c r="H69" s="95"/>
      <c r="I69" s="95"/>
      <c r="J69" s="96"/>
    </row>
    <row r="70" spans="1:10" x14ac:dyDescent="0.3">
      <c r="A70" s="48"/>
      <c r="B70" s="48"/>
      <c r="C70" s="310" t="s">
        <v>44</v>
      </c>
      <c r="D70" s="310"/>
      <c r="E70" s="310"/>
      <c r="F70" s="310"/>
      <c r="G70" s="18"/>
      <c r="H70" s="18"/>
      <c r="I70" s="18" t="s">
        <v>45</v>
      </c>
      <c r="J70" s="18"/>
    </row>
    <row r="71" spans="1:10" ht="15.6" x14ac:dyDescent="0.3">
      <c r="A71" s="309" t="s">
        <v>90</v>
      </c>
      <c r="B71" s="309"/>
      <c r="C71" s="309"/>
      <c r="D71" s="309"/>
      <c r="E71" s="309"/>
      <c r="F71" s="309"/>
      <c r="G71" s="308"/>
      <c r="H71" s="308"/>
      <c r="I71" s="308"/>
      <c r="J71" s="96"/>
    </row>
    <row r="72" spans="1:10" x14ac:dyDescent="0.3">
      <c r="A72" s="48"/>
      <c r="B72" s="48"/>
      <c r="C72" s="310" t="s">
        <v>44</v>
      </c>
      <c r="D72" s="310"/>
      <c r="E72" s="310"/>
      <c r="F72" s="310"/>
      <c r="G72" s="18"/>
      <c r="H72" s="18"/>
      <c r="I72" s="18" t="s">
        <v>45</v>
      </c>
      <c r="J72" s="18"/>
    </row>
    <row r="73" spans="1:10" ht="15.6" x14ac:dyDescent="0.3">
      <c r="A73" s="320" t="s">
        <v>48</v>
      </c>
      <c r="B73" s="321"/>
      <c r="C73" s="321"/>
      <c r="D73" s="321"/>
      <c r="E73" s="321"/>
      <c r="F73" s="321"/>
      <c r="G73" s="321"/>
      <c r="H73" s="321"/>
      <c r="I73" s="321"/>
    </row>
    <row r="74" spans="1:10" x14ac:dyDescent="0.3">
      <c r="A74" s="52"/>
      <c r="B74" s="53"/>
      <c r="C74" s="343" t="s">
        <v>49</v>
      </c>
      <c r="D74" s="344"/>
      <c r="E74" s="344"/>
      <c r="F74" s="54"/>
      <c r="G74" s="55"/>
      <c r="H74" s="55"/>
      <c r="I74" s="55" t="s">
        <v>45</v>
      </c>
    </row>
    <row r="75" spans="1:10" ht="15.6" x14ac:dyDescent="0.3">
      <c r="A75" s="339" t="s">
        <v>63</v>
      </c>
      <c r="B75" s="340"/>
      <c r="C75" s="340"/>
      <c r="D75" s="340"/>
      <c r="E75" s="340"/>
      <c r="F75" s="340"/>
      <c r="G75" s="340"/>
      <c r="H75" s="340"/>
      <c r="I75" s="340"/>
    </row>
    <row r="76" spans="1:10" x14ac:dyDescent="0.3">
      <c r="A76" s="48"/>
      <c r="B76" s="48"/>
      <c r="C76" s="319" t="s">
        <v>44</v>
      </c>
      <c r="D76" s="319"/>
      <c r="E76" s="319"/>
      <c r="F76" s="319"/>
      <c r="G76" s="18"/>
      <c r="H76" s="18"/>
      <c r="I76" s="18" t="s">
        <v>45</v>
      </c>
    </row>
    <row r="77" spans="1:10" ht="10.8" customHeight="1" x14ac:dyDescent="0.3">
      <c r="A77" s="341" t="s">
        <v>79</v>
      </c>
      <c r="B77" s="341"/>
      <c r="C77" s="341"/>
      <c r="D77" s="341"/>
      <c r="E77" s="341"/>
      <c r="F77" s="341"/>
      <c r="G77" s="341"/>
      <c r="H77" s="341"/>
      <c r="I77" s="341"/>
    </row>
    <row r="78" spans="1:10" x14ac:dyDescent="0.3">
      <c r="A78" s="48"/>
      <c r="B78" s="48"/>
      <c r="C78" s="319" t="s">
        <v>44</v>
      </c>
      <c r="D78" s="319"/>
      <c r="E78" s="319"/>
      <c r="F78" s="319"/>
      <c r="G78" s="18"/>
      <c r="H78" s="18"/>
      <c r="I78" s="18" t="s">
        <v>45</v>
      </c>
    </row>
  </sheetData>
  <mergeCells count="63">
    <mergeCell ref="F11:I11"/>
    <mergeCell ref="E1:I1"/>
    <mergeCell ref="H7:I7"/>
    <mergeCell ref="E8:I8"/>
    <mergeCell ref="E9:I9"/>
    <mergeCell ref="F10:I10"/>
    <mergeCell ref="D23:F23"/>
    <mergeCell ref="F12:I12"/>
    <mergeCell ref="F13:I13"/>
    <mergeCell ref="G15:I15"/>
    <mergeCell ref="C16:H16"/>
    <mergeCell ref="C17:H17"/>
    <mergeCell ref="A20:F20"/>
    <mergeCell ref="G20:J20"/>
    <mergeCell ref="D21:F21"/>
    <mergeCell ref="A22:F22"/>
    <mergeCell ref="G22:J22"/>
    <mergeCell ref="D33:F33"/>
    <mergeCell ref="A24:F24"/>
    <mergeCell ref="G24:J24"/>
    <mergeCell ref="D25:F25"/>
    <mergeCell ref="A26:F26"/>
    <mergeCell ref="G26:J26"/>
    <mergeCell ref="A28:F28"/>
    <mergeCell ref="G28:J28"/>
    <mergeCell ref="A30:F30"/>
    <mergeCell ref="G30:J30"/>
    <mergeCell ref="D31:F31"/>
    <mergeCell ref="A32:F32"/>
    <mergeCell ref="G32:J32"/>
    <mergeCell ref="A34:J34"/>
    <mergeCell ref="A36:J36"/>
    <mergeCell ref="A38:J38"/>
    <mergeCell ref="A40:I40"/>
    <mergeCell ref="C52:I52"/>
    <mergeCell ref="C64:F64"/>
    <mergeCell ref="A53:I54"/>
    <mergeCell ref="A55:I55"/>
    <mergeCell ref="C58:I58"/>
    <mergeCell ref="A59:F59"/>
    <mergeCell ref="G59:I59"/>
    <mergeCell ref="C60:F60"/>
    <mergeCell ref="A61:F61"/>
    <mergeCell ref="G61:I61"/>
    <mergeCell ref="C62:F62"/>
    <mergeCell ref="A63:F63"/>
    <mergeCell ref="G63:I63"/>
    <mergeCell ref="C76:F76"/>
    <mergeCell ref="A77:I77"/>
    <mergeCell ref="C78:F78"/>
    <mergeCell ref="A18:J19"/>
    <mergeCell ref="A71:F71"/>
    <mergeCell ref="G71:I71"/>
    <mergeCell ref="C72:F72"/>
    <mergeCell ref="A73:I73"/>
    <mergeCell ref="C74:E74"/>
    <mergeCell ref="A75:I75"/>
    <mergeCell ref="A65:F65"/>
    <mergeCell ref="G65:I65"/>
    <mergeCell ref="C66:F66"/>
    <mergeCell ref="A67:I67"/>
    <mergeCell ref="C68:F68"/>
    <mergeCell ref="C70:F70"/>
  </mergeCells>
  <pageMargins left="0.25" right="0.25"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63"/>
  <sheetViews>
    <sheetView topLeftCell="A136" workbookViewId="0">
      <selection activeCell="M135" sqref="M135"/>
    </sheetView>
  </sheetViews>
  <sheetFormatPr defaultRowHeight="14.4" x14ac:dyDescent="0.3"/>
  <cols>
    <col min="1" max="1" width="6.33203125" customWidth="1"/>
    <col min="2" max="2" width="6.6640625" customWidth="1"/>
    <col min="3" max="3" width="29.6640625" customWidth="1"/>
    <col min="7" max="7" width="9.5546875" bestFit="1" customWidth="1"/>
  </cols>
  <sheetData>
    <row r="1" spans="1:9" ht="15.6" x14ac:dyDescent="0.3">
      <c r="A1" s="1"/>
      <c r="B1" s="2"/>
      <c r="C1" s="1"/>
      <c r="D1" s="329" t="s">
        <v>11</v>
      </c>
      <c r="E1" s="329"/>
      <c r="F1" s="329"/>
      <c r="G1" s="329"/>
      <c r="H1" s="329"/>
      <c r="I1" s="329"/>
    </row>
    <row r="2" spans="1:9" ht="15.6" x14ac:dyDescent="0.3">
      <c r="A2" s="1"/>
      <c r="B2" s="2"/>
      <c r="C2" s="1"/>
      <c r="D2" s="1" t="s">
        <v>12</v>
      </c>
      <c r="E2" s="107"/>
      <c r="F2" s="108"/>
      <c r="G2" s="108"/>
      <c r="H2" s="3"/>
      <c r="I2" s="1"/>
    </row>
    <row r="3" spans="1:9" ht="15.6" x14ac:dyDescent="0.3">
      <c r="A3" s="1"/>
      <c r="B3" s="2"/>
      <c r="C3" s="1"/>
      <c r="D3" s="1" t="s">
        <v>13</v>
      </c>
      <c r="E3" s="107"/>
      <c r="F3" s="108"/>
      <c r="G3" s="108"/>
      <c r="H3" s="3"/>
      <c r="I3" s="1"/>
    </row>
    <row r="4" spans="1:9" ht="15.6" x14ac:dyDescent="0.3">
      <c r="A4" s="1"/>
      <c r="B4" s="2"/>
      <c r="C4" s="1"/>
      <c r="D4" s="1" t="s">
        <v>14</v>
      </c>
      <c r="E4" s="107"/>
      <c r="F4" s="108"/>
      <c r="G4" s="108"/>
      <c r="H4" s="3"/>
      <c r="I4" s="1"/>
    </row>
    <row r="5" spans="1:9" ht="15.6" x14ac:dyDescent="0.3">
      <c r="A5" s="1"/>
      <c r="B5" s="2"/>
      <c r="C5" s="1"/>
      <c r="D5" s="1" t="s">
        <v>15</v>
      </c>
      <c r="E5" s="107"/>
      <c r="F5" s="108"/>
      <c r="G5" s="108"/>
      <c r="H5" s="3"/>
      <c r="I5" s="1"/>
    </row>
    <row r="6" spans="1:9" ht="15.6" x14ac:dyDescent="0.3">
      <c r="A6" s="1"/>
      <c r="B6" s="2"/>
      <c r="C6" s="1"/>
      <c r="D6" s="1" t="s">
        <v>16</v>
      </c>
      <c r="E6" s="107"/>
      <c r="F6" s="108"/>
      <c r="G6" s="108"/>
      <c r="H6" s="3"/>
      <c r="I6" s="1"/>
    </row>
    <row r="7" spans="1:9" ht="15.6" x14ac:dyDescent="0.3">
      <c r="A7" s="1"/>
      <c r="B7" s="2"/>
      <c r="C7" s="1"/>
      <c r="D7" s="1"/>
      <c r="E7" s="107"/>
      <c r="F7" s="108"/>
      <c r="G7" s="108" t="s">
        <v>17</v>
      </c>
      <c r="H7" s="3"/>
      <c r="I7" s="1"/>
    </row>
    <row r="8" spans="1:9" ht="15.6" x14ac:dyDescent="0.3">
      <c r="A8" s="1"/>
      <c r="B8" s="2"/>
      <c r="C8" s="1"/>
      <c r="D8" s="1"/>
      <c r="E8" s="107"/>
      <c r="F8" s="108"/>
      <c r="G8" s="108"/>
      <c r="H8" s="3"/>
      <c r="I8" s="1"/>
    </row>
    <row r="9" spans="1:9" ht="68.25" customHeight="1" x14ac:dyDescent="0.3">
      <c r="A9" s="1"/>
      <c r="B9" s="2"/>
      <c r="C9" s="1"/>
      <c r="D9" s="364" t="s">
        <v>110</v>
      </c>
      <c r="E9" s="364"/>
      <c r="F9" s="364"/>
      <c r="G9" s="364"/>
      <c r="H9" s="364"/>
      <c r="I9" s="364"/>
    </row>
    <row r="10" spans="1:9" ht="15.6" x14ac:dyDescent="0.3">
      <c r="A10" s="1"/>
      <c r="B10" s="2"/>
      <c r="C10" s="1"/>
      <c r="D10" s="308" t="s">
        <v>111</v>
      </c>
      <c r="E10" s="308"/>
      <c r="F10" s="308"/>
      <c r="G10" s="308"/>
      <c r="H10" s="308"/>
      <c r="I10" s="308"/>
    </row>
    <row r="11" spans="1:9" ht="15.6" x14ac:dyDescent="0.3">
      <c r="A11" s="1"/>
      <c r="B11" s="2"/>
      <c r="C11" s="1"/>
      <c r="D11" s="18"/>
      <c r="E11" s="363" t="s">
        <v>18</v>
      </c>
      <c r="F11" s="363"/>
      <c r="G11" s="363"/>
      <c r="H11" s="363"/>
      <c r="I11" s="363"/>
    </row>
    <row r="12" spans="1:9" ht="15.6" x14ac:dyDescent="0.3">
      <c r="A12" s="1"/>
      <c r="B12" s="2"/>
      <c r="C12" s="1"/>
      <c r="D12" s="18"/>
      <c r="E12" s="342"/>
      <c r="F12" s="342"/>
      <c r="G12" s="342"/>
      <c r="H12" s="342"/>
      <c r="I12" s="342"/>
    </row>
    <row r="13" spans="1:9" ht="15.6" x14ac:dyDescent="0.3">
      <c r="A13" s="1"/>
      <c r="B13" s="2"/>
      <c r="C13" s="1"/>
      <c r="D13" s="18"/>
      <c r="E13" s="363" t="s">
        <v>19</v>
      </c>
      <c r="F13" s="363"/>
      <c r="G13" s="363"/>
      <c r="H13" s="363"/>
      <c r="I13" s="363"/>
    </row>
    <row r="14" spans="1:9" ht="15.6" x14ac:dyDescent="0.3">
      <c r="A14" s="1"/>
      <c r="B14" s="2"/>
      <c r="C14" s="1"/>
      <c r="D14" s="18"/>
      <c r="E14" s="361" t="s">
        <v>240</v>
      </c>
      <c r="F14" s="361"/>
      <c r="G14" s="361"/>
      <c r="H14" s="361"/>
      <c r="I14" s="361"/>
    </row>
    <row r="15" spans="1:9" ht="20.399999999999999" x14ac:dyDescent="0.35">
      <c r="A15" s="18"/>
      <c r="B15" s="109"/>
      <c r="C15" s="18"/>
      <c r="D15" s="110" t="s">
        <v>20</v>
      </c>
      <c r="E15" s="97"/>
      <c r="F15" s="111"/>
      <c r="G15" s="111"/>
      <c r="H15" s="19"/>
      <c r="I15" s="18"/>
    </row>
    <row r="16" spans="1:9" ht="15.6" x14ac:dyDescent="0.3">
      <c r="A16" s="18"/>
      <c r="B16" s="109"/>
      <c r="C16" s="51"/>
      <c r="D16" s="51"/>
      <c r="E16" s="112"/>
      <c r="F16" s="362" t="s">
        <v>96</v>
      </c>
      <c r="G16" s="361"/>
      <c r="H16" s="361"/>
      <c r="I16" s="361"/>
    </row>
    <row r="17" spans="1:10" ht="15.6" x14ac:dyDescent="0.3">
      <c r="A17" s="18"/>
      <c r="B17" s="109"/>
      <c r="C17" s="51"/>
      <c r="D17" s="51"/>
      <c r="E17" s="112"/>
      <c r="F17" s="113"/>
      <c r="G17" s="113"/>
      <c r="H17" s="113"/>
      <c r="I17" s="113"/>
    </row>
    <row r="18" spans="1:10" ht="15.6" x14ac:dyDescent="0.3">
      <c r="A18" s="18"/>
      <c r="B18" s="109"/>
      <c r="C18" s="308" t="s">
        <v>112</v>
      </c>
      <c r="D18" s="308"/>
      <c r="E18" s="308"/>
      <c r="F18" s="308"/>
      <c r="G18" s="308"/>
      <c r="H18" s="113"/>
      <c r="I18" s="51"/>
    </row>
    <row r="19" spans="1:10" x14ac:dyDescent="0.3">
      <c r="A19" s="18"/>
      <c r="B19" s="109"/>
      <c r="C19" s="344" t="s">
        <v>21</v>
      </c>
      <c r="D19" s="344"/>
      <c r="E19" s="344"/>
      <c r="F19" s="344"/>
      <c r="G19" s="344"/>
      <c r="H19" s="19"/>
      <c r="I19" s="18"/>
      <c r="J19" s="83"/>
    </row>
    <row r="20" spans="1:10" ht="15" customHeight="1" x14ac:dyDescent="0.3">
      <c r="A20" s="327" t="s">
        <v>78</v>
      </c>
      <c r="B20" s="328"/>
      <c r="C20" s="328"/>
      <c r="D20" s="328"/>
      <c r="E20" s="328"/>
      <c r="F20" s="328"/>
      <c r="G20" s="328"/>
      <c r="H20" s="328"/>
      <c r="I20" s="328"/>
      <c r="J20" s="83"/>
    </row>
    <row r="21" spans="1:10" ht="15" customHeight="1" x14ac:dyDescent="0.3">
      <c r="A21" s="328"/>
      <c r="B21" s="328"/>
      <c r="C21" s="328"/>
      <c r="D21" s="328"/>
      <c r="E21" s="328"/>
      <c r="F21" s="328"/>
      <c r="G21" s="328"/>
      <c r="H21" s="328"/>
      <c r="I21" s="328"/>
      <c r="J21" s="83"/>
    </row>
    <row r="22" spans="1:10" ht="15.75" customHeight="1" x14ac:dyDescent="0.3">
      <c r="A22" s="321" t="s">
        <v>80</v>
      </c>
      <c r="B22" s="321"/>
      <c r="C22" s="321"/>
      <c r="D22" s="321"/>
      <c r="E22" s="321"/>
      <c r="F22" s="321"/>
      <c r="G22" s="309" t="s">
        <v>81</v>
      </c>
      <c r="H22" s="309"/>
      <c r="I22" s="309"/>
      <c r="J22" s="179"/>
    </row>
    <row r="23" spans="1:10" ht="9.75" customHeight="1" x14ac:dyDescent="0.3">
      <c r="A23" s="48"/>
      <c r="B23" s="48"/>
      <c r="C23" s="18"/>
      <c r="D23" s="319" t="s">
        <v>18</v>
      </c>
      <c r="E23" s="319"/>
      <c r="F23" s="319"/>
      <c r="G23" s="19"/>
      <c r="H23" s="19"/>
      <c r="I23" s="19"/>
      <c r="J23" s="51"/>
    </row>
    <row r="24" spans="1:10" ht="29.25" customHeight="1" x14ac:dyDescent="0.3">
      <c r="A24" s="321" t="s">
        <v>83</v>
      </c>
      <c r="B24" s="321"/>
      <c r="C24" s="321"/>
      <c r="D24" s="321"/>
      <c r="E24" s="321"/>
      <c r="F24" s="321"/>
      <c r="G24" s="308" t="s">
        <v>84</v>
      </c>
      <c r="H24" s="308"/>
      <c r="I24" s="308"/>
      <c r="J24" s="96"/>
    </row>
    <row r="25" spans="1:10" ht="12.75" customHeight="1" x14ac:dyDescent="0.3">
      <c r="A25" s="48"/>
      <c r="B25" s="48"/>
      <c r="C25" s="93"/>
      <c r="D25" s="319" t="s">
        <v>18</v>
      </c>
      <c r="E25" s="319"/>
      <c r="F25" s="319"/>
      <c r="G25" s="19"/>
      <c r="H25" s="19"/>
      <c r="I25" s="19"/>
      <c r="J25" s="51"/>
    </row>
    <row r="26" spans="1:10" x14ac:dyDescent="0.3">
      <c r="A26" s="311" t="s">
        <v>22</v>
      </c>
      <c r="B26" s="311"/>
      <c r="C26" s="311"/>
      <c r="D26" s="311"/>
      <c r="E26" s="311"/>
      <c r="F26" s="311"/>
      <c r="G26" s="323" t="s">
        <v>23</v>
      </c>
      <c r="H26" s="323"/>
      <c r="I26" s="323"/>
      <c r="J26" s="180"/>
    </row>
    <row r="27" spans="1:10" ht="9.75" customHeight="1" x14ac:dyDescent="0.3">
      <c r="A27" s="36"/>
      <c r="B27" s="14"/>
      <c r="C27" s="7"/>
      <c r="D27" s="92" t="s">
        <v>18</v>
      </c>
      <c r="E27" s="92"/>
      <c r="F27" s="92"/>
      <c r="G27" s="16"/>
      <c r="H27" s="16"/>
      <c r="I27" s="6"/>
      <c r="J27" s="83"/>
    </row>
    <row r="28" spans="1:10" ht="18" customHeight="1" x14ac:dyDescent="0.3">
      <c r="A28" s="325" t="s">
        <v>85</v>
      </c>
      <c r="B28" s="326"/>
      <c r="C28" s="326"/>
      <c r="D28" s="326"/>
      <c r="E28" s="326"/>
      <c r="F28" s="326"/>
      <c r="G28" s="323" t="s">
        <v>24</v>
      </c>
      <c r="H28" s="323"/>
      <c r="I28" s="323"/>
      <c r="J28" s="180"/>
    </row>
    <row r="29" spans="1:10" ht="10.5" customHeight="1" x14ac:dyDescent="0.3">
      <c r="A29" s="36"/>
      <c r="B29" s="14"/>
      <c r="C29" s="17"/>
      <c r="D29" s="92" t="s">
        <v>18</v>
      </c>
      <c r="E29" s="92"/>
      <c r="F29" s="92"/>
      <c r="G29" s="16"/>
      <c r="H29" s="16"/>
      <c r="I29" s="6"/>
      <c r="J29" s="83"/>
    </row>
    <row r="30" spans="1:10" ht="14.25" customHeight="1" x14ac:dyDescent="0.3">
      <c r="A30" s="321" t="s">
        <v>85</v>
      </c>
      <c r="B30" s="321"/>
      <c r="C30" s="321"/>
      <c r="D30" s="321"/>
      <c r="E30" s="321"/>
      <c r="F30" s="321"/>
      <c r="G30" s="308" t="s">
        <v>86</v>
      </c>
      <c r="H30" s="308"/>
      <c r="I30" s="308"/>
      <c r="J30" s="96"/>
    </row>
    <row r="31" spans="1:10" ht="10.5" customHeight="1" x14ac:dyDescent="0.3">
      <c r="A31" s="48"/>
      <c r="B31" s="48"/>
      <c r="C31" s="93"/>
      <c r="D31" s="319" t="s">
        <v>18</v>
      </c>
      <c r="E31" s="319"/>
      <c r="F31" s="319"/>
      <c r="G31" s="19"/>
      <c r="H31" s="19"/>
      <c r="I31" s="19"/>
      <c r="J31" s="51"/>
    </row>
    <row r="32" spans="1:10" ht="15.75" customHeight="1" x14ac:dyDescent="0.3">
      <c r="A32" s="321" t="s">
        <v>87</v>
      </c>
      <c r="B32" s="321"/>
      <c r="C32" s="321"/>
      <c r="D32" s="321"/>
      <c r="E32" s="321"/>
      <c r="F32" s="322" t="s">
        <v>239</v>
      </c>
      <c r="G32" s="322"/>
      <c r="H32" s="322"/>
      <c r="I32" s="322"/>
      <c r="J32" s="96"/>
    </row>
    <row r="33" spans="1:10" ht="12.75" customHeight="1" x14ac:dyDescent="0.3">
      <c r="A33" s="48"/>
      <c r="B33" s="48"/>
      <c r="C33" s="93"/>
      <c r="D33" s="319" t="s">
        <v>18</v>
      </c>
      <c r="E33" s="319"/>
      <c r="F33" s="319"/>
      <c r="G33" s="19"/>
      <c r="H33" s="19"/>
      <c r="I33" s="19"/>
      <c r="J33" s="18"/>
    </row>
    <row r="34" spans="1:10" x14ac:dyDescent="0.3">
      <c r="A34" s="94" t="s">
        <v>89</v>
      </c>
      <c r="B34" s="94"/>
      <c r="C34" s="94"/>
      <c r="D34" s="94"/>
      <c r="E34" s="94"/>
      <c r="F34" s="94"/>
      <c r="G34" s="94"/>
      <c r="H34" s="94"/>
      <c r="I34" s="94"/>
      <c r="J34" s="180"/>
    </row>
    <row r="35" spans="1:10" ht="12" customHeight="1" x14ac:dyDescent="0.3">
      <c r="A35" s="36"/>
      <c r="B35" s="14"/>
      <c r="C35" s="17"/>
      <c r="D35" s="92" t="s">
        <v>18</v>
      </c>
      <c r="E35" s="92"/>
      <c r="F35" s="92"/>
      <c r="G35" s="16"/>
      <c r="H35" s="16"/>
      <c r="I35" s="6"/>
    </row>
    <row r="36" spans="1:10" ht="15.6" x14ac:dyDescent="0.3">
      <c r="A36" s="342" t="s">
        <v>237</v>
      </c>
      <c r="B36" s="342"/>
      <c r="C36" s="342"/>
      <c r="D36" s="342"/>
      <c r="E36" s="342"/>
      <c r="F36" s="342"/>
      <c r="G36" s="342"/>
      <c r="H36" s="342"/>
      <c r="I36" s="342"/>
    </row>
    <row r="37" spans="1:10" x14ac:dyDescent="0.3">
      <c r="A37" s="48"/>
      <c r="B37" s="48"/>
      <c r="C37" s="93"/>
      <c r="D37" s="15" t="s">
        <v>18</v>
      </c>
      <c r="E37" s="15"/>
      <c r="F37" s="111"/>
      <c r="G37" s="111"/>
      <c r="H37" s="19"/>
      <c r="I37" s="18"/>
    </row>
    <row r="38" spans="1:10" ht="15.6" x14ac:dyDescent="0.3">
      <c r="A38" s="342" t="s">
        <v>238</v>
      </c>
      <c r="B38" s="342"/>
      <c r="C38" s="342"/>
      <c r="D38" s="342"/>
      <c r="E38" s="342"/>
      <c r="F38" s="342"/>
      <c r="G38" s="342"/>
      <c r="H38" s="342"/>
      <c r="I38" s="342"/>
    </row>
    <row r="39" spans="1:10" x14ac:dyDescent="0.3">
      <c r="A39" s="48"/>
      <c r="B39" s="48"/>
      <c r="C39" s="93"/>
      <c r="D39" s="15" t="s">
        <v>18</v>
      </c>
      <c r="E39" s="15"/>
      <c r="F39" s="111"/>
      <c r="G39" s="111"/>
      <c r="H39" s="19"/>
      <c r="I39" s="18"/>
    </row>
    <row r="40" spans="1:10" ht="30.75" customHeight="1" x14ac:dyDescent="0.3">
      <c r="A40" s="315" t="s">
        <v>114</v>
      </c>
      <c r="B40" s="315"/>
      <c r="C40" s="315"/>
      <c r="D40" s="315"/>
      <c r="E40" s="315"/>
      <c r="F40" s="315"/>
      <c r="G40" s="315"/>
      <c r="H40" s="315"/>
      <c r="I40" s="315"/>
    </row>
    <row r="41" spans="1:10" ht="46.8" x14ac:dyDescent="0.3">
      <c r="A41" s="114" t="s">
        <v>26</v>
      </c>
      <c r="B41" s="114" t="s">
        <v>27</v>
      </c>
      <c r="C41" s="138" t="s">
        <v>28</v>
      </c>
      <c r="D41" s="82" t="s">
        <v>29</v>
      </c>
      <c r="E41" s="128" t="s">
        <v>30</v>
      </c>
      <c r="F41" s="22" t="s">
        <v>31</v>
      </c>
      <c r="G41" s="23" t="s">
        <v>62</v>
      </c>
      <c r="H41" s="129" t="s">
        <v>33</v>
      </c>
      <c r="I41" s="128" t="s">
        <v>34</v>
      </c>
    </row>
    <row r="42" spans="1:10" ht="15.6" x14ac:dyDescent="0.3">
      <c r="A42" s="102">
        <v>1</v>
      </c>
      <c r="B42" s="102">
        <v>2018</v>
      </c>
      <c r="C42" s="139" t="s">
        <v>227</v>
      </c>
      <c r="D42" s="82" t="s">
        <v>1</v>
      </c>
      <c r="E42" s="142">
        <v>75</v>
      </c>
      <c r="F42" s="24">
        <v>2.6</v>
      </c>
      <c r="G42" s="24">
        <v>195</v>
      </c>
      <c r="H42" s="24"/>
      <c r="I42" s="82"/>
    </row>
    <row r="43" spans="1:10" ht="15.6" x14ac:dyDescent="0.3">
      <c r="A43" s="102">
        <v>2</v>
      </c>
      <c r="B43" s="102">
        <v>2018</v>
      </c>
      <c r="C43" s="139" t="s">
        <v>235</v>
      </c>
      <c r="D43" s="82" t="s">
        <v>1</v>
      </c>
      <c r="E43" s="142">
        <v>75</v>
      </c>
      <c r="F43" s="24">
        <v>2.4</v>
      </c>
      <c r="G43" s="24">
        <v>180</v>
      </c>
      <c r="H43" s="24"/>
      <c r="I43" s="82"/>
    </row>
    <row r="44" spans="1:10" ht="15.6" x14ac:dyDescent="0.3">
      <c r="A44" s="102">
        <v>3</v>
      </c>
      <c r="B44" s="102">
        <v>2018</v>
      </c>
      <c r="C44" s="139" t="s">
        <v>236</v>
      </c>
      <c r="D44" s="82" t="s">
        <v>1</v>
      </c>
      <c r="E44" s="142">
        <v>75</v>
      </c>
      <c r="F44" s="24">
        <v>2.6</v>
      </c>
      <c r="G44" s="24">
        <v>195</v>
      </c>
      <c r="H44" s="24"/>
      <c r="I44" s="82"/>
    </row>
    <row r="45" spans="1:10" ht="15.6" x14ac:dyDescent="0.3">
      <c r="A45" s="102"/>
      <c r="B45" s="102"/>
      <c r="C45" s="140" t="s">
        <v>53</v>
      </c>
      <c r="D45" s="82"/>
      <c r="E45" s="143">
        <f>SUM(E42:E44)</f>
        <v>225</v>
      </c>
      <c r="F45" s="130"/>
      <c r="G45" s="130">
        <f>SUM(G42:G44)</f>
        <v>570</v>
      </c>
      <c r="H45" s="24"/>
      <c r="I45" s="82"/>
    </row>
    <row r="46" spans="1:10" ht="27.6" x14ac:dyDescent="0.3">
      <c r="A46" s="117">
        <v>4</v>
      </c>
      <c r="B46" s="117">
        <v>2019</v>
      </c>
      <c r="C46" s="141" t="s">
        <v>125</v>
      </c>
      <c r="D46" s="131" t="s">
        <v>1</v>
      </c>
      <c r="E46" s="133">
        <v>165</v>
      </c>
      <c r="F46" s="118">
        <f>G46/E46</f>
        <v>5.3199999999999994</v>
      </c>
      <c r="G46" s="118">
        <v>877.8</v>
      </c>
      <c r="H46" s="119"/>
      <c r="I46" s="120"/>
    </row>
    <row r="47" spans="1:10" ht="21" customHeight="1" x14ac:dyDescent="0.3">
      <c r="A47" s="117">
        <v>5</v>
      </c>
      <c r="B47" s="117">
        <v>2019</v>
      </c>
      <c r="C47" s="137" t="s">
        <v>126</v>
      </c>
      <c r="D47" s="131" t="s">
        <v>1</v>
      </c>
      <c r="E47" s="133">
        <v>57</v>
      </c>
      <c r="F47" s="118">
        <f t="shared" ref="F47:F115" si="0">G47/E47</f>
        <v>14.5</v>
      </c>
      <c r="G47" s="118">
        <v>826.5</v>
      </c>
      <c r="H47" s="119"/>
      <c r="I47" s="120"/>
    </row>
    <row r="48" spans="1:10" x14ac:dyDescent="0.3">
      <c r="A48" s="117">
        <v>6</v>
      </c>
      <c r="B48" s="117">
        <v>2019</v>
      </c>
      <c r="C48" s="137" t="s">
        <v>127</v>
      </c>
      <c r="D48" s="131" t="s">
        <v>1</v>
      </c>
      <c r="E48" s="133">
        <v>108</v>
      </c>
      <c r="F48" s="118">
        <f t="shared" si="0"/>
        <v>1.9</v>
      </c>
      <c r="G48" s="118">
        <v>205.2</v>
      </c>
      <c r="H48" s="119"/>
      <c r="I48" s="120"/>
    </row>
    <row r="49" spans="1:9" x14ac:dyDescent="0.3">
      <c r="A49" s="117">
        <v>7</v>
      </c>
      <c r="B49" s="117">
        <v>2019</v>
      </c>
      <c r="C49" s="141" t="s">
        <v>128</v>
      </c>
      <c r="D49" s="131" t="s">
        <v>1</v>
      </c>
      <c r="E49" s="133">
        <v>165</v>
      </c>
      <c r="F49" s="118">
        <f t="shared" si="0"/>
        <v>2.4700000000000002</v>
      </c>
      <c r="G49" s="118">
        <v>407.55</v>
      </c>
      <c r="H49" s="119"/>
      <c r="I49" s="120"/>
    </row>
    <row r="50" spans="1:9" x14ac:dyDescent="0.3">
      <c r="A50" s="117">
        <v>8</v>
      </c>
      <c r="B50" s="117">
        <v>2019</v>
      </c>
      <c r="C50" s="141" t="s">
        <v>129</v>
      </c>
      <c r="D50" s="131" t="s">
        <v>1</v>
      </c>
      <c r="E50" s="133">
        <v>165</v>
      </c>
      <c r="F50" s="118">
        <f t="shared" si="0"/>
        <v>1.87</v>
      </c>
      <c r="G50" s="118">
        <v>308.55</v>
      </c>
      <c r="H50" s="119"/>
      <c r="I50" s="120"/>
    </row>
    <row r="51" spans="1:9" x14ac:dyDescent="0.3">
      <c r="A51" s="117">
        <v>9</v>
      </c>
      <c r="B51" s="117">
        <v>2019</v>
      </c>
      <c r="C51" s="137" t="s">
        <v>130</v>
      </c>
      <c r="D51" s="131" t="s">
        <v>1</v>
      </c>
      <c r="E51" s="133">
        <v>165</v>
      </c>
      <c r="F51" s="118">
        <f t="shared" si="0"/>
        <v>1.71</v>
      </c>
      <c r="G51" s="118">
        <v>282.14999999999998</v>
      </c>
      <c r="H51" s="119"/>
      <c r="I51" s="120"/>
    </row>
    <row r="52" spans="1:9" x14ac:dyDescent="0.3">
      <c r="A52" s="117">
        <v>10</v>
      </c>
      <c r="B52" s="117">
        <v>2019</v>
      </c>
      <c r="C52" s="137" t="s">
        <v>131</v>
      </c>
      <c r="D52" s="131" t="s">
        <v>1</v>
      </c>
      <c r="E52" s="133">
        <v>165</v>
      </c>
      <c r="F52" s="118">
        <f t="shared" si="0"/>
        <v>3.7800000000000002</v>
      </c>
      <c r="G52" s="118">
        <v>623.70000000000005</v>
      </c>
      <c r="H52" s="119"/>
      <c r="I52" s="120"/>
    </row>
    <row r="53" spans="1:9" x14ac:dyDescent="0.3">
      <c r="A53" s="117">
        <v>11</v>
      </c>
      <c r="B53" s="117">
        <v>2019</v>
      </c>
      <c r="C53" s="141" t="s">
        <v>132</v>
      </c>
      <c r="D53" s="131" t="s">
        <v>1</v>
      </c>
      <c r="E53" s="133">
        <v>165</v>
      </c>
      <c r="F53" s="118">
        <f t="shared" si="0"/>
        <v>1.53</v>
      </c>
      <c r="G53" s="118">
        <v>252.45</v>
      </c>
      <c r="H53" s="119"/>
      <c r="I53" s="120"/>
    </row>
    <row r="54" spans="1:9" x14ac:dyDescent="0.3">
      <c r="A54" s="117">
        <v>12</v>
      </c>
      <c r="B54" s="117">
        <v>2019</v>
      </c>
      <c r="C54" s="137" t="s">
        <v>133</v>
      </c>
      <c r="D54" s="131" t="s">
        <v>1</v>
      </c>
      <c r="E54" s="133">
        <v>165</v>
      </c>
      <c r="F54" s="118">
        <f t="shared" si="0"/>
        <v>1.9</v>
      </c>
      <c r="G54" s="118">
        <v>313.5</v>
      </c>
      <c r="H54" s="119"/>
      <c r="I54" s="120"/>
    </row>
    <row r="55" spans="1:9" x14ac:dyDescent="0.3">
      <c r="A55" s="117">
        <v>13</v>
      </c>
      <c r="B55" s="117">
        <v>2019</v>
      </c>
      <c r="C55" s="137" t="s">
        <v>134</v>
      </c>
      <c r="D55" s="131" t="s">
        <v>1</v>
      </c>
      <c r="E55" s="133">
        <v>42</v>
      </c>
      <c r="F55" s="118">
        <f t="shared" si="0"/>
        <v>2.2000000000000002</v>
      </c>
      <c r="G55" s="118">
        <v>92.4</v>
      </c>
      <c r="H55" s="119"/>
      <c r="I55" s="120"/>
    </row>
    <row r="56" spans="1:9" ht="18" customHeight="1" x14ac:dyDescent="0.3">
      <c r="A56" s="117">
        <v>14</v>
      </c>
      <c r="B56" s="117">
        <v>2019</v>
      </c>
      <c r="C56" s="137" t="s">
        <v>135</v>
      </c>
      <c r="D56" s="131" t="s">
        <v>1</v>
      </c>
      <c r="E56" s="133">
        <v>130</v>
      </c>
      <c r="F56" s="118">
        <f t="shared" si="0"/>
        <v>2.1</v>
      </c>
      <c r="G56" s="118">
        <v>273</v>
      </c>
      <c r="H56" s="119"/>
      <c r="I56" s="120"/>
    </row>
    <row r="57" spans="1:9" ht="27.6" x14ac:dyDescent="0.3">
      <c r="A57" s="117">
        <v>15</v>
      </c>
      <c r="B57" s="117">
        <v>2019</v>
      </c>
      <c r="C57" s="137" t="s">
        <v>136</v>
      </c>
      <c r="D57" s="131" t="s">
        <v>1</v>
      </c>
      <c r="E57" s="133">
        <v>146</v>
      </c>
      <c r="F57" s="118">
        <f t="shared" si="0"/>
        <v>0.91000000000000014</v>
      </c>
      <c r="G57" s="118">
        <v>132.86000000000001</v>
      </c>
      <c r="H57" s="119"/>
      <c r="I57" s="120"/>
    </row>
    <row r="58" spans="1:9" ht="27.6" x14ac:dyDescent="0.3">
      <c r="A58" s="117">
        <v>16</v>
      </c>
      <c r="B58" s="117">
        <v>2019</v>
      </c>
      <c r="C58" s="141" t="s">
        <v>137</v>
      </c>
      <c r="D58" s="131" t="s">
        <v>1</v>
      </c>
      <c r="E58" s="133">
        <v>154</v>
      </c>
      <c r="F58" s="118">
        <f t="shared" si="0"/>
        <v>1.7999999999999998</v>
      </c>
      <c r="G58" s="118">
        <v>277.2</v>
      </c>
      <c r="H58" s="119"/>
      <c r="I58" s="120"/>
    </row>
    <row r="59" spans="1:9" x14ac:dyDescent="0.3">
      <c r="A59" s="117">
        <v>17</v>
      </c>
      <c r="B59" s="117">
        <v>2019</v>
      </c>
      <c r="C59" s="141" t="s">
        <v>138</v>
      </c>
      <c r="D59" s="131" t="s">
        <v>1</v>
      </c>
      <c r="E59" s="133">
        <v>154</v>
      </c>
      <c r="F59" s="118">
        <f t="shared" si="0"/>
        <v>2.38</v>
      </c>
      <c r="G59" s="118">
        <v>366.52</v>
      </c>
      <c r="H59" s="119"/>
      <c r="I59" s="120"/>
    </row>
    <row r="60" spans="1:9" x14ac:dyDescent="0.3">
      <c r="A60" s="117">
        <v>18</v>
      </c>
      <c r="B60" s="117">
        <v>2019</v>
      </c>
      <c r="C60" s="137" t="s">
        <v>139</v>
      </c>
      <c r="D60" s="131" t="s">
        <v>1</v>
      </c>
      <c r="E60" s="133">
        <v>154</v>
      </c>
      <c r="F60" s="118">
        <f t="shared" si="0"/>
        <v>1.7399999999999998</v>
      </c>
      <c r="G60" s="118">
        <v>267.95999999999998</v>
      </c>
      <c r="H60" s="119"/>
      <c r="I60" s="120"/>
    </row>
    <row r="61" spans="1:9" x14ac:dyDescent="0.3">
      <c r="A61" s="117">
        <v>19</v>
      </c>
      <c r="B61" s="117">
        <v>2019</v>
      </c>
      <c r="C61" s="141" t="s">
        <v>140</v>
      </c>
      <c r="D61" s="131" t="s">
        <v>1</v>
      </c>
      <c r="E61" s="133">
        <v>154</v>
      </c>
      <c r="F61" s="118">
        <f t="shared" si="0"/>
        <v>2.3400000000000003</v>
      </c>
      <c r="G61" s="118">
        <v>360.36</v>
      </c>
      <c r="H61" s="119"/>
      <c r="I61" s="120"/>
    </row>
    <row r="62" spans="1:9" x14ac:dyDescent="0.3">
      <c r="A62" s="117">
        <v>20</v>
      </c>
      <c r="B62" s="117">
        <v>2019</v>
      </c>
      <c r="C62" s="137" t="s">
        <v>141</v>
      </c>
      <c r="D62" s="131" t="s">
        <v>1</v>
      </c>
      <c r="E62" s="133">
        <v>154</v>
      </c>
      <c r="F62" s="118">
        <f t="shared" si="0"/>
        <v>0.89999999999999991</v>
      </c>
      <c r="G62" s="118">
        <v>138.6</v>
      </c>
      <c r="H62" s="119"/>
      <c r="I62" s="120"/>
    </row>
    <row r="63" spans="1:9" x14ac:dyDescent="0.3">
      <c r="A63" s="117">
        <v>21</v>
      </c>
      <c r="B63" s="117">
        <v>2019</v>
      </c>
      <c r="C63" s="137" t="s">
        <v>142</v>
      </c>
      <c r="D63" s="131" t="s">
        <v>1</v>
      </c>
      <c r="E63" s="133">
        <v>154</v>
      </c>
      <c r="F63" s="118">
        <f t="shared" si="0"/>
        <v>1.0799999999999998</v>
      </c>
      <c r="G63" s="118">
        <v>166.32</v>
      </c>
      <c r="H63" s="119"/>
      <c r="I63" s="120"/>
    </row>
    <row r="64" spans="1:9" x14ac:dyDescent="0.3">
      <c r="A64" s="117">
        <v>22</v>
      </c>
      <c r="B64" s="117">
        <v>2019</v>
      </c>
      <c r="C64" s="137" t="s">
        <v>143</v>
      </c>
      <c r="D64" s="131" t="s">
        <v>1</v>
      </c>
      <c r="E64" s="133">
        <v>154</v>
      </c>
      <c r="F64" s="118">
        <f t="shared" si="0"/>
        <v>3</v>
      </c>
      <c r="G64" s="118">
        <v>462</v>
      </c>
      <c r="H64" s="119"/>
      <c r="I64" s="120"/>
    </row>
    <row r="65" spans="1:9" x14ac:dyDescent="0.3">
      <c r="A65" s="117">
        <v>23</v>
      </c>
      <c r="B65" s="117">
        <v>2019</v>
      </c>
      <c r="C65" s="137" t="s">
        <v>144</v>
      </c>
      <c r="D65" s="131" t="s">
        <v>1</v>
      </c>
      <c r="E65" s="133">
        <v>154</v>
      </c>
      <c r="F65" s="118">
        <f t="shared" si="0"/>
        <v>1.52</v>
      </c>
      <c r="G65" s="118">
        <v>234.08</v>
      </c>
      <c r="H65" s="119"/>
      <c r="I65" s="120"/>
    </row>
    <row r="66" spans="1:9" x14ac:dyDescent="0.3">
      <c r="A66" s="117">
        <v>24</v>
      </c>
      <c r="B66" s="117">
        <v>2019</v>
      </c>
      <c r="C66" s="137" t="s">
        <v>145</v>
      </c>
      <c r="D66" s="131" t="s">
        <v>1</v>
      </c>
      <c r="E66" s="133">
        <v>154</v>
      </c>
      <c r="F66" s="118">
        <v>1.9800000000000002</v>
      </c>
      <c r="G66" s="118">
        <v>304.92</v>
      </c>
      <c r="H66" s="119"/>
      <c r="I66" s="120"/>
    </row>
    <row r="67" spans="1:9" x14ac:dyDescent="0.3">
      <c r="A67" s="117">
        <v>25</v>
      </c>
      <c r="B67" s="117">
        <v>2019</v>
      </c>
      <c r="C67" s="137" t="s">
        <v>146</v>
      </c>
      <c r="D67" s="131" t="s">
        <v>1</v>
      </c>
      <c r="E67" s="133">
        <v>154</v>
      </c>
      <c r="F67" s="118">
        <v>2.25</v>
      </c>
      <c r="G67" s="118">
        <v>346.5</v>
      </c>
      <c r="H67" s="119"/>
      <c r="I67" s="120"/>
    </row>
    <row r="68" spans="1:9" x14ac:dyDescent="0.3">
      <c r="A68" s="117">
        <v>26</v>
      </c>
      <c r="B68" s="117">
        <v>2019</v>
      </c>
      <c r="C68" s="137" t="s">
        <v>147</v>
      </c>
      <c r="D68" s="131" t="s">
        <v>1</v>
      </c>
      <c r="E68" s="133">
        <v>154</v>
      </c>
      <c r="F68" s="118">
        <v>2.38</v>
      </c>
      <c r="G68" s="118">
        <v>366.52</v>
      </c>
      <c r="H68" s="119"/>
      <c r="I68" s="120"/>
    </row>
    <row r="69" spans="1:9" ht="27.6" x14ac:dyDescent="0.3">
      <c r="A69" s="117">
        <v>27</v>
      </c>
      <c r="B69" s="117">
        <v>2019</v>
      </c>
      <c r="C69" s="141" t="s">
        <v>148</v>
      </c>
      <c r="D69" s="131" t="s">
        <v>1</v>
      </c>
      <c r="E69" s="133">
        <v>154</v>
      </c>
      <c r="F69" s="118">
        <f t="shared" si="0"/>
        <v>2.0999999999999996</v>
      </c>
      <c r="G69" s="118">
        <v>323.39999999999998</v>
      </c>
      <c r="H69" s="119"/>
      <c r="I69" s="120"/>
    </row>
    <row r="70" spans="1:9" ht="27.6" x14ac:dyDescent="0.3">
      <c r="A70" s="117">
        <v>28</v>
      </c>
      <c r="B70" s="117">
        <v>2019</v>
      </c>
      <c r="C70" s="141" t="s">
        <v>149</v>
      </c>
      <c r="D70" s="131" t="s">
        <v>1</v>
      </c>
      <c r="E70" s="133">
        <v>7</v>
      </c>
      <c r="F70" s="118">
        <f t="shared" si="0"/>
        <v>3</v>
      </c>
      <c r="G70" s="118">
        <v>21</v>
      </c>
      <c r="H70" s="119"/>
      <c r="I70" s="120"/>
    </row>
    <row r="71" spans="1:9" x14ac:dyDescent="0.3">
      <c r="A71" s="117">
        <v>29</v>
      </c>
      <c r="B71" s="117">
        <v>2019</v>
      </c>
      <c r="C71" s="141" t="s">
        <v>150</v>
      </c>
      <c r="D71" s="131" t="s">
        <v>1</v>
      </c>
      <c r="E71" s="133">
        <v>8</v>
      </c>
      <c r="F71" s="118">
        <f t="shared" si="0"/>
        <v>2.88</v>
      </c>
      <c r="G71" s="118">
        <v>23.04</v>
      </c>
      <c r="H71" s="119"/>
      <c r="I71" s="120"/>
    </row>
    <row r="72" spans="1:9" x14ac:dyDescent="0.3">
      <c r="A72" s="117">
        <v>30</v>
      </c>
      <c r="B72" s="117">
        <v>2019</v>
      </c>
      <c r="C72" s="137" t="s">
        <v>151</v>
      </c>
      <c r="D72" s="131" t="s">
        <v>1</v>
      </c>
      <c r="E72" s="133">
        <v>11</v>
      </c>
      <c r="F72" s="118">
        <f t="shared" si="0"/>
        <v>3.0599999999999996</v>
      </c>
      <c r="G72" s="118">
        <v>33.659999999999997</v>
      </c>
      <c r="H72" s="119"/>
      <c r="I72" s="120"/>
    </row>
    <row r="73" spans="1:9" x14ac:dyDescent="0.3">
      <c r="A73" s="117">
        <v>31</v>
      </c>
      <c r="B73" s="117">
        <v>2019</v>
      </c>
      <c r="C73" s="137" t="s">
        <v>152</v>
      </c>
      <c r="D73" s="131" t="s">
        <v>1</v>
      </c>
      <c r="E73" s="133">
        <v>11</v>
      </c>
      <c r="F73" s="118">
        <f t="shared" si="0"/>
        <v>3.0599999999999996</v>
      </c>
      <c r="G73" s="118">
        <v>33.659999999999997</v>
      </c>
      <c r="H73" s="119"/>
      <c r="I73" s="120"/>
    </row>
    <row r="74" spans="1:9" x14ac:dyDescent="0.3">
      <c r="A74" s="117">
        <v>32</v>
      </c>
      <c r="B74" s="117">
        <v>2019</v>
      </c>
      <c r="C74" s="141" t="s">
        <v>153</v>
      </c>
      <c r="D74" s="131" t="s">
        <v>1</v>
      </c>
      <c r="E74" s="133">
        <v>9</v>
      </c>
      <c r="F74" s="118">
        <f t="shared" si="0"/>
        <v>3.36</v>
      </c>
      <c r="G74" s="118">
        <v>30.24</v>
      </c>
      <c r="H74" s="119"/>
      <c r="I74" s="120"/>
    </row>
    <row r="75" spans="1:9" x14ac:dyDescent="0.3">
      <c r="A75" s="117">
        <v>33</v>
      </c>
      <c r="B75" s="117">
        <v>2019</v>
      </c>
      <c r="C75" s="137" t="s">
        <v>154</v>
      </c>
      <c r="D75" s="131" t="s">
        <v>1</v>
      </c>
      <c r="E75" s="133">
        <v>10</v>
      </c>
      <c r="F75" s="118">
        <f t="shared" si="0"/>
        <v>3.3600000000000003</v>
      </c>
      <c r="G75" s="118">
        <v>33.6</v>
      </c>
      <c r="H75" s="119"/>
      <c r="I75" s="120"/>
    </row>
    <row r="76" spans="1:9" x14ac:dyDescent="0.3">
      <c r="A76" s="117">
        <v>34</v>
      </c>
      <c r="B76" s="117">
        <v>2019</v>
      </c>
      <c r="C76" s="137" t="s">
        <v>155</v>
      </c>
      <c r="D76" s="131" t="s">
        <v>1</v>
      </c>
      <c r="E76" s="133">
        <v>11</v>
      </c>
      <c r="F76" s="118">
        <f t="shared" si="0"/>
        <v>2.04</v>
      </c>
      <c r="G76" s="118">
        <v>22.44</v>
      </c>
      <c r="H76" s="119"/>
      <c r="I76" s="120"/>
    </row>
    <row r="77" spans="1:9" x14ac:dyDescent="0.3">
      <c r="A77" s="117">
        <v>35</v>
      </c>
      <c r="B77" s="117">
        <v>2019</v>
      </c>
      <c r="C77" s="137" t="s">
        <v>156</v>
      </c>
      <c r="D77" s="131" t="s">
        <v>1</v>
      </c>
      <c r="E77" s="133">
        <v>10</v>
      </c>
      <c r="F77" s="118">
        <f t="shared" si="0"/>
        <v>2.04</v>
      </c>
      <c r="G77" s="118">
        <v>20.399999999999999</v>
      </c>
      <c r="H77" s="119"/>
      <c r="I77" s="120"/>
    </row>
    <row r="78" spans="1:9" x14ac:dyDescent="0.3">
      <c r="A78" s="117">
        <v>36</v>
      </c>
      <c r="B78" s="117">
        <v>2019</v>
      </c>
      <c r="C78" s="137" t="s">
        <v>157</v>
      </c>
      <c r="D78" s="131" t="s">
        <v>1</v>
      </c>
      <c r="E78" s="133">
        <v>10</v>
      </c>
      <c r="F78" s="118">
        <f t="shared" si="0"/>
        <v>3.06</v>
      </c>
      <c r="G78" s="118">
        <v>30.6</v>
      </c>
      <c r="H78" s="119"/>
      <c r="I78" s="120"/>
    </row>
    <row r="79" spans="1:9" x14ac:dyDescent="0.3">
      <c r="A79" s="117">
        <v>37</v>
      </c>
      <c r="B79" s="117">
        <v>2019</v>
      </c>
      <c r="C79" s="137" t="s">
        <v>158</v>
      </c>
      <c r="D79" s="131" t="s">
        <v>1</v>
      </c>
      <c r="E79" s="133">
        <v>11</v>
      </c>
      <c r="F79" s="118">
        <f t="shared" si="0"/>
        <v>1.76</v>
      </c>
      <c r="G79" s="118">
        <v>19.36</v>
      </c>
      <c r="H79" s="119"/>
      <c r="I79" s="120"/>
    </row>
    <row r="80" spans="1:9" x14ac:dyDescent="0.3">
      <c r="A80" s="117">
        <v>38</v>
      </c>
      <c r="B80" s="117">
        <v>2019</v>
      </c>
      <c r="C80" s="137" t="s">
        <v>159</v>
      </c>
      <c r="D80" s="131" t="s">
        <v>1</v>
      </c>
      <c r="E80" s="133">
        <v>8</v>
      </c>
      <c r="F80" s="118">
        <f t="shared" si="0"/>
        <v>3.15</v>
      </c>
      <c r="G80" s="118">
        <v>25.2</v>
      </c>
      <c r="H80" s="119"/>
      <c r="I80" s="120"/>
    </row>
    <row r="81" spans="1:9" x14ac:dyDescent="0.3">
      <c r="A81" s="117">
        <v>39</v>
      </c>
      <c r="B81" s="117">
        <v>2019</v>
      </c>
      <c r="C81" s="137" t="s">
        <v>160</v>
      </c>
      <c r="D81" s="131" t="s">
        <v>1</v>
      </c>
      <c r="E81" s="133">
        <v>12</v>
      </c>
      <c r="F81" s="118">
        <f t="shared" si="0"/>
        <v>2.04</v>
      </c>
      <c r="G81" s="118">
        <v>24.48</v>
      </c>
      <c r="H81" s="119"/>
      <c r="I81" s="120"/>
    </row>
    <row r="82" spans="1:9" x14ac:dyDescent="0.3">
      <c r="A82" s="117">
        <v>40</v>
      </c>
      <c r="B82" s="117">
        <v>2019</v>
      </c>
      <c r="C82" s="137" t="s">
        <v>161</v>
      </c>
      <c r="D82" s="131" t="s">
        <v>1</v>
      </c>
      <c r="E82" s="133">
        <v>12</v>
      </c>
      <c r="F82" s="118">
        <f t="shared" si="0"/>
        <v>1.76</v>
      </c>
      <c r="G82" s="118">
        <v>21.12</v>
      </c>
      <c r="H82" s="119"/>
      <c r="I82" s="120"/>
    </row>
    <row r="83" spans="1:9" x14ac:dyDescent="0.3">
      <c r="A83" s="117">
        <v>41</v>
      </c>
      <c r="B83" s="117">
        <v>2019</v>
      </c>
      <c r="C83" s="137" t="s">
        <v>162</v>
      </c>
      <c r="D83" s="131" t="s">
        <v>1</v>
      </c>
      <c r="E83" s="133">
        <v>10</v>
      </c>
      <c r="F83" s="118">
        <f t="shared" si="0"/>
        <v>2.04</v>
      </c>
      <c r="G83" s="118">
        <v>20.399999999999999</v>
      </c>
      <c r="H83" s="119"/>
      <c r="I83" s="120"/>
    </row>
    <row r="84" spans="1:9" ht="28.2" thickBot="1" x14ac:dyDescent="0.35">
      <c r="A84" s="234">
        <v>42</v>
      </c>
      <c r="B84" s="234">
        <v>2019</v>
      </c>
      <c r="C84" s="270" t="s">
        <v>163</v>
      </c>
      <c r="D84" s="234" t="s">
        <v>1</v>
      </c>
      <c r="E84" s="271">
        <v>367</v>
      </c>
      <c r="F84" s="234">
        <f>G84/E84</f>
        <v>1.3813896457765669</v>
      </c>
      <c r="G84" s="234">
        <v>506.97</v>
      </c>
      <c r="H84" s="272"/>
      <c r="I84" s="265"/>
    </row>
    <row r="85" spans="1:9" ht="15" thickBot="1" x14ac:dyDescent="0.35">
      <c r="A85" s="276"/>
      <c r="B85" s="246"/>
      <c r="C85" s="277"/>
      <c r="D85" s="246"/>
      <c r="E85" s="278">
        <f>SUM(E46:E84)</f>
        <v>3993</v>
      </c>
      <c r="F85" s="230"/>
      <c r="G85" s="230">
        <f>SUM(G46:G84)</f>
        <v>9076.2100000000009</v>
      </c>
      <c r="H85" s="279"/>
      <c r="I85" s="232"/>
    </row>
    <row r="86" spans="1:9" x14ac:dyDescent="0.3">
      <c r="A86" s="245">
        <v>43</v>
      </c>
      <c r="B86" s="245">
        <v>2018</v>
      </c>
      <c r="C86" s="273" t="s">
        <v>205</v>
      </c>
      <c r="D86" s="245" t="s">
        <v>1</v>
      </c>
      <c r="E86" s="274">
        <v>27</v>
      </c>
      <c r="F86" s="255">
        <v>1.9</v>
      </c>
      <c r="G86" s="255">
        <v>51.32</v>
      </c>
      <c r="H86" s="275"/>
      <c r="I86" s="226"/>
    </row>
    <row r="87" spans="1:9" ht="15" thickBot="1" x14ac:dyDescent="0.35">
      <c r="A87" s="234">
        <v>44</v>
      </c>
      <c r="B87" s="234">
        <v>2018</v>
      </c>
      <c r="C87" s="270" t="s">
        <v>165</v>
      </c>
      <c r="D87" s="234" t="s">
        <v>1</v>
      </c>
      <c r="E87" s="271">
        <v>3</v>
      </c>
      <c r="F87" s="253">
        <v>4.3500000000000005</v>
      </c>
      <c r="G87" s="253">
        <v>13.05</v>
      </c>
      <c r="H87" s="272"/>
      <c r="I87" s="265"/>
    </row>
    <row r="88" spans="1:9" ht="15" thickBot="1" x14ac:dyDescent="0.35">
      <c r="A88" s="276"/>
      <c r="B88" s="246"/>
      <c r="C88" s="277" t="s">
        <v>53</v>
      </c>
      <c r="D88" s="246"/>
      <c r="E88" s="278">
        <f>SUM(E86:E87)</f>
        <v>30</v>
      </c>
      <c r="F88" s="230"/>
      <c r="G88" s="230">
        <f>SUM(G86:G87)</f>
        <v>64.37</v>
      </c>
      <c r="H88" s="279"/>
      <c r="I88" s="232"/>
    </row>
    <row r="89" spans="1:9" ht="27.6" x14ac:dyDescent="0.3">
      <c r="A89" s="245">
        <v>45</v>
      </c>
      <c r="B89" s="245">
        <v>2019</v>
      </c>
      <c r="C89" s="273" t="s">
        <v>166</v>
      </c>
      <c r="D89" s="245" t="s">
        <v>1</v>
      </c>
      <c r="E89" s="274">
        <v>1</v>
      </c>
      <c r="F89" s="255">
        <f t="shared" si="0"/>
        <v>3.41</v>
      </c>
      <c r="G89" s="255">
        <v>3.41</v>
      </c>
      <c r="H89" s="275"/>
      <c r="I89" s="226"/>
    </row>
    <row r="90" spans="1:9" ht="27.6" x14ac:dyDescent="0.3">
      <c r="A90" s="117">
        <v>46</v>
      </c>
      <c r="B90" s="117">
        <v>2019</v>
      </c>
      <c r="C90" s="137" t="s">
        <v>167</v>
      </c>
      <c r="D90" s="131" t="s">
        <v>1</v>
      </c>
      <c r="E90" s="133">
        <v>1</v>
      </c>
      <c r="F90" s="118">
        <f t="shared" si="0"/>
        <v>2.48</v>
      </c>
      <c r="G90" s="118">
        <v>2.48</v>
      </c>
      <c r="H90" s="119"/>
      <c r="I90" s="120"/>
    </row>
    <row r="91" spans="1:9" x14ac:dyDescent="0.3">
      <c r="A91" s="117">
        <v>47</v>
      </c>
      <c r="B91" s="117">
        <v>2019</v>
      </c>
      <c r="C91" s="137" t="s">
        <v>168</v>
      </c>
      <c r="D91" s="131" t="s">
        <v>1</v>
      </c>
      <c r="E91" s="133">
        <v>1</v>
      </c>
      <c r="F91" s="118">
        <f t="shared" si="0"/>
        <v>4.0999999999999996</v>
      </c>
      <c r="G91" s="118">
        <v>4.0999999999999996</v>
      </c>
      <c r="H91" s="119"/>
      <c r="I91" s="120"/>
    </row>
    <row r="92" spans="1:9" x14ac:dyDescent="0.3">
      <c r="A92" s="117">
        <v>48</v>
      </c>
      <c r="B92" s="117">
        <v>2019</v>
      </c>
      <c r="C92" s="137" t="s">
        <v>169</v>
      </c>
      <c r="D92" s="131" t="s">
        <v>1</v>
      </c>
      <c r="E92" s="133">
        <v>1</v>
      </c>
      <c r="F92" s="118">
        <f t="shared" si="0"/>
        <v>4.0999999999999996</v>
      </c>
      <c r="G92" s="118">
        <v>4.0999999999999996</v>
      </c>
      <c r="H92" s="119"/>
      <c r="I92" s="120"/>
    </row>
    <row r="93" spans="1:9" x14ac:dyDescent="0.3">
      <c r="A93" s="117">
        <v>49</v>
      </c>
      <c r="B93" s="117">
        <v>2019</v>
      </c>
      <c r="C93" s="137" t="s">
        <v>170</v>
      </c>
      <c r="D93" s="131" t="s">
        <v>1</v>
      </c>
      <c r="E93" s="133">
        <v>1</v>
      </c>
      <c r="F93" s="118">
        <f t="shared" si="0"/>
        <v>4.6500000000000004</v>
      </c>
      <c r="G93" s="118">
        <v>4.6500000000000004</v>
      </c>
      <c r="H93" s="119"/>
      <c r="I93" s="120"/>
    </row>
    <row r="94" spans="1:9" ht="27.6" x14ac:dyDescent="0.3">
      <c r="A94" s="117">
        <v>50</v>
      </c>
      <c r="B94" s="117">
        <v>2019</v>
      </c>
      <c r="C94" s="137" t="s">
        <v>171</v>
      </c>
      <c r="D94" s="131" t="s">
        <v>1</v>
      </c>
      <c r="E94" s="133">
        <v>2</v>
      </c>
      <c r="F94" s="118">
        <f t="shared" si="0"/>
        <v>2.5</v>
      </c>
      <c r="G94" s="118">
        <v>5</v>
      </c>
      <c r="H94" s="119"/>
      <c r="I94" s="120"/>
    </row>
    <row r="95" spans="1:9" x14ac:dyDescent="0.3">
      <c r="A95" s="117">
        <v>51</v>
      </c>
      <c r="B95" s="117">
        <v>2019</v>
      </c>
      <c r="C95" s="137" t="s">
        <v>172</v>
      </c>
      <c r="D95" s="131" t="s">
        <v>1</v>
      </c>
      <c r="E95" s="133">
        <v>1</v>
      </c>
      <c r="F95" s="118">
        <f t="shared" si="0"/>
        <v>2.46</v>
      </c>
      <c r="G95" s="118">
        <v>2.46</v>
      </c>
      <c r="H95" s="119"/>
      <c r="I95" s="120"/>
    </row>
    <row r="96" spans="1:9" x14ac:dyDescent="0.3">
      <c r="A96" s="117">
        <v>52</v>
      </c>
      <c r="B96" s="117">
        <v>2019</v>
      </c>
      <c r="C96" s="137" t="s">
        <v>173</v>
      </c>
      <c r="D96" s="131" t="s">
        <v>1</v>
      </c>
      <c r="E96" s="133">
        <v>1</v>
      </c>
      <c r="F96" s="118">
        <f t="shared" si="0"/>
        <v>2.31</v>
      </c>
      <c r="G96" s="118">
        <v>2.31</v>
      </c>
      <c r="H96" s="119"/>
      <c r="I96" s="120"/>
    </row>
    <row r="97" spans="1:9" x14ac:dyDescent="0.3">
      <c r="A97" s="117">
        <v>53</v>
      </c>
      <c r="B97" s="117">
        <v>2019</v>
      </c>
      <c r="C97" s="137" t="s">
        <v>174</v>
      </c>
      <c r="D97" s="131" t="s">
        <v>1</v>
      </c>
      <c r="E97" s="133">
        <v>1</v>
      </c>
      <c r="F97" s="118">
        <f t="shared" si="0"/>
        <v>2.4</v>
      </c>
      <c r="G97" s="118">
        <v>2.4</v>
      </c>
      <c r="H97" s="119"/>
      <c r="I97" s="120"/>
    </row>
    <row r="98" spans="1:9" x14ac:dyDescent="0.3">
      <c r="A98" s="117">
        <v>54</v>
      </c>
      <c r="B98" s="117">
        <v>2019</v>
      </c>
      <c r="C98" s="137" t="s">
        <v>175</v>
      </c>
      <c r="D98" s="131" t="s">
        <v>1</v>
      </c>
      <c r="E98" s="133">
        <v>1</v>
      </c>
      <c r="F98" s="118">
        <f t="shared" si="0"/>
        <v>1.86</v>
      </c>
      <c r="G98" s="118">
        <v>1.86</v>
      </c>
      <c r="H98" s="119"/>
      <c r="I98" s="120"/>
    </row>
    <row r="99" spans="1:9" x14ac:dyDescent="0.3">
      <c r="A99" s="117">
        <v>55</v>
      </c>
      <c r="B99" s="117">
        <v>2019</v>
      </c>
      <c r="C99" s="137" t="s">
        <v>176</v>
      </c>
      <c r="D99" s="131" t="s">
        <v>1</v>
      </c>
      <c r="E99" s="133">
        <v>1</v>
      </c>
      <c r="F99" s="118">
        <f t="shared" si="0"/>
        <v>5.6</v>
      </c>
      <c r="G99" s="118">
        <v>5.6</v>
      </c>
      <c r="H99" s="119"/>
      <c r="I99" s="120"/>
    </row>
    <row r="100" spans="1:9" ht="27.6" x14ac:dyDescent="0.3">
      <c r="A100" s="117">
        <v>56</v>
      </c>
      <c r="B100" s="117">
        <v>2019</v>
      </c>
      <c r="C100" s="137" t="s">
        <v>177</v>
      </c>
      <c r="D100" s="131" t="s">
        <v>1</v>
      </c>
      <c r="E100" s="133">
        <v>1</v>
      </c>
      <c r="F100" s="118">
        <f t="shared" si="0"/>
        <v>2.4</v>
      </c>
      <c r="G100" s="118">
        <v>2.4</v>
      </c>
      <c r="H100" s="119"/>
      <c r="I100" s="120"/>
    </row>
    <row r="101" spans="1:9" x14ac:dyDescent="0.3">
      <c r="A101" s="117">
        <v>57</v>
      </c>
      <c r="B101" s="117">
        <v>2019</v>
      </c>
      <c r="C101" s="137" t="s">
        <v>178</v>
      </c>
      <c r="D101" s="131" t="s">
        <v>1</v>
      </c>
      <c r="E101" s="133">
        <v>1</v>
      </c>
      <c r="F101" s="118">
        <f t="shared" si="0"/>
        <v>1.86</v>
      </c>
      <c r="G101" s="118">
        <v>1.86</v>
      </c>
      <c r="H101" s="119"/>
      <c r="I101" s="120"/>
    </row>
    <row r="102" spans="1:9" ht="19.5" customHeight="1" x14ac:dyDescent="0.3">
      <c r="A102" s="117">
        <v>58</v>
      </c>
      <c r="B102" s="117">
        <v>2019</v>
      </c>
      <c r="C102" s="137" t="s">
        <v>179</v>
      </c>
      <c r="D102" s="131" t="s">
        <v>1</v>
      </c>
      <c r="E102" s="133">
        <v>1</v>
      </c>
      <c r="F102" s="118">
        <f t="shared" si="0"/>
        <v>2.48</v>
      </c>
      <c r="G102" s="118">
        <v>2.48</v>
      </c>
      <c r="H102" s="119"/>
      <c r="I102" s="120"/>
    </row>
    <row r="103" spans="1:9" ht="27.75" customHeight="1" x14ac:dyDescent="0.3">
      <c r="A103" s="117">
        <v>59</v>
      </c>
      <c r="B103" s="117">
        <v>2019</v>
      </c>
      <c r="C103" s="141" t="s">
        <v>180</v>
      </c>
      <c r="D103" s="131" t="s">
        <v>1</v>
      </c>
      <c r="E103" s="133">
        <v>7</v>
      </c>
      <c r="F103" s="118">
        <f t="shared" si="0"/>
        <v>6.6000000000000005</v>
      </c>
      <c r="G103" s="118">
        <v>46.2</v>
      </c>
      <c r="H103" s="119"/>
      <c r="I103" s="120"/>
    </row>
    <row r="104" spans="1:9" ht="15" customHeight="1" x14ac:dyDescent="0.3">
      <c r="A104" s="117">
        <v>60</v>
      </c>
      <c r="B104" s="117">
        <v>2019</v>
      </c>
      <c r="C104" s="137" t="s">
        <v>181</v>
      </c>
      <c r="D104" s="131" t="s">
        <v>1</v>
      </c>
      <c r="E104" s="133">
        <v>4</v>
      </c>
      <c r="F104" s="118">
        <f t="shared" si="0"/>
        <v>19</v>
      </c>
      <c r="G104" s="118">
        <v>76</v>
      </c>
      <c r="H104" s="119"/>
      <c r="I104" s="120"/>
    </row>
    <row r="105" spans="1:9" ht="15" customHeight="1" x14ac:dyDescent="0.3">
      <c r="A105" s="117">
        <v>61</v>
      </c>
      <c r="B105" s="117">
        <v>2019</v>
      </c>
      <c r="C105" s="137" t="s">
        <v>182</v>
      </c>
      <c r="D105" s="131" t="s">
        <v>1</v>
      </c>
      <c r="E105" s="133">
        <v>14</v>
      </c>
      <c r="F105" s="118">
        <f t="shared" si="0"/>
        <v>2.31</v>
      </c>
      <c r="G105" s="118">
        <v>32.340000000000003</v>
      </c>
      <c r="H105" s="119"/>
      <c r="I105" s="120"/>
    </row>
    <row r="106" spans="1:9" x14ac:dyDescent="0.3">
      <c r="A106" s="117">
        <v>62</v>
      </c>
      <c r="B106" s="117">
        <v>2019</v>
      </c>
      <c r="C106" s="141" t="s">
        <v>183</v>
      </c>
      <c r="D106" s="131" t="s">
        <v>1</v>
      </c>
      <c r="E106" s="133">
        <v>7</v>
      </c>
      <c r="F106" s="118">
        <f t="shared" si="0"/>
        <v>3.3000000000000003</v>
      </c>
      <c r="G106" s="118">
        <v>23.1</v>
      </c>
      <c r="H106" s="119"/>
      <c r="I106" s="120"/>
    </row>
    <row r="107" spans="1:9" x14ac:dyDescent="0.3">
      <c r="A107" s="117">
        <v>63</v>
      </c>
      <c r="B107" s="117">
        <v>2019</v>
      </c>
      <c r="C107" s="141" t="s">
        <v>184</v>
      </c>
      <c r="D107" s="131" t="s">
        <v>1</v>
      </c>
      <c r="E107" s="133">
        <v>7</v>
      </c>
      <c r="F107" s="118">
        <f t="shared" si="0"/>
        <v>3.12</v>
      </c>
      <c r="G107" s="118">
        <v>21.84</v>
      </c>
      <c r="H107" s="119"/>
      <c r="I107" s="120"/>
    </row>
    <row r="108" spans="1:9" x14ac:dyDescent="0.3">
      <c r="A108" s="117">
        <v>64</v>
      </c>
      <c r="B108" s="117">
        <v>2019</v>
      </c>
      <c r="C108" s="137" t="s">
        <v>185</v>
      </c>
      <c r="D108" s="131" t="s">
        <v>1</v>
      </c>
      <c r="E108" s="133">
        <v>7</v>
      </c>
      <c r="F108" s="118">
        <f t="shared" si="0"/>
        <v>2.64</v>
      </c>
      <c r="G108" s="118">
        <v>18.48</v>
      </c>
      <c r="H108" s="119"/>
      <c r="I108" s="120"/>
    </row>
    <row r="109" spans="1:9" x14ac:dyDescent="0.3">
      <c r="A109" s="117">
        <v>65</v>
      </c>
      <c r="B109" s="117">
        <v>2019</v>
      </c>
      <c r="C109" s="137" t="s">
        <v>186</v>
      </c>
      <c r="D109" s="131" t="s">
        <v>1</v>
      </c>
      <c r="E109" s="133">
        <v>7</v>
      </c>
      <c r="F109" s="118">
        <f t="shared" si="0"/>
        <v>2.2000000000000002</v>
      </c>
      <c r="G109" s="118">
        <v>15.4</v>
      </c>
      <c r="H109" s="119"/>
      <c r="I109" s="120"/>
    </row>
    <row r="110" spans="1:9" x14ac:dyDescent="0.3">
      <c r="A110" s="117">
        <v>66</v>
      </c>
      <c r="B110" s="117">
        <v>2019</v>
      </c>
      <c r="C110" s="137" t="s">
        <v>187</v>
      </c>
      <c r="D110" s="131" t="s">
        <v>1</v>
      </c>
      <c r="E110" s="133">
        <v>7</v>
      </c>
      <c r="F110" s="118">
        <f t="shared" si="0"/>
        <v>4.41</v>
      </c>
      <c r="G110" s="118">
        <v>30.87</v>
      </c>
      <c r="H110" s="119"/>
      <c r="I110" s="120"/>
    </row>
    <row r="111" spans="1:9" ht="27.6" x14ac:dyDescent="0.3">
      <c r="A111" s="117">
        <v>67</v>
      </c>
      <c r="B111" s="117">
        <v>2019</v>
      </c>
      <c r="C111" s="141" t="s">
        <v>188</v>
      </c>
      <c r="D111" s="131" t="s">
        <v>1</v>
      </c>
      <c r="E111" s="133">
        <v>7</v>
      </c>
      <c r="F111" s="118">
        <f t="shared" si="0"/>
        <v>2.4</v>
      </c>
      <c r="G111" s="118">
        <v>16.8</v>
      </c>
      <c r="H111" s="119"/>
      <c r="I111" s="120"/>
    </row>
    <row r="112" spans="1:9" ht="12.75" customHeight="1" x14ac:dyDescent="0.3">
      <c r="A112" s="117">
        <v>68</v>
      </c>
      <c r="B112" s="117">
        <v>2019</v>
      </c>
      <c r="C112" s="141" t="s">
        <v>189</v>
      </c>
      <c r="D112" s="131" t="s">
        <v>1</v>
      </c>
      <c r="E112" s="133">
        <v>15</v>
      </c>
      <c r="F112" s="118">
        <v>0</v>
      </c>
      <c r="G112" s="118">
        <v>0</v>
      </c>
      <c r="H112" s="119"/>
      <c r="I112" s="120"/>
    </row>
    <row r="113" spans="1:9" ht="30.75" customHeight="1" x14ac:dyDescent="0.3">
      <c r="A113" s="117">
        <v>69</v>
      </c>
      <c r="B113" s="117">
        <v>2019</v>
      </c>
      <c r="C113" s="137" t="s">
        <v>190</v>
      </c>
      <c r="D113" s="131" t="s">
        <v>1</v>
      </c>
      <c r="E113" s="133">
        <v>7</v>
      </c>
      <c r="F113" s="118">
        <f t="shared" si="0"/>
        <v>2.8000000000000003</v>
      </c>
      <c r="G113" s="118">
        <v>19.600000000000001</v>
      </c>
      <c r="H113" s="119"/>
      <c r="I113" s="121"/>
    </row>
    <row r="114" spans="1:9" ht="30.75" customHeight="1" x14ac:dyDescent="0.3">
      <c r="A114" s="117">
        <v>70</v>
      </c>
      <c r="B114" s="117">
        <v>2019</v>
      </c>
      <c r="C114" s="137" t="s">
        <v>191</v>
      </c>
      <c r="D114" s="131" t="s">
        <v>1</v>
      </c>
      <c r="E114" s="133">
        <v>7</v>
      </c>
      <c r="F114" s="118">
        <f t="shared" si="0"/>
        <v>3</v>
      </c>
      <c r="G114" s="118">
        <v>21</v>
      </c>
      <c r="H114" s="119"/>
      <c r="I114" s="120"/>
    </row>
    <row r="115" spans="1:9" ht="20.25" customHeight="1" x14ac:dyDescent="0.3">
      <c r="A115" s="117">
        <v>71</v>
      </c>
      <c r="B115" s="117">
        <v>2019</v>
      </c>
      <c r="C115" s="137" t="s">
        <v>192</v>
      </c>
      <c r="D115" s="131" t="s">
        <v>1</v>
      </c>
      <c r="E115" s="133">
        <v>7</v>
      </c>
      <c r="F115" s="118">
        <f t="shared" si="0"/>
        <v>3.0799999999999996</v>
      </c>
      <c r="G115" s="118">
        <v>21.56</v>
      </c>
      <c r="H115" s="119"/>
      <c r="I115" s="120"/>
    </row>
    <row r="116" spans="1:9" ht="20.25" customHeight="1" x14ac:dyDescent="0.3">
      <c r="A116" s="117">
        <v>72</v>
      </c>
      <c r="B116" s="117">
        <v>2019</v>
      </c>
      <c r="C116" s="137" t="s">
        <v>193</v>
      </c>
      <c r="D116" s="131" t="s">
        <v>1</v>
      </c>
      <c r="E116" s="133">
        <v>7</v>
      </c>
      <c r="F116" s="118">
        <f t="shared" ref="F116:F130" si="1">G116/E116</f>
        <v>3.3000000000000003</v>
      </c>
      <c r="G116" s="118">
        <v>23.1</v>
      </c>
      <c r="H116" s="119"/>
      <c r="I116" s="120"/>
    </row>
    <row r="117" spans="1:9" ht="20.25" customHeight="1" x14ac:dyDescent="0.3">
      <c r="A117" s="117">
        <v>73</v>
      </c>
      <c r="B117" s="117">
        <v>2019</v>
      </c>
      <c r="C117" s="137" t="s">
        <v>194</v>
      </c>
      <c r="D117" s="131" t="s">
        <v>1</v>
      </c>
      <c r="E117" s="133">
        <v>7</v>
      </c>
      <c r="F117" s="118">
        <f t="shared" si="1"/>
        <v>3.64</v>
      </c>
      <c r="G117" s="118">
        <v>25.48</v>
      </c>
      <c r="H117" s="119"/>
      <c r="I117" s="120"/>
    </row>
    <row r="118" spans="1:9" ht="30.75" customHeight="1" x14ac:dyDescent="0.3">
      <c r="A118" s="117">
        <v>74</v>
      </c>
      <c r="B118" s="117">
        <v>2019</v>
      </c>
      <c r="C118" s="137" t="s">
        <v>195</v>
      </c>
      <c r="D118" s="131" t="s">
        <v>1</v>
      </c>
      <c r="E118" s="133">
        <v>14</v>
      </c>
      <c r="F118" s="118">
        <f t="shared" si="1"/>
        <v>2.1</v>
      </c>
      <c r="G118" s="118">
        <v>29.4</v>
      </c>
      <c r="H118" s="119"/>
      <c r="I118" s="120"/>
    </row>
    <row r="119" spans="1:9" ht="15.75" customHeight="1" x14ac:dyDescent="0.3">
      <c r="A119" s="117">
        <v>75</v>
      </c>
      <c r="B119" s="117">
        <v>2019</v>
      </c>
      <c r="C119" s="137" t="s">
        <v>196</v>
      </c>
      <c r="D119" s="131" t="s">
        <v>1</v>
      </c>
      <c r="E119" s="133">
        <v>7</v>
      </c>
      <c r="F119" s="118">
        <f t="shared" si="1"/>
        <v>3.5</v>
      </c>
      <c r="G119" s="118">
        <v>24.5</v>
      </c>
      <c r="H119" s="119"/>
      <c r="I119" s="120"/>
    </row>
    <row r="120" spans="1:9" ht="30.75" customHeight="1" x14ac:dyDescent="0.3">
      <c r="A120" s="117">
        <v>76</v>
      </c>
      <c r="B120" s="117">
        <v>2019</v>
      </c>
      <c r="C120" s="137" t="s">
        <v>197</v>
      </c>
      <c r="D120" s="131" t="s">
        <v>1</v>
      </c>
      <c r="E120" s="133">
        <v>7</v>
      </c>
      <c r="F120" s="118">
        <f t="shared" si="1"/>
        <v>1.4000000000000001</v>
      </c>
      <c r="G120" s="118">
        <v>9.8000000000000007</v>
      </c>
      <c r="H120" s="119"/>
      <c r="I120" s="120"/>
    </row>
    <row r="121" spans="1:9" ht="18.75" customHeight="1" x14ac:dyDescent="0.3">
      <c r="A121" s="117">
        <v>77</v>
      </c>
      <c r="B121" s="117">
        <v>2019</v>
      </c>
      <c r="C121" s="137" t="s">
        <v>198</v>
      </c>
      <c r="D121" s="131" t="s">
        <v>1</v>
      </c>
      <c r="E121" s="133">
        <v>7</v>
      </c>
      <c r="F121" s="118">
        <f t="shared" si="1"/>
        <v>1.68</v>
      </c>
      <c r="G121" s="118">
        <v>11.76</v>
      </c>
      <c r="H121" s="119"/>
      <c r="I121" s="120"/>
    </row>
    <row r="122" spans="1:9" ht="18.75" customHeight="1" x14ac:dyDescent="0.3">
      <c r="A122" s="117">
        <v>78</v>
      </c>
      <c r="B122" s="117">
        <v>2019</v>
      </c>
      <c r="C122" s="137" t="s">
        <v>147</v>
      </c>
      <c r="D122" s="131" t="s">
        <v>1</v>
      </c>
      <c r="E122" s="133">
        <v>7</v>
      </c>
      <c r="F122" s="118">
        <f t="shared" si="1"/>
        <v>2.88</v>
      </c>
      <c r="G122" s="118">
        <v>20.16</v>
      </c>
      <c r="H122" s="119"/>
      <c r="I122" s="120"/>
    </row>
    <row r="123" spans="1:9" ht="18.75" customHeight="1" x14ac:dyDescent="0.3">
      <c r="A123" s="117">
        <v>79</v>
      </c>
      <c r="B123" s="117">
        <v>2019</v>
      </c>
      <c r="C123" s="137" t="s">
        <v>199</v>
      </c>
      <c r="D123" s="131" t="s">
        <v>1</v>
      </c>
      <c r="E123" s="133">
        <v>7</v>
      </c>
      <c r="F123" s="118">
        <f t="shared" si="1"/>
        <v>1.44</v>
      </c>
      <c r="G123" s="118">
        <v>10.08</v>
      </c>
      <c r="H123" s="119"/>
      <c r="I123" s="120"/>
    </row>
    <row r="124" spans="1:9" ht="18.75" customHeight="1" x14ac:dyDescent="0.3">
      <c r="A124" s="117">
        <v>80</v>
      </c>
      <c r="B124" s="117">
        <v>2019</v>
      </c>
      <c r="C124" s="137" t="s">
        <v>200</v>
      </c>
      <c r="D124" s="131" t="s">
        <v>1</v>
      </c>
      <c r="E124" s="133">
        <v>7</v>
      </c>
      <c r="F124" s="118">
        <f t="shared" si="1"/>
        <v>2.94</v>
      </c>
      <c r="G124" s="118">
        <v>20.58</v>
      </c>
      <c r="H124" s="119"/>
      <c r="I124" s="120"/>
    </row>
    <row r="125" spans="1:9" ht="30.75" customHeight="1" x14ac:dyDescent="0.3">
      <c r="A125" s="117">
        <v>81</v>
      </c>
      <c r="B125" s="117">
        <v>2019</v>
      </c>
      <c r="C125" s="137" t="s">
        <v>201</v>
      </c>
      <c r="D125" s="131" t="s">
        <v>1</v>
      </c>
      <c r="E125" s="133">
        <v>7</v>
      </c>
      <c r="F125" s="118">
        <f t="shared" si="1"/>
        <v>1.68</v>
      </c>
      <c r="G125" s="118">
        <v>11.76</v>
      </c>
      <c r="H125" s="119"/>
      <c r="I125" s="120"/>
    </row>
    <row r="126" spans="1:9" ht="18" customHeight="1" x14ac:dyDescent="0.3">
      <c r="A126" s="117">
        <v>82</v>
      </c>
      <c r="B126" s="117">
        <v>2019</v>
      </c>
      <c r="C126" s="137" t="s">
        <v>202</v>
      </c>
      <c r="D126" s="131" t="s">
        <v>1</v>
      </c>
      <c r="E126" s="133">
        <v>7</v>
      </c>
      <c r="F126" s="118">
        <f t="shared" si="1"/>
        <v>1.44</v>
      </c>
      <c r="G126" s="118">
        <v>10.08</v>
      </c>
      <c r="H126" s="119"/>
      <c r="I126" s="120"/>
    </row>
    <row r="127" spans="1:9" ht="30.75" customHeight="1" x14ac:dyDescent="0.3">
      <c r="A127" s="117">
        <v>83</v>
      </c>
      <c r="B127" s="117">
        <v>2019</v>
      </c>
      <c r="C127" s="137" t="s">
        <v>203</v>
      </c>
      <c r="D127" s="131" t="s">
        <v>1</v>
      </c>
      <c r="E127" s="133">
        <v>7</v>
      </c>
      <c r="F127" s="118">
        <f t="shared" si="1"/>
        <v>1.92</v>
      </c>
      <c r="G127" s="118">
        <v>13.44</v>
      </c>
      <c r="H127" s="119"/>
      <c r="I127" s="120"/>
    </row>
    <row r="128" spans="1:9" ht="30.75" customHeight="1" thickBot="1" x14ac:dyDescent="0.35">
      <c r="A128" s="234">
        <v>84</v>
      </c>
      <c r="B128" s="234">
        <v>2019</v>
      </c>
      <c r="C128" s="280" t="s">
        <v>204</v>
      </c>
      <c r="D128" s="234" t="s">
        <v>1</v>
      </c>
      <c r="E128" s="271">
        <v>15</v>
      </c>
      <c r="F128" s="253">
        <f t="shared" si="1"/>
        <v>5</v>
      </c>
      <c r="G128" s="253">
        <v>75</v>
      </c>
      <c r="H128" s="272"/>
      <c r="I128" s="265"/>
    </row>
    <row r="129" spans="1:9" ht="12.75" customHeight="1" thickBot="1" x14ac:dyDescent="0.35">
      <c r="A129" s="281"/>
      <c r="B129" s="246"/>
      <c r="C129" s="282" t="s">
        <v>53</v>
      </c>
      <c r="D129" s="249"/>
      <c r="E129" s="278">
        <f>SUM(E89:E128)</f>
        <v>224</v>
      </c>
      <c r="F129" s="249"/>
      <c r="G129" s="249">
        <f>SUM(G89:G128)</f>
        <v>673.44000000000017</v>
      </c>
      <c r="H129" s="279"/>
      <c r="I129" s="232"/>
    </row>
    <row r="130" spans="1:9" ht="12.75" customHeight="1" thickBot="1" x14ac:dyDescent="0.35">
      <c r="A130" s="257">
        <v>85</v>
      </c>
      <c r="B130" s="258">
        <v>2019</v>
      </c>
      <c r="C130" s="283" t="s">
        <v>115</v>
      </c>
      <c r="D130" s="257" t="s">
        <v>1</v>
      </c>
      <c r="E130" s="284">
        <v>52</v>
      </c>
      <c r="F130" s="261">
        <f t="shared" si="1"/>
        <v>3.4238461538461538</v>
      </c>
      <c r="G130" s="261">
        <v>178.04</v>
      </c>
      <c r="H130" s="285"/>
      <c r="I130" s="260"/>
    </row>
    <row r="131" spans="1:9" ht="12.75" customHeight="1" thickBot="1" x14ac:dyDescent="0.35">
      <c r="A131" s="227"/>
      <c r="B131" s="228"/>
      <c r="C131" s="229" t="s">
        <v>53</v>
      </c>
      <c r="D131" s="286"/>
      <c r="E131" s="249">
        <f>SUM(E130)</f>
        <v>52</v>
      </c>
      <c r="F131" s="249"/>
      <c r="G131" s="230">
        <f>SUM(G130)</f>
        <v>178.04</v>
      </c>
      <c r="H131" s="279"/>
      <c r="I131" s="232"/>
    </row>
    <row r="132" spans="1:9" ht="12.75" customHeight="1" x14ac:dyDescent="0.3">
      <c r="A132" s="225">
        <v>86</v>
      </c>
      <c r="B132" s="225">
        <v>2022</v>
      </c>
      <c r="C132" s="262" t="s">
        <v>116</v>
      </c>
      <c r="D132" s="225" t="s">
        <v>1</v>
      </c>
      <c r="E132" s="245">
        <v>110</v>
      </c>
      <c r="F132" s="245">
        <f>G132/E132</f>
        <v>2.21</v>
      </c>
      <c r="G132" s="245">
        <v>243.1</v>
      </c>
      <c r="H132" s="275"/>
      <c r="I132" s="226"/>
    </row>
    <row r="133" spans="1:9" ht="12.75" customHeight="1" x14ac:dyDescent="0.3">
      <c r="A133" s="116">
        <v>87</v>
      </c>
      <c r="B133" s="116">
        <v>2022</v>
      </c>
      <c r="C133" s="122" t="s">
        <v>117</v>
      </c>
      <c r="D133" s="116" t="s">
        <v>1</v>
      </c>
      <c r="E133" s="117">
        <v>110</v>
      </c>
      <c r="F133" s="117">
        <f t="shared" ref="F133:F135" si="2">G133/E133</f>
        <v>2.21</v>
      </c>
      <c r="G133" s="117">
        <v>243.1</v>
      </c>
      <c r="H133" s="119"/>
      <c r="I133" s="120"/>
    </row>
    <row r="134" spans="1:9" ht="12.75" customHeight="1" x14ac:dyDescent="0.3">
      <c r="A134" s="116">
        <v>88</v>
      </c>
      <c r="B134" s="116">
        <v>2022</v>
      </c>
      <c r="C134" s="122" t="s">
        <v>118</v>
      </c>
      <c r="D134" s="116" t="s">
        <v>1</v>
      </c>
      <c r="E134" s="117">
        <v>110</v>
      </c>
      <c r="F134" s="117">
        <f t="shared" si="2"/>
        <v>2.21</v>
      </c>
      <c r="G134" s="117">
        <v>243.1</v>
      </c>
      <c r="H134" s="119"/>
      <c r="I134" s="120"/>
    </row>
    <row r="135" spans="1:9" ht="12.75" customHeight="1" thickBot="1" x14ac:dyDescent="0.35">
      <c r="A135" s="263">
        <v>89</v>
      </c>
      <c r="B135" s="263">
        <v>2022</v>
      </c>
      <c r="C135" s="264" t="s">
        <v>119</v>
      </c>
      <c r="D135" s="263" t="s">
        <v>1</v>
      </c>
      <c r="E135" s="234">
        <v>110</v>
      </c>
      <c r="F135" s="234">
        <f t="shared" si="2"/>
        <v>2.21</v>
      </c>
      <c r="G135" s="234">
        <v>243.1</v>
      </c>
      <c r="H135" s="272"/>
      <c r="I135" s="265"/>
    </row>
    <row r="136" spans="1:9" ht="12.75" customHeight="1" thickBot="1" x14ac:dyDescent="0.35">
      <c r="A136" s="294"/>
      <c r="B136" s="228"/>
      <c r="C136" s="229" t="s">
        <v>53</v>
      </c>
      <c r="D136" s="269"/>
      <c r="E136" s="249">
        <f>SUM(E132:E135)</f>
        <v>440</v>
      </c>
      <c r="F136" s="249"/>
      <c r="G136" s="230">
        <f>SUM(G132:G135)</f>
        <v>972.4</v>
      </c>
      <c r="H136" s="279"/>
      <c r="I136" s="232"/>
    </row>
    <row r="137" spans="1:9" ht="14.25" customHeight="1" thickBot="1" x14ac:dyDescent="0.35">
      <c r="A137" s="287"/>
      <c r="B137" s="288"/>
      <c r="C137" s="289" t="s">
        <v>36</v>
      </c>
      <c r="D137" s="288"/>
      <c r="E137" s="290">
        <f>E45+E136+E131+E129+E88+E85</f>
        <v>4964</v>
      </c>
      <c r="F137" s="290"/>
      <c r="G137" s="291">
        <f t="shared" ref="G137" si="3">G45+G136+G131+G129+G88+G85</f>
        <v>11534.460000000001</v>
      </c>
      <c r="H137" s="292"/>
      <c r="I137" s="293"/>
    </row>
    <row r="138" spans="1:9" ht="15.6" x14ac:dyDescent="0.3">
      <c r="A138" s="2" t="s">
        <v>37</v>
      </c>
      <c r="B138" s="2"/>
      <c r="C138" s="318" t="s">
        <v>206</v>
      </c>
      <c r="D138" s="318"/>
      <c r="E138" s="318"/>
      <c r="F138" s="318"/>
      <c r="G138" s="318"/>
      <c r="H138" s="318"/>
      <c r="I138" s="318"/>
    </row>
    <row r="139" spans="1:9" x14ac:dyDescent="0.3">
      <c r="A139" s="315" t="s">
        <v>38</v>
      </c>
      <c r="B139" s="315"/>
      <c r="C139" s="315"/>
      <c r="D139" s="315"/>
      <c r="E139" s="315"/>
      <c r="F139" s="315"/>
      <c r="G139" s="315"/>
      <c r="H139" s="315"/>
      <c r="I139" s="315"/>
    </row>
    <row r="140" spans="1:9" x14ac:dyDescent="0.3">
      <c r="A140" s="315"/>
      <c r="B140" s="315"/>
      <c r="C140" s="315"/>
      <c r="D140" s="315"/>
      <c r="E140" s="315"/>
      <c r="F140" s="315"/>
      <c r="G140" s="315"/>
      <c r="H140" s="315"/>
      <c r="I140" s="315"/>
    </row>
    <row r="141" spans="1:9" x14ac:dyDescent="0.3">
      <c r="A141" s="313" t="s">
        <v>120</v>
      </c>
      <c r="B141" s="313"/>
      <c r="C141" s="313"/>
      <c r="D141" s="313"/>
      <c r="E141" s="313"/>
      <c r="F141" s="313"/>
      <c r="G141" s="313"/>
      <c r="H141" s="313"/>
      <c r="I141" s="313"/>
    </row>
    <row r="142" spans="1:9" ht="15.75" customHeight="1" x14ac:dyDescent="0.3">
      <c r="A142" s="313"/>
      <c r="B142" s="313"/>
      <c r="C142" s="313"/>
      <c r="D142" s="313"/>
      <c r="E142" s="313"/>
      <c r="F142" s="313"/>
      <c r="G142" s="313"/>
      <c r="H142" s="313"/>
      <c r="I142" s="313"/>
    </row>
    <row r="143" spans="1:9" ht="15.6" x14ac:dyDescent="0.3">
      <c r="A143" s="2" t="s">
        <v>40</v>
      </c>
      <c r="B143" s="2"/>
      <c r="C143" s="2"/>
      <c r="D143" s="2"/>
      <c r="E143" s="107"/>
      <c r="F143" s="108"/>
      <c r="G143" s="108"/>
      <c r="H143" s="42"/>
      <c r="I143" s="2"/>
    </row>
    <row r="144" spans="1:9" ht="15.6" x14ac:dyDescent="0.3">
      <c r="A144" s="2" t="s">
        <v>41</v>
      </c>
      <c r="B144" s="2"/>
      <c r="C144" s="43"/>
      <c r="D144" s="43"/>
      <c r="E144" s="125"/>
      <c r="F144" s="126"/>
      <c r="G144" s="126"/>
      <c r="H144" s="127"/>
      <c r="I144" s="45"/>
    </row>
    <row r="145" spans="1:9" ht="75" customHeight="1" x14ac:dyDescent="0.3">
      <c r="A145" s="47" t="s">
        <v>42</v>
      </c>
      <c r="B145" s="47"/>
      <c r="C145" s="358" t="s">
        <v>121</v>
      </c>
      <c r="D145" s="358"/>
      <c r="E145" s="358"/>
      <c r="F145" s="358"/>
      <c r="G145" s="358"/>
      <c r="H145" s="358"/>
      <c r="I145" s="358"/>
    </row>
    <row r="146" spans="1:9" ht="15.6" x14ac:dyDescent="0.3">
      <c r="A146" s="320" t="s">
        <v>94</v>
      </c>
      <c r="B146" s="321"/>
      <c r="C146" s="321"/>
      <c r="D146" s="321"/>
      <c r="E146" s="321"/>
      <c r="F146" s="322"/>
      <c r="G146" s="322"/>
      <c r="H146" s="322"/>
    </row>
    <row r="147" spans="1:9" x14ac:dyDescent="0.3">
      <c r="A147" s="48"/>
      <c r="B147" s="48"/>
      <c r="C147" s="319" t="s">
        <v>44</v>
      </c>
      <c r="D147" s="319"/>
      <c r="E147" s="319"/>
      <c r="F147" s="18"/>
      <c r="G147" s="18"/>
      <c r="H147" s="18" t="s">
        <v>45</v>
      </c>
    </row>
    <row r="148" spans="1:9" ht="15.6" x14ac:dyDescent="0.3">
      <c r="A148" s="309" t="s">
        <v>92</v>
      </c>
      <c r="B148" s="309"/>
      <c r="C148" s="309"/>
      <c r="D148" s="309"/>
      <c r="E148" s="309"/>
      <c r="F148" s="308"/>
      <c r="G148" s="308"/>
      <c r="H148" s="308"/>
      <c r="I148" s="96"/>
    </row>
    <row r="149" spans="1:9" x14ac:dyDescent="0.3">
      <c r="A149" s="48"/>
      <c r="B149" s="48"/>
      <c r="C149" s="310" t="s">
        <v>44</v>
      </c>
      <c r="D149" s="310"/>
      <c r="E149" s="310"/>
      <c r="F149" s="18"/>
      <c r="G149" s="18"/>
      <c r="H149" s="18" t="s">
        <v>45</v>
      </c>
      <c r="I149" s="18"/>
    </row>
    <row r="150" spans="1:9" ht="15.6" x14ac:dyDescent="0.3">
      <c r="A150" s="339" t="s">
        <v>95</v>
      </c>
      <c r="B150" s="340"/>
      <c r="C150" s="340"/>
      <c r="D150" s="340"/>
      <c r="E150" s="340"/>
      <c r="F150" s="322"/>
      <c r="G150" s="322"/>
      <c r="H150" s="322"/>
    </row>
    <row r="151" spans="1:9" x14ac:dyDescent="0.3">
      <c r="A151" s="48"/>
      <c r="B151" s="48"/>
      <c r="C151" s="319" t="s">
        <v>44</v>
      </c>
      <c r="D151" s="319"/>
      <c r="E151" s="319"/>
      <c r="F151" s="18"/>
      <c r="G151" s="18"/>
      <c r="H151" s="18" t="s">
        <v>45</v>
      </c>
    </row>
    <row r="152" spans="1:9" ht="15.6" x14ac:dyDescent="0.3">
      <c r="A152" s="341" t="s">
        <v>47</v>
      </c>
      <c r="B152" s="342"/>
      <c r="C152" s="342"/>
      <c r="D152" s="342"/>
      <c r="E152" s="342"/>
      <c r="F152" s="342"/>
      <c r="G152" s="342"/>
      <c r="H152" s="342"/>
    </row>
    <row r="153" spans="1:9" x14ac:dyDescent="0.3">
      <c r="A153" s="48"/>
      <c r="B153" s="48"/>
      <c r="C153" s="319" t="s">
        <v>44</v>
      </c>
      <c r="D153" s="319"/>
      <c r="E153" s="319"/>
      <c r="F153" s="18"/>
      <c r="G153" s="18"/>
      <c r="H153" s="18" t="s">
        <v>45</v>
      </c>
    </row>
    <row r="154" spans="1:9" ht="15.6" x14ac:dyDescent="0.3">
      <c r="A154" s="95" t="s">
        <v>91</v>
      </c>
      <c r="B154" s="95"/>
      <c r="C154" s="95"/>
      <c r="D154" s="95"/>
      <c r="E154" s="95"/>
      <c r="F154" s="95"/>
      <c r="G154" s="95"/>
      <c r="H154" s="95"/>
      <c r="I154" s="96"/>
    </row>
    <row r="155" spans="1:9" x14ac:dyDescent="0.3">
      <c r="A155" s="48"/>
      <c r="B155" s="48"/>
      <c r="C155" s="310" t="s">
        <v>44</v>
      </c>
      <c r="D155" s="310"/>
      <c r="E155" s="310"/>
      <c r="F155" s="18"/>
      <c r="G155" s="18"/>
      <c r="H155" s="18" t="s">
        <v>45</v>
      </c>
      <c r="I155" s="18"/>
    </row>
    <row r="156" spans="1:9" ht="15.75" customHeight="1" x14ac:dyDescent="0.3">
      <c r="A156" s="309" t="s">
        <v>90</v>
      </c>
      <c r="B156" s="309"/>
      <c r="C156" s="309"/>
      <c r="D156" s="309"/>
      <c r="E156" s="309"/>
      <c r="F156" s="308"/>
      <c r="G156" s="308"/>
      <c r="H156" s="308"/>
      <c r="I156" s="96"/>
    </row>
    <row r="157" spans="1:9" x14ac:dyDescent="0.3">
      <c r="A157" s="48"/>
      <c r="B157" s="48"/>
      <c r="C157" s="310" t="s">
        <v>44</v>
      </c>
      <c r="D157" s="310"/>
      <c r="E157" s="310"/>
      <c r="F157" s="18"/>
      <c r="G157" s="18"/>
      <c r="H157" s="18" t="s">
        <v>45</v>
      </c>
      <c r="I157" s="18"/>
    </row>
    <row r="158" spans="1:9" ht="15.6" x14ac:dyDescent="0.3">
      <c r="A158" s="321" t="s">
        <v>122</v>
      </c>
      <c r="B158" s="321"/>
      <c r="C158" s="321"/>
      <c r="D158" s="321"/>
      <c r="E158" s="321"/>
      <c r="F158" s="321"/>
      <c r="G158" s="321"/>
      <c r="H158" s="321"/>
      <c r="I158" s="321"/>
    </row>
    <row r="159" spans="1:9" x14ac:dyDescent="0.3">
      <c r="A159" s="360" t="s">
        <v>44</v>
      </c>
      <c r="B159" s="360"/>
      <c r="C159" s="360"/>
      <c r="D159" s="360"/>
      <c r="E159" s="360"/>
      <c r="F159" s="360"/>
      <c r="G159" s="97"/>
      <c r="H159" s="18" t="s">
        <v>45</v>
      </c>
      <c r="I159" s="18"/>
    </row>
    <row r="160" spans="1:9" ht="15.6" x14ac:dyDescent="0.3">
      <c r="A160" s="342" t="s">
        <v>123</v>
      </c>
      <c r="B160" s="342"/>
      <c r="C160" s="342"/>
      <c r="D160" s="342"/>
      <c r="E160" s="342"/>
      <c r="F160" s="342"/>
      <c r="G160" s="342"/>
      <c r="H160" s="342"/>
      <c r="I160" s="342"/>
    </row>
    <row r="161" spans="1:9" x14ac:dyDescent="0.3">
      <c r="A161" s="359" t="s">
        <v>44</v>
      </c>
      <c r="B161" s="359"/>
      <c r="C161" s="359"/>
      <c r="D161" s="359"/>
      <c r="E161" s="359"/>
      <c r="F161" s="359"/>
      <c r="G161" s="97"/>
      <c r="H161" s="18" t="s">
        <v>45</v>
      </c>
      <c r="I161" s="18"/>
    </row>
    <row r="162" spans="1:9" ht="15.6" x14ac:dyDescent="0.3">
      <c r="A162" s="342" t="s">
        <v>124</v>
      </c>
      <c r="B162" s="342"/>
      <c r="C162" s="342"/>
      <c r="D162" s="342"/>
      <c r="E162" s="342"/>
      <c r="F162" s="342"/>
      <c r="G162" s="342"/>
      <c r="H162" s="342"/>
      <c r="I162" s="342"/>
    </row>
    <row r="163" spans="1:9" x14ac:dyDescent="0.3">
      <c r="A163" s="359" t="s">
        <v>44</v>
      </c>
      <c r="B163" s="359"/>
      <c r="C163" s="359"/>
      <c r="D163" s="359"/>
      <c r="E163" s="359"/>
      <c r="F163" s="359"/>
      <c r="G163" s="97"/>
      <c r="H163" s="18" t="s">
        <v>45</v>
      </c>
      <c r="I163" s="18"/>
    </row>
  </sheetData>
  <mergeCells count="55">
    <mergeCell ref="G28:I28"/>
    <mergeCell ref="E13:I13"/>
    <mergeCell ref="D1:I1"/>
    <mergeCell ref="D9:I9"/>
    <mergeCell ref="D10:I10"/>
    <mergeCell ref="E11:I11"/>
    <mergeCell ref="E12:I12"/>
    <mergeCell ref="A156:E156"/>
    <mergeCell ref="A40:I40"/>
    <mergeCell ref="C138:I138"/>
    <mergeCell ref="E14:I14"/>
    <mergeCell ref="F16:I16"/>
    <mergeCell ref="C18:G18"/>
    <mergeCell ref="C19:G19"/>
    <mergeCell ref="A20:I21"/>
    <mergeCell ref="A30:F30"/>
    <mergeCell ref="F32:I32"/>
    <mergeCell ref="A32:E32"/>
    <mergeCell ref="D31:F31"/>
    <mergeCell ref="D33:F33"/>
    <mergeCell ref="G22:I22"/>
    <mergeCell ref="G24:I24"/>
    <mergeCell ref="G26:I26"/>
    <mergeCell ref="A38:I38"/>
    <mergeCell ref="A163:F163"/>
    <mergeCell ref="A146:E146"/>
    <mergeCell ref="F146:H146"/>
    <mergeCell ref="C147:E147"/>
    <mergeCell ref="A148:E148"/>
    <mergeCell ref="F148:H148"/>
    <mergeCell ref="C149:E149"/>
    <mergeCell ref="A150:E150"/>
    <mergeCell ref="F150:H150"/>
    <mergeCell ref="C151:E151"/>
    <mergeCell ref="A158:I158"/>
    <mergeCell ref="A159:F159"/>
    <mergeCell ref="A160:I160"/>
    <mergeCell ref="A161:F161"/>
    <mergeCell ref="A162:I162"/>
    <mergeCell ref="G30:I30"/>
    <mergeCell ref="C157:E157"/>
    <mergeCell ref="A22:F22"/>
    <mergeCell ref="D23:F23"/>
    <mergeCell ref="A24:F24"/>
    <mergeCell ref="D25:F25"/>
    <mergeCell ref="A26:F26"/>
    <mergeCell ref="A28:F28"/>
    <mergeCell ref="A152:H152"/>
    <mergeCell ref="C153:E153"/>
    <mergeCell ref="C155:E155"/>
    <mergeCell ref="F156:H156"/>
    <mergeCell ref="A139:I140"/>
    <mergeCell ref="A141:I142"/>
    <mergeCell ref="C145:I145"/>
    <mergeCell ref="A36:I36"/>
  </mergeCells>
  <pageMargins left="0.25" right="0.25"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3"/>
  <sheetViews>
    <sheetView topLeftCell="A100" workbookViewId="0">
      <selection activeCell="N103" sqref="N103"/>
    </sheetView>
  </sheetViews>
  <sheetFormatPr defaultRowHeight="14.4" x14ac:dyDescent="0.3"/>
  <cols>
    <col min="1" max="1" width="7" style="100" customWidth="1"/>
    <col min="3" max="3" width="27.33203125" style="40" customWidth="1"/>
    <col min="7" max="7" width="9.5546875" bestFit="1" customWidth="1"/>
    <col min="9" max="9" width="9.109375" style="83"/>
  </cols>
  <sheetData>
    <row r="1" spans="1:9" x14ac:dyDescent="0.3">
      <c r="A1" s="376" t="s">
        <v>207</v>
      </c>
      <c r="B1" s="376"/>
      <c r="C1" s="376"/>
      <c r="D1" s="376"/>
      <c r="E1" s="376"/>
      <c r="F1" s="376"/>
      <c r="G1" s="376"/>
      <c r="H1" s="376"/>
      <c r="I1" s="376"/>
    </row>
    <row r="2" spans="1:9" x14ac:dyDescent="0.3">
      <c r="A2" s="376" t="s">
        <v>208</v>
      </c>
      <c r="B2" s="376"/>
      <c r="C2" s="376"/>
      <c r="D2" s="376"/>
      <c r="E2" s="376"/>
      <c r="F2" s="376"/>
      <c r="G2" s="376"/>
      <c r="H2" s="376"/>
      <c r="I2" s="376"/>
    </row>
    <row r="3" spans="1:9" x14ac:dyDescent="0.3">
      <c r="A3" s="376" t="s">
        <v>209</v>
      </c>
      <c r="B3" s="376"/>
      <c r="C3" s="376"/>
      <c r="D3" s="376"/>
      <c r="E3" s="376"/>
      <c r="F3" s="376"/>
      <c r="G3" s="376"/>
      <c r="H3" s="376"/>
      <c r="I3" s="376"/>
    </row>
    <row r="4" spans="1:9" ht="15.6" x14ac:dyDescent="0.3">
      <c r="A4" s="148"/>
      <c r="B4" s="146"/>
      <c r="C4" s="147"/>
      <c r="D4" s="148"/>
      <c r="E4" s="148"/>
      <c r="F4" s="148"/>
      <c r="G4" s="149"/>
      <c r="H4" s="150"/>
      <c r="I4" s="165"/>
    </row>
    <row r="5" spans="1:9" ht="15.6" x14ac:dyDescent="0.3">
      <c r="A5" s="148" t="s">
        <v>210</v>
      </c>
      <c r="B5" s="146"/>
      <c r="C5" s="147"/>
      <c r="D5" s="148"/>
      <c r="E5" s="148"/>
      <c r="F5" s="376" t="s">
        <v>211</v>
      </c>
      <c r="G5" s="376"/>
      <c r="H5" s="376"/>
      <c r="I5" s="376"/>
    </row>
    <row r="6" spans="1:9" ht="15.6" x14ac:dyDescent="0.3">
      <c r="A6" s="148"/>
      <c r="B6" s="146"/>
      <c r="C6" s="377" t="s">
        <v>212</v>
      </c>
      <c r="D6" s="377"/>
      <c r="E6" s="377"/>
      <c r="F6" s="377"/>
      <c r="G6" s="149"/>
      <c r="H6" s="150"/>
      <c r="I6" s="165"/>
    </row>
    <row r="7" spans="1:9" x14ac:dyDescent="0.3">
      <c r="A7" s="375" t="s">
        <v>213</v>
      </c>
      <c r="B7" s="375"/>
      <c r="C7" s="375"/>
      <c r="D7" s="375"/>
      <c r="E7" s="375"/>
      <c r="F7" s="375"/>
      <c r="G7" s="375"/>
      <c r="H7" s="375"/>
      <c r="I7" s="165"/>
    </row>
    <row r="8" spans="1:9" ht="116.25" customHeight="1" x14ac:dyDescent="0.3">
      <c r="A8" s="367" t="s">
        <v>226</v>
      </c>
      <c r="B8" s="367"/>
      <c r="C8" s="367"/>
      <c r="D8" s="367"/>
      <c r="E8" s="367"/>
      <c r="F8" s="367"/>
      <c r="G8" s="367"/>
      <c r="H8" s="367"/>
      <c r="I8" s="367"/>
    </row>
    <row r="9" spans="1:9" ht="31.2" x14ac:dyDescent="0.3">
      <c r="A9" s="155" t="s">
        <v>214</v>
      </c>
      <c r="B9" s="152" t="s">
        <v>215</v>
      </c>
      <c r="C9" s="151" t="s">
        <v>216</v>
      </c>
      <c r="D9" s="153" t="s">
        <v>29</v>
      </c>
      <c r="E9" s="153" t="s">
        <v>30</v>
      </c>
      <c r="F9" s="154" t="s">
        <v>217</v>
      </c>
      <c r="G9" s="164" t="s">
        <v>218</v>
      </c>
      <c r="H9" s="155" t="s">
        <v>219</v>
      </c>
    </row>
    <row r="10" spans="1:9" x14ac:dyDescent="0.3">
      <c r="A10" s="25">
        <v>1</v>
      </c>
      <c r="B10" s="25">
        <v>2018</v>
      </c>
      <c r="C10" s="132" t="s">
        <v>230</v>
      </c>
      <c r="D10" s="25" t="s">
        <v>1</v>
      </c>
      <c r="E10" s="25">
        <v>75</v>
      </c>
      <c r="F10" s="156">
        <v>2.6</v>
      </c>
      <c r="G10" s="156">
        <v>195</v>
      </c>
      <c r="H10" s="26"/>
    </row>
    <row r="11" spans="1:9" x14ac:dyDescent="0.3">
      <c r="A11" s="25">
        <v>2</v>
      </c>
      <c r="B11" s="25">
        <v>2018</v>
      </c>
      <c r="C11" s="132" t="s">
        <v>228</v>
      </c>
      <c r="D11" s="25" t="s">
        <v>1</v>
      </c>
      <c r="E11" s="25">
        <v>75</v>
      </c>
      <c r="F11" s="156">
        <v>2.4</v>
      </c>
      <c r="G11" s="156">
        <v>180</v>
      </c>
      <c r="H11" s="26"/>
    </row>
    <row r="12" spans="1:9" x14ac:dyDescent="0.3">
      <c r="A12" s="25">
        <v>3</v>
      </c>
      <c r="B12" s="25">
        <v>2018</v>
      </c>
      <c r="C12" s="132" t="s">
        <v>229</v>
      </c>
      <c r="D12" s="25" t="s">
        <v>1</v>
      </c>
      <c r="E12" s="25">
        <v>75</v>
      </c>
      <c r="F12" s="156">
        <v>2.6</v>
      </c>
      <c r="G12" s="156">
        <v>195</v>
      </c>
      <c r="H12" s="26"/>
    </row>
    <row r="13" spans="1:9" x14ac:dyDescent="0.3">
      <c r="A13" s="155"/>
      <c r="B13" s="155"/>
      <c r="C13" s="151" t="s">
        <v>53</v>
      </c>
      <c r="D13" s="155"/>
      <c r="E13" s="155">
        <f>SUM(E10:E12)</f>
        <v>225</v>
      </c>
      <c r="F13" s="158"/>
      <c r="G13" s="158">
        <f>SUM(G10:G12)</f>
        <v>570</v>
      </c>
      <c r="H13" s="157"/>
      <c r="I13" s="166"/>
    </row>
    <row r="14" spans="1:9" ht="27.6" x14ac:dyDescent="0.3">
      <c r="A14" s="131">
        <v>4</v>
      </c>
      <c r="B14" s="131">
        <v>2019</v>
      </c>
      <c r="C14" s="171" t="s">
        <v>125</v>
      </c>
      <c r="D14" s="131" t="s">
        <v>1</v>
      </c>
      <c r="E14" s="131">
        <v>165</v>
      </c>
      <c r="F14" s="144">
        <f>G14/E14</f>
        <v>5.3199999999999994</v>
      </c>
      <c r="G14" s="144">
        <v>877.8</v>
      </c>
      <c r="H14" s="160"/>
    </row>
    <row r="15" spans="1:9" ht="27.6" x14ac:dyDescent="0.3">
      <c r="A15" s="131">
        <v>5</v>
      </c>
      <c r="B15" s="131">
        <v>2019</v>
      </c>
      <c r="C15" s="167" t="s">
        <v>126</v>
      </c>
      <c r="D15" s="131" t="s">
        <v>1</v>
      </c>
      <c r="E15" s="131">
        <v>57</v>
      </c>
      <c r="F15" s="144">
        <f t="shared" ref="F15:F83" si="0">G15/E15</f>
        <v>14.5</v>
      </c>
      <c r="G15" s="144">
        <v>826.5</v>
      </c>
      <c r="H15" s="160"/>
    </row>
    <row r="16" spans="1:9" ht="27.6" x14ac:dyDescent="0.3">
      <c r="A16" s="131">
        <v>6</v>
      </c>
      <c r="B16" s="131">
        <v>2019</v>
      </c>
      <c r="C16" s="167" t="s">
        <v>127</v>
      </c>
      <c r="D16" s="131" t="s">
        <v>1</v>
      </c>
      <c r="E16" s="131">
        <v>108</v>
      </c>
      <c r="F16" s="144">
        <f t="shared" si="0"/>
        <v>1.9</v>
      </c>
      <c r="G16" s="144">
        <v>205.2</v>
      </c>
      <c r="H16" s="160"/>
    </row>
    <row r="17" spans="1:8" x14ac:dyDescent="0.3">
      <c r="A17" s="131">
        <v>7</v>
      </c>
      <c r="B17" s="131">
        <v>2019</v>
      </c>
      <c r="C17" s="171" t="s">
        <v>128</v>
      </c>
      <c r="D17" s="131" t="s">
        <v>1</v>
      </c>
      <c r="E17" s="131">
        <v>165</v>
      </c>
      <c r="F17" s="144">
        <f t="shared" si="0"/>
        <v>2.4700000000000002</v>
      </c>
      <c r="G17" s="144">
        <v>407.55</v>
      </c>
      <c r="H17" s="160"/>
    </row>
    <row r="18" spans="1:8" x14ac:dyDescent="0.3">
      <c r="A18" s="131">
        <v>8</v>
      </c>
      <c r="B18" s="131">
        <v>2019</v>
      </c>
      <c r="C18" s="171" t="s">
        <v>129</v>
      </c>
      <c r="D18" s="131" t="s">
        <v>1</v>
      </c>
      <c r="E18" s="131">
        <v>165</v>
      </c>
      <c r="F18" s="144">
        <f t="shared" si="0"/>
        <v>1.87</v>
      </c>
      <c r="G18" s="144">
        <v>308.55</v>
      </c>
      <c r="H18" s="160"/>
    </row>
    <row r="19" spans="1:8" x14ac:dyDescent="0.3">
      <c r="A19" s="131">
        <v>9</v>
      </c>
      <c r="B19" s="131">
        <v>2019</v>
      </c>
      <c r="C19" s="167" t="s">
        <v>130</v>
      </c>
      <c r="D19" s="131" t="s">
        <v>1</v>
      </c>
      <c r="E19" s="131">
        <v>165</v>
      </c>
      <c r="F19" s="144">
        <f t="shared" si="0"/>
        <v>1.71</v>
      </c>
      <c r="G19" s="144">
        <v>282.14999999999998</v>
      </c>
      <c r="H19" s="160"/>
    </row>
    <row r="20" spans="1:8" x14ac:dyDescent="0.3">
      <c r="A20" s="131">
        <v>10</v>
      </c>
      <c r="B20" s="131">
        <v>2019</v>
      </c>
      <c r="C20" s="167" t="s">
        <v>131</v>
      </c>
      <c r="D20" s="131" t="s">
        <v>1</v>
      </c>
      <c r="E20" s="131">
        <v>165</v>
      </c>
      <c r="F20" s="144">
        <f t="shared" si="0"/>
        <v>3.7800000000000002</v>
      </c>
      <c r="G20" s="144">
        <v>623.70000000000005</v>
      </c>
      <c r="H20" s="160"/>
    </row>
    <row r="21" spans="1:8" x14ac:dyDescent="0.3">
      <c r="A21" s="131">
        <v>11</v>
      </c>
      <c r="B21" s="131">
        <v>2019</v>
      </c>
      <c r="C21" s="171" t="s">
        <v>132</v>
      </c>
      <c r="D21" s="131" t="s">
        <v>1</v>
      </c>
      <c r="E21" s="131">
        <v>165</v>
      </c>
      <c r="F21" s="144">
        <f t="shared" si="0"/>
        <v>1.53</v>
      </c>
      <c r="G21" s="144">
        <v>252.45</v>
      </c>
      <c r="H21" s="160"/>
    </row>
    <row r="22" spans="1:8" x14ac:dyDescent="0.3">
      <c r="A22" s="131">
        <v>12</v>
      </c>
      <c r="B22" s="131">
        <v>2019</v>
      </c>
      <c r="C22" s="167" t="s">
        <v>133</v>
      </c>
      <c r="D22" s="131" t="s">
        <v>1</v>
      </c>
      <c r="E22" s="131">
        <v>165</v>
      </c>
      <c r="F22" s="144">
        <f t="shared" si="0"/>
        <v>1.9</v>
      </c>
      <c r="G22" s="144">
        <v>313.5</v>
      </c>
      <c r="H22" s="160"/>
    </row>
    <row r="23" spans="1:8" ht="27.6" x14ac:dyDescent="0.3">
      <c r="A23" s="131">
        <v>13</v>
      </c>
      <c r="B23" s="131">
        <v>2019</v>
      </c>
      <c r="C23" s="167" t="s">
        <v>134</v>
      </c>
      <c r="D23" s="131" t="s">
        <v>1</v>
      </c>
      <c r="E23" s="131">
        <v>42</v>
      </c>
      <c r="F23" s="144">
        <f t="shared" si="0"/>
        <v>2.2000000000000002</v>
      </c>
      <c r="G23" s="144">
        <v>92.4</v>
      </c>
      <c r="H23" s="160"/>
    </row>
    <row r="24" spans="1:8" ht="27.6" x14ac:dyDescent="0.3">
      <c r="A24" s="131">
        <v>14</v>
      </c>
      <c r="B24" s="131">
        <v>2019</v>
      </c>
      <c r="C24" s="167" t="s">
        <v>135</v>
      </c>
      <c r="D24" s="131" t="s">
        <v>1</v>
      </c>
      <c r="E24" s="131">
        <v>130</v>
      </c>
      <c r="F24" s="144">
        <f t="shared" si="0"/>
        <v>2.1</v>
      </c>
      <c r="G24" s="144">
        <v>273</v>
      </c>
      <c r="H24" s="160"/>
    </row>
    <row r="25" spans="1:8" ht="27.6" x14ac:dyDescent="0.3">
      <c r="A25" s="131">
        <v>15</v>
      </c>
      <c r="B25" s="131">
        <v>2019</v>
      </c>
      <c r="C25" s="167" t="s">
        <v>136</v>
      </c>
      <c r="D25" s="131" t="s">
        <v>1</v>
      </c>
      <c r="E25" s="131">
        <v>146</v>
      </c>
      <c r="F25" s="144">
        <f t="shared" si="0"/>
        <v>0.91000000000000014</v>
      </c>
      <c r="G25" s="144">
        <v>132.86000000000001</v>
      </c>
      <c r="H25" s="160"/>
    </row>
    <row r="26" spans="1:8" ht="27.6" x14ac:dyDescent="0.3">
      <c r="A26" s="131">
        <v>16</v>
      </c>
      <c r="B26" s="131">
        <v>2019</v>
      </c>
      <c r="C26" s="171" t="s">
        <v>137</v>
      </c>
      <c r="D26" s="131" t="s">
        <v>1</v>
      </c>
      <c r="E26" s="131">
        <v>154</v>
      </c>
      <c r="F26" s="144">
        <f t="shared" si="0"/>
        <v>1.7999999999999998</v>
      </c>
      <c r="G26" s="144">
        <v>277.2</v>
      </c>
      <c r="H26" s="160"/>
    </row>
    <row r="27" spans="1:8" x14ac:dyDescent="0.3">
      <c r="A27" s="131">
        <v>17</v>
      </c>
      <c r="B27" s="131">
        <v>2019</v>
      </c>
      <c r="C27" s="171" t="s">
        <v>138</v>
      </c>
      <c r="D27" s="131" t="s">
        <v>1</v>
      </c>
      <c r="E27" s="131">
        <v>154</v>
      </c>
      <c r="F27" s="144">
        <f t="shared" si="0"/>
        <v>2.38</v>
      </c>
      <c r="G27" s="144">
        <v>366.52</v>
      </c>
      <c r="H27" s="160"/>
    </row>
    <row r="28" spans="1:8" x14ac:dyDescent="0.3">
      <c r="A28" s="131">
        <v>18</v>
      </c>
      <c r="B28" s="131">
        <v>2019</v>
      </c>
      <c r="C28" s="167" t="s">
        <v>139</v>
      </c>
      <c r="D28" s="131" t="s">
        <v>1</v>
      </c>
      <c r="E28" s="131">
        <v>154</v>
      </c>
      <c r="F28" s="144">
        <f t="shared" si="0"/>
        <v>1.7399999999999998</v>
      </c>
      <c r="G28" s="144">
        <v>267.95999999999998</v>
      </c>
      <c r="H28" s="160"/>
    </row>
    <row r="29" spans="1:8" x14ac:dyDescent="0.3">
      <c r="A29" s="131">
        <v>19</v>
      </c>
      <c r="B29" s="131">
        <v>2019</v>
      </c>
      <c r="C29" s="171" t="s">
        <v>140</v>
      </c>
      <c r="D29" s="131" t="s">
        <v>1</v>
      </c>
      <c r="E29" s="131">
        <v>154</v>
      </c>
      <c r="F29" s="144">
        <f t="shared" si="0"/>
        <v>2.3400000000000003</v>
      </c>
      <c r="G29" s="144">
        <v>360.36</v>
      </c>
      <c r="H29" s="160"/>
    </row>
    <row r="30" spans="1:8" x14ac:dyDescent="0.3">
      <c r="A30" s="131">
        <v>20</v>
      </c>
      <c r="B30" s="131">
        <v>2019</v>
      </c>
      <c r="C30" s="167" t="s">
        <v>141</v>
      </c>
      <c r="D30" s="131" t="s">
        <v>1</v>
      </c>
      <c r="E30" s="131">
        <v>154</v>
      </c>
      <c r="F30" s="144">
        <f t="shared" si="0"/>
        <v>0.89999999999999991</v>
      </c>
      <c r="G30" s="144">
        <v>138.6</v>
      </c>
      <c r="H30" s="160"/>
    </row>
    <row r="31" spans="1:8" x14ac:dyDescent="0.3">
      <c r="A31" s="131">
        <v>21</v>
      </c>
      <c r="B31" s="131">
        <v>2019</v>
      </c>
      <c r="C31" s="167" t="s">
        <v>142</v>
      </c>
      <c r="D31" s="131" t="s">
        <v>1</v>
      </c>
      <c r="E31" s="131">
        <v>154</v>
      </c>
      <c r="F31" s="144">
        <f t="shared" si="0"/>
        <v>1.0799999999999998</v>
      </c>
      <c r="G31" s="144">
        <v>166.32</v>
      </c>
      <c r="H31" s="160"/>
    </row>
    <row r="32" spans="1:8" x14ac:dyDescent="0.3">
      <c r="A32" s="131">
        <v>22</v>
      </c>
      <c r="B32" s="131">
        <v>2019</v>
      </c>
      <c r="C32" s="167" t="s">
        <v>143</v>
      </c>
      <c r="D32" s="131" t="s">
        <v>1</v>
      </c>
      <c r="E32" s="131">
        <v>154</v>
      </c>
      <c r="F32" s="144">
        <f t="shared" si="0"/>
        <v>3</v>
      </c>
      <c r="G32" s="144">
        <v>462</v>
      </c>
      <c r="H32" s="160"/>
    </row>
    <row r="33" spans="1:8" x14ac:dyDescent="0.3">
      <c r="A33" s="131">
        <v>23</v>
      </c>
      <c r="B33" s="131">
        <v>2019</v>
      </c>
      <c r="C33" s="167" t="s">
        <v>144</v>
      </c>
      <c r="D33" s="131" t="s">
        <v>1</v>
      </c>
      <c r="E33" s="131">
        <v>154</v>
      </c>
      <c r="F33" s="144">
        <f t="shared" si="0"/>
        <v>1.52</v>
      </c>
      <c r="G33" s="144">
        <v>234.08</v>
      </c>
      <c r="H33" s="160"/>
    </row>
    <row r="34" spans="1:8" x14ac:dyDescent="0.3">
      <c r="A34" s="131">
        <v>24</v>
      </c>
      <c r="B34" s="131">
        <v>2019</v>
      </c>
      <c r="C34" s="167" t="s">
        <v>145</v>
      </c>
      <c r="D34" s="131" t="s">
        <v>1</v>
      </c>
      <c r="E34" s="131">
        <v>154</v>
      </c>
      <c r="F34" s="144">
        <v>1.9800000000000002</v>
      </c>
      <c r="G34" s="144">
        <v>304.92</v>
      </c>
      <c r="H34" s="160"/>
    </row>
    <row r="35" spans="1:8" x14ac:dyDescent="0.3">
      <c r="A35" s="131">
        <v>25</v>
      </c>
      <c r="B35" s="131">
        <v>2019</v>
      </c>
      <c r="C35" s="167" t="s">
        <v>146</v>
      </c>
      <c r="D35" s="131" t="s">
        <v>1</v>
      </c>
      <c r="E35" s="131">
        <v>154</v>
      </c>
      <c r="F35" s="144">
        <v>2.25</v>
      </c>
      <c r="G35" s="144">
        <v>346.5</v>
      </c>
      <c r="H35" s="160"/>
    </row>
    <row r="36" spans="1:8" x14ac:dyDescent="0.3">
      <c r="A36" s="131">
        <v>26</v>
      </c>
      <c r="B36" s="131">
        <v>2019</v>
      </c>
      <c r="C36" s="167" t="s">
        <v>147</v>
      </c>
      <c r="D36" s="131" t="s">
        <v>1</v>
      </c>
      <c r="E36" s="131">
        <v>154</v>
      </c>
      <c r="F36" s="144">
        <v>2.38</v>
      </c>
      <c r="G36" s="144">
        <v>366.52</v>
      </c>
      <c r="H36" s="160"/>
    </row>
    <row r="37" spans="1:8" ht="27.6" x14ac:dyDescent="0.3">
      <c r="A37" s="131">
        <v>27</v>
      </c>
      <c r="B37" s="131">
        <v>2019</v>
      </c>
      <c r="C37" s="171" t="s">
        <v>148</v>
      </c>
      <c r="D37" s="131" t="s">
        <v>1</v>
      </c>
      <c r="E37" s="131">
        <v>154</v>
      </c>
      <c r="F37" s="144">
        <f t="shared" si="0"/>
        <v>2.0999999999999996</v>
      </c>
      <c r="G37" s="144">
        <v>323.39999999999998</v>
      </c>
      <c r="H37" s="160"/>
    </row>
    <row r="38" spans="1:8" ht="27.6" x14ac:dyDescent="0.3">
      <c r="A38" s="131">
        <v>28</v>
      </c>
      <c r="B38" s="131">
        <v>2019</v>
      </c>
      <c r="C38" s="171" t="s">
        <v>149</v>
      </c>
      <c r="D38" s="131" t="s">
        <v>1</v>
      </c>
      <c r="E38" s="131">
        <v>7</v>
      </c>
      <c r="F38" s="144">
        <f t="shared" si="0"/>
        <v>3</v>
      </c>
      <c r="G38" s="144">
        <v>21</v>
      </c>
      <c r="H38" s="160"/>
    </row>
    <row r="39" spans="1:8" x14ac:dyDescent="0.3">
      <c r="A39" s="131">
        <v>29</v>
      </c>
      <c r="B39" s="131">
        <v>2019</v>
      </c>
      <c r="C39" s="171" t="s">
        <v>150</v>
      </c>
      <c r="D39" s="131" t="s">
        <v>1</v>
      </c>
      <c r="E39" s="131">
        <v>8</v>
      </c>
      <c r="F39" s="144">
        <f t="shared" si="0"/>
        <v>2.88</v>
      </c>
      <c r="G39" s="144">
        <v>23.04</v>
      </c>
      <c r="H39" s="160"/>
    </row>
    <row r="40" spans="1:8" x14ac:dyDescent="0.3">
      <c r="A40" s="131">
        <v>30</v>
      </c>
      <c r="B40" s="131">
        <v>2019</v>
      </c>
      <c r="C40" s="167" t="s">
        <v>151</v>
      </c>
      <c r="D40" s="131" t="s">
        <v>1</v>
      </c>
      <c r="E40" s="131">
        <v>11</v>
      </c>
      <c r="F40" s="144">
        <f t="shared" si="0"/>
        <v>3.0599999999999996</v>
      </c>
      <c r="G40" s="144">
        <v>33.659999999999997</v>
      </c>
      <c r="H40" s="160"/>
    </row>
    <row r="41" spans="1:8" x14ac:dyDescent="0.3">
      <c r="A41" s="131">
        <v>31</v>
      </c>
      <c r="B41" s="131">
        <v>2019</v>
      </c>
      <c r="C41" s="167" t="s">
        <v>152</v>
      </c>
      <c r="D41" s="131" t="s">
        <v>1</v>
      </c>
      <c r="E41" s="131">
        <v>11</v>
      </c>
      <c r="F41" s="144">
        <f t="shared" si="0"/>
        <v>3.0599999999999996</v>
      </c>
      <c r="G41" s="144">
        <v>33.659999999999997</v>
      </c>
      <c r="H41" s="160"/>
    </row>
    <row r="42" spans="1:8" x14ac:dyDescent="0.3">
      <c r="A42" s="131">
        <v>32</v>
      </c>
      <c r="B42" s="131">
        <v>2019</v>
      </c>
      <c r="C42" s="171" t="s">
        <v>153</v>
      </c>
      <c r="D42" s="131" t="s">
        <v>1</v>
      </c>
      <c r="E42" s="131">
        <v>9</v>
      </c>
      <c r="F42" s="144">
        <f t="shared" si="0"/>
        <v>3.36</v>
      </c>
      <c r="G42" s="144">
        <v>30.24</v>
      </c>
      <c r="H42" s="160"/>
    </row>
    <row r="43" spans="1:8" x14ac:dyDescent="0.3">
      <c r="A43" s="131">
        <v>33</v>
      </c>
      <c r="B43" s="131">
        <v>2019</v>
      </c>
      <c r="C43" s="167" t="s">
        <v>154</v>
      </c>
      <c r="D43" s="131" t="s">
        <v>1</v>
      </c>
      <c r="E43" s="131">
        <v>10</v>
      </c>
      <c r="F43" s="144">
        <f t="shared" si="0"/>
        <v>3.3600000000000003</v>
      </c>
      <c r="G43" s="144">
        <v>33.6</v>
      </c>
      <c r="H43" s="160"/>
    </row>
    <row r="44" spans="1:8" x14ac:dyDescent="0.3">
      <c r="A44" s="131">
        <v>34</v>
      </c>
      <c r="B44" s="131">
        <v>2019</v>
      </c>
      <c r="C44" s="167" t="s">
        <v>155</v>
      </c>
      <c r="D44" s="131" t="s">
        <v>1</v>
      </c>
      <c r="E44" s="131">
        <v>11</v>
      </c>
      <c r="F44" s="144">
        <f t="shared" si="0"/>
        <v>2.04</v>
      </c>
      <c r="G44" s="144">
        <v>22.44</v>
      </c>
      <c r="H44" s="160"/>
    </row>
    <row r="45" spans="1:8" x14ac:dyDescent="0.3">
      <c r="A45" s="131">
        <v>35</v>
      </c>
      <c r="B45" s="131">
        <v>2019</v>
      </c>
      <c r="C45" s="167" t="s">
        <v>156</v>
      </c>
      <c r="D45" s="131" t="s">
        <v>1</v>
      </c>
      <c r="E45" s="131">
        <v>10</v>
      </c>
      <c r="F45" s="144">
        <f t="shared" si="0"/>
        <v>2.04</v>
      </c>
      <c r="G45" s="144">
        <v>20.399999999999999</v>
      </c>
      <c r="H45" s="160"/>
    </row>
    <row r="46" spans="1:8" x14ac:dyDescent="0.3">
      <c r="A46" s="131">
        <v>36</v>
      </c>
      <c r="B46" s="131">
        <v>2019</v>
      </c>
      <c r="C46" s="167" t="s">
        <v>157</v>
      </c>
      <c r="D46" s="131" t="s">
        <v>1</v>
      </c>
      <c r="E46" s="131">
        <v>10</v>
      </c>
      <c r="F46" s="144">
        <f t="shared" si="0"/>
        <v>3.06</v>
      </c>
      <c r="G46" s="144">
        <v>30.6</v>
      </c>
      <c r="H46" s="160"/>
    </row>
    <row r="47" spans="1:8" x14ac:dyDescent="0.3">
      <c r="A47" s="131">
        <v>37</v>
      </c>
      <c r="B47" s="131">
        <v>2019</v>
      </c>
      <c r="C47" s="167" t="s">
        <v>158</v>
      </c>
      <c r="D47" s="131" t="s">
        <v>1</v>
      </c>
      <c r="E47" s="131">
        <v>11</v>
      </c>
      <c r="F47" s="144">
        <f t="shared" si="0"/>
        <v>1.76</v>
      </c>
      <c r="G47" s="144">
        <v>19.36</v>
      </c>
      <c r="H47" s="160"/>
    </row>
    <row r="48" spans="1:8" x14ac:dyDescent="0.3">
      <c r="A48" s="131">
        <v>38</v>
      </c>
      <c r="B48" s="131">
        <v>2019</v>
      </c>
      <c r="C48" s="167" t="s">
        <v>159</v>
      </c>
      <c r="D48" s="131" t="s">
        <v>1</v>
      </c>
      <c r="E48" s="131">
        <v>8</v>
      </c>
      <c r="F48" s="144">
        <f t="shared" si="0"/>
        <v>3.15</v>
      </c>
      <c r="G48" s="144">
        <v>25.2</v>
      </c>
      <c r="H48" s="160"/>
    </row>
    <row r="49" spans="1:9" x14ac:dyDescent="0.3">
      <c r="A49" s="131">
        <v>39</v>
      </c>
      <c r="B49" s="131">
        <v>2019</v>
      </c>
      <c r="C49" s="167" t="s">
        <v>160</v>
      </c>
      <c r="D49" s="131" t="s">
        <v>1</v>
      </c>
      <c r="E49" s="131">
        <v>12</v>
      </c>
      <c r="F49" s="144">
        <f t="shared" si="0"/>
        <v>2.04</v>
      </c>
      <c r="G49" s="144">
        <v>24.48</v>
      </c>
      <c r="H49" s="160"/>
    </row>
    <row r="50" spans="1:9" x14ac:dyDescent="0.3">
      <c r="A50" s="131">
        <v>40</v>
      </c>
      <c r="B50" s="131">
        <v>2019</v>
      </c>
      <c r="C50" s="167" t="s">
        <v>161</v>
      </c>
      <c r="D50" s="131" t="s">
        <v>1</v>
      </c>
      <c r="E50" s="131">
        <v>12</v>
      </c>
      <c r="F50" s="144">
        <f t="shared" si="0"/>
        <v>1.76</v>
      </c>
      <c r="G50" s="144">
        <v>21.12</v>
      </c>
      <c r="H50" s="160"/>
    </row>
    <row r="51" spans="1:9" x14ac:dyDescent="0.3">
      <c r="A51" s="131">
        <v>41</v>
      </c>
      <c r="B51" s="131">
        <v>2019</v>
      </c>
      <c r="C51" s="167" t="s">
        <v>162</v>
      </c>
      <c r="D51" s="131" t="s">
        <v>1</v>
      </c>
      <c r="E51" s="131">
        <v>10</v>
      </c>
      <c r="F51" s="144">
        <f t="shared" si="0"/>
        <v>2.04</v>
      </c>
      <c r="G51" s="144">
        <v>20.399999999999999</v>
      </c>
      <c r="H51" s="160"/>
    </row>
    <row r="52" spans="1:9" ht="27.6" x14ac:dyDescent="0.3">
      <c r="A52" s="131">
        <v>42</v>
      </c>
      <c r="B52" s="131">
        <v>2019</v>
      </c>
      <c r="C52" s="167" t="s">
        <v>163</v>
      </c>
      <c r="D52" s="131" t="s">
        <v>1</v>
      </c>
      <c r="E52" s="131">
        <v>367</v>
      </c>
      <c r="F52" s="144">
        <f>G52/E52</f>
        <v>1.3813896457765669</v>
      </c>
      <c r="G52" s="131">
        <v>506.97</v>
      </c>
      <c r="H52" s="160"/>
    </row>
    <row r="53" spans="1:9" x14ac:dyDescent="0.3">
      <c r="A53" s="374" t="s">
        <v>53</v>
      </c>
      <c r="B53" s="374"/>
      <c r="C53" s="374"/>
      <c r="D53" s="374"/>
      <c r="E53" s="134">
        <f>SUM(E14:E52)</f>
        <v>3993</v>
      </c>
      <c r="F53" s="135"/>
      <c r="G53" s="135">
        <f>SUM(G14:G52)</f>
        <v>9076.2100000000009</v>
      </c>
      <c r="H53" s="161"/>
      <c r="I53" s="162"/>
    </row>
    <row r="54" spans="1:9" ht="27.6" x14ac:dyDescent="0.3">
      <c r="A54" s="131">
        <v>43</v>
      </c>
      <c r="B54" s="131">
        <v>2018</v>
      </c>
      <c r="C54" s="167" t="s">
        <v>164</v>
      </c>
      <c r="D54" s="25" t="s">
        <v>1</v>
      </c>
      <c r="E54" s="131">
        <v>27</v>
      </c>
      <c r="F54" s="144">
        <v>1.9</v>
      </c>
      <c r="G54" s="144">
        <v>51.32</v>
      </c>
      <c r="H54" s="161"/>
      <c r="I54" s="162"/>
    </row>
    <row r="55" spans="1:9" x14ac:dyDescent="0.3">
      <c r="A55" s="131">
        <v>44</v>
      </c>
      <c r="B55" s="131">
        <v>2018</v>
      </c>
      <c r="C55" s="167" t="s">
        <v>165</v>
      </c>
      <c r="D55" s="25" t="s">
        <v>1</v>
      </c>
      <c r="E55" s="131">
        <v>3</v>
      </c>
      <c r="F55" s="144">
        <v>4.3500000000000005</v>
      </c>
      <c r="G55" s="144">
        <v>13.05</v>
      </c>
      <c r="H55" s="161"/>
      <c r="I55" s="162"/>
    </row>
    <row r="56" spans="1:9" x14ac:dyDescent="0.3">
      <c r="A56" s="374" t="s">
        <v>53</v>
      </c>
      <c r="B56" s="374"/>
      <c r="C56" s="374"/>
      <c r="D56" s="374"/>
      <c r="E56" s="134">
        <f>SUM(E54:E55)</f>
        <v>30</v>
      </c>
      <c r="F56" s="134"/>
      <c r="G56" s="134">
        <f t="shared" ref="G56" si="1">SUM(G54:G55)</f>
        <v>64.37</v>
      </c>
      <c r="H56" s="161"/>
      <c r="I56" s="163"/>
    </row>
    <row r="57" spans="1:9" ht="27.6" x14ac:dyDescent="0.3">
      <c r="A57" s="131">
        <v>45</v>
      </c>
      <c r="B57" s="131">
        <v>2019</v>
      </c>
      <c r="C57" s="167" t="s">
        <v>166</v>
      </c>
      <c r="D57" s="131" t="s">
        <v>1</v>
      </c>
      <c r="E57" s="131">
        <v>1</v>
      </c>
      <c r="F57" s="144">
        <f t="shared" si="0"/>
        <v>3.41</v>
      </c>
      <c r="G57" s="144">
        <v>3.41</v>
      </c>
      <c r="H57" s="160"/>
    </row>
    <row r="58" spans="1:9" ht="27.6" x14ac:dyDescent="0.3">
      <c r="A58" s="131">
        <v>46</v>
      </c>
      <c r="B58" s="131">
        <v>2019</v>
      </c>
      <c r="C58" s="167" t="s">
        <v>167</v>
      </c>
      <c r="D58" s="131" t="s">
        <v>1</v>
      </c>
      <c r="E58" s="131">
        <v>1</v>
      </c>
      <c r="F58" s="144">
        <f t="shared" si="0"/>
        <v>2.48</v>
      </c>
      <c r="G58" s="144">
        <v>2.48</v>
      </c>
      <c r="H58" s="160"/>
    </row>
    <row r="59" spans="1:9" x14ac:dyDescent="0.3">
      <c r="A59" s="131">
        <v>47</v>
      </c>
      <c r="B59" s="131">
        <v>2019</v>
      </c>
      <c r="C59" s="167" t="s">
        <v>168</v>
      </c>
      <c r="D59" s="131" t="s">
        <v>1</v>
      </c>
      <c r="E59" s="131">
        <v>1</v>
      </c>
      <c r="F59" s="144">
        <f t="shared" si="0"/>
        <v>4.0999999999999996</v>
      </c>
      <c r="G59" s="144">
        <v>4.0999999999999996</v>
      </c>
      <c r="H59" s="160"/>
    </row>
    <row r="60" spans="1:9" x14ac:dyDescent="0.3">
      <c r="A60" s="131">
        <v>48</v>
      </c>
      <c r="B60" s="131">
        <v>2019</v>
      </c>
      <c r="C60" s="167" t="s">
        <v>169</v>
      </c>
      <c r="D60" s="131" t="s">
        <v>1</v>
      </c>
      <c r="E60" s="131">
        <v>1</v>
      </c>
      <c r="F60" s="144">
        <f t="shared" si="0"/>
        <v>4.0999999999999996</v>
      </c>
      <c r="G60" s="144">
        <v>4.0999999999999996</v>
      </c>
      <c r="H60" s="160"/>
    </row>
    <row r="61" spans="1:9" x14ac:dyDescent="0.3">
      <c r="A61" s="131">
        <v>49</v>
      </c>
      <c r="B61" s="131">
        <v>2019</v>
      </c>
      <c r="C61" s="167" t="s">
        <v>170</v>
      </c>
      <c r="D61" s="131" t="s">
        <v>1</v>
      </c>
      <c r="E61" s="131">
        <v>1</v>
      </c>
      <c r="F61" s="144">
        <f t="shared" si="0"/>
        <v>4.6500000000000004</v>
      </c>
      <c r="G61" s="144">
        <v>4.6500000000000004</v>
      </c>
      <c r="H61" s="160"/>
    </row>
    <row r="62" spans="1:9" ht="27.6" x14ac:dyDescent="0.3">
      <c r="A62" s="131">
        <v>50</v>
      </c>
      <c r="B62" s="131">
        <v>2019</v>
      </c>
      <c r="C62" s="167" t="s">
        <v>171</v>
      </c>
      <c r="D62" s="131" t="s">
        <v>1</v>
      </c>
      <c r="E62" s="131">
        <v>2</v>
      </c>
      <c r="F62" s="144">
        <f t="shared" si="0"/>
        <v>2.5</v>
      </c>
      <c r="G62" s="144">
        <v>5</v>
      </c>
      <c r="H62" s="160"/>
    </row>
    <row r="63" spans="1:9" x14ac:dyDescent="0.3">
      <c r="A63" s="131">
        <v>51</v>
      </c>
      <c r="B63" s="131">
        <v>2019</v>
      </c>
      <c r="C63" s="167" t="s">
        <v>172</v>
      </c>
      <c r="D63" s="131" t="s">
        <v>1</v>
      </c>
      <c r="E63" s="131">
        <v>1</v>
      </c>
      <c r="F63" s="144">
        <f t="shared" si="0"/>
        <v>2.46</v>
      </c>
      <c r="G63" s="144">
        <v>2.46</v>
      </c>
      <c r="H63" s="160"/>
    </row>
    <row r="64" spans="1:9" ht="27.6" x14ac:dyDescent="0.3">
      <c r="A64" s="131">
        <v>52</v>
      </c>
      <c r="B64" s="131">
        <v>2019</v>
      </c>
      <c r="C64" s="167" t="s">
        <v>173</v>
      </c>
      <c r="D64" s="131" t="s">
        <v>1</v>
      </c>
      <c r="E64" s="131">
        <v>1</v>
      </c>
      <c r="F64" s="144">
        <f t="shared" si="0"/>
        <v>2.31</v>
      </c>
      <c r="G64" s="144">
        <v>2.31</v>
      </c>
      <c r="H64" s="160"/>
    </row>
    <row r="65" spans="1:9" ht="27.6" x14ac:dyDescent="0.3">
      <c r="A65" s="131">
        <v>53</v>
      </c>
      <c r="B65" s="131">
        <v>2019</v>
      </c>
      <c r="C65" s="167" t="s">
        <v>174</v>
      </c>
      <c r="D65" s="131" t="s">
        <v>1</v>
      </c>
      <c r="E65" s="131">
        <v>1</v>
      </c>
      <c r="F65" s="144">
        <f t="shared" si="0"/>
        <v>2.4</v>
      </c>
      <c r="G65" s="144">
        <v>2.4</v>
      </c>
      <c r="H65" s="160"/>
    </row>
    <row r="66" spans="1:9" x14ac:dyDescent="0.3">
      <c r="A66" s="131">
        <v>54</v>
      </c>
      <c r="B66" s="131">
        <v>2019</v>
      </c>
      <c r="C66" s="167" t="s">
        <v>175</v>
      </c>
      <c r="D66" s="131" t="s">
        <v>1</v>
      </c>
      <c r="E66" s="131">
        <v>1</v>
      </c>
      <c r="F66" s="144">
        <f t="shared" si="0"/>
        <v>1.86</v>
      </c>
      <c r="G66" s="144">
        <v>1.86</v>
      </c>
      <c r="H66" s="160"/>
    </row>
    <row r="67" spans="1:9" x14ac:dyDescent="0.3">
      <c r="A67" s="131">
        <v>55</v>
      </c>
      <c r="B67" s="131">
        <v>2019</v>
      </c>
      <c r="C67" s="167" t="s">
        <v>176</v>
      </c>
      <c r="D67" s="131" t="s">
        <v>1</v>
      </c>
      <c r="E67" s="131">
        <v>1</v>
      </c>
      <c r="F67" s="144">
        <f t="shared" si="0"/>
        <v>5.6</v>
      </c>
      <c r="G67" s="144">
        <v>5.6</v>
      </c>
      <c r="H67" s="160"/>
    </row>
    <row r="68" spans="1:9" ht="27.6" x14ac:dyDescent="0.3">
      <c r="A68" s="131">
        <v>56</v>
      </c>
      <c r="B68" s="131">
        <v>2019</v>
      </c>
      <c r="C68" s="167" t="s">
        <v>177</v>
      </c>
      <c r="D68" s="25" t="s">
        <v>1</v>
      </c>
      <c r="E68" s="131">
        <v>1</v>
      </c>
      <c r="F68" s="131">
        <v>2.4</v>
      </c>
      <c r="G68" s="144">
        <v>2.4</v>
      </c>
      <c r="H68" s="159"/>
      <c r="I68" s="162"/>
    </row>
    <row r="69" spans="1:9" ht="27.6" x14ac:dyDescent="0.3">
      <c r="A69" s="131">
        <v>57</v>
      </c>
      <c r="B69" s="131">
        <v>2019</v>
      </c>
      <c r="C69" s="167" t="s">
        <v>178</v>
      </c>
      <c r="D69" s="168" t="s">
        <v>1</v>
      </c>
      <c r="E69" s="131">
        <v>1</v>
      </c>
      <c r="F69" s="144">
        <f t="shared" si="0"/>
        <v>1.86</v>
      </c>
      <c r="G69" s="144">
        <v>1.86</v>
      </c>
      <c r="H69" s="160"/>
    </row>
    <row r="70" spans="1:9" ht="27.6" x14ac:dyDescent="0.3">
      <c r="A70" s="131">
        <v>58</v>
      </c>
      <c r="B70" s="131">
        <v>2019</v>
      </c>
      <c r="C70" s="167" t="s">
        <v>179</v>
      </c>
      <c r="D70" s="37" t="s">
        <v>220</v>
      </c>
      <c r="E70" s="131">
        <v>1</v>
      </c>
      <c r="F70" s="144">
        <f t="shared" si="0"/>
        <v>2.48</v>
      </c>
      <c r="G70" s="144">
        <v>2.48</v>
      </c>
      <c r="H70" s="160"/>
    </row>
    <row r="71" spans="1:9" ht="27.6" x14ac:dyDescent="0.3">
      <c r="A71" s="131">
        <v>59</v>
      </c>
      <c r="B71" s="131">
        <v>2019</v>
      </c>
      <c r="C71" s="171" t="s">
        <v>180</v>
      </c>
      <c r="D71" s="37" t="s">
        <v>220</v>
      </c>
      <c r="E71" s="131">
        <v>7</v>
      </c>
      <c r="F71" s="144">
        <f t="shared" si="0"/>
        <v>6.6000000000000005</v>
      </c>
      <c r="G71" s="144">
        <v>46.2</v>
      </c>
      <c r="H71" s="160"/>
    </row>
    <row r="72" spans="1:9" ht="27.6" x14ac:dyDescent="0.3">
      <c r="A72" s="131">
        <v>60</v>
      </c>
      <c r="B72" s="131">
        <v>2019</v>
      </c>
      <c r="C72" s="167" t="s">
        <v>181</v>
      </c>
      <c r="D72" s="37" t="s">
        <v>220</v>
      </c>
      <c r="E72" s="131">
        <v>4</v>
      </c>
      <c r="F72" s="144">
        <f t="shared" si="0"/>
        <v>19</v>
      </c>
      <c r="G72" s="144">
        <v>76</v>
      </c>
      <c r="H72" s="160"/>
    </row>
    <row r="73" spans="1:9" ht="27.6" x14ac:dyDescent="0.3">
      <c r="A73" s="131">
        <v>61</v>
      </c>
      <c r="B73" s="131">
        <v>2019</v>
      </c>
      <c r="C73" s="167" t="s">
        <v>182</v>
      </c>
      <c r="D73" s="37" t="s">
        <v>220</v>
      </c>
      <c r="E73" s="131">
        <v>14</v>
      </c>
      <c r="F73" s="144">
        <f t="shared" si="0"/>
        <v>2.31</v>
      </c>
      <c r="G73" s="144">
        <v>32.340000000000003</v>
      </c>
      <c r="H73" s="160"/>
    </row>
    <row r="74" spans="1:9" ht="27.6" x14ac:dyDescent="0.3">
      <c r="A74" s="131">
        <v>62</v>
      </c>
      <c r="B74" s="131">
        <v>2019</v>
      </c>
      <c r="C74" s="171" t="s">
        <v>183</v>
      </c>
      <c r="D74" s="37" t="s">
        <v>220</v>
      </c>
      <c r="E74" s="131">
        <v>7</v>
      </c>
      <c r="F74" s="144">
        <f t="shared" si="0"/>
        <v>3.3000000000000003</v>
      </c>
      <c r="G74" s="144">
        <v>23.1</v>
      </c>
      <c r="H74" s="160"/>
    </row>
    <row r="75" spans="1:9" ht="27.6" x14ac:dyDescent="0.3">
      <c r="A75" s="131">
        <v>63</v>
      </c>
      <c r="B75" s="131">
        <v>2019</v>
      </c>
      <c r="C75" s="171" t="s">
        <v>184</v>
      </c>
      <c r="D75" s="37" t="s">
        <v>220</v>
      </c>
      <c r="E75" s="131">
        <v>7</v>
      </c>
      <c r="F75" s="144">
        <f t="shared" si="0"/>
        <v>3.12</v>
      </c>
      <c r="G75" s="144">
        <v>21.84</v>
      </c>
      <c r="H75" s="160"/>
    </row>
    <row r="76" spans="1:9" ht="27.6" x14ac:dyDescent="0.3">
      <c r="A76" s="131">
        <v>64</v>
      </c>
      <c r="B76" s="131">
        <v>2019</v>
      </c>
      <c r="C76" s="167" t="s">
        <v>185</v>
      </c>
      <c r="D76" s="37" t="s">
        <v>220</v>
      </c>
      <c r="E76" s="131">
        <v>7</v>
      </c>
      <c r="F76" s="144">
        <f t="shared" si="0"/>
        <v>2.64</v>
      </c>
      <c r="G76" s="144">
        <v>18.48</v>
      </c>
      <c r="H76" s="160"/>
    </row>
    <row r="77" spans="1:9" x14ac:dyDescent="0.3">
      <c r="A77" s="131">
        <v>65</v>
      </c>
      <c r="B77" s="131">
        <v>2019</v>
      </c>
      <c r="C77" s="167" t="s">
        <v>186</v>
      </c>
      <c r="D77" s="37" t="s">
        <v>220</v>
      </c>
      <c r="E77" s="131">
        <v>7</v>
      </c>
      <c r="F77" s="144">
        <f t="shared" si="0"/>
        <v>2.2000000000000002</v>
      </c>
      <c r="G77" s="144">
        <v>15.4</v>
      </c>
      <c r="H77" s="160"/>
    </row>
    <row r="78" spans="1:9" x14ac:dyDescent="0.3">
      <c r="A78" s="131">
        <v>66</v>
      </c>
      <c r="B78" s="131">
        <v>2019</v>
      </c>
      <c r="C78" s="167" t="s">
        <v>187</v>
      </c>
      <c r="D78" s="37" t="s">
        <v>220</v>
      </c>
      <c r="E78" s="131">
        <v>7</v>
      </c>
      <c r="F78" s="144">
        <f t="shared" si="0"/>
        <v>4.41</v>
      </c>
      <c r="G78" s="144">
        <v>30.87</v>
      </c>
      <c r="H78" s="160"/>
    </row>
    <row r="79" spans="1:9" ht="27.6" x14ac:dyDescent="0.3">
      <c r="A79" s="131">
        <v>67</v>
      </c>
      <c r="B79" s="131">
        <v>2019</v>
      </c>
      <c r="C79" s="171" t="s">
        <v>188</v>
      </c>
      <c r="D79" s="37" t="s">
        <v>220</v>
      </c>
      <c r="E79" s="131">
        <v>7</v>
      </c>
      <c r="F79" s="144">
        <f t="shared" si="0"/>
        <v>2.4</v>
      </c>
      <c r="G79" s="144">
        <v>16.8</v>
      </c>
      <c r="H79" s="160"/>
    </row>
    <row r="80" spans="1:9" x14ac:dyDescent="0.3">
      <c r="A80" s="131">
        <v>68</v>
      </c>
      <c r="B80" s="131">
        <v>2019</v>
      </c>
      <c r="C80" s="171" t="s">
        <v>189</v>
      </c>
      <c r="D80" s="169" t="s">
        <v>220</v>
      </c>
      <c r="E80" s="131">
        <v>15</v>
      </c>
      <c r="F80" s="144">
        <v>0</v>
      </c>
      <c r="G80" s="144">
        <v>0</v>
      </c>
      <c r="H80" s="160"/>
    </row>
    <row r="81" spans="1:8" ht="27.6" x14ac:dyDescent="0.3">
      <c r="A81" s="131">
        <v>69</v>
      </c>
      <c r="B81" s="131">
        <v>2019</v>
      </c>
      <c r="C81" s="167" t="s">
        <v>190</v>
      </c>
      <c r="D81" s="169" t="s">
        <v>220</v>
      </c>
      <c r="E81" s="131">
        <v>7</v>
      </c>
      <c r="F81" s="144">
        <f t="shared" si="0"/>
        <v>2.8000000000000003</v>
      </c>
      <c r="G81" s="144">
        <v>19.600000000000001</v>
      </c>
      <c r="H81" s="160"/>
    </row>
    <row r="82" spans="1:8" ht="27.6" x14ac:dyDescent="0.3">
      <c r="A82" s="131">
        <v>70</v>
      </c>
      <c r="B82" s="131">
        <v>2019</v>
      </c>
      <c r="C82" s="167" t="s">
        <v>191</v>
      </c>
      <c r="D82" s="169" t="s">
        <v>220</v>
      </c>
      <c r="E82" s="131">
        <v>7</v>
      </c>
      <c r="F82" s="144">
        <f t="shared" si="0"/>
        <v>3</v>
      </c>
      <c r="G82" s="144">
        <v>21</v>
      </c>
      <c r="H82" s="160"/>
    </row>
    <row r="83" spans="1:8" x14ac:dyDescent="0.3">
      <c r="A83" s="131">
        <v>71</v>
      </c>
      <c r="B83" s="131">
        <v>2019</v>
      </c>
      <c r="C83" s="167" t="s">
        <v>192</v>
      </c>
      <c r="D83" s="169" t="s">
        <v>220</v>
      </c>
      <c r="E83" s="131">
        <v>7</v>
      </c>
      <c r="F83" s="144">
        <f t="shared" si="0"/>
        <v>3.0799999999999996</v>
      </c>
      <c r="G83" s="144">
        <v>21.56</v>
      </c>
      <c r="H83" s="160"/>
    </row>
    <row r="84" spans="1:8" x14ac:dyDescent="0.3">
      <c r="A84" s="131">
        <v>72</v>
      </c>
      <c r="B84" s="131">
        <v>2019</v>
      </c>
      <c r="C84" s="167" t="s">
        <v>193</v>
      </c>
      <c r="D84" s="169" t="s">
        <v>220</v>
      </c>
      <c r="E84" s="131">
        <v>7</v>
      </c>
      <c r="F84" s="144">
        <f t="shared" ref="F84:F96" si="2">G84/E84</f>
        <v>3.3000000000000003</v>
      </c>
      <c r="G84" s="144">
        <v>23.1</v>
      </c>
      <c r="H84" s="160"/>
    </row>
    <row r="85" spans="1:8" ht="27.6" x14ac:dyDescent="0.3">
      <c r="A85" s="131">
        <v>73</v>
      </c>
      <c r="B85" s="131">
        <v>2019</v>
      </c>
      <c r="C85" s="167" t="s">
        <v>194</v>
      </c>
      <c r="D85" s="169" t="s">
        <v>220</v>
      </c>
      <c r="E85" s="131">
        <v>7</v>
      </c>
      <c r="F85" s="144">
        <f t="shared" si="2"/>
        <v>3.64</v>
      </c>
      <c r="G85" s="144">
        <v>25.48</v>
      </c>
      <c r="H85" s="160"/>
    </row>
    <row r="86" spans="1:8" ht="27.6" x14ac:dyDescent="0.3">
      <c r="A86" s="131">
        <v>74</v>
      </c>
      <c r="B86" s="131">
        <v>2019</v>
      </c>
      <c r="C86" s="167" t="s">
        <v>195</v>
      </c>
      <c r="D86" s="169" t="s">
        <v>220</v>
      </c>
      <c r="E86" s="131">
        <v>14</v>
      </c>
      <c r="F86" s="144">
        <f t="shared" si="2"/>
        <v>2.1</v>
      </c>
      <c r="G86" s="144">
        <v>29.4</v>
      </c>
      <c r="H86" s="160"/>
    </row>
    <row r="87" spans="1:8" x14ac:dyDescent="0.3">
      <c r="A87" s="131">
        <v>75</v>
      </c>
      <c r="B87" s="131">
        <v>2019</v>
      </c>
      <c r="C87" s="167" t="s">
        <v>196</v>
      </c>
      <c r="D87" s="169" t="s">
        <v>220</v>
      </c>
      <c r="E87" s="131">
        <v>7</v>
      </c>
      <c r="F87" s="144">
        <f t="shared" si="2"/>
        <v>3.5</v>
      </c>
      <c r="G87" s="144">
        <v>24.5</v>
      </c>
      <c r="H87" s="160"/>
    </row>
    <row r="88" spans="1:8" ht="27.6" x14ac:dyDescent="0.3">
      <c r="A88" s="131">
        <v>76</v>
      </c>
      <c r="B88" s="131">
        <v>2019</v>
      </c>
      <c r="C88" s="167" t="s">
        <v>197</v>
      </c>
      <c r="D88" s="37" t="s">
        <v>220</v>
      </c>
      <c r="E88" s="131">
        <v>7</v>
      </c>
      <c r="F88" s="144">
        <f t="shared" si="2"/>
        <v>1.4000000000000001</v>
      </c>
      <c r="G88" s="144">
        <v>9.8000000000000007</v>
      </c>
      <c r="H88" s="160"/>
    </row>
    <row r="89" spans="1:8" ht="27.6" x14ac:dyDescent="0.3">
      <c r="A89" s="131">
        <v>77</v>
      </c>
      <c r="B89" s="131">
        <v>2019</v>
      </c>
      <c r="C89" s="167" t="s">
        <v>198</v>
      </c>
      <c r="D89" s="37" t="s">
        <v>220</v>
      </c>
      <c r="E89" s="131">
        <v>7</v>
      </c>
      <c r="F89" s="144">
        <f t="shared" si="2"/>
        <v>1.68</v>
      </c>
      <c r="G89" s="144">
        <v>11.76</v>
      </c>
      <c r="H89" s="160"/>
    </row>
    <row r="90" spans="1:8" x14ac:dyDescent="0.3">
      <c r="A90" s="131">
        <v>78</v>
      </c>
      <c r="B90" s="131">
        <v>2019</v>
      </c>
      <c r="C90" s="167" t="s">
        <v>147</v>
      </c>
      <c r="D90" s="37" t="s">
        <v>220</v>
      </c>
      <c r="E90" s="131">
        <v>7</v>
      </c>
      <c r="F90" s="144">
        <f t="shared" si="2"/>
        <v>2.88</v>
      </c>
      <c r="G90" s="144">
        <v>20.16</v>
      </c>
      <c r="H90" s="160"/>
    </row>
    <row r="91" spans="1:8" x14ac:dyDescent="0.3">
      <c r="A91" s="131">
        <v>79</v>
      </c>
      <c r="B91" s="131">
        <v>2019</v>
      </c>
      <c r="C91" s="167" t="s">
        <v>199</v>
      </c>
      <c r="D91" s="37" t="s">
        <v>220</v>
      </c>
      <c r="E91" s="131">
        <v>7</v>
      </c>
      <c r="F91" s="144">
        <f t="shared" si="2"/>
        <v>1.44</v>
      </c>
      <c r="G91" s="144">
        <v>10.08</v>
      </c>
      <c r="H91" s="160"/>
    </row>
    <row r="92" spans="1:8" x14ac:dyDescent="0.3">
      <c r="A92" s="131">
        <v>80</v>
      </c>
      <c r="B92" s="131">
        <v>2019</v>
      </c>
      <c r="C92" s="167" t="s">
        <v>200</v>
      </c>
      <c r="D92" s="37" t="s">
        <v>220</v>
      </c>
      <c r="E92" s="131">
        <v>7</v>
      </c>
      <c r="F92" s="144">
        <f t="shared" si="2"/>
        <v>2.94</v>
      </c>
      <c r="G92" s="144">
        <v>20.58</v>
      </c>
      <c r="H92" s="160"/>
    </row>
    <row r="93" spans="1:8" ht="27.6" x14ac:dyDescent="0.3">
      <c r="A93" s="131">
        <v>81</v>
      </c>
      <c r="B93" s="131">
        <v>2019</v>
      </c>
      <c r="C93" s="167" t="s">
        <v>201</v>
      </c>
      <c r="D93" s="37" t="s">
        <v>220</v>
      </c>
      <c r="E93" s="131">
        <v>7</v>
      </c>
      <c r="F93" s="144">
        <f t="shared" si="2"/>
        <v>1.68</v>
      </c>
      <c r="G93" s="144">
        <v>11.76</v>
      </c>
      <c r="H93" s="160"/>
    </row>
    <row r="94" spans="1:8" ht="27.6" x14ac:dyDescent="0.3">
      <c r="A94" s="131">
        <v>82</v>
      </c>
      <c r="B94" s="131">
        <v>2019</v>
      </c>
      <c r="C94" s="167" t="s">
        <v>202</v>
      </c>
      <c r="D94" s="37" t="s">
        <v>220</v>
      </c>
      <c r="E94" s="131">
        <v>7</v>
      </c>
      <c r="F94" s="144">
        <f t="shared" si="2"/>
        <v>1.44</v>
      </c>
      <c r="G94" s="144">
        <v>10.08</v>
      </c>
      <c r="H94" s="160"/>
    </row>
    <row r="95" spans="1:8" ht="27.6" x14ac:dyDescent="0.3">
      <c r="A95" s="131">
        <v>83</v>
      </c>
      <c r="B95" s="131">
        <v>2019</v>
      </c>
      <c r="C95" s="167" t="s">
        <v>203</v>
      </c>
      <c r="D95" s="37" t="s">
        <v>220</v>
      </c>
      <c r="E95" s="131">
        <v>7</v>
      </c>
      <c r="F95" s="144">
        <f t="shared" si="2"/>
        <v>1.92</v>
      </c>
      <c r="G95" s="144">
        <v>13.44</v>
      </c>
      <c r="H95" s="160"/>
    </row>
    <row r="96" spans="1:8" ht="28.2" thickBot="1" x14ac:dyDescent="0.35">
      <c r="A96" s="234">
        <v>84</v>
      </c>
      <c r="B96" s="234">
        <v>2019</v>
      </c>
      <c r="C96" s="251" t="s">
        <v>204</v>
      </c>
      <c r="D96" s="252" t="s">
        <v>220</v>
      </c>
      <c r="E96" s="234">
        <v>15</v>
      </c>
      <c r="F96" s="253">
        <f t="shared" si="2"/>
        <v>5</v>
      </c>
      <c r="G96" s="253">
        <v>75</v>
      </c>
      <c r="H96" s="254"/>
    </row>
    <row r="97" spans="1:9" ht="15" thickBot="1" x14ac:dyDescent="0.35">
      <c r="A97" s="372" t="s">
        <v>53</v>
      </c>
      <c r="B97" s="373"/>
      <c r="C97" s="373"/>
      <c r="D97" s="373"/>
      <c r="E97" s="249">
        <f>SUM(E57:E96)</f>
        <v>224</v>
      </c>
      <c r="F97" s="230"/>
      <c r="G97" s="230">
        <f>SUM(G57:G96)</f>
        <v>673.44000000000017</v>
      </c>
      <c r="H97" s="256"/>
      <c r="I97" s="162"/>
    </row>
    <row r="98" spans="1:9" ht="34.200000000000003" thickBot="1" x14ac:dyDescent="0.35">
      <c r="A98" s="257">
        <v>85</v>
      </c>
      <c r="B98" s="258">
        <v>2019</v>
      </c>
      <c r="C98" s="259" t="s">
        <v>221</v>
      </c>
      <c r="D98" s="260" t="s">
        <v>220</v>
      </c>
      <c r="E98" s="257">
        <v>52</v>
      </c>
      <c r="F98" s="257">
        <v>3.42</v>
      </c>
      <c r="G98" s="261">
        <v>178.04</v>
      </c>
      <c r="H98" s="261"/>
      <c r="I98" s="162"/>
    </row>
    <row r="99" spans="1:9" ht="15" thickBot="1" x14ac:dyDescent="0.35">
      <c r="A99" s="370" t="s">
        <v>53</v>
      </c>
      <c r="B99" s="371"/>
      <c r="C99" s="371"/>
      <c r="D99" s="371"/>
      <c r="E99" s="249">
        <v>52</v>
      </c>
      <c r="F99" s="249"/>
      <c r="G99" s="230">
        <f>SUM(G98)</f>
        <v>178.04</v>
      </c>
      <c r="H99" s="256"/>
      <c r="I99" s="162"/>
    </row>
    <row r="100" spans="1:9" ht="27.6" x14ac:dyDescent="0.3">
      <c r="A100" s="225">
        <v>86</v>
      </c>
      <c r="B100" s="225">
        <v>2022</v>
      </c>
      <c r="C100" s="262" t="s">
        <v>222</v>
      </c>
      <c r="D100" s="226" t="s">
        <v>220</v>
      </c>
      <c r="E100" s="245">
        <v>110</v>
      </c>
      <c r="F100" s="255">
        <f>G100/E100</f>
        <v>2.21</v>
      </c>
      <c r="G100" s="255">
        <v>243.1</v>
      </c>
      <c r="H100" s="240"/>
      <c r="I100" s="162"/>
    </row>
    <row r="101" spans="1:9" ht="27.6" x14ac:dyDescent="0.3">
      <c r="A101" s="25">
        <v>87</v>
      </c>
      <c r="B101" s="25">
        <v>2022</v>
      </c>
      <c r="C101" s="167" t="s">
        <v>223</v>
      </c>
      <c r="D101" s="136" t="s">
        <v>220</v>
      </c>
      <c r="E101" s="131">
        <v>110</v>
      </c>
      <c r="F101" s="144">
        <f t="shared" ref="F101:F103" si="3">G101/E101</f>
        <v>2.21</v>
      </c>
      <c r="G101" s="144">
        <v>243.1</v>
      </c>
      <c r="H101" s="27"/>
      <c r="I101" s="162"/>
    </row>
    <row r="102" spans="1:9" ht="27.6" x14ac:dyDescent="0.3">
      <c r="A102" s="25">
        <v>88</v>
      </c>
      <c r="B102" s="25">
        <v>2022</v>
      </c>
      <c r="C102" s="167" t="s">
        <v>224</v>
      </c>
      <c r="D102" s="170" t="s">
        <v>220</v>
      </c>
      <c r="E102" s="131">
        <v>110</v>
      </c>
      <c r="F102" s="144">
        <f t="shared" si="3"/>
        <v>2.21</v>
      </c>
      <c r="G102" s="144">
        <v>243.1</v>
      </c>
      <c r="H102" s="27"/>
      <c r="I102" s="162"/>
    </row>
    <row r="103" spans="1:9" ht="28.2" thickBot="1" x14ac:dyDescent="0.35">
      <c r="A103" s="263">
        <v>89</v>
      </c>
      <c r="B103" s="263">
        <v>2022</v>
      </c>
      <c r="C103" s="264" t="s">
        <v>225</v>
      </c>
      <c r="D103" s="265" t="s">
        <v>220</v>
      </c>
      <c r="E103" s="234">
        <v>110</v>
      </c>
      <c r="F103" s="253">
        <f t="shared" si="3"/>
        <v>2.21</v>
      </c>
      <c r="G103" s="253">
        <v>243.1</v>
      </c>
      <c r="H103" s="214"/>
      <c r="I103" s="162"/>
    </row>
    <row r="104" spans="1:9" ht="15" thickBot="1" x14ac:dyDescent="0.35">
      <c r="A104" s="370" t="s">
        <v>53</v>
      </c>
      <c r="B104" s="371"/>
      <c r="C104" s="371"/>
      <c r="D104" s="371"/>
      <c r="E104" s="269">
        <f>SUM(E100:E103)</f>
        <v>440</v>
      </c>
      <c r="F104" s="216"/>
      <c r="G104" s="230">
        <f>SUM(G100:G103)</f>
        <v>972.4</v>
      </c>
      <c r="H104" s="256"/>
      <c r="I104" s="162"/>
    </row>
    <row r="105" spans="1:9" ht="15" thickBot="1" x14ac:dyDescent="0.35">
      <c r="A105" s="368" t="s">
        <v>36</v>
      </c>
      <c r="B105" s="369"/>
      <c r="C105" s="369"/>
      <c r="D105" s="369"/>
      <c r="E105" s="266">
        <f>E104+E99+E97+E56+E53+E13</f>
        <v>4964</v>
      </c>
      <c r="F105" s="266"/>
      <c r="G105" s="267">
        <f t="shared" ref="G105" si="4">G104+G99+G97+G56+G53+G13</f>
        <v>11534.460000000001</v>
      </c>
      <c r="H105" s="268"/>
      <c r="I105" s="162"/>
    </row>
    <row r="107" spans="1:9" x14ac:dyDescent="0.3">
      <c r="A107" s="365" t="s">
        <v>231</v>
      </c>
      <c r="B107" s="365"/>
      <c r="C107" s="365"/>
      <c r="D107" s="365"/>
      <c r="E107" s="365"/>
      <c r="F107" s="365"/>
      <c r="G107" s="365"/>
      <c r="H107" s="365"/>
      <c r="I107" s="145"/>
    </row>
    <row r="108" spans="1:9" ht="15.6" x14ac:dyDescent="0.3">
      <c r="A108" s="172"/>
      <c r="B108" s="173"/>
      <c r="C108" s="174"/>
      <c r="D108" s="175"/>
      <c r="E108" s="175"/>
      <c r="F108" s="175"/>
      <c r="G108" s="176"/>
      <c r="H108" s="177"/>
      <c r="I108" s="145"/>
    </row>
    <row r="109" spans="1:9" x14ac:dyDescent="0.3">
      <c r="A109" s="366" t="s">
        <v>233</v>
      </c>
      <c r="B109" s="366"/>
      <c r="C109" s="366"/>
      <c r="D109" s="366"/>
      <c r="E109" s="366"/>
      <c r="F109" s="366"/>
      <c r="G109" s="366"/>
      <c r="H109" s="366"/>
      <c r="I109" s="366"/>
    </row>
    <row r="110" spans="1:9" ht="15.6" x14ac:dyDescent="0.3">
      <c r="A110" s="172"/>
      <c r="B110" s="173"/>
      <c r="C110" s="174"/>
      <c r="D110" s="175"/>
      <c r="E110" s="175"/>
      <c r="F110" s="175"/>
      <c r="G110" s="176"/>
      <c r="H110" s="177"/>
      <c r="I110" s="145"/>
    </row>
    <row r="111" spans="1:9" x14ac:dyDescent="0.3">
      <c r="A111" s="366" t="s">
        <v>232</v>
      </c>
      <c r="B111" s="366"/>
      <c r="C111" s="366"/>
      <c r="D111" s="366"/>
      <c r="E111" s="366"/>
      <c r="F111" s="366"/>
      <c r="G111" s="366"/>
      <c r="H111" s="366"/>
      <c r="I111" s="145"/>
    </row>
    <row r="112" spans="1:9" ht="15.6" x14ac:dyDescent="0.3">
      <c r="A112" s="172"/>
      <c r="B112" s="173"/>
      <c r="C112" s="174"/>
      <c r="D112" s="175"/>
      <c r="E112" s="175"/>
      <c r="F112" s="175"/>
      <c r="G112" s="176"/>
      <c r="H112" s="177"/>
      <c r="I112" s="145"/>
    </row>
    <row r="113" spans="1:9" x14ac:dyDescent="0.3">
      <c r="A113" s="366" t="s">
        <v>234</v>
      </c>
      <c r="B113" s="366"/>
      <c r="C113" s="366"/>
      <c r="D113" s="366"/>
      <c r="E113" s="366"/>
      <c r="F113" s="366"/>
      <c r="G113" s="366"/>
      <c r="H113" s="366"/>
      <c r="I113" s="366"/>
    </row>
  </sheetData>
  <mergeCells count="17">
    <mergeCell ref="A7:H7"/>
    <mergeCell ref="A1:I1"/>
    <mergeCell ref="A2:I2"/>
    <mergeCell ref="A3:I3"/>
    <mergeCell ref="F5:I5"/>
    <mergeCell ref="C6:F6"/>
    <mergeCell ref="A107:H107"/>
    <mergeCell ref="A109:I109"/>
    <mergeCell ref="A111:H111"/>
    <mergeCell ref="A113:I113"/>
    <mergeCell ref="A8:I8"/>
    <mergeCell ref="A105:D105"/>
    <mergeCell ref="A104:D104"/>
    <mergeCell ref="A99:D99"/>
    <mergeCell ref="A97:D97"/>
    <mergeCell ref="A56:D56"/>
    <mergeCell ref="A53:D53"/>
  </mergeCells>
  <pageMargins left="0.25" right="0.25"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4"/>
  <sheetViews>
    <sheetView topLeftCell="A247" workbookViewId="0">
      <selection activeCell="A42" sqref="A42:XFD42"/>
    </sheetView>
  </sheetViews>
  <sheetFormatPr defaultRowHeight="14.4" x14ac:dyDescent="0.3"/>
  <cols>
    <col min="1" max="1" width="6.6640625" customWidth="1"/>
    <col min="2" max="2" width="7.6640625" customWidth="1"/>
    <col min="3" max="3" width="21.33203125" style="40" customWidth="1"/>
    <col min="6" max="6" width="10.44140625" customWidth="1"/>
    <col min="7" max="7" width="11.33203125" customWidth="1"/>
  </cols>
  <sheetData>
    <row r="1" spans="1:9" ht="15.6" x14ac:dyDescent="0.3">
      <c r="A1" s="1"/>
      <c r="B1" s="2"/>
      <c r="C1" s="33"/>
      <c r="D1" s="329" t="s">
        <v>11</v>
      </c>
      <c r="E1" s="329"/>
      <c r="F1" s="329"/>
      <c r="G1" s="329"/>
      <c r="H1" s="329"/>
      <c r="I1" s="329"/>
    </row>
    <row r="2" spans="1:9" ht="15.6" x14ac:dyDescent="0.3">
      <c r="A2" s="1"/>
      <c r="B2" s="2"/>
      <c r="C2" s="33"/>
      <c r="D2" s="1" t="s">
        <v>12</v>
      </c>
      <c r="E2" s="107"/>
      <c r="F2" s="108"/>
      <c r="G2" s="108"/>
      <c r="H2" s="3"/>
      <c r="I2" s="1"/>
    </row>
    <row r="3" spans="1:9" ht="15.6" x14ac:dyDescent="0.3">
      <c r="A3" s="1"/>
      <c r="B3" s="2"/>
      <c r="C3" s="33"/>
      <c r="D3" s="1" t="s">
        <v>13</v>
      </c>
      <c r="E3" s="107"/>
      <c r="F3" s="108"/>
      <c r="G3" s="108"/>
      <c r="H3" s="3"/>
      <c r="I3" s="1"/>
    </row>
    <row r="4" spans="1:9" ht="15.6" x14ac:dyDescent="0.3">
      <c r="A4" s="1"/>
      <c r="B4" s="2"/>
      <c r="C4" s="33"/>
      <c r="D4" s="1" t="s">
        <v>14</v>
      </c>
      <c r="E4" s="107"/>
      <c r="F4" s="108"/>
      <c r="G4" s="108"/>
      <c r="H4" s="3"/>
      <c r="I4" s="1"/>
    </row>
    <row r="5" spans="1:9" ht="15.6" x14ac:dyDescent="0.3">
      <c r="A5" s="1"/>
      <c r="B5" s="2"/>
      <c r="C5" s="33"/>
      <c r="D5" s="1" t="s">
        <v>15</v>
      </c>
      <c r="E5" s="107"/>
      <c r="F5" s="108"/>
      <c r="G5" s="108"/>
      <c r="H5" s="3"/>
      <c r="I5" s="1"/>
    </row>
    <row r="6" spans="1:9" ht="15.6" x14ac:dyDescent="0.3">
      <c r="A6" s="1"/>
      <c r="B6" s="2"/>
      <c r="C6" s="33"/>
      <c r="D6" s="1" t="s">
        <v>16</v>
      </c>
      <c r="E6" s="107"/>
      <c r="F6" s="108"/>
      <c r="G6" s="108"/>
      <c r="H6" s="3"/>
      <c r="I6" s="1"/>
    </row>
    <row r="7" spans="1:9" ht="15.6" x14ac:dyDescent="0.3">
      <c r="A7" s="1"/>
      <c r="B7" s="2"/>
      <c r="C7" s="33"/>
      <c r="D7" s="1"/>
      <c r="E7" s="107"/>
      <c r="F7" s="108"/>
      <c r="G7" s="108" t="s">
        <v>17</v>
      </c>
      <c r="H7" s="3"/>
      <c r="I7" s="1"/>
    </row>
    <row r="8" spans="1:9" ht="6" customHeight="1" x14ac:dyDescent="0.3">
      <c r="A8" s="1"/>
      <c r="B8" s="2"/>
      <c r="C8" s="33"/>
      <c r="D8" s="1"/>
      <c r="E8" s="107"/>
      <c r="F8" s="108"/>
      <c r="G8" s="108"/>
      <c r="H8" s="3"/>
      <c r="I8" s="1"/>
    </row>
    <row r="9" spans="1:9" ht="68.25" customHeight="1" x14ac:dyDescent="0.3">
      <c r="A9" s="1"/>
      <c r="B9" s="2"/>
      <c r="C9" s="33"/>
      <c r="D9" s="364" t="s">
        <v>110</v>
      </c>
      <c r="E9" s="364"/>
      <c r="F9" s="364"/>
      <c r="G9" s="364"/>
      <c r="H9" s="364"/>
      <c r="I9" s="364"/>
    </row>
    <row r="10" spans="1:9" ht="15.6" x14ac:dyDescent="0.3">
      <c r="A10" s="1"/>
      <c r="B10" s="2"/>
      <c r="C10" s="33"/>
      <c r="D10" s="308" t="s">
        <v>111</v>
      </c>
      <c r="E10" s="308"/>
      <c r="F10" s="308"/>
      <c r="G10" s="308"/>
      <c r="H10" s="308"/>
      <c r="I10" s="308"/>
    </row>
    <row r="11" spans="1:9" ht="15.6" x14ac:dyDescent="0.3">
      <c r="A11" s="1"/>
      <c r="B11" s="2"/>
      <c r="C11" s="33"/>
      <c r="D11" s="18"/>
      <c r="E11" s="363" t="s">
        <v>18</v>
      </c>
      <c r="F11" s="363"/>
      <c r="G11" s="363"/>
      <c r="H11" s="363"/>
      <c r="I11" s="363"/>
    </row>
    <row r="12" spans="1:9" ht="9" customHeight="1" x14ac:dyDescent="0.3">
      <c r="A12" s="1"/>
      <c r="B12" s="2"/>
      <c r="C12" s="33"/>
      <c r="D12" s="18"/>
      <c r="E12" s="342"/>
      <c r="F12" s="342"/>
      <c r="G12" s="342"/>
      <c r="H12" s="342"/>
      <c r="I12" s="342"/>
    </row>
    <row r="13" spans="1:9" ht="15.6" x14ac:dyDescent="0.3">
      <c r="A13" s="1"/>
      <c r="B13" s="2"/>
      <c r="C13" s="33"/>
      <c r="D13" s="18"/>
      <c r="E13" s="363" t="s">
        <v>19</v>
      </c>
      <c r="F13" s="363"/>
      <c r="G13" s="363"/>
      <c r="H13" s="363"/>
      <c r="I13" s="363"/>
    </row>
    <row r="14" spans="1:9" ht="15.6" x14ac:dyDescent="0.3">
      <c r="A14" s="1"/>
      <c r="B14" s="2"/>
      <c r="C14" s="33"/>
      <c r="D14" s="18"/>
      <c r="E14" s="361" t="s">
        <v>240</v>
      </c>
      <c r="F14" s="361"/>
      <c r="G14" s="361"/>
      <c r="H14" s="361"/>
      <c r="I14" s="361"/>
    </row>
    <row r="15" spans="1:9" ht="20.399999999999999" x14ac:dyDescent="0.35">
      <c r="A15" s="18"/>
      <c r="B15" s="109"/>
      <c r="C15" s="182"/>
      <c r="D15" s="110" t="s">
        <v>20</v>
      </c>
      <c r="E15" s="97"/>
      <c r="F15" s="111"/>
      <c r="G15" s="111"/>
      <c r="H15" s="19"/>
      <c r="I15" s="18"/>
    </row>
    <row r="16" spans="1:9" ht="15.6" x14ac:dyDescent="0.3">
      <c r="A16" s="18"/>
      <c r="B16" s="109"/>
      <c r="C16" s="305"/>
      <c r="D16" s="51"/>
      <c r="E16" s="112"/>
      <c r="F16" s="362" t="s">
        <v>96</v>
      </c>
      <c r="G16" s="361"/>
      <c r="H16" s="361"/>
      <c r="I16" s="361"/>
    </row>
    <row r="17" spans="1:9" ht="8.25" customHeight="1" x14ac:dyDescent="0.3">
      <c r="A17" s="18"/>
      <c r="B17" s="109"/>
      <c r="C17" s="305"/>
      <c r="D17" s="51"/>
      <c r="E17" s="112"/>
      <c r="F17" s="113"/>
      <c r="G17" s="113"/>
      <c r="H17" s="113"/>
      <c r="I17" s="113"/>
    </row>
    <row r="18" spans="1:9" ht="15.6" x14ac:dyDescent="0.3">
      <c r="A18" s="18"/>
      <c r="B18" s="109"/>
      <c r="C18" s="308" t="s">
        <v>112</v>
      </c>
      <c r="D18" s="308"/>
      <c r="E18" s="308"/>
      <c r="F18" s="308"/>
      <c r="G18" s="308"/>
      <c r="H18" s="113"/>
      <c r="I18" s="51"/>
    </row>
    <row r="19" spans="1:9" x14ac:dyDescent="0.3">
      <c r="A19" s="18"/>
      <c r="B19" s="109"/>
      <c r="C19" s="344" t="s">
        <v>21</v>
      </c>
      <c r="D19" s="344"/>
      <c r="E19" s="344"/>
      <c r="F19" s="344"/>
      <c r="G19" s="344"/>
      <c r="H19" s="19"/>
      <c r="I19" s="18"/>
    </row>
    <row r="20" spans="1:9" x14ac:dyDescent="0.3">
      <c r="A20" s="327" t="s">
        <v>78</v>
      </c>
      <c r="B20" s="328"/>
      <c r="C20" s="328"/>
      <c r="D20" s="328"/>
      <c r="E20" s="328"/>
      <c r="F20" s="328"/>
      <c r="G20" s="328"/>
      <c r="H20" s="328"/>
      <c r="I20" s="328"/>
    </row>
    <row r="21" spans="1:9" x14ac:dyDescent="0.3">
      <c r="A21" s="328"/>
      <c r="B21" s="328"/>
      <c r="C21" s="328"/>
      <c r="D21" s="328"/>
      <c r="E21" s="328"/>
      <c r="F21" s="328"/>
      <c r="G21" s="328"/>
      <c r="H21" s="328"/>
      <c r="I21" s="328"/>
    </row>
    <row r="22" spans="1:9" ht="15.6" x14ac:dyDescent="0.3">
      <c r="A22" s="321" t="s">
        <v>80</v>
      </c>
      <c r="B22" s="321"/>
      <c r="C22" s="321"/>
      <c r="D22" s="321"/>
      <c r="E22" s="321"/>
      <c r="F22" s="321"/>
      <c r="G22" s="309" t="s">
        <v>81</v>
      </c>
      <c r="H22" s="309"/>
      <c r="I22" s="309"/>
    </row>
    <row r="23" spans="1:9" ht="14.25" customHeight="1" x14ac:dyDescent="0.3">
      <c r="A23" s="48"/>
      <c r="B23" s="48"/>
      <c r="C23" s="182"/>
      <c r="D23" s="319" t="s">
        <v>18</v>
      </c>
      <c r="E23" s="319"/>
      <c r="F23" s="319"/>
      <c r="G23" s="19"/>
      <c r="H23" s="19"/>
      <c r="I23" s="19"/>
    </row>
    <row r="24" spans="1:9" ht="15.6" x14ac:dyDescent="0.3">
      <c r="A24" s="321" t="s">
        <v>83</v>
      </c>
      <c r="B24" s="321"/>
      <c r="C24" s="321"/>
      <c r="D24" s="321"/>
      <c r="E24" s="321"/>
      <c r="F24" s="321"/>
      <c r="G24" s="308" t="s">
        <v>84</v>
      </c>
      <c r="H24" s="308"/>
      <c r="I24" s="308"/>
    </row>
    <row r="25" spans="1:9" ht="11.25" customHeight="1" x14ac:dyDescent="0.3">
      <c r="A25" s="48"/>
      <c r="B25" s="48"/>
      <c r="C25" s="183"/>
      <c r="D25" s="319" t="s">
        <v>18</v>
      </c>
      <c r="E25" s="319"/>
      <c r="F25" s="319"/>
      <c r="G25" s="19"/>
      <c r="H25" s="19"/>
      <c r="I25" s="19"/>
    </row>
    <row r="26" spans="1:9" x14ac:dyDescent="0.3">
      <c r="A26" s="311" t="s">
        <v>22</v>
      </c>
      <c r="B26" s="311"/>
      <c r="C26" s="311"/>
      <c r="D26" s="311"/>
      <c r="E26" s="311"/>
      <c r="F26" s="311"/>
      <c r="G26" s="323" t="s">
        <v>23</v>
      </c>
      <c r="H26" s="323"/>
      <c r="I26" s="323"/>
    </row>
    <row r="27" spans="1:9" ht="11.25" customHeight="1" x14ac:dyDescent="0.3">
      <c r="A27" s="36"/>
      <c r="B27" s="14"/>
      <c r="C27" s="35"/>
      <c r="D27" s="92" t="s">
        <v>18</v>
      </c>
      <c r="E27" s="92"/>
      <c r="F27" s="92"/>
      <c r="G27" s="16"/>
      <c r="H27" s="16"/>
      <c r="I27" s="6"/>
    </row>
    <row r="28" spans="1:9" x14ac:dyDescent="0.3">
      <c r="A28" s="325" t="s">
        <v>85</v>
      </c>
      <c r="B28" s="326"/>
      <c r="C28" s="326"/>
      <c r="D28" s="326"/>
      <c r="E28" s="326"/>
      <c r="F28" s="326"/>
      <c r="G28" s="323" t="s">
        <v>24</v>
      </c>
      <c r="H28" s="323"/>
      <c r="I28" s="323"/>
    </row>
    <row r="29" spans="1:9" ht="11.25" customHeight="1" x14ac:dyDescent="0.3">
      <c r="A29" s="36"/>
      <c r="B29" s="14"/>
      <c r="C29" s="184"/>
      <c r="D29" s="92" t="s">
        <v>18</v>
      </c>
      <c r="E29" s="92"/>
      <c r="F29" s="92"/>
      <c r="G29" s="16"/>
      <c r="H29" s="16"/>
      <c r="I29" s="6"/>
    </row>
    <row r="30" spans="1:9" ht="15.6" x14ac:dyDescent="0.3">
      <c r="A30" s="321" t="s">
        <v>85</v>
      </c>
      <c r="B30" s="321"/>
      <c r="C30" s="321"/>
      <c r="D30" s="321"/>
      <c r="E30" s="321"/>
      <c r="F30" s="321"/>
      <c r="G30" s="308" t="s">
        <v>86</v>
      </c>
      <c r="H30" s="308"/>
      <c r="I30" s="308"/>
    </row>
    <row r="31" spans="1:9" ht="12" customHeight="1" x14ac:dyDescent="0.3">
      <c r="A31" s="48"/>
      <c r="B31" s="48"/>
      <c r="C31" s="183"/>
      <c r="D31" s="319" t="s">
        <v>18</v>
      </c>
      <c r="E31" s="319"/>
      <c r="F31" s="319"/>
      <c r="G31" s="19"/>
      <c r="H31" s="19"/>
      <c r="I31" s="19"/>
    </row>
    <row r="32" spans="1:9" ht="15.6" x14ac:dyDescent="0.3">
      <c r="A32" s="321" t="s">
        <v>87</v>
      </c>
      <c r="B32" s="321"/>
      <c r="C32" s="321"/>
      <c r="D32" s="321"/>
      <c r="E32" s="321"/>
      <c r="F32" s="322" t="s">
        <v>239</v>
      </c>
      <c r="G32" s="322"/>
      <c r="H32" s="322"/>
      <c r="I32" s="322"/>
    </row>
    <row r="33" spans="1:9" ht="10.5" customHeight="1" x14ac:dyDescent="0.3">
      <c r="A33" s="48"/>
      <c r="B33" s="48"/>
      <c r="C33" s="183"/>
      <c r="D33" s="319" t="s">
        <v>18</v>
      </c>
      <c r="E33" s="319"/>
      <c r="F33" s="319"/>
      <c r="G33" s="19"/>
      <c r="H33" s="19"/>
      <c r="I33" s="19"/>
    </row>
    <row r="34" spans="1:9" x14ac:dyDescent="0.3">
      <c r="A34" s="94" t="s">
        <v>398</v>
      </c>
      <c r="B34" s="94"/>
      <c r="C34" s="306"/>
      <c r="D34" s="94"/>
      <c r="E34" s="94"/>
      <c r="F34" s="94"/>
      <c r="G34" s="94"/>
      <c r="H34" s="94"/>
      <c r="I34" s="94"/>
    </row>
    <row r="35" spans="1:9" ht="13.5" customHeight="1" x14ac:dyDescent="0.3">
      <c r="A35" s="36"/>
      <c r="B35" s="14"/>
      <c r="C35" s="184"/>
      <c r="D35" s="92" t="s">
        <v>18</v>
      </c>
      <c r="E35" s="92"/>
      <c r="F35" s="92"/>
      <c r="G35" s="16"/>
      <c r="H35" s="16"/>
      <c r="I35" s="6"/>
    </row>
    <row r="36" spans="1:9" ht="15.6" x14ac:dyDescent="0.3">
      <c r="A36" s="342" t="s">
        <v>399</v>
      </c>
      <c r="B36" s="342"/>
      <c r="C36" s="342"/>
      <c r="D36" s="342"/>
      <c r="E36" s="342"/>
      <c r="F36" s="342"/>
      <c r="G36" s="342"/>
      <c r="H36" s="342"/>
      <c r="I36" s="342"/>
    </row>
    <row r="37" spans="1:9" ht="13.5" customHeight="1" x14ac:dyDescent="0.3">
      <c r="A37" s="48"/>
      <c r="B37" s="48"/>
      <c r="C37" s="183"/>
      <c r="D37" s="15" t="s">
        <v>18</v>
      </c>
      <c r="E37" s="15"/>
      <c r="F37" s="111"/>
      <c r="G37" s="111"/>
      <c r="H37" s="19"/>
      <c r="I37" s="18"/>
    </row>
    <row r="38" spans="1:9" ht="15.6" x14ac:dyDescent="0.3">
      <c r="A38" s="342" t="s">
        <v>400</v>
      </c>
      <c r="B38" s="342"/>
      <c r="C38" s="342"/>
      <c r="D38" s="342"/>
      <c r="E38" s="342"/>
      <c r="F38" s="342"/>
      <c r="G38" s="342"/>
      <c r="H38" s="342"/>
      <c r="I38" s="342"/>
    </row>
    <row r="39" spans="1:9" ht="12.75" customHeight="1" x14ac:dyDescent="0.3">
      <c r="A39" s="48"/>
      <c r="B39" s="48"/>
      <c r="C39" s="183"/>
      <c r="D39" s="15" t="s">
        <v>18</v>
      </c>
      <c r="E39" s="15"/>
      <c r="F39" s="111"/>
      <c r="G39" s="111"/>
      <c r="H39" s="19"/>
      <c r="I39" s="18"/>
    </row>
    <row r="40" spans="1:9" ht="30" customHeight="1" x14ac:dyDescent="0.3">
      <c r="A40" s="315" t="s">
        <v>114</v>
      </c>
      <c r="B40" s="315"/>
      <c r="C40" s="315"/>
      <c r="D40" s="315"/>
      <c r="E40" s="315"/>
      <c r="F40" s="315"/>
      <c r="G40" s="315"/>
      <c r="H40" s="315"/>
      <c r="I40" s="315"/>
    </row>
    <row r="41" spans="1:9" ht="42.75" customHeight="1" x14ac:dyDescent="0.3">
      <c r="A41" s="114" t="s">
        <v>26</v>
      </c>
      <c r="B41" s="114" t="s">
        <v>27</v>
      </c>
      <c r="C41" s="138" t="s">
        <v>28</v>
      </c>
      <c r="D41" s="82" t="s">
        <v>29</v>
      </c>
      <c r="E41" s="128" t="s">
        <v>30</v>
      </c>
      <c r="F41" s="22" t="s">
        <v>31</v>
      </c>
      <c r="G41" s="23" t="s">
        <v>62</v>
      </c>
      <c r="H41" s="129" t="s">
        <v>33</v>
      </c>
      <c r="I41" s="128" t="s">
        <v>34</v>
      </c>
    </row>
    <row r="42" spans="1:9" ht="28.5" customHeight="1" x14ac:dyDescent="0.3">
      <c r="A42" s="203">
        <v>1</v>
      </c>
      <c r="B42" s="203">
        <v>2020</v>
      </c>
      <c r="C42" s="204" t="s">
        <v>246</v>
      </c>
      <c r="D42" s="205" t="s">
        <v>1</v>
      </c>
      <c r="E42" s="205">
        <v>170</v>
      </c>
      <c r="F42" s="205">
        <v>0.85</v>
      </c>
      <c r="G42" s="205">
        <v>144.5</v>
      </c>
      <c r="H42" s="222"/>
      <c r="I42" s="206"/>
    </row>
    <row r="43" spans="1:9" ht="31.5" customHeight="1" x14ac:dyDescent="0.3">
      <c r="A43" s="203">
        <v>2</v>
      </c>
      <c r="B43" s="203">
        <v>2020</v>
      </c>
      <c r="C43" s="204" t="s">
        <v>247</v>
      </c>
      <c r="D43" s="205" t="s">
        <v>1</v>
      </c>
      <c r="E43" s="205">
        <v>170</v>
      </c>
      <c r="F43" s="205">
        <v>0.85</v>
      </c>
      <c r="G43" s="205">
        <v>144.5</v>
      </c>
      <c r="H43" s="222"/>
      <c r="I43" s="206"/>
    </row>
    <row r="44" spans="1:9" ht="27.6" x14ac:dyDescent="0.3">
      <c r="A44" s="203">
        <v>3</v>
      </c>
      <c r="B44" s="203">
        <v>2020</v>
      </c>
      <c r="C44" s="204" t="s">
        <v>248</v>
      </c>
      <c r="D44" s="205" t="s">
        <v>1</v>
      </c>
      <c r="E44" s="205">
        <v>170</v>
      </c>
      <c r="F44" s="205">
        <v>0.74</v>
      </c>
      <c r="G44" s="205">
        <v>125.8</v>
      </c>
      <c r="H44" s="222"/>
      <c r="I44" s="206"/>
    </row>
    <row r="45" spans="1:9" ht="27.6" x14ac:dyDescent="0.3">
      <c r="A45" s="203">
        <v>4</v>
      </c>
      <c r="B45" s="203">
        <v>2020</v>
      </c>
      <c r="C45" s="204" t="s">
        <v>249</v>
      </c>
      <c r="D45" s="205" t="s">
        <v>1</v>
      </c>
      <c r="E45" s="205">
        <v>157</v>
      </c>
      <c r="F45" s="205">
        <v>2.04</v>
      </c>
      <c r="G45" s="205">
        <v>320.27999999999997</v>
      </c>
      <c r="H45" s="222"/>
      <c r="I45" s="206"/>
    </row>
    <row r="46" spans="1:9" ht="27.6" x14ac:dyDescent="0.3">
      <c r="A46" s="203">
        <v>5</v>
      </c>
      <c r="B46" s="203">
        <v>2020</v>
      </c>
      <c r="C46" s="204" t="s">
        <v>250</v>
      </c>
      <c r="D46" s="205" t="s">
        <v>1</v>
      </c>
      <c r="E46" s="205">
        <v>157</v>
      </c>
      <c r="F46" s="205">
        <v>2.0699999999999998</v>
      </c>
      <c r="G46" s="205">
        <v>324.99</v>
      </c>
      <c r="H46" s="222"/>
      <c r="I46" s="206"/>
    </row>
    <row r="47" spans="1:9" ht="27.6" x14ac:dyDescent="0.3">
      <c r="A47" s="203">
        <v>6</v>
      </c>
      <c r="B47" s="203">
        <v>2020</v>
      </c>
      <c r="C47" s="204" t="s">
        <v>251</v>
      </c>
      <c r="D47" s="205" t="s">
        <v>1</v>
      </c>
      <c r="E47" s="205">
        <v>157</v>
      </c>
      <c r="F47" s="205">
        <v>1.53</v>
      </c>
      <c r="G47" s="205">
        <v>240.21</v>
      </c>
      <c r="H47" s="222"/>
      <c r="I47" s="206"/>
    </row>
    <row r="48" spans="1:9" ht="27.6" x14ac:dyDescent="0.3">
      <c r="A48" s="203">
        <v>7</v>
      </c>
      <c r="B48" s="203">
        <v>2020</v>
      </c>
      <c r="C48" s="204" t="s">
        <v>252</v>
      </c>
      <c r="D48" s="205" t="s">
        <v>1</v>
      </c>
      <c r="E48" s="205">
        <v>157</v>
      </c>
      <c r="F48" s="205">
        <v>2.2200000000000002</v>
      </c>
      <c r="G48" s="205">
        <v>348.54</v>
      </c>
      <c r="H48" s="222"/>
      <c r="I48" s="206"/>
    </row>
    <row r="49" spans="1:9" ht="27.6" x14ac:dyDescent="0.3">
      <c r="A49" s="203">
        <v>8</v>
      </c>
      <c r="B49" s="203">
        <v>2020</v>
      </c>
      <c r="C49" s="204" t="s">
        <v>253</v>
      </c>
      <c r="D49" s="205" t="s">
        <v>1</v>
      </c>
      <c r="E49" s="205">
        <v>157</v>
      </c>
      <c r="F49" s="205">
        <v>2.04</v>
      </c>
      <c r="G49" s="205">
        <v>320.27999999999997</v>
      </c>
      <c r="H49" s="222"/>
      <c r="I49" s="206"/>
    </row>
    <row r="50" spans="1:9" ht="27.6" x14ac:dyDescent="0.3">
      <c r="A50" s="203">
        <v>9</v>
      </c>
      <c r="B50" s="203">
        <v>2020</v>
      </c>
      <c r="C50" s="204" t="s">
        <v>254</v>
      </c>
      <c r="D50" s="205" t="s">
        <v>1</v>
      </c>
      <c r="E50" s="205">
        <v>157</v>
      </c>
      <c r="F50" s="205">
        <v>1.36</v>
      </c>
      <c r="G50" s="205">
        <v>213.52</v>
      </c>
      <c r="H50" s="222"/>
      <c r="I50" s="206"/>
    </row>
    <row r="51" spans="1:9" ht="38.25" customHeight="1" x14ac:dyDescent="0.3">
      <c r="A51" s="203">
        <v>10</v>
      </c>
      <c r="B51" s="203">
        <v>2020</v>
      </c>
      <c r="C51" s="307" t="s">
        <v>255</v>
      </c>
      <c r="D51" s="205" t="s">
        <v>1</v>
      </c>
      <c r="E51" s="205">
        <v>157</v>
      </c>
      <c r="F51" s="205">
        <v>1.4400000000000002</v>
      </c>
      <c r="G51" s="205">
        <v>226.08</v>
      </c>
      <c r="H51" s="222"/>
      <c r="I51" s="206"/>
    </row>
    <row r="52" spans="1:9" ht="27.6" x14ac:dyDescent="0.3">
      <c r="A52" s="203">
        <v>11</v>
      </c>
      <c r="B52" s="203">
        <v>2020</v>
      </c>
      <c r="C52" s="204" t="s">
        <v>256</v>
      </c>
      <c r="D52" s="205" t="s">
        <v>1</v>
      </c>
      <c r="E52" s="205">
        <v>157</v>
      </c>
      <c r="F52" s="205">
        <v>1.17</v>
      </c>
      <c r="G52" s="205">
        <v>183.69</v>
      </c>
      <c r="H52" s="222"/>
      <c r="I52" s="206"/>
    </row>
    <row r="53" spans="1:9" ht="27.6" x14ac:dyDescent="0.3">
      <c r="A53" s="203">
        <v>12</v>
      </c>
      <c r="B53" s="203">
        <v>2020</v>
      </c>
      <c r="C53" s="207" t="s">
        <v>257</v>
      </c>
      <c r="D53" s="208" t="s">
        <v>1</v>
      </c>
      <c r="E53" s="205">
        <v>22</v>
      </c>
      <c r="F53" s="205">
        <v>5.2</v>
      </c>
      <c r="G53" s="205">
        <v>114.4</v>
      </c>
      <c r="H53" s="222"/>
      <c r="I53" s="206"/>
    </row>
    <row r="54" spans="1:9" ht="27.6" x14ac:dyDescent="0.3">
      <c r="A54" s="203">
        <v>13</v>
      </c>
      <c r="B54" s="203">
        <v>2020</v>
      </c>
      <c r="C54" s="207" t="s">
        <v>258</v>
      </c>
      <c r="D54" s="208" t="s">
        <v>1</v>
      </c>
      <c r="E54" s="205">
        <v>160</v>
      </c>
      <c r="F54" s="205">
        <v>1.6</v>
      </c>
      <c r="G54" s="205">
        <v>256</v>
      </c>
      <c r="H54" s="222"/>
      <c r="I54" s="206"/>
    </row>
    <row r="55" spans="1:9" x14ac:dyDescent="0.3">
      <c r="A55" s="203">
        <v>14</v>
      </c>
      <c r="B55" s="203">
        <v>2020</v>
      </c>
      <c r="C55" s="207" t="s">
        <v>259</v>
      </c>
      <c r="D55" s="208" t="s">
        <v>1</v>
      </c>
      <c r="E55" s="205">
        <v>24</v>
      </c>
      <c r="F55" s="205">
        <v>1.8</v>
      </c>
      <c r="G55" s="205">
        <v>43.2</v>
      </c>
      <c r="H55" s="222"/>
      <c r="I55" s="206"/>
    </row>
    <row r="56" spans="1:9" x14ac:dyDescent="0.3">
      <c r="A56" s="203">
        <v>15</v>
      </c>
      <c r="B56" s="203">
        <v>2020</v>
      </c>
      <c r="C56" s="207" t="s">
        <v>260</v>
      </c>
      <c r="D56" s="208" t="s">
        <v>1</v>
      </c>
      <c r="E56" s="205">
        <v>23</v>
      </c>
      <c r="F56" s="205">
        <v>1.52</v>
      </c>
      <c r="G56" s="205">
        <v>34.96</v>
      </c>
      <c r="H56" s="222"/>
      <c r="I56" s="206"/>
    </row>
    <row r="57" spans="1:9" x14ac:dyDescent="0.3">
      <c r="A57" s="203">
        <v>16</v>
      </c>
      <c r="B57" s="203">
        <v>2020</v>
      </c>
      <c r="C57" s="207" t="s">
        <v>261</v>
      </c>
      <c r="D57" s="208" t="s">
        <v>1</v>
      </c>
      <c r="E57" s="205">
        <v>22</v>
      </c>
      <c r="F57" s="205">
        <v>1.4000000000000001</v>
      </c>
      <c r="G57" s="205">
        <v>30.8</v>
      </c>
      <c r="H57" s="222"/>
      <c r="I57" s="206"/>
    </row>
    <row r="58" spans="1:9" x14ac:dyDescent="0.3">
      <c r="A58" s="203">
        <v>17</v>
      </c>
      <c r="B58" s="203">
        <v>2020</v>
      </c>
      <c r="C58" s="207" t="s">
        <v>262</v>
      </c>
      <c r="D58" s="208" t="s">
        <v>1</v>
      </c>
      <c r="E58" s="205">
        <v>28</v>
      </c>
      <c r="F58" s="205">
        <v>3.6</v>
      </c>
      <c r="G58" s="205">
        <v>100.8</v>
      </c>
      <c r="H58" s="222"/>
      <c r="I58" s="206"/>
    </row>
    <row r="59" spans="1:9" x14ac:dyDescent="0.3">
      <c r="A59" s="203">
        <v>18</v>
      </c>
      <c r="B59" s="203">
        <v>2020</v>
      </c>
      <c r="C59" s="207" t="s">
        <v>263</v>
      </c>
      <c r="D59" s="208" t="s">
        <v>1</v>
      </c>
      <c r="E59" s="205">
        <v>22</v>
      </c>
      <c r="F59" s="205">
        <v>1.4000000000000001</v>
      </c>
      <c r="G59" s="205">
        <v>30.8</v>
      </c>
      <c r="H59" s="222"/>
      <c r="I59" s="206"/>
    </row>
    <row r="60" spans="1:9" x14ac:dyDescent="0.3">
      <c r="A60" s="203">
        <v>19</v>
      </c>
      <c r="B60" s="203">
        <v>2020</v>
      </c>
      <c r="C60" s="207" t="s">
        <v>264</v>
      </c>
      <c r="D60" s="208" t="s">
        <v>1</v>
      </c>
      <c r="E60" s="205">
        <v>21</v>
      </c>
      <c r="F60" s="205">
        <v>1.6</v>
      </c>
      <c r="G60" s="205">
        <v>33.6</v>
      </c>
      <c r="H60" s="222"/>
      <c r="I60" s="206"/>
    </row>
    <row r="61" spans="1:9" ht="27.6" x14ac:dyDescent="0.3">
      <c r="A61" s="203">
        <v>20</v>
      </c>
      <c r="B61" s="203">
        <v>2020</v>
      </c>
      <c r="C61" s="207" t="s">
        <v>257</v>
      </c>
      <c r="D61" s="208" t="s">
        <v>1</v>
      </c>
      <c r="E61" s="205">
        <v>15</v>
      </c>
      <c r="F61" s="205">
        <v>4.6800000000000006</v>
      </c>
      <c r="G61" s="205">
        <v>70.2</v>
      </c>
      <c r="H61" s="222"/>
      <c r="I61" s="206"/>
    </row>
    <row r="62" spans="1:9" ht="27.6" x14ac:dyDescent="0.3">
      <c r="A62" s="203">
        <v>21</v>
      </c>
      <c r="B62" s="203">
        <v>2020</v>
      </c>
      <c r="C62" s="207" t="s">
        <v>258</v>
      </c>
      <c r="D62" s="208" t="s">
        <v>1</v>
      </c>
      <c r="E62" s="205">
        <v>25</v>
      </c>
      <c r="F62" s="205">
        <v>1.6</v>
      </c>
      <c r="G62" s="205">
        <v>40</v>
      </c>
      <c r="H62" s="222"/>
      <c r="I62" s="206"/>
    </row>
    <row r="63" spans="1:9" x14ac:dyDescent="0.3">
      <c r="A63" s="203">
        <v>22</v>
      </c>
      <c r="B63" s="203">
        <v>2020</v>
      </c>
      <c r="C63" s="207" t="s">
        <v>259</v>
      </c>
      <c r="D63" s="208" t="s">
        <v>1</v>
      </c>
      <c r="E63" s="205">
        <v>25</v>
      </c>
      <c r="F63" s="205">
        <v>1.8</v>
      </c>
      <c r="G63" s="205">
        <v>45</v>
      </c>
      <c r="H63" s="222"/>
      <c r="I63" s="206"/>
    </row>
    <row r="64" spans="1:9" x14ac:dyDescent="0.3">
      <c r="A64" s="203">
        <v>23</v>
      </c>
      <c r="B64" s="203">
        <v>2020</v>
      </c>
      <c r="C64" s="207" t="s">
        <v>260</v>
      </c>
      <c r="D64" s="208" t="s">
        <v>1</v>
      </c>
      <c r="E64" s="205">
        <v>18</v>
      </c>
      <c r="F64" s="205">
        <v>1.52</v>
      </c>
      <c r="G64" s="205">
        <v>27.36</v>
      </c>
      <c r="H64" s="222"/>
      <c r="I64" s="206"/>
    </row>
    <row r="65" spans="1:9" x14ac:dyDescent="0.3">
      <c r="A65" s="203">
        <v>24</v>
      </c>
      <c r="B65" s="203">
        <v>2020</v>
      </c>
      <c r="C65" s="207" t="s">
        <v>261</v>
      </c>
      <c r="D65" s="208" t="s">
        <v>1</v>
      </c>
      <c r="E65" s="205">
        <v>25</v>
      </c>
      <c r="F65" s="205">
        <v>1.4</v>
      </c>
      <c r="G65" s="205">
        <v>35</v>
      </c>
      <c r="H65" s="222"/>
      <c r="I65" s="206"/>
    </row>
    <row r="66" spans="1:9" x14ac:dyDescent="0.3">
      <c r="A66" s="203">
        <v>25</v>
      </c>
      <c r="B66" s="203">
        <v>2020</v>
      </c>
      <c r="C66" s="207" t="s">
        <v>262</v>
      </c>
      <c r="D66" s="208" t="s">
        <v>1</v>
      </c>
      <c r="E66" s="205">
        <v>25</v>
      </c>
      <c r="F66" s="205">
        <v>3.6</v>
      </c>
      <c r="G66" s="205">
        <v>90</v>
      </c>
      <c r="H66" s="222"/>
      <c r="I66" s="206"/>
    </row>
    <row r="67" spans="1:9" ht="27" customHeight="1" x14ac:dyDescent="0.3">
      <c r="A67" s="203">
        <v>26</v>
      </c>
      <c r="B67" s="203">
        <v>2020</v>
      </c>
      <c r="C67" s="207" t="s">
        <v>263</v>
      </c>
      <c r="D67" s="208" t="s">
        <v>1</v>
      </c>
      <c r="E67" s="205">
        <v>25</v>
      </c>
      <c r="F67" s="205">
        <v>1.4</v>
      </c>
      <c r="G67" s="205">
        <v>35</v>
      </c>
      <c r="H67" s="222"/>
      <c r="I67" s="206"/>
    </row>
    <row r="68" spans="1:9" x14ac:dyDescent="0.3">
      <c r="A68" s="203">
        <v>27</v>
      </c>
      <c r="B68" s="203">
        <v>2020</v>
      </c>
      <c r="C68" s="207" t="s">
        <v>264</v>
      </c>
      <c r="D68" s="208" t="s">
        <v>1</v>
      </c>
      <c r="E68" s="205">
        <v>25</v>
      </c>
      <c r="F68" s="205">
        <v>1.6</v>
      </c>
      <c r="G68" s="205">
        <v>40</v>
      </c>
      <c r="H68" s="222"/>
      <c r="I68" s="206"/>
    </row>
    <row r="69" spans="1:9" ht="27.6" x14ac:dyDescent="0.3">
      <c r="A69" s="203">
        <v>28</v>
      </c>
      <c r="B69" s="203">
        <v>2020</v>
      </c>
      <c r="C69" s="207" t="s">
        <v>265</v>
      </c>
      <c r="D69" s="208" t="s">
        <v>1</v>
      </c>
      <c r="E69" s="205">
        <v>92</v>
      </c>
      <c r="F69" s="205">
        <v>1.6199999999999999</v>
      </c>
      <c r="G69" s="205">
        <v>149.04</v>
      </c>
      <c r="H69" s="222"/>
      <c r="I69" s="206"/>
    </row>
    <row r="70" spans="1:9" x14ac:dyDescent="0.3">
      <c r="A70" s="203">
        <v>29</v>
      </c>
      <c r="B70" s="203">
        <v>2020</v>
      </c>
      <c r="C70" s="207" t="s">
        <v>266</v>
      </c>
      <c r="D70" s="208" t="s">
        <v>1</v>
      </c>
      <c r="E70" s="205">
        <v>13</v>
      </c>
      <c r="F70" s="205">
        <v>2.4</v>
      </c>
      <c r="G70" s="205">
        <v>31.2</v>
      </c>
      <c r="H70" s="222"/>
      <c r="I70" s="206"/>
    </row>
    <row r="71" spans="1:9" x14ac:dyDescent="0.3">
      <c r="A71" s="203">
        <v>30</v>
      </c>
      <c r="B71" s="203">
        <v>2020</v>
      </c>
      <c r="C71" s="207" t="s">
        <v>267</v>
      </c>
      <c r="D71" s="208" t="s">
        <v>1</v>
      </c>
      <c r="E71" s="205">
        <v>11</v>
      </c>
      <c r="F71" s="205">
        <v>1.9</v>
      </c>
      <c r="G71" s="205">
        <v>20.9</v>
      </c>
      <c r="H71" s="222"/>
      <c r="I71" s="206"/>
    </row>
    <row r="72" spans="1:9" x14ac:dyDescent="0.3">
      <c r="A72" s="203">
        <v>31</v>
      </c>
      <c r="B72" s="203">
        <v>2020</v>
      </c>
      <c r="C72" s="207" t="s">
        <v>268</v>
      </c>
      <c r="D72" s="208" t="s">
        <v>1</v>
      </c>
      <c r="E72" s="205">
        <v>9</v>
      </c>
      <c r="F72" s="205">
        <v>1.6</v>
      </c>
      <c r="G72" s="205">
        <v>14.4</v>
      </c>
      <c r="H72" s="222"/>
      <c r="I72" s="206"/>
    </row>
    <row r="73" spans="1:9" x14ac:dyDescent="0.3">
      <c r="A73" s="203">
        <v>32</v>
      </c>
      <c r="B73" s="203">
        <v>2020</v>
      </c>
      <c r="C73" s="207" t="s">
        <v>269</v>
      </c>
      <c r="D73" s="208" t="s">
        <v>1</v>
      </c>
      <c r="E73" s="205">
        <v>20</v>
      </c>
      <c r="F73" s="205">
        <v>3.8</v>
      </c>
      <c r="G73" s="205">
        <v>76</v>
      </c>
      <c r="H73" s="222"/>
      <c r="I73" s="206"/>
    </row>
    <row r="74" spans="1:9" ht="28.5" customHeight="1" x14ac:dyDescent="0.3">
      <c r="A74" s="203">
        <v>33</v>
      </c>
      <c r="B74" s="203">
        <v>2020</v>
      </c>
      <c r="C74" s="207" t="s">
        <v>270</v>
      </c>
      <c r="D74" s="208" t="s">
        <v>1</v>
      </c>
      <c r="E74" s="205">
        <v>10</v>
      </c>
      <c r="F74" s="205">
        <v>1.6</v>
      </c>
      <c r="G74" s="205">
        <v>16</v>
      </c>
      <c r="H74" s="222"/>
      <c r="I74" s="206"/>
    </row>
    <row r="75" spans="1:9" ht="28.5" customHeight="1" x14ac:dyDescent="0.3">
      <c r="A75" s="203">
        <v>34</v>
      </c>
      <c r="B75" s="203">
        <v>2020</v>
      </c>
      <c r="C75" s="207" t="s">
        <v>271</v>
      </c>
      <c r="D75" s="208" t="s">
        <v>1</v>
      </c>
      <c r="E75" s="205">
        <v>20</v>
      </c>
      <c r="F75" s="205">
        <v>4.68</v>
      </c>
      <c r="G75" s="209">
        <v>93.6</v>
      </c>
      <c r="H75" s="222"/>
      <c r="I75" s="206"/>
    </row>
    <row r="76" spans="1:9" ht="27.6" x14ac:dyDescent="0.3">
      <c r="A76" s="203">
        <v>35</v>
      </c>
      <c r="B76" s="203">
        <v>2020</v>
      </c>
      <c r="C76" s="207" t="s">
        <v>272</v>
      </c>
      <c r="D76" s="208" t="s">
        <v>1</v>
      </c>
      <c r="E76" s="205">
        <v>7</v>
      </c>
      <c r="F76" s="205">
        <v>1.8</v>
      </c>
      <c r="G76" s="209">
        <v>12.6</v>
      </c>
      <c r="H76" s="222"/>
      <c r="I76" s="206"/>
    </row>
    <row r="77" spans="1:9" x14ac:dyDescent="0.3">
      <c r="A77" s="203">
        <v>36</v>
      </c>
      <c r="B77" s="203">
        <v>2020</v>
      </c>
      <c r="C77" s="207" t="s">
        <v>266</v>
      </c>
      <c r="D77" s="208" t="s">
        <v>1</v>
      </c>
      <c r="E77" s="205">
        <v>7</v>
      </c>
      <c r="F77" s="205">
        <v>2.4</v>
      </c>
      <c r="G77" s="209">
        <v>16.8</v>
      </c>
      <c r="H77" s="222"/>
      <c r="I77" s="206"/>
    </row>
    <row r="78" spans="1:9" x14ac:dyDescent="0.3">
      <c r="A78" s="203">
        <v>37</v>
      </c>
      <c r="B78" s="203">
        <v>2020</v>
      </c>
      <c r="C78" s="207" t="s">
        <v>267</v>
      </c>
      <c r="D78" s="208" t="s">
        <v>1</v>
      </c>
      <c r="E78" s="205">
        <v>9</v>
      </c>
      <c r="F78" s="205">
        <v>1.9000000000000001</v>
      </c>
      <c r="G78" s="209">
        <v>17.100000000000001</v>
      </c>
      <c r="H78" s="222"/>
      <c r="I78" s="206"/>
    </row>
    <row r="79" spans="1:9" x14ac:dyDescent="0.3">
      <c r="A79" s="203">
        <v>38</v>
      </c>
      <c r="B79" s="203">
        <v>2020</v>
      </c>
      <c r="C79" s="207" t="s">
        <v>273</v>
      </c>
      <c r="D79" s="208" t="s">
        <v>1</v>
      </c>
      <c r="E79" s="205">
        <v>9</v>
      </c>
      <c r="F79" s="205">
        <v>1.6</v>
      </c>
      <c r="G79" s="209">
        <v>14.4</v>
      </c>
      <c r="H79" s="222"/>
      <c r="I79" s="206"/>
    </row>
    <row r="80" spans="1:9" x14ac:dyDescent="0.3">
      <c r="A80" s="203">
        <v>39</v>
      </c>
      <c r="B80" s="203">
        <v>2020</v>
      </c>
      <c r="C80" s="207" t="s">
        <v>269</v>
      </c>
      <c r="D80" s="208" t="s">
        <v>1</v>
      </c>
      <c r="E80" s="205">
        <v>5</v>
      </c>
      <c r="F80" s="205">
        <v>3.8</v>
      </c>
      <c r="G80" s="209">
        <v>19</v>
      </c>
      <c r="H80" s="222"/>
      <c r="I80" s="206"/>
    </row>
    <row r="81" spans="1:9" x14ac:dyDescent="0.3">
      <c r="A81" s="203">
        <v>40</v>
      </c>
      <c r="B81" s="203">
        <v>2020</v>
      </c>
      <c r="C81" s="207" t="s">
        <v>270</v>
      </c>
      <c r="D81" s="208" t="s">
        <v>1</v>
      </c>
      <c r="E81" s="205">
        <v>5</v>
      </c>
      <c r="F81" s="205">
        <v>1.6</v>
      </c>
      <c r="G81" s="209">
        <v>8</v>
      </c>
      <c r="H81" s="222"/>
      <c r="I81" s="206"/>
    </row>
    <row r="82" spans="1:9" x14ac:dyDescent="0.3">
      <c r="A82" s="203">
        <v>41</v>
      </c>
      <c r="B82" s="203">
        <v>2020</v>
      </c>
      <c r="C82" s="207" t="s">
        <v>274</v>
      </c>
      <c r="D82" s="208" t="s">
        <v>1</v>
      </c>
      <c r="E82" s="205">
        <v>10</v>
      </c>
      <c r="F82" s="205">
        <v>1.8</v>
      </c>
      <c r="G82" s="209">
        <v>18</v>
      </c>
      <c r="H82" s="222"/>
      <c r="I82" s="206"/>
    </row>
    <row r="83" spans="1:9" ht="27.6" x14ac:dyDescent="0.3">
      <c r="A83" s="203">
        <v>42</v>
      </c>
      <c r="B83" s="203">
        <v>2020</v>
      </c>
      <c r="C83" s="207" t="s">
        <v>275</v>
      </c>
      <c r="D83" s="208" t="s">
        <v>1</v>
      </c>
      <c r="E83" s="205">
        <v>130</v>
      </c>
      <c r="F83" s="205">
        <v>1.89</v>
      </c>
      <c r="G83" s="205">
        <v>245.7</v>
      </c>
      <c r="H83" s="222"/>
      <c r="I83" s="206"/>
    </row>
    <row r="84" spans="1:9" ht="27.6" x14ac:dyDescent="0.3">
      <c r="A84" s="203">
        <v>43</v>
      </c>
      <c r="B84" s="203">
        <v>2020</v>
      </c>
      <c r="C84" s="207" t="s">
        <v>276</v>
      </c>
      <c r="D84" s="208" t="s">
        <v>1</v>
      </c>
      <c r="E84" s="205">
        <v>4</v>
      </c>
      <c r="F84" s="205">
        <v>5.04</v>
      </c>
      <c r="G84" s="205">
        <v>20.16</v>
      </c>
      <c r="H84" s="222"/>
      <c r="I84" s="206"/>
    </row>
    <row r="85" spans="1:9" x14ac:dyDescent="0.3">
      <c r="A85" s="203">
        <v>44</v>
      </c>
      <c r="B85" s="203">
        <v>2020</v>
      </c>
      <c r="C85" s="207" t="s">
        <v>277</v>
      </c>
      <c r="D85" s="208" t="s">
        <v>1</v>
      </c>
      <c r="E85" s="205">
        <v>4</v>
      </c>
      <c r="F85" s="205">
        <v>2.4700000000000002</v>
      </c>
      <c r="G85" s="205">
        <v>9.8800000000000008</v>
      </c>
      <c r="H85" s="222"/>
      <c r="I85" s="206"/>
    </row>
    <row r="86" spans="1:9" x14ac:dyDescent="0.3">
      <c r="A86" s="203">
        <v>45</v>
      </c>
      <c r="B86" s="203">
        <v>2020</v>
      </c>
      <c r="C86" s="207" t="s">
        <v>278</v>
      </c>
      <c r="D86" s="208" t="s">
        <v>1</v>
      </c>
      <c r="E86" s="205">
        <v>4</v>
      </c>
      <c r="F86" s="205">
        <v>2.09</v>
      </c>
      <c r="G86" s="205">
        <v>8.36</v>
      </c>
      <c r="H86" s="222"/>
      <c r="I86" s="206"/>
    </row>
    <row r="87" spans="1:9" x14ac:dyDescent="0.3">
      <c r="A87" s="203">
        <v>46</v>
      </c>
      <c r="B87" s="203">
        <v>2020</v>
      </c>
      <c r="C87" s="207" t="s">
        <v>279</v>
      </c>
      <c r="D87" s="208" t="s">
        <v>1</v>
      </c>
      <c r="E87" s="205">
        <v>4</v>
      </c>
      <c r="F87" s="205">
        <v>1.71</v>
      </c>
      <c r="G87" s="205">
        <v>6.84</v>
      </c>
      <c r="H87" s="222"/>
      <c r="I87" s="206"/>
    </row>
    <row r="88" spans="1:9" x14ac:dyDescent="0.3">
      <c r="A88" s="203">
        <v>47</v>
      </c>
      <c r="B88" s="203">
        <v>2020</v>
      </c>
      <c r="C88" s="207" t="s">
        <v>280</v>
      </c>
      <c r="D88" s="208" t="s">
        <v>1</v>
      </c>
      <c r="E88" s="205">
        <v>4</v>
      </c>
      <c r="F88" s="205">
        <v>3.99</v>
      </c>
      <c r="G88" s="205">
        <v>15.96</v>
      </c>
      <c r="H88" s="222"/>
      <c r="I88" s="206"/>
    </row>
    <row r="89" spans="1:9" x14ac:dyDescent="0.3">
      <c r="A89" s="203">
        <v>48</v>
      </c>
      <c r="B89" s="203">
        <v>2020</v>
      </c>
      <c r="C89" s="207" t="s">
        <v>281</v>
      </c>
      <c r="D89" s="208" t="s">
        <v>1</v>
      </c>
      <c r="E89" s="205">
        <v>4</v>
      </c>
      <c r="F89" s="205">
        <v>1.71</v>
      </c>
      <c r="G89" s="205">
        <v>6.84</v>
      </c>
      <c r="H89" s="222"/>
      <c r="I89" s="206"/>
    </row>
    <row r="90" spans="1:9" x14ac:dyDescent="0.3">
      <c r="A90" s="203">
        <v>49</v>
      </c>
      <c r="B90" s="203">
        <v>2020</v>
      </c>
      <c r="C90" s="207" t="s">
        <v>282</v>
      </c>
      <c r="D90" s="208" t="s">
        <v>1</v>
      </c>
      <c r="E90" s="205">
        <v>4</v>
      </c>
      <c r="F90" s="205">
        <v>1.9</v>
      </c>
      <c r="G90" s="205">
        <v>7.6</v>
      </c>
      <c r="H90" s="222"/>
      <c r="I90" s="206"/>
    </row>
    <row r="91" spans="1:9" ht="27.6" x14ac:dyDescent="0.3">
      <c r="A91" s="203">
        <v>50</v>
      </c>
      <c r="B91" s="203">
        <v>2020</v>
      </c>
      <c r="C91" s="207" t="s">
        <v>275</v>
      </c>
      <c r="D91" s="208" t="s">
        <v>1</v>
      </c>
      <c r="E91" s="205">
        <v>38</v>
      </c>
      <c r="F91" s="205">
        <v>2.97</v>
      </c>
      <c r="G91" s="205">
        <v>112.86</v>
      </c>
      <c r="H91" s="222"/>
      <c r="I91" s="206"/>
    </row>
    <row r="92" spans="1:9" ht="27.6" x14ac:dyDescent="0.3">
      <c r="A92" s="203">
        <v>51</v>
      </c>
      <c r="B92" s="203">
        <v>2020</v>
      </c>
      <c r="C92" s="207" t="s">
        <v>283</v>
      </c>
      <c r="D92" s="208" t="s">
        <v>1</v>
      </c>
      <c r="E92" s="205">
        <v>60</v>
      </c>
      <c r="F92" s="205">
        <v>4.7</v>
      </c>
      <c r="G92" s="205">
        <v>282</v>
      </c>
      <c r="H92" s="222"/>
      <c r="I92" s="206"/>
    </row>
    <row r="93" spans="1:9" x14ac:dyDescent="0.3">
      <c r="A93" s="203">
        <v>52</v>
      </c>
      <c r="B93" s="203">
        <v>2020</v>
      </c>
      <c r="C93" s="207" t="s">
        <v>284</v>
      </c>
      <c r="D93" s="208" t="s">
        <v>1</v>
      </c>
      <c r="E93" s="205">
        <v>170</v>
      </c>
      <c r="F93" s="205">
        <v>0.9</v>
      </c>
      <c r="G93" s="205">
        <v>153</v>
      </c>
      <c r="H93" s="222"/>
      <c r="I93" s="206"/>
    </row>
    <row r="94" spans="1:9" ht="27.6" x14ac:dyDescent="0.3">
      <c r="A94" s="203">
        <v>53</v>
      </c>
      <c r="B94" s="203">
        <v>2020</v>
      </c>
      <c r="C94" s="207" t="s">
        <v>285</v>
      </c>
      <c r="D94" s="208" t="s">
        <v>1</v>
      </c>
      <c r="E94" s="205">
        <v>170</v>
      </c>
      <c r="F94" s="205">
        <v>2</v>
      </c>
      <c r="G94" s="205">
        <v>340</v>
      </c>
      <c r="H94" s="222"/>
      <c r="I94" s="206"/>
    </row>
    <row r="95" spans="1:9" ht="27.6" x14ac:dyDescent="0.3">
      <c r="A95" s="203">
        <v>54</v>
      </c>
      <c r="B95" s="203">
        <v>2020</v>
      </c>
      <c r="C95" s="207" t="s">
        <v>286</v>
      </c>
      <c r="D95" s="208" t="s">
        <v>1</v>
      </c>
      <c r="E95" s="205">
        <v>170</v>
      </c>
      <c r="F95" s="205">
        <v>2.21</v>
      </c>
      <c r="G95" s="205">
        <v>375.7</v>
      </c>
      <c r="H95" s="222"/>
      <c r="I95" s="206"/>
    </row>
    <row r="96" spans="1:9" x14ac:dyDescent="0.3">
      <c r="A96" s="203">
        <v>55</v>
      </c>
      <c r="B96" s="203">
        <v>2020</v>
      </c>
      <c r="C96" s="207" t="s">
        <v>287</v>
      </c>
      <c r="D96" s="208" t="s">
        <v>1</v>
      </c>
      <c r="E96" s="205">
        <v>170</v>
      </c>
      <c r="F96" s="205">
        <v>2.21</v>
      </c>
      <c r="G96" s="205">
        <v>375.7</v>
      </c>
      <c r="H96" s="222"/>
      <c r="I96" s="206"/>
    </row>
    <row r="97" spans="1:9" ht="27.6" x14ac:dyDescent="0.3">
      <c r="A97" s="203">
        <v>56</v>
      </c>
      <c r="B97" s="203">
        <v>2020</v>
      </c>
      <c r="C97" s="207" t="s">
        <v>288</v>
      </c>
      <c r="D97" s="208" t="s">
        <v>1</v>
      </c>
      <c r="E97" s="205">
        <v>110</v>
      </c>
      <c r="F97" s="205">
        <v>1.6</v>
      </c>
      <c r="G97" s="205">
        <v>176</v>
      </c>
      <c r="H97" s="222"/>
      <c r="I97" s="206"/>
    </row>
    <row r="98" spans="1:9" x14ac:dyDescent="0.3">
      <c r="A98" s="203">
        <v>57</v>
      </c>
      <c r="B98" s="203">
        <v>2020</v>
      </c>
      <c r="C98" s="207" t="s">
        <v>289</v>
      </c>
      <c r="D98" s="208" t="s">
        <v>1</v>
      </c>
      <c r="E98" s="205">
        <v>170</v>
      </c>
      <c r="F98" s="205">
        <v>0.89</v>
      </c>
      <c r="G98" s="205">
        <v>151.30000000000001</v>
      </c>
      <c r="H98" s="222"/>
      <c r="I98" s="206"/>
    </row>
    <row r="99" spans="1:9" x14ac:dyDescent="0.3">
      <c r="A99" s="203">
        <v>58</v>
      </c>
      <c r="B99" s="203">
        <v>2020</v>
      </c>
      <c r="C99" s="207" t="s">
        <v>290</v>
      </c>
      <c r="D99" s="208" t="s">
        <v>1</v>
      </c>
      <c r="E99" s="205">
        <v>170</v>
      </c>
      <c r="F99" s="205">
        <v>1.92</v>
      </c>
      <c r="G99" s="205">
        <v>326.39999999999998</v>
      </c>
      <c r="H99" s="222"/>
      <c r="I99" s="206"/>
    </row>
    <row r="100" spans="1:9" ht="27.6" x14ac:dyDescent="0.3">
      <c r="A100" s="203">
        <v>59</v>
      </c>
      <c r="B100" s="203">
        <v>2020</v>
      </c>
      <c r="C100" s="207" t="s">
        <v>291</v>
      </c>
      <c r="D100" s="208" t="s">
        <v>1</v>
      </c>
      <c r="E100" s="205">
        <v>36</v>
      </c>
      <c r="F100" s="205">
        <v>2.4000000000000004</v>
      </c>
      <c r="G100" s="205">
        <v>86.4</v>
      </c>
      <c r="H100" s="222"/>
      <c r="I100" s="206"/>
    </row>
    <row r="101" spans="1:9" ht="27.6" x14ac:dyDescent="0.3">
      <c r="A101" s="203">
        <v>60</v>
      </c>
      <c r="B101" s="203">
        <v>2020</v>
      </c>
      <c r="C101" s="207" t="s">
        <v>292</v>
      </c>
      <c r="D101" s="208" t="s">
        <v>1</v>
      </c>
      <c r="E101" s="205">
        <v>31</v>
      </c>
      <c r="F101" s="205">
        <v>1.68</v>
      </c>
      <c r="G101" s="205">
        <v>52.08</v>
      </c>
      <c r="H101" s="222"/>
      <c r="I101" s="206"/>
    </row>
    <row r="102" spans="1:9" x14ac:dyDescent="0.3">
      <c r="A102" s="203">
        <v>61</v>
      </c>
      <c r="B102" s="203">
        <v>2020</v>
      </c>
      <c r="C102" s="207" t="s">
        <v>293</v>
      </c>
      <c r="D102" s="208" t="s">
        <v>1</v>
      </c>
      <c r="E102" s="205">
        <v>29</v>
      </c>
      <c r="F102" s="205">
        <v>2.3000000000000003</v>
      </c>
      <c r="G102" s="205">
        <v>66.7</v>
      </c>
      <c r="H102" s="222"/>
      <c r="I102" s="206"/>
    </row>
    <row r="103" spans="1:9" x14ac:dyDescent="0.3">
      <c r="A103" s="203">
        <v>62</v>
      </c>
      <c r="B103" s="203">
        <v>2020</v>
      </c>
      <c r="C103" s="207" t="s">
        <v>294</v>
      </c>
      <c r="D103" s="208" t="s">
        <v>1</v>
      </c>
      <c r="E103" s="205">
        <v>25</v>
      </c>
      <c r="F103" s="205">
        <v>2.2999999999999998</v>
      </c>
      <c r="G103" s="205">
        <v>57.5</v>
      </c>
      <c r="H103" s="222"/>
      <c r="I103" s="206"/>
    </row>
    <row r="104" spans="1:9" x14ac:dyDescent="0.3">
      <c r="A104" s="203">
        <v>63</v>
      </c>
      <c r="B104" s="203">
        <v>2020</v>
      </c>
      <c r="C104" s="207" t="s">
        <v>295</v>
      </c>
      <c r="D104" s="208" t="s">
        <v>1</v>
      </c>
      <c r="E104" s="205">
        <v>20</v>
      </c>
      <c r="F104" s="205">
        <v>3.15</v>
      </c>
      <c r="G104" s="205">
        <v>63</v>
      </c>
      <c r="H104" s="222"/>
      <c r="I104" s="206"/>
    </row>
    <row r="105" spans="1:9" x14ac:dyDescent="0.3">
      <c r="A105" s="203">
        <v>64</v>
      </c>
      <c r="B105" s="203">
        <v>2020</v>
      </c>
      <c r="C105" s="207" t="s">
        <v>296</v>
      </c>
      <c r="D105" s="208" t="s">
        <v>1</v>
      </c>
      <c r="E105" s="205">
        <v>12</v>
      </c>
      <c r="F105" s="205">
        <v>1.38</v>
      </c>
      <c r="G105" s="205">
        <v>16.559999999999999</v>
      </c>
      <c r="H105" s="222"/>
      <c r="I105" s="206"/>
    </row>
    <row r="106" spans="1:9" x14ac:dyDescent="0.3">
      <c r="A106" s="203">
        <v>65</v>
      </c>
      <c r="B106" s="203">
        <v>2020</v>
      </c>
      <c r="C106" s="207" t="s">
        <v>297</v>
      </c>
      <c r="D106" s="208" t="s">
        <v>1</v>
      </c>
      <c r="E106" s="205">
        <v>26</v>
      </c>
      <c r="F106" s="205">
        <v>1.32</v>
      </c>
      <c r="G106" s="205">
        <v>34.32</v>
      </c>
      <c r="H106" s="222"/>
      <c r="I106" s="206"/>
    </row>
    <row r="107" spans="1:9" x14ac:dyDescent="0.3">
      <c r="A107" s="203">
        <v>66</v>
      </c>
      <c r="B107" s="203">
        <v>2020</v>
      </c>
      <c r="C107" s="207" t="s">
        <v>298</v>
      </c>
      <c r="D107" s="208" t="s">
        <v>1</v>
      </c>
      <c r="E107" s="205">
        <v>20</v>
      </c>
      <c r="F107" s="205">
        <v>1.3800000000000001</v>
      </c>
      <c r="G107" s="205">
        <v>27.6</v>
      </c>
      <c r="H107" s="222"/>
      <c r="I107" s="206"/>
    </row>
    <row r="108" spans="1:9" x14ac:dyDescent="0.3">
      <c r="A108" s="203">
        <v>67</v>
      </c>
      <c r="B108" s="203">
        <v>2020</v>
      </c>
      <c r="C108" s="207" t="s">
        <v>299</v>
      </c>
      <c r="D108" s="208" t="s">
        <v>1</v>
      </c>
      <c r="E108" s="205">
        <v>20</v>
      </c>
      <c r="F108" s="205">
        <v>1.26</v>
      </c>
      <c r="G108" s="205">
        <v>25.2</v>
      </c>
      <c r="H108" s="222"/>
      <c r="I108" s="206"/>
    </row>
    <row r="109" spans="1:9" x14ac:dyDescent="0.3">
      <c r="A109" s="203">
        <v>68</v>
      </c>
      <c r="B109" s="203">
        <v>2020</v>
      </c>
      <c r="C109" s="207" t="s">
        <v>300</v>
      </c>
      <c r="D109" s="208" t="s">
        <v>1</v>
      </c>
      <c r="E109" s="205">
        <v>35</v>
      </c>
      <c r="F109" s="205">
        <v>2.99</v>
      </c>
      <c r="G109" s="205">
        <v>104.65</v>
      </c>
      <c r="H109" s="222"/>
      <c r="I109" s="206"/>
    </row>
    <row r="110" spans="1:9" ht="28.5" customHeight="1" x14ac:dyDescent="0.3">
      <c r="A110" s="203">
        <v>69</v>
      </c>
      <c r="B110" s="203">
        <v>2020</v>
      </c>
      <c r="C110" s="207" t="s">
        <v>301</v>
      </c>
      <c r="D110" s="208" t="s">
        <v>1</v>
      </c>
      <c r="E110" s="205">
        <v>16</v>
      </c>
      <c r="F110" s="205">
        <v>1.38</v>
      </c>
      <c r="G110" s="205">
        <v>22.08</v>
      </c>
      <c r="H110" s="222"/>
      <c r="I110" s="206"/>
    </row>
    <row r="111" spans="1:9" x14ac:dyDescent="0.3">
      <c r="A111" s="203">
        <v>70</v>
      </c>
      <c r="B111" s="203">
        <v>2020</v>
      </c>
      <c r="C111" s="207" t="s">
        <v>302</v>
      </c>
      <c r="D111" s="208" t="s">
        <v>1</v>
      </c>
      <c r="E111" s="205">
        <v>16</v>
      </c>
      <c r="F111" s="205">
        <v>1.26</v>
      </c>
      <c r="G111" s="205">
        <v>20.16</v>
      </c>
      <c r="H111" s="222"/>
      <c r="I111" s="206"/>
    </row>
    <row r="112" spans="1:9" x14ac:dyDescent="0.3">
      <c r="A112" s="203">
        <v>71</v>
      </c>
      <c r="B112" s="203">
        <v>2020</v>
      </c>
      <c r="C112" s="207" t="s">
        <v>303</v>
      </c>
      <c r="D112" s="208" t="s">
        <v>1</v>
      </c>
      <c r="E112" s="205">
        <v>25</v>
      </c>
      <c r="F112" s="205">
        <v>1.68</v>
      </c>
      <c r="G112" s="205">
        <v>42</v>
      </c>
      <c r="H112" s="222"/>
      <c r="I112" s="206"/>
    </row>
    <row r="113" spans="1:9" ht="27.6" x14ac:dyDescent="0.3">
      <c r="A113" s="203">
        <v>72</v>
      </c>
      <c r="B113" s="203">
        <v>2020</v>
      </c>
      <c r="C113" s="207" t="s">
        <v>291</v>
      </c>
      <c r="D113" s="208" t="s">
        <v>1</v>
      </c>
      <c r="E113" s="205">
        <v>12</v>
      </c>
      <c r="F113" s="205">
        <v>2.64</v>
      </c>
      <c r="G113" s="205">
        <v>31.68</v>
      </c>
      <c r="H113" s="222"/>
      <c r="I113" s="206"/>
    </row>
    <row r="114" spans="1:9" ht="27.6" x14ac:dyDescent="0.3">
      <c r="A114" s="203">
        <v>73</v>
      </c>
      <c r="B114" s="203">
        <v>2020</v>
      </c>
      <c r="C114" s="207" t="s">
        <v>292</v>
      </c>
      <c r="D114" s="208" t="s">
        <v>1</v>
      </c>
      <c r="E114" s="205">
        <v>17</v>
      </c>
      <c r="F114" s="205">
        <v>1.76</v>
      </c>
      <c r="G114" s="205">
        <v>29.92</v>
      </c>
      <c r="H114" s="222"/>
      <c r="I114" s="206"/>
    </row>
    <row r="115" spans="1:9" x14ac:dyDescent="0.3">
      <c r="A115" s="203">
        <v>74</v>
      </c>
      <c r="B115" s="203">
        <v>2020</v>
      </c>
      <c r="C115" s="207" t="s">
        <v>293</v>
      </c>
      <c r="D115" s="208" t="s">
        <v>1</v>
      </c>
      <c r="E115" s="205">
        <v>14</v>
      </c>
      <c r="F115" s="205">
        <v>2</v>
      </c>
      <c r="G115" s="205">
        <v>28</v>
      </c>
      <c r="H115" s="222"/>
      <c r="I115" s="206"/>
    </row>
    <row r="116" spans="1:9" x14ac:dyDescent="0.3">
      <c r="A116" s="203">
        <v>75</v>
      </c>
      <c r="B116" s="203">
        <v>2020</v>
      </c>
      <c r="C116" s="207" t="s">
        <v>294</v>
      </c>
      <c r="D116" s="208" t="s">
        <v>1</v>
      </c>
      <c r="E116" s="205">
        <v>13</v>
      </c>
      <c r="F116" s="205">
        <v>2.1</v>
      </c>
      <c r="G116" s="205">
        <v>27.3</v>
      </c>
      <c r="H116" s="222"/>
      <c r="I116" s="206"/>
    </row>
    <row r="117" spans="1:9" x14ac:dyDescent="0.3">
      <c r="A117" s="203">
        <v>76</v>
      </c>
      <c r="B117" s="203">
        <v>2020</v>
      </c>
      <c r="C117" s="207" t="s">
        <v>295</v>
      </c>
      <c r="D117" s="208" t="s">
        <v>1</v>
      </c>
      <c r="E117" s="205">
        <v>11</v>
      </c>
      <c r="F117" s="205">
        <v>3.3</v>
      </c>
      <c r="G117" s="205">
        <v>36.299999999999997</v>
      </c>
      <c r="H117" s="222"/>
      <c r="I117" s="206"/>
    </row>
    <row r="118" spans="1:9" ht="27.6" x14ac:dyDescent="0.3">
      <c r="A118" s="203">
        <v>77</v>
      </c>
      <c r="B118" s="203">
        <v>2020</v>
      </c>
      <c r="C118" s="207" t="s">
        <v>304</v>
      </c>
      <c r="D118" s="208" t="s">
        <v>1</v>
      </c>
      <c r="E118" s="205">
        <v>16</v>
      </c>
      <c r="F118" s="205">
        <v>2.2000000000000002</v>
      </c>
      <c r="G118" s="205">
        <v>35.200000000000003</v>
      </c>
      <c r="H118" s="222"/>
      <c r="I118" s="206"/>
    </row>
    <row r="119" spans="1:9" x14ac:dyDescent="0.3">
      <c r="A119" s="203">
        <v>78</v>
      </c>
      <c r="B119" s="203">
        <v>2020</v>
      </c>
      <c r="C119" s="207" t="s">
        <v>296</v>
      </c>
      <c r="D119" s="208" t="s">
        <v>1</v>
      </c>
      <c r="E119" s="205">
        <v>16</v>
      </c>
      <c r="F119" s="205">
        <v>1.26</v>
      </c>
      <c r="G119" s="205">
        <v>20.16</v>
      </c>
      <c r="H119" s="222"/>
      <c r="I119" s="206"/>
    </row>
    <row r="120" spans="1:9" x14ac:dyDescent="0.3">
      <c r="A120" s="203">
        <v>79</v>
      </c>
      <c r="B120" s="203">
        <v>2020</v>
      </c>
      <c r="C120" s="207" t="s">
        <v>297</v>
      </c>
      <c r="D120" s="208" t="s">
        <v>1</v>
      </c>
      <c r="E120" s="205">
        <v>17</v>
      </c>
      <c r="F120" s="205">
        <v>1.1599999999999999</v>
      </c>
      <c r="G120" s="205">
        <v>19.72</v>
      </c>
      <c r="H120" s="222"/>
      <c r="I120" s="206"/>
    </row>
    <row r="121" spans="1:9" x14ac:dyDescent="0.3">
      <c r="A121" s="203">
        <v>80</v>
      </c>
      <c r="B121" s="203">
        <v>2020</v>
      </c>
      <c r="C121" s="207" t="s">
        <v>298</v>
      </c>
      <c r="D121" s="208" t="s">
        <v>1</v>
      </c>
      <c r="E121" s="205">
        <v>18</v>
      </c>
      <c r="F121" s="205">
        <v>1.26</v>
      </c>
      <c r="G121" s="205">
        <v>22.68</v>
      </c>
      <c r="H121" s="222"/>
      <c r="I121" s="206"/>
    </row>
    <row r="122" spans="1:9" x14ac:dyDescent="0.3">
      <c r="A122" s="203">
        <v>81</v>
      </c>
      <c r="B122" s="203">
        <v>2020</v>
      </c>
      <c r="C122" s="207" t="s">
        <v>299</v>
      </c>
      <c r="D122" s="208" t="s">
        <v>1</v>
      </c>
      <c r="E122" s="205">
        <v>18</v>
      </c>
      <c r="F122" s="205">
        <v>1.32</v>
      </c>
      <c r="G122" s="205">
        <v>23.76</v>
      </c>
      <c r="H122" s="222"/>
      <c r="I122" s="206"/>
    </row>
    <row r="123" spans="1:9" x14ac:dyDescent="0.3">
      <c r="A123" s="203">
        <v>82</v>
      </c>
      <c r="B123" s="203">
        <v>2020</v>
      </c>
      <c r="C123" s="207" t="s">
        <v>300</v>
      </c>
      <c r="D123" s="208" t="s">
        <v>1</v>
      </c>
      <c r="E123" s="205">
        <v>9</v>
      </c>
      <c r="F123" s="205">
        <v>2.73</v>
      </c>
      <c r="G123" s="205">
        <v>24.57</v>
      </c>
      <c r="H123" s="222"/>
      <c r="I123" s="206"/>
    </row>
    <row r="124" spans="1:9" ht="27" customHeight="1" x14ac:dyDescent="0.3">
      <c r="A124" s="203">
        <v>83</v>
      </c>
      <c r="B124" s="203">
        <v>2020</v>
      </c>
      <c r="C124" s="207" t="s">
        <v>301</v>
      </c>
      <c r="D124" s="208" t="s">
        <v>1</v>
      </c>
      <c r="E124" s="205">
        <v>17</v>
      </c>
      <c r="F124" s="205">
        <v>1.26</v>
      </c>
      <c r="G124" s="205">
        <v>21.42</v>
      </c>
      <c r="H124" s="222"/>
      <c r="I124" s="206"/>
    </row>
    <row r="125" spans="1:9" x14ac:dyDescent="0.3">
      <c r="A125" s="203">
        <v>84</v>
      </c>
      <c r="B125" s="203">
        <v>2020</v>
      </c>
      <c r="C125" s="207" t="s">
        <v>302</v>
      </c>
      <c r="D125" s="208" t="s">
        <v>1</v>
      </c>
      <c r="E125" s="205">
        <v>17</v>
      </c>
      <c r="F125" s="205">
        <v>1.32</v>
      </c>
      <c r="G125" s="205">
        <v>22.44</v>
      </c>
      <c r="H125" s="222"/>
      <c r="I125" s="206"/>
    </row>
    <row r="126" spans="1:9" x14ac:dyDescent="0.3">
      <c r="A126" s="203">
        <v>85</v>
      </c>
      <c r="B126" s="203">
        <v>2020</v>
      </c>
      <c r="C126" s="207" t="s">
        <v>303</v>
      </c>
      <c r="D126" s="208" t="s">
        <v>1</v>
      </c>
      <c r="E126" s="205">
        <v>17</v>
      </c>
      <c r="F126" s="205">
        <v>1.76</v>
      </c>
      <c r="G126" s="205">
        <v>29.92</v>
      </c>
      <c r="H126" s="222"/>
      <c r="I126" s="206"/>
    </row>
    <row r="127" spans="1:9" ht="27.6" x14ac:dyDescent="0.3">
      <c r="A127" s="203">
        <v>86</v>
      </c>
      <c r="B127" s="203">
        <v>2020</v>
      </c>
      <c r="C127" s="207" t="s">
        <v>305</v>
      </c>
      <c r="D127" s="208" t="s">
        <v>1</v>
      </c>
      <c r="E127" s="205">
        <v>1</v>
      </c>
      <c r="F127" s="205">
        <v>1.98</v>
      </c>
      <c r="G127" s="205">
        <v>1.98</v>
      </c>
      <c r="H127" s="222"/>
      <c r="I127" s="206"/>
    </row>
    <row r="128" spans="1:9" ht="27.75" customHeight="1" x14ac:dyDescent="0.3">
      <c r="A128" s="203">
        <v>87</v>
      </c>
      <c r="B128" s="203">
        <v>2020</v>
      </c>
      <c r="C128" s="207" t="s">
        <v>306</v>
      </c>
      <c r="D128" s="208" t="s">
        <v>1</v>
      </c>
      <c r="E128" s="205">
        <v>1</v>
      </c>
      <c r="F128" s="205">
        <v>1.52</v>
      </c>
      <c r="G128" s="205">
        <v>1.52</v>
      </c>
      <c r="H128" s="222"/>
      <c r="I128" s="206"/>
    </row>
    <row r="129" spans="1:9" x14ac:dyDescent="0.3">
      <c r="A129" s="203">
        <v>88</v>
      </c>
      <c r="B129" s="203">
        <v>2020</v>
      </c>
      <c r="C129" s="207" t="s">
        <v>307</v>
      </c>
      <c r="D129" s="208" t="s">
        <v>1</v>
      </c>
      <c r="E129" s="205">
        <v>1</v>
      </c>
      <c r="F129" s="205">
        <v>2.0699999999999998</v>
      </c>
      <c r="G129" s="205">
        <v>2.0699999999999998</v>
      </c>
      <c r="H129" s="222"/>
      <c r="I129" s="206"/>
    </row>
    <row r="130" spans="1:9" x14ac:dyDescent="0.3">
      <c r="A130" s="203">
        <v>89</v>
      </c>
      <c r="B130" s="203">
        <v>2020</v>
      </c>
      <c r="C130" s="207" t="s">
        <v>308</v>
      </c>
      <c r="D130" s="208" t="s">
        <v>1</v>
      </c>
      <c r="E130" s="205">
        <v>1</v>
      </c>
      <c r="F130" s="205">
        <v>2.0699999999999998</v>
      </c>
      <c r="G130" s="205">
        <v>2.0699999999999998</v>
      </c>
      <c r="H130" s="222"/>
      <c r="I130" s="206"/>
    </row>
    <row r="131" spans="1:9" x14ac:dyDescent="0.3">
      <c r="A131" s="203">
        <v>90</v>
      </c>
      <c r="B131" s="203">
        <v>2020</v>
      </c>
      <c r="C131" s="207" t="s">
        <v>309</v>
      </c>
      <c r="D131" s="208" t="s">
        <v>1</v>
      </c>
      <c r="E131" s="205">
        <v>1</v>
      </c>
      <c r="F131" s="205">
        <v>1.63</v>
      </c>
      <c r="G131" s="205">
        <v>1.63</v>
      </c>
      <c r="H131" s="222"/>
      <c r="I131" s="206"/>
    </row>
    <row r="132" spans="1:9" x14ac:dyDescent="0.3">
      <c r="A132" s="203">
        <v>91</v>
      </c>
      <c r="B132" s="203">
        <v>2020</v>
      </c>
      <c r="C132" s="207" t="s">
        <v>310</v>
      </c>
      <c r="D132" s="208" t="s">
        <v>1</v>
      </c>
      <c r="E132" s="205">
        <v>1</v>
      </c>
      <c r="F132" s="205">
        <v>1.25</v>
      </c>
      <c r="G132" s="205">
        <v>1.25</v>
      </c>
      <c r="H132" s="222"/>
      <c r="I132" s="206"/>
    </row>
    <row r="133" spans="1:9" x14ac:dyDescent="0.3">
      <c r="A133" s="203">
        <v>92</v>
      </c>
      <c r="B133" s="203">
        <v>2020</v>
      </c>
      <c r="C133" s="207" t="s">
        <v>311</v>
      </c>
      <c r="D133" s="208" t="s">
        <v>1</v>
      </c>
      <c r="E133" s="205">
        <v>1</v>
      </c>
      <c r="F133" s="205">
        <v>1.0900000000000001</v>
      </c>
      <c r="G133" s="205">
        <v>1.0900000000000001</v>
      </c>
      <c r="H133" s="222"/>
      <c r="I133" s="206"/>
    </row>
    <row r="134" spans="1:9" x14ac:dyDescent="0.3">
      <c r="A134" s="203">
        <v>93</v>
      </c>
      <c r="B134" s="203">
        <v>2020</v>
      </c>
      <c r="C134" s="207" t="s">
        <v>312</v>
      </c>
      <c r="D134" s="208" t="s">
        <v>1</v>
      </c>
      <c r="E134" s="205">
        <v>1</v>
      </c>
      <c r="F134" s="205">
        <v>1.32</v>
      </c>
      <c r="G134" s="205">
        <v>1.32</v>
      </c>
      <c r="H134" s="222"/>
      <c r="I134" s="206"/>
    </row>
    <row r="135" spans="1:9" ht="27.6" x14ac:dyDescent="0.3">
      <c r="A135" s="203">
        <v>94</v>
      </c>
      <c r="B135" s="203">
        <v>2020</v>
      </c>
      <c r="C135" s="207" t="s">
        <v>313</v>
      </c>
      <c r="D135" s="208" t="s">
        <v>1</v>
      </c>
      <c r="E135" s="205">
        <v>1</v>
      </c>
      <c r="F135" s="205">
        <v>1.5</v>
      </c>
      <c r="G135" s="205">
        <v>1.5</v>
      </c>
      <c r="H135" s="222"/>
      <c r="I135" s="206"/>
    </row>
    <row r="136" spans="1:9" ht="14.25" customHeight="1" x14ac:dyDescent="0.3">
      <c r="A136" s="203">
        <v>95</v>
      </c>
      <c r="B136" s="203">
        <v>2020</v>
      </c>
      <c r="C136" s="207" t="s">
        <v>314</v>
      </c>
      <c r="D136" s="208" t="s">
        <v>1</v>
      </c>
      <c r="E136" s="205">
        <v>1</v>
      </c>
      <c r="F136" s="205">
        <v>0.91</v>
      </c>
      <c r="G136" s="205">
        <v>0.91</v>
      </c>
      <c r="H136" s="222"/>
      <c r="I136" s="206"/>
    </row>
    <row r="137" spans="1:9" ht="27.6" x14ac:dyDescent="0.3">
      <c r="A137" s="203">
        <v>96</v>
      </c>
      <c r="B137" s="203">
        <v>2020</v>
      </c>
      <c r="C137" s="207" t="s">
        <v>305</v>
      </c>
      <c r="D137" s="208" t="s">
        <v>1</v>
      </c>
      <c r="E137" s="205">
        <v>19</v>
      </c>
      <c r="F137" s="205">
        <v>2.1999999999999997</v>
      </c>
      <c r="G137" s="205">
        <v>41.8</v>
      </c>
      <c r="H137" s="222"/>
      <c r="I137" s="206"/>
    </row>
    <row r="138" spans="1:9" ht="27.6" x14ac:dyDescent="0.3">
      <c r="A138" s="203">
        <v>97</v>
      </c>
      <c r="B138" s="203">
        <v>2020</v>
      </c>
      <c r="C138" s="207" t="s">
        <v>306</v>
      </c>
      <c r="D138" s="208" t="s">
        <v>1</v>
      </c>
      <c r="E138" s="205">
        <v>19</v>
      </c>
      <c r="F138" s="205">
        <v>1.52</v>
      </c>
      <c r="G138" s="205">
        <v>28.88</v>
      </c>
      <c r="H138" s="222"/>
      <c r="I138" s="206"/>
    </row>
    <row r="139" spans="1:9" x14ac:dyDescent="0.3">
      <c r="A139" s="203">
        <v>98</v>
      </c>
      <c r="B139" s="203">
        <v>2020</v>
      </c>
      <c r="C139" s="207" t="s">
        <v>307</v>
      </c>
      <c r="D139" s="208" t="s">
        <v>1</v>
      </c>
      <c r="E139" s="205">
        <v>14</v>
      </c>
      <c r="F139" s="205">
        <v>2.0699999999999998</v>
      </c>
      <c r="G139" s="205">
        <v>28.98</v>
      </c>
      <c r="H139" s="222"/>
      <c r="I139" s="206"/>
    </row>
    <row r="140" spans="1:9" x14ac:dyDescent="0.3">
      <c r="A140" s="203">
        <v>99</v>
      </c>
      <c r="B140" s="203">
        <v>2020</v>
      </c>
      <c r="C140" s="207" t="s">
        <v>308</v>
      </c>
      <c r="D140" s="208" t="s">
        <v>1</v>
      </c>
      <c r="E140" s="205">
        <v>14</v>
      </c>
      <c r="F140" s="205">
        <v>1.8</v>
      </c>
      <c r="G140" s="205">
        <v>25.2</v>
      </c>
      <c r="H140" s="222"/>
      <c r="I140" s="206"/>
    </row>
    <row r="141" spans="1:9" x14ac:dyDescent="0.3">
      <c r="A141" s="203">
        <v>100</v>
      </c>
      <c r="B141" s="203">
        <v>2020</v>
      </c>
      <c r="C141" s="207" t="s">
        <v>315</v>
      </c>
      <c r="D141" s="208" t="s">
        <v>1</v>
      </c>
      <c r="E141" s="205">
        <v>15</v>
      </c>
      <c r="F141" s="205">
        <v>2.3400000000000003</v>
      </c>
      <c r="G141" s="205">
        <v>35.1</v>
      </c>
      <c r="H141" s="222"/>
      <c r="I141" s="206"/>
    </row>
    <row r="142" spans="1:9" ht="28.5" customHeight="1" x14ac:dyDescent="0.3">
      <c r="A142" s="203">
        <v>101</v>
      </c>
      <c r="B142" s="203">
        <v>2020</v>
      </c>
      <c r="C142" s="207" t="s">
        <v>316</v>
      </c>
      <c r="D142" s="208" t="s">
        <v>1</v>
      </c>
      <c r="E142" s="205">
        <v>35</v>
      </c>
      <c r="F142" s="205">
        <v>2.1</v>
      </c>
      <c r="G142" s="205">
        <v>73.5</v>
      </c>
      <c r="H142" s="222"/>
      <c r="I142" s="206"/>
    </row>
    <row r="143" spans="1:9" x14ac:dyDescent="0.3">
      <c r="A143" s="203">
        <v>102</v>
      </c>
      <c r="B143" s="203">
        <v>2020</v>
      </c>
      <c r="C143" s="207" t="s">
        <v>309</v>
      </c>
      <c r="D143" s="208" t="s">
        <v>1</v>
      </c>
      <c r="E143" s="205">
        <v>14</v>
      </c>
      <c r="F143" s="205">
        <v>1.6300000000000001</v>
      </c>
      <c r="G143" s="205">
        <v>22.82</v>
      </c>
      <c r="H143" s="222"/>
      <c r="I143" s="206"/>
    </row>
    <row r="144" spans="1:9" x14ac:dyDescent="0.3">
      <c r="A144" s="203">
        <v>103</v>
      </c>
      <c r="B144" s="203">
        <v>2020</v>
      </c>
      <c r="C144" s="207" t="s">
        <v>317</v>
      </c>
      <c r="D144" s="208" t="s">
        <v>1</v>
      </c>
      <c r="E144" s="205">
        <v>9</v>
      </c>
      <c r="F144" s="205">
        <v>0.95000000000000007</v>
      </c>
      <c r="G144" s="205">
        <v>8.5500000000000007</v>
      </c>
      <c r="H144" s="222"/>
      <c r="I144" s="206"/>
    </row>
    <row r="145" spans="1:9" x14ac:dyDescent="0.3">
      <c r="A145" s="203">
        <v>104</v>
      </c>
      <c r="B145" s="203">
        <v>2020</v>
      </c>
      <c r="C145" s="207" t="s">
        <v>311</v>
      </c>
      <c r="D145" s="208" t="s">
        <v>1</v>
      </c>
      <c r="E145" s="205">
        <v>9</v>
      </c>
      <c r="F145" s="205">
        <v>1.0900000000000001</v>
      </c>
      <c r="G145" s="205">
        <v>9.81</v>
      </c>
      <c r="H145" s="222"/>
      <c r="I145" s="206"/>
    </row>
    <row r="146" spans="1:9" x14ac:dyDescent="0.3">
      <c r="A146" s="203">
        <v>105</v>
      </c>
      <c r="B146" s="203">
        <v>2020</v>
      </c>
      <c r="C146" s="207" t="s">
        <v>318</v>
      </c>
      <c r="D146" s="208" t="s">
        <v>1</v>
      </c>
      <c r="E146" s="205">
        <v>15</v>
      </c>
      <c r="F146" s="205">
        <v>1.38</v>
      </c>
      <c r="G146" s="205">
        <v>20.7</v>
      </c>
      <c r="H146" s="222"/>
      <c r="I146" s="206"/>
    </row>
    <row r="147" spans="1:9" x14ac:dyDescent="0.3">
      <c r="A147" s="203">
        <v>106</v>
      </c>
      <c r="B147" s="203">
        <v>2020</v>
      </c>
      <c r="C147" s="207" t="s">
        <v>312</v>
      </c>
      <c r="D147" s="208" t="s">
        <v>1</v>
      </c>
      <c r="E147" s="205">
        <v>8</v>
      </c>
      <c r="F147" s="205">
        <v>1.1399999999999999</v>
      </c>
      <c r="G147" s="205">
        <v>9.1199999999999992</v>
      </c>
      <c r="H147" s="222"/>
      <c r="I147" s="206"/>
    </row>
    <row r="148" spans="1:9" x14ac:dyDescent="0.3">
      <c r="A148" s="203">
        <v>107</v>
      </c>
      <c r="B148" s="203">
        <v>2020</v>
      </c>
      <c r="C148" s="207" t="s">
        <v>315</v>
      </c>
      <c r="D148" s="208" t="s">
        <v>1</v>
      </c>
      <c r="E148" s="205">
        <v>20</v>
      </c>
      <c r="F148" s="205">
        <v>2.5300000000000002</v>
      </c>
      <c r="G148" s="205">
        <v>50.6</v>
      </c>
      <c r="H148" s="222"/>
      <c r="I148" s="206"/>
    </row>
    <row r="149" spans="1:9" ht="27.6" x14ac:dyDescent="0.3">
      <c r="A149" s="203">
        <v>108</v>
      </c>
      <c r="B149" s="203">
        <v>2020</v>
      </c>
      <c r="C149" s="207" t="s">
        <v>313</v>
      </c>
      <c r="D149" s="208" t="s">
        <v>1</v>
      </c>
      <c r="E149" s="205">
        <v>8</v>
      </c>
      <c r="F149" s="205">
        <v>1.1399999999999999</v>
      </c>
      <c r="G149" s="205">
        <v>9.1199999999999992</v>
      </c>
      <c r="H149" s="222"/>
      <c r="I149" s="206"/>
    </row>
    <row r="150" spans="1:9" x14ac:dyDescent="0.3">
      <c r="A150" s="203">
        <v>109</v>
      </c>
      <c r="B150" s="203">
        <v>2020</v>
      </c>
      <c r="C150" s="207" t="s">
        <v>319</v>
      </c>
      <c r="D150" s="208" t="s">
        <v>1</v>
      </c>
      <c r="E150" s="205">
        <v>10</v>
      </c>
      <c r="F150" s="205">
        <v>1.0900000000000001</v>
      </c>
      <c r="G150" s="205">
        <v>10.9</v>
      </c>
      <c r="H150" s="222"/>
      <c r="I150" s="206"/>
    </row>
    <row r="151" spans="1:9" x14ac:dyDescent="0.3">
      <c r="A151" s="203">
        <v>110</v>
      </c>
      <c r="B151" s="203">
        <v>2020</v>
      </c>
      <c r="C151" s="207" t="s">
        <v>320</v>
      </c>
      <c r="D151" s="208" t="s">
        <v>1</v>
      </c>
      <c r="E151" s="205">
        <v>20</v>
      </c>
      <c r="F151" s="205">
        <v>1.52</v>
      </c>
      <c r="G151" s="205">
        <v>30.4</v>
      </c>
      <c r="H151" s="222"/>
      <c r="I151" s="206"/>
    </row>
    <row r="152" spans="1:9" ht="19.5" customHeight="1" x14ac:dyDescent="0.3">
      <c r="A152" s="203">
        <v>111</v>
      </c>
      <c r="B152" s="203">
        <v>2020</v>
      </c>
      <c r="C152" s="207" t="s">
        <v>314</v>
      </c>
      <c r="D152" s="208" t="s">
        <v>1</v>
      </c>
      <c r="E152" s="205">
        <v>18</v>
      </c>
      <c r="F152" s="205">
        <v>1.54</v>
      </c>
      <c r="G152" s="205">
        <v>27.72</v>
      </c>
      <c r="H152" s="222"/>
      <c r="I152" s="206"/>
    </row>
    <row r="153" spans="1:9" ht="27.6" x14ac:dyDescent="0.3">
      <c r="A153" s="203">
        <v>112</v>
      </c>
      <c r="B153" s="203">
        <v>2020</v>
      </c>
      <c r="C153" s="207" t="s">
        <v>321</v>
      </c>
      <c r="D153" s="208" t="s">
        <v>1</v>
      </c>
      <c r="E153" s="205">
        <v>7</v>
      </c>
      <c r="F153" s="205">
        <v>1.8</v>
      </c>
      <c r="G153" s="209">
        <v>12.6</v>
      </c>
      <c r="H153" s="222"/>
      <c r="I153" s="206"/>
    </row>
    <row r="154" spans="1:9" ht="27.6" x14ac:dyDescent="0.3">
      <c r="A154" s="203">
        <v>113</v>
      </c>
      <c r="B154" s="203">
        <v>2020</v>
      </c>
      <c r="C154" s="207" t="s">
        <v>322</v>
      </c>
      <c r="D154" s="208" t="s">
        <v>1</v>
      </c>
      <c r="E154" s="205">
        <v>7</v>
      </c>
      <c r="F154" s="205">
        <v>2.5</v>
      </c>
      <c r="G154" s="209">
        <v>17.5</v>
      </c>
      <c r="H154" s="222"/>
      <c r="I154" s="206"/>
    </row>
    <row r="155" spans="1:9" x14ac:dyDescent="0.3">
      <c r="A155" s="203">
        <v>114</v>
      </c>
      <c r="B155" s="203">
        <v>2020</v>
      </c>
      <c r="C155" s="207" t="s">
        <v>323</v>
      </c>
      <c r="D155" s="208" t="s">
        <v>1</v>
      </c>
      <c r="E155" s="205">
        <v>7</v>
      </c>
      <c r="F155" s="205">
        <v>2.64</v>
      </c>
      <c r="G155" s="209">
        <v>18.48</v>
      </c>
      <c r="H155" s="222"/>
      <c r="I155" s="206"/>
    </row>
    <row r="156" spans="1:9" ht="14.25" customHeight="1" x14ac:dyDescent="0.3">
      <c r="A156" s="203">
        <v>115</v>
      </c>
      <c r="B156" s="203">
        <v>2020</v>
      </c>
      <c r="C156" s="207" t="s">
        <v>324</v>
      </c>
      <c r="D156" s="208" t="s">
        <v>1</v>
      </c>
      <c r="E156" s="205">
        <v>7</v>
      </c>
      <c r="F156" s="205">
        <v>2.88</v>
      </c>
      <c r="G156" s="209">
        <v>20.16</v>
      </c>
      <c r="H156" s="222"/>
      <c r="I156" s="206"/>
    </row>
    <row r="157" spans="1:9" x14ac:dyDescent="0.3">
      <c r="A157" s="203">
        <v>116</v>
      </c>
      <c r="B157" s="203">
        <v>2020</v>
      </c>
      <c r="C157" s="207" t="s">
        <v>325</v>
      </c>
      <c r="D157" s="208" t="s">
        <v>1</v>
      </c>
      <c r="E157" s="205">
        <v>7</v>
      </c>
      <c r="F157" s="205">
        <v>2.34</v>
      </c>
      <c r="G157" s="209">
        <v>16.38</v>
      </c>
      <c r="H157" s="222"/>
      <c r="I157" s="206"/>
    </row>
    <row r="158" spans="1:9" ht="27.6" x14ac:dyDescent="0.3">
      <c r="A158" s="203">
        <v>117</v>
      </c>
      <c r="B158" s="203">
        <v>2020</v>
      </c>
      <c r="C158" s="207" t="s">
        <v>326</v>
      </c>
      <c r="D158" s="208" t="s">
        <v>1</v>
      </c>
      <c r="E158" s="205">
        <v>160</v>
      </c>
      <c r="F158" s="205">
        <v>1.8</v>
      </c>
      <c r="G158" s="209">
        <v>288</v>
      </c>
      <c r="H158" s="222"/>
      <c r="I158" s="206"/>
    </row>
    <row r="159" spans="1:9" x14ac:dyDescent="0.3">
      <c r="A159" s="203">
        <v>118</v>
      </c>
      <c r="B159" s="203">
        <v>2020</v>
      </c>
      <c r="C159" s="207" t="s">
        <v>327</v>
      </c>
      <c r="D159" s="208" t="s">
        <v>1</v>
      </c>
      <c r="E159" s="205">
        <v>7</v>
      </c>
      <c r="F159" s="205">
        <v>2.38</v>
      </c>
      <c r="G159" s="209">
        <v>16.66</v>
      </c>
      <c r="H159" s="222"/>
      <c r="I159" s="206"/>
    </row>
    <row r="160" spans="1:9" x14ac:dyDescent="0.3">
      <c r="A160" s="203">
        <v>119</v>
      </c>
      <c r="B160" s="203">
        <v>2020</v>
      </c>
      <c r="C160" s="207" t="s">
        <v>328</v>
      </c>
      <c r="D160" s="208" t="s">
        <v>1</v>
      </c>
      <c r="E160" s="205">
        <v>7</v>
      </c>
      <c r="F160" s="205">
        <v>0.95000000000000007</v>
      </c>
      <c r="G160" s="209">
        <v>6.65</v>
      </c>
      <c r="H160" s="222"/>
      <c r="I160" s="206"/>
    </row>
    <row r="161" spans="1:9" ht="15.75" customHeight="1" x14ac:dyDescent="0.3">
      <c r="A161" s="203">
        <v>120</v>
      </c>
      <c r="B161" s="203">
        <v>2020</v>
      </c>
      <c r="C161" s="207" t="s">
        <v>329</v>
      </c>
      <c r="D161" s="208" t="s">
        <v>1</v>
      </c>
      <c r="E161" s="205">
        <v>7</v>
      </c>
      <c r="F161" s="205">
        <v>1.1400000000000001</v>
      </c>
      <c r="G161" s="209">
        <v>7.98</v>
      </c>
      <c r="H161" s="222"/>
      <c r="I161" s="206"/>
    </row>
    <row r="162" spans="1:9" x14ac:dyDescent="0.3">
      <c r="A162" s="203">
        <v>121</v>
      </c>
      <c r="B162" s="203">
        <v>2020</v>
      </c>
      <c r="C162" s="207" t="s">
        <v>330</v>
      </c>
      <c r="D162" s="208" t="s">
        <v>1</v>
      </c>
      <c r="E162" s="205">
        <v>7</v>
      </c>
      <c r="F162" s="205">
        <v>3</v>
      </c>
      <c r="G162" s="209">
        <v>21</v>
      </c>
      <c r="H162" s="222"/>
      <c r="I162" s="206"/>
    </row>
    <row r="163" spans="1:9" x14ac:dyDescent="0.3">
      <c r="A163" s="203">
        <v>122</v>
      </c>
      <c r="B163" s="203">
        <v>2020</v>
      </c>
      <c r="C163" s="207" t="s">
        <v>331</v>
      </c>
      <c r="D163" s="208" t="s">
        <v>1</v>
      </c>
      <c r="E163" s="205">
        <v>7</v>
      </c>
      <c r="F163" s="205">
        <v>1.2</v>
      </c>
      <c r="G163" s="209">
        <v>8.4</v>
      </c>
      <c r="H163" s="222"/>
      <c r="I163" s="206"/>
    </row>
    <row r="164" spans="1:9" ht="18.75" customHeight="1" x14ac:dyDescent="0.3">
      <c r="A164" s="203">
        <v>123</v>
      </c>
      <c r="B164" s="203">
        <v>2020</v>
      </c>
      <c r="C164" s="207" t="s">
        <v>332</v>
      </c>
      <c r="D164" s="208" t="s">
        <v>1</v>
      </c>
      <c r="E164" s="205">
        <v>7</v>
      </c>
      <c r="F164" s="205">
        <v>2.85</v>
      </c>
      <c r="G164" s="209">
        <v>19.95</v>
      </c>
      <c r="H164" s="222"/>
      <c r="I164" s="206"/>
    </row>
    <row r="165" spans="1:9" ht="27.6" x14ac:dyDescent="0.3">
      <c r="A165" s="203">
        <v>124</v>
      </c>
      <c r="B165" s="203">
        <v>2020</v>
      </c>
      <c r="C165" s="207" t="s">
        <v>333</v>
      </c>
      <c r="D165" s="208" t="s">
        <v>1</v>
      </c>
      <c r="E165" s="205">
        <v>7</v>
      </c>
      <c r="F165" s="205">
        <v>1.2</v>
      </c>
      <c r="G165" s="209">
        <v>8.4</v>
      </c>
      <c r="H165" s="222"/>
      <c r="I165" s="206"/>
    </row>
    <row r="166" spans="1:9" x14ac:dyDescent="0.3">
      <c r="A166" s="203">
        <v>125</v>
      </c>
      <c r="B166" s="203">
        <v>2020</v>
      </c>
      <c r="C166" s="207" t="s">
        <v>334</v>
      </c>
      <c r="D166" s="208" t="s">
        <v>1</v>
      </c>
      <c r="E166" s="205">
        <v>7</v>
      </c>
      <c r="F166" s="205">
        <v>1.1400000000000001</v>
      </c>
      <c r="G166" s="209">
        <v>7.98</v>
      </c>
      <c r="H166" s="222"/>
      <c r="I166" s="206"/>
    </row>
    <row r="167" spans="1:9" x14ac:dyDescent="0.3">
      <c r="A167" s="203">
        <v>126</v>
      </c>
      <c r="B167" s="203">
        <v>2020</v>
      </c>
      <c r="C167" s="207" t="s">
        <v>335</v>
      </c>
      <c r="D167" s="208" t="s">
        <v>1</v>
      </c>
      <c r="E167" s="205">
        <v>7</v>
      </c>
      <c r="F167" s="205">
        <v>1.5999999999999999</v>
      </c>
      <c r="G167" s="209">
        <v>11.2</v>
      </c>
      <c r="H167" s="222"/>
      <c r="I167" s="206"/>
    </row>
    <row r="168" spans="1:9" ht="27.6" x14ac:dyDescent="0.3">
      <c r="A168" s="203">
        <v>127</v>
      </c>
      <c r="B168" s="203">
        <v>2020</v>
      </c>
      <c r="C168" s="207" t="s">
        <v>336</v>
      </c>
      <c r="D168" s="208" t="s">
        <v>1</v>
      </c>
      <c r="E168" s="205">
        <v>14</v>
      </c>
      <c r="F168" s="205">
        <v>1.9000000000000001</v>
      </c>
      <c r="G168" s="209">
        <v>26.6</v>
      </c>
      <c r="H168" s="222"/>
      <c r="I168" s="206"/>
    </row>
    <row r="169" spans="1:9" ht="55.2" x14ac:dyDescent="0.3">
      <c r="A169" s="203">
        <v>128</v>
      </c>
      <c r="B169" s="203">
        <v>2020</v>
      </c>
      <c r="C169" s="207" t="s">
        <v>337</v>
      </c>
      <c r="D169" s="208" t="s">
        <v>1</v>
      </c>
      <c r="E169" s="205">
        <v>157</v>
      </c>
      <c r="F169" s="205">
        <v>2.25</v>
      </c>
      <c r="G169" s="205">
        <v>353.25</v>
      </c>
      <c r="H169" s="222"/>
      <c r="I169" s="206"/>
    </row>
    <row r="170" spans="1:9" ht="28.5" customHeight="1" x14ac:dyDescent="0.3">
      <c r="A170" s="203">
        <v>129</v>
      </c>
      <c r="B170" s="203">
        <v>2020</v>
      </c>
      <c r="C170" s="207" t="s">
        <v>338</v>
      </c>
      <c r="D170" s="208" t="s">
        <v>1</v>
      </c>
      <c r="E170" s="205">
        <v>157</v>
      </c>
      <c r="F170" s="205">
        <v>2</v>
      </c>
      <c r="G170" s="205">
        <v>314</v>
      </c>
      <c r="H170" s="222"/>
      <c r="I170" s="206"/>
    </row>
    <row r="171" spans="1:9" ht="27.75" customHeight="1" x14ac:dyDescent="0.3">
      <c r="A171" s="203">
        <v>130</v>
      </c>
      <c r="B171" s="203">
        <v>2020</v>
      </c>
      <c r="C171" s="207" t="s">
        <v>339</v>
      </c>
      <c r="D171" s="208" t="s">
        <v>1</v>
      </c>
      <c r="E171" s="205">
        <v>157</v>
      </c>
      <c r="F171" s="205">
        <v>2.04</v>
      </c>
      <c r="G171" s="205">
        <v>320.27999999999997</v>
      </c>
      <c r="H171" s="222"/>
      <c r="I171" s="206"/>
    </row>
    <row r="172" spans="1:9" x14ac:dyDescent="0.3">
      <c r="A172" s="203">
        <v>131</v>
      </c>
      <c r="B172" s="203">
        <v>2020</v>
      </c>
      <c r="C172" s="207" t="s">
        <v>340</v>
      </c>
      <c r="D172" s="208" t="s">
        <v>1</v>
      </c>
      <c r="E172" s="205">
        <v>157</v>
      </c>
      <c r="F172" s="205">
        <v>2.04</v>
      </c>
      <c r="G172" s="205">
        <v>320.27999999999997</v>
      </c>
      <c r="H172" s="222"/>
      <c r="I172" s="206"/>
    </row>
    <row r="173" spans="1:9" x14ac:dyDescent="0.3">
      <c r="A173" s="203">
        <v>132</v>
      </c>
      <c r="B173" s="203">
        <v>2020</v>
      </c>
      <c r="C173" s="207" t="s">
        <v>341</v>
      </c>
      <c r="D173" s="208" t="s">
        <v>1</v>
      </c>
      <c r="E173" s="205">
        <v>157</v>
      </c>
      <c r="F173" s="205">
        <v>2.2400000000000002</v>
      </c>
      <c r="G173" s="205">
        <v>351.68</v>
      </c>
      <c r="H173" s="222"/>
      <c r="I173" s="206"/>
    </row>
    <row r="174" spans="1:9" x14ac:dyDescent="0.3">
      <c r="A174" s="203">
        <v>133</v>
      </c>
      <c r="B174" s="203">
        <v>2020</v>
      </c>
      <c r="C174" s="207" t="s">
        <v>342</v>
      </c>
      <c r="D174" s="208" t="s">
        <v>1</v>
      </c>
      <c r="E174" s="205">
        <v>157</v>
      </c>
      <c r="F174" s="205">
        <v>1.26</v>
      </c>
      <c r="G174" s="205">
        <v>197.82</v>
      </c>
      <c r="H174" s="222"/>
      <c r="I174" s="206"/>
    </row>
    <row r="175" spans="1:9" ht="15.75" customHeight="1" x14ac:dyDescent="0.3">
      <c r="A175" s="203">
        <v>134</v>
      </c>
      <c r="B175" s="203">
        <v>2020</v>
      </c>
      <c r="C175" s="207" t="s">
        <v>343</v>
      </c>
      <c r="D175" s="208" t="s">
        <v>1</v>
      </c>
      <c r="E175" s="205">
        <v>157</v>
      </c>
      <c r="F175" s="205">
        <v>1.45</v>
      </c>
      <c r="G175" s="205">
        <v>227.65</v>
      </c>
      <c r="H175" s="222"/>
      <c r="I175" s="206"/>
    </row>
    <row r="176" spans="1:9" ht="26.25" customHeight="1" x14ac:dyDescent="0.3">
      <c r="A176" s="203">
        <v>135</v>
      </c>
      <c r="B176" s="203">
        <v>2020</v>
      </c>
      <c r="C176" s="207" t="s">
        <v>344</v>
      </c>
      <c r="D176" s="208" t="s">
        <v>1</v>
      </c>
      <c r="E176" s="205">
        <v>29</v>
      </c>
      <c r="F176" s="205">
        <v>3.12</v>
      </c>
      <c r="G176" s="209">
        <v>90.48</v>
      </c>
      <c r="H176" s="222"/>
      <c r="I176" s="206"/>
    </row>
    <row r="177" spans="1:9" ht="28.5" customHeight="1" x14ac:dyDescent="0.3">
      <c r="A177" s="203">
        <v>136</v>
      </c>
      <c r="B177" s="203">
        <v>2020</v>
      </c>
      <c r="C177" s="207" t="s">
        <v>345</v>
      </c>
      <c r="D177" s="208" t="s">
        <v>1</v>
      </c>
      <c r="E177" s="205">
        <v>29</v>
      </c>
      <c r="F177" s="205">
        <v>3</v>
      </c>
      <c r="G177" s="209">
        <v>87</v>
      </c>
      <c r="H177" s="222"/>
      <c r="I177" s="206"/>
    </row>
    <row r="178" spans="1:9" x14ac:dyDescent="0.3">
      <c r="A178" s="203">
        <v>137</v>
      </c>
      <c r="B178" s="203">
        <v>2020</v>
      </c>
      <c r="C178" s="207" t="s">
        <v>346</v>
      </c>
      <c r="D178" s="208" t="s">
        <v>1</v>
      </c>
      <c r="E178" s="205">
        <v>28</v>
      </c>
      <c r="F178" s="205">
        <v>3.12</v>
      </c>
      <c r="G178" s="209">
        <v>87.36</v>
      </c>
      <c r="H178" s="222"/>
      <c r="I178" s="206"/>
    </row>
    <row r="179" spans="1:9" ht="27.6" x14ac:dyDescent="0.3">
      <c r="A179" s="203">
        <v>138</v>
      </c>
      <c r="B179" s="203">
        <v>2020</v>
      </c>
      <c r="C179" s="207" t="s">
        <v>347</v>
      </c>
      <c r="D179" s="208" t="s">
        <v>1</v>
      </c>
      <c r="E179" s="205">
        <v>31</v>
      </c>
      <c r="F179" s="205">
        <v>2.9699999999999998</v>
      </c>
      <c r="G179" s="209">
        <v>92.07</v>
      </c>
      <c r="H179" s="222"/>
      <c r="I179" s="206"/>
    </row>
    <row r="180" spans="1:9" x14ac:dyDescent="0.3">
      <c r="A180" s="203">
        <v>139</v>
      </c>
      <c r="B180" s="203">
        <v>2020</v>
      </c>
      <c r="C180" s="207" t="s">
        <v>348</v>
      </c>
      <c r="D180" s="208" t="s">
        <v>1</v>
      </c>
      <c r="E180" s="205">
        <v>18</v>
      </c>
      <c r="F180" s="205">
        <v>3.12</v>
      </c>
      <c r="G180" s="209">
        <v>56.160000000000004</v>
      </c>
      <c r="H180" s="222"/>
      <c r="I180" s="206"/>
    </row>
    <row r="181" spans="1:9" x14ac:dyDescent="0.3">
      <c r="A181" s="203">
        <v>140</v>
      </c>
      <c r="B181" s="203">
        <v>2020</v>
      </c>
      <c r="C181" s="207" t="s">
        <v>346</v>
      </c>
      <c r="D181" s="208" t="s">
        <v>1</v>
      </c>
      <c r="E181" s="205">
        <v>21</v>
      </c>
      <c r="F181" s="205">
        <v>4.4000000000000004</v>
      </c>
      <c r="G181" s="209">
        <v>92.4</v>
      </c>
      <c r="H181" s="222"/>
      <c r="I181" s="206"/>
    </row>
    <row r="182" spans="1:9" x14ac:dyDescent="0.3">
      <c r="A182" s="203">
        <v>141</v>
      </c>
      <c r="B182" s="203">
        <v>2020</v>
      </c>
      <c r="C182" s="207" t="s">
        <v>349</v>
      </c>
      <c r="D182" s="208" t="s">
        <v>1</v>
      </c>
      <c r="E182" s="205">
        <v>19</v>
      </c>
      <c r="F182" s="205">
        <v>2.16</v>
      </c>
      <c r="G182" s="209">
        <v>41.040000000000006</v>
      </c>
      <c r="H182" s="222"/>
      <c r="I182" s="206"/>
    </row>
    <row r="183" spans="1:9" ht="27.6" x14ac:dyDescent="0.3">
      <c r="A183" s="203">
        <v>142</v>
      </c>
      <c r="B183" s="203">
        <v>2020</v>
      </c>
      <c r="C183" s="207" t="s">
        <v>344</v>
      </c>
      <c r="D183" s="208" t="s">
        <v>1</v>
      </c>
      <c r="E183" s="205">
        <v>3</v>
      </c>
      <c r="F183" s="205">
        <v>3.1199999999999997</v>
      </c>
      <c r="G183" s="205">
        <v>9.36</v>
      </c>
      <c r="H183" s="222"/>
      <c r="I183" s="206"/>
    </row>
    <row r="184" spans="1:9" ht="27.75" customHeight="1" x14ac:dyDescent="0.3">
      <c r="A184" s="203">
        <v>143</v>
      </c>
      <c r="B184" s="203">
        <v>2020</v>
      </c>
      <c r="C184" s="207" t="s">
        <v>345</v>
      </c>
      <c r="D184" s="208" t="s">
        <v>1</v>
      </c>
      <c r="E184" s="205">
        <v>3</v>
      </c>
      <c r="F184" s="205">
        <v>3.2999999999999994</v>
      </c>
      <c r="G184" s="205">
        <v>9.8999999999999986</v>
      </c>
      <c r="H184" s="222"/>
      <c r="I184" s="206"/>
    </row>
    <row r="185" spans="1:9" x14ac:dyDescent="0.3">
      <c r="A185" s="203">
        <v>144</v>
      </c>
      <c r="B185" s="203">
        <v>2020</v>
      </c>
      <c r="C185" s="207" t="s">
        <v>350</v>
      </c>
      <c r="D185" s="208" t="s">
        <v>1</v>
      </c>
      <c r="E185" s="205">
        <v>2</v>
      </c>
      <c r="F185" s="205">
        <v>2.73</v>
      </c>
      <c r="G185" s="205">
        <v>5.46</v>
      </c>
      <c r="H185" s="222"/>
      <c r="I185" s="206"/>
    </row>
    <row r="186" spans="1:9" ht="27.6" x14ac:dyDescent="0.3">
      <c r="A186" s="203">
        <v>145</v>
      </c>
      <c r="B186" s="203">
        <v>2020</v>
      </c>
      <c r="C186" s="207" t="s">
        <v>351</v>
      </c>
      <c r="D186" s="208" t="s">
        <v>1</v>
      </c>
      <c r="E186" s="205">
        <v>22</v>
      </c>
      <c r="F186" s="205">
        <v>2.73</v>
      </c>
      <c r="G186" s="205">
        <v>60.06</v>
      </c>
      <c r="H186" s="222"/>
      <c r="I186" s="206"/>
    </row>
    <row r="187" spans="1:9" x14ac:dyDescent="0.3">
      <c r="A187" s="203">
        <v>146</v>
      </c>
      <c r="B187" s="203">
        <v>2020</v>
      </c>
      <c r="C187" s="207" t="s">
        <v>352</v>
      </c>
      <c r="D187" s="208" t="s">
        <v>1</v>
      </c>
      <c r="E187" s="205">
        <v>2</v>
      </c>
      <c r="F187" s="205">
        <v>3.12</v>
      </c>
      <c r="G187" s="205">
        <v>6.24</v>
      </c>
      <c r="H187" s="222"/>
      <c r="I187" s="206"/>
    </row>
    <row r="188" spans="1:9" x14ac:dyDescent="0.3">
      <c r="A188" s="203">
        <v>147</v>
      </c>
      <c r="B188" s="203">
        <v>2020</v>
      </c>
      <c r="C188" s="207" t="s">
        <v>346</v>
      </c>
      <c r="D188" s="208" t="s">
        <v>1</v>
      </c>
      <c r="E188" s="205">
        <v>2</v>
      </c>
      <c r="F188" s="205">
        <v>3.12</v>
      </c>
      <c r="G188" s="205">
        <v>6.24</v>
      </c>
      <c r="H188" s="222"/>
      <c r="I188" s="206"/>
    </row>
    <row r="189" spans="1:9" ht="27.6" x14ac:dyDescent="0.3">
      <c r="A189" s="203">
        <v>148</v>
      </c>
      <c r="B189" s="203">
        <v>2020</v>
      </c>
      <c r="C189" s="207" t="s">
        <v>347</v>
      </c>
      <c r="D189" s="208" t="s">
        <v>1</v>
      </c>
      <c r="E189" s="205">
        <v>1</v>
      </c>
      <c r="F189" s="205">
        <v>2.97</v>
      </c>
      <c r="G189" s="205">
        <v>2.97</v>
      </c>
      <c r="H189" s="222"/>
      <c r="I189" s="206"/>
    </row>
    <row r="190" spans="1:9" x14ac:dyDescent="0.3">
      <c r="A190" s="203">
        <v>149</v>
      </c>
      <c r="B190" s="203">
        <v>2020</v>
      </c>
      <c r="C190" s="207" t="s">
        <v>353</v>
      </c>
      <c r="D190" s="208" t="s">
        <v>1</v>
      </c>
      <c r="E190" s="205">
        <v>2</v>
      </c>
      <c r="F190" s="205">
        <v>3.12</v>
      </c>
      <c r="G190" s="205">
        <v>6.24</v>
      </c>
      <c r="H190" s="222"/>
      <c r="I190" s="206"/>
    </row>
    <row r="191" spans="1:9" x14ac:dyDescent="0.3">
      <c r="A191" s="203">
        <v>150</v>
      </c>
      <c r="B191" s="203">
        <v>2020</v>
      </c>
      <c r="C191" s="207" t="s">
        <v>348</v>
      </c>
      <c r="D191" s="208" t="s">
        <v>1</v>
      </c>
      <c r="E191" s="205">
        <v>4</v>
      </c>
      <c r="F191" s="205">
        <v>3.4</v>
      </c>
      <c r="G191" s="205">
        <v>13.6</v>
      </c>
      <c r="H191" s="222"/>
      <c r="I191" s="206"/>
    </row>
    <row r="192" spans="1:9" x14ac:dyDescent="0.3">
      <c r="A192" s="203">
        <v>151</v>
      </c>
      <c r="B192" s="203">
        <v>2020</v>
      </c>
      <c r="C192" s="207" t="s">
        <v>354</v>
      </c>
      <c r="D192" s="208" t="s">
        <v>1</v>
      </c>
      <c r="E192" s="205">
        <v>2</v>
      </c>
      <c r="F192" s="205">
        <v>3</v>
      </c>
      <c r="G192" s="205">
        <v>6</v>
      </c>
      <c r="H192" s="222"/>
      <c r="I192" s="206"/>
    </row>
    <row r="193" spans="1:9" x14ac:dyDescent="0.3">
      <c r="A193" s="203">
        <v>152</v>
      </c>
      <c r="B193" s="203">
        <v>2020</v>
      </c>
      <c r="C193" s="207" t="s">
        <v>355</v>
      </c>
      <c r="D193" s="208" t="s">
        <v>1</v>
      </c>
      <c r="E193" s="205">
        <v>1</v>
      </c>
      <c r="F193" s="205">
        <v>5.55</v>
      </c>
      <c r="G193" s="205">
        <v>5.55</v>
      </c>
      <c r="H193" s="222"/>
      <c r="I193" s="206"/>
    </row>
    <row r="194" spans="1:9" x14ac:dyDescent="0.3">
      <c r="A194" s="203">
        <v>153</v>
      </c>
      <c r="B194" s="203">
        <v>2020</v>
      </c>
      <c r="C194" s="207" t="s">
        <v>349</v>
      </c>
      <c r="D194" s="208" t="s">
        <v>1</v>
      </c>
      <c r="E194" s="205">
        <v>3</v>
      </c>
      <c r="F194" s="205">
        <v>2.16</v>
      </c>
      <c r="G194" s="209">
        <v>6.48</v>
      </c>
      <c r="H194" s="222"/>
      <c r="I194" s="206"/>
    </row>
    <row r="195" spans="1:9" ht="27.6" x14ac:dyDescent="0.3">
      <c r="A195" s="203">
        <v>154</v>
      </c>
      <c r="B195" s="203">
        <v>2020</v>
      </c>
      <c r="C195" s="207" t="s">
        <v>356</v>
      </c>
      <c r="D195" s="208" t="s">
        <v>1</v>
      </c>
      <c r="E195" s="205">
        <v>25</v>
      </c>
      <c r="F195" s="205">
        <v>3</v>
      </c>
      <c r="G195" s="205">
        <v>75</v>
      </c>
      <c r="H195" s="222"/>
      <c r="I195" s="206"/>
    </row>
    <row r="196" spans="1:9" ht="27" customHeight="1" x14ac:dyDescent="0.3">
      <c r="A196" s="203">
        <v>155</v>
      </c>
      <c r="B196" s="203">
        <v>2020</v>
      </c>
      <c r="C196" s="207" t="s">
        <v>357</v>
      </c>
      <c r="D196" s="208" t="s">
        <v>1</v>
      </c>
      <c r="E196" s="205">
        <v>25</v>
      </c>
      <c r="F196" s="205">
        <v>3.12</v>
      </c>
      <c r="G196" s="205">
        <v>78</v>
      </c>
      <c r="H196" s="222"/>
      <c r="I196" s="206"/>
    </row>
    <row r="197" spans="1:9" x14ac:dyDescent="0.3">
      <c r="A197" s="203">
        <v>156</v>
      </c>
      <c r="B197" s="203">
        <v>2020</v>
      </c>
      <c r="C197" s="207" t="s">
        <v>358</v>
      </c>
      <c r="D197" s="208" t="s">
        <v>1</v>
      </c>
      <c r="E197" s="205">
        <v>5</v>
      </c>
      <c r="F197" s="205">
        <v>2.88</v>
      </c>
      <c r="G197" s="205">
        <v>14.399999999999999</v>
      </c>
      <c r="H197" s="222"/>
      <c r="I197" s="206"/>
    </row>
    <row r="198" spans="1:9" ht="27.6" x14ac:dyDescent="0.3">
      <c r="A198" s="203">
        <v>157</v>
      </c>
      <c r="B198" s="203">
        <v>2020</v>
      </c>
      <c r="C198" s="207" t="s">
        <v>359</v>
      </c>
      <c r="D198" s="208" t="s">
        <v>1</v>
      </c>
      <c r="E198" s="205">
        <v>20</v>
      </c>
      <c r="F198" s="205">
        <v>3.12</v>
      </c>
      <c r="G198" s="205">
        <v>62.400000000000006</v>
      </c>
      <c r="H198" s="222"/>
      <c r="I198" s="206"/>
    </row>
    <row r="199" spans="1:9" x14ac:dyDescent="0.3">
      <c r="A199" s="203">
        <v>158</v>
      </c>
      <c r="B199" s="203">
        <v>2020</v>
      </c>
      <c r="C199" s="207" t="s">
        <v>360</v>
      </c>
      <c r="D199" s="208" t="s">
        <v>1</v>
      </c>
      <c r="E199" s="205">
        <v>5</v>
      </c>
      <c r="F199" s="205">
        <v>3.12</v>
      </c>
      <c r="G199" s="205">
        <v>15.600000000000001</v>
      </c>
      <c r="H199" s="222"/>
      <c r="I199" s="206"/>
    </row>
    <row r="200" spans="1:9" x14ac:dyDescent="0.3">
      <c r="A200" s="203">
        <v>159</v>
      </c>
      <c r="B200" s="203">
        <v>2020</v>
      </c>
      <c r="C200" s="207" t="s">
        <v>361</v>
      </c>
      <c r="D200" s="208" t="s">
        <v>1</v>
      </c>
      <c r="E200" s="205">
        <v>25</v>
      </c>
      <c r="F200" s="205">
        <v>3.12</v>
      </c>
      <c r="G200" s="205">
        <v>78</v>
      </c>
      <c r="H200" s="222"/>
      <c r="I200" s="206"/>
    </row>
    <row r="201" spans="1:9" x14ac:dyDescent="0.3">
      <c r="A201" s="203">
        <v>160</v>
      </c>
      <c r="B201" s="203">
        <v>2020</v>
      </c>
      <c r="C201" s="207" t="s">
        <v>362</v>
      </c>
      <c r="D201" s="208" t="s">
        <v>1</v>
      </c>
      <c r="E201" s="205">
        <v>25</v>
      </c>
      <c r="F201" s="205">
        <v>2.7</v>
      </c>
      <c r="G201" s="205">
        <v>67.5</v>
      </c>
      <c r="H201" s="222"/>
      <c r="I201" s="206"/>
    </row>
    <row r="202" spans="1:9" x14ac:dyDescent="0.3">
      <c r="A202" s="203">
        <v>161</v>
      </c>
      <c r="B202" s="203">
        <v>2020</v>
      </c>
      <c r="C202" s="207" t="s">
        <v>228</v>
      </c>
      <c r="D202" s="208" t="s">
        <v>1</v>
      </c>
      <c r="E202" s="205">
        <v>5</v>
      </c>
      <c r="F202" s="205">
        <v>3.12</v>
      </c>
      <c r="G202" s="205">
        <v>15.600000000000001</v>
      </c>
      <c r="H202" s="222"/>
      <c r="I202" s="206"/>
    </row>
    <row r="203" spans="1:9" x14ac:dyDescent="0.3">
      <c r="A203" s="203">
        <v>162</v>
      </c>
      <c r="B203" s="203">
        <v>2020</v>
      </c>
      <c r="C203" s="207" t="s">
        <v>363</v>
      </c>
      <c r="D203" s="208" t="s">
        <v>1</v>
      </c>
      <c r="E203" s="205">
        <v>25</v>
      </c>
      <c r="F203" s="205">
        <v>3.12</v>
      </c>
      <c r="G203" s="205">
        <v>78</v>
      </c>
      <c r="H203" s="222"/>
      <c r="I203" s="206"/>
    </row>
    <row r="204" spans="1:9" x14ac:dyDescent="0.3">
      <c r="A204" s="203">
        <v>163</v>
      </c>
      <c r="B204" s="203">
        <v>2020</v>
      </c>
      <c r="C204" s="207" t="s">
        <v>364</v>
      </c>
      <c r="D204" s="208" t="s">
        <v>1</v>
      </c>
      <c r="E204" s="205">
        <v>5</v>
      </c>
      <c r="F204" s="205">
        <v>3.12</v>
      </c>
      <c r="G204" s="205">
        <v>15.600000000000001</v>
      </c>
      <c r="H204" s="222"/>
      <c r="I204" s="206"/>
    </row>
    <row r="205" spans="1:9" x14ac:dyDescent="0.3">
      <c r="A205" s="203">
        <v>164</v>
      </c>
      <c r="B205" s="203">
        <v>2020</v>
      </c>
      <c r="C205" s="207" t="s">
        <v>365</v>
      </c>
      <c r="D205" s="208" t="s">
        <v>1</v>
      </c>
      <c r="E205" s="205">
        <v>27</v>
      </c>
      <c r="F205" s="205">
        <v>4.4000000000000004</v>
      </c>
      <c r="G205" s="205">
        <v>118.80000000000001</v>
      </c>
      <c r="H205" s="222"/>
      <c r="I205" s="206"/>
    </row>
    <row r="206" spans="1:9" ht="15" thickBot="1" x14ac:dyDescent="0.35">
      <c r="A206" s="212">
        <v>165</v>
      </c>
      <c r="B206" s="212">
        <v>2020</v>
      </c>
      <c r="C206" s="233" t="s">
        <v>366</v>
      </c>
      <c r="D206" s="243" t="s">
        <v>1</v>
      </c>
      <c r="E206" s="234">
        <v>22</v>
      </c>
      <c r="F206" s="234">
        <v>2.16</v>
      </c>
      <c r="G206" s="234">
        <v>47.52</v>
      </c>
      <c r="H206" s="223"/>
      <c r="I206" s="214"/>
    </row>
    <row r="207" spans="1:9" ht="15" thickBot="1" x14ac:dyDescent="0.35">
      <c r="A207" s="241"/>
      <c r="B207" s="215"/>
      <c r="C207" s="247" t="s">
        <v>53</v>
      </c>
      <c r="D207" s="248"/>
      <c r="E207" s="249">
        <f>SUM(E42:E206)</f>
        <v>6471</v>
      </c>
      <c r="F207" s="249"/>
      <c r="G207" s="249">
        <f>SUM(G42:G206)</f>
        <v>12124.639999999994</v>
      </c>
      <c r="H207" s="224"/>
      <c r="I207" s="30"/>
    </row>
    <row r="208" spans="1:9" ht="27.6" x14ac:dyDescent="0.3">
      <c r="A208" s="235">
        <v>166</v>
      </c>
      <c r="B208" s="235">
        <v>2020</v>
      </c>
      <c r="C208" s="244" t="s">
        <v>367</v>
      </c>
      <c r="D208" s="245" t="s">
        <v>1</v>
      </c>
      <c r="E208" s="245">
        <v>4</v>
      </c>
      <c r="F208" s="245">
        <v>4.05</v>
      </c>
      <c r="G208" s="245">
        <v>16.2</v>
      </c>
      <c r="H208" s="239"/>
      <c r="I208" s="240"/>
    </row>
    <row r="209" spans="1:9" ht="27.6" x14ac:dyDescent="0.3">
      <c r="A209" s="203">
        <v>167</v>
      </c>
      <c r="B209" s="203">
        <v>2020</v>
      </c>
      <c r="C209" s="207" t="s">
        <v>368</v>
      </c>
      <c r="D209" s="205" t="s">
        <v>1</v>
      </c>
      <c r="E209" s="205">
        <v>4</v>
      </c>
      <c r="F209" s="205">
        <v>4.1500000000000004</v>
      </c>
      <c r="G209" s="205">
        <v>16.600000000000001</v>
      </c>
      <c r="H209" s="222"/>
      <c r="I209" s="206"/>
    </row>
    <row r="210" spans="1:9" ht="27.6" x14ac:dyDescent="0.3">
      <c r="A210" s="203">
        <v>168</v>
      </c>
      <c r="B210" s="203">
        <v>2020</v>
      </c>
      <c r="C210" s="207" t="s">
        <v>369</v>
      </c>
      <c r="D210" s="205" t="s">
        <v>1</v>
      </c>
      <c r="E210" s="205">
        <v>4</v>
      </c>
      <c r="F210" s="205">
        <v>3.2</v>
      </c>
      <c r="G210" s="205">
        <v>12.8</v>
      </c>
      <c r="H210" s="222"/>
      <c r="I210" s="206"/>
    </row>
    <row r="211" spans="1:9" ht="27.75" customHeight="1" x14ac:dyDescent="0.3">
      <c r="A211" s="203">
        <v>169</v>
      </c>
      <c r="B211" s="203">
        <v>2020</v>
      </c>
      <c r="C211" s="207" t="s">
        <v>370</v>
      </c>
      <c r="D211" s="205" t="s">
        <v>1</v>
      </c>
      <c r="E211" s="205">
        <v>4</v>
      </c>
      <c r="F211" s="205">
        <v>1.95</v>
      </c>
      <c r="G211" s="205">
        <v>7.8</v>
      </c>
      <c r="H211" s="222"/>
      <c r="I211" s="206"/>
    </row>
    <row r="212" spans="1:9" ht="27.75" customHeight="1" x14ac:dyDescent="0.3">
      <c r="A212" s="203">
        <v>170</v>
      </c>
      <c r="B212" s="203">
        <v>2020</v>
      </c>
      <c r="C212" s="207" t="s">
        <v>371</v>
      </c>
      <c r="D212" s="205" t="s">
        <v>1</v>
      </c>
      <c r="E212" s="205">
        <v>4</v>
      </c>
      <c r="F212" s="205">
        <v>4.8</v>
      </c>
      <c r="G212" s="205">
        <v>19.2</v>
      </c>
      <c r="H212" s="222"/>
      <c r="I212" s="206"/>
    </row>
    <row r="213" spans="1:9" ht="27.75" customHeight="1" x14ac:dyDescent="0.3">
      <c r="A213" s="203">
        <v>171</v>
      </c>
      <c r="B213" s="203">
        <v>2020</v>
      </c>
      <c r="C213" s="207" t="s">
        <v>372</v>
      </c>
      <c r="D213" s="205" t="s">
        <v>1</v>
      </c>
      <c r="E213" s="205">
        <v>4</v>
      </c>
      <c r="F213" s="205">
        <v>1.85</v>
      </c>
      <c r="G213" s="205">
        <v>7.4</v>
      </c>
      <c r="H213" s="222"/>
      <c r="I213" s="206"/>
    </row>
    <row r="214" spans="1:9" x14ac:dyDescent="0.3">
      <c r="A214" s="203">
        <v>172</v>
      </c>
      <c r="B214" s="203">
        <v>2020</v>
      </c>
      <c r="C214" s="207" t="s">
        <v>373</v>
      </c>
      <c r="D214" s="205" t="s">
        <v>1</v>
      </c>
      <c r="E214" s="205">
        <v>4</v>
      </c>
      <c r="F214" s="205">
        <v>1.6</v>
      </c>
      <c r="G214" s="205">
        <v>6.4</v>
      </c>
      <c r="H214" s="222"/>
      <c r="I214" s="206"/>
    </row>
    <row r="215" spans="1:9" x14ac:dyDescent="0.3">
      <c r="A215" s="203">
        <v>173</v>
      </c>
      <c r="B215" s="203">
        <v>2020</v>
      </c>
      <c r="C215" s="207" t="s">
        <v>374</v>
      </c>
      <c r="D215" s="205" t="s">
        <v>1</v>
      </c>
      <c r="E215" s="205">
        <v>4</v>
      </c>
      <c r="F215" s="205">
        <v>4.2</v>
      </c>
      <c r="G215" s="205">
        <v>16.8</v>
      </c>
      <c r="H215" s="222"/>
      <c r="I215" s="206"/>
    </row>
    <row r="216" spans="1:9" ht="28.5" customHeight="1" x14ac:dyDescent="0.3">
      <c r="A216" s="203">
        <v>174</v>
      </c>
      <c r="B216" s="203">
        <v>2020</v>
      </c>
      <c r="C216" s="207" t="s">
        <v>375</v>
      </c>
      <c r="D216" s="205" t="s">
        <v>1</v>
      </c>
      <c r="E216" s="205">
        <v>4</v>
      </c>
      <c r="F216" s="205">
        <v>1.6</v>
      </c>
      <c r="G216" s="205">
        <v>6.4</v>
      </c>
      <c r="H216" s="222"/>
      <c r="I216" s="206"/>
    </row>
    <row r="217" spans="1:9" ht="28.5" customHeight="1" x14ac:dyDescent="0.3">
      <c r="A217" s="203">
        <v>175</v>
      </c>
      <c r="B217" s="203">
        <v>2020</v>
      </c>
      <c r="C217" s="207" t="s">
        <v>376</v>
      </c>
      <c r="D217" s="205" t="s">
        <v>1</v>
      </c>
      <c r="E217" s="205">
        <v>4</v>
      </c>
      <c r="F217" s="205">
        <v>1.6</v>
      </c>
      <c r="G217" s="205">
        <v>6.4</v>
      </c>
      <c r="H217" s="206"/>
      <c r="I217" s="206"/>
    </row>
    <row r="218" spans="1:9" ht="42.75" customHeight="1" x14ac:dyDescent="0.3">
      <c r="A218" s="203">
        <v>176</v>
      </c>
      <c r="B218" s="203">
        <v>2020</v>
      </c>
      <c r="C218" s="207" t="s">
        <v>377</v>
      </c>
      <c r="D218" s="205" t="s">
        <v>1</v>
      </c>
      <c r="E218" s="205">
        <v>14</v>
      </c>
      <c r="F218" s="205">
        <v>4.3499999999999996</v>
      </c>
      <c r="G218" s="205">
        <v>60.9</v>
      </c>
      <c r="H218" s="222"/>
      <c r="I218" s="206"/>
    </row>
    <row r="219" spans="1:9" ht="27.6" x14ac:dyDescent="0.3">
      <c r="A219" s="203">
        <v>177</v>
      </c>
      <c r="B219" s="203">
        <v>2020</v>
      </c>
      <c r="C219" s="207" t="s">
        <v>378</v>
      </c>
      <c r="D219" s="205" t="s">
        <v>1</v>
      </c>
      <c r="E219" s="205">
        <v>6</v>
      </c>
      <c r="F219" s="205">
        <v>4.05</v>
      </c>
      <c r="G219" s="205">
        <v>24.3</v>
      </c>
      <c r="H219" s="222"/>
      <c r="I219" s="206"/>
    </row>
    <row r="220" spans="1:9" ht="27.75" customHeight="1" x14ac:dyDescent="0.3">
      <c r="A220" s="203">
        <v>178</v>
      </c>
      <c r="B220" s="203">
        <v>2020</v>
      </c>
      <c r="C220" s="207" t="s">
        <v>379</v>
      </c>
      <c r="D220" s="205" t="s">
        <v>1</v>
      </c>
      <c r="E220" s="205">
        <v>6</v>
      </c>
      <c r="F220" s="205">
        <v>3.8800000000000003</v>
      </c>
      <c r="G220" s="205">
        <v>23.28</v>
      </c>
      <c r="H220" s="222"/>
      <c r="I220" s="206"/>
    </row>
    <row r="221" spans="1:9" ht="21" customHeight="1" x14ac:dyDescent="0.3">
      <c r="A221" s="203">
        <v>179</v>
      </c>
      <c r="B221" s="203">
        <v>2020</v>
      </c>
      <c r="C221" s="207" t="s">
        <v>380</v>
      </c>
      <c r="D221" s="205" t="s">
        <v>1</v>
      </c>
      <c r="E221" s="205">
        <v>6</v>
      </c>
      <c r="F221" s="205">
        <v>3.72</v>
      </c>
      <c r="G221" s="205">
        <v>22.32</v>
      </c>
      <c r="H221" s="222"/>
      <c r="I221" s="206"/>
    </row>
    <row r="222" spans="1:9" ht="28.5" customHeight="1" x14ac:dyDescent="0.3">
      <c r="A222" s="203">
        <v>180</v>
      </c>
      <c r="B222" s="203">
        <v>2020</v>
      </c>
      <c r="C222" s="207" t="s">
        <v>381</v>
      </c>
      <c r="D222" s="205" t="s">
        <v>1</v>
      </c>
      <c r="E222" s="205">
        <v>6</v>
      </c>
      <c r="F222" s="205">
        <v>3.72</v>
      </c>
      <c r="G222" s="205">
        <v>22.32</v>
      </c>
      <c r="H222" s="222"/>
      <c r="I222" s="206"/>
    </row>
    <row r="223" spans="1:9" ht="28.5" customHeight="1" x14ac:dyDescent="0.3">
      <c r="A223" s="203">
        <v>181</v>
      </c>
      <c r="B223" s="203">
        <v>2020</v>
      </c>
      <c r="C223" s="207" t="s">
        <v>382</v>
      </c>
      <c r="D223" s="205" t="s">
        <v>1</v>
      </c>
      <c r="E223" s="205">
        <v>6</v>
      </c>
      <c r="F223" s="205">
        <v>3.8000000000000003</v>
      </c>
      <c r="G223" s="205">
        <v>22.8</v>
      </c>
      <c r="H223" s="222"/>
      <c r="I223" s="206"/>
    </row>
    <row r="224" spans="1:9" x14ac:dyDescent="0.3">
      <c r="A224" s="203">
        <v>182</v>
      </c>
      <c r="B224" s="203">
        <v>2020</v>
      </c>
      <c r="C224" s="207" t="s">
        <v>383</v>
      </c>
      <c r="D224" s="205" t="s">
        <v>1</v>
      </c>
      <c r="E224" s="205">
        <v>6</v>
      </c>
      <c r="F224" s="205">
        <v>3.8000000000000003</v>
      </c>
      <c r="G224" s="205">
        <v>22.8</v>
      </c>
      <c r="H224" s="222"/>
      <c r="I224" s="206"/>
    </row>
    <row r="225" spans="1:9" ht="27.75" customHeight="1" x14ac:dyDescent="0.3">
      <c r="A225" s="203">
        <v>183</v>
      </c>
      <c r="B225" s="203">
        <v>2020</v>
      </c>
      <c r="C225" s="207" t="s">
        <v>384</v>
      </c>
      <c r="D225" s="205" t="s">
        <v>1</v>
      </c>
      <c r="E225" s="205">
        <v>6</v>
      </c>
      <c r="F225" s="205">
        <v>2.75</v>
      </c>
      <c r="G225" s="205">
        <v>16.5</v>
      </c>
      <c r="H225" s="222"/>
      <c r="I225" s="206"/>
    </row>
    <row r="226" spans="1:9" ht="27.75" customHeight="1" x14ac:dyDescent="0.3">
      <c r="A226" s="203">
        <v>184</v>
      </c>
      <c r="B226" s="203">
        <v>2020</v>
      </c>
      <c r="C226" s="207" t="s">
        <v>385</v>
      </c>
      <c r="D226" s="205" t="s">
        <v>1</v>
      </c>
      <c r="E226" s="205">
        <v>6</v>
      </c>
      <c r="F226" s="205">
        <v>2.75</v>
      </c>
      <c r="G226" s="205">
        <v>16.5</v>
      </c>
      <c r="H226" s="222"/>
      <c r="I226" s="206"/>
    </row>
    <row r="227" spans="1:9" x14ac:dyDescent="0.3">
      <c r="A227" s="203">
        <v>185</v>
      </c>
      <c r="B227" s="203">
        <v>2020</v>
      </c>
      <c r="C227" s="207" t="s">
        <v>386</v>
      </c>
      <c r="D227" s="205" t="s">
        <v>1</v>
      </c>
      <c r="E227" s="205">
        <v>6</v>
      </c>
      <c r="F227" s="205">
        <v>4.1499999999999995</v>
      </c>
      <c r="G227" s="205">
        <v>24.9</v>
      </c>
      <c r="H227" s="222"/>
      <c r="I227" s="206"/>
    </row>
    <row r="228" spans="1:9" x14ac:dyDescent="0.3">
      <c r="A228" s="203">
        <v>186</v>
      </c>
      <c r="B228" s="203">
        <v>2020</v>
      </c>
      <c r="C228" s="207" t="s">
        <v>387</v>
      </c>
      <c r="D228" s="205" t="s">
        <v>1</v>
      </c>
      <c r="E228" s="205">
        <v>6</v>
      </c>
      <c r="F228" s="205">
        <v>2.65</v>
      </c>
      <c r="G228" s="205">
        <v>15.9</v>
      </c>
      <c r="H228" s="222"/>
      <c r="I228" s="206"/>
    </row>
    <row r="229" spans="1:9" ht="27.75" customHeight="1" x14ac:dyDescent="0.3">
      <c r="A229" s="203">
        <v>187</v>
      </c>
      <c r="B229" s="203">
        <v>2020</v>
      </c>
      <c r="C229" s="207" t="s">
        <v>388</v>
      </c>
      <c r="D229" s="205" t="s">
        <v>1</v>
      </c>
      <c r="E229" s="205">
        <v>6</v>
      </c>
      <c r="F229" s="205">
        <v>5.25</v>
      </c>
      <c r="G229" s="205">
        <v>31.5</v>
      </c>
      <c r="H229" s="222"/>
      <c r="I229" s="206"/>
    </row>
    <row r="230" spans="1:9" ht="27.75" customHeight="1" x14ac:dyDescent="0.3">
      <c r="A230" s="203">
        <v>188</v>
      </c>
      <c r="B230" s="203">
        <v>2020</v>
      </c>
      <c r="C230" s="207" t="s">
        <v>389</v>
      </c>
      <c r="D230" s="205" t="s">
        <v>1</v>
      </c>
      <c r="E230" s="205">
        <v>6</v>
      </c>
      <c r="F230" s="205">
        <v>2.9499999999999997</v>
      </c>
      <c r="G230" s="205">
        <v>17.7</v>
      </c>
      <c r="H230" s="222"/>
      <c r="I230" s="206"/>
    </row>
    <row r="231" spans="1:9" ht="27.75" customHeight="1" x14ac:dyDescent="0.3">
      <c r="A231" s="203">
        <v>189</v>
      </c>
      <c r="B231" s="203">
        <v>2020</v>
      </c>
      <c r="C231" s="207" t="s">
        <v>390</v>
      </c>
      <c r="D231" s="205" t="s">
        <v>1</v>
      </c>
      <c r="E231" s="205">
        <v>6</v>
      </c>
      <c r="F231" s="205">
        <v>2.5500000000000003</v>
      </c>
      <c r="G231" s="205">
        <v>15.3</v>
      </c>
      <c r="H231" s="222"/>
      <c r="I231" s="206"/>
    </row>
    <row r="232" spans="1:9" ht="27.75" customHeight="1" x14ac:dyDescent="0.3">
      <c r="A232" s="203">
        <v>190</v>
      </c>
      <c r="B232" s="203">
        <v>2020</v>
      </c>
      <c r="C232" s="207" t="s">
        <v>391</v>
      </c>
      <c r="D232" s="205" t="s">
        <v>1</v>
      </c>
      <c r="E232" s="205">
        <v>6</v>
      </c>
      <c r="F232" s="205">
        <v>2.9499999999999997</v>
      </c>
      <c r="G232" s="205">
        <v>17.7</v>
      </c>
      <c r="H232" s="222"/>
      <c r="I232" s="206"/>
    </row>
    <row r="233" spans="1:9" ht="27.75" customHeight="1" thickBot="1" x14ac:dyDescent="0.35">
      <c r="A233" s="212">
        <v>191</v>
      </c>
      <c r="B233" s="212">
        <v>2020</v>
      </c>
      <c r="C233" s="233" t="s">
        <v>392</v>
      </c>
      <c r="D233" s="234" t="s">
        <v>1</v>
      </c>
      <c r="E233" s="234">
        <v>4</v>
      </c>
      <c r="F233" s="234">
        <v>3.26</v>
      </c>
      <c r="G233" s="234">
        <v>13.04</v>
      </c>
      <c r="H233" s="223"/>
      <c r="I233" s="214"/>
    </row>
    <row r="234" spans="1:9" ht="15" thickBot="1" x14ac:dyDescent="0.35">
      <c r="A234" s="241"/>
      <c r="B234" s="215"/>
      <c r="C234" s="242" t="s">
        <v>53</v>
      </c>
      <c r="D234" s="216"/>
      <c r="E234" s="216">
        <f>SUM(E208:E233)</f>
        <v>142</v>
      </c>
      <c r="F234" s="216"/>
      <c r="G234" s="216">
        <f t="shared" ref="G234" si="0">SUM(G208:G233)</f>
        <v>483.76</v>
      </c>
      <c r="H234" s="224"/>
      <c r="I234" s="30"/>
    </row>
    <row r="235" spans="1:9" ht="28.8" x14ac:dyDescent="0.3">
      <c r="A235" s="235">
        <v>192</v>
      </c>
      <c r="B235" s="236">
        <v>2023</v>
      </c>
      <c r="C235" s="237" t="s">
        <v>393</v>
      </c>
      <c r="D235" s="236" t="s">
        <v>220</v>
      </c>
      <c r="E235" s="236">
        <v>75</v>
      </c>
      <c r="F235" s="236">
        <v>6.11</v>
      </c>
      <c r="G235" s="238">
        <f>E235*F235</f>
        <v>458.25</v>
      </c>
      <c r="H235" s="239"/>
      <c r="I235" s="240"/>
    </row>
    <row r="236" spans="1:9" ht="28.8" x14ac:dyDescent="0.3">
      <c r="A236" s="203">
        <v>193</v>
      </c>
      <c r="B236" s="210">
        <v>2024</v>
      </c>
      <c r="C236" s="219" t="s">
        <v>394</v>
      </c>
      <c r="D236" s="210" t="s">
        <v>220</v>
      </c>
      <c r="E236" s="210">
        <v>92</v>
      </c>
      <c r="F236" s="210">
        <v>5.55</v>
      </c>
      <c r="G236" s="211">
        <f t="shared" ref="G236" si="1">E236*F236</f>
        <v>510.59999999999997</v>
      </c>
      <c r="H236" s="222"/>
      <c r="I236" s="206"/>
    </row>
    <row r="237" spans="1:9" ht="15" thickBot="1" x14ac:dyDescent="0.35">
      <c r="A237" s="212"/>
      <c r="B237" s="213"/>
      <c r="C237" s="220" t="s">
        <v>53</v>
      </c>
      <c r="D237" s="221"/>
      <c r="E237" s="221">
        <f>SUM(E235:E236)</f>
        <v>167</v>
      </c>
      <c r="F237" s="221"/>
      <c r="G237" s="221">
        <f t="shared" ref="G237" si="2">SUM(G235:G236)</f>
        <v>968.84999999999991</v>
      </c>
      <c r="H237" s="223"/>
      <c r="I237" s="214"/>
    </row>
    <row r="238" spans="1:9" ht="15" thickBot="1" x14ac:dyDescent="0.35">
      <c r="A238" s="227"/>
      <c r="B238" s="228"/>
      <c r="C238" s="229" t="s">
        <v>36</v>
      </c>
      <c r="D238" s="228"/>
      <c r="E238" s="250">
        <f t="shared" ref="E238" si="3">E237+E234+E207</f>
        <v>6780</v>
      </c>
      <c r="F238" s="230"/>
      <c r="G238" s="230">
        <f>G237+G234+G207</f>
        <v>13577.249999999995</v>
      </c>
      <c r="H238" s="231"/>
      <c r="I238" s="232"/>
    </row>
    <row r="239" spans="1:9" ht="15.6" x14ac:dyDescent="0.3">
      <c r="A239" s="2" t="s">
        <v>37</v>
      </c>
      <c r="B239" s="2"/>
      <c r="C239" s="318" t="s">
        <v>401</v>
      </c>
      <c r="D239" s="318"/>
      <c r="E239" s="318"/>
      <c r="F239" s="318"/>
      <c r="G239" s="318"/>
      <c r="H239" s="318"/>
      <c r="I239" s="318"/>
    </row>
    <row r="240" spans="1:9" x14ac:dyDescent="0.3">
      <c r="A240" s="315" t="s">
        <v>38</v>
      </c>
      <c r="B240" s="315"/>
      <c r="C240" s="315"/>
      <c r="D240" s="315"/>
      <c r="E240" s="315"/>
      <c r="F240" s="315"/>
      <c r="G240" s="315"/>
      <c r="H240" s="315"/>
      <c r="I240" s="315"/>
    </row>
    <row r="241" spans="1:9" ht="34.5" customHeight="1" x14ac:dyDescent="0.3">
      <c r="A241" s="315"/>
      <c r="B241" s="315"/>
      <c r="C241" s="315"/>
      <c r="D241" s="315"/>
      <c r="E241" s="315"/>
      <c r="F241" s="315"/>
      <c r="G241" s="315"/>
      <c r="H241" s="315"/>
      <c r="I241" s="315"/>
    </row>
    <row r="242" spans="1:9" x14ac:dyDescent="0.3">
      <c r="A242" s="313" t="s">
        <v>120</v>
      </c>
      <c r="B242" s="313"/>
      <c r="C242" s="313"/>
      <c r="D242" s="313"/>
      <c r="E242" s="313"/>
      <c r="F242" s="313"/>
      <c r="G242" s="313"/>
      <c r="H242" s="313"/>
      <c r="I242" s="313"/>
    </row>
    <row r="243" spans="1:9" ht="22.5" customHeight="1" x14ac:dyDescent="0.3">
      <c r="A243" s="313"/>
      <c r="B243" s="313"/>
      <c r="C243" s="313"/>
      <c r="D243" s="313"/>
      <c r="E243" s="313"/>
      <c r="F243" s="313"/>
      <c r="G243" s="313"/>
      <c r="H243" s="313"/>
      <c r="I243" s="313"/>
    </row>
    <row r="244" spans="1:9" ht="15.6" x14ac:dyDescent="0.3">
      <c r="A244" s="2" t="s">
        <v>40</v>
      </c>
      <c r="B244" s="2"/>
      <c r="C244" s="33"/>
      <c r="D244" s="2"/>
      <c r="E244" s="107"/>
      <c r="F244" s="108"/>
      <c r="G244" s="108"/>
      <c r="H244" s="42"/>
      <c r="I244" s="2"/>
    </row>
    <row r="245" spans="1:9" ht="15.6" x14ac:dyDescent="0.3">
      <c r="A245" s="2" t="s">
        <v>41</v>
      </c>
      <c r="B245" s="2"/>
      <c r="C245" s="124"/>
      <c r="D245" s="43"/>
      <c r="E245" s="125"/>
      <c r="F245" s="126"/>
      <c r="G245" s="126"/>
      <c r="H245" s="127"/>
      <c r="I245" s="45"/>
    </row>
    <row r="246" spans="1:9" ht="89.25" customHeight="1" x14ac:dyDescent="0.3">
      <c r="A246" s="47" t="s">
        <v>42</v>
      </c>
      <c r="B246" s="47"/>
      <c r="C246" s="358" t="s">
        <v>121</v>
      </c>
      <c r="D246" s="358"/>
      <c r="E246" s="358"/>
      <c r="F246" s="358"/>
      <c r="G246" s="358"/>
      <c r="H246" s="358"/>
      <c r="I246" s="358"/>
    </row>
    <row r="247" spans="1:9" ht="15.6" x14ac:dyDescent="0.3">
      <c r="A247" s="320" t="s">
        <v>94</v>
      </c>
      <c r="B247" s="321"/>
      <c r="C247" s="321"/>
      <c r="D247" s="321"/>
      <c r="E247" s="321"/>
      <c r="F247" s="322"/>
      <c r="G247" s="322"/>
      <c r="H247" s="322"/>
    </row>
    <row r="248" spans="1:9" x14ac:dyDescent="0.3">
      <c r="A248" s="48"/>
      <c r="B248" s="48"/>
      <c r="C248" s="319" t="s">
        <v>44</v>
      </c>
      <c r="D248" s="319"/>
      <c r="E248" s="319"/>
      <c r="F248" s="18"/>
      <c r="G248" s="18"/>
      <c r="H248" s="18" t="s">
        <v>45</v>
      </c>
    </row>
    <row r="249" spans="1:9" ht="15.6" x14ac:dyDescent="0.3">
      <c r="A249" s="309" t="s">
        <v>92</v>
      </c>
      <c r="B249" s="309"/>
      <c r="C249" s="309"/>
      <c r="D249" s="309"/>
      <c r="E249" s="309"/>
      <c r="F249" s="308"/>
      <c r="G249" s="308"/>
      <c r="H249" s="308"/>
      <c r="I249" s="96"/>
    </row>
    <row r="250" spans="1:9" x14ac:dyDescent="0.3">
      <c r="A250" s="48"/>
      <c r="B250" s="48"/>
      <c r="C250" s="310" t="s">
        <v>44</v>
      </c>
      <c r="D250" s="310"/>
      <c r="E250" s="310"/>
      <c r="F250" s="18"/>
      <c r="G250" s="18"/>
      <c r="H250" s="18" t="s">
        <v>45</v>
      </c>
      <c r="I250" s="18"/>
    </row>
    <row r="251" spans="1:9" ht="15.6" x14ac:dyDescent="0.3">
      <c r="A251" s="339" t="s">
        <v>95</v>
      </c>
      <c r="B251" s="340"/>
      <c r="C251" s="340"/>
      <c r="D251" s="340"/>
      <c r="E251" s="340"/>
      <c r="F251" s="322"/>
      <c r="G251" s="322"/>
      <c r="H251" s="322"/>
    </row>
    <row r="252" spans="1:9" x14ac:dyDescent="0.3">
      <c r="A252" s="48"/>
      <c r="B252" s="48"/>
      <c r="C252" s="319" t="s">
        <v>44</v>
      </c>
      <c r="D252" s="319"/>
      <c r="E252" s="319"/>
      <c r="F252" s="18"/>
      <c r="G252" s="18"/>
      <c r="H252" s="18" t="s">
        <v>45</v>
      </c>
    </row>
    <row r="253" spans="1:9" ht="15.6" x14ac:dyDescent="0.3">
      <c r="A253" s="341" t="s">
        <v>47</v>
      </c>
      <c r="B253" s="342"/>
      <c r="C253" s="342"/>
      <c r="D253" s="342"/>
      <c r="E253" s="342"/>
      <c r="F253" s="342"/>
      <c r="G253" s="342"/>
      <c r="H253" s="342"/>
    </row>
    <row r="254" spans="1:9" x14ac:dyDescent="0.3">
      <c r="A254" s="48"/>
      <c r="B254" s="48"/>
      <c r="C254" s="319" t="s">
        <v>44</v>
      </c>
      <c r="D254" s="319"/>
      <c r="E254" s="319"/>
      <c r="F254" s="18"/>
      <c r="G254" s="18"/>
      <c r="H254" s="18" t="s">
        <v>45</v>
      </c>
    </row>
    <row r="255" spans="1:9" ht="15.6" x14ac:dyDescent="0.3">
      <c r="A255" s="95" t="s">
        <v>91</v>
      </c>
      <c r="B255" s="95"/>
      <c r="C255" s="178"/>
      <c r="D255" s="95"/>
      <c r="E255" s="95"/>
      <c r="F255" s="95"/>
      <c r="G255" s="95"/>
      <c r="H255" s="95"/>
      <c r="I255" s="96"/>
    </row>
    <row r="256" spans="1:9" x14ac:dyDescent="0.3">
      <c r="A256" s="48"/>
      <c r="B256" s="48"/>
      <c r="C256" s="310" t="s">
        <v>44</v>
      </c>
      <c r="D256" s="310"/>
      <c r="E256" s="310"/>
      <c r="F256" s="18"/>
      <c r="G256" s="18"/>
      <c r="H256" s="18" t="s">
        <v>45</v>
      </c>
      <c r="I256" s="18"/>
    </row>
    <row r="257" spans="1:9" ht="15.6" x14ac:dyDescent="0.3">
      <c r="A257" s="309" t="s">
        <v>90</v>
      </c>
      <c r="B257" s="309"/>
      <c r="C257" s="309"/>
      <c r="D257" s="309"/>
      <c r="E257" s="309"/>
      <c r="F257" s="308"/>
      <c r="G257" s="308"/>
      <c r="H257" s="308"/>
      <c r="I257" s="96"/>
    </row>
    <row r="258" spans="1:9" x14ac:dyDescent="0.3">
      <c r="A258" s="48"/>
      <c r="B258" s="48"/>
      <c r="C258" s="310" t="s">
        <v>44</v>
      </c>
      <c r="D258" s="310"/>
      <c r="E258" s="310"/>
      <c r="F258" s="18"/>
      <c r="G258" s="18"/>
      <c r="H258" s="18" t="s">
        <v>45</v>
      </c>
      <c r="I258" s="18"/>
    </row>
    <row r="259" spans="1:9" ht="15.6" x14ac:dyDescent="0.3">
      <c r="A259" s="321" t="s">
        <v>122</v>
      </c>
      <c r="B259" s="321"/>
      <c r="C259" s="321"/>
      <c r="D259" s="321"/>
      <c r="E259" s="321"/>
      <c r="F259" s="321"/>
      <c r="G259" s="321"/>
      <c r="H259" s="321"/>
      <c r="I259" s="321"/>
    </row>
    <row r="260" spans="1:9" x14ac:dyDescent="0.3">
      <c r="A260" s="360" t="s">
        <v>44</v>
      </c>
      <c r="B260" s="360"/>
      <c r="C260" s="360"/>
      <c r="D260" s="360"/>
      <c r="E260" s="360"/>
      <c r="F260" s="360"/>
      <c r="G260" s="97"/>
      <c r="H260" s="18" t="s">
        <v>45</v>
      </c>
      <c r="I260" s="18"/>
    </row>
    <row r="261" spans="1:9" ht="15.6" x14ac:dyDescent="0.3">
      <c r="A261" s="342" t="s">
        <v>123</v>
      </c>
      <c r="B261" s="342"/>
      <c r="C261" s="342"/>
      <c r="D261" s="342"/>
      <c r="E261" s="342"/>
      <c r="F261" s="342"/>
      <c r="G261" s="342"/>
      <c r="H261" s="342"/>
      <c r="I261" s="342"/>
    </row>
    <row r="262" spans="1:9" x14ac:dyDescent="0.3">
      <c r="A262" s="359" t="s">
        <v>44</v>
      </c>
      <c r="B262" s="359"/>
      <c r="C262" s="359"/>
      <c r="D262" s="359"/>
      <c r="E262" s="359"/>
      <c r="F262" s="359"/>
      <c r="G262" s="97"/>
      <c r="H262" s="18" t="s">
        <v>45</v>
      </c>
      <c r="I262" s="18"/>
    </row>
    <row r="263" spans="1:9" ht="15.6" x14ac:dyDescent="0.3">
      <c r="A263" s="342" t="s">
        <v>124</v>
      </c>
      <c r="B263" s="342"/>
      <c r="C263" s="342"/>
      <c r="D263" s="342"/>
      <c r="E263" s="342"/>
      <c r="F263" s="342"/>
      <c r="G263" s="342"/>
      <c r="H263" s="342"/>
      <c r="I263" s="342"/>
    </row>
    <row r="264" spans="1:9" x14ac:dyDescent="0.3">
      <c r="A264" s="359" t="s">
        <v>44</v>
      </c>
      <c r="B264" s="359"/>
      <c r="C264" s="359"/>
      <c r="D264" s="359"/>
      <c r="E264" s="359"/>
      <c r="F264" s="359"/>
      <c r="G264" s="97"/>
      <c r="H264" s="18" t="s">
        <v>45</v>
      </c>
      <c r="I264" s="18"/>
    </row>
  </sheetData>
  <mergeCells count="55">
    <mergeCell ref="A261:I261"/>
    <mergeCell ref="A262:F262"/>
    <mergeCell ref="A263:I263"/>
    <mergeCell ref="A264:F264"/>
    <mergeCell ref="C256:E256"/>
    <mergeCell ref="A257:E257"/>
    <mergeCell ref="F257:H257"/>
    <mergeCell ref="C258:E258"/>
    <mergeCell ref="A259:I259"/>
    <mergeCell ref="A260:F260"/>
    <mergeCell ref="C254:E254"/>
    <mergeCell ref="A242:I243"/>
    <mergeCell ref="C246:I246"/>
    <mergeCell ref="A247:E247"/>
    <mergeCell ref="F247:H247"/>
    <mergeCell ref="C248:E248"/>
    <mergeCell ref="A249:E249"/>
    <mergeCell ref="F249:H249"/>
    <mergeCell ref="C250:E250"/>
    <mergeCell ref="A251:E251"/>
    <mergeCell ref="F251:H251"/>
    <mergeCell ref="C252:E252"/>
    <mergeCell ref="A253:H253"/>
    <mergeCell ref="A240:I241"/>
    <mergeCell ref="A28:F28"/>
    <mergeCell ref="G28:I28"/>
    <mergeCell ref="A30:F30"/>
    <mergeCell ref="G30:I30"/>
    <mergeCell ref="D31:F31"/>
    <mergeCell ref="A32:E32"/>
    <mergeCell ref="F32:I32"/>
    <mergeCell ref="D33:F33"/>
    <mergeCell ref="A36:I36"/>
    <mergeCell ref="A38:I38"/>
    <mergeCell ref="A40:I40"/>
    <mergeCell ref="C239:I239"/>
    <mergeCell ref="D23:F23"/>
    <mergeCell ref="A24:F24"/>
    <mergeCell ref="G24:I24"/>
    <mergeCell ref="D25:F25"/>
    <mergeCell ref="A26:F26"/>
    <mergeCell ref="G26:I26"/>
    <mergeCell ref="A22:F22"/>
    <mergeCell ref="G22:I22"/>
    <mergeCell ref="D1:I1"/>
    <mergeCell ref="D9:I9"/>
    <mergeCell ref="D10:I10"/>
    <mergeCell ref="E11:I11"/>
    <mergeCell ref="E12:I12"/>
    <mergeCell ref="E13:I13"/>
    <mergeCell ref="E14:I14"/>
    <mergeCell ref="F16:I16"/>
    <mergeCell ref="C18:G18"/>
    <mergeCell ref="C19:G19"/>
    <mergeCell ref="A20:I21"/>
  </mergeCells>
  <pageMargins left="0.25" right="0.25"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5"/>
  <sheetViews>
    <sheetView topLeftCell="A61" workbookViewId="0">
      <selection activeCell="A8" sqref="A8:I8"/>
    </sheetView>
  </sheetViews>
  <sheetFormatPr defaultRowHeight="14.4" x14ac:dyDescent="0.3"/>
  <cols>
    <col min="1" max="1" width="4.5546875" customWidth="1"/>
    <col min="2" max="2" width="7.33203125" customWidth="1"/>
    <col min="3" max="3" width="24.109375" style="40" customWidth="1"/>
    <col min="7" max="7" width="9.5546875" bestFit="1" customWidth="1"/>
  </cols>
  <sheetData>
    <row r="1" spans="1:9" x14ac:dyDescent="0.3">
      <c r="A1" s="376" t="s">
        <v>207</v>
      </c>
      <c r="B1" s="376"/>
      <c r="C1" s="376"/>
      <c r="D1" s="376"/>
      <c r="E1" s="376"/>
      <c r="F1" s="376"/>
      <c r="G1" s="376"/>
      <c r="H1" s="376"/>
      <c r="I1" s="376"/>
    </row>
    <row r="2" spans="1:9" x14ac:dyDescent="0.3">
      <c r="A2" s="376" t="s">
        <v>208</v>
      </c>
      <c r="B2" s="376"/>
      <c r="C2" s="376"/>
      <c r="D2" s="376"/>
      <c r="E2" s="376"/>
      <c r="F2" s="376"/>
      <c r="G2" s="376"/>
      <c r="H2" s="376"/>
      <c r="I2" s="376"/>
    </row>
    <row r="3" spans="1:9" x14ac:dyDescent="0.3">
      <c r="A3" s="376" t="s">
        <v>209</v>
      </c>
      <c r="B3" s="376"/>
      <c r="C3" s="376"/>
      <c r="D3" s="376"/>
      <c r="E3" s="376"/>
      <c r="F3" s="376"/>
      <c r="G3" s="376"/>
      <c r="H3" s="376"/>
      <c r="I3" s="376"/>
    </row>
    <row r="4" spans="1:9" ht="15.6" x14ac:dyDescent="0.3">
      <c r="A4" s="145"/>
      <c r="B4" s="146"/>
      <c r="C4" s="147"/>
      <c r="D4" s="123"/>
      <c r="E4" s="123"/>
      <c r="F4" s="123"/>
      <c r="G4" s="195"/>
      <c r="H4" s="150"/>
      <c r="I4" s="145"/>
    </row>
    <row r="5" spans="1:9" ht="15.6" x14ac:dyDescent="0.3">
      <c r="A5" s="145" t="s">
        <v>210</v>
      </c>
      <c r="B5" s="146"/>
      <c r="C5" s="147"/>
      <c r="D5" s="123"/>
      <c r="E5" s="123"/>
      <c r="F5" s="376" t="s">
        <v>211</v>
      </c>
      <c r="G5" s="376"/>
      <c r="H5" s="376"/>
      <c r="I5" s="376"/>
    </row>
    <row r="6" spans="1:9" ht="15.6" x14ac:dyDescent="0.3">
      <c r="A6" s="145"/>
      <c r="B6" s="146"/>
      <c r="C6" s="377" t="s">
        <v>212</v>
      </c>
      <c r="D6" s="377"/>
      <c r="E6" s="377"/>
      <c r="F6" s="377"/>
      <c r="G6" s="195"/>
      <c r="H6" s="150"/>
      <c r="I6" s="145"/>
    </row>
    <row r="7" spans="1:9" x14ac:dyDescent="0.3">
      <c r="A7" s="375" t="s">
        <v>213</v>
      </c>
      <c r="B7" s="375"/>
      <c r="C7" s="375"/>
      <c r="D7" s="375"/>
      <c r="E7" s="375"/>
      <c r="F7" s="375"/>
      <c r="G7" s="375"/>
      <c r="H7" s="375"/>
      <c r="I7" s="145"/>
    </row>
    <row r="8" spans="1:9" ht="121.5" customHeight="1" x14ac:dyDescent="0.3">
      <c r="A8" s="367" t="s">
        <v>245</v>
      </c>
      <c r="B8" s="367"/>
      <c r="C8" s="367"/>
      <c r="D8" s="367"/>
      <c r="E8" s="367"/>
      <c r="F8" s="367"/>
      <c r="G8" s="367"/>
      <c r="H8" s="367"/>
      <c r="I8" s="367"/>
    </row>
    <row r="9" spans="1:9" ht="46.8" x14ac:dyDescent="0.3">
      <c r="A9" s="196" t="s">
        <v>214</v>
      </c>
      <c r="B9" s="197" t="s">
        <v>215</v>
      </c>
      <c r="C9" s="198" t="s">
        <v>216</v>
      </c>
      <c r="D9" s="199" t="s">
        <v>29</v>
      </c>
      <c r="E9" s="199" t="s">
        <v>30</v>
      </c>
      <c r="F9" s="200" t="s">
        <v>217</v>
      </c>
      <c r="G9" s="201" t="s">
        <v>218</v>
      </c>
      <c r="H9" s="202" t="s">
        <v>219</v>
      </c>
    </row>
    <row r="10" spans="1:9" ht="27.6" x14ac:dyDescent="0.3">
      <c r="A10" s="203">
        <v>1</v>
      </c>
      <c r="B10" s="203">
        <v>2020</v>
      </c>
      <c r="C10" s="204" t="s">
        <v>246</v>
      </c>
      <c r="D10" s="205" t="s">
        <v>1</v>
      </c>
      <c r="E10" s="205">
        <v>170</v>
      </c>
      <c r="F10" s="205">
        <v>0.85</v>
      </c>
      <c r="G10" s="205">
        <v>144.5</v>
      </c>
      <c r="H10" s="206"/>
    </row>
    <row r="11" spans="1:9" ht="27.6" x14ac:dyDescent="0.3">
      <c r="A11" s="203">
        <v>2</v>
      </c>
      <c r="B11" s="203">
        <v>2020</v>
      </c>
      <c r="C11" s="204" t="s">
        <v>247</v>
      </c>
      <c r="D11" s="205" t="s">
        <v>1</v>
      </c>
      <c r="E11" s="205">
        <v>170</v>
      </c>
      <c r="F11" s="205">
        <v>0.85</v>
      </c>
      <c r="G11" s="205">
        <v>144.5</v>
      </c>
      <c r="H11" s="206"/>
    </row>
    <row r="12" spans="1:9" ht="27.6" x14ac:dyDescent="0.3">
      <c r="A12" s="203">
        <v>3</v>
      </c>
      <c r="B12" s="203">
        <v>2020</v>
      </c>
      <c r="C12" s="204" t="s">
        <v>248</v>
      </c>
      <c r="D12" s="205" t="s">
        <v>1</v>
      </c>
      <c r="E12" s="205">
        <v>170</v>
      </c>
      <c r="F12" s="205">
        <v>0.74</v>
      </c>
      <c r="G12" s="205">
        <v>125.8</v>
      </c>
      <c r="H12" s="206"/>
    </row>
    <row r="13" spans="1:9" ht="27.6" x14ac:dyDescent="0.3">
      <c r="A13" s="203">
        <v>4</v>
      </c>
      <c r="B13" s="203">
        <v>2020</v>
      </c>
      <c r="C13" s="204" t="s">
        <v>249</v>
      </c>
      <c r="D13" s="205" t="s">
        <v>1</v>
      </c>
      <c r="E13" s="205">
        <v>157</v>
      </c>
      <c r="F13" s="205">
        <v>2.04</v>
      </c>
      <c r="G13" s="205">
        <v>320.27999999999997</v>
      </c>
      <c r="H13" s="206"/>
    </row>
    <row r="14" spans="1:9" ht="27.6" x14ac:dyDescent="0.3">
      <c r="A14" s="203">
        <v>5</v>
      </c>
      <c r="B14" s="203">
        <v>2020</v>
      </c>
      <c r="C14" s="204" t="s">
        <v>250</v>
      </c>
      <c r="D14" s="205" t="s">
        <v>1</v>
      </c>
      <c r="E14" s="205">
        <v>157</v>
      </c>
      <c r="F14" s="205">
        <v>2.0699999999999998</v>
      </c>
      <c r="G14" s="205">
        <v>324.99</v>
      </c>
      <c r="H14" s="206"/>
    </row>
    <row r="15" spans="1:9" ht="27.6" x14ac:dyDescent="0.3">
      <c r="A15" s="203">
        <v>6</v>
      </c>
      <c r="B15" s="203">
        <v>2020</v>
      </c>
      <c r="C15" s="204" t="s">
        <v>251</v>
      </c>
      <c r="D15" s="205" t="s">
        <v>1</v>
      </c>
      <c r="E15" s="205">
        <v>157</v>
      </c>
      <c r="F15" s="205">
        <v>1.53</v>
      </c>
      <c r="G15" s="205">
        <v>240.21</v>
      </c>
      <c r="H15" s="206"/>
    </row>
    <row r="16" spans="1:9" ht="27.6" x14ac:dyDescent="0.3">
      <c r="A16" s="203">
        <v>7</v>
      </c>
      <c r="B16" s="203">
        <v>2020</v>
      </c>
      <c r="C16" s="204" t="s">
        <v>252</v>
      </c>
      <c r="D16" s="205" t="s">
        <v>1</v>
      </c>
      <c r="E16" s="205">
        <v>157</v>
      </c>
      <c r="F16" s="205">
        <v>2.2200000000000002</v>
      </c>
      <c r="G16" s="205">
        <v>348.54</v>
      </c>
      <c r="H16" s="206"/>
    </row>
    <row r="17" spans="1:8" ht="27.6" x14ac:dyDescent="0.3">
      <c r="A17" s="203">
        <v>8</v>
      </c>
      <c r="B17" s="203">
        <v>2020</v>
      </c>
      <c r="C17" s="204" t="s">
        <v>253</v>
      </c>
      <c r="D17" s="205" t="s">
        <v>1</v>
      </c>
      <c r="E17" s="205">
        <v>157</v>
      </c>
      <c r="F17" s="205">
        <v>2.04</v>
      </c>
      <c r="G17" s="205">
        <v>320.27999999999997</v>
      </c>
      <c r="H17" s="206"/>
    </row>
    <row r="18" spans="1:8" ht="27.6" x14ac:dyDescent="0.3">
      <c r="A18" s="203">
        <v>9</v>
      </c>
      <c r="B18" s="203">
        <v>2020</v>
      </c>
      <c r="C18" s="204" t="s">
        <v>254</v>
      </c>
      <c r="D18" s="205" t="s">
        <v>1</v>
      </c>
      <c r="E18" s="205">
        <v>157</v>
      </c>
      <c r="F18" s="205">
        <v>1.36</v>
      </c>
      <c r="G18" s="205">
        <v>213.52</v>
      </c>
      <c r="H18" s="206"/>
    </row>
    <row r="19" spans="1:8" ht="41.4" x14ac:dyDescent="0.3">
      <c r="A19" s="203">
        <v>10</v>
      </c>
      <c r="B19" s="203">
        <v>2020</v>
      </c>
      <c r="C19" s="204" t="s">
        <v>255</v>
      </c>
      <c r="D19" s="205" t="s">
        <v>1</v>
      </c>
      <c r="E19" s="205">
        <v>157</v>
      </c>
      <c r="F19" s="205">
        <v>1.4400000000000002</v>
      </c>
      <c r="G19" s="205">
        <v>226.08</v>
      </c>
      <c r="H19" s="206"/>
    </row>
    <row r="20" spans="1:8" ht="27.6" x14ac:dyDescent="0.3">
      <c r="A20" s="203">
        <v>11</v>
      </c>
      <c r="B20" s="203">
        <v>2020</v>
      </c>
      <c r="C20" s="204" t="s">
        <v>256</v>
      </c>
      <c r="D20" s="205" t="s">
        <v>1</v>
      </c>
      <c r="E20" s="205">
        <v>157</v>
      </c>
      <c r="F20" s="205">
        <v>1.17</v>
      </c>
      <c r="G20" s="205">
        <v>183.69</v>
      </c>
      <c r="H20" s="206"/>
    </row>
    <row r="21" spans="1:8" ht="27.6" x14ac:dyDescent="0.3">
      <c r="A21" s="203">
        <v>12</v>
      </c>
      <c r="B21" s="203">
        <v>2020</v>
      </c>
      <c r="C21" s="207" t="s">
        <v>257</v>
      </c>
      <c r="D21" s="208" t="s">
        <v>1</v>
      </c>
      <c r="E21" s="205">
        <v>22</v>
      </c>
      <c r="F21" s="205">
        <v>5.2</v>
      </c>
      <c r="G21" s="205">
        <v>114.4</v>
      </c>
      <c r="H21" s="206"/>
    </row>
    <row r="22" spans="1:8" ht="27.6" x14ac:dyDescent="0.3">
      <c r="A22" s="203">
        <v>13</v>
      </c>
      <c r="B22" s="203">
        <v>2020</v>
      </c>
      <c r="C22" s="207" t="s">
        <v>258</v>
      </c>
      <c r="D22" s="208" t="s">
        <v>1</v>
      </c>
      <c r="E22" s="205">
        <v>160</v>
      </c>
      <c r="F22" s="205">
        <v>1.6</v>
      </c>
      <c r="G22" s="205">
        <v>256</v>
      </c>
      <c r="H22" s="206"/>
    </row>
    <row r="23" spans="1:8" x14ac:dyDescent="0.3">
      <c r="A23" s="203">
        <v>14</v>
      </c>
      <c r="B23" s="203">
        <v>2020</v>
      </c>
      <c r="C23" s="207" t="s">
        <v>259</v>
      </c>
      <c r="D23" s="208" t="s">
        <v>1</v>
      </c>
      <c r="E23" s="205">
        <v>24</v>
      </c>
      <c r="F23" s="205">
        <v>1.8</v>
      </c>
      <c r="G23" s="205">
        <v>43.2</v>
      </c>
      <c r="H23" s="206"/>
    </row>
    <row r="24" spans="1:8" x14ac:dyDescent="0.3">
      <c r="A24" s="203">
        <v>15</v>
      </c>
      <c r="B24" s="203">
        <v>2020</v>
      </c>
      <c r="C24" s="207" t="s">
        <v>260</v>
      </c>
      <c r="D24" s="208" t="s">
        <v>1</v>
      </c>
      <c r="E24" s="205">
        <v>23</v>
      </c>
      <c r="F24" s="205">
        <v>1.52</v>
      </c>
      <c r="G24" s="205">
        <v>34.96</v>
      </c>
      <c r="H24" s="206"/>
    </row>
    <row r="25" spans="1:8" x14ac:dyDescent="0.3">
      <c r="A25" s="203">
        <v>16</v>
      </c>
      <c r="B25" s="203">
        <v>2020</v>
      </c>
      <c r="C25" s="207" t="s">
        <v>261</v>
      </c>
      <c r="D25" s="208" t="s">
        <v>1</v>
      </c>
      <c r="E25" s="205">
        <v>22</v>
      </c>
      <c r="F25" s="205">
        <v>1.4000000000000001</v>
      </c>
      <c r="G25" s="205">
        <v>30.8</v>
      </c>
      <c r="H25" s="206"/>
    </row>
    <row r="26" spans="1:8" x14ac:dyDescent="0.3">
      <c r="A26" s="203">
        <v>17</v>
      </c>
      <c r="B26" s="203">
        <v>2020</v>
      </c>
      <c r="C26" s="207" t="s">
        <v>262</v>
      </c>
      <c r="D26" s="208" t="s">
        <v>1</v>
      </c>
      <c r="E26" s="205">
        <v>28</v>
      </c>
      <c r="F26" s="205">
        <v>3.6</v>
      </c>
      <c r="G26" s="205">
        <v>100.8</v>
      </c>
      <c r="H26" s="206"/>
    </row>
    <row r="27" spans="1:8" x14ac:dyDescent="0.3">
      <c r="A27" s="203">
        <v>18</v>
      </c>
      <c r="B27" s="203">
        <v>2020</v>
      </c>
      <c r="C27" s="207" t="s">
        <v>263</v>
      </c>
      <c r="D27" s="208" t="s">
        <v>1</v>
      </c>
      <c r="E27" s="205">
        <v>22</v>
      </c>
      <c r="F27" s="205">
        <v>1.4000000000000001</v>
      </c>
      <c r="G27" s="205">
        <v>30.8</v>
      </c>
      <c r="H27" s="206"/>
    </row>
    <row r="28" spans="1:8" x14ac:dyDescent="0.3">
      <c r="A28" s="203">
        <v>19</v>
      </c>
      <c r="B28" s="203">
        <v>2020</v>
      </c>
      <c r="C28" s="207" t="s">
        <v>264</v>
      </c>
      <c r="D28" s="208" t="s">
        <v>1</v>
      </c>
      <c r="E28" s="205">
        <v>21</v>
      </c>
      <c r="F28" s="205">
        <v>1.6</v>
      </c>
      <c r="G28" s="205">
        <v>33.6</v>
      </c>
      <c r="H28" s="206"/>
    </row>
    <row r="29" spans="1:8" ht="27.6" x14ac:dyDescent="0.3">
      <c r="A29" s="203">
        <v>20</v>
      </c>
      <c r="B29" s="203">
        <v>2020</v>
      </c>
      <c r="C29" s="207" t="s">
        <v>257</v>
      </c>
      <c r="D29" s="208" t="s">
        <v>1</v>
      </c>
      <c r="E29" s="205">
        <v>15</v>
      </c>
      <c r="F29" s="205">
        <v>4.6800000000000006</v>
      </c>
      <c r="G29" s="205">
        <v>70.2</v>
      </c>
      <c r="H29" s="206"/>
    </row>
    <row r="30" spans="1:8" ht="27.6" x14ac:dyDescent="0.3">
      <c r="A30" s="203">
        <v>21</v>
      </c>
      <c r="B30" s="203">
        <v>2020</v>
      </c>
      <c r="C30" s="207" t="s">
        <v>258</v>
      </c>
      <c r="D30" s="208" t="s">
        <v>1</v>
      </c>
      <c r="E30" s="205">
        <v>25</v>
      </c>
      <c r="F30" s="205">
        <v>1.6</v>
      </c>
      <c r="G30" s="205">
        <v>40</v>
      </c>
      <c r="H30" s="206"/>
    </row>
    <row r="31" spans="1:8" x14ac:dyDescent="0.3">
      <c r="A31" s="203">
        <v>22</v>
      </c>
      <c r="B31" s="203">
        <v>2020</v>
      </c>
      <c r="C31" s="207" t="s">
        <v>259</v>
      </c>
      <c r="D31" s="208" t="s">
        <v>1</v>
      </c>
      <c r="E31" s="205">
        <v>25</v>
      </c>
      <c r="F31" s="205">
        <v>1.8</v>
      </c>
      <c r="G31" s="205">
        <v>45</v>
      </c>
      <c r="H31" s="206"/>
    </row>
    <row r="32" spans="1:8" x14ac:dyDescent="0.3">
      <c r="A32" s="203">
        <v>23</v>
      </c>
      <c r="B32" s="203">
        <v>2020</v>
      </c>
      <c r="C32" s="207" t="s">
        <v>260</v>
      </c>
      <c r="D32" s="208" t="s">
        <v>1</v>
      </c>
      <c r="E32" s="205">
        <v>18</v>
      </c>
      <c r="F32" s="205">
        <v>1.52</v>
      </c>
      <c r="G32" s="205">
        <v>27.36</v>
      </c>
      <c r="H32" s="206"/>
    </row>
    <row r="33" spans="1:8" x14ac:dyDescent="0.3">
      <c r="A33" s="203">
        <v>24</v>
      </c>
      <c r="B33" s="203">
        <v>2020</v>
      </c>
      <c r="C33" s="207" t="s">
        <v>261</v>
      </c>
      <c r="D33" s="208" t="s">
        <v>1</v>
      </c>
      <c r="E33" s="205">
        <v>25</v>
      </c>
      <c r="F33" s="205">
        <v>1.4</v>
      </c>
      <c r="G33" s="205">
        <v>35</v>
      </c>
      <c r="H33" s="206"/>
    </row>
    <row r="34" spans="1:8" x14ac:dyDescent="0.3">
      <c r="A34" s="203">
        <v>25</v>
      </c>
      <c r="B34" s="203">
        <v>2020</v>
      </c>
      <c r="C34" s="207" t="s">
        <v>262</v>
      </c>
      <c r="D34" s="208" t="s">
        <v>1</v>
      </c>
      <c r="E34" s="205">
        <v>25</v>
      </c>
      <c r="F34" s="205">
        <v>3.6</v>
      </c>
      <c r="G34" s="205">
        <v>90</v>
      </c>
      <c r="H34" s="206"/>
    </row>
    <row r="35" spans="1:8" x14ac:dyDescent="0.3">
      <c r="A35" s="203">
        <v>26</v>
      </c>
      <c r="B35" s="203">
        <v>2020</v>
      </c>
      <c r="C35" s="207" t="s">
        <v>263</v>
      </c>
      <c r="D35" s="208" t="s">
        <v>1</v>
      </c>
      <c r="E35" s="205">
        <v>25</v>
      </c>
      <c r="F35" s="205">
        <v>1.4</v>
      </c>
      <c r="G35" s="205">
        <v>35</v>
      </c>
      <c r="H35" s="206"/>
    </row>
    <row r="36" spans="1:8" x14ac:dyDescent="0.3">
      <c r="A36" s="203">
        <v>27</v>
      </c>
      <c r="B36" s="203">
        <v>2020</v>
      </c>
      <c r="C36" s="207" t="s">
        <v>264</v>
      </c>
      <c r="D36" s="208" t="s">
        <v>1</v>
      </c>
      <c r="E36" s="205">
        <v>25</v>
      </c>
      <c r="F36" s="205">
        <v>1.6</v>
      </c>
      <c r="G36" s="205">
        <v>40</v>
      </c>
      <c r="H36" s="206"/>
    </row>
    <row r="37" spans="1:8" ht="27.6" x14ac:dyDescent="0.3">
      <c r="A37" s="203">
        <v>28</v>
      </c>
      <c r="B37" s="203">
        <v>2020</v>
      </c>
      <c r="C37" s="207" t="s">
        <v>265</v>
      </c>
      <c r="D37" s="208" t="s">
        <v>1</v>
      </c>
      <c r="E37" s="205">
        <v>92</v>
      </c>
      <c r="F37" s="205">
        <v>1.6199999999999999</v>
      </c>
      <c r="G37" s="205">
        <v>149.04</v>
      </c>
      <c r="H37" s="206"/>
    </row>
    <row r="38" spans="1:8" x14ac:dyDescent="0.3">
      <c r="A38" s="203">
        <v>29</v>
      </c>
      <c r="B38" s="203">
        <v>2020</v>
      </c>
      <c r="C38" s="207" t="s">
        <v>266</v>
      </c>
      <c r="D38" s="208" t="s">
        <v>1</v>
      </c>
      <c r="E38" s="205">
        <v>13</v>
      </c>
      <c r="F38" s="205">
        <v>2.4</v>
      </c>
      <c r="G38" s="205">
        <v>31.2</v>
      </c>
      <c r="H38" s="206"/>
    </row>
    <row r="39" spans="1:8" x14ac:dyDescent="0.3">
      <c r="A39" s="203">
        <v>30</v>
      </c>
      <c r="B39" s="203">
        <v>2020</v>
      </c>
      <c r="C39" s="207" t="s">
        <v>267</v>
      </c>
      <c r="D39" s="208" t="s">
        <v>1</v>
      </c>
      <c r="E39" s="205">
        <v>11</v>
      </c>
      <c r="F39" s="205">
        <v>1.9</v>
      </c>
      <c r="G39" s="205">
        <v>20.9</v>
      </c>
      <c r="H39" s="206"/>
    </row>
    <row r="40" spans="1:8" x14ac:dyDescent="0.3">
      <c r="A40" s="203">
        <v>31</v>
      </c>
      <c r="B40" s="203">
        <v>2020</v>
      </c>
      <c r="C40" s="207" t="s">
        <v>268</v>
      </c>
      <c r="D40" s="208" t="s">
        <v>1</v>
      </c>
      <c r="E40" s="205">
        <v>9</v>
      </c>
      <c r="F40" s="205">
        <v>1.6</v>
      </c>
      <c r="G40" s="205">
        <v>14.4</v>
      </c>
      <c r="H40" s="206"/>
    </row>
    <row r="41" spans="1:8" x14ac:dyDescent="0.3">
      <c r="A41" s="203">
        <v>32</v>
      </c>
      <c r="B41" s="203">
        <v>2020</v>
      </c>
      <c r="C41" s="207" t="s">
        <v>269</v>
      </c>
      <c r="D41" s="208" t="s">
        <v>1</v>
      </c>
      <c r="E41" s="205">
        <v>20</v>
      </c>
      <c r="F41" s="205">
        <v>3.8</v>
      </c>
      <c r="G41" s="205">
        <v>76</v>
      </c>
      <c r="H41" s="206"/>
    </row>
    <row r="42" spans="1:8" x14ac:dyDescent="0.3">
      <c r="A42" s="203">
        <v>33</v>
      </c>
      <c r="B42" s="203">
        <v>2020</v>
      </c>
      <c r="C42" s="207" t="s">
        <v>270</v>
      </c>
      <c r="D42" s="208" t="s">
        <v>1</v>
      </c>
      <c r="E42" s="205">
        <v>10</v>
      </c>
      <c r="F42" s="205">
        <v>1.6</v>
      </c>
      <c r="G42" s="205">
        <v>16</v>
      </c>
      <c r="H42" s="206"/>
    </row>
    <row r="43" spans="1:8" ht="27.6" x14ac:dyDescent="0.3">
      <c r="A43" s="203">
        <v>34</v>
      </c>
      <c r="B43" s="203">
        <v>2020</v>
      </c>
      <c r="C43" s="207" t="s">
        <v>271</v>
      </c>
      <c r="D43" s="208" t="s">
        <v>1</v>
      </c>
      <c r="E43" s="205">
        <v>20</v>
      </c>
      <c r="F43" s="205">
        <v>4.68</v>
      </c>
      <c r="G43" s="209">
        <v>93.6</v>
      </c>
      <c r="H43" s="206"/>
    </row>
    <row r="44" spans="1:8" ht="27.6" x14ac:dyDescent="0.3">
      <c r="A44" s="203">
        <v>35</v>
      </c>
      <c r="B44" s="203">
        <v>2020</v>
      </c>
      <c r="C44" s="207" t="s">
        <v>272</v>
      </c>
      <c r="D44" s="208" t="s">
        <v>1</v>
      </c>
      <c r="E44" s="205">
        <v>7</v>
      </c>
      <c r="F44" s="205">
        <v>1.8</v>
      </c>
      <c r="G44" s="209">
        <v>12.6</v>
      </c>
      <c r="H44" s="206"/>
    </row>
    <row r="45" spans="1:8" x14ac:dyDescent="0.3">
      <c r="A45" s="203">
        <v>36</v>
      </c>
      <c r="B45" s="203">
        <v>2020</v>
      </c>
      <c r="C45" s="207" t="s">
        <v>266</v>
      </c>
      <c r="D45" s="208" t="s">
        <v>1</v>
      </c>
      <c r="E45" s="205">
        <v>7</v>
      </c>
      <c r="F45" s="205">
        <v>2.4</v>
      </c>
      <c r="G45" s="209">
        <v>16.8</v>
      </c>
      <c r="H45" s="206"/>
    </row>
    <row r="46" spans="1:8" x14ac:dyDescent="0.3">
      <c r="A46" s="203">
        <v>37</v>
      </c>
      <c r="B46" s="203">
        <v>2020</v>
      </c>
      <c r="C46" s="207" t="s">
        <v>267</v>
      </c>
      <c r="D46" s="208" t="s">
        <v>1</v>
      </c>
      <c r="E46" s="205">
        <v>9</v>
      </c>
      <c r="F46" s="205">
        <v>1.9000000000000001</v>
      </c>
      <c r="G46" s="209">
        <v>17.100000000000001</v>
      </c>
      <c r="H46" s="206"/>
    </row>
    <row r="47" spans="1:8" x14ac:dyDescent="0.3">
      <c r="A47" s="203">
        <v>38</v>
      </c>
      <c r="B47" s="203">
        <v>2020</v>
      </c>
      <c r="C47" s="207" t="s">
        <v>273</v>
      </c>
      <c r="D47" s="208" t="s">
        <v>1</v>
      </c>
      <c r="E47" s="205">
        <v>9</v>
      </c>
      <c r="F47" s="205">
        <v>1.6</v>
      </c>
      <c r="G47" s="209">
        <v>14.4</v>
      </c>
      <c r="H47" s="206"/>
    </row>
    <row r="48" spans="1:8" x14ac:dyDescent="0.3">
      <c r="A48" s="203">
        <v>39</v>
      </c>
      <c r="B48" s="203">
        <v>2020</v>
      </c>
      <c r="C48" s="207" t="s">
        <v>269</v>
      </c>
      <c r="D48" s="208" t="s">
        <v>1</v>
      </c>
      <c r="E48" s="205">
        <v>5</v>
      </c>
      <c r="F48" s="205">
        <v>3.8</v>
      </c>
      <c r="G48" s="209">
        <v>19</v>
      </c>
      <c r="H48" s="206"/>
    </row>
    <row r="49" spans="1:8" x14ac:dyDescent="0.3">
      <c r="A49" s="203">
        <v>40</v>
      </c>
      <c r="B49" s="203">
        <v>2020</v>
      </c>
      <c r="C49" s="207" t="s">
        <v>270</v>
      </c>
      <c r="D49" s="208" t="s">
        <v>1</v>
      </c>
      <c r="E49" s="205">
        <v>5</v>
      </c>
      <c r="F49" s="205">
        <v>1.6</v>
      </c>
      <c r="G49" s="209">
        <v>8</v>
      </c>
      <c r="H49" s="206"/>
    </row>
    <row r="50" spans="1:8" x14ac:dyDescent="0.3">
      <c r="A50" s="203">
        <v>41</v>
      </c>
      <c r="B50" s="203">
        <v>2020</v>
      </c>
      <c r="C50" s="207" t="s">
        <v>274</v>
      </c>
      <c r="D50" s="208" t="s">
        <v>1</v>
      </c>
      <c r="E50" s="205">
        <v>10</v>
      </c>
      <c r="F50" s="205">
        <v>1.8</v>
      </c>
      <c r="G50" s="209">
        <v>18</v>
      </c>
      <c r="H50" s="206"/>
    </row>
    <row r="51" spans="1:8" ht="27.6" x14ac:dyDescent="0.3">
      <c r="A51" s="203">
        <v>42</v>
      </c>
      <c r="B51" s="203">
        <v>2020</v>
      </c>
      <c r="C51" s="207" t="s">
        <v>275</v>
      </c>
      <c r="D51" s="208" t="s">
        <v>1</v>
      </c>
      <c r="E51" s="205">
        <v>130</v>
      </c>
      <c r="F51" s="205">
        <v>1.89</v>
      </c>
      <c r="G51" s="205">
        <v>245.7</v>
      </c>
      <c r="H51" s="206"/>
    </row>
    <row r="52" spans="1:8" ht="27.6" x14ac:dyDescent="0.3">
      <c r="A52" s="203">
        <v>43</v>
      </c>
      <c r="B52" s="203">
        <v>2020</v>
      </c>
      <c r="C52" s="207" t="s">
        <v>276</v>
      </c>
      <c r="D52" s="208" t="s">
        <v>1</v>
      </c>
      <c r="E52" s="205">
        <v>4</v>
      </c>
      <c r="F52" s="205">
        <v>5.04</v>
      </c>
      <c r="G52" s="205">
        <v>20.16</v>
      </c>
      <c r="H52" s="206"/>
    </row>
    <row r="53" spans="1:8" x14ac:dyDescent="0.3">
      <c r="A53" s="203">
        <v>44</v>
      </c>
      <c r="B53" s="203">
        <v>2020</v>
      </c>
      <c r="C53" s="207" t="s">
        <v>277</v>
      </c>
      <c r="D53" s="208" t="s">
        <v>1</v>
      </c>
      <c r="E53" s="205">
        <v>4</v>
      </c>
      <c r="F53" s="205">
        <v>2.4700000000000002</v>
      </c>
      <c r="G53" s="205">
        <v>9.8800000000000008</v>
      </c>
      <c r="H53" s="206"/>
    </row>
    <row r="54" spans="1:8" x14ac:dyDescent="0.3">
      <c r="A54" s="203">
        <v>45</v>
      </c>
      <c r="B54" s="203">
        <v>2020</v>
      </c>
      <c r="C54" s="207" t="s">
        <v>278</v>
      </c>
      <c r="D54" s="208" t="s">
        <v>1</v>
      </c>
      <c r="E54" s="205">
        <v>4</v>
      </c>
      <c r="F54" s="205">
        <v>2.09</v>
      </c>
      <c r="G54" s="205">
        <v>8.36</v>
      </c>
      <c r="H54" s="206"/>
    </row>
    <row r="55" spans="1:8" x14ac:dyDescent="0.3">
      <c r="A55" s="203">
        <v>46</v>
      </c>
      <c r="B55" s="203">
        <v>2020</v>
      </c>
      <c r="C55" s="207" t="s">
        <v>279</v>
      </c>
      <c r="D55" s="208" t="s">
        <v>1</v>
      </c>
      <c r="E55" s="205">
        <v>4</v>
      </c>
      <c r="F55" s="205">
        <v>1.71</v>
      </c>
      <c r="G55" s="205">
        <v>6.84</v>
      </c>
      <c r="H55" s="206"/>
    </row>
    <row r="56" spans="1:8" x14ac:dyDescent="0.3">
      <c r="A56" s="203">
        <v>47</v>
      </c>
      <c r="B56" s="203">
        <v>2020</v>
      </c>
      <c r="C56" s="207" t="s">
        <v>280</v>
      </c>
      <c r="D56" s="208" t="s">
        <v>1</v>
      </c>
      <c r="E56" s="205">
        <v>4</v>
      </c>
      <c r="F56" s="205">
        <v>3.99</v>
      </c>
      <c r="G56" s="205">
        <v>15.96</v>
      </c>
      <c r="H56" s="206"/>
    </row>
    <row r="57" spans="1:8" x14ac:dyDescent="0.3">
      <c r="A57" s="203">
        <v>48</v>
      </c>
      <c r="B57" s="203">
        <v>2020</v>
      </c>
      <c r="C57" s="207" t="s">
        <v>281</v>
      </c>
      <c r="D57" s="208" t="s">
        <v>1</v>
      </c>
      <c r="E57" s="205">
        <v>4</v>
      </c>
      <c r="F57" s="205">
        <v>1.71</v>
      </c>
      <c r="G57" s="205">
        <v>6.84</v>
      </c>
      <c r="H57" s="206"/>
    </row>
    <row r="58" spans="1:8" x14ac:dyDescent="0.3">
      <c r="A58" s="203">
        <v>49</v>
      </c>
      <c r="B58" s="203">
        <v>2020</v>
      </c>
      <c r="C58" s="207" t="s">
        <v>282</v>
      </c>
      <c r="D58" s="208" t="s">
        <v>1</v>
      </c>
      <c r="E58" s="205">
        <v>4</v>
      </c>
      <c r="F58" s="205">
        <v>1.9</v>
      </c>
      <c r="G58" s="205">
        <v>7.6</v>
      </c>
      <c r="H58" s="206"/>
    </row>
    <row r="59" spans="1:8" ht="27.6" x14ac:dyDescent="0.3">
      <c r="A59" s="203">
        <v>50</v>
      </c>
      <c r="B59" s="203">
        <v>2020</v>
      </c>
      <c r="C59" s="207" t="s">
        <v>275</v>
      </c>
      <c r="D59" s="208" t="s">
        <v>1</v>
      </c>
      <c r="E59" s="205">
        <v>38</v>
      </c>
      <c r="F59" s="205">
        <v>2.97</v>
      </c>
      <c r="G59" s="205">
        <v>112.86</v>
      </c>
      <c r="H59" s="206"/>
    </row>
    <row r="60" spans="1:8" ht="27.6" x14ac:dyDescent="0.3">
      <c r="A60" s="203">
        <v>51</v>
      </c>
      <c r="B60" s="203">
        <v>2020</v>
      </c>
      <c r="C60" s="207" t="s">
        <v>283</v>
      </c>
      <c r="D60" s="208" t="s">
        <v>1</v>
      </c>
      <c r="E60" s="205">
        <v>60</v>
      </c>
      <c r="F60" s="205">
        <v>4.7</v>
      </c>
      <c r="G60" s="205">
        <v>282</v>
      </c>
      <c r="H60" s="206"/>
    </row>
    <row r="61" spans="1:8" x14ac:dyDescent="0.3">
      <c r="A61" s="203">
        <v>52</v>
      </c>
      <c r="B61" s="203">
        <v>2020</v>
      </c>
      <c r="C61" s="207" t="s">
        <v>284</v>
      </c>
      <c r="D61" s="208" t="s">
        <v>1</v>
      </c>
      <c r="E61" s="205">
        <v>170</v>
      </c>
      <c r="F61" s="205">
        <v>0.9</v>
      </c>
      <c r="G61" s="205">
        <v>153</v>
      </c>
      <c r="H61" s="206"/>
    </row>
    <row r="62" spans="1:8" ht="27.6" x14ac:dyDescent="0.3">
      <c r="A62" s="203">
        <v>53</v>
      </c>
      <c r="B62" s="203">
        <v>2020</v>
      </c>
      <c r="C62" s="207" t="s">
        <v>285</v>
      </c>
      <c r="D62" s="208" t="s">
        <v>1</v>
      </c>
      <c r="E62" s="205">
        <v>170</v>
      </c>
      <c r="F62" s="205">
        <v>2</v>
      </c>
      <c r="G62" s="205">
        <v>340</v>
      </c>
      <c r="H62" s="206"/>
    </row>
    <row r="63" spans="1:8" x14ac:dyDescent="0.3">
      <c r="A63" s="203">
        <v>54</v>
      </c>
      <c r="B63" s="203">
        <v>2020</v>
      </c>
      <c r="C63" s="207" t="s">
        <v>286</v>
      </c>
      <c r="D63" s="208" t="s">
        <v>1</v>
      </c>
      <c r="E63" s="205">
        <v>170</v>
      </c>
      <c r="F63" s="205">
        <v>2.21</v>
      </c>
      <c r="G63" s="205">
        <v>375.7</v>
      </c>
      <c r="H63" s="206"/>
    </row>
    <row r="64" spans="1:8" x14ac:dyDescent="0.3">
      <c r="A64" s="203">
        <v>55</v>
      </c>
      <c r="B64" s="203">
        <v>2020</v>
      </c>
      <c r="C64" s="207" t="s">
        <v>287</v>
      </c>
      <c r="D64" s="208" t="s">
        <v>1</v>
      </c>
      <c r="E64" s="205">
        <v>170</v>
      </c>
      <c r="F64" s="205">
        <v>2.21</v>
      </c>
      <c r="G64" s="205">
        <v>375.7</v>
      </c>
      <c r="H64" s="206"/>
    </row>
    <row r="65" spans="1:8" ht="27.6" x14ac:dyDescent="0.3">
      <c r="A65" s="203">
        <v>56</v>
      </c>
      <c r="B65" s="203">
        <v>2020</v>
      </c>
      <c r="C65" s="207" t="s">
        <v>288</v>
      </c>
      <c r="D65" s="208" t="s">
        <v>1</v>
      </c>
      <c r="E65" s="205">
        <v>110</v>
      </c>
      <c r="F65" s="205">
        <v>1.6</v>
      </c>
      <c r="G65" s="205">
        <v>176</v>
      </c>
      <c r="H65" s="206"/>
    </row>
    <row r="66" spans="1:8" x14ac:dyDescent="0.3">
      <c r="A66" s="203">
        <v>57</v>
      </c>
      <c r="B66" s="203">
        <v>2020</v>
      </c>
      <c r="C66" s="207" t="s">
        <v>289</v>
      </c>
      <c r="D66" s="208" t="s">
        <v>1</v>
      </c>
      <c r="E66" s="205">
        <v>170</v>
      </c>
      <c r="F66" s="205">
        <v>0.89</v>
      </c>
      <c r="G66" s="205">
        <v>151.30000000000001</v>
      </c>
      <c r="H66" s="206"/>
    </row>
    <row r="67" spans="1:8" x14ac:dyDescent="0.3">
      <c r="A67" s="203">
        <v>58</v>
      </c>
      <c r="B67" s="203">
        <v>2020</v>
      </c>
      <c r="C67" s="207" t="s">
        <v>290</v>
      </c>
      <c r="D67" s="208" t="s">
        <v>1</v>
      </c>
      <c r="E67" s="205">
        <v>170</v>
      </c>
      <c r="F67" s="205">
        <v>1.92</v>
      </c>
      <c r="G67" s="205">
        <v>326.39999999999998</v>
      </c>
      <c r="H67" s="206"/>
    </row>
    <row r="68" spans="1:8" ht="27.6" x14ac:dyDescent="0.3">
      <c r="A68" s="203">
        <v>59</v>
      </c>
      <c r="B68" s="203">
        <v>2020</v>
      </c>
      <c r="C68" s="207" t="s">
        <v>291</v>
      </c>
      <c r="D68" s="208" t="s">
        <v>1</v>
      </c>
      <c r="E68" s="205">
        <v>36</v>
      </c>
      <c r="F68" s="205">
        <v>2.4000000000000004</v>
      </c>
      <c r="G68" s="205">
        <v>86.4</v>
      </c>
      <c r="H68" s="206"/>
    </row>
    <row r="69" spans="1:8" x14ac:dyDescent="0.3">
      <c r="A69" s="203">
        <v>60</v>
      </c>
      <c r="B69" s="203">
        <v>2020</v>
      </c>
      <c r="C69" s="207" t="s">
        <v>292</v>
      </c>
      <c r="D69" s="208" t="s">
        <v>1</v>
      </c>
      <c r="E69" s="205">
        <v>31</v>
      </c>
      <c r="F69" s="205">
        <v>1.68</v>
      </c>
      <c r="G69" s="205">
        <v>52.08</v>
      </c>
      <c r="H69" s="206"/>
    </row>
    <row r="70" spans="1:8" x14ac:dyDescent="0.3">
      <c r="A70" s="203">
        <v>61</v>
      </c>
      <c r="B70" s="203">
        <v>2020</v>
      </c>
      <c r="C70" s="207" t="s">
        <v>293</v>
      </c>
      <c r="D70" s="208" t="s">
        <v>1</v>
      </c>
      <c r="E70" s="205">
        <v>29</v>
      </c>
      <c r="F70" s="205">
        <v>2.3000000000000003</v>
      </c>
      <c r="G70" s="205">
        <v>66.7</v>
      </c>
      <c r="H70" s="206"/>
    </row>
    <row r="71" spans="1:8" x14ac:dyDescent="0.3">
      <c r="A71" s="203">
        <v>62</v>
      </c>
      <c r="B71" s="203">
        <v>2020</v>
      </c>
      <c r="C71" s="207" t="s">
        <v>294</v>
      </c>
      <c r="D71" s="208" t="s">
        <v>1</v>
      </c>
      <c r="E71" s="205">
        <v>25</v>
      </c>
      <c r="F71" s="205">
        <v>2.2999999999999998</v>
      </c>
      <c r="G71" s="205">
        <v>57.5</v>
      </c>
      <c r="H71" s="206"/>
    </row>
    <row r="72" spans="1:8" x14ac:dyDescent="0.3">
      <c r="A72" s="203">
        <v>63</v>
      </c>
      <c r="B72" s="203">
        <v>2020</v>
      </c>
      <c r="C72" s="207" t="s">
        <v>295</v>
      </c>
      <c r="D72" s="208" t="s">
        <v>1</v>
      </c>
      <c r="E72" s="205">
        <v>20</v>
      </c>
      <c r="F72" s="205">
        <v>3.15</v>
      </c>
      <c r="G72" s="205">
        <v>63</v>
      </c>
      <c r="H72" s="206"/>
    </row>
    <row r="73" spans="1:8" x14ac:dyDescent="0.3">
      <c r="A73" s="203">
        <v>64</v>
      </c>
      <c r="B73" s="203">
        <v>2020</v>
      </c>
      <c r="C73" s="207" t="s">
        <v>296</v>
      </c>
      <c r="D73" s="208" t="s">
        <v>1</v>
      </c>
      <c r="E73" s="205">
        <v>12</v>
      </c>
      <c r="F73" s="205">
        <v>1.38</v>
      </c>
      <c r="G73" s="205">
        <v>16.559999999999999</v>
      </c>
      <c r="H73" s="206"/>
    </row>
    <row r="74" spans="1:8" x14ac:dyDescent="0.3">
      <c r="A74" s="203">
        <v>65</v>
      </c>
      <c r="B74" s="203">
        <v>2020</v>
      </c>
      <c r="C74" s="207" t="s">
        <v>297</v>
      </c>
      <c r="D74" s="208" t="s">
        <v>1</v>
      </c>
      <c r="E74" s="205">
        <v>26</v>
      </c>
      <c r="F74" s="205">
        <v>1.32</v>
      </c>
      <c r="G74" s="205">
        <v>34.32</v>
      </c>
      <c r="H74" s="206"/>
    </row>
    <row r="75" spans="1:8" x14ac:dyDescent="0.3">
      <c r="A75" s="203">
        <v>66</v>
      </c>
      <c r="B75" s="203">
        <v>2020</v>
      </c>
      <c r="C75" s="207" t="s">
        <v>298</v>
      </c>
      <c r="D75" s="208" t="s">
        <v>1</v>
      </c>
      <c r="E75" s="205">
        <v>20</v>
      </c>
      <c r="F75" s="205">
        <v>1.3800000000000001</v>
      </c>
      <c r="G75" s="205">
        <v>27.6</v>
      </c>
      <c r="H75" s="206"/>
    </row>
    <row r="76" spans="1:8" x14ac:dyDescent="0.3">
      <c r="A76" s="203">
        <v>67</v>
      </c>
      <c r="B76" s="203">
        <v>2020</v>
      </c>
      <c r="C76" s="207" t="s">
        <v>299</v>
      </c>
      <c r="D76" s="208" t="s">
        <v>1</v>
      </c>
      <c r="E76" s="205">
        <v>20</v>
      </c>
      <c r="F76" s="205">
        <v>1.26</v>
      </c>
      <c r="G76" s="205">
        <v>25.2</v>
      </c>
      <c r="H76" s="206"/>
    </row>
    <row r="77" spans="1:8" x14ac:dyDescent="0.3">
      <c r="A77" s="203">
        <v>68</v>
      </c>
      <c r="B77" s="203">
        <v>2020</v>
      </c>
      <c r="C77" s="207" t="s">
        <v>300</v>
      </c>
      <c r="D77" s="208" t="s">
        <v>1</v>
      </c>
      <c r="E77" s="205">
        <v>35</v>
      </c>
      <c r="F77" s="205">
        <v>2.99</v>
      </c>
      <c r="G77" s="205">
        <v>104.65</v>
      </c>
      <c r="H77" s="206"/>
    </row>
    <row r="78" spans="1:8" x14ac:dyDescent="0.3">
      <c r="A78" s="203">
        <v>69</v>
      </c>
      <c r="B78" s="203">
        <v>2020</v>
      </c>
      <c r="C78" s="207" t="s">
        <v>301</v>
      </c>
      <c r="D78" s="208" t="s">
        <v>1</v>
      </c>
      <c r="E78" s="205">
        <v>16</v>
      </c>
      <c r="F78" s="205">
        <v>1.38</v>
      </c>
      <c r="G78" s="205">
        <v>22.08</v>
      </c>
      <c r="H78" s="206"/>
    </row>
    <row r="79" spans="1:8" x14ac:dyDescent="0.3">
      <c r="A79" s="203">
        <v>70</v>
      </c>
      <c r="B79" s="203">
        <v>2020</v>
      </c>
      <c r="C79" s="207" t="s">
        <v>302</v>
      </c>
      <c r="D79" s="208" t="s">
        <v>1</v>
      </c>
      <c r="E79" s="205">
        <v>16</v>
      </c>
      <c r="F79" s="205">
        <v>1.26</v>
      </c>
      <c r="G79" s="205">
        <v>20.16</v>
      </c>
      <c r="H79" s="206"/>
    </row>
    <row r="80" spans="1:8" x14ac:dyDescent="0.3">
      <c r="A80" s="203">
        <v>71</v>
      </c>
      <c r="B80" s="203">
        <v>2020</v>
      </c>
      <c r="C80" s="207" t="s">
        <v>303</v>
      </c>
      <c r="D80" s="208" t="s">
        <v>1</v>
      </c>
      <c r="E80" s="205">
        <v>25</v>
      </c>
      <c r="F80" s="205">
        <v>1.68</v>
      </c>
      <c r="G80" s="205">
        <v>42</v>
      </c>
      <c r="H80" s="206"/>
    </row>
    <row r="81" spans="1:8" ht="27.6" x14ac:dyDescent="0.3">
      <c r="A81" s="203">
        <v>72</v>
      </c>
      <c r="B81" s="203">
        <v>2020</v>
      </c>
      <c r="C81" s="207" t="s">
        <v>291</v>
      </c>
      <c r="D81" s="208" t="s">
        <v>1</v>
      </c>
      <c r="E81" s="205">
        <v>12</v>
      </c>
      <c r="F81" s="205">
        <v>2.64</v>
      </c>
      <c r="G81" s="205">
        <v>31.68</v>
      </c>
      <c r="H81" s="206"/>
    </row>
    <row r="82" spans="1:8" x14ac:dyDescent="0.3">
      <c r="A82" s="203">
        <v>73</v>
      </c>
      <c r="B82" s="203">
        <v>2020</v>
      </c>
      <c r="C82" s="207" t="s">
        <v>292</v>
      </c>
      <c r="D82" s="208" t="s">
        <v>1</v>
      </c>
      <c r="E82" s="205">
        <v>17</v>
      </c>
      <c r="F82" s="205">
        <v>1.76</v>
      </c>
      <c r="G82" s="205">
        <v>29.92</v>
      </c>
      <c r="H82" s="206"/>
    </row>
    <row r="83" spans="1:8" x14ac:dyDescent="0.3">
      <c r="A83" s="203">
        <v>74</v>
      </c>
      <c r="B83" s="203">
        <v>2020</v>
      </c>
      <c r="C83" s="207" t="s">
        <v>293</v>
      </c>
      <c r="D83" s="208" t="s">
        <v>1</v>
      </c>
      <c r="E83" s="205">
        <v>14</v>
      </c>
      <c r="F83" s="205">
        <v>2</v>
      </c>
      <c r="G83" s="205">
        <v>28</v>
      </c>
      <c r="H83" s="206"/>
    </row>
    <row r="84" spans="1:8" x14ac:dyDescent="0.3">
      <c r="A84" s="203">
        <v>75</v>
      </c>
      <c r="B84" s="203">
        <v>2020</v>
      </c>
      <c r="C84" s="207" t="s">
        <v>294</v>
      </c>
      <c r="D84" s="208" t="s">
        <v>1</v>
      </c>
      <c r="E84" s="205">
        <v>13</v>
      </c>
      <c r="F84" s="205">
        <v>2.1</v>
      </c>
      <c r="G84" s="205">
        <v>27.3</v>
      </c>
      <c r="H84" s="206"/>
    </row>
    <row r="85" spans="1:8" x14ac:dyDescent="0.3">
      <c r="A85" s="203">
        <v>76</v>
      </c>
      <c r="B85" s="203">
        <v>2020</v>
      </c>
      <c r="C85" s="207" t="s">
        <v>295</v>
      </c>
      <c r="D85" s="208" t="s">
        <v>1</v>
      </c>
      <c r="E85" s="205">
        <v>11</v>
      </c>
      <c r="F85" s="205">
        <v>3.3</v>
      </c>
      <c r="G85" s="205">
        <v>36.299999999999997</v>
      </c>
      <c r="H85" s="206"/>
    </row>
    <row r="86" spans="1:8" ht="27.6" x14ac:dyDescent="0.3">
      <c r="A86" s="203">
        <v>77</v>
      </c>
      <c r="B86" s="203">
        <v>2020</v>
      </c>
      <c r="C86" s="207" t="s">
        <v>304</v>
      </c>
      <c r="D86" s="208" t="s">
        <v>1</v>
      </c>
      <c r="E86" s="205">
        <v>16</v>
      </c>
      <c r="F86" s="205">
        <v>2.2000000000000002</v>
      </c>
      <c r="G86" s="205">
        <v>35.200000000000003</v>
      </c>
      <c r="H86" s="206"/>
    </row>
    <row r="87" spans="1:8" x14ac:dyDescent="0.3">
      <c r="A87" s="203">
        <v>78</v>
      </c>
      <c r="B87" s="203">
        <v>2020</v>
      </c>
      <c r="C87" s="207" t="s">
        <v>296</v>
      </c>
      <c r="D87" s="208" t="s">
        <v>1</v>
      </c>
      <c r="E87" s="205">
        <v>16</v>
      </c>
      <c r="F87" s="205">
        <v>1.26</v>
      </c>
      <c r="G87" s="205">
        <v>20.16</v>
      </c>
      <c r="H87" s="206"/>
    </row>
    <row r="88" spans="1:8" x14ac:dyDescent="0.3">
      <c r="A88" s="203">
        <v>79</v>
      </c>
      <c r="B88" s="203">
        <v>2020</v>
      </c>
      <c r="C88" s="207" t="s">
        <v>297</v>
      </c>
      <c r="D88" s="208" t="s">
        <v>1</v>
      </c>
      <c r="E88" s="205">
        <v>17</v>
      </c>
      <c r="F88" s="205">
        <v>1.1599999999999999</v>
      </c>
      <c r="G88" s="205">
        <v>19.72</v>
      </c>
      <c r="H88" s="206"/>
    </row>
    <row r="89" spans="1:8" x14ac:dyDescent="0.3">
      <c r="A89" s="203">
        <v>80</v>
      </c>
      <c r="B89" s="203">
        <v>2020</v>
      </c>
      <c r="C89" s="207" t="s">
        <v>298</v>
      </c>
      <c r="D89" s="208" t="s">
        <v>1</v>
      </c>
      <c r="E89" s="205">
        <v>18</v>
      </c>
      <c r="F89" s="205">
        <v>1.26</v>
      </c>
      <c r="G89" s="205">
        <v>22.68</v>
      </c>
      <c r="H89" s="206"/>
    </row>
    <row r="90" spans="1:8" x14ac:dyDescent="0.3">
      <c r="A90" s="203">
        <v>81</v>
      </c>
      <c r="B90" s="203">
        <v>2020</v>
      </c>
      <c r="C90" s="207" t="s">
        <v>299</v>
      </c>
      <c r="D90" s="208" t="s">
        <v>1</v>
      </c>
      <c r="E90" s="205">
        <v>18</v>
      </c>
      <c r="F90" s="205">
        <v>1.32</v>
      </c>
      <c r="G90" s="205">
        <v>23.76</v>
      </c>
      <c r="H90" s="206"/>
    </row>
    <row r="91" spans="1:8" x14ac:dyDescent="0.3">
      <c r="A91" s="203">
        <v>82</v>
      </c>
      <c r="B91" s="203">
        <v>2020</v>
      </c>
      <c r="C91" s="207" t="s">
        <v>300</v>
      </c>
      <c r="D91" s="208" t="s">
        <v>1</v>
      </c>
      <c r="E91" s="205">
        <v>9</v>
      </c>
      <c r="F91" s="205">
        <v>2.73</v>
      </c>
      <c r="G91" s="205">
        <v>24.57</v>
      </c>
      <c r="H91" s="206"/>
    </row>
    <row r="92" spans="1:8" x14ac:dyDescent="0.3">
      <c r="A92" s="203">
        <v>83</v>
      </c>
      <c r="B92" s="203">
        <v>2020</v>
      </c>
      <c r="C92" s="207" t="s">
        <v>301</v>
      </c>
      <c r="D92" s="208" t="s">
        <v>1</v>
      </c>
      <c r="E92" s="205">
        <v>17</v>
      </c>
      <c r="F92" s="205">
        <v>1.26</v>
      </c>
      <c r="G92" s="205">
        <v>21.42</v>
      </c>
      <c r="H92" s="206"/>
    </row>
    <row r="93" spans="1:8" x14ac:dyDescent="0.3">
      <c r="A93" s="203">
        <v>84</v>
      </c>
      <c r="B93" s="203">
        <v>2020</v>
      </c>
      <c r="C93" s="207" t="s">
        <v>302</v>
      </c>
      <c r="D93" s="208" t="s">
        <v>1</v>
      </c>
      <c r="E93" s="205">
        <v>17</v>
      </c>
      <c r="F93" s="205">
        <v>1.32</v>
      </c>
      <c r="G93" s="205">
        <v>22.44</v>
      </c>
      <c r="H93" s="206"/>
    </row>
    <row r="94" spans="1:8" x14ac:dyDescent="0.3">
      <c r="A94" s="203">
        <v>85</v>
      </c>
      <c r="B94" s="203">
        <v>2020</v>
      </c>
      <c r="C94" s="207" t="s">
        <v>303</v>
      </c>
      <c r="D94" s="208" t="s">
        <v>1</v>
      </c>
      <c r="E94" s="205">
        <v>17</v>
      </c>
      <c r="F94" s="205">
        <v>1.76</v>
      </c>
      <c r="G94" s="205">
        <v>29.92</v>
      </c>
      <c r="H94" s="206"/>
    </row>
    <row r="95" spans="1:8" ht="27.6" x14ac:dyDescent="0.3">
      <c r="A95" s="203">
        <v>86</v>
      </c>
      <c r="B95" s="203">
        <v>2020</v>
      </c>
      <c r="C95" s="207" t="s">
        <v>305</v>
      </c>
      <c r="D95" s="208" t="s">
        <v>1</v>
      </c>
      <c r="E95" s="205">
        <v>1</v>
      </c>
      <c r="F95" s="205">
        <v>1.98</v>
      </c>
      <c r="G95" s="205">
        <v>1.98</v>
      </c>
      <c r="H95" s="206"/>
    </row>
    <row r="96" spans="1:8" x14ac:dyDescent="0.3">
      <c r="A96" s="203">
        <v>87</v>
      </c>
      <c r="B96" s="203">
        <v>2020</v>
      </c>
      <c r="C96" s="207" t="s">
        <v>306</v>
      </c>
      <c r="D96" s="208" t="s">
        <v>1</v>
      </c>
      <c r="E96" s="205">
        <v>1</v>
      </c>
      <c r="F96" s="205">
        <v>1.52</v>
      </c>
      <c r="G96" s="205">
        <v>1.52</v>
      </c>
      <c r="H96" s="206"/>
    </row>
    <row r="97" spans="1:8" x14ac:dyDescent="0.3">
      <c r="A97" s="203">
        <v>88</v>
      </c>
      <c r="B97" s="203">
        <v>2020</v>
      </c>
      <c r="C97" s="207" t="s">
        <v>307</v>
      </c>
      <c r="D97" s="208" t="s">
        <v>1</v>
      </c>
      <c r="E97" s="205">
        <v>1</v>
      </c>
      <c r="F97" s="205">
        <v>2.0699999999999998</v>
      </c>
      <c r="G97" s="205">
        <v>2.0699999999999998</v>
      </c>
      <c r="H97" s="206"/>
    </row>
    <row r="98" spans="1:8" x14ac:dyDescent="0.3">
      <c r="A98" s="203">
        <v>89</v>
      </c>
      <c r="B98" s="203">
        <v>2020</v>
      </c>
      <c r="C98" s="207" t="s">
        <v>308</v>
      </c>
      <c r="D98" s="208" t="s">
        <v>1</v>
      </c>
      <c r="E98" s="205">
        <v>1</v>
      </c>
      <c r="F98" s="205">
        <v>2.0699999999999998</v>
      </c>
      <c r="G98" s="205">
        <v>2.0699999999999998</v>
      </c>
      <c r="H98" s="206"/>
    </row>
    <row r="99" spans="1:8" x14ac:dyDescent="0.3">
      <c r="A99" s="203">
        <v>90</v>
      </c>
      <c r="B99" s="203">
        <v>2020</v>
      </c>
      <c r="C99" s="207" t="s">
        <v>309</v>
      </c>
      <c r="D99" s="208" t="s">
        <v>1</v>
      </c>
      <c r="E99" s="205">
        <v>1</v>
      </c>
      <c r="F99" s="205">
        <v>1.63</v>
      </c>
      <c r="G99" s="205">
        <v>1.63</v>
      </c>
      <c r="H99" s="206"/>
    </row>
    <row r="100" spans="1:8" x14ac:dyDescent="0.3">
      <c r="A100" s="203">
        <v>91</v>
      </c>
      <c r="B100" s="203">
        <v>2020</v>
      </c>
      <c r="C100" s="207" t="s">
        <v>310</v>
      </c>
      <c r="D100" s="208" t="s">
        <v>1</v>
      </c>
      <c r="E100" s="205">
        <v>1</v>
      </c>
      <c r="F100" s="205">
        <v>1.25</v>
      </c>
      <c r="G100" s="205">
        <v>1.25</v>
      </c>
      <c r="H100" s="206"/>
    </row>
    <row r="101" spans="1:8" x14ac:dyDescent="0.3">
      <c r="A101" s="203">
        <v>92</v>
      </c>
      <c r="B101" s="203">
        <v>2020</v>
      </c>
      <c r="C101" s="207" t="s">
        <v>311</v>
      </c>
      <c r="D101" s="208" t="s">
        <v>1</v>
      </c>
      <c r="E101" s="205">
        <v>1</v>
      </c>
      <c r="F101" s="205">
        <v>1.0900000000000001</v>
      </c>
      <c r="G101" s="205">
        <v>1.0900000000000001</v>
      </c>
      <c r="H101" s="206"/>
    </row>
    <row r="102" spans="1:8" x14ac:dyDescent="0.3">
      <c r="A102" s="203">
        <v>93</v>
      </c>
      <c r="B102" s="203">
        <v>2020</v>
      </c>
      <c r="C102" s="207" t="s">
        <v>312</v>
      </c>
      <c r="D102" s="208" t="s">
        <v>1</v>
      </c>
      <c r="E102" s="205">
        <v>1</v>
      </c>
      <c r="F102" s="205">
        <v>1.32</v>
      </c>
      <c r="G102" s="205">
        <v>1.32</v>
      </c>
      <c r="H102" s="206"/>
    </row>
    <row r="103" spans="1:8" x14ac:dyDescent="0.3">
      <c r="A103" s="203">
        <v>94</v>
      </c>
      <c r="B103" s="203">
        <v>2020</v>
      </c>
      <c r="C103" s="207" t="s">
        <v>313</v>
      </c>
      <c r="D103" s="208" t="s">
        <v>1</v>
      </c>
      <c r="E103" s="205">
        <v>1</v>
      </c>
      <c r="F103" s="205">
        <v>1.5</v>
      </c>
      <c r="G103" s="205">
        <v>1.5</v>
      </c>
      <c r="H103" s="206"/>
    </row>
    <row r="104" spans="1:8" x14ac:dyDescent="0.3">
      <c r="A104" s="203">
        <v>95</v>
      </c>
      <c r="B104" s="203">
        <v>2020</v>
      </c>
      <c r="C104" s="207" t="s">
        <v>314</v>
      </c>
      <c r="D104" s="208" t="s">
        <v>1</v>
      </c>
      <c r="E104" s="205">
        <v>1</v>
      </c>
      <c r="F104" s="205">
        <v>0.91</v>
      </c>
      <c r="G104" s="205">
        <v>0.91</v>
      </c>
      <c r="H104" s="206"/>
    </row>
    <row r="105" spans="1:8" ht="27.6" x14ac:dyDescent="0.3">
      <c r="A105" s="203">
        <v>96</v>
      </c>
      <c r="B105" s="203">
        <v>2020</v>
      </c>
      <c r="C105" s="207" t="s">
        <v>305</v>
      </c>
      <c r="D105" s="208" t="s">
        <v>1</v>
      </c>
      <c r="E105" s="205">
        <v>19</v>
      </c>
      <c r="F105" s="205">
        <v>2.1999999999999997</v>
      </c>
      <c r="G105" s="205">
        <v>41.8</v>
      </c>
      <c r="H105" s="206"/>
    </row>
    <row r="106" spans="1:8" x14ac:dyDescent="0.3">
      <c r="A106" s="203">
        <v>97</v>
      </c>
      <c r="B106" s="203">
        <v>2020</v>
      </c>
      <c r="C106" s="207" t="s">
        <v>306</v>
      </c>
      <c r="D106" s="208" t="s">
        <v>1</v>
      </c>
      <c r="E106" s="205">
        <v>19</v>
      </c>
      <c r="F106" s="205">
        <v>1.52</v>
      </c>
      <c r="G106" s="205">
        <v>28.88</v>
      </c>
      <c r="H106" s="206"/>
    </row>
    <row r="107" spans="1:8" x14ac:dyDescent="0.3">
      <c r="A107" s="203">
        <v>98</v>
      </c>
      <c r="B107" s="203">
        <v>2020</v>
      </c>
      <c r="C107" s="207" t="s">
        <v>307</v>
      </c>
      <c r="D107" s="208" t="s">
        <v>1</v>
      </c>
      <c r="E107" s="205">
        <v>14</v>
      </c>
      <c r="F107" s="205">
        <v>2.0699999999999998</v>
      </c>
      <c r="G107" s="205">
        <v>28.98</v>
      </c>
      <c r="H107" s="206"/>
    </row>
    <row r="108" spans="1:8" x14ac:dyDescent="0.3">
      <c r="A108" s="203">
        <v>99</v>
      </c>
      <c r="B108" s="203">
        <v>2020</v>
      </c>
      <c r="C108" s="207" t="s">
        <v>308</v>
      </c>
      <c r="D108" s="208" t="s">
        <v>1</v>
      </c>
      <c r="E108" s="205">
        <v>14</v>
      </c>
      <c r="F108" s="205">
        <v>1.8</v>
      </c>
      <c r="G108" s="205">
        <v>25.2</v>
      </c>
      <c r="H108" s="206"/>
    </row>
    <row r="109" spans="1:8" x14ac:dyDescent="0.3">
      <c r="A109" s="203">
        <v>100</v>
      </c>
      <c r="B109" s="203">
        <v>2020</v>
      </c>
      <c r="C109" s="207" t="s">
        <v>315</v>
      </c>
      <c r="D109" s="208" t="s">
        <v>1</v>
      </c>
      <c r="E109" s="205">
        <v>15</v>
      </c>
      <c r="F109" s="205">
        <v>2.3400000000000003</v>
      </c>
      <c r="G109" s="205">
        <v>35.1</v>
      </c>
      <c r="H109" s="206"/>
    </row>
    <row r="110" spans="1:8" ht="27.6" x14ac:dyDescent="0.3">
      <c r="A110" s="203">
        <v>101</v>
      </c>
      <c r="B110" s="203">
        <v>2020</v>
      </c>
      <c r="C110" s="207" t="s">
        <v>316</v>
      </c>
      <c r="D110" s="208" t="s">
        <v>1</v>
      </c>
      <c r="E110" s="205">
        <v>35</v>
      </c>
      <c r="F110" s="205">
        <v>2.1</v>
      </c>
      <c r="G110" s="205">
        <v>73.5</v>
      </c>
      <c r="H110" s="206"/>
    </row>
    <row r="111" spans="1:8" x14ac:dyDescent="0.3">
      <c r="A111" s="203">
        <v>102</v>
      </c>
      <c r="B111" s="203">
        <v>2020</v>
      </c>
      <c r="C111" s="207" t="s">
        <v>309</v>
      </c>
      <c r="D111" s="208" t="s">
        <v>1</v>
      </c>
      <c r="E111" s="205">
        <v>14</v>
      </c>
      <c r="F111" s="205">
        <v>1.6300000000000001</v>
      </c>
      <c r="G111" s="205">
        <v>22.82</v>
      </c>
      <c r="H111" s="206"/>
    </row>
    <row r="112" spans="1:8" x14ac:dyDescent="0.3">
      <c r="A112" s="203">
        <v>103</v>
      </c>
      <c r="B112" s="203">
        <v>2020</v>
      </c>
      <c r="C112" s="207" t="s">
        <v>317</v>
      </c>
      <c r="D112" s="208" t="s">
        <v>1</v>
      </c>
      <c r="E112" s="205">
        <v>9</v>
      </c>
      <c r="F112" s="205">
        <v>0.95000000000000007</v>
      </c>
      <c r="G112" s="205">
        <v>8.5500000000000007</v>
      </c>
      <c r="H112" s="206"/>
    </row>
    <row r="113" spans="1:8" x14ac:dyDescent="0.3">
      <c r="A113" s="203">
        <v>104</v>
      </c>
      <c r="B113" s="203">
        <v>2020</v>
      </c>
      <c r="C113" s="207" t="s">
        <v>311</v>
      </c>
      <c r="D113" s="208" t="s">
        <v>1</v>
      </c>
      <c r="E113" s="205">
        <v>9</v>
      </c>
      <c r="F113" s="205">
        <v>1.0900000000000001</v>
      </c>
      <c r="G113" s="205">
        <v>9.81</v>
      </c>
      <c r="H113" s="206"/>
    </row>
    <row r="114" spans="1:8" x14ac:dyDescent="0.3">
      <c r="A114" s="203">
        <v>105</v>
      </c>
      <c r="B114" s="203">
        <v>2020</v>
      </c>
      <c r="C114" s="207" t="s">
        <v>318</v>
      </c>
      <c r="D114" s="208" t="s">
        <v>1</v>
      </c>
      <c r="E114" s="205">
        <v>15</v>
      </c>
      <c r="F114" s="205">
        <v>1.38</v>
      </c>
      <c r="G114" s="205">
        <v>20.7</v>
      </c>
      <c r="H114" s="206"/>
    </row>
    <row r="115" spans="1:8" x14ac:dyDescent="0.3">
      <c r="A115" s="203">
        <v>106</v>
      </c>
      <c r="B115" s="203">
        <v>2020</v>
      </c>
      <c r="C115" s="207" t="s">
        <v>312</v>
      </c>
      <c r="D115" s="208" t="s">
        <v>1</v>
      </c>
      <c r="E115" s="205">
        <v>8</v>
      </c>
      <c r="F115" s="205">
        <v>1.1399999999999999</v>
      </c>
      <c r="G115" s="205">
        <v>9.1199999999999992</v>
      </c>
      <c r="H115" s="206"/>
    </row>
    <row r="116" spans="1:8" x14ac:dyDescent="0.3">
      <c r="A116" s="203">
        <v>107</v>
      </c>
      <c r="B116" s="203">
        <v>2020</v>
      </c>
      <c r="C116" s="207" t="s">
        <v>315</v>
      </c>
      <c r="D116" s="208" t="s">
        <v>1</v>
      </c>
      <c r="E116" s="205">
        <v>20</v>
      </c>
      <c r="F116" s="205">
        <v>2.5300000000000002</v>
      </c>
      <c r="G116" s="205">
        <v>50.6</v>
      </c>
      <c r="H116" s="206"/>
    </row>
    <row r="117" spans="1:8" x14ac:dyDescent="0.3">
      <c r="A117" s="203">
        <v>108</v>
      </c>
      <c r="B117" s="203">
        <v>2020</v>
      </c>
      <c r="C117" s="207" t="s">
        <v>313</v>
      </c>
      <c r="D117" s="208" t="s">
        <v>1</v>
      </c>
      <c r="E117" s="205">
        <v>8</v>
      </c>
      <c r="F117" s="205">
        <v>1.1399999999999999</v>
      </c>
      <c r="G117" s="205">
        <v>9.1199999999999992</v>
      </c>
      <c r="H117" s="206"/>
    </row>
    <row r="118" spans="1:8" x14ac:dyDescent="0.3">
      <c r="A118" s="203">
        <v>109</v>
      </c>
      <c r="B118" s="203">
        <v>2020</v>
      </c>
      <c r="C118" s="207" t="s">
        <v>319</v>
      </c>
      <c r="D118" s="208" t="s">
        <v>1</v>
      </c>
      <c r="E118" s="205">
        <v>10</v>
      </c>
      <c r="F118" s="205">
        <v>1.0900000000000001</v>
      </c>
      <c r="G118" s="205">
        <v>10.9</v>
      </c>
      <c r="H118" s="206"/>
    </row>
    <row r="119" spans="1:8" x14ac:dyDescent="0.3">
      <c r="A119" s="203">
        <v>110</v>
      </c>
      <c r="B119" s="203">
        <v>2020</v>
      </c>
      <c r="C119" s="207" t="s">
        <v>320</v>
      </c>
      <c r="D119" s="208" t="s">
        <v>1</v>
      </c>
      <c r="E119" s="205">
        <v>20</v>
      </c>
      <c r="F119" s="205">
        <v>1.52</v>
      </c>
      <c r="G119" s="205">
        <v>30.4</v>
      </c>
      <c r="H119" s="206"/>
    </row>
    <row r="120" spans="1:8" x14ac:dyDescent="0.3">
      <c r="A120" s="203">
        <v>111</v>
      </c>
      <c r="B120" s="203">
        <v>2020</v>
      </c>
      <c r="C120" s="207" t="s">
        <v>314</v>
      </c>
      <c r="D120" s="208" t="s">
        <v>1</v>
      </c>
      <c r="E120" s="205">
        <v>18</v>
      </c>
      <c r="F120" s="205">
        <v>1.54</v>
      </c>
      <c r="G120" s="205">
        <v>27.72</v>
      </c>
      <c r="H120" s="206"/>
    </row>
    <row r="121" spans="1:8" ht="27.6" x14ac:dyDescent="0.3">
      <c r="A121" s="203">
        <v>112</v>
      </c>
      <c r="B121" s="203">
        <v>2020</v>
      </c>
      <c r="C121" s="207" t="s">
        <v>321</v>
      </c>
      <c r="D121" s="208" t="s">
        <v>1</v>
      </c>
      <c r="E121" s="205">
        <v>7</v>
      </c>
      <c r="F121" s="205">
        <v>1.8</v>
      </c>
      <c r="G121" s="209">
        <v>12.6</v>
      </c>
      <c r="H121" s="206"/>
    </row>
    <row r="122" spans="1:8" x14ac:dyDescent="0.3">
      <c r="A122" s="203">
        <v>113</v>
      </c>
      <c r="B122" s="203">
        <v>2020</v>
      </c>
      <c r="C122" s="207" t="s">
        <v>322</v>
      </c>
      <c r="D122" s="208" t="s">
        <v>1</v>
      </c>
      <c r="E122" s="205">
        <v>7</v>
      </c>
      <c r="F122" s="205">
        <v>2.5</v>
      </c>
      <c r="G122" s="209">
        <v>17.5</v>
      </c>
      <c r="H122" s="206"/>
    </row>
    <row r="123" spans="1:8" x14ac:dyDescent="0.3">
      <c r="A123" s="203">
        <v>114</v>
      </c>
      <c r="B123" s="203">
        <v>2020</v>
      </c>
      <c r="C123" s="207" t="s">
        <v>323</v>
      </c>
      <c r="D123" s="208" t="s">
        <v>1</v>
      </c>
      <c r="E123" s="205">
        <v>7</v>
      </c>
      <c r="F123" s="205">
        <v>2.64</v>
      </c>
      <c r="G123" s="209">
        <v>18.48</v>
      </c>
      <c r="H123" s="206"/>
    </row>
    <row r="124" spans="1:8" x14ac:dyDescent="0.3">
      <c r="A124" s="203">
        <v>115</v>
      </c>
      <c r="B124" s="203">
        <v>2020</v>
      </c>
      <c r="C124" s="207" t="s">
        <v>324</v>
      </c>
      <c r="D124" s="208" t="s">
        <v>1</v>
      </c>
      <c r="E124" s="205">
        <v>7</v>
      </c>
      <c r="F124" s="205">
        <v>2.88</v>
      </c>
      <c r="G124" s="209">
        <v>20.16</v>
      </c>
      <c r="H124" s="206"/>
    </row>
    <row r="125" spans="1:8" x14ac:dyDescent="0.3">
      <c r="A125" s="203">
        <v>116</v>
      </c>
      <c r="B125" s="203">
        <v>2020</v>
      </c>
      <c r="C125" s="207" t="s">
        <v>325</v>
      </c>
      <c r="D125" s="208" t="s">
        <v>1</v>
      </c>
      <c r="E125" s="205">
        <v>7</v>
      </c>
      <c r="F125" s="205">
        <v>2.34</v>
      </c>
      <c r="G125" s="209">
        <v>16.38</v>
      </c>
      <c r="H125" s="206"/>
    </row>
    <row r="126" spans="1:8" ht="27.6" x14ac:dyDescent="0.3">
      <c r="A126" s="203">
        <v>117</v>
      </c>
      <c r="B126" s="203">
        <v>2020</v>
      </c>
      <c r="C126" s="207" t="s">
        <v>326</v>
      </c>
      <c r="D126" s="208" t="s">
        <v>1</v>
      </c>
      <c r="E126" s="205">
        <v>160</v>
      </c>
      <c r="F126" s="205">
        <v>1.8</v>
      </c>
      <c r="G126" s="209">
        <v>288</v>
      </c>
      <c r="H126" s="206"/>
    </row>
    <row r="127" spans="1:8" x14ac:dyDescent="0.3">
      <c r="A127" s="203">
        <v>118</v>
      </c>
      <c r="B127" s="203">
        <v>2020</v>
      </c>
      <c r="C127" s="207" t="s">
        <v>327</v>
      </c>
      <c r="D127" s="208" t="s">
        <v>1</v>
      </c>
      <c r="E127" s="205">
        <v>7</v>
      </c>
      <c r="F127" s="205">
        <v>2.38</v>
      </c>
      <c r="G127" s="209">
        <v>16.66</v>
      </c>
      <c r="H127" s="206"/>
    </row>
    <row r="128" spans="1:8" x14ac:dyDescent="0.3">
      <c r="A128" s="203">
        <v>119</v>
      </c>
      <c r="B128" s="203">
        <v>2020</v>
      </c>
      <c r="C128" s="207" t="s">
        <v>328</v>
      </c>
      <c r="D128" s="208" t="s">
        <v>1</v>
      </c>
      <c r="E128" s="205">
        <v>7</v>
      </c>
      <c r="F128" s="205">
        <v>0.95000000000000007</v>
      </c>
      <c r="G128" s="209">
        <v>6.65</v>
      </c>
      <c r="H128" s="206"/>
    </row>
    <row r="129" spans="1:8" x14ac:dyDescent="0.3">
      <c r="A129" s="203">
        <v>120</v>
      </c>
      <c r="B129" s="203">
        <v>2020</v>
      </c>
      <c r="C129" s="207" t="s">
        <v>329</v>
      </c>
      <c r="D129" s="208" t="s">
        <v>1</v>
      </c>
      <c r="E129" s="205">
        <v>7</v>
      </c>
      <c r="F129" s="205">
        <v>1.1400000000000001</v>
      </c>
      <c r="G129" s="209">
        <v>7.98</v>
      </c>
      <c r="H129" s="206"/>
    </row>
    <row r="130" spans="1:8" x14ac:dyDescent="0.3">
      <c r="A130" s="203">
        <v>121</v>
      </c>
      <c r="B130" s="203">
        <v>2020</v>
      </c>
      <c r="C130" s="207" t="s">
        <v>330</v>
      </c>
      <c r="D130" s="208" t="s">
        <v>1</v>
      </c>
      <c r="E130" s="205">
        <v>7</v>
      </c>
      <c r="F130" s="205">
        <v>3</v>
      </c>
      <c r="G130" s="209">
        <v>21</v>
      </c>
      <c r="H130" s="206"/>
    </row>
    <row r="131" spans="1:8" x14ac:dyDescent="0.3">
      <c r="A131" s="203">
        <v>122</v>
      </c>
      <c r="B131" s="203">
        <v>2020</v>
      </c>
      <c r="C131" s="207" t="s">
        <v>331</v>
      </c>
      <c r="D131" s="208" t="s">
        <v>1</v>
      </c>
      <c r="E131" s="205">
        <v>7</v>
      </c>
      <c r="F131" s="205">
        <v>1.2</v>
      </c>
      <c r="G131" s="209">
        <v>8.4</v>
      </c>
      <c r="H131" s="206"/>
    </row>
    <row r="132" spans="1:8" x14ac:dyDescent="0.3">
      <c r="A132" s="203">
        <v>123</v>
      </c>
      <c r="B132" s="203">
        <v>2020</v>
      </c>
      <c r="C132" s="207" t="s">
        <v>332</v>
      </c>
      <c r="D132" s="208" t="s">
        <v>1</v>
      </c>
      <c r="E132" s="205">
        <v>7</v>
      </c>
      <c r="F132" s="205">
        <v>2.85</v>
      </c>
      <c r="G132" s="209">
        <v>19.95</v>
      </c>
      <c r="H132" s="206"/>
    </row>
    <row r="133" spans="1:8" x14ac:dyDescent="0.3">
      <c r="A133" s="203">
        <v>124</v>
      </c>
      <c r="B133" s="203">
        <v>2020</v>
      </c>
      <c r="C133" s="207" t="s">
        <v>333</v>
      </c>
      <c r="D133" s="208" t="s">
        <v>1</v>
      </c>
      <c r="E133" s="205">
        <v>7</v>
      </c>
      <c r="F133" s="205">
        <v>1.2</v>
      </c>
      <c r="G133" s="209">
        <v>8.4</v>
      </c>
      <c r="H133" s="206"/>
    </row>
    <row r="134" spans="1:8" x14ac:dyDescent="0.3">
      <c r="A134" s="203">
        <v>125</v>
      </c>
      <c r="B134" s="203">
        <v>2020</v>
      </c>
      <c r="C134" s="207" t="s">
        <v>334</v>
      </c>
      <c r="D134" s="208" t="s">
        <v>1</v>
      </c>
      <c r="E134" s="205">
        <v>7</v>
      </c>
      <c r="F134" s="205">
        <v>1.1400000000000001</v>
      </c>
      <c r="G134" s="209">
        <v>7.98</v>
      </c>
      <c r="H134" s="206"/>
    </row>
    <row r="135" spans="1:8" x14ac:dyDescent="0.3">
      <c r="A135" s="203">
        <v>126</v>
      </c>
      <c r="B135" s="203">
        <v>2020</v>
      </c>
      <c r="C135" s="207" t="s">
        <v>335</v>
      </c>
      <c r="D135" s="208" t="s">
        <v>1</v>
      </c>
      <c r="E135" s="205">
        <v>7</v>
      </c>
      <c r="F135" s="205">
        <v>1.5999999999999999</v>
      </c>
      <c r="G135" s="209">
        <v>11.2</v>
      </c>
      <c r="H135" s="206"/>
    </row>
    <row r="136" spans="1:8" x14ac:dyDescent="0.3">
      <c r="A136" s="203">
        <v>127</v>
      </c>
      <c r="B136" s="203">
        <v>2020</v>
      </c>
      <c r="C136" s="207" t="s">
        <v>336</v>
      </c>
      <c r="D136" s="208" t="s">
        <v>1</v>
      </c>
      <c r="E136" s="205">
        <v>14</v>
      </c>
      <c r="F136" s="205">
        <v>1.9000000000000001</v>
      </c>
      <c r="G136" s="209">
        <v>26.6</v>
      </c>
      <c r="H136" s="206"/>
    </row>
    <row r="137" spans="1:8" ht="41.4" x14ac:dyDescent="0.3">
      <c r="A137" s="203">
        <v>128</v>
      </c>
      <c r="B137" s="203">
        <v>2020</v>
      </c>
      <c r="C137" s="207" t="s">
        <v>337</v>
      </c>
      <c r="D137" s="208" t="s">
        <v>1</v>
      </c>
      <c r="E137" s="205">
        <v>157</v>
      </c>
      <c r="F137" s="205">
        <v>2.25</v>
      </c>
      <c r="G137" s="205">
        <v>353.25</v>
      </c>
      <c r="H137" s="206"/>
    </row>
    <row r="138" spans="1:8" ht="27.6" x14ac:dyDescent="0.3">
      <c r="A138" s="203">
        <v>129</v>
      </c>
      <c r="B138" s="203">
        <v>2020</v>
      </c>
      <c r="C138" s="207" t="s">
        <v>338</v>
      </c>
      <c r="D138" s="208" t="s">
        <v>1</v>
      </c>
      <c r="E138" s="205">
        <v>157</v>
      </c>
      <c r="F138" s="205">
        <v>2</v>
      </c>
      <c r="G138" s="205">
        <v>314</v>
      </c>
      <c r="H138" s="206"/>
    </row>
    <row r="139" spans="1:8" x14ac:dyDescent="0.3">
      <c r="A139" s="203">
        <v>130</v>
      </c>
      <c r="B139" s="203">
        <v>2020</v>
      </c>
      <c r="C139" s="207" t="s">
        <v>339</v>
      </c>
      <c r="D139" s="208" t="s">
        <v>1</v>
      </c>
      <c r="E139" s="205">
        <v>157</v>
      </c>
      <c r="F139" s="205">
        <v>2.04</v>
      </c>
      <c r="G139" s="205">
        <v>320.27999999999997</v>
      </c>
      <c r="H139" s="206"/>
    </row>
    <row r="140" spans="1:8" x14ac:dyDescent="0.3">
      <c r="A140" s="203">
        <v>131</v>
      </c>
      <c r="B140" s="203">
        <v>2020</v>
      </c>
      <c r="C140" s="207" t="s">
        <v>340</v>
      </c>
      <c r="D140" s="208" t="s">
        <v>1</v>
      </c>
      <c r="E140" s="205">
        <v>157</v>
      </c>
      <c r="F140" s="205">
        <v>2.04</v>
      </c>
      <c r="G140" s="205">
        <v>320.27999999999997</v>
      </c>
      <c r="H140" s="206"/>
    </row>
    <row r="141" spans="1:8" x14ac:dyDescent="0.3">
      <c r="A141" s="203">
        <v>132</v>
      </c>
      <c r="B141" s="203">
        <v>2020</v>
      </c>
      <c r="C141" s="207" t="s">
        <v>341</v>
      </c>
      <c r="D141" s="208" t="s">
        <v>1</v>
      </c>
      <c r="E141" s="205">
        <v>157</v>
      </c>
      <c r="F141" s="205">
        <v>2.2400000000000002</v>
      </c>
      <c r="G141" s="205">
        <v>351.68</v>
      </c>
      <c r="H141" s="206"/>
    </row>
    <row r="142" spans="1:8" x14ac:dyDescent="0.3">
      <c r="A142" s="203">
        <v>133</v>
      </c>
      <c r="B142" s="203">
        <v>2020</v>
      </c>
      <c r="C142" s="207" t="s">
        <v>342</v>
      </c>
      <c r="D142" s="208" t="s">
        <v>1</v>
      </c>
      <c r="E142" s="205">
        <v>157</v>
      </c>
      <c r="F142" s="205">
        <v>1.26</v>
      </c>
      <c r="G142" s="205">
        <v>197.82</v>
      </c>
      <c r="H142" s="206"/>
    </row>
    <row r="143" spans="1:8" x14ac:dyDescent="0.3">
      <c r="A143" s="203">
        <v>134</v>
      </c>
      <c r="B143" s="203">
        <v>2020</v>
      </c>
      <c r="C143" s="207" t="s">
        <v>343</v>
      </c>
      <c r="D143" s="208" t="s">
        <v>1</v>
      </c>
      <c r="E143" s="205">
        <v>157</v>
      </c>
      <c r="F143" s="205">
        <v>1.45</v>
      </c>
      <c r="G143" s="205">
        <v>227.65</v>
      </c>
      <c r="H143" s="206"/>
    </row>
    <row r="144" spans="1:8" ht="27.6" x14ac:dyDescent="0.3">
      <c r="A144" s="203">
        <v>135</v>
      </c>
      <c r="B144" s="203">
        <v>2020</v>
      </c>
      <c r="C144" s="207" t="s">
        <v>344</v>
      </c>
      <c r="D144" s="208" t="s">
        <v>1</v>
      </c>
      <c r="E144" s="205">
        <v>29</v>
      </c>
      <c r="F144" s="205">
        <v>3.12</v>
      </c>
      <c r="G144" s="209">
        <v>90.48</v>
      </c>
      <c r="H144" s="206"/>
    </row>
    <row r="145" spans="1:8" x14ac:dyDescent="0.3">
      <c r="A145" s="203">
        <v>136</v>
      </c>
      <c r="B145" s="203">
        <v>2020</v>
      </c>
      <c r="C145" s="207" t="s">
        <v>345</v>
      </c>
      <c r="D145" s="208" t="s">
        <v>1</v>
      </c>
      <c r="E145" s="205">
        <v>29</v>
      </c>
      <c r="F145" s="205">
        <v>3</v>
      </c>
      <c r="G145" s="209">
        <v>87</v>
      </c>
      <c r="H145" s="206"/>
    </row>
    <row r="146" spans="1:8" x14ac:dyDescent="0.3">
      <c r="A146" s="203">
        <v>137</v>
      </c>
      <c r="B146" s="203">
        <v>2020</v>
      </c>
      <c r="C146" s="207" t="s">
        <v>346</v>
      </c>
      <c r="D146" s="208" t="s">
        <v>1</v>
      </c>
      <c r="E146" s="205">
        <v>28</v>
      </c>
      <c r="F146" s="205">
        <v>3.12</v>
      </c>
      <c r="G146" s="209">
        <v>87.36</v>
      </c>
      <c r="H146" s="206"/>
    </row>
    <row r="147" spans="1:8" ht="27.6" x14ac:dyDescent="0.3">
      <c r="A147" s="203">
        <v>138</v>
      </c>
      <c r="B147" s="203">
        <v>2020</v>
      </c>
      <c r="C147" s="207" t="s">
        <v>347</v>
      </c>
      <c r="D147" s="208" t="s">
        <v>1</v>
      </c>
      <c r="E147" s="205">
        <v>31</v>
      </c>
      <c r="F147" s="205">
        <v>2.9699999999999998</v>
      </c>
      <c r="G147" s="209">
        <v>92.07</v>
      </c>
      <c r="H147" s="206"/>
    </row>
    <row r="148" spans="1:8" x14ac:dyDescent="0.3">
      <c r="A148" s="203">
        <v>139</v>
      </c>
      <c r="B148" s="203">
        <v>2020</v>
      </c>
      <c r="C148" s="207" t="s">
        <v>348</v>
      </c>
      <c r="D148" s="208" t="s">
        <v>1</v>
      </c>
      <c r="E148" s="205">
        <v>18</v>
      </c>
      <c r="F148" s="205">
        <v>3.12</v>
      </c>
      <c r="G148" s="209">
        <v>56.160000000000004</v>
      </c>
      <c r="H148" s="206"/>
    </row>
    <row r="149" spans="1:8" x14ac:dyDescent="0.3">
      <c r="A149" s="203">
        <v>140</v>
      </c>
      <c r="B149" s="203">
        <v>2020</v>
      </c>
      <c r="C149" s="207" t="s">
        <v>346</v>
      </c>
      <c r="D149" s="208" t="s">
        <v>1</v>
      </c>
      <c r="E149" s="205">
        <v>21</v>
      </c>
      <c r="F149" s="205">
        <v>4.4000000000000004</v>
      </c>
      <c r="G149" s="209">
        <v>92.4</v>
      </c>
      <c r="H149" s="206"/>
    </row>
    <row r="150" spans="1:8" x14ac:dyDescent="0.3">
      <c r="A150" s="203">
        <v>141</v>
      </c>
      <c r="B150" s="203">
        <v>2020</v>
      </c>
      <c r="C150" s="207" t="s">
        <v>349</v>
      </c>
      <c r="D150" s="208" t="s">
        <v>1</v>
      </c>
      <c r="E150" s="205">
        <v>19</v>
      </c>
      <c r="F150" s="205">
        <v>2.16</v>
      </c>
      <c r="G150" s="209">
        <v>41.040000000000006</v>
      </c>
      <c r="H150" s="206"/>
    </row>
    <row r="151" spans="1:8" ht="27.6" x14ac:dyDescent="0.3">
      <c r="A151" s="203">
        <v>142</v>
      </c>
      <c r="B151" s="203">
        <v>2020</v>
      </c>
      <c r="C151" s="207" t="s">
        <v>344</v>
      </c>
      <c r="D151" s="208" t="s">
        <v>1</v>
      </c>
      <c r="E151" s="205">
        <v>3</v>
      </c>
      <c r="F151" s="205">
        <v>3.1199999999999997</v>
      </c>
      <c r="G151" s="205">
        <v>9.36</v>
      </c>
      <c r="H151" s="206"/>
    </row>
    <row r="152" spans="1:8" x14ac:dyDescent="0.3">
      <c r="A152" s="203">
        <v>143</v>
      </c>
      <c r="B152" s="203">
        <v>2020</v>
      </c>
      <c r="C152" s="207" t="s">
        <v>345</v>
      </c>
      <c r="D152" s="208" t="s">
        <v>1</v>
      </c>
      <c r="E152" s="205">
        <v>3</v>
      </c>
      <c r="F152" s="205">
        <v>3.2999999999999994</v>
      </c>
      <c r="G152" s="205">
        <v>9.8999999999999986</v>
      </c>
      <c r="H152" s="206"/>
    </row>
    <row r="153" spans="1:8" x14ac:dyDescent="0.3">
      <c r="A153" s="203">
        <v>144</v>
      </c>
      <c r="B153" s="203">
        <v>2020</v>
      </c>
      <c r="C153" s="207" t="s">
        <v>350</v>
      </c>
      <c r="D153" s="208" t="s">
        <v>1</v>
      </c>
      <c r="E153" s="205">
        <v>2</v>
      </c>
      <c r="F153" s="205">
        <v>2.73</v>
      </c>
      <c r="G153" s="205">
        <v>5.46</v>
      </c>
      <c r="H153" s="206"/>
    </row>
    <row r="154" spans="1:8" ht="27.6" x14ac:dyDescent="0.3">
      <c r="A154" s="203">
        <v>145</v>
      </c>
      <c r="B154" s="203">
        <v>2020</v>
      </c>
      <c r="C154" s="207" t="s">
        <v>351</v>
      </c>
      <c r="D154" s="208" t="s">
        <v>1</v>
      </c>
      <c r="E154" s="205">
        <v>22</v>
      </c>
      <c r="F154" s="205">
        <v>2.73</v>
      </c>
      <c r="G154" s="205">
        <v>60.06</v>
      </c>
      <c r="H154" s="206"/>
    </row>
    <row r="155" spans="1:8" x14ac:dyDescent="0.3">
      <c r="A155" s="203">
        <v>146</v>
      </c>
      <c r="B155" s="203">
        <v>2020</v>
      </c>
      <c r="C155" s="207" t="s">
        <v>352</v>
      </c>
      <c r="D155" s="208" t="s">
        <v>1</v>
      </c>
      <c r="E155" s="205">
        <v>2</v>
      </c>
      <c r="F155" s="205">
        <v>3.12</v>
      </c>
      <c r="G155" s="205">
        <v>6.24</v>
      </c>
      <c r="H155" s="206"/>
    </row>
    <row r="156" spans="1:8" x14ac:dyDescent="0.3">
      <c r="A156" s="203">
        <v>147</v>
      </c>
      <c r="B156" s="203">
        <v>2020</v>
      </c>
      <c r="C156" s="207" t="s">
        <v>346</v>
      </c>
      <c r="D156" s="208" t="s">
        <v>1</v>
      </c>
      <c r="E156" s="205">
        <v>2</v>
      </c>
      <c r="F156" s="205">
        <v>3.12</v>
      </c>
      <c r="G156" s="205">
        <v>6.24</v>
      </c>
      <c r="H156" s="206"/>
    </row>
    <row r="157" spans="1:8" ht="27.6" x14ac:dyDescent="0.3">
      <c r="A157" s="203">
        <v>148</v>
      </c>
      <c r="B157" s="203">
        <v>2020</v>
      </c>
      <c r="C157" s="207" t="s">
        <v>347</v>
      </c>
      <c r="D157" s="208" t="s">
        <v>1</v>
      </c>
      <c r="E157" s="205">
        <v>1</v>
      </c>
      <c r="F157" s="205">
        <v>2.97</v>
      </c>
      <c r="G157" s="205">
        <v>2.97</v>
      </c>
      <c r="H157" s="206"/>
    </row>
    <row r="158" spans="1:8" x14ac:dyDescent="0.3">
      <c r="A158" s="203">
        <v>149</v>
      </c>
      <c r="B158" s="203">
        <v>2020</v>
      </c>
      <c r="C158" s="207" t="s">
        <v>353</v>
      </c>
      <c r="D158" s="208" t="s">
        <v>1</v>
      </c>
      <c r="E158" s="205">
        <v>2</v>
      </c>
      <c r="F158" s="205">
        <v>3.12</v>
      </c>
      <c r="G158" s="205">
        <v>6.24</v>
      </c>
      <c r="H158" s="206"/>
    </row>
    <row r="159" spans="1:8" x14ac:dyDescent="0.3">
      <c r="A159" s="203">
        <v>150</v>
      </c>
      <c r="B159" s="203">
        <v>2020</v>
      </c>
      <c r="C159" s="207" t="s">
        <v>348</v>
      </c>
      <c r="D159" s="208" t="s">
        <v>1</v>
      </c>
      <c r="E159" s="205">
        <v>4</v>
      </c>
      <c r="F159" s="205">
        <v>3.4</v>
      </c>
      <c r="G159" s="205">
        <v>13.6</v>
      </c>
      <c r="H159" s="206"/>
    </row>
    <row r="160" spans="1:8" x14ac:dyDescent="0.3">
      <c r="A160" s="203">
        <v>151</v>
      </c>
      <c r="B160" s="203">
        <v>2020</v>
      </c>
      <c r="C160" s="207" t="s">
        <v>354</v>
      </c>
      <c r="D160" s="208" t="s">
        <v>1</v>
      </c>
      <c r="E160" s="205">
        <v>2</v>
      </c>
      <c r="F160" s="205">
        <v>3</v>
      </c>
      <c r="G160" s="205">
        <v>6</v>
      </c>
      <c r="H160" s="206"/>
    </row>
    <row r="161" spans="1:8" x14ac:dyDescent="0.3">
      <c r="A161" s="203">
        <v>152</v>
      </c>
      <c r="B161" s="203">
        <v>2020</v>
      </c>
      <c r="C161" s="207" t="s">
        <v>355</v>
      </c>
      <c r="D161" s="208" t="s">
        <v>1</v>
      </c>
      <c r="E161" s="205">
        <v>1</v>
      </c>
      <c r="F161" s="205">
        <v>5.55</v>
      </c>
      <c r="G161" s="205">
        <v>5.55</v>
      </c>
      <c r="H161" s="206"/>
    </row>
    <row r="162" spans="1:8" x14ac:dyDescent="0.3">
      <c r="A162" s="203">
        <v>153</v>
      </c>
      <c r="B162" s="203">
        <v>2020</v>
      </c>
      <c r="C162" s="207" t="s">
        <v>349</v>
      </c>
      <c r="D162" s="208" t="s">
        <v>1</v>
      </c>
      <c r="E162" s="205">
        <v>3</v>
      </c>
      <c r="F162" s="205">
        <v>2.16</v>
      </c>
      <c r="G162" s="209">
        <v>6.48</v>
      </c>
      <c r="H162" s="206"/>
    </row>
    <row r="163" spans="1:8" ht="27.6" x14ac:dyDescent="0.3">
      <c r="A163" s="203">
        <v>154</v>
      </c>
      <c r="B163" s="203">
        <v>2020</v>
      </c>
      <c r="C163" s="207" t="s">
        <v>356</v>
      </c>
      <c r="D163" s="208" t="s">
        <v>1</v>
      </c>
      <c r="E163" s="205">
        <v>25</v>
      </c>
      <c r="F163" s="205">
        <v>3</v>
      </c>
      <c r="G163" s="205">
        <v>75</v>
      </c>
      <c r="H163" s="206"/>
    </row>
    <row r="164" spans="1:8" x14ac:dyDescent="0.3">
      <c r="A164" s="203">
        <v>155</v>
      </c>
      <c r="B164" s="203">
        <v>2020</v>
      </c>
      <c r="C164" s="207" t="s">
        <v>357</v>
      </c>
      <c r="D164" s="208" t="s">
        <v>1</v>
      </c>
      <c r="E164" s="205">
        <v>25</v>
      </c>
      <c r="F164" s="205">
        <v>3.12</v>
      </c>
      <c r="G164" s="205">
        <v>78</v>
      </c>
      <c r="H164" s="206"/>
    </row>
    <row r="165" spans="1:8" x14ac:dyDescent="0.3">
      <c r="A165" s="203">
        <v>156</v>
      </c>
      <c r="B165" s="203">
        <v>2020</v>
      </c>
      <c r="C165" s="207" t="s">
        <v>358</v>
      </c>
      <c r="D165" s="208" t="s">
        <v>1</v>
      </c>
      <c r="E165" s="205">
        <v>5</v>
      </c>
      <c r="F165" s="205">
        <v>2.88</v>
      </c>
      <c r="G165" s="205">
        <v>14.399999999999999</v>
      </c>
      <c r="H165" s="206"/>
    </row>
    <row r="166" spans="1:8" ht="27.6" x14ac:dyDescent="0.3">
      <c r="A166" s="203">
        <v>157</v>
      </c>
      <c r="B166" s="203">
        <v>2020</v>
      </c>
      <c r="C166" s="207" t="s">
        <v>359</v>
      </c>
      <c r="D166" s="208" t="s">
        <v>1</v>
      </c>
      <c r="E166" s="205">
        <v>20</v>
      </c>
      <c r="F166" s="205">
        <v>3.12</v>
      </c>
      <c r="G166" s="205">
        <v>62.400000000000006</v>
      </c>
      <c r="H166" s="206"/>
    </row>
    <row r="167" spans="1:8" x14ac:dyDescent="0.3">
      <c r="A167" s="203">
        <v>158</v>
      </c>
      <c r="B167" s="203">
        <v>2020</v>
      </c>
      <c r="C167" s="207" t="s">
        <v>360</v>
      </c>
      <c r="D167" s="208" t="s">
        <v>1</v>
      </c>
      <c r="E167" s="205">
        <v>5</v>
      </c>
      <c r="F167" s="205">
        <v>3.12</v>
      </c>
      <c r="G167" s="205">
        <v>15.600000000000001</v>
      </c>
      <c r="H167" s="206"/>
    </row>
    <row r="168" spans="1:8" x14ac:dyDescent="0.3">
      <c r="A168" s="203">
        <v>159</v>
      </c>
      <c r="B168" s="203">
        <v>2020</v>
      </c>
      <c r="C168" s="207" t="s">
        <v>361</v>
      </c>
      <c r="D168" s="208" t="s">
        <v>1</v>
      </c>
      <c r="E168" s="205">
        <v>25</v>
      </c>
      <c r="F168" s="205">
        <v>3.12</v>
      </c>
      <c r="G168" s="205">
        <v>78</v>
      </c>
      <c r="H168" s="206"/>
    </row>
    <row r="169" spans="1:8" x14ac:dyDescent="0.3">
      <c r="A169" s="203">
        <v>160</v>
      </c>
      <c r="B169" s="203">
        <v>2020</v>
      </c>
      <c r="C169" s="207" t="s">
        <v>362</v>
      </c>
      <c r="D169" s="208" t="s">
        <v>1</v>
      </c>
      <c r="E169" s="205">
        <v>25</v>
      </c>
      <c r="F169" s="205">
        <v>2.7</v>
      </c>
      <c r="G169" s="205">
        <v>67.5</v>
      </c>
      <c r="H169" s="206"/>
    </row>
    <row r="170" spans="1:8" x14ac:dyDescent="0.3">
      <c r="A170" s="203">
        <v>161</v>
      </c>
      <c r="B170" s="203">
        <v>2020</v>
      </c>
      <c r="C170" s="207" t="s">
        <v>228</v>
      </c>
      <c r="D170" s="208" t="s">
        <v>1</v>
      </c>
      <c r="E170" s="205">
        <v>5</v>
      </c>
      <c r="F170" s="205">
        <v>3.12</v>
      </c>
      <c r="G170" s="205">
        <v>15.600000000000001</v>
      </c>
      <c r="H170" s="206"/>
    </row>
    <row r="171" spans="1:8" x14ac:dyDescent="0.3">
      <c r="A171" s="203">
        <v>162</v>
      </c>
      <c r="B171" s="203">
        <v>2020</v>
      </c>
      <c r="C171" s="207" t="s">
        <v>363</v>
      </c>
      <c r="D171" s="208" t="s">
        <v>1</v>
      </c>
      <c r="E171" s="205">
        <v>25</v>
      </c>
      <c r="F171" s="205">
        <v>3.12</v>
      </c>
      <c r="G171" s="205">
        <v>78</v>
      </c>
      <c r="H171" s="206"/>
    </row>
    <row r="172" spans="1:8" x14ac:dyDescent="0.3">
      <c r="A172" s="203">
        <v>163</v>
      </c>
      <c r="B172" s="203">
        <v>2020</v>
      </c>
      <c r="C172" s="207" t="s">
        <v>364</v>
      </c>
      <c r="D172" s="208" t="s">
        <v>1</v>
      </c>
      <c r="E172" s="205">
        <v>5</v>
      </c>
      <c r="F172" s="205">
        <v>3.12</v>
      </c>
      <c r="G172" s="205">
        <v>15.600000000000001</v>
      </c>
      <c r="H172" s="206"/>
    </row>
    <row r="173" spans="1:8" x14ac:dyDescent="0.3">
      <c r="A173" s="203">
        <v>164</v>
      </c>
      <c r="B173" s="203">
        <v>2020</v>
      </c>
      <c r="C173" s="207" t="s">
        <v>365</v>
      </c>
      <c r="D173" s="208" t="s">
        <v>1</v>
      </c>
      <c r="E173" s="205">
        <v>27</v>
      </c>
      <c r="F173" s="205">
        <v>4.4000000000000004</v>
      </c>
      <c r="G173" s="205">
        <v>118.80000000000001</v>
      </c>
      <c r="H173" s="206"/>
    </row>
    <row r="174" spans="1:8" ht="15" thickBot="1" x14ac:dyDescent="0.35">
      <c r="A174" s="212">
        <v>165</v>
      </c>
      <c r="B174" s="212">
        <v>2020</v>
      </c>
      <c r="C174" s="233" t="s">
        <v>366</v>
      </c>
      <c r="D174" s="243" t="s">
        <v>1</v>
      </c>
      <c r="E174" s="234">
        <v>22</v>
      </c>
      <c r="F174" s="234">
        <v>2.16</v>
      </c>
      <c r="G174" s="234">
        <v>47.52</v>
      </c>
      <c r="H174" s="214"/>
    </row>
    <row r="175" spans="1:8" ht="15" thickBot="1" x14ac:dyDescent="0.35">
      <c r="A175" s="295"/>
      <c r="B175" s="296"/>
      <c r="C175" s="247" t="s">
        <v>53</v>
      </c>
      <c r="D175" s="248"/>
      <c r="E175" s="249">
        <f>SUM(E10:E174)</f>
        <v>6471</v>
      </c>
      <c r="F175" s="249"/>
      <c r="G175" s="230">
        <f>SUM(G10:G174)</f>
        <v>12124.639999999994</v>
      </c>
      <c r="H175" s="297"/>
    </row>
    <row r="176" spans="1:8" ht="27.6" x14ac:dyDescent="0.3">
      <c r="A176" s="235">
        <v>166</v>
      </c>
      <c r="B176" s="235">
        <v>2020</v>
      </c>
      <c r="C176" s="244" t="s">
        <v>367</v>
      </c>
      <c r="D176" s="245" t="s">
        <v>1</v>
      </c>
      <c r="E176" s="245">
        <v>4</v>
      </c>
      <c r="F176" s="245">
        <v>4.05</v>
      </c>
      <c r="G176" s="245">
        <v>16.2</v>
      </c>
      <c r="H176" s="240"/>
    </row>
    <row r="177" spans="1:8" ht="27.6" x14ac:dyDescent="0.3">
      <c r="A177" s="203">
        <v>167</v>
      </c>
      <c r="B177" s="203">
        <v>2020</v>
      </c>
      <c r="C177" s="207" t="s">
        <v>368</v>
      </c>
      <c r="D177" s="205" t="s">
        <v>1</v>
      </c>
      <c r="E177" s="205">
        <v>4</v>
      </c>
      <c r="F177" s="205">
        <v>4.1500000000000004</v>
      </c>
      <c r="G177" s="205">
        <v>16.600000000000001</v>
      </c>
      <c r="H177" s="206"/>
    </row>
    <row r="178" spans="1:8" ht="27.6" x14ac:dyDescent="0.3">
      <c r="A178" s="203">
        <v>168</v>
      </c>
      <c r="B178" s="203">
        <v>2020</v>
      </c>
      <c r="C178" s="207" t="s">
        <v>369</v>
      </c>
      <c r="D178" s="205" t="s">
        <v>1</v>
      </c>
      <c r="E178" s="205">
        <v>4</v>
      </c>
      <c r="F178" s="205">
        <v>3.2</v>
      </c>
      <c r="G178" s="205">
        <v>12.8</v>
      </c>
      <c r="H178" s="206"/>
    </row>
    <row r="179" spans="1:8" x14ac:dyDescent="0.3">
      <c r="A179" s="203">
        <v>169</v>
      </c>
      <c r="B179" s="203">
        <v>2020</v>
      </c>
      <c r="C179" s="207" t="s">
        <v>370</v>
      </c>
      <c r="D179" s="205" t="s">
        <v>1</v>
      </c>
      <c r="E179" s="205">
        <v>4</v>
      </c>
      <c r="F179" s="205">
        <v>1.95</v>
      </c>
      <c r="G179" s="205">
        <v>7.8</v>
      </c>
      <c r="H179" s="206"/>
    </row>
    <row r="180" spans="1:8" x14ac:dyDescent="0.3">
      <c r="A180" s="203">
        <v>170</v>
      </c>
      <c r="B180" s="203">
        <v>2020</v>
      </c>
      <c r="C180" s="207" t="s">
        <v>371</v>
      </c>
      <c r="D180" s="205" t="s">
        <v>1</v>
      </c>
      <c r="E180" s="205">
        <v>4</v>
      </c>
      <c r="F180" s="205">
        <v>4.8</v>
      </c>
      <c r="G180" s="205">
        <v>19.2</v>
      </c>
      <c r="H180" s="206"/>
    </row>
    <row r="181" spans="1:8" x14ac:dyDescent="0.3">
      <c r="A181" s="203">
        <v>171</v>
      </c>
      <c r="B181" s="203">
        <v>2020</v>
      </c>
      <c r="C181" s="207" t="s">
        <v>372</v>
      </c>
      <c r="D181" s="205" t="s">
        <v>1</v>
      </c>
      <c r="E181" s="205">
        <v>4</v>
      </c>
      <c r="F181" s="205">
        <v>1.85</v>
      </c>
      <c r="G181" s="205">
        <v>7.4</v>
      </c>
      <c r="H181" s="206"/>
    </row>
    <row r="182" spans="1:8" x14ac:dyDescent="0.3">
      <c r="A182" s="203">
        <v>172</v>
      </c>
      <c r="B182" s="203">
        <v>2020</v>
      </c>
      <c r="C182" s="207" t="s">
        <v>373</v>
      </c>
      <c r="D182" s="205" t="s">
        <v>1</v>
      </c>
      <c r="E182" s="205">
        <v>4</v>
      </c>
      <c r="F182" s="205">
        <v>1.6</v>
      </c>
      <c r="G182" s="205">
        <v>6.4</v>
      </c>
      <c r="H182" s="206"/>
    </row>
    <row r="183" spans="1:8" x14ac:dyDescent="0.3">
      <c r="A183" s="203">
        <v>173</v>
      </c>
      <c r="B183" s="203">
        <v>2020</v>
      </c>
      <c r="C183" s="207" t="s">
        <v>374</v>
      </c>
      <c r="D183" s="205" t="s">
        <v>1</v>
      </c>
      <c r="E183" s="205">
        <v>4</v>
      </c>
      <c r="F183" s="205">
        <v>4.2</v>
      </c>
      <c r="G183" s="205">
        <v>16.8</v>
      </c>
      <c r="H183" s="206"/>
    </row>
    <row r="184" spans="1:8" ht="27.6" x14ac:dyDescent="0.3">
      <c r="A184" s="203">
        <v>174</v>
      </c>
      <c r="B184" s="203">
        <v>2020</v>
      </c>
      <c r="C184" s="207" t="s">
        <v>375</v>
      </c>
      <c r="D184" s="205" t="s">
        <v>1</v>
      </c>
      <c r="E184" s="205">
        <v>4</v>
      </c>
      <c r="F184" s="205">
        <v>1.6</v>
      </c>
      <c r="G184" s="205">
        <v>6.4</v>
      </c>
      <c r="H184" s="206"/>
    </row>
    <row r="185" spans="1:8" x14ac:dyDescent="0.3">
      <c r="A185" s="203">
        <v>175</v>
      </c>
      <c r="B185" s="203">
        <v>2020</v>
      </c>
      <c r="C185" s="207" t="s">
        <v>376</v>
      </c>
      <c r="D185" s="205" t="s">
        <v>1</v>
      </c>
      <c r="E185" s="205">
        <v>4</v>
      </c>
      <c r="F185" s="205">
        <v>1.6</v>
      </c>
      <c r="G185" s="205">
        <v>6.4</v>
      </c>
      <c r="H185" s="206"/>
    </row>
    <row r="186" spans="1:8" ht="27.6" x14ac:dyDescent="0.3">
      <c r="A186" s="203">
        <v>176</v>
      </c>
      <c r="B186" s="203">
        <v>2020</v>
      </c>
      <c r="C186" s="207" t="s">
        <v>377</v>
      </c>
      <c r="D186" s="205" t="s">
        <v>1</v>
      </c>
      <c r="E186" s="205">
        <v>14</v>
      </c>
      <c r="F186" s="205">
        <v>4.3499999999999996</v>
      </c>
      <c r="G186" s="205">
        <v>60.9</v>
      </c>
      <c r="H186" s="206"/>
    </row>
    <row r="187" spans="1:8" ht="27.6" x14ac:dyDescent="0.3">
      <c r="A187" s="203">
        <v>177</v>
      </c>
      <c r="B187" s="203">
        <v>2020</v>
      </c>
      <c r="C187" s="207" t="s">
        <v>378</v>
      </c>
      <c r="D187" s="205" t="s">
        <v>1</v>
      </c>
      <c r="E187" s="205">
        <v>6</v>
      </c>
      <c r="F187" s="205">
        <v>4.05</v>
      </c>
      <c r="G187" s="205">
        <v>24.3</v>
      </c>
      <c r="H187" s="206"/>
    </row>
    <row r="188" spans="1:8" ht="27.6" x14ac:dyDescent="0.3">
      <c r="A188" s="203">
        <v>178</v>
      </c>
      <c r="B188" s="203">
        <v>2020</v>
      </c>
      <c r="C188" s="207" t="s">
        <v>379</v>
      </c>
      <c r="D188" s="205" t="s">
        <v>1</v>
      </c>
      <c r="E188" s="205">
        <v>6</v>
      </c>
      <c r="F188" s="205">
        <v>3.8800000000000003</v>
      </c>
      <c r="G188" s="205">
        <v>23.28</v>
      </c>
      <c r="H188" s="206"/>
    </row>
    <row r="189" spans="1:8" x14ac:dyDescent="0.3">
      <c r="A189" s="203">
        <v>179</v>
      </c>
      <c r="B189" s="203">
        <v>2020</v>
      </c>
      <c r="C189" s="207" t="s">
        <v>380</v>
      </c>
      <c r="D189" s="205" t="s">
        <v>1</v>
      </c>
      <c r="E189" s="205">
        <v>6</v>
      </c>
      <c r="F189" s="205">
        <v>3.72</v>
      </c>
      <c r="G189" s="205">
        <v>22.32</v>
      </c>
      <c r="H189" s="206"/>
    </row>
    <row r="190" spans="1:8" x14ac:dyDescent="0.3">
      <c r="A190" s="203">
        <v>180</v>
      </c>
      <c r="B190" s="203">
        <v>2020</v>
      </c>
      <c r="C190" s="207" t="s">
        <v>381</v>
      </c>
      <c r="D190" s="205" t="s">
        <v>1</v>
      </c>
      <c r="E190" s="205">
        <v>6</v>
      </c>
      <c r="F190" s="205">
        <v>3.72</v>
      </c>
      <c r="G190" s="205">
        <v>22.32</v>
      </c>
      <c r="H190" s="206"/>
    </row>
    <row r="191" spans="1:8" x14ac:dyDescent="0.3">
      <c r="A191" s="203">
        <v>181</v>
      </c>
      <c r="B191" s="203">
        <v>2020</v>
      </c>
      <c r="C191" s="207" t="s">
        <v>382</v>
      </c>
      <c r="D191" s="205" t="s">
        <v>1</v>
      </c>
      <c r="E191" s="205">
        <v>6</v>
      </c>
      <c r="F191" s="205">
        <v>3.8000000000000003</v>
      </c>
      <c r="G191" s="205">
        <v>22.8</v>
      </c>
      <c r="H191" s="206"/>
    </row>
    <row r="192" spans="1:8" x14ac:dyDescent="0.3">
      <c r="A192" s="203">
        <v>182</v>
      </c>
      <c r="B192" s="203">
        <v>2020</v>
      </c>
      <c r="C192" s="207" t="s">
        <v>383</v>
      </c>
      <c r="D192" s="205" t="s">
        <v>1</v>
      </c>
      <c r="E192" s="205">
        <v>6</v>
      </c>
      <c r="F192" s="205">
        <v>3.8000000000000003</v>
      </c>
      <c r="G192" s="205">
        <v>22.8</v>
      </c>
      <c r="H192" s="206"/>
    </row>
    <row r="193" spans="1:9" x14ac:dyDescent="0.3">
      <c r="A193" s="203">
        <v>183</v>
      </c>
      <c r="B193" s="203">
        <v>2020</v>
      </c>
      <c r="C193" s="207" t="s">
        <v>384</v>
      </c>
      <c r="D193" s="205" t="s">
        <v>1</v>
      </c>
      <c r="E193" s="205">
        <v>6</v>
      </c>
      <c r="F193" s="205">
        <v>2.75</v>
      </c>
      <c r="G193" s="205">
        <v>16.5</v>
      </c>
      <c r="H193" s="206"/>
    </row>
    <row r="194" spans="1:9" x14ac:dyDescent="0.3">
      <c r="A194" s="203">
        <v>184</v>
      </c>
      <c r="B194" s="203">
        <v>2020</v>
      </c>
      <c r="C194" s="207" t="s">
        <v>385</v>
      </c>
      <c r="D194" s="205" t="s">
        <v>1</v>
      </c>
      <c r="E194" s="205">
        <v>6</v>
      </c>
      <c r="F194" s="205">
        <v>2.75</v>
      </c>
      <c r="G194" s="205">
        <v>16.5</v>
      </c>
      <c r="H194" s="206"/>
    </row>
    <row r="195" spans="1:9" x14ac:dyDescent="0.3">
      <c r="A195" s="203">
        <v>185</v>
      </c>
      <c r="B195" s="203">
        <v>2020</v>
      </c>
      <c r="C195" s="207" t="s">
        <v>386</v>
      </c>
      <c r="D195" s="205" t="s">
        <v>1</v>
      </c>
      <c r="E195" s="205">
        <v>6</v>
      </c>
      <c r="F195" s="205">
        <v>4.1499999999999995</v>
      </c>
      <c r="G195" s="205">
        <v>24.9</v>
      </c>
      <c r="H195" s="206"/>
    </row>
    <row r="196" spans="1:9" x14ac:dyDescent="0.3">
      <c r="A196" s="203">
        <v>186</v>
      </c>
      <c r="B196" s="203">
        <v>2020</v>
      </c>
      <c r="C196" s="207" t="s">
        <v>387</v>
      </c>
      <c r="D196" s="205" t="s">
        <v>1</v>
      </c>
      <c r="E196" s="205">
        <v>6</v>
      </c>
      <c r="F196" s="205">
        <v>2.65</v>
      </c>
      <c r="G196" s="205">
        <v>15.9</v>
      </c>
      <c r="H196" s="206"/>
    </row>
    <row r="197" spans="1:9" x14ac:dyDescent="0.3">
      <c r="A197" s="203">
        <v>187</v>
      </c>
      <c r="B197" s="203">
        <v>2020</v>
      </c>
      <c r="C197" s="207" t="s">
        <v>388</v>
      </c>
      <c r="D197" s="205" t="s">
        <v>1</v>
      </c>
      <c r="E197" s="205">
        <v>6</v>
      </c>
      <c r="F197" s="205">
        <v>5.25</v>
      </c>
      <c r="G197" s="205">
        <v>31.5</v>
      </c>
      <c r="H197" s="206"/>
    </row>
    <row r="198" spans="1:9" ht="27.6" x14ac:dyDescent="0.3">
      <c r="A198" s="203">
        <v>188</v>
      </c>
      <c r="B198" s="203">
        <v>2020</v>
      </c>
      <c r="C198" s="207" t="s">
        <v>389</v>
      </c>
      <c r="D198" s="205" t="s">
        <v>1</v>
      </c>
      <c r="E198" s="205">
        <v>6</v>
      </c>
      <c r="F198" s="205">
        <v>2.9499999999999997</v>
      </c>
      <c r="G198" s="205">
        <v>17.7</v>
      </c>
      <c r="H198" s="206"/>
    </row>
    <row r="199" spans="1:9" x14ac:dyDescent="0.3">
      <c r="A199" s="203">
        <v>189</v>
      </c>
      <c r="B199" s="203">
        <v>2020</v>
      </c>
      <c r="C199" s="207" t="s">
        <v>390</v>
      </c>
      <c r="D199" s="205" t="s">
        <v>1</v>
      </c>
      <c r="E199" s="205">
        <v>6</v>
      </c>
      <c r="F199" s="205">
        <v>2.5500000000000003</v>
      </c>
      <c r="G199" s="205">
        <v>15.3</v>
      </c>
      <c r="H199" s="206"/>
    </row>
    <row r="200" spans="1:9" x14ac:dyDescent="0.3">
      <c r="A200" s="203">
        <v>190</v>
      </c>
      <c r="B200" s="203">
        <v>2020</v>
      </c>
      <c r="C200" s="207" t="s">
        <v>391</v>
      </c>
      <c r="D200" s="205" t="s">
        <v>1</v>
      </c>
      <c r="E200" s="205">
        <v>6</v>
      </c>
      <c r="F200" s="205">
        <v>2.9499999999999997</v>
      </c>
      <c r="G200" s="205">
        <v>17.7</v>
      </c>
      <c r="H200" s="206"/>
    </row>
    <row r="201" spans="1:9" ht="15" thickBot="1" x14ac:dyDescent="0.35">
      <c r="A201" s="212">
        <v>191</v>
      </c>
      <c r="B201" s="212">
        <v>2020</v>
      </c>
      <c r="C201" s="233" t="s">
        <v>392</v>
      </c>
      <c r="D201" s="234" t="s">
        <v>1</v>
      </c>
      <c r="E201" s="234">
        <v>4</v>
      </c>
      <c r="F201" s="234">
        <v>3.26</v>
      </c>
      <c r="G201" s="234">
        <v>13.04</v>
      </c>
      <c r="H201" s="214"/>
    </row>
    <row r="202" spans="1:9" ht="15" thickBot="1" x14ac:dyDescent="0.35">
      <c r="A202" s="241"/>
      <c r="B202" s="215"/>
      <c r="C202" s="242" t="s">
        <v>53</v>
      </c>
      <c r="D202" s="216"/>
      <c r="E202" s="216">
        <f>SUM(E176:E201)</f>
        <v>142</v>
      </c>
      <c r="F202" s="216"/>
      <c r="G202" s="216">
        <f t="shared" ref="G202" si="0">SUM(G176:G201)</f>
        <v>483.76</v>
      </c>
      <c r="H202" s="30"/>
    </row>
    <row r="203" spans="1:9" ht="28.8" x14ac:dyDescent="0.3">
      <c r="A203" s="235">
        <v>192</v>
      </c>
      <c r="B203" s="236">
        <v>2023</v>
      </c>
      <c r="C203" s="237" t="s">
        <v>393</v>
      </c>
      <c r="D203" s="236" t="s">
        <v>220</v>
      </c>
      <c r="E203" s="236">
        <v>75</v>
      </c>
      <c r="F203" s="236">
        <v>6.11</v>
      </c>
      <c r="G203" s="238">
        <f>E203*F203</f>
        <v>458.25</v>
      </c>
      <c r="H203" s="240"/>
    </row>
    <row r="204" spans="1:9" ht="29.4" thickBot="1" x14ac:dyDescent="0.35">
      <c r="A204" s="212">
        <v>193</v>
      </c>
      <c r="B204" s="252">
        <v>2024</v>
      </c>
      <c r="C204" s="298" t="s">
        <v>394</v>
      </c>
      <c r="D204" s="252" t="s">
        <v>220</v>
      </c>
      <c r="E204" s="252">
        <v>92</v>
      </c>
      <c r="F204" s="252">
        <v>5.55</v>
      </c>
      <c r="G204" s="299">
        <f t="shared" ref="G204" si="1">E204*F204</f>
        <v>510.59999999999997</v>
      </c>
      <c r="H204" s="214"/>
    </row>
    <row r="205" spans="1:9" ht="15" thickBot="1" x14ac:dyDescent="0.35">
      <c r="A205" s="241"/>
      <c r="B205" s="300"/>
      <c r="C205" s="242" t="s">
        <v>53</v>
      </c>
      <c r="D205" s="216"/>
      <c r="E205" s="216">
        <f>SUM(E203:E204)</f>
        <v>167</v>
      </c>
      <c r="F205" s="216"/>
      <c r="G205" s="216">
        <f t="shared" ref="G205" si="2">SUM(G203:G204)</f>
        <v>968.84999999999991</v>
      </c>
      <c r="H205" s="30"/>
    </row>
    <row r="206" spans="1:9" ht="15" thickBot="1" x14ac:dyDescent="0.35">
      <c r="A206" s="378" t="s">
        <v>36</v>
      </c>
      <c r="B206" s="379"/>
      <c r="C206" s="380"/>
      <c r="D206" s="215"/>
      <c r="E206" s="216">
        <f>E205+E202+E175</f>
        <v>6780</v>
      </c>
      <c r="F206" s="216"/>
      <c r="G206" s="216">
        <f t="shared" ref="G206" si="3">G205+G202+G175</f>
        <v>13577.249999999995</v>
      </c>
      <c r="H206" s="30"/>
    </row>
    <row r="207" spans="1:9" x14ac:dyDescent="0.3">
      <c r="A207" s="217"/>
      <c r="B207" s="218"/>
      <c r="C207" s="218"/>
      <c r="D207" s="217"/>
      <c r="E207" s="218"/>
      <c r="F207" s="218"/>
      <c r="G207" s="40"/>
    </row>
    <row r="208" spans="1:9" x14ac:dyDescent="0.3">
      <c r="A208" s="365" t="s">
        <v>231</v>
      </c>
      <c r="B208" s="365"/>
      <c r="C208" s="365"/>
      <c r="D208" s="365"/>
      <c r="E208" s="365"/>
      <c r="F208" s="365"/>
      <c r="G208" s="365"/>
      <c r="H208" s="365"/>
      <c r="I208" s="145"/>
    </row>
    <row r="209" spans="1:9" ht="15.6" x14ac:dyDescent="0.3">
      <c r="A209" s="172"/>
      <c r="B209" s="173"/>
      <c r="C209" s="174"/>
      <c r="D209" s="175"/>
      <c r="E209" s="175"/>
      <c r="F209" s="175"/>
      <c r="G209" s="176"/>
      <c r="H209" s="177"/>
      <c r="I209" s="145"/>
    </row>
    <row r="210" spans="1:9" x14ac:dyDescent="0.3">
      <c r="A210" s="366" t="s">
        <v>395</v>
      </c>
      <c r="B210" s="366"/>
      <c r="C210" s="366"/>
      <c r="D210" s="366"/>
      <c r="E210" s="366"/>
      <c r="F210" s="366"/>
      <c r="G210" s="366"/>
      <c r="H210" s="366"/>
      <c r="I210" s="366"/>
    </row>
    <row r="211" spans="1:9" ht="15.6" x14ac:dyDescent="0.3">
      <c r="A211" s="172"/>
      <c r="B211" s="173"/>
      <c r="C211" s="174"/>
      <c r="D211" s="175"/>
      <c r="E211" s="175"/>
      <c r="F211" s="175"/>
      <c r="G211" s="176"/>
      <c r="H211" s="177"/>
      <c r="I211" s="145"/>
    </row>
    <row r="212" spans="1:9" x14ac:dyDescent="0.3">
      <c r="A212" s="366" t="s">
        <v>396</v>
      </c>
      <c r="B212" s="366"/>
      <c r="C212" s="366"/>
      <c r="D212" s="366"/>
      <c r="E212" s="366"/>
      <c r="F212" s="366"/>
      <c r="G212" s="366"/>
      <c r="H212" s="366"/>
      <c r="I212" s="145"/>
    </row>
    <row r="213" spans="1:9" ht="15.6" x14ac:dyDescent="0.3">
      <c r="A213" s="172"/>
      <c r="B213" s="173"/>
      <c r="C213" s="174"/>
      <c r="D213" s="175"/>
      <c r="E213" s="175"/>
      <c r="F213" s="175"/>
      <c r="G213" s="176"/>
      <c r="H213" s="177"/>
      <c r="I213" s="145"/>
    </row>
    <row r="214" spans="1:9" x14ac:dyDescent="0.3">
      <c r="A214" s="366" t="s">
        <v>397</v>
      </c>
      <c r="B214" s="366"/>
      <c r="C214" s="366"/>
      <c r="D214" s="366"/>
      <c r="E214" s="366"/>
      <c r="F214" s="366"/>
      <c r="G214" s="366"/>
      <c r="H214" s="366"/>
      <c r="I214" s="366"/>
    </row>
    <row r="215" spans="1:9" x14ac:dyDescent="0.3">
      <c r="A215" s="217"/>
      <c r="B215" s="218"/>
      <c r="C215" s="218"/>
      <c r="D215" s="217"/>
      <c r="E215" s="218"/>
      <c r="F215" s="218"/>
      <c r="G215" s="40"/>
    </row>
  </sheetData>
  <mergeCells count="12">
    <mergeCell ref="A214:I214"/>
    <mergeCell ref="A1:I1"/>
    <mergeCell ref="A2:I2"/>
    <mergeCell ref="A3:I3"/>
    <mergeCell ref="F5:I5"/>
    <mergeCell ref="C6:F6"/>
    <mergeCell ref="A7:H7"/>
    <mergeCell ref="A8:I8"/>
    <mergeCell ref="A206:C206"/>
    <mergeCell ref="A208:H208"/>
    <mergeCell ref="A210:I210"/>
    <mergeCell ref="A212:H212"/>
  </mergeCells>
  <pageMargins left="0.25" right="0.25"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8</vt:i4>
      </vt:variant>
    </vt:vector>
  </HeadingPairs>
  <TitlesOfParts>
    <vt:vector size="8" baseType="lpstr">
      <vt:lpstr>ləğv aktı 126</vt:lpstr>
      <vt:lpstr>akt 126</vt:lpstr>
      <vt:lpstr>akt əsaslar</vt:lpstr>
      <vt:lpstr>231-2-4.231-4-1</vt:lpstr>
      <vt:lpstr> kitabxana 2019</vt:lpstr>
      <vt:lpstr>akt kitab 2019</vt:lpstr>
      <vt:lpstr>2020 kitabxa</vt:lpstr>
      <vt:lpstr>akt 2020 kitabxana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2025-06-18T14:07:30Z</dcterms:modified>
</cp:coreProperties>
</file>