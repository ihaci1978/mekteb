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<sst xmlns="http://schemas.openxmlformats.org/spreadsheetml/2006/main" count="171" uniqueCount="128">
  <si>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</si>
  <si>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</si>
  <si>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</si>
  <si>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</si>
  <si>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</si>
  <si>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</si>
  <si>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</si>
  <si>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</si>
  <si>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</si>
  <si>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</si>
  <si>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</si>
  <si>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</si>
  <si>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</si>
  <si>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</si>
  <si>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</si>
  <si>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</si>
  <si>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</si>
  <si>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</si>
  <si>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</si>
  <si>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</si>
  <si>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</si>
  <si>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</si>
  <si>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</si>
  <si>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</si>
  <si>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</si>
  <si>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</si>
  <si>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</si>
  <si>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</si>
  <si>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</si>
  <si>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</si>
  <si>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</si>
  <si>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</si>
  <si>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</si>
  <si>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</si>
  <si>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</si>
  <si>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</si>
  <si>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</si>
  <si>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</si>
  <si>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</si>
  <si>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</si>
  <si>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</si>
  <si>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</si>
  <si>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</si>
  <si>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</si>
  <si>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</si>
  <si>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</si>
  <si>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</si>
  <si>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</si>
  <si>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</si>
  <si>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</si>
  <si>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</si>
  <si>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</si>
  <si>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</si>
  <si>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</si>
  <si>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</si>
  <si>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</si>
  <si>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</si>
  <si>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</si>
  <si>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</si>
  <si>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</si>
  <si>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</si>
  <si>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</si>
  <si>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</si>
  <si>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</si>
  <si>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</si>
  <si>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</si>
  <si>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</si>
  <si>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</si>
  <si>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</si>
  <si>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</si>
  <si>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</si>
  <si>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</si>
  <si>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</si>
  <si>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</si>
  <si>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</si>
  <si>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</si>
  <si>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</si>
  <si>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</si>
  <si>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</si>
  <si>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</si>
  <si>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</si>
  <si>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</si>
  <si>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</si>
  <si>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</si>
  <si>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</si>
  <si>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</si>
  <si>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</si>
  <si>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</si>
  <si>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</si>
  <si>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</si>
  <si>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</si>
  <si>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</si>
  <si>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</si>
  <si>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</si>
  <si>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</si>
  <si>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</si>
  <si>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</si>
  <si>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</si>
  <si>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</si>
  <si>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</si>
  <si>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</si>
  <si>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</si>
  <si>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</si>
  <si>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</si>
  <si>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</si>
  <si>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</si>
  <si>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</si>
  <si>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</si>
  <si>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</si>
  <si>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</si>
  <si>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</si>
  <si>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</si>
  <si>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</si>
  <si>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</si>
  <si>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</si>
  <si>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</si>
  <si>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</si>
  <si>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</si>
  <si>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</si>
  <si>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</si>
  <si>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</si>
  <si>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İbişov</t>
  </si>
  <si>
    <t>Musa</t>
  </si>
  <si>
    <t>Roman</t>
  </si>
  <si>
    <t>Quliyeva</t>
  </si>
  <si>
    <t>Qəmər</t>
  </si>
  <si>
    <t>Aləm</t>
  </si>
  <si>
    <t>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</si>
</sst>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3567456"/>
        <c:axId val="171880680"/>
      </c:barChart>
      <c:catAx>
        <c:axId val="1735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1880680"/>
        <c:crosses val="autoZero"/>
        <c:auto val="1"/>
        <c:lblAlgn val="ctr"/>
        <c:lblOffset val="100"/>
        <c:noMultiLvlLbl val="0"/>
      </c:catAx>
      <c:valAx>
        <c:axId val="171880680"/>
        <c:scaling>
          <c:orientation val="minMax"/>
          <c:max val="100"/>
        </c:scaling>
        <c:delete val="1"/>
        <c:axPos val="l"/>
        <c:numFmt formatCode="0" sourceLinked="1"/>
        <c:majorTickMark val="none"/>
        <c:minorTickMark val="none"/>
        <c:tickLblPos val="nextTo"/>
        <c:crossAx val="17356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63.414999999999999</c:v>
                </c:pt>
                <c:pt idx="1">
                  <c:v>69.5</c:v>
                </c:pt>
                <c:pt idx="2">
                  <c:v>0</c:v>
                </c:pt>
                <c:pt idx="3">
                  <c:v>69.5</c:v>
                </c:pt>
                <c:pt idx="4">
                  <c:v>0</c:v>
                </c:pt>
                <c:pt idx="5">
                  <c:v>0</c:v>
                </c:pt>
                <c:pt idx="6">
                  <c:v>0</c:v>
                </c:pt>
                <c:pt idx="7">
                  <c:v>0</c:v>
                </c:pt>
                <c:pt idx="8">
                  <c:v>0</c:v>
                </c:pt>
                <c:pt idx="9">
                  <c:v>0</c:v>
                </c:pt>
                <c:pt idx="10">
                  <c:v>0</c:v>
                </c:pt>
                <c:pt idx="11">
                  <c:v>69.5</c:v>
                </c:pt>
                <c:pt idx="12">
                  <c:v>0</c:v>
                </c:pt>
                <c:pt idx="13">
                  <c:v>69.5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576800"/>
        <c:axId val="315402944"/>
      </c:barChart>
      <c:catAx>
        <c:axId val="3145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402944"/>
        <c:crosses val="autoZero"/>
        <c:auto val="1"/>
        <c:lblAlgn val="ctr"/>
        <c:lblOffset val="100"/>
        <c:noMultiLvlLbl val="0"/>
      </c:catAx>
      <c:valAx>
        <c:axId val="315402944"/>
        <c:scaling>
          <c:orientation val="minMax"/>
          <c:max val="110"/>
          <c:min val="0"/>
        </c:scaling>
        <c:delete val="1"/>
        <c:axPos val="l"/>
        <c:numFmt formatCode="0.00" sourceLinked="1"/>
        <c:majorTickMark val="out"/>
        <c:minorTickMark val="none"/>
        <c:tickLblPos val="nextTo"/>
        <c:crossAx val="314576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0" zoomScale="130" zoomScaleNormal="130" workbookViewId="0">
      <selection activeCell="C8" sqref="C8"/>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95"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5" activePane="bottomRight" state="frozen"/>
      <selection pane="topRight" activeCell="G1" sqref="G1"/>
      <selection pane="bottomLeft" activeCell="A5" sqref="A5"/>
      <selection pane="bottomRight" activeCell="N9" sqref="N9"/>
    </sheetView>
  </sheetViews>
  <sheetFormatPr defaultColWidth="8.88671875" defaultRowHeight="14.4" x14ac:dyDescent="0.3"/>
  <cols>
    <col min="1" max="1" width="6.33203125" style="52" customWidth="1"/>
    <col min="2" max="2" width="6" style="52" customWidth="1"/>
    <col min="3" max="5" width="20.6640625" style="52" customWidth="1"/>
    <col min="6" max="6" width="12.6640625" style="52" customWidth="1"/>
    <col min="7" max="7" width="8.44140625" style="52" customWidth="1"/>
    <col min="8" max="8" width="8.6640625" style="52" customWidth="1"/>
    <col min="9" max="38" width="7.6640625" style="52" customWidth="1"/>
    <col min="39" max="39" width="5.33203125" style="52" customWidth="1"/>
    <col min="40" max="41" width="7.6640625" style="52" customWidth="1"/>
    <col min="42" max="42" width="8.109375" style="52" customWidth="1"/>
    <col min="43" max="43" width="7.664062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5" customHeight="1" thickBot="1" x14ac:dyDescent="0.35">
      <c r="A4" s="73"/>
      <c r="B4" s="73"/>
      <c r="C4" s="53" t="s">
        <v>2</v>
      </c>
      <c r="D4" s="53" t="s">
        <v>3</v>
      </c>
      <c r="E4" s="53" t="s">
        <v>1</v>
      </c>
      <c r="F4" s="93"/>
      <c r="G4" s="13">
        <v>106</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127</v>
      </c>
      <c r="C5" s="49" t="s">
        <v>121</v>
      </c>
      <c r="D5" s="49" t="s">
        <v>122</v>
      </c>
      <c r="E5" s="50" t="s">
        <v>123</v>
      </c>
      <c r="F5" s="15">
        <v>1275377</v>
      </c>
      <c r="G5" s="16">
        <f>IF(F5="","",$G$4)</f>
        <v>106</v>
      </c>
      <c r="H5" s="16">
        <f>IF(F5="","",$H$4)</f>
        <v>18</v>
      </c>
      <c r="I5" s="17">
        <v>83</v>
      </c>
      <c r="J5" s="17">
        <v>100</v>
      </c>
      <c r="K5" s="17">
        <v>100</v>
      </c>
      <c r="L5" s="17">
        <v>98</v>
      </c>
      <c r="M5" s="17"/>
      <c r="N5" s="17"/>
      <c r="O5" s="17"/>
      <c r="P5" s="18">
        <f t="shared" ref="P5:P36" si="0">IFERROR(AVERAGE(J5:O5),"")</f>
        <v>99.333333333333329</v>
      </c>
      <c r="Q5" s="17"/>
      <c r="R5" s="19">
        <f t="shared" ref="R5:R36" si="1">IF(Q5="",P5,IF(P5="",Q5,P5*40/100+Q5*60/100))</f>
        <v>99.333333333333329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99.333333333333329</v>
      </c>
      <c r="AK5" s="18" t="str">
        <f>IFERROR(AVERAGE(Q5,AD5),"")</f>
        <v/>
      </c>
      <c r="AL5" s="19">
        <f>IFERROR(AVERAGE(R5,AE5),"")</f>
        <v>99.333333333333329</v>
      </c>
      <c r="AM5" s="21">
        <f>IF(AL5&lt;=30,2,IF(AL5&lt;=60,3,IF(AL5&lt;=80,4,IF(AL5&lt;=100,5,""))))</f>
        <v>5</v>
      </c>
      <c r="AN5" s="18" t="str">
        <f>IFERROR(AVERAGE(S5,T5,AF5,AG5),"")</f>
        <v/>
      </c>
      <c r="AO5" s="17"/>
      <c r="AP5" s="25">
        <f>IF(C5="","",(U5+AH5))</f>
        <v>0</v>
      </c>
      <c r="AQ5" s="26">
        <f>IF(AP5="","",(H5-AP5)*100/H5)</f>
        <v>100</v>
      </c>
    </row>
    <row r="6" spans="1:43" ht="18.149999999999999" customHeight="1" x14ac:dyDescent="0.3">
      <c r="A6" s="49">
        <v>2</v>
      </c>
      <c r="B6" s="49" t="s">
        <v>127</v>
      </c>
      <c r="C6" s="49" t="s">
        <v>124</v>
      </c>
      <c r="D6" s="49" t="s">
        <v>125</v>
      </c>
      <c r="E6" s="50" t="s">
        <v>126</v>
      </c>
      <c r="F6" s="15">
        <v>1275377</v>
      </c>
      <c r="G6" s="1">
        <f t="shared" ref="G6:G54" si="4">IF(F6="","",$G$4)</f>
        <v>106</v>
      </c>
      <c r="H6" s="1">
        <f t="shared" ref="H6:H54" si="5">IF(F6="","",$H$4)</f>
        <v>18</v>
      </c>
      <c r="I6" s="12">
        <v>43.83</v>
      </c>
      <c r="J6" s="12">
        <v>35</v>
      </c>
      <c r="K6" s="12">
        <v>45</v>
      </c>
      <c r="L6" s="12">
        <v>39</v>
      </c>
      <c r="M6" s="12"/>
      <c r="N6" s="12"/>
      <c r="O6" s="12"/>
      <c r="P6" s="2">
        <f t="shared" si="0"/>
        <v>39.666666666666664</v>
      </c>
      <c r="Q6" s="12"/>
      <c r="R6" s="3">
        <f t="shared" si="1"/>
        <v>39.666666666666664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39.666666666666664</v>
      </c>
      <c r="AK6" s="2" t="str">
        <f t="shared" ref="AK6:AK54" si="8">IFERROR(AVERAGE(Q6,AD6),"")</f>
        <v/>
      </c>
      <c r="AL6" s="3">
        <f t="shared" ref="AL6:AL54" si="9">IFERROR(AVERAGE(R6,AE6),"")</f>
        <v>39.666666666666664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x14ac:dyDescent="0.3">
      <c r="A7" s="49"/>
      <c r="B7" s="49"/>
      <c r="C7" s="49"/>
      <c r="D7" s="49"/>
      <c r="E7" s="50"/>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t="str">
        <f t="shared" si="12"/>
        <v/>
      </c>
      <c r="AQ7" s="28" t="str">
        <f t="shared" si="13"/>
        <v/>
      </c>
    </row>
    <row r="8" spans="1:43" ht="18.149999999999999" customHeight="1" x14ac:dyDescent="0.3">
      <c r="A8" s="49"/>
      <c r="B8" s="49"/>
      <c r="C8" s="49"/>
      <c r="D8" s="49"/>
      <c r="E8" s="50"/>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t="str">
        <f t="shared" si="12"/>
        <v/>
      </c>
      <c r="AQ8" s="28" t="str">
        <f t="shared" si="13"/>
        <v/>
      </c>
    </row>
    <row r="9" spans="1:43" ht="18.149999999999999" customHeight="1" x14ac:dyDescent="0.3">
      <c r="A9" s="49"/>
      <c r="B9" s="49"/>
      <c r="C9" s="49"/>
      <c r="D9" s="49"/>
      <c r="E9" s="50"/>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t="str">
        <f t="shared" si="12"/>
        <v/>
      </c>
      <c r="AQ9" s="28" t="str">
        <f t="shared" si="13"/>
        <v/>
      </c>
    </row>
    <row r="10" spans="1:43" ht="18.149999999999999" customHeight="1" x14ac:dyDescent="0.3">
      <c r="A10" s="49"/>
      <c r="B10" s="49"/>
      <c r="C10" s="49"/>
      <c r="D10" s="49"/>
      <c r="E10" s="50"/>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t="str">
        <f t="shared" si="12"/>
        <v/>
      </c>
      <c r="AQ10" s="28" t="str">
        <f t="shared" si="13"/>
        <v/>
      </c>
    </row>
    <row r="11" spans="1:43" ht="18.149999999999999" customHeight="1" x14ac:dyDescent="0.3">
      <c r="A11" s="49"/>
      <c r="B11" s="49"/>
      <c r="C11" s="49"/>
      <c r="D11" s="49"/>
      <c r="E11" s="50"/>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t="str">
        <f t="shared" si="12"/>
        <v/>
      </c>
      <c r="AQ11" s="28" t="str">
        <f t="shared" si="13"/>
        <v/>
      </c>
    </row>
    <row r="12" spans="1:43" ht="18.149999999999999" customHeight="1" x14ac:dyDescent="0.3">
      <c r="A12" s="49"/>
      <c r="B12" s="49"/>
      <c r="C12" s="49"/>
      <c r="D12" s="49"/>
      <c r="E12" s="50"/>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t="str">
        <f t="shared" si="12"/>
        <v/>
      </c>
      <c r="AQ12" s="28" t="str">
        <f t="shared" si="13"/>
        <v/>
      </c>
    </row>
    <row r="13" spans="1:43" ht="18.149999999999999" customHeight="1" x14ac:dyDescent="0.3">
      <c r="A13" s="49"/>
      <c r="B13" s="49"/>
      <c r="C13" s="49"/>
      <c r="D13" s="49"/>
      <c r="E13" s="50"/>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t="str">
        <f t="shared" si="12"/>
        <v/>
      </c>
      <c r="AQ13" s="28" t="str">
        <f t="shared" si="13"/>
        <v/>
      </c>
    </row>
    <row r="14" spans="1:43" ht="18.149999999999999" customHeight="1" x14ac:dyDescent="0.3">
      <c r="A14" s="49"/>
      <c r="B14" s="49"/>
      <c r="C14" s="49"/>
      <c r="D14" s="49"/>
      <c r="E14" s="50"/>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t="str">
        <f t="shared" si="12"/>
        <v/>
      </c>
      <c r="AQ14" s="28" t="str">
        <f t="shared" si="13"/>
        <v/>
      </c>
    </row>
    <row r="15" spans="1:43" ht="18.149999999999999" customHeight="1" x14ac:dyDescent="0.3">
      <c r="A15" s="49"/>
      <c r="B15" s="49"/>
      <c r="C15" s="49"/>
      <c r="D15" s="49"/>
      <c r="E15" s="50"/>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t="str">
        <f t="shared" si="12"/>
        <v/>
      </c>
      <c r="AQ15" s="28" t="str">
        <f t="shared" si="13"/>
        <v/>
      </c>
    </row>
    <row r="16" spans="1:43" ht="18.149999999999999" customHeight="1" x14ac:dyDescent="0.3">
      <c r="A16" s="49"/>
      <c r="B16" s="49"/>
      <c r="C16" s="49"/>
      <c r="D16" s="49"/>
      <c r="E16" s="50"/>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t="str">
        <f t="shared" si="12"/>
        <v/>
      </c>
      <c r="AQ16" s="28" t="str">
        <f t="shared" si="13"/>
        <v/>
      </c>
    </row>
    <row r="17" spans="1:43" ht="18.149999999999999" customHeight="1" x14ac:dyDescent="0.3">
      <c r="A17" s="49"/>
      <c r="B17" s="49"/>
      <c r="C17" s="49"/>
      <c r="D17" s="49"/>
      <c r="E17" s="50"/>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t="str">
        <f t="shared" si="12"/>
        <v/>
      </c>
      <c r="AQ17" s="28" t="str">
        <f t="shared" si="13"/>
        <v/>
      </c>
    </row>
    <row r="18" spans="1:43" ht="18.149999999999999" customHeight="1" x14ac:dyDescent="0.3">
      <c r="A18" s="49"/>
      <c r="B18" s="49"/>
      <c r="C18" s="49"/>
      <c r="D18" s="49"/>
      <c r="E18" s="50"/>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t="str">
        <f t="shared" si="12"/>
        <v/>
      </c>
      <c r="AQ18" s="28" t="str">
        <f t="shared" si="13"/>
        <v/>
      </c>
    </row>
    <row r="19" spans="1:43" ht="18.149999999999999" customHeight="1" x14ac:dyDescent="0.3">
      <c r="A19" s="49"/>
      <c r="B19" s="49"/>
      <c r="C19" s="49"/>
      <c r="D19" s="49"/>
      <c r="E19" s="50"/>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t="str">
        <f t="shared" si="12"/>
        <v/>
      </c>
      <c r="AQ19" s="28" t="str">
        <f t="shared" si="13"/>
        <v/>
      </c>
    </row>
    <row r="20" spans="1:43" ht="18.149999999999999" customHeight="1" x14ac:dyDescent="0.3">
      <c r="A20" s="49"/>
      <c r="B20" s="49"/>
      <c r="C20" s="49"/>
      <c r="D20" s="49"/>
      <c r="E20" s="50"/>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t="str">
        <f t="shared" si="12"/>
        <v/>
      </c>
      <c r="AQ20" s="28" t="str">
        <f t="shared" si="13"/>
        <v/>
      </c>
    </row>
    <row r="21" spans="1:43" ht="18.149999999999999" customHeight="1" x14ac:dyDescent="0.3">
      <c r="A21" s="49"/>
      <c r="B21" s="49"/>
      <c r="C21" s="49"/>
      <c r="D21" s="49"/>
      <c r="E21" s="50"/>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t="str">
        <f t="shared" si="12"/>
        <v/>
      </c>
      <c r="AQ21" s="28" t="str">
        <f t="shared" si="13"/>
        <v/>
      </c>
    </row>
    <row r="22" spans="1:43" ht="18.149999999999999" customHeight="1" x14ac:dyDescent="0.3">
      <c r="A22" s="49"/>
      <c r="B22" s="49"/>
      <c r="C22" s="49"/>
      <c r="D22" s="49"/>
      <c r="E22" s="50"/>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t="str">
        <f t="shared" si="12"/>
        <v/>
      </c>
      <c r="AQ22" s="28" t="str">
        <f t="shared" si="13"/>
        <v/>
      </c>
    </row>
    <row r="23" spans="1:43" ht="18.149999999999999" customHeight="1" x14ac:dyDescent="0.3">
      <c r="A23" s="49"/>
      <c r="B23" s="49"/>
      <c r="C23" s="49"/>
      <c r="D23" s="49"/>
      <c r="E23" s="50"/>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t="str">
        <f t="shared" si="12"/>
        <v/>
      </c>
      <c r="AQ23" s="28" t="str">
        <f t="shared" si="13"/>
        <v/>
      </c>
    </row>
    <row r="24" spans="1:43" ht="18.149999999999999" customHeight="1" x14ac:dyDescent="0.3">
      <c r="A24" s="49"/>
      <c r="B24" s="49"/>
      <c r="C24" s="49"/>
      <c r="D24" s="49"/>
      <c r="E24" s="50"/>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t="str">
        <f t="shared" si="12"/>
        <v/>
      </c>
      <c r="AQ24" s="28" t="str">
        <f t="shared" si="13"/>
        <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106</v>
      </c>
      <c r="H55" s="22">
        <f>IF(H4="","",$H$4)</f>
        <v>18</v>
      </c>
      <c r="I55" s="23">
        <f t="shared" ref="I55:V55" si="17">IFERROR(AVERAGE(I5:I54),"")</f>
        <v>63.414999999999999</v>
      </c>
      <c r="J55" s="23">
        <f t="shared" si="17"/>
        <v>67.5</v>
      </c>
      <c r="K55" s="23">
        <f t="shared" si="17"/>
        <v>72.5</v>
      </c>
      <c r="L55" s="23">
        <f t="shared" si="17"/>
        <v>68.5</v>
      </c>
      <c r="M55" s="23" t="str">
        <f t="shared" si="17"/>
        <v/>
      </c>
      <c r="N55" s="23" t="str">
        <f t="shared" si="17"/>
        <v/>
      </c>
      <c r="O55" s="23" t="str">
        <f t="shared" si="17"/>
        <v/>
      </c>
      <c r="P55" s="23">
        <f t="shared" si="17"/>
        <v>69.5</v>
      </c>
      <c r="Q55" s="23" t="str">
        <f t="shared" si="17"/>
        <v/>
      </c>
      <c r="R55" s="23">
        <f t="shared" si="17"/>
        <v>69.5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69.5</v>
      </c>
      <c r="AK55" s="23" t="str">
        <f t="shared" ref="AK55" si="21">IFERROR(AVERAGE(AK5:AK54),"")</f>
        <v/>
      </c>
      <c r="AL55" s="23">
        <f t="shared" ref="AL55" si="22">IFERROR(AVERAGE(AL5:AL54),"")</f>
        <v>69.5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1</v>
      </c>
      <c r="J57" s="6">
        <f t="shared" ref="J57:AK57" si="24">COUNTIFS(J5:J54,"&gt;80",J5:J54,"&lt;=100")</f>
        <v>1</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1</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2</v>
      </c>
      <c r="J61" s="7">
        <f t="shared" ref="J61:AL61" si="36">SUM(J57:J60)</f>
        <v>2</v>
      </c>
      <c r="K61" s="7">
        <f t="shared" si="36"/>
        <v>2</v>
      </c>
      <c r="L61" s="7">
        <f t="shared" si="36"/>
        <v>2</v>
      </c>
      <c r="M61" s="7">
        <f t="shared" si="36"/>
        <v>0</v>
      </c>
      <c r="N61" s="7">
        <f t="shared" si="36"/>
        <v>0</v>
      </c>
      <c r="O61" s="7">
        <f t="shared" si="36"/>
        <v>0</v>
      </c>
      <c r="P61" s="7">
        <f t="shared" si="36"/>
        <v>2</v>
      </c>
      <c r="Q61" s="7">
        <f t="shared" si="36"/>
        <v>0</v>
      </c>
      <c r="R61" s="7">
        <f t="shared" si="36"/>
        <v>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v>
      </c>
      <c r="AK61" s="7">
        <f t="shared" si="36"/>
        <v>0</v>
      </c>
      <c r="AL61" s="7">
        <f t="shared" si="36"/>
        <v>2</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f>IFERROR(I57*100/I61,"")</f>
        <v>50</v>
      </c>
      <c r="J62" s="8">
        <f t="shared" ref="J62:AL62" si="39">IFERROR(J57*100/J61,"")</f>
        <v>50</v>
      </c>
      <c r="K62" s="8">
        <f t="shared" si="39"/>
        <v>50</v>
      </c>
      <c r="L62" s="8">
        <f t="shared" si="39"/>
        <v>50</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f>IFERROR(I58*100/I61,"")</f>
        <v>0</v>
      </c>
      <c r="J63" s="8">
        <f t="shared" ref="J63:AL63" si="42">IFERROR(J58*100/J61,"")</f>
        <v>0</v>
      </c>
      <c r="K63" s="8">
        <f t="shared" si="42"/>
        <v>0</v>
      </c>
      <c r="L63" s="8">
        <f t="shared" si="42"/>
        <v>0</v>
      </c>
      <c r="M63" s="8" t="str">
        <f t="shared" si="42"/>
        <v/>
      </c>
      <c r="N63" s="8" t="str">
        <f t="shared" si="42"/>
        <v/>
      </c>
      <c r="O63" s="8" t="str">
        <f t="shared" si="42"/>
        <v/>
      </c>
      <c r="P63" s="8">
        <f t="shared" si="42"/>
        <v>0</v>
      </c>
      <c r="Q63" s="8" t="str">
        <f t="shared" si="42"/>
        <v/>
      </c>
      <c r="R63" s="8">
        <f t="shared" si="42"/>
        <v>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0</v>
      </c>
      <c r="AK63" s="8" t="str">
        <f t="shared" si="42"/>
        <v/>
      </c>
      <c r="AL63" s="8">
        <f t="shared" si="42"/>
        <v>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f>IFERROR(I59*100/I61,"")</f>
        <v>50</v>
      </c>
      <c r="J64" s="8">
        <f t="shared" ref="J64:AL64" si="45">IFERROR(J59*100/J61,"")</f>
        <v>50</v>
      </c>
      <c r="K64" s="8">
        <f t="shared" si="45"/>
        <v>50</v>
      </c>
      <c r="L64" s="8">
        <f t="shared" si="45"/>
        <v>50</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t="str">
        <f t="shared" si="45"/>
        <v/>
      </c>
      <c r="AL64" s="8">
        <f t="shared" si="45"/>
        <v>50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2024-01-31T08:52:07Z</dcterms:modified>
</cp:coreProperties>
</file>