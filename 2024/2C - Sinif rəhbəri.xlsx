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filterPrivacy="1"/>
  <xr:revisionPtr revIDLastSave="0" documentId="8_{C8B6C58C-CA57-4C4D-926B-B0C8345EEF21}" xr6:coauthVersionLast="47" xr6:coauthVersionMax="47" xr10:uidLastSave="{00000000-0000-0000-0000-000000000000}"/>
  <bookViews>
    <workbookView xWindow="-108" yWindow="-108" windowWidth="23256" windowHeight="12456" tabRatio="512" activeTab="1" xr2:uid="{00000000-000D-0000-FFFF-FFFF00000000}"/>
  </bookViews>
  <sheets>
    <sheet name="Təlimat" sheetId="2" r:id="rId1"/>
    <sheet name="Baza" sheetId="4" r:id="rId2"/>
    <sheet name="Akademik nailiyyətlər"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4" l="1"/>
  <c r="P2" i="4"/>
  <c r="K2" i="4"/>
  <c r="I2" i="4"/>
  <c r="H2" i="4"/>
  <c r="D2" i="4"/>
  <c r="Z3" i="5"/>
  <c r="C2" i="4"/>
  <c r="Q3" i="5"/>
  <c r="B2" i="4"/>
  <c r="H3" i="5"/>
  <c r="A2" i="4"/>
  <c r="AI3" i="5"/>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c r="L6" i="4"/>
  <c r="L4" i="4"/>
  <c r="AF2" i="5"/>
  <c r="AK1" i="5"/>
  <c r="A5" i="5"/>
  <c r="L2" i="4"/>
  <c r="AK2" i="5"/>
  <c r="B4" i="5"/>
  <c r="AJ2" i="5"/>
  <c r="AI2" i="5"/>
  <c r="AJ1" i="5"/>
  <c r="AI1" i="5"/>
  <c r="AO10" i="5"/>
  <c r="AO9" i="5"/>
  <c r="AO8" i="5"/>
  <c r="AO7" i="5"/>
  <c r="AN14" i="5"/>
  <c r="AN19" i="5"/>
  <c r="AN24" i="5"/>
  <c r="AN29" i="5"/>
  <c r="AN34" i="5"/>
  <c r="AN39" i="5"/>
  <c r="AN44" i="5"/>
  <c r="AN49" i="5"/>
  <c r="AN54" i="5"/>
  <c r="AN59" i="5"/>
  <c r="AN64" i="5"/>
  <c r="AN69" i="5"/>
  <c r="AN74" i="5"/>
  <c r="AN79" i="5"/>
  <c r="AN84" i="5"/>
  <c r="AN89" i="5"/>
  <c r="AN94" i="5"/>
  <c r="AN99" i="5"/>
  <c r="AN104" i="5"/>
  <c r="AN109" i="5"/>
  <c r="AN114" i="5"/>
  <c r="AN119" i="5"/>
  <c r="AN124" i="5"/>
  <c r="AN129" i="5"/>
  <c r="AN15" i="5"/>
  <c r="AN20" i="5"/>
  <c r="AN25" i="5"/>
  <c r="AN30" i="5"/>
  <c r="AN35" i="5"/>
  <c r="AN40" i="5"/>
  <c r="AN45" i="5"/>
  <c r="AN50" i="5"/>
  <c r="AN55" i="5"/>
  <c r="AN60" i="5"/>
  <c r="AN65" i="5"/>
  <c r="AN70" i="5"/>
  <c r="AN75" i="5"/>
  <c r="AN80" i="5"/>
  <c r="AN85" i="5"/>
  <c r="AN90" i="5"/>
  <c r="AN95" i="5"/>
  <c r="AN100" i="5"/>
  <c r="AN105" i="5"/>
  <c r="AN110" i="5"/>
  <c r="AN115" i="5"/>
  <c r="AN120" i="5"/>
  <c r="AN125" i="5"/>
  <c r="AN130" i="5"/>
  <c r="AN16" i="5"/>
  <c r="AN21" i="5"/>
  <c r="AN26" i="5"/>
  <c r="AN31" i="5"/>
  <c r="AN36" i="5"/>
  <c r="AN41" i="5"/>
  <c r="AN46" i="5"/>
  <c r="AN51" i="5"/>
  <c r="AN56" i="5"/>
  <c r="AN61" i="5"/>
  <c r="AN66" i="5"/>
  <c r="AN71" i="5"/>
  <c r="AN76" i="5"/>
  <c r="AN81" i="5"/>
  <c r="AN86" i="5"/>
  <c r="AN91" i="5"/>
  <c r="AN96" i="5"/>
  <c r="AN101" i="5"/>
  <c r="AN106" i="5"/>
  <c r="AN111" i="5"/>
  <c r="AN116" i="5"/>
  <c r="AN121" i="5"/>
  <c r="AN126" i="5"/>
  <c r="AN131" i="5"/>
  <c r="AN13" i="5"/>
  <c r="AN18" i="5"/>
  <c r="AN23" i="5"/>
  <c r="AN28" i="5"/>
  <c r="AN33" i="5"/>
  <c r="AN38" i="5"/>
  <c r="AN43" i="5"/>
  <c r="AN48" i="5"/>
  <c r="AN53" i="5"/>
  <c r="AN58" i="5"/>
  <c r="AN63" i="5"/>
  <c r="AN68" i="5"/>
  <c r="AN73" i="5"/>
  <c r="AN78" i="5"/>
  <c r="AN83" i="5"/>
  <c r="AN88" i="5"/>
  <c r="AN93" i="5"/>
  <c r="AN98" i="5"/>
  <c r="AN103" i="5"/>
  <c r="AN108" i="5"/>
  <c r="AN113" i="5"/>
  <c r="AN118" i="5"/>
  <c r="AN123" i="5"/>
  <c r="AN128" i="5"/>
  <c r="AN12" i="5"/>
  <c r="AN17" i="5"/>
  <c r="AN22" i="5"/>
  <c r="AIP6" i="4"/>
  <c r="AIO6" i="4"/>
  <c r="AIM6" i="4"/>
  <c r="AIL6" i="4"/>
  <c r="AIK6" i="4"/>
  <c r="AIH6" i="4"/>
  <c r="AIG6" i="4"/>
  <c r="AB126" i="5"/>
  <c r="AIF6" i="4"/>
  <c r="AA126" i="5"/>
  <c r="AIE6" i="4"/>
  <c r="Z126" i="5"/>
  <c r="AID6" i="4"/>
  <c r="Y126" i="5"/>
  <c r="AIC6" i="4"/>
  <c r="X126" i="5"/>
  <c r="AIB6" i="4"/>
  <c r="AIA6" i="4"/>
  <c r="AHZ6" i="4"/>
  <c r="U126" i="5"/>
  <c r="AHY6" i="4"/>
  <c r="AHX6" i="4"/>
  <c r="AHU6" i="4"/>
  <c r="P126" i="5"/>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c r="AAL6" i="4"/>
  <c r="AAK6" i="4"/>
  <c r="AAJ6" i="4"/>
  <c r="AAI6" i="4"/>
  <c r="AAH6" i="4"/>
  <c r="AAG6" i="4"/>
  <c r="AAF6" i="4"/>
  <c r="AAE6" i="4"/>
  <c r="AAD6" i="4"/>
  <c r="AAC6" i="4"/>
  <c r="AAB6" i="4"/>
  <c r="AIP5" i="4"/>
  <c r="AIO5" i="4"/>
  <c r="AIM5" i="4"/>
  <c r="AIL5" i="4"/>
  <c r="AIK5" i="4"/>
  <c r="AIH5" i="4"/>
  <c r="AIG5" i="4"/>
  <c r="AB125" i="5"/>
  <c r="AIF5" i="4"/>
  <c r="AA125" i="5"/>
  <c r="AIE5" i="4"/>
  <c r="Z125" i="5"/>
  <c r="AID5" i="4"/>
  <c r="Y125" i="5"/>
  <c r="AIC5" i="4"/>
  <c r="X125" i="5"/>
  <c r="AIB5" i="4"/>
  <c r="AIA5" i="4"/>
  <c r="AHZ5" i="4"/>
  <c r="U125" i="5"/>
  <c r="AHY5" i="4"/>
  <c r="AHX5" i="4"/>
  <c r="AHU5" i="4"/>
  <c r="P125" i="5"/>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c r="AAL5" i="4"/>
  <c r="AAK5" i="4"/>
  <c r="AAJ5" i="4"/>
  <c r="AAI5" i="4"/>
  <c r="AAH5" i="4"/>
  <c r="AAG5" i="4"/>
  <c r="AAF5" i="4"/>
  <c r="AAE5" i="4"/>
  <c r="AAD5" i="4"/>
  <c r="AAC5" i="4"/>
  <c r="AAB5" i="4"/>
  <c r="AIP4" i="4"/>
  <c r="AIO4" i="4"/>
  <c r="AIM4" i="4"/>
  <c r="AIL4" i="4"/>
  <c r="AIK4" i="4"/>
  <c r="AIH4" i="4"/>
  <c r="AIG4" i="4"/>
  <c r="AB124" i="5"/>
  <c r="AIF4" i="4"/>
  <c r="AA124" i="5"/>
  <c r="AIE4" i="4"/>
  <c r="Z124" i="5"/>
  <c r="AID4" i="4"/>
  <c r="Y124" i="5"/>
  <c r="AIC4" i="4"/>
  <c r="X124" i="5"/>
  <c r="AIB4" i="4"/>
  <c r="AIA4" i="4"/>
  <c r="AHZ4" i="4"/>
  <c r="U124" i="5"/>
  <c r="AHY4" i="4"/>
  <c r="AHX4" i="4"/>
  <c r="AHU4" i="4"/>
  <c r="P124" i="5"/>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c r="XN4" i="4"/>
  <c r="XM4" i="4"/>
  <c r="XL4" i="4"/>
  <c r="XK4" i="4"/>
  <c r="XJ4" i="4"/>
  <c r="XI4" i="4"/>
  <c r="XH4" i="4"/>
  <c r="XG4" i="4"/>
  <c r="XF4" i="4"/>
  <c r="XE4" i="4"/>
  <c r="XD4" i="4"/>
  <c r="WX4" i="4"/>
  <c r="WW4" i="4"/>
  <c r="WU4" i="4"/>
  <c r="WT4" i="4"/>
  <c r="I84" i="5"/>
  <c r="WS4" i="4"/>
  <c r="WP4" i="4"/>
  <c r="WO4" i="4"/>
  <c r="WN4" i="4"/>
  <c r="WM4" i="4"/>
  <c r="WL4" i="4"/>
  <c r="WK4" i="4"/>
  <c r="WJ4" i="4"/>
  <c r="AK79" i="5"/>
  <c r="WI4" i="4"/>
  <c r="WH4" i="4"/>
  <c r="WG4" i="4"/>
  <c r="WF4" i="4"/>
  <c r="WC4" i="4"/>
  <c r="P84" i="5"/>
  <c r="WB4" i="4"/>
  <c r="WA4" i="4"/>
  <c r="VZ4" i="4"/>
  <c r="AA79" i="5"/>
  <c r="VY4" i="4"/>
  <c r="Z79" i="5"/>
  <c r="VX4" i="4"/>
  <c r="VW4" i="4"/>
  <c r="VV4" i="4"/>
  <c r="VU4" i="4"/>
  <c r="VT4" i="4"/>
  <c r="VS4" i="4"/>
  <c r="VR4" i="4"/>
  <c r="VL4" i="4"/>
  <c r="M79" i="5"/>
  <c r="VK4" i="4"/>
  <c r="L79" i="5"/>
  <c r="VI4" i="4"/>
  <c r="VH4" i="4"/>
  <c r="VG4" i="4"/>
  <c r="VD4" i="4"/>
  <c r="E79" i="5"/>
  <c r="VC4" i="4"/>
  <c r="VB4" i="4"/>
  <c r="VA4" i="4"/>
  <c r="UZ4" i="4"/>
  <c r="UY4" i="4"/>
  <c r="UX4" i="4"/>
  <c r="UW4" i="4"/>
  <c r="AJ74" i="5"/>
  <c r="UV4" i="4"/>
  <c r="UU4" i="4"/>
  <c r="AH74" i="5"/>
  <c r="UT4" i="4"/>
  <c r="AG74" i="5"/>
  <c r="UQ4" i="4"/>
  <c r="P79" i="5"/>
  <c r="UP4" i="4"/>
  <c r="UO4" i="4"/>
  <c r="UN4" i="4"/>
  <c r="AA74" i="5"/>
  <c r="UM4" i="4"/>
  <c r="Z74" i="5"/>
  <c r="UL4" i="4"/>
  <c r="UK4" i="4"/>
  <c r="X74" i="5"/>
  <c r="UJ4" i="4"/>
  <c r="W74" i="5"/>
  <c r="UI4" i="4"/>
  <c r="V74" i="5"/>
  <c r="UH4" i="4"/>
  <c r="UG4" i="4"/>
  <c r="T74" i="5"/>
  <c r="UF4" i="4"/>
  <c r="TZ4" i="4"/>
  <c r="M74" i="5"/>
  <c r="TY4" i="4"/>
  <c r="L74" i="5"/>
  <c r="TW4" i="4"/>
  <c r="J74" i="5"/>
  <c r="TV4" i="4"/>
  <c r="I74" i="5"/>
  <c r="TU4" i="4"/>
  <c r="TR4" i="4"/>
  <c r="E74" i="5"/>
  <c r="TQ4" i="4"/>
  <c r="TP4" i="4"/>
  <c r="TO4" i="4"/>
  <c r="TN4" i="4"/>
  <c r="TM4" i="4"/>
  <c r="TL4" i="4"/>
  <c r="AK69" i="5"/>
  <c r="TK4" i="4"/>
  <c r="AJ69" i="5"/>
  <c r="TJ4" i="4"/>
  <c r="TI4" i="4"/>
  <c r="AH69" i="5"/>
  <c r="TH4" i="4"/>
  <c r="AG69" i="5"/>
  <c r="TE4" i="4"/>
  <c r="P74" i="5"/>
  <c r="TD4" i="4"/>
  <c r="TC4" i="4"/>
  <c r="TB4" i="4"/>
  <c r="AA69" i="5"/>
  <c r="TA4" i="4"/>
  <c r="Z69" i="5"/>
  <c r="SZ4" i="4"/>
  <c r="SY4" i="4"/>
  <c r="X69" i="5"/>
  <c r="SX4" i="4"/>
  <c r="W69" i="5"/>
  <c r="SW4" i="4"/>
  <c r="V69" i="5"/>
  <c r="SV4" i="4"/>
  <c r="SU4" i="4"/>
  <c r="T69" i="5"/>
  <c r="ST4" i="4"/>
  <c r="SN4" i="4"/>
  <c r="M69" i="5"/>
  <c r="SM4" i="4"/>
  <c r="L69" i="5"/>
  <c r="SK4" i="4"/>
  <c r="J69" i="5"/>
  <c r="SJ4" i="4"/>
  <c r="I69" i="5"/>
  <c r="SI4" i="4"/>
  <c r="SF4" i="4"/>
  <c r="E69" i="5"/>
  <c r="SE4" i="4"/>
  <c r="SD4" i="4"/>
  <c r="SC4" i="4"/>
  <c r="SB4" i="4"/>
  <c r="SA4" i="4"/>
  <c r="RZ4" i="4"/>
  <c r="AK64" i="5"/>
  <c r="RY4" i="4"/>
  <c r="AJ64" i="5"/>
  <c r="RX4" i="4"/>
  <c r="RW4" i="4"/>
  <c r="AH64" i="5"/>
  <c r="RV4" i="4"/>
  <c r="AG64" i="5"/>
  <c r="RS4" i="4"/>
  <c r="P69" i="5"/>
  <c r="RR4" i="4"/>
  <c r="RQ4" i="4"/>
  <c r="RP4" i="4"/>
  <c r="AA64" i="5"/>
  <c r="RO4" i="4"/>
  <c r="Z64" i="5"/>
  <c r="RN4" i="4"/>
  <c r="RM4" i="4"/>
  <c r="X64" i="5"/>
  <c r="RL4" i="4"/>
  <c r="W64" i="5"/>
  <c r="RK4" i="4"/>
  <c r="V64" i="5"/>
  <c r="RJ4" i="4"/>
  <c r="RI4" i="4"/>
  <c r="T64" i="5"/>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c r="RA6" i="4"/>
  <c r="L66" i="5"/>
  <c r="QY6" i="4"/>
  <c r="J66" i="5"/>
  <c r="QX6" i="4"/>
  <c r="I66" i="5"/>
  <c r="QW6" i="4"/>
  <c r="QT6" i="4"/>
  <c r="E66" i="5"/>
  <c r="QS6" i="4"/>
  <c r="QR6" i="4"/>
  <c r="QQ6" i="4"/>
  <c r="QP6" i="4"/>
  <c r="QO6" i="4"/>
  <c r="QN6" i="4"/>
  <c r="AK61" i="5"/>
  <c r="QM6" i="4"/>
  <c r="AJ61" i="5"/>
  <c r="QL6" i="4"/>
  <c r="QK6" i="4"/>
  <c r="AH61" i="5"/>
  <c r="QJ6" i="4"/>
  <c r="AG61" i="5"/>
  <c r="QG6" i="4"/>
  <c r="P66" i="5"/>
  <c r="QF6" i="4"/>
  <c r="QE6" i="4"/>
  <c r="QD6" i="4"/>
  <c r="AA61" i="5"/>
  <c r="QC6" i="4"/>
  <c r="Z61" i="5"/>
  <c r="QB6" i="4"/>
  <c r="QA6" i="4"/>
  <c r="X61" i="5"/>
  <c r="PZ6" i="4"/>
  <c r="W61" i="5"/>
  <c r="PY6" i="4"/>
  <c r="V61" i="5"/>
  <c r="PX6" i="4"/>
  <c r="PW6" i="4"/>
  <c r="T61" i="5"/>
  <c r="PV6" i="4"/>
  <c r="PP6" i="4"/>
  <c r="M61" i="5"/>
  <c r="PO6" i="4"/>
  <c r="L61" i="5"/>
  <c r="PM6" i="4"/>
  <c r="J61" i="5"/>
  <c r="PL6" i="4"/>
  <c r="I61" i="5"/>
  <c r="PK6" i="4"/>
  <c r="PH6" i="4"/>
  <c r="E61" i="5"/>
  <c r="PG6" i="4"/>
  <c r="PF6" i="4"/>
  <c r="PE6" i="4"/>
  <c r="PD6" i="4"/>
  <c r="PC6" i="4"/>
  <c r="PB6" i="4"/>
  <c r="AK56" i="5"/>
  <c r="PA6" i="4"/>
  <c r="AJ56" i="5"/>
  <c r="OZ6" i="4"/>
  <c r="OY6" i="4"/>
  <c r="AH56" i="5"/>
  <c r="OX6" i="4"/>
  <c r="AG56" i="5"/>
  <c r="OU6" i="4"/>
  <c r="P61" i="5"/>
  <c r="OT6" i="4"/>
  <c r="OS6" i="4"/>
  <c r="OR6" i="4"/>
  <c r="AA56" i="5"/>
  <c r="OQ6" i="4"/>
  <c r="Z56" i="5"/>
  <c r="OP6" i="4"/>
  <c r="OO6" i="4"/>
  <c r="X56" i="5"/>
  <c r="ON6" i="4"/>
  <c r="W56" i="5"/>
  <c r="OM6" i="4"/>
  <c r="V56" i="5"/>
  <c r="OL6" i="4"/>
  <c r="OK6" i="4"/>
  <c r="T56" i="5"/>
  <c r="OJ6" i="4"/>
  <c r="OD6" i="4"/>
  <c r="M56" i="5"/>
  <c r="OC6" i="4"/>
  <c r="L56" i="5"/>
  <c r="OA6" i="4"/>
  <c r="J56" i="5"/>
  <c r="NZ6" i="4"/>
  <c r="I56" i="5"/>
  <c r="NY6" i="4"/>
  <c r="NV6" i="4"/>
  <c r="E56" i="5"/>
  <c r="NU6" i="4"/>
  <c r="NT6" i="4"/>
  <c r="NS6" i="4"/>
  <c r="NR6" i="4"/>
  <c r="NQ6" i="4"/>
  <c r="NP6" i="4"/>
  <c r="AK51" i="5"/>
  <c r="NO6" i="4"/>
  <c r="AJ51" i="5"/>
  <c r="NN6" i="4"/>
  <c r="NM6" i="4"/>
  <c r="AH51" i="5"/>
  <c r="NL6" i="4"/>
  <c r="AG51" i="5"/>
  <c r="NI6" i="4"/>
  <c r="P56" i="5"/>
  <c r="NH6" i="4"/>
  <c r="NG6" i="4"/>
  <c r="NF6" i="4"/>
  <c r="AA51" i="5"/>
  <c r="NE6" i="4"/>
  <c r="Z51" i="5"/>
  <c r="ND6" i="4"/>
  <c r="NC6" i="4"/>
  <c r="X51" i="5"/>
  <c r="NB6" i="4"/>
  <c r="W51" i="5"/>
  <c r="NA6" i="4"/>
  <c r="V51" i="5"/>
  <c r="MZ6" i="4"/>
  <c r="MY6" i="4"/>
  <c r="T51" i="5"/>
  <c r="MX6" i="4"/>
  <c r="MR6" i="4"/>
  <c r="M51" i="5"/>
  <c r="MQ6" i="4"/>
  <c r="L51" i="5"/>
  <c r="MO6" i="4"/>
  <c r="J51" i="5"/>
  <c r="MN6" i="4"/>
  <c r="I51" i="5"/>
  <c r="MM6" i="4"/>
  <c r="MJ6" i="4"/>
  <c r="E51" i="5"/>
  <c r="MI6" i="4"/>
  <c r="MH6" i="4"/>
  <c r="MG6" i="4"/>
  <c r="MF6" i="4"/>
  <c r="ME6" i="4"/>
  <c r="MD6" i="4"/>
  <c r="AK46" i="5"/>
  <c r="MC6" i="4"/>
  <c r="AJ46" i="5"/>
  <c r="MB6" i="4"/>
  <c r="MA6" i="4"/>
  <c r="AH46" i="5"/>
  <c r="LZ6" i="4"/>
  <c r="AG46" i="5"/>
  <c r="LW6" i="4"/>
  <c r="P51" i="5"/>
  <c r="LV6" i="4"/>
  <c r="LU6" i="4"/>
  <c r="LT6" i="4"/>
  <c r="AA46" i="5"/>
  <c r="LS6" i="4"/>
  <c r="Z46" i="5"/>
  <c r="LR6" i="4"/>
  <c r="LQ6" i="4"/>
  <c r="X46" i="5"/>
  <c r="LP6" i="4"/>
  <c r="W46" i="5"/>
  <c r="LO6" i="4"/>
  <c r="V46" i="5"/>
  <c r="LN6" i="4"/>
  <c r="LM6" i="4"/>
  <c r="T46" i="5"/>
  <c r="LL6" i="4"/>
  <c r="LF6" i="4"/>
  <c r="M46" i="5"/>
  <c r="LE6" i="4"/>
  <c r="L46" i="5"/>
  <c r="LC6" i="4"/>
  <c r="J46" i="5"/>
  <c r="LB6" i="4"/>
  <c r="I46" i="5"/>
  <c r="LA6" i="4"/>
  <c r="KX6" i="4"/>
  <c r="E46" i="5"/>
  <c r="KW6" i="4"/>
  <c r="KV6" i="4"/>
  <c r="KU6" i="4"/>
  <c r="KT6" i="4"/>
  <c r="KS6" i="4"/>
  <c r="KR6" i="4"/>
  <c r="AK41" i="5"/>
  <c r="KQ6" i="4"/>
  <c r="AJ41" i="5"/>
  <c r="KP6" i="4"/>
  <c r="KO6" i="4"/>
  <c r="AH41" i="5"/>
  <c r="KN6" i="4"/>
  <c r="AG41" i="5"/>
  <c r="KK6" i="4"/>
  <c r="P46" i="5"/>
  <c r="KJ6" i="4"/>
  <c r="KI6" i="4"/>
  <c r="KH6" i="4"/>
  <c r="AA41" i="5"/>
  <c r="KG6" i="4"/>
  <c r="Z41" i="5"/>
  <c r="KF6" i="4"/>
  <c r="KE6" i="4"/>
  <c r="X41" i="5"/>
  <c r="KD6" i="4"/>
  <c r="W41" i="5"/>
  <c r="KC6" i="4"/>
  <c r="V41" i="5"/>
  <c r="KB6" i="4"/>
  <c r="KA6" i="4"/>
  <c r="T41" i="5"/>
  <c r="JZ6" i="4"/>
  <c r="JT6" i="4"/>
  <c r="M41" i="5"/>
  <c r="JS6" i="4"/>
  <c r="L41" i="5"/>
  <c r="JQ6" i="4"/>
  <c r="J41" i="5"/>
  <c r="JP6" i="4"/>
  <c r="I41" i="5"/>
  <c r="JO6" i="4"/>
  <c r="JL6" i="4"/>
  <c r="E41" i="5"/>
  <c r="JK6" i="4"/>
  <c r="JJ6" i="4"/>
  <c r="JI6" i="4"/>
  <c r="JH6" i="4"/>
  <c r="JG6" i="4"/>
  <c r="JF6" i="4"/>
  <c r="AK36" i="5"/>
  <c r="JE6" i="4"/>
  <c r="AJ36" i="5"/>
  <c r="JD6" i="4"/>
  <c r="JC6" i="4"/>
  <c r="AH36" i="5"/>
  <c r="JB6" i="4"/>
  <c r="AG36" i="5"/>
  <c r="IY6" i="4"/>
  <c r="P41" i="5"/>
  <c r="IX6" i="4"/>
  <c r="IW6" i="4"/>
  <c r="IV6" i="4"/>
  <c r="AA36" i="5"/>
  <c r="IU6" i="4"/>
  <c r="Z36" i="5"/>
  <c r="IT6" i="4"/>
  <c r="IS6" i="4"/>
  <c r="X36" i="5"/>
  <c r="IR6" i="4"/>
  <c r="W36" i="5"/>
  <c r="IQ6" i="4"/>
  <c r="V36" i="5"/>
  <c r="IP6" i="4"/>
  <c r="IO6" i="4"/>
  <c r="T36" i="5"/>
  <c r="IN6" i="4"/>
  <c r="RB5" i="4"/>
  <c r="M65" i="5"/>
  <c r="RA5" i="4"/>
  <c r="L65" i="5"/>
  <c r="QY5" i="4"/>
  <c r="J65" i="5"/>
  <c r="QX5" i="4"/>
  <c r="I65" i="5"/>
  <c r="QW5" i="4"/>
  <c r="QT5" i="4"/>
  <c r="E65" i="5"/>
  <c r="QS5" i="4"/>
  <c r="QR5" i="4"/>
  <c r="QQ5" i="4"/>
  <c r="QP5" i="4"/>
  <c r="QO5" i="4"/>
  <c r="QN5" i="4"/>
  <c r="AK60" i="5"/>
  <c r="QM5" i="4"/>
  <c r="AJ60" i="5"/>
  <c r="QL5" i="4"/>
  <c r="QK5" i="4"/>
  <c r="AH60" i="5"/>
  <c r="QJ5" i="4"/>
  <c r="AG60" i="5"/>
  <c r="QG5" i="4"/>
  <c r="P65" i="5"/>
  <c r="QF5" i="4"/>
  <c r="QE5" i="4"/>
  <c r="QD5" i="4"/>
  <c r="AA60" i="5"/>
  <c r="QC5" i="4"/>
  <c r="Z60" i="5"/>
  <c r="QB5" i="4"/>
  <c r="QA5" i="4"/>
  <c r="X60" i="5"/>
  <c r="PZ5" i="4"/>
  <c r="W60" i="5"/>
  <c r="PY5" i="4"/>
  <c r="V60" i="5"/>
  <c r="PX5" i="4"/>
  <c r="PW5" i="4"/>
  <c r="T60" i="5"/>
  <c r="PV5" i="4"/>
  <c r="PP5" i="4"/>
  <c r="M60" i="5"/>
  <c r="PO5" i="4"/>
  <c r="L60" i="5"/>
  <c r="PM5" i="4"/>
  <c r="J60" i="5"/>
  <c r="PL5" i="4"/>
  <c r="I60" i="5"/>
  <c r="PK5" i="4"/>
  <c r="PH5" i="4"/>
  <c r="E60" i="5"/>
  <c r="PG5" i="4"/>
  <c r="PF5" i="4"/>
  <c r="PE5" i="4"/>
  <c r="PD5" i="4"/>
  <c r="PC5" i="4"/>
  <c r="PB5" i="4"/>
  <c r="AK55" i="5"/>
  <c r="PA5" i="4"/>
  <c r="AJ55" i="5"/>
  <c r="OZ5" i="4"/>
  <c r="OY5" i="4"/>
  <c r="AH55" i="5"/>
  <c r="OX5" i="4"/>
  <c r="AG55" i="5"/>
  <c r="OU5" i="4"/>
  <c r="P60" i="5"/>
  <c r="OT5" i="4"/>
  <c r="OS5" i="4"/>
  <c r="OR5" i="4"/>
  <c r="AA55" i="5"/>
  <c r="OQ5" i="4"/>
  <c r="Z55" i="5"/>
  <c r="OP5" i="4"/>
  <c r="OO5" i="4"/>
  <c r="X55" i="5"/>
  <c r="ON5" i="4"/>
  <c r="W55" i="5"/>
  <c r="OM5" i="4"/>
  <c r="V55" i="5"/>
  <c r="OL5" i="4"/>
  <c r="OK5" i="4"/>
  <c r="T55" i="5"/>
  <c r="OJ5" i="4"/>
  <c r="OD5" i="4"/>
  <c r="M55" i="5"/>
  <c r="OC5" i="4"/>
  <c r="L55" i="5"/>
  <c r="OA5" i="4"/>
  <c r="J55" i="5"/>
  <c r="NZ5" i="4"/>
  <c r="I55" i="5"/>
  <c r="NY5" i="4"/>
  <c r="NV5" i="4"/>
  <c r="E55" i="5"/>
  <c r="NU5" i="4"/>
  <c r="NT5" i="4"/>
  <c r="NS5" i="4"/>
  <c r="NR5" i="4"/>
  <c r="NQ5" i="4"/>
  <c r="NP5" i="4"/>
  <c r="AK50" i="5"/>
  <c r="NO5" i="4"/>
  <c r="AJ50" i="5"/>
  <c r="NN5" i="4"/>
  <c r="NM5" i="4"/>
  <c r="AH50" i="5"/>
  <c r="NL5" i="4"/>
  <c r="AG50" i="5"/>
  <c r="NI5" i="4"/>
  <c r="P55" i="5"/>
  <c r="NH5" i="4"/>
  <c r="NG5" i="4"/>
  <c r="NF5" i="4"/>
  <c r="AA50" i="5"/>
  <c r="NE5" i="4"/>
  <c r="Z50" i="5"/>
  <c r="ND5" i="4"/>
  <c r="NC5" i="4"/>
  <c r="X50" i="5"/>
  <c r="NB5" i="4"/>
  <c r="W50" i="5"/>
  <c r="NA5" i="4"/>
  <c r="V50" i="5"/>
  <c r="MZ5" i="4"/>
  <c r="MY5" i="4"/>
  <c r="T50" i="5"/>
  <c r="MX5" i="4"/>
  <c r="MR5" i="4"/>
  <c r="M50" i="5"/>
  <c r="MQ5" i="4"/>
  <c r="L50" i="5"/>
  <c r="MO5" i="4"/>
  <c r="J50" i="5"/>
  <c r="MN5" i="4"/>
  <c r="I50" i="5"/>
  <c r="MM5" i="4"/>
  <c r="MJ5" i="4"/>
  <c r="E50" i="5"/>
  <c r="MI5" i="4"/>
  <c r="MH5" i="4"/>
  <c r="MG5" i="4"/>
  <c r="MF5" i="4"/>
  <c r="ME5" i="4"/>
  <c r="MD5" i="4"/>
  <c r="AK45" i="5"/>
  <c r="MC5" i="4"/>
  <c r="AJ45" i="5"/>
  <c r="MB5" i="4"/>
  <c r="MA5" i="4"/>
  <c r="AH45" i="5"/>
  <c r="LZ5" i="4"/>
  <c r="AG45" i="5"/>
  <c r="LW5" i="4"/>
  <c r="P50" i="5"/>
  <c r="LV5" i="4"/>
  <c r="LU5" i="4"/>
  <c r="LT5" i="4"/>
  <c r="AA45" i="5"/>
  <c r="LS5" i="4"/>
  <c r="Z45" i="5"/>
  <c r="LR5" i="4"/>
  <c r="LQ5" i="4"/>
  <c r="X45" i="5"/>
  <c r="LP5" i="4"/>
  <c r="W45" i="5"/>
  <c r="LO5" i="4"/>
  <c r="V45" i="5"/>
  <c r="LN5" i="4"/>
  <c r="LM5" i="4"/>
  <c r="T45" i="5"/>
  <c r="LL5" i="4"/>
  <c r="LF5" i="4"/>
  <c r="M45" i="5"/>
  <c r="LE5" i="4"/>
  <c r="L45" i="5"/>
  <c r="LC5" i="4"/>
  <c r="J45" i="5"/>
  <c r="LB5" i="4"/>
  <c r="I45" i="5"/>
  <c r="LA5" i="4"/>
  <c r="KX5" i="4"/>
  <c r="E45" i="5"/>
  <c r="KW5" i="4"/>
  <c r="KV5" i="4"/>
  <c r="KU5" i="4"/>
  <c r="KT5" i="4"/>
  <c r="KS5" i="4"/>
  <c r="KR5" i="4"/>
  <c r="AK40" i="5"/>
  <c r="KQ5" i="4"/>
  <c r="AJ40" i="5"/>
  <c r="KP5" i="4"/>
  <c r="KO5" i="4"/>
  <c r="AH40" i="5"/>
  <c r="KN5" i="4"/>
  <c r="AG40" i="5"/>
  <c r="KK5" i="4"/>
  <c r="P45" i="5"/>
  <c r="KJ5" i="4"/>
  <c r="KI5" i="4"/>
  <c r="KH5" i="4"/>
  <c r="AA40" i="5"/>
  <c r="KG5" i="4"/>
  <c r="Z40" i="5"/>
  <c r="KF5" i="4"/>
  <c r="KE5" i="4"/>
  <c r="X40" i="5"/>
  <c r="KD5" i="4"/>
  <c r="W40" i="5"/>
  <c r="KC5" i="4"/>
  <c r="V40" i="5"/>
  <c r="KB5" i="4"/>
  <c r="KA5" i="4"/>
  <c r="T40" i="5"/>
  <c r="JZ5" i="4"/>
  <c r="JT5" i="4"/>
  <c r="M40" i="5"/>
  <c r="JS5" i="4"/>
  <c r="L40" i="5"/>
  <c r="JQ5" i="4"/>
  <c r="J40" i="5"/>
  <c r="JP5" i="4"/>
  <c r="I40" i="5"/>
  <c r="JO5" i="4"/>
  <c r="JL5" i="4"/>
  <c r="E40" i="5"/>
  <c r="JK5" i="4"/>
  <c r="JJ5" i="4"/>
  <c r="JI5" i="4"/>
  <c r="JH5" i="4"/>
  <c r="JG5" i="4"/>
  <c r="JF5" i="4"/>
  <c r="AK35" i="5"/>
  <c r="JE5" i="4"/>
  <c r="AJ35" i="5"/>
  <c r="JD5" i="4"/>
  <c r="JC5" i="4"/>
  <c r="AH35" i="5"/>
  <c r="JB5" i="4"/>
  <c r="AG35" i="5"/>
  <c r="IY5" i="4"/>
  <c r="P40" i="5"/>
  <c r="IX5" i="4"/>
  <c r="IW5" i="4"/>
  <c r="IV5" i="4"/>
  <c r="AA35" i="5"/>
  <c r="IU5" i="4"/>
  <c r="Z35" i="5"/>
  <c r="IT5" i="4"/>
  <c r="IS5" i="4"/>
  <c r="X35" i="5"/>
  <c r="IR5" i="4"/>
  <c r="W35" i="5"/>
  <c r="IQ5" i="4"/>
  <c r="V35" i="5"/>
  <c r="IP5" i="4"/>
  <c r="IO5" i="4"/>
  <c r="T35" i="5"/>
  <c r="IN5" i="4"/>
  <c r="RB4" i="4"/>
  <c r="M64" i="5"/>
  <c r="RA4" i="4"/>
  <c r="L64" i="5"/>
  <c r="QY4" i="4"/>
  <c r="J64" i="5"/>
  <c r="QX4" i="4"/>
  <c r="I64" i="5"/>
  <c r="QW4" i="4"/>
  <c r="QT4" i="4"/>
  <c r="E64" i="5"/>
  <c r="QS4" i="4"/>
  <c r="QR4" i="4"/>
  <c r="QQ4" i="4"/>
  <c r="QP4" i="4"/>
  <c r="QO4" i="4"/>
  <c r="QN4" i="4"/>
  <c r="AK59" i="5"/>
  <c r="QM4" i="4"/>
  <c r="AJ59" i="5"/>
  <c r="QL4" i="4"/>
  <c r="QK4" i="4"/>
  <c r="AH59" i="5"/>
  <c r="QJ4" i="4"/>
  <c r="AG59" i="5"/>
  <c r="QG4" i="4"/>
  <c r="P64" i="5"/>
  <c r="QF4" i="4"/>
  <c r="QE4" i="4"/>
  <c r="QD4" i="4"/>
  <c r="AA59" i="5"/>
  <c r="QC4" i="4"/>
  <c r="Z59" i="5"/>
  <c r="QB4" i="4"/>
  <c r="QA4" i="4"/>
  <c r="X59" i="5"/>
  <c r="PZ4" i="4"/>
  <c r="W59" i="5"/>
  <c r="PY4" i="4"/>
  <c r="V59" i="5"/>
  <c r="PX4" i="4"/>
  <c r="PW4" i="4"/>
  <c r="T59" i="5"/>
  <c r="PV4" i="4"/>
  <c r="PP4" i="4"/>
  <c r="M59" i="5"/>
  <c r="PO4" i="4"/>
  <c r="L59" i="5"/>
  <c r="PM4" i="4"/>
  <c r="J59" i="5"/>
  <c r="PL4" i="4"/>
  <c r="I59" i="5"/>
  <c r="PK4" i="4"/>
  <c r="PH4" i="4"/>
  <c r="E59" i="5"/>
  <c r="PG4" i="4"/>
  <c r="PF4" i="4"/>
  <c r="PE4" i="4"/>
  <c r="PD4" i="4"/>
  <c r="PC4" i="4"/>
  <c r="PB4" i="4"/>
  <c r="AK54" i="5"/>
  <c r="PA4" i="4"/>
  <c r="AJ54" i="5"/>
  <c r="OZ4" i="4"/>
  <c r="OY4" i="4"/>
  <c r="AH54" i="5"/>
  <c r="OX4" i="4"/>
  <c r="AG54" i="5"/>
  <c r="OU4" i="4"/>
  <c r="P59" i="5"/>
  <c r="OT4" i="4"/>
  <c r="OS4" i="4"/>
  <c r="OR4" i="4"/>
  <c r="AA54" i="5"/>
  <c r="OQ4" i="4"/>
  <c r="Z54" i="5"/>
  <c r="OP4" i="4"/>
  <c r="OO4" i="4"/>
  <c r="X54" i="5"/>
  <c r="ON4" i="4"/>
  <c r="W54" i="5"/>
  <c r="OM4" i="4"/>
  <c r="V54" i="5"/>
  <c r="OL4" i="4"/>
  <c r="OK4" i="4"/>
  <c r="T54" i="5"/>
  <c r="OJ4" i="4"/>
  <c r="OD4" i="4"/>
  <c r="M54" i="5"/>
  <c r="OC4" i="4"/>
  <c r="L54" i="5"/>
  <c r="OA4" i="4"/>
  <c r="J54" i="5"/>
  <c r="NZ4" i="4"/>
  <c r="I54" i="5"/>
  <c r="NY4" i="4"/>
  <c r="NV4" i="4"/>
  <c r="E54" i="5"/>
  <c r="NU4" i="4"/>
  <c r="NT4" i="4"/>
  <c r="NS4" i="4"/>
  <c r="NR4" i="4"/>
  <c r="NQ4" i="4"/>
  <c r="NP4" i="4"/>
  <c r="AK49" i="5"/>
  <c r="NO4" i="4"/>
  <c r="AJ49" i="5"/>
  <c r="NN4" i="4"/>
  <c r="NM4" i="4"/>
  <c r="AH49" i="5"/>
  <c r="NL4" i="4"/>
  <c r="AG49" i="5"/>
  <c r="NI4" i="4"/>
  <c r="P54" i="5"/>
  <c r="NH4" i="4"/>
  <c r="NG4" i="4"/>
  <c r="NF4" i="4"/>
  <c r="AA49" i="5"/>
  <c r="NE4" i="4"/>
  <c r="Z49" i="5"/>
  <c r="ND4" i="4"/>
  <c r="NC4" i="4"/>
  <c r="X49" i="5"/>
  <c r="NB4" i="4"/>
  <c r="W49" i="5"/>
  <c r="NA4" i="4"/>
  <c r="V49" i="5"/>
  <c r="MZ4" i="4"/>
  <c r="MY4" i="4"/>
  <c r="T49" i="5"/>
  <c r="MX4" i="4"/>
  <c r="MR4" i="4"/>
  <c r="M49" i="5"/>
  <c r="MQ4" i="4"/>
  <c r="L49" i="5"/>
  <c r="MO4" i="4"/>
  <c r="J49" i="5"/>
  <c r="MN4" i="4"/>
  <c r="I49" i="5"/>
  <c r="MM4" i="4"/>
  <c r="MJ4" i="4"/>
  <c r="E49" i="5"/>
  <c r="MI4" i="4"/>
  <c r="MH4" i="4"/>
  <c r="MG4" i="4"/>
  <c r="MF4" i="4"/>
  <c r="ME4" i="4"/>
  <c r="MD4" i="4"/>
  <c r="AK44" i="5"/>
  <c r="MC4" i="4"/>
  <c r="AJ44" i="5"/>
  <c r="MB4" i="4"/>
  <c r="MA4" i="4"/>
  <c r="AH44" i="5"/>
  <c r="LZ4" i="4"/>
  <c r="AG44" i="5"/>
  <c r="LW4" i="4"/>
  <c r="P49" i="5"/>
  <c r="LV4" i="4"/>
  <c r="LU4" i="4"/>
  <c r="LT4" i="4"/>
  <c r="AA44" i="5"/>
  <c r="LS4" i="4"/>
  <c r="Z44" i="5"/>
  <c r="LR4" i="4"/>
  <c r="LQ4" i="4"/>
  <c r="X44" i="5"/>
  <c r="LP4" i="4"/>
  <c r="W44" i="5"/>
  <c r="LO4" i="4"/>
  <c r="V44" i="5"/>
  <c r="LN4" i="4"/>
  <c r="LM4" i="4"/>
  <c r="T44" i="5"/>
  <c r="LL4" i="4"/>
  <c r="LF4" i="4"/>
  <c r="M44" i="5"/>
  <c r="LE4" i="4"/>
  <c r="L44" i="5"/>
  <c r="LC4" i="4"/>
  <c r="J44" i="5"/>
  <c r="LB4" i="4"/>
  <c r="I44" i="5"/>
  <c r="LA4" i="4"/>
  <c r="KX4" i="4"/>
  <c r="E44" i="5"/>
  <c r="KW4" i="4"/>
  <c r="KV4" i="4"/>
  <c r="KU4" i="4"/>
  <c r="KT4" i="4"/>
  <c r="KS4" i="4"/>
  <c r="KR4" i="4"/>
  <c r="AK39" i="5"/>
  <c r="KQ4" i="4"/>
  <c r="AJ39" i="5"/>
  <c r="KP4" i="4"/>
  <c r="KO4" i="4"/>
  <c r="AH39" i="5"/>
  <c r="KN4" i="4"/>
  <c r="AG39" i="5"/>
  <c r="KK4" i="4"/>
  <c r="P44" i="5"/>
  <c r="KJ4" i="4"/>
  <c r="KI4" i="4"/>
  <c r="KH4" i="4"/>
  <c r="AA39" i="5"/>
  <c r="KG4" i="4"/>
  <c r="Z39" i="5"/>
  <c r="KF4" i="4"/>
  <c r="KE4" i="4"/>
  <c r="X39" i="5"/>
  <c r="KD4" i="4"/>
  <c r="W39" i="5"/>
  <c r="KC4" i="4"/>
  <c r="V39" i="5"/>
  <c r="KB4" i="4"/>
  <c r="KA4" i="4"/>
  <c r="T39" i="5"/>
  <c r="JZ4" i="4"/>
  <c r="JT4" i="4"/>
  <c r="M39" i="5"/>
  <c r="JS4" i="4"/>
  <c r="L39" i="5"/>
  <c r="JQ4" i="4"/>
  <c r="J39" i="5"/>
  <c r="JP4" i="4"/>
  <c r="I39" i="5"/>
  <c r="JO4" i="4"/>
  <c r="JL4" i="4"/>
  <c r="E39" i="5"/>
  <c r="JK4" i="4"/>
  <c r="JJ4" i="4"/>
  <c r="JI4" i="4"/>
  <c r="JH4" i="4"/>
  <c r="JG4" i="4"/>
  <c r="JF4" i="4"/>
  <c r="AK34" i="5"/>
  <c r="JE4" i="4"/>
  <c r="AJ34" i="5"/>
  <c r="JD4" i="4"/>
  <c r="JC4" i="4"/>
  <c r="AH34" i="5"/>
  <c r="JB4" i="4"/>
  <c r="AG34" i="5"/>
  <c r="IY4" i="4"/>
  <c r="P39" i="5"/>
  <c r="IX4" i="4"/>
  <c r="IW4" i="4"/>
  <c r="IV4" i="4"/>
  <c r="AA34" i="5"/>
  <c r="IU4" i="4"/>
  <c r="Z34" i="5"/>
  <c r="IT4" i="4"/>
  <c r="IS4" i="4"/>
  <c r="X34" i="5"/>
  <c r="IR4" i="4"/>
  <c r="W34" i="5"/>
  <c r="IQ4" i="4"/>
  <c r="V34" i="5"/>
  <c r="IP4" i="4"/>
  <c r="IO4" i="4"/>
  <c r="T34" i="5"/>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c r="IG6" i="4"/>
  <c r="L36" i="5"/>
  <c r="IE6" i="4"/>
  <c r="J36" i="5"/>
  <c r="ID6" i="4"/>
  <c r="I36" i="5"/>
  <c r="IC6" i="4"/>
  <c r="HZ6" i="4"/>
  <c r="E36" i="5"/>
  <c r="HY6" i="4"/>
  <c r="HX6" i="4"/>
  <c r="HW6" i="4"/>
  <c r="HV6" i="4"/>
  <c r="HU6" i="4"/>
  <c r="HT6" i="4"/>
  <c r="AK31" i="5"/>
  <c r="HS6" i="4"/>
  <c r="AJ31" i="5"/>
  <c r="HR6" i="4"/>
  <c r="HQ6" i="4"/>
  <c r="AH31" i="5"/>
  <c r="HP6" i="4"/>
  <c r="AG31" i="5"/>
  <c r="HM6" i="4"/>
  <c r="P36" i="5"/>
  <c r="HL6" i="4"/>
  <c r="HK6" i="4"/>
  <c r="HJ6" i="4"/>
  <c r="AA31" i="5"/>
  <c r="HI6" i="4"/>
  <c r="Z31" i="5"/>
  <c r="HH6" i="4"/>
  <c r="HG6" i="4"/>
  <c r="X31" i="5"/>
  <c r="HF6" i="4"/>
  <c r="W31" i="5"/>
  <c r="HE6" i="4"/>
  <c r="V31" i="5"/>
  <c r="HD6" i="4"/>
  <c r="HC6" i="4"/>
  <c r="T31" i="5"/>
  <c r="HB6" i="4"/>
  <c r="IH5" i="4"/>
  <c r="M35" i="5"/>
  <c r="IG5" i="4"/>
  <c r="L35" i="5"/>
  <c r="IE5" i="4"/>
  <c r="J35" i="5"/>
  <c r="ID5" i="4"/>
  <c r="I35" i="5"/>
  <c r="IC5" i="4"/>
  <c r="HZ5" i="4"/>
  <c r="E35" i="5"/>
  <c r="HY5" i="4"/>
  <c r="HX5" i="4"/>
  <c r="HW5" i="4"/>
  <c r="HV5" i="4"/>
  <c r="HU5" i="4"/>
  <c r="HT5" i="4"/>
  <c r="AK30" i="5"/>
  <c r="HS5" i="4"/>
  <c r="AJ30" i="5"/>
  <c r="HR5" i="4"/>
  <c r="HQ5" i="4"/>
  <c r="AH30" i="5"/>
  <c r="HP5" i="4"/>
  <c r="AG30" i="5"/>
  <c r="HM5" i="4"/>
  <c r="P35" i="5"/>
  <c r="HL5" i="4"/>
  <c r="HK5" i="4"/>
  <c r="HJ5" i="4"/>
  <c r="AA30" i="5"/>
  <c r="HI5" i="4"/>
  <c r="Z30" i="5"/>
  <c r="HH5" i="4"/>
  <c r="HG5" i="4"/>
  <c r="X30" i="5"/>
  <c r="HF5" i="4"/>
  <c r="W30" i="5"/>
  <c r="HE5" i="4"/>
  <c r="V30" i="5"/>
  <c r="HD5" i="4"/>
  <c r="HC5" i="4"/>
  <c r="T30" i="5"/>
  <c r="HB5" i="4"/>
  <c r="IH4" i="4"/>
  <c r="M34" i="5"/>
  <c r="IG4" i="4"/>
  <c r="L34" i="5"/>
  <c r="IE4" i="4"/>
  <c r="J34" i="5"/>
  <c r="ID4" i="4"/>
  <c r="I34" i="5"/>
  <c r="IC4" i="4"/>
  <c r="HZ4" i="4"/>
  <c r="E34" i="5"/>
  <c r="HY4" i="4"/>
  <c r="HX4" i="4"/>
  <c r="HW4" i="4"/>
  <c r="HV4" i="4"/>
  <c r="HU4" i="4"/>
  <c r="HT4" i="4"/>
  <c r="AK29" i="5"/>
  <c r="HS4" i="4"/>
  <c r="AJ29" i="5"/>
  <c r="HR4" i="4"/>
  <c r="HQ4" i="4"/>
  <c r="AH29" i="5"/>
  <c r="HP4" i="4"/>
  <c r="AG29" i="5"/>
  <c r="HM4" i="4"/>
  <c r="P34" i="5"/>
  <c r="HL4" i="4"/>
  <c r="HK4" i="4"/>
  <c r="HJ4" i="4"/>
  <c r="AA29" i="5"/>
  <c r="HI4" i="4"/>
  <c r="Z29" i="5"/>
  <c r="HH4" i="4"/>
  <c r="HG4" i="4"/>
  <c r="X29" i="5"/>
  <c r="HF4" i="4"/>
  <c r="W29" i="5"/>
  <c r="HE4" i="4"/>
  <c r="V29" i="5"/>
  <c r="HD4" i="4"/>
  <c r="HC4" i="4"/>
  <c r="T29" i="5"/>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c r="GU6" i="4"/>
  <c r="L31" i="5"/>
  <c r="GS6" i="4"/>
  <c r="J31" i="5"/>
  <c r="GR6" i="4"/>
  <c r="I31" i="5"/>
  <c r="GQ6" i="4"/>
  <c r="GN6" i="4"/>
  <c r="E31" i="5"/>
  <c r="GM6" i="4"/>
  <c r="GL6" i="4"/>
  <c r="GK6" i="4"/>
  <c r="GJ6" i="4"/>
  <c r="GI6" i="4"/>
  <c r="GH6" i="4"/>
  <c r="AK26" i="5"/>
  <c r="GG6" i="4"/>
  <c r="AJ26" i="5"/>
  <c r="GF6" i="4"/>
  <c r="GE6" i="4"/>
  <c r="AH26" i="5"/>
  <c r="GD6" i="4"/>
  <c r="AG26" i="5"/>
  <c r="GA6" i="4"/>
  <c r="P31" i="5"/>
  <c r="FZ6" i="4"/>
  <c r="FY6" i="4"/>
  <c r="FX6" i="4"/>
  <c r="AA26" i="5"/>
  <c r="FW6" i="4"/>
  <c r="Z26" i="5"/>
  <c r="FV6" i="4"/>
  <c r="FU6" i="4"/>
  <c r="X26" i="5"/>
  <c r="FT6" i="4"/>
  <c r="W26" i="5"/>
  <c r="FS6" i="4"/>
  <c r="V26" i="5"/>
  <c r="FR6" i="4"/>
  <c r="FQ6" i="4"/>
  <c r="T26" i="5"/>
  <c r="FP6" i="4"/>
  <c r="GV5" i="4"/>
  <c r="M30" i="5"/>
  <c r="GU5" i="4"/>
  <c r="L30" i="5"/>
  <c r="GS5" i="4"/>
  <c r="J30" i="5"/>
  <c r="GR5" i="4"/>
  <c r="I30" i="5"/>
  <c r="GQ5" i="4"/>
  <c r="GN5" i="4"/>
  <c r="E30" i="5"/>
  <c r="GM5" i="4"/>
  <c r="GL5" i="4"/>
  <c r="GK5" i="4"/>
  <c r="GJ5" i="4"/>
  <c r="GI5" i="4"/>
  <c r="GH5" i="4"/>
  <c r="AK25" i="5"/>
  <c r="GG5" i="4"/>
  <c r="AJ25" i="5"/>
  <c r="GF5" i="4"/>
  <c r="GE5" i="4"/>
  <c r="AH25" i="5"/>
  <c r="GD5" i="4"/>
  <c r="AG25" i="5"/>
  <c r="GA5" i="4"/>
  <c r="P30" i="5"/>
  <c r="FZ5" i="4"/>
  <c r="FY5" i="4"/>
  <c r="FX5" i="4"/>
  <c r="AA25" i="5"/>
  <c r="FW5" i="4"/>
  <c r="Z25" i="5"/>
  <c r="FV5" i="4"/>
  <c r="FU5" i="4"/>
  <c r="X25" i="5"/>
  <c r="FT5" i="4"/>
  <c r="W25" i="5"/>
  <c r="FS5" i="4"/>
  <c r="V25" i="5"/>
  <c r="FR5" i="4"/>
  <c r="FQ5" i="4"/>
  <c r="T25" i="5"/>
  <c r="FP5" i="4"/>
  <c r="GV4" i="4"/>
  <c r="M29" i="5"/>
  <c r="GU4" i="4"/>
  <c r="L29" i="5"/>
  <c r="GS4" i="4"/>
  <c r="J29" i="5"/>
  <c r="GR4" i="4"/>
  <c r="I29" i="5"/>
  <c r="GQ4" i="4"/>
  <c r="GN4" i="4"/>
  <c r="E29" i="5"/>
  <c r="GM4" i="4"/>
  <c r="GL4" i="4"/>
  <c r="GK4" i="4"/>
  <c r="GJ4" i="4"/>
  <c r="GI4" i="4"/>
  <c r="GH4" i="4"/>
  <c r="AK24" i="5"/>
  <c r="GG4" i="4"/>
  <c r="AJ24" i="5"/>
  <c r="GF4" i="4"/>
  <c r="GE4" i="4"/>
  <c r="AH24" i="5"/>
  <c r="GD4" i="4"/>
  <c r="AG24" i="5"/>
  <c r="GA4" i="4"/>
  <c r="P29" i="5"/>
  <c r="FZ4" i="4"/>
  <c r="FY4" i="4"/>
  <c r="FX4" i="4"/>
  <c r="AA24" i="5"/>
  <c r="FW4" i="4"/>
  <c r="Z24" i="5"/>
  <c r="FV4" i="4"/>
  <c r="FU4" i="4"/>
  <c r="X24" i="5"/>
  <c r="FT4" i="4"/>
  <c r="W24" i="5"/>
  <c r="FS4" i="4"/>
  <c r="V24" i="5"/>
  <c r="FR4" i="4"/>
  <c r="FQ4" i="4"/>
  <c r="T24" i="5"/>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c r="FI6" i="4"/>
  <c r="L26" i="5"/>
  <c r="FG6" i="4"/>
  <c r="J26" i="5"/>
  <c r="FF6" i="4"/>
  <c r="I26" i="5"/>
  <c r="FE6" i="4"/>
  <c r="FB6" i="4"/>
  <c r="E26" i="5"/>
  <c r="FA6" i="4"/>
  <c r="EZ6" i="4"/>
  <c r="EY6" i="4"/>
  <c r="EX6" i="4"/>
  <c r="EW6" i="4"/>
  <c r="EV6" i="4"/>
  <c r="AK21" i="5"/>
  <c r="EU6" i="4"/>
  <c r="AJ21" i="5"/>
  <c r="ET6" i="4"/>
  <c r="ES6" i="4"/>
  <c r="AH21" i="5"/>
  <c r="ER6" i="4"/>
  <c r="AG21" i="5"/>
  <c r="EO6" i="4"/>
  <c r="P26" i="5"/>
  <c r="EN6" i="4"/>
  <c r="EM6" i="4"/>
  <c r="EL6" i="4"/>
  <c r="AA21" i="5"/>
  <c r="EK6" i="4"/>
  <c r="Z21" i="5"/>
  <c r="EJ6" i="4"/>
  <c r="EI6" i="4"/>
  <c r="X21" i="5"/>
  <c r="EH6" i="4"/>
  <c r="W21" i="5"/>
  <c r="EG6" i="4"/>
  <c r="V21" i="5"/>
  <c r="EF6" i="4"/>
  <c r="EE6" i="4"/>
  <c r="T21" i="5"/>
  <c r="ED6" i="4"/>
  <c r="FJ5" i="4"/>
  <c r="M25" i="5"/>
  <c r="FI5" i="4"/>
  <c r="L25" i="5"/>
  <c r="FG5" i="4"/>
  <c r="J25" i="5"/>
  <c r="FF5" i="4"/>
  <c r="I25" i="5"/>
  <c r="FE5" i="4"/>
  <c r="FB5" i="4"/>
  <c r="E25" i="5"/>
  <c r="FA5" i="4"/>
  <c r="EZ5" i="4"/>
  <c r="EY5" i="4"/>
  <c r="EX5" i="4"/>
  <c r="EW5" i="4"/>
  <c r="EV5" i="4"/>
  <c r="AK20" i="5"/>
  <c r="EU5" i="4"/>
  <c r="AJ20" i="5"/>
  <c r="ET5" i="4"/>
  <c r="ES5" i="4"/>
  <c r="AH20" i="5"/>
  <c r="ER5" i="4"/>
  <c r="AG20" i="5"/>
  <c r="EO5" i="4"/>
  <c r="P25" i="5"/>
  <c r="EN5" i="4"/>
  <c r="EM5" i="4"/>
  <c r="EL5" i="4"/>
  <c r="AA20" i="5"/>
  <c r="EK5" i="4"/>
  <c r="Z20" i="5"/>
  <c r="EJ5" i="4"/>
  <c r="EI5" i="4"/>
  <c r="X20" i="5"/>
  <c r="EH5" i="4"/>
  <c r="W20" i="5"/>
  <c r="EG5" i="4"/>
  <c r="V20" i="5"/>
  <c r="EF5" i="4"/>
  <c r="EE5" i="4"/>
  <c r="T20" i="5"/>
  <c r="ED5" i="4"/>
  <c r="FJ4" i="4"/>
  <c r="M24" i="5"/>
  <c r="FI4" i="4"/>
  <c r="L24" i="5"/>
  <c r="FG4" i="4"/>
  <c r="J24" i="5"/>
  <c r="FF4" i="4"/>
  <c r="I24" i="5"/>
  <c r="FE4" i="4"/>
  <c r="FB4" i="4"/>
  <c r="E24" i="5"/>
  <c r="FA4" i="4"/>
  <c r="EZ4" i="4"/>
  <c r="EY4" i="4"/>
  <c r="EX4" i="4"/>
  <c r="EW4" i="4"/>
  <c r="EV4" i="4"/>
  <c r="AK19" i="5"/>
  <c r="EU4" i="4"/>
  <c r="AJ19" i="5"/>
  <c r="ET4" i="4"/>
  <c r="ES4" i="4"/>
  <c r="AH19" i="5"/>
  <c r="ER4" i="4"/>
  <c r="AG19" i="5"/>
  <c r="EO4" i="4"/>
  <c r="P24" i="5"/>
  <c r="EN4" i="4"/>
  <c r="EM4" i="4"/>
  <c r="EL4" i="4"/>
  <c r="AA19" i="5"/>
  <c r="EK4" i="4"/>
  <c r="Z19" i="5"/>
  <c r="EJ4" i="4"/>
  <c r="EI4" i="4"/>
  <c r="X19" i="5"/>
  <c r="EH4" i="4"/>
  <c r="W19" i="5"/>
  <c r="EG4" i="4"/>
  <c r="V19" i="5"/>
  <c r="EF4" i="4"/>
  <c r="EE4" i="4"/>
  <c r="T19" i="5"/>
  <c r="ED4" i="4"/>
  <c r="FJ3" i="4"/>
  <c r="FI3" i="4"/>
  <c r="FG3" i="4"/>
  <c r="FF3" i="4"/>
  <c r="FE3" i="4"/>
  <c r="FB3" i="4"/>
  <c r="FA3" i="4"/>
  <c r="EZ3" i="4"/>
  <c r="EY3" i="4"/>
  <c r="EX3" i="4"/>
  <c r="EW3" i="4"/>
  <c r="EV3" i="4"/>
  <c r="AK18" i="5"/>
  <c r="EU3" i="4"/>
  <c r="AJ18" i="5"/>
  <c r="ET3" i="4"/>
  <c r="ES3" i="4"/>
  <c r="AH18" i="5"/>
  <c r="ER3" i="4"/>
  <c r="AG18" i="5"/>
  <c r="EO3" i="4"/>
  <c r="EN3" i="4"/>
  <c r="AC18" i="5"/>
  <c r="EM3" i="4"/>
  <c r="AB18" i="5"/>
  <c r="EL3" i="4"/>
  <c r="AA18" i="5"/>
  <c r="EK3" i="4"/>
  <c r="Z18" i="5"/>
  <c r="EJ3" i="4"/>
  <c r="Y18" i="5"/>
  <c r="EI3" i="4"/>
  <c r="X18" i="5"/>
  <c r="EH3" i="4"/>
  <c r="W18" i="5"/>
  <c r="EG3" i="4"/>
  <c r="V18" i="5"/>
  <c r="EF3" i="4"/>
  <c r="U18" i="5"/>
  <c r="EE3" i="4"/>
  <c r="T18" i="5"/>
  <c r="ED3" i="4"/>
  <c r="S18" i="5"/>
  <c r="DX6" i="4"/>
  <c r="M21" i="5"/>
  <c r="DW6" i="4"/>
  <c r="L21" i="5"/>
  <c r="DU6" i="4"/>
  <c r="J21" i="5"/>
  <c r="DT6" i="4"/>
  <c r="I21" i="5"/>
  <c r="DS6" i="4"/>
  <c r="DP6" i="4"/>
  <c r="E21" i="5"/>
  <c r="DO6" i="4"/>
  <c r="DN6" i="4"/>
  <c r="DM6" i="4"/>
  <c r="DL6" i="4"/>
  <c r="DK6" i="4"/>
  <c r="DJ6" i="4"/>
  <c r="AK16" i="5"/>
  <c r="DI6" i="4"/>
  <c r="AJ16" i="5"/>
  <c r="DH6" i="4"/>
  <c r="DG6" i="4"/>
  <c r="AH16" i="5"/>
  <c r="DF6" i="4"/>
  <c r="AG16" i="5"/>
  <c r="DC6" i="4"/>
  <c r="P21" i="5"/>
  <c r="DB6" i="4"/>
  <c r="DA6" i="4"/>
  <c r="CZ6" i="4"/>
  <c r="AA16" i="5"/>
  <c r="CY6" i="4"/>
  <c r="Z16" i="5"/>
  <c r="CX6" i="4"/>
  <c r="CW6" i="4"/>
  <c r="X16" i="5"/>
  <c r="CV6" i="4"/>
  <c r="W16" i="5"/>
  <c r="CU6" i="4"/>
  <c r="V16" i="5"/>
  <c r="CT6" i="4"/>
  <c r="CS6" i="4"/>
  <c r="T16" i="5"/>
  <c r="CR6" i="4"/>
  <c r="DX5" i="4"/>
  <c r="M20" i="5"/>
  <c r="DW5" i="4"/>
  <c r="L20" i="5"/>
  <c r="DU5" i="4"/>
  <c r="J20" i="5"/>
  <c r="DT5" i="4"/>
  <c r="I20" i="5"/>
  <c r="DS5" i="4"/>
  <c r="DP5" i="4"/>
  <c r="E20" i="5"/>
  <c r="DO5" i="4"/>
  <c r="DN5" i="4"/>
  <c r="DM5" i="4"/>
  <c r="DL5" i="4"/>
  <c r="DK5" i="4"/>
  <c r="DJ5" i="4"/>
  <c r="AK15" i="5"/>
  <c r="DI5" i="4"/>
  <c r="AJ15" i="5"/>
  <c r="DH5" i="4"/>
  <c r="DG5" i="4"/>
  <c r="AH15" i="5"/>
  <c r="DF5" i="4"/>
  <c r="AG15" i="5"/>
  <c r="DC5" i="4"/>
  <c r="P20" i="5"/>
  <c r="DB5" i="4"/>
  <c r="DA5" i="4"/>
  <c r="CZ5" i="4"/>
  <c r="AA15" i="5"/>
  <c r="CY5" i="4"/>
  <c r="Z15" i="5"/>
  <c r="CX5" i="4"/>
  <c r="CW5" i="4"/>
  <c r="X15" i="5"/>
  <c r="CV5" i="4"/>
  <c r="W15" i="5"/>
  <c r="CU5" i="4"/>
  <c r="V15" i="5"/>
  <c r="CT5" i="4"/>
  <c r="CS5" i="4"/>
  <c r="T15" i="5"/>
  <c r="CR5" i="4"/>
  <c r="DX4" i="4"/>
  <c r="M19" i="5"/>
  <c r="DW4" i="4"/>
  <c r="L19" i="5"/>
  <c r="DU4" i="4"/>
  <c r="J19" i="5"/>
  <c r="DT4" i="4"/>
  <c r="I19" i="5"/>
  <c r="DS4" i="4"/>
  <c r="DP4" i="4"/>
  <c r="E19" i="5"/>
  <c r="DO4" i="4"/>
  <c r="DN4" i="4"/>
  <c r="DM4" i="4"/>
  <c r="DL4" i="4"/>
  <c r="DK4" i="4"/>
  <c r="DJ4" i="4"/>
  <c r="AK14" i="5"/>
  <c r="DI4" i="4"/>
  <c r="AJ14" i="5"/>
  <c r="DH4" i="4"/>
  <c r="DG4" i="4"/>
  <c r="AH14" i="5"/>
  <c r="DF4" i="4"/>
  <c r="AG14" i="5"/>
  <c r="DC4" i="4"/>
  <c r="P19" i="5"/>
  <c r="DB4" i="4"/>
  <c r="DA4" i="4"/>
  <c r="CZ4" i="4"/>
  <c r="AA14" i="5"/>
  <c r="CY4" i="4"/>
  <c r="Z14" i="5"/>
  <c r="CX4" i="4"/>
  <c r="CW4" i="4"/>
  <c r="X14" i="5"/>
  <c r="CV4" i="4"/>
  <c r="W14" i="5"/>
  <c r="CU4" i="4"/>
  <c r="V14" i="5"/>
  <c r="CT4" i="4"/>
  <c r="CS4" i="4"/>
  <c r="T14" i="5"/>
  <c r="CR4" i="4"/>
  <c r="DX3" i="4"/>
  <c r="M18" i="5"/>
  <c r="DW3" i="4"/>
  <c r="L18" i="5"/>
  <c r="DU3" i="4"/>
  <c r="J18" i="5"/>
  <c r="DT3" i="4"/>
  <c r="I18" i="5"/>
  <c r="DS3" i="4"/>
  <c r="DP3" i="4"/>
  <c r="E18" i="5"/>
  <c r="DO3" i="4"/>
  <c r="DN3" i="4"/>
  <c r="DM3" i="4"/>
  <c r="DL3" i="4"/>
  <c r="DK3" i="4"/>
  <c r="DJ3" i="4"/>
  <c r="AK13" i="5"/>
  <c r="DI3" i="4"/>
  <c r="AJ13" i="5"/>
  <c r="DH3" i="4"/>
  <c r="DG3" i="4"/>
  <c r="AH13" i="5"/>
  <c r="DF3" i="4"/>
  <c r="AG13" i="5"/>
  <c r="DC3" i="4"/>
  <c r="P18" i="5"/>
  <c r="DB3" i="4"/>
  <c r="DA3" i="4"/>
  <c r="CZ3" i="4"/>
  <c r="AA13" i="5"/>
  <c r="CY3" i="4"/>
  <c r="Z13" i="5"/>
  <c r="CX3" i="4"/>
  <c r="CW3" i="4"/>
  <c r="X13" i="5"/>
  <c r="CV3" i="4"/>
  <c r="W13" i="5"/>
  <c r="CU3" i="4"/>
  <c r="V13" i="5"/>
  <c r="CT3" i="4"/>
  <c r="CS3" i="4"/>
  <c r="CR3" i="4"/>
  <c r="S13" i="5"/>
  <c r="CL6" i="4"/>
  <c r="M16" i="5"/>
  <c r="CK6" i="4"/>
  <c r="L16" i="5"/>
  <c r="CI6" i="4"/>
  <c r="J16" i="5"/>
  <c r="CH6" i="4"/>
  <c r="I16" i="5"/>
  <c r="CG6" i="4"/>
  <c r="CD6" i="4"/>
  <c r="E16" i="5"/>
  <c r="CC6" i="4"/>
  <c r="CB6" i="4"/>
  <c r="CA6" i="4"/>
  <c r="BZ6" i="4"/>
  <c r="BY6" i="4"/>
  <c r="BX6" i="4"/>
  <c r="BW6" i="4"/>
  <c r="BV6" i="4"/>
  <c r="BU6" i="4"/>
  <c r="BT6" i="4"/>
  <c r="BQ6" i="4"/>
  <c r="P16" i="5"/>
  <c r="BP6" i="4"/>
  <c r="BO6" i="4"/>
  <c r="BN6" i="4"/>
  <c r="BM6" i="4"/>
  <c r="BL6" i="4"/>
  <c r="BK6" i="4"/>
  <c r="BJ6" i="4"/>
  <c r="BI6" i="4"/>
  <c r="BH6" i="4"/>
  <c r="BG6" i="4"/>
  <c r="BF6" i="4"/>
  <c r="CL5" i="4"/>
  <c r="M15" i="5"/>
  <c r="CK5" i="4"/>
  <c r="L15" i="5"/>
  <c r="CI5" i="4"/>
  <c r="J15" i="5"/>
  <c r="CH5" i="4"/>
  <c r="I15" i="5"/>
  <c r="CG5" i="4"/>
  <c r="CD5" i="4"/>
  <c r="E15" i="5"/>
  <c r="CC5" i="4"/>
  <c r="CB5" i="4"/>
  <c r="CA5" i="4"/>
  <c r="BZ5" i="4"/>
  <c r="BY5" i="4"/>
  <c r="BX5" i="4"/>
  <c r="BW5" i="4"/>
  <c r="BV5" i="4"/>
  <c r="BU5" i="4"/>
  <c r="BT5" i="4"/>
  <c r="BQ5" i="4"/>
  <c r="P15" i="5"/>
  <c r="BP5" i="4"/>
  <c r="BO5" i="4"/>
  <c r="BN5" i="4"/>
  <c r="BM5" i="4"/>
  <c r="BL5" i="4"/>
  <c r="BK5" i="4"/>
  <c r="BJ5" i="4"/>
  <c r="BI5" i="4"/>
  <c r="BH5" i="4"/>
  <c r="BG5" i="4"/>
  <c r="BF5" i="4"/>
  <c r="CL4" i="4"/>
  <c r="M14" i="5"/>
  <c r="CK4" i="4"/>
  <c r="L14" i="5"/>
  <c r="CI4" i="4"/>
  <c r="J14" i="5"/>
  <c r="CH4" i="4"/>
  <c r="I14" i="5"/>
  <c r="CG4" i="4"/>
  <c r="CD4" i="4"/>
  <c r="E14" i="5"/>
  <c r="CC4" i="4"/>
  <c r="CB4" i="4"/>
  <c r="CA4" i="4"/>
  <c r="BZ4" i="4"/>
  <c r="BY4" i="4"/>
  <c r="BX4" i="4"/>
  <c r="BW4" i="4"/>
  <c r="BV4" i="4"/>
  <c r="BU4" i="4"/>
  <c r="BT4" i="4"/>
  <c r="BQ4" i="4"/>
  <c r="P14" i="5"/>
  <c r="BP4" i="4"/>
  <c r="BO4" i="4"/>
  <c r="BN4" i="4"/>
  <c r="BM4" i="4"/>
  <c r="BL4" i="4"/>
  <c r="BK4" i="4"/>
  <c r="BJ4" i="4"/>
  <c r="BI4" i="4"/>
  <c r="BH4" i="4"/>
  <c r="BG4" i="4"/>
  <c r="BF4" i="4"/>
  <c r="CL3" i="4"/>
  <c r="M13" i="5"/>
  <c r="CK3" i="4"/>
  <c r="L13" i="5"/>
  <c r="CI3" i="4"/>
  <c r="J13" i="5"/>
  <c r="CH3" i="4"/>
  <c r="I13" i="5"/>
  <c r="CG3" i="4"/>
  <c r="CD3" i="4"/>
  <c r="E13" i="5"/>
  <c r="CC3" i="4"/>
  <c r="CB3" i="4"/>
  <c r="CA3" i="4"/>
  <c r="BZ3" i="4"/>
  <c r="BY3" i="4"/>
  <c r="BX3" i="4"/>
  <c r="BW3" i="4"/>
  <c r="BV3" i="4"/>
  <c r="BU3" i="4"/>
  <c r="BT3" i="4"/>
  <c r="BQ3" i="4"/>
  <c r="P13" i="5"/>
  <c r="BP3" i="4"/>
  <c r="BO3" i="4"/>
  <c r="BN3" i="4"/>
  <c r="BM3" i="4"/>
  <c r="BL3" i="4"/>
  <c r="BK3" i="4"/>
  <c r="BJ3" i="4"/>
  <c r="BI3" i="4"/>
  <c r="BH3" i="4"/>
  <c r="BG3" i="4"/>
  <c r="BF3" i="4"/>
  <c r="F13" i="5"/>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c r="V3" i="4"/>
  <c r="G8" i="5"/>
  <c r="W3" i="4"/>
  <c r="X3" i="4"/>
  <c r="Y3" i="4"/>
  <c r="Z3" i="4"/>
  <c r="K8" i="5"/>
  <c r="AA3" i="4"/>
  <c r="AB3" i="4"/>
  <c r="AC3" i="4"/>
  <c r="N8" i="5"/>
  <c r="AD3" i="4"/>
  <c r="O8" i="5"/>
  <c r="AE3" i="4"/>
  <c r="P8" i="5"/>
  <c r="AH3" i="4"/>
  <c r="S8" i="5"/>
  <c r="AI3" i="4"/>
  <c r="T8" i="5"/>
  <c r="AJ3" i="4"/>
  <c r="U8" i="5"/>
  <c r="AK3" i="4"/>
  <c r="V8" i="5"/>
  <c r="AL3" i="4"/>
  <c r="W8" i="5"/>
  <c r="AM3" i="4"/>
  <c r="X8" i="5"/>
  <c r="AN3" i="4"/>
  <c r="Y8" i="5"/>
  <c r="AO3" i="4"/>
  <c r="Z8" i="5"/>
  <c r="AP3" i="4"/>
  <c r="AA8" i="5"/>
  <c r="AQ3" i="4"/>
  <c r="AB8" i="5"/>
  <c r="AR3" i="4"/>
  <c r="AU3" i="4"/>
  <c r="AV3" i="4"/>
  <c r="AW3" i="4"/>
  <c r="J8" i="5"/>
  <c r="AY3" i="4"/>
  <c r="AZ3" i="4"/>
  <c r="U4" i="4"/>
  <c r="V4" i="4"/>
  <c r="G9" i="5"/>
  <c r="W4" i="4"/>
  <c r="X4" i="4"/>
  <c r="Y4" i="4"/>
  <c r="Z4" i="4"/>
  <c r="K9" i="5"/>
  <c r="AA4" i="4"/>
  <c r="AB4" i="4"/>
  <c r="AC4" i="4"/>
  <c r="N9" i="5"/>
  <c r="AD4" i="4"/>
  <c r="O9" i="5"/>
  <c r="AE4" i="4"/>
  <c r="P9" i="5"/>
  <c r="P129" i="5"/>
  <c r="AH4" i="4"/>
  <c r="S9" i="5"/>
  <c r="AI4" i="4"/>
  <c r="T9" i="5"/>
  <c r="AJ4" i="4"/>
  <c r="U9" i="5"/>
  <c r="AK4" i="4"/>
  <c r="V9" i="5"/>
  <c r="AL4" i="4"/>
  <c r="W9" i="5"/>
  <c r="AM4" i="4"/>
  <c r="X9" i="5"/>
  <c r="AN4" i="4"/>
  <c r="Y9" i="5"/>
  <c r="AO4" i="4"/>
  <c r="Z9" i="5"/>
  <c r="AP4" i="4"/>
  <c r="AA9" i="5"/>
  <c r="AQ4" i="4"/>
  <c r="AB9" i="5"/>
  <c r="AR4" i="4"/>
  <c r="AC9" i="5"/>
  <c r="AU4" i="4"/>
  <c r="AV4" i="4"/>
  <c r="AW4" i="4"/>
  <c r="J9" i="5"/>
  <c r="AY4" i="4"/>
  <c r="AZ4" i="4"/>
  <c r="U5" i="4"/>
  <c r="V5" i="4"/>
  <c r="G10" i="5"/>
  <c r="W5" i="4"/>
  <c r="X5" i="4"/>
  <c r="Y5" i="4"/>
  <c r="Z5" i="4"/>
  <c r="K10" i="5"/>
  <c r="AA5" i="4"/>
  <c r="AB5" i="4"/>
  <c r="AC5" i="4"/>
  <c r="N10" i="5"/>
  <c r="AD5" i="4"/>
  <c r="O10" i="5"/>
  <c r="AE5" i="4"/>
  <c r="P10" i="5"/>
  <c r="P130" i="5"/>
  <c r="AH5" i="4"/>
  <c r="S10" i="5"/>
  <c r="AI5" i="4"/>
  <c r="T10" i="5"/>
  <c r="AJ5" i="4"/>
  <c r="U10" i="5"/>
  <c r="AK5" i="4"/>
  <c r="V10" i="5"/>
  <c r="AL5" i="4"/>
  <c r="W10" i="5"/>
  <c r="AM5" i="4"/>
  <c r="X10" i="5"/>
  <c r="AN5" i="4"/>
  <c r="Y10" i="5"/>
  <c r="AO5" i="4"/>
  <c r="Z10" i="5"/>
  <c r="AP5" i="4"/>
  <c r="AA10" i="5"/>
  <c r="AQ5" i="4"/>
  <c r="AB10" i="5"/>
  <c r="AR5" i="4"/>
  <c r="AU5" i="4"/>
  <c r="AV5" i="4"/>
  <c r="AW5" i="4"/>
  <c r="J10" i="5"/>
  <c r="AY5" i="4"/>
  <c r="AZ5" i="4"/>
  <c r="U6" i="4"/>
  <c r="V6" i="4"/>
  <c r="G11" i="5"/>
  <c r="W6" i="4"/>
  <c r="X6" i="4"/>
  <c r="Y6" i="4"/>
  <c r="Z6" i="4"/>
  <c r="K11" i="5"/>
  <c r="AA6" i="4"/>
  <c r="AB6" i="4"/>
  <c r="AC6" i="4"/>
  <c r="N11" i="5"/>
  <c r="AD6" i="4"/>
  <c r="O11" i="5"/>
  <c r="AE6" i="4"/>
  <c r="P11" i="5"/>
  <c r="P131" i="5"/>
  <c r="AH6" i="4"/>
  <c r="S11" i="5"/>
  <c r="AI6" i="4"/>
  <c r="T11" i="5"/>
  <c r="AJ6" i="4"/>
  <c r="U11" i="5"/>
  <c r="AK6" i="4"/>
  <c r="V11" i="5"/>
  <c r="AL6" i="4"/>
  <c r="W11" i="5"/>
  <c r="AM6" i="4"/>
  <c r="X11" i="5"/>
  <c r="AN6" i="4"/>
  <c r="Y11" i="5"/>
  <c r="AO6" i="4"/>
  <c r="Z11" i="5"/>
  <c r="AP6" i="4"/>
  <c r="AA11" i="5"/>
  <c r="AQ6" i="4"/>
  <c r="AB11" i="5"/>
  <c r="AR6" i="4"/>
  <c r="E11" i="5"/>
  <c r="AU6" i="4"/>
  <c r="AV6" i="4"/>
  <c r="AW6" i="4"/>
  <c r="J11" i="5"/>
  <c r="AY6" i="4"/>
  <c r="AZ6" i="4"/>
  <c r="T6" i="4"/>
  <c r="T5" i="4"/>
  <c r="T4" i="4"/>
  <c r="T3" i="4"/>
  <c r="M10" i="5"/>
  <c r="M130" i="5"/>
  <c r="M11" i="5"/>
  <c r="M131" i="5"/>
  <c r="M9" i="5"/>
  <c r="M129" i="5"/>
  <c r="M8" i="5"/>
  <c r="L8" i="5"/>
  <c r="L10" i="5"/>
  <c r="L130" i="5"/>
  <c r="L9" i="5"/>
  <c r="L129" i="5"/>
  <c r="L11" i="5"/>
  <c r="L131" i="5"/>
  <c r="I11" i="5"/>
  <c r="I131" i="5"/>
  <c r="I8" i="5"/>
  <c r="I10" i="5"/>
  <c r="I130" i="5"/>
  <c r="I9" i="5"/>
  <c r="F9" i="5"/>
  <c r="F129" i="5"/>
  <c r="F10" i="5"/>
  <c r="F130" i="5"/>
  <c r="F11" i="5"/>
  <c r="F131" i="5"/>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c r="AJ10" i="5"/>
  <c r="AJ130" i="5"/>
  <c r="AK9" i="5"/>
  <c r="AK129" i="5"/>
  <c r="E8" i="5"/>
  <c r="AC11" i="5"/>
  <c r="AC131" i="5"/>
  <c r="AK10" i="5"/>
  <c r="AK130" i="5"/>
  <c r="AH11" i="5"/>
  <c r="AH131" i="5"/>
  <c r="AJ9" i="5"/>
  <c r="AJ129" i="5"/>
  <c r="E10" i="5"/>
  <c r="E130" i="5"/>
  <c r="AC10" i="5"/>
  <c r="AC130" i="5"/>
  <c r="AJ8" i="5"/>
  <c r="AH9" i="5"/>
  <c r="AH129" i="5"/>
  <c r="AG8" i="5"/>
  <c r="AG9" i="5"/>
  <c r="AG129" i="5"/>
  <c r="AH10" i="5"/>
  <c r="AH130" i="5"/>
  <c r="AJ11" i="5"/>
  <c r="AJ131" i="5"/>
  <c r="AH8" i="5"/>
  <c r="E9" i="5"/>
  <c r="E129" i="5"/>
  <c r="AK8" i="5"/>
  <c r="AK11" i="5"/>
  <c r="AK131" i="5"/>
  <c r="AC8" i="5"/>
  <c r="AG10" i="5"/>
  <c r="AG130" i="5"/>
  <c r="H11" i="5"/>
  <c r="H131" i="5"/>
  <c r="AF11" i="5"/>
  <c r="AF131" i="5"/>
  <c r="H10" i="5"/>
  <c r="H130" i="5"/>
  <c r="AF10" i="5"/>
  <c r="AF130" i="5"/>
  <c r="H9" i="5"/>
  <c r="H129" i="5"/>
  <c r="AF9" i="5"/>
  <c r="AF129" i="5"/>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c r="AF2" i="4"/>
  <c r="U2" i="4"/>
  <c r="V2" i="4"/>
  <c r="W2" i="4"/>
  <c r="X2" i="4"/>
  <c r="Y2" i="4"/>
  <c r="Z2" i="4"/>
  <c r="AA2" i="4"/>
  <c r="AB2" i="4"/>
  <c r="AC2" i="4"/>
  <c r="AD2" i="4"/>
  <c r="AE2" i="4"/>
  <c r="P7" i="5"/>
  <c r="AG2" i="4"/>
  <c r="T2" i="4"/>
  <c r="E7" i="5"/>
  <c r="M7" i="5"/>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c r="AN47" i="5"/>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c r="AF122" i="5"/>
  <c r="AF127" i="5"/>
  <c r="X122" i="5"/>
  <c r="X127" i="5"/>
  <c r="P122" i="5"/>
  <c r="P127" i="5"/>
  <c r="H122" i="5"/>
  <c r="H127" i="5"/>
  <c r="AM122" i="5"/>
  <c r="AM127" i="5"/>
  <c r="AE122" i="5"/>
  <c r="AE127" i="5"/>
  <c r="W122" i="5"/>
  <c r="W127" i="5"/>
  <c r="O122" i="5"/>
  <c r="O127" i="5"/>
  <c r="G122" i="5"/>
  <c r="G127" i="5"/>
  <c r="AL122" i="5"/>
  <c r="AL127" i="5"/>
  <c r="AD122" i="5"/>
  <c r="AD127" i="5"/>
  <c r="V122" i="5"/>
  <c r="V127" i="5"/>
  <c r="N122" i="5"/>
  <c r="N127" i="5"/>
  <c r="F122" i="5"/>
  <c r="F127" i="5"/>
  <c r="AK122" i="5"/>
  <c r="AK127" i="5"/>
  <c r="AC122" i="5"/>
  <c r="AC127" i="5"/>
  <c r="U122" i="5"/>
  <c r="U127" i="5"/>
  <c r="M122" i="5"/>
  <c r="M127" i="5"/>
  <c r="E122" i="5"/>
  <c r="E127" i="5"/>
  <c r="AJ122" i="5"/>
  <c r="AJ127" i="5"/>
  <c r="AB122" i="5"/>
  <c r="AB127" i="5"/>
  <c r="T122" i="5"/>
  <c r="T127" i="5"/>
  <c r="L122" i="5"/>
  <c r="L127" i="5"/>
  <c r="D122" i="5"/>
  <c r="D127" i="5"/>
  <c r="AH122" i="5"/>
  <c r="AH127" i="5"/>
  <c r="Z122" i="5"/>
  <c r="Z127" i="5"/>
  <c r="R122" i="5"/>
  <c r="R127" i="5"/>
  <c r="J122" i="5"/>
  <c r="J127" i="5"/>
  <c r="AG122" i="5"/>
  <c r="AG127" i="5"/>
  <c r="Y122" i="5"/>
  <c r="Y127" i="5"/>
  <c r="Q122" i="5"/>
  <c r="Q127" i="5"/>
  <c r="I122" i="5"/>
  <c r="I127" i="5"/>
  <c r="AA122" i="5"/>
  <c r="AA127" i="5"/>
  <c r="S122" i="5"/>
  <c r="S127" i="5"/>
  <c r="K122" i="5"/>
  <c r="K127" i="5"/>
  <c r="AI122" i="5"/>
  <c r="AI127" i="5"/>
  <c r="W123" i="5"/>
  <c r="W128" i="5"/>
  <c r="T123" i="5"/>
  <c r="T128" i="5"/>
  <c r="Y123" i="5"/>
  <c r="Y128" i="5"/>
  <c r="X123" i="5"/>
  <c r="X128" i="5"/>
  <c r="AF123" i="5"/>
  <c r="AF128" i="5"/>
  <c r="M123" i="5"/>
  <c r="M128" i="5"/>
  <c r="J123" i="5"/>
  <c r="J128" i="5"/>
  <c r="O123" i="5"/>
  <c r="O128" i="5"/>
  <c r="AA123" i="5"/>
  <c r="AA128" i="5"/>
  <c r="E123" i="5"/>
  <c r="E128" i="5"/>
  <c r="AC123" i="5"/>
  <c r="AC128" i="5"/>
  <c r="AK123" i="5"/>
  <c r="AK128" i="5"/>
  <c r="G123" i="5"/>
  <c r="G128" i="5"/>
  <c r="F123" i="5"/>
  <c r="F128" i="5"/>
  <c r="U123" i="5"/>
  <c r="U128" i="5"/>
  <c r="Z123" i="5"/>
  <c r="Z128" i="5"/>
  <c r="N123" i="5"/>
  <c r="N128" i="5"/>
  <c r="K123" i="5"/>
  <c r="K128" i="5"/>
  <c r="P123" i="5"/>
  <c r="P128" i="5"/>
  <c r="V123" i="5"/>
  <c r="V128" i="5"/>
  <c r="S123" i="5"/>
  <c r="S128" i="5"/>
  <c r="AH123" i="5"/>
  <c r="AH128" i="5"/>
  <c r="AG123" i="5"/>
  <c r="AG128" i="5"/>
  <c r="L123" i="5"/>
  <c r="L128" i="5"/>
  <c r="AB123" i="5"/>
  <c r="AB128" i="5"/>
  <c r="I123" i="5"/>
  <c r="I128" i="5"/>
  <c r="AJ123" i="5"/>
  <c r="AJ128" i="5"/>
  <c r="H123" i="5"/>
  <c r="H128" i="5"/>
</calcChain>
</file>

<file path=xl/sharedStrings.xml><?xml version="1.0" encoding="utf-8"?>
<sst xmlns="http://schemas.openxmlformats.org/spreadsheetml/2006/main" count="6229" uniqueCount="269">
  <si>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</si>
  <si>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</si>
  <si>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</si>
  <si>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</si>
  <si>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</si>
  <si>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</si>
  <si>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</si>
  <si>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</si>
  <si>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</si>
  <si>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</si>
  <si>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</si>
  <si>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</si>
  <si>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</si>
  <si>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</si>
  <si>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</si>
  <si>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</si>
  <si>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</si>
  <si>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</si>
  <si>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</si>
  <si>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</si>
  <si>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</si>
  <si>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</si>
  <si>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</si>
  <si>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</si>
  <si>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</si>
  <si>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</si>
  <si>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</si>
  <si>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</si>
  <si>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</si>
  <si>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</si>
  <si>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</si>
  <si>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</si>
  <si>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</si>
  <si>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</si>
  <si>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</si>
  <si>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</si>
  <si>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</si>
  <si>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</si>
  <si>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</si>
  <si>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</si>
  <si>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</si>
  <si>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</si>
  <si>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</si>
  <si>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</si>
  <si>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</si>
  <si>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</si>
  <si>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</si>
  <si>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</si>
  <si>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</si>
  <si>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</si>
  <si>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</si>
  <si>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</si>
  <si>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</si>
  <si>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</si>
  <si>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</si>
  <si>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</si>
  <si>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</si>
  <si>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</si>
  <si>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</si>
  <si>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</si>
  <si>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</si>
  <si>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</si>
  <si>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</si>
  <si>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</si>
  <si>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</si>
  <si>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</si>
  <si>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</si>
  <si>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</si>
  <si>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</si>
  <si>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</si>
  <si>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</si>
  <si>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</si>
  <si>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</si>
  <si>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</si>
  <si>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</si>
  <si>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</si>
  <si>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</si>
  <si>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</si>
  <si>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</si>
  <si>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</si>
  <si>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</si>
  <si>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</si>
  <si>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</si>
  <si>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</si>
  <si>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</si>
  <si>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</si>
  <si>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</si>
  <si>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</si>
  <si>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</si>
  <si>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</si>
  <si>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</si>
  <si>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</si>
  <si>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</si>
  <si>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</si>
  <si>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</si>
  <si>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</si>
  <si>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</si>
  <si>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</si>
  <si>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</si>
  <si>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</si>
  <si>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</si>
  <si>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</si>
  <si>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</si>
  <si>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</si>
  <si>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</si>
  <si>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</si>
  <si>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</si>
  <si>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</si>
  <si>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</si>
  <si>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</si>
  <si>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</si>
  <si>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</si>
  <si>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</si>
  <si>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</si>
  <si>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</si>
  <si>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</si>
  <si>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</si>
  <si>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</si>
  <si>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</si>
  <si>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</si>
  <si>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</si>
  <si>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</si>
  <si>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</si>
  <si>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</si>
  <si>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</si>
  <si>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</si>
  <si>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</si>
  <si>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</si>
  <si>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</si>
  <si>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</si>
  <si>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</si>
  <si>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</si>
  <si>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</si>
  <si>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</si>
  <si>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</si>
  <si>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</si>
  <si>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</si>
  <si>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</si>
  <si>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</si>
  <si>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</si>
  <si>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</si>
  <si>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</si>
  <si>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</si>
  <si>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</si>
  <si>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</si>
  <si>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</si>
  <si>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</si>
  <si>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</si>
  <si>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</si>
  <si>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</si>
  <si>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C</t>
  </si>
  <si>
    <t>Süleymanova Aybəniz</t>
  </si>
  <si>
    <t>Alışova</t>
  </si>
  <si>
    <t>Humay</t>
  </si>
  <si>
    <t>İlham</t>
  </si>
  <si>
    <t>Bağışlı</t>
  </si>
  <si>
    <t>Cəsur</t>
  </si>
  <si>
    <t>Mahir</t>
  </si>
  <si>
    <t>Calalzadə</t>
  </si>
  <si>
    <t>Xanım</t>
  </si>
  <si>
    <t>Elnur</t>
  </si>
  <si>
    <t>Əhmədova</t>
  </si>
  <si>
    <t>Xumar</t>
  </si>
  <si>
    <t>Ruslan</t>
  </si>
  <si>
    <t>Əliyev</t>
  </si>
  <si>
    <t>Turab</t>
  </si>
  <si>
    <t>Lətif</t>
  </si>
  <si>
    <t>Əlizadə</t>
  </si>
  <si>
    <t>Rza</t>
  </si>
  <si>
    <t>Sabit</t>
  </si>
  <si>
    <t>Həsənli</t>
  </si>
  <si>
    <t>Fəridə</t>
  </si>
  <si>
    <t>Kərim</t>
  </si>
  <si>
    <t>Həsənov</t>
  </si>
  <si>
    <t>İsmayıl</t>
  </si>
  <si>
    <t>Azad</t>
  </si>
  <si>
    <t>Hüseynov</t>
  </si>
  <si>
    <t>Həsən</t>
  </si>
  <si>
    <t>Novruz</t>
  </si>
  <si>
    <t>Hüseyn</t>
  </si>
  <si>
    <t>Hüseynova</t>
  </si>
  <si>
    <t>Məleykə</t>
  </si>
  <si>
    <t>Şamxal</t>
  </si>
  <si>
    <t>Mələk</t>
  </si>
  <si>
    <t>Tural</t>
  </si>
  <si>
    <t>İbrahimov</t>
  </si>
  <si>
    <t>Rauf</t>
  </si>
  <si>
    <t>Ağarəhim</t>
  </si>
  <si>
    <t>Kərimli</t>
  </si>
  <si>
    <t>Cəvahir</t>
  </si>
  <si>
    <t>Rəhim</t>
  </si>
  <si>
    <t>Qədirli</t>
  </si>
  <si>
    <t>Mətin</t>
  </si>
  <si>
    <t>Əmin</t>
  </si>
  <si>
    <t>Quluzadə</t>
  </si>
  <si>
    <t>Mehdi</t>
  </si>
  <si>
    <t>Etram</t>
  </si>
  <si>
    <t>Məhərrəmli</t>
  </si>
  <si>
    <t>Səma</t>
  </si>
  <si>
    <t>Farid</t>
  </si>
  <si>
    <t>Məmmədov</t>
  </si>
  <si>
    <t>Hikmət</t>
  </si>
  <si>
    <t>Emin</t>
  </si>
  <si>
    <t>Mürsəlli</t>
  </si>
  <si>
    <t>Zəhra</t>
  </si>
  <si>
    <t>Telman</t>
  </si>
  <si>
    <t>Namazova</t>
  </si>
  <si>
    <t>Nərmin</t>
  </si>
  <si>
    <t>Rəşad</t>
  </si>
  <si>
    <t>Nəcimova</t>
  </si>
  <si>
    <t>Amil</t>
  </si>
  <si>
    <t>Səmədbəyli</t>
  </si>
  <si>
    <t>Səməd</t>
  </si>
  <si>
    <t>Orxan</t>
  </si>
  <si>
    <t>Səmədov</t>
  </si>
  <si>
    <t>Arzu</t>
  </si>
  <si>
    <t>Yusifli</t>
  </si>
  <si>
    <t>Kənan</t>
  </si>
  <si>
    <t>Sərxan</t>
  </si>
  <si>
    <t>Yusifzadə</t>
  </si>
  <si>
    <t>26.05.2016</t>
  </si>
  <si>
    <t>055 4029229</t>
  </si>
  <si>
    <t>05.04.2016</t>
  </si>
  <si>
    <t>050 4312351</t>
  </si>
  <si>
    <t>06.01.2016</t>
  </si>
  <si>
    <t>055 5025184</t>
  </si>
  <si>
    <t>15.07.2016</t>
  </si>
  <si>
    <t>050 8577958</t>
  </si>
  <si>
    <t>24.01.2016</t>
  </si>
  <si>
    <t>055 7492493</t>
  </si>
  <si>
    <t>23.11.2015</t>
  </si>
  <si>
    <t>055 4217755</t>
  </si>
  <si>
    <t>25.05.2016</t>
  </si>
  <si>
    <t>077 3311035</t>
  </si>
  <si>
    <t>11.01.2016</t>
  </si>
  <si>
    <t>050 5524681</t>
  </si>
  <si>
    <t>25.08.2016</t>
  </si>
  <si>
    <t>050 2220671</t>
  </si>
  <si>
    <t>29.01.2016</t>
  </si>
  <si>
    <t>050 7131053</t>
  </si>
  <si>
    <t>21.01.2016</t>
  </si>
  <si>
    <t>050 9751020</t>
  </si>
  <si>
    <t>13.08.2016</t>
  </si>
  <si>
    <t>055 5607471</t>
  </si>
  <si>
    <t>15.12.2016</t>
  </si>
  <si>
    <t>051 4331191</t>
  </si>
  <si>
    <t>07.04.2016</t>
  </si>
  <si>
    <t>077 5268677</t>
  </si>
  <si>
    <t>12.06.2016</t>
  </si>
  <si>
    <t>070 5996729</t>
  </si>
  <si>
    <t>07.06.2016</t>
  </si>
  <si>
    <t>055 3301440</t>
  </si>
  <si>
    <t>08.07.2016</t>
  </si>
  <si>
    <t>055 4286872</t>
  </si>
  <si>
    <t>05.05.2016</t>
  </si>
  <si>
    <t>070 2006790</t>
  </si>
  <si>
    <t>20.07.2016</t>
  </si>
  <si>
    <t>050 5881715</t>
  </si>
  <si>
    <t>11.03.2016</t>
  </si>
  <si>
    <t>050 5998057</t>
  </si>
  <si>
    <t>18.06.2016</t>
  </si>
  <si>
    <t>051 4521187</t>
  </si>
  <si>
    <t>17.10.2016</t>
  </si>
  <si>
    <t>055 7118394</t>
  </si>
  <si>
    <t>26.06.2016</t>
  </si>
  <si>
    <t>055 8050085</t>
  </si>
  <si>
    <t>03.04.2016</t>
  </si>
  <si>
    <t>051 4969391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</si>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</sst>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3">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Faiz" xfId="1" builtinId="5"/>
    <cellStyle name="Normal" xfId="0" builtinId="0"/>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9"/>
  <sheetViews>
    <sheetView showGridLines="0" topLeftCell="A19" zoomScale="130" zoomScaleNormal="130" workbookViewId="0">
      <selection activeCell="D18" sqref="D18"/>
    </sheetView>
  </sheetViews>
  <sheetFormatPr defaultColWidth="8.875" defaultRowHeight="15.75" x14ac:dyDescent="0.2"/>
  <cols>
    <col min="1" max="1" width="8.875" style="8"/>
    <col min="2" max="2" width="10.0859375" style="8" customWidth="1"/>
    <col min="3" max="3" width="22.05859375" style="8" customWidth="1"/>
    <col min="4" max="4" width="69.4140625" style="8" customWidth="1"/>
    <col min="5" max="5" width="25.55859375" style="8" customWidth="1"/>
    <col min="6" max="16384" width="8.875" style="8"/>
  </cols>
  <sheetData>
    <row r="1" spans="1:5" ht="295.89999999999998" customHeight="1" x14ac:dyDescent="0.2">
      <c r="A1" s="91" t="s">
        <v>146</v>
      </c>
      <c r="B1" s="91"/>
      <c r="C1" s="91"/>
      <c r="D1" s="91"/>
      <c r="E1" s="91"/>
    </row>
    <row r="2" spans="1:5" ht="18" x14ac:dyDescent="0.2">
      <c r="A2" s="92" t="s">
        <v>35</v>
      </c>
      <c r="B2" s="92"/>
      <c r="C2" s="92"/>
      <c r="D2" s="92"/>
      <c r="E2" s="92"/>
    </row>
    <row r="3" spans="1:5" ht="29.45" customHeight="1" x14ac:dyDescent="0.25">
      <c r="A3" s="9" t="s">
        <v>34</v>
      </c>
      <c r="B3" s="10" t="s">
        <v>122</v>
      </c>
      <c r="C3" s="10" t="s">
        <v>36</v>
      </c>
      <c r="D3" s="9" t="s">
        <v>37</v>
      </c>
      <c r="E3" s="9" t="s">
        <v>38</v>
      </c>
    </row>
    <row r="4" spans="1:5" x14ac:dyDescent="0.25">
      <c r="A4" s="65">
        <v>1</v>
      </c>
      <c r="B4" s="66" t="s">
        <v>123</v>
      </c>
      <c r="C4" s="66" t="s">
        <v>121</v>
      </c>
      <c r="D4" s="68" t="s">
        <v>124</v>
      </c>
      <c r="E4" s="66" t="s">
        <v>39</v>
      </c>
    </row>
    <row r="5" spans="1:5" x14ac:dyDescent="0.25">
      <c r="A5" s="65">
        <v>2</v>
      </c>
      <c r="B5" s="66" t="s">
        <v>123</v>
      </c>
      <c r="C5" s="66" t="s">
        <v>103</v>
      </c>
      <c r="D5" s="68" t="s">
        <v>134</v>
      </c>
      <c r="E5" s="66" t="s">
        <v>39</v>
      </c>
    </row>
    <row r="6" spans="1:5" ht="30.75" x14ac:dyDescent="0.25">
      <c r="A6" s="65">
        <v>3</v>
      </c>
      <c r="B6" s="66" t="s">
        <v>123</v>
      </c>
      <c r="C6" s="66" t="s">
        <v>90</v>
      </c>
      <c r="D6" s="68" t="s">
        <v>135</v>
      </c>
      <c r="E6" s="66" t="s">
        <v>39</v>
      </c>
    </row>
    <row r="7" spans="1:5" ht="30.75" x14ac:dyDescent="0.25">
      <c r="A7" s="65">
        <v>4</v>
      </c>
      <c r="B7" s="66" t="s">
        <v>123</v>
      </c>
      <c r="C7" s="66" t="s">
        <v>91</v>
      </c>
      <c r="D7" s="68" t="s">
        <v>125</v>
      </c>
      <c r="E7" s="66" t="s">
        <v>39</v>
      </c>
    </row>
    <row r="8" spans="1:5" ht="45" x14ac:dyDescent="0.25">
      <c r="A8" s="65">
        <v>5</v>
      </c>
      <c r="B8" s="66" t="s">
        <v>123</v>
      </c>
      <c r="C8" s="66" t="s">
        <v>99</v>
      </c>
      <c r="D8" s="68" t="s">
        <v>126</v>
      </c>
      <c r="E8" s="66" t="s">
        <v>39</v>
      </c>
    </row>
    <row r="9" spans="1:5" x14ac:dyDescent="0.25">
      <c r="A9" s="65">
        <v>6</v>
      </c>
      <c r="B9" s="66" t="s">
        <v>123</v>
      </c>
      <c r="C9" s="66" t="s">
        <v>9</v>
      </c>
      <c r="D9" s="68" t="s">
        <v>128</v>
      </c>
      <c r="E9" s="66" t="s">
        <v>39</v>
      </c>
    </row>
    <row r="10" spans="1:5" ht="30.75" x14ac:dyDescent="0.25">
      <c r="A10" s="65">
        <v>7</v>
      </c>
      <c r="B10" s="66" t="s">
        <v>123</v>
      </c>
      <c r="C10" s="66" t="s">
        <v>10</v>
      </c>
      <c r="D10" s="68" t="s">
        <v>136</v>
      </c>
      <c r="E10" s="66" t="s">
        <v>39</v>
      </c>
    </row>
    <row r="11" spans="1:5" ht="30.75" x14ac:dyDescent="0.25">
      <c r="A11" s="65">
        <v>8</v>
      </c>
      <c r="B11" s="66" t="s">
        <v>123</v>
      </c>
      <c r="C11" s="66" t="s">
        <v>40</v>
      </c>
      <c r="D11" s="68" t="s">
        <v>41</v>
      </c>
      <c r="E11" s="66" t="s">
        <v>39</v>
      </c>
    </row>
    <row r="12" spans="1:5" ht="30.75" x14ac:dyDescent="0.25">
      <c r="A12" s="65">
        <v>9</v>
      </c>
      <c r="B12" s="66" t="s">
        <v>123</v>
      </c>
      <c r="C12" s="66" t="s">
        <v>127</v>
      </c>
      <c r="D12" s="68" t="s">
        <v>137</v>
      </c>
      <c r="E12" s="66" t="s">
        <v>39</v>
      </c>
    </row>
    <row r="13" spans="1:5" x14ac:dyDescent="0.25">
      <c r="A13" s="65">
        <v>10</v>
      </c>
      <c r="B13" s="66" t="s">
        <v>123</v>
      </c>
      <c r="C13" s="66" t="s">
        <v>129</v>
      </c>
      <c r="D13" s="68" t="s">
        <v>138</v>
      </c>
      <c r="E13" s="66" t="s">
        <v>39</v>
      </c>
    </row>
    <row r="14" spans="1:5" x14ac:dyDescent="0.25">
      <c r="A14" s="65">
        <v>11</v>
      </c>
      <c r="B14" s="66" t="s">
        <v>123</v>
      </c>
      <c r="C14" s="66" t="s">
        <v>130</v>
      </c>
      <c r="D14" s="68" t="s">
        <v>139</v>
      </c>
      <c r="E14" s="66" t="s">
        <v>39</v>
      </c>
    </row>
    <row r="15" spans="1:5" ht="30.75" x14ac:dyDescent="0.25">
      <c r="A15" s="65">
        <v>12</v>
      </c>
      <c r="B15" s="66" t="s">
        <v>123</v>
      </c>
      <c r="C15" s="66" t="s">
        <v>132</v>
      </c>
      <c r="D15" s="68" t="s">
        <v>142</v>
      </c>
      <c r="E15" s="66" t="s">
        <v>39</v>
      </c>
    </row>
    <row r="16" spans="1:5" ht="30.75" x14ac:dyDescent="0.25">
      <c r="A16" s="65">
        <v>13</v>
      </c>
      <c r="B16" s="66" t="s">
        <v>123</v>
      </c>
      <c r="C16" s="66" t="s">
        <v>120</v>
      </c>
      <c r="D16" s="68" t="s">
        <v>133</v>
      </c>
      <c r="E16" s="66" t="s">
        <v>39</v>
      </c>
    </row>
    <row r="17" spans="1:5" ht="178.5" x14ac:dyDescent="0.25">
      <c r="A17" s="65">
        <v>14</v>
      </c>
      <c r="B17" s="66" t="s">
        <v>123</v>
      </c>
      <c r="C17" s="66" t="s">
        <v>140</v>
      </c>
      <c r="D17" s="68" t="s">
        <v>144</v>
      </c>
      <c r="E17" s="66" t="s">
        <v>39</v>
      </c>
    </row>
    <row r="18" spans="1:5" ht="60" x14ac:dyDescent="0.25">
      <c r="A18" s="65">
        <v>15</v>
      </c>
      <c r="B18" s="69" t="s">
        <v>141</v>
      </c>
      <c r="C18" s="66" t="s">
        <v>101</v>
      </c>
      <c r="D18" s="68" t="s">
        <v>143</v>
      </c>
      <c r="E18" s="66" t="s">
        <v>39</v>
      </c>
    </row>
    <row r="19" spans="1:5" ht="144.6" customHeight="1" x14ac:dyDescent="0.2">
      <c r="A19" s="93" t="s">
        <v>145</v>
      </c>
      <c r="B19" s="93"/>
      <c r="C19" s="93"/>
      <c r="D19" s="94"/>
      <c r="E19" s="94"/>
    </row>
    <row r="20" spans="1:5" ht="21" x14ac:dyDescent="0.2">
      <c r="A20" s="95" t="s">
        <v>42</v>
      </c>
      <c r="B20" s="95"/>
      <c r="C20" s="95"/>
      <c r="D20" s="11"/>
    </row>
    <row r="21" spans="1:5" x14ac:dyDescent="0.2">
      <c r="A21" s="67" t="s">
        <v>44</v>
      </c>
      <c r="B21" s="96" t="s">
        <v>45</v>
      </c>
      <c r="C21" s="97"/>
      <c r="D21" s="11"/>
    </row>
    <row r="22" spans="1:5" x14ac:dyDescent="0.2">
      <c r="A22" s="67" t="s">
        <v>46</v>
      </c>
      <c r="B22" s="96" t="s">
        <v>47</v>
      </c>
      <c r="C22" s="97"/>
      <c r="D22" s="11"/>
    </row>
    <row r="23" spans="1:5" x14ac:dyDescent="0.2">
      <c r="A23" s="67" t="s">
        <v>48</v>
      </c>
      <c r="B23" s="96" t="s">
        <v>49</v>
      </c>
      <c r="C23" s="97"/>
      <c r="D23" s="11"/>
    </row>
    <row r="24" spans="1:5" x14ac:dyDescent="0.2">
      <c r="A24" s="67" t="s">
        <v>50</v>
      </c>
      <c r="B24" s="96" t="s">
        <v>51</v>
      </c>
      <c r="C24" s="97"/>
      <c r="D24" s="11"/>
    </row>
    <row r="25" spans="1:5" x14ac:dyDescent="0.2">
      <c r="A25" s="67" t="s">
        <v>52</v>
      </c>
      <c r="B25" s="96" t="s">
        <v>53</v>
      </c>
      <c r="C25" s="97"/>
      <c r="D25" s="11"/>
    </row>
    <row r="26" spans="1:5" x14ac:dyDescent="0.2">
      <c r="A26" s="67" t="s">
        <v>54</v>
      </c>
      <c r="B26" s="96" t="s">
        <v>55</v>
      </c>
      <c r="C26" s="97"/>
      <c r="D26" s="11"/>
    </row>
    <row r="27" spans="1:5" x14ac:dyDescent="0.2">
      <c r="A27" s="67">
        <v>115</v>
      </c>
      <c r="B27" s="98" t="s">
        <v>43</v>
      </c>
      <c r="C27" s="99"/>
      <c r="D27" s="11"/>
    </row>
    <row r="28" spans="1:5" x14ac:dyDescent="0.2">
      <c r="A28" s="67" t="s">
        <v>56</v>
      </c>
      <c r="B28" s="96" t="s">
        <v>57</v>
      </c>
      <c r="C28" s="97"/>
      <c r="D28" s="11"/>
    </row>
    <row r="29" spans="1:5" x14ac:dyDescent="0.2">
      <c r="A29" s="67" t="s">
        <v>58</v>
      </c>
      <c r="B29" s="96" t="s">
        <v>59</v>
      </c>
      <c r="C29" s="97"/>
      <c r="D29" s="11"/>
    </row>
    <row r="30" spans="1:5" x14ac:dyDescent="0.2">
      <c r="A30" s="67" t="s">
        <v>60</v>
      </c>
      <c r="B30" s="96" t="s">
        <v>61</v>
      </c>
      <c r="C30" s="97"/>
      <c r="D30" s="11"/>
    </row>
    <row r="31" spans="1:5" x14ac:dyDescent="0.2">
      <c r="A31" s="67" t="s">
        <v>62</v>
      </c>
      <c r="B31" s="96" t="s">
        <v>63</v>
      </c>
      <c r="C31" s="97"/>
      <c r="D31" s="11"/>
    </row>
    <row r="32" spans="1:5" x14ac:dyDescent="0.2">
      <c r="A32" s="67" t="s">
        <v>64</v>
      </c>
      <c r="B32" s="96" t="s">
        <v>65</v>
      </c>
      <c r="C32" s="97"/>
      <c r="D32" s="11"/>
    </row>
    <row r="33" spans="1:4" x14ac:dyDescent="0.2">
      <c r="A33" s="67" t="s">
        <v>66</v>
      </c>
      <c r="B33" s="96" t="s">
        <v>67</v>
      </c>
      <c r="C33" s="97"/>
      <c r="D33" s="11"/>
    </row>
    <row r="34" spans="1:4" x14ac:dyDescent="0.2">
      <c r="A34" s="67" t="s">
        <v>68</v>
      </c>
      <c r="B34" s="96" t="s">
        <v>69</v>
      </c>
      <c r="C34" s="97"/>
      <c r="D34" s="11"/>
    </row>
    <row r="35" spans="1:4" x14ac:dyDescent="0.2">
      <c r="A35" s="67" t="s">
        <v>70</v>
      </c>
      <c r="B35" s="96" t="s">
        <v>71</v>
      </c>
      <c r="C35" s="97"/>
      <c r="D35" s="11"/>
    </row>
    <row r="36" spans="1:4" x14ac:dyDescent="0.2">
      <c r="A36" s="67" t="s">
        <v>72</v>
      </c>
      <c r="B36" s="96" t="s">
        <v>73</v>
      </c>
      <c r="C36" s="97"/>
      <c r="D36" s="11"/>
    </row>
    <row r="37" spans="1:4" x14ac:dyDescent="0.2">
      <c r="A37" s="67" t="s">
        <v>74</v>
      </c>
      <c r="B37" s="96" t="s">
        <v>75</v>
      </c>
      <c r="C37" s="97"/>
      <c r="D37" s="11"/>
    </row>
    <row r="38" spans="1:4" x14ac:dyDescent="0.2">
      <c r="A38" s="67" t="s">
        <v>76</v>
      </c>
      <c r="B38" s="96" t="s">
        <v>77</v>
      </c>
      <c r="C38" s="97"/>
      <c r="D38" s="11"/>
    </row>
    <row r="39" spans="1:4" x14ac:dyDescent="0.2">
      <c r="A39" s="67" t="s">
        <v>78</v>
      </c>
      <c r="B39" s="96" t="s">
        <v>79</v>
      </c>
      <c r="C39" s="97"/>
      <c r="D39" s="11"/>
    </row>
    <row r="40" spans="1:4" x14ac:dyDescent="0.2">
      <c r="A40" s="67" t="s">
        <v>80</v>
      </c>
      <c r="B40" s="96" t="s">
        <v>81</v>
      </c>
      <c r="C40" s="97"/>
      <c r="D40" s="11"/>
    </row>
    <row r="41" spans="1:4" x14ac:dyDescent="0.2">
      <c r="A41" s="67" t="s">
        <v>82</v>
      </c>
      <c r="B41" s="96" t="s">
        <v>83</v>
      </c>
      <c r="C41" s="97"/>
      <c r="D41" s="11"/>
    </row>
    <row r="42" spans="1:4" x14ac:dyDescent="0.2">
      <c r="A42" s="67" t="s">
        <v>84</v>
      </c>
      <c r="B42" s="96" t="s">
        <v>89</v>
      </c>
      <c r="C42" s="97"/>
      <c r="D42" s="11"/>
    </row>
    <row r="43" spans="1:4" x14ac:dyDescent="0.2">
      <c r="A43" s="67" t="s">
        <v>85</v>
      </c>
      <c r="B43" s="96" t="s">
        <v>86</v>
      </c>
      <c r="C43" s="97"/>
      <c r="D43" s="11"/>
    </row>
    <row r="44" spans="1:4" x14ac:dyDescent="0.2">
      <c r="A44" s="67" t="s">
        <v>87</v>
      </c>
      <c r="B44" s="96" t="s">
        <v>88</v>
      </c>
      <c r="C44" s="97"/>
      <c r="D44" s="11"/>
    </row>
    <row r="45" spans="1:4" x14ac:dyDescent="0.2">
      <c r="D45" s="11"/>
    </row>
    <row r="46" spans="1:4" x14ac:dyDescent="0.2">
      <c r="D46" s="11"/>
    </row>
    <row r="47" spans="1:4" x14ac:dyDescent="0.2">
      <c r="D47" s="11"/>
    </row>
    <row r="48" spans="1:4" x14ac:dyDescent="0.2">
      <c r="D48" s="11"/>
    </row>
    <row r="49" spans="4:4" x14ac:dyDescent="0.2">
      <c r="D49" s="11"/>
    </row>
    <row r="50" spans="4:4" x14ac:dyDescent="0.2">
      <c r="D50" s="11"/>
    </row>
    <row r="51" spans="4:4" x14ac:dyDescent="0.2">
      <c r="D51" s="11"/>
    </row>
    <row r="52" spans="4:4" x14ac:dyDescent="0.2">
      <c r="D52" s="11"/>
    </row>
    <row r="53" spans="4:4" x14ac:dyDescent="0.2">
      <c r="D53" s="11"/>
    </row>
    <row r="54" spans="4:4" x14ac:dyDescent="0.2">
      <c r="D54" s="11"/>
    </row>
    <row r="55" spans="4:4" x14ac:dyDescent="0.2">
      <c r="D55" s="11"/>
    </row>
    <row r="56" spans="4:4" x14ac:dyDescent="0.2">
      <c r="D56" s="11"/>
    </row>
    <row r="57" spans="4:4" x14ac:dyDescent="0.2">
      <c r="D57" s="11"/>
    </row>
    <row r="58" spans="4:4" x14ac:dyDescent="0.2">
      <c r="D58" s="11"/>
    </row>
    <row r="59" spans="4:4" x14ac:dyDescent="0.2">
      <c r="D59" s="11"/>
    </row>
  </sheetData>
  <sheetProtection algorithmName="SHA-512" hashValue="hMDBTOfkrzIIdsrAwRzOJj5JuX2p6Sc7N0dqbprX5BHky4sYxfCYZLkeNSr327RXaPByRsZNa6SUDNKEsgzWdw==" saltValue="sMWQpiJOX7sEarbAPZgnLA==" spinCount="100000" sheet="1" objects="1" scenarios="1"/>
  <sortState xmlns:xlrd2="http://schemas.microsoft.com/office/spreadsheetml/2017/richdata2"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R59"/>
  <sheetViews>
    <sheetView showGridLines="0" tabSelected="1" zoomScale="68" zoomScaleNormal="68" workbookViewId="0">
      <pane xSplit="10" ySplit="9" topLeftCell="K10" activePane="bottomRight" state="frozen"/>
      <selection pane="bottomLeft" activeCell="A5" sqref="A5"/>
      <selection pane="topRight" activeCell="H1" sqref="H1"/>
      <selection pane="bottomRight" activeCell="Q10" sqref="Q10"/>
    </sheetView>
  </sheetViews>
  <sheetFormatPr defaultColWidth="8.875" defaultRowHeight="14.25" x14ac:dyDescent="0.2"/>
  <cols>
    <col min="1" max="2" width="10.35546875" style="12" customWidth="1"/>
    <col min="3" max="3" width="12.77734375" style="12" customWidth="1"/>
    <col min="4" max="4" width="9.81640625" style="12" customWidth="1"/>
    <col min="5" max="5" width="12.9140625" style="12" customWidth="1"/>
    <col min="6" max="6" width="6.3203125" style="12" customWidth="1"/>
    <col min="7" max="7" width="6.05078125" style="12" customWidth="1"/>
    <col min="8" max="10" width="20.71484375" style="12" customWidth="1"/>
    <col min="11" max="11" width="8.609375" style="12" customWidth="1"/>
    <col min="12" max="12" width="11.1640625" style="12" customWidth="1"/>
    <col min="13" max="13" width="13.71875" style="12" customWidth="1"/>
    <col min="14" max="15" width="20.71484375" style="12" customWidth="1"/>
    <col min="16" max="16" width="39.4140625" style="12" customWidth="1"/>
    <col min="17" max="17" width="12.64453125" style="12" customWidth="1"/>
    <col min="18" max="18" width="8.47265625" style="12" customWidth="1"/>
    <col min="19" max="19" width="8.7421875" style="12" customWidth="1"/>
    <col min="20" max="49" width="7.80078125" style="12" customWidth="1"/>
    <col min="50" max="50" width="5.37890625" style="12" customWidth="1"/>
    <col min="51" max="52" width="7.80078125" style="12" customWidth="1"/>
    <col min="53" max="53" width="8.0703125" style="12" customWidth="1"/>
    <col min="54" max="54" width="7.80078125" style="12" customWidth="1"/>
    <col min="55" max="55" width="12.64453125" style="12" customWidth="1"/>
    <col min="56" max="56" width="8.47265625" style="12" customWidth="1"/>
    <col min="57" max="57" width="8.7421875" style="12" customWidth="1"/>
    <col min="58" max="87" width="7.80078125" style="12" customWidth="1"/>
    <col min="88" max="88" width="5.37890625" style="12" customWidth="1"/>
    <col min="89" max="90" width="7.80078125" style="12" customWidth="1"/>
    <col min="91" max="91" width="8.0703125" style="12" customWidth="1"/>
    <col min="92" max="92" width="7.80078125" style="12" customWidth="1"/>
    <col min="93" max="93" width="12.64453125" style="12" customWidth="1"/>
    <col min="94" max="94" width="8.47265625" style="12" customWidth="1"/>
    <col min="95" max="95" width="8.7421875" style="12" customWidth="1"/>
    <col min="96" max="125" width="7.80078125" style="12" customWidth="1"/>
    <col min="126" max="126" width="5.37890625" style="12" customWidth="1"/>
    <col min="127" max="128" width="7.80078125" style="12" customWidth="1"/>
    <col min="129" max="129" width="8.0703125" style="12" customWidth="1"/>
    <col min="130" max="130" width="7.80078125" style="12" customWidth="1"/>
    <col min="131" max="131" width="12.64453125" style="12" customWidth="1"/>
    <col min="132" max="132" width="8.47265625" style="12" customWidth="1"/>
    <col min="133" max="133" width="8.7421875" style="12" customWidth="1"/>
    <col min="134" max="163" width="7.80078125" style="12" customWidth="1"/>
    <col min="164" max="164" width="5.37890625" style="12" customWidth="1"/>
    <col min="165" max="166" width="7.80078125" style="12" customWidth="1"/>
    <col min="167" max="167" width="8.0703125" style="12" customWidth="1"/>
    <col min="168" max="168" width="7.80078125" style="12" customWidth="1"/>
    <col min="169" max="169" width="12.64453125" style="12" customWidth="1"/>
    <col min="170" max="170" width="8.47265625" style="12" customWidth="1"/>
    <col min="171" max="171" width="8.7421875" style="12" customWidth="1"/>
    <col min="172" max="201" width="7.80078125" style="12" customWidth="1"/>
    <col min="202" max="202" width="5.37890625" style="12" customWidth="1"/>
    <col min="203" max="204" width="7.80078125" style="12" customWidth="1"/>
    <col min="205" max="205" width="8.0703125" style="12" customWidth="1"/>
    <col min="206" max="206" width="7.80078125" style="12" customWidth="1"/>
    <col min="207" max="207" width="12.64453125" style="12" customWidth="1"/>
    <col min="208" max="208" width="8.47265625" style="12" customWidth="1"/>
    <col min="209" max="209" width="8.7421875" style="12" customWidth="1"/>
    <col min="210" max="239" width="7.80078125" style="12" customWidth="1"/>
    <col min="240" max="240" width="5.37890625" style="12" customWidth="1"/>
    <col min="241" max="242" width="7.80078125" style="12" customWidth="1"/>
    <col min="243" max="243" width="8.0703125" style="12" customWidth="1"/>
    <col min="244" max="244" width="7.80078125" style="12" customWidth="1"/>
    <col min="245" max="245" width="12.64453125" style="12" customWidth="1"/>
    <col min="246" max="246" width="8.47265625" style="12" customWidth="1"/>
    <col min="247" max="247" width="8.7421875" style="12" customWidth="1"/>
    <col min="248" max="277" width="7.80078125" style="12" customWidth="1"/>
    <col min="278" max="278" width="5.37890625" style="12" customWidth="1"/>
    <col min="279" max="280" width="7.80078125" style="12" customWidth="1"/>
    <col min="281" max="281" width="8.0703125" style="12" customWidth="1"/>
    <col min="282" max="282" width="7.80078125" style="12" customWidth="1"/>
    <col min="283" max="283" width="12.64453125" style="12" customWidth="1"/>
    <col min="284" max="284" width="8.47265625" style="12" customWidth="1"/>
    <col min="285" max="285" width="8.7421875" style="12" customWidth="1"/>
    <col min="286" max="315" width="7.80078125" style="12" customWidth="1"/>
    <col min="316" max="316" width="5.37890625" style="12" customWidth="1"/>
    <col min="317" max="318" width="7.80078125" style="12" customWidth="1"/>
    <col min="319" max="319" width="8.0703125" style="12" customWidth="1"/>
    <col min="320" max="320" width="7.80078125" style="12" customWidth="1"/>
    <col min="321" max="321" width="12.64453125" style="12" customWidth="1"/>
    <col min="322" max="322" width="8.47265625" style="12" customWidth="1"/>
    <col min="323" max="323" width="8.7421875" style="12" customWidth="1"/>
    <col min="324" max="353" width="7.80078125" style="12" customWidth="1"/>
    <col min="354" max="354" width="5.37890625" style="12" customWidth="1"/>
    <col min="355" max="356" width="7.80078125" style="12" customWidth="1"/>
    <col min="357" max="357" width="8.0703125" style="12" customWidth="1"/>
    <col min="358" max="358" width="7.80078125" style="12" customWidth="1"/>
    <col min="359" max="359" width="12.64453125" style="12" customWidth="1"/>
    <col min="360" max="360" width="8.47265625" style="12" customWidth="1"/>
    <col min="361" max="361" width="8.7421875" style="12" customWidth="1"/>
    <col min="362" max="391" width="7.80078125" style="12" customWidth="1"/>
    <col min="392" max="392" width="5.37890625" style="12" customWidth="1"/>
    <col min="393" max="394" width="7.80078125" style="12" customWidth="1"/>
    <col min="395" max="395" width="8.0703125" style="12" customWidth="1"/>
    <col min="396" max="396" width="7.80078125" style="12" customWidth="1"/>
    <col min="397" max="397" width="12.64453125" style="12" customWidth="1"/>
    <col min="398" max="398" width="8.47265625" style="12" customWidth="1"/>
    <col min="399" max="399" width="8.7421875" style="12" customWidth="1"/>
    <col min="400" max="429" width="7.80078125" style="12" customWidth="1"/>
    <col min="430" max="430" width="5.37890625" style="12" customWidth="1"/>
    <col min="431" max="432" width="7.80078125" style="12" customWidth="1"/>
    <col min="433" max="433" width="8.0703125" style="12" customWidth="1"/>
    <col min="434" max="434" width="7.80078125" style="12" customWidth="1"/>
    <col min="435" max="435" width="12.64453125" style="12" customWidth="1"/>
    <col min="436" max="436" width="8.47265625" style="12" customWidth="1"/>
    <col min="437" max="437" width="8.7421875" style="12" customWidth="1"/>
    <col min="438" max="467" width="7.80078125" style="12" customWidth="1"/>
    <col min="468" max="468" width="5.37890625" style="12" customWidth="1"/>
    <col min="469" max="470" width="7.80078125" style="12" customWidth="1"/>
    <col min="471" max="471" width="8.0703125" style="12" customWidth="1"/>
    <col min="472" max="472" width="7.80078125" style="12" customWidth="1"/>
    <col min="473" max="473" width="12.64453125" style="12" customWidth="1"/>
    <col min="474" max="474" width="8.47265625" style="12" customWidth="1"/>
    <col min="475" max="475" width="8.7421875" style="12" customWidth="1"/>
    <col min="476" max="505" width="7.80078125" style="12" customWidth="1"/>
    <col min="506" max="506" width="5.37890625" style="12" customWidth="1"/>
    <col min="507" max="508" width="7.80078125" style="12" customWidth="1"/>
    <col min="509" max="509" width="8.0703125" style="12" customWidth="1"/>
    <col min="510" max="510" width="7.80078125" style="12" customWidth="1"/>
    <col min="511" max="511" width="12.64453125" style="12" customWidth="1"/>
    <col min="512" max="512" width="8.47265625" style="12" customWidth="1"/>
    <col min="513" max="513" width="8.7421875" style="12" customWidth="1"/>
    <col min="514" max="543" width="7.80078125" style="12" customWidth="1"/>
    <col min="544" max="544" width="5.37890625" style="12" customWidth="1"/>
    <col min="545" max="546" width="7.80078125" style="12" customWidth="1"/>
    <col min="547" max="547" width="8.0703125" style="12" customWidth="1"/>
    <col min="548" max="548" width="7.80078125" style="12" customWidth="1"/>
    <col min="549" max="549" width="12.64453125" style="12" customWidth="1"/>
    <col min="550" max="550" width="8.47265625" style="12" customWidth="1"/>
    <col min="551" max="551" width="8.7421875" style="12" customWidth="1"/>
    <col min="552" max="581" width="7.80078125" style="12" customWidth="1"/>
    <col min="582" max="582" width="5.37890625" style="12" customWidth="1"/>
    <col min="583" max="584" width="7.80078125" style="12" customWidth="1"/>
    <col min="585" max="585" width="8.0703125" style="12" customWidth="1"/>
    <col min="586" max="586" width="7.80078125" style="12" customWidth="1"/>
    <col min="587" max="587" width="12.64453125" style="12" customWidth="1"/>
    <col min="588" max="588" width="8.47265625" style="12" customWidth="1"/>
    <col min="589" max="589" width="8.7421875" style="12" customWidth="1"/>
    <col min="590" max="619" width="7.80078125" style="12" customWidth="1"/>
    <col min="620" max="620" width="5.37890625" style="12" customWidth="1"/>
    <col min="621" max="622" width="7.80078125" style="12" customWidth="1"/>
    <col min="623" max="623" width="8.0703125" style="12" customWidth="1"/>
    <col min="624" max="624" width="7.80078125" style="12" customWidth="1"/>
    <col min="625" max="625" width="12.64453125" style="12" customWidth="1"/>
    <col min="626" max="626" width="8.47265625" style="12" customWidth="1"/>
    <col min="627" max="627" width="8.7421875" style="12" customWidth="1"/>
    <col min="628" max="657" width="7.80078125" style="12" customWidth="1"/>
    <col min="658" max="658" width="5.37890625" style="12" customWidth="1"/>
    <col min="659" max="660" width="7.80078125" style="12" customWidth="1"/>
    <col min="661" max="661" width="8.0703125" style="12" customWidth="1"/>
    <col min="662" max="662" width="7.80078125" style="12" customWidth="1"/>
    <col min="663" max="663" width="12.64453125" style="12" customWidth="1"/>
    <col min="664" max="664" width="8.47265625" style="12" customWidth="1"/>
    <col min="665" max="665" width="8.7421875" style="12" customWidth="1"/>
    <col min="666" max="695" width="7.80078125" style="12" customWidth="1"/>
    <col min="696" max="696" width="5.37890625" style="12" customWidth="1"/>
    <col min="697" max="698" width="7.80078125" style="12" customWidth="1"/>
    <col min="699" max="699" width="8.0703125" style="12" customWidth="1"/>
    <col min="700" max="700" width="7.80078125" style="12" customWidth="1"/>
    <col min="701" max="701" width="12.64453125" style="12" customWidth="1"/>
    <col min="702" max="702" width="8.47265625" style="12" customWidth="1"/>
    <col min="703" max="703" width="8.7421875" style="12" customWidth="1"/>
    <col min="704" max="733" width="7.80078125" style="12" customWidth="1"/>
    <col min="734" max="734" width="5.37890625" style="12" customWidth="1"/>
    <col min="735" max="736" width="7.80078125" style="12" customWidth="1"/>
    <col min="737" max="737" width="8.0703125" style="12" customWidth="1"/>
    <col min="738" max="738" width="7.80078125" style="12" customWidth="1"/>
    <col min="739" max="739" width="12.64453125" style="12" customWidth="1"/>
    <col min="740" max="740" width="8.47265625" style="12" customWidth="1"/>
    <col min="741" max="741" width="8.7421875" style="12" customWidth="1"/>
    <col min="742" max="771" width="7.80078125" style="12" customWidth="1"/>
    <col min="772" max="772" width="5.37890625" style="12" customWidth="1"/>
    <col min="773" max="774" width="7.80078125" style="12" customWidth="1"/>
    <col min="775" max="775" width="8.0703125" style="12" customWidth="1"/>
    <col min="776" max="776" width="7.80078125" style="12" customWidth="1"/>
    <col min="777" max="777" width="12.64453125" style="12" customWidth="1"/>
    <col min="778" max="778" width="8.47265625" style="12" customWidth="1"/>
    <col min="779" max="779" width="8.7421875" style="12" customWidth="1"/>
    <col min="780" max="809" width="7.80078125" style="12" customWidth="1"/>
    <col min="810" max="810" width="5.37890625" style="12" customWidth="1"/>
    <col min="811" max="812" width="7.80078125" style="12" customWidth="1"/>
    <col min="813" max="813" width="8.0703125" style="12" customWidth="1"/>
    <col min="814" max="814" width="7.80078125" style="12" customWidth="1"/>
    <col min="815" max="815" width="12.64453125" style="12" customWidth="1"/>
    <col min="816" max="816" width="8.47265625" style="12" customWidth="1"/>
    <col min="817" max="817" width="8.7421875" style="12" customWidth="1"/>
    <col min="818" max="847" width="7.80078125" style="12" customWidth="1"/>
    <col min="848" max="848" width="5.37890625" style="12" customWidth="1"/>
    <col min="849" max="850" width="7.80078125" style="12" customWidth="1"/>
    <col min="851" max="851" width="8.0703125" style="12" customWidth="1"/>
    <col min="852" max="852" width="7.80078125" style="12" customWidth="1"/>
    <col min="853" max="853" width="12.64453125" style="12" customWidth="1"/>
    <col min="854" max="854" width="8.47265625" style="12" customWidth="1"/>
    <col min="855" max="855" width="8.7421875" style="12" customWidth="1"/>
    <col min="856" max="885" width="7.80078125" style="12" customWidth="1"/>
    <col min="886" max="886" width="5.37890625" style="12" customWidth="1"/>
    <col min="887" max="888" width="7.80078125" style="12" customWidth="1"/>
    <col min="889" max="889" width="8.0703125" style="12" customWidth="1"/>
    <col min="890" max="890" width="7.80078125" style="12" customWidth="1"/>
    <col min="891" max="891" width="12.64453125" style="12" customWidth="1"/>
    <col min="892" max="892" width="8.47265625" style="12" customWidth="1"/>
    <col min="893" max="893" width="8.7421875" style="12" customWidth="1"/>
    <col min="894" max="923" width="7.80078125" style="12" customWidth="1"/>
    <col min="924" max="924" width="5.37890625" style="12" customWidth="1"/>
    <col min="925" max="926" width="7.80078125" style="12" customWidth="1"/>
    <col min="927" max="927" width="8.0703125" style="12" customWidth="1"/>
    <col min="928" max="928" width="7.80078125" style="12" customWidth="1"/>
    <col min="929" max="16384" width="8.875" style="12"/>
  </cols>
  <sheetData>
    <row r="1" spans="1:928" ht="41.45" customHeight="1" x14ac:dyDescent="0.2">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5" hidden="1" customHeight="1" x14ac:dyDescent="0.25">
      <c r="A2" s="74" t="str">
        <f>IF(A9="","",A9)</f>
        <v>2023-2024</v>
      </c>
      <c r="B2" s="74" t="str">
        <f>IF(B9="","",B9)</f>
        <v>Bakı</v>
      </c>
      <c r="C2" s="74" t="str">
        <f>IF(C9="","",C9)</f>
        <v>Binəqədi</v>
      </c>
      <c r="D2" s="74">
        <f>IF(D9="","",D9)</f>
        <v>99</v>
      </c>
      <c r="E2" s="74" t="s">
        <v>9</v>
      </c>
      <c r="F2" s="74"/>
      <c r="G2" s="74"/>
      <c r="H2" s="74" t="str">
        <f>IF(F9="","",F9&amp;G9)</f>
        <v>2C</v>
      </c>
      <c r="I2" s="74" t="str">
        <f>IF(K9="R","Rus",IF(K9="A","Azərbaycan",""))</f>
        <v>Azərbaycan</v>
      </c>
      <c r="J2" s="74"/>
      <c r="K2" s="74" t="str">
        <f>IF(K9="","",K9)</f>
        <v>A</v>
      </c>
      <c r="L2" s="74">
        <f>SUM(L4,L6)</f>
        <v>25</v>
      </c>
      <c r="M2" s="74"/>
      <c r="N2" s="74"/>
      <c r="O2" s="74"/>
      <c r="P2" s="74" t="str">
        <f>IF(P9="","",P9)</f>
        <v>Süleymanova Aybəniz</v>
      </c>
      <c r="Q2" s="74"/>
      <c r="R2" s="74">
        <f>IF(Q1="","",Q1)</f>
        <v>101</v>
      </c>
      <c r="S2" s="74">
        <f>IF(S10="","",S10)</f>
        <v>308</v>
      </c>
      <c r="T2" s="75" t="str">
        <f>IFERROR(AVERAGE(T10:T59),"")</f>
        <v/>
      </c>
      <c r="U2" s="75">
        <f t="shared" ref="U2:BB2" si="0">IFERROR(AVERAGE(U10:U59),"")</f>
        <v>70.2</v>
      </c>
      <c r="V2" s="75">
        <f t="shared" si="0"/>
        <v>71.2</v>
      </c>
      <c r="W2" s="75">
        <f t="shared" si="0"/>
        <v>76.680000000000007</v>
      </c>
      <c r="X2" s="75">
        <f t="shared" si="0"/>
        <v>72.083333333333329</v>
      </c>
      <c r="Y2" s="75" t="str">
        <f t="shared" si="0"/>
        <v/>
      </c>
      <c r="Z2" s="75" t="str">
        <f t="shared" si="0"/>
        <v/>
      </c>
      <c r="AA2" s="75">
        <f t="shared" si="0"/>
        <v>72.736666666666665</v>
      </c>
      <c r="AB2" s="75" t="str">
        <f t="shared" si="0"/>
        <v/>
      </c>
      <c r="AC2" s="75">
        <f t="shared" si="0"/>
        <v>72.736666666666665</v>
      </c>
      <c r="AD2" s="75" t="str">
        <f t="shared" si="0"/>
        <v/>
      </c>
      <c r="AE2" s="75" t="str">
        <f t="shared" si="0"/>
        <v/>
      </c>
      <c r="AF2" s="76">
        <f>IFERROR(SUM(AF10:AF59),"")</f>
        <v>77</v>
      </c>
      <c r="AG2" s="75">
        <f t="shared" si="0"/>
        <v>98</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f t="shared" si="0"/>
        <v>72.736666666666665</v>
      </c>
      <c r="AV2" s="75" t="str">
        <f t="shared" si="0"/>
        <v/>
      </c>
      <c r="AW2" s="75">
        <f t="shared" si="0"/>
        <v>72.736666666666665</v>
      </c>
      <c r="AX2" s="77">
        <f t="shared" si="0"/>
        <v>4.2</v>
      </c>
      <c r="AY2" s="75" t="str">
        <f t="shared" si="0"/>
        <v/>
      </c>
      <c r="AZ2" s="75" t="str">
        <f t="shared" si="0"/>
        <v/>
      </c>
      <c r="BA2" s="76">
        <f>IFERROR(SUM(BA10:BA59),"")</f>
        <v>77</v>
      </c>
      <c r="BB2" s="75">
        <f t="shared" si="0"/>
        <v>99</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f>IF(EC10="","",EC10)</f>
        <v>17</v>
      </c>
      <c r="ED2" s="78" t="str">
        <f>IFERROR(AVERAGE(ED10:ED59),"")</f>
        <v/>
      </c>
      <c r="EE2" s="78">
        <f t="shared" ref="EE2:FL2" si="3">IFERROR(AVERAGE(EE10:EE59),"")</f>
        <v>75.599999999999994</v>
      </c>
      <c r="EF2" s="78">
        <f t="shared" si="3"/>
        <v>70.400000000000006</v>
      </c>
      <c r="EG2" s="78">
        <f t="shared" si="3"/>
        <v>81.400000000000006</v>
      </c>
      <c r="EH2" s="78" t="str">
        <f t="shared" si="3"/>
        <v/>
      </c>
      <c r="EI2" s="78" t="str">
        <f t="shared" si="3"/>
        <v/>
      </c>
      <c r="EJ2" s="78" t="str">
        <f t="shared" si="3"/>
        <v/>
      </c>
      <c r="EK2" s="78">
        <f t="shared" si="3"/>
        <v>75.800000000000011</v>
      </c>
      <c r="EL2" s="78" t="str">
        <f t="shared" si="3"/>
        <v/>
      </c>
      <c r="EM2" s="78">
        <f t="shared" si="3"/>
        <v>75.800000000000011</v>
      </c>
      <c r="EN2" s="78" t="str">
        <f t="shared" si="3"/>
        <v/>
      </c>
      <c r="EO2" s="78" t="str">
        <f t="shared" si="3"/>
        <v/>
      </c>
      <c r="EP2" s="78">
        <f>IFERROR(SUM(EP10:EP59),"")</f>
        <v>10</v>
      </c>
      <c r="EQ2" s="78">
        <f t="shared" si="3"/>
        <v>95.294117647058826</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f t="shared" si="3"/>
        <v>75.800000000000011</v>
      </c>
      <c r="FF2" s="78" t="str">
        <f t="shared" si="3"/>
        <v/>
      </c>
      <c r="FG2" s="78">
        <f t="shared" si="3"/>
        <v>75.800000000000011</v>
      </c>
      <c r="FH2" s="78">
        <f t="shared" si="3"/>
        <v>4.12</v>
      </c>
      <c r="FI2" s="78" t="str">
        <f t="shared" si="3"/>
        <v/>
      </c>
      <c r="FJ2" s="78" t="str">
        <f t="shared" si="3"/>
        <v/>
      </c>
      <c r="FK2" s="78">
        <f>IFERROR(SUM(FK10:FK59),"")</f>
        <v>10</v>
      </c>
      <c r="FL2" s="78">
        <f t="shared" si="3"/>
        <v>97.64705882352942</v>
      </c>
      <c r="FM2" s="74"/>
      <c r="FN2" s="74">
        <f>IF(FM1="","",FM1)</f>
        <v>110</v>
      </c>
      <c r="FO2" s="74">
        <f>IF(FO10="","",FO10)</f>
        <v>171</v>
      </c>
      <c r="FP2" s="74" t="str">
        <f>IFERROR(AVERAGE(FP10:FP59),"")</f>
        <v/>
      </c>
      <c r="FQ2" s="74">
        <f t="shared" ref="FQ2:GX2" si="4">IFERROR(AVERAGE(FQ10:FQ59),"")</f>
        <v>81.92</v>
      </c>
      <c r="FR2" s="74">
        <f t="shared" si="4"/>
        <v>68.040000000000006</v>
      </c>
      <c r="FS2" s="74">
        <f t="shared" si="4"/>
        <v>76.400000000000006</v>
      </c>
      <c r="FT2" s="74">
        <f t="shared" si="4"/>
        <v>73.708333333333329</v>
      </c>
      <c r="FU2" s="74" t="str">
        <f t="shared" si="4"/>
        <v/>
      </c>
      <c r="FV2" s="74" t="str">
        <f t="shared" si="4"/>
        <v/>
      </c>
      <c r="FW2" s="74">
        <f t="shared" si="4"/>
        <v>75.153333333333336</v>
      </c>
      <c r="FX2" s="74" t="str">
        <f t="shared" si="4"/>
        <v/>
      </c>
      <c r="FY2" s="74">
        <f t="shared" si="4"/>
        <v>75.153333333333336</v>
      </c>
      <c r="FZ2" s="74" t="str">
        <f t="shared" si="4"/>
        <v/>
      </c>
      <c r="GA2" s="74" t="str">
        <f t="shared" si="4"/>
        <v/>
      </c>
      <c r="GB2" s="74">
        <f>IFERROR(SUM(GB10:GB59),"")</f>
        <v>43</v>
      </c>
      <c r="GC2" s="74">
        <f t="shared" si="4"/>
        <v>97.988304093567251</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f t="shared" si="4"/>
        <v>75.153333333333336</v>
      </c>
      <c r="GR2" s="74" t="str">
        <f t="shared" si="4"/>
        <v/>
      </c>
      <c r="GS2" s="74">
        <f t="shared" si="4"/>
        <v>75.153333333333336</v>
      </c>
      <c r="GT2" s="74">
        <f t="shared" si="4"/>
        <v>4.32</v>
      </c>
      <c r="GU2" s="74" t="str">
        <f t="shared" si="4"/>
        <v/>
      </c>
      <c r="GV2" s="74" t="str">
        <f t="shared" si="4"/>
        <v/>
      </c>
      <c r="GW2" s="74">
        <f>IFERROR(SUM(GW10:GW59),"")</f>
        <v>43</v>
      </c>
      <c r="GX2" s="74">
        <f t="shared" si="4"/>
        <v>98.994152046783626</v>
      </c>
      <c r="GY2" s="78"/>
      <c r="GZ2" s="78">
        <f>IF(GY1="","",GY1)</f>
        <v>114</v>
      </c>
      <c r="HA2" s="78">
        <f>IF(HA10="","",HA10)</f>
        <v>17</v>
      </c>
      <c r="HB2" s="78" t="str">
        <f>IFERROR(AVERAGE(HB10:HB59),"")</f>
        <v/>
      </c>
      <c r="HC2" s="78">
        <f t="shared" ref="HC2:IJ2" si="5">IFERROR(AVERAGE(HC10:HC59),"")</f>
        <v>76.400000000000006</v>
      </c>
      <c r="HD2" s="78">
        <f t="shared" si="5"/>
        <v>78.400000000000006</v>
      </c>
      <c r="HE2" s="78">
        <f t="shared" si="5"/>
        <v>74.583333333333329</v>
      </c>
      <c r="HF2" s="78" t="str">
        <f t="shared" si="5"/>
        <v/>
      </c>
      <c r="HG2" s="78" t="str">
        <f t="shared" si="5"/>
        <v/>
      </c>
      <c r="HH2" s="78" t="str">
        <f t="shared" si="5"/>
        <v/>
      </c>
      <c r="HI2" s="78">
        <f t="shared" si="5"/>
        <v>76.533333333333331</v>
      </c>
      <c r="HJ2" s="78" t="str">
        <f t="shared" si="5"/>
        <v/>
      </c>
      <c r="HK2" s="78">
        <f t="shared" si="5"/>
        <v>76.533333333333331</v>
      </c>
      <c r="HL2" s="78" t="str">
        <f t="shared" si="5"/>
        <v/>
      </c>
      <c r="HM2" s="78" t="str">
        <f t="shared" si="5"/>
        <v/>
      </c>
      <c r="HN2" s="78">
        <f>IFERROR(SUM(HN10:HN59),"")</f>
        <v>9</v>
      </c>
      <c r="HO2" s="78">
        <f t="shared" si="5"/>
        <v>95.764705882352942</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f t="shared" si="5"/>
        <v>76.533333333333331</v>
      </c>
      <c r="ID2" s="78" t="str">
        <f t="shared" si="5"/>
        <v/>
      </c>
      <c r="IE2" s="78">
        <f t="shared" si="5"/>
        <v>76.533333333333331</v>
      </c>
      <c r="IF2" s="78">
        <f t="shared" si="5"/>
        <v>4.24</v>
      </c>
      <c r="IG2" s="78" t="str">
        <f t="shared" si="5"/>
        <v/>
      </c>
      <c r="IH2" s="78" t="str">
        <f t="shared" si="5"/>
        <v/>
      </c>
      <c r="II2" s="78">
        <f>IFERROR(SUM(II10:II59),"")</f>
        <v>9</v>
      </c>
      <c r="IJ2" s="78">
        <f t="shared" si="5"/>
        <v>97.882352941176464</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f>IF(PU10="","",PU10)</f>
        <v>34</v>
      </c>
      <c r="PV2" s="78" t="str">
        <f>IFERROR(AVERAGE(PV10:PV59),"")</f>
        <v/>
      </c>
      <c r="PW2" s="78">
        <f t="shared" ref="PW2:RD2" si="11">IFERROR(AVERAGE(PW10:PW59),"")</f>
        <v>75.599999999999994</v>
      </c>
      <c r="PX2" s="78">
        <f t="shared" si="11"/>
        <v>73.84</v>
      </c>
      <c r="PY2" s="78">
        <f t="shared" si="11"/>
        <v>76.541666666666671</v>
      </c>
      <c r="PZ2" s="78" t="str">
        <f t="shared" si="11"/>
        <v/>
      </c>
      <c r="QA2" s="78" t="str">
        <f t="shared" si="11"/>
        <v/>
      </c>
      <c r="QB2" s="78" t="str">
        <f t="shared" si="11"/>
        <v/>
      </c>
      <c r="QC2" s="78">
        <f t="shared" si="11"/>
        <v>75.426666666666677</v>
      </c>
      <c r="QD2" s="78" t="str">
        <f t="shared" si="11"/>
        <v/>
      </c>
      <c r="QE2" s="78">
        <f t="shared" si="11"/>
        <v>75.426666666666677</v>
      </c>
      <c r="QF2" s="78" t="str">
        <f t="shared" si="11"/>
        <v/>
      </c>
      <c r="QG2" s="78" t="str">
        <f t="shared" si="11"/>
        <v/>
      </c>
      <c r="QH2" s="78">
        <f>IFERROR(SUM(QH10:QH59),"")</f>
        <v>9</v>
      </c>
      <c r="QI2" s="78">
        <f t="shared" si="11"/>
        <v>97.882352941176464</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f t="shared" si="11"/>
        <v>75.426666666666677</v>
      </c>
      <c r="QX2" s="78" t="str">
        <f t="shared" si="11"/>
        <v/>
      </c>
      <c r="QY2" s="78">
        <f t="shared" si="11"/>
        <v>75.426666666666677</v>
      </c>
      <c r="QZ2" s="78">
        <f t="shared" si="11"/>
        <v>4.32</v>
      </c>
      <c r="RA2" s="78" t="str">
        <f t="shared" si="11"/>
        <v/>
      </c>
      <c r="RB2" s="78" t="str">
        <f t="shared" si="11"/>
        <v/>
      </c>
      <c r="RC2" s="78">
        <f>IFERROR(SUM(RC10:RC59),"")</f>
        <v>9</v>
      </c>
      <c r="RD2" s="78">
        <f t="shared" si="11"/>
        <v>98.941176470588232</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f>IF(UE10="","",UE10)</f>
        <v>68</v>
      </c>
      <c r="UF2" s="74" t="str">
        <f>IFERROR(AVERAGE(UF10:UF59),"")</f>
        <v/>
      </c>
      <c r="UG2" s="74">
        <f t="shared" ref="UG2:VN2" si="14">IFERROR(AVERAGE(UG10:UG59),"")</f>
        <v>82.2</v>
      </c>
      <c r="UH2" s="74">
        <f t="shared" si="14"/>
        <v>81.2</v>
      </c>
      <c r="UI2" s="74">
        <f t="shared" si="14"/>
        <v>82.4</v>
      </c>
      <c r="UJ2" s="74">
        <f t="shared" si="14"/>
        <v>82.8</v>
      </c>
      <c r="UK2" s="74" t="str">
        <f t="shared" si="14"/>
        <v/>
      </c>
      <c r="UL2" s="74" t="str">
        <f t="shared" si="14"/>
        <v/>
      </c>
      <c r="UM2" s="74">
        <f t="shared" si="14"/>
        <v>82.15</v>
      </c>
      <c r="UN2" s="74" t="str">
        <f t="shared" si="14"/>
        <v/>
      </c>
      <c r="UO2" s="74">
        <f t="shared" si="14"/>
        <v>82.15</v>
      </c>
      <c r="UP2" s="74" t="str">
        <f t="shared" si="14"/>
        <v/>
      </c>
      <c r="UQ2" s="74" t="str">
        <f t="shared" si="14"/>
        <v/>
      </c>
      <c r="UR2" s="74">
        <f>IFERROR(SUM(UR10:UR59),"")</f>
        <v>16</v>
      </c>
      <c r="US2" s="74">
        <f t="shared" si="14"/>
        <v>98.117647058823536</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f t="shared" si="14"/>
        <v>82.15</v>
      </c>
      <c r="VH2" s="74" t="str">
        <f t="shared" si="14"/>
        <v/>
      </c>
      <c r="VI2" s="74">
        <f t="shared" si="14"/>
        <v>82.15</v>
      </c>
      <c r="VJ2" s="74">
        <f t="shared" si="14"/>
        <v>4.5999999999999996</v>
      </c>
      <c r="VK2" s="74" t="str">
        <f t="shared" si="14"/>
        <v/>
      </c>
      <c r="VL2" s="74" t="str">
        <f t="shared" si="14"/>
        <v/>
      </c>
      <c r="VM2" s="74">
        <f>IFERROR(SUM(VM10:VM59),"")</f>
        <v>16</v>
      </c>
      <c r="VN2" s="74">
        <f t="shared" si="14"/>
        <v>99.058823529411768</v>
      </c>
      <c r="VO2" s="78"/>
      <c r="VP2" s="78">
        <f>IF(VO1="","",VO1)</f>
        <v>132</v>
      </c>
      <c r="VQ2" s="78">
        <f>IF(VQ10="","",VQ10)</f>
        <v>34</v>
      </c>
      <c r="VR2" s="78" t="str">
        <f>IFERROR(AVERAGE(VR10:VR59),"")</f>
        <v/>
      </c>
      <c r="VS2" s="78">
        <f t="shared" ref="VS2:WZ2" si="15">IFERROR(AVERAGE(VS10:VS59),"")</f>
        <v>80</v>
      </c>
      <c r="VT2" s="78">
        <f t="shared" si="15"/>
        <v>70.400000000000006</v>
      </c>
      <c r="VU2" s="78">
        <f t="shared" si="15"/>
        <v>79.875</v>
      </c>
      <c r="VV2" s="78" t="str">
        <f t="shared" si="15"/>
        <v/>
      </c>
      <c r="VW2" s="78" t="str">
        <f t="shared" si="15"/>
        <v/>
      </c>
      <c r="VX2" s="78" t="str">
        <f t="shared" si="15"/>
        <v/>
      </c>
      <c r="VY2" s="78">
        <f t="shared" si="15"/>
        <v>76.759999999999977</v>
      </c>
      <c r="VZ2" s="78" t="str">
        <f t="shared" si="15"/>
        <v/>
      </c>
      <c r="WA2" s="78">
        <f t="shared" si="15"/>
        <v>76.759999999999977</v>
      </c>
      <c r="WB2" s="78" t="str">
        <f t="shared" si="15"/>
        <v/>
      </c>
      <c r="WC2" s="78" t="str">
        <f t="shared" si="15"/>
        <v/>
      </c>
      <c r="WD2" s="78">
        <f>IFERROR(SUM(WD10:WD59),"")</f>
        <v>8</v>
      </c>
      <c r="WE2" s="78">
        <f t="shared" si="15"/>
        <v>98.117647058823536</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f t="shared" si="15"/>
        <v>76.759999999999977</v>
      </c>
      <c r="WT2" s="78" t="str">
        <f t="shared" si="15"/>
        <v/>
      </c>
      <c r="WU2" s="78">
        <f t="shared" si="15"/>
        <v>76.759999999999977</v>
      </c>
      <c r="WV2" s="78">
        <f t="shared" si="15"/>
        <v>4.3600000000000003</v>
      </c>
      <c r="WW2" s="78" t="str">
        <f t="shared" si="15"/>
        <v/>
      </c>
      <c r="WX2" s="78" t="str">
        <f t="shared" si="15"/>
        <v/>
      </c>
      <c r="WY2" s="78">
        <f>IFERROR(SUM(WY10:WY59),"")</f>
        <v>8</v>
      </c>
      <c r="WZ2" s="78">
        <f t="shared" si="15"/>
        <v>99.058823529411768</v>
      </c>
      <c r="XA2" s="74"/>
      <c r="XB2" s="74">
        <f>IF(XA1="","",XA1)</f>
        <v>133</v>
      </c>
      <c r="XC2" s="74">
        <f>IF(XC10="","",XC10)</f>
        <v>34</v>
      </c>
      <c r="XD2" s="74" t="str">
        <f>IFERROR(AVERAGE(XD10:XD59),"")</f>
        <v/>
      </c>
      <c r="XE2" s="74">
        <f t="shared" ref="XE2:YL2" si="16">IFERROR(AVERAGE(XE10:XE59),"")</f>
        <v>71.599999999999994</v>
      </c>
      <c r="XF2" s="74">
        <f t="shared" si="16"/>
        <v>72.599999999999994</v>
      </c>
      <c r="XG2" s="74">
        <f t="shared" si="16"/>
        <v>72.916666666666671</v>
      </c>
      <c r="XH2" s="74" t="str">
        <f t="shared" si="16"/>
        <v/>
      </c>
      <c r="XI2" s="74" t="str">
        <f t="shared" si="16"/>
        <v/>
      </c>
      <c r="XJ2" s="74" t="str">
        <f t="shared" si="16"/>
        <v/>
      </c>
      <c r="XK2" s="74">
        <f t="shared" si="16"/>
        <v>72.500000000000014</v>
      </c>
      <c r="XL2" s="74" t="str">
        <f t="shared" si="16"/>
        <v/>
      </c>
      <c r="XM2" s="74">
        <f t="shared" si="16"/>
        <v>72.500000000000014</v>
      </c>
      <c r="XN2" s="74" t="str">
        <f t="shared" si="16"/>
        <v/>
      </c>
      <c r="XO2" s="74" t="str">
        <f t="shared" si="16"/>
        <v/>
      </c>
      <c r="XP2" s="74">
        <f>IFERROR(SUM(XP10:XP59),"")</f>
        <v>9</v>
      </c>
      <c r="XQ2" s="74">
        <f t="shared" si="16"/>
        <v>97.882352941176464</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f t="shared" si="16"/>
        <v>72.500000000000014</v>
      </c>
      <c r="YF2" s="74" t="str">
        <f t="shared" si="16"/>
        <v/>
      </c>
      <c r="YG2" s="74">
        <f t="shared" si="16"/>
        <v>72.500000000000014</v>
      </c>
      <c r="YH2" s="74">
        <f t="shared" si="16"/>
        <v>4.12</v>
      </c>
      <c r="YI2" s="74" t="str">
        <f t="shared" si="16"/>
        <v/>
      </c>
      <c r="YJ2" s="74" t="str">
        <f t="shared" si="16"/>
        <v/>
      </c>
      <c r="YK2" s="74">
        <f>IFERROR(SUM(YK10:YK59),"")</f>
        <v>9</v>
      </c>
      <c r="YL2" s="74">
        <f t="shared" si="16"/>
        <v>98.941176470588232</v>
      </c>
      <c r="YM2" s="78"/>
      <c r="YN2" s="78">
        <f>IF(YM1="","",YM1)</f>
        <v>135</v>
      </c>
      <c r="YO2" s="78">
        <f>IF(YO10="","",YO10)</f>
        <v>34</v>
      </c>
      <c r="YP2" s="78" t="str">
        <f>IFERROR(AVERAGE(YP10:YP59),"")</f>
        <v/>
      </c>
      <c r="YQ2" s="78">
        <f t="shared" ref="YQ2:ZX2" si="17">IFERROR(AVERAGE(YQ10:YQ59),"")</f>
        <v>77.8</v>
      </c>
      <c r="YR2" s="78">
        <f t="shared" si="17"/>
        <v>70.8</v>
      </c>
      <c r="YS2" s="78">
        <f t="shared" si="17"/>
        <v>68.916666666666671</v>
      </c>
      <c r="YT2" s="78" t="str">
        <f t="shared" si="17"/>
        <v/>
      </c>
      <c r="YU2" s="78" t="str">
        <f t="shared" si="17"/>
        <v/>
      </c>
      <c r="YV2" s="78" t="str">
        <f t="shared" si="17"/>
        <v/>
      </c>
      <c r="YW2" s="78">
        <f t="shared" si="17"/>
        <v>72.786666666666662</v>
      </c>
      <c r="YX2" s="78" t="str">
        <f t="shared" si="17"/>
        <v/>
      </c>
      <c r="YY2" s="78">
        <f t="shared" si="17"/>
        <v>72.786666666666662</v>
      </c>
      <c r="YZ2" s="78" t="str">
        <f t="shared" si="17"/>
        <v/>
      </c>
      <c r="ZA2" s="78" t="str">
        <f t="shared" si="17"/>
        <v/>
      </c>
      <c r="ZB2" s="78">
        <f>IFERROR(SUM(ZB10:ZB59),"")</f>
        <v>9</v>
      </c>
      <c r="ZC2" s="78">
        <f t="shared" si="17"/>
        <v>97.882352941176464</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f t="shared" si="17"/>
        <v>72.786666666666662</v>
      </c>
      <c r="ZR2" s="78" t="str">
        <f t="shared" si="17"/>
        <v/>
      </c>
      <c r="ZS2" s="78">
        <f t="shared" si="17"/>
        <v>72.786666666666662</v>
      </c>
      <c r="ZT2" s="78">
        <f t="shared" si="17"/>
        <v>4.04</v>
      </c>
      <c r="ZU2" s="78" t="str">
        <f t="shared" si="17"/>
        <v/>
      </c>
      <c r="ZV2" s="78" t="str">
        <f t="shared" si="17"/>
        <v/>
      </c>
      <c r="ZW2" s="78">
        <f>IFERROR(SUM(ZW10:ZW59),"")</f>
        <v>9</v>
      </c>
      <c r="ZX2" s="78">
        <f t="shared" si="17"/>
        <v>98.941176470588232</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5" hidden="1" customHeight="1" x14ac:dyDescent="0.25">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f t="shared" ref="U3:AZ3" si="25">IFERROR(COUNTIFS(U10:U900000,"&gt;80",U10:U900000,"&lt;=100")/COUNTIF(U10:U900000,"&gt;=0"),"")</f>
        <v>0.28000000000000003</v>
      </c>
      <c r="V3" s="81">
        <f t="shared" si="25"/>
        <v>0.32</v>
      </c>
      <c r="W3" s="81">
        <f t="shared" si="25"/>
        <v>0.4</v>
      </c>
      <c r="X3" s="81">
        <f t="shared" si="25"/>
        <v>0.29166666666666669</v>
      </c>
      <c r="Y3" s="81" t="str">
        <f t="shared" si="25"/>
        <v/>
      </c>
      <c r="Z3" s="81" t="str">
        <f t="shared" si="25"/>
        <v/>
      </c>
      <c r="AA3" s="81">
        <f t="shared" si="25"/>
        <v>0.32</v>
      </c>
      <c r="AB3" s="81" t="str">
        <f t="shared" si="25"/>
        <v/>
      </c>
      <c r="AC3" s="81">
        <f t="shared" si="25"/>
        <v>0.32</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f t="shared" si="25"/>
        <v>0.32</v>
      </c>
      <c r="AV3" s="81" t="str">
        <f t="shared" si="25"/>
        <v/>
      </c>
      <c r="AW3" s="81">
        <f t="shared" si="25"/>
        <v>0.32</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f t="shared" si="34"/>
        <v>0.36</v>
      </c>
      <c r="EF3" s="83">
        <f t="shared" si="34"/>
        <v>0.28000000000000003</v>
      </c>
      <c r="EG3" s="83">
        <f t="shared" si="34"/>
        <v>0.56000000000000005</v>
      </c>
      <c r="EH3" s="83" t="str">
        <f t="shared" si="34"/>
        <v/>
      </c>
      <c r="EI3" s="83" t="str">
        <f t="shared" si="34"/>
        <v/>
      </c>
      <c r="EJ3" s="83" t="str">
        <f t="shared" si="34"/>
        <v/>
      </c>
      <c r="EK3" s="83">
        <f t="shared" si="34"/>
        <v>0.36</v>
      </c>
      <c r="EL3" s="83" t="str">
        <f t="shared" si="34"/>
        <v/>
      </c>
      <c r="EM3" s="83">
        <f t="shared" si="34"/>
        <v>0.36</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f t="shared" ref="FE3:FG3" si="36">IFERROR(COUNTIFS(FE10:FE900000,"&gt;80",FE10:FE900000,"&lt;=100")/COUNTIF(FE10:FE900000,"&gt;=0"),"")</f>
        <v>0.36</v>
      </c>
      <c r="FF3" s="83" t="str">
        <f t="shared" si="36"/>
        <v/>
      </c>
      <c r="FG3" s="83">
        <f t="shared" si="36"/>
        <v>0.36</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f t="shared" si="38"/>
        <v>0.6</v>
      </c>
      <c r="FR3" s="81">
        <f t="shared" si="38"/>
        <v>0.28000000000000003</v>
      </c>
      <c r="FS3" s="81">
        <f t="shared" si="38"/>
        <v>0.52</v>
      </c>
      <c r="FT3" s="81">
        <f t="shared" si="38"/>
        <v>0.33333333333333331</v>
      </c>
      <c r="FU3" s="81" t="str">
        <f t="shared" si="38"/>
        <v/>
      </c>
      <c r="FV3" s="81" t="str">
        <f t="shared" si="38"/>
        <v/>
      </c>
      <c r="FW3" s="81">
        <f t="shared" si="38"/>
        <v>0.52</v>
      </c>
      <c r="FX3" s="81" t="str">
        <f t="shared" si="38"/>
        <v/>
      </c>
      <c r="FY3" s="81">
        <f t="shared" si="38"/>
        <v>0.52</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f t="shared" ref="GQ3:GS3" si="40">IFERROR(COUNTIFS(GQ10:GQ900000,"&gt;80",GQ10:GQ900000,"&lt;=100")/COUNTIF(GQ10:GQ900000,"&gt;=0"),"")</f>
        <v>0.52</v>
      </c>
      <c r="GR3" s="81" t="str">
        <f t="shared" si="40"/>
        <v/>
      </c>
      <c r="GS3" s="81">
        <f t="shared" si="40"/>
        <v>0.52</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f t="shared" si="42"/>
        <v>0.36</v>
      </c>
      <c r="HD3" s="83">
        <f t="shared" si="42"/>
        <v>0.32</v>
      </c>
      <c r="HE3" s="83">
        <f t="shared" si="42"/>
        <v>0.25</v>
      </c>
      <c r="HF3" s="83" t="str">
        <f t="shared" si="42"/>
        <v/>
      </c>
      <c r="HG3" s="83" t="str">
        <f t="shared" si="42"/>
        <v/>
      </c>
      <c r="HH3" s="83" t="str">
        <f t="shared" si="42"/>
        <v/>
      </c>
      <c r="HI3" s="83">
        <f t="shared" si="42"/>
        <v>0.28000000000000003</v>
      </c>
      <c r="HJ3" s="83" t="str">
        <f t="shared" si="42"/>
        <v/>
      </c>
      <c r="HK3" s="83">
        <f t="shared" si="42"/>
        <v>0.28000000000000003</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f t="shared" ref="IC3:IE3" si="44">IFERROR(COUNTIFS(IC10:IC900000,"&gt;80",IC10:IC900000,"&lt;=100")/COUNTIF(IC10:IC900000,"&gt;=0"),"")</f>
        <v>0.28000000000000003</v>
      </c>
      <c r="ID3" s="83" t="str">
        <f t="shared" si="44"/>
        <v/>
      </c>
      <c r="IE3" s="83">
        <f t="shared" si="44"/>
        <v>0.28000000000000003</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f t="shared" si="66"/>
        <v>0.36</v>
      </c>
      <c r="PX3" s="83">
        <f t="shared" si="66"/>
        <v>0.32</v>
      </c>
      <c r="PY3" s="83">
        <f t="shared" si="66"/>
        <v>0.41666666666666669</v>
      </c>
      <c r="PZ3" s="83" t="str">
        <f t="shared" si="66"/>
        <v/>
      </c>
      <c r="QA3" s="83" t="str">
        <f t="shared" si="66"/>
        <v/>
      </c>
      <c r="QB3" s="83" t="str">
        <f t="shared" si="66"/>
        <v/>
      </c>
      <c r="QC3" s="83">
        <f t="shared" si="66"/>
        <v>0.44</v>
      </c>
      <c r="QD3" s="83" t="str">
        <f t="shared" si="66"/>
        <v/>
      </c>
      <c r="QE3" s="83">
        <f t="shared" si="66"/>
        <v>0.44</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f t="shared" ref="QW3:QY3" si="68">IFERROR(COUNTIFS(QW10:QW900000,"&gt;80",QW10:QW900000,"&lt;=100")/COUNTIF(QW10:QW900000,"&gt;=0"),"")</f>
        <v>0.44</v>
      </c>
      <c r="QX3" s="83" t="str">
        <f t="shared" si="68"/>
        <v/>
      </c>
      <c r="QY3" s="83">
        <f t="shared" si="68"/>
        <v>0.44</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f t="shared" si="78"/>
        <v>0.52</v>
      </c>
      <c r="UH3" s="81">
        <f t="shared" si="78"/>
        <v>0.56000000000000005</v>
      </c>
      <c r="UI3" s="81">
        <f t="shared" si="78"/>
        <v>0.56000000000000005</v>
      </c>
      <c r="UJ3" s="81">
        <f t="shared" si="78"/>
        <v>0.56000000000000005</v>
      </c>
      <c r="UK3" s="81" t="str">
        <f t="shared" si="78"/>
        <v/>
      </c>
      <c r="UL3" s="81" t="str">
        <f t="shared" si="78"/>
        <v/>
      </c>
      <c r="UM3" s="81">
        <f t="shared" si="78"/>
        <v>0.6</v>
      </c>
      <c r="UN3" s="81" t="str">
        <f t="shared" si="78"/>
        <v/>
      </c>
      <c r="UO3" s="81">
        <f t="shared" si="78"/>
        <v>0.6</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f t="shared" ref="VG3:VI3" si="80">IFERROR(COUNTIFS(VG10:VG900000,"&gt;80",VG10:VG900000,"&lt;=100")/COUNTIF(VG10:VG900000,"&gt;=0"),"")</f>
        <v>0.6</v>
      </c>
      <c r="VH3" s="81" t="str">
        <f t="shared" si="80"/>
        <v/>
      </c>
      <c r="VI3" s="81">
        <f t="shared" si="80"/>
        <v>0.6</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f t="shared" si="82"/>
        <v>0.4</v>
      </c>
      <c r="VT3" s="83">
        <f t="shared" si="82"/>
        <v>0.24</v>
      </c>
      <c r="VU3" s="83">
        <f t="shared" si="82"/>
        <v>0.45833333333333331</v>
      </c>
      <c r="VV3" s="83" t="str">
        <f t="shared" si="82"/>
        <v/>
      </c>
      <c r="VW3" s="83" t="str">
        <f t="shared" si="82"/>
        <v/>
      </c>
      <c r="VX3" s="83" t="str">
        <f t="shared" si="82"/>
        <v/>
      </c>
      <c r="VY3" s="83">
        <f t="shared" si="82"/>
        <v>0.44</v>
      </c>
      <c r="VZ3" s="83" t="str">
        <f t="shared" si="82"/>
        <v/>
      </c>
      <c r="WA3" s="83">
        <f t="shared" si="82"/>
        <v>0.44</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f t="shared" ref="WS3:WU3" si="84">IFERROR(COUNTIFS(WS10:WS900000,"&gt;80",WS10:WS900000,"&lt;=100")/COUNTIF(WS10:WS900000,"&gt;=0"),"")</f>
        <v>0.44</v>
      </c>
      <c r="WT3" s="83" t="str">
        <f t="shared" si="84"/>
        <v/>
      </c>
      <c r="WU3" s="83">
        <f t="shared" si="84"/>
        <v>0.44</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f t="shared" si="86"/>
        <v>0.2</v>
      </c>
      <c r="XF3" s="81">
        <f t="shared" si="86"/>
        <v>0.32</v>
      </c>
      <c r="XG3" s="81">
        <f t="shared" si="86"/>
        <v>0.375</v>
      </c>
      <c r="XH3" s="81" t="str">
        <f t="shared" si="86"/>
        <v/>
      </c>
      <c r="XI3" s="81" t="str">
        <f t="shared" si="86"/>
        <v/>
      </c>
      <c r="XJ3" s="81" t="str">
        <f t="shared" si="86"/>
        <v/>
      </c>
      <c r="XK3" s="81">
        <f t="shared" si="86"/>
        <v>0.24</v>
      </c>
      <c r="XL3" s="81" t="str">
        <f t="shared" si="86"/>
        <v/>
      </c>
      <c r="XM3" s="81">
        <f t="shared" si="86"/>
        <v>0.24</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f t="shared" ref="YE3:YG3" si="88">IFERROR(COUNTIFS(YE10:YE900000,"&gt;80",YE10:YE900000,"&lt;=100")/COUNTIF(YE10:YE900000,"&gt;=0"),"")</f>
        <v>0.24</v>
      </c>
      <c r="YF3" s="81" t="str">
        <f t="shared" si="88"/>
        <v/>
      </c>
      <c r="YG3" s="81">
        <f t="shared" si="88"/>
        <v>0.24</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f t="shared" si="90"/>
        <v>0.32</v>
      </c>
      <c r="YR3" s="83">
        <f t="shared" si="90"/>
        <v>0.2</v>
      </c>
      <c r="YS3" s="83">
        <f t="shared" si="90"/>
        <v>8.3333333333333329E-2</v>
      </c>
      <c r="YT3" s="83" t="str">
        <f t="shared" si="90"/>
        <v/>
      </c>
      <c r="YU3" s="83" t="str">
        <f t="shared" si="90"/>
        <v/>
      </c>
      <c r="YV3" s="83" t="str">
        <f t="shared" si="90"/>
        <v/>
      </c>
      <c r="YW3" s="83">
        <f t="shared" si="90"/>
        <v>0.16</v>
      </c>
      <c r="YX3" s="83" t="str">
        <f t="shared" si="90"/>
        <v/>
      </c>
      <c r="YY3" s="83">
        <f t="shared" si="90"/>
        <v>0.16</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f t="shared" ref="ZQ3:ZS3" si="92">IFERROR(COUNTIFS(ZQ10:ZQ900000,"&gt;80",ZQ10:ZQ900000,"&lt;=100")/COUNTIF(ZQ10:ZQ900000,"&gt;=0"),"")</f>
        <v>0.16</v>
      </c>
      <c r="ZR3" s="83" t="str">
        <f t="shared" si="92"/>
        <v/>
      </c>
      <c r="ZS3" s="83">
        <f t="shared" si="92"/>
        <v>0.16</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5" hidden="1" customHeight="1" x14ac:dyDescent="0.25">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f t="shared" ref="U4:AZ4" si="118">IFERROR(COUNTIFS(U10:U900000,"&gt;60",U10:U900000,"&lt;=80")/COUNTIF(U10:U900000,"&gt;=0"),"")</f>
        <v>0.56000000000000005</v>
      </c>
      <c r="V4" s="81">
        <f t="shared" si="118"/>
        <v>0.44</v>
      </c>
      <c r="W4" s="81">
        <f t="shared" si="118"/>
        <v>0.52</v>
      </c>
      <c r="X4" s="81">
        <f t="shared" si="118"/>
        <v>0.58333333333333337</v>
      </c>
      <c r="Y4" s="81" t="str">
        <f t="shared" si="118"/>
        <v/>
      </c>
      <c r="Z4" s="81" t="str">
        <f t="shared" si="118"/>
        <v/>
      </c>
      <c r="AA4" s="81">
        <f t="shared" si="118"/>
        <v>0.56000000000000005</v>
      </c>
      <c r="AB4" s="81" t="str">
        <f t="shared" si="118"/>
        <v/>
      </c>
      <c r="AC4" s="81">
        <f t="shared" si="118"/>
        <v>0.56000000000000005</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f t="shared" si="118"/>
        <v>0.56000000000000005</v>
      </c>
      <c r="AV4" s="81" t="str">
        <f t="shared" si="118"/>
        <v/>
      </c>
      <c r="AW4" s="81">
        <f t="shared" si="118"/>
        <v>0.56000000000000005</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f t="shared" ref="EE4:EO4" si="127">IFERROR(COUNTIFS(EE10:EE900000,"&gt;60",EE10:EE900000,"&lt;=80")/COUNTIF(EE10:EE900000,"&gt;=0"),"")</f>
        <v>0.44</v>
      </c>
      <c r="EF4" s="83">
        <f t="shared" si="127"/>
        <v>0.44</v>
      </c>
      <c r="EG4" s="83">
        <f t="shared" si="127"/>
        <v>0.32</v>
      </c>
      <c r="EH4" s="83" t="str">
        <f t="shared" si="127"/>
        <v/>
      </c>
      <c r="EI4" s="83" t="str">
        <f t="shared" si="127"/>
        <v/>
      </c>
      <c r="EJ4" s="83" t="str">
        <f t="shared" si="127"/>
        <v/>
      </c>
      <c r="EK4" s="83">
        <f t="shared" si="127"/>
        <v>0.4</v>
      </c>
      <c r="EL4" s="83" t="str">
        <f t="shared" si="127"/>
        <v/>
      </c>
      <c r="EM4" s="83">
        <f t="shared" si="127"/>
        <v>0.4</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f t="shared" ref="FE4:FG4" si="129">IFERROR(COUNTIFS(FE10:FE900000,"&gt;60",FE10:FE900000,"&lt;=80")/COUNTIF(FE10:FE900000,"&gt;=0"),"")</f>
        <v>0.4</v>
      </c>
      <c r="FF4" s="83" t="str">
        <f t="shared" si="129"/>
        <v/>
      </c>
      <c r="FG4" s="83">
        <f t="shared" si="129"/>
        <v>0.4</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f t="shared" ref="FQ4:GA4" si="131">IFERROR(COUNTIFS(FQ10:FQ900000,"&gt;60",FQ10:FQ900000,"&lt;=80")/COUNTIF(FQ10:FQ900000,"&gt;=0"),"")</f>
        <v>0.24</v>
      </c>
      <c r="FR4" s="81">
        <f t="shared" si="131"/>
        <v>0.4</v>
      </c>
      <c r="FS4" s="81">
        <f t="shared" si="131"/>
        <v>0.36</v>
      </c>
      <c r="FT4" s="81">
        <f t="shared" si="131"/>
        <v>0.45833333333333331</v>
      </c>
      <c r="FU4" s="81" t="str">
        <f t="shared" si="131"/>
        <v/>
      </c>
      <c r="FV4" s="81" t="str">
        <f t="shared" si="131"/>
        <v/>
      </c>
      <c r="FW4" s="81">
        <f t="shared" si="131"/>
        <v>0.28000000000000003</v>
      </c>
      <c r="FX4" s="81" t="str">
        <f t="shared" si="131"/>
        <v/>
      </c>
      <c r="FY4" s="81">
        <f t="shared" si="131"/>
        <v>0.28000000000000003</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f t="shared" ref="GQ4:GS4" si="133">IFERROR(COUNTIFS(GQ10:GQ900000,"&gt;60",GQ10:GQ900000,"&lt;=80")/COUNTIF(GQ10:GQ900000,"&gt;=0"),"")</f>
        <v>0.28000000000000003</v>
      </c>
      <c r="GR4" s="81" t="str">
        <f t="shared" si="133"/>
        <v/>
      </c>
      <c r="GS4" s="81">
        <f t="shared" si="133"/>
        <v>0.28000000000000003</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f t="shared" ref="HC4:HM4" si="135">IFERROR(COUNTIFS(HC10:HC900000,"&gt;60",HC10:HC900000,"&lt;=80")/COUNTIF(HC10:HC900000,"&gt;=0"),"")</f>
        <v>0.52</v>
      </c>
      <c r="HD4" s="83">
        <f t="shared" si="135"/>
        <v>0.6</v>
      </c>
      <c r="HE4" s="83">
        <f t="shared" si="135"/>
        <v>0.58333333333333337</v>
      </c>
      <c r="HF4" s="83" t="str">
        <f t="shared" si="135"/>
        <v/>
      </c>
      <c r="HG4" s="83" t="str">
        <f t="shared" si="135"/>
        <v/>
      </c>
      <c r="HH4" s="83" t="str">
        <f t="shared" si="135"/>
        <v/>
      </c>
      <c r="HI4" s="83">
        <f t="shared" si="135"/>
        <v>0.68</v>
      </c>
      <c r="HJ4" s="83" t="str">
        <f t="shared" si="135"/>
        <v/>
      </c>
      <c r="HK4" s="83">
        <f t="shared" si="135"/>
        <v>0.68</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f t="shared" ref="IC4:IE4" si="137">IFERROR(COUNTIFS(IC10:IC900000,"&gt;60",IC10:IC900000,"&lt;=80")/COUNTIF(IC10:IC900000,"&gt;=0"),"")</f>
        <v>0.68</v>
      </c>
      <c r="ID4" s="83" t="str">
        <f t="shared" si="137"/>
        <v/>
      </c>
      <c r="IE4" s="83">
        <f t="shared" si="137"/>
        <v>0.68</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f t="shared" ref="PW4:QG4" si="159">IFERROR(COUNTIFS(PW10:PW900000,"&gt;60",PW10:PW900000,"&lt;=80")/COUNTIF(PW10:PW900000,"&gt;=0"),"")</f>
        <v>0.52</v>
      </c>
      <c r="PX4" s="83">
        <f t="shared" si="159"/>
        <v>0.6</v>
      </c>
      <c r="PY4" s="83">
        <f t="shared" si="159"/>
        <v>0.45833333333333331</v>
      </c>
      <c r="PZ4" s="83" t="str">
        <f t="shared" si="159"/>
        <v/>
      </c>
      <c r="QA4" s="83" t="str">
        <f t="shared" si="159"/>
        <v/>
      </c>
      <c r="QB4" s="83" t="str">
        <f t="shared" si="159"/>
        <v/>
      </c>
      <c r="QC4" s="83">
        <f t="shared" si="159"/>
        <v>0.44</v>
      </c>
      <c r="QD4" s="83" t="str">
        <f t="shared" si="159"/>
        <v/>
      </c>
      <c r="QE4" s="83">
        <f t="shared" si="159"/>
        <v>0.44</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f t="shared" ref="QW4:QY4" si="161">IFERROR(COUNTIFS(QW10:QW900000,"&gt;60",QW10:QW900000,"&lt;=80")/COUNTIF(QW10:QW900000,"&gt;=0"),"")</f>
        <v>0.44</v>
      </c>
      <c r="QX4" s="83" t="str">
        <f t="shared" si="161"/>
        <v/>
      </c>
      <c r="QY4" s="83">
        <f t="shared" si="161"/>
        <v>0.44</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f t="shared" ref="UG4:UQ4" si="171">IFERROR(COUNTIFS(UG10:UG900000,"&gt;60",UG10:UG900000,"&lt;=80")/COUNTIF(UG10:UG900000,"&gt;=0"),"")</f>
        <v>0.48</v>
      </c>
      <c r="UH4" s="81">
        <f t="shared" si="171"/>
        <v>0.44</v>
      </c>
      <c r="UI4" s="81">
        <f t="shared" si="171"/>
        <v>0.44</v>
      </c>
      <c r="UJ4" s="81">
        <f t="shared" si="171"/>
        <v>0.44</v>
      </c>
      <c r="UK4" s="81" t="str">
        <f t="shared" si="171"/>
        <v/>
      </c>
      <c r="UL4" s="81" t="str">
        <f t="shared" si="171"/>
        <v/>
      </c>
      <c r="UM4" s="81">
        <f t="shared" si="171"/>
        <v>0.4</v>
      </c>
      <c r="UN4" s="81" t="str">
        <f t="shared" si="171"/>
        <v/>
      </c>
      <c r="UO4" s="81">
        <f t="shared" si="171"/>
        <v>0.4</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f t="shared" ref="VG4:VI4" si="173">IFERROR(COUNTIFS(VG10:VG900000,"&gt;60",VG10:VG900000,"&lt;=80")/COUNTIF(VG10:VG900000,"&gt;=0"),"")</f>
        <v>0.4</v>
      </c>
      <c r="VH4" s="81" t="str">
        <f t="shared" si="173"/>
        <v/>
      </c>
      <c r="VI4" s="81">
        <f t="shared" si="173"/>
        <v>0.4</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f t="shared" ref="VS4:WC4" si="175">IFERROR(COUNTIFS(VS10:VS900000,"&gt;60",VS10:VS900000,"&lt;=80")/COUNTIF(VS10:VS900000,"&gt;=0"),"")</f>
        <v>0.56000000000000005</v>
      </c>
      <c r="VT4" s="83">
        <f t="shared" si="175"/>
        <v>0.68</v>
      </c>
      <c r="VU4" s="83">
        <f t="shared" si="175"/>
        <v>0.54166666666666663</v>
      </c>
      <c r="VV4" s="83" t="str">
        <f t="shared" si="175"/>
        <v/>
      </c>
      <c r="VW4" s="83" t="str">
        <f t="shared" si="175"/>
        <v/>
      </c>
      <c r="VX4" s="83" t="str">
        <f t="shared" si="175"/>
        <v/>
      </c>
      <c r="VY4" s="83">
        <f t="shared" si="175"/>
        <v>0.48</v>
      </c>
      <c r="VZ4" s="83" t="str">
        <f t="shared" si="175"/>
        <v/>
      </c>
      <c r="WA4" s="83">
        <f t="shared" si="175"/>
        <v>0.48</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f t="shared" ref="WS4:WU4" si="177">IFERROR(COUNTIFS(WS10:WS900000,"&gt;60",WS10:WS900000,"&lt;=80")/COUNTIF(WS10:WS900000,"&gt;=0"),"")</f>
        <v>0.48</v>
      </c>
      <c r="WT4" s="83" t="str">
        <f t="shared" si="177"/>
        <v/>
      </c>
      <c r="WU4" s="83">
        <f t="shared" si="177"/>
        <v>0.48</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f t="shared" ref="XE4:XO4" si="179">IFERROR(COUNTIFS(XE10:XE900000,"&gt;60",XE10:XE900000,"&lt;=80")/COUNTIF(XE10:XE900000,"&gt;=0"),"")</f>
        <v>0.6</v>
      </c>
      <c r="XF4" s="81">
        <f t="shared" si="179"/>
        <v>0.56000000000000005</v>
      </c>
      <c r="XG4" s="81">
        <f t="shared" si="179"/>
        <v>0.5</v>
      </c>
      <c r="XH4" s="81" t="str">
        <f t="shared" si="179"/>
        <v/>
      </c>
      <c r="XI4" s="81" t="str">
        <f t="shared" si="179"/>
        <v/>
      </c>
      <c r="XJ4" s="81" t="str">
        <f t="shared" si="179"/>
        <v/>
      </c>
      <c r="XK4" s="81">
        <f t="shared" si="179"/>
        <v>0.64</v>
      </c>
      <c r="XL4" s="81" t="str">
        <f t="shared" si="179"/>
        <v/>
      </c>
      <c r="XM4" s="81">
        <f t="shared" si="179"/>
        <v>0.64</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f t="shared" ref="YE4:YG4" si="181">IFERROR(COUNTIFS(YE10:YE900000,"&gt;60",YE10:YE900000,"&lt;=80")/COUNTIF(YE10:YE900000,"&gt;=0"),"")</f>
        <v>0.64</v>
      </c>
      <c r="YF4" s="81" t="str">
        <f t="shared" si="181"/>
        <v/>
      </c>
      <c r="YG4" s="81">
        <f t="shared" si="181"/>
        <v>0.64</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f t="shared" ref="YQ4:ZA4" si="183">IFERROR(COUNTIFS(YQ10:YQ900000,"&gt;60",YQ10:YQ900000,"&lt;=80")/COUNTIF(YQ10:YQ900000,"&gt;=0"),"")</f>
        <v>0.64</v>
      </c>
      <c r="YR4" s="83">
        <f t="shared" si="183"/>
        <v>0.72</v>
      </c>
      <c r="YS4" s="83">
        <f t="shared" si="183"/>
        <v>0.79166666666666663</v>
      </c>
      <c r="YT4" s="83" t="str">
        <f t="shared" si="183"/>
        <v/>
      </c>
      <c r="YU4" s="83" t="str">
        <f t="shared" si="183"/>
        <v/>
      </c>
      <c r="YV4" s="83" t="str">
        <f t="shared" si="183"/>
        <v/>
      </c>
      <c r="YW4" s="83">
        <f t="shared" si="183"/>
        <v>0.72</v>
      </c>
      <c r="YX4" s="83" t="str">
        <f t="shared" si="183"/>
        <v/>
      </c>
      <c r="YY4" s="83">
        <f t="shared" si="183"/>
        <v>0.72</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f t="shared" ref="ZQ4:ZS4" si="185">IFERROR(COUNTIFS(ZQ10:ZQ900000,"&gt;60",ZQ10:ZQ900000,"&lt;=80")/COUNTIF(ZQ10:ZQ900000,"&gt;=0"),"")</f>
        <v>0.72</v>
      </c>
      <c r="ZR4" s="83" t="str">
        <f t="shared" si="185"/>
        <v/>
      </c>
      <c r="ZS4" s="83">
        <f t="shared" si="185"/>
        <v>0.72</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5" hidden="1" customHeight="1" x14ac:dyDescent="0.25">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f t="shared" ref="U5:AZ5" si="211">IFERROR(COUNTIFS(U10:U900000,"&gt;30",U10:U900000,"&lt;=60")/COUNTIF(U10:U900000,"&gt;=0"),"")</f>
        <v>0.16</v>
      </c>
      <c r="V5" s="81">
        <f t="shared" si="211"/>
        <v>0.24</v>
      </c>
      <c r="W5" s="81">
        <f t="shared" si="211"/>
        <v>0.08</v>
      </c>
      <c r="X5" s="81">
        <f t="shared" si="211"/>
        <v>0.125</v>
      </c>
      <c r="Y5" s="81" t="str">
        <f t="shared" si="211"/>
        <v/>
      </c>
      <c r="Z5" s="81" t="str">
        <f t="shared" si="211"/>
        <v/>
      </c>
      <c r="AA5" s="81">
        <f t="shared" si="211"/>
        <v>0.12</v>
      </c>
      <c r="AB5" s="81" t="str">
        <f t="shared" si="211"/>
        <v/>
      </c>
      <c r="AC5" s="81">
        <f t="shared" si="211"/>
        <v>0.12</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f t="shared" si="211"/>
        <v>0.12</v>
      </c>
      <c r="AV5" s="81" t="str">
        <f t="shared" si="211"/>
        <v/>
      </c>
      <c r="AW5" s="81">
        <f t="shared" si="211"/>
        <v>0.12</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f t="shared" ref="EE5:EO5" si="220">IFERROR(COUNTIFS(EE10:EE900000,"&gt;30",EE10:EE900000,"&lt;=60")/COUNTIF(EE10:EE900000,"&gt;=0"),"")</f>
        <v>0.2</v>
      </c>
      <c r="EF5" s="83">
        <f t="shared" si="220"/>
        <v>0.28000000000000003</v>
      </c>
      <c r="EG5" s="83">
        <f t="shared" si="220"/>
        <v>0.12</v>
      </c>
      <c r="EH5" s="83" t="str">
        <f t="shared" si="220"/>
        <v/>
      </c>
      <c r="EI5" s="83" t="str">
        <f t="shared" si="220"/>
        <v/>
      </c>
      <c r="EJ5" s="83" t="str">
        <f t="shared" si="220"/>
        <v/>
      </c>
      <c r="EK5" s="83">
        <f t="shared" si="220"/>
        <v>0.24</v>
      </c>
      <c r="EL5" s="83" t="str">
        <f t="shared" si="220"/>
        <v/>
      </c>
      <c r="EM5" s="83">
        <f t="shared" si="220"/>
        <v>0.24</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f t="shared" ref="FE5:FG5" si="222">IFERROR(COUNTIFS(FE10:FE900000,"&gt;30",FE10:FE900000,"&lt;=60")/COUNTIF(FE10:FE900000,"&gt;=0"),"")</f>
        <v>0.24</v>
      </c>
      <c r="FF5" s="83" t="str">
        <f t="shared" si="222"/>
        <v/>
      </c>
      <c r="FG5" s="83">
        <f t="shared" si="222"/>
        <v>0.24</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f t="shared" ref="FQ5:GA5" si="224">IFERROR(COUNTIFS(FQ10:FQ900000,"&gt;30",FQ10:FQ900000,"&lt;=60")/COUNTIF(FQ10:FQ900000,"&gt;=0"),"")</f>
        <v>0.16</v>
      </c>
      <c r="FR5" s="81">
        <f t="shared" si="224"/>
        <v>0.32</v>
      </c>
      <c r="FS5" s="81">
        <f t="shared" si="224"/>
        <v>0.12</v>
      </c>
      <c r="FT5" s="81">
        <f t="shared" si="224"/>
        <v>0.20833333333333334</v>
      </c>
      <c r="FU5" s="81" t="str">
        <f t="shared" si="224"/>
        <v/>
      </c>
      <c r="FV5" s="81" t="str">
        <f t="shared" si="224"/>
        <v/>
      </c>
      <c r="FW5" s="81">
        <f t="shared" si="224"/>
        <v>0.2</v>
      </c>
      <c r="FX5" s="81" t="str">
        <f t="shared" si="224"/>
        <v/>
      </c>
      <c r="FY5" s="81">
        <f t="shared" si="224"/>
        <v>0.2</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f t="shared" ref="GQ5:GS5" si="226">IFERROR(COUNTIFS(GQ10:GQ900000,"&gt;30",GQ10:GQ900000,"&lt;=60")/COUNTIF(GQ10:GQ900000,"&gt;=0"),"")</f>
        <v>0.2</v>
      </c>
      <c r="GR5" s="81" t="str">
        <f t="shared" si="226"/>
        <v/>
      </c>
      <c r="GS5" s="81">
        <f t="shared" si="226"/>
        <v>0.2</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f t="shared" ref="HC5:HM5" si="228">IFERROR(COUNTIFS(HC10:HC900000,"&gt;30",HC10:HC900000,"&lt;=60")/COUNTIF(HC10:HC900000,"&gt;=0"),"")</f>
        <v>0.12</v>
      </c>
      <c r="HD5" s="83">
        <f t="shared" si="228"/>
        <v>0.08</v>
      </c>
      <c r="HE5" s="83">
        <f t="shared" si="228"/>
        <v>0.16666666666666666</v>
      </c>
      <c r="HF5" s="83" t="str">
        <f t="shared" si="228"/>
        <v/>
      </c>
      <c r="HG5" s="83" t="str">
        <f t="shared" si="228"/>
        <v/>
      </c>
      <c r="HH5" s="83" t="str">
        <f t="shared" si="228"/>
        <v/>
      </c>
      <c r="HI5" s="83">
        <f t="shared" si="228"/>
        <v>0.04</v>
      </c>
      <c r="HJ5" s="83" t="str">
        <f t="shared" si="228"/>
        <v/>
      </c>
      <c r="HK5" s="83">
        <f t="shared" si="228"/>
        <v>0.04</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f t="shared" ref="IC5:IE5" si="230">IFERROR(COUNTIFS(IC10:IC900000,"&gt;30",IC10:IC900000,"&lt;=60")/COUNTIF(IC10:IC900000,"&gt;=0"),"")</f>
        <v>0.04</v>
      </c>
      <c r="ID5" s="83" t="str">
        <f t="shared" si="230"/>
        <v/>
      </c>
      <c r="IE5" s="83">
        <f t="shared" si="230"/>
        <v>0.04</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f t="shared" ref="PW5:QG5" si="252">IFERROR(COUNTIFS(PW10:PW900000,"&gt;30",PW10:PW900000,"&lt;=60")/COUNTIF(PW10:PW900000,"&gt;=0"),"")</f>
        <v>0.12</v>
      </c>
      <c r="PX5" s="83">
        <f t="shared" si="252"/>
        <v>0.08</v>
      </c>
      <c r="PY5" s="83">
        <f t="shared" si="252"/>
        <v>0.125</v>
      </c>
      <c r="PZ5" s="83" t="str">
        <f t="shared" si="252"/>
        <v/>
      </c>
      <c r="QA5" s="83" t="str">
        <f t="shared" si="252"/>
        <v/>
      </c>
      <c r="QB5" s="83" t="str">
        <f t="shared" si="252"/>
        <v/>
      </c>
      <c r="QC5" s="83">
        <f t="shared" si="252"/>
        <v>0.12</v>
      </c>
      <c r="QD5" s="83" t="str">
        <f t="shared" si="252"/>
        <v/>
      </c>
      <c r="QE5" s="83">
        <f t="shared" si="252"/>
        <v>0.12</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f t="shared" ref="QW5:QY5" si="254">IFERROR(COUNTIFS(QW10:QW900000,"&gt;30",QW10:QW900000,"&lt;=60")/COUNTIF(QW10:QW900000,"&gt;=0"),"")</f>
        <v>0.12</v>
      </c>
      <c r="QX5" s="83" t="str">
        <f t="shared" si="254"/>
        <v/>
      </c>
      <c r="QY5" s="83">
        <f t="shared" si="254"/>
        <v>0.12</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f t="shared" ref="UG5:UQ5" si="264">IFERROR(COUNTIFS(UG10:UG900000,"&gt;30",UG10:UG900000,"&lt;=60")/COUNTIF(UG10:UG900000,"&gt;=0"),"")</f>
        <v>0</v>
      </c>
      <c r="UH5" s="81">
        <f t="shared" si="264"/>
        <v>0</v>
      </c>
      <c r="UI5" s="81">
        <f t="shared" si="264"/>
        <v>0</v>
      </c>
      <c r="UJ5" s="81">
        <f t="shared" si="264"/>
        <v>0</v>
      </c>
      <c r="UK5" s="81" t="str">
        <f t="shared" si="264"/>
        <v/>
      </c>
      <c r="UL5" s="81" t="str">
        <f t="shared" si="264"/>
        <v/>
      </c>
      <c r="UM5" s="81">
        <f t="shared" si="264"/>
        <v>0</v>
      </c>
      <c r="UN5" s="81" t="str">
        <f t="shared" si="264"/>
        <v/>
      </c>
      <c r="UO5" s="81">
        <f t="shared" si="264"/>
        <v>0</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f t="shared" ref="VG5:VI5" si="266">IFERROR(COUNTIFS(VG10:VG900000,"&gt;30",VG10:VG900000,"&lt;=60")/COUNTIF(VG10:VG900000,"&gt;=0"),"")</f>
        <v>0</v>
      </c>
      <c r="VH5" s="81" t="str">
        <f t="shared" si="266"/>
        <v/>
      </c>
      <c r="VI5" s="81">
        <f t="shared" si="266"/>
        <v>0</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f t="shared" ref="VS5:WC5" si="268">IFERROR(COUNTIFS(VS10:VS900000,"&gt;30",VS10:VS900000,"&lt;=60")/COUNTIF(VS10:VS900000,"&gt;=0"),"")</f>
        <v>0.04</v>
      </c>
      <c r="VT5" s="83">
        <f t="shared" si="268"/>
        <v>0.08</v>
      </c>
      <c r="VU5" s="83">
        <f t="shared" si="268"/>
        <v>0</v>
      </c>
      <c r="VV5" s="83" t="str">
        <f t="shared" si="268"/>
        <v/>
      </c>
      <c r="VW5" s="83" t="str">
        <f t="shared" si="268"/>
        <v/>
      </c>
      <c r="VX5" s="83" t="str">
        <f t="shared" si="268"/>
        <v/>
      </c>
      <c r="VY5" s="83">
        <f t="shared" si="268"/>
        <v>0.08</v>
      </c>
      <c r="VZ5" s="83" t="str">
        <f t="shared" si="268"/>
        <v/>
      </c>
      <c r="WA5" s="83">
        <f t="shared" si="268"/>
        <v>0.08</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f t="shared" ref="WS5:WU5" si="270">IFERROR(COUNTIFS(WS10:WS900000,"&gt;30",WS10:WS900000,"&lt;=60")/COUNTIF(WS10:WS900000,"&gt;=0"),"")</f>
        <v>0.08</v>
      </c>
      <c r="WT5" s="83" t="str">
        <f t="shared" si="270"/>
        <v/>
      </c>
      <c r="WU5" s="83">
        <f t="shared" si="270"/>
        <v>0.08</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f t="shared" ref="XE5:XO5" si="272">IFERROR(COUNTIFS(XE10:XE900000,"&gt;30",XE10:XE900000,"&lt;=60")/COUNTIF(XE10:XE900000,"&gt;=0"),"")</f>
        <v>0.2</v>
      </c>
      <c r="XF5" s="81">
        <f t="shared" si="272"/>
        <v>0.12</v>
      </c>
      <c r="XG5" s="81">
        <f t="shared" si="272"/>
        <v>0.125</v>
      </c>
      <c r="XH5" s="81" t="str">
        <f t="shared" si="272"/>
        <v/>
      </c>
      <c r="XI5" s="81" t="str">
        <f t="shared" si="272"/>
        <v/>
      </c>
      <c r="XJ5" s="81" t="str">
        <f t="shared" si="272"/>
        <v/>
      </c>
      <c r="XK5" s="81">
        <f t="shared" si="272"/>
        <v>0.12</v>
      </c>
      <c r="XL5" s="81" t="str">
        <f t="shared" si="272"/>
        <v/>
      </c>
      <c r="XM5" s="81">
        <f t="shared" si="272"/>
        <v>0.12</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f t="shared" ref="YE5:YG5" si="274">IFERROR(COUNTIFS(YE10:YE900000,"&gt;30",YE10:YE900000,"&lt;=60")/COUNTIF(YE10:YE900000,"&gt;=0"),"")</f>
        <v>0.12</v>
      </c>
      <c r="YF5" s="81" t="str">
        <f t="shared" si="274"/>
        <v/>
      </c>
      <c r="YG5" s="81">
        <f t="shared" si="274"/>
        <v>0.12</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f t="shared" ref="YQ5:ZA5" si="276">IFERROR(COUNTIFS(YQ10:YQ900000,"&gt;30",YQ10:YQ900000,"&lt;=60")/COUNTIF(YQ10:YQ900000,"&gt;=0"),"")</f>
        <v>0.04</v>
      </c>
      <c r="YR5" s="83">
        <f t="shared" si="276"/>
        <v>0.08</v>
      </c>
      <c r="YS5" s="83">
        <f t="shared" si="276"/>
        <v>0.125</v>
      </c>
      <c r="YT5" s="83" t="str">
        <f t="shared" si="276"/>
        <v/>
      </c>
      <c r="YU5" s="83" t="str">
        <f t="shared" si="276"/>
        <v/>
      </c>
      <c r="YV5" s="83" t="str">
        <f t="shared" si="276"/>
        <v/>
      </c>
      <c r="YW5" s="83">
        <f t="shared" si="276"/>
        <v>0.12</v>
      </c>
      <c r="YX5" s="83" t="str">
        <f t="shared" si="276"/>
        <v/>
      </c>
      <c r="YY5" s="83">
        <f t="shared" si="276"/>
        <v>0.12</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f t="shared" ref="ZQ5:ZS5" si="278">IFERROR(COUNTIFS(ZQ10:ZQ900000,"&gt;30",ZQ10:ZQ900000,"&lt;=60")/COUNTIF(ZQ10:ZQ900000,"&gt;=0"),"")</f>
        <v>0.12</v>
      </c>
      <c r="ZR5" s="83" t="str">
        <f t="shared" si="278"/>
        <v/>
      </c>
      <c r="ZS5" s="83">
        <f t="shared" si="278"/>
        <v>0.12</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5" hidden="1" customHeight="1" x14ac:dyDescent="0.2">
      <c r="A6" s="80"/>
      <c r="B6" s="80"/>
      <c r="C6" s="80"/>
      <c r="D6" s="80"/>
      <c r="E6" s="80" t="s">
        <v>112</v>
      </c>
      <c r="F6" s="80"/>
      <c r="G6" s="80"/>
      <c r="H6" s="80"/>
      <c r="I6" s="80"/>
      <c r="J6" s="80"/>
      <c r="K6" s="80"/>
      <c r="L6" s="80">
        <f>COUNTIF(L10:L59,"K")</f>
        <v>14</v>
      </c>
      <c r="M6" s="80"/>
      <c r="N6" s="80"/>
      <c r="O6" s="80"/>
      <c r="P6" s="80"/>
      <c r="Q6" s="80" t="s">
        <v>109</v>
      </c>
      <c r="R6" s="80"/>
      <c r="S6" s="80"/>
      <c r="T6" s="81" t="str">
        <f>IFERROR(COUNTIFS(T10:T900000,"&gt;=0",T10:T900000,"&lt;=30")/COUNTIF(T10:T900000,"&gt;=0"),"")</f>
        <v/>
      </c>
      <c r="U6" s="81">
        <f t="shared" ref="U6:AZ6" si="304">IFERROR(COUNTIFS(U10:U900000,"&gt;=0",U10:U900000,"&lt;=30")/COUNTIF(U10:U900000,"&gt;=0"),"")</f>
        <v>0</v>
      </c>
      <c r="V6" s="81">
        <f t="shared" si="304"/>
        <v>0</v>
      </c>
      <c r="W6" s="81">
        <f t="shared" si="304"/>
        <v>0</v>
      </c>
      <c r="X6" s="81">
        <f t="shared" si="304"/>
        <v>0</v>
      </c>
      <c r="Y6" s="81" t="str">
        <f t="shared" si="304"/>
        <v/>
      </c>
      <c r="Z6" s="81" t="str">
        <f t="shared" si="304"/>
        <v/>
      </c>
      <c r="AA6" s="81">
        <f t="shared" si="304"/>
        <v>0</v>
      </c>
      <c r="AB6" s="81" t="str">
        <f t="shared" si="304"/>
        <v/>
      </c>
      <c r="AC6" s="81">
        <f t="shared" si="304"/>
        <v>0</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f t="shared" si="304"/>
        <v>0</v>
      </c>
      <c r="AV6" s="81" t="str">
        <f t="shared" si="304"/>
        <v/>
      </c>
      <c r="AW6" s="81">
        <f t="shared" si="304"/>
        <v>0</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f t="shared" ref="EE6:EO6" si="313">IFERROR(COUNTIFS(EE10:EE900000,"&gt;=0",EE10:EE900000,"&lt;=30")/COUNTIF(EE10:EE900000,"&gt;=0"),"")</f>
        <v>0</v>
      </c>
      <c r="EF6" s="83">
        <f t="shared" si="313"/>
        <v>0</v>
      </c>
      <c r="EG6" s="83">
        <f t="shared" si="313"/>
        <v>0</v>
      </c>
      <c r="EH6" s="83" t="str">
        <f t="shared" si="313"/>
        <v/>
      </c>
      <c r="EI6" s="83" t="str">
        <f t="shared" si="313"/>
        <v/>
      </c>
      <c r="EJ6" s="83" t="str">
        <f t="shared" si="313"/>
        <v/>
      </c>
      <c r="EK6" s="83">
        <f t="shared" si="313"/>
        <v>0</v>
      </c>
      <c r="EL6" s="83" t="str">
        <f t="shared" si="313"/>
        <v/>
      </c>
      <c r="EM6" s="83">
        <f t="shared" si="313"/>
        <v>0</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f t="shared" ref="FE6:FG6" si="315">IFERROR(COUNTIFS(FE10:FE900000,"&gt;=0",FE10:FE900000,"&lt;=30")/COUNTIF(FE10:FE900000,"&gt;=0"),"")</f>
        <v>0</v>
      </c>
      <c r="FF6" s="83" t="str">
        <f t="shared" si="315"/>
        <v/>
      </c>
      <c r="FG6" s="83">
        <f t="shared" si="315"/>
        <v>0</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f t="shared" ref="FQ6:GA6" si="317">IFERROR(COUNTIFS(FQ10:FQ900000,"&gt;=0",FQ10:FQ900000,"&lt;=30")/COUNTIF(FQ10:FQ900000,"&gt;=0"),"")</f>
        <v>0</v>
      </c>
      <c r="FR6" s="81">
        <f t="shared" si="317"/>
        <v>0</v>
      </c>
      <c r="FS6" s="81">
        <f t="shared" si="317"/>
        <v>0</v>
      </c>
      <c r="FT6" s="81">
        <f t="shared" si="317"/>
        <v>0</v>
      </c>
      <c r="FU6" s="81" t="str">
        <f t="shared" si="317"/>
        <v/>
      </c>
      <c r="FV6" s="81" t="str">
        <f t="shared" si="317"/>
        <v/>
      </c>
      <c r="FW6" s="81">
        <f t="shared" si="317"/>
        <v>0</v>
      </c>
      <c r="FX6" s="81" t="str">
        <f t="shared" si="317"/>
        <v/>
      </c>
      <c r="FY6" s="81">
        <f t="shared" si="317"/>
        <v>0</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f t="shared" ref="GQ6:GS6" si="319">IFERROR(COUNTIFS(GQ10:GQ900000,"&gt;=0",GQ10:GQ900000,"&lt;=30")/COUNTIF(GQ10:GQ900000,"&gt;=0"),"")</f>
        <v>0</v>
      </c>
      <c r="GR6" s="81" t="str">
        <f t="shared" si="319"/>
        <v/>
      </c>
      <c r="GS6" s="81">
        <f t="shared" si="319"/>
        <v>0</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f t="shared" ref="HC6:HM6" si="321">IFERROR(COUNTIFS(HC10:HC900000,"&gt;=0",HC10:HC900000,"&lt;=30")/COUNTIF(HC10:HC900000,"&gt;=0"),"")</f>
        <v>0</v>
      </c>
      <c r="HD6" s="83">
        <f t="shared" si="321"/>
        <v>0</v>
      </c>
      <c r="HE6" s="83">
        <f t="shared" si="321"/>
        <v>0</v>
      </c>
      <c r="HF6" s="83" t="str">
        <f t="shared" si="321"/>
        <v/>
      </c>
      <c r="HG6" s="83" t="str">
        <f t="shared" si="321"/>
        <v/>
      </c>
      <c r="HH6" s="83" t="str">
        <f t="shared" si="321"/>
        <v/>
      </c>
      <c r="HI6" s="83">
        <f t="shared" si="321"/>
        <v>0</v>
      </c>
      <c r="HJ6" s="83" t="str">
        <f t="shared" si="321"/>
        <v/>
      </c>
      <c r="HK6" s="83">
        <f t="shared" si="321"/>
        <v>0</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f t="shared" ref="IC6:IE6" si="323">IFERROR(COUNTIFS(IC10:IC900000,"&gt;=0",IC10:IC900000,"&lt;=30")/COUNTIF(IC10:IC900000,"&gt;=0"),"")</f>
        <v>0</v>
      </c>
      <c r="ID6" s="83" t="str">
        <f t="shared" si="323"/>
        <v/>
      </c>
      <c r="IE6" s="83">
        <f t="shared" si="323"/>
        <v>0</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f t="shared" ref="PW6:QG6" si="345">IFERROR(COUNTIFS(PW10:PW900000,"&gt;=0",PW10:PW900000,"&lt;=30")/COUNTIF(PW10:PW900000,"&gt;=0"),"")</f>
        <v>0</v>
      </c>
      <c r="PX6" s="83">
        <f t="shared" si="345"/>
        <v>0</v>
      </c>
      <c r="PY6" s="83">
        <f t="shared" si="345"/>
        <v>0</v>
      </c>
      <c r="PZ6" s="83" t="str">
        <f t="shared" si="345"/>
        <v/>
      </c>
      <c r="QA6" s="83" t="str">
        <f t="shared" si="345"/>
        <v/>
      </c>
      <c r="QB6" s="83" t="str">
        <f t="shared" si="345"/>
        <v/>
      </c>
      <c r="QC6" s="83">
        <f t="shared" si="345"/>
        <v>0</v>
      </c>
      <c r="QD6" s="83" t="str">
        <f t="shared" si="345"/>
        <v/>
      </c>
      <c r="QE6" s="83">
        <f t="shared" si="345"/>
        <v>0</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f t="shared" ref="QW6:QY6" si="347">IFERROR(COUNTIFS(QW10:QW900000,"&gt;=0",QW10:QW900000,"&lt;=30")/COUNTIF(QW10:QW900000,"&gt;=0"),"")</f>
        <v>0</v>
      </c>
      <c r="QX6" s="83" t="str">
        <f t="shared" si="347"/>
        <v/>
      </c>
      <c r="QY6" s="83">
        <f t="shared" si="347"/>
        <v>0</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f t="shared" ref="UG6:UQ6" si="357">IFERROR(COUNTIFS(UG10:UG900000,"&gt;=0",UG10:UG900000,"&lt;=30")/COUNTIF(UG10:UG900000,"&gt;=0"),"")</f>
        <v>0</v>
      </c>
      <c r="UH6" s="81">
        <f t="shared" si="357"/>
        <v>0</v>
      </c>
      <c r="UI6" s="81">
        <f t="shared" si="357"/>
        <v>0</v>
      </c>
      <c r="UJ6" s="81">
        <f t="shared" si="357"/>
        <v>0</v>
      </c>
      <c r="UK6" s="81" t="str">
        <f t="shared" si="357"/>
        <v/>
      </c>
      <c r="UL6" s="81" t="str">
        <f t="shared" si="357"/>
        <v/>
      </c>
      <c r="UM6" s="81">
        <f t="shared" si="357"/>
        <v>0</v>
      </c>
      <c r="UN6" s="81" t="str">
        <f t="shared" si="357"/>
        <v/>
      </c>
      <c r="UO6" s="81">
        <f t="shared" si="357"/>
        <v>0</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f t="shared" ref="VG6:VI6" si="359">IFERROR(COUNTIFS(VG10:VG900000,"&gt;=0",VG10:VG900000,"&lt;=30")/COUNTIF(VG10:VG900000,"&gt;=0"),"")</f>
        <v>0</v>
      </c>
      <c r="VH6" s="81" t="str">
        <f t="shared" si="359"/>
        <v/>
      </c>
      <c r="VI6" s="81">
        <f t="shared" si="359"/>
        <v>0</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f t="shared" ref="VS6:WC6" si="361">IFERROR(COUNTIFS(VS10:VS900000,"&gt;=0",VS10:VS900000,"&lt;=30")/COUNTIF(VS10:VS900000,"&gt;=0"),"")</f>
        <v>0</v>
      </c>
      <c r="VT6" s="83">
        <f t="shared" si="361"/>
        <v>0</v>
      </c>
      <c r="VU6" s="83">
        <f t="shared" si="361"/>
        <v>0</v>
      </c>
      <c r="VV6" s="83" t="str">
        <f t="shared" si="361"/>
        <v/>
      </c>
      <c r="VW6" s="83" t="str">
        <f t="shared" si="361"/>
        <v/>
      </c>
      <c r="VX6" s="83" t="str">
        <f t="shared" si="361"/>
        <v/>
      </c>
      <c r="VY6" s="83">
        <f t="shared" si="361"/>
        <v>0</v>
      </c>
      <c r="VZ6" s="83" t="str">
        <f t="shared" si="361"/>
        <v/>
      </c>
      <c r="WA6" s="83">
        <f t="shared" si="361"/>
        <v>0</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f t="shared" ref="WS6:WU6" si="363">IFERROR(COUNTIFS(WS10:WS900000,"&gt;=0",WS10:WS900000,"&lt;=30")/COUNTIF(WS10:WS900000,"&gt;=0"),"")</f>
        <v>0</v>
      </c>
      <c r="WT6" s="83" t="str">
        <f t="shared" si="363"/>
        <v/>
      </c>
      <c r="WU6" s="83">
        <f t="shared" si="363"/>
        <v>0</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f t="shared" ref="XE6:XO6" si="365">IFERROR(COUNTIFS(XE10:XE900000,"&gt;=0",XE10:XE900000,"&lt;=30")/COUNTIF(XE10:XE900000,"&gt;=0"),"")</f>
        <v>0</v>
      </c>
      <c r="XF6" s="81">
        <f t="shared" si="365"/>
        <v>0</v>
      </c>
      <c r="XG6" s="81">
        <f t="shared" si="365"/>
        <v>0</v>
      </c>
      <c r="XH6" s="81" t="str">
        <f t="shared" si="365"/>
        <v/>
      </c>
      <c r="XI6" s="81" t="str">
        <f t="shared" si="365"/>
        <v/>
      </c>
      <c r="XJ6" s="81" t="str">
        <f t="shared" si="365"/>
        <v/>
      </c>
      <c r="XK6" s="81">
        <f t="shared" si="365"/>
        <v>0</v>
      </c>
      <c r="XL6" s="81" t="str">
        <f t="shared" si="365"/>
        <v/>
      </c>
      <c r="XM6" s="81">
        <f t="shared" si="365"/>
        <v>0</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f t="shared" ref="YE6:YG6" si="367">IFERROR(COUNTIFS(YE10:YE900000,"&gt;=0",YE10:YE900000,"&lt;=30")/COUNTIF(YE10:YE900000,"&gt;=0"),"")</f>
        <v>0</v>
      </c>
      <c r="YF6" s="81" t="str">
        <f t="shared" si="367"/>
        <v/>
      </c>
      <c r="YG6" s="81">
        <f t="shared" si="367"/>
        <v>0</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f t="shared" ref="YQ6:ZA6" si="369">IFERROR(COUNTIFS(YQ10:YQ900000,"&gt;=0",YQ10:YQ900000,"&lt;=30")/COUNTIF(YQ10:YQ900000,"&gt;=0"),"")</f>
        <v>0</v>
      </c>
      <c r="YR6" s="83">
        <f t="shared" si="369"/>
        <v>0</v>
      </c>
      <c r="YS6" s="83">
        <f t="shared" si="369"/>
        <v>0</v>
      </c>
      <c r="YT6" s="83" t="str">
        <f t="shared" si="369"/>
        <v/>
      </c>
      <c r="YU6" s="83" t="str">
        <f t="shared" si="369"/>
        <v/>
      </c>
      <c r="YV6" s="83" t="str">
        <f t="shared" si="369"/>
        <v/>
      </c>
      <c r="YW6" s="83">
        <f t="shared" si="369"/>
        <v>0</v>
      </c>
      <c r="YX6" s="83" t="str">
        <f t="shared" si="369"/>
        <v/>
      </c>
      <c r="YY6" s="83">
        <f t="shared" si="369"/>
        <v>0</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f t="shared" ref="ZQ6:ZS6" si="371">IFERROR(COUNTIFS(ZQ10:ZQ900000,"&gt;=0",ZQ10:ZQ900000,"&lt;=30")/COUNTIF(ZQ10:ZQ900000,"&gt;=0"),"")</f>
        <v>0</v>
      </c>
      <c r="ZR6" s="83" t="str">
        <f t="shared" si="371"/>
        <v/>
      </c>
      <c r="ZS6" s="83">
        <f t="shared" si="371"/>
        <v>0</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2">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x14ac:dyDescent="0.2">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x14ac:dyDescent="0.3">
      <c r="A9" s="44" t="s">
        <v>147</v>
      </c>
      <c r="B9" s="45" t="s">
        <v>148</v>
      </c>
      <c r="C9" s="44" t="s">
        <v>149</v>
      </c>
      <c r="D9" s="44">
        <v>99</v>
      </c>
      <c r="E9" s="102"/>
      <c r="F9" s="46">
        <v>2</v>
      </c>
      <c r="G9" s="46" t="s">
        <v>150</v>
      </c>
      <c r="H9" s="84" t="s">
        <v>2</v>
      </c>
      <c r="I9" s="84" t="s">
        <v>3</v>
      </c>
      <c r="J9" s="84" t="s">
        <v>1</v>
      </c>
      <c r="K9" s="46" t="s">
        <v>98</v>
      </c>
      <c r="L9" s="102"/>
      <c r="M9" s="102"/>
      <c r="N9" s="102"/>
      <c r="O9" s="102"/>
      <c r="P9" s="47" t="s">
        <v>151</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x14ac:dyDescent="0.2">
      <c r="A10" s="88" t="str">
        <f>IF(H10="","",$A$9)</f>
        <v>2023-2024</v>
      </c>
      <c r="B10" s="88" t="str">
        <f>IF(H10="","",$B$9)</f>
        <v>Bakı</v>
      </c>
      <c r="C10" s="88" t="str">
        <f>IF(H10="","",$C$9)</f>
        <v>Binəqədi</v>
      </c>
      <c r="D10" s="88">
        <f>IF(H10="","",$D$9)</f>
        <v>99</v>
      </c>
      <c r="E10" s="40">
        <v>3984129</v>
      </c>
      <c r="F10" s="88">
        <f>IF(H10="","",$F$9)</f>
        <v>2</v>
      </c>
      <c r="G10" s="88" t="str">
        <f>IF(H10="","",$G$9)</f>
        <v>C</v>
      </c>
      <c r="H10" s="36" t="s">
        <v>152</v>
      </c>
      <c r="I10" s="36" t="s">
        <v>153</v>
      </c>
      <c r="J10" s="40" t="s">
        <v>154</v>
      </c>
      <c r="K10" s="89" t="str">
        <f>IF(H10="","",$K$9)</f>
        <v>A</v>
      </c>
      <c r="L10" s="40" t="s">
        <v>117</v>
      </c>
      <c r="M10" s="40" t="s">
        <v>220</v>
      </c>
      <c r="N10" s="40"/>
      <c r="O10" s="42" t="s">
        <v>221</v>
      </c>
      <c r="P10" s="90" t="str">
        <f>IF(H10="","",$P$9)</f>
        <v>Süleymanova Aybəniz</v>
      </c>
      <c r="Q10" s="48">
        <v>1072909</v>
      </c>
      <c r="R10" s="38">
        <v>101</v>
      </c>
      <c r="S10" s="38">
        <v>308</v>
      </c>
      <c r="T10" s="34"/>
      <c r="U10" s="34">
        <v>100</v>
      </c>
      <c r="V10" s="34">
        <v>83</v>
      </c>
      <c r="W10" s="34">
        <v>75</v>
      </c>
      <c r="X10" s="34">
        <v>84</v>
      </c>
      <c r="Y10" s="34"/>
      <c r="Z10" s="34"/>
      <c r="AA10" s="49">
        <v>85.5</v>
      </c>
      <c r="AB10" s="34"/>
      <c r="AC10" s="50">
        <v>85.5</v>
      </c>
      <c r="AD10" s="34"/>
      <c r="AE10" s="34"/>
      <c r="AF10" s="35">
        <v>0</v>
      </c>
      <c r="AG10" s="49">
        <v>100</v>
      </c>
      <c r="AH10" s="34"/>
      <c r="AI10" s="34"/>
      <c r="AJ10" s="34"/>
      <c r="AK10" s="34"/>
      <c r="AL10" s="34"/>
      <c r="AM10" s="34"/>
      <c r="AN10" s="49" t="s">
        <v>268</v>
      </c>
      <c r="AO10" s="34"/>
      <c r="AP10" s="50" t="s">
        <v>268</v>
      </c>
      <c r="AQ10" s="34"/>
      <c r="AR10" s="34"/>
      <c r="AS10" s="35"/>
      <c r="AT10" s="49" t="s">
        <v>268</v>
      </c>
      <c r="AU10" s="49">
        <v>85.5</v>
      </c>
      <c r="AV10" s="49" t="s">
        <v>268</v>
      </c>
      <c r="AW10" s="50">
        <v>85.5</v>
      </c>
      <c r="AX10" s="51">
        <v>5</v>
      </c>
      <c r="AY10" s="49" t="s">
        <v>268</v>
      </c>
      <c r="AZ10" s="34"/>
      <c r="BA10" s="52">
        <v>0</v>
      </c>
      <c r="BB10" s="53">
        <v>100</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1273950</v>
      </c>
      <c r="EB10" s="38">
        <v>106</v>
      </c>
      <c r="EC10" s="38">
        <v>17</v>
      </c>
      <c r="ED10" s="34"/>
      <c r="EE10" s="34">
        <v>75</v>
      </c>
      <c r="EF10" s="34">
        <v>70</v>
      </c>
      <c r="EG10" s="34">
        <v>80</v>
      </c>
      <c r="EH10" s="34"/>
      <c r="EI10" s="34"/>
      <c r="EJ10" s="34"/>
      <c r="EK10" s="49">
        <v>75</v>
      </c>
      <c r="EL10" s="34"/>
      <c r="EM10" s="50">
        <v>75</v>
      </c>
      <c r="EN10" s="34"/>
      <c r="EO10" s="34"/>
      <c r="EP10" s="35">
        <v>0</v>
      </c>
      <c r="EQ10" s="49">
        <v>100</v>
      </c>
      <c r="ER10" s="34"/>
      <c r="ES10" s="34"/>
      <c r="ET10" s="34"/>
      <c r="EU10" s="34"/>
      <c r="EV10" s="34"/>
      <c r="EW10" s="34"/>
      <c r="EX10" s="49" t="s">
        <v>268</v>
      </c>
      <c r="EY10" s="34"/>
      <c r="EZ10" s="50" t="s">
        <v>268</v>
      </c>
      <c r="FA10" s="34"/>
      <c r="FB10" s="34"/>
      <c r="FC10" s="35"/>
      <c r="FD10" s="49" t="s">
        <v>268</v>
      </c>
      <c r="FE10" s="49">
        <v>75</v>
      </c>
      <c r="FF10" s="49" t="s">
        <v>268</v>
      </c>
      <c r="FG10" s="50">
        <v>75</v>
      </c>
      <c r="FH10" s="51">
        <v>4</v>
      </c>
      <c r="FI10" s="49" t="s">
        <v>268</v>
      </c>
      <c r="FJ10" s="34"/>
      <c r="FK10" s="52">
        <v>0</v>
      </c>
      <c r="FL10" s="53">
        <v>100</v>
      </c>
      <c r="FM10" s="48">
        <v>1072909</v>
      </c>
      <c r="FN10" s="38">
        <v>110</v>
      </c>
      <c r="FO10" s="38">
        <v>171</v>
      </c>
      <c r="FP10" s="34"/>
      <c r="FQ10" s="34">
        <v>100</v>
      </c>
      <c r="FR10" s="34">
        <v>71</v>
      </c>
      <c r="FS10" s="34">
        <v>89</v>
      </c>
      <c r="FT10" s="34">
        <v>74</v>
      </c>
      <c r="FU10" s="34"/>
      <c r="FV10" s="34"/>
      <c r="FW10" s="49">
        <v>83.5</v>
      </c>
      <c r="FX10" s="34"/>
      <c r="FY10" s="50">
        <v>83.5</v>
      </c>
      <c r="FZ10" s="34"/>
      <c r="GA10" s="34"/>
      <c r="GB10" s="35">
        <v>0</v>
      </c>
      <c r="GC10" s="49">
        <v>100</v>
      </c>
      <c r="GD10" s="34"/>
      <c r="GE10" s="34"/>
      <c r="GF10" s="34"/>
      <c r="GG10" s="34"/>
      <c r="GH10" s="34"/>
      <c r="GI10" s="34"/>
      <c r="GJ10" s="49" t="s">
        <v>268</v>
      </c>
      <c r="GK10" s="34"/>
      <c r="GL10" s="50" t="s">
        <v>268</v>
      </c>
      <c r="GM10" s="34"/>
      <c r="GN10" s="34"/>
      <c r="GO10" s="35"/>
      <c r="GP10" s="49" t="s">
        <v>268</v>
      </c>
      <c r="GQ10" s="49">
        <v>83.5</v>
      </c>
      <c r="GR10" s="49" t="s">
        <v>268</v>
      </c>
      <c r="GS10" s="50">
        <v>83.5</v>
      </c>
      <c r="GT10" s="51">
        <v>5</v>
      </c>
      <c r="GU10" s="49" t="s">
        <v>268</v>
      </c>
      <c r="GV10" s="34"/>
      <c r="GW10" s="52">
        <v>0</v>
      </c>
      <c r="GX10" s="53">
        <v>100</v>
      </c>
      <c r="GY10" s="48">
        <v>1199044</v>
      </c>
      <c r="GZ10" s="38">
        <v>114</v>
      </c>
      <c r="HA10" s="38">
        <v>17</v>
      </c>
      <c r="HB10" s="34"/>
      <c r="HC10" s="34">
        <v>75</v>
      </c>
      <c r="HD10" s="34">
        <v>80</v>
      </c>
      <c r="HE10" s="34">
        <v>70</v>
      </c>
      <c r="HF10" s="34"/>
      <c r="HG10" s="34"/>
      <c r="HH10" s="34"/>
      <c r="HI10" s="49">
        <v>75</v>
      </c>
      <c r="HJ10" s="34"/>
      <c r="HK10" s="50">
        <v>75</v>
      </c>
      <c r="HL10" s="34"/>
      <c r="HM10" s="34"/>
      <c r="HN10" s="35">
        <v>0</v>
      </c>
      <c r="HO10" s="49">
        <v>100</v>
      </c>
      <c r="HP10" s="34"/>
      <c r="HQ10" s="34"/>
      <c r="HR10" s="34"/>
      <c r="HS10" s="34"/>
      <c r="HT10" s="34"/>
      <c r="HU10" s="34"/>
      <c r="HV10" s="49" t="s">
        <v>268</v>
      </c>
      <c r="HW10" s="34"/>
      <c r="HX10" s="50" t="s">
        <v>268</v>
      </c>
      <c r="HY10" s="34"/>
      <c r="HZ10" s="34"/>
      <c r="IA10" s="35"/>
      <c r="IB10" s="49" t="s">
        <v>268</v>
      </c>
      <c r="IC10" s="49">
        <v>75</v>
      </c>
      <c r="ID10" s="49" t="s">
        <v>268</v>
      </c>
      <c r="IE10" s="50">
        <v>75</v>
      </c>
      <c r="IF10" s="51">
        <v>4</v>
      </c>
      <c r="IG10" s="49" t="s">
        <v>268</v>
      </c>
      <c r="IH10" s="34"/>
      <c r="II10" s="52">
        <v>0</v>
      </c>
      <c r="IJ10" s="53">
        <v>100</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1072909</v>
      </c>
      <c r="PT10" s="38">
        <v>128</v>
      </c>
      <c r="PU10" s="38">
        <v>34</v>
      </c>
      <c r="PV10" s="34"/>
      <c r="PW10" s="34">
        <v>70</v>
      </c>
      <c r="PX10" s="34">
        <v>65</v>
      </c>
      <c r="PY10" s="34">
        <v>65</v>
      </c>
      <c r="PZ10" s="34"/>
      <c r="QA10" s="34"/>
      <c r="QB10" s="34"/>
      <c r="QC10" s="49">
        <v>66.666666666666671</v>
      </c>
      <c r="QD10" s="34"/>
      <c r="QE10" s="50">
        <v>66.666666666666671</v>
      </c>
      <c r="QF10" s="34"/>
      <c r="QG10" s="34"/>
      <c r="QH10" s="35">
        <v>0</v>
      </c>
      <c r="QI10" s="49">
        <v>100</v>
      </c>
      <c r="QJ10" s="34"/>
      <c r="QK10" s="34"/>
      <c r="QL10" s="34"/>
      <c r="QM10" s="34"/>
      <c r="QN10" s="34"/>
      <c r="QO10" s="34"/>
      <c r="QP10" s="49" t="s">
        <v>268</v>
      </c>
      <c r="QQ10" s="34"/>
      <c r="QR10" s="50" t="s">
        <v>268</v>
      </c>
      <c r="QS10" s="34"/>
      <c r="QT10" s="34"/>
      <c r="QU10" s="35"/>
      <c r="QV10" s="49" t="s">
        <v>268</v>
      </c>
      <c r="QW10" s="49">
        <v>66.666666666666671</v>
      </c>
      <c r="QX10" s="49" t="s">
        <v>268</v>
      </c>
      <c r="QY10" s="50">
        <v>66.666666666666671</v>
      </c>
      <c r="QZ10" s="51">
        <v>4</v>
      </c>
      <c r="RA10" s="49" t="s">
        <v>268</v>
      </c>
      <c r="RB10" s="34"/>
      <c r="RC10" s="52">
        <v>0</v>
      </c>
      <c r="RD10" s="53">
        <v>100</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1072909</v>
      </c>
      <c r="UD10" s="38">
        <v>131</v>
      </c>
      <c r="UE10" s="38">
        <v>68</v>
      </c>
      <c r="UF10" s="34"/>
      <c r="UG10" s="34">
        <v>85</v>
      </c>
      <c r="UH10" s="34">
        <v>85</v>
      </c>
      <c r="UI10" s="34">
        <v>90</v>
      </c>
      <c r="UJ10" s="34">
        <v>90</v>
      </c>
      <c r="UK10" s="34"/>
      <c r="UL10" s="34"/>
      <c r="UM10" s="49">
        <v>87.5</v>
      </c>
      <c r="UN10" s="34"/>
      <c r="UO10" s="50">
        <v>87.5</v>
      </c>
      <c r="UP10" s="34"/>
      <c r="UQ10" s="34"/>
      <c r="UR10" s="35">
        <v>0</v>
      </c>
      <c r="US10" s="49">
        <v>100</v>
      </c>
      <c r="UT10" s="34"/>
      <c r="UU10" s="34"/>
      <c r="UV10" s="34"/>
      <c r="UW10" s="34"/>
      <c r="UX10" s="34"/>
      <c r="UY10" s="34"/>
      <c r="UZ10" s="49" t="s">
        <v>268</v>
      </c>
      <c r="VA10" s="34"/>
      <c r="VB10" s="50" t="s">
        <v>268</v>
      </c>
      <c r="VC10" s="34"/>
      <c r="VD10" s="34"/>
      <c r="VE10" s="35"/>
      <c r="VF10" s="49" t="s">
        <v>268</v>
      </c>
      <c r="VG10" s="49">
        <v>87.5</v>
      </c>
      <c r="VH10" s="49" t="s">
        <v>268</v>
      </c>
      <c r="VI10" s="50">
        <v>87.5</v>
      </c>
      <c r="VJ10" s="51">
        <v>5</v>
      </c>
      <c r="VK10" s="49" t="s">
        <v>268</v>
      </c>
      <c r="VL10" s="34"/>
      <c r="VM10" s="52">
        <v>0</v>
      </c>
      <c r="VN10" s="53">
        <v>100</v>
      </c>
      <c r="VO10" s="48">
        <v>1072909</v>
      </c>
      <c r="VP10" s="38">
        <v>132</v>
      </c>
      <c r="VQ10" s="38">
        <v>34</v>
      </c>
      <c r="VR10" s="34"/>
      <c r="VS10" s="34">
        <v>95</v>
      </c>
      <c r="VT10" s="34">
        <v>85</v>
      </c>
      <c r="VU10" s="34">
        <v>85</v>
      </c>
      <c r="VV10" s="34"/>
      <c r="VW10" s="34"/>
      <c r="VX10" s="34"/>
      <c r="VY10" s="49">
        <v>88.333333333333329</v>
      </c>
      <c r="VZ10" s="34"/>
      <c r="WA10" s="50">
        <v>88.333333333333329</v>
      </c>
      <c r="WB10" s="34"/>
      <c r="WC10" s="34"/>
      <c r="WD10" s="35">
        <v>0</v>
      </c>
      <c r="WE10" s="49">
        <v>100</v>
      </c>
      <c r="WF10" s="34"/>
      <c r="WG10" s="34"/>
      <c r="WH10" s="34"/>
      <c r="WI10" s="34"/>
      <c r="WJ10" s="34"/>
      <c r="WK10" s="34"/>
      <c r="WL10" s="49" t="s">
        <v>268</v>
      </c>
      <c r="WM10" s="34"/>
      <c r="WN10" s="50" t="s">
        <v>268</v>
      </c>
      <c r="WO10" s="34"/>
      <c r="WP10" s="34"/>
      <c r="WQ10" s="35"/>
      <c r="WR10" s="49" t="s">
        <v>268</v>
      </c>
      <c r="WS10" s="49">
        <v>88.333333333333329</v>
      </c>
      <c r="WT10" s="49" t="s">
        <v>268</v>
      </c>
      <c r="WU10" s="50">
        <v>88.333333333333329</v>
      </c>
      <c r="WV10" s="51">
        <v>5</v>
      </c>
      <c r="WW10" s="49" t="s">
        <v>268</v>
      </c>
      <c r="WX10" s="34"/>
      <c r="WY10" s="52">
        <v>0</v>
      </c>
      <c r="WZ10" s="53">
        <v>100</v>
      </c>
      <c r="XA10" s="48">
        <v>1072909</v>
      </c>
      <c r="XB10" s="38">
        <v>133</v>
      </c>
      <c r="XC10" s="38">
        <v>34</v>
      </c>
      <c r="XD10" s="34"/>
      <c r="XE10" s="34">
        <v>85</v>
      </c>
      <c r="XF10" s="34">
        <v>85</v>
      </c>
      <c r="XG10" s="34">
        <v>84</v>
      </c>
      <c r="XH10" s="34"/>
      <c r="XI10" s="34"/>
      <c r="XJ10" s="34"/>
      <c r="XK10" s="49">
        <v>84.666666666666671</v>
      </c>
      <c r="XL10" s="34"/>
      <c r="XM10" s="50">
        <v>84.666666666666671</v>
      </c>
      <c r="XN10" s="34"/>
      <c r="XO10" s="34"/>
      <c r="XP10" s="35">
        <v>0</v>
      </c>
      <c r="XQ10" s="49">
        <v>100</v>
      </c>
      <c r="XR10" s="34"/>
      <c r="XS10" s="34"/>
      <c r="XT10" s="34"/>
      <c r="XU10" s="34"/>
      <c r="XV10" s="34"/>
      <c r="XW10" s="34"/>
      <c r="XX10" s="49" t="s">
        <v>268</v>
      </c>
      <c r="XY10" s="34"/>
      <c r="XZ10" s="50" t="s">
        <v>268</v>
      </c>
      <c r="YA10" s="34"/>
      <c r="YB10" s="34"/>
      <c r="YC10" s="35"/>
      <c r="YD10" s="49" t="s">
        <v>268</v>
      </c>
      <c r="YE10" s="49">
        <v>84.666666666666671</v>
      </c>
      <c r="YF10" s="49" t="s">
        <v>268</v>
      </c>
      <c r="YG10" s="50">
        <v>84.666666666666671</v>
      </c>
      <c r="YH10" s="51">
        <v>5</v>
      </c>
      <c r="YI10" s="49" t="s">
        <v>268</v>
      </c>
      <c r="YJ10" s="34"/>
      <c r="YK10" s="52">
        <v>0</v>
      </c>
      <c r="YL10" s="53">
        <v>100</v>
      </c>
      <c r="YM10" s="48">
        <v>1072909</v>
      </c>
      <c r="YN10" s="38">
        <v>135</v>
      </c>
      <c r="YO10" s="38">
        <v>34</v>
      </c>
      <c r="YP10" s="34"/>
      <c r="YQ10" s="34">
        <v>100</v>
      </c>
      <c r="YR10" s="34">
        <v>85</v>
      </c>
      <c r="YS10" s="34">
        <v>67</v>
      </c>
      <c r="YT10" s="34"/>
      <c r="YU10" s="34"/>
      <c r="YV10" s="34"/>
      <c r="YW10" s="49">
        <v>84</v>
      </c>
      <c r="YX10" s="34"/>
      <c r="YY10" s="50">
        <v>84</v>
      </c>
      <c r="YZ10" s="34"/>
      <c r="ZA10" s="34"/>
      <c r="ZB10" s="35">
        <v>0</v>
      </c>
      <c r="ZC10" s="49">
        <v>100</v>
      </c>
      <c r="ZD10" s="34"/>
      <c r="ZE10" s="34"/>
      <c r="ZF10" s="34"/>
      <c r="ZG10" s="34"/>
      <c r="ZH10" s="34"/>
      <c r="ZI10" s="34"/>
      <c r="ZJ10" s="49" t="s">
        <v>268</v>
      </c>
      <c r="ZK10" s="34"/>
      <c r="ZL10" s="50" t="s">
        <v>268</v>
      </c>
      <c r="ZM10" s="34"/>
      <c r="ZN10" s="34"/>
      <c r="ZO10" s="35"/>
      <c r="ZP10" s="49" t="s">
        <v>268</v>
      </c>
      <c r="ZQ10" s="49">
        <v>84</v>
      </c>
      <c r="ZR10" s="49" t="s">
        <v>268</v>
      </c>
      <c r="ZS10" s="50">
        <v>84</v>
      </c>
      <c r="ZT10" s="51">
        <v>5</v>
      </c>
      <c r="ZU10" s="49" t="s">
        <v>268</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
      <c r="A11" s="88" t="str">
        <f t="shared" ref="A11:A59" si="397">IF(H11="","",$A$9)</f>
        <v>2023-2024</v>
      </c>
      <c r="B11" s="88" t="str">
        <f t="shared" ref="B11:B59" si="398">IF(H11="","",$B$9)</f>
        <v>Bakı</v>
      </c>
      <c r="C11" s="88" t="str">
        <f t="shared" ref="C11:C59" si="399">IF(H11="","",$C$9)</f>
        <v>Binəqədi</v>
      </c>
      <c r="D11" s="88">
        <f t="shared" ref="D11:D59" si="400">IF(H11="","",$D$9)</f>
        <v>99</v>
      </c>
      <c r="E11" s="40">
        <v>3984191</v>
      </c>
      <c r="F11" s="88">
        <f t="shared" ref="F11:F59" si="401">IF(H11="","",$F$9)</f>
        <v>2</v>
      </c>
      <c r="G11" s="88" t="str">
        <f t="shared" ref="G11:G59" si="402">IF(H11="","",$G$9)</f>
        <v>C</v>
      </c>
      <c r="H11" s="36" t="s">
        <v>155</v>
      </c>
      <c r="I11" s="37" t="s">
        <v>156</v>
      </c>
      <c r="J11" s="41" t="s">
        <v>157</v>
      </c>
      <c r="K11" s="89" t="str">
        <f t="shared" ref="K11:K59" si="403">IF(H11="","",$K$9)</f>
        <v>A</v>
      </c>
      <c r="L11" s="41" t="s">
        <v>119</v>
      </c>
      <c r="M11" s="41" t="s">
        <v>222</v>
      </c>
      <c r="N11" s="41"/>
      <c r="O11" s="43" t="s">
        <v>223</v>
      </c>
      <c r="P11" s="90" t="str">
        <f t="shared" ref="P11:P59" si="404">IF(H11="","",$P$9)</f>
        <v>Süleymanova Aybəniz</v>
      </c>
      <c r="Q11" s="4">
        <v>1072909</v>
      </c>
      <c r="R11" s="39">
        <v>101</v>
      </c>
      <c r="S11" s="39">
        <v>308</v>
      </c>
      <c r="T11" s="1"/>
      <c r="U11" s="1">
        <v>65</v>
      </c>
      <c r="V11" s="1">
        <v>71</v>
      </c>
      <c r="W11" s="1">
        <v>64</v>
      </c>
      <c r="X11" s="1">
        <v>65</v>
      </c>
      <c r="Y11" s="1"/>
      <c r="Z11" s="1"/>
      <c r="AA11" s="54">
        <v>66.25</v>
      </c>
      <c r="AB11" s="1"/>
      <c r="AC11" s="55">
        <v>66.25</v>
      </c>
      <c r="AD11" s="1"/>
      <c r="AE11" s="1"/>
      <c r="AF11" s="2">
        <v>0</v>
      </c>
      <c r="AG11" s="54">
        <v>100</v>
      </c>
      <c r="AH11" s="1"/>
      <c r="AI11" s="1"/>
      <c r="AJ11" s="1"/>
      <c r="AK11" s="1"/>
      <c r="AL11" s="1"/>
      <c r="AM11" s="1"/>
      <c r="AN11" s="54" t="s">
        <v>268</v>
      </c>
      <c r="AO11" s="1"/>
      <c r="AP11" s="55" t="s">
        <v>268</v>
      </c>
      <c r="AQ11" s="1"/>
      <c r="AR11" s="1"/>
      <c r="AS11" s="2"/>
      <c r="AT11" s="54" t="s">
        <v>268</v>
      </c>
      <c r="AU11" s="54">
        <v>66.25</v>
      </c>
      <c r="AV11" s="54" t="s">
        <v>268</v>
      </c>
      <c r="AW11" s="55">
        <v>66.25</v>
      </c>
      <c r="AX11" s="56">
        <v>4</v>
      </c>
      <c r="AY11" s="54" t="s">
        <v>268</v>
      </c>
      <c r="AZ11" s="1"/>
      <c r="BA11" s="57">
        <v>0</v>
      </c>
      <c r="BB11" s="58">
        <v>100</v>
      </c>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v>1273950</v>
      </c>
      <c r="EB11" s="39">
        <v>106</v>
      </c>
      <c r="EC11" s="39">
        <v>17</v>
      </c>
      <c r="ED11" s="1"/>
      <c r="EE11" s="1">
        <v>70</v>
      </c>
      <c r="EF11" s="1">
        <v>70</v>
      </c>
      <c r="EG11" s="1">
        <v>80</v>
      </c>
      <c r="EH11" s="1"/>
      <c r="EI11" s="1"/>
      <c r="EJ11" s="1"/>
      <c r="EK11" s="54">
        <v>73.333333333333329</v>
      </c>
      <c r="EL11" s="1"/>
      <c r="EM11" s="55">
        <v>73.333333333333329</v>
      </c>
      <c r="EN11" s="1"/>
      <c r="EO11" s="1"/>
      <c r="EP11" s="2">
        <v>0</v>
      </c>
      <c r="EQ11" s="54">
        <v>100</v>
      </c>
      <c r="ER11" s="1"/>
      <c r="ES11" s="1"/>
      <c r="ET11" s="1"/>
      <c r="EU11" s="1"/>
      <c r="EV11" s="1"/>
      <c r="EW11" s="1"/>
      <c r="EX11" s="54" t="s">
        <v>268</v>
      </c>
      <c r="EY11" s="1"/>
      <c r="EZ11" s="55" t="s">
        <v>268</v>
      </c>
      <c r="FA11" s="1"/>
      <c r="FB11" s="1"/>
      <c r="FC11" s="2"/>
      <c r="FD11" s="54" t="s">
        <v>268</v>
      </c>
      <c r="FE11" s="54">
        <v>73.333333333333329</v>
      </c>
      <c r="FF11" s="54" t="s">
        <v>268</v>
      </c>
      <c r="FG11" s="55">
        <v>73.333333333333329</v>
      </c>
      <c r="FH11" s="56">
        <v>4</v>
      </c>
      <c r="FI11" s="54" t="s">
        <v>268</v>
      </c>
      <c r="FJ11" s="1"/>
      <c r="FK11" s="57">
        <v>0</v>
      </c>
      <c r="FL11" s="58">
        <v>100</v>
      </c>
      <c r="FM11" s="4">
        <v>1072909</v>
      </c>
      <c r="FN11" s="39">
        <v>110</v>
      </c>
      <c r="FO11" s="39">
        <v>171</v>
      </c>
      <c r="FP11" s="1"/>
      <c r="FQ11" s="1">
        <v>90</v>
      </c>
      <c r="FR11" s="1">
        <v>78</v>
      </c>
      <c r="FS11" s="1">
        <v>65</v>
      </c>
      <c r="FT11" s="1">
        <v>75</v>
      </c>
      <c r="FU11" s="1"/>
      <c r="FV11" s="1"/>
      <c r="FW11" s="54">
        <v>77</v>
      </c>
      <c r="FX11" s="1"/>
      <c r="FY11" s="55">
        <v>77</v>
      </c>
      <c r="FZ11" s="1"/>
      <c r="GA11" s="1"/>
      <c r="GB11" s="2">
        <v>0</v>
      </c>
      <c r="GC11" s="54">
        <v>100</v>
      </c>
      <c r="GD11" s="1"/>
      <c r="GE11" s="1"/>
      <c r="GF11" s="1"/>
      <c r="GG11" s="1"/>
      <c r="GH11" s="1"/>
      <c r="GI11" s="1"/>
      <c r="GJ11" s="54" t="s">
        <v>268</v>
      </c>
      <c r="GK11" s="1"/>
      <c r="GL11" s="55" t="s">
        <v>268</v>
      </c>
      <c r="GM11" s="1"/>
      <c r="GN11" s="1"/>
      <c r="GO11" s="2"/>
      <c r="GP11" s="54" t="s">
        <v>268</v>
      </c>
      <c r="GQ11" s="54">
        <v>77</v>
      </c>
      <c r="GR11" s="54" t="s">
        <v>268</v>
      </c>
      <c r="GS11" s="55">
        <v>77</v>
      </c>
      <c r="GT11" s="56">
        <v>4</v>
      </c>
      <c r="GU11" s="54" t="s">
        <v>268</v>
      </c>
      <c r="GV11" s="1"/>
      <c r="GW11" s="57">
        <v>0</v>
      </c>
      <c r="GX11" s="58">
        <v>100</v>
      </c>
      <c r="GY11" s="4">
        <v>1199044</v>
      </c>
      <c r="GZ11" s="39">
        <v>114</v>
      </c>
      <c r="HA11" s="39">
        <v>17</v>
      </c>
      <c r="HB11" s="1"/>
      <c r="HC11" s="1">
        <v>50</v>
      </c>
      <c r="HD11" s="1">
        <v>70</v>
      </c>
      <c r="HE11" s="1">
        <v>60</v>
      </c>
      <c r="HF11" s="1"/>
      <c r="HG11" s="1"/>
      <c r="HH11" s="1"/>
      <c r="HI11" s="54">
        <v>60</v>
      </c>
      <c r="HJ11" s="1"/>
      <c r="HK11" s="55">
        <v>60</v>
      </c>
      <c r="HL11" s="1"/>
      <c r="HM11" s="1"/>
      <c r="HN11" s="2">
        <v>0</v>
      </c>
      <c r="HO11" s="54">
        <v>100</v>
      </c>
      <c r="HP11" s="1"/>
      <c r="HQ11" s="1"/>
      <c r="HR11" s="1"/>
      <c r="HS11" s="1"/>
      <c r="HT11" s="1"/>
      <c r="HU11" s="1"/>
      <c r="HV11" s="54" t="s">
        <v>268</v>
      </c>
      <c r="HW11" s="1"/>
      <c r="HX11" s="55" t="s">
        <v>268</v>
      </c>
      <c r="HY11" s="1"/>
      <c r="HZ11" s="1"/>
      <c r="IA11" s="2"/>
      <c r="IB11" s="54" t="s">
        <v>268</v>
      </c>
      <c r="IC11" s="54">
        <v>60</v>
      </c>
      <c r="ID11" s="54" t="s">
        <v>268</v>
      </c>
      <c r="IE11" s="55">
        <v>60</v>
      </c>
      <c r="IF11" s="56">
        <v>3</v>
      </c>
      <c r="IG11" s="54" t="s">
        <v>268</v>
      </c>
      <c r="IH11" s="1"/>
      <c r="II11" s="57">
        <v>0</v>
      </c>
      <c r="IJ11" s="58">
        <v>100</v>
      </c>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v>1072909</v>
      </c>
      <c r="PT11" s="39">
        <v>128</v>
      </c>
      <c r="PU11" s="39">
        <v>34</v>
      </c>
      <c r="PV11" s="1"/>
      <c r="PW11" s="1">
        <v>80</v>
      </c>
      <c r="PX11" s="1">
        <v>70</v>
      </c>
      <c r="PY11" s="1">
        <v>80</v>
      </c>
      <c r="PZ11" s="1"/>
      <c r="QA11" s="1"/>
      <c r="QB11" s="1"/>
      <c r="QC11" s="54">
        <v>76.666666666666671</v>
      </c>
      <c r="QD11" s="1"/>
      <c r="QE11" s="55">
        <v>76.666666666666671</v>
      </c>
      <c r="QF11" s="1"/>
      <c r="QG11" s="1"/>
      <c r="QH11" s="2">
        <v>0</v>
      </c>
      <c r="QI11" s="54">
        <v>100</v>
      </c>
      <c r="QJ11" s="1"/>
      <c r="QK11" s="1"/>
      <c r="QL11" s="1"/>
      <c r="QM11" s="1"/>
      <c r="QN11" s="1"/>
      <c r="QO11" s="1"/>
      <c r="QP11" s="54" t="s">
        <v>268</v>
      </c>
      <c r="QQ11" s="1"/>
      <c r="QR11" s="55" t="s">
        <v>268</v>
      </c>
      <c r="QS11" s="1"/>
      <c r="QT11" s="1"/>
      <c r="QU11" s="2"/>
      <c r="QV11" s="54" t="s">
        <v>268</v>
      </c>
      <c r="QW11" s="54">
        <v>76.666666666666671</v>
      </c>
      <c r="QX11" s="54" t="s">
        <v>268</v>
      </c>
      <c r="QY11" s="55">
        <v>76.666666666666671</v>
      </c>
      <c r="QZ11" s="56">
        <v>4</v>
      </c>
      <c r="RA11" s="54" t="s">
        <v>268</v>
      </c>
      <c r="RB11" s="1"/>
      <c r="RC11" s="57">
        <v>0</v>
      </c>
      <c r="RD11" s="58">
        <v>100</v>
      </c>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v>1072909</v>
      </c>
      <c r="UD11" s="39">
        <v>131</v>
      </c>
      <c r="UE11" s="39">
        <v>68</v>
      </c>
      <c r="UF11" s="1"/>
      <c r="UG11" s="1">
        <v>85</v>
      </c>
      <c r="UH11" s="1">
        <v>85</v>
      </c>
      <c r="UI11" s="1">
        <v>80</v>
      </c>
      <c r="UJ11" s="1">
        <v>80</v>
      </c>
      <c r="UK11" s="1"/>
      <c r="UL11" s="1"/>
      <c r="UM11" s="54">
        <v>82.5</v>
      </c>
      <c r="UN11" s="1"/>
      <c r="UO11" s="55">
        <v>82.5</v>
      </c>
      <c r="UP11" s="1"/>
      <c r="UQ11" s="1"/>
      <c r="UR11" s="2">
        <v>0</v>
      </c>
      <c r="US11" s="54">
        <v>100</v>
      </c>
      <c r="UT11" s="1"/>
      <c r="UU11" s="1"/>
      <c r="UV11" s="1"/>
      <c r="UW11" s="1"/>
      <c r="UX11" s="1"/>
      <c r="UY11" s="1"/>
      <c r="UZ11" s="54" t="s">
        <v>268</v>
      </c>
      <c r="VA11" s="1"/>
      <c r="VB11" s="55" t="s">
        <v>268</v>
      </c>
      <c r="VC11" s="1"/>
      <c r="VD11" s="1"/>
      <c r="VE11" s="2"/>
      <c r="VF11" s="54" t="s">
        <v>268</v>
      </c>
      <c r="VG11" s="54">
        <v>82.5</v>
      </c>
      <c r="VH11" s="54" t="s">
        <v>268</v>
      </c>
      <c r="VI11" s="55">
        <v>82.5</v>
      </c>
      <c r="VJ11" s="56">
        <v>5</v>
      </c>
      <c r="VK11" s="54" t="s">
        <v>268</v>
      </c>
      <c r="VL11" s="1"/>
      <c r="VM11" s="57">
        <v>0</v>
      </c>
      <c r="VN11" s="58">
        <v>100</v>
      </c>
      <c r="VO11" s="4">
        <v>1072909</v>
      </c>
      <c r="VP11" s="39">
        <v>132</v>
      </c>
      <c r="VQ11" s="39">
        <v>34</v>
      </c>
      <c r="VR11" s="1"/>
      <c r="VS11" s="1">
        <v>65</v>
      </c>
      <c r="VT11" s="1">
        <v>65</v>
      </c>
      <c r="VU11" s="1">
        <v>70</v>
      </c>
      <c r="VV11" s="1"/>
      <c r="VW11" s="1"/>
      <c r="VX11" s="1"/>
      <c r="VY11" s="54">
        <v>66.666666666666671</v>
      </c>
      <c r="VZ11" s="1"/>
      <c r="WA11" s="55">
        <v>66.666666666666671</v>
      </c>
      <c r="WB11" s="1"/>
      <c r="WC11" s="1"/>
      <c r="WD11" s="2">
        <v>0</v>
      </c>
      <c r="WE11" s="54">
        <v>100</v>
      </c>
      <c r="WF11" s="1"/>
      <c r="WG11" s="1"/>
      <c r="WH11" s="1"/>
      <c r="WI11" s="1"/>
      <c r="WJ11" s="1"/>
      <c r="WK11" s="1"/>
      <c r="WL11" s="54" t="s">
        <v>268</v>
      </c>
      <c r="WM11" s="1"/>
      <c r="WN11" s="55" t="s">
        <v>268</v>
      </c>
      <c r="WO11" s="1"/>
      <c r="WP11" s="1"/>
      <c r="WQ11" s="2"/>
      <c r="WR11" s="54" t="s">
        <v>268</v>
      </c>
      <c r="WS11" s="54">
        <v>66.666666666666671</v>
      </c>
      <c r="WT11" s="54" t="s">
        <v>268</v>
      </c>
      <c r="WU11" s="55">
        <v>66.666666666666671</v>
      </c>
      <c r="WV11" s="56">
        <v>4</v>
      </c>
      <c r="WW11" s="54" t="s">
        <v>268</v>
      </c>
      <c r="WX11" s="1"/>
      <c r="WY11" s="57">
        <v>0</v>
      </c>
      <c r="WZ11" s="58">
        <v>100</v>
      </c>
      <c r="XA11" s="4">
        <v>1072909</v>
      </c>
      <c r="XB11" s="39">
        <v>133</v>
      </c>
      <c r="XC11" s="39">
        <v>34</v>
      </c>
      <c r="XD11" s="1"/>
      <c r="XE11" s="1">
        <v>70</v>
      </c>
      <c r="XF11" s="1">
        <v>65</v>
      </c>
      <c r="XG11" s="1">
        <v>69</v>
      </c>
      <c r="XH11" s="1"/>
      <c r="XI11" s="1"/>
      <c r="XJ11" s="1"/>
      <c r="XK11" s="54">
        <v>68</v>
      </c>
      <c r="XL11" s="1"/>
      <c r="XM11" s="55">
        <v>68</v>
      </c>
      <c r="XN11" s="1"/>
      <c r="XO11" s="1"/>
      <c r="XP11" s="2">
        <v>0</v>
      </c>
      <c r="XQ11" s="54">
        <v>100</v>
      </c>
      <c r="XR11" s="1"/>
      <c r="XS11" s="1"/>
      <c r="XT11" s="1"/>
      <c r="XU11" s="1"/>
      <c r="XV11" s="1"/>
      <c r="XW11" s="1"/>
      <c r="XX11" s="54" t="s">
        <v>268</v>
      </c>
      <c r="XY11" s="1"/>
      <c r="XZ11" s="55" t="s">
        <v>268</v>
      </c>
      <c r="YA11" s="1"/>
      <c r="YB11" s="1"/>
      <c r="YC11" s="2"/>
      <c r="YD11" s="54" t="s">
        <v>268</v>
      </c>
      <c r="YE11" s="54">
        <v>68</v>
      </c>
      <c r="YF11" s="54" t="s">
        <v>268</v>
      </c>
      <c r="YG11" s="55">
        <v>68</v>
      </c>
      <c r="YH11" s="56">
        <v>4</v>
      </c>
      <c r="YI11" s="54" t="s">
        <v>268</v>
      </c>
      <c r="YJ11" s="1"/>
      <c r="YK11" s="57">
        <v>0</v>
      </c>
      <c r="YL11" s="58">
        <v>100</v>
      </c>
      <c r="YM11" s="4">
        <v>1072909</v>
      </c>
      <c r="YN11" s="39">
        <v>135</v>
      </c>
      <c r="YO11" s="39">
        <v>34</v>
      </c>
      <c r="YP11" s="1"/>
      <c r="YQ11" s="1">
        <v>75</v>
      </c>
      <c r="YR11" s="1">
        <v>65</v>
      </c>
      <c r="YS11" s="1">
        <v>65</v>
      </c>
      <c r="YT11" s="1"/>
      <c r="YU11" s="1"/>
      <c r="YV11" s="1"/>
      <c r="YW11" s="54">
        <v>68.333333333333329</v>
      </c>
      <c r="YX11" s="1"/>
      <c r="YY11" s="55">
        <v>68.333333333333329</v>
      </c>
      <c r="YZ11" s="1"/>
      <c r="ZA11" s="1"/>
      <c r="ZB11" s="2">
        <v>0</v>
      </c>
      <c r="ZC11" s="54">
        <v>100</v>
      </c>
      <c r="ZD11" s="1"/>
      <c r="ZE11" s="1"/>
      <c r="ZF11" s="1"/>
      <c r="ZG11" s="1"/>
      <c r="ZH11" s="1"/>
      <c r="ZI11" s="1"/>
      <c r="ZJ11" s="54" t="s">
        <v>268</v>
      </c>
      <c r="ZK11" s="1"/>
      <c r="ZL11" s="55" t="s">
        <v>268</v>
      </c>
      <c r="ZM11" s="1"/>
      <c r="ZN11" s="1"/>
      <c r="ZO11" s="2"/>
      <c r="ZP11" s="54" t="s">
        <v>268</v>
      </c>
      <c r="ZQ11" s="54">
        <v>68.333333333333329</v>
      </c>
      <c r="ZR11" s="54" t="s">
        <v>268</v>
      </c>
      <c r="ZS11" s="55">
        <v>68.333333333333329</v>
      </c>
      <c r="ZT11" s="56">
        <v>4</v>
      </c>
      <c r="ZU11" s="54" t="s">
        <v>268</v>
      </c>
      <c r="ZV11" s="1"/>
      <c r="ZW11" s="57">
        <v>0</v>
      </c>
      <c r="ZX11" s="58">
        <v>100</v>
      </c>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2" customHeight="1" x14ac:dyDescent="0.2">
      <c r="A12" s="88" t="str">
        <f t="shared" si="397"/>
        <v>2023-2024</v>
      </c>
      <c r="B12" s="88" t="str">
        <f t="shared" si="398"/>
        <v>Bakı</v>
      </c>
      <c r="C12" s="88" t="str">
        <f t="shared" si="399"/>
        <v>Binəqədi</v>
      </c>
      <c r="D12" s="88">
        <f t="shared" si="400"/>
        <v>99</v>
      </c>
      <c r="E12" s="40">
        <v>3984207</v>
      </c>
      <c r="F12" s="88">
        <f t="shared" si="401"/>
        <v>2</v>
      </c>
      <c r="G12" s="88" t="str">
        <f t="shared" si="402"/>
        <v>C</v>
      </c>
      <c r="H12" s="36" t="s">
        <v>158</v>
      </c>
      <c r="I12" s="37" t="s">
        <v>159</v>
      </c>
      <c r="J12" s="41" t="s">
        <v>160</v>
      </c>
      <c r="K12" s="89" t="str">
        <f t="shared" si="403"/>
        <v>A</v>
      </c>
      <c r="L12" s="41" t="s">
        <v>117</v>
      </c>
      <c r="M12" s="41" t="s">
        <v>224</v>
      </c>
      <c r="N12" s="41"/>
      <c r="O12" s="43" t="s">
        <v>225</v>
      </c>
      <c r="P12" s="90" t="str">
        <f t="shared" si="404"/>
        <v>Süleymanova Aybəniz</v>
      </c>
      <c r="Q12" s="4">
        <v>1072909</v>
      </c>
      <c r="R12" s="39">
        <v>101</v>
      </c>
      <c r="S12" s="39">
        <v>308</v>
      </c>
      <c r="T12" s="1"/>
      <c r="U12" s="1">
        <v>90</v>
      </c>
      <c r="V12" s="1">
        <v>88</v>
      </c>
      <c r="W12" s="1">
        <v>97</v>
      </c>
      <c r="X12" s="1"/>
      <c r="Y12" s="1"/>
      <c r="Z12" s="1"/>
      <c r="AA12" s="54">
        <v>91.666666666666671</v>
      </c>
      <c r="AB12" s="1"/>
      <c r="AC12" s="55">
        <v>91.666666666666671</v>
      </c>
      <c r="AD12" s="1"/>
      <c r="AE12" s="1"/>
      <c r="AF12" s="2">
        <v>23</v>
      </c>
      <c r="AG12" s="54">
        <v>85.064935064935071</v>
      </c>
      <c r="AH12" s="1"/>
      <c r="AI12" s="1"/>
      <c r="AJ12" s="1"/>
      <c r="AK12" s="1"/>
      <c r="AL12" s="1"/>
      <c r="AM12" s="1"/>
      <c r="AN12" s="54" t="s">
        <v>268</v>
      </c>
      <c r="AO12" s="1"/>
      <c r="AP12" s="55" t="s">
        <v>268</v>
      </c>
      <c r="AQ12" s="1"/>
      <c r="AR12" s="1"/>
      <c r="AS12" s="2"/>
      <c r="AT12" s="54" t="s">
        <v>268</v>
      </c>
      <c r="AU12" s="54">
        <v>91.666666666666671</v>
      </c>
      <c r="AV12" s="54" t="s">
        <v>268</v>
      </c>
      <c r="AW12" s="55">
        <v>91.666666666666671</v>
      </c>
      <c r="AX12" s="56">
        <v>5</v>
      </c>
      <c r="AY12" s="54" t="s">
        <v>268</v>
      </c>
      <c r="AZ12" s="1"/>
      <c r="BA12" s="57">
        <v>23</v>
      </c>
      <c r="BB12" s="58">
        <v>92.532467532467535</v>
      </c>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v>1273950</v>
      </c>
      <c r="EB12" s="39">
        <v>106</v>
      </c>
      <c r="EC12" s="39">
        <v>17</v>
      </c>
      <c r="ED12" s="1"/>
      <c r="EE12" s="1">
        <v>100</v>
      </c>
      <c r="EF12" s="1">
        <v>100</v>
      </c>
      <c r="EG12" s="1">
        <v>95</v>
      </c>
      <c r="EH12" s="1"/>
      <c r="EI12" s="1"/>
      <c r="EJ12" s="1"/>
      <c r="EK12" s="54">
        <v>98.333333333333329</v>
      </c>
      <c r="EL12" s="1"/>
      <c r="EM12" s="55">
        <v>98.333333333333329</v>
      </c>
      <c r="EN12" s="1"/>
      <c r="EO12" s="1"/>
      <c r="EP12" s="2">
        <v>3</v>
      </c>
      <c r="EQ12" s="54">
        <v>64.705882352941174</v>
      </c>
      <c r="ER12" s="1"/>
      <c r="ES12" s="1"/>
      <c r="ET12" s="1"/>
      <c r="EU12" s="1"/>
      <c r="EV12" s="1"/>
      <c r="EW12" s="1"/>
      <c r="EX12" s="54" t="s">
        <v>268</v>
      </c>
      <c r="EY12" s="1"/>
      <c r="EZ12" s="55" t="s">
        <v>268</v>
      </c>
      <c r="FA12" s="1"/>
      <c r="FB12" s="1"/>
      <c r="FC12" s="2"/>
      <c r="FD12" s="54" t="s">
        <v>268</v>
      </c>
      <c r="FE12" s="54">
        <v>98.333333333333329</v>
      </c>
      <c r="FF12" s="54" t="s">
        <v>268</v>
      </c>
      <c r="FG12" s="55">
        <v>98.333333333333329</v>
      </c>
      <c r="FH12" s="56">
        <v>5</v>
      </c>
      <c r="FI12" s="54" t="s">
        <v>268</v>
      </c>
      <c r="FJ12" s="1"/>
      <c r="FK12" s="57">
        <v>3</v>
      </c>
      <c r="FL12" s="58">
        <v>82.352941176470594</v>
      </c>
      <c r="FM12" s="4">
        <v>1072909</v>
      </c>
      <c r="FN12" s="39">
        <v>110</v>
      </c>
      <c r="FO12" s="39">
        <v>171</v>
      </c>
      <c r="FP12" s="1"/>
      <c r="FQ12" s="1">
        <v>94</v>
      </c>
      <c r="FR12" s="1">
        <v>86</v>
      </c>
      <c r="FS12" s="1">
        <v>82</v>
      </c>
      <c r="FT12" s="1"/>
      <c r="FU12" s="1"/>
      <c r="FV12" s="1"/>
      <c r="FW12" s="54">
        <v>87.333333333333329</v>
      </c>
      <c r="FX12" s="1"/>
      <c r="FY12" s="55">
        <v>87.333333333333329</v>
      </c>
      <c r="FZ12" s="1"/>
      <c r="GA12" s="1"/>
      <c r="GB12" s="2">
        <v>13</v>
      </c>
      <c r="GC12" s="54">
        <v>84.795321637426895</v>
      </c>
      <c r="GD12" s="1"/>
      <c r="GE12" s="1"/>
      <c r="GF12" s="1"/>
      <c r="GG12" s="1"/>
      <c r="GH12" s="1"/>
      <c r="GI12" s="1"/>
      <c r="GJ12" s="54" t="s">
        <v>268</v>
      </c>
      <c r="GK12" s="1"/>
      <c r="GL12" s="55" t="s">
        <v>268</v>
      </c>
      <c r="GM12" s="1"/>
      <c r="GN12" s="1"/>
      <c r="GO12" s="2"/>
      <c r="GP12" s="54" t="s">
        <v>268</v>
      </c>
      <c r="GQ12" s="54">
        <v>87.333333333333329</v>
      </c>
      <c r="GR12" s="54" t="s">
        <v>268</v>
      </c>
      <c r="GS12" s="55">
        <v>87.333333333333329</v>
      </c>
      <c r="GT12" s="56">
        <v>5</v>
      </c>
      <c r="GU12" s="54" t="s">
        <v>268</v>
      </c>
      <c r="GV12" s="1"/>
      <c r="GW12" s="57">
        <v>13</v>
      </c>
      <c r="GX12" s="58">
        <v>92.397660818713447</v>
      </c>
      <c r="GY12" s="4">
        <v>1199044</v>
      </c>
      <c r="GZ12" s="39">
        <v>114</v>
      </c>
      <c r="HA12" s="39">
        <v>17</v>
      </c>
      <c r="HB12" s="1"/>
      <c r="HC12" s="1">
        <v>90</v>
      </c>
      <c r="HD12" s="1">
        <v>70</v>
      </c>
      <c r="HE12" s="1"/>
      <c r="HF12" s="1"/>
      <c r="HG12" s="1"/>
      <c r="HH12" s="1"/>
      <c r="HI12" s="54">
        <v>80</v>
      </c>
      <c r="HJ12" s="1"/>
      <c r="HK12" s="55">
        <v>80</v>
      </c>
      <c r="HL12" s="1"/>
      <c r="HM12" s="1"/>
      <c r="HN12" s="2">
        <v>3</v>
      </c>
      <c r="HO12" s="54">
        <v>64.705882352941174</v>
      </c>
      <c r="HP12" s="1"/>
      <c r="HQ12" s="1"/>
      <c r="HR12" s="1"/>
      <c r="HS12" s="1"/>
      <c r="HT12" s="1"/>
      <c r="HU12" s="1"/>
      <c r="HV12" s="54" t="s">
        <v>268</v>
      </c>
      <c r="HW12" s="1"/>
      <c r="HX12" s="55" t="s">
        <v>268</v>
      </c>
      <c r="HY12" s="1"/>
      <c r="HZ12" s="1"/>
      <c r="IA12" s="2"/>
      <c r="IB12" s="54" t="s">
        <v>268</v>
      </c>
      <c r="IC12" s="54">
        <v>80</v>
      </c>
      <c r="ID12" s="54" t="s">
        <v>268</v>
      </c>
      <c r="IE12" s="55">
        <v>80</v>
      </c>
      <c r="IF12" s="56">
        <v>4</v>
      </c>
      <c r="IG12" s="54" t="s">
        <v>268</v>
      </c>
      <c r="IH12" s="1"/>
      <c r="II12" s="57">
        <v>3</v>
      </c>
      <c r="IJ12" s="58">
        <v>82.352941176470594</v>
      </c>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v>1072909</v>
      </c>
      <c r="PT12" s="39">
        <v>128</v>
      </c>
      <c r="PU12" s="39">
        <v>34</v>
      </c>
      <c r="PV12" s="1"/>
      <c r="PW12" s="1">
        <v>85</v>
      </c>
      <c r="PX12" s="1">
        <v>83</v>
      </c>
      <c r="PY12" s="1"/>
      <c r="PZ12" s="1"/>
      <c r="QA12" s="1"/>
      <c r="QB12" s="1"/>
      <c r="QC12" s="54">
        <v>84</v>
      </c>
      <c r="QD12" s="1"/>
      <c r="QE12" s="55">
        <v>84</v>
      </c>
      <c r="QF12" s="1"/>
      <c r="QG12" s="1"/>
      <c r="QH12" s="2">
        <v>3</v>
      </c>
      <c r="QI12" s="54">
        <v>82.352941176470594</v>
      </c>
      <c r="QJ12" s="1"/>
      <c r="QK12" s="1"/>
      <c r="QL12" s="1"/>
      <c r="QM12" s="1"/>
      <c r="QN12" s="1"/>
      <c r="QO12" s="1"/>
      <c r="QP12" s="54" t="s">
        <v>268</v>
      </c>
      <c r="QQ12" s="1"/>
      <c r="QR12" s="55" t="s">
        <v>268</v>
      </c>
      <c r="QS12" s="1"/>
      <c r="QT12" s="1"/>
      <c r="QU12" s="2"/>
      <c r="QV12" s="54" t="s">
        <v>268</v>
      </c>
      <c r="QW12" s="54">
        <v>84</v>
      </c>
      <c r="QX12" s="54" t="s">
        <v>268</v>
      </c>
      <c r="QY12" s="55">
        <v>84</v>
      </c>
      <c r="QZ12" s="56">
        <v>5</v>
      </c>
      <c r="RA12" s="54" t="s">
        <v>268</v>
      </c>
      <c r="RB12" s="1"/>
      <c r="RC12" s="57">
        <v>3</v>
      </c>
      <c r="RD12" s="58">
        <v>91.17647058823529</v>
      </c>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v>1072909</v>
      </c>
      <c r="UD12" s="39">
        <v>131</v>
      </c>
      <c r="UE12" s="39">
        <v>68</v>
      </c>
      <c r="UF12" s="1"/>
      <c r="UG12" s="1">
        <v>90</v>
      </c>
      <c r="UH12" s="1">
        <v>85</v>
      </c>
      <c r="UI12" s="1">
        <v>95</v>
      </c>
      <c r="UJ12" s="1">
        <v>90</v>
      </c>
      <c r="UK12" s="1"/>
      <c r="UL12" s="1"/>
      <c r="UM12" s="54">
        <v>90</v>
      </c>
      <c r="UN12" s="1"/>
      <c r="UO12" s="55">
        <v>90</v>
      </c>
      <c r="UP12" s="1"/>
      <c r="UQ12" s="1"/>
      <c r="UR12" s="2">
        <v>4</v>
      </c>
      <c r="US12" s="54">
        <v>88.235294117647058</v>
      </c>
      <c r="UT12" s="1"/>
      <c r="UU12" s="1"/>
      <c r="UV12" s="1"/>
      <c r="UW12" s="1"/>
      <c r="UX12" s="1"/>
      <c r="UY12" s="1"/>
      <c r="UZ12" s="54" t="s">
        <v>268</v>
      </c>
      <c r="VA12" s="1"/>
      <c r="VB12" s="55" t="s">
        <v>268</v>
      </c>
      <c r="VC12" s="1"/>
      <c r="VD12" s="1"/>
      <c r="VE12" s="2"/>
      <c r="VF12" s="54" t="s">
        <v>268</v>
      </c>
      <c r="VG12" s="54">
        <v>90</v>
      </c>
      <c r="VH12" s="54" t="s">
        <v>268</v>
      </c>
      <c r="VI12" s="55">
        <v>90</v>
      </c>
      <c r="VJ12" s="56">
        <v>5</v>
      </c>
      <c r="VK12" s="54" t="s">
        <v>268</v>
      </c>
      <c r="VL12" s="1"/>
      <c r="VM12" s="57">
        <v>4</v>
      </c>
      <c r="VN12" s="58">
        <v>94.117647058823536</v>
      </c>
      <c r="VO12" s="4">
        <v>1072909</v>
      </c>
      <c r="VP12" s="39">
        <v>132</v>
      </c>
      <c r="VQ12" s="39">
        <v>34</v>
      </c>
      <c r="VR12" s="1"/>
      <c r="VS12" s="1">
        <v>95</v>
      </c>
      <c r="VT12" s="1">
        <v>65</v>
      </c>
      <c r="VU12" s="1"/>
      <c r="VV12" s="1"/>
      <c r="VW12" s="1"/>
      <c r="VX12" s="1"/>
      <c r="VY12" s="54">
        <v>80</v>
      </c>
      <c r="VZ12" s="1"/>
      <c r="WA12" s="55">
        <v>80</v>
      </c>
      <c r="WB12" s="1"/>
      <c r="WC12" s="1"/>
      <c r="WD12" s="2">
        <v>2</v>
      </c>
      <c r="WE12" s="54">
        <v>88.235294117647058</v>
      </c>
      <c r="WF12" s="1"/>
      <c r="WG12" s="1"/>
      <c r="WH12" s="1"/>
      <c r="WI12" s="1"/>
      <c r="WJ12" s="1"/>
      <c r="WK12" s="1"/>
      <c r="WL12" s="54" t="s">
        <v>268</v>
      </c>
      <c r="WM12" s="1"/>
      <c r="WN12" s="55" t="s">
        <v>268</v>
      </c>
      <c r="WO12" s="1"/>
      <c r="WP12" s="1"/>
      <c r="WQ12" s="2"/>
      <c r="WR12" s="54" t="s">
        <v>268</v>
      </c>
      <c r="WS12" s="54">
        <v>80</v>
      </c>
      <c r="WT12" s="54" t="s">
        <v>268</v>
      </c>
      <c r="WU12" s="55">
        <v>80</v>
      </c>
      <c r="WV12" s="56">
        <v>4</v>
      </c>
      <c r="WW12" s="54" t="s">
        <v>268</v>
      </c>
      <c r="WX12" s="1"/>
      <c r="WY12" s="57">
        <v>2</v>
      </c>
      <c r="WZ12" s="58">
        <v>94.117647058823536</v>
      </c>
      <c r="XA12" s="4">
        <v>1072909</v>
      </c>
      <c r="XB12" s="39">
        <v>133</v>
      </c>
      <c r="XC12" s="39">
        <v>34</v>
      </c>
      <c r="XD12" s="1"/>
      <c r="XE12" s="1">
        <v>85</v>
      </c>
      <c r="XF12" s="1">
        <v>80</v>
      </c>
      <c r="XG12" s="1"/>
      <c r="XH12" s="1"/>
      <c r="XI12" s="1"/>
      <c r="XJ12" s="1"/>
      <c r="XK12" s="54">
        <v>82.5</v>
      </c>
      <c r="XL12" s="1"/>
      <c r="XM12" s="55">
        <v>82.5</v>
      </c>
      <c r="XN12" s="1"/>
      <c r="XO12" s="1"/>
      <c r="XP12" s="2">
        <v>3</v>
      </c>
      <c r="XQ12" s="54">
        <v>82.352941176470594</v>
      </c>
      <c r="XR12" s="1"/>
      <c r="XS12" s="1"/>
      <c r="XT12" s="1"/>
      <c r="XU12" s="1"/>
      <c r="XV12" s="1"/>
      <c r="XW12" s="1"/>
      <c r="XX12" s="54" t="s">
        <v>268</v>
      </c>
      <c r="XY12" s="1"/>
      <c r="XZ12" s="55" t="s">
        <v>268</v>
      </c>
      <c r="YA12" s="1"/>
      <c r="YB12" s="1"/>
      <c r="YC12" s="2"/>
      <c r="YD12" s="54" t="s">
        <v>268</v>
      </c>
      <c r="YE12" s="54">
        <v>82.5</v>
      </c>
      <c r="YF12" s="54" t="s">
        <v>268</v>
      </c>
      <c r="YG12" s="55">
        <v>82.5</v>
      </c>
      <c r="YH12" s="56">
        <v>5</v>
      </c>
      <c r="YI12" s="54" t="s">
        <v>268</v>
      </c>
      <c r="YJ12" s="1"/>
      <c r="YK12" s="57">
        <v>3</v>
      </c>
      <c r="YL12" s="58">
        <v>91.17647058823529</v>
      </c>
      <c r="YM12" s="4">
        <v>1072909</v>
      </c>
      <c r="YN12" s="39">
        <v>135</v>
      </c>
      <c r="YO12" s="39">
        <v>34</v>
      </c>
      <c r="YP12" s="1"/>
      <c r="YQ12" s="1">
        <v>95</v>
      </c>
      <c r="YR12" s="1">
        <v>85</v>
      </c>
      <c r="YS12" s="1"/>
      <c r="YT12" s="1"/>
      <c r="YU12" s="1"/>
      <c r="YV12" s="1"/>
      <c r="YW12" s="54">
        <v>90</v>
      </c>
      <c r="YX12" s="1"/>
      <c r="YY12" s="55">
        <v>90</v>
      </c>
      <c r="YZ12" s="1"/>
      <c r="ZA12" s="1"/>
      <c r="ZB12" s="2">
        <v>3</v>
      </c>
      <c r="ZC12" s="54">
        <v>82.352941176470594</v>
      </c>
      <c r="ZD12" s="1"/>
      <c r="ZE12" s="1"/>
      <c r="ZF12" s="1"/>
      <c r="ZG12" s="1"/>
      <c r="ZH12" s="1"/>
      <c r="ZI12" s="1"/>
      <c r="ZJ12" s="54" t="s">
        <v>268</v>
      </c>
      <c r="ZK12" s="1"/>
      <c r="ZL12" s="55" t="s">
        <v>268</v>
      </c>
      <c r="ZM12" s="1"/>
      <c r="ZN12" s="1"/>
      <c r="ZO12" s="2"/>
      <c r="ZP12" s="54" t="s">
        <v>268</v>
      </c>
      <c r="ZQ12" s="54">
        <v>90</v>
      </c>
      <c r="ZR12" s="54" t="s">
        <v>268</v>
      </c>
      <c r="ZS12" s="55">
        <v>90</v>
      </c>
      <c r="ZT12" s="56">
        <v>5</v>
      </c>
      <c r="ZU12" s="54" t="s">
        <v>268</v>
      </c>
      <c r="ZV12" s="1"/>
      <c r="ZW12" s="57">
        <v>3</v>
      </c>
      <c r="ZX12" s="58">
        <v>91.17647058823529</v>
      </c>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2" customHeight="1" x14ac:dyDescent="0.2">
      <c r="A13" s="88" t="str">
        <f t="shared" si="397"/>
        <v>2023-2024</v>
      </c>
      <c r="B13" s="88" t="str">
        <f t="shared" si="398"/>
        <v>Bakı</v>
      </c>
      <c r="C13" s="88" t="str">
        <f t="shared" si="399"/>
        <v>Binəqədi</v>
      </c>
      <c r="D13" s="88">
        <f t="shared" si="400"/>
        <v>99</v>
      </c>
      <c r="E13" s="40">
        <v>3984242</v>
      </c>
      <c r="F13" s="88">
        <f t="shared" si="401"/>
        <v>2</v>
      </c>
      <c r="G13" s="88" t="str">
        <f t="shared" si="402"/>
        <v>C</v>
      </c>
      <c r="H13" s="36" t="s">
        <v>161</v>
      </c>
      <c r="I13" s="37" t="s">
        <v>162</v>
      </c>
      <c r="J13" s="41" t="s">
        <v>163</v>
      </c>
      <c r="K13" s="89" t="str">
        <f t="shared" si="403"/>
        <v>A</v>
      </c>
      <c r="L13" s="41" t="s">
        <v>117</v>
      </c>
      <c r="M13" s="41" t="s">
        <v>226</v>
      </c>
      <c r="N13" s="41"/>
      <c r="O13" s="43" t="s">
        <v>227</v>
      </c>
      <c r="P13" s="90" t="str">
        <f t="shared" si="404"/>
        <v>Süleymanova Aybəniz</v>
      </c>
      <c r="Q13" s="4">
        <v>1072909</v>
      </c>
      <c r="R13" s="39">
        <v>101</v>
      </c>
      <c r="S13" s="39">
        <v>308</v>
      </c>
      <c r="T13" s="1"/>
      <c r="U13" s="1">
        <v>37</v>
      </c>
      <c r="V13" s="1">
        <v>32</v>
      </c>
      <c r="W13" s="1">
        <v>59</v>
      </c>
      <c r="X13" s="1">
        <v>48</v>
      </c>
      <c r="Y13" s="1"/>
      <c r="Z13" s="1"/>
      <c r="AA13" s="54">
        <v>44</v>
      </c>
      <c r="AB13" s="1"/>
      <c r="AC13" s="55">
        <v>44</v>
      </c>
      <c r="AD13" s="1"/>
      <c r="AE13" s="1"/>
      <c r="AF13" s="2">
        <v>0</v>
      </c>
      <c r="AG13" s="54">
        <v>100</v>
      </c>
      <c r="AH13" s="1"/>
      <c r="AI13" s="1"/>
      <c r="AJ13" s="1"/>
      <c r="AK13" s="1"/>
      <c r="AL13" s="1"/>
      <c r="AM13" s="1"/>
      <c r="AN13" s="54" t="s">
        <v>268</v>
      </c>
      <c r="AO13" s="1"/>
      <c r="AP13" s="55" t="s">
        <v>268</v>
      </c>
      <c r="AQ13" s="1"/>
      <c r="AR13" s="1"/>
      <c r="AS13" s="2"/>
      <c r="AT13" s="54" t="s">
        <v>268</v>
      </c>
      <c r="AU13" s="54">
        <v>44</v>
      </c>
      <c r="AV13" s="54" t="s">
        <v>268</v>
      </c>
      <c r="AW13" s="55">
        <v>44</v>
      </c>
      <c r="AX13" s="56">
        <v>3</v>
      </c>
      <c r="AY13" s="54" t="s">
        <v>268</v>
      </c>
      <c r="AZ13" s="1"/>
      <c r="BA13" s="57">
        <v>0</v>
      </c>
      <c r="BB13" s="58">
        <v>100</v>
      </c>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v>1273950</v>
      </c>
      <c r="EB13" s="39">
        <v>106</v>
      </c>
      <c r="EC13" s="39">
        <v>17</v>
      </c>
      <c r="ED13" s="1"/>
      <c r="EE13" s="1">
        <v>80</v>
      </c>
      <c r="EF13" s="1">
        <v>55</v>
      </c>
      <c r="EG13" s="1">
        <v>85</v>
      </c>
      <c r="EH13" s="1"/>
      <c r="EI13" s="1"/>
      <c r="EJ13" s="1"/>
      <c r="EK13" s="54">
        <v>73.333333333333329</v>
      </c>
      <c r="EL13" s="1"/>
      <c r="EM13" s="55">
        <v>73.333333333333329</v>
      </c>
      <c r="EN13" s="1"/>
      <c r="EO13" s="1"/>
      <c r="EP13" s="2">
        <v>0</v>
      </c>
      <c r="EQ13" s="54">
        <v>100</v>
      </c>
      <c r="ER13" s="1"/>
      <c r="ES13" s="1"/>
      <c r="ET13" s="1"/>
      <c r="EU13" s="1"/>
      <c r="EV13" s="1"/>
      <c r="EW13" s="1"/>
      <c r="EX13" s="54" t="s">
        <v>268</v>
      </c>
      <c r="EY13" s="1"/>
      <c r="EZ13" s="55" t="s">
        <v>268</v>
      </c>
      <c r="FA13" s="1"/>
      <c r="FB13" s="1"/>
      <c r="FC13" s="2"/>
      <c r="FD13" s="54" t="s">
        <v>268</v>
      </c>
      <c r="FE13" s="54">
        <v>73.333333333333329</v>
      </c>
      <c r="FF13" s="54" t="s">
        <v>268</v>
      </c>
      <c r="FG13" s="55">
        <v>73.333333333333329</v>
      </c>
      <c r="FH13" s="56">
        <v>4</v>
      </c>
      <c r="FI13" s="54" t="s">
        <v>268</v>
      </c>
      <c r="FJ13" s="1"/>
      <c r="FK13" s="57">
        <v>0</v>
      </c>
      <c r="FL13" s="58">
        <v>100</v>
      </c>
      <c r="FM13" s="4">
        <v>1072909</v>
      </c>
      <c r="FN13" s="39">
        <v>110</v>
      </c>
      <c r="FO13" s="39">
        <v>171</v>
      </c>
      <c r="FP13" s="1"/>
      <c r="FQ13" s="1">
        <v>45</v>
      </c>
      <c r="FR13" s="1">
        <v>40</v>
      </c>
      <c r="FS13" s="1">
        <v>54</v>
      </c>
      <c r="FT13" s="1">
        <v>46</v>
      </c>
      <c r="FU13" s="1"/>
      <c r="FV13" s="1"/>
      <c r="FW13" s="54">
        <v>46.25</v>
      </c>
      <c r="FX13" s="1"/>
      <c r="FY13" s="55">
        <v>46.25</v>
      </c>
      <c r="FZ13" s="1"/>
      <c r="GA13" s="1"/>
      <c r="GB13" s="2">
        <v>0</v>
      </c>
      <c r="GC13" s="54">
        <v>100</v>
      </c>
      <c r="GD13" s="1"/>
      <c r="GE13" s="1"/>
      <c r="GF13" s="1"/>
      <c r="GG13" s="1"/>
      <c r="GH13" s="1"/>
      <c r="GI13" s="1"/>
      <c r="GJ13" s="54" t="s">
        <v>268</v>
      </c>
      <c r="GK13" s="1"/>
      <c r="GL13" s="55" t="s">
        <v>268</v>
      </c>
      <c r="GM13" s="1"/>
      <c r="GN13" s="1"/>
      <c r="GO13" s="2"/>
      <c r="GP13" s="54" t="s">
        <v>268</v>
      </c>
      <c r="GQ13" s="54">
        <v>46.25</v>
      </c>
      <c r="GR13" s="54" t="s">
        <v>268</v>
      </c>
      <c r="GS13" s="55">
        <v>46.25</v>
      </c>
      <c r="GT13" s="56">
        <v>3</v>
      </c>
      <c r="GU13" s="54" t="s">
        <v>268</v>
      </c>
      <c r="GV13" s="1"/>
      <c r="GW13" s="57">
        <v>0</v>
      </c>
      <c r="GX13" s="58">
        <v>100</v>
      </c>
      <c r="GY13" s="4">
        <v>1199044</v>
      </c>
      <c r="GZ13" s="39">
        <v>114</v>
      </c>
      <c r="HA13" s="39">
        <v>17</v>
      </c>
      <c r="HB13" s="1"/>
      <c r="HC13" s="1">
        <v>90</v>
      </c>
      <c r="HD13" s="1">
        <v>70</v>
      </c>
      <c r="HE13" s="1">
        <v>60</v>
      </c>
      <c r="HF13" s="1"/>
      <c r="HG13" s="1"/>
      <c r="HH13" s="1"/>
      <c r="HI13" s="54">
        <v>73.333333333333329</v>
      </c>
      <c r="HJ13" s="1"/>
      <c r="HK13" s="55">
        <v>73.333333333333329</v>
      </c>
      <c r="HL13" s="1"/>
      <c r="HM13" s="1"/>
      <c r="HN13" s="2">
        <v>0</v>
      </c>
      <c r="HO13" s="54">
        <v>100</v>
      </c>
      <c r="HP13" s="1"/>
      <c r="HQ13" s="1"/>
      <c r="HR13" s="1"/>
      <c r="HS13" s="1"/>
      <c r="HT13" s="1"/>
      <c r="HU13" s="1"/>
      <c r="HV13" s="54" t="s">
        <v>268</v>
      </c>
      <c r="HW13" s="1"/>
      <c r="HX13" s="55" t="s">
        <v>268</v>
      </c>
      <c r="HY13" s="1"/>
      <c r="HZ13" s="1"/>
      <c r="IA13" s="2"/>
      <c r="IB13" s="54" t="s">
        <v>268</v>
      </c>
      <c r="IC13" s="54">
        <v>73.333333333333329</v>
      </c>
      <c r="ID13" s="54" t="s">
        <v>268</v>
      </c>
      <c r="IE13" s="55">
        <v>73.333333333333329</v>
      </c>
      <c r="IF13" s="56">
        <v>4</v>
      </c>
      <c r="IG13" s="54" t="s">
        <v>268</v>
      </c>
      <c r="IH13" s="1"/>
      <c r="II13" s="57">
        <v>0</v>
      </c>
      <c r="IJ13" s="58">
        <v>100</v>
      </c>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v>1072909</v>
      </c>
      <c r="PT13" s="39">
        <v>128</v>
      </c>
      <c r="PU13" s="39">
        <v>34</v>
      </c>
      <c r="PV13" s="1"/>
      <c r="PW13" s="1">
        <v>40</v>
      </c>
      <c r="PX13" s="1">
        <v>50</v>
      </c>
      <c r="PY13" s="1">
        <v>55</v>
      </c>
      <c r="PZ13" s="1"/>
      <c r="QA13" s="1"/>
      <c r="QB13" s="1"/>
      <c r="QC13" s="54">
        <v>48.333333333333336</v>
      </c>
      <c r="QD13" s="1"/>
      <c r="QE13" s="55">
        <v>48.333333333333336</v>
      </c>
      <c r="QF13" s="1"/>
      <c r="QG13" s="1"/>
      <c r="QH13" s="2">
        <v>0</v>
      </c>
      <c r="QI13" s="54">
        <v>100</v>
      </c>
      <c r="QJ13" s="1"/>
      <c r="QK13" s="1"/>
      <c r="QL13" s="1"/>
      <c r="QM13" s="1"/>
      <c r="QN13" s="1"/>
      <c r="QO13" s="1"/>
      <c r="QP13" s="54" t="s">
        <v>268</v>
      </c>
      <c r="QQ13" s="1"/>
      <c r="QR13" s="55" t="s">
        <v>268</v>
      </c>
      <c r="QS13" s="1"/>
      <c r="QT13" s="1"/>
      <c r="QU13" s="2"/>
      <c r="QV13" s="54" t="s">
        <v>268</v>
      </c>
      <c r="QW13" s="54">
        <v>48.333333333333336</v>
      </c>
      <c r="QX13" s="54" t="s">
        <v>268</v>
      </c>
      <c r="QY13" s="55">
        <v>48.333333333333336</v>
      </c>
      <c r="QZ13" s="56">
        <v>3</v>
      </c>
      <c r="RA13" s="54" t="s">
        <v>268</v>
      </c>
      <c r="RB13" s="1"/>
      <c r="RC13" s="57">
        <v>0</v>
      </c>
      <c r="RD13" s="58">
        <v>100</v>
      </c>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v>1072909</v>
      </c>
      <c r="UD13" s="39">
        <v>131</v>
      </c>
      <c r="UE13" s="39">
        <v>68</v>
      </c>
      <c r="UF13" s="1"/>
      <c r="UG13" s="1">
        <v>70</v>
      </c>
      <c r="UH13" s="1">
        <v>65</v>
      </c>
      <c r="UI13" s="1">
        <v>75</v>
      </c>
      <c r="UJ13" s="1">
        <v>75</v>
      </c>
      <c r="UK13" s="1"/>
      <c r="UL13" s="1"/>
      <c r="UM13" s="54">
        <v>71.25</v>
      </c>
      <c r="UN13" s="1"/>
      <c r="UO13" s="55">
        <v>71.25</v>
      </c>
      <c r="UP13" s="1"/>
      <c r="UQ13" s="1"/>
      <c r="UR13" s="2">
        <v>0</v>
      </c>
      <c r="US13" s="54">
        <v>100</v>
      </c>
      <c r="UT13" s="1"/>
      <c r="UU13" s="1"/>
      <c r="UV13" s="1"/>
      <c r="UW13" s="1"/>
      <c r="UX13" s="1"/>
      <c r="UY13" s="1"/>
      <c r="UZ13" s="54" t="s">
        <v>268</v>
      </c>
      <c r="VA13" s="1"/>
      <c r="VB13" s="55" t="s">
        <v>268</v>
      </c>
      <c r="VC13" s="1"/>
      <c r="VD13" s="1"/>
      <c r="VE13" s="2"/>
      <c r="VF13" s="54" t="s">
        <v>268</v>
      </c>
      <c r="VG13" s="54">
        <v>71.25</v>
      </c>
      <c r="VH13" s="54" t="s">
        <v>268</v>
      </c>
      <c r="VI13" s="55">
        <v>71.25</v>
      </c>
      <c r="VJ13" s="56">
        <v>4</v>
      </c>
      <c r="VK13" s="54" t="s">
        <v>268</v>
      </c>
      <c r="VL13" s="1"/>
      <c r="VM13" s="57">
        <v>0</v>
      </c>
      <c r="VN13" s="58">
        <v>100</v>
      </c>
      <c r="VO13" s="4">
        <v>1072909</v>
      </c>
      <c r="VP13" s="39">
        <v>132</v>
      </c>
      <c r="VQ13" s="39">
        <v>34</v>
      </c>
      <c r="VR13" s="1"/>
      <c r="VS13" s="1">
        <v>65</v>
      </c>
      <c r="VT13" s="1">
        <v>45</v>
      </c>
      <c r="VU13" s="1">
        <v>70</v>
      </c>
      <c r="VV13" s="1"/>
      <c r="VW13" s="1"/>
      <c r="VX13" s="1"/>
      <c r="VY13" s="54">
        <v>60</v>
      </c>
      <c r="VZ13" s="1"/>
      <c r="WA13" s="55">
        <v>60</v>
      </c>
      <c r="WB13" s="1"/>
      <c r="WC13" s="1"/>
      <c r="WD13" s="2">
        <v>0</v>
      </c>
      <c r="WE13" s="54">
        <v>100</v>
      </c>
      <c r="WF13" s="1"/>
      <c r="WG13" s="1"/>
      <c r="WH13" s="1"/>
      <c r="WI13" s="1"/>
      <c r="WJ13" s="1"/>
      <c r="WK13" s="1"/>
      <c r="WL13" s="54" t="s">
        <v>268</v>
      </c>
      <c r="WM13" s="1"/>
      <c r="WN13" s="55" t="s">
        <v>268</v>
      </c>
      <c r="WO13" s="1"/>
      <c r="WP13" s="1"/>
      <c r="WQ13" s="2"/>
      <c r="WR13" s="54" t="s">
        <v>268</v>
      </c>
      <c r="WS13" s="54">
        <v>60</v>
      </c>
      <c r="WT13" s="54" t="s">
        <v>268</v>
      </c>
      <c r="WU13" s="55">
        <v>60</v>
      </c>
      <c r="WV13" s="56">
        <v>3</v>
      </c>
      <c r="WW13" s="54" t="s">
        <v>268</v>
      </c>
      <c r="WX13" s="1"/>
      <c r="WY13" s="57">
        <v>0</v>
      </c>
      <c r="WZ13" s="58">
        <v>100</v>
      </c>
      <c r="XA13" s="4">
        <v>1072909</v>
      </c>
      <c r="XB13" s="39">
        <v>133</v>
      </c>
      <c r="XC13" s="39">
        <v>34</v>
      </c>
      <c r="XD13" s="1"/>
      <c r="XE13" s="1">
        <v>50</v>
      </c>
      <c r="XF13" s="1">
        <v>50</v>
      </c>
      <c r="XG13" s="1">
        <v>37</v>
      </c>
      <c r="XH13" s="1"/>
      <c r="XI13" s="1"/>
      <c r="XJ13" s="1"/>
      <c r="XK13" s="54">
        <v>45.666666666666664</v>
      </c>
      <c r="XL13" s="1"/>
      <c r="XM13" s="55">
        <v>45.666666666666664</v>
      </c>
      <c r="XN13" s="1"/>
      <c r="XO13" s="1"/>
      <c r="XP13" s="2">
        <v>0</v>
      </c>
      <c r="XQ13" s="54">
        <v>100</v>
      </c>
      <c r="XR13" s="1"/>
      <c r="XS13" s="1"/>
      <c r="XT13" s="1"/>
      <c r="XU13" s="1"/>
      <c r="XV13" s="1"/>
      <c r="XW13" s="1"/>
      <c r="XX13" s="54" t="s">
        <v>268</v>
      </c>
      <c r="XY13" s="1"/>
      <c r="XZ13" s="55" t="s">
        <v>268</v>
      </c>
      <c r="YA13" s="1"/>
      <c r="YB13" s="1"/>
      <c r="YC13" s="2"/>
      <c r="YD13" s="54" t="s">
        <v>268</v>
      </c>
      <c r="YE13" s="54">
        <v>45.666666666666664</v>
      </c>
      <c r="YF13" s="54" t="s">
        <v>268</v>
      </c>
      <c r="YG13" s="55">
        <v>45.666666666666664</v>
      </c>
      <c r="YH13" s="56">
        <v>3</v>
      </c>
      <c r="YI13" s="54" t="s">
        <v>268</v>
      </c>
      <c r="YJ13" s="1"/>
      <c r="YK13" s="57">
        <v>0</v>
      </c>
      <c r="YL13" s="58">
        <v>100</v>
      </c>
      <c r="YM13" s="4">
        <v>1072909</v>
      </c>
      <c r="YN13" s="39">
        <v>135</v>
      </c>
      <c r="YO13" s="39">
        <v>34</v>
      </c>
      <c r="YP13" s="1"/>
      <c r="YQ13" s="1">
        <v>55</v>
      </c>
      <c r="YR13" s="1">
        <v>65</v>
      </c>
      <c r="YS13" s="1">
        <v>52</v>
      </c>
      <c r="YT13" s="1"/>
      <c r="YU13" s="1"/>
      <c r="YV13" s="1"/>
      <c r="YW13" s="54">
        <v>57.333333333333336</v>
      </c>
      <c r="YX13" s="1"/>
      <c r="YY13" s="55">
        <v>57.333333333333336</v>
      </c>
      <c r="YZ13" s="1"/>
      <c r="ZA13" s="1"/>
      <c r="ZB13" s="2">
        <v>0</v>
      </c>
      <c r="ZC13" s="54">
        <v>100</v>
      </c>
      <c r="ZD13" s="1"/>
      <c r="ZE13" s="1"/>
      <c r="ZF13" s="1"/>
      <c r="ZG13" s="1"/>
      <c r="ZH13" s="1"/>
      <c r="ZI13" s="1"/>
      <c r="ZJ13" s="54" t="s">
        <v>268</v>
      </c>
      <c r="ZK13" s="1"/>
      <c r="ZL13" s="55" t="s">
        <v>268</v>
      </c>
      <c r="ZM13" s="1"/>
      <c r="ZN13" s="1"/>
      <c r="ZO13" s="2"/>
      <c r="ZP13" s="54" t="s">
        <v>268</v>
      </c>
      <c r="ZQ13" s="54">
        <v>57.333333333333336</v>
      </c>
      <c r="ZR13" s="54" t="s">
        <v>268</v>
      </c>
      <c r="ZS13" s="55">
        <v>57.333333333333336</v>
      </c>
      <c r="ZT13" s="56">
        <v>3</v>
      </c>
      <c r="ZU13" s="54" t="s">
        <v>268</v>
      </c>
      <c r="ZV13" s="1"/>
      <c r="ZW13" s="57">
        <v>0</v>
      </c>
      <c r="ZX13" s="58">
        <v>100</v>
      </c>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2" customHeight="1" x14ac:dyDescent="0.2">
      <c r="A14" s="88" t="str">
        <f t="shared" si="397"/>
        <v>2023-2024</v>
      </c>
      <c r="B14" s="88" t="str">
        <f t="shared" si="398"/>
        <v>Bakı</v>
      </c>
      <c r="C14" s="88" t="str">
        <f t="shared" si="399"/>
        <v>Binəqədi</v>
      </c>
      <c r="D14" s="88">
        <f t="shared" si="400"/>
        <v>99</v>
      </c>
      <c r="E14" s="40">
        <v>3984283</v>
      </c>
      <c r="F14" s="88">
        <f t="shared" si="401"/>
        <v>2</v>
      </c>
      <c r="G14" s="88" t="str">
        <f t="shared" si="402"/>
        <v>C</v>
      </c>
      <c r="H14" s="36" t="s">
        <v>164</v>
      </c>
      <c r="I14" s="37" t="s">
        <v>165</v>
      </c>
      <c r="J14" s="41" t="s">
        <v>166</v>
      </c>
      <c r="K14" s="89" t="str">
        <f t="shared" si="403"/>
        <v>A</v>
      </c>
      <c r="L14" s="41" t="s">
        <v>119</v>
      </c>
      <c r="M14" s="41" t="s">
        <v>228</v>
      </c>
      <c r="N14" s="41"/>
      <c r="O14" s="43" t="s">
        <v>229</v>
      </c>
      <c r="P14" s="90" t="str">
        <f t="shared" si="404"/>
        <v>Süleymanova Aybəniz</v>
      </c>
      <c r="Q14" s="4">
        <v>1072909</v>
      </c>
      <c r="R14" s="39">
        <v>101</v>
      </c>
      <c r="S14" s="39">
        <v>308</v>
      </c>
      <c r="T14" s="1"/>
      <c r="U14" s="1">
        <v>81</v>
      </c>
      <c r="V14" s="1">
        <v>68</v>
      </c>
      <c r="W14" s="1">
        <v>83</v>
      </c>
      <c r="X14" s="1">
        <v>72</v>
      </c>
      <c r="Y14" s="1"/>
      <c r="Z14" s="1"/>
      <c r="AA14" s="54">
        <v>76</v>
      </c>
      <c r="AB14" s="1"/>
      <c r="AC14" s="55">
        <v>76</v>
      </c>
      <c r="AD14" s="1"/>
      <c r="AE14" s="1"/>
      <c r="AF14" s="2">
        <v>0</v>
      </c>
      <c r="AG14" s="54">
        <v>100</v>
      </c>
      <c r="AH14" s="1"/>
      <c r="AI14" s="1"/>
      <c r="AJ14" s="1"/>
      <c r="AK14" s="1"/>
      <c r="AL14" s="1"/>
      <c r="AM14" s="1"/>
      <c r="AN14" s="54" t="s">
        <v>268</v>
      </c>
      <c r="AO14" s="1"/>
      <c r="AP14" s="55" t="s">
        <v>268</v>
      </c>
      <c r="AQ14" s="1"/>
      <c r="AR14" s="1"/>
      <c r="AS14" s="2"/>
      <c r="AT14" s="54" t="s">
        <v>268</v>
      </c>
      <c r="AU14" s="54">
        <v>76</v>
      </c>
      <c r="AV14" s="54" t="s">
        <v>268</v>
      </c>
      <c r="AW14" s="55">
        <v>76</v>
      </c>
      <c r="AX14" s="56">
        <v>4</v>
      </c>
      <c r="AY14" s="54" t="s">
        <v>268</v>
      </c>
      <c r="AZ14" s="1"/>
      <c r="BA14" s="57">
        <v>0</v>
      </c>
      <c r="BB14" s="58">
        <v>100</v>
      </c>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v>1273950</v>
      </c>
      <c r="EB14" s="39">
        <v>106</v>
      </c>
      <c r="EC14" s="39">
        <v>17</v>
      </c>
      <c r="ED14" s="1"/>
      <c r="EE14" s="1">
        <v>90</v>
      </c>
      <c r="EF14" s="1">
        <v>100</v>
      </c>
      <c r="EG14" s="1">
        <v>95</v>
      </c>
      <c r="EH14" s="1"/>
      <c r="EI14" s="1"/>
      <c r="EJ14" s="1"/>
      <c r="EK14" s="54">
        <v>95</v>
      </c>
      <c r="EL14" s="1"/>
      <c r="EM14" s="55">
        <v>95</v>
      </c>
      <c r="EN14" s="1"/>
      <c r="EO14" s="1"/>
      <c r="EP14" s="2">
        <v>0</v>
      </c>
      <c r="EQ14" s="54">
        <v>100</v>
      </c>
      <c r="ER14" s="1"/>
      <c r="ES14" s="1"/>
      <c r="ET14" s="1"/>
      <c r="EU14" s="1"/>
      <c r="EV14" s="1"/>
      <c r="EW14" s="1"/>
      <c r="EX14" s="54" t="s">
        <v>268</v>
      </c>
      <c r="EY14" s="1"/>
      <c r="EZ14" s="55" t="s">
        <v>268</v>
      </c>
      <c r="FA14" s="1"/>
      <c r="FB14" s="1"/>
      <c r="FC14" s="2"/>
      <c r="FD14" s="54" t="s">
        <v>268</v>
      </c>
      <c r="FE14" s="54">
        <v>95</v>
      </c>
      <c r="FF14" s="54" t="s">
        <v>268</v>
      </c>
      <c r="FG14" s="55">
        <v>95</v>
      </c>
      <c r="FH14" s="56">
        <v>5</v>
      </c>
      <c r="FI14" s="54" t="s">
        <v>268</v>
      </c>
      <c r="FJ14" s="1"/>
      <c r="FK14" s="57">
        <v>0</v>
      </c>
      <c r="FL14" s="58">
        <v>100</v>
      </c>
      <c r="FM14" s="4">
        <v>1072909</v>
      </c>
      <c r="FN14" s="39">
        <v>110</v>
      </c>
      <c r="FO14" s="39">
        <v>171</v>
      </c>
      <c r="FP14" s="1"/>
      <c r="FQ14" s="1">
        <v>100</v>
      </c>
      <c r="FR14" s="1">
        <v>82</v>
      </c>
      <c r="FS14" s="1">
        <v>95</v>
      </c>
      <c r="FT14" s="1">
        <v>94</v>
      </c>
      <c r="FU14" s="1"/>
      <c r="FV14" s="1"/>
      <c r="FW14" s="54">
        <v>92.75</v>
      </c>
      <c r="FX14" s="1"/>
      <c r="FY14" s="55">
        <v>92.75</v>
      </c>
      <c r="FZ14" s="1"/>
      <c r="GA14" s="1"/>
      <c r="GB14" s="2">
        <v>0</v>
      </c>
      <c r="GC14" s="54">
        <v>100</v>
      </c>
      <c r="GD14" s="1"/>
      <c r="GE14" s="1"/>
      <c r="GF14" s="1"/>
      <c r="GG14" s="1"/>
      <c r="GH14" s="1"/>
      <c r="GI14" s="1"/>
      <c r="GJ14" s="54" t="s">
        <v>268</v>
      </c>
      <c r="GK14" s="1"/>
      <c r="GL14" s="55" t="s">
        <v>268</v>
      </c>
      <c r="GM14" s="1"/>
      <c r="GN14" s="1"/>
      <c r="GO14" s="2"/>
      <c r="GP14" s="54" t="s">
        <v>268</v>
      </c>
      <c r="GQ14" s="54">
        <v>92.75</v>
      </c>
      <c r="GR14" s="54" t="s">
        <v>268</v>
      </c>
      <c r="GS14" s="55">
        <v>92.75</v>
      </c>
      <c r="GT14" s="56">
        <v>5</v>
      </c>
      <c r="GU14" s="54" t="s">
        <v>268</v>
      </c>
      <c r="GV14" s="1"/>
      <c r="GW14" s="57">
        <v>0</v>
      </c>
      <c r="GX14" s="58">
        <v>100</v>
      </c>
      <c r="GY14" s="4">
        <v>1199044</v>
      </c>
      <c r="GZ14" s="39">
        <v>114</v>
      </c>
      <c r="HA14" s="39">
        <v>17</v>
      </c>
      <c r="HB14" s="1"/>
      <c r="HC14" s="1">
        <v>85</v>
      </c>
      <c r="HD14" s="1">
        <v>80</v>
      </c>
      <c r="HE14" s="1">
        <v>80</v>
      </c>
      <c r="HF14" s="1"/>
      <c r="HG14" s="1"/>
      <c r="HH14" s="1"/>
      <c r="HI14" s="54">
        <v>81.666666666666671</v>
      </c>
      <c r="HJ14" s="1"/>
      <c r="HK14" s="55">
        <v>81.666666666666671</v>
      </c>
      <c r="HL14" s="1"/>
      <c r="HM14" s="1"/>
      <c r="HN14" s="2">
        <v>0</v>
      </c>
      <c r="HO14" s="54">
        <v>100</v>
      </c>
      <c r="HP14" s="1"/>
      <c r="HQ14" s="1"/>
      <c r="HR14" s="1"/>
      <c r="HS14" s="1"/>
      <c r="HT14" s="1"/>
      <c r="HU14" s="1"/>
      <c r="HV14" s="54" t="s">
        <v>268</v>
      </c>
      <c r="HW14" s="1"/>
      <c r="HX14" s="55" t="s">
        <v>268</v>
      </c>
      <c r="HY14" s="1"/>
      <c r="HZ14" s="1"/>
      <c r="IA14" s="2"/>
      <c r="IB14" s="54" t="s">
        <v>268</v>
      </c>
      <c r="IC14" s="54">
        <v>81.666666666666671</v>
      </c>
      <c r="ID14" s="54" t="s">
        <v>268</v>
      </c>
      <c r="IE14" s="55">
        <v>81.666666666666671</v>
      </c>
      <c r="IF14" s="56">
        <v>5</v>
      </c>
      <c r="IG14" s="54" t="s">
        <v>268</v>
      </c>
      <c r="IH14" s="1"/>
      <c r="II14" s="57">
        <v>0</v>
      </c>
      <c r="IJ14" s="58">
        <v>100</v>
      </c>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v>1072909</v>
      </c>
      <c r="PT14" s="39">
        <v>128</v>
      </c>
      <c r="PU14" s="39">
        <v>34</v>
      </c>
      <c r="PV14" s="1"/>
      <c r="PW14" s="1">
        <v>65</v>
      </c>
      <c r="PX14" s="1">
        <v>70</v>
      </c>
      <c r="PY14" s="1">
        <v>85</v>
      </c>
      <c r="PZ14" s="1"/>
      <c r="QA14" s="1"/>
      <c r="QB14" s="1"/>
      <c r="QC14" s="54">
        <v>73.333333333333329</v>
      </c>
      <c r="QD14" s="1"/>
      <c r="QE14" s="55">
        <v>73.333333333333329</v>
      </c>
      <c r="QF14" s="1"/>
      <c r="QG14" s="1"/>
      <c r="QH14" s="2">
        <v>0</v>
      </c>
      <c r="QI14" s="54">
        <v>100</v>
      </c>
      <c r="QJ14" s="1"/>
      <c r="QK14" s="1"/>
      <c r="QL14" s="1"/>
      <c r="QM14" s="1"/>
      <c r="QN14" s="1"/>
      <c r="QO14" s="1"/>
      <c r="QP14" s="54" t="s">
        <v>268</v>
      </c>
      <c r="QQ14" s="1"/>
      <c r="QR14" s="55" t="s">
        <v>268</v>
      </c>
      <c r="QS14" s="1"/>
      <c r="QT14" s="1"/>
      <c r="QU14" s="2"/>
      <c r="QV14" s="54" t="s">
        <v>268</v>
      </c>
      <c r="QW14" s="54">
        <v>73.333333333333329</v>
      </c>
      <c r="QX14" s="54" t="s">
        <v>268</v>
      </c>
      <c r="QY14" s="55">
        <v>73.333333333333329</v>
      </c>
      <c r="QZ14" s="56">
        <v>4</v>
      </c>
      <c r="RA14" s="54" t="s">
        <v>268</v>
      </c>
      <c r="RB14" s="1"/>
      <c r="RC14" s="57">
        <v>0</v>
      </c>
      <c r="RD14" s="58">
        <v>100</v>
      </c>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v>1072909</v>
      </c>
      <c r="UD14" s="39">
        <v>131</v>
      </c>
      <c r="UE14" s="39">
        <v>68</v>
      </c>
      <c r="UF14" s="1"/>
      <c r="UG14" s="1">
        <v>95</v>
      </c>
      <c r="UH14" s="1">
        <v>90</v>
      </c>
      <c r="UI14" s="1">
        <v>85</v>
      </c>
      <c r="UJ14" s="1">
        <v>85</v>
      </c>
      <c r="UK14" s="1"/>
      <c r="UL14" s="1"/>
      <c r="UM14" s="54">
        <v>88.75</v>
      </c>
      <c r="UN14" s="1"/>
      <c r="UO14" s="55">
        <v>88.75</v>
      </c>
      <c r="UP14" s="1"/>
      <c r="UQ14" s="1"/>
      <c r="UR14" s="2">
        <v>0</v>
      </c>
      <c r="US14" s="54">
        <v>100</v>
      </c>
      <c r="UT14" s="1"/>
      <c r="UU14" s="1"/>
      <c r="UV14" s="1"/>
      <c r="UW14" s="1"/>
      <c r="UX14" s="1"/>
      <c r="UY14" s="1"/>
      <c r="UZ14" s="54" t="s">
        <v>268</v>
      </c>
      <c r="VA14" s="1"/>
      <c r="VB14" s="55" t="s">
        <v>268</v>
      </c>
      <c r="VC14" s="1"/>
      <c r="VD14" s="1"/>
      <c r="VE14" s="2"/>
      <c r="VF14" s="54" t="s">
        <v>268</v>
      </c>
      <c r="VG14" s="54">
        <v>88.75</v>
      </c>
      <c r="VH14" s="54" t="s">
        <v>268</v>
      </c>
      <c r="VI14" s="55">
        <v>88.75</v>
      </c>
      <c r="VJ14" s="56">
        <v>5</v>
      </c>
      <c r="VK14" s="54" t="s">
        <v>268</v>
      </c>
      <c r="VL14" s="1"/>
      <c r="VM14" s="57">
        <v>0</v>
      </c>
      <c r="VN14" s="58">
        <v>100</v>
      </c>
      <c r="VO14" s="4">
        <v>1072909</v>
      </c>
      <c r="VP14" s="39">
        <v>132</v>
      </c>
      <c r="VQ14" s="39">
        <v>34</v>
      </c>
      <c r="VR14" s="1"/>
      <c r="VS14" s="1">
        <v>100</v>
      </c>
      <c r="VT14" s="1">
        <v>85</v>
      </c>
      <c r="VU14" s="1">
        <v>85</v>
      </c>
      <c r="VV14" s="1"/>
      <c r="VW14" s="1"/>
      <c r="VX14" s="1"/>
      <c r="VY14" s="54">
        <v>90</v>
      </c>
      <c r="VZ14" s="1"/>
      <c r="WA14" s="55">
        <v>90</v>
      </c>
      <c r="WB14" s="1"/>
      <c r="WC14" s="1"/>
      <c r="WD14" s="2">
        <v>0</v>
      </c>
      <c r="WE14" s="54">
        <v>100</v>
      </c>
      <c r="WF14" s="1"/>
      <c r="WG14" s="1"/>
      <c r="WH14" s="1"/>
      <c r="WI14" s="1"/>
      <c r="WJ14" s="1"/>
      <c r="WK14" s="1"/>
      <c r="WL14" s="54" t="s">
        <v>268</v>
      </c>
      <c r="WM14" s="1"/>
      <c r="WN14" s="55" t="s">
        <v>268</v>
      </c>
      <c r="WO14" s="1"/>
      <c r="WP14" s="1"/>
      <c r="WQ14" s="2"/>
      <c r="WR14" s="54" t="s">
        <v>268</v>
      </c>
      <c r="WS14" s="54">
        <v>90</v>
      </c>
      <c r="WT14" s="54" t="s">
        <v>268</v>
      </c>
      <c r="WU14" s="55">
        <v>90</v>
      </c>
      <c r="WV14" s="56">
        <v>5</v>
      </c>
      <c r="WW14" s="54" t="s">
        <v>268</v>
      </c>
      <c r="WX14" s="1"/>
      <c r="WY14" s="57">
        <v>0</v>
      </c>
      <c r="WZ14" s="58">
        <v>100</v>
      </c>
      <c r="XA14" s="4">
        <v>1072909</v>
      </c>
      <c r="XB14" s="39">
        <v>133</v>
      </c>
      <c r="XC14" s="39">
        <v>34</v>
      </c>
      <c r="XD14" s="1"/>
      <c r="XE14" s="1">
        <v>80</v>
      </c>
      <c r="XF14" s="1">
        <v>85</v>
      </c>
      <c r="XG14" s="1">
        <v>83</v>
      </c>
      <c r="XH14" s="1"/>
      <c r="XI14" s="1"/>
      <c r="XJ14" s="1"/>
      <c r="XK14" s="54">
        <v>82.666666666666671</v>
      </c>
      <c r="XL14" s="1"/>
      <c r="XM14" s="55">
        <v>82.666666666666671</v>
      </c>
      <c r="XN14" s="1"/>
      <c r="XO14" s="1"/>
      <c r="XP14" s="2">
        <v>0</v>
      </c>
      <c r="XQ14" s="54">
        <v>100</v>
      </c>
      <c r="XR14" s="1"/>
      <c r="XS14" s="1"/>
      <c r="XT14" s="1"/>
      <c r="XU14" s="1"/>
      <c r="XV14" s="1"/>
      <c r="XW14" s="1"/>
      <c r="XX14" s="54" t="s">
        <v>268</v>
      </c>
      <c r="XY14" s="1"/>
      <c r="XZ14" s="55" t="s">
        <v>268</v>
      </c>
      <c r="YA14" s="1"/>
      <c r="YB14" s="1"/>
      <c r="YC14" s="2"/>
      <c r="YD14" s="54" t="s">
        <v>268</v>
      </c>
      <c r="YE14" s="54">
        <v>82.666666666666671</v>
      </c>
      <c r="YF14" s="54" t="s">
        <v>268</v>
      </c>
      <c r="YG14" s="55">
        <v>82.666666666666671</v>
      </c>
      <c r="YH14" s="56">
        <v>5</v>
      </c>
      <c r="YI14" s="54" t="s">
        <v>268</v>
      </c>
      <c r="YJ14" s="1"/>
      <c r="YK14" s="57">
        <v>0</v>
      </c>
      <c r="YL14" s="58">
        <v>100</v>
      </c>
      <c r="YM14" s="4">
        <v>1072909</v>
      </c>
      <c r="YN14" s="39">
        <v>135</v>
      </c>
      <c r="YO14" s="39">
        <v>34</v>
      </c>
      <c r="YP14" s="1"/>
      <c r="YQ14" s="1">
        <v>75</v>
      </c>
      <c r="YR14" s="1">
        <v>75</v>
      </c>
      <c r="YS14" s="1">
        <v>70</v>
      </c>
      <c r="YT14" s="1"/>
      <c r="YU14" s="1"/>
      <c r="YV14" s="1"/>
      <c r="YW14" s="54">
        <v>73.333333333333329</v>
      </c>
      <c r="YX14" s="1"/>
      <c r="YY14" s="55">
        <v>73.333333333333329</v>
      </c>
      <c r="YZ14" s="1"/>
      <c r="ZA14" s="1"/>
      <c r="ZB14" s="2">
        <v>0</v>
      </c>
      <c r="ZC14" s="54">
        <v>100</v>
      </c>
      <c r="ZD14" s="1"/>
      <c r="ZE14" s="1"/>
      <c r="ZF14" s="1"/>
      <c r="ZG14" s="1"/>
      <c r="ZH14" s="1"/>
      <c r="ZI14" s="1"/>
      <c r="ZJ14" s="54" t="s">
        <v>268</v>
      </c>
      <c r="ZK14" s="1"/>
      <c r="ZL14" s="55" t="s">
        <v>268</v>
      </c>
      <c r="ZM14" s="1"/>
      <c r="ZN14" s="1"/>
      <c r="ZO14" s="2"/>
      <c r="ZP14" s="54" t="s">
        <v>268</v>
      </c>
      <c r="ZQ14" s="54">
        <v>73.333333333333329</v>
      </c>
      <c r="ZR14" s="54" t="s">
        <v>268</v>
      </c>
      <c r="ZS14" s="55">
        <v>73.333333333333329</v>
      </c>
      <c r="ZT14" s="56">
        <v>4</v>
      </c>
      <c r="ZU14" s="54" t="s">
        <v>268</v>
      </c>
      <c r="ZV14" s="1"/>
      <c r="ZW14" s="57">
        <v>0</v>
      </c>
      <c r="ZX14" s="58">
        <v>100</v>
      </c>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2" customHeight="1" x14ac:dyDescent="0.2">
      <c r="A15" s="88" t="str">
        <f t="shared" si="397"/>
        <v>2023-2024</v>
      </c>
      <c r="B15" s="88" t="str">
        <f t="shared" si="398"/>
        <v>Bakı</v>
      </c>
      <c r="C15" s="88" t="str">
        <f t="shared" si="399"/>
        <v>Binəqədi</v>
      </c>
      <c r="D15" s="88">
        <f t="shared" si="400"/>
        <v>99</v>
      </c>
      <c r="E15" s="40">
        <v>3769515</v>
      </c>
      <c r="F15" s="88">
        <f t="shared" si="401"/>
        <v>2</v>
      </c>
      <c r="G15" s="88" t="str">
        <f t="shared" si="402"/>
        <v>C</v>
      </c>
      <c r="H15" s="36" t="s">
        <v>167</v>
      </c>
      <c r="I15" s="37" t="s">
        <v>168</v>
      </c>
      <c r="J15" s="41" t="s">
        <v>169</v>
      </c>
      <c r="K15" s="89" t="str">
        <f t="shared" si="403"/>
        <v>A</v>
      </c>
      <c r="L15" s="41" t="s">
        <v>119</v>
      </c>
      <c r="M15" s="41" t="s">
        <v>230</v>
      </c>
      <c r="N15" s="41"/>
      <c r="O15" s="43" t="s">
        <v>231</v>
      </c>
      <c r="P15" s="90" t="str">
        <f t="shared" si="404"/>
        <v>Süleymanova Aybəniz</v>
      </c>
      <c r="Q15" s="4">
        <v>1072909</v>
      </c>
      <c r="R15" s="39">
        <v>101</v>
      </c>
      <c r="S15" s="39">
        <v>308</v>
      </c>
      <c r="T15" s="1"/>
      <c r="U15" s="1">
        <v>87</v>
      </c>
      <c r="V15" s="1">
        <v>100</v>
      </c>
      <c r="W15" s="1">
        <v>87</v>
      </c>
      <c r="X15" s="1">
        <v>84</v>
      </c>
      <c r="Y15" s="1"/>
      <c r="Z15" s="1"/>
      <c r="AA15" s="54">
        <v>89.5</v>
      </c>
      <c r="AB15" s="1"/>
      <c r="AC15" s="55">
        <v>89.5</v>
      </c>
      <c r="AD15" s="1"/>
      <c r="AE15" s="1"/>
      <c r="AF15" s="2">
        <v>0</v>
      </c>
      <c r="AG15" s="54">
        <v>100</v>
      </c>
      <c r="AH15" s="1"/>
      <c r="AI15" s="1"/>
      <c r="AJ15" s="1"/>
      <c r="AK15" s="1"/>
      <c r="AL15" s="1"/>
      <c r="AM15" s="1"/>
      <c r="AN15" s="54" t="s">
        <v>268</v>
      </c>
      <c r="AO15" s="1"/>
      <c r="AP15" s="55" t="s">
        <v>268</v>
      </c>
      <c r="AQ15" s="1"/>
      <c r="AR15" s="1"/>
      <c r="AS15" s="2"/>
      <c r="AT15" s="54" t="s">
        <v>268</v>
      </c>
      <c r="AU15" s="54">
        <v>89.5</v>
      </c>
      <c r="AV15" s="54" t="s">
        <v>268</v>
      </c>
      <c r="AW15" s="55">
        <v>89.5</v>
      </c>
      <c r="AX15" s="56">
        <v>5</v>
      </c>
      <c r="AY15" s="54" t="s">
        <v>268</v>
      </c>
      <c r="AZ15" s="1"/>
      <c r="BA15" s="57">
        <v>0</v>
      </c>
      <c r="BB15" s="58">
        <v>100</v>
      </c>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v>1273950</v>
      </c>
      <c r="EB15" s="39">
        <v>106</v>
      </c>
      <c r="EC15" s="39">
        <v>17</v>
      </c>
      <c r="ED15" s="1"/>
      <c r="EE15" s="1">
        <v>90</v>
      </c>
      <c r="EF15" s="1">
        <v>65</v>
      </c>
      <c r="EG15" s="1">
        <v>85</v>
      </c>
      <c r="EH15" s="1"/>
      <c r="EI15" s="1"/>
      <c r="EJ15" s="1"/>
      <c r="EK15" s="54">
        <v>80</v>
      </c>
      <c r="EL15" s="1"/>
      <c r="EM15" s="55">
        <v>80</v>
      </c>
      <c r="EN15" s="1"/>
      <c r="EO15" s="1"/>
      <c r="EP15" s="2">
        <v>0</v>
      </c>
      <c r="EQ15" s="54">
        <v>100</v>
      </c>
      <c r="ER15" s="1"/>
      <c r="ES15" s="1"/>
      <c r="ET15" s="1"/>
      <c r="EU15" s="1"/>
      <c r="EV15" s="1"/>
      <c r="EW15" s="1"/>
      <c r="EX15" s="54" t="s">
        <v>268</v>
      </c>
      <c r="EY15" s="1"/>
      <c r="EZ15" s="55" t="s">
        <v>268</v>
      </c>
      <c r="FA15" s="1"/>
      <c r="FB15" s="1"/>
      <c r="FC15" s="2"/>
      <c r="FD15" s="54" t="s">
        <v>268</v>
      </c>
      <c r="FE15" s="54">
        <v>80</v>
      </c>
      <c r="FF15" s="54" t="s">
        <v>268</v>
      </c>
      <c r="FG15" s="55">
        <v>80</v>
      </c>
      <c r="FH15" s="56">
        <v>4</v>
      </c>
      <c r="FI15" s="54" t="s">
        <v>268</v>
      </c>
      <c r="FJ15" s="1"/>
      <c r="FK15" s="57">
        <v>0</v>
      </c>
      <c r="FL15" s="58">
        <v>100</v>
      </c>
      <c r="FM15" s="4">
        <v>1072909</v>
      </c>
      <c r="FN15" s="39">
        <v>110</v>
      </c>
      <c r="FO15" s="39">
        <v>171</v>
      </c>
      <c r="FP15" s="1"/>
      <c r="FQ15" s="1">
        <v>91</v>
      </c>
      <c r="FR15" s="1">
        <v>80</v>
      </c>
      <c r="FS15" s="1">
        <v>82</v>
      </c>
      <c r="FT15" s="1">
        <v>86</v>
      </c>
      <c r="FU15" s="1"/>
      <c r="FV15" s="1"/>
      <c r="FW15" s="54">
        <v>84.75</v>
      </c>
      <c r="FX15" s="1"/>
      <c r="FY15" s="55">
        <v>84.75</v>
      </c>
      <c r="FZ15" s="1"/>
      <c r="GA15" s="1"/>
      <c r="GB15" s="2">
        <v>0</v>
      </c>
      <c r="GC15" s="54">
        <v>100</v>
      </c>
      <c r="GD15" s="1"/>
      <c r="GE15" s="1"/>
      <c r="GF15" s="1"/>
      <c r="GG15" s="1"/>
      <c r="GH15" s="1"/>
      <c r="GI15" s="1"/>
      <c r="GJ15" s="54" t="s">
        <v>268</v>
      </c>
      <c r="GK15" s="1"/>
      <c r="GL15" s="55" t="s">
        <v>268</v>
      </c>
      <c r="GM15" s="1"/>
      <c r="GN15" s="1"/>
      <c r="GO15" s="2"/>
      <c r="GP15" s="54" t="s">
        <v>268</v>
      </c>
      <c r="GQ15" s="54">
        <v>84.75</v>
      </c>
      <c r="GR15" s="54" t="s">
        <v>268</v>
      </c>
      <c r="GS15" s="55">
        <v>84.75</v>
      </c>
      <c r="GT15" s="56">
        <v>5</v>
      </c>
      <c r="GU15" s="54" t="s">
        <v>268</v>
      </c>
      <c r="GV15" s="1"/>
      <c r="GW15" s="57">
        <v>0</v>
      </c>
      <c r="GX15" s="58">
        <v>100</v>
      </c>
      <c r="GY15" s="4">
        <v>1199044</v>
      </c>
      <c r="GZ15" s="39">
        <v>114</v>
      </c>
      <c r="HA15" s="39">
        <v>17</v>
      </c>
      <c r="HB15" s="1"/>
      <c r="HC15" s="1">
        <v>70</v>
      </c>
      <c r="HD15" s="1">
        <v>90</v>
      </c>
      <c r="HE15" s="1">
        <v>90</v>
      </c>
      <c r="HF15" s="1"/>
      <c r="HG15" s="1"/>
      <c r="HH15" s="1"/>
      <c r="HI15" s="54">
        <v>83.333333333333329</v>
      </c>
      <c r="HJ15" s="1"/>
      <c r="HK15" s="55">
        <v>83.333333333333329</v>
      </c>
      <c r="HL15" s="1"/>
      <c r="HM15" s="1"/>
      <c r="HN15" s="2">
        <v>0</v>
      </c>
      <c r="HO15" s="54">
        <v>100</v>
      </c>
      <c r="HP15" s="1"/>
      <c r="HQ15" s="1"/>
      <c r="HR15" s="1"/>
      <c r="HS15" s="1"/>
      <c r="HT15" s="1"/>
      <c r="HU15" s="1"/>
      <c r="HV15" s="54" t="s">
        <v>268</v>
      </c>
      <c r="HW15" s="1"/>
      <c r="HX15" s="55" t="s">
        <v>268</v>
      </c>
      <c r="HY15" s="1"/>
      <c r="HZ15" s="1"/>
      <c r="IA15" s="2"/>
      <c r="IB15" s="54" t="s">
        <v>268</v>
      </c>
      <c r="IC15" s="54">
        <v>83.333333333333329</v>
      </c>
      <c r="ID15" s="54" t="s">
        <v>268</v>
      </c>
      <c r="IE15" s="55">
        <v>83.333333333333329</v>
      </c>
      <c r="IF15" s="56">
        <v>5</v>
      </c>
      <c r="IG15" s="54" t="s">
        <v>268</v>
      </c>
      <c r="IH15" s="1"/>
      <c r="II15" s="57">
        <v>0</v>
      </c>
      <c r="IJ15" s="58">
        <v>100</v>
      </c>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v>1072909</v>
      </c>
      <c r="PT15" s="39">
        <v>128</v>
      </c>
      <c r="PU15" s="39">
        <v>34</v>
      </c>
      <c r="PV15" s="1"/>
      <c r="PW15" s="1">
        <v>85</v>
      </c>
      <c r="PX15" s="1">
        <v>82</v>
      </c>
      <c r="PY15" s="1">
        <v>85</v>
      </c>
      <c r="PZ15" s="1"/>
      <c r="QA15" s="1"/>
      <c r="QB15" s="1"/>
      <c r="QC15" s="54">
        <v>84</v>
      </c>
      <c r="QD15" s="1"/>
      <c r="QE15" s="55">
        <v>84</v>
      </c>
      <c r="QF15" s="1"/>
      <c r="QG15" s="1"/>
      <c r="QH15" s="2">
        <v>0</v>
      </c>
      <c r="QI15" s="54">
        <v>100</v>
      </c>
      <c r="QJ15" s="1"/>
      <c r="QK15" s="1"/>
      <c r="QL15" s="1"/>
      <c r="QM15" s="1"/>
      <c r="QN15" s="1"/>
      <c r="QO15" s="1"/>
      <c r="QP15" s="54" t="s">
        <v>268</v>
      </c>
      <c r="QQ15" s="1"/>
      <c r="QR15" s="55" t="s">
        <v>268</v>
      </c>
      <c r="QS15" s="1"/>
      <c r="QT15" s="1"/>
      <c r="QU15" s="2"/>
      <c r="QV15" s="54" t="s">
        <v>268</v>
      </c>
      <c r="QW15" s="54">
        <v>84</v>
      </c>
      <c r="QX15" s="54" t="s">
        <v>268</v>
      </c>
      <c r="QY15" s="55">
        <v>84</v>
      </c>
      <c r="QZ15" s="56">
        <v>5</v>
      </c>
      <c r="RA15" s="54" t="s">
        <v>268</v>
      </c>
      <c r="RB15" s="1"/>
      <c r="RC15" s="57">
        <v>0</v>
      </c>
      <c r="RD15" s="58">
        <v>100</v>
      </c>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v>1072909</v>
      </c>
      <c r="UD15" s="39">
        <v>131</v>
      </c>
      <c r="UE15" s="39">
        <v>68</v>
      </c>
      <c r="UF15" s="1"/>
      <c r="UG15" s="1">
        <v>100</v>
      </c>
      <c r="UH15" s="1">
        <v>95</v>
      </c>
      <c r="UI15" s="1">
        <v>90</v>
      </c>
      <c r="UJ15" s="1">
        <v>90</v>
      </c>
      <c r="UK15" s="1"/>
      <c r="UL15" s="1"/>
      <c r="UM15" s="54">
        <v>93.75</v>
      </c>
      <c r="UN15" s="1"/>
      <c r="UO15" s="55">
        <v>93.75</v>
      </c>
      <c r="UP15" s="1"/>
      <c r="UQ15" s="1"/>
      <c r="UR15" s="2">
        <v>0</v>
      </c>
      <c r="US15" s="54">
        <v>100</v>
      </c>
      <c r="UT15" s="1"/>
      <c r="UU15" s="1"/>
      <c r="UV15" s="1"/>
      <c r="UW15" s="1"/>
      <c r="UX15" s="1"/>
      <c r="UY15" s="1"/>
      <c r="UZ15" s="54" t="s">
        <v>268</v>
      </c>
      <c r="VA15" s="1"/>
      <c r="VB15" s="55" t="s">
        <v>268</v>
      </c>
      <c r="VC15" s="1"/>
      <c r="VD15" s="1"/>
      <c r="VE15" s="2"/>
      <c r="VF15" s="54" t="s">
        <v>268</v>
      </c>
      <c r="VG15" s="54">
        <v>93.75</v>
      </c>
      <c r="VH15" s="54" t="s">
        <v>268</v>
      </c>
      <c r="VI15" s="55">
        <v>93.75</v>
      </c>
      <c r="VJ15" s="56">
        <v>5</v>
      </c>
      <c r="VK15" s="54" t="s">
        <v>268</v>
      </c>
      <c r="VL15" s="1"/>
      <c r="VM15" s="57">
        <v>0</v>
      </c>
      <c r="VN15" s="58">
        <v>100</v>
      </c>
      <c r="VO15" s="4">
        <v>1072909</v>
      </c>
      <c r="VP15" s="39">
        <v>132</v>
      </c>
      <c r="VQ15" s="39">
        <v>34</v>
      </c>
      <c r="VR15" s="1"/>
      <c r="VS15" s="1">
        <v>70</v>
      </c>
      <c r="VT15" s="1">
        <v>75</v>
      </c>
      <c r="VU15" s="1">
        <v>74</v>
      </c>
      <c r="VV15" s="1"/>
      <c r="VW15" s="1"/>
      <c r="VX15" s="1"/>
      <c r="VY15" s="54">
        <v>73</v>
      </c>
      <c r="VZ15" s="1"/>
      <c r="WA15" s="55">
        <v>73</v>
      </c>
      <c r="WB15" s="1"/>
      <c r="WC15" s="1"/>
      <c r="WD15" s="2">
        <v>0</v>
      </c>
      <c r="WE15" s="54">
        <v>100</v>
      </c>
      <c r="WF15" s="1"/>
      <c r="WG15" s="1"/>
      <c r="WH15" s="1"/>
      <c r="WI15" s="1"/>
      <c r="WJ15" s="1"/>
      <c r="WK15" s="1"/>
      <c r="WL15" s="54" t="s">
        <v>268</v>
      </c>
      <c r="WM15" s="1"/>
      <c r="WN15" s="55" t="s">
        <v>268</v>
      </c>
      <c r="WO15" s="1"/>
      <c r="WP15" s="1"/>
      <c r="WQ15" s="2"/>
      <c r="WR15" s="54" t="s">
        <v>268</v>
      </c>
      <c r="WS15" s="54">
        <v>73</v>
      </c>
      <c r="WT15" s="54" t="s">
        <v>268</v>
      </c>
      <c r="WU15" s="55">
        <v>73</v>
      </c>
      <c r="WV15" s="56">
        <v>4</v>
      </c>
      <c r="WW15" s="54" t="s">
        <v>268</v>
      </c>
      <c r="WX15" s="1"/>
      <c r="WY15" s="57">
        <v>0</v>
      </c>
      <c r="WZ15" s="58">
        <v>100</v>
      </c>
      <c r="XA15" s="4">
        <v>1072909</v>
      </c>
      <c r="XB15" s="39">
        <v>133</v>
      </c>
      <c r="XC15" s="39">
        <v>34</v>
      </c>
      <c r="XD15" s="1"/>
      <c r="XE15" s="1">
        <v>80</v>
      </c>
      <c r="XF15" s="1">
        <v>65</v>
      </c>
      <c r="XG15" s="1">
        <v>83</v>
      </c>
      <c r="XH15" s="1"/>
      <c r="XI15" s="1"/>
      <c r="XJ15" s="1"/>
      <c r="XK15" s="54">
        <v>76</v>
      </c>
      <c r="XL15" s="1"/>
      <c r="XM15" s="55">
        <v>76</v>
      </c>
      <c r="XN15" s="1"/>
      <c r="XO15" s="1"/>
      <c r="XP15" s="2">
        <v>0</v>
      </c>
      <c r="XQ15" s="54">
        <v>100</v>
      </c>
      <c r="XR15" s="1"/>
      <c r="XS15" s="1"/>
      <c r="XT15" s="1"/>
      <c r="XU15" s="1"/>
      <c r="XV15" s="1"/>
      <c r="XW15" s="1"/>
      <c r="XX15" s="54" t="s">
        <v>268</v>
      </c>
      <c r="XY15" s="1"/>
      <c r="XZ15" s="55" t="s">
        <v>268</v>
      </c>
      <c r="YA15" s="1"/>
      <c r="YB15" s="1"/>
      <c r="YC15" s="2"/>
      <c r="YD15" s="54" t="s">
        <v>268</v>
      </c>
      <c r="YE15" s="54">
        <v>76</v>
      </c>
      <c r="YF15" s="54" t="s">
        <v>268</v>
      </c>
      <c r="YG15" s="55">
        <v>76</v>
      </c>
      <c r="YH15" s="56">
        <v>4</v>
      </c>
      <c r="YI15" s="54" t="s">
        <v>268</v>
      </c>
      <c r="YJ15" s="1"/>
      <c r="YK15" s="57">
        <v>0</v>
      </c>
      <c r="YL15" s="58">
        <v>100</v>
      </c>
      <c r="YM15" s="4">
        <v>1072909</v>
      </c>
      <c r="YN15" s="39">
        <v>135</v>
      </c>
      <c r="YO15" s="39">
        <v>34</v>
      </c>
      <c r="YP15" s="1"/>
      <c r="YQ15" s="1">
        <v>75</v>
      </c>
      <c r="YR15" s="1">
        <v>75</v>
      </c>
      <c r="YS15" s="1">
        <v>72</v>
      </c>
      <c r="YT15" s="1"/>
      <c r="YU15" s="1"/>
      <c r="YV15" s="1"/>
      <c r="YW15" s="54">
        <v>74</v>
      </c>
      <c r="YX15" s="1"/>
      <c r="YY15" s="55">
        <v>74</v>
      </c>
      <c r="YZ15" s="1"/>
      <c r="ZA15" s="1"/>
      <c r="ZB15" s="2">
        <v>0</v>
      </c>
      <c r="ZC15" s="54">
        <v>100</v>
      </c>
      <c r="ZD15" s="1"/>
      <c r="ZE15" s="1"/>
      <c r="ZF15" s="1"/>
      <c r="ZG15" s="1"/>
      <c r="ZH15" s="1"/>
      <c r="ZI15" s="1"/>
      <c r="ZJ15" s="54" t="s">
        <v>268</v>
      </c>
      <c r="ZK15" s="1"/>
      <c r="ZL15" s="55" t="s">
        <v>268</v>
      </c>
      <c r="ZM15" s="1"/>
      <c r="ZN15" s="1"/>
      <c r="ZO15" s="2"/>
      <c r="ZP15" s="54" t="s">
        <v>268</v>
      </c>
      <c r="ZQ15" s="54">
        <v>74</v>
      </c>
      <c r="ZR15" s="54" t="s">
        <v>268</v>
      </c>
      <c r="ZS15" s="55">
        <v>74</v>
      </c>
      <c r="ZT15" s="56">
        <v>4</v>
      </c>
      <c r="ZU15" s="54" t="s">
        <v>268</v>
      </c>
      <c r="ZV15" s="1"/>
      <c r="ZW15" s="57">
        <v>0</v>
      </c>
      <c r="ZX15" s="58">
        <v>100</v>
      </c>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2" customHeight="1" x14ac:dyDescent="0.2">
      <c r="A16" s="88" t="str">
        <f t="shared" si="397"/>
        <v>2023-2024</v>
      </c>
      <c r="B16" s="88" t="str">
        <f t="shared" si="398"/>
        <v>Bakı</v>
      </c>
      <c r="C16" s="88" t="str">
        <f t="shared" si="399"/>
        <v>Binəqədi</v>
      </c>
      <c r="D16" s="88">
        <f t="shared" si="400"/>
        <v>99</v>
      </c>
      <c r="E16" s="40">
        <v>3984376</v>
      </c>
      <c r="F16" s="88">
        <f t="shared" si="401"/>
        <v>2</v>
      </c>
      <c r="G16" s="88" t="str">
        <f t="shared" si="402"/>
        <v>C</v>
      </c>
      <c r="H16" s="36" t="s">
        <v>170</v>
      </c>
      <c r="I16" s="37" t="s">
        <v>171</v>
      </c>
      <c r="J16" s="41" t="s">
        <v>172</v>
      </c>
      <c r="K16" s="89" t="str">
        <f t="shared" si="403"/>
        <v>A</v>
      </c>
      <c r="L16" s="41" t="s">
        <v>117</v>
      </c>
      <c r="M16" s="41" t="s">
        <v>232</v>
      </c>
      <c r="N16" s="41"/>
      <c r="O16" s="43" t="s">
        <v>233</v>
      </c>
      <c r="P16" s="90" t="str">
        <f t="shared" si="404"/>
        <v>Süleymanova Aybəniz</v>
      </c>
      <c r="Q16" s="4">
        <v>1072909</v>
      </c>
      <c r="R16" s="39">
        <v>101</v>
      </c>
      <c r="S16" s="39">
        <v>308</v>
      </c>
      <c r="T16" s="1"/>
      <c r="U16" s="1">
        <v>41</v>
      </c>
      <c r="V16" s="1">
        <v>56</v>
      </c>
      <c r="W16" s="1">
        <v>78</v>
      </c>
      <c r="X16" s="1">
        <v>78</v>
      </c>
      <c r="Y16" s="1"/>
      <c r="Z16" s="1"/>
      <c r="AA16" s="54">
        <v>63.25</v>
      </c>
      <c r="AB16" s="1"/>
      <c r="AC16" s="55">
        <v>63.25</v>
      </c>
      <c r="AD16" s="1"/>
      <c r="AE16" s="1"/>
      <c r="AF16" s="2">
        <v>0</v>
      </c>
      <c r="AG16" s="54">
        <v>100</v>
      </c>
      <c r="AH16" s="1"/>
      <c r="AI16" s="1"/>
      <c r="AJ16" s="1"/>
      <c r="AK16" s="1"/>
      <c r="AL16" s="1"/>
      <c r="AM16" s="1"/>
      <c r="AN16" s="54" t="s">
        <v>268</v>
      </c>
      <c r="AO16" s="1"/>
      <c r="AP16" s="55" t="s">
        <v>268</v>
      </c>
      <c r="AQ16" s="1"/>
      <c r="AR16" s="1"/>
      <c r="AS16" s="2"/>
      <c r="AT16" s="54" t="s">
        <v>268</v>
      </c>
      <c r="AU16" s="54">
        <v>63.25</v>
      </c>
      <c r="AV16" s="54" t="s">
        <v>268</v>
      </c>
      <c r="AW16" s="55">
        <v>63.25</v>
      </c>
      <c r="AX16" s="56">
        <v>4</v>
      </c>
      <c r="AY16" s="54" t="s">
        <v>268</v>
      </c>
      <c r="AZ16" s="1"/>
      <c r="BA16" s="57">
        <v>0</v>
      </c>
      <c r="BB16" s="58">
        <v>100</v>
      </c>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v>1273950</v>
      </c>
      <c r="EB16" s="39">
        <v>106</v>
      </c>
      <c r="EC16" s="39">
        <v>17</v>
      </c>
      <c r="ED16" s="1"/>
      <c r="EE16" s="1">
        <v>35</v>
      </c>
      <c r="EF16" s="1">
        <v>70</v>
      </c>
      <c r="EG16" s="1">
        <v>65</v>
      </c>
      <c r="EH16" s="1"/>
      <c r="EI16" s="1"/>
      <c r="EJ16" s="1"/>
      <c r="EK16" s="54">
        <v>56.666666666666664</v>
      </c>
      <c r="EL16" s="1"/>
      <c r="EM16" s="55">
        <v>56.666666666666664</v>
      </c>
      <c r="EN16" s="1"/>
      <c r="EO16" s="1"/>
      <c r="EP16" s="2">
        <v>0</v>
      </c>
      <c r="EQ16" s="54">
        <v>100</v>
      </c>
      <c r="ER16" s="1"/>
      <c r="ES16" s="1"/>
      <c r="ET16" s="1"/>
      <c r="EU16" s="1"/>
      <c r="EV16" s="1"/>
      <c r="EW16" s="1"/>
      <c r="EX16" s="54" t="s">
        <v>268</v>
      </c>
      <c r="EY16" s="1"/>
      <c r="EZ16" s="55" t="s">
        <v>268</v>
      </c>
      <c r="FA16" s="1"/>
      <c r="FB16" s="1"/>
      <c r="FC16" s="2"/>
      <c r="FD16" s="54" t="s">
        <v>268</v>
      </c>
      <c r="FE16" s="54">
        <v>56.666666666666664</v>
      </c>
      <c r="FF16" s="54" t="s">
        <v>268</v>
      </c>
      <c r="FG16" s="55">
        <v>56.666666666666664</v>
      </c>
      <c r="FH16" s="56">
        <v>3</v>
      </c>
      <c r="FI16" s="54" t="s">
        <v>268</v>
      </c>
      <c r="FJ16" s="1"/>
      <c r="FK16" s="57">
        <v>0</v>
      </c>
      <c r="FL16" s="58">
        <v>100</v>
      </c>
      <c r="FM16" s="4">
        <v>1072909</v>
      </c>
      <c r="FN16" s="39">
        <v>110</v>
      </c>
      <c r="FO16" s="39">
        <v>171</v>
      </c>
      <c r="FP16" s="1"/>
      <c r="FQ16" s="1">
        <v>100</v>
      </c>
      <c r="FR16" s="1">
        <v>66</v>
      </c>
      <c r="FS16" s="1">
        <v>75</v>
      </c>
      <c r="FT16" s="1">
        <v>78</v>
      </c>
      <c r="FU16" s="1"/>
      <c r="FV16" s="1"/>
      <c r="FW16" s="54">
        <v>79.75</v>
      </c>
      <c r="FX16" s="1"/>
      <c r="FY16" s="55">
        <v>79.75</v>
      </c>
      <c r="FZ16" s="1"/>
      <c r="GA16" s="1"/>
      <c r="GB16" s="2">
        <v>0</v>
      </c>
      <c r="GC16" s="54">
        <v>100</v>
      </c>
      <c r="GD16" s="1"/>
      <c r="GE16" s="1"/>
      <c r="GF16" s="1"/>
      <c r="GG16" s="1"/>
      <c r="GH16" s="1"/>
      <c r="GI16" s="1"/>
      <c r="GJ16" s="54" t="s">
        <v>268</v>
      </c>
      <c r="GK16" s="1"/>
      <c r="GL16" s="55" t="s">
        <v>268</v>
      </c>
      <c r="GM16" s="1"/>
      <c r="GN16" s="1"/>
      <c r="GO16" s="2"/>
      <c r="GP16" s="54" t="s">
        <v>268</v>
      </c>
      <c r="GQ16" s="54">
        <v>79.75</v>
      </c>
      <c r="GR16" s="54" t="s">
        <v>268</v>
      </c>
      <c r="GS16" s="55">
        <v>79.75</v>
      </c>
      <c r="GT16" s="56">
        <v>4</v>
      </c>
      <c r="GU16" s="54" t="s">
        <v>268</v>
      </c>
      <c r="GV16" s="1"/>
      <c r="GW16" s="57">
        <v>0</v>
      </c>
      <c r="GX16" s="58">
        <v>100</v>
      </c>
      <c r="GY16" s="4">
        <v>1199044</v>
      </c>
      <c r="GZ16" s="39">
        <v>114</v>
      </c>
      <c r="HA16" s="39">
        <v>17</v>
      </c>
      <c r="HB16" s="1"/>
      <c r="HC16" s="1">
        <v>85</v>
      </c>
      <c r="HD16" s="1">
        <v>60</v>
      </c>
      <c r="HE16" s="1">
        <v>80</v>
      </c>
      <c r="HF16" s="1"/>
      <c r="HG16" s="1"/>
      <c r="HH16" s="1"/>
      <c r="HI16" s="54">
        <v>75</v>
      </c>
      <c r="HJ16" s="1"/>
      <c r="HK16" s="55">
        <v>75</v>
      </c>
      <c r="HL16" s="1"/>
      <c r="HM16" s="1"/>
      <c r="HN16" s="2">
        <v>0</v>
      </c>
      <c r="HO16" s="54">
        <v>100</v>
      </c>
      <c r="HP16" s="1"/>
      <c r="HQ16" s="1"/>
      <c r="HR16" s="1"/>
      <c r="HS16" s="1"/>
      <c r="HT16" s="1"/>
      <c r="HU16" s="1"/>
      <c r="HV16" s="54" t="s">
        <v>268</v>
      </c>
      <c r="HW16" s="1"/>
      <c r="HX16" s="55" t="s">
        <v>268</v>
      </c>
      <c r="HY16" s="1"/>
      <c r="HZ16" s="1"/>
      <c r="IA16" s="2"/>
      <c r="IB16" s="54" t="s">
        <v>268</v>
      </c>
      <c r="IC16" s="54">
        <v>75</v>
      </c>
      <c r="ID16" s="54" t="s">
        <v>268</v>
      </c>
      <c r="IE16" s="55">
        <v>75</v>
      </c>
      <c r="IF16" s="56">
        <v>4</v>
      </c>
      <c r="IG16" s="54" t="s">
        <v>268</v>
      </c>
      <c r="IH16" s="1"/>
      <c r="II16" s="57">
        <v>0</v>
      </c>
      <c r="IJ16" s="58">
        <v>100</v>
      </c>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v>1072909</v>
      </c>
      <c r="PT16" s="39">
        <v>128</v>
      </c>
      <c r="PU16" s="39">
        <v>34</v>
      </c>
      <c r="PV16" s="1"/>
      <c r="PW16" s="1">
        <v>75</v>
      </c>
      <c r="PX16" s="1">
        <v>68</v>
      </c>
      <c r="PY16" s="1">
        <v>70</v>
      </c>
      <c r="PZ16" s="1"/>
      <c r="QA16" s="1"/>
      <c r="QB16" s="1"/>
      <c r="QC16" s="54">
        <v>71</v>
      </c>
      <c r="QD16" s="1"/>
      <c r="QE16" s="55">
        <v>71</v>
      </c>
      <c r="QF16" s="1"/>
      <c r="QG16" s="1"/>
      <c r="QH16" s="2">
        <v>0</v>
      </c>
      <c r="QI16" s="54">
        <v>100</v>
      </c>
      <c r="QJ16" s="1"/>
      <c r="QK16" s="1"/>
      <c r="QL16" s="1"/>
      <c r="QM16" s="1"/>
      <c r="QN16" s="1"/>
      <c r="QO16" s="1"/>
      <c r="QP16" s="54" t="s">
        <v>268</v>
      </c>
      <c r="QQ16" s="1"/>
      <c r="QR16" s="55" t="s">
        <v>268</v>
      </c>
      <c r="QS16" s="1"/>
      <c r="QT16" s="1"/>
      <c r="QU16" s="2"/>
      <c r="QV16" s="54" t="s">
        <v>268</v>
      </c>
      <c r="QW16" s="54">
        <v>71</v>
      </c>
      <c r="QX16" s="54" t="s">
        <v>268</v>
      </c>
      <c r="QY16" s="55">
        <v>71</v>
      </c>
      <c r="QZ16" s="56">
        <v>4</v>
      </c>
      <c r="RA16" s="54" t="s">
        <v>268</v>
      </c>
      <c r="RB16" s="1"/>
      <c r="RC16" s="57">
        <v>0</v>
      </c>
      <c r="RD16" s="58">
        <v>100</v>
      </c>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v>1072909</v>
      </c>
      <c r="UD16" s="39">
        <v>131</v>
      </c>
      <c r="UE16" s="39">
        <v>68</v>
      </c>
      <c r="UF16" s="1"/>
      <c r="UG16" s="1">
        <v>80</v>
      </c>
      <c r="UH16" s="1">
        <v>80</v>
      </c>
      <c r="UI16" s="1">
        <v>75</v>
      </c>
      <c r="UJ16" s="1">
        <v>75</v>
      </c>
      <c r="UK16" s="1"/>
      <c r="UL16" s="1"/>
      <c r="UM16" s="54">
        <v>77.5</v>
      </c>
      <c r="UN16" s="1"/>
      <c r="UO16" s="55">
        <v>77.5</v>
      </c>
      <c r="UP16" s="1"/>
      <c r="UQ16" s="1"/>
      <c r="UR16" s="2">
        <v>0</v>
      </c>
      <c r="US16" s="54">
        <v>100</v>
      </c>
      <c r="UT16" s="1"/>
      <c r="UU16" s="1"/>
      <c r="UV16" s="1"/>
      <c r="UW16" s="1"/>
      <c r="UX16" s="1"/>
      <c r="UY16" s="1"/>
      <c r="UZ16" s="54" t="s">
        <v>268</v>
      </c>
      <c r="VA16" s="1"/>
      <c r="VB16" s="55" t="s">
        <v>268</v>
      </c>
      <c r="VC16" s="1"/>
      <c r="VD16" s="1"/>
      <c r="VE16" s="2"/>
      <c r="VF16" s="54" t="s">
        <v>268</v>
      </c>
      <c r="VG16" s="54">
        <v>77.5</v>
      </c>
      <c r="VH16" s="54" t="s">
        <v>268</v>
      </c>
      <c r="VI16" s="55">
        <v>77.5</v>
      </c>
      <c r="VJ16" s="56">
        <v>4</v>
      </c>
      <c r="VK16" s="54" t="s">
        <v>268</v>
      </c>
      <c r="VL16" s="1"/>
      <c r="VM16" s="57">
        <v>0</v>
      </c>
      <c r="VN16" s="58">
        <v>100</v>
      </c>
      <c r="VO16" s="4">
        <v>1072909</v>
      </c>
      <c r="VP16" s="39">
        <v>132</v>
      </c>
      <c r="VQ16" s="39">
        <v>34</v>
      </c>
      <c r="VR16" s="1"/>
      <c r="VS16" s="1">
        <v>100</v>
      </c>
      <c r="VT16" s="1">
        <v>65</v>
      </c>
      <c r="VU16" s="1">
        <v>78</v>
      </c>
      <c r="VV16" s="1"/>
      <c r="VW16" s="1"/>
      <c r="VX16" s="1"/>
      <c r="VY16" s="54">
        <v>81</v>
      </c>
      <c r="VZ16" s="1"/>
      <c r="WA16" s="55">
        <v>81</v>
      </c>
      <c r="WB16" s="1"/>
      <c r="WC16" s="1"/>
      <c r="WD16" s="2">
        <v>0</v>
      </c>
      <c r="WE16" s="54">
        <v>100</v>
      </c>
      <c r="WF16" s="1"/>
      <c r="WG16" s="1"/>
      <c r="WH16" s="1"/>
      <c r="WI16" s="1"/>
      <c r="WJ16" s="1"/>
      <c r="WK16" s="1"/>
      <c r="WL16" s="54" t="s">
        <v>268</v>
      </c>
      <c r="WM16" s="1"/>
      <c r="WN16" s="55" t="s">
        <v>268</v>
      </c>
      <c r="WO16" s="1"/>
      <c r="WP16" s="1"/>
      <c r="WQ16" s="2"/>
      <c r="WR16" s="54" t="s">
        <v>268</v>
      </c>
      <c r="WS16" s="54">
        <v>81</v>
      </c>
      <c r="WT16" s="54" t="s">
        <v>268</v>
      </c>
      <c r="WU16" s="55">
        <v>81</v>
      </c>
      <c r="WV16" s="56">
        <v>5</v>
      </c>
      <c r="WW16" s="54" t="s">
        <v>268</v>
      </c>
      <c r="WX16" s="1"/>
      <c r="WY16" s="57">
        <v>0</v>
      </c>
      <c r="WZ16" s="58">
        <v>100</v>
      </c>
      <c r="XA16" s="4">
        <v>1072909</v>
      </c>
      <c r="XB16" s="39">
        <v>133</v>
      </c>
      <c r="XC16" s="39">
        <v>34</v>
      </c>
      <c r="XD16" s="1"/>
      <c r="XE16" s="1">
        <v>80</v>
      </c>
      <c r="XF16" s="1">
        <v>65</v>
      </c>
      <c r="XG16" s="1">
        <v>66</v>
      </c>
      <c r="XH16" s="1"/>
      <c r="XI16" s="1"/>
      <c r="XJ16" s="1"/>
      <c r="XK16" s="54">
        <v>70.333333333333329</v>
      </c>
      <c r="XL16" s="1"/>
      <c r="XM16" s="55">
        <v>70.333333333333329</v>
      </c>
      <c r="XN16" s="1"/>
      <c r="XO16" s="1"/>
      <c r="XP16" s="2">
        <v>0</v>
      </c>
      <c r="XQ16" s="54">
        <v>100</v>
      </c>
      <c r="XR16" s="1"/>
      <c r="XS16" s="1"/>
      <c r="XT16" s="1"/>
      <c r="XU16" s="1"/>
      <c r="XV16" s="1"/>
      <c r="XW16" s="1"/>
      <c r="XX16" s="54" t="s">
        <v>268</v>
      </c>
      <c r="XY16" s="1"/>
      <c r="XZ16" s="55" t="s">
        <v>268</v>
      </c>
      <c r="YA16" s="1"/>
      <c r="YB16" s="1"/>
      <c r="YC16" s="2"/>
      <c r="YD16" s="54" t="s">
        <v>268</v>
      </c>
      <c r="YE16" s="54">
        <v>70.333333333333329</v>
      </c>
      <c r="YF16" s="54" t="s">
        <v>268</v>
      </c>
      <c r="YG16" s="55">
        <v>70.333333333333329</v>
      </c>
      <c r="YH16" s="56">
        <v>4</v>
      </c>
      <c r="YI16" s="54" t="s">
        <v>268</v>
      </c>
      <c r="YJ16" s="1"/>
      <c r="YK16" s="57">
        <v>0</v>
      </c>
      <c r="YL16" s="58">
        <v>100</v>
      </c>
      <c r="YM16" s="4">
        <v>1072909</v>
      </c>
      <c r="YN16" s="39">
        <v>135</v>
      </c>
      <c r="YO16" s="39">
        <v>34</v>
      </c>
      <c r="YP16" s="1"/>
      <c r="YQ16" s="1">
        <v>75</v>
      </c>
      <c r="YR16" s="1">
        <v>70</v>
      </c>
      <c r="YS16" s="1">
        <v>66</v>
      </c>
      <c r="YT16" s="1"/>
      <c r="YU16" s="1"/>
      <c r="YV16" s="1"/>
      <c r="YW16" s="54">
        <v>70.333333333333329</v>
      </c>
      <c r="YX16" s="1"/>
      <c r="YY16" s="55">
        <v>70.333333333333329</v>
      </c>
      <c r="YZ16" s="1"/>
      <c r="ZA16" s="1"/>
      <c r="ZB16" s="2">
        <v>0</v>
      </c>
      <c r="ZC16" s="54">
        <v>100</v>
      </c>
      <c r="ZD16" s="1"/>
      <c r="ZE16" s="1"/>
      <c r="ZF16" s="1"/>
      <c r="ZG16" s="1"/>
      <c r="ZH16" s="1"/>
      <c r="ZI16" s="1"/>
      <c r="ZJ16" s="54" t="s">
        <v>268</v>
      </c>
      <c r="ZK16" s="1"/>
      <c r="ZL16" s="55" t="s">
        <v>268</v>
      </c>
      <c r="ZM16" s="1"/>
      <c r="ZN16" s="1"/>
      <c r="ZO16" s="2"/>
      <c r="ZP16" s="54" t="s">
        <v>268</v>
      </c>
      <c r="ZQ16" s="54">
        <v>70.333333333333329</v>
      </c>
      <c r="ZR16" s="54" t="s">
        <v>268</v>
      </c>
      <c r="ZS16" s="55">
        <v>70.333333333333329</v>
      </c>
      <c r="ZT16" s="56">
        <v>4</v>
      </c>
      <c r="ZU16" s="54" t="s">
        <v>268</v>
      </c>
      <c r="ZV16" s="1"/>
      <c r="ZW16" s="57">
        <v>0</v>
      </c>
      <c r="ZX16" s="58">
        <v>100</v>
      </c>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2" customHeight="1" x14ac:dyDescent="0.2">
      <c r="A17" s="88" t="str">
        <f t="shared" si="397"/>
        <v>2023-2024</v>
      </c>
      <c r="B17" s="88" t="str">
        <f t="shared" si="398"/>
        <v>Bakı</v>
      </c>
      <c r="C17" s="88" t="str">
        <f t="shared" si="399"/>
        <v>Binəqədi</v>
      </c>
      <c r="D17" s="88">
        <f t="shared" si="400"/>
        <v>99</v>
      </c>
      <c r="E17" s="40">
        <v>3984389</v>
      </c>
      <c r="F17" s="88">
        <f t="shared" si="401"/>
        <v>2</v>
      </c>
      <c r="G17" s="88" t="str">
        <f t="shared" si="402"/>
        <v>C</v>
      </c>
      <c r="H17" s="36" t="s">
        <v>173</v>
      </c>
      <c r="I17" s="37" t="s">
        <v>174</v>
      </c>
      <c r="J17" s="41" t="s">
        <v>175</v>
      </c>
      <c r="K17" s="89" t="str">
        <f t="shared" si="403"/>
        <v>A</v>
      </c>
      <c r="L17" s="41" t="s">
        <v>119</v>
      </c>
      <c r="M17" s="41" t="s">
        <v>234</v>
      </c>
      <c r="N17" s="41"/>
      <c r="O17" s="43" t="s">
        <v>235</v>
      </c>
      <c r="P17" s="90" t="str">
        <f t="shared" si="404"/>
        <v>Süleymanova Aybəniz</v>
      </c>
      <c r="Q17" s="4">
        <v>1072909</v>
      </c>
      <c r="R17" s="39">
        <v>101</v>
      </c>
      <c r="S17" s="39">
        <v>308</v>
      </c>
      <c r="T17" s="1"/>
      <c r="U17" s="1">
        <v>74</v>
      </c>
      <c r="V17" s="1">
        <v>75</v>
      </c>
      <c r="W17" s="1">
        <v>75</v>
      </c>
      <c r="X17" s="1">
        <v>64</v>
      </c>
      <c r="Y17" s="1"/>
      <c r="Z17" s="1"/>
      <c r="AA17" s="54">
        <v>72</v>
      </c>
      <c r="AB17" s="1"/>
      <c r="AC17" s="55">
        <v>72</v>
      </c>
      <c r="AD17" s="1"/>
      <c r="AE17" s="1"/>
      <c r="AF17" s="2">
        <v>0</v>
      </c>
      <c r="AG17" s="54">
        <v>100</v>
      </c>
      <c r="AH17" s="1"/>
      <c r="AI17" s="1"/>
      <c r="AJ17" s="1"/>
      <c r="AK17" s="1"/>
      <c r="AL17" s="1"/>
      <c r="AM17" s="1"/>
      <c r="AN17" s="54" t="s">
        <v>268</v>
      </c>
      <c r="AO17" s="1"/>
      <c r="AP17" s="55" t="s">
        <v>268</v>
      </c>
      <c r="AQ17" s="1"/>
      <c r="AR17" s="1"/>
      <c r="AS17" s="2"/>
      <c r="AT17" s="54" t="s">
        <v>268</v>
      </c>
      <c r="AU17" s="54">
        <v>72</v>
      </c>
      <c r="AV17" s="54" t="s">
        <v>268</v>
      </c>
      <c r="AW17" s="55">
        <v>72</v>
      </c>
      <c r="AX17" s="56">
        <v>4</v>
      </c>
      <c r="AY17" s="54" t="s">
        <v>268</v>
      </c>
      <c r="AZ17" s="1"/>
      <c r="BA17" s="57">
        <v>0</v>
      </c>
      <c r="BB17" s="58">
        <v>100</v>
      </c>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v>1273950</v>
      </c>
      <c r="EB17" s="39">
        <v>106</v>
      </c>
      <c r="EC17" s="39">
        <v>17</v>
      </c>
      <c r="ED17" s="1"/>
      <c r="EE17" s="1">
        <v>80</v>
      </c>
      <c r="EF17" s="1">
        <v>75</v>
      </c>
      <c r="EG17" s="1">
        <v>85</v>
      </c>
      <c r="EH17" s="1"/>
      <c r="EI17" s="1"/>
      <c r="EJ17" s="1"/>
      <c r="EK17" s="54">
        <v>80</v>
      </c>
      <c r="EL17" s="1"/>
      <c r="EM17" s="55">
        <v>80</v>
      </c>
      <c r="EN17" s="1"/>
      <c r="EO17" s="1"/>
      <c r="EP17" s="2">
        <v>0</v>
      </c>
      <c r="EQ17" s="54">
        <v>100</v>
      </c>
      <c r="ER17" s="1"/>
      <c r="ES17" s="1"/>
      <c r="ET17" s="1"/>
      <c r="EU17" s="1"/>
      <c r="EV17" s="1"/>
      <c r="EW17" s="1"/>
      <c r="EX17" s="54" t="s">
        <v>268</v>
      </c>
      <c r="EY17" s="1"/>
      <c r="EZ17" s="55" t="s">
        <v>268</v>
      </c>
      <c r="FA17" s="1"/>
      <c r="FB17" s="1"/>
      <c r="FC17" s="2"/>
      <c r="FD17" s="54" t="s">
        <v>268</v>
      </c>
      <c r="FE17" s="54">
        <v>80</v>
      </c>
      <c r="FF17" s="54" t="s">
        <v>268</v>
      </c>
      <c r="FG17" s="55">
        <v>80</v>
      </c>
      <c r="FH17" s="56">
        <v>4</v>
      </c>
      <c r="FI17" s="54" t="s">
        <v>268</v>
      </c>
      <c r="FJ17" s="1"/>
      <c r="FK17" s="57">
        <v>0</v>
      </c>
      <c r="FL17" s="58">
        <v>100</v>
      </c>
      <c r="FM17" s="4">
        <v>1072909</v>
      </c>
      <c r="FN17" s="39">
        <v>110</v>
      </c>
      <c r="FO17" s="39">
        <v>171</v>
      </c>
      <c r="FP17" s="1"/>
      <c r="FQ17" s="1">
        <v>47</v>
      </c>
      <c r="FR17" s="1">
        <v>42</v>
      </c>
      <c r="FS17" s="1">
        <v>61</v>
      </c>
      <c r="FT17" s="1">
        <v>54</v>
      </c>
      <c r="FU17" s="1"/>
      <c r="FV17" s="1"/>
      <c r="FW17" s="54">
        <v>51</v>
      </c>
      <c r="FX17" s="1"/>
      <c r="FY17" s="55">
        <v>51</v>
      </c>
      <c r="FZ17" s="1"/>
      <c r="GA17" s="1"/>
      <c r="GB17" s="2">
        <v>0</v>
      </c>
      <c r="GC17" s="54">
        <v>100</v>
      </c>
      <c r="GD17" s="1"/>
      <c r="GE17" s="1"/>
      <c r="GF17" s="1"/>
      <c r="GG17" s="1"/>
      <c r="GH17" s="1"/>
      <c r="GI17" s="1"/>
      <c r="GJ17" s="54" t="s">
        <v>268</v>
      </c>
      <c r="GK17" s="1"/>
      <c r="GL17" s="55" t="s">
        <v>268</v>
      </c>
      <c r="GM17" s="1"/>
      <c r="GN17" s="1"/>
      <c r="GO17" s="2"/>
      <c r="GP17" s="54" t="s">
        <v>268</v>
      </c>
      <c r="GQ17" s="54">
        <v>51</v>
      </c>
      <c r="GR17" s="54" t="s">
        <v>268</v>
      </c>
      <c r="GS17" s="55">
        <v>51</v>
      </c>
      <c r="GT17" s="56">
        <v>3</v>
      </c>
      <c r="GU17" s="54" t="s">
        <v>268</v>
      </c>
      <c r="GV17" s="1"/>
      <c r="GW17" s="57">
        <v>0</v>
      </c>
      <c r="GX17" s="58">
        <v>100</v>
      </c>
      <c r="GY17" s="4">
        <v>1199044</v>
      </c>
      <c r="GZ17" s="39">
        <v>114</v>
      </c>
      <c r="HA17" s="39">
        <v>17</v>
      </c>
      <c r="HB17" s="1"/>
      <c r="HC17" s="1">
        <v>75</v>
      </c>
      <c r="HD17" s="1">
        <v>90</v>
      </c>
      <c r="HE17" s="1">
        <v>85</v>
      </c>
      <c r="HF17" s="1"/>
      <c r="HG17" s="1"/>
      <c r="HH17" s="1"/>
      <c r="HI17" s="54">
        <v>83.333333333333329</v>
      </c>
      <c r="HJ17" s="1"/>
      <c r="HK17" s="55">
        <v>83.333333333333329</v>
      </c>
      <c r="HL17" s="1"/>
      <c r="HM17" s="1"/>
      <c r="HN17" s="2">
        <v>0</v>
      </c>
      <c r="HO17" s="54">
        <v>100</v>
      </c>
      <c r="HP17" s="1"/>
      <c r="HQ17" s="1"/>
      <c r="HR17" s="1"/>
      <c r="HS17" s="1"/>
      <c r="HT17" s="1"/>
      <c r="HU17" s="1"/>
      <c r="HV17" s="54" t="s">
        <v>268</v>
      </c>
      <c r="HW17" s="1"/>
      <c r="HX17" s="55" t="s">
        <v>268</v>
      </c>
      <c r="HY17" s="1"/>
      <c r="HZ17" s="1"/>
      <c r="IA17" s="2"/>
      <c r="IB17" s="54" t="s">
        <v>268</v>
      </c>
      <c r="IC17" s="54">
        <v>83.333333333333329</v>
      </c>
      <c r="ID17" s="54" t="s">
        <v>268</v>
      </c>
      <c r="IE17" s="55">
        <v>83.333333333333329</v>
      </c>
      <c r="IF17" s="56">
        <v>5</v>
      </c>
      <c r="IG17" s="54" t="s">
        <v>268</v>
      </c>
      <c r="IH17" s="1"/>
      <c r="II17" s="57">
        <v>0</v>
      </c>
      <c r="IJ17" s="58">
        <v>100</v>
      </c>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v>1072909</v>
      </c>
      <c r="PT17" s="39">
        <v>128</v>
      </c>
      <c r="PU17" s="39">
        <v>34</v>
      </c>
      <c r="PV17" s="1"/>
      <c r="PW17" s="1">
        <v>75</v>
      </c>
      <c r="PX17" s="1">
        <v>62</v>
      </c>
      <c r="PY17" s="1">
        <v>65</v>
      </c>
      <c r="PZ17" s="1"/>
      <c r="QA17" s="1"/>
      <c r="QB17" s="1"/>
      <c r="QC17" s="54">
        <v>67.333333333333329</v>
      </c>
      <c r="QD17" s="1"/>
      <c r="QE17" s="55">
        <v>67.333333333333329</v>
      </c>
      <c r="QF17" s="1"/>
      <c r="QG17" s="1"/>
      <c r="QH17" s="2">
        <v>0</v>
      </c>
      <c r="QI17" s="54">
        <v>100</v>
      </c>
      <c r="QJ17" s="1"/>
      <c r="QK17" s="1"/>
      <c r="QL17" s="1"/>
      <c r="QM17" s="1"/>
      <c r="QN17" s="1"/>
      <c r="QO17" s="1"/>
      <c r="QP17" s="54" t="s">
        <v>268</v>
      </c>
      <c r="QQ17" s="1"/>
      <c r="QR17" s="55" t="s">
        <v>268</v>
      </c>
      <c r="QS17" s="1"/>
      <c r="QT17" s="1"/>
      <c r="QU17" s="2"/>
      <c r="QV17" s="54" t="s">
        <v>268</v>
      </c>
      <c r="QW17" s="54">
        <v>67.333333333333329</v>
      </c>
      <c r="QX17" s="54" t="s">
        <v>268</v>
      </c>
      <c r="QY17" s="55">
        <v>67.333333333333329</v>
      </c>
      <c r="QZ17" s="56">
        <v>4</v>
      </c>
      <c r="RA17" s="54" t="s">
        <v>268</v>
      </c>
      <c r="RB17" s="1"/>
      <c r="RC17" s="57">
        <v>0</v>
      </c>
      <c r="RD17" s="58">
        <v>100</v>
      </c>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v>1072909</v>
      </c>
      <c r="UD17" s="39">
        <v>131</v>
      </c>
      <c r="UE17" s="39">
        <v>68</v>
      </c>
      <c r="UF17" s="1"/>
      <c r="UG17" s="1">
        <v>75</v>
      </c>
      <c r="UH17" s="1">
        <v>70</v>
      </c>
      <c r="UI17" s="1">
        <v>75</v>
      </c>
      <c r="UJ17" s="1">
        <v>75</v>
      </c>
      <c r="UK17" s="1"/>
      <c r="UL17" s="1"/>
      <c r="UM17" s="54">
        <v>73.75</v>
      </c>
      <c r="UN17" s="1"/>
      <c r="UO17" s="55">
        <v>73.75</v>
      </c>
      <c r="UP17" s="1"/>
      <c r="UQ17" s="1"/>
      <c r="UR17" s="2">
        <v>0</v>
      </c>
      <c r="US17" s="54">
        <v>100</v>
      </c>
      <c r="UT17" s="1"/>
      <c r="UU17" s="1"/>
      <c r="UV17" s="1"/>
      <c r="UW17" s="1"/>
      <c r="UX17" s="1"/>
      <c r="UY17" s="1"/>
      <c r="UZ17" s="54" t="s">
        <v>268</v>
      </c>
      <c r="VA17" s="1"/>
      <c r="VB17" s="55" t="s">
        <v>268</v>
      </c>
      <c r="VC17" s="1"/>
      <c r="VD17" s="1"/>
      <c r="VE17" s="2"/>
      <c r="VF17" s="54" t="s">
        <v>268</v>
      </c>
      <c r="VG17" s="54">
        <v>73.75</v>
      </c>
      <c r="VH17" s="54" t="s">
        <v>268</v>
      </c>
      <c r="VI17" s="55">
        <v>73.75</v>
      </c>
      <c r="VJ17" s="56">
        <v>4</v>
      </c>
      <c r="VK17" s="54" t="s">
        <v>268</v>
      </c>
      <c r="VL17" s="1"/>
      <c r="VM17" s="57">
        <v>0</v>
      </c>
      <c r="VN17" s="58">
        <v>100</v>
      </c>
      <c r="VO17" s="4">
        <v>1072909</v>
      </c>
      <c r="VP17" s="39">
        <v>132</v>
      </c>
      <c r="VQ17" s="39">
        <v>34</v>
      </c>
      <c r="VR17" s="1"/>
      <c r="VS17" s="1">
        <v>80</v>
      </c>
      <c r="VT17" s="1">
        <v>65</v>
      </c>
      <c r="VU17" s="1">
        <v>64</v>
      </c>
      <c r="VV17" s="1"/>
      <c r="VW17" s="1"/>
      <c r="VX17" s="1"/>
      <c r="VY17" s="54">
        <v>69.666666666666671</v>
      </c>
      <c r="VZ17" s="1"/>
      <c r="WA17" s="55">
        <v>69.666666666666671</v>
      </c>
      <c r="WB17" s="1"/>
      <c r="WC17" s="1"/>
      <c r="WD17" s="2">
        <v>0</v>
      </c>
      <c r="WE17" s="54">
        <v>100</v>
      </c>
      <c r="WF17" s="1"/>
      <c r="WG17" s="1"/>
      <c r="WH17" s="1"/>
      <c r="WI17" s="1"/>
      <c r="WJ17" s="1"/>
      <c r="WK17" s="1"/>
      <c r="WL17" s="54" t="s">
        <v>268</v>
      </c>
      <c r="WM17" s="1"/>
      <c r="WN17" s="55" t="s">
        <v>268</v>
      </c>
      <c r="WO17" s="1"/>
      <c r="WP17" s="1"/>
      <c r="WQ17" s="2"/>
      <c r="WR17" s="54" t="s">
        <v>268</v>
      </c>
      <c r="WS17" s="54">
        <v>69.666666666666671</v>
      </c>
      <c r="WT17" s="54" t="s">
        <v>268</v>
      </c>
      <c r="WU17" s="55">
        <v>69.666666666666671</v>
      </c>
      <c r="WV17" s="56">
        <v>4</v>
      </c>
      <c r="WW17" s="54" t="s">
        <v>268</v>
      </c>
      <c r="WX17" s="1"/>
      <c r="WY17" s="57">
        <v>0</v>
      </c>
      <c r="WZ17" s="58">
        <v>100</v>
      </c>
      <c r="XA17" s="4">
        <v>1072909</v>
      </c>
      <c r="XB17" s="39">
        <v>133</v>
      </c>
      <c r="XC17" s="39">
        <v>34</v>
      </c>
      <c r="XD17" s="1"/>
      <c r="XE17" s="1">
        <v>75</v>
      </c>
      <c r="XF17" s="1">
        <v>65</v>
      </c>
      <c r="XG17" s="1">
        <v>78</v>
      </c>
      <c r="XH17" s="1"/>
      <c r="XI17" s="1"/>
      <c r="XJ17" s="1"/>
      <c r="XK17" s="54">
        <v>72.666666666666671</v>
      </c>
      <c r="XL17" s="1"/>
      <c r="XM17" s="55">
        <v>72.666666666666671</v>
      </c>
      <c r="XN17" s="1"/>
      <c r="XO17" s="1"/>
      <c r="XP17" s="2">
        <v>0</v>
      </c>
      <c r="XQ17" s="54">
        <v>100</v>
      </c>
      <c r="XR17" s="1"/>
      <c r="XS17" s="1"/>
      <c r="XT17" s="1"/>
      <c r="XU17" s="1"/>
      <c r="XV17" s="1"/>
      <c r="XW17" s="1"/>
      <c r="XX17" s="54" t="s">
        <v>268</v>
      </c>
      <c r="XY17" s="1"/>
      <c r="XZ17" s="55" t="s">
        <v>268</v>
      </c>
      <c r="YA17" s="1"/>
      <c r="YB17" s="1"/>
      <c r="YC17" s="2"/>
      <c r="YD17" s="54" t="s">
        <v>268</v>
      </c>
      <c r="YE17" s="54">
        <v>72.666666666666671</v>
      </c>
      <c r="YF17" s="54" t="s">
        <v>268</v>
      </c>
      <c r="YG17" s="55">
        <v>72.666666666666671</v>
      </c>
      <c r="YH17" s="56">
        <v>4</v>
      </c>
      <c r="YI17" s="54" t="s">
        <v>268</v>
      </c>
      <c r="YJ17" s="1"/>
      <c r="YK17" s="57">
        <v>0</v>
      </c>
      <c r="YL17" s="58">
        <v>100</v>
      </c>
      <c r="YM17" s="4">
        <v>1072909</v>
      </c>
      <c r="YN17" s="39">
        <v>135</v>
      </c>
      <c r="YO17" s="39">
        <v>34</v>
      </c>
      <c r="YP17" s="1"/>
      <c r="YQ17" s="1">
        <v>65</v>
      </c>
      <c r="YR17" s="1">
        <v>70</v>
      </c>
      <c r="YS17" s="1">
        <v>71</v>
      </c>
      <c r="YT17" s="1"/>
      <c r="YU17" s="1"/>
      <c r="YV17" s="1"/>
      <c r="YW17" s="54">
        <v>68.666666666666671</v>
      </c>
      <c r="YX17" s="1"/>
      <c r="YY17" s="55">
        <v>68.666666666666671</v>
      </c>
      <c r="YZ17" s="1"/>
      <c r="ZA17" s="1"/>
      <c r="ZB17" s="2">
        <v>0</v>
      </c>
      <c r="ZC17" s="54">
        <v>100</v>
      </c>
      <c r="ZD17" s="1"/>
      <c r="ZE17" s="1"/>
      <c r="ZF17" s="1"/>
      <c r="ZG17" s="1"/>
      <c r="ZH17" s="1"/>
      <c r="ZI17" s="1"/>
      <c r="ZJ17" s="54" t="s">
        <v>268</v>
      </c>
      <c r="ZK17" s="1"/>
      <c r="ZL17" s="55" t="s">
        <v>268</v>
      </c>
      <c r="ZM17" s="1"/>
      <c r="ZN17" s="1"/>
      <c r="ZO17" s="2"/>
      <c r="ZP17" s="54" t="s">
        <v>268</v>
      </c>
      <c r="ZQ17" s="54">
        <v>68.666666666666671</v>
      </c>
      <c r="ZR17" s="54" t="s">
        <v>268</v>
      </c>
      <c r="ZS17" s="55">
        <v>68.666666666666671</v>
      </c>
      <c r="ZT17" s="56">
        <v>4</v>
      </c>
      <c r="ZU17" s="54" t="s">
        <v>268</v>
      </c>
      <c r="ZV17" s="1"/>
      <c r="ZW17" s="57">
        <v>0</v>
      </c>
      <c r="ZX17" s="58">
        <v>100</v>
      </c>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2" customHeight="1" x14ac:dyDescent="0.2">
      <c r="A18" s="88" t="str">
        <f t="shared" si="397"/>
        <v>2023-2024</v>
      </c>
      <c r="B18" s="88" t="str">
        <f t="shared" si="398"/>
        <v>Bakı</v>
      </c>
      <c r="C18" s="88" t="str">
        <f t="shared" si="399"/>
        <v>Binəqədi</v>
      </c>
      <c r="D18" s="88">
        <f t="shared" si="400"/>
        <v>99</v>
      </c>
      <c r="E18" s="40">
        <v>3984460</v>
      </c>
      <c r="F18" s="88">
        <f t="shared" si="401"/>
        <v>2</v>
      </c>
      <c r="G18" s="88" t="str">
        <f t="shared" si="402"/>
        <v>C</v>
      </c>
      <c r="H18" s="36" t="s">
        <v>176</v>
      </c>
      <c r="I18" s="37" t="s">
        <v>177</v>
      </c>
      <c r="J18" s="41" t="s">
        <v>178</v>
      </c>
      <c r="K18" s="89" t="str">
        <f t="shared" si="403"/>
        <v>A</v>
      </c>
      <c r="L18" s="41" t="s">
        <v>119</v>
      </c>
      <c r="M18" s="41" t="s">
        <v>236</v>
      </c>
      <c r="N18" s="41"/>
      <c r="O18" s="43" t="s">
        <v>237</v>
      </c>
      <c r="P18" s="90" t="str">
        <f t="shared" si="404"/>
        <v>Süleymanova Aybəniz</v>
      </c>
      <c r="Q18" s="4">
        <v>1072909</v>
      </c>
      <c r="R18" s="39">
        <v>101</v>
      </c>
      <c r="S18" s="39">
        <v>308</v>
      </c>
      <c r="T18" s="1"/>
      <c r="U18" s="1">
        <v>68</v>
      </c>
      <c r="V18" s="1">
        <v>85</v>
      </c>
      <c r="W18" s="1">
        <v>86</v>
      </c>
      <c r="X18" s="1">
        <v>84</v>
      </c>
      <c r="Y18" s="1"/>
      <c r="Z18" s="1"/>
      <c r="AA18" s="54">
        <v>80.75</v>
      </c>
      <c r="AB18" s="1"/>
      <c r="AC18" s="55">
        <v>80.75</v>
      </c>
      <c r="AD18" s="1"/>
      <c r="AE18" s="1"/>
      <c r="AF18" s="2">
        <v>0</v>
      </c>
      <c r="AG18" s="54">
        <v>100</v>
      </c>
      <c r="AH18" s="1"/>
      <c r="AI18" s="1"/>
      <c r="AJ18" s="1"/>
      <c r="AK18" s="1"/>
      <c r="AL18" s="1"/>
      <c r="AM18" s="1"/>
      <c r="AN18" s="54" t="s">
        <v>268</v>
      </c>
      <c r="AO18" s="1"/>
      <c r="AP18" s="55" t="s">
        <v>268</v>
      </c>
      <c r="AQ18" s="1"/>
      <c r="AR18" s="1"/>
      <c r="AS18" s="2"/>
      <c r="AT18" s="54" t="s">
        <v>268</v>
      </c>
      <c r="AU18" s="54">
        <v>80.75</v>
      </c>
      <c r="AV18" s="54" t="s">
        <v>268</v>
      </c>
      <c r="AW18" s="55">
        <v>80.75</v>
      </c>
      <c r="AX18" s="56">
        <v>5</v>
      </c>
      <c r="AY18" s="54" t="s">
        <v>268</v>
      </c>
      <c r="AZ18" s="1"/>
      <c r="BA18" s="57">
        <v>0</v>
      </c>
      <c r="BB18" s="58">
        <v>100</v>
      </c>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v>1273950</v>
      </c>
      <c r="EB18" s="39">
        <v>106</v>
      </c>
      <c r="EC18" s="39">
        <v>17</v>
      </c>
      <c r="ED18" s="1"/>
      <c r="EE18" s="1">
        <v>80</v>
      </c>
      <c r="EF18" s="1">
        <v>80</v>
      </c>
      <c r="EG18" s="1">
        <v>95</v>
      </c>
      <c r="EH18" s="1"/>
      <c r="EI18" s="1"/>
      <c r="EJ18" s="1"/>
      <c r="EK18" s="54">
        <v>85</v>
      </c>
      <c r="EL18" s="1"/>
      <c r="EM18" s="55">
        <v>85</v>
      </c>
      <c r="EN18" s="1"/>
      <c r="EO18" s="1"/>
      <c r="EP18" s="2">
        <v>0</v>
      </c>
      <c r="EQ18" s="54">
        <v>100</v>
      </c>
      <c r="ER18" s="1"/>
      <c r="ES18" s="1"/>
      <c r="ET18" s="1"/>
      <c r="EU18" s="1"/>
      <c r="EV18" s="1"/>
      <c r="EW18" s="1"/>
      <c r="EX18" s="54" t="s">
        <v>268</v>
      </c>
      <c r="EY18" s="1"/>
      <c r="EZ18" s="55" t="s">
        <v>268</v>
      </c>
      <c r="FA18" s="1"/>
      <c r="FB18" s="1"/>
      <c r="FC18" s="2"/>
      <c r="FD18" s="54" t="s">
        <v>268</v>
      </c>
      <c r="FE18" s="54">
        <v>85</v>
      </c>
      <c r="FF18" s="54" t="s">
        <v>268</v>
      </c>
      <c r="FG18" s="55">
        <v>85</v>
      </c>
      <c r="FH18" s="56">
        <v>5</v>
      </c>
      <c r="FI18" s="54" t="s">
        <v>268</v>
      </c>
      <c r="FJ18" s="1"/>
      <c r="FK18" s="57">
        <v>0</v>
      </c>
      <c r="FL18" s="58">
        <v>100</v>
      </c>
      <c r="FM18" s="4">
        <v>1072909</v>
      </c>
      <c r="FN18" s="39">
        <v>110</v>
      </c>
      <c r="FO18" s="39">
        <v>171</v>
      </c>
      <c r="FP18" s="1"/>
      <c r="FQ18" s="1">
        <v>90</v>
      </c>
      <c r="FR18" s="1">
        <v>82</v>
      </c>
      <c r="FS18" s="1">
        <v>97</v>
      </c>
      <c r="FT18" s="1">
        <v>83</v>
      </c>
      <c r="FU18" s="1"/>
      <c r="FV18" s="1"/>
      <c r="FW18" s="54">
        <v>88</v>
      </c>
      <c r="FX18" s="1"/>
      <c r="FY18" s="55">
        <v>88</v>
      </c>
      <c r="FZ18" s="1"/>
      <c r="GA18" s="1"/>
      <c r="GB18" s="2">
        <v>0</v>
      </c>
      <c r="GC18" s="54">
        <v>100</v>
      </c>
      <c r="GD18" s="1"/>
      <c r="GE18" s="1"/>
      <c r="GF18" s="1"/>
      <c r="GG18" s="1"/>
      <c r="GH18" s="1"/>
      <c r="GI18" s="1"/>
      <c r="GJ18" s="54" t="s">
        <v>268</v>
      </c>
      <c r="GK18" s="1"/>
      <c r="GL18" s="55" t="s">
        <v>268</v>
      </c>
      <c r="GM18" s="1"/>
      <c r="GN18" s="1"/>
      <c r="GO18" s="2"/>
      <c r="GP18" s="54" t="s">
        <v>268</v>
      </c>
      <c r="GQ18" s="54">
        <v>88</v>
      </c>
      <c r="GR18" s="54" t="s">
        <v>268</v>
      </c>
      <c r="GS18" s="55">
        <v>88</v>
      </c>
      <c r="GT18" s="56">
        <v>5</v>
      </c>
      <c r="GU18" s="54" t="s">
        <v>268</v>
      </c>
      <c r="GV18" s="1"/>
      <c r="GW18" s="57">
        <v>0</v>
      </c>
      <c r="GX18" s="58">
        <v>100</v>
      </c>
      <c r="GY18" s="4">
        <v>1199044</v>
      </c>
      <c r="GZ18" s="39">
        <v>114</v>
      </c>
      <c r="HA18" s="39">
        <v>17</v>
      </c>
      <c r="HB18" s="1"/>
      <c r="HC18" s="1">
        <v>65</v>
      </c>
      <c r="HD18" s="1">
        <v>70</v>
      </c>
      <c r="HE18" s="1">
        <v>85</v>
      </c>
      <c r="HF18" s="1"/>
      <c r="HG18" s="1"/>
      <c r="HH18" s="1"/>
      <c r="HI18" s="54">
        <v>73.333333333333329</v>
      </c>
      <c r="HJ18" s="1"/>
      <c r="HK18" s="55">
        <v>73.333333333333329</v>
      </c>
      <c r="HL18" s="1"/>
      <c r="HM18" s="1"/>
      <c r="HN18" s="2">
        <v>0</v>
      </c>
      <c r="HO18" s="54">
        <v>100</v>
      </c>
      <c r="HP18" s="1"/>
      <c r="HQ18" s="1"/>
      <c r="HR18" s="1"/>
      <c r="HS18" s="1"/>
      <c r="HT18" s="1"/>
      <c r="HU18" s="1"/>
      <c r="HV18" s="54" t="s">
        <v>268</v>
      </c>
      <c r="HW18" s="1"/>
      <c r="HX18" s="55" t="s">
        <v>268</v>
      </c>
      <c r="HY18" s="1"/>
      <c r="HZ18" s="1"/>
      <c r="IA18" s="2"/>
      <c r="IB18" s="54" t="s">
        <v>268</v>
      </c>
      <c r="IC18" s="54">
        <v>73.333333333333329</v>
      </c>
      <c r="ID18" s="54" t="s">
        <v>268</v>
      </c>
      <c r="IE18" s="55">
        <v>73.333333333333329</v>
      </c>
      <c r="IF18" s="56">
        <v>4</v>
      </c>
      <c r="IG18" s="54" t="s">
        <v>268</v>
      </c>
      <c r="IH18" s="1"/>
      <c r="II18" s="57">
        <v>0</v>
      </c>
      <c r="IJ18" s="58">
        <v>100</v>
      </c>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v>1072909</v>
      </c>
      <c r="PT18" s="39">
        <v>128</v>
      </c>
      <c r="PU18" s="39">
        <v>34</v>
      </c>
      <c r="PV18" s="1"/>
      <c r="PW18" s="1">
        <v>75</v>
      </c>
      <c r="PX18" s="1">
        <v>85</v>
      </c>
      <c r="PY18" s="1">
        <v>90</v>
      </c>
      <c r="PZ18" s="1"/>
      <c r="QA18" s="1"/>
      <c r="QB18" s="1"/>
      <c r="QC18" s="54">
        <v>83.333333333333329</v>
      </c>
      <c r="QD18" s="1"/>
      <c r="QE18" s="55">
        <v>83.333333333333329</v>
      </c>
      <c r="QF18" s="1"/>
      <c r="QG18" s="1"/>
      <c r="QH18" s="2">
        <v>0</v>
      </c>
      <c r="QI18" s="54">
        <v>100</v>
      </c>
      <c r="QJ18" s="1"/>
      <c r="QK18" s="1"/>
      <c r="QL18" s="1"/>
      <c r="QM18" s="1"/>
      <c r="QN18" s="1"/>
      <c r="QO18" s="1"/>
      <c r="QP18" s="54" t="s">
        <v>268</v>
      </c>
      <c r="QQ18" s="1"/>
      <c r="QR18" s="55" t="s">
        <v>268</v>
      </c>
      <c r="QS18" s="1"/>
      <c r="QT18" s="1"/>
      <c r="QU18" s="2"/>
      <c r="QV18" s="54" t="s">
        <v>268</v>
      </c>
      <c r="QW18" s="54">
        <v>83.333333333333329</v>
      </c>
      <c r="QX18" s="54" t="s">
        <v>268</v>
      </c>
      <c r="QY18" s="55">
        <v>83.333333333333329</v>
      </c>
      <c r="QZ18" s="56">
        <v>5</v>
      </c>
      <c r="RA18" s="54" t="s">
        <v>268</v>
      </c>
      <c r="RB18" s="1"/>
      <c r="RC18" s="57">
        <v>0</v>
      </c>
      <c r="RD18" s="58">
        <v>100</v>
      </c>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v>1072909</v>
      </c>
      <c r="UD18" s="39">
        <v>131</v>
      </c>
      <c r="UE18" s="39">
        <v>68</v>
      </c>
      <c r="UF18" s="1"/>
      <c r="UG18" s="1">
        <v>85</v>
      </c>
      <c r="UH18" s="1">
        <v>85</v>
      </c>
      <c r="UI18" s="1">
        <v>90</v>
      </c>
      <c r="UJ18" s="1">
        <v>90</v>
      </c>
      <c r="UK18" s="1"/>
      <c r="UL18" s="1"/>
      <c r="UM18" s="54">
        <v>87.5</v>
      </c>
      <c r="UN18" s="1"/>
      <c r="UO18" s="55">
        <v>87.5</v>
      </c>
      <c r="UP18" s="1"/>
      <c r="UQ18" s="1"/>
      <c r="UR18" s="2">
        <v>0</v>
      </c>
      <c r="US18" s="54">
        <v>100</v>
      </c>
      <c r="UT18" s="1"/>
      <c r="UU18" s="1"/>
      <c r="UV18" s="1"/>
      <c r="UW18" s="1"/>
      <c r="UX18" s="1"/>
      <c r="UY18" s="1"/>
      <c r="UZ18" s="54" t="s">
        <v>268</v>
      </c>
      <c r="VA18" s="1"/>
      <c r="VB18" s="55" t="s">
        <v>268</v>
      </c>
      <c r="VC18" s="1"/>
      <c r="VD18" s="1"/>
      <c r="VE18" s="2"/>
      <c r="VF18" s="54" t="s">
        <v>268</v>
      </c>
      <c r="VG18" s="54">
        <v>87.5</v>
      </c>
      <c r="VH18" s="54" t="s">
        <v>268</v>
      </c>
      <c r="VI18" s="55">
        <v>87.5</v>
      </c>
      <c r="VJ18" s="56">
        <v>5</v>
      </c>
      <c r="VK18" s="54" t="s">
        <v>268</v>
      </c>
      <c r="VL18" s="1"/>
      <c r="VM18" s="57">
        <v>0</v>
      </c>
      <c r="VN18" s="58">
        <v>100</v>
      </c>
      <c r="VO18" s="4">
        <v>1072909</v>
      </c>
      <c r="VP18" s="39">
        <v>132</v>
      </c>
      <c r="VQ18" s="39">
        <v>34</v>
      </c>
      <c r="VR18" s="1"/>
      <c r="VS18" s="1">
        <v>80</v>
      </c>
      <c r="VT18" s="1">
        <v>85</v>
      </c>
      <c r="VU18" s="1">
        <v>85</v>
      </c>
      <c r="VV18" s="1"/>
      <c r="VW18" s="1"/>
      <c r="VX18" s="1"/>
      <c r="VY18" s="54">
        <v>83.333333333333329</v>
      </c>
      <c r="VZ18" s="1"/>
      <c r="WA18" s="55">
        <v>83.333333333333329</v>
      </c>
      <c r="WB18" s="1"/>
      <c r="WC18" s="1"/>
      <c r="WD18" s="2">
        <v>0</v>
      </c>
      <c r="WE18" s="54">
        <v>100</v>
      </c>
      <c r="WF18" s="1"/>
      <c r="WG18" s="1"/>
      <c r="WH18" s="1"/>
      <c r="WI18" s="1"/>
      <c r="WJ18" s="1"/>
      <c r="WK18" s="1"/>
      <c r="WL18" s="54" t="s">
        <v>268</v>
      </c>
      <c r="WM18" s="1"/>
      <c r="WN18" s="55" t="s">
        <v>268</v>
      </c>
      <c r="WO18" s="1"/>
      <c r="WP18" s="1"/>
      <c r="WQ18" s="2"/>
      <c r="WR18" s="54" t="s">
        <v>268</v>
      </c>
      <c r="WS18" s="54">
        <v>83.333333333333329</v>
      </c>
      <c r="WT18" s="54" t="s">
        <v>268</v>
      </c>
      <c r="WU18" s="55">
        <v>83.333333333333329</v>
      </c>
      <c r="WV18" s="56">
        <v>5</v>
      </c>
      <c r="WW18" s="54" t="s">
        <v>268</v>
      </c>
      <c r="WX18" s="1"/>
      <c r="WY18" s="57">
        <v>0</v>
      </c>
      <c r="WZ18" s="58">
        <v>100</v>
      </c>
      <c r="XA18" s="4">
        <v>1072909</v>
      </c>
      <c r="XB18" s="39">
        <v>133</v>
      </c>
      <c r="XC18" s="39">
        <v>34</v>
      </c>
      <c r="XD18" s="1"/>
      <c r="XE18" s="1">
        <v>75</v>
      </c>
      <c r="XF18" s="1">
        <v>85</v>
      </c>
      <c r="XG18" s="1">
        <v>82</v>
      </c>
      <c r="XH18" s="1"/>
      <c r="XI18" s="1"/>
      <c r="XJ18" s="1"/>
      <c r="XK18" s="54">
        <v>80.666666666666671</v>
      </c>
      <c r="XL18" s="1"/>
      <c r="XM18" s="55">
        <v>80.666666666666671</v>
      </c>
      <c r="XN18" s="1"/>
      <c r="XO18" s="1"/>
      <c r="XP18" s="2">
        <v>0</v>
      </c>
      <c r="XQ18" s="54">
        <v>100</v>
      </c>
      <c r="XR18" s="1"/>
      <c r="XS18" s="1"/>
      <c r="XT18" s="1"/>
      <c r="XU18" s="1"/>
      <c r="XV18" s="1"/>
      <c r="XW18" s="1"/>
      <c r="XX18" s="54" t="s">
        <v>268</v>
      </c>
      <c r="XY18" s="1"/>
      <c r="XZ18" s="55" t="s">
        <v>268</v>
      </c>
      <c r="YA18" s="1"/>
      <c r="YB18" s="1"/>
      <c r="YC18" s="2"/>
      <c r="YD18" s="54" t="s">
        <v>268</v>
      </c>
      <c r="YE18" s="54">
        <v>80.666666666666671</v>
      </c>
      <c r="YF18" s="54" t="s">
        <v>268</v>
      </c>
      <c r="YG18" s="55">
        <v>80.666666666666671</v>
      </c>
      <c r="YH18" s="56">
        <v>5</v>
      </c>
      <c r="YI18" s="54" t="s">
        <v>268</v>
      </c>
      <c r="YJ18" s="1"/>
      <c r="YK18" s="57">
        <v>0</v>
      </c>
      <c r="YL18" s="58">
        <v>100</v>
      </c>
      <c r="YM18" s="4">
        <v>1072909</v>
      </c>
      <c r="YN18" s="39">
        <v>135</v>
      </c>
      <c r="YO18" s="39">
        <v>34</v>
      </c>
      <c r="YP18" s="1"/>
      <c r="YQ18" s="1">
        <v>70</v>
      </c>
      <c r="YR18" s="1">
        <v>75</v>
      </c>
      <c r="YS18" s="1">
        <v>75</v>
      </c>
      <c r="YT18" s="1"/>
      <c r="YU18" s="1"/>
      <c r="YV18" s="1"/>
      <c r="YW18" s="54">
        <v>73.333333333333329</v>
      </c>
      <c r="YX18" s="1"/>
      <c r="YY18" s="55">
        <v>73.333333333333329</v>
      </c>
      <c r="YZ18" s="1"/>
      <c r="ZA18" s="1"/>
      <c r="ZB18" s="2">
        <v>0</v>
      </c>
      <c r="ZC18" s="54">
        <v>100</v>
      </c>
      <c r="ZD18" s="1"/>
      <c r="ZE18" s="1"/>
      <c r="ZF18" s="1"/>
      <c r="ZG18" s="1"/>
      <c r="ZH18" s="1"/>
      <c r="ZI18" s="1"/>
      <c r="ZJ18" s="54" t="s">
        <v>268</v>
      </c>
      <c r="ZK18" s="1"/>
      <c r="ZL18" s="55" t="s">
        <v>268</v>
      </c>
      <c r="ZM18" s="1"/>
      <c r="ZN18" s="1"/>
      <c r="ZO18" s="2"/>
      <c r="ZP18" s="54" t="s">
        <v>268</v>
      </c>
      <c r="ZQ18" s="54">
        <v>73.333333333333329</v>
      </c>
      <c r="ZR18" s="54" t="s">
        <v>268</v>
      </c>
      <c r="ZS18" s="55">
        <v>73.333333333333329</v>
      </c>
      <c r="ZT18" s="56">
        <v>4</v>
      </c>
      <c r="ZU18" s="54" t="s">
        <v>268</v>
      </c>
      <c r="ZV18" s="1"/>
      <c r="ZW18" s="57">
        <v>0</v>
      </c>
      <c r="ZX18" s="58">
        <v>100</v>
      </c>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2" customHeight="1" x14ac:dyDescent="0.2">
      <c r="A19" s="88" t="str">
        <f t="shared" si="397"/>
        <v>2023-2024</v>
      </c>
      <c r="B19" s="88" t="str">
        <f t="shared" si="398"/>
        <v>Bakı</v>
      </c>
      <c r="C19" s="88" t="str">
        <f t="shared" si="399"/>
        <v>Binəqədi</v>
      </c>
      <c r="D19" s="88">
        <f t="shared" si="400"/>
        <v>99</v>
      </c>
      <c r="E19" s="40">
        <v>3984468</v>
      </c>
      <c r="F19" s="88">
        <f t="shared" si="401"/>
        <v>2</v>
      </c>
      <c r="G19" s="88" t="str">
        <f t="shared" si="402"/>
        <v>C</v>
      </c>
      <c r="H19" s="36" t="s">
        <v>176</v>
      </c>
      <c r="I19" s="37" t="s">
        <v>179</v>
      </c>
      <c r="J19" s="41" t="s">
        <v>178</v>
      </c>
      <c r="K19" s="89" t="str">
        <f t="shared" si="403"/>
        <v>A</v>
      </c>
      <c r="L19" s="41" t="s">
        <v>119</v>
      </c>
      <c r="M19" s="41" t="s">
        <v>236</v>
      </c>
      <c r="N19" s="41"/>
      <c r="O19" s="43" t="s">
        <v>237</v>
      </c>
      <c r="P19" s="90" t="str">
        <f t="shared" si="404"/>
        <v>Süleymanova Aybəniz</v>
      </c>
      <c r="Q19" s="4">
        <v>1072909</v>
      </c>
      <c r="R19" s="39">
        <v>101</v>
      </c>
      <c r="S19" s="39">
        <v>308</v>
      </c>
      <c r="T19" s="1"/>
      <c r="U19" s="1">
        <v>74</v>
      </c>
      <c r="V19" s="1">
        <v>67</v>
      </c>
      <c r="W19" s="1">
        <v>68</v>
      </c>
      <c r="X19" s="1">
        <v>73</v>
      </c>
      <c r="Y19" s="1"/>
      <c r="Z19" s="1"/>
      <c r="AA19" s="54">
        <v>70.5</v>
      </c>
      <c r="AB19" s="1"/>
      <c r="AC19" s="55">
        <v>70.5</v>
      </c>
      <c r="AD19" s="1"/>
      <c r="AE19" s="1"/>
      <c r="AF19" s="2">
        <v>0</v>
      </c>
      <c r="AG19" s="54">
        <v>100</v>
      </c>
      <c r="AH19" s="1"/>
      <c r="AI19" s="1"/>
      <c r="AJ19" s="1"/>
      <c r="AK19" s="1"/>
      <c r="AL19" s="1"/>
      <c r="AM19" s="1"/>
      <c r="AN19" s="54" t="s">
        <v>268</v>
      </c>
      <c r="AO19" s="1"/>
      <c r="AP19" s="55" t="s">
        <v>268</v>
      </c>
      <c r="AQ19" s="1"/>
      <c r="AR19" s="1"/>
      <c r="AS19" s="2"/>
      <c r="AT19" s="54" t="s">
        <v>268</v>
      </c>
      <c r="AU19" s="54">
        <v>70.5</v>
      </c>
      <c r="AV19" s="54" t="s">
        <v>268</v>
      </c>
      <c r="AW19" s="55">
        <v>70.5</v>
      </c>
      <c r="AX19" s="56">
        <v>4</v>
      </c>
      <c r="AY19" s="54" t="s">
        <v>268</v>
      </c>
      <c r="AZ19" s="1"/>
      <c r="BA19" s="57">
        <v>0</v>
      </c>
      <c r="BB19" s="58">
        <v>100</v>
      </c>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v>1273950</v>
      </c>
      <c r="EB19" s="39">
        <v>106</v>
      </c>
      <c r="EC19" s="39">
        <v>17</v>
      </c>
      <c r="ED19" s="1"/>
      <c r="EE19" s="1">
        <v>55</v>
      </c>
      <c r="EF19" s="1">
        <v>50</v>
      </c>
      <c r="EG19" s="1">
        <v>65</v>
      </c>
      <c r="EH19" s="1"/>
      <c r="EI19" s="1"/>
      <c r="EJ19" s="1"/>
      <c r="EK19" s="54">
        <v>56.666666666666664</v>
      </c>
      <c r="EL19" s="1"/>
      <c r="EM19" s="55">
        <v>56.666666666666664</v>
      </c>
      <c r="EN19" s="1"/>
      <c r="EO19" s="1"/>
      <c r="EP19" s="2">
        <v>0</v>
      </c>
      <c r="EQ19" s="54">
        <v>100</v>
      </c>
      <c r="ER19" s="1"/>
      <c r="ES19" s="1"/>
      <c r="ET19" s="1"/>
      <c r="EU19" s="1"/>
      <c r="EV19" s="1"/>
      <c r="EW19" s="1"/>
      <c r="EX19" s="54" t="s">
        <v>268</v>
      </c>
      <c r="EY19" s="1"/>
      <c r="EZ19" s="55" t="s">
        <v>268</v>
      </c>
      <c r="FA19" s="1"/>
      <c r="FB19" s="1"/>
      <c r="FC19" s="2"/>
      <c r="FD19" s="54" t="s">
        <v>268</v>
      </c>
      <c r="FE19" s="54">
        <v>56.666666666666664</v>
      </c>
      <c r="FF19" s="54" t="s">
        <v>268</v>
      </c>
      <c r="FG19" s="55">
        <v>56.666666666666664</v>
      </c>
      <c r="FH19" s="56">
        <v>3</v>
      </c>
      <c r="FI19" s="54" t="s">
        <v>268</v>
      </c>
      <c r="FJ19" s="1"/>
      <c r="FK19" s="57">
        <v>0</v>
      </c>
      <c r="FL19" s="58">
        <v>100</v>
      </c>
      <c r="FM19" s="4">
        <v>1072909</v>
      </c>
      <c r="FN19" s="39">
        <v>110</v>
      </c>
      <c r="FO19" s="39">
        <v>171</v>
      </c>
      <c r="FP19" s="1"/>
      <c r="FQ19" s="1">
        <v>79</v>
      </c>
      <c r="FR19" s="1">
        <v>65</v>
      </c>
      <c r="FS19" s="1">
        <v>73</v>
      </c>
      <c r="FT19" s="1">
        <v>68</v>
      </c>
      <c r="FU19" s="1"/>
      <c r="FV19" s="1"/>
      <c r="FW19" s="54">
        <v>71.25</v>
      </c>
      <c r="FX19" s="1"/>
      <c r="FY19" s="55">
        <v>71.25</v>
      </c>
      <c r="FZ19" s="1"/>
      <c r="GA19" s="1"/>
      <c r="GB19" s="2">
        <v>0</v>
      </c>
      <c r="GC19" s="54">
        <v>100</v>
      </c>
      <c r="GD19" s="1"/>
      <c r="GE19" s="1"/>
      <c r="GF19" s="1"/>
      <c r="GG19" s="1"/>
      <c r="GH19" s="1"/>
      <c r="GI19" s="1"/>
      <c r="GJ19" s="54" t="s">
        <v>268</v>
      </c>
      <c r="GK19" s="1"/>
      <c r="GL19" s="55" t="s">
        <v>268</v>
      </c>
      <c r="GM19" s="1"/>
      <c r="GN19" s="1"/>
      <c r="GO19" s="2"/>
      <c r="GP19" s="54" t="s">
        <v>268</v>
      </c>
      <c r="GQ19" s="54">
        <v>71.25</v>
      </c>
      <c r="GR19" s="54" t="s">
        <v>268</v>
      </c>
      <c r="GS19" s="55">
        <v>71.25</v>
      </c>
      <c r="GT19" s="56">
        <v>4</v>
      </c>
      <c r="GU19" s="54" t="s">
        <v>268</v>
      </c>
      <c r="GV19" s="1"/>
      <c r="GW19" s="57">
        <v>0</v>
      </c>
      <c r="GX19" s="58">
        <v>100</v>
      </c>
      <c r="GY19" s="4">
        <v>1199044</v>
      </c>
      <c r="GZ19" s="39">
        <v>114</v>
      </c>
      <c r="HA19" s="39">
        <v>17</v>
      </c>
      <c r="HB19" s="1"/>
      <c r="HC19" s="1">
        <v>60</v>
      </c>
      <c r="HD19" s="1">
        <v>90</v>
      </c>
      <c r="HE19" s="1">
        <v>80</v>
      </c>
      <c r="HF19" s="1"/>
      <c r="HG19" s="1"/>
      <c r="HH19" s="1"/>
      <c r="HI19" s="54">
        <v>76.666666666666671</v>
      </c>
      <c r="HJ19" s="1"/>
      <c r="HK19" s="55">
        <v>76.666666666666671</v>
      </c>
      <c r="HL19" s="1"/>
      <c r="HM19" s="1"/>
      <c r="HN19" s="2">
        <v>0</v>
      </c>
      <c r="HO19" s="54">
        <v>100</v>
      </c>
      <c r="HP19" s="1"/>
      <c r="HQ19" s="1"/>
      <c r="HR19" s="1"/>
      <c r="HS19" s="1"/>
      <c r="HT19" s="1"/>
      <c r="HU19" s="1"/>
      <c r="HV19" s="54" t="s">
        <v>268</v>
      </c>
      <c r="HW19" s="1"/>
      <c r="HX19" s="55" t="s">
        <v>268</v>
      </c>
      <c r="HY19" s="1"/>
      <c r="HZ19" s="1"/>
      <c r="IA19" s="2"/>
      <c r="IB19" s="54" t="s">
        <v>268</v>
      </c>
      <c r="IC19" s="54">
        <v>76.666666666666671</v>
      </c>
      <c r="ID19" s="54" t="s">
        <v>268</v>
      </c>
      <c r="IE19" s="55">
        <v>76.666666666666671</v>
      </c>
      <c r="IF19" s="56">
        <v>4</v>
      </c>
      <c r="IG19" s="54" t="s">
        <v>268</v>
      </c>
      <c r="IH19" s="1"/>
      <c r="II19" s="57">
        <v>0</v>
      </c>
      <c r="IJ19" s="58">
        <v>100</v>
      </c>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v>1072909</v>
      </c>
      <c r="PT19" s="39">
        <v>128</v>
      </c>
      <c r="PU19" s="39">
        <v>34</v>
      </c>
      <c r="PV19" s="1"/>
      <c r="PW19" s="1">
        <v>80</v>
      </c>
      <c r="PX19" s="1">
        <v>77</v>
      </c>
      <c r="PY19" s="1">
        <v>85</v>
      </c>
      <c r="PZ19" s="1"/>
      <c r="QA19" s="1"/>
      <c r="QB19" s="1"/>
      <c r="QC19" s="54">
        <v>80.666666666666671</v>
      </c>
      <c r="QD19" s="1"/>
      <c r="QE19" s="55">
        <v>80.666666666666671</v>
      </c>
      <c r="QF19" s="1"/>
      <c r="QG19" s="1"/>
      <c r="QH19" s="2">
        <v>0</v>
      </c>
      <c r="QI19" s="54">
        <v>100</v>
      </c>
      <c r="QJ19" s="1"/>
      <c r="QK19" s="1"/>
      <c r="QL19" s="1"/>
      <c r="QM19" s="1"/>
      <c r="QN19" s="1"/>
      <c r="QO19" s="1"/>
      <c r="QP19" s="54" t="s">
        <v>268</v>
      </c>
      <c r="QQ19" s="1"/>
      <c r="QR19" s="55" t="s">
        <v>268</v>
      </c>
      <c r="QS19" s="1"/>
      <c r="QT19" s="1"/>
      <c r="QU19" s="2"/>
      <c r="QV19" s="54" t="s">
        <v>268</v>
      </c>
      <c r="QW19" s="54">
        <v>80.666666666666671</v>
      </c>
      <c r="QX19" s="54" t="s">
        <v>268</v>
      </c>
      <c r="QY19" s="55">
        <v>80.666666666666671</v>
      </c>
      <c r="QZ19" s="56">
        <v>5</v>
      </c>
      <c r="RA19" s="54" t="s">
        <v>268</v>
      </c>
      <c r="RB19" s="1"/>
      <c r="RC19" s="57">
        <v>0</v>
      </c>
      <c r="RD19" s="58">
        <v>100</v>
      </c>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v>1072909</v>
      </c>
      <c r="UD19" s="39">
        <v>131</v>
      </c>
      <c r="UE19" s="39">
        <v>68</v>
      </c>
      <c r="UF19" s="1"/>
      <c r="UG19" s="1">
        <v>85</v>
      </c>
      <c r="UH19" s="1">
        <v>85</v>
      </c>
      <c r="UI19" s="1">
        <v>85</v>
      </c>
      <c r="UJ19" s="1">
        <v>90</v>
      </c>
      <c r="UK19" s="1"/>
      <c r="UL19" s="1"/>
      <c r="UM19" s="54">
        <v>86.25</v>
      </c>
      <c r="UN19" s="1"/>
      <c r="UO19" s="55">
        <v>86.25</v>
      </c>
      <c r="UP19" s="1"/>
      <c r="UQ19" s="1"/>
      <c r="UR19" s="2">
        <v>0</v>
      </c>
      <c r="US19" s="54">
        <v>100</v>
      </c>
      <c r="UT19" s="1"/>
      <c r="UU19" s="1"/>
      <c r="UV19" s="1"/>
      <c r="UW19" s="1"/>
      <c r="UX19" s="1"/>
      <c r="UY19" s="1"/>
      <c r="UZ19" s="54" t="s">
        <v>268</v>
      </c>
      <c r="VA19" s="1"/>
      <c r="VB19" s="55" t="s">
        <v>268</v>
      </c>
      <c r="VC19" s="1"/>
      <c r="VD19" s="1"/>
      <c r="VE19" s="2"/>
      <c r="VF19" s="54" t="s">
        <v>268</v>
      </c>
      <c r="VG19" s="54">
        <v>86.25</v>
      </c>
      <c r="VH19" s="54" t="s">
        <v>268</v>
      </c>
      <c r="VI19" s="55">
        <v>86.25</v>
      </c>
      <c r="VJ19" s="56">
        <v>5</v>
      </c>
      <c r="VK19" s="54" t="s">
        <v>268</v>
      </c>
      <c r="VL19" s="1"/>
      <c r="VM19" s="57">
        <v>0</v>
      </c>
      <c r="VN19" s="58">
        <v>100</v>
      </c>
      <c r="VO19" s="4">
        <v>1072909</v>
      </c>
      <c r="VP19" s="39">
        <v>132</v>
      </c>
      <c r="VQ19" s="39">
        <v>34</v>
      </c>
      <c r="VR19" s="1"/>
      <c r="VS19" s="1">
        <v>80</v>
      </c>
      <c r="VT19" s="1">
        <v>65</v>
      </c>
      <c r="VU19" s="1">
        <v>85</v>
      </c>
      <c r="VV19" s="1"/>
      <c r="VW19" s="1"/>
      <c r="VX19" s="1"/>
      <c r="VY19" s="54">
        <v>76.666666666666671</v>
      </c>
      <c r="VZ19" s="1"/>
      <c r="WA19" s="55">
        <v>76.666666666666671</v>
      </c>
      <c r="WB19" s="1"/>
      <c r="WC19" s="1"/>
      <c r="WD19" s="2">
        <v>0</v>
      </c>
      <c r="WE19" s="54">
        <v>100</v>
      </c>
      <c r="WF19" s="1"/>
      <c r="WG19" s="1"/>
      <c r="WH19" s="1"/>
      <c r="WI19" s="1"/>
      <c r="WJ19" s="1"/>
      <c r="WK19" s="1"/>
      <c r="WL19" s="54" t="s">
        <v>268</v>
      </c>
      <c r="WM19" s="1"/>
      <c r="WN19" s="55" t="s">
        <v>268</v>
      </c>
      <c r="WO19" s="1"/>
      <c r="WP19" s="1"/>
      <c r="WQ19" s="2"/>
      <c r="WR19" s="54" t="s">
        <v>268</v>
      </c>
      <c r="WS19" s="54">
        <v>76.666666666666671</v>
      </c>
      <c r="WT19" s="54" t="s">
        <v>268</v>
      </c>
      <c r="WU19" s="55">
        <v>76.666666666666671</v>
      </c>
      <c r="WV19" s="56">
        <v>4</v>
      </c>
      <c r="WW19" s="54" t="s">
        <v>268</v>
      </c>
      <c r="WX19" s="1"/>
      <c r="WY19" s="57">
        <v>0</v>
      </c>
      <c r="WZ19" s="58">
        <v>100</v>
      </c>
      <c r="XA19" s="4">
        <v>1072909</v>
      </c>
      <c r="XB19" s="39">
        <v>133</v>
      </c>
      <c r="XC19" s="39">
        <v>34</v>
      </c>
      <c r="XD19" s="1"/>
      <c r="XE19" s="1">
        <v>70</v>
      </c>
      <c r="XF19" s="1">
        <v>70</v>
      </c>
      <c r="XG19" s="1">
        <v>74</v>
      </c>
      <c r="XH19" s="1"/>
      <c r="XI19" s="1"/>
      <c r="XJ19" s="1"/>
      <c r="XK19" s="54">
        <v>71.333333333333329</v>
      </c>
      <c r="XL19" s="1"/>
      <c r="XM19" s="55">
        <v>71.333333333333329</v>
      </c>
      <c r="XN19" s="1"/>
      <c r="XO19" s="1"/>
      <c r="XP19" s="2">
        <v>0</v>
      </c>
      <c r="XQ19" s="54">
        <v>100</v>
      </c>
      <c r="XR19" s="1"/>
      <c r="XS19" s="1"/>
      <c r="XT19" s="1"/>
      <c r="XU19" s="1"/>
      <c r="XV19" s="1"/>
      <c r="XW19" s="1"/>
      <c r="XX19" s="54" t="s">
        <v>268</v>
      </c>
      <c r="XY19" s="1"/>
      <c r="XZ19" s="55" t="s">
        <v>268</v>
      </c>
      <c r="YA19" s="1"/>
      <c r="YB19" s="1"/>
      <c r="YC19" s="2"/>
      <c r="YD19" s="54" t="s">
        <v>268</v>
      </c>
      <c r="YE19" s="54">
        <v>71.333333333333329</v>
      </c>
      <c r="YF19" s="54" t="s">
        <v>268</v>
      </c>
      <c r="YG19" s="55">
        <v>71.333333333333329</v>
      </c>
      <c r="YH19" s="56">
        <v>4</v>
      </c>
      <c r="YI19" s="54" t="s">
        <v>268</v>
      </c>
      <c r="YJ19" s="1"/>
      <c r="YK19" s="57">
        <v>0</v>
      </c>
      <c r="YL19" s="58">
        <v>100</v>
      </c>
      <c r="YM19" s="4">
        <v>1072909</v>
      </c>
      <c r="YN19" s="39">
        <v>135</v>
      </c>
      <c r="YO19" s="39">
        <v>34</v>
      </c>
      <c r="YP19" s="1"/>
      <c r="YQ19" s="1">
        <v>85</v>
      </c>
      <c r="YR19" s="1">
        <v>65</v>
      </c>
      <c r="YS19" s="1">
        <v>70</v>
      </c>
      <c r="YT19" s="1"/>
      <c r="YU19" s="1"/>
      <c r="YV19" s="1"/>
      <c r="YW19" s="54">
        <v>73.333333333333329</v>
      </c>
      <c r="YX19" s="1"/>
      <c r="YY19" s="55">
        <v>73.333333333333329</v>
      </c>
      <c r="YZ19" s="1"/>
      <c r="ZA19" s="1"/>
      <c r="ZB19" s="2">
        <v>0</v>
      </c>
      <c r="ZC19" s="54">
        <v>100</v>
      </c>
      <c r="ZD19" s="1"/>
      <c r="ZE19" s="1"/>
      <c r="ZF19" s="1"/>
      <c r="ZG19" s="1"/>
      <c r="ZH19" s="1"/>
      <c r="ZI19" s="1"/>
      <c r="ZJ19" s="54" t="s">
        <v>268</v>
      </c>
      <c r="ZK19" s="1"/>
      <c r="ZL19" s="55" t="s">
        <v>268</v>
      </c>
      <c r="ZM19" s="1"/>
      <c r="ZN19" s="1"/>
      <c r="ZO19" s="2"/>
      <c r="ZP19" s="54" t="s">
        <v>268</v>
      </c>
      <c r="ZQ19" s="54">
        <v>73.333333333333329</v>
      </c>
      <c r="ZR19" s="54" t="s">
        <v>268</v>
      </c>
      <c r="ZS19" s="55">
        <v>73.333333333333329</v>
      </c>
      <c r="ZT19" s="56">
        <v>4</v>
      </c>
      <c r="ZU19" s="54" t="s">
        <v>268</v>
      </c>
      <c r="ZV19" s="1"/>
      <c r="ZW19" s="57">
        <v>0</v>
      </c>
      <c r="ZX19" s="58">
        <v>100</v>
      </c>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2" customHeight="1" x14ac:dyDescent="0.2">
      <c r="A20" s="88" t="str">
        <f t="shared" si="397"/>
        <v>2023-2024</v>
      </c>
      <c r="B20" s="88" t="str">
        <f t="shared" si="398"/>
        <v>Bakı</v>
      </c>
      <c r="C20" s="88" t="str">
        <f t="shared" si="399"/>
        <v>Binəqədi</v>
      </c>
      <c r="D20" s="88">
        <f t="shared" si="400"/>
        <v>99</v>
      </c>
      <c r="E20" s="40">
        <v>3984514</v>
      </c>
      <c r="F20" s="88">
        <f t="shared" si="401"/>
        <v>2</v>
      </c>
      <c r="G20" s="88" t="str">
        <f t="shared" si="402"/>
        <v>C</v>
      </c>
      <c r="H20" s="37" t="s">
        <v>180</v>
      </c>
      <c r="I20" s="37" t="s">
        <v>181</v>
      </c>
      <c r="J20" s="41" t="s">
        <v>182</v>
      </c>
      <c r="K20" s="89" t="str">
        <f t="shared" si="403"/>
        <v>A</v>
      </c>
      <c r="L20" s="41" t="s">
        <v>117</v>
      </c>
      <c r="M20" s="41" t="s">
        <v>238</v>
      </c>
      <c r="N20" s="41"/>
      <c r="O20" s="43" t="s">
        <v>239</v>
      </c>
      <c r="P20" s="90" t="str">
        <f t="shared" si="404"/>
        <v>Süleymanova Aybəniz</v>
      </c>
      <c r="Q20" s="4">
        <v>1072909</v>
      </c>
      <c r="R20" s="39">
        <v>101</v>
      </c>
      <c r="S20" s="39">
        <v>308</v>
      </c>
      <c r="T20" s="1"/>
      <c r="U20" s="1">
        <v>72</v>
      </c>
      <c r="V20" s="1">
        <v>87</v>
      </c>
      <c r="W20" s="1">
        <v>93</v>
      </c>
      <c r="X20" s="1">
        <v>84</v>
      </c>
      <c r="Y20" s="1"/>
      <c r="Z20" s="1"/>
      <c r="AA20" s="54">
        <v>84</v>
      </c>
      <c r="AB20" s="1"/>
      <c r="AC20" s="55">
        <v>84</v>
      </c>
      <c r="AD20" s="1"/>
      <c r="AE20" s="1"/>
      <c r="AF20" s="2">
        <v>0</v>
      </c>
      <c r="AG20" s="54">
        <v>100</v>
      </c>
      <c r="AH20" s="1"/>
      <c r="AI20" s="1"/>
      <c r="AJ20" s="1"/>
      <c r="AK20" s="1"/>
      <c r="AL20" s="1"/>
      <c r="AM20" s="1"/>
      <c r="AN20" s="54" t="s">
        <v>268</v>
      </c>
      <c r="AO20" s="1"/>
      <c r="AP20" s="55" t="s">
        <v>268</v>
      </c>
      <c r="AQ20" s="1"/>
      <c r="AR20" s="1"/>
      <c r="AS20" s="2"/>
      <c r="AT20" s="54" t="s">
        <v>268</v>
      </c>
      <c r="AU20" s="54">
        <v>84</v>
      </c>
      <c r="AV20" s="54" t="s">
        <v>268</v>
      </c>
      <c r="AW20" s="55">
        <v>84</v>
      </c>
      <c r="AX20" s="56">
        <v>5</v>
      </c>
      <c r="AY20" s="54" t="s">
        <v>268</v>
      </c>
      <c r="AZ20" s="1"/>
      <c r="BA20" s="57">
        <v>0</v>
      </c>
      <c r="BB20" s="58">
        <v>100</v>
      </c>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v>1273950</v>
      </c>
      <c r="EB20" s="39">
        <v>106</v>
      </c>
      <c r="EC20" s="39">
        <v>17</v>
      </c>
      <c r="ED20" s="1"/>
      <c r="EE20" s="1">
        <v>85</v>
      </c>
      <c r="EF20" s="1">
        <v>90</v>
      </c>
      <c r="EG20" s="1">
        <v>95</v>
      </c>
      <c r="EH20" s="1"/>
      <c r="EI20" s="1"/>
      <c r="EJ20" s="1"/>
      <c r="EK20" s="54">
        <v>90</v>
      </c>
      <c r="EL20" s="1"/>
      <c r="EM20" s="55">
        <v>90</v>
      </c>
      <c r="EN20" s="1"/>
      <c r="EO20" s="1"/>
      <c r="EP20" s="2">
        <v>0</v>
      </c>
      <c r="EQ20" s="54">
        <v>100</v>
      </c>
      <c r="ER20" s="1"/>
      <c r="ES20" s="1"/>
      <c r="ET20" s="1"/>
      <c r="EU20" s="1"/>
      <c r="EV20" s="1"/>
      <c r="EW20" s="1"/>
      <c r="EX20" s="54" t="s">
        <v>268</v>
      </c>
      <c r="EY20" s="1"/>
      <c r="EZ20" s="55" t="s">
        <v>268</v>
      </c>
      <c r="FA20" s="1"/>
      <c r="FB20" s="1"/>
      <c r="FC20" s="2"/>
      <c r="FD20" s="54" t="s">
        <v>268</v>
      </c>
      <c r="FE20" s="54">
        <v>90</v>
      </c>
      <c r="FF20" s="54" t="s">
        <v>268</v>
      </c>
      <c r="FG20" s="55">
        <v>90</v>
      </c>
      <c r="FH20" s="56">
        <v>5</v>
      </c>
      <c r="FI20" s="54" t="s">
        <v>268</v>
      </c>
      <c r="FJ20" s="1"/>
      <c r="FK20" s="57">
        <v>0</v>
      </c>
      <c r="FL20" s="58">
        <v>100</v>
      </c>
      <c r="FM20" s="4">
        <v>1072909</v>
      </c>
      <c r="FN20" s="39">
        <v>110</v>
      </c>
      <c r="FO20" s="39">
        <v>171</v>
      </c>
      <c r="FP20" s="1"/>
      <c r="FQ20" s="1">
        <v>100</v>
      </c>
      <c r="FR20" s="1">
        <v>87</v>
      </c>
      <c r="FS20" s="1">
        <v>79</v>
      </c>
      <c r="FT20" s="1">
        <v>75</v>
      </c>
      <c r="FU20" s="1"/>
      <c r="FV20" s="1"/>
      <c r="FW20" s="54">
        <v>85.25</v>
      </c>
      <c r="FX20" s="1"/>
      <c r="FY20" s="55">
        <v>85.25</v>
      </c>
      <c r="FZ20" s="1"/>
      <c r="GA20" s="1"/>
      <c r="GB20" s="2">
        <v>0</v>
      </c>
      <c r="GC20" s="54">
        <v>100</v>
      </c>
      <c r="GD20" s="1"/>
      <c r="GE20" s="1"/>
      <c r="GF20" s="1"/>
      <c r="GG20" s="1"/>
      <c r="GH20" s="1"/>
      <c r="GI20" s="1"/>
      <c r="GJ20" s="54" t="s">
        <v>268</v>
      </c>
      <c r="GK20" s="1"/>
      <c r="GL20" s="55" t="s">
        <v>268</v>
      </c>
      <c r="GM20" s="1"/>
      <c r="GN20" s="1"/>
      <c r="GO20" s="2"/>
      <c r="GP20" s="54" t="s">
        <v>268</v>
      </c>
      <c r="GQ20" s="54">
        <v>85.25</v>
      </c>
      <c r="GR20" s="54" t="s">
        <v>268</v>
      </c>
      <c r="GS20" s="55">
        <v>85.25</v>
      </c>
      <c r="GT20" s="56">
        <v>5</v>
      </c>
      <c r="GU20" s="54" t="s">
        <v>268</v>
      </c>
      <c r="GV20" s="1"/>
      <c r="GW20" s="57">
        <v>0</v>
      </c>
      <c r="GX20" s="58">
        <v>100</v>
      </c>
      <c r="GY20" s="4">
        <v>1199044</v>
      </c>
      <c r="GZ20" s="39">
        <v>114</v>
      </c>
      <c r="HA20" s="39">
        <v>17</v>
      </c>
      <c r="HB20" s="1"/>
      <c r="HC20" s="1">
        <v>75</v>
      </c>
      <c r="HD20" s="1">
        <v>70</v>
      </c>
      <c r="HE20" s="1">
        <v>70</v>
      </c>
      <c r="HF20" s="1"/>
      <c r="HG20" s="1"/>
      <c r="HH20" s="1"/>
      <c r="HI20" s="54">
        <v>71.666666666666671</v>
      </c>
      <c r="HJ20" s="1"/>
      <c r="HK20" s="55">
        <v>71.666666666666671</v>
      </c>
      <c r="HL20" s="1"/>
      <c r="HM20" s="1"/>
      <c r="HN20" s="2">
        <v>0</v>
      </c>
      <c r="HO20" s="54">
        <v>100</v>
      </c>
      <c r="HP20" s="1"/>
      <c r="HQ20" s="1"/>
      <c r="HR20" s="1"/>
      <c r="HS20" s="1"/>
      <c r="HT20" s="1"/>
      <c r="HU20" s="1"/>
      <c r="HV20" s="54" t="s">
        <v>268</v>
      </c>
      <c r="HW20" s="1"/>
      <c r="HX20" s="55" t="s">
        <v>268</v>
      </c>
      <c r="HY20" s="1"/>
      <c r="HZ20" s="1"/>
      <c r="IA20" s="2"/>
      <c r="IB20" s="54" t="s">
        <v>268</v>
      </c>
      <c r="IC20" s="54">
        <v>71.666666666666671</v>
      </c>
      <c r="ID20" s="54" t="s">
        <v>268</v>
      </c>
      <c r="IE20" s="55">
        <v>71.666666666666671</v>
      </c>
      <c r="IF20" s="56">
        <v>4</v>
      </c>
      <c r="IG20" s="54" t="s">
        <v>268</v>
      </c>
      <c r="IH20" s="1"/>
      <c r="II20" s="57">
        <v>0</v>
      </c>
      <c r="IJ20" s="58">
        <v>100</v>
      </c>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v>1072909</v>
      </c>
      <c r="PT20" s="39">
        <v>128</v>
      </c>
      <c r="PU20" s="39">
        <v>34</v>
      </c>
      <c r="PV20" s="1"/>
      <c r="PW20" s="1">
        <v>95</v>
      </c>
      <c r="PX20" s="1">
        <v>75</v>
      </c>
      <c r="PY20" s="1">
        <v>75</v>
      </c>
      <c r="PZ20" s="1"/>
      <c r="QA20" s="1"/>
      <c r="QB20" s="1"/>
      <c r="QC20" s="54">
        <v>81.666666666666671</v>
      </c>
      <c r="QD20" s="1"/>
      <c r="QE20" s="55">
        <v>81.666666666666671</v>
      </c>
      <c r="QF20" s="1"/>
      <c r="QG20" s="1"/>
      <c r="QH20" s="2">
        <v>0</v>
      </c>
      <c r="QI20" s="54">
        <v>100</v>
      </c>
      <c r="QJ20" s="1"/>
      <c r="QK20" s="1"/>
      <c r="QL20" s="1"/>
      <c r="QM20" s="1"/>
      <c r="QN20" s="1"/>
      <c r="QO20" s="1"/>
      <c r="QP20" s="54" t="s">
        <v>268</v>
      </c>
      <c r="QQ20" s="1"/>
      <c r="QR20" s="55" t="s">
        <v>268</v>
      </c>
      <c r="QS20" s="1"/>
      <c r="QT20" s="1"/>
      <c r="QU20" s="2"/>
      <c r="QV20" s="54" t="s">
        <v>268</v>
      </c>
      <c r="QW20" s="54">
        <v>81.666666666666671</v>
      </c>
      <c r="QX20" s="54" t="s">
        <v>268</v>
      </c>
      <c r="QY20" s="55">
        <v>81.666666666666671</v>
      </c>
      <c r="QZ20" s="56">
        <v>5</v>
      </c>
      <c r="RA20" s="54" t="s">
        <v>268</v>
      </c>
      <c r="RB20" s="1"/>
      <c r="RC20" s="57">
        <v>0</v>
      </c>
      <c r="RD20" s="58">
        <v>100</v>
      </c>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v>1072909</v>
      </c>
      <c r="UD20" s="39">
        <v>131</v>
      </c>
      <c r="UE20" s="39">
        <v>68</v>
      </c>
      <c r="UF20" s="1"/>
      <c r="UG20" s="1">
        <v>90</v>
      </c>
      <c r="UH20" s="1">
        <v>85</v>
      </c>
      <c r="UI20" s="1">
        <v>95</v>
      </c>
      <c r="UJ20" s="1">
        <v>85</v>
      </c>
      <c r="UK20" s="1"/>
      <c r="UL20" s="1"/>
      <c r="UM20" s="54">
        <v>88.75</v>
      </c>
      <c r="UN20" s="1"/>
      <c r="UO20" s="55">
        <v>88.75</v>
      </c>
      <c r="UP20" s="1"/>
      <c r="UQ20" s="1"/>
      <c r="UR20" s="2">
        <v>0</v>
      </c>
      <c r="US20" s="54">
        <v>100</v>
      </c>
      <c r="UT20" s="1"/>
      <c r="UU20" s="1"/>
      <c r="UV20" s="1"/>
      <c r="UW20" s="1"/>
      <c r="UX20" s="1"/>
      <c r="UY20" s="1"/>
      <c r="UZ20" s="54" t="s">
        <v>268</v>
      </c>
      <c r="VA20" s="1"/>
      <c r="VB20" s="55" t="s">
        <v>268</v>
      </c>
      <c r="VC20" s="1"/>
      <c r="VD20" s="1"/>
      <c r="VE20" s="2"/>
      <c r="VF20" s="54" t="s">
        <v>268</v>
      </c>
      <c r="VG20" s="54">
        <v>88.75</v>
      </c>
      <c r="VH20" s="54" t="s">
        <v>268</v>
      </c>
      <c r="VI20" s="55">
        <v>88.75</v>
      </c>
      <c r="VJ20" s="56">
        <v>5</v>
      </c>
      <c r="VK20" s="54" t="s">
        <v>268</v>
      </c>
      <c r="VL20" s="1"/>
      <c r="VM20" s="57">
        <v>0</v>
      </c>
      <c r="VN20" s="58">
        <v>100</v>
      </c>
      <c r="VO20" s="4">
        <v>1072909</v>
      </c>
      <c r="VP20" s="39">
        <v>132</v>
      </c>
      <c r="VQ20" s="39">
        <v>34</v>
      </c>
      <c r="VR20" s="1"/>
      <c r="VS20" s="1">
        <v>95</v>
      </c>
      <c r="VT20" s="1">
        <v>70</v>
      </c>
      <c r="VU20" s="1">
        <v>95</v>
      </c>
      <c r="VV20" s="1"/>
      <c r="VW20" s="1"/>
      <c r="VX20" s="1"/>
      <c r="VY20" s="54">
        <v>86.666666666666671</v>
      </c>
      <c r="VZ20" s="1"/>
      <c r="WA20" s="55">
        <v>86.666666666666671</v>
      </c>
      <c r="WB20" s="1"/>
      <c r="WC20" s="1"/>
      <c r="WD20" s="2">
        <v>0</v>
      </c>
      <c r="WE20" s="54">
        <v>100</v>
      </c>
      <c r="WF20" s="1"/>
      <c r="WG20" s="1"/>
      <c r="WH20" s="1"/>
      <c r="WI20" s="1"/>
      <c r="WJ20" s="1"/>
      <c r="WK20" s="1"/>
      <c r="WL20" s="54" t="s">
        <v>268</v>
      </c>
      <c r="WM20" s="1"/>
      <c r="WN20" s="55" t="s">
        <v>268</v>
      </c>
      <c r="WO20" s="1"/>
      <c r="WP20" s="1"/>
      <c r="WQ20" s="2"/>
      <c r="WR20" s="54" t="s">
        <v>268</v>
      </c>
      <c r="WS20" s="54">
        <v>86.666666666666671</v>
      </c>
      <c r="WT20" s="54" t="s">
        <v>268</v>
      </c>
      <c r="WU20" s="55">
        <v>86.666666666666671</v>
      </c>
      <c r="WV20" s="56">
        <v>5</v>
      </c>
      <c r="WW20" s="54" t="s">
        <v>268</v>
      </c>
      <c r="WX20" s="1"/>
      <c r="WY20" s="57">
        <v>0</v>
      </c>
      <c r="WZ20" s="58">
        <v>100</v>
      </c>
      <c r="XA20" s="4">
        <v>1072909</v>
      </c>
      <c r="XB20" s="39">
        <v>133</v>
      </c>
      <c r="XC20" s="39">
        <v>34</v>
      </c>
      <c r="XD20" s="1"/>
      <c r="XE20" s="1">
        <v>70</v>
      </c>
      <c r="XF20" s="1">
        <v>75</v>
      </c>
      <c r="XG20" s="1">
        <v>72</v>
      </c>
      <c r="XH20" s="1"/>
      <c r="XI20" s="1"/>
      <c r="XJ20" s="1"/>
      <c r="XK20" s="54">
        <v>72.333333333333329</v>
      </c>
      <c r="XL20" s="1"/>
      <c r="XM20" s="55">
        <v>72.333333333333329</v>
      </c>
      <c r="XN20" s="1"/>
      <c r="XO20" s="1"/>
      <c r="XP20" s="2">
        <v>0</v>
      </c>
      <c r="XQ20" s="54">
        <v>100</v>
      </c>
      <c r="XR20" s="1"/>
      <c r="XS20" s="1"/>
      <c r="XT20" s="1"/>
      <c r="XU20" s="1"/>
      <c r="XV20" s="1"/>
      <c r="XW20" s="1"/>
      <c r="XX20" s="54" t="s">
        <v>268</v>
      </c>
      <c r="XY20" s="1"/>
      <c r="XZ20" s="55" t="s">
        <v>268</v>
      </c>
      <c r="YA20" s="1"/>
      <c r="YB20" s="1"/>
      <c r="YC20" s="2"/>
      <c r="YD20" s="54" t="s">
        <v>268</v>
      </c>
      <c r="YE20" s="54">
        <v>72.333333333333329</v>
      </c>
      <c r="YF20" s="54" t="s">
        <v>268</v>
      </c>
      <c r="YG20" s="55">
        <v>72.333333333333329</v>
      </c>
      <c r="YH20" s="56">
        <v>4</v>
      </c>
      <c r="YI20" s="54" t="s">
        <v>268</v>
      </c>
      <c r="YJ20" s="1"/>
      <c r="YK20" s="57">
        <v>0</v>
      </c>
      <c r="YL20" s="58">
        <v>100</v>
      </c>
      <c r="YM20" s="4">
        <v>1072909</v>
      </c>
      <c r="YN20" s="39">
        <v>135</v>
      </c>
      <c r="YO20" s="39">
        <v>34</v>
      </c>
      <c r="YP20" s="1"/>
      <c r="YQ20" s="1">
        <v>100</v>
      </c>
      <c r="YR20" s="1">
        <v>65</v>
      </c>
      <c r="YS20" s="1">
        <v>74</v>
      </c>
      <c r="YT20" s="1"/>
      <c r="YU20" s="1"/>
      <c r="YV20" s="1"/>
      <c r="YW20" s="54">
        <v>79.666666666666671</v>
      </c>
      <c r="YX20" s="1"/>
      <c r="YY20" s="55">
        <v>79.666666666666671</v>
      </c>
      <c r="YZ20" s="1"/>
      <c r="ZA20" s="1"/>
      <c r="ZB20" s="2">
        <v>0</v>
      </c>
      <c r="ZC20" s="54">
        <v>100</v>
      </c>
      <c r="ZD20" s="1"/>
      <c r="ZE20" s="1"/>
      <c r="ZF20" s="1"/>
      <c r="ZG20" s="1"/>
      <c r="ZH20" s="1"/>
      <c r="ZI20" s="1"/>
      <c r="ZJ20" s="54" t="s">
        <v>268</v>
      </c>
      <c r="ZK20" s="1"/>
      <c r="ZL20" s="55" t="s">
        <v>268</v>
      </c>
      <c r="ZM20" s="1"/>
      <c r="ZN20" s="1"/>
      <c r="ZO20" s="2"/>
      <c r="ZP20" s="54" t="s">
        <v>268</v>
      </c>
      <c r="ZQ20" s="54">
        <v>79.666666666666671</v>
      </c>
      <c r="ZR20" s="54" t="s">
        <v>268</v>
      </c>
      <c r="ZS20" s="55">
        <v>79.666666666666671</v>
      </c>
      <c r="ZT20" s="56">
        <v>4</v>
      </c>
      <c r="ZU20" s="54" t="s">
        <v>268</v>
      </c>
      <c r="ZV20" s="1"/>
      <c r="ZW20" s="57">
        <v>0</v>
      </c>
      <c r="ZX20" s="58">
        <v>100</v>
      </c>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2" customHeight="1" x14ac:dyDescent="0.2">
      <c r="A21" s="88" t="str">
        <f t="shared" si="397"/>
        <v>2023-2024</v>
      </c>
      <c r="B21" s="88" t="str">
        <f t="shared" si="398"/>
        <v>Bakı</v>
      </c>
      <c r="C21" s="88" t="str">
        <f t="shared" si="399"/>
        <v>Binəqədi</v>
      </c>
      <c r="D21" s="88">
        <f t="shared" si="400"/>
        <v>99</v>
      </c>
      <c r="E21" s="40">
        <v>3984517</v>
      </c>
      <c r="F21" s="88">
        <f t="shared" si="401"/>
        <v>2</v>
      </c>
      <c r="G21" s="88" t="str">
        <f t="shared" si="402"/>
        <v>C</v>
      </c>
      <c r="H21" s="37" t="s">
        <v>180</v>
      </c>
      <c r="I21" s="37" t="s">
        <v>183</v>
      </c>
      <c r="J21" s="41" t="s">
        <v>184</v>
      </c>
      <c r="K21" s="89" t="str">
        <f t="shared" si="403"/>
        <v>A</v>
      </c>
      <c r="L21" s="41" t="s">
        <v>117</v>
      </c>
      <c r="M21" s="41" t="s">
        <v>240</v>
      </c>
      <c r="N21" s="41"/>
      <c r="O21" s="43" t="s">
        <v>241</v>
      </c>
      <c r="P21" s="90" t="str">
        <f t="shared" si="404"/>
        <v>Süleymanova Aybəniz</v>
      </c>
      <c r="Q21" s="4">
        <v>1072909</v>
      </c>
      <c r="R21" s="39">
        <v>101</v>
      </c>
      <c r="S21" s="39">
        <v>308</v>
      </c>
      <c r="T21" s="1"/>
      <c r="U21" s="1">
        <v>78</v>
      </c>
      <c r="V21" s="1">
        <v>94</v>
      </c>
      <c r="W21" s="1">
        <v>94</v>
      </c>
      <c r="X21" s="1">
        <v>83</v>
      </c>
      <c r="Y21" s="1"/>
      <c r="Z21" s="1"/>
      <c r="AA21" s="54">
        <v>87.25</v>
      </c>
      <c r="AB21" s="1"/>
      <c r="AC21" s="55">
        <v>87.25</v>
      </c>
      <c r="AD21" s="1"/>
      <c r="AE21" s="1"/>
      <c r="AF21" s="2">
        <v>0</v>
      </c>
      <c r="AG21" s="54">
        <v>100</v>
      </c>
      <c r="AH21" s="1"/>
      <c r="AI21" s="1"/>
      <c r="AJ21" s="1"/>
      <c r="AK21" s="1"/>
      <c r="AL21" s="1"/>
      <c r="AM21" s="1"/>
      <c r="AN21" s="54" t="s">
        <v>268</v>
      </c>
      <c r="AO21" s="1"/>
      <c r="AP21" s="55" t="s">
        <v>268</v>
      </c>
      <c r="AQ21" s="1"/>
      <c r="AR21" s="1"/>
      <c r="AS21" s="2"/>
      <c r="AT21" s="54" t="s">
        <v>268</v>
      </c>
      <c r="AU21" s="54">
        <v>87.25</v>
      </c>
      <c r="AV21" s="54" t="s">
        <v>268</v>
      </c>
      <c r="AW21" s="55">
        <v>87.25</v>
      </c>
      <c r="AX21" s="56">
        <v>5</v>
      </c>
      <c r="AY21" s="54" t="s">
        <v>268</v>
      </c>
      <c r="AZ21" s="1"/>
      <c r="BA21" s="57">
        <v>0</v>
      </c>
      <c r="BB21" s="58">
        <v>100</v>
      </c>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v>1273950</v>
      </c>
      <c r="EB21" s="39">
        <v>106</v>
      </c>
      <c r="EC21" s="39">
        <v>17</v>
      </c>
      <c r="ED21" s="1"/>
      <c r="EE21" s="1">
        <v>80</v>
      </c>
      <c r="EF21" s="1">
        <v>85</v>
      </c>
      <c r="EG21" s="1">
        <v>95</v>
      </c>
      <c r="EH21" s="1"/>
      <c r="EI21" s="1"/>
      <c r="EJ21" s="1"/>
      <c r="EK21" s="54">
        <v>86.666666666666671</v>
      </c>
      <c r="EL21" s="1"/>
      <c r="EM21" s="55">
        <v>86.666666666666671</v>
      </c>
      <c r="EN21" s="1"/>
      <c r="EO21" s="1"/>
      <c r="EP21" s="2">
        <v>0</v>
      </c>
      <c r="EQ21" s="54">
        <v>100</v>
      </c>
      <c r="ER21" s="1"/>
      <c r="ES21" s="1"/>
      <c r="ET21" s="1"/>
      <c r="EU21" s="1"/>
      <c r="EV21" s="1"/>
      <c r="EW21" s="1"/>
      <c r="EX21" s="54" t="s">
        <v>268</v>
      </c>
      <c r="EY21" s="1"/>
      <c r="EZ21" s="55" t="s">
        <v>268</v>
      </c>
      <c r="FA21" s="1"/>
      <c r="FB21" s="1"/>
      <c r="FC21" s="2"/>
      <c r="FD21" s="54" t="s">
        <v>268</v>
      </c>
      <c r="FE21" s="54">
        <v>86.666666666666671</v>
      </c>
      <c r="FF21" s="54" t="s">
        <v>268</v>
      </c>
      <c r="FG21" s="55">
        <v>86.666666666666671</v>
      </c>
      <c r="FH21" s="56">
        <v>5</v>
      </c>
      <c r="FI21" s="54" t="s">
        <v>268</v>
      </c>
      <c r="FJ21" s="1"/>
      <c r="FK21" s="57">
        <v>0</v>
      </c>
      <c r="FL21" s="58">
        <v>100</v>
      </c>
      <c r="FM21" s="4">
        <v>1072909</v>
      </c>
      <c r="FN21" s="39">
        <v>110</v>
      </c>
      <c r="FO21" s="39">
        <v>171</v>
      </c>
      <c r="FP21" s="1"/>
      <c r="FQ21" s="1">
        <v>100</v>
      </c>
      <c r="FR21" s="1">
        <v>97</v>
      </c>
      <c r="FS21" s="1">
        <v>83</v>
      </c>
      <c r="FT21" s="1">
        <v>95</v>
      </c>
      <c r="FU21" s="1"/>
      <c r="FV21" s="1"/>
      <c r="FW21" s="54">
        <v>93.75</v>
      </c>
      <c r="FX21" s="1"/>
      <c r="FY21" s="55">
        <v>93.75</v>
      </c>
      <c r="FZ21" s="1"/>
      <c r="GA21" s="1"/>
      <c r="GB21" s="2">
        <v>0</v>
      </c>
      <c r="GC21" s="54">
        <v>100</v>
      </c>
      <c r="GD21" s="1"/>
      <c r="GE21" s="1"/>
      <c r="GF21" s="1"/>
      <c r="GG21" s="1"/>
      <c r="GH21" s="1"/>
      <c r="GI21" s="1"/>
      <c r="GJ21" s="54" t="s">
        <v>268</v>
      </c>
      <c r="GK21" s="1"/>
      <c r="GL21" s="55" t="s">
        <v>268</v>
      </c>
      <c r="GM21" s="1"/>
      <c r="GN21" s="1"/>
      <c r="GO21" s="2"/>
      <c r="GP21" s="54" t="s">
        <v>268</v>
      </c>
      <c r="GQ21" s="54">
        <v>93.75</v>
      </c>
      <c r="GR21" s="54" t="s">
        <v>268</v>
      </c>
      <c r="GS21" s="55">
        <v>93.75</v>
      </c>
      <c r="GT21" s="56">
        <v>5</v>
      </c>
      <c r="GU21" s="54" t="s">
        <v>268</v>
      </c>
      <c r="GV21" s="1"/>
      <c r="GW21" s="57">
        <v>0</v>
      </c>
      <c r="GX21" s="58">
        <v>100</v>
      </c>
      <c r="GY21" s="4">
        <v>1199044</v>
      </c>
      <c r="GZ21" s="39">
        <v>114</v>
      </c>
      <c r="HA21" s="39">
        <v>17</v>
      </c>
      <c r="HB21" s="1"/>
      <c r="HC21" s="1">
        <v>80</v>
      </c>
      <c r="HD21" s="1">
        <v>90</v>
      </c>
      <c r="HE21" s="1">
        <v>85</v>
      </c>
      <c r="HF21" s="1"/>
      <c r="HG21" s="1"/>
      <c r="HH21" s="1"/>
      <c r="HI21" s="54">
        <v>85</v>
      </c>
      <c r="HJ21" s="1"/>
      <c r="HK21" s="55">
        <v>85</v>
      </c>
      <c r="HL21" s="1"/>
      <c r="HM21" s="1"/>
      <c r="HN21" s="2">
        <v>0</v>
      </c>
      <c r="HO21" s="54">
        <v>100</v>
      </c>
      <c r="HP21" s="1"/>
      <c r="HQ21" s="1"/>
      <c r="HR21" s="1"/>
      <c r="HS21" s="1"/>
      <c r="HT21" s="1"/>
      <c r="HU21" s="1"/>
      <c r="HV21" s="54" t="s">
        <v>268</v>
      </c>
      <c r="HW21" s="1"/>
      <c r="HX21" s="55" t="s">
        <v>268</v>
      </c>
      <c r="HY21" s="1"/>
      <c r="HZ21" s="1"/>
      <c r="IA21" s="2"/>
      <c r="IB21" s="54" t="s">
        <v>268</v>
      </c>
      <c r="IC21" s="54">
        <v>85</v>
      </c>
      <c r="ID21" s="54" t="s">
        <v>268</v>
      </c>
      <c r="IE21" s="55">
        <v>85</v>
      </c>
      <c r="IF21" s="56">
        <v>5</v>
      </c>
      <c r="IG21" s="54" t="s">
        <v>268</v>
      </c>
      <c r="IH21" s="1"/>
      <c r="II21" s="57">
        <v>0</v>
      </c>
      <c r="IJ21" s="58">
        <v>100</v>
      </c>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v>1072909</v>
      </c>
      <c r="PT21" s="39">
        <v>128</v>
      </c>
      <c r="PU21" s="39">
        <v>34</v>
      </c>
      <c r="PV21" s="1"/>
      <c r="PW21" s="1">
        <v>85</v>
      </c>
      <c r="PX21" s="1">
        <v>100</v>
      </c>
      <c r="PY21" s="1">
        <v>100</v>
      </c>
      <c r="PZ21" s="1"/>
      <c r="QA21" s="1"/>
      <c r="QB21" s="1"/>
      <c r="QC21" s="54">
        <v>95</v>
      </c>
      <c r="QD21" s="1"/>
      <c r="QE21" s="55">
        <v>95</v>
      </c>
      <c r="QF21" s="1"/>
      <c r="QG21" s="1"/>
      <c r="QH21" s="2">
        <v>0</v>
      </c>
      <c r="QI21" s="54">
        <v>100</v>
      </c>
      <c r="QJ21" s="1"/>
      <c r="QK21" s="1"/>
      <c r="QL21" s="1"/>
      <c r="QM21" s="1"/>
      <c r="QN21" s="1"/>
      <c r="QO21" s="1"/>
      <c r="QP21" s="54" t="s">
        <v>268</v>
      </c>
      <c r="QQ21" s="1"/>
      <c r="QR21" s="55" t="s">
        <v>268</v>
      </c>
      <c r="QS21" s="1"/>
      <c r="QT21" s="1"/>
      <c r="QU21" s="2"/>
      <c r="QV21" s="54" t="s">
        <v>268</v>
      </c>
      <c r="QW21" s="54">
        <v>95</v>
      </c>
      <c r="QX21" s="54" t="s">
        <v>268</v>
      </c>
      <c r="QY21" s="55">
        <v>95</v>
      </c>
      <c r="QZ21" s="56">
        <v>5</v>
      </c>
      <c r="RA21" s="54" t="s">
        <v>268</v>
      </c>
      <c r="RB21" s="1"/>
      <c r="RC21" s="57">
        <v>0</v>
      </c>
      <c r="RD21" s="58">
        <v>100</v>
      </c>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v>1072909</v>
      </c>
      <c r="UD21" s="39">
        <v>131</v>
      </c>
      <c r="UE21" s="39">
        <v>68</v>
      </c>
      <c r="UF21" s="1"/>
      <c r="UG21" s="1">
        <v>85</v>
      </c>
      <c r="UH21" s="1">
        <v>85</v>
      </c>
      <c r="UI21" s="1">
        <v>90</v>
      </c>
      <c r="UJ21" s="1">
        <v>95</v>
      </c>
      <c r="UK21" s="1"/>
      <c r="UL21" s="1"/>
      <c r="UM21" s="54">
        <v>88.75</v>
      </c>
      <c r="UN21" s="1"/>
      <c r="UO21" s="55">
        <v>88.75</v>
      </c>
      <c r="UP21" s="1"/>
      <c r="UQ21" s="1"/>
      <c r="UR21" s="2">
        <v>0</v>
      </c>
      <c r="US21" s="54">
        <v>100</v>
      </c>
      <c r="UT21" s="1"/>
      <c r="UU21" s="1"/>
      <c r="UV21" s="1"/>
      <c r="UW21" s="1"/>
      <c r="UX21" s="1"/>
      <c r="UY21" s="1"/>
      <c r="UZ21" s="54" t="s">
        <v>268</v>
      </c>
      <c r="VA21" s="1"/>
      <c r="VB21" s="55" t="s">
        <v>268</v>
      </c>
      <c r="VC21" s="1"/>
      <c r="VD21" s="1"/>
      <c r="VE21" s="2"/>
      <c r="VF21" s="54" t="s">
        <v>268</v>
      </c>
      <c r="VG21" s="54">
        <v>88.75</v>
      </c>
      <c r="VH21" s="54" t="s">
        <v>268</v>
      </c>
      <c r="VI21" s="55">
        <v>88.75</v>
      </c>
      <c r="VJ21" s="56">
        <v>5</v>
      </c>
      <c r="VK21" s="54" t="s">
        <v>268</v>
      </c>
      <c r="VL21" s="1"/>
      <c r="VM21" s="57">
        <v>0</v>
      </c>
      <c r="VN21" s="58">
        <v>100</v>
      </c>
      <c r="VO21" s="4">
        <v>1072909</v>
      </c>
      <c r="VP21" s="39">
        <v>132</v>
      </c>
      <c r="VQ21" s="39">
        <v>34</v>
      </c>
      <c r="VR21" s="1"/>
      <c r="VS21" s="1">
        <v>90</v>
      </c>
      <c r="VT21" s="1">
        <v>85</v>
      </c>
      <c r="VU21" s="1">
        <v>85</v>
      </c>
      <c r="VV21" s="1"/>
      <c r="VW21" s="1"/>
      <c r="VX21" s="1"/>
      <c r="VY21" s="54">
        <v>86.666666666666671</v>
      </c>
      <c r="VZ21" s="1"/>
      <c r="WA21" s="55">
        <v>86.666666666666671</v>
      </c>
      <c r="WB21" s="1"/>
      <c r="WC21" s="1"/>
      <c r="WD21" s="2">
        <v>0</v>
      </c>
      <c r="WE21" s="54">
        <v>100</v>
      </c>
      <c r="WF21" s="1"/>
      <c r="WG21" s="1"/>
      <c r="WH21" s="1"/>
      <c r="WI21" s="1"/>
      <c r="WJ21" s="1"/>
      <c r="WK21" s="1"/>
      <c r="WL21" s="54" t="s">
        <v>268</v>
      </c>
      <c r="WM21" s="1"/>
      <c r="WN21" s="55" t="s">
        <v>268</v>
      </c>
      <c r="WO21" s="1"/>
      <c r="WP21" s="1"/>
      <c r="WQ21" s="2"/>
      <c r="WR21" s="54" t="s">
        <v>268</v>
      </c>
      <c r="WS21" s="54">
        <v>86.666666666666671</v>
      </c>
      <c r="WT21" s="54" t="s">
        <v>268</v>
      </c>
      <c r="WU21" s="55">
        <v>86.666666666666671</v>
      </c>
      <c r="WV21" s="56">
        <v>5</v>
      </c>
      <c r="WW21" s="54" t="s">
        <v>268</v>
      </c>
      <c r="WX21" s="1"/>
      <c r="WY21" s="57">
        <v>0</v>
      </c>
      <c r="WZ21" s="58">
        <v>100</v>
      </c>
      <c r="XA21" s="4">
        <v>1072909</v>
      </c>
      <c r="XB21" s="39">
        <v>133</v>
      </c>
      <c r="XC21" s="39">
        <v>34</v>
      </c>
      <c r="XD21" s="1"/>
      <c r="XE21" s="1">
        <v>70</v>
      </c>
      <c r="XF21" s="1">
        <v>85</v>
      </c>
      <c r="XG21" s="1">
        <v>84</v>
      </c>
      <c r="XH21" s="1"/>
      <c r="XI21" s="1"/>
      <c r="XJ21" s="1"/>
      <c r="XK21" s="54">
        <v>79.666666666666671</v>
      </c>
      <c r="XL21" s="1"/>
      <c r="XM21" s="55">
        <v>79.666666666666671</v>
      </c>
      <c r="XN21" s="1"/>
      <c r="XO21" s="1"/>
      <c r="XP21" s="2">
        <v>0</v>
      </c>
      <c r="XQ21" s="54">
        <v>100</v>
      </c>
      <c r="XR21" s="1"/>
      <c r="XS21" s="1"/>
      <c r="XT21" s="1"/>
      <c r="XU21" s="1"/>
      <c r="XV21" s="1"/>
      <c r="XW21" s="1"/>
      <c r="XX21" s="54" t="s">
        <v>268</v>
      </c>
      <c r="XY21" s="1"/>
      <c r="XZ21" s="55" t="s">
        <v>268</v>
      </c>
      <c r="YA21" s="1"/>
      <c r="YB21" s="1"/>
      <c r="YC21" s="2"/>
      <c r="YD21" s="54" t="s">
        <v>268</v>
      </c>
      <c r="YE21" s="54">
        <v>79.666666666666671</v>
      </c>
      <c r="YF21" s="54" t="s">
        <v>268</v>
      </c>
      <c r="YG21" s="55">
        <v>79.666666666666671</v>
      </c>
      <c r="YH21" s="56">
        <v>4</v>
      </c>
      <c r="YI21" s="54" t="s">
        <v>268</v>
      </c>
      <c r="YJ21" s="1"/>
      <c r="YK21" s="57">
        <v>0</v>
      </c>
      <c r="YL21" s="58">
        <v>100</v>
      </c>
      <c r="YM21" s="4">
        <v>1072909</v>
      </c>
      <c r="YN21" s="39">
        <v>135</v>
      </c>
      <c r="YO21" s="39">
        <v>34</v>
      </c>
      <c r="YP21" s="1"/>
      <c r="YQ21" s="1">
        <v>85</v>
      </c>
      <c r="YR21" s="1">
        <v>100</v>
      </c>
      <c r="YS21" s="1">
        <v>88</v>
      </c>
      <c r="YT21" s="1"/>
      <c r="YU21" s="1"/>
      <c r="YV21" s="1"/>
      <c r="YW21" s="54">
        <v>91</v>
      </c>
      <c r="YX21" s="1"/>
      <c r="YY21" s="55">
        <v>91</v>
      </c>
      <c r="YZ21" s="1"/>
      <c r="ZA21" s="1"/>
      <c r="ZB21" s="2">
        <v>0</v>
      </c>
      <c r="ZC21" s="54">
        <v>100</v>
      </c>
      <c r="ZD21" s="1"/>
      <c r="ZE21" s="1"/>
      <c r="ZF21" s="1"/>
      <c r="ZG21" s="1"/>
      <c r="ZH21" s="1"/>
      <c r="ZI21" s="1"/>
      <c r="ZJ21" s="54" t="s">
        <v>268</v>
      </c>
      <c r="ZK21" s="1"/>
      <c r="ZL21" s="55" t="s">
        <v>268</v>
      </c>
      <c r="ZM21" s="1"/>
      <c r="ZN21" s="1"/>
      <c r="ZO21" s="2"/>
      <c r="ZP21" s="54" t="s">
        <v>268</v>
      </c>
      <c r="ZQ21" s="54">
        <v>91</v>
      </c>
      <c r="ZR21" s="54" t="s">
        <v>268</v>
      </c>
      <c r="ZS21" s="55">
        <v>91</v>
      </c>
      <c r="ZT21" s="56">
        <v>5</v>
      </c>
      <c r="ZU21" s="54" t="s">
        <v>268</v>
      </c>
      <c r="ZV21" s="1"/>
      <c r="ZW21" s="57">
        <v>0</v>
      </c>
      <c r="ZX21" s="58">
        <v>100</v>
      </c>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2" customHeight="1" x14ac:dyDescent="0.2">
      <c r="A22" s="88" t="str">
        <f t="shared" si="397"/>
        <v>2023-2024</v>
      </c>
      <c r="B22" s="88" t="str">
        <f t="shared" si="398"/>
        <v>Bakı</v>
      </c>
      <c r="C22" s="88" t="str">
        <f t="shared" si="399"/>
        <v>Binəqədi</v>
      </c>
      <c r="D22" s="88">
        <f t="shared" si="400"/>
        <v>99</v>
      </c>
      <c r="E22" s="40">
        <v>3984575</v>
      </c>
      <c r="F22" s="88">
        <f t="shared" si="401"/>
        <v>2</v>
      </c>
      <c r="G22" s="88" t="str">
        <f t="shared" si="402"/>
        <v>C</v>
      </c>
      <c r="H22" s="37" t="s">
        <v>185</v>
      </c>
      <c r="I22" s="37" t="s">
        <v>186</v>
      </c>
      <c r="J22" s="41" t="s">
        <v>187</v>
      </c>
      <c r="K22" s="89" t="str">
        <f t="shared" si="403"/>
        <v>A</v>
      </c>
      <c r="L22" s="41" t="s">
        <v>119</v>
      </c>
      <c r="M22" s="41" t="s">
        <v>242</v>
      </c>
      <c r="N22" s="41"/>
      <c r="O22" s="43" t="s">
        <v>243</v>
      </c>
      <c r="P22" s="90" t="str">
        <f t="shared" si="404"/>
        <v>Süleymanova Aybəniz</v>
      </c>
      <c r="Q22" s="4">
        <v>1072909</v>
      </c>
      <c r="R22" s="39">
        <v>101</v>
      </c>
      <c r="S22" s="39">
        <v>308</v>
      </c>
      <c r="T22" s="1"/>
      <c r="U22" s="1">
        <v>72</v>
      </c>
      <c r="V22" s="1">
        <v>44</v>
      </c>
      <c r="W22" s="1">
        <v>64</v>
      </c>
      <c r="X22" s="1">
        <v>68</v>
      </c>
      <c r="Y22" s="1"/>
      <c r="Z22" s="1"/>
      <c r="AA22" s="54">
        <v>62</v>
      </c>
      <c r="AB22" s="1"/>
      <c r="AC22" s="55">
        <v>62</v>
      </c>
      <c r="AD22" s="1"/>
      <c r="AE22" s="1"/>
      <c r="AF22" s="2">
        <v>0</v>
      </c>
      <c r="AG22" s="54">
        <v>100</v>
      </c>
      <c r="AH22" s="1"/>
      <c r="AI22" s="1"/>
      <c r="AJ22" s="1"/>
      <c r="AK22" s="1"/>
      <c r="AL22" s="1"/>
      <c r="AM22" s="1"/>
      <c r="AN22" s="54" t="s">
        <v>268</v>
      </c>
      <c r="AO22" s="1"/>
      <c r="AP22" s="55" t="s">
        <v>268</v>
      </c>
      <c r="AQ22" s="1"/>
      <c r="AR22" s="1"/>
      <c r="AS22" s="2"/>
      <c r="AT22" s="54" t="s">
        <v>268</v>
      </c>
      <c r="AU22" s="54">
        <v>62</v>
      </c>
      <c r="AV22" s="54" t="s">
        <v>268</v>
      </c>
      <c r="AW22" s="55">
        <v>62</v>
      </c>
      <c r="AX22" s="56">
        <v>4</v>
      </c>
      <c r="AY22" s="54" t="s">
        <v>268</v>
      </c>
      <c r="AZ22" s="1"/>
      <c r="BA22" s="57">
        <v>0</v>
      </c>
      <c r="BB22" s="58">
        <v>100</v>
      </c>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v>1273950</v>
      </c>
      <c r="EB22" s="39">
        <v>106</v>
      </c>
      <c r="EC22" s="39">
        <v>17</v>
      </c>
      <c r="ED22" s="1"/>
      <c r="EE22" s="1">
        <v>50</v>
      </c>
      <c r="EF22" s="1">
        <v>50</v>
      </c>
      <c r="EG22" s="1">
        <v>60</v>
      </c>
      <c r="EH22" s="1"/>
      <c r="EI22" s="1"/>
      <c r="EJ22" s="1"/>
      <c r="EK22" s="54">
        <v>53.333333333333336</v>
      </c>
      <c r="EL22" s="1"/>
      <c r="EM22" s="55">
        <v>53.333333333333336</v>
      </c>
      <c r="EN22" s="1"/>
      <c r="EO22" s="1"/>
      <c r="EP22" s="2">
        <v>0</v>
      </c>
      <c r="EQ22" s="54">
        <v>100</v>
      </c>
      <c r="ER22" s="1"/>
      <c r="ES22" s="1"/>
      <c r="ET22" s="1"/>
      <c r="EU22" s="1"/>
      <c r="EV22" s="1"/>
      <c r="EW22" s="1"/>
      <c r="EX22" s="54" t="s">
        <v>268</v>
      </c>
      <c r="EY22" s="1"/>
      <c r="EZ22" s="55" t="s">
        <v>268</v>
      </c>
      <c r="FA22" s="1"/>
      <c r="FB22" s="1"/>
      <c r="FC22" s="2"/>
      <c r="FD22" s="54" t="s">
        <v>268</v>
      </c>
      <c r="FE22" s="54">
        <v>53.333333333333336</v>
      </c>
      <c r="FF22" s="54" t="s">
        <v>268</v>
      </c>
      <c r="FG22" s="55">
        <v>53.333333333333336</v>
      </c>
      <c r="FH22" s="56">
        <v>3</v>
      </c>
      <c r="FI22" s="54" t="s">
        <v>268</v>
      </c>
      <c r="FJ22" s="1"/>
      <c r="FK22" s="57">
        <v>0</v>
      </c>
      <c r="FL22" s="58">
        <v>100</v>
      </c>
      <c r="FM22" s="4">
        <v>1072909</v>
      </c>
      <c r="FN22" s="39">
        <v>110</v>
      </c>
      <c r="FO22" s="39">
        <v>171</v>
      </c>
      <c r="FP22" s="1"/>
      <c r="FQ22" s="1">
        <v>72</v>
      </c>
      <c r="FR22" s="1">
        <v>47</v>
      </c>
      <c r="FS22" s="1">
        <v>76</v>
      </c>
      <c r="FT22" s="1">
        <v>69</v>
      </c>
      <c r="FU22" s="1"/>
      <c r="FV22" s="1"/>
      <c r="FW22" s="54">
        <v>66</v>
      </c>
      <c r="FX22" s="1"/>
      <c r="FY22" s="55">
        <v>66</v>
      </c>
      <c r="FZ22" s="1"/>
      <c r="GA22" s="1"/>
      <c r="GB22" s="2">
        <v>0</v>
      </c>
      <c r="GC22" s="54">
        <v>100</v>
      </c>
      <c r="GD22" s="1"/>
      <c r="GE22" s="1"/>
      <c r="GF22" s="1"/>
      <c r="GG22" s="1"/>
      <c r="GH22" s="1"/>
      <c r="GI22" s="1"/>
      <c r="GJ22" s="54" t="s">
        <v>268</v>
      </c>
      <c r="GK22" s="1"/>
      <c r="GL22" s="55" t="s">
        <v>268</v>
      </c>
      <c r="GM22" s="1"/>
      <c r="GN22" s="1"/>
      <c r="GO22" s="2"/>
      <c r="GP22" s="54" t="s">
        <v>268</v>
      </c>
      <c r="GQ22" s="54">
        <v>66</v>
      </c>
      <c r="GR22" s="54" t="s">
        <v>268</v>
      </c>
      <c r="GS22" s="55">
        <v>66</v>
      </c>
      <c r="GT22" s="56">
        <v>4</v>
      </c>
      <c r="GU22" s="54" t="s">
        <v>268</v>
      </c>
      <c r="GV22" s="1"/>
      <c r="GW22" s="57">
        <v>0</v>
      </c>
      <c r="GX22" s="58">
        <v>100</v>
      </c>
      <c r="GY22" s="4">
        <v>1199044</v>
      </c>
      <c r="GZ22" s="39">
        <v>114</v>
      </c>
      <c r="HA22" s="39">
        <v>17</v>
      </c>
      <c r="HB22" s="1"/>
      <c r="HC22" s="1">
        <v>95</v>
      </c>
      <c r="HD22" s="1">
        <v>60</v>
      </c>
      <c r="HE22" s="1">
        <v>80</v>
      </c>
      <c r="HF22" s="1"/>
      <c r="HG22" s="1"/>
      <c r="HH22" s="1"/>
      <c r="HI22" s="54">
        <v>78.333333333333329</v>
      </c>
      <c r="HJ22" s="1"/>
      <c r="HK22" s="55">
        <v>78.333333333333329</v>
      </c>
      <c r="HL22" s="1"/>
      <c r="HM22" s="1"/>
      <c r="HN22" s="2">
        <v>0</v>
      </c>
      <c r="HO22" s="54">
        <v>100</v>
      </c>
      <c r="HP22" s="1"/>
      <c r="HQ22" s="1"/>
      <c r="HR22" s="1"/>
      <c r="HS22" s="1"/>
      <c r="HT22" s="1"/>
      <c r="HU22" s="1"/>
      <c r="HV22" s="54" t="s">
        <v>268</v>
      </c>
      <c r="HW22" s="1"/>
      <c r="HX22" s="55" t="s">
        <v>268</v>
      </c>
      <c r="HY22" s="1"/>
      <c r="HZ22" s="1"/>
      <c r="IA22" s="2"/>
      <c r="IB22" s="54" t="s">
        <v>268</v>
      </c>
      <c r="IC22" s="54">
        <v>78.333333333333329</v>
      </c>
      <c r="ID22" s="54" t="s">
        <v>268</v>
      </c>
      <c r="IE22" s="55">
        <v>78.333333333333329</v>
      </c>
      <c r="IF22" s="56">
        <v>4</v>
      </c>
      <c r="IG22" s="54" t="s">
        <v>268</v>
      </c>
      <c r="IH22" s="1"/>
      <c r="II22" s="57">
        <v>0</v>
      </c>
      <c r="IJ22" s="58">
        <v>100</v>
      </c>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v>1072909</v>
      </c>
      <c r="PT22" s="39">
        <v>128</v>
      </c>
      <c r="PU22" s="39">
        <v>34</v>
      </c>
      <c r="PV22" s="1"/>
      <c r="PW22" s="1">
        <v>75</v>
      </c>
      <c r="PX22" s="1">
        <v>63</v>
      </c>
      <c r="PY22" s="1">
        <v>62</v>
      </c>
      <c r="PZ22" s="1"/>
      <c r="QA22" s="1"/>
      <c r="QB22" s="1"/>
      <c r="QC22" s="54">
        <v>66.666666666666671</v>
      </c>
      <c r="QD22" s="1"/>
      <c r="QE22" s="55">
        <v>66.666666666666671</v>
      </c>
      <c r="QF22" s="1"/>
      <c r="QG22" s="1"/>
      <c r="QH22" s="2">
        <v>0</v>
      </c>
      <c r="QI22" s="54">
        <v>100</v>
      </c>
      <c r="QJ22" s="1"/>
      <c r="QK22" s="1"/>
      <c r="QL22" s="1"/>
      <c r="QM22" s="1"/>
      <c r="QN22" s="1"/>
      <c r="QO22" s="1"/>
      <c r="QP22" s="54" t="s">
        <v>268</v>
      </c>
      <c r="QQ22" s="1"/>
      <c r="QR22" s="55" t="s">
        <v>268</v>
      </c>
      <c r="QS22" s="1"/>
      <c r="QT22" s="1"/>
      <c r="QU22" s="2"/>
      <c r="QV22" s="54" t="s">
        <v>268</v>
      </c>
      <c r="QW22" s="54">
        <v>66.666666666666671</v>
      </c>
      <c r="QX22" s="54" t="s">
        <v>268</v>
      </c>
      <c r="QY22" s="55">
        <v>66.666666666666671</v>
      </c>
      <c r="QZ22" s="56">
        <v>4</v>
      </c>
      <c r="RA22" s="54" t="s">
        <v>268</v>
      </c>
      <c r="RB22" s="1"/>
      <c r="RC22" s="57">
        <v>0</v>
      </c>
      <c r="RD22" s="58">
        <v>100</v>
      </c>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v>1072909</v>
      </c>
      <c r="UD22" s="39">
        <v>131</v>
      </c>
      <c r="UE22" s="39">
        <v>68</v>
      </c>
      <c r="UF22" s="1"/>
      <c r="UG22" s="1">
        <v>80</v>
      </c>
      <c r="UH22" s="1">
        <v>75</v>
      </c>
      <c r="UI22" s="1">
        <v>70</v>
      </c>
      <c r="UJ22" s="1">
        <v>80</v>
      </c>
      <c r="UK22" s="1"/>
      <c r="UL22" s="1"/>
      <c r="UM22" s="54">
        <v>76.25</v>
      </c>
      <c r="UN22" s="1"/>
      <c r="UO22" s="55">
        <v>76.25</v>
      </c>
      <c r="UP22" s="1"/>
      <c r="UQ22" s="1"/>
      <c r="UR22" s="2">
        <v>0</v>
      </c>
      <c r="US22" s="54">
        <v>100</v>
      </c>
      <c r="UT22" s="1"/>
      <c r="UU22" s="1"/>
      <c r="UV22" s="1"/>
      <c r="UW22" s="1"/>
      <c r="UX22" s="1"/>
      <c r="UY22" s="1"/>
      <c r="UZ22" s="54" t="s">
        <v>268</v>
      </c>
      <c r="VA22" s="1"/>
      <c r="VB22" s="55" t="s">
        <v>268</v>
      </c>
      <c r="VC22" s="1"/>
      <c r="VD22" s="1"/>
      <c r="VE22" s="2"/>
      <c r="VF22" s="54" t="s">
        <v>268</v>
      </c>
      <c r="VG22" s="54">
        <v>76.25</v>
      </c>
      <c r="VH22" s="54" t="s">
        <v>268</v>
      </c>
      <c r="VI22" s="55">
        <v>76.25</v>
      </c>
      <c r="VJ22" s="56">
        <v>4</v>
      </c>
      <c r="VK22" s="54" t="s">
        <v>268</v>
      </c>
      <c r="VL22" s="1"/>
      <c r="VM22" s="57">
        <v>0</v>
      </c>
      <c r="VN22" s="58">
        <v>100</v>
      </c>
      <c r="VO22" s="4">
        <v>1072909</v>
      </c>
      <c r="VP22" s="39">
        <v>132</v>
      </c>
      <c r="VQ22" s="39">
        <v>34</v>
      </c>
      <c r="VR22" s="1"/>
      <c r="VS22" s="1">
        <v>65</v>
      </c>
      <c r="VT22" s="1">
        <v>75</v>
      </c>
      <c r="VU22" s="1">
        <v>77</v>
      </c>
      <c r="VV22" s="1"/>
      <c r="VW22" s="1"/>
      <c r="VX22" s="1"/>
      <c r="VY22" s="54">
        <v>72.333333333333329</v>
      </c>
      <c r="VZ22" s="1"/>
      <c r="WA22" s="55">
        <v>72.333333333333329</v>
      </c>
      <c r="WB22" s="1"/>
      <c r="WC22" s="1"/>
      <c r="WD22" s="2">
        <v>0</v>
      </c>
      <c r="WE22" s="54">
        <v>100</v>
      </c>
      <c r="WF22" s="1"/>
      <c r="WG22" s="1"/>
      <c r="WH22" s="1"/>
      <c r="WI22" s="1"/>
      <c r="WJ22" s="1"/>
      <c r="WK22" s="1"/>
      <c r="WL22" s="54" t="s">
        <v>268</v>
      </c>
      <c r="WM22" s="1"/>
      <c r="WN22" s="55" t="s">
        <v>268</v>
      </c>
      <c r="WO22" s="1"/>
      <c r="WP22" s="1"/>
      <c r="WQ22" s="2"/>
      <c r="WR22" s="54" t="s">
        <v>268</v>
      </c>
      <c r="WS22" s="54">
        <v>72.333333333333329</v>
      </c>
      <c r="WT22" s="54" t="s">
        <v>268</v>
      </c>
      <c r="WU22" s="55">
        <v>72.333333333333329</v>
      </c>
      <c r="WV22" s="56">
        <v>4</v>
      </c>
      <c r="WW22" s="54" t="s">
        <v>268</v>
      </c>
      <c r="WX22" s="1"/>
      <c r="WY22" s="57">
        <v>0</v>
      </c>
      <c r="WZ22" s="58">
        <v>100</v>
      </c>
      <c r="XA22" s="4">
        <v>1072909</v>
      </c>
      <c r="XB22" s="39">
        <v>133</v>
      </c>
      <c r="XC22" s="39">
        <v>34</v>
      </c>
      <c r="XD22" s="1"/>
      <c r="XE22" s="1">
        <v>55</v>
      </c>
      <c r="XF22" s="1">
        <v>70</v>
      </c>
      <c r="XG22" s="1">
        <v>66</v>
      </c>
      <c r="XH22" s="1"/>
      <c r="XI22" s="1"/>
      <c r="XJ22" s="1"/>
      <c r="XK22" s="54">
        <v>63.666666666666664</v>
      </c>
      <c r="XL22" s="1"/>
      <c r="XM22" s="55">
        <v>63.666666666666664</v>
      </c>
      <c r="XN22" s="1"/>
      <c r="XO22" s="1"/>
      <c r="XP22" s="2">
        <v>0</v>
      </c>
      <c r="XQ22" s="54">
        <v>100</v>
      </c>
      <c r="XR22" s="1"/>
      <c r="XS22" s="1"/>
      <c r="XT22" s="1"/>
      <c r="XU22" s="1"/>
      <c r="XV22" s="1"/>
      <c r="XW22" s="1"/>
      <c r="XX22" s="54" t="s">
        <v>268</v>
      </c>
      <c r="XY22" s="1"/>
      <c r="XZ22" s="55" t="s">
        <v>268</v>
      </c>
      <c r="YA22" s="1"/>
      <c r="YB22" s="1"/>
      <c r="YC22" s="2"/>
      <c r="YD22" s="54" t="s">
        <v>268</v>
      </c>
      <c r="YE22" s="54">
        <v>63.666666666666664</v>
      </c>
      <c r="YF22" s="54" t="s">
        <v>268</v>
      </c>
      <c r="YG22" s="55">
        <v>63.666666666666664</v>
      </c>
      <c r="YH22" s="56">
        <v>4</v>
      </c>
      <c r="YI22" s="54" t="s">
        <v>268</v>
      </c>
      <c r="YJ22" s="1"/>
      <c r="YK22" s="57">
        <v>0</v>
      </c>
      <c r="YL22" s="58">
        <v>100</v>
      </c>
      <c r="YM22" s="4">
        <v>1072909</v>
      </c>
      <c r="YN22" s="39">
        <v>135</v>
      </c>
      <c r="YO22" s="39">
        <v>34</v>
      </c>
      <c r="YP22" s="1"/>
      <c r="YQ22" s="1">
        <v>65</v>
      </c>
      <c r="YR22" s="1">
        <v>65</v>
      </c>
      <c r="YS22" s="1">
        <v>68</v>
      </c>
      <c r="YT22" s="1"/>
      <c r="YU22" s="1"/>
      <c r="YV22" s="1"/>
      <c r="YW22" s="54">
        <v>66</v>
      </c>
      <c r="YX22" s="1"/>
      <c r="YY22" s="55">
        <v>66</v>
      </c>
      <c r="YZ22" s="1"/>
      <c r="ZA22" s="1"/>
      <c r="ZB22" s="2">
        <v>0</v>
      </c>
      <c r="ZC22" s="54">
        <v>100</v>
      </c>
      <c r="ZD22" s="1"/>
      <c r="ZE22" s="1"/>
      <c r="ZF22" s="1"/>
      <c r="ZG22" s="1"/>
      <c r="ZH22" s="1"/>
      <c r="ZI22" s="1"/>
      <c r="ZJ22" s="54" t="s">
        <v>268</v>
      </c>
      <c r="ZK22" s="1"/>
      <c r="ZL22" s="55" t="s">
        <v>268</v>
      </c>
      <c r="ZM22" s="1"/>
      <c r="ZN22" s="1"/>
      <c r="ZO22" s="2"/>
      <c r="ZP22" s="54" t="s">
        <v>268</v>
      </c>
      <c r="ZQ22" s="54">
        <v>66</v>
      </c>
      <c r="ZR22" s="54" t="s">
        <v>268</v>
      </c>
      <c r="ZS22" s="55">
        <v>66</v>
      </c>
      <c r="ZT22" s="56">
        <v>4</v>
      </c>
      <c r="ZU22" s="54" t="s">
        <v>268</v>
      </c>
      <c r="ZV22" s="1"/>
      <c r="ZW22" s="57">
        <v>0</v>
      </c>
      <c r="ZX22" s="58">
        <v>100</v>
      </c>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2" customHeight="1" x14ac:dyDescent="0.2">
      <c r="A23" s="88" t="str">
        <f t="shared" si="397"/>
        <v>2023-2024</v>
      </c>
      <c r="B23" s="88" t="str">
        <f t="shared" si="398"/>
        <v>Bakı</v>
      </c>
      <c r="C23" s="88" t="str">
        <f t="shared" si="399"/>
        <v>Binəqədi</v>
      </c>
      <c r="D23" s="88">
        <f t="shared" si="400"/>
        <v>99</v>
      </c>
      <c r="E23" s="40">
        <v>3984636</v>
      </c>
      <c r="F23" s="88">
        <f t="shared" si="401"/>
        <v>2</v>
      </c>
      <c r="G23" s="88" t="str">
        <f t="shared" si="402"/>
        <v>C</v>
      </c>
      <c r="H23" s="37" t="s">
        <v>188</v>
      </c>
      <c r="I23" s="37" t="s">
        <v>189</v>
      </c>
      <c r="J23" s="41" t="s">
        <v>190</v>
      </c>
      <c r="K23" s="89" t="str">
        <f t="shared" si="403"/>
        <v>A</v>
      </c>
      <c r="L23" s="41" t="s">
        <v>117</v>
      </c>
      <c r="M23" s="41" t="s">
        <v>244</v>
      </c>
      <c r="N23" s="41"/>
      <c r="O23" s="43" t="s">
        <v>245</v>
      </c>
      <c r="P23" s="90" t="str">
        <f t="shared" si="404"/>
        <v>Süleymanova Aybəniz</v>
      </c>
      <c r="Q23" s="4">
        <v>1072909</v>
      </c>
      <c r="R23" s="39">
        <v>101</v>
      </c>
      <c r="S23" s="39">
        <v>308</v>
      </c>
      <c r="T23" s="1"/>
      <c r="U23" s="1">
        <v>68</v>
      </c>
      <c r="V23" s="1">
        <v>65</v>
      </c>
      <c r="W23" s="1">
        <v>66</v>
      </c>
      <c r="X23" s="1">
        <v>68</v>
      </c>
      <c r="Y23" s="1"/>
      <c r="Z23" s="1"/>
      <c r="AA23" s="54">
        <v>66.75</v>
      </c>
      <c r="AB23" s="1"/>
      <c r="AC23" s="55">
        <v>66.75</v>
      </c>
      <c r="AD23" s="1"/>
      <c r="AE23" s="1"/>
      <c r="AF23" s="2">
        <v>0</v>
      </c>
      <c r="AG23" s="54">
        <v>100</v>
      </c>
      <c r="AH23" s="1"/>
      <c r="AI23" s="1"/>
      <c r="AJ23" s="1"/>
      <c r="AK23" s="1"/>
      <c r="AL23" s="1"/>
      <c r="AM23" s="1"/>
      <c r="AN23" s="54" t="s">
        <v>268</v>
      </c>
      <c r="AO23" s="1"/>
      <c r="AP23" s="55" t="s">
        <v>268</v>
      </c>
      <c r="AQ23" s="1"/>
      <c r="AR23" s="1"/>
      <c r="AS23" s="2"/>
      <c r="AT23" s="54" t="s">
        <v>268</v>
      </c>
      <c r="AU23" s="54">
        <v>66.75</v>
      </c>
      <c r="AV23" s="54" t="s">
        <v>268</v>
      </c>
      <c r="AW23" s="55">
        <v>66.75</v>
      </c>
      <c r="AX23" s="56">
        <v>4</v>
      </c>
      <c r="AY23" s="54" t="s">
        <v>268</v>
      </c>
      <c r="AZ23" s="1"/>
      <c r="BA23" s="57">
        <v>0</v>
      </c>
      <c r="BB23" s="58">
        <v>100</v>
      </c>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v>1269215</v>
      </c>
      <c r="EB23" s="39">
        <v>106</v>
      </c>
      <c r="EC23" s="39">
        <v>17</v>
      </c>
      <c r="ED23" s="1"/>
      <c r="EE23" s="1">
        <v>90</v>
      </c>
      <c r="EF23" s="1">
        <v>55</v>
      </c>
      <c r="EG23" s="1">
        <v>85</v>
      </c>
      <c r="EH23" s="1"/>
      <c r="EI23" s="1"/>
      <c r="EJ23" s="1"/>
      <c r="EK23" s="54">
        <v>76.666666666666671</v>
      </c>
      <c r="EL23" s="1"/>
      <c r="EM23" s="55">
        <v>76.666666666666671</v>
      </c>
      <c r="EN23" s="1"/>
      <c r="EO23" s="1"/>
      <c r="EP23" s="2">
        <v>0</v>
      </c>
      <c r="EQ23" s="54">
        <v>100</v>
      </c>
      <c r="ER23" s="1"/>
      <c r="ES23" s="1"/>
      <c r="ET23" s="1"/>
      <c r="EU23" s="1"/>
      <c r="EV23" s="1"/>
      <c r="EW23" s="1"/>
      <c r="EX23" s="54" t="s">
        <v>268</v>
      </c>
      <c r="EY23" s="1"/>
      <c r="EZ23" s="55" t="s">
        <v>268</v>
      </c>
      <c r="FA23" s="1"/>
      <c r="FB23" s="1"/>
      <c r="FC23" s="2"/>
      <c r="FD23" s="54" t="s">
        <v>268</v>
      </c>
      <c r="FE23" s="54">
        <v>76.666666666666671</v>
      </c>
      <c r="FF23" s="54" t="s">
        <v>268</v>
      </c>
      <c r="FG23" s="55">
        <v>76.666666666666671</v>
      </c>
      <c r="FH23" s="56">
        <v>4</v>
      </c>
      <c r="FI23" s="54" t="s">
        <v>268</v>
      </c>
      <c r="FJ23" s="1"/>
      <c r="FK23" s="57">
        <v>0</v>
      </c>
      <c r="FL23" s="58">
        <v>100</v>
      </c>
      <c r="FM23" s="4">
        <v>1072909</v>
      </c>
      <c r="FN23" s="39">
        <v>110</v>
      </c>
      <c r="FO23" s="39">
        <v>171</v>
      </c>
      <c r="FP23" s="1"/>
      <c r="FQ23" s="1">
        <v>55</v>
      </c>
      <c r="FR23" s="1">
        <v>58</v>
      </c>
      <c r="FS23" s="1">
        <v>69</v>
      </c>
      <c r="FT23" s="1">
        <v>73</v>
      </c>
      <c r="FU23" s="1"/>
      <c r="FV23" s="1"/>
      <c r="FW23" s="54">
        <v>63.75</v>
      </c>
      <c r="FX23" s="1"/>
      <c r="FY23" s="55">
        <v>63.75</v>
      </c>
      <c r="FZ23" s="1"/>
      <c r="GA23" s="1"/>
      <c r="GB23" s="2">
        <v>0</v>
      </c>
      <c r="GC23" s="54">
        <v>100</v>
      </c>
      <c r="GD23" s="1"/>
      <c r="GE23" s="1"/>
      <c r="GF23" s="1"/>
      <c r="GG23" s="1"/>
      <c r="GH23" s="1"/>
      <c r="GI23" s="1"/>
      <c r="GJ23" s="54" t="s">
        <v>268</v>
      </c>
      <c r="GK23" s="1"/>
      <c r="GL23" s="55" t="s">
        <v>268</v>
      </c>
      <c r="GM23" s="1"/>
      <c r="GN23" s="1"/>
      <c r="GO23" s="2"/>
      <c r="GP23" s="54" t="s">
        <v>268</v>
      </c>
      <c r="GQ23" s="54">
        <v>63.75</v>
      </c>
      <c r="GR23" s="54" t="s">
        <v>268</v>
      </c>
      <c r="GS23" s="55">
        <v>63.75</v>
      </c>
      <c r="GT23" s="56">
        <v>4</v>
      </c>
      <c r="GU23" s="54" t="s">
        <v>268</v>
      </c>
      <c r="GV23" s="1"/>
      <c r="GW23" s="57">
        <v>0</v>
      </c>
      <c r="GX23" s="58">
        <v>100</v>
      </c>
      <c r="GY23" s="4">
        <v>1199044</v>
      </c>
      <c r="GZ23" s="39">
        <v>114</v>
      </c>
      <c r="HA23" s="39">
        <v>17</v>
      </c>
      <c r="HB23" s="1"/>
      <c r="HC23" s="1">
        <v>70</v>
      </c>
      <c r="HD23" s="1">
        <v>80</v>
      </c>
      <c r="HE23" s="1">
        <v>70</v>
      </c>
      <c r="HF23" s="1"/>
      <c r="HG23" s="1"/>
      <c r="HH23" s="1"/>
      <c r="HI23" s="54">
        <v>73.333333333333329</v>
      </c>
      <c r="HJ23" s="1"/>
      <c r="HK23" s="55">
        <v>73.333333333333329</v>
      </c>
      <c r="HL23" s="1"/>
      <c r="HM23" s="1"/>
      <c r="HN23" s="2">
        <v>0</v>
      </c>
      <c r="HO23" s="54">
        <v>100</v>
      </c>
      <c r="HP23" s="1"/>
      <c r="HQ23" s="1"/>
      <c r="HR23" s="1"/>
      <c r="HS23" s="1"/>
      <c r="HT23" s="1"/>
      <c r="HU23" s="1"/>
      <c r="HV23" s="54" t="s">
        <v>268</v>
      </c>
      <c r="HW23" s="1"/>
      <c r="HX23" s="55" t="s">
        <v>268</v>
      </c>
      <c r="HY23" s="1"/>
      <c r="HZ23" s="1"/>
      <c r="IA23" s="2"/>
      <c r="IB23" s="54" t="s">
        <v>268</v>
      </c>
      <c r="IC23" s="54">
        <v>73.333333333333329</v>
      </c>
      <c r="ID23" s="54" t="s">
        <v>268</v>
      </c>
      <c r="IE23" s="55">
        <v>73.333333333333329</v>
      </c>
      <c r="IF23" s="56">
        <v>4</v>
      </c>
      <c r="IG23" s="54" t="s">
        <v>268</v>
      </c>
      <c r="IH23" s="1"/>
      <c r="II23" s="57">
        <v>0</v>
      </c>
      <c r="IJ23" s="58">
        <v>100</v>
      </c>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v>1072909</v>
      </c>
      <c r="PT23" s="39">
        <v>128</v>
      </c>
      <c r="PU23" s="39">
        <v>34</v>
      </c>
      <c r="PV23" s="1"/>
      <c r="PW23" s="1">
        <v>70</v>
      </c>
      <c r="PX23" s="1">
        <v>78</v>
      </c>
      <c r="PY23" s="1">
        <v>75</v>
      </c>
      <c r="PZ23" s="1"/>
      <c r="QA23" s="1"/>
      <c r="QB23" s="1"/>
      <c r="QC23" s="54">
        <v>74.333333333333329</v>
      </c>
      <c r="QD23" s="1"/>
      <c r="QE23" s="55">
        <v>74.333333333333329</v>
      </c>
      <c r="QF23" s="1"/>
      <c r="QG23" s="1"/>
      <c r="QH23" s="2">
        <v>0</v>
      </c>
      <c r="QI23" s="54">
        <v>100</v>
      </c>
      <c r="QJ23" s="1"/>
      <c r="QK23" s="1"/>
      <c r="QL23" s="1"/>
      <c r="QM23" s="1"/>
      <c r="QN23" s="1"/>
      <c r="QO23" s="1"/>
      <c r="QP23" s="54" t="s">
        <v>268</v>
      </c>
      <c r="QQ23" s="1"/>
      <c r="QR23" s="55" t="s">
        <v>268</v>
      </c>
      <c r="QS23" s="1"/>
      <c r="QT23" s="1"/>
      <c r="QU23" s="2"/>
      <c r="QV23" s="54" t="s">
        <v>268</v>
      </c>
      <c r="QW23" s="54">
        <v>74.333333333333329</v>
      </c>
      <c r="QX23" s="54" t="s">
        <v>268</v>
      </c>
      <c r="QY23" s="55">
        <v>74.333333333333329</v>
      </c>
      <c r="QZ23" s="56">
        <v>4</v>
      </c>
      <c r="RA23" s="54" t="s">
        <v>268</v>
      </c>
      <c r="RB23" s="1"/>
      <c r="RC23" s="57">
        <v>0</v>
      </c>
      <c r="RD23" s="58">
        <v>100</v>
      </c>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v>1072909</v>
      </c>
      <c r="UD23" s="39">
        <v>131</v>
      </c>
      <c r="UE23" s="39">
        <v>68</v>
      </c>
      <c r="UF23" s="1"/>
      <c r="UG23" s="1">
        <v>80</v>
      </c>
      <c r="UH23" s="1">
        <v>75</v>
      </c>
      <c r="UI23" s="1">
        <v>70</v>
      </c>
      <c r="UJ23" s="1">
        <v>80</v>
      </c>
      <c r="UK23" s="1"/>
      <c r="UL23" s="1"/>
      <c r="UM23" s="54">
        <v>76.25</v>
      </c>
      <c r="UN23" s="1"/>
      <c r="UO23" s="55">
        <v>76.25</v>
      </c>
      <c r="UP23" s="1"/>
      <c r="UQ23" s="1"/>
      <c r="UR23" s="2">
        <v>0</v>
      </c>
      <c r="US23" s="54">
        <v>100</v>
      </c>
      <c r="UT23" s="1"/>
      <c r="UU23" s="1"/>
      <c r="UV23" s="1"/>
      <c r="UW23" s="1"/>
      <c r="UX23" s="1"/>
      <c r="UY23" s="1"/>
      <c r="UZ23" s="54" t="s">
        <v>268</v>
      </c>
      <c r="VA23" s="1"/>
      <c r="VB23" s="55" t="s">
        <v>268</v>
      </c>
      <c r="VC23" s="1"/>
      <c r="VD23" s="1"/>
      <c r="VE23" s="2"/>
      <c r="VF23" s="54" t="s">
        <v>268</v>
      </c>
      <c r="VG23" s="54">
        <v>76.25</v>
      </c>
      <c r="VH23" s="54" t="s">
        <v>268</v>
      </c>
      <c r="VI23" s="55">
        <v>76.25</v>
      </c>
      <c r="VJ23" s="56">
        <v>4</v>
      </c>
      <c r="VK23" s="54" t="s">
        <v>268</v>
      </c>
      <c r="VL23" s="1"/>
      <c r="VM23" s="57">
        <v>0</v>
      </c>
      <c r="VN23" s="58">
        <v>100</v>
      </c>
      <c r="VO23" s="4">
        <v>1072909</v>
      </c>
      <c r="VP23" s="39">
        <v>132</v>
      </c>
      <c r="VQ23" s="39">
        <v>34</v>
      </c>
      <c r="VR23" s="1"/>
      <c r="VS23" s="1">
        <v>75</v>
      </c>
      <c r="VT23" s="1">
        <v>65</v>
      </c>
      <c r="VU23" s="1">
        <v>77</v>
      </c>
      <c r="VV23" s="1"/>
      <c r="VW23" s="1"/>
      <c r="VX23" s="1"/>
      <c r="VY23" s="54">
        <v>72.333333333333329</v>
      </c>
      <c r="VZ23" s="1"/>
      <c r="WA23" s="55">
        <v>72.333333333333329</v>
      </c>
      <c r="WB23" s="1"/>
      <c r="WC23" s="1"/>
      <c r="WD23" s="2">
        <v>0</v>
      </c>
      <c r="WE23" s="54">
        <v>100</v>
      </c>
      <c r="WF23" s="1"/>
      <c r="WG23" s="1"/>
      <c r="WH23" s="1"/>
      <c r="WI23" s="1"/>
      <c r="WJ23" s="1"/>
      <c r="WK23" s="1"/>
      <c r="WL23" s="54" t="s">
        <v>268</v>
      </c>
      <c r="WM23" s="1"/>
      <c r="WN23" s="55" t="s">
        <v>268</v>
      </c>
      <c r="WO23" s="1"/>
      <c r="WP23" s="1"/>
      <c r="WQ23" s="2"/>
      <c r="WR23" s="54" t="s">
        <v>268</v>
      </c>
      <c r="WS23" s="54">
        <v>72.333333333333329</v>
      </c>
      <c r="WT23" s="54" t="s">
        <v>268</v>
      </c>
      <c r="WU23" s="55">
        <v>72.333333333333329</v>
      </c>
      <c r="WV23" s="56">
        <v>4</v>
      </c>
      <c r="WW23" s="54" t="s">
        <v>268</v>
      </c>
      <c r="WX23" s="1"/>
      <c r="WY23" s="57">
        <v>0</v>
      </c>
      <c r="WZ23" s="58">
        <v>100</v>
      </c>
      <c r="XA23" s="4">
        <v>1072909</v>
      </c>
      <c r="XB23" s="39">
        <v>133</v>
      </c>
      <c r="XC23" s="39">
        <v>34</v>
      </c>
      <c r="XD23" s="1"/>
      <c r="XE23" s="1">
        <v>65</v>
      </c>
      <c r="XF23" s="1">
        <v>70</v>
      </c>
      <c r="XG23" s="1">
        <v>73</v>
      </c>
      <c r="XH23" s="1"/>
      <c r="XI23" s="1"/>
      <c r="XJ23" s="1"/>
      <c r="XK23" s="54">
        <v>69.333333333333329</v>
      </c>
      <c r="XL23" s="1"/>
      <c r="XM23" s="55">
        <v>69.333333333333329</v>
      </c>
      <c r="XN23" s="1"/>
      <c r="XO23" s="1"/>
      <c r="XP23" s="2">
        <v>0</v>
      </c>
      <c r="XQ23" s="54">
        <v>100</v>
      </c>
      <c r="XR23" s="1"/>
      <c r="XS23" s="1"/>
      <c r="XT23" s="1"/>
      <c r="XU23" s="1"/>
      <c r="XV23" s="1"/>
      <c r="XW23" s="1"/>
      <c r="XX23" s="54" t="s">
        <v>268</v>
      </c>
      <c r="XY23" s="1"/>
      <c r="XZ23" s="55" t="s">
        <v>268</v>
      </c>
      <c r="YA23" s="1"/>
      <c r="YB23" s="1"/>
      <c r="YC23" s="2"/>
      <c r="YD23" s="54" t="s">
        <v>268</v>
      </c>
      <c r="YE23" s="54">
        <v>69.333333333333329</v>
      </c>
      <c r="YF23" s="54" t="s">
        <v>268</v>
      </c>
      <c r="YG23" s="55">
        <v>69.333333333333329</v>
      </c>
      <c r="YH23" s="56">
        <v>4</v>
      </c>
      <c r="YI23" s="54" t="s">
        <v>268</v>
      </c>
      <c r="YJ23" s="1"/>
      <c r="YK23" s="57">
        <v>0</v>
      </c>
      <c r="YL23" s="58">
        <v>100</v>
      </c>
      <c r="YM23" s="4">
        <v>1072909</v>
      </c>
      <c r="YN23" s="39">
        <v>135</v>
      </c>
      <c r="YO23" s="39">
        <v>34</v>
      </c>
      <c r="YP23" s="1"/>
      <c r="YQ23" s="1">
        <v>65</v>
      </c>
      <c r="YR23" s="1">
        <v>70</v>
      </c>
      <c r="YS23" s="1">
        <v>66</v>
      </c>
      <c r="YT23" s="1"/>
      <c r="YU23" s="1"/>
      <c r="YV23" s="1"/>
      <c r="YW23" s="54">
        <v>67</v>
      </c>
      <c r="YX23" s="1"/>
      <c r="YY23" s="55">
        <v>67</v>
      </c>
      <c r="YZ23" s="1"/>
      <c r="ZA23" s="1"/>
      <c r="ZB23" s="2">
        <v>0</v>
      </c>
      <c r="ZC23" s="54">
        <v>100</v>
      </c>
      <c r="ZD23" s="1"/>
      <c r="ZE23" s="1"/>
      <c r="ZF23" s="1"/>
      <c r="ZG23" s="1"/>
      <c r="ZH23" s="1"/>
      <c r="ZI23" s="1"/>
      <c r="ZJ23" s="54" t="s">
        <v>268</v>
      </c>
      <c r="ZK23" s="1"/>
      <c r="ZL23" s="55" t="s">
        <v>268</v>
      </c>
      <c r="ZM23" s="1"/>
      <c r="ZN23" s="1"/>
      <c r="ZO23" s="2"/>
      <c r="ZP23" s="54" t="s">
        <v>268</v>
      </c>
      <c r="ZQ23" s="54">
        <v>67</v>
      </c>
      <c r="ZR23" s="54" t="s">
        <v>268</v>
      </c>
      <c r="ZS23" s="55">
        <v>67</v>
      </c>
      <c r="ZT23" s="56">
        <v>4</v>
      </c>
      <c r="ZU23" s="54" t="s">
        <v>268</v>
      </c>
      <c r="ZV23" s="1"/>
      <c r="ZW23" s="57">
        <v>0</v>
      </c>
      <c r="ZX23" s="58">
        <v>100</v>
      </c>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2" customHeight="1" x14ac:dyDescent="0.2">
      <c r="A24" s="88" t="str">
        <f t="shared" si="397"/>
        <v>2023-2024</v>
      </c>
      <c r="B24" s="88" t="str">
        <f t="shared" si="398"/>
        <v>Bakı</v>
      </c>
      <c r="C24" s="88" t="str">
        <f t="shared" si="399"/>
        <v>Binəqədi</v>
      </c>
      <c r="D24" s="88">
        <f t="shared" si="400"/>
        <v>99</v>
      </c>
      <c r="E24" s="40">
        <v>3984715</v>
      </c>
      <c r="F24" s="88">
        <f t="shared" si="401"/>
        <v>2</v>
      </c>
      <c r="G24" s="88" t="str">
        <f t="shared" si="402"/>
        <v>C</v>
      </c>
      <c r="H24" s="37" t="s">
        <v>191</v>
      </c>
      <c r="I24" s="37" t="s">
        <v>192</v>
      </c>
      <c r="J24" s="41" t="s">
        <v>193</v>
      </c>
      <c r="K24" s="89" t="str">
        <f t="shared" si="403"/>
        <v>A</v>
      </c>
      <c r="L24" s="41" t="s">
        <v>119</v>
      </c>
      <c r="M24" s="41" t="s">
        <v>246</v>
      </c>
      <c r="N24" s="41"/>
      <c r="O24" s="43" t="s">
        <v>247</v>
      </c>
      <c r="P24" s="90" t="str">
        <f t="shared" si="404"/>
        <v>Süleymanova Aybəniz</v>
      </c>
      <c r="Q24" s="4">
        <v>1072909</v>
      </c>
      <c r="R24" s="39">
        <v>101</v>
      </c>
      <c r="S24" s="39">
        <v>308</v>
      </c>
      <c r="T24" s="1"/>
      <c r="U24" s="1">
        <v>81</v>
      </c>
      <c r="V24" s="1">
        <v>86</v>
      </c>
      <c r="W24" s="1">
        <v>86</v>
      </c>
      <c r="X24" s="1">
        <v>84</v>
      </c>
      <c r="Y24" s="1"/>
      <c r="Z24" s="1"/>
      <c r="AA24" s="54">
        <v>84.25</v>
      </c>
      <c r="AB24" s="1"/>
      <c r="AC24" s="55">
        <v>84.25</v>
      </c>
      <c r="AD24" s="1"/>
      <c r="AE24" s="1"/>
      <c r="AF24" s="2">
        <v>0</v>
      </c>
      <c r="AG24" s="54">
        <v>100</v>
      </c>
      <c r="AH24" s="1"/>
      <c r="AI24" s="1"/>
      <c r="AJ24" s="1"/>
      <c r="AK24" s="1"/>
      <c r="AL24" s="1"/>
      <c r="AM24" s="1"/>
      <c r="AN24" s="54" t="s">
        <v>268</v>
      </c>
      <c r="AO24" s="1"/>
      <c r="AP24" s="55" t="s">
        <v>268</v>
      </c>
      <c r="AQ24" s="1"/>
      <c r="AR24" s="1"/>
      <c r="AS24" s="2"/>
      <c r="AT24" s="54" t="s">
        <v>268</v>
      </c>
      <c r="AU24" s="54">
        <v>84.25</v>
      </c>
      <c r="AV24" s="54" t="s">
        <v>268</v>
      </c>
      <c r="AW24" s="55">
        <v>84.25</v>
      </c>
      <c r="AX24" s="56">
        <v>5</v>
      </c>
      <c r="AY24" s="54" t="s">
        <v>268</v>
      </c>
      <c r="AZ24" s="1"/>
      <c r="BA24" s="57">
        <v>0</v>
      </c>
      <c r="BB24" s="58">
        <v>100</v>
      </c>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v>1269215</v>
      </c>
      <c r="EB24" s="39">
        <v>106</v>
      </c>
      <c r="EC24" s="39">
        <v>17</v>
      </c>
      <c r="ED24" s="1"/>
      <c r="EE24" s="1">
        <v>100</v>
      </c>
      <c r="EF24" s="1">
        <v>85</v>
      </c>
      <c r="EG24" s="1">
        <v>90</v>
      </c>
      <c r="EH24" s="1"/>
      <c r="EI24" s="1"/>
      <c r="EJ24" s="1"/>
      <c r="EK24" s="54">
        <v>91.666666666666671</v>
      </c>
      <c r="EL24" s="1"/>
      <c r="EM24" s="55">
        <v>91.666666666666671</v>
      </c>
      <c r="EN24" s="1"/>
      <c r="EO24" s="1"/>
      <c r="EP24" s="2">
        <v>0</v>
      </c>
      <c r="EQ24" s="54">
        <v>100</v>
      </c>
      <c r="ER24" s="1"/>
      <c r="ES24" s="1"/>
      <c r="ET24" s="1"/>
      <c r="EU24" s="1"/>
      <c r="EV24" s="1"/>
      <c r="EW24" s="1"/>
      <c r="EX24" s="54" t="s">
        <v>268</v>
      </c>
      <c r="EY24" s="1"/>
      <c r="EZ24" s="55" t="s">
        <v>268</v>
      </c>
      <c r="FA24" s="1"/>
      <c r="FB24" s="1"/>
      <c r="FC24" s="2"/>
      <c r="FD24" s="54" t="s">
        <v>268</v>
      </c>
      <c r="FE24" s="54">
        <v>91.666666666666671</v>
      </c>
      <c r="FF24" s="54" t="s">
        <v>268</v>
      </c>
      <c r="FG24" s="55">
        <v>91.666666666666671</v>
      </c>
      <c r="FH24" s="56">
        <v>5</v>
      </c>
      <c r="FI24" s="54" t="s">
        <v>268</v>
      </c>
      <c r="FJ24" s="1"/>
      <c r="FK24" s="57">
        <v>0</v>
      </c>
      <c r="FL24" s="58">
        <v>100</v>
      </c>
      <c r="FM24" s="4">
        <v>1072909</v>
      </c>
      <c r="FN24" s="39">
        <v>110</v>
      </c>
      <c r="FO24" s="39">
        <v>171</v>
      </c>
      <c r="FP24" s="1"/>
      <c r="FQ24" s="1">
        <v>75</v>
      </c>
      <c r="FR24" s="1">
        <v>78</v>
      </c>
      <c r="FS24" s="1">
        <v>95</v>
      </c>
      <c r="FT24" s="1">
        <v>90</v>
      </c>
      <c r="FU24" s="1"/>
      <c r="FV24" s="1"/>
      <c r="FW24" s="54">
        <v>84.5</v>
      </c>
      <c r="FX24" s="1"/>
      <c r="FY24" s="55">
        <v>84.5</v>
      </c>
      <c r="FZ24" s="1"/>
      <c r="GA24" s="1"/>
      <c r="GB24" s="2">
        <v>0</v>
      </c>
      <c r="GC24" s="54">
        <v>100</v>
      </c>
      <c r="GD24" s="1"/>
      <c r="GE24" s="1"/>
      <c r="GF24" s="1"/>
      <c r="GG24" s="1"/>
      <c r="GH24" s="1"/>
      <c r="GI24" s="1"/>
      <c r="GJ24" s="54" t="s">
        <v>268</v>
      </c>
      <c r="GK24" s="1"/>
      <c r="GL24" s="55" t="s">
        <v>268</v>
      </c>
      <c r="GM24" s="1"/>
      <c r="GN24" s="1"/>
      <c r="GO24" s="2"/>
      <c r="GP24" s="54" t="s">
        <v>268</v>
      </c>
      <c r="GQ24" s="54">
        <v>84.5</v>
      </c>
      <c r="GR24" s="54" t="s">
        <v>268</v>
      </c>
      <c r="GS24" s="55">
        <v>84.5</v>
      </c>
      <c r="GT24" s="56">
        <v>5</v>
      </c>
      <c r="GU24" s="54" t="s">
        <v>268</v>
      </c>
      <c r="GV24" s="1"/>
      <c r="GW24" s="57">
        <v>0</v>
      </c>
      <c r="GX24" s="58">
        <v>100</v>
      </c>
      <c r="GY24" s="4">
        <v>1199044</v>
      </c>
      <c r="GZ24" s="39">
        <v>114</v>
      </c>
      <c r="HA24" s="39">
        <v>17</v>
      </c>
      <c r="HB24" s="1"/>
      <c r="HC24" s="1">
        <v>55</v>
      </c>
      <c r="HD24" s="1">
        <v>80</v>
      </c>
      <c r="HE24" s="1">
        <v>70</v>
      </c>
      <c r="HF24" s="1"/>
      <c r="HG24" s="1"/>
      <c r="HH24" s="1"/>
      <c r="HI24" s="54">
        <v>68.333333333333329</v>
      </c>
      <c r="HJ24" s="1"/>
      <c r="HK24" s="55">
        <v>68.333333333333329</v>
      </c>
      <c r="HL24" s="1"/>
      <c r="HM24" s="1"/>
      <c r="HN24" s="2">
        <v>0</v>
      </c>
      <c r="HO24" s="54">
        <v>100</v>
      </c>
      <c r="HP24" s="1"/>
      <c r="HQ24" s="1"/>
      <c r="HR24" s="1"/>
      <c r="HS24" s="1"/>
      <c r="HT24" s="1"/>
      <c r="HU24" s="1"/>
      <c r="HV24" s="54" t="s">
        <v>268</v>
      </c>
      <c r="HW24" s="1"/>
      <c r="HX24" s="55" t="s">
        <v>268</v>
      </c>
      <c r="HY24" s="1"/>
      <c r="HZ24" s="1"/>
      <c r="IA24" s="2"/>
      <c r="IB24" s="54" t="s">
        <v>268</v>
      </c>
      <c r="IC24" s="54">
        <v>68.333333333333329</v>
      </c>
      <c r="ID24" s="54" t="s">
        <v>268</v>
      </c>
      <c r="IE24" s="55">
        <v>68.333333333333329</v>
      </c>
      <c r="IF24" s="56">
        <v>4</v>
      </c>
      <c r="IG24" s="54" t="s">
        <v>268</v>
      </c>
      <c r="IH24" s="1"/>
      <c r="II24" s="57">
        <v>0</v>
      </c>
      <c r="IJ24" s="58">
        <v>100</v>
      </c>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v>1072909</v>
      </c>
      <c r="PT24" s="39">
        <v>128</v>
      </c>
      <c r="PU24" s="39">
        <v>34</v>
      </c>
      <c r="PV24" s="1"/>
      <c r="PW24" s="1">
        <v>80</v>
      </c>
      <c r="PX24" s="1">
        <v>78</v>
      </c>
      <c r="PY24" s="1">
        <v>85</v>
      </c>
      <c r="PZ24" s="1"/>
      <c r="QA24" s="1"/>
      <c r="QB24" s="1"/>
      <c r="QC24" s="54">
        <v>81</v>
      </c>
      <c r="QD24" s="1"/>
      <c r="QE24" s="55">
        <v>81</v>
      </c>
      <c r="QF24" s="1"/>
      <c r="QG24" s="1"/>
      <c r="QH24" s="2">
        <v>0</v>
      </c>
      <c r="QI24" s="54">
        <v>100</v>
      </c>
      <c r="QJ24" s="1"/>
      <c r="QK24" s="1"/>
      <c r="QL24" s="1"/>
      <c r="QM24" s="1"/>
      <c r="QN24" s="1"/>
      <c r="QO24" s="1"/>
      <c r="QP24" s="54" t="s">
        <v>268</v>
      </c>
      <c r="QQ24" s="1"/>
      <c r="QR24" s="55" t="s">
        <v>268</v>
      </c>
      <c r="QS24" s="1"/>
      <c r="QT24" s="1"/>
      <c r="QU24" s="2"/>
      <c r="QV24" s="54" t="s">
        <v>268</v>
      </c>
      <c r="QW24" s="54">
        <v>81</v>
      </c>
      <c r="QX24" s="54" t="s">
        <v>268</v>
      </c>
      <c r="QY24" s="55">
        <v>81</v>
      </c>
      <c r="QZ24" s="56">
        <v>5</v>
      </c>
      <c r="RA24" s="54" t="s">
        <v>268</v>
      </c>
      <c r="RB24" s="1"/>
      <c r="RC24" s="57">
        <v>0</v>
      </c>
      <c r="RD24" s="58">
        <v>100</v>
      </c>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v>1072909</v>
      </c>
      <c r="UD24" s="39">
        <v>131</v>
      </c>
      <c r="UE24" s="39">
        <v>68</v>
      </c>
      <c r="UF24" s="1"/>
      <c r="UG24" s="1">
        <v>85</v>
      </c>
      <c r="UH24" s="1">
        <v>90</v>
      </c>
      <c r="UI24" s="1">
        <v>85</v>
      </c>
      <c r="UJ24" s="1">
        <v>85</v>
      </c>
      <c r="UK24" s="1"/>
      <c r="UL24" s="1"/>
      <c r="UM24" s="54">
        <v>86.25</v>
      </c>
      <c r="UN24" s="1"/>
      <c r="UO24" s="55">
        <v>86.25</v>
      </c>
      <c r="UP24" s="1"/>
      <c r="UQ24" s="1"/>
      <c r="UR24" s="2">
        <v>0</v>
      </c>
      <c r="US24" s="54">
        <v>100</v>
      </c>
      <c r="UT24" s="1"/>
      <c r="UU24" s="1"/>
      <c r="UV24" s="1"/>
      <c r="UW24" s="1"/>
      <c r="UX24" s="1"/>
      <c r="UY24" s="1"/>
      <c r="UZ24" s="54" t="s">
        <v>268</v>
      </c>
      <c r="VA24" s="1"/>
      <c r="VB24" s="55" t="s">
        <v>268</v>
      </c>
      <c r="VC24" s="1"/>
      <c r="VD24" s="1"/>
      <c r="VE24" s="2"/>
      <c r="VF24" s="54" t="s">
        <v>268</v>
      </c>
      <c r="VG24" s="54">
        <v>86.25</v>
      </c>
      <c r="VH24" s="54" t="s">
        <v>268</v>
      </c>
      <c r="VI24" s="55">
        <v>86.25</v>
      </c>
      <c r="VJ24" s="56">
        <v>5</v>
      </c>
      <c r="VK24" s="54" t="s">
        <v>268</v>
      </c>
      <c r="VL24" s="1"/>
      <c r="VM24" s="57">
        <v>0</v>
      </c>
      <c r="VN24" s="58">
        <v>100</v>
      </c>
      <c r="VO24" s="4">
        <v>1072909</v>
      </c>
      <c r="VP24" s="39">
        <v>132</v>
      </c>
      <c r="VQ24" s="39">
        <v>34</v>
      </c>
      <c r="VR24" s="1"/>
      <c r="VS24" s="1">
        <v>90</v>
      </c>
      <c r="VT24" s="1">
        <v>75</v>
      </c>
      <c r="VU24" s="1">
        <v>84</v>
      </c>
      <c r="VV24" s="1"/>
      <c r="VW24" s="1"/>
      <c r="VX24" s="1"/>
      <c r="VY24" s="54">
        <v>83</v>
      </c>
      <c r="VZ24" s="1"/>
      <c r="WA24" s="55">
        <v>83</v>
      </c>
      <c r="WB24" s="1"/>
      <c r="WC24" s="1"/>
      <c r="WD24" s="2">
        <v>0</v>
      </c>
      <c r="WE24" s="54">
        <v>100</v>
      </c>
      <c r="WF24" s="1"/>
      <c r="WG24" s="1"/>
      <c r="WH24" s="1"/>
      <c r="WI24" s="1"/>
      <c r="WJ24" s="1"/>
      <c r="WK24" s="1"/>
      <c r="WL24" s="54" t="s">
        <v>268</v>
      </c>
      <c r="WM24" s="1"/>
      <c r="WN24" s="55" t="s">
        <v>268</v>
      </c>
      <c r="WO24" s="1"/>
      <c r="WP24" s="1"/>
      <c r="WQ24" s="2"/>
      <c r="WR24" s="54" t="s">
        <v>268</v>
      </c>
      <c r="WS24" s="54">
        <v>83</v>
      </c>
      <c r="WT24" s="54" t="s">
        <v>268</v>
      </c>
      <c r="WU24" s="55">
        <v>83</v>
      </c>
      <c r="WV24" s="56">
        <v>5</v>
      </c>
      <c r="WW24" s="54" t="s">
        <v>268</v>
      </c>
      <c r="WX24" s="1"/>
      <c r="WY24" s="57">
        <v>0</v>
      </c>
      <c r="WZ24" s="58">
        <v>100</v>
      </c>
      <c r="XA24" s="4">
        <v>1072909</v>
      </c>
      <c r="XB24" s="39">
        <v>133</v>
      </c>
      <c r="XC24" s="39">
        <v>34</v>
      </c>
      <c r="XD24" s="1"/>
      <c r="XE24" s="1">
        <v>80</v>
      </c>
      <c r="XF24" s="1">
        <v>85</v>
      </c>
      <c r="XG24" s="1">
        <v>89</v>
      </c>
      <c r="XH24" s="1"/>
      <c r="XI24" s="1"/>
      <c r="XJ24" s="1"/>
      <c r="XK24" s="54">
        <v>84.666666666666671</v>
      </c>
      <c r="XL24" s="1"/>
      <c r="XM24" s="55">
        <v>84.666666666666671</v>
      </c>
      <c r="XN24" s="1"/>
      <c r="XO24" s="1"/>
      <c r="XP24" s="2">
        <v>0</v>
      </c>
      <c r="XQ24" s="54">
        <v>100</v>
      </c>
      <c r="XR24" s="1"/>
      <c r="XS24" s="1"/>
      <c r="XT24" s="1"/>
      <c r="XU24" s="1"/>
      <c r="XV24" s="1"/>
      <c r="XW24" s="1"/>
      <c r="XX24" s="54" t="s">
        <v>268</v>
      </c>
      <c r="XY24" s="1"/>
      <c r="XZ24" s="55" t="s">
        <v>268</v>
      </c>
      <c r="YA24" s="1"/>
      <c r="YB24" s="1"/>
      <c r="YC24" s="2"/>
      <c r="YD24" s="54" t="s">
        <v>268</v>
      </c>
      <c r="YE24" s="54">
        <v>84.666666666666671</v>
      </c>
      <c r="YF24" s="54" t="s">
        <v>268</v>
      </c>
      <c r="YG24" s="55">
        <v>84.666666666666671</v>
      </c>
      <c r="YH24" s="56">
        <v>5</v>
      </c>
      <c r="YI24" s="54" t="s">
        <v>268</v>
      </c>
      <c r="YJ24" s="1"/>
      <c r="YK24" s="57">
        <v>0</v>
      </c>
      <c r="YL24" s="58">
        <v>100</v>
      </c>
      <c r="YM24" s="4">
        <v>1072909</v>
      </c>
      <c r="YN24" s="39">
        <v>135</v>
      </c>
      <c r="YO24" s="39">
        <v>34</v>
      </c>
      <c r="YP24" s="1"/>
      <c r="YQ24" s="1">
        <v>85</v>
      </c>
      <c r="YR24" s="1">
        <v>65</v>
      </c>
      <c r="YS24" s="1">
        <v>74</v>
      </c>
      <c r="YT24" s="1"/>
      <c r="YU24" s="1"/>
      <c r="YV24" s="1"/>
      <c r="YW24" s="54">
        <v>74.666666666666671</v>
      </c>
      <c r="YX24" s="1"/>
      <c r="YY24" s="55">
        <v>74.666666666666671</v>
      </c>
      <c r="YZ24" s="1"/>
      <c r="ZA24" s="1"/>
      <c r="ZB24" s="2">
        <v>0</v>
      </c>
      <c r="ZC24" s="54">
        <v>100</v>
      </c>
      <c r="ZD24" s="1"/>
      <c r="ZE24" s="1"/>
      <c r="ZF24" s="1"/>
      <c r="ZG24" s="1"/>
      <c r="ZH24" s="1"/>
      <c r="ZI24" s="1"/>
      <c r="ZJ24" s="54" t="s">
        <v>268</v>
      </c>
      <c r="ZK24" s="1"/>
      <c r="ZL24" s="55" t="s">
        <v>268</v>
      </c>
      <c r="ZM24" s="1"/>
      <c r="ZN24" s="1"/>
      <c r="ZO24" s="2"/>
      <c r="ZP24" s="54" t="s">
        <v>268</v>
      </c>
      <c r="ZQ24" s="54">
        <v>74.666666666666671</v>
      </c>
      <c r="ZR24" s="54" t="s">
        <v>268</v>
      </c>
      <c r="ZS24" s="55">
        <v>74.666666666666671</v>
      </c>
      <c r="ZT24" s="56">
        <v>4</v>
      </c>
      <c r="ZU24" s="54" t="s">
        <v>268</v>
      </c>
      <c r="ZV24" s="1"/>
      <c r="ZW24" s="57">
        <v>0</v>
      </c>
      <c r="ZX24" s="58">
        <v>100</v>
      </c>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2" customHeight="1" x14ac:dyDescent="0.2">
      <c r="A25" s="88" t="str">
        <f t="shared" si="397"/>
        <v>2023-2024</v>
      </c>
      <c r="B25" s="88" t="str">
        <f t="shared" si="398"/>
        <v>Bakı</v>
      </c>
      <c r="C25" s="88" t="str">
        <f t="shared" si="399"/>
        <v>Binəqədi</v>
      </c>
      <c r="D25" s="88">
        <f t="shared" si="400"/>
        <v>99</v>
      </c>
      <c r="E25" s="40">
        <v>3984780</v>
      </c>
      <c r="F25" s="88">
        <f t="shared" si="401"/>
        <v>2</v>
      </c>
      <c r="G25" s="88" t="str">
        <f t="shared" si="402"/>
        <v>C</v>
      </c>
      <c r="H25" s="37" t="s">
        <v>194</v>
      </c>
      <c r="I25" s="37" t="s">
        <v>195</v>
      </c>
      <c r="J25" s="41" t="s">
        <v>196</v>
      </c>
      <c r="K25" s="89" t="str">
        <f t="shared" si="403"/>
        <v>A</v>
      </c>
      <c r="L25" s="41" t="s">
        <v>119</v>
      </c>
      <c r="M25" s="41" t="s">
        <v>248</v>
      </c>
      <c r="N25" s="41"/>
      <c r="O25" s="43" t="s">
        <v>249</v>
      </c>
      <c r="P25" s="90" t="str">
        <f t="shared" si="404"/>
        <v>Süleymanova Aybəniz</v>
      </c>
      <c r="Q25" s="4">
        <v>1072909</v>
      </c>
      <c r="R25" s="39">
        <v>101</v>
      </c>
      <c r="S25" s="39">
        <v>308</v>
      </c>
      <c r="T25" s="1"/>
      <c r="U25" s="1">
        <v>61</v>
      </c>
      <c r="V25" s="1">
        <v>57</v>
      </c>
      <c r="W25" s="1">
        <v>68</v>
      </c>
      <c r="X25" s="1">
        <v>65</v>
      </c>
      <c r="Y25" s="1"/>
      <c r="Z25" s="1"/>
      <c r="AA25" s="54">
        <v>62.75</v>
      </c>
      <c r="AB25" s="1"/>
      <c r="AC25" s="55">
        <v>62.75</v>
      </c>
      <c r="AD25" s="1"/>
      <c r="AE25" s="1"/>
      <c r="AF25" s="2">
        <v>45</v>
      </c>
      <c r="AG25" s="54">
        <v>70.779220779220779</v>
      </c>
      <c r="AH25" s="1"/>
      <c r="AI25" s="1"/>
      <c r="AJ25" s="1"/>
      <c r="AK25" s="1"/>
      <c r="AL25" s="1"/>
      <c r="AM25" s="1"/>
      <c r="AN25" s="54" t="s">
        <v>268</v>
      </c>
      <c r="AO25" s="1"/>
      <c r="AP25" s="55" t="s">
        <v>268</v>
      </c>
      <c r="AQ25" s="1"/>
      <c r="AR25" s="1"/>
      <c r="AS25" s="2"/>
      <c r="AT25" s="54" t="s">
        <v>268</v>
      </c>
      <c r="AU25" s="54">
        <v>62.75</v>
      </c>
      <c r="AV25" s="54" t="s">
        <v>268</v>
      </c>
      <c r="AW25" s="55">
        <v>62.75</v>
      </c>
      <c r="AX25" s="56">
        <v>4</v>
      </c>
      <c r="AY25" s="54" t="s">
        <v>268</v>
      </c>
      <c r="AZ25" s="1"/>
      <c r="BA25" s="57">
        <v>45</v>
      </c>
      <c r="BB25" s="58">
        <v>85.389610389610397</v>
      </c>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v>1269215</v>
      </c>
      <c r="EB25" s="39">
        <v>106</v>
      </c>
      <c r="EC25" s="39">
        <v>17</v>
      </c>
      <c r="ED25" s="1"/>
      <c r="EE25" s="1">
        <v>40</v>
      </c>
      <c r="EF25" s="1">
        <v>65</v>
      </c>
      <c r="EG25" s="1">
        <v>50</v>
      </c>
      <c r="EH25" s="1"/>
      <c r="EI25" s="1"/>
      <c r="EJ25" s="1"/>
      <c r="EK25" s="54">
        <v>51.666666666666664</v>
      </c>
      <c r="EL25" s="1"/>
      <c r="EM25" s="55">
        <v>51.666666666666664</v>
      </c>
      <c r="EN25" s="1"/>
      <c r="EO25" s="1"/>
      <c r="EP25" s="2">
        <v>6</v>
      </c>
      <c r="EQ25" s="54">
        <v>29.411764705882351</v>
      </c>
      <c r="ER25" s="1"/>
      <c r="ES25" s="1"/>
      <c r="ET25" s="1"/>
      <c r="EU25" s="1"/>
      <c r="EV25" s="1"/>
      <c r="EW25" s="1"/>
      <c r="EX25" s="54" t="s">
        <v>268</v>
      </c>
      <c r="EY25" s="1"/>
      <c r="EZ25" s="55" t="s">
        <v>268</v>
      </c>
      <c r="FA25" s="1"/>
      <c r="FB25" s="1"/>
      <c r="FC25" s="2"/>
      <c r="FD25" s="54" t="s">
        <v>268</v>
      </c>
      <c r="FE25" s="54">
        <v>51.666666666666664</v>
      </c>
      <c r="FF25" s="54" t="s">
        <v>268</v>
      </c>
      <c r="FG25" s="55">
        <v>51.666666666666664</v>
      </c>
      <c r="FH25" s="56">
        <v>3</v>
      </c>
      <c r="FI25" s="54" t="s">
        <v>268</v>
      </c>
      <c r="FJ25" s="1"/>
      <c r="FK25" s="57">
        <v>6</v>
      </c>
      <c r="FL25" s="58">
        <v>64.705882352941174</v>
      </c>
      <c r="FM25" s="4">
        <v>1072909</v>
      </c>
      <c r="FN25" s="39">
        <v>110</v>
      </c>
      <c r="FO25" s="39">
        <v>171</v>
      </c>
      <c r="FP25" s="1"/>
      <c r="FQ25" s="1">
        <v>64</v>
      </c>
      <c r="FR25" s="1">
        <v>55</v>
      </c>
      <c r="FS25" s="1">
        <v>65</v>
      </c>
      <c r="FT25" s="1">
        <v>69</v>
      </c>
      <c r="FU25" s="1"/>
      <c r="FV25" s="1"/>
      <c r="FW25" s="54">
        <v>63.25</v>
      </c>
      <c r="FX25" s="1"/>
      <c r="FY25" s="55">
        <v>63.25</v>
      </c>
      <c r="FZ25" s="1"/>
      <c r="GA25" s="1"/>
      <c r="GB25" s="2">
        <v>25</v>
      </c>
      <c r="GC25" s="54">
        <v>70.760233918128648</v>
      </c>
      <c r="GD25" s="1"/>
      <c r="GE25" s="1"/>
      <c r="GF25" s="1"/>
      <c r="GG25" s="1"/>
      <c r="GH25" s="1"/>
      <c r="GI25" s="1"/>
      <c r="GJ25" s="54" t="s">
        <v>268</v>
      </c>
      <c r="GK25" s="1"/>
      <c r="GL25" s="55" t="s">
        <v>268</v>
      </c>
      <c r="GM25" s="1"/>
      <c r="GN25" s="1"/>
      <c r="GO25" s="2"/>
      <c r="GP25" s="54" t="s">
        <v>268</v>
      </c>
      <c r="GQ25" s="54">
        <v>63.25</v>
      </c>
      <c r="GR25" s="54" t="s">
        <v>268</v>
      </c>
      <c r="GS25" s="55">
        <v>63.25</v>
      </c>
      <c r="GT25" s="56">
        <v>4</v>
      </c>
      <c r="GU25" s="54" t="s">
        <v>268</v>
      </c>
      <c r="GV25" s="1"/>
      <c r="GW25" s="57">
        <v>25</v>
      </c>
      <c r="GX25" s="58">
        <v>85.380116959064324</v>
      </c>
      <c r="GY25" s="4">
        <v>1199044</v>
      </c>
      <c r="GZ25" s="39">
        <v>114</v>
      </c>
      <c r="HA25" s="39">
        <v>17</v>
      </c>
      <c r="HB25" s="1"/>
      <c r="HC25" s="1">
        <v>65</v>
      </c>
      <c r="HD25" s="1">
        <v>70</v>
      </c>
      <c r="HE25" s="1">
        <v>70</v>
      </c>
      <c r="HF25" s="1"/>
      <c r="HG25" s="1"/>
      <c r="HH25" s="1"/>
      <c r="HI25" s="54">
        <v>68.333333333333329</v>
      </c>
      <c r="HJ25" s="1"/>
      <c r="HK25" s="55">
        <v>68.333333333333329</v>
      </c>
      <c r="HL25" s="1"/>
      <c r="HM25" s="1"/>
      <c r="HN25" s="2">
        <v>5</v>
      </c>
      <c r="HO25" s="54">
        <v>41.176470588235297</v>
      </c>
      <c r="HP25" s="1"/>
      <c r="HQ25" s="1"/>
      <c r="HR25" s="1"/>
      <c r="HS25" s="1"/>
      <c r="HT25" s="1"/>
      <c r="HU25" s="1"/>
      <c r="HV25" s="54" t="s">
        <v>268</v>
      </c>
      <c r="HW25" s="1"/>
      <c r="HX25" s="55" t="s">
        <v>268</v>
      </c>
      <c r="HY25" s="1"/>
      <c r="HZ25" s="1"/>
      <c r="IA25" s="2"/>
      <c r="IB25" s="54" t="s">
        <v>268</v>
      </c>
      <c r="IC25" s="54">
        <v>68.333333333333329</v>
      </c>
      <c r="ID25" s="54" t="s">
        <v>268</v>
      </c>
      <c r="IE25" s="55">
        <v>68.333333333333329</v>
      </c>
      <c r="IF25" s="56">
        <v>4</v>
      </c>
      <c r="IG25" s="54" t="s">
        <v>268</v>
      </c>
      <c r="IH25" s="1"/>
      <c r="II25" s="57">
        <v>5</v>
      </c>
      <c r="IJ25" s="58">
        <v>70.588235294117652</v>
      </c>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v>1072909</v>
      </c>
      <c r="PT25" s="39">
        <v>128</v>
      </c>
      <c r="PU25" s="39">
        <v>34</v>
      </c>
      <c r="PV25" s="1"/>
      <c r="PW25" s="1">
        <v>85</v>
      </c>
      <c r="PX25" s="1">
        <v>63</v>
      </c>
      <c r="PY25" s="1">
        <v>80</v>
      </c>
      <c r="PZ25" s="1"/>
      <c r="QA25" s="1"/>
      <c r="QB25" s="1"/>
      <c r="QC25" s="54">
        <v>76</v>
      </c>
      <c r="QD25" s="1"/>
      <c r="QE25" s="55">
        <v>76</v>
      </c>
      <c r="QF25" s="1"/>
      <c r="QG25" s="1"/>
      <c r="QH25" s="2">
        <v>5</v>
      </c>
      <c r="QI25" s="54">
        <v>70.588235294117652</v>
      </c>
      <c r="QJ25" s="1"/>
      <c r="QK25" s="1"/>
      <c r="QL25" s="1"/>
      <c r="QM25" s="1"/>
      <c r="QN25" s="1"/>
      <c r="QO25" s="1"/>
      <c r="QP25" s="54" t="s">
        <v>268</v>
      </c>
      <c r="QQ25" s="1"/>
      <c r="QR25" s="55" t="s">
        <v>268</v>
      </c>
      <c r="QS25" s="1"/>
      <c r="QT25" s="1"/>
      <c r="QU25" s="2"/>
      <c r="QV25" s="54" t="s">
        <v>268</v>
      </c>
      <c r="QW25" s="54">
        <v>76</v>
      </c>
      <c r="QX25" s="54" t="s">
        <v>268</v>
      </c>
      <c r="QY25" s="55">
        <v>76</v>
      </c>
      <c r="QZ25" s="56">
        <v>4</v>
      </c>
      <c r="RA25" s="54" t="s">
        <v>268</v>
      </c>
      <c r="RB25" s="1"/>
      <c r="RC25" s="57">
        <v>5</v>
      </c>
      <c r="RD25" s="58">
        <v>85.294117647058826</v>
      </c>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v>1072909</v>
      </c>
      <c r="UD25" s="39">
        <v>131</v>
      </c>
      <c r="UE25" s="39">
        <v>68</v>
      </c>
      <c r="UF25" s="1"/>
      <c r="UG25" s="1">
        <v>75</v>
      </c>
      <c r="UH25" s="1">
        <v>70</v>
      </c>
      <c r="UI25" s="1">
        <v>75</v>
      </c>
      <c r="UJ25" s="1">
        <v>75</v>
      </c>
      <c r="UK25" s="1"/>
      <c r="UL25" s="1"/>
      <c r="UM25" s="54">
        <v>73.75</v>
      </c>
      <c r="UN25" s="1"/>
      <c r="UO25" s="55">
        <v>73.75</v>
      </c>
      <c r="UP25" s="1"/>
      <c r="UQ25" s="1"/>
      <c r="UR25" s="2">
        <v>10</v>
      </c>
      <c r="US25" s="54">
        <v>70.588235294117652</v>
      </c>
      <c r="UT25" s="1"/>
      <c r="UU25" s="1"/>
      <c r="UV25" s="1"/>
      <c r="UW25" s="1"/>
      <c r="UX25" s="1"/>
      <c r="UY25" s="1"/>
      <c r="UZ25" s="54" t="s">
        <v>268</v>
      </c>
      <c r="VA25" s="1"/>
      <c r="VB25" s="55" t="s">
        <v>268</v>
      </c>
      <c r="VC25" s="1"/>
      <c r="VD25" s="1"/>
      <c r="VE25" s="2"/>
      <c r="VF25" s="54" t="s">
        <v>268</v>
      </c>
      <c r="VG25" s="54">
        <v>73.75</v>
      </c>
      <c r="VH25" s="54" t="s">
        <v>268</v>
      </c>
      <c r="VI25" s="55">
        <v>73.75</v>
      </c>
      <c r="VJ25" s="56">
        <v>4</v>
      </c>
      <c r="VK25" s="54" t="s">
        <v>268</v>
      </c>
      <c r="VL25" s="1"/>
      <c r="VM25" s="57">
        <v>10</v>
      </c>
      <c r="VN25" s="58">
        <v>85.294117647058826</v>
      </c>
      <c r="VO25" s="4">
        <v>1072909</v>
      </c>
      <c r="VP25" s="39">
        <v>132</v>
      </c>
      <c r="VQ25" s="39">
        <v>34</v>
      </c>
      <c r="VR25" s="1"/>
      <c r="VS25" s="1">
        <v>75</v>
      </c>
      <c r="VT25" s="1">
        <v>65</v>
      </c>
      <c r="VU25" s="1">
        <v>75</v>
      </c>
      <c r="VV25" s="1"/>
      <c r="VW25" s="1"/>
      <c r="VX25" s="1"/>
      <c r="VY25" s="54">
        <v>71.666666666666671</v>
      </c>
      <c r="VZ25" s="1"/>
      <c r="WA25" s="55">
        <v>71.666666666666671</v>
      </c>
      <c r="WB25" s="1"/>
      <c r="WC25" s="1"/>
      <c r="WD25" s="2">
        <v>5</v>
      </c>
      <c r="WE25" s="54">
        <v>70.588235294117652</v>
      </c>
      <c r="WF25" s="1"/>
      <c r="WG25" s="1"/>
      <c r="WH25" s="1"/>
      <c r="WI25" s="1"/>
      <c r="WJ25" s="1"/>
      <c r="WK25" s="1"/>
      <c r="WL25" s="54" t="s">
        <v>268</v>
      </c>
      <c r="WM25" s="1"/>
      <c r="WN25" s="55" t="s">
        <v>268</v>
      </c>
      <c r="WO25" s="1"/>
      <c r="WP25" s="1"/>
      <c r="WQ25" s="2"/>
      <c r="WR25" s="54" t="s">
        <v>268</v>
      </c>
      <c r="WS25" s="54">
        <v>71.666666666666671</v>
      </c>
      <c r="WT25" s="54" t="s">
        <v>268</v>
      </c>
      <c r="WU25" s="55">
        <v>71.666666666666671</v>
      </c>
      <c r="WV25" s="56">
        <v>4</v>
      </c>
      <c r="WW25" s="54" t="s">
        <v>268</v>
      </c>
      <c r="WX25" s="1"/>
      <c r="WY25" s="57">
        <v>5</v>
      </c>
      <c r="WZ25" s="58">
        <v>85.294117647058826</v>
      </c>
      <c r="XA25" s="4">
        <v>1072909</v>
      </c>
      <c r="XB25" s="39">
        <v>133</v>
      </c>
      <c r="XC25" s="39">
        <v>34</v>
      </c>
      <c r="XD25" s="1"/>
      <c r="XE25" s="1">
        <v>55</v>
      </c>
      <c r="XF25" s="1">
        <v>75</v>
      </c>
      <c r="XG25" s="1">
        <v>62</v>
      </c>
      <c r="XH25" s="1"/>
      <c r="XI25" s="1"/>
      <c r="XJ25" s="1"/>
      <c r="XK25" s="54">
        <v>64</v>
      </c>
      <c r="XL25" s="1"/>
      <c r="XM25" s="55">
        <v>64</v>
      </c>
      <c r="XN25" s="1"/>
      <c r="XO25" s="1"/>
      <c r="XP25" s="2">
        <v>5</v>
      </c>
      <c r="XQ25" s="54">
        <v>70.588235294117652</v>
      </c>
      <c r="XR25" s="1"/>
      <c r="XS25" s="1"/>
      <c r="XT25" s="1"/>
      <c r="XU25" s="1"/>
      <c r="XV25" s="1"/>
      <c r="XW25" s="1"/>
      <c r="XX25" s="54" t="s">
        <v>268</v>
      </c>
      <c r="XY25" s="1"/>
      <c r="XZ25" s="55" t="s">
        <v>268</v>
      </c>
      <c r="YA25" s="1"/>
      <c r="YB25" s="1"/>
      <c r="YC25" s="2"/>
      <c r="YD25" s="54" t="s">
        <v>268</v>
      </c>
      <c r="YE25" s="54">
        <v>64</v>
      </c>
      <c r="YF25" s="54" t="s">
        <v>268</v>
      </c>
      <c r="YG25" s="55">
        <v>64</v>
      </c>
      <c r="YH25" s="56">
        <v>4</v>
      </c>
      <c r="YI25" s="54" t="s">
        <v>268</v>
      </c>
      <c r="YJ25" s="1"/>
      <c r="YK25" s="57">
        <v>5</v>
      </c>
      <c r="YL25" s="58">
        <v>85.294117647058826</v>
      </c>
      <c r="YM25" s="4">
        <v>1072909</v>
      </c>
      <c r="YN25" s="39">
        <v>135</v>
      </c>
      <c r="YO25" s="39">
        <v>34</v>
      </c>
      <c r="YP25" s="1"/>
      <c r="YQ25" s="1">
        <v>75</v>
      </c>
      <c r="YR25" s="1">
        <v>65</v>
      </c>
      <c r="YS25" s="1">
        <v>63</v>
      </c>
      <c r="YT25" s="1"/>
      <c r="YU25" s="1"/>
      <c r="YV25" s="1"/>
      <c r="YW25" s="54">
        <v>67.666666666666671</v>
      </c>
      <c r="YX25" s="1"/>
      <c r="YY25" s="55">
        <v>67.666666666666671</v>
      </c>
      <c r="YZ25" s="1"/>
      <c r="ZA25" s="1"/>
      <c r="ZB25" s="2">
        <v>5</v>
      </c>
      <c r="ZC25" s="54">
        <v>70.588235294117652</v>
      </c>
      <c r="ZD25" s="1"/>
      <c r="ZE25" s="1"/>
      <c r="ZF25" s="1"/>
      <c r="ZG25" s="1"/>
      <c r="ZH25" s="1"/>
      <c r="ZI25" s="1"/>
      <c r="ZJ25" s="54" t="s">
        <v>268</v>
      </c>
      <c r="ZK25" s="1"/>
      <c r="ZL25" s="55" t="s">
        <v>268</v>
      </c>
      <c r="ZM25" s="1"/>
      <c r="ZN25" s="1"/>
      <c r="ZO25" s="2"/>
      <c r="ZP25" s="54" t="s">
        <v>268</v>
      </c>
      <c r="ZQ25" s="54">
        <v>67.666666666666671</v>
      </c>
      <c r="ZR25" s="54" t="s">
        <v>268</v>
      </c>
      <c r="ZS25" s="55">
        <v>67.666666666666671</v>
      </c>
      <c r="ZT25" s="56">
        <v>4</v>
      </c>
      <c r="ZU25" s="54" t="s">
        <v>268</v>
      </c>
      <c r="ZV25" s="1"/>
      <c r="ZW25" s="57">
        <v>5</v>
      </c>
      <c r="ZX25" s="58">
        <v>85.294117647058826</v>
      </c>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2" customHeight="1" x14ac:dyDescent="0.2">
      <c r="A26" s="88" t="str">
        <f t="shared" si="397"/>
        <v>2023-2024</v>
      </c>
      <c r="B26" s="88" t="str">
        <f t="shared" si="398"/>
        <v>Bakı</v>
      </c>
      <c r="C26" s="88" t="str">
        <f t="shared" si="399"/>
        <v>Binəqədi</v>
      </c>
      <c r="D26" s="88">
        <f t="shared" si="400"/>
        <v>99</v>
      </c>
      <c r="E26" s="40">
        <v>3984811</v>
      </c>
      <c r="F26" s="88">
        <f t="shared" si="401"/>
        <v>2</v>
      </c>
      <c r="G26" s="88" t="str">
        <f t="shared" si="402"/>
        <v>C</v>
      </c>
      <c r="H26" s="37" t="s">
        <v>197</v>
      </c>
      <c r="I26" s="37" t="s">
        <v>198</v>
      </c>
      <c r="J26" s="41" t="s">
        <v>199</v>
      </c>
      <c r="K26" s="89" t="str">
        <f t="shared" si="403"/>
        <v>A</v>
      </c>
      <c r="L26" s="41" t="s">
        <v>117</v>
      </c>
      <c r="M26" s="41" t="s">
        <v>250</v>
      </c>
      <c r="N26" s="41"/>
      <c r="O26" s="43" t="s">
        <v>251</v>
      </c>
      <c r="P26" s="90" t="str">
        <f t="shared" si="404"/>
        <v>Süleymanova Aybəniz</v>
      </c>
      <c r="Q26" s="4">
        <v>1072909</v>
      </c>
      <c r="R26" s="39">
        <v>101</v>
      </c>
      <c r="S26" s="39">
        <v>308</v>
      </c>
      <c r="T26" s="1"/>
      <c r="U26" s="1">
        <v>67</v>
      </c>
      <c r="V26" s="1">
        <v>71</v>
      </c>
      <c r="W26" s="1">
        <v>77</v>
      </c>
      <c r="X26" s="1">
        <v>67</v>
      </c>
      <c r="Y26" s="1"/>
      <c r="Z26" s="1"/>
      <c r="AA26" s="54">
        <v>70.5</v>
      </c>
      <c r="AB26" s="1"/>
      <c r="AC26" s="55">
        <v>70.5</v>
      </c>
      <c r="AD26" s="1"/>
      <c r="AE26" s="1"/>
      <c r="AF26" s="2">
        <v>0</v>
      </c>
      <c r="AG26" s="54">
        <v>100</v>
      </c>
      <c r="AH26" s="1"/>
      <c r="AI26" s="1"/>
      <c r="AJ26" s="1"/>
      <c r="AK26" s="1"/>
      <c r="AL26" s="1"/>
      <c r="AM26" s="1"/>
      <c r="AN26" s="54" t="s">
        <v>268</v>
      </c>
      <c r="AO26" s="1"/>
      <c r="AP26" s="55" t="s">
        <v>268</v>
      </c>
      <c r="AQ26" s="1"/>
      <c r="AR26" s="1"/>
      <c r="AS26" s="2"/>
      <c r="AT26" s="54" t="s">
        <v>268</v>
      </c>
      <c r="AU26" s="54">
        <v>70.5</v>
      </c>
      <c r="AV26" s="54" t="s">
        <v>268</v>
      </c>
      <c r="AW26" s="55">
        <v>70.5</v>
      </c>
      <c r="AX26" s="56">
        <v>4</v>
      </c>
      <c r="AY26" s="54" t="s">
        <v>268</v>
      </c>
      <c r="AZ26" s="1"/>
      <c r="BA26" s="57">
        <v>0</v>
      </c>
      <c r="BB26" s="58">
        <v>100</v>
      </c>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v>1269215</v>
      </c>
      <c r="EB26" s="39">
        <v>106</v>
      </c>
      <c r="EC26" s="39">
        <v>17</v>
      </c>
      <c r="ED26" s="1"/>
      <c r="EE26" s="1">
        <v>100</v>
      </c>
      <c r="EF26" s="1">
        <v>80</v>
      </c>
      <c r="EG26" s="1">
        <v>75</v>
      </c>
      <c r="EH26" s="1"/>
      <c r="EI26" s="1"/>
      <c r="EJ26" s="1"/>
      <c r="EK26" s="54">
        <v>85</v>
      </c>
      <c r="EL26" s="1"/>
      <c r="EM26" s="55">
        <v>85</v>
      </c>
      <c r="EN26" s="1"/>
      <c r="EO26" s="1"/>
      <c r="EP26" s="2">
        <v>0</v>
      </c>
      <c r="EQ26" s="54">
        <v>100</v>
      </c>
      <c r="ER26" s="1"/>
      <c r="ES26" s="1"/>
      <c r="ET26" s="1"/>
      <c r="EU26" s="1"/>
      <c r="EV26" s="1"/>
      <c r="EW26" s="1"/>
      <c r="EX26" s="54" t="s">
        <v>268</v>
      </c>
      <c r="EY26" s="1"/>
      <c r="EZ26" s="55" t="s">
        <v>268</v>
      </c>
      <c r="FA26" s="1"/>
      <c r="FB26" s="1"/>
      <c r="FC26" s="2"/>
      <c r="FD26" s="54" t="s">
        <v>268</v>
      </c>
      <c r="FE26" s="54">
        <v>85</v>
      </c>
      <c r="FF26" s="54" t="s">
        <v>268</v>
      </c>
      <c r="FG26" s="55">
        <v>85</v>
      </c>
      <c r="FH26" s="56">
        <v>5</v>
      </c>
      <c r="FI26" s="54" t="s">
        <v>268</v>
      </c>
      <c r="FJ26" s="1"/>
      <c r="FK26" s="57">
        <v>0</v>
      </c>
      <c r="FL26" s="58">
        <v>100</v>
      </c>
      <c r="FM26" s="4">
        <v>1072909</v>
      </c>
      <c r="FN26" s="39">
        <v>110</v>
      </c>
      <c r="FO26" s="39">
        <v>171</v>
      </c>
      <c r="FP26" s="1"/>
      <c r="FQ26" s="1">
        <v>80</v>
      </c>
      <c r="FR26" s="1">
        <v>44</v>
      </c>
      <c r="FS26" s="1">
        <v>63</v>
      </c>
      <c r="FT26" s="1">
        <v>50</v>
      </c>
      <c r="FU26" s="1"/>
      <c r="FV26" s="1"/>
      <c r="FW26" s="54">
        <v>59.25</v>
      </c>
      <c r="FX26" s="1"/>
      <c r="FY26" s="55">
        <v>59.25</v>
      </c>
      <c r="FZ26" s="1"/>
      <c r="GA26" s="1"/>
      <c r="GB26" s="2">
        <v>0</v>
      </c>
      <c r="GC26" s="54">
        <v>100</v>
      </c>
      <c r="GD26" s="1"/>
      <c r="GE26" s="1"/>
      <c r="GF26" s="1"/>
      <c r="GG26" s="1"/>
      <c r="GH26" s="1"/>
      <c r="GI26" s="1"/>
      <c r="GJ26" s="54" t="s">
        <v>268</v>
      </c>
      <c r="GK26" s="1"/>
      <c r="GL26" s="55" t="s">
        <v>268</v>
      </c>
      <c r="GM26" s="1"/>
      <c r="GN26" s="1"/>
      <c r="GO26" s="2"/>
      <c r="GP26" s="54" t="s">
        <v>268</v>
      </c>
      <c r="GQ26" s="54">
        <v>59.25</v>
      </c>
      <c r="GR26" s="54" t="s">
        <v>268</v>
      </c>
      <c r="GS26" s="55">
        <v>59.25</v>
      </c>
      <c r="GT26" s="56">
        <v>3</v>
      </c>
      <c r="GU26" s="54" t="s">
        <v>268</v>
      </c>
      <c r="GV26" s="1"/>
      <c r="GW26" s="57">
        <v>0</v>
      </c>
      <c r="GX26" s="58">
        <v>100</v>
      </c>
      <c r="GY26" s="4">
        <v>1199044</v>
      </c>
      <c r="GZ26" s="39">
        <v>114</v>
      </c>
      <c r="HA26" s="39">
        <v>17</v>
      </c>
      <c r="HB26" s="1"/>
      <c r="HC26" s="1">
        <v>90</v>
      </c>
      <c r="HD26" s="1">
        <v>70</v>
      </c>
      <c r="HE26" s="1">
        <v>80</v>
      </c>
      <c r="HF26" s="1"/>
      <c r="HG26" s="1"/>
      <c r="HH26" s="1"/>
      <c r="HI26" s="54">
        <v>80</v>
      </c>
      <c r="HJ26" s="1"/>
      <c r="HK26" s="55">
        <v>80</v>
      </c>
      <c r="HL26" s="1"/>
      <c r="HM26" s="1"/>
      <c r="HN26" s="2">
        <v>0</v>
      </c>
      <c r="HO26" s="54">
        <v>100</v>
      </c>
      <c r="HP26" s="1"/>
      <c r="HQ26" s="1"/>
      <c r="HR26" s="1"/>
      <c r="HS26" s="1"/>
      <c r="HT26" s="1"/>
      <c r="HU26" s="1"/>
      <c r="HV26" s="54" t="s">
        <v>268</v>
      </c>
      <c r="HW26" s="1"/>
      <c r="HX26" s="55" t="s">
        <v>268</v>
      </c>
      <c r="HY26" s="1"/>
      <c r="HZ26" s="1"/>
      <c r="IA26" s="2"/>
      <c r="IB26" s="54" t="s">
        <v>268</v>
      </c>
      <c r="IC26" s="54">
        <v>80</v>
      </c>
      <c r="ID26" s="54" t="s">
        <v>268</v>
      </c>
      <c r="IE26" s="55">
        <v>80</v>
      </c>
      <c r="IF26" s="56">
        <v>4</v>
      </c>
      <c r="IG26" s="54" t="s">
        <v>268</v>
      </c>
      <c r="IH26" s="1"/>
      <c r="II26" s="57">
        <v>0</v>
      </c>
      <c r="IJ26" s="58">
        <v>100</v>
      </c>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v>1072909</v>
      </c>
      <c r="PT26" s="39">
        <v>128</v>
      </c>
      <c r="PU26" s="39">
        <v>34</v>
      </c>
      <c r="PV26" s="1"/>
      <c r="PW26" s="1">
        <v>90</v>
      </c>
      <c r="PX26" s="1">
        <v>65</v>
      </c>
      <c r="PY26" s="1">
        <v>70</v>
      </c>
      <c r="PZ26" s="1"/>
      <c r="QA26" s="1"/>
      <c r="QB26" s="1"/>
      <c r="QC26" s="54">
        <v>75</v>
      </c>
      <c r="QD26" s="1"/>
      <c r="QE26" s="55">
        <v>75</v>
      </c>
      <c r="QF26" s="1"/>
      <c r="QG26" s="1"/>
      <c r="QH26" s="2">
        <v>0</v>
      </c>
      <c r="QI26" s="54">
        <v>100</v>
      </c>
      <c r="QJ26" s="1"/>
      <c r="QK26" s="1"/>
      <c r="QL26" s="1"/>
      <c r="QM26" s="1"/>
      <c r="QN26" s="1"/>
      <c r="QO26" s="1"/>
      <c r="QP26" s="54" t="s">
        <v>268</v>
      </c>
      <c r="QQ26" s="1"/>
      <c r="QR26" s="55" t="s">
        <v>268</v>
      </c>
      <c r="QS26" s="1"/>
      <c r="QT26" s="1"/>
      <c r="QU26" s="2"/>
      <c r="QV26" s="54" t="s">
        <v>268</v>
      </c>
      <c r="QW26" s="54">
        <v>75</v>
      </c>
      <c r="QX26" s="54" t="s">
        <v>268</v>
      </c>
      <c r="QY26" s="55">
        <v>75</v>
      </c>
      <c r="QZ26" s="56">
        <v>4</v>
      </c>
      <c r="RA26" s="54" t="s">
        <v>268</v>
      </c>
      <c r="RB26" s="1"/>
      <c r="RC26" s="57">
        <v>0</v>
      </c>
      <c r="RD26" s="58">
        <v>100</v>
      </c>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v>1072909</v>
      </c>
      <c r="UD26" s="39">
        <v>131</v>
      </c>
      <c r="UE26" s="39">
        <v>68</v>
      </c>
      <c r="UF26" s="1"/>
      <c r="UG26" s="1">
        <v>70</v>
      </c>
      <c r="UH26" s="1">
        <v>70</v>
      </c>
      <c r="UI26" s="1">
        <v>70</v>
      </c>
      <c r="UJ26" s="1">
        <v>70</v>
      </c>
      <c r="UK26" s="1"/>
      <c r="UL26" s="1"/>
      <c r="UM26" s="54">
        <v>70</v>
      </c>
      <c r="UN26" s="1"/>
      <c r="UO26" s="55">
        <v>70</v>
      </c>
      <c r="UP26" s="1"/>
      <c r="UQ26" s="1"/>
      <c r="UR26" s="2">
        <v>0</v>
      </c>
      <c r="US26" s="54">
        <v>100</v>
      </c>
      <c r="UT26" s="1"/>
      <c r="UU26" s="1"/>
      <c r="UV26" s="1"/>
      <c r="UW26" s="1"/>
      <c r="UX26" s="1"/>
      <c r="UY26" s="1"/>
      <c r="UZ26" s="54" t="s">
        <v>268</v>
      </c>
      <c r="VA26" s="1"/>
      <c r="VB26" s="55" t="s">
        <v>268</v>
      </c>
      <c r="VC26" s="1"/>
      <c r="VD26" s="1"/>
      <c r="VE26" s="2"/>
      <c r="VF26" s="54" t="s">
        <v>268</v>
      </c>
      <c r="VG26" s="54">
        <v>70</v>
      </c>
      <c r="VH26" s="54" t="s">
        <v>268</v>
      </c>
      <c r="VI26" s="55">
        <v>70</v>
      </c>
      <c r="VJ26" s="56">
        <v>4</v>
      </c>
      <c r="VK26" s="54" t="s">
        <v>268</v>
      </c>
      <c r="VL26" s="1"/>
      <c r="VM26" s="57">
        <v>0</v>
      </c>
      <c r="VN26" s="58">
        <v>100</v>
      </c>
      <c r="VO26" s="4">
        <v>1072909</v>
      </c>
      <c r="VP26" s="39">
        <v>132</v>
      </c>
      <c r="VQ26" s="39">
        <v>34</v>
      </c>
      <c r="VR26" s="1"/>
      <c r="VS26" s="1">
        <v>95</v>
      </c>
      <c r="VT26" s="1">
        <v>65</v>
      </c>
      <c r="VU26" s="1">
        <v>84</v>
      </c>
      <c r="VV26" s="1"/>
      <c r="VW26" s="1"/>
      <c r="VX26" s="1"/>
      <c r="VY26" s="54">
        <v>81.333333333333329</v>
      </c>
      <c r="VZ26" s="1"/>
      <c r="WA26" s="55">
        <v>81.333333333333329</v>
      </c>
      <c r="WB26" s="1"/>
      <c r="WC26" s="1"/>
      <c r="WD26" s="2">
        <v>0</v>
      </c>
      <c r="WE26" s="54">
        <v>100</v>
      </c>
      <c r="WF26" s="1"/>
      <c r="WG26" s="1"/>
      <c r="WH26" s="1"/>
      <c r="WI26" s="1"/>
      <c r="WJ26" s="1"/>
      <c r="WK26" s="1"/>
      <c r="WL26" s="54" t="s">
        <v>268</v>
      </c>
      <c r="WM26" s="1"/>
      <c r="WN26" s="55" t="s">
        <v>268</v>
      </c>
      <c r="WO26" s="1"/>
      <c r="WP26" s="1"/>
      <c r="WQ26" s="2"/>
      <c r="WR26" s="54" t="s">
        <v>268</v>
      </c>
      <c r="WS26" s="54">
        <v>81.333333333333329</v>
      </c>
      <c r="WT26" s="54" t="s">
        <v>268</v>
      </c>
      <c r="WU26" s="55">
        <v>81.333333333333329</v>
      </c>
      <c r="WV26" s="56">
        <v>5</v>
      </c>
      <c r="WW26" s="54" t="s">
        <v>268</v>
      </c>
      <c r="WX26" s="1"/>
      <c r="WY26" s="57">
        <v>0</v>
      </c>
      <c r="WZ26" s="58">
        <v>100</v>
      </c>
      <c r="XA26" s="4">
        <v>1072909</v>
      </c>
      <c r="XB26" s="39">
        <v>133</v>
      </c>
      <c r="XC26" s="39">
        <v>34</v>
      </c>
      <c r="XD26" s="1"/>
      <c r="XE26" s="1">
        <v>70</v>
      </c>
      <c r="XF26" s="1">
        <v>65</v>
      </c>
      <c r="XG26" s="1">
        <v>79</v>
      </c>
      <c r="XH26" s="1"/>
      <c r="XI26" s="1"/>
      <c r="XJ26" s="1"/>
      <c r="XK26" s="54">
        <v>71.333333333333329</v>
      </c>
      <c r="XL26" s="1"/>
      <c r="XM26" s="55">
        <v>71.333333333333329</v>
      </c>
      <c r="XN26" s="1"/>
      <c r="XO26" s="1"/>
      <c r="XP26" s="2">
        <v>0</v>
      </c>
      <c r="XQ26" s="54">
        <v>100</v>
      </c>
      <c r="XR26" s="1"/>
      <c r="XS26" s="1"/>
      <c r="XT26" s="1"/>
      <c r="XU26" s="1"/>
      <c r="XV26" s="1"/>
      <c r="XW26" s="1"/>
      <c r="XX26" s="54" t="s">
        <v>268</v>
      </c>
      <c r="XY26" s="1"/>
      <c r="XZ26" s="55" t="s">
        <v>268</v>
      </c>
      <c r="YA26" s="1"/>
      <c r="YB26" s="1"/>
      <c r="YC26" s="2"/>
      <c r="YD26" s="54" t="s">
        <v>268</v>
      </c>
      <c r="YE26" s="54">
        <v>71.333333333333329</v>
      </c>
      <c r="YF26" s="54" t="s">
        <v>268</v>
      </c>
      <c r="YG26" s="55">
        <v>71.333333333333329</v>
      </c>
      <c r="YH26" s="56">
        <v>4</v>
      </c>
      <c r="YI26" s="54" t="s">
        <v>268</v>
      </c>
      <c r="YJ26" s="1"/>
      <c r="YK26" s="57">
        <v>0</v>
      </c>
      <c r="YL26" s="58">
        <v>100</v>
      </c>
      <c r="YM26" s="4">
        <v>1072909</v>
      </c>
      <c r="YN26" s="39">
        <v>135</v>
      </c>
      <c r="YO26" s="39">
        <v>34</v>
      </c>
      <c r="YP26" s="1"/>
      <c r="YQ26" s="1">
        <v>80</v>
      </c>
      <c r="YR26" s="1">
        <v>75</v>
      </c>
      <c r="YS26" s="1">
        <v>65</v>
      </c>
      <c r="YT26" s="1"/>
      <c r="YU26" s="1"/>
      <c r="YV26" s="1"/>
      <c r="YW26" s="54">
        <v>73.333333333333329</v>
      </c>
      <c r="YX26" s="1"/>
      <c r="YY26" s="55">
        <v>73.333333333333329</v>
      </c>
      <c r="YZ26" s="1"/>
      <c r="ZA26" s="1"/>
      <c r="ZB26" s="2">
        <v>0</v>
      </c>
      <c r="ZC26" s="54">
        <v>100</v>
      </c>
      <c r="ZD26" s="1"/>
      <c r="ZE26" s="1"/>
      <c r="ZF26" s="1"/>
      <c r="ZG26" s="1"/>
      <c r="ZH26" s="1"/>
      <c r="ZI26" s="1"/>
      <c r="ZJ26" s="54" t="s">
        <v>268</v>
      </c>
      <c r="ZK26" s="1"/>
      <c r="ZL26" s="55" t="s">
        <v>268</v>
      </c>
      <c r="ZM26" s="1"/>
      <c r="ZN26" s="1"/>
      <c r="ZO26" s="2"/>
      <c r="ZP26" s="54" t="s">
        <v>268</v>
      </c>
      <c r="ZQ26" s="54">
        <v>73.333333333333329</v>
      </c>
      <c r="ZR26" s="54" t="s">
        <v>268</v>
      </c>
      <c r="ZS26" s="55">
        <v>73.333333333333329</v>
      </c>
      <c r="ZT26" s="56">
        <v>4</v>
      </c>
      <c r="ZU26" s="54" t="s">
        <v>268</v>
      </c>
      <c r="ZV26" s="1"/>
      <c r="ZW26" s="57">
        <v>0</v>
      </c>
      <c r="ZX26" s="58">
        <v>100</v>
      </c>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2" customHeight="1" x14ac:dyDescent="0.2">
      <c r="A27" s="88" t="str">
        <f t="shared" si="397"/>
        <v>2023-2024</v>
      </c>
      <c r="B27" s="88" t="str">
        <f t="shared" si="398"/>
        <v>Bakı</v>
      </c>
      <c r="C27" s="88" t="str">
        <f t="shared" si="399"/>
        <v>Binəqədi</v>
      </c>
      <c r="D27" s="88">
        <f t="shared" si="400"/>
        <v>99</v>
      </c>
      <c r="E27" s="40">
        <v>3984828</v>
      </c>
      <c r="F27" s="88">
        <f t="shared" si="401"/>
        <v>2</v>
      </c>
      <c r="G27" s="88" t="str">
        <f t="shared" si="402"/>
        <v>C</v>
      </c>
      <c r="H27" s="37" t="s">
        <v>200</v>
      </c>
      <c r="I27" s="37" t="s">
        <v>201</v>
      </c>
      <c r="J27" s="41" t="s">
        <v>202</v>
      </c>
      <c r="K27" s="89" t="str">
        <f t="shared" si="403"/>
        <v>A</v>
      </c>
      <c r="L27" s="41" t="s">
        <v>119</v>
      </c>
      <c r="M27" s="41" t="s">
        <v>252</v>
      </c>
      <c r="N27" s="41"/>
      <c r="O27" s="43" t="s">
        <v>253</v>
      </c>
      <c r="P27" s="90" t="str">
        <f t="shared" si="404"/>
        <v>Süleymanova Aybəniz</v>
      </c>
      <c r="Q27" s="4">
        <v>1072909</v>
      </c>
      <c r="R27" s="39">
        <v>101</v>
      </c>
      <c r="S27" s="39">
        <v>308</v>
      </c>
      <c r="T27" s="1"/>
      <c r="U27" s="1">
        <v>73</v>
      </c>
      <c r="V27" s="1">
        <v>76</v>
      </c>
      <c r="W27" s="1">
        <v>69</v>
      </c>
      <c r="X27" s="1">
        <v>75</v>
      </c>
      <c r="Y27" s="1"/>
      <c r="Z27" s="1"/>
      <c r="AA27" s="54">
        <v>73.25</v>
      </c>
      <c r="AB27" s="1"/>
      <c r="AC27" s="55">
        <v>73.25</v>
      </c>
      <c r="AD27" s="1"/>
      <c r="AE27" s="1"/>
      <c r="AF27" s="2">
        <v>0</v>
      </c>
      <c r="AG27" s="54">
        <v>100</v>
      </c>
      <c r="AH27" s="1"/>
      <c r="AI27" s="1"/>
      <c r="AJ27" s="1"/>
      <c r="AK27" s="1"/>
      <c r="AL27" s="1"/>
      <c r="AM27" s="1"/>
      <c r="AN27" s="54" t="s">
        <v>268</v>
      </c>
      <c r="AO27" s="1"/>
      <c r="AP27" s="55" t="s">
        <v>268</v>
      </c>
      <c r="AQ27" s="1"/>
      <c r="AR27" s="1"/>
      <c r="AS27" s="2"/>
      <c r="AT27" s="54" t="s">
        <v>268</v>
      </c>
      <c r="AU27" s="54">
        <v>73.25</v>
      </c>
      <c r="AV27" s="54" t="s">
        <v>268</v>
      </c>
      <c r="AW27" s="55">
        <v>73.25</v>
      </c>
      <c r="AX27" s="56">
        <v>4</v>
      </c>
      <c r="AY27" s="54" t="s">
        <v>268</v>
      </c>
      <c r="AZ27" s="1"/>
      <c r="BA27" s="57">
        <v>0</v>
      </c>
      <c r="BB27" s="58">
        <v>100</v>
      </c>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v>1269215</v>
      </c>
      <c r="EB27" s="39">
        <v>106</v>
      </c>
      <c r="EC27" s="39">
        <v>17</v>
      </c>
      <c r="ED27" s="1"/>
      <c r="EE27" s="1">
        <v>65</v>
      </c>
      <c r="EF27" s="1">
        <v>65</v>
      </c>
      <c r="EG27" s="1">
        <v>95</v>
      </c>
      <c r="EH27" s="1"/>
      <c r="EI27" s="1"/>
      <c r="EJ27" s="1"/>
      <c r="EK27" s="54">
        <v>75</v>
      </c>
      <c r="EL27" s="1"/>
      <c r="EM27" s="55">
        <v>75</v>
      </c>
      <c r="EN27" s="1"/>
      <c r="EO27" s="1"/>
      <c r="EP27" s="2">
        <v>0</v>
      </c>
      <c r="EQ27" s="54">
        <v>100</v>
      </c>
      <c r="ER27" s="1"/>
      <c r="ES27" s="1"/>
      <c r="ET27" s="1"/>
      <c r="EU27" s="1"/>
      <c r="EV27" s="1"/>
      <c r="EW27" s="1"/>
      <c r="EX27" s="54" t="s">
        <v>268</v>
      </c>
      <c r="EY27" s="1"/>
      <c r="EZ27" s="55" t="s">
        <v>268</v>
      </c>
      <c r="FA27" s="1"/>
      <c r="FB27" s="1"/>
      <c r="FC27" s="2"/>
      <c r="FD27" s="54" t="s">
        <v>268</v>
      </c>
      <c r="FE27" s="54">
        <v>75</v>
      </c>
      <c r="FF27" s="54" t="s">
        <v>268</v>
      </c>
      <c r="FG27" s="55">
        <v>75</v>
      </c>
      <c r="FH27" s="56">
        <v>4</v>
      </c>
      <c r="FI27" s="54" t="s">
        <v>268</v>
      </c>
      <c r="FJ27" s="1"/>
      <c r="FK27" s="57">
        <v>0</v>
      </c>
      <c r="FL27" s="58">
        <v>100</v>
      </c>
      <c r="FM27" s="4">
        <v>1072909</v>
      </c>
      <c r="FN27" s="39">
        <v>110</v>
      </c>
      <c r="FO27" s="39">
        <v>171</v>
      </c>
      <c r="FP27" s="1"/>
      <c r="FQ27" s="1">
        <v>96</v>
      </c>
      <c r="FR27" s="1">
        <v>83</v>
      </c>
      <c r="FS27" s="1">
        <v>84</v>
      </c>
      <c r="FT27" s="1">
        <v>80</v>
      </c>
      <c r="FU27" s="1"/>
      <c r="FV27" s="1"/>
      <c r="FW27" s="54">
        <v>85.75</v>
      </c>
      <c r="FX27" s="1"/>
      <c r="FY27" s="55">
        <v>85.75</v>
      </c>
      <c r="FZ27" s="1"/>
      <c r="GA27" s="1"/>
      <c r="GB27" s="2">
        <v>0</v>
      </c>
      <c r="GC27" s="54">
        <v>100</v>
      </c>
      <c r="GD27" s="1"/>
      <c r="GE27" s="1"/>
      <c r="GF27" s="1"/>
      <c r="GG27" s="1"/>
      <c r="GH27" s="1"/>
      <c r="GI27" s="1"/>
      <c r="GJ27" s="54" t="s">
        <v>268</v>
      </c>
      <c r="GK27" s="1"/>
      <c r="GL27" s="55" t="s">
        <v>268</v>
      </c>
      <c r="GM27" s="1"/>
      <c r="GN27" s="1"/>
      <c r="GO27" s="2"/>
      <c r="GP27" s="54" t="s">
        <v>268</v>
      </c>
      <c r="GQ27" s="54">
        <v>85.75</v>
      </c>
      <c r="GR27" s="54" t="s">
        <v>268</v>
      </c>
      <c r="GS27" s="55">
        <v>85.75</v>
      </c>
      <c r="GT27" s="56">
        <v>5</v>
      </c>
      <c r="GU27" s="54" t="s">
        <v>268</v>
      </c>
      <c r="GV27" s="1"/>
      <c r="GW27" s="57">
        <v>0</v>
      </c>
      <c r="GX27" s="58">
        <v>100</v>
      </c>
      <c r="GY27" s="4">
        <v>1199044</v>
      </c>
      <c r="GZ27" s="39">
        <v>114</v>
      </c>
      <c r="HA27" s="39">
        <v>17</v>
      </c>
      <c r="HB27" s="1"/>
      <c r="HC27" s="1">
        <v>65</v>
      </c>
      <c r="HD27" s="1">
        <v>90</v>
      </c>
      <c r="HE27" s="1">
        <v>70</v>
      </c>
      <c r="HF27" s="1"/>
      <c r="HG27" s="1"/>
      <c r="HH27" s="1"/>
      <c r="HI27" s="54">
        <v>75</v>
      </c>
      <c r="HJ27" s="1"/>
      <c r="HK27" s="55">
        <v>75</v>
      </c>
      <c r="HL27" s="1"/>
      <c r="HM27" s="1"/>
      <c r="HN27" s="2">
        <v>0</v>
      </c>
      <c r="HO27" s="54">
        <v>100</v>
      </c>
      <c r="HP27" s="1"/>
      <c r="HQ27" s="1"/>
      <c r="HR27" s="1"/>
      <c r="HS27" s="1"/>
      <c r="HT27" s="1"/>
      <c r="HU27" s="1"/>
      <c r="HV27" s="54" t="s">
        <v>268</v>
      </c>
      <c r="HW27" s="1"/>
      <c r="HX27" s="55" t="s">
        <v>268</v>
      </c>
      <c r="HY27" s="1"/>
      <c r="HZ27" s="1"/>
      <c r="IA27" s="2"/>
      <c r="IB27" s="54" t="s">
        <v>268</v>
      </c>
      <c r="IC27" s="54">
        <v>75</v>
      </c>
      <c r="ID27" s="54" t="s">
        <v>268</v>
      </c>
      <c r="IE27" s="55">
        <v>75</v>
      </c>
      <c r="IF27" s="56">
        <v>4</v>
      </c>
      <c r="IG27" s="54" t="s">
        <v>268</v>
      </c>
      <c r="IH27" s="1"/>
      <c r="II27" s="57">
        <v>0</v>
      </c>
      <c r="IJ27" s="58">
        <v>100</v>
      </c>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v>1072909</v>
      </c>
      <c r="PT27" s="39">
        <v>128</v>
      </c>
      <c r="PU27" s="39">
        <v>34</v>
      </c>
      <c r="PV27" s="1"/>
      <c r="PW27" s="1">
        <v>70</v>
      </c>
      <c r="PX27" s="1">
        <v>95</v>
      </c>
      <c r="PY27" s="1">
        <v>65</v>
      </c>
      <c r="PZ27" s="1"/>
      <c r="QA27" s="1"/>
      <c r="QB27" s="1"/>
      <c r="QC27" s="54">
        <v>76.666666666666671</v>
      </c>
      <c r="QD27" s="1"/>
      <c r="QE27" s="55">
        <v>76.666666666666671</v>
      </c>
      <c r="QF27" s="1"/>
      <c r="QG27" s="1"/>
      <c r="QH27" s="2">
        <v>0</v>
      </c>
      <c r="QI27" s="54">
        <v>100</v>
      </c>
      <c r="QJ27" s="1"/>
      <c r="QK27" s="1"/>
      <c r="QL27" s="1"/>
      <c r="QM27" s="1"/>
      <c r="QN27" s="1"/>
      <c r="QO27" s="1"/>
      <c r="QP27" s="54" t="s">
        <v>268</v>
      </c>
      <c r="QQ27" s="1"/>
      <c r="QR27" s="55" t="s">
        <v>268</v>
      </c>
      <c r="QS27" s="1"/>
      <c r="QT27" s="1"/>
      <c r="QU27" s="2"/>
      <c r="QV27" s="54" t="s">
        <v>268</v>
      </c>
      <c r="QW27" s="54">
        <v>76.666666666666671</v>
      </c>
      <c r="QX27" s="54" t="s">
        <v>268</v>
      </c>
      <c r="QY27" s="55">
        <v>76.666666666666671</v>
      </c>
      <c r="QZ27" s="56">
        <v>4</v>
      </c>
      <c r="RA27" s="54" t="s">
        <v>268</v>
      </c>
      <c r="RB27" s="1"/>
      <c r="RC27" s="57">
        <v>0</v>
      </c>
      <c r="RD27" s="58">
        <v>100</v>
      </c>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v>1072909</v>
      </c>
      <c r="UD27" s="39">
        <v>131</v>
      </c>
      <c r="UE27" s="39">
        <v>68</v>
      </c>
      <c r="UF27" s="1"/>
      <c r="UG27" s="1">
        <v>75</v>
      </c>
      <c r="UH27" s="1">
        <v>75</v>
      </c>
      <c r="UI27" s="1">
        <v>75</v>
      </c>
      <c r="UJ27" s="1">
        <v>75</v>
      </c>
      <c r="UK27" s="1"/>
      <c r="UL27" s="1"/>
      <c r="UM27" s="54">
        <v>75</v>
      </c>
      <c r="UN27" s="1"/>
      <c r="UO27" s="55">
        <v>75</v>
      </c>
      <c r="UP27" s="1"/>
      <c r="UQ27" s="1"/>
      <c r="UR27" s="2">
        <v>0</v>
      </c>
      <c r="US27" s="54">
        <v>100</v>
      </c>
      <c r="UT27" s="1"/>
      <c r="UU27" s="1"/>
      <c r="UV27" s="1"/>
      <c r="UW27" s="1"/>
      <c r="UX27" s="1"/>
      <c r="UY27" s="1"/>
      <c r="UZ27" s="54" t="s">
        <v>268</v>
      </c>
      <c r="VA27" s="1"/>
      <c r="VB27" s="55" t="s">
        <v>268</v>
      </c>
      <c r="VC27" s="1"/>
      <c r="VD27" s="1"/>
      <c r="VE27" s="2"/>
      <c r="VF27" s="54" t="s">
        <v>268</v>
      </c>
      <c r="VG27" s="54">
        <v>75</v>
      </c>
      <c r="VH27" s="54" t="s">
        <v>268</v>
      </c>
      <c r="VI27" s="55">
        <v>75</v>
      </c>
      <c r="VJ27" s="56">
        <v>4</v>
      </c>
      <c r="VK27" s="54" t="s">
        <v>268</v>
      </c>
      <c r="VL27" s="1"/>
      <c r="VM27" s="57">
        <v>0</v>
      </c>
      <c r="VN27" s="58">
        <v>100</v>
      </c>
      <c r="VO27" s="4">
        <v>1072909</v>
      </c>
      <c r="VP27" s="39">
        <v>132</v>
      </c>
      <c r="VQ27" s="39">
        <v>34</v>
      </c>
      <c r="VR27" s="1"/>
      <c r="VS27" s="1">
        <v>65</v>
      </c>
      <c r="VT27" s="1">
        <v>65</v>
      </c>
      <c r="VU27" s="1">
        <v>75</v>
      </c>
      <c r="VV27" s="1"/>
      <c r="VW27" s="1"/>
      <c r="VX27" s="1"/>
      <c r="VY27" s="54">
        <v>68.333333333333329</v>
      </c>
      <c r="VZ27" s="1"/>
      <c r="WA27" s="55">
        <v>68.333333333333329</v>
      </c>
      <c r="WB27" s="1"/>
      <c r="WC27" s="1"/>
      <c r="WD27" s="2">
        <v>0</v>
      </c>
      <c r="WE27" s="54">
        <v>100</v>
      </c>
      <c r="WF27" s="1"/>
      <c r="WG27" s="1"/>
      <c r="WH27" s="1"/>
      <c r="WI27" s="1"/>
      <c r="WJ27" s="1"/>
      <c r="WK27" s="1"/>
      <c r="WL27" s="54" t="s">
        <v>268</v>
      </c>
      <c r="WM27" s="1"/>
      <c r="WN27" s="55" t="s">
        <v>268</v>
      </c>
      <c r="WO27" s="1"/>
      <c r="WP27" s="1"/>
      <c r="WQ27" s="2"/>
      <c r="WR27" s="54" t="s">
        <v>268</v>
      </c>
      <c r="WS27" s="54">
        <v>68.333333333333329</v>
      </c>
      <c r="WT27" s="54" t="s">
        <v>268</v>
      </c>
      <c r="WU27" s="55">
        <v>68.333333333333329</v>
      </c>
      <c r="WV27" s="56">
        <v>4</v>
      </c>
      <c r="WW27" s="54" t="s">
        <v>268</v>
      </c>
      <c r="WX27" s="1"/>
      <c r="WY27" s="57">
        <v>0</v>
      </c>
      <c r="WZ27" s="58">
        <v>100</v>
      </c>
      <c r="XA27" s="4">
        <v>1072909</v>
      </c>
      <c r="XB27" s="39">
        <v>133</v>
      </c>
      <c r="XC27" s="39">
        <v>34</v>
      </c>
      <c r="XD27" s="1"/>
      <c r="XE27" s="1">
        <v>70</v>
      </c>
      <c r="XF27" s="1">
        <v>65</v>
      </c>
      <c r="XG27" s="1">
        <v>68</v>
      </c>
      <c r="XH27" s="1"/>
      <c r="XI27" s="1"/>
      <c r="XJ27" s="1"/>
      <c r="XK27" s="54">
        <v>67.666666666666671</v>
      </c>
      <c r="XL27" s="1"/>
      <c r="XM27" s="55">
        <v>67.666666666666671</v>
      </c>
      <c r="XN27" s="1"/>
      <c r="XO27" s="1"/>
      <c r="XP27" s="2">
        <v>0</v>
      </c>
      <c r="XQ27" s="54">
        <v>100</v>
      </c>
      <c r="XR27" s="1"/>
      <c r="XS27" s="1"/>
      <c r="XT27" s="1"/>
      <c r="XU27" s="1"/>
      <c r="XV27" s="1"/>
      <c r="XW27" s="1"/>
      <c r="XX27" s="54" t="s">
        <v>268</v>
      </c>
      <c r="XY27" s="1"/>
      <c r="XZ27" s="55" t="s">
        <v>268</v>
      </c>
      <c r="YA27" s="1"/>
      <c r="YB27" s="1"/>
      <c r="YC27" s="2"/>
      <c r="YD27" s="54" t="s">
        <v>268</v>
      </c>
      <c r="YE27" s="54">
        <v>67.666666666666671</v>
      </c>
      <c r="YF27" s="54" t="s">
        <v>268</v>
      </c>
      <c r="YG27" s="55">
        <v>67.666666666666671</v>
      </c>
      <c r="YH27" s="56">
        <v>4</v>
      </c>
      <c r="YI27" s="54" t="s">
        <v>268</v>
      </c>
      <c r="YJ27" s="1"/>
      <c r="YK27" s="57">
        <v>0</v>
      </c>
      <c r="YL27" s="58">
        <v>100</v>
      </c>
      <c r="YM27" s="4">
        <v>1072909</v>
      </c>
      <c r="YN27" s="39">
        <v>135</v>
      </c>
      <c r="YO27" s="39">
        <v>34</v>
      </c>
      <c r="YP27" s="1"/>
      <c r="YQ27" s="1">
        <v>75</v>
      </c>
      <c r="YR27" s="1">
        <v>70</v>
      </c>
      <c r="YS27" s="1">
        <v>68</v>
      </c>
      <c r="YT27" s="1"/>
      <c r="YU27" s="1"/>
      <c r="YV27" s="1"/>
      <c r="YW27" s="54">
        <v>71</v>
      </c>
      <c r="YX27" s="1"/>
      <c r="YY27" s="55">
        <v>71</v>
      </c>
      <c r="YZ27" s="1"/>
      <c r="ZA27" s="1"/>
      <c r="ZB27" s="2">
        <v>0</v>
      </c>
      <c r="ZC27" s="54">
        <v>100</v>
      </c>
      <c r="ZD27" s="1"/>
      <c r="ZE27" s="1"/>
      <c r="ZF27" s="1"/>
      <c r="ZG27" s="1"/>
      <c r="ZH27" s="1"/>
      <c r="ZI27" s="1"/>
      <c r="ZJ27" s="54" t="s">
        <v>268</v>
      </c>
      <c r="ZK27" s="1"/>
      <c r="ZL27" s="55" t="s">
        <v>268</v>
      </c>
      <c r="ZM27" s="1"/>
      <c r="ZN27" s="1"/>
      <c r="ZO27" s="2"/>
      <c r="ZP27" s="54" t="s">
        <v>268</v>
      </c>
      <c r="ZQ27" s="54">
        <v>71</v>
      </c>
      <c r="ZR27" s="54" t="s">
        <v>268</v>
      </c>
      <c r="ZS27" s="55">
        <v>71</v>
      </c>
      <c r="ZT27" s="56">
        <v>4</v>
      </c>
      <c r="ZU27" s="54" t="s">
        <v>268</v>
      </c>
      <c r="ZV27" s="1"/>
      <c r="ZW27" s="57">
        <v>0</v>
      </c>
      <c r="ZX27" s="58">
        <v>100</v>
      </c>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2" customHeight="1" x14ac:dyDescent="0.2">
      <c r="A28" s="88" t="str">
        <f t="shared" si="397"/>
        <v>2023-2024</v>
      </c>
      <c r="B28" s="88" t="str">
        <f t="shared" si="398"/>
        <v>Bakı</v>
      </c>
      <c r="C28" s="88" t="str">
        <f t="shared" si="399"/>
        <v>Binəqədi</v>
      </c>
      <c r="D28" s="88">
        <f t="shared" si="400"/>
        <v>99</v>
      </c>
      <c r="E28" s="40">
        <v>3984876</v>
      </c>
      <c r="F28" s="88">
        <f t="shared" si="401"/>
        <v>2</v>
      </c>
      <c r="G28" s="88" t="str">
        <f t="shared" si="402"/>
        <v>C</v>
      </c>
      <c r="H28" s="37" t="s">
        <v>203</v>
      </c>
      <c r="I28" s="37" t="s">
        <v>204</v>
      </c>
      <c r="J28" s="41" t="s">
        <v>205</v>
      </c>
      <c r="K28" s="89" t="str">
        <f t="shared" si="403"/>
        <v>A</v>
      </c>
      <c r="L28" s="41" t="s">
        <v>117</v>
      </c>
      <c r="M28" s="41" t="s">
        <v>254</v>
      </c>
      <c r="N28" s="41"/>
      <c r="O28" s="43" t="s">
        <v>255</v>
      </c>
      <c r="P28" s="90" t="str">
        <f t="shared" si="404"/>
        <v>Süleymanova Aybəniz</v>
      </c>
      <c r="Q28" s="4">
        <v>1072909</v>
      </c>
      <c r="R28" s="39">
        <v>101</v>
      </c>
      <c r="S28" s="39">
        <v>308</v>
      </c>
      <c r="T28" s="1"/>
      <c r="U28" s="1">
        <v>49</v>
      </c>
      <c r="V28" s="1">
        <v>43</v>
      </c>
      <c r="W28" s="1">
        <v>51</v>
      </c>
      <c r="X28" s="1">
        <v>54</v>
      </c>
      <c r="Y28" s="1"/>
      <c r="Z28" s="1"/>
      <c r="AA28" s="54">
        <v>49.25</v>
      </c>
      <c r="AB28" s="1"/>
      <c r="AC28" s="55">
        <v>49.25</v>
      </c>
      <c r="AD28" s="1"/>
      <c r="AE28" s="1"/>
      <c r="AF28" s="2">
        <v>0</v>
      </c>
      <c r="AG28" s="54">
        <v>100</v>
      </c>
      <c r="AH28" s="1"/>
      <c r="AI28" s="1"/>
      <c r="AJ28" s="1"/>
      <c r="AK28" s="1"/>
      <c r="AL28" s="1"/>
      <c r="AM28" s="1"/>
      <c r="AN28" s="54" t="s">
        <v>268</v>
      </c>
      <c r="AO28" s="1"/>
      <c r="AP28" s="55" t="s">
        <v>268</v>
      </c>
      <c r="AQ28" s="1"/>
      <c r="AR28" s="1"/>
      <c r="AS28" s="2"/>
      <c r="AT28" s="54" t="s">
        <v>268</v>
      </c>
      <c r="AU28" s="54">
        <v>49.25</v>
      </c>
      <c r="AV28" s="54" t="s">
        <v>268</v>
      </c>
      <c r="AW28" s="55">
        <v>49.25</v>
      </c>
      <c r="AX28" s="56">
        <v>3</v>
      </c>
      <c r="AY28" s="54" t="s">
        <v>268</v>
      </c>
      <c r="AZ28" s="1"/>
      <c r="BA28" s="57">
        <v>0</v>
      </c>
      <c r="BB28" s="58">
        <v>100</v>
      </c>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v>1269215</v>
      </c>
      <c r="EB28" s="39">
        <v>106</v>
      </c>
      <c r="EC28" s="39">
        <v>17</v>
      </c>
      <c r="ED28" s="1"/>
      <c r="EE28" s="1">
        <v>75</v>
      </c>
      <c r="EF28" s="1">
        <v>45</v>
      </c>
      <c r="EG28" s="1">
        <v>75</v>
      </c>
      <c r="EH28" s="1"/>
      <c r="EI28" s="1"/>
      <c r="EJ28" s="1"/>
      <c r="EK28" s="54">
        <v>65</v>
      </c>
      <c r="EL28" s="1"/>
      <c r="EM28" s="55">
        <v>65</v>
      </c>
      <c r="EN28" s="1"/>
      <c r="EO28" s="1"/>
      <c r="EP28" s="2">
        <v>0</v>
      </c>
      <c r="EQ28" s="54">
        <v>100</v>
      </c>
      <c r="ER28" s="1"/>
      <c r="ES28" s="1"/>
      <c r="ET28" s="1"/>
      <c r="EU28" s="1"/>
      <c r="EV28" s="1"/>
      <c r="EW28" s="1"/>
      <c r="EX28" s="54" t="s">
        <v>268</v>
      </c>
      <c r="EY28" s="1"/>
      <c r="EZ28" s="55" t="s">
        <v>268</v>
      </c>
      <c r="FA28" s="1"/>
      <c r="FB28" s="1"/>
      <c r="FC28" s="2"/>
      <c r="FD28" s="54" t="s">
        <v>268</v>
      </c>
      <c r="FE28" s="54">
        <v>65</v>
      </c>
      <c r="FF28" s="54" t="s">
        <v>268</v>
      </c>
      <c r="FG28" s="55">
        <v>65</v>
      </c>
      <c r="FH28" s="56">
        <v>4</v>
      </c>
      <c r="FI28" s="54" t="s">
        <v>268</v>
      </c>
      <c r="FJ28" s="1"/>
      <c r="FK28" s="57">
        <v>0</v>
      </c>
      <c r="FL28" s="58">
        <v>100</v>
      </c>
      <c r="FM28" s="4">
        <v>1072909</v>
      </c>
      <c r="FN28" s="39">
        <v>110</v>
      </c>
      <c r="FO28" s="39">
        <v>171</v>
      </c>
      <c r="FP28" s="1"/>
      <c r="FQ28" s="1">
        <v>38</v>
      </c>
      <c r="FR28" s="1">
        <v>34</v>
      </c>
      <c r="FS28" s="1">
        <v>46</v>
      </c>
      <c r="FT28" s="1">
        <v>46</v>
      </c>
      <c r="FU28" s="1"/>
      <c r="FV28" s="1"/>
      <c r="FW28" s="54">
        <v>41</v>
      </c>
      <c r="FX28" s="1"/>
      <c r="FY28" s="55">
        <v>41</v>
      </c>
      <c r="FZ28" s="1"/>
      <c r="GA28" s="1"/>
      <c r="GB28" s="2">
        <v>0</v>
      </c>
      <c r="GC28" s="54">
        <v>100</v>
      </c>
      <c r="GD28" s="1"/>
      <c r="GE28" s="1"/>
      <c r="GF28" s="1"/>
      <c r="GG28" s="1"/>
      <c r="GH28" s="1"/>
      <c r="GI28" s="1"/>
      <c r="GJ28" s="54" t="s">
        <v>268</v>
      </c>
      <c r="GK28" s="1"/>
      <c r="GL28" s="55" t="s">
        <v>268</v>
      </c>
      <c r="GM28" s="1"/>
      <c r="GN28" s="1"/>
      <c r="GO28" s="2"/>
      <c r="GP28" s="54" t="s">
        <v>268</v>
      </c>
      <c r="GQ28" s="54">
        <v>41</v>
      </c>
      <c r="GR28" s="54" t="s">
        <v>268</v>
      </c>
      <c r="GS28" s="55">
        <v>41</v>
      </c>
      <c r="GT28" s="56">
        <v>3</v>
      </c>
      <c r="GU28" s="54" t="s">
        <v>268</v>
      </c>
      <c r="GV28" s="1"/>
      <c r="GW28" s="57">
        <v>0</v>
      </c>
      <c r="GX28" s="58">
        <v>100</v>
      </c>
      <c r="GY28" s="4">
        <v>1199044</v>
      </c>
      <c r="GZ28" s="39">
        <v>114</v>
      </c>
      <c r="HA28" s="39">
        <v>17</v>
      </c>
      <c r="HB28" s="1"/>
      <c r="HC28" s="1">
        <v>100</v>
      </c>
      <c r="HD28" s="1">
        <v>80</v>
      </c>
      <c r="HE28" s="1">
        <v>60</v>
      </c>
      <c r="HF28" s="1"/>
      <c r="HG28" s="1"/>
      <c r="HH28" s="1"/>
      <c r="HI28" s="54">
        <v>80</v>
      </c>
      <c r="HJ28" s="1"/>
      <c r="HK28" s="55">
        <v>80</v>
      </c>
      <c r="HL28" s="1"/>
      <c r="HM28" s="1"/>
      <c r="HN28" s="2">
        <v>0</v>
      </c>
      <c r="HO28" s="54">
        <v>100</v>
      </c>
      <c r="HP28" s="1"/>
      <c r="HQ28" s="1"/>
      <c r="HR28" s="1"/>
      <c r="HS28" s="1"/>
      <c r="HT28" s="1"/>
      <c r="HU28" s="1"/>
      <c r="HV28" s="54" t="s">
        <v>268</v>
      </c>
      <c r="HW28" s="1"/>
      <c r="HX28" s="55" t="s">
        <v>268</v>
      </c>
      <c r="HY28" s="1"/>
      <c r="HZ28" s="1"/>
      <c r="IA28" s="2"/>
      <c r="IB28" s="54" t="s">
        <v>268</v>
      </c>
      <c r="IC28" s="54">
        <v>80</v>
      </c>
      <c r="ID28" s="54" t="s">
        <v>268</v>
      </c>
      <c r="IE28" s="55">
        <v>80</v>
      </c>
      <c r="IF28" s="56">
        <v>4</v>
      </c>
      <c r="IG28" s="54" t="s">
        <v>268</v>
      </c>
      <c r="IH28" s="1"/>
      <c r="II28" s="57">
        <v>0</v>
      </c>
      <c r="IJ28" s="58">
        <v>100</v>
      </c>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v>1072909</v>
      </c>
      <c r="PT28" s="39">
        <v>128</v>
      </c>
      <c r="PU28" s="39">
        <v>34</v>
      </c>
      <c r="PV28" s="1"/>
      <c r="PW28" s="1">
        <v>60</v>
      </c>
      <c r="PX28" s="1">
        <v>63</v>
      </c>
      <c r="PY28" s="1">
        <v>55</v>
      </c>
      <c r="PZ28" s="1"/>
      <c r="QA28" s="1"/>
      <c r="QB28" s="1"/>
      <c r="QC28" s="54">
        <v>59.333333333333336</v>
      </c>
      <c r="QD28" s="1"/>
      <c r="QE28" s="55">
        <v>59.333333333333336</v>
      </c>
      <c r="QF28" s="1"/>
      <c r="QG28" s="1"/>
      <c r="QH28" s="2">
        <v>0</v>
      </c>
      <c r="QI28" s="54">
        <v>100</v>
      </c>
      <c r="QJ28" s="1"/>
      <c r="QK28" s="1"/>
      <c r="QL28" s="1"/>
      <c r="QM28" s="1"/>
      <c r="QN28" s="1"/>
      <c r="QO28" s="1"/>
      <c r="QP28" s="54" t="s">
        <v>268</v>
      </c>
      <c r="QQ28" s="1"/>
      <c r="QR28" s="55" t="s">
        <v>268</v>
      </c>
      <c r="QS28" s="1"/>
      <c r="QT28" s="1"/>
      <c r="QU28" s="2"/>
      <c r="QV28" s="54" t="s">
        <v>268</v>
      </c>
      <c r="QW28" s="54">
        <v>59.333333333333336</v>
      </c>
      <c r="QX28" s="54" t="s">
        <v>268</v>
      </c>
      <c r="QY28" s="55">
        <v>59.333333333333336</v>
      </c>
      <c r="QZ28" s="56">
        <v>3</v>
      </c>
      <c r="RA28" s="54" t="s">
        <v>268</v>
      </c>
      <c r="RB28" s="1"/>
      <c r="RC28" s="57">
        <v>0</v>
      </c>
      <c r="RD28" s="58">
        <v>100</v>
      </c>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v>1072909</v>
      </c>
      <c r="UD28" s="39">
        <v>131</v>
      </c>
      <c r="UE28" s="39">
        <v>68</v>
      </c>
      <c r="UF28" s="1"/>
      <c r="UG28" s="1">
        <v>80</v>
      </c>
      <c r="UH28" s="1">
        <v>75</v>
      </c>
      <c r="UI28" s="1">
        <v>80</v>
      </c>
      <c r="UJ28" s="1">
        <v>75</v>
      </c>
      <c r="UK28" s="1"/>
      <c r="UL28" s="1"/>
      <c r="UM28" s="54">
        <v>77.5</v>
      </c>
      <c r="UN28" s="1"/>
      <c r="UO28" s="55">
        <v>77.5</v>
      </c>
      <c r="UP28" s="1"/>
      <c r="UQ28" s="1"/>
      <c r="UR28" s="2">
        <v>0</v>
      </c>
      <c r="US28" s="54">
        <v>100</v>
      </c>
      <c r="UT28" s="1"/>
      <c r="UU28" s="1"/>
      <c r="UV28" s="1"/>
      <c r="UW28" s="1"/>
      <c r="UX28" s="1"/>
      <c r="UY28" s="1"/>
      <c r="UZ28" s="54" t="s">
        <v>268</v>
      </c>
      <c r="VA28" s="1"/>
      <c r="VB28" s="55" t="s">
        <v>268</v>
      </c>
      <c r="VC28" s="1"/>
      <c r="VD28" s="1"/>
      <c r="VE28" s="2"/>
      <c r="VF28" s="54" t="s">
        <v>268</v>
      </c>
      <c r="VG28" s="54">
        <v>77.5</v>
      </c>
      <c r="VH28" s="54" t="s">
        <v>268</v>
      </c>
      <c r="VI28" s="55">
        <v>77.5</v>
      </c>
      <c r="VJ28" s="56">
        <v>4</v>
      </c>
      <c r="VK28" s="54" t="s">
        <v>268</v>
      </c>
      <c r="VL28" s="1"/>
      <c r="VM28" s="57">
        <v>0</v>
      </c>
      <c r="VN28" s="58">
        <v>100</v>
      </c>
      <c r="VO28" s="4">
        <v>1072909</v>
      </c>
      <c r="VP28" s="39">
        <v>132</v>
      </c>
      <c r="VQ28" s="39">
        <v>34</v>
      </c>
      <c r="VR28" s="1"/>
      <c r="VS28" s="1">
        <v>65</v>
      </c>
      <c r="VT28" s="1">
        <v>65</v>
      </c>
      <c r="VU28" s="1">
        <v>77</v>
      </c>
      <c r="VV28" s="1"/>
      <c r="VW28" s="1"/>
      <c r="VX28" s="1"/>
      <c r="VY28" s="54">
        <v>69</v>
      </c>
      <c r="VZ28" s="1"/>
      <c r="WA28" s="55">
        <v>69</v>
      </c>
      <c r="WB28" s="1"/>
      <c r="WC28" s="1"/>
      <c r="WD28" s="2">
        <v>0</v>
      </c>
      <c r="WE28" s="54">
        <v>100</v>
      </c>
      <c r="WF28" s="1"/>
      <c r="WG28" s="1"/>
      <c r="WH28" s="1"/>
      <c r="WI28" s="1"/>
      <c r="WJ28" s="1"/>
      <c r="WK28" s="1"/>
      <c r="WL28" s="54" t="s">
        <v>268</v>
      </c>
      <c r="WM28" s="1"/>
      <c r="WN28" s="55" t="s">
        <v>268</v>
      </c>
      <c r="WO28" s="1"/>
      <c r="WP28" s="1"/>
      <c r="WQ28" s="2"/>
      <c r="WR28" s="54" t="s">
        <v>268</v>
      </c>
      <c r="WS28" s="54">
        <v>69</v>
      </c>
      <c r="WT28" s="54" t="s">
        <v>268</v>
      </c>
      <c r="WU28" s="55">
        <v>69</v>
      </c>
      <c r="WV28" s="56">
        <v>4</v>
      </c>
      <c r="WW28" s="54" t="s">
        <v>268</v>
      </c>
      <c r="WX28" s="1"/>
      <c r="WY28" s="57">
        <v>0</v>
      </c>
      <c r="WZ28" s="58">
        <v>100</v>
      </c>
      <c r="XA28" s="4">
        <v>1072909</v>
      </c>
      <c r="XB28" s="39">
        <v>133</v>
      </c>
      <c r="XC28" s="39">
        <v>34</v>
      </c>
      <c r="XD28" s="1"/>
      <c r="XE28" s="1">
        <v>60</v>
      </c>
      <c r="XF28" s="1">
        <v>55</v>
      </c>
      <c r="XG28" s="1">
        <v>44</v>
      </c>
      <c r="XH28" s="1"/>
      <c r="XI28" s="1"/>
      <c r="XJ28" s="1"/>
      <c r="XK28" s="54">
        <v>53</v>
      </c>
      <c r="XL28" s="1"/>
      <c r="XM28" s="55">
        <v>53</v>
      </c>
      <c r="XN28" s="1"/>
      <c r="XO28" s="1"/>
      <c r="XP28" s="2">
        <v>0</v>
      </c>
      <c r="XQ28" s="54">
        <v>100</v>
      </c>
      <c r="XR28" s="1"/>
      <c r="XS28" s="1"/>
      <c r="XT28" s="1"/>
      <c r="XU28" s="1"/>
      <c r="XV28" s="1"/>
      <c r="XW28" s="1"/>
      <c r="XX28" s="54" t="s">
        <v>268</v>
      </c>
      <c r="XY28" s="1"/>
      <c r="XZ28" s="55" t="s">
        <v>268</v>
      </c>
      <c r="YA28" s="1"/>
      <c r="YB28" s="1"/>
      <c r="YC28" s="2"/>
      <c r="YD28" s="54" t="s">
        <v>268</v>
      </c>
      <c r="YE28" s="54">
        <v>53</v>
      </c>
      <c r="YF28" s="54" t="s">
        <v>268</v>
      </c>
      <c r="YG28" s="55">
        <v>53</v>
      </c>
      <c r="YH28" s="56">
        <v>3</v>
      </c>
      <c r="YI28" s="54" t="s">
        <v>268</v>
      </c>
      <c r="YJ28" s="1"/>
      <c r="YK28" s="57">
        <v>0</v>
      </c>
      <c r="YL28" s="58">
        <v>100</v>
      </c>
      <c r="YM28" s="4">
        <v>1072909</v>
      </c>
      <c r="YN28" s="39">
        <v>135</v>
      </c>
      <c r="YO28" s="39">
        <v>34</v>
      </c>
      <c r="YP28" s="1"/>
      <c r="YQ28" s="1">
        <v>70</v>
      </c>
      <c r="YR28" s="1">
        <v>45</v>
      </c>
      <c r="YS28" s="1">
        <v>56</v>
      </c>
      <c r="YT28" s="1"/>
      <c r="YU28" s="1"/>
      <c r="YV28" s="1"/>
      <c r="YW28" s="54">
        <v>57</v>
      </c>
      <c r="YX28" s="1"/>
      <c r="YY28" s="55">
        <v>57</v>
      </c>
      <c r="YZ28" s="1"/>
      <c r="ZA28" s="1"/>
      <c r="ZB28" s="2">
        <v>0</v>
      </c>
      <c r="ZC28" s="54">
        <v>100</v>
      </c>
      <c r="ZD28" s="1"/>
      <c r="ZE28" s="1"/>
      <c r="ZF28" s="1"/>
      <c r="ZG28" s="1"/>
      <c r="ZH28" s="1"/>
      <c r="ZI28" s="1"/>
      <c r="ZJ28" s="54" t="s">
        <v>268</v>
      </c>
      <c r="ZK28" s="1"/>
      <c r="ZL28" s="55" t="s">
        <v>268</v>
      </c>
      <c r="ZM28" s="1"/>
      <c r="ZN28" s="1"/>
      <c r="ZO28" s="2"/>
      <c r="ZP28" s="54" t="s">
        <v>268</v>
      </c>
      <c r="ZQ28" s="54">
        <v>57</v>
      </c>
      <c r="ZR28" s="54" t="s">
        <v>268</v>
      </c>
      <c r="ZS28" s="55">
        <v>57</v>
      </c>
      <c r="ZT28" s="56">
        <v>3</v>
      </c>
      <c r="ZU28" s="54" t="s">
        <v>268</v>
      </c>
      <c r="ZV28" s="1"/>
      <c r="ZW28" s="57">
        <v>0</v>
      </c>
      <c r="ZX28" s="58">
        <v>100</v>
      </c>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2" customHeight="1" x14ac:dyDescent="0.2">
      <c r="A29" s="88" t="str">
        <f t="shared" si="397"/>
        <v>2023-2024</v>
      </c>
      <c r="B29" s="88" t="str">
        <f t="shared" si="398"/>
        <v>Bakı</v>
      </c>
      <c r="C29" s="88" t="str">
        <f t="shared" si="399"/>
        <v>Binəqədi</v>
      </c>
      <c r="D29" s="88">
        <f t="shared" si="400"/>
        <v>99</v>
      </c>
      <c r="E29" s="40">
        <v>3984891</v>
      </c>
      <c r="F29" s="88">
        <f t="shared" si="401"/>
        <v>2</v>
      </c>
      <c r="G29" s="88" t="str">
        <f t="shared" si="402"/>
        <v>C</v>
      </c>
      <c r="H29" s="37" t="s">
        <v>206</v>
      </c>
      <c r="I29" s="37" t="s">
        <v>207</v>
      </c>
      <c r="J29" s="41" t="s">
        <v>208</v>
      </c>
      <c r="K29" s="89" t="str">
        <f t="shared" si="403"/>
        <v>A</v>
      </c>
      <c r="L29" s="41" t="s">
        <v>117</v>
      </c>
      <c r="M29" s="41" t="s">
        <v>256</v>
      </c>
      <c r="N29" s="41"/>
      <c r="O29" s="43" t="s">
        <v>257</v>
      </c>
      <c r="P29" s="90" t="str">
        <f t="shared" si="404"/>
        <v>Süleymanova Aybəniz</v>
      </c>
      <c r="Q29" s="4">
        <v>1072909</v>
      </c>
      <c r="R29" s="39">
        <v>101</v>
      </c>
      <c r="S29" s="39">
        <v>308</v>
      </c>
      <c r="T29" s="1"/>
      <c r="U29" s="1">
        <v>70</v>
      </c>
      <c r="V29" s="1">
        <v>77</v>
      </c>
      <c r="W29" s="1">
        <v>80</v>
      </c>
      <c r="X29" s="1">
        <v>75</v>
      </c>
      <c r="Y29" s="1"/>
      <c r="Z29" s="1"/>
      <c r="AA29" s="54">
        <v>75.5</v>
      </c>
      <c r="AB29" s="1"/>
      <c r="AC29" s="55">
        <v>75.5</v>
      </c>
      <c r="AD29" s="1"/>
      <c r="AE29" s="1"/>
      <c r="AF29" s="2">
        <v>0</v>
      </c>
      <c r="AG29" s="54">
        <v>100</v>
      </c>
      <c r="AH29" s="1"/>
      <c r="AI29" s="1"/>
      <c r="AJ29" s="1"/>
      <c r="AK29" s="1"/>
      <c r="AL29" s="1"/>
      <c r="AM29" s="1"/>
      <c r="AN29" s="54" t="s">
        <v>268</v>
      </c>
      <c r="AO29" s="1"/>
      <c r="AP29" s="55" t="s">
        <v>268</v>
      </c>
      <c r="AQ29" s="1"/>
      <c r="AR29" s="1"/>
      <c r="AS29" s="2"/>
      <c r="AT29" s="54" t="s">
        <v>268</v>
      </c>
      <c r="AU29" s="54">
        <v>75.5</v>
      </c>
      <c r="AV29" s="54" t="s">
        <v>268</v>
      </c>
      <c r="AW29" s="55">
        <v>75.5</v>
      </c>
      <c r="AX29" s="56">
        <v>4</v>
      </c>
      <c r="AY29" s="54" t="s">
        <v>268</v>
      </c>
      <c r="AZ29" s="1"/>
      <c r="BA29" s="57">
        <v>0</v>
      </c>
      <c r="BB29" s="58">
        <v>100</v>
      </c>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v>1269215</v>
      </c>
      <c r="EB29" s="39">
        <v>106</v>
      </c>
      <c r="EC29" s="39">
        <v>17</v>
      </c>
      <c r="ED29" s="1"/>
      <c r="EE29" s="1">
        <v>70</v>
      </c>
      <c r="EF29" s="1">
        <v>75</v>
      </c>
      <c r="EG29" s="1">
        <v>65</v>
      </c>
      <c r="EH29" s="1"/>
      <c r="EI29" s="1"/>
      <c r="EJ29" s="1"/>
      <c r="EK29" s="54">
        <v>70</v>
      </c>
      <c r="EL29" s="1"/>
      <c r="EM29" s="55">
        <v>70</v>
      </c>
      <c r="EN29" s="1"/>
      <c r="EO29" s="1"/>
      <c r="EP29" s="2">
        <v>0</v>
      </c>
      <c r="EQ29" s="54">
        <v>100</v>
      </c>
      <c r="ER29" s="1"/>
      <c r="ES29" s="1"/>
      <c r="ET29" s="1"/>
      <c r="EU29" s="1"/>
      <c r="EV29" s="1"/>
      <c r="EW29" s="1"/>
      <c r="EX29" s="54" t="s">
        <v>268</v>
      </c>
      <c r="EY29" s="1"/>
      <c r="EZ29" s="55" t="s">
        <v>268</v>
      </c>
      <c r="FA29" s="1"/>
      <c r="FB29" s="1"/>
      <c r="FC29" s="2"/>
      <c r="FD29" s="54" t="s">
        <v>268</v>
      </c>
      <c r="FE29" s="54">
        <v>70</v>
      </c>
      <c r="FF29" s="54" t="s">
        <v>268</v>
      </c>
      <c r="FG29" s="55">
        <v>70</v>
      </c>
      <c r="FH29" s="56">
        <v>4</v>
      </c>
      <c r="FI29" s="54" t="s">
        <v>268</v>
      </c>
      <c r="FJ29" s="1"/>
      <c r="FK29" s="57">
        <v>0</v>
      </c>
      <c r="FL29" s="58">
        <v>100</v>
      </c>
      <c r="FM29" s="4">
        <v>1072909</v>
      </c>
      <c r="FN29" s="39">
        <v>110</v>
      </c>
      <c r="FO29" s="39">
        <v>171</v>
      </c>
      <c r="FP29" s="1"/>
      <c r="FQ29" s="1">
        <v>94</v>
      </c>
      <c r="FR29" s="1">
        <v>61</v>
      </c>
      <c r="FS29" s="1">
        <v>83</v>
      </c>
      <c r="FT29" s="1">
        <v>70</v>
      </c>
      <c r="FU29" s="1"/>
      <c r="FV29" s="1"/>
      <c r="FW29" s="54">
        <v>77</v>
      </c>
      <c r="FX29" s="1"/>
      <c r="FY29" s="55">
        <v>77</v>
      </c>
      <c r="FZ29" s="1"/>
      <c r="GA29" s="1"/>
      <c r="GB29" s="2">
        <v>0</v>
      </c>
      <c r="GC29" s="54">
        <v>100</v>
      </c>
      <c r="GD29" s="1"/>
      <c r="GE29" s="1"/>
      <c r="GF29" s="1"/>
      <c r="GG29" s="1"/>
      <c r="GH29" s="1"/>
      <c r="GI29" s="1"/>
      <c r="GJ29" s="54" t="s">
        <v>268</v>
      </c>
      <c r="GK29" s="1"/>
      <c r="GL29" s="55" t="s">
        <v>268</v>
      </c>
      <c r="GM29" s="1"/>
      <c r="GN29" s="1"/>
      <c r="GO29" s="2"/>
      <c r="GP29" s="54" t="s">
        <v>268</v>
      </c>
      <c r="GQ29" s="54">
        <v>77</v>
      </c>
      <c r="GR29" s="54" t="s">
        <v>268</v>
      </c>
      <c r="GS29" s="55">
        <v>77</v>
      </c>
      <c r="GT29" s="56">
        <v>4</v>
      </c>
      <c r="GU29" s="54" t="s">
        <v>268</v>
      </c>
      <c r="GV29" s="1"/>
      <c r="GW29" s="57">
        <v>0</v>
      </c>
      <c r="GX29" s="58">
        <v>100</v>
      </c>
      <c r="GY29" s="4">
        <v>1199044</v>
      </c>
      <c r="GZ29" s="39">
        <v>114</v>
      </c>
      <c r="HA29" s="39">
        <v>17</v>
      </c>
      <c r="HB29" s="1"/>
      <c r="HC29" s="1">
        <v>65</v>
      </c>
      <c r="HD29" s="1">
        <v>90</v>
      </c>
      <c r="HE29" s="1">
        <v>70</v>
      </c>
      <c r="HF29" s="1"/>
      <c r="HG29" s="1"/>
      <c r="HH29" s="1"/>
      <c r="HI29" s="54">
        <v>75</v>
      </c>
      <c r="HJ29" s="1"/>
      <c r="HK29" s="55">
        <v>75</v>
      </c>
      <c r="HL29" s="1"/>
      <c r="HM29" s="1"/>
      <c r="HN29" s="2">
        <v>0</v>
      </c>
      <c r="HO29" s="54">
        <v>100</v>
      </c>
      <c r="HP29" s="1"/>
      <c r="HQ29" s="1"/>
      <c r="HR29" s="1"/>
      <c r="HS29" s="1"/>
      <c r="HT29" s="1"/>
      <c r="HU29" s="1"/>
      <c r="HV29" s="54" t="s">
        <v>268</v>
      </c>
      <c r="HW29" s="1"/>
      <c r="HX29" s="55" t="s">
        <v>268</v>
      </c>
      <c r="HY29" s="1"/>
      <c r="HZ29" s="1"/>
      <c r="IA29" s="2"/>
      <c r="IB29" s="54" t="s">
        <v>268</v>
      </c>
      <c r="IC29" s="54">
        <v>75</v>
      </c>
      <c r="ID29" s="54" t="s">
        <v>268</v>
      </c>
      <c r="IE29" s="55">
        <v>75</v>
      </c>
      <c r="IF29" s="56">
        <v>4</v>
      </c>
      <c r="IG29" s="54" t="s">
        <v>268</v>
      </c>
      <c r="IH29" s="1"/>
      <c r="II29" s="57">
        <v>0</v>
      </c>
      <c r="IJ29" s="58">
        <v>100</v>
      </c>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v>1072909</v>
      </c>
      <c r="PT29" s="39">
        <v>128</v>
      </c>
      <c r="PU29" s="39">
        <v>34</v>
      </c>
      <c r="PV29" s="1"/>
      <c r="PW29" s="1">
        <v>95</v>
      </c>
      <c r="PX29" s="1">
        <v>68</v>
      </c>
      <c r="PY29" s="1">
        <v>85</v>
      </c>
      <c r="PZ29" s="1"/>
      <c r="QA29" s="1"/>
      <c r="QB29" s="1"/>
      <c r="QC29" s="54">
        <v>82.666666666666671</v>
      </c>
      <c r="QD29" s="1"/>
      <c r="QE29" s="55">
        <v>82.666666666666671</v>
      </c>
      <c r="QF29" s="1"/>
      <c r="QG29" s="1"/>
      <c r="QH29" s="2">
        <v>0</v>
      </c>
      <c r="QI29" s="54">
        <v>100</v>
      </c>
      <c r="QJ29" s="1"/>
      <c r="QK29" s="1"/>
      <c r="QL29" s="1"/>
      <c r="QM29" s="1"/>
      <c r="QN29" s="1"/>
      <c r="QO29" s="1"/>
      <c r="QP29" s="54" t="s">
        <v>268</v>
      </c>
      <c r="QQ29" s="1"/>
      <c r="QR29" s="55" t="s">
        <v>268</v>
      </c>
      <c r="QS29" s="1"/>
      <c r="QT29" s="1"/>
      <c r="QU29" s="2"/>
      <c r="QV29" s="54" t="s">
        <v>268</v>
      </c>
      <c r="QW29" s="54">
        <v>82.666666666666671</v>
      </c>
      <c r="QX29" s="54" t="s">
        <v>268</v>
      </c>
      <c r="QY29" s="55">
        <v>82.666666666666671</v>
      </c>
      <c r="QZ29" s="56">
        <v>5</v>
      </c>
      <c r="RA29" s="54" t="s">
        <v>268</v>
      </c>
      <c r="RB29" s="1"/>
      <c r="RC29" s="57">
        <v>0</v>
      </c>
      <c r="RD29" s="58">
        <v>100</v>
      </c>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v>1072909</v>
      </c>
      <c r="UD29" s="39">
        <v>131</v>
      </c>
      <c r="UE29" s="39">
        <v>68</v>
      </c>
      <c r="UF29" s="1"/>
      <c r="UG29" s="1">
        <v>85</v>
      </c>
      <c r="UH29" s="1">
        <v>85</v>
      </c>
      <c r="UI29" s="1">
        <v>90</v>
      </c>
      <c r="UJ29" s="1">
        <v>85</v>
      </c>
      <c r="UK29" s="1"/>
      <c r="UL29" s="1"/>
      <c r="UM29" s="54">
        <v>86.25</v>
      </c>
      <c r="UN29" s="1"/>
      <c r="UO29" s="55">
        <v>86.25</v>
      </c>
      <c r="UP29" s="1"/>
      <c r="UQ29" s="1"/>
      <c r="UR29" s="2">
        <v>0</v>
      </c>
      <c r="US29" s="54">
        <v>100</v>
      </c>
      <c r="UT29" s="1"/>
      <c r="UU29" s="1"/>
      <c r="UV29" s="1"/>
      <c r="UW29" s="1"/>
      <c r="UX29" s="1"/>
      <c r="UY29" s="1"/>
      <c r="UZ29" s="54" t="s">
        <v>268</v>
      </c>
      <c r="VA29" s="1"/>
      <c r="VB29" s="55" t="s">
        <v>268</v>
      </c>
      <c r="VC29" s="1"/>
      <c r="VD29" s="1"/>
      <c r="VE29" s="2"/>
      <c r="VF29" s="54" t="s">
        <v>268</v>
      </c>
      <c r="VG29" s="54">
        <v>86.25</v>
      </c>
      <c r="VH29" s="54" t="s">
        <v>268</v>
      </c>
      <c r="VI29" s="55">
        <v>86.25</v>
      </c>
      <c r="VJ29" s="56">
        <v>5</v>
      </c>
      <c r="VK29" s="54" t="s">
        <v>268</v>
      </c>
      <c r="VL29" s="1"/>
      <c r="VM29" s="57">
        <v>0</v>
      </c>
      <c r="VN29" s="58">
        <v>100</v>
      </c>
      <c r="VO29" s="4">
        <v>1072909</v>
      </c>
      <c r="VP29" s="39">
        <v>132</v>
      </c>
      <c r="VQ29" s="39">
        <v>34</v>
      </c>
      <c r="VR29" s="1"/>
      <c r="VS29" s="1">
        <v>80</v>
      </c>
      <c r="VT29" s="1">
        <v>70</v>
      </c>
      <c r="VU29" s="1">
        <v>85</v>
      </c>
      <c r="VV29" s="1"/>
      <c r="VW29" s="1"/>
      <c r="VX29" s="1"/>
      <c r="VY29" s="54">
        <v>78.333333333333329</v>
      </c>
      <c r="VZ29" s="1"/>
      <c r="WA29" s="55">
        <v>78.333333333333329</v>
      </c>
      <c r="WB29" s="1"/>
      <c r="WC29" s="1"/>
      <c r="WD29" s="2">
        <v>0</v>
      </c>
      <c r="WE29" s="54">
        <v>100</v>
      </c>
      <c r="WF29" s="1"/>
      <c r="WG29" s="1"/>
      <c r="WH29" s="1"/>
      <c r="WI29" s="1"/>
      <c r="WJ29" s="1"/>
      <c r="WK29" s="1"/>
      <c r="WL29" s="54" t="s">
        <v>268</v>
      </c>
      <c r="WM29" s="1"/>
      <c r="WN29" s="55" t="s">
        <v>268</v>
      </c>
      <c r="WO29" s="1"/>
      <c r="WP29" s="1"/>
      <c r="WQ29" s="2"/>
      <c r="WR29" s="54" t="s">
        <v>268</v>
      </c>
      <c r="WS29" s="54">
        <v>78.333333333333329</v>
      </c>
      <c r="WT29" s="54" t="s">
        <v>268</v>
      </c>
      <c r="WU29" s="55">
        <v>78.333333333333329</v>
      </c>
      <c r="WV29" s="56">
        <v>4</v>
      </c>
      <c r="WW29" s="54" t="s">
        <v>268</v>
      </c>
      <c r="WX29" s="1"/>
      <c r="WY29" s="57">
        <v>0</v>
      </c>
      <c r="WZ29" s="58">
        <v>100</v>
      </c>
      <c r="XA29" s="4">
        <v>1072909</v>
      </c>
      <c r="XB29" s="39">
        <v>133</v>
      </c>
      <c r="XC29" s="39">
        <v>34</v>
      </c>
      <c r="XD29" s="1"/>
      <c r="XE29" s="1">
        <v>85</v>
      </c>
      <c r="XF29" s="1">
        <v>90</v>
      </c>
      <c r="XG29" s="1">
        <v>64</v>
      </c>
      <c r="XH29" s="1"/>
      <c r="XI29" s="1"/>
      <c r="XJ29" s="1"/>
      <c r="XK29" s="54">
        <v>79.666666666666671</v>
      </c>
      <c r="XL29" s="1"/>
      <c r="XM29" s="55">
        <v>79.666666666666671</v>
      </c>
      <c r="XN29" s="1"/>
      <c r="XO29" s="1"/>
      <c r="XP29" s="2">
        <v>0</v>
      </c>
      <c r="XQ29" s="54">
        <v>100</v>
      </c>
      <c r="XR29" s="1"/>
      <c r="XS29" s="1"/>
      <c r="XT29" s="1"/>
      <c r="XU29" s="1"/>
      <c r="XV29" s="1"/>
      <c r="XW29" s="1"/>
      <c r="XX29" s="54" t="s">
        <v>268</v>
      </c>
      <c r="XY29" s="1"/>
      <c r="XZ29" s="55" t="s">
        <v>268</v>
      </c>
      <c r="YA29" s="1"/>
      <c r="YB29" s="1"/>
      <c r="YC29" s="2"/>
      <c r="YD29" s="54" t="s">
        <v>268</v>
      </c>
      <c r="YE29" s="54">
        <v>79.666666666666671</v>
      </c>
      <c r="YF29" s="54" t="s">
        <v>268</v>
      </c>
      <c r="YG29" s="55">
        <v>79.666666666666671</v>
      </c>
      <c r="YH29" s="56">
        <v>4</v>
      </c>
      <c r="YI29" s="54" t="s">
        <v>268</v>
      </c>
      <c r="YJ29" s="1"/>
      <c r="YK29" s="57">
        <v>0</v>
      </c>
      <c r="YL29" s="58">
        <v>100</v>
      </c>
      <c r="YM29" s="4">
        <v>1072909</v>
      </c>
      <c r="YN29" s="39">
        <v>135</v>
      </c>
      <c r="YO29" s="39">
        <v>34</v>
      </c>
      <c r="YP29" s="1"/>
      <c r="YQ29" s="1">
        <v>75</v>
      </c>
      <c r="YR29" s="1">
        <v>75</v>
      </c>
      <c r="YS29" s="1">
        <v>70</v>
      </c>
      <c r="YT29" s="1"/>
      <c r="YU29" s="1"/>
      <c r="YV29" s="1"/>
      <c r="YW29" s="54">
        <v>73.333333333333329</v>
      </c>
      <c r="YX29" s="1"/>
      <c r="YY29" s="55">
        <v>73.333333333333329</v>
      </c>
      <c r="YZ29" s="1"/>
      <c r="ZA29" s="1"/>
      <c r="ZB29" s="2">
        <v>0</v>
      </c>
      <c r="ZC29" s="54">
        <v>100</v>
      </c>
      <c r="ZD29" s="1"/>
      <c r="ZE29" s="1"/>
      <c r="ZF29" s="1"/>
      <c r="ZG29" s="1"/>
      <c r="ZH29" s="1"/>
      <c r="ZI29" s="1"/>
      <c r="ZJ29" s="54" t="s">
        <v>268</v>
      </c>
      <c r="ZK29" s="1"/>
      <c r="ZL29" s="55" t="s">
        <v>268</v>
      </c>
      <c r="ZM29" s="1"/>
      <c r="ZN29" s="1"/>
      <c r="ZO29" s="2"/>
      <c r="ZP29" s="54" t="s">
        <v>268</v>
      </c>
      <c r="ZQ29" s="54">
        <v>73.333333333333329</v>
      </c>
      <c r="ZR29" s="54" t="s">
        <v>268</v>
      </c>
      <c r="ZS29" s="55">
        <v>73.333333333333329</v>
      </c>
      <c r="ZT29" s="56">
        <v>4</v>
      </c>
      <c r="ZU29" s="54" t="s">
        <v>268</v>
      </c>
      <c r="ZV29" s="1"/>
      <c r="ZW29" s="57">
        <v>0</v>
      </c>
      <c r="ZX29" s="58">
        <v>100</v>
      </c>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2" customHeight="1" x14ac:dyDescent="0.2">
      <c r="A30" s="88" t="str">
        <f t="shared" si="397"/>
        <v>2023-2024</v>
      </c>
      <c r="B30" s="88" t="str">
        <f t="shared" si="398"/>
        <v>Bakı</v>
      </c>
      <c r="C30" s="88" t="str">
        <f t="shared" si="399"/>
        <v>Binəqədi</v>
      </c>
      <c r="D30" s="88">
        <f t="shared" si="400"/>
        <v>99</v>
      </c>
      <c r="E30" s="40">
        <v>3984895</v>
      </c>
      <c r="F30" s="88">
        <f t="shared" si="401"/>
        <v>2</v>
      </c>
      <c r="G30" s="88" t="str">
        <f t="shared" si="402"/>
        <v>C</v>
      </c>
      <c r="H30" s="37" t="s">
        <v>209</v>
      </c>
      <c r="I30" s="37" t="s">
        <v>204</v>
      </c>
      <c r="J30" s="41" t="s">
        <v>210</v>
      </c>
      <c r="K30" s="89" t="str">
        <f t="shared" si="403"/>
        <v>A</v>
      </c>
      <c r="L30" s="41" t="s">
        <v>117</v>
      </c>
      <c r="M30" s="41" t="s">
        <v>258</v>
      </c>
      <c r="N30" s="41"/>
      <c r="O30" s="43" t="s">
        <v>259</v>
      </c>
      <c r="P30" s="90" t="str">
        <f t="shared" si="404"/>
        <v>Süleymanova Aybəniz</v>
      </c>
      <c r="Q30" s="4">
        <v>1072909</v>
      </c>
      <c r="R30" s="39">
        <v>101</v>
      </c>
      <c r="S30" s="39">
        <v>308</v>
      </c>
      <c r="T30" s="1"/>
      <c r="U30" s="1">
        <v>84</v>
      </c>
      <c r="V30" s="1">
        <v>81</v>
      </c>
      <c r="W30" s="1">
        <v>83</v>
      </c>
      <c r="X30" s="1">
        <v>89</v>
      </c>
      <c r="Y30" s="1"/>
      <c r="Z30" s="1"/>
      <c r="AA30" s="54">
        <v>84.25</v>
      </c>
      <c r="AB30" s="1"/>
      <c r="AC30" s="55">
        <v>84.25</v>
      </c>
      <c r="AD30" s="1"/>
      <c r="AE30" s="1"/>
      <c r="AF30" s="2">
        <v>9</v>
      </c>
      <c r="AG30" s="54">
        <v>94.15584415584415</v>
      </c>
      <c r="AH30" s="1"/>
      <c r="AI30" s="1"/>
      <c r="AJ30" s="1"/>
      <c r="AK30" s="1"/>
      <c r="AL30" s="1"/>
      <c r="AM30" s="1"/>
      <c r="AN30" s="54" t="s">
        <v>268</v>
      </c>
      <c r="AO30" s="1"/>
      <c r="AP30" s="55" t="s">
        <v>268</v>
      </c>
      <c r="AQ30" s="1"/>
      <c r="AR30" s="1"/>
      <c r="AS30" s="2"/>
      <c r="AT30" s="54" t="s">
        <v>268</v>
      </c>
      <c r="AU30" s="54">
        <v>84.25</v>
      </c>
      <c r="AV30" s="54" t="s">
        <v>268</v>
      </c>
      <c r="AW30" s="55">
        <v>84.25</v>
      </c>
      <c r="AX30" s="56">
        <v>5</v>
      </c>
      <c r="AY30" s="54" t="s">
        <v>268</v>
      </c>
      <c r="AZ30" s="1"/>
      <c r="BA30" s="57">
        <v>9</v>
      </c>
      <c r="BB30" s="58">
        <v>97.077922077922082</v>
      </c>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v>1269215</v>
      </c>
      <c r="EB30" s="39">
        <v>106</v>
      </c>
      <c r="EC30" s="39">
        <v>17</v>
      </c>
      <c r="ED30" s="1"/>
      <c r="EE30" s="1">
        <v>100</v>
      </c>
      <c r="EF30" s="1">
        <v>95</v>
      </c>
      <c r="EG30" s="1">
        <v>100</v>
      </c>
      <c r="EH30" s="1"/>
      <c r="EI30" s="1"/>
      <c r="EJ30" s="1"/>
      <c r="EK30" s="54">
        <v>98.333333333333329</v>
      </c>
      <c r="EL30" s="1"/>
      <c r="EM30" s="55">
        <v>98.333333333333329</v>
      </c>
      <c r="EN30" s="1"/>
      <c r="EO30" s="1"/>
      <c r="EP30" s="2">
        <v>1</v>
      </c>
      <c r="EQ30" s="54">
        <v>88.235294117647058</v>
      </c>
      <c r="ER30" s="1"/>
      <c r="ES30" s="1"/>
      <c r="ET30" s="1"/>
      <c r="EU30" s="1"/>
      <c r="EV30" s="1"/>
      <c r="EW30" s="1"/>
      <c r="EX30" s="54" t="s">
        <v>268</v>
      </c>
      <c r="EY30" s="1"/>
      <c r="EZ30" s="55" t="s">
        <v>268</v>
      </c>
      <c r="FA30" s="1"/>
      <c r="FB30" s="1"/>
      <c r="FC30" s="2"/>
      <c r="FD30" s="54" t="s">
        <v>268</v>
      </c>
      <c r="FE30" s="54">
        <v>98.333333333333329</v>
      </c>
      <c r="FF30" s="54" t="s">
        <v>268</v>
      </c>
      <c r="FG30" s="55">
        <v>98.333333333333329</v>
      </c>
      <c r="FH30" s="56">
        <v>5</v>
      </c>
      <c r="FI30" s="54" t="s">
        <v>268</v>
      </c>
      <c r="FJ30" s="1"/>
      <c r="FK30" s="57">
        <v>1</v>
      </c>
      <c r="FL30" s="58">
        <v>94.117647058823536</v>
      </c>
      <c r="FM30" s="4">
        <v>1072909</v>
      </c>
      <c r="FN30" s="39">
        <v>110</v>
      </c>
      <c r="FO30" s="39">
        <v>171</v>
      </c>
      <c r="FP30" s="1"/>
      <c r="FQ30" s="1">
        <v>84</v>
      </c>
      <c r="FR30" s="1">
        <v>89</v>
      </c>
      <c r="FS30" s="1">
        <v>90</v>
      </c>
      <c r="FT30" s="1">
        <v>94</v>
      </c>
      <c r="FU30" s="1"/>
      <c r="FV30" s="1"/>
      <c r="FW30" s="54">
        <v>89.25</v>
      </c>
      <c r="FX30" s="1"/>
      <c r="FY30" s="55">
        <v>89.25</v>
      </c>
      <c r="FZ30" s="1"/>
      <c r="GA30" s="1"/>
      <c r="GB30" s="2">
        <v>5</v>
      </c>
      <c r="GC30" s="54">
        <v>94.152046783625735</v>
      </c>
      <c r="GD30" s="1"/>
      <c r="GE30" s="1"/>
      <c r="GF30" s="1"/>
      <c r="GG30" s="1"/>
      <c r="GH30" s="1"/>
      <c r="GI30" s="1"/>
      <c r="GJ30" s="54" t="s">
        <v>268</v>
      </c>
      <c r="GK30" s="1"/>
      <c r="GL30" s="55" t="s">
        <v>268</v>
      </c>
      <c r="GM30" s="1"/>
      <c r="GN30" s="1"/>
      <c r="GO30" s="2"/>
      <c r="GP30" s="54" t="s">
        <v>268</v>
      </c>
      <c r="GQ30" s="54">
        <v>89.25</v>
      </c>
      <c r="GR30" s="54" t="s">
        <v>268</v>
      </c>
      <c r="GS30" s="55">
        <v>89.25</v>
      </c>
      <c r="GT30" s="56">
        <v>5</v>
      </c>
      <c r="GU30" s="54" t="s">
        <v>268</v>
      </c>
      <c r="GV30" s="1"/>
      <c r="GW30" s="57">
        <v>5</v>
      </c>
      <c r="GX30" s="58">
        <v>97.076023391812868</v>
      </c>
      <c r="GY30" s="4">
        <v>1199044</v>
      </c>
      <c r="GZ30" s="39">
        <v>114</v>
      </c>
      <c r="HA30" s="39">
        <v>17</v>
      </c>
      <c r="HB30" s="1"/>
      <c r="HC30" s="1">
        <v>85</v>
      </c>
      <c r="HD30" s="1">
        <v>80</v>
      </c>
      <c r="HE30" s="1">
        <v>90</v>
      </c>
      <c r="HF30" s="1"/>
      <c r="HG30" s="1"/>
      <c r="HH30" s="1"/>
      <c r="HI30" s="54">
        <v>85</v>
      </c>
      <c r="HJ30" s="1"/>
      <c r="HK30" s="55">
        <v>85</v>
      </c>
      <c r="HL30" s="1"/>
      <c r="HM30" s="1"/>
      <c r="HN30" s="2">
        <v>1</v>
      </c>
      <c r="HO30" s="54">
        <v>88.235294117647058</v>
      </c>
      <c r="HP30" s="1"/>
      <c r="HQ30" s="1"/>
      <c r="HR30" s="1"/>
      <c r="HS30" s="1"/>
      <c r="HT30" s="1"/>
      <c r="HU30" s="1"/>
      <c r="HV30" s="54" t="s">
        <v>268</v>
      </c>
      <c r="HW30" s="1"/>
      <c r="HX30" s="55" t="s">
        <v>268</v>
      </c>
      <c r="HY30" s="1"/>
      <c r="HZ30" s="1"/>
      <c r="IA30" s="2"/>
      <c r="IB30" s="54" t="s">
        <v>268</v>
      </c>
      <c r="IC30" s="54">
        <v>85</v>
      </c>
      <c r="ID30" s="54" t="s">
        <v>268</v>
      </c>
      <c r="IE30" s="55">
        <v>85</v>
      </c>
      <c r="IF30" s="56">
        <v>5</v>
      </c>
      <c r="IG30" s="54" t="s">
        <v>268</v>
      </c>
      <c r="IH30" s="1"/>
      <c r="II30" s="57">
        <v>1</v>
      </c>
      <c r="IJ30" s="58">
        <v>94.117647058823536</v>
      </c>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v>1072909</v>
      </c>
      <c r="PT30" s="39">
        <v>128</v>
      </c>
      <c r="PU30" s="39">
        <v>34</v>
      </c>
      <c r="PV30" s="1"/>
      <c r="PW30" s="1">
        <v>85</v>
      </c>
      <c r="PX30" s="1">
        <v>85</v>
      </c>
      <c r="PY30" s="1">
        <v>85</v>
      </c>
      <c r="PZ30" s="1"/>
      <c r="QA30" s="1"/>
      <c r="QB30" s="1"/>
      <c r="QC30" s="54">
        <v>85</v>
      </c>
      <c r="QD30" s="1"/>
      <c r="QE30" s="55">
        <v>85</v>
      </c>
      <c r="QF30" s="1"/>
      <c r="QG30" s="1"/>
      <c r="QH30" s="2">
        <v>1</v>
      </c>
      <c r="QI30" s="54">
        <v>94.117647058823536</v>
      </c>
      <c r="QJ30" s="1"/>
      <c r="QK30" s="1"/>
      <c r="QL30" s="1"/>
      <c r="QM30" s="1"/>
      <c r="QN30" s="1"/>
      <c r="QO30" s="1"/>
      <c r="QP30" s="54" t="s">
        <v>268</v>
      </c>
      <c r="QQ30" s="1"/>
      <c r="QR30" s="55" t="s">
        <v>268</v>
      </c>
      <c r="QS30" s="1"/>
      <c r="QT30" s="1"/>
      <c r="QU30" s="2"/>
      <c r="QV30" s="54" t="s">
        <v>268</v>
      </c>
      <c r="QW30" s="54">
        <v>85</v>
      </c>
      <c r="QX30" s="54" t="s">
        <v>268</v>
      </c>
      <c r="QY30" s="55">
        <v>85</v>
      </c>
      <c r="QZ30" s="56">
        <v>5</v>
      </c>
      <c r="RA30" s="54" t="s">
        <v>268</v>
      </c>
      <c r="RB30" s="1"/>
      <c r="RC30" s="57">
        <v>1</v>
      </c>
      <c r="RD30" s="58">
        <v>97.058823529411768</v>
      </c>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v>1072909</v>
      </c>
      <c r="UD30" s="39">
        <v>131</v>
      </c>
      <c r="UE30" s="39">
        <v>68</v>
      </c>
      <c r="UF30" s="1"/>
      <c r="UG30" s="1">
        <v>75</v>
      </c>
      <c r="UH30" s="1">
        <v>85</v>
      </c>
      <c r="UI30" s="1">
        <v>85</v>
      </c>
      <c r="UJ30" s="1">
        <v>90</v>
      </c>
      <c r="UK30" s="1"/>
      <c r="UL30" s="1"/>
      <c r="UM30" s="54">
        <v>83.75</v>
      </c>
      <c r="UN30" s="1"/>
      <c r="UO30" s="55">
        <v>83.75</v>
      </c>
      <c r="UP30" s="1"/>
      <c r="UQ30" s="1"/>
      <c r="UR30" s="2">
        <v>2</v>
      </c>
      <c r="US30" s="54">
        <v>94.117647058823536</v>
      </c>
      <c r="UT30" s="1"/>
      <c r="UU30" s="1"/>
      <c r="UV30" s="1"/>
      <c r="UW30" s="1"/>
      <c r="UX30" s="1"/>
      <c r="UY30" s="1"/>
      <c r="UZ30" s="54" t="s">
        <v>268</v>
      </c>
      <c r="VA30" s="1"/>
      <c r="VB30" s="55" t="s">
        <v>268</v>
      </c>
      <c r="VC30" s="1"/>
      <c r="VD30" s="1"/>
      <c r="VE30" s="2"/>
      <c r="VF30" s="54" t="s">
        <v>268</v>
      </c>
      <c r="VG30" s="54">
        <v>83.75</v>
      </c>
      <c r="VH30" s="54" t="s">
        <v>268</v>
      </c>
      <c r="VI30" s="55">
        <v>83.75</v>
      </c>
      <c r="VJ30" s="56">
        <v>5</v>
      </c>
      <c r="VK30" s="54" t="s">
        <v>268</v>
      </c>
      <c r="VL30" s="1"/>
      <c r="VM30" s="57">
        <v>2</v>
      </c>
      <c r="VN30" s="58">
        <v>97.058823529411768</v>
      </c>
      <c r="VO30" s="4">
        <v>1072909</v>
      </c>
      <c r="VP30" s="39">
        <v>132</v>
      </c>
      <c r="VQ30" s="39">
        <v>34</v>
      </c>
      <c r="VR30" s="1"/>
      <c r="VS30" s="1">
        <v>70</v>
      </c>
      <c r="VT30" s="1">
        <v>85</v>
      </c>
      <c r="VU30" s="1">
        <v>92</v>
      </c>
      <c r="VV30" s="1"/>
      <c r="VW30" s="1"/>
      <c r="VX30" s="1"/>
      <c r="VY30" s="54">
        <v>82.333333333333329</v>
      </c>
      <c r="VZ30" s="1"/>
      <c r="WA30" s="55">
        <v>82.333333333333329</v>
      </c>
      <c r="WB30" s="1"/>
      <c r="WC30" s="1"/>
      <c r="WD30" s="2">
        <v>1</v>
      </c>
      <c r="WE30" s="54">
        <v>94.117647058823536</v>
      </c>
      <c r="WF30" s="1"/>
      <c r="WG30" s="1"/>
      <c r="WH30" s="1"/>
      <c r="WI30" s="1"/>
      <c r="WJ30" s="1"/>
      <c r="WK30" s="1"/>
      <c r="WL30" s="54" t="s">
        <v>268</v>
      </c>
      <c r="WM30" s="1"/>
      <c r="WN30" s="55" t="s">
        <v>268</v>
      </c>
      <c r="WO30" s="1"/>
      <c r="WP30" s="1"/>
      <c r="WQ30" s="2"/>
      <c r="WR30" s="54" t="s">
        <v>268</v>
      </c>
      <c r="WS30" s="54">
        <v>82.333333333333329</v>
      </c>
      <c r="WT30" s="54" t="s">
        <v>268</v>
      </c>
      <c r="WU30" s="55">
        <v>82.333333333333329</v>
      </c>
      <c r="WV30" s="56">
        <v>5</v>
      </c>
      <c r="WW30" s="54" t="s">
        <v>268</v>
      </c>
      <c r="WX30" s="1"/>
      <c r="WY30" s="57">
        <v>1</v>
      </c>
      <c r="WZ30" s="58">
        <v>97.058823529411768</v>
      </c>
      <c r="XA30" s="4">
        <v>1072909</v>
      </c>
      <c r="XB30" s="39">
        <v>133</v>
      </c>
      <c r="XC30" s="39">
        <v>34</v>
      </c>
      <c r="XD30" s="1"/>
      <c r="XE30" s="1">
        <v>85</v>
      </c>
      <c r="XF30" s="1">
        <v>90</v>
      </c>
      <c r="XG30" s="1">
        <v>87</v>
      </c>
      <c r="XH30" s="1"/>
      <c r="XI30" s="1"/>
      <c r="XJ30" s="1"/>
      <c r="XK30" s="54">
        <v>87.333333333333329</v>
      </c>
      <c r="XL30" s="1"/>
      <c r="XM30" s="55">
        <v>87.333333333333329</v>
      </c>
      <c r="XN30" s="1"/>
      <c r="XO30" s="1"/>
      <c r="XP30" s="2">
        <v>1</v>
      </c>
      <c r="XQ30" s="54">
        <v>94.117647058823536</v>
      </c>
      <c r="XR30" s="1"/>
      <c r="XS30" s="1"/>
      <c r="XT30" s="1"/>
      <c r="XU30" s="1"/>
      <c r="XV30" s="1"/>
      <c r="XW30" s="1"/>
      <c r="XX30" s="54" t="s">
        <v>268</v>
      </c>
      <c r="XY30" s="1"/>
      <c r="XZ30" s="55" t="s">
        <v>268</v>
      </c>
      <c r="YA30" s="1"/>
      <c r="YB30" s="1"/>
      <c r="YC30" s="2"/>
      <c r="YD30" s="54" t="s">
        <v>268</v>
      </c>
      <c r="YE30" s="54">
        <v>87.333333333333329</v>
      </c>
      <c r="YF30" s="54" t="s">
        <v>268</v>
      </c>
      <c r="YG30" s="55">
        <v>87.333333333333329</v>
      </c>
      <c r="YH30" s="56">
        <v>5</v>
      </c>
      <c r="YI30" s="54" t="s">
        <v>268</v>
      </c>
      <c r="YJ30" s="1"/>
      <c r="YK30" s="57">
        <v>1</v>
      </c>
      <c r="YL30" s="58">
        <v>97.058823529411768</v>
      </c>
      <c r="YM30" s="4">
        <v>1072909</v>
      </c>
      <c r="YN30" s="39">
        <v>135</v>
      </c>
      <c r="YO30" s="39">
        <v>34</v>
      </c>
      <c r="YP30" s="1"/>
      <c r="YQ30" s="1">
        <v>85</v>
      </c>
      <c r="YR30" s="1">
        <v>90</v>
      </c>
      <c r="YS30" s="1">
        <v>87</v>
      </c>
      <c r="YT30" s="1"/>
      <c r="YU30" s="1"/>
      <c r="YV30" s="1"/>
      <c r="YW30" s="54">
        <v>87.333333333333329</v>
      </c>
      <c r="YX30" s="1"/>
      <c r="YY30" s="55">
        <v>87.333333333333329</v>
      </c>
      <c r="YZ30" s="1"/>
      <c r="ZA30" s="1"/>
      <c r="ZB30" s="2">
        <v>1</v>
      </c>
      <c r="ZC30" s="54">
        <v>94.117647058823536</v>
      </c>
      <c r="ZD30" s="1"/>
      <c r="ZE30" s="1"/>
      <c r="ZF30" s="1"/>
      <c r="ZG30" s="1"/>
      <c r="ZH30" s="1"/>
      <c r="ZI30" s="1"/>
      <c r="ZJ30" s="54" t="s">
        <v>268</v>
      </c>
      <c r="ZK30" s="1"/>
      <c r="ZL30" s="55" t="s">
        <v>268</v>
      </c>
      <c r="ZM30" s="1"/>
      <c r="ZN30" s="1"/>
      <c r="ZO30" s="2"/>
      <c r="ZP30" s="54" t="s">
        <v>268</v>
      </c>
      <c r="ZQ30" s="54">
        <v>87.333333333333329</v>
      </c>
      <c r="ZR30" s="54" t="s">
        <v>268</v>
      </c>
      <c r="ZS30" s="55">
        <v>87.333333333333329</v>
      </c>
      <c r="ZT30" s="56">
        <v>5</v>
      </c>
      <c r="ZU30" s="54" t="s">
        <v>268</v>
      </c>
      <c r="ZV30" s="1"/>
      <c r="ZW30" s="57">
        <v>1</v>
      </c>
      <c r="ZX30" s="58">
        <v>97.058823529411768</v>
      </c>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2" customHeight="1" x14ac:dyDescent="0.2">
      <c r="A31" s="88" t="str">
        <f t="shared" si="397"/>
        <v>2023-2024</v>
      </c>
      <c r="B31" s="88" t="str">
        <f t="shared" si="398"/>
        <v>Bakı</v>
      </c>
      <c r="C31" s="88" t="str">
        <f t="shared" si="399"/>
        <v>Binəqədi</v>
      </c>
      <c r="D31" s="88">
        <f t="shared" si="400"/>
        <v>99</v>
      </c>
      <c r="E31" s="40">
        <v>3985001</v>
      </c>
      <c r="F31" s="88">
        <f t="shared" si="401"/>
        <v>2</v>
      </c>
      <c r="G31" s="88" t="str">
        <f t="shared" si="402"/>
        <v>C</v>
      </c>
      <c r="H31" s="37" t="s">
        <v>211</v>
      </c>
      <c r="I31" s="37" t="s">
        <v>212</v>
      </c>
      <c r="J31" s="41" t="s">
        <v>213</v>
      </c>
      <c r="K31" s="89" t="str">
        <f t="shared" si="403"/>
        <v>A</v>
      </c>
      <c r="L31" s="41" t="s">
        <v>119</v>
      </c>
      <c r="M31" s="41" t="s">
        <v>260</v>
      </c>
      <c r="N31" s="41"/>
      <c r="O31" s="43" t="s">
        <v>261</v>
      </c>
      <c r="P31" s="90" t="str">
        <f t="shared" si="404"/>
        <v>Süleymanova Aybəniz</v>
      </c>
      <c r="Q31" s="4">
        <v>1072909</v>
      </c>
      <c r="R31" s="39">
        <v>101</v>
      </c>
      <c r="S31" s="39">
        <v>308</v>
      </c>
      <c r="T31" s="1"/>
      <c r="U31" s="1">
        <v>84</v>
      </c>
      <c r="V31" s="1">
        <v>68</v>
      </c>
      <c r="W31" s="1">
        <v>69</v>
      </c>
      <c r="X31" s="1">
        <v>66</v>
      </c>
      <c r="Y31" s="1"/>
      <c r="Z31" s="1"/>
      <c r="AA31" s="54">
        <v>71.75</v>
      </c>
      <c r="AB31" s="1"/>
      <c r="AC31" s="55">
        <v>71.75</v>
      </c>
      <c r="AD31" s="1"/>
      <c r="AE31" s="1"/>
      <c r="AF31" s="2">
        <v>0</v>
      </c>
      <c r="AG31" s="54">
        <v>100</v>
      </c>
      <c r="AH31" s="1"/>
      <c r="AI31" s="1"/>
      <c r="AJ31" s="1"/>
      <c r="AK31" s="1"/>
      <c r="AL31" s="1"/>
      <c r="AM31" s="1"/>
      <c r="AN31" s="54" t="s">
        <v>268</v>
      </c>
      <c r="AO31" s="1"/>
      <c r="AP31" s="55" t="s">
        <v>268</v>
      </c>
      <c r="AQ31" s="1"/>
      <c r="AR31" s="1"/>
      <c r="AS31" s="2"/>
      <c r="AT31" s="54" t="s">
        <v>268</v>
      </c>
      <c r="AU31" s="54">
        <v>71.75</v>
      </c>
      <c r="AV31" s="54" t="s">
        <v>268</v>
      </c>
      <c r="AW31" s="55">
        <v>71.75</v>
      </c>
      <c r="AX31" s="56">
        <v>4</v>
      </c>
      <c r="AY31" s="54" t="s">
        <v>268</v>
      </c>
      <c r="AZ31" s="1"/>
      <c r="BA31" s="57">
        <v>0</v>
      </c>
      <c r="BB31" s="58">
        <v>100</v>
      </c>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v>1269215</v>
      </c>
      <c r="EB31" s="39">
        <v>106</v>
      </c>
      <c r="EC31" s="39">
        <v>17</v>
      </c>
      <c r="ED31" s="1"/>
      <c r="EE31" s="1">
        <v>65</v>
      </c>
      <c r="EF31" s="1">
        <v>35</v>
      </c>
      <c r="EG31" s="1">
        <v>70</v>
      </c>
      <c r="EH31" s="1"/>
      <c r="EI31" s="1"/>
      <c r="EJ31" s="1"/>
      <c r="EK31" s="54">
        <v>56.666666666666664</v>
      </c>
      <c r="EL31" s="1"/>
      <c r="EM31" s="55">
        <v>56.666666666666664</v>
      </c>
      <c r="EN31" s="1"/>
      <c r="EO31" s="1"/>
      <c r="EP31" s="2">
        <v>0</v>
      </c>
      <c r="EQ31" s="54">
        <v>100</v>
      </c>
      <c r="ER31" s="1"/>
      <c r="ES31" s="1"/>
      <c r="ET31" s="1"/>
      <c r="EU31" s="1"/>
      <c r="EV31" s="1"/>
      <c r="EW31" s="1"/>
      <c r="EX31" s="54" t="s">
        <v>268</v>
      </c>
      <c r="EY31" s="1"/>
      <c r="EZ31" s="55" t="s">
        <v>268</v>
      </c>
      <c r="FA31" s="1"/>
      <c r="FB31" s="1"/>
      <c r="FC31" s="2"/>
      <c r="FD31" s="54" t="s">
        <v>268</v>
      </c>
      <c r="FE31" s="54">
        <v>56.666666666666664</v>
      </c>
      <c r="FF31" s="54" t="s">
        <v>268</v>
      </c>
      <c r="FG31" s="55">
        <v>56.666666666666664</v>
      </c>
      <c r="FH31" s="56">
        <v>3</v>
      </c>
      <c r="FI31" s="54" t="s">
        <v>268</v>
      </c>
      <c r="FJ31" s="1"/>
      <c r="FK31" s="57">
        <v>0</v>
      </c>
      <c r="FL31" s="58">
        <v>100</v>
      </c>
      <c r="FM31" s="4">
        <v>1072909</v>
      </c>
      <c r="FN31" s="39">
        <v>110</v>
      </c>
      <c r="FO31" s="39">
        <v>171</v>
      </c>
      <c r="FP31" s="1"/>
      <c r="FQ31" s="1">
        <v>84</v>
      </c>
      <c r="FR31" s="1">
        <v>74</v>
      </c>
      <c r="FS31" s="1">
        <v>84</v>
      </c>
      <c r="FT31" s="1">
        <v>92</v>
      </c>
      <c r="FU31" s="1"/>
      <c r="FV31" s="1"/>
      <c r="FW31" s="54">
        <v>83.5</v>
      </c>
      <c r="FX31" s="1"/>
      <c r="FY31" s="55">
        <v>83.5</v>
      </c>
      <c r="FZ31" s="1"/>
      <c r="GA31" s="1"/>
      <c r="GB31" s="2">
        <v>0</v>
      </c>
      <c r="GC31" s="54">
        <v>100</v>
      </c>
      <c r="GD31" s="1"/>
      <c r="GE31" s="1"/>
      <c r="GF31" s="1"/>
      <c r="GG31" s="1"/>
      <c r="GH31" s="1"/>
      <c r="GI31" s="1"/>
      <c r="GJ31" s="54" t="s">
        <v>268</v>
      </c>
      <c r="GK31" s="1"/>
      <c r="GL31" s="55" t="s">
        <v>268</v>
      </c>
      <c r="GM31" s="1"/>
      <c r="GN31" s="1"/>
      <c r="GO31" s="2"/>
      <c r="GP31" s="54" t="s">
        <v>268</v>
      </c>
      <c r="GQ31" s="54">
        <v>83.5</v>
      </c>
      <c r="GR31" s="54" t="s">
        <v>268</v>
      </c>
      <c r="GS31" s="55">
        <v>83.5</v>
      </c>
      <c r="GT31" s="56">
        <v>5</v>
      </c>
      <c r="GU31" s="54" t="s">
        <v>268</v>
      </c>
      <c r="GV31" s="1"/>
      <c r="GW31" s="57">
        <v>0</v>
      </c>
      <c r="GX31" s="58">
        <v>100</v>
      </c>
      <c r="GY31" s="4">
        <v>1199044</v>
      </c>
      <c r="GZ31" s="39">
        <v>114</v>
      </c>
      <c r="HA31" s="39">
        <v>17</v>
      </c>
      <c r="HB31" s="1"/>
      <c r="HC31" s="1">
        <v>90</v>
      </c>
      <c r="HD31" s="1">
        <v>70</v>
      </c>
      <c r="HE31" s="1">
        <v>65</v>
      </c>
      <c r="HF31" s="1"/>
      <c r="HG31" s="1"/>
      <c r="HH31" s="1"/>
      <c r="HI31" s="54">
        <v>75</v>
      </c>
      <c r="HJ31" s="1"/>
      <c r="HK31" s="55">
        <v>75</v>
      </c>
      <c r="HL31" s="1"/>
      <c r="HM31" s="1"/>
      <c r="HN31" s="2">
        <v>0</v>
      </c>
      <c r="HO31" s="54">
        <v>100</v>
      </c>
      <c r="HP31" s="1"/>
      <c r="HQ31" s="1"/>
      <c r="HR31" s="1"/>
      <c r="HS31" s="1"/>
      <c r="HT31" s="1"/>
      <c r="HU31" s="1"/>
      <c r="HV31" s="54" t="s">
        <v>268</v>
      </c>
      <c r="HW31" s="1"/>
      <c r="HX31" s="55" t="s">
        <v>268</v>
      </c>
      <c r="HY31" s="1"/>
      <c r="HZ31" s="1"/>
      <c r="IA31" s="2"/>
      <c r="IB31" s="54" t="s">
        <v>268</v>
      </c>
      <c r="IC31" s="54">
        <v>75</v>
      </c>
      <c r="ID31" s="54" t="s">
        <v>268</v>
      </c>
      <c r="IE31" s="55">
        <v>75</v>
      </c>
      <c r="IF31" s="56">
        <v>4</v>
      </c>
      <c r="IG31" s="54" t="s">
        <v>268</v>
      </c>
      <c r="IH31" s="1"/>
      <c r="II31" s="57">
        <v>0</v>
      </c>
      <c r="IJ31" s="58">
        <v>100</v>
      </c>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v>1072909</v>
      </c>
      <c r="PT31" s="39">
        <v>128</v>
      </c>
      <c r="PU31" s="39">
        <v>34</v>
      </c>
      <c r="PV31" s="1"/>
      <c r="PW31" s="1">
        <v>100</v>
      </c>
      <c r="PX31" s="1">
        <v>78</v>
      </c>
      <c r="PY31" s="1">
        <v>80</v>
      </c>
      <c r="PZ31" s="1"/>
      <c r="QA31" s="1"/>
      <c r="QB31" s="1"/>
      <c r="QC31" s="54">
        <v>86</v>
      </c>
      <c r="QD31" s="1"/>
      <c r="QE31" s="55">
        <v>86</v>
      </c>
      <c r="QF31" s="1"/>
      <c r="QG31" s="1"/>
      <c r="QH31" s="2">
        <v>0</v>
      </c>
      <c r="QI31" s="54">
        <v>100</v>
      </c>
      <c r="QJ31" s="1"/>
      <c r="QK31" s="1"/>
      <c r="QL31" s="1"/>
      <c r="QM31" s="1"/>
      <c r="QN31" s="1"/>
      <c r="QO31" s="1"/>
      <c r="QP31" s="54" t="s">
        <v>268</v>
      </c>
      <c r="QQ31" s="1"/>
      <c r="QR31" s="55" t="s">
        <v>268</v>
      </c>
      <c r="QS31" s="1"/>
      <c r="QT31" s="1"/>
      <c r="QU31" s="2"/>
      <c r="QV31" s="54" t="s">
        <v>268</v>
      </c>
      <c r="QW31" s="54">
        <v>86</v>
      </c>
      <c r="QX31" s="54" t="s">
        <v>268</v>
      </c>
      <c r="QY31" s="55">
        <v>86</v>
      </c>
      <c r="QZ31" s="56">
        <v>5</v>
      </c>
      <c r="RA31" s="54" t="s">
        <v>268</v>
      </c>
      <c r="RB31" s="1"/>
      <c r="RC31" s="57">
        <v>0</v>
      </c>
      <c r="RD31" s="58">
        <v>100</v>
      </c>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v>1072909</v>
      </c>
      <c r="UD31" s="39">
        <v>131</v>
      </c>
      <c r="UE31" s="39">
        <v>68</v>
      </c>
      <c r="UF31" s="1"/>
      <c r="UG31" s="1">
        <v>75</v>
      </c>
      <c r="UH31" s="1">
        <v>80</v>
      </c>
      <c r="UI31" s="1">
        <v>85</v>
      </c>
      <c r="UJ31" s="1">
        <v>85</v>
      </c>
      <c r="UK31" s="1"/>
      <c r="UL31" s="1"/>
      <c r="UM31" s="54">
        <v>81.25</v>
      </c>
      <c r="UN31" s="1"/>
      <c r="UO31" s="55">
        <v>81.25</v>
      </c>
      <c r="UP31" s="1"/>
      <c r="UQ31" s="1"/>
      <c r="UR31" s="2">
        <v>0</v>
      </c>
      <c r="US31" s="54">
        <v>100</v>
      </c>
      <c r="UT31" s="1"/>
      <c r="UU31" s="1"/>
      <c r="UV31" s="1"/>
      <c r="UW31" s="1"/>
      <c r="UX31" s="1"/>
      <c r="UY31" s="1"/>
      <c r="UZ31" s="54" t="s">
        <v>268</v>
      </c>
      <c r="VA31" s="1"/>
      <c r="VB31" s="55" t="s">
        <v>268</v>
      </c>
      <c r="VC31" s="1"/>
      <c r="VD31" s="1"/>
      <c r="VE31" s="2"/>
      <c r="VF31" s="54" t="s">
        <v>268</v>
      </c>
      <c r="VG31" s="54">
        <v>81.25</v>
      </c>
      <c r="VH31" s="54" t="s">
        <v>268</v>
      </c>
      <c r="VI31" s="55">
        <v>81.25</v>
      </c>
      <c r="VJ31" s="56">
        <v>5</v>
      </c>
      <c r="VK31" s="54" t="s">
        <v>268</v>
      </c>
      <c r="VL31" s="1"/>
      <c r="VM31" s="57">
        <v>0</v>
      </c>
      <c r="VN31" s="58">
        <v>100</v>
      </c>
      <c r="VO31" s="4">
        <v>1072909</v>
      </c>
      <c r="VP31" s="39">
        <v>132</v>
      </c>
      <c r="VQ31" s="39">
        <v>34</v>
      </c>
      <c r="VR31" s="1"/>
      <c r="VS31" s="1">
        <v>70</v>
      </c>
      <c r="VT31" s="1">
        <v>70</v>
      </c>
      <c r="VU31" s="1">
        <v>77</v>
      </c>
      <c r="VV31" s="1"/>
      <c r="VW31" s="1"/>
      <c r="VX31" s="1"/>
      <c r="VY31" s="54">
        <v>72.333333333333329</v>
      </c>
      <c r="VZ31" s="1"/>
      <c r="WA31" s="55">
        <v>72.333333333333329</v>
      </c>
      <c r="WB31" s="1"/>
      <c r="WC31" s="1"/>
      <c r="WD31" s="2">
        <v>0</v>
      </c>
      <c r="WE31" s="54">
        <v>100</v>
      </c>
      <c r="WF31" s="1"/>
      <c r="WG31" s="1"/>
      <c r="WH31" s="1"/>
      <c r="WI31" s="1"/>
      <c r="WJ31" s="1"/>
      <c r="WK31" s="1"/>
      <c r="WL31" s="54" t="s">
        <v>268</v>
      </c>
      <c r="WM31" s="1"/>
      <c r="WN31" s="55" t="s">
        <v>268</v>
      </c>
      <c r="WO31" s="1"/>
      <c r="WP31" s="1"/>
      <c r="WQ31" s="2"/>
      <c r="WR31" s="54" t="s">
        <v>268</v>
      </c>
      <c r="WS31" s="54">
        <v>72.333333333333329</v>
      </c>
      <c r="WT31" s="54" t="s">
        <v>268</v>
      </c>
      <c r="WU31" s="55">
        <v>72.333333333333329</v>
      </c>
      <c r="WV31" s="56">
        <v>4</v>
      </c>
      <c r="WW31" s="54" t="s">
        <v>268</v>
      </c>
      <c r="WX31" s="1"/>
      <c r="WY31" s="57">
        <v>0</v>
      </c>
      <c r="WZ31" s="58">
        <v>100</v>
      </c>
      <c r="XA31" s="4">
        <v>1072909</v>
      </c>
      <c r="XB31" s="39">
        <v>133</v>
      </c>
      <c r="XC31" s="39">
        <v>34</v>
      </c>
      <c r="XD31" s="1"/>
      <c r="XE31" s="1">
        <v>90</v>
      </c>
      <c r="XF31" s="1">
        <v>70</v>
      </c>
      <c r="XG31" s="1">
        <v>77</v>
      </c>
      <c r="XH31" s="1"/>
      <c r="XI31" s="1"/>
      <c r="XJ31" s="1"/>
      <c r="XK31" s="54">
        <v>79</v>
      </c>
      <c r="XL31" s="1"/>
      <c r="XM31" s="55">
        <v>79</v>
      </c>
      <c r="XN31" s="1"/>
      <c r="XO31" s="1"/>
      <c r="XP31" s="2">
        <v>0</v>
      </c>
      <c r="XQ31" s="54">
        <v>100</v>
      </c>
      <c r="XR31" s="1"/>
      <c r="XS31" s="1"/>
      <c r="XT31" s="1"/>
      <c r="XU31" s="1"/>
      <c r="XV31" s="1"/>
      <c r="XW31" s="1"/>
      <c r="XX31" s="54" t="s">
        <v>268</v>
      </c>
      <c r="XY31" s="1"/>
      <c r="XZ31" s="55" t="s">
        <v>268</v>
      </c>
      <c r="YA31" s="1"/>
      <c r="YB31" s="1"/>
      <c r="YC31" s="2"/>
      <c r="YD31" s="54" t="s">
        <v>268</v>
      </c>
      <c r="YE31" s="54">
        <v>79</v>
      </c>
      <c r="YF31" s="54" t="s">
        <v>268</v>
      </c>
      <c r="YG31" s="55">
        <v>79</v>
      </c>
      <c r="YH31" s="56">
        <v>4</v>
      </c>
      <c r="YI31" s="54" t="s">
        <v>268</v>
      </c>
      <c r="YJ31" s="1"/>
      <c r="YK31" s="57">
        <v>0</v>
      </c>
      <c r="YL31" s="58">
        <v>100</v>
      </c>
      <c r="YM31" s="4">
        <v>1072909</v>
      </c>
      <c r="YN31" s="39">
        <v>135</v>
      </c>
      <c r="YO31" s="39">
        <v>34</v>
      </c>
      <c r="YP31" s="1"/>
      <c r="YQ31" s="1">
        <v>80</v>
      </c>
      <c r="YR31" s="1">
        <v>65</v>
      </c>
      <c r="YS31" s="1">
        <v>70</v>
      </c>
      <c r="YT31" s="1"/>
      <c r="YU31" s="1"/>
      <c r="YV31" s="1"/>
      <c r="YW31" s="54">
        <v>71.666666666666671</v>
      </c>
      <c r="YX31" s="1"/>
      <c r="YY31" s="55">
        <v>71.666666666666671</v>
      </c>
      <c r="YZ31" s="1"/>
      <c r="ZA31" s="1"/>
      <c r="ZB31" s="2">
        <v>0</v>
      </c>
      <c r="ZC31" s="54">
        <v>100</v>
      </c>
      <c r="ZD31" s="1"/>
      <c r="ZE31" s="1"/>
      <c r="ZF31" s="1"/>
      <c r="ZG31" s="1"/>
      <c r="ZH31" s="1"/>
      <c r="ZI31" s="1"/>
      <c r="ZJ31" s="54" t="s">
        <v>268</v>
      </c>
      <c r="ZK31" s="1"/>
      <c r="ZL31" s="55" t="s">
        <v>268</v>
      </c>
      <c r="ZM31" s="1"/>
      <c r="ZN31" s="1"/>
      <c r="ZO31" s="2"/>
      <c r="ZP31" s="54" t="s">
        <v>268</v>
      </c>
      <c r="ZQ31" s="54">
        <v>71.666666666666671</v>
      </c>
      <c r="ZR31" s="54" t="s">
        <v>268</v>
      </c>
      <c r="ZS31" s="55">
        <v>71.666666666666671</v>
      </c>
      <c r="ZT31" s="56">
        <v>4</v>
      </c>
      <c r="ZU31" s="54" t="s">
        <v>268</v>
      </c>
      <c r="ZV31" s="1"/>
      <c r="ZW31" s="57">
        <v>0</v>
      </c>
      <c r="ZX31" s="58">
        <v>100</v>
      </c>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2" customHeight="1" x14ac:dyDescent="0.2">
      <c r="A32" s="88" t="str">
        <f t="shared" si="397"/>
        <v>2023-2024</v>
      </c>
      <c r="B32" s="88" t="str">
        <f t="shared" si="398"/>
        <v>Bakı</v>
      </c>
      <c r="C32" s="88" t="str">
        <f t="shared" si="399"/>
        <v>Binəqədi</v>
      </c>
      <c r="D32" s="88">
        <f t="shared" si="400"/>
        <v>99</v>
      </c>
      <c r="E32" s="40">
        <v>3985012</v>
      </c>
      <c r="F32" s="88">
        <f t="shared" si="401"/>
        <v>2</v>
      </c>
      <c r="G32" s="88" t="str">
        <f t="shared" si="402"/>
        <v>C</v>
      </c>
      <c r="H32" s="37" t="s">
        <v>214</v>
      </c>
      <c r="I32" s="37" t="s">
        <v>179</v>
      </c>
      <c r="J32" s="41" t="s">
        <v>215</v>
      </c>
      <c r="K32" s="89" t="str">
        <f t="shared" si="403"/>
        <v>A</v>
      </c>
      <c r="L32" s="41" t="s">
        <v>119</v>
      </c>
      <c r="M32" s="41" t="s">
        <v>262</v>
      </c>
      <c r="N32" s="41"/>
      <c r="O32" s="43" t="s">
        <v>263</v>
      </c>
      <c r="P32" s="90" t="str">
        <f t="shared" si="404"/>
        <v>Süleymanova Aybəniz</v>
      </c>
      <c r="Q32" s="4">
        <v>1072909</v>
      </c>
      <c r="R32" s="39">
        <v>101</v>
      </c>
      <c r="S32" s="39">
        <v>308</v>
      </c>
      <c r="T32" s="1"/>
      <c r="U32" s="1">
        <v>45</v>
      </c>
      <c r="V32" s="1">
        <v>53</v>
      </c>
      <c r="W32" s="1">
        <v>64</v>
      </c>
      <c r="X32" s="1">
        <v>54</v>
      </c>
      <c r="Y32" s="1"/>
      <c r="Z32" s="1"/>
      <c r="AA32" s="54">
        <v>54</v>
      </c>
      <c r="AB32" s="1"/>
      <c r="AC32" s="55">
        <v>54</v>
      </c>
      <c r="AD32" s="1"/>
      <c r="AE32" s="1"/>
      <c r="AF32" s="2">
        <v>0</v>
      </c>
      <c r="AG32" s="54">
        <v>100</v>
      </c>
      <c r="AH32" s="1"/>
      <c r="AI32" s="1"/>
      <c r="AJ32" s="1"/>
      <c r="AK32" s="1"/>
      <c r="AL32" s="1"/>
      <c r="AM32" s="1"/>
      <c r="AN32" s="54" t="s">
        <v>268</v>
      </c>
      <c r="AO32" s="1"/>
      <c r="AP32" s="55" t="s">
        <v>268</v>
      </c>
      <c r="AQ32" s="1"/>
      <c r="AR32" s="1"/>
      <c r="AS32" s="2"/>
      <c r="AT32" s="54" t="s">
        <v>268</v>
      </c>
      <c r="AU32" s="54">
        <v>54</v>
      </c>
      <c r="AV32" s="54" t="s">
        <v>268</v>
      </c>
      <c r="AW32" s="55">
        <v>54</v>
      </c>
      <c r="AX32" s="56">
        <v>3</v>
      </c>
      <c r="AY32" s="54" t="s">
        <v>268</v>
      </c>
      <c r="AZ32" s="1"/>
      <c r="BA32" s="57">
        <v>0</v>
      </c>
      <c r="BB32" s="58">
        <v>100</v>
      </c>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v>1269215</v>
      </c>
      <c r="EB32" s="39">
        <v>106</v>
      </c>
      <c r="EC32" s="39">
        <v>17</v>
      </c>
      <c r="ED32" s="1"/>
      <c r="EE32" s="1">
        <v>40</v>
      </c>
      <c r="EF32" s="1">
        <v>35</v>
      </c>
      <c r="EG32" s="1">
        <v>60</v>
      </c>
      <c r="EH32" s="1"/>
      <c r="EI32" s="1"/>
      <c r="EJ32" s="1"/>
      <c r="EK32" s="54">
        <v>45</v>
      </c>
      <c r="EL32" s="1"/>
      <c r="EM32" s="55">
        <v>45</v>
      </c>
      <c r="EN32" s="1"/>
      <c r="EO32" s="1"/>
      <c r="EP32" s="2">
        <v>0</v>
      </c>
      <c r="EQ32" s="54">
        <v>100</v>
      </c>
      <c r="ER32" s="1"/>
      <c r="ES32" s="1"/>
      <c r="ET32" s="1"/>
      <c r="EU32" s="1"/>
      <c r="EV32" s="1"/>
      <c r="EW32" s="1"/>
      <c r="EX32" s="54" t="s">
        <v>268</v>
      </c>
      <c r="EY32" s="1"/>
      <c r="EZ32" s="55" t="s">
        <v>268</v>
      </c>
      <c r="FA32" s="1"/>
      <c r="FB32" s="1"/>
      <c r="FC32" s="2"/>
      <c r="FD32" s="54" t="s">
        <v>268</v>
      </c>
      <c r="FE32" s="54">
        <v>45</v>
      </c>
      <c r="FF32" s="54" t="s">
        <v>268</v>
      </c>
      <c r="FG32" s="55">
        <v>45</v>
      </c>
      <c r="FH32" s="56">
        <v>3</v>
      </c>
      <c r="FI32" s="54" t="s">
        <v>268</v>
      </c>
      <c r="FJ32" s="1"/>
      <c r="FK32" s="57">
        <v>0</v>
      </c>
      <c r="FL32" s="58">
        <v>100</v>
      </c>
      <c r="FM32" s="4">
        <v>1072909</v>
      </c>
      <c r="FN32" s="39">
        <v>110</v>
      </c>
      <c r="FO32" s="39">
        <v>171</v>
      </c>
      <c r="FP32" s="1"/>
      <c r="FQ32" s="1">
        <v>76</v>
      </c>
      <c r="FR32" s="1">
        <v>50</v>
      </c>
      <c r="FS32" s="1">
        <v>46</v>
      </c>
      <c r="FT32" s="1">
        <v>53</v>
      </c>
      <c r="FU32" s="1"/>
      <c r="FV32" s="1"/>
      <c r="FW32" s="54">
        <v>56.25</v>
      </c>
      <c r="FX32" s="1"/>
      <c r="FY32" s="55">
        <v>56.25</v>
      </c>
      <c r="FZ32" s="1"/>
      <c r="GA32" s="1"/>
      <c r="GB32" s="2">
        <v>0</v>
      </c>
      <c r="GC32" s="54">
        <v>100</v>
      </c>
      <c r="GD32" s="1"/>
      <c r="GE32" s="1"/>
      <c r="GF32" s="1"/>
      <c r="GG32" s="1"/>
      <c r="GH32" s="1"/>
      <c r="GI32" s="1"/>
      <c r="GJ32" s="54" t="s">
        <v>268</v>
      </c>
      <c r="GK32" s="1"/>
      <c r="GL32" s="55" t="s">
        <v>268</v>
      </c>
      <c r="GM32" s="1"/>
      <c r="GN32" s="1"/>
      <c r="GO32" s="2"/>
      <c r="GP32" s="54" t="s">
        <v>268</v>
      </c>
      <c r="GQ32" s="54">
        <v>56.25</v>
      </c>
      <c r="GR32" s="54" t="s">
        <v>268</v>
      </c>
      <c r="GS32" s="55">
        <v>56.25</v>
      </c>
      <c r="GT32" s="56">
        <v>3</v>
      </c>
      <c r="GU32" s="54" t="s">
        <v>268</v>
      </c>
      <c r="GV32" s="1"/>
      <c r="GW32" s="57">
        <v>0</v>
      </c>
      <c r="GX32" s="58">
        <v>100</v>
      </c>
      <c r="GY32" s="4">
        <v>1199044</v>
      </c>
      <c r="GZ32" s="39">
        <v>114</v>
      </c>
      <c r="HA32" s="39">
        <v>17</v>
      </c>
      <c r="HB32" s="1"/>
      <c r="HC32" s="1">
        <v>75</v>
      </c>
      <c r="HD32" s="1">
        <v>80</v>
      </c>
      <c r="HE32" s="1">
        <v>50</v>
      </c>
      <c r="HF32" s="1"/>
      <c r="HG32" s="1"/>
      <c r="HH32" s="1"/>
      <c r="HI32" s="54">
        <v>68.333333333333329</v>
      </c>
      <c r="HJ32" s="1"/>
      <c r="HK32" s="55">
        <v>68.333333333333329</v>
      </c>
      <c r="HL32" s="1"/>
      <c r="HM32" s="1"/>
      <c r="HN32" s="2">
        <v>0</v>
      </c>
      <c r="HO32" s="54">
        <v>100</v>
      </c>
      <c r="HP32" s="1"/>
      <c r="HQ32" s="1"/>
      <c r="HR32" s="1"/>
      <c r="HS32" s="1"/>
      <c r="HT32" s="1"/>
      <c r="HU32" s="1"/>
      <c r="HV32" s="54" t="s">
        <v>268</v>
      </c>
      <c r="HW32" s="1"/>
      <c r="HX32" s="55" t="s">
        <v>268</v>
      </c>
      <c r="HY32" s="1"/>
      <c r="HZ32" s="1"/>
      <c r="IA32" s="2"/>
      <c r="IB32" s="54" t="s">
        <v>268</v>
      </c>
      <c r="IC32" s="54">
        <v>68.333333333333329</v>
      </c>
      <c r="ID32" s="54" t="s">
        <v>268</v>
      </c>
      <c r="IE32" s="55">
        <v>68.333333333333329</v>
      </c>
      <c r="IF32" s="56">
        <v>4</v>
      </c>
      <c r="IG32" s="54" t="s">
        <v>268</v>
      </c>
      <c r="IH32" s="1"/>
      <c r="II32" s="57">
        <v>0</v>
      </c>
      <c r="IJ32" s="58">
        <v>100</v>
      </c>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v>1072909</v>
      </c>
      <c r="PT32" s="39">
        <v>128</v>
      </c>
      <c r="PU32" s="39">
        <v>34</v>
      </c>
      <c r="PV32" s="1"/>
      <c r="PW32" s="1">
        <v>35</v>
      </c>
      <c r="PX32" s="1">
        <v>48</v>
      </c>
      <c r="PY32" s="1">
        <v>60</v>
      </c>
      <c r="PZ32" s="1"/>
      <c r="QA32" s="1"/>
      <c r="QB32" s="1"/>
      <c r="QC32" s="54">
        <v>47.666666666666664</v>
      </c>
      <c r="QD32" s="1"/>
      <c r="QE32" s="55">
        <v>47.666666666666664</v>
      </c>
      <c r="QF32" s="1"/>
      <c r="QG32" s="1"/>
      <c r="QH32" s="2">
        <v>0</v>
      </c>
      <c r="QI32" s="54">
        <v>100</v>
      </c>
      <c r="QJ32" s="1"/>
      <c r="QK32" s="1"/>
      <c r="QL32" s="1"/>
      <c r="QM32" s="1"/>
      <c r="QN32" s="1"/>
      <c r="QO32" s="1"/>
      <c r="QP32" s="54" t="s">
        <v>268</v>
      </c>
      <c r="QQ32" s="1"/>
      <c r="QR32" s="55" t="s">
        <v>268</v>
      </c>
      <c r="QS32" s="1"/>
      <c r="QT32" s="1"/>
      <c r="QU32" s="2"/>
      <c r="QV32" s="54" t="s">
        <v>268</v>
      </c>
      <c r="QW32" s="54">
        <v>47.666666666666664</v>
      </c>
      <c r="QX32" s="54" t="s">
        <v>268</v>
      </c>
      <c r="QY32" s="55">
        <v>47.666666666666664</v>
      </c>
      <c r="QZ32" s="56">
        <v>3</v>
      </c>
      <c r="RA32" s="54" t="s">
        <v>268</v>
      </c>
      <c r="RB32" s="1"/>
      <c r="RC32" s="57">
        <v>0</v>
      </c>
      <c r="RD32" s="58">
        <v>100</v>
      </c>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v>1072909</v>
      </c>
      <c r="UD32" s="39">
        <v>131</v>
      </c>
      <c r="UE32" s="39">
        <v>68</v>
      </c>
      <c r="UF32" s="1"/>
      <c r="UG32" s="1">
        <v>85</v>
      </c>
      <c r="UH32" s="1">
        <v>80</v>
      </c>
      <c r="UI32" s="1">
        <v>75</v>
      </c>
      <c r="UJ32" s="1">
        <v>75</v>
      </c>
      <c r="UK32" s="1"/>
      <c r="UL32" s="1"/>
      <c r="UM32" s="54">
        <v>78.75</v>
      </c>
      <c r="UN32" s="1"/>
      <c r="UO32" s="55">
        <v>78.75</v>
      </c>
      <c r="UP32" s="1"/>
      <c r="UQ32" s="1"/>
      <c r="UR32" s="2">
        <v>0</v>
      </c>
      <c r="US32" s="54">
        <v>100</v>
      </c>
      <c r="UT32" s="1"/>
      <c r="UU32" s="1"/>
      <c r="UV32" s="1"/>
      <c r="UW32" s="1"/>
      <c r="UX32" s="1"/>
      <c r="UY32" s="1"/>
      <c r="UZ32" s="54" t="s">
        <v>268</v>
      </c>
      <c r="VA32" s="1"/>
      <c r="VB32" s="55" t="s">
        <v>268</v>
      </c>
      <c r="VC32" s="1"/>
      <c r="VD32" s="1"/>
      <c r="VE32" s="2"/>
      <c r="VF32" s="54" t="s">
        <v>268</v>
      </c>
      <c r="VG32" s="54">
        <v>78.75</v>
      </c>
      <c r="VH32" s="54" t="s">
        <v>268</v>
      </c>
      <c r="VI32" s="55">
        <v>78.75</v>
      </c>
      <c r="VJ32" s="56">
        <v>4</v>
      </c>
      <c r="VK32" s="54" t="s">
        <v>268</v>
      </c>
      <c r="VL32" s="1"/>
      <c r="VM32" s="57">
        <v>0</v>
      </c>
      <c r="VN32" s="58">
        <v>100</v>
      </c>
      <c r="VO32" s="4">
        <v>1072909</v>
      </c>
      <c r="VP32" s="39">
        <v>132</v>
      </c>
      <c r="VQ32" s="39">
        <v>34</v>
      </c>
      <c r="VR32" s="1"/>
      <c r="VS32" s="1">
        <v>45</v>
      </c>
      <c r="VT32" s="1">
        <v>45</v>
      </c>
      <c r="VU32" s="1">
        <v>70</v>
      </c>
      <c r="VV32" s="1"/>
      <c r="VW32" s="1"/>
      <c r="VX32" s="1"/>
      <c r="VY32" s="54">
        <v>53.333333333333336</v>
      </c>
      <c r="VZ32" s="1"/>
      <c r="WA32" s="55">
        <v>53.333333333333336</v>
      </c>
      <c r="WB32" s="1"/>
      <c r="WC32" s="1"/>
      <c r="WD32" s="2">
        <v>0</v>
      </c>
      <c r="WE32" s="54">
        <v>100</v>
      </c>
      <c r="WF32" s="1"/>
      <c r="WG32" s="1"/>
      <c r="WH32" s="1"/>
      <c r="WI32" s="1"/>
      <c r="WJ32" s="1"/>
      <c r="WK32" s="1"/>
      <c r="WL32" s="54" t="s">
        <v>268</v>
      </c>
      <c r="WM32" s="1"/>
      <c r="WN32" s="55" t="s">
        <v>268</v>
      </c>
      <c r="WO32" s="1"/>
      <c r="WP32" s="1"/>
      <c r="WQ32" s="2"/>
      <c r="WR32" s="54" t="s">
        <v>268</v>
      </c>
      <c r="WS32" s="54">
        <v>53.333333333333336</v>
      </c>
      <c r="WT32" s="54" t="s">
        <v>268</v>
      </c>
      <c r="WU32" s="55">
        <v>53.333333333333336</v>
      </c>
      <c r="WV32" s="56">
        <v>3</v>
      </c>
      <c r="WW32" s="54" t="s">
        <v>268</v>
      </c>
      <c r="WX32" s="1"/>
      <c r="WY32" s="57">
        <v>0</v>
      </c>
      <c r="WZ32" s="58">
        <v>100</v>
      </c>
      <c r="XA32" s="4">
        <v>1072909</v>
      </c>
      <c r="XB32" s="39">
        <v>133</v>
      </c>
      <c r="XC32" s="39">
        <v>34</v>
      </c>
      <c r="XD32" s="1"/>
      <c r="XE32" s="1">
        <v>50</v>
      </c>
      <c r="XF32" s="1">
        <v>45</v>
      </c>
      <c r="XG32" s="1">
        <v>55</v>
      </c>
      <c r="XH32" s="1"/>
      <c r="XI32" s="1"/>
      <c r="XJ32" s="1"/>
      <c r="XK32" s="54">
        <v>50</v>
      </c>
      <c r="XL32" s="1"/>
      <c r="XM32" s="55">
        <v>50</v>
      </c>
      <c r="XN32" s="1"/>
      <c r="XO32" s="1"/>
      <c r="XP32" s="2">
        <v>0</v>
      </c>
      <c r="XQ32" s="54">
        <v>100</v>
      </c>
      <c r="XR32" s="1"/>
      <c r="XS32" s="1"/>
      <c r="XT32" s="1"/>
      <c r="XU32" s="1"/>
      <c r="XV32" s="1"/>
      <c r="XW32" s="1"/>
      <c r="XX32" s="54" t="s">
        <v>268</v>
      </c>
      <c r="XY32" s="1"/>
      <c r="XZ32" s="55" t="s">
        <v>268</v>
      </c>
      <c r="YA32" s="1"/>
      <c r="YB32" s="1"/>
      <c r="YC32" s="2"/>
      <c r="YD32" s="54" t="s">
        <v>268</v>
      </c>
      <c r="YE32" s="54">
        <v>50</v>
      </c>
      <c r="YF32" s="54" t="s">
        <v>268</v>
      </c>
      <c r="YG32" s="55">
        <v>50</v>
      </c>
      <c r="YH32" s="56">
        <v>3</v>
      </c>
      <c r="YI32" s="54" t="s">
        <v>268</v>
      </c>
      <c r="YJ32" s="1"/>
      <c r="YK32" s="57">
        <v>0</v>
      </c>
      <c r="YL32" s="58">
        <v>100</v>
      </c>
      <c r="YM32" s="4">
        <v>1072909</v>
      </c>
      <c r="YN32" s="39">
        <v>135</v>
      </c>
      <c r="YO32" s="39">
        <v>34</v>
      </c>
      <c r="YP32" s="1"/>
      <c r="YQ32" s="1">
        <v>65</v>
      </c>
      <c r="YR32" s="1">
        <v>35</v>
      </c>
      <c r="YS32" s="1">
        <v>54</v>
      </c>
      <c r="YT32" s="1"/>
      <c r="YU32" s="1"/>
      <c r="YV32" s="1"/>
      <c r="YW32" s="54">
        <v>51.333333333333336</v>
      </c>
      <c r="YX32" s="1"/>
      <c r="YY32" s="55">
        <v>51.333333333333336</v>
      </c>
      <c r="YZ32" s="1"/>
      <c r="ZA32" s="1"/>
      <c r="ZB32" s="2">
        <v>0</v>
      </c>
      <c r="ZC32" s="54">
        <v>100</v>
      </c>
      <c r="ZD32" s="1"/>
      <c r="ZE32" s="1"/>
      <c r="ZF32" s="1"/>
      <c r="ZG32" s="1"/>
      <c r="ZH32" s="1"/>
      <c r="ZI32" s="1"/>
      <c r="ZJ32" s="54" t="s">
        <v>268</v>
      </c>
      <c r="ZK32" s="1"/>
      <c r="ZL32" s="55" t="s">
        <v>268</v>
      </c>
      <c r="ZM32" s="1"/>
      <c r="ZN32" s="1"/>
      <c r="ZO32" s="2"/>
      <c r="ZP32" s="54" t="s">
        <v>268</v>
      </c>
      <c r="ZQ32" s="54">
        <v>51.333333333333336</v>
      </c>
      <c r="ZR32" s="54" t="s">
        <v>268</v>
      </c>
      <c r="ZS32" s="55">
        <v>51.333333333333336</v>
      </c>
      <c r="ZT32" s="56">
        <v>3</v>
      </c>
      <c r="ZU32" s="54" t="s">
        <v>268</v>
      </c>
      <c r="ZV32" s="1"/>
      <c r="ZW32" s="57">
        <v>0</v>
      </c>
      <c r="ZX32" s="58">
        <v>100</v>
      </c>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2" customHeight="1" x14ac:dyDescent="0.2">
      <c r="A33" s="88" t="str">
        <f t="shared" si="397"/>
        <v>2023-2024</v>
      </c>
      <c r="B33" s="88" t="str">
        <f t="shared" si="398"/>
        <v>Bakı</v>
      </c>
      <c r="C33" s="88" t="str">
        <f t="shared" si="399"/>
        <v>Binəqədi</v>
      </c>
      <c r="D33" s="88">
        <f t="shared" si="400"/>
        <v>99</v>
      </c>
      <c r="E33" s="40">
        <v>3985127</v>
      </c>
      <c r="F33" s="88">
        <f t="shared" si="401"/>
        <v>2</v>
      </c>
      <c r="G33" s="88" t="str">
        <f t="shared" si="402"/>
        <v>C</v>
      </c>
      <c r="H33" s="37" t="s">
        <v>216</v>
      </c>
      <c r="I33" s="37" t="s">
        <v>217</v>
      </c>
      <c r="J33" s="41" t="s">
        <v>218</v>
      </c>
      <c r="K33" s="89" t="str">
        <f t="shared" si="403"/>
        <v>A</v>
      </c>
      <c r="L33" s="41" t="s">
        <v>119</v>
      </c>
      <c r="M33" s="41" t="s">
        <v>264</v>
      </c>
      <c r="N33" s="41"/>
      <c r="O33" s="43" t="s">
        <v>265</v>
      </c>
      <c r="P33" s="90" t="str">
        <f t="shared" si="404"/>
        <v>Süleymanova Aybəniz</v>
      </c>
      <c r="Q33" s="4">
        <v>1072909</v>
      </c>
      <c r="R33" s="39">
        <v>101</v>
      </c>
      <c r="S33" s="39">
        <v>308</v>
      </c>
      <c r="T33" s="1"/>
      <c r="U33" s="1">
        <v>70</v>
      </c>
      <c r="V33" s="1">
        <v>77</v>
      </c>
      <c r="W33" s="1">
        <v>95</v>
      </c>
      <c r="X33" s="1">
        <v>77</v>
      </c>
      <c r="Y33" s="1"/>
      <c r="Z33" s="1"/>
      <c r="AA33" s="54">
        <v>79.75</v>
      </c>
      <c r="AB33" s="1"/>
      <c r="AC33" s="55">
        <v>79.75</v>
      </c>
      <c r="AD33" s="1"/>
      <c r="AE33" s="1"/>
      <c r="AF33" s="2">
        <v>0</v>
      </c>
      <c r="AG33" s="54">
        <v>100</v>
      </c>
      <c r="AH33" s="1"/>
      <c r="AI33" s="1"/>
      <c r="AJ33" s="1"/>
      <c r="AK33" s="1"/>
      <c r="AL33" s="1"/>
      <c r="AM33" s="1"/>
      <c r="AN33" s="54" t="s">
        <v>268</v>
      </c>
      <c r="AO33" s="1"/>
      <c r="AP33" s="55" t="s">
        <v>268</v>
      </c>
      <c r="AQ33" s="1"/>
      <c r="AR33" s="1"/>
      <c r="AS33" s="2"/>
      <c r="AT33" s="54" t="s">
        <v>268</v>
      </c>
      <c r="AU33" s="54">
        <v>79.75</v>
      </c>
      <c r="AV33" s="54" t="s">
        <v>268</v>
      </c>
      <c r="AW33" s="55">
        <v>79.75</v>
      </c>
      <c r="AX33" s="56">
        <v>4</v>
      </c>
      <c r="AY33" s="54" t="s">
        <v>268</v>
      </c>
      <c r="AZ33" s="1"/>
      <c r="BA33" s="57">
        <v>0</v>
      </c>
      <c r="BB33" s="58">
        <v>100</v>
      </c>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v>1269215</v>
      </c>
      <c r="EB33" s="39">
        <v>106</v>
      </c>
      <c r="EC33" s="39">
        <v>17</v>
      </c>
      <c r="ED33" s="1"/>
      <c r="EE33" s="1">
        <v>100</v>
      </c>
      <c r="EF33" s="1">
        <v>100</v>
      </c>
      <c r="EG33" s="1">
        <v>100</v>
      </c>
      <c r="EH33" s="1"/>
      <c r="EI33" s="1"/>
      <c r="EJ33" s="1"/>
      <c r="EK33" s="54">
        <v>100</v>
      </c>
      <c r="EL33" s="1"/>
      <c r="EM33" s="55">
        <v>100</v>
      </c>
      <c r="EN33" s="1"/>
      <c r="EO33" s="1"/>
      <c r="EP33" s="2">
        <v>0</v>
      </c>
      <c r="EQ33" s="54">
        <v>100</v>
      </c>
      <c r="ER33" s="1"/>
      <c r="ES33" s="1"/>
      <c r="ET33" s="1"/>
      <c r="EU33" s="1"/>
      <c r="EV33" s="1"/>
      <c r="EW33" s="1"/>
      <c r="EX33" s="54" t="s">
        <v>268</v>
      </c>
      <c r="EY33" s="1"/>
      <c r="EZ33" s="55" t="s">
        <v>268</v>
      </c>
      <c r="FA33" s="1"/>
      <c r="FB33" s="1"/>
      <c r="FC33" s="2"/>
      <c r="FD33" s="54" t="s">
        <v>268</v>
      </c>
      <c r="FE33" s="54">
        <v>100</v>
      </c>
      <c r="FF33" s="54" t="s">
        <v>268</v>
      </c>
      <c r="FG33" s="55">
        <v>100</v>
      </c>
      <c r="FH33" s="56">
        <v>5</v>
      </c>
      <c r="FI33" s="54" t="s">
        <v>268</v>
      </c>
      <c r="FJ33" s="1"/>
      <c r="FK33" s="57">
        <v>0</v>
      </c>
      <c r="FL33" s="58">
        <v>100</v>
      </c>
      <c r="FM33" s="4">
        <v>1072909</v>
      </c>
      <c r="FN33" s="39">
        <v>110</v>
      </c>
      <c r="FO33" s="39">
        <v>171</v>
      </c>
      <c r="FP33" s="1"/>
      <c r="FQ33" s="1">
        <v>94</v>
      </c>
      <c r="FR33" s="1">
        <v>78</v>
      </c>
      <c r="FS33" s="1">
        <v>90</v>
      </c>
      <c r="FT33" s="1">
        <v>81</v>
      </c>
      <c r="FU33" s="1"/>
      <c r="FV33" s="1"/>
      <c r="FW33" s="54">
        <v>85.75</v>
      </c>
      <c r="FX33" s="1"/>
      <c r="FY33" s="55">
        <v>85.75</v>
      </c>
      <c r="FZ33" s="1"/>
      <c r="GA33" s="1"/>
      <c r="GB33" s="2">
        <v>0</v>
      </c>
      <c r="GC33" s="54">
        <v>100</v>
      </c>
      <c r="GD33" s="1"/>
      <c r="GE33" s="1"/>
      <c r="GF33" s="1"/>
      <c r="GG33" s="1"/>
      <c r="GH33" s="1"/>
      <c r="GI33" s="1"/>
      <c r="GJ33" s="54" t="s">
        <v>268</v>
      </c>
      <c r="GK33" s="1"/>
      <c r="GL33" s="55" t="s">
        <v>268</v>
      </c>
      <c r="GM33" s="1"/>
      <c r="GN33" s="1"/>
      <c r="GO33" s="2"/>
      <c r="GP33" s="54" t="s">
        <v>268</v>
      </c>
      <c r="GQ33" s="54">
        <v>85.75</v>
      </c>
      <c r="GR33" s="54" t="s">
        <v>268</v>
      </c>
      <c r="GS33" s="55">
        <v>85.75</v>
      </c>
      <c r="GT33" s="56">
        <v>5</v>
      </c>
      <c r="GU33" s="54" t="s">
        <v>268</v>
      </c>
      <c r="GV33" s="1"/>
      <c r="GW33" s="57">
        <v>0</v>
      </c>
      <c r="GX33" s="58">
        <v>100</v>
      </c>
      <c r="GY33" s="4">
        <v>1199044</v>
      </c>
      <c r="GZ33" s="39">
        <v>114</v>
      </c>
      <c r="HA33" s="39">
        <v>17</v>
      </c>
      <c r="HB33" s="1"/>
      <c r="HC33" s="1">
        <v>80</v>
      </c>
      <c r="HD33" s="1">
        <v>90</v>
      </c>
      <c r="HE33" s="1">
        <v>90</v>
      </c>
      <c r="HF33" s="1"/>
      <c r="HG33" s="1"/>
      <c r="HH33" s="1"/>
      <c r="HI33" s="54">
        <v>86.666666666666671</v>
      </c>
      <c r="HJ33" s="1"/>
      <c r="HK33" s="55">
        <v>86.666666666666671</v>
      </c>
      <c r="HL33" s="1"/>
      <c r="HM33" s="1"/>
      <c r="HN33" s="2">
        <v>0</v>
      </c>
      <c r="HO33" s="54">
        <v>100</v>
      </c>
      <c r="HP33" s="1"/>
      <c r="HQ33" s="1"/>
      <c r="HR33" s="1"/>
      <c r="HS33" s="1"/>
      <c r="HT33" s="1"/>
      <c r="HU33" s="1"/>
      <c r="HV33" s="54" t="s">
        <v>268</v>
      </c>
      <c r="HW33" s="1"/>
      <c r="HX33" s="55" t="s">
        <v>268</v>
      </c>
      <c r="HY33" s="1"/>
      <c r="HZ33" s="1"/>
      <c r="IA33" s="2"/>
      <c r="IB33" s="54" t="s">
        <v>268</v>
      </c>
      <c r="IC33" s="54">
        <v>86.666666666666671</v>
      </c>
      <c r="ID33" s="54" t="s">
        <v>268</v>
      </c>
      <c r="IE33" s="55">
        <v>86.666666666666671</v>
      </c>
      <c r="IF33" s="56">
        <v>5</v>
      </c>
      <c r="IG33" s="54" t="s">
        <v>268</v>
      </c>
      <c r="IH33" s="1"/>
      <c r="II33" s="57">
        <v>0</v>
      </c>
      <c r="IJ33" s="58">
        <v>100</v>
      </c>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v>1072909</v>
      </c>
      <c r="PT33" s="39">
        <v>128</v>
      </c>
      <c r="PU33" s="39">
        <v>34</v>
      </c>
      <c r="PV33" s="1"/>
      <c r="PW33" s="1">
        <v>65</v>
      </c>
      <c r="PX33" s="1">
        <v>85</v>
      </c>
      <c r="PY33" s="1">
        <v>85</v>
      </c>
      <c r="PZ33" s="1"/>
      <c r="QA33" s="1"/>
      <c r="QB33" s="1"/>
      <c r="QC33" s="54">
        <v>78.333333333333329</v>
      </c>
      <c r="QD33" s="1"/>
      <c r="QE33" s="55">
        <v>78.333333333333329</v>
      </c>
      <c r="QF33" s="1"/>
      <c r="QG33" s="1"/>
      <c r="QH33" s="2">
        <v>0</v>
      </c>
      <c r="QI33" s="54">
        <v>100</v>
      </c>
      <c r="QJ33" s="1"/>
      <c r="QK33" s="1"/>
      <c r="QL33" s="1"/>
      <c r="QM33" s="1"/>
      <c r="QN33" s="1"/>
      <c r="QO33" s="1"/>
      <c r="QP33" s="54" t="s">
        <v>268</v>
      </c>
      <c r="QQ33" s="1"/>
      <c r="QR33" s="55" t="s">
        <v>268</v>
      </c>
      <c r="QS33" s="1"/>
      <c r="QT33" s="1"/>
      <c r="QU33" s="2"/>
      <c r="QV33" s="54" t="s">
        <v>268</v>
      </c>
      <c r="QW33" s="54">
        <v>78.333333333333329</v>
      </c>
      <c r="QX33" s="54" t="s">
        <v>268</v>
      </c>
      <c r="QY33" s="55">
        <v>78.333333333333329</v>
      </c>
      <c r="QZ33" s="56">
        <v>4</v>
      </c>
      <c r="RA33" s="54" t="s">
        <v>268</v>
      </c>
      <c r="RB33" s="1"/>
      <c r="RC33" s="57">
        <v>0</v>
      </c>
      <c r="RD33" s="58">
        <v>100</v>
      </c>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v>1072909</v>
      </c>
      <c r="UD33" s="39">
        <v>131</v>
      </c>
      <c r="UE33" s="39">
        <v>68</v>
      </c>
      <c r="UF33" s="1"/>
      <c r="UG33" s="1">
        <v>85</v>
      </c>
      <c r="UH33" s="1">
        <v>90</v>
      </c>
      <c r="UI33" s="1">
        <v>85</v>
      </c>
      <c r="UJ33" s="1">
        <v>90</v>
      </c>
      <c r="UK33" s="1"/>
      <c r="UL33" s="1"/>
      <c r="UM33" s="54">
        <v>87.5</v>
      </c>
      <c r="UN33" s="1"/>
      <c r="UO33" s="55">
        <v>87.5</v>
      </c>
      <c r="UP33" s="1"/>
      <c r="UQ33" s="1"/>
      <c r="UR33" s="2">
        <v>0</v>
      </c>
      <c r="US33" s="54">
        <v>100</v>
      </c>
      <c r="UT33" s="1"/>
      <c r="UU33" s="1"/>
      <c r="UV33" s="1"/>
      <c r="UW33" s="1"/>
      <c r="UX33" s="1"/>
      <c r="UY33" s="1"/>
      <c r="UZ33" s="54" t="s">
        <v>268</v>
      </c>
      <c r="VA33" s="1"/>
      <c r="VB33" s="55" t="s">
        <v>268</v>
      </c>
      <c r="VC33" s="1"/>
      <c r="VD33" s="1"/>
      <c r="VE33" s="2"/>
      <c r="VF33" s="54" t="s">
        <v>268</v>
      </c>
      <c r="VG33" s="54">
        <v>87.5</v>
      </c>
      <c r="VH33" s="54" t="s">
        <v>268</v>
      </c>
      <c r="VI33" s="55">
        <v>87.5</v>
      </c>
      <c r="VJ33" s="56">
        <v>5</v>
      </c>
      <c r="VK33" s="54" t="s">
        <v>268</v>
      </c>
      <c r="VL33" s="1"/>
      <c r="VM33" s="57">
        <v>0</v>
      </c>
      <c r="VN33" s="58">
        <v>100</v>
      </c>
      <c r="VO33" s="4">
        <v>1072909</v>
      </c>
      <c r="VP33" s="39">
        <v>132</v>
      </c>
      <c r="VQ33" s="39">
        <v>34</v>
      </c>
      <c r="VR33" s="1"/>
      <c r="VS33" s="1">
        <v>90</v>
      </c>
      <c r="VT33" s="1">
        <v>90</v>
      </c>
      <c r="VU33" s="1">
        <v>93</v>
      </c>
      <c r="VV33" s="1"/>
      <c r="VW33" s="1"/>
      <c r="VX33" s="1"/>
      <c r="VY33" s="54">
        <v>91</v>
      </c>
      <c r="VZ33" s="1"/>
      <c r="WA33" s="55">
        <v>91</v>
      </c>
      <c r="WB33" s="1"/>
      <c r="WC33" s="1"/>
      <c r="WD33" s="2">
        <v>0</v>
      </c>
      <c r="WE33" s="54">
        <v>100</v>
      </c>
      <c r="WF33" s="1"/>
      <c r="WG33" s="1"/>
      <c r="WH33" s="1"/>
      <c r="WI33" s="1"/>
      <c r="WJ33" s="1"/>
      <c r="WK33" s="1"/>
      <c r="WL33" s="54" t="s">
        <v>268</v>
      </c>
      <c r="WM33" s="1"/>
      <c r="WN33" s="55" t="s">
        <v>268</v>
      </c>
      <c r="WO33" s="1"/>
      <c r="WP33" s="1"/>
      <c r="WQ33" s="2"/>
      <c r="WR33" s="54" t="s">
        <v>268</v>
      </c>
      <c r="WS33" s="54">
        <v>91</v>
      </c>
      <c r="WT33" s="54" t="s">
        <v>268</v>
      </c>
      <c r="WU33" s="55">
        <v>91</v>
      </c>
      <c r="WV33" s="56">
        <v>5</v>
      </c>
      <c r="WW33" s="54" t="s">
        <v>268</v>
      </c>
      <c r="WX33" s="1"/>
      <c r="WY33" s="57">
        <v>0</v>
      </c>
      <c r="WZ33" s="58">
        <v>100</v>
      </c>
      <c r="XA33" s="4">
        <v>1072909</v>
      </c>
      <c r="XB33" s="39">
        <v>133</v>
      </c>
      <c r="XC33" s="39">
        <v>34</v>
      </c>
      <c r="XD33" s="1"/>
      <c r="XE33" s="1">
        <v>65</v>
      </c>
      <c r="XF33" s="1">
        <v>85</v>
      </c>
      <c r="XG33" s="1">
        <v>89</v>
      </c>
      <c r="XH33" s="1"/>
      <c r="XI33" s="1"/>
      <c r="XJ33" s="1"/>
      <c r="XK33" s="54">
        <v>79.666666666666671</v>
      </c>
      <c r="XL33" s="1"/>
      <c r="XM33" s="55">
        <v>79.666666666666671</v>
      </c>
      <c r="XN33" s="1"/>
      <c r="XO33" s="1"/>
      <c r="XP33" s="2">
        <v>0</v>
      </c>
      <c r="XQ33" s="54">
        <v>100</v>
      </c>
      <c r="XR33" s="1"/>
      <c r="XS33" s="1"/>
      <c r="XT33" s="1"/>
      <c r="XU33" s="1"/>
      <c r="XV33" s="1"/>
      <c r="XW33" s="1"/>
      <c r="XX33" s="54" t="s">
        <v>268</v>
      </c>
      <c r="XY33" s="1"/>
      <c r="XZ33" s="55" t="s">
        <v>268</v>
      </c>
      <c r="YA33" s="1"/>
      <c r="YB33" s="1"/>
      <c r="YC33" s="2"/>
      <c r="YD33" s="54" t="s">
        <v>268</v>
      </c>
      <c r="YE33" s="54">
        <v>79.666666666666671</v>
      </c>
      <c r="YF33" s="54" t="s">
        <v>268</v>
      </c>
      <c r="YG33" s="55">
        <v>79.666666666666671</v>
      </c>
      <c r="YH33" s="56">
        <v>4</v>
      </c>
      <c r="YI33" s="54" t="s">
        <v>268</v>
      </c>
      <c r="YJ33" s="1"/>
      <c r="YK33" s="57">
        <v>0</v>
      </c>
      <c r="YL33" s="58">
        <v>100</v>
      </c>
      <c r="YM33" s="4">
        <v>1072909</v>
      </c>
      <c r="YN33" s="39">
        <v>135</v>
      </c>
      <c r="YO33" s="39">
        <v>34</v>
      </c>
      <c r="YP33" s="1"/>
      <c r="YQ33" s="1">
        <v>95</v>
      </c>
      <c r="YR33" s="1">
        <v>70</v>
      </c>
      <c r="YS33" s="1">
        <v>72</v>
      </c>
      <c r="YT33" s="1"/>
      <c r="YU33" s="1"/>
      <c r="YV33" s="1"/>
      <c r="YW33" s="54">
        <v>79</v>
      </c>
      <c r="YX33" s="1"/>
      <c r="YY33" s="55">
        <v>79</v>
      </c>
      <c r="YZ33" s="1"/>
      <c r="ZA33" s="1"/>
      <c r="ZB33" s="2">
        <v>0</v>
      </c>
      <c r="ZC33" s="54">
        <v>100</v>
      </c>
      <c r="ZD33" s="1"/>
      <c r="ZE33" s="1"/>
      <c r="ZF33" s="1"/>
      <c r="ZG33" s="1"/>
      <c r="ZH33" s="1"/>
      <c r="ZI33" s="1"/>
      <c r="ZJ33" s="54" t="s">
        <v>268</v>
      </c>
      <c r="ZK33" s="1"/>
      <c r="ZL33" s="55" t="s">
        <v>268</v>
      </c>
      <c r="ZM33" s="1"/>
      <c r="ZN33" s="1"/>
      <c r="ZO33" s="2"/>
      <c r="ZP33" s="54" t="s">
        <v>268</v>
      </c>
      <c r="ZQ33" s="54">
        <v>79</v>
      </c>
      <c r="ZR33" s="54" t="s">
        <v>268</v>
      </c>
      <c r="ZS33" s="55">
        <v>79</v>
      </c>
      <c r="ZT33" s="56">
        <v>4</v>
      </c>
      <c r="ZU33" s="54" t="s">
        <v>268</v>
      </c>
      <c r="ZV33" s="1"/>
      <c r="ZW33" s="57">
        <v>0</v>
      </c>
      <c r="ZX33" s="58">
        <v>100</v>
      </c>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2" customHeight="1" x14ac:dyDescent="0.2">
      <c r="A34" s="88" t="str">
        <f t="shared" si="397"/>
        <v>2023-2024</v>
      </c>
      <c r="B34" s="88" t="str">
        <f t="shared" si="398"/>
        <v>Bakı</v>
      </c>
      <c r="C34" s="88" t="str">
        <f t="shared" si="399"/>
        <v>Binəqədi</v>
      </c>
      <c r="D34" s="88">
        <f t="shared" si="400"/>
        <v>99</v>
      </c>
      <c r="E34" s="40">
        <v>3985140</v>
      </c>
      <c r="F34" s="88">
        <f t="shared" si="401"/>
        <v>2</v>
      </c>
      <c r="G34" s="88" t="str">
        <f t="shared" si="402"/>
        <v>C</v>
      </c>
      <c r="H34" s="37" t="s">
        <v>219</v>
      </c>
      <c r="I34" s="37" t="s">
        <v>179</v>
      </c>
      <c r="J34" s="41" t="s">
        <v>208</v>
      </c>
      <c r="K34" s="89" t="str">
        <f t="shared" si="403"/>
        <v>A</v>
      </c>
      <c r="L34" s="41" t="s">
        <v>119</v>
      </c>
      <c r="M34" s="41" t="s">
        <v>266</v>
      </c>
      <c r="N34" s="41"/>
      <c r="O34" s="43" t="s">
        <v>267</v>
      </c>
      <c r="P34" s="90" t="str">
        <f t="shared" si="404"/>
        <v>Süleymanova Aybəniz</v>
      </c>
      <c r="Q34" s="4">
        <v>1072909</v>
      </c>
      <c r="R34" s="39">
        <v>101</v>
      </c>
      <c r="S34" s="39">
        <v>308</v>
      </c>
      <c r="T34" s="1"/>
      <c r="U34" s="1">
        <v>64</v>
      </c>
      <c r="V34" s="1">
        <v>76</v>
      </c>
      <c r="W34" s="1">
        <v>86</v>
      </c>
      <c r="X34" s="1">
        <v>69</v>
      </c>
      <c r="Y34" s="1"/>
      <c r="Z34" s="1"/>
      <c r="AA34" s="54">
        <v>73.75</v>
      </c>
      <c r="AB34" s="1"/>
      <c r="AC34" s="55">
        <v>73.75</v>
      </c>
      <c r="AD34" s="1"/>
      <c r="AE34" s="1"/>
      <c r="AF34" s="2">
        <v>0</v>
      </c>
      <c r="AG34" s="54">
        <v>100</v>
      </c>
      <c r="AH34" s="1"/>
      <c r="AI34" s="1"/>
      <c r="AJ34" s="1"/>
      <c r="AK34" s="1"/>
      <c r="AL34" s="1"/>
      <c r="AM34" s="1"/>
      <c r="AN34" s="54" t="s">
        <v>268</v>
      </c>
      <c r="AO34" s="1"/>
      <c r="AP34" s="55" t="s">
        <v>268</v>
      </c>
      <c r="AQ34" s="1"/>
      <c r="AR34" s="1"/>
      <c r="AS34" s="2"/>
      <c r="AT34" s="54" t="s">
        <v>268</v>
      </c>
      <c r="AU34" s="54">
        <v>73.75</v>
      </c>
      <c r="AV34" s="54" t="s">
        <v>268</v>
      </c>
      <c r="AW34" s="55">
        <v>73.75</v>
      </c>
      <c r="AX34" s="56">
        <v>4</v>
      </c>
      <c r="AY34" s="54" t="s">
        <v>268</v>
      </c>
      <c r="AZ34" s="1"/>
      <c r="BA34" s="57">
        <v>0</v>
      </c>
      <c r="BB34" s="58">
        <v>100</v>
      </c>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v>1269215</v>
      </c>
      <c r="EB34" s="39">
        <v>106</v>
      </c>
      <c r="EC34" s="39">
        <v>17</v>
      </c>
      <c r="ED34" s="1"/>
      <c r="EE34" s="1">
        <v>75</v>
      </c>
      <c r="EF34" s="1">
        <v>65</v>
      </c>
      <c r="EG34" s="1">
        <v>90</v>
      </c>
      <c r="EH34" s="1"/>
      <c r="EI34" s="1"/>
      <c r="EJ34" s="1"/>
      <c r="EK34" s="54">
        <v>76.666666666666671</v>
      </c>
      <c r="EL34" s="1"/>
      <c r="EM34" s="55">
        <v>76.666666666666671</v>
      </c>
      <c r="EN34" s="1"/>
      <c r="EO34" s="1"/>
      <c r="EP34" s="2">
        <v>0</v>
      </c>
      <c r="EQ34" s="54">
        <v>100</v>
      </c>
      <c r="ER34" s="1"/>
      <c r="ES34" s="1"/>
      <c r="ET34" s="1"/>
      <c r="EU34" s="1"/>
      <c r="EV34" s="1"/>
      <c r="EW34" s="1"/>
      <c r="EX34" s="54" t="s">
        <v>268</v>
      </c>
      <c r="EY34" s="1"/>
      <c r="EZ34" s="55" t="s">
        <v>268</v>
      </c>
      <c r="FA34" s="1"/>
      <c r="FB34" s="1"/>
      <c r="FC34" s="2"/>
      <c r="FD34" s="54" t="s">
        <v>268</v>
      </c>
      <c r="FE34" s="54">
        <v>76.666666666666671</v>
      </c>
      <c r="FF34" s="54" t="s">
        <v>268</v>
      </c>
      <c r="FG34" s="55">
        <v>76.666666666666671</v>
      </c>
      <c r="FH34" s="56">
        <v>4</v>
      </c>
      <c r="FI34" s="54" t="s">
        <v>268</v>
      </c>
      <c r="FJ34" s="1"/>
      <c r="FK34" s="57">
        <v>0</v>
      </c>
      <c r="FL34" s="58">
        <v>100</v>
      </c>
      <c r="FM34" s="4">
        <v>1072909</v>
      </c>
      <c r="FN34" s="39">
        <v>110</v>
      </c>
      <c r="FO34" s="39">
        <v>171</v>
      </c>
      <c r="FP34" s="1"/>
      <c r="FQ34" s="1">
        <v>100</v>
      </c>
      <c r="FR34" s="1">
        <v>74</v>
      </c>
      <c r="FS34" s="1">
        <v>84</v>
      </c>
      <c r="FT34" s="1">
        <v>74</v>
      </c>
      <c r="FU34" s="1"/>
      <c r="FV34" s="1"/>
      <c r="FW34" s="54">
        <v>83</v>
      </c>
      <c r="FX34" s="1"/>
      <c r="FY34" s="55">
        <v>83</v>
      </c>
      <c r="FZ34" s="1"/>
      <c r="GA34" s="1"/>
      <c r="GB34" s="2">
        <v>0</v>
      </c>
      <c r="GC34" s="54">
        <v>100</v>
      </c>
      <c r="GD34" s="1"/>
      <c r="GE34" s="1"/>
      <c r="GF34" s="1"/>
      <c r="GG34" s="1"/>
      <c r="GH34" s="1"/>
      <c r="GI34" s="1"/>
      <c r="GJ34" s="54" t="s">
        <v>268</v>
      </c>
      <c r="GK34" s="1"/>
      <c r="GL34" s="55" t="s">
        <v>268</v>
      </c>
      <c r="GM34" s="1"/>
      <c r="GN34" s="1"/>
      <c r="GO34" s="2"/>
      <c r="GP34" s="54" t="s">
        <v>268</v>
      </c>
      <c r="GQ34" s="54">
        <v>83</v>
      </c>
      <c r="GR34" s="54" t="s">
        <v>268</v>
      </c>
      <c r="GS34" s="55">
        <v>83</v>
      </c>
      <c r="GT34" s="56">
        <v>5</v>
      </c>
      <c r="GU34" s="54" t="s">
        <v>268</v>
      </c>
      <c r="GV34" s="1"/>
      <c r="GW34" s="57">
        <v>0</v>
      </c>
      <c r="GX34" s="58">
        <v>100</v>
      </c>
      <c r="GY34" s="4">
        <v>1199044</v>
      </c>
      <c r="GZ34" s="39">
        <v>114</v>
      </c>
      <c r="HA34" s="39">
        <v>17</v>
      </c>
      <c r="HB34" s="1"/>
      <c r="HC34" s="1">
        <v>75</v>
      </c>
      <c r="HD34" s="1">
        <v>90</v>
      </c>
      <c r="HE34" s="1">
        <v>80</v>
      </c>
      <c r="HF34" s="1"/>
      <c r="HG34" s="1"/>
      <c r="HH34" s="1"/>
      <c r="HI34" s="54">
        <v>81.666666666666671</v>
      </c>
      <c r="HJ34" s="1"/>
      <c r="HK34" s="55">
        <v>81.666666666666671</v>
      </c>
      <c r="HL34" s="1"/>
      <c r="HM34" s="1"/>
      <c r="HN34" s="2">
        <v>0</v>
      </c>
      <c r="HO34" s="54">
        <v>100</v>
      </c>
      <c r="HP34" s="1"/>
      <c r="HQ34" s="1"/>
      <c r="HR34" s="1"/>
      <c r="HS34" s="1"/>
      <c r="HT34" s="1"/>
      <c r="HU34" s="1"/>
      <c r="HV34" s="54" t="s">
        <v>268</v>
      </c>
      <c r="HW34" s="1"/>
      <c r="HX34" s="55" t="s">
        <v>268</v>
      </c>
      <c r="HY34" s="1"/>
      <c r="HZ34" s="1"/>
      <c r="IA34" s="2"/>
      <c r="IB34" s="54" t="s">
        <v>268</v>
      </c>
      <c r="IC34" s="54">
        <v>81.666666666666671</v>
      </c>
      <c r="ID34" s="54" t="s">
        <v>268</v>
      </c>
      <c r="IE34" s="55">
        <v>81.666666666666671</v>
      </c>
      <c r="IF34" s="56">
        <v>5</v>
      </c>
      <c r="IG34" s="54" t="s">
        <v>268</v>
      </c>
      <c r="IH34" s="1"/>
      <c r="II34" s="57">
        <v>0</v>
      </c>
      <c r="IJ34" s="58">
        <v>100</v>
      </c>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v>1072909</v>
      </c>
      <c r="PT34" s="39">
        <v>128</v>
      </c>
      <c r="PU34" s="39">
        <v>34</v>
      </c>
      <c r="PV34" s="1"/>
      <c r="PW34" s="1">
        <v>70</v>
      </c>
      <c r="PX34" s="1">
        <v>90</v>
      </c>
      <c r="PY34" s="1">
        <v>95</v>
      </c>
      <c r="PZ34" s="1"/>
      <c r="QA34" s="1"/>
      <c r="QB34" s="1"/>
      <c r="QC34" s="54">
        <v>85</v>
      </c>
      <c r="QD34" s="1"/>
      <c r="QE34" s="55">
        <v>85</v>
      </c>
      <c r="QF34" s="1"/>
      <c r="QG34" s="1"/>
      <c r="QH34" s="2">
        <v>0</v>
      </c>
      <c r="QI34" s="54">
        <v>100</v>
      </c>
      <c r="QJ34" s="1"/>
      <c r="QK34" s="1"/>
      <c r="QL34" s="1"/>
      <c r="QM34" s="1"/>
      <c r="QN34" s="1"/>
      <c r="QO34" s="1"/>
      <c r="QP34" s="54" t="s">
        <v>268</v>
      </c>
      <c r="QQ34" s="1"/>
      <c r="QR34" s="55" t="s">
        <v>268</v>
      </c>
      <c r="QS34" s="1"/>
      <c r="QT34" s="1"/>
      <c r="QU34" s="2"/>
      <c r="QV34" s="54" t="s">
        <v>268</v>
      </c>
      <c r="QW34" s="54">
        <v>85</v>
      </c>
      <c r="QX34" s="54" t="s">
        <v>268</v>
      </c>
      <c r="QY34" s="55">
        <v>85</v>
      </c>
      <c r="QZ34" s="56">
        <v>5</v>
      </c>
      <c r="RA34" s="54" t="s">
        <v>268</v>
      </c>
      <c r="RB34" s="1"/>
      <c r="RC34" s="57">
        <v>0</v>
      </c>
      <c r="RD34" s="58">
        <v>100</v>
      </c>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v>1072909</v>
      </c>
      <c r="UD34" s="39">
        <v>131</v>
      </c>
      <c r="UE34" s="39">
        <v>68</v>
      </c>
      <c r="UF34" s="1"/>
      <c r="UG34" s="1">
        <v>80</v>
      </c>
      <c r="UH34" s="1">
        <v>85</v>
      </c>
      <c r="UI34" s="1">
        <v>90</v>
      </c>
      <c r="UJ34" s="1">
        <v>85</v>
      </c>
      <c r="UK34" s="1"/>
      <c r="UL34" s="1"/>
      <c r="UM34" s="54">
        <v>85</v>
      </c>
      <c r="UN34" s="1"/>
      <c r="UO34" s="55">
        <v>85</v>
      </c>
      <c r="UP34" s="1"/>
      <c r="UQ34" s="1"/>
      <c r="UR34" s="2">
        <v>0</v>
      </c>
      <c r="US34" s="54">
        <v>100</v>
      </c>
      <c r="UT34" s="1"/>
      <c r="UU34" s="1"/>
      <c r="UV34" s="1"/>
      <c r="UW34" s="1"/>
      <c r="UX34" s="1"/>
      <c r="UY34" s="1"/>
      <c r="UZ34" s="54" t="s">
        <v>268</v>
      </c>
      <c r="VA34" s="1"/>
      <c r="VB34" s="55" t="s">
        <v>268</v>
      </c>
      <c r="VC34" s="1"/>
      <c r="VD34" s="1"/>
      <c r="VE34" s="2"/>
      <c r="VF34" s="54" t="s">
        <v>268</v>
      </c>
      <c r="VG34" s="54">
        <v>85</v>
      </c>
      <c r="VH34" s="54" t="s">
        <v>268</v>
      </c>
      <c r="VI34" s="55">
        <v>85</v>
      </c>
      <c r="VJ34" s="56">
        <v>5</v>
      </c>
      <c r="VK34" s="54" t="s">
        <v>268</v>
      </c>
      <c r="VL34" s="1"/>
      <c r="VM34" s="57">
        <v>0</v>
      </c>
      <c r="VN34" s="58">
        <v>100</v>
      </c>
      <c r="VO34" s="4">
        <v>1072909</v>
      </c>
      <c r="VP34" s="39">
        <v>132</v>
      </c>
      <c r="VQ34" s="39">
        <v>34</v>
      </c>
      <c r="VR34" s="1"/>
      <c r="VS34" s="1">
        <v>100</v>
      </c>
      <c r="VT34" s="1">
        <v>70</v>
      </c>
      <c r="VU34" s="1">
        <v>75</v>
      </c>
      <c r="VV34" s="1"/>
      <c r="VW34" s="1"/>
      <c r="VX34" s="1"/>
      <c r="VY34" s="54">
        <v>81.666666666666671</v>
      </c>
      <c r="VZ34" s="1"/>
      <c r="WA34" s="55">
        <v>81.666666666666671</v>
      </c>
      <c r="WB34" s="1"/>
      <c r="WC34" s="1"/>
      <c r="WD34" s="2">
        <v>0</v>
      </c>
      <c r="WE34" s="54">
        <v>100</v>
      </c>
      <c r="WF34" s="1"/>
      <c r="WG34" s="1"/>
      <c r="WH34" s="1"/>
      <c r="WI34" s="1"/>
      <c r="WJ34" s="1"/>
      <c r="WK34" s="1"/>
      <c r="WL34" s="54" t="s">
        <v>268</v>
      </c>
      <c r="WM34" s="1"/>
      <c r="WN34" s="55" t="s">
        <v>268</v>
      </c>
      <c r="WO34" s="1"/>
      <c r="WP34" s="1"/>
      <c r="WQ34" s="2"/>
      <c r="WR34" s="54" t="s">
        <v>268</v>
      </c>
      <c r="WS34" s="54">
        <v>81.666666666666671</v>
      </c>
      <c r="WT34" s="54" t="s">
        <v>268</v>
      </c>
      <c r="WU34" s="55">
        <v>81.666666666666671</v>
      </c>
      <c r="WV34" s="56">
        <v>5</v>
      </c>
      <c r="WW34" s="54" t="s">
        <v>268</v>
      </c>
      <c r="WX34" s="1"/>
      <c r="WY34" s="57">
        <v>0</v>
      </c>
      <c r="WZ34" s="58">
        <v>100</v>
      </c>
      <c r="XA34" s="4">
        <v>1072909</v>
      </c>
      <c r="XB34" s="39">
        <v>133</v>
      </c>
      <c r="XC34" s="39">
        <v>34</v>
      </c>
      <c r="XD34" s="1"/>
      <c r="XE34" s="1">
        <v>70</v>
      </c>
      <c r="XF34" s="1">
        <v>75</v>
      </c>
      <c r="XG34" s="1">
        <v>85</v>
      </c>
      <c r="XH34" s="1"/>
      <c r="XI34" s="1"/>
      <c r="XJ34" s="1"/>
      <c r="XK34" s="54">
        <v>76.666666666666671</v>
      </c>
      <c r="XL34" s="1"/>
      <c r="XM34" s="55">
        <v>76.666666666666671</v>
      </c>
      <c r="XN34" s="1"/>
      <c r="XO34" s="1"/>
      <c r="XP34" s="2">
        <v>0</v>
      </c>
      <c r="XQ34" s="54">
        <v>100</v>
      </c>
      <c r="XR34" s="1"/>
      <c r="XS34" s="1"/>
      <c r="XT34" s="1"/>
      <c r="XU34" s="1"/>
      <c r="XV34" s="1"/>
      <c r="XW34" s="1"/>
      <c r="XX34" s="54" t="s">
        <v>268</v>
      </c>
      <c r="XY34" s="1"/>
      <c r="XZ34" s="55" t="s">
        <v>268</v>
      </c>
      <c r="YA34" s="1"/>
      <c r="YB34" s="1"/>
      <c r="YC34" s="2"/>
      <c r="YD34" s="54" t="s">
        <v>268</v>
      </c>
      <c r="YE34" s="54">
        <v>76.666666666666671</v>
      </c>
      <c r="YF34" s="54" t="s">
        <v>268</v>
      </c>
      <c r="YG34" s="55">
        <v>76.666666666666671</v>
      </c>
      <c r="YH34" s="56">
        <v>4</v>
      </c>
      <c r="YI34" s="54" t="s">
        <v>268</v>
      </c>
      <c r="YJ34" s="1"/>
      <c r="YK34" s="57">
        <v>0</v>
      </c>
      <c r="YL34" s="58">
        <v>100</v>
      </c>
      <c r="YM34" s="4">
        <v>1072909</v>
      </c>
      <c r="YN34" s="39">
        <v>135</v>
      </c>
      <c r="YO34" s="39">
        <v>34</v>
      </c>
      <c r="YP34" s="1"/>
      <c r="YQ34" s="1">
        <v>75</v>
      </c>
      <c r="YR34" s="1">
        <v>85</v>
      </c>
      <c r="YS34" s="1">
        <v>71</v>
      </c>
      <c r="YT34" s="1"/>
      <c r="YU34" s="1"/>
      <c r="YV34" s="1"/>
      <c r="YW34" s="54">
        <v>77</v>
      </c>
      <c r="YX34" s="1"/>
      <c r="YY34" s="55">
        <v>77</v>
      </c>
      <c r="YZ34" s="1"/>
      <c r="ZA34" s="1"/>
      <c r="ZB34" s="2">
        <v>0</v>
      </c>
      <c r="ZC34" s="54">
        <v>100</v>
      </c>
      <c r="ZD34" s="1"/>
      <c r="ZE34" s="1"/>
      <c r="ZF34" s="1"/>
      <c r="ZG34" s="1"/>
      <c r="ZH34" s="1"/>
      <c r="ZI34" s="1"/>
      <c r="ZJ34" s="54" t="s">
        <v>268</v>
      </c>
      <c r="ZK34" s="1"/>
      <c r="ZL34" s="55" t="s">
        <v>268</v>
      </c>
      <c r="ZM34" s="1"/>
      <c r="ZN34" s="1"/>
      <c r="ZO34" s="2"/>
      <c r="ZP34" s="54" t="s">
        <v>268</v>
      </c>
      <c r="ZQ34" s="54">
        <v>77</v>
      </c>
      <c r="ZR34" s="54" t="s">
        <v>268</v>
      </c>
      <c r="ZS34" s="55">
        <v>77</v>
      </c>
      <c r="ZT34" s="56">
        <v>4</v>
      </c>
      <c r="ZU34" s="54" t="s">
        <v>268</v>
      </c>
      <c r="ZV34" s="1"/>
      <c r="ZW34" s="57">
        <v>0</v>
      </c>
      <c r="ZX34" s="58">
        <v>100</v>
      </c>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2" customHeight="1" x14ac:dyDescent="0.2">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t="s">
        <v>268</v>
      </c>
      <c r="S35" s="39" t="s">
        <v>268</v>
      </c>
      <c r="T35" s="1"/>
      <c r="U35" s="1"/>
      <c r="V35" s="1"/>
      <c r="W35" s="1"/>
      <c r="X35" s="1"/>
      <c r="Y35" s="1"/>
      <c r="Z35" s="1"/>
      <c r="AA35" s="54" t="s">
        <v>268</v>
      </c>
      <c r="AB35" s="1"/>
      <c r="AC35" s="55" t="s">
        <v>268</v>
      </c>
      <c r="AD35" s="1"/>
      <c r="AE35" s="1"/>
      <c r="AF35" s="2"/>
      <c r="AG35" s="54" t="s">
        <v>268</v>
      </c>
      <c r="AH35" s="1"/>
      <c r="AI35" s="1"/>
      <c r="AJ35" s="1"/>
      <c r="AK35" s="1"/>
      <c r="AL35" s="1"/>
      <c r="AM35" s="1"/>
      <c r="AN35" s="54" t="s">
        <v>268</v>
      </c>
      <c r="AO35" s="1"/>
      <c r="AP35" s="55" t="s">
        <v>268</v>
      </c>
      <c r="AQ35" s="1"/>
      <c r="AR35" s="1"/>
      <c r="AS35" s="2"/>
      <c r="AT35" s="54" t="s">
        <v>268</v>
      </c>
      <c r="AU35" s="54" t="s">
        <v>268</v>
      </c>
      <c r="AV35" s="54" t="s">
        <v>268</v>
      </c>
      <c r="AW35" s="55" t="s">
        <v>268</v>
      </c>
      <c r="AX35" s="56" t="s">
        <v>268</v>
      </c>
      <c r="AY35" s="54" t="s">
        <v>268</v>
      </c>
      <c r="AZ35" s="1"/>
      <c r="BA35" s="57" t="s">
        <v>268</v>
      </c>
      <c r="BB35" s="58" t="s">
        <v>268</v>
      </c>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t="s">
        <v>268</v>
      </c>
      <c r="EC35" s="39" t="s">
        <v>268</v>
      </c>
      <c r="ED35" s="1"/>
      <c r="EE35" s="1"/>
      <c r="EF35" s="1"/>
      <c r="EG35" s="1"/>
      <c r="EH35" s="1"/>
      <c r="EI35" s="1"/>
      <c r="EJ35" s="1"/>
      <c r="EK35" s="54" t="s">
        <v>268</v>
      </c>
      <c r="EL35" s="1"/>
      <c r="EM35" s="55" t="s">
        <v>268</v>
      </c>
      <c r="EN35" s="1"/>
      <c r="EO35" s="1"/>
      <c r="EP35" s="2"/>
      <c r="EQ35" s="54" t="s">
        <v>268</v>
      </c>
      <c r="ER35" s="1"/>
      <c r="ES35" s="1"/>
      <c r="ET35" s="1"/>
      <c r="EU35" s="1"/>
      <c r="EV35" s="1"/>
      <c r="EW35" s="1"/>
      <c r="EX35" s="54" t="s">
        <v>268</v>
      </c>
      <c r="EY35" s="1"/>
      <c r="EZ35" s="55" t="s">
        <v>268</v>
      </c>
      <c r="FA35" s="1"/>
      <c r="FB35" s="1"/>
      <c r="FC35" s="2"/>
      <c r="FD35" s="54" t="s">
        <v>268</v>
      </c>
      <c r="FE35" s="54" t="s">
        <v>268</v>
      </c>
      <c r="FF35" s="54" t="s">
        <v>268</v>
      </c>
      <c r="FG35" s="55" t="s">
        <v>268</v>
      </c>
      <c r="FH35" s="56" t="s">
        <v>268</v>
      </c>
      <c r="FI35" s="54" t="s">
        <v>268</v>
      </c>
      <c r="FJ35" s="1"/>
      <c r="FK35" s="57" t="s">
        <v>268</v>
      </c>
      <c r="FL35" s="58" t="s">
        <v>268</v>
      </c>
      <c r="FM35" s="4"/>
      <c r="FN35" s="39" t="s">
        <v>268</v>
      </c>
      <c r="FO35" s="39" t="s">
        <v>268</v>
      </c>
      <c r="FP35" s="1"/>
      <c r="FQ35" s="1"/>
      <c r="FR35" s="1"/>
      <c r="FS35" s="1"/>
      <c r="FT35" s="1"/>
      <c r="FU35" s="1"/>
      <c r="FV35" s="1"/>
      <c r="FW35" s="54" t="s">
        <v>268</v>
      </c>
      <c r="FX35" s="1"/>
      <c r="FY35" s="55" t="s">
        <v>268</v>
      </c>
      <c r="FZ35" s="1"/>
      <c r="GA35" s="1"/>
      <c r="GB35" s="2"/>
      <c r="GC35" s="54" t="s">
        <v>268</v>
      </c>
      <c r="GD35" s="1"/>
      <c r="GE35" s="1"/>
      <c r="GF35" s="1"/>
      <c r="GG35" s="1"/>
      <c r="GH35" s="1"/>
      <c r="GI35" s="1"/>
      <c r="GJ35" s="54" t="s">
        <v>268</v>
      </c>
      <c r="GK35" s="1"/>
      <c r="GL35" s="55" t="s">
        <v>268</v>
      </c>
      <c r="GM35" s="1"/>
      <c r="GN35" s="1"/>
      <c r="GO35" s="2"/>
      <c r="GP35" s="54" t="s">
        <v>268</v>
      </c>
      <c r="GQ35" s="54" t="s">
        <v>268</v>
      </c>
      <c r="GR35" s="54" t="s">
        <v>268</v>
      </c>
      <c r="GS35" s="55" t="s">
        <v>268</v>
      </c>
      <c r="GT35" s="56" t="s">
        <v>268</v>
      </c>
      <c r="GU35" s="54" t="s">
        <v>268</v>
      </c>
      <c r="GV35" s="1"/>
      <c r="GW35" s="57" t="s">
        <v>268</v>
      </c>
      <c r="GX35" s="58" t="s">
        <v>268</v>
      </c>
      <c r="GY35" s="4"/>
      <c r="GZ35" s="39" t="s">
        <v>268</v>
      </c>
      <c r="HA35" s="39" t="s">
        <v>268</v>
      </c>
      <c r="HB35" s="1"/>
      <c r="HC35" s="1"/>
      <c r="HD35" s="1"/>
      <c r="HE35" s="1"/>
      <c r="HF35" s="1"/>
      <c r="HG35" s="1"/>
      <c r="HH35" s="1"/>
      <c r="HI35" s="54" t="s">
        <v>268</v>
      </c>
      <c r="HJ35" s="1"/>
      <c r="HK35" s="55" t="s">
        <v>268</v>
      </c>
      <c r="HL35" s="1"/>
      <c r="HM35" s="1"/>
      <c r="HN35" s="2"/>
      <c r="HO35" s="54" t="s">
        <v>268</v>
      </c>
      <c r="HP35" s="1"/>
      <c r="HQ35" s="1"/>
      <c r="HR35" s="1"/>
      <c r="HS35" s="1"/>
      <c r="HT35" s="1"/>
      <c r="HU35" s="1"/>
      <c r="HV35" s="54" t="s">
        <v>268</v>
      </c>
      <c r="HW35" s="1"/>
      <c r="HX35" s="55" t="s">
        <v>268</v>
      </c>
      <c r="HY35" s="1"/>
      <c r="HZ35" s="1"/>
      <c r="IA35" s="2"/>
      <c r="IB35" s="54" t="s">
        <v>268</v>
      </c>
      <c r="IC35" s="54" t="s">
        <v>268</v>
      </c>
      <c r="ID35" s="54" t="s">
        <v>268</v>
      </c>
      <c r="IE35" s="55" t="s">
        <v>268</v>
      </c>
      <c r="IF35" s="56" t="s">
        <v>268</v>
      </c>
      <c r="IG35" s="54" t="s">
        <v>268</v>
      </c>
      <c r="IH35" s="1"/>
      <c r="II35" s="57" t="s">
        <v>268</v>
      </c>
      <c r="IJ35" s="58" t="s">
        <v>268</v>
      </c>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t="s">
        <v>268</v>
      </c>
      <c r="PU35" s="39" t="s">
        <v>268</v>
      </c>
      <c r="PV35" s="1"/>
      <c r="PW35" s="1"/>
      <c r="PX35" s="1"/>
      <c r="PY35" s="1"/>
      <c r="PZ35" s="1"/>
      <c r="QA35" s="1"/>
      <c r="QB35" s="1"/>
      <c r="QC35" s="54" t="s">
        <v>268</v>
      </c>
      <c r="QD35" s="1"/>
      <c r="QE35" s="55" t="s">
        <v>268</v>
      </c>
      <c r="QF35" s="1"/>
      <c r="QG35" s="1"/>
      <c r="QH35" s="2"/>
      <c r="QI35" s="54" t="s">
        <v>268</v>
      </c>
      <c r="QJ35" s="1"/>
      <c r="QK35" s="1"/>
      <c r="QL35" s="1"/>
      <c r="QM35" s="1"/>
      <c r="QN35" s="1"/>
      <c r="QO35" s="1"/>
      <c r="QP35" s="54" t="s">
        <v>268</v>
      </c>
      <c r="QQ35" s="1"/>
      <c r="QR35" s="55" t="s">
        <v>268</v>
      </c>
      <c r="QS35" s="1"/>
      <c r="QT35" s="1"/>
      <c r="QU35" s="2"/>
      <c r="QV35" s="54" t="s">
        <v>268</v>
      </c>
      <c r="QW35" s="54" t="s">
        <v>268</v>
      </c>
      <c r="QX35" s="54" t="s">
        <v>268</v>
      </c>
      <c r="QY35" s="55" t="s">
        <v>268</v>
      </c>
      <c r="QZ35" s="56" t="s">
        <v>268</v>
      </c>
      <c r="RA35" s="54" t="s">
        <v>268</v>
      </c>
      <c r="RB35" s="1"/>
      <c r="RC35" s="57" t="s">
        <v>268</v>
      </c>
      <c r="RD35" s="58" t="s">
        <v>268</v>
      </c>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t="s">
        <v>268</v>
      </c>
      <c r="UE35" s="39" t="s">
        <v>268</v>
      </c>
      <c r="UF35" s="1"/>
      <c r="UG35" s="1"/>
      <c r="UH35" s="1"/>
      <c r="UI35" s="1"/>
      <c r="UJ35" s="1"/>
      <c r="UK35" s="1"/>
      <c r="UL35" s="1"/>
      <c r="UM35" s="54" t="s">
        <v>268</v>
      </c>
      <c r="UN35" s="1"/>
      <c r="UO35" s="55" t="s">
        <v>268</v>
      </c>
      <c r="UP35" s="1"/>
      <c r="UQ35" s="1"/>
      <c r="UR35" s="2"/>
      <c r="US35" s="54" t="s">
        <v>268</v>
      </c>
      <c r="UT35" s="1"/>
      <c r="UU35" s="1"/>
      <c r="UV35" s="1"/>
      <c r="UW35" s="1"/>
      <c r="UX35" s="1"/>
      <c r="UY35" s="1"/>
      <c r="UZ35" s="54" t="s">
        <v>268</v>
      </c>
      <c r="VA35" s="1"/>
      <c r="VB35" s="55" t="s">
        <v>268</v>
      </c>
      <c r="VC35" s="1"/>
      <c r="VD35" s="1"/>
      <c r="VE35" s="2"/>
      <c r="VF35" s="54" t="s">
        <v>268</v>
      </c>
      <c r="VG35" s="54" t="s">
        <v>268</v>
      </c>
      <c r="VH35" s="54" t="s">
        <v>268</v>
      </c>
      <c r="VI35" s="55" t="s">
        <v>268</v>
      </c>
      <c r="VJ35" s="56" t="s">
        <v>268</v>
      </c>
      <c r="VK35" s="54" t="s">
        <v>268</v>
      </c>
      <c r="VL35" s="1"/>
      <c r="VM35" s="57" t="s">
        <v>268</v>
      </c>
      <c r="VN35" s="58" t="s">
        <v>268</v>
      </c>
      <c r="VO35" s="4"/>
      <c r="VP35" s="39" t="s">
        <v>268</v>
      </c>
      <c r="VQ35" s="39" t="s">
        <v>268</v>
      </c>
      <c r="VR35" s="1"/>
      <c r="VS35" s="1"/>
      <c r="VT35" s="1"/>
      <c r="VU35" s="1"/>
      <c r="VV35" s="1"/>
      <c r="VW35" s="1"/>
      <c r="VX35" s="1"/>
      <c r="VY35" s="54" t="s">
        <v>268</v>
      </c>
      <c r="VZ35" s="1"/>
      <c r="WA35" s="55" t="s">
        <v>268</v>
      </c>
      <c r="WB35" s="1"/>
      <c r="WC35" s="1"/>
      <c r="WD35" s="2"/>
      <c r="WE35" s="54" t="s">
        <v>268</v>
      </c>
      <c r="WF35" s="1"/>
      <c r="WG35" s="1"/>
      <c r="WH35" s="1"/>
      <c r="WI35" s="1"/>
      <c r="WJ35" s="1"/>
      <c r="WK35" s="1"/>
      <c r="WL35" s="54" t="s">
        <v>268</v>
      </c>
      <c r="WM35" s="1"/>
      <c r="WN35" s="55" t="s">
        <v>268</v>
      </c>
      <c r="WO35" s="1"/>
      <c r="WP35" s="1"/>
      <c r="WQ35" s="2"/>
      <c r="WR35" s="54" t="s">
        <v>268</v>
      </c>
      <c r="WS35" s="54" t="s">
        <v>268</v>
      </c>
      <c r="WT35" s="54" t="s">
        <v>268</v>
      </c>
      <c r="WU35" s="55" t="s">
        <v>268</v>
      </c>
      <c r="WV35" s="56" t="s">
        <v>268</v>
      </c>
      <c r="WW35" s="54" t="s">
        <v>268</v>
      </c>
      <c r="WX35" s="1"/>
      <c r="WY35" s="57" t="s">
        <v>268</v>
      </c>
      <c r="WZ35" s="58" t="s">
        <v>268</v>
      </c>
      <c r="XA35" s="4"/>
      <c r="XB35" s="39" t="s">
        <v>268</v>
      </c>
      <c r="XC35" s="39" t="s">
        <v>268</v>
      </c>
      <c r="XD35" s="1"/>
      <c r="XE35" s="1"/>
      <c r="XF35" s="1"/>
      <c r="XG35" s="1"/>
      <c r="XH35" s="1"/>
      <c r="XI35" s="1"/>
      <c r="XJ35" s="1"/>
      <c r="XK35" s="54" t="s">
        <v>268</v>
      </c>
      <c r="XL35" s="1"/>
      <c r="XM35" s="55" t="s">
        <v>268</v>
      </c>
      <c r="XN35" s="1"/>
      <c r="XO35" s="1"/>
      <c r="XP35" s="2"/>
      <c r="XQ35" s="54" t="s">
        <v>268</v>
      </c>
      <c r="XR35" s="1"/>
      <c r="XS35" s="1"/>
      <c r="XT35" s="1"/>
      <c r="XU35" s="1"/>
      <c r="XV35" s="1"/>
      <c r="XW35" s="1"/>
      <c r="XX35" s="54" t="s">
        <v>268</v>
      </c>
      <c r="XY35" s="1"/>
      <c r="XZ35" s="55" t="s">
        <v>268</v>
      </c>
      <c r="YA35" s="1"/>
      <c r="YB35" s="1"/>
      <c r="YC35" s="2"/>
      <c r="YD35" s="54" t="s">
        <v>268</v>
      </c>
      <c r="YE35" s="54" t="s">
        <v>268</v>
      </c>
      <c r="YF35" s="54" t="s">
        <v>268</v>
      </c>
      <c r="YG35" s="55" t="s">
        <v>268</v>
      </c>
      <c r="YH35" s="56" t="s">
        <v>268</v>
      </c>
      <c r="YI35" s="54" t="s">
        <v>268</v>
      </c>
      <c r="YJ35" s="1"/>
      <c r="YK35" s="57" t="s">
        <v>268</v>
      </c>
      <c r="YL35" s="58" t="s">
        <v>268</v>
      </c>
      <c r="YM35" s="4"/>
      <c r="YN35" s="39" t="s">
        <v>268</v>
      </c>
      <c r="YO35" s="39" t="s">
        <v>268</v>
      </c>
      <c r="YP35" s="1"/>
      <c r="YQ35" s="1"/>
      <c r="YR35" s="1"/>
      <c r="YS35" s="1"/>
      <c r="YT35" s="1"/>
      <c r="YU35" s="1"/>
      <c r="YV35" s="1"/>
      <c r="YW35" s="54" t="s">
        <v>268</v>
      </c>
      <c r="YX35" s="1"/>
      <c r="YY35" s="55" t="s">
        <v>268</v>
      </c>
      <c r="YZ35" s="1"/>
      <c r="ZA35" s="1"/>
      <c r="ZB35" s="2"/>
      <c r="ZC35" s="54" t="s">
        <v>268</v>
      </c>
      <c r="ZD35" s="1"/>
      <c r="ZE35" s="1"/>
      <c r="ZF35" s="1"/>
      <c r="ZG35" s="1"/>
      <c r="ZH35" s="1"/>
      <c r="ZI35" s="1"/>
      <c r="ZJ35" s="54" t="s">
        <v>268</v>
      </c>
      <c r="ZK35" s="1"/>
      <c r="ZL35" s="55" t="s">
        <v>268</v>
      </c>
      <c r="ZM35" s="1"/>
      <c r="ZN35" s="1"/>
      <c r="ZO35" s="2"/>
      <c r="ZP35" s="54" t="s">
        <v>268</v>
      </c>
      <c r="ZQ35" s="54" t="s">
        <v>268</v>
      </c>
      <c r="ZR35" s="54" t="s">
        <v>268</v>
      </c>
      <c r="ZS35" s="55" t="s">
        <v>268</v>
      </c>
      <c r="ZT35" s="56" t="s">
        <v>268</v>
      </c>
      <c r="ZU35" s="54" t="s">
        <v>268</v>
      </c>
      <c r="ZV35" s="1"/>
      <c r="ZW35" s="57" t="s">
        <v>268</v>
      </c>
      <c r="ZX35" s="58" t="s">
        <v>268</v>
      </c>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2" customHeight="1" x14ac:dyDescent="0.2">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t="s">
        <v>268</v>
      </c>
      <c r="S36" s="39" t="s">
        <v>268</v>
      </c>
      <c r="T36" s="1"/>
      <c r="U36" s="1"/>
      <c r="V36" s="1"/>
      <c r="W36" s="1"/>
      <c r="X36" s="1"/>
      <c r="Y36" s="1"/>
      <c r="Z36" s="1"/>
      <c r="AA36" s="54" t="s">
        <v>268</v>
      </c>
      <c r="AB36" s="1"/>
      <c r="AC36" s="55" t="s">
        <v>268</v>
      </c>
      <c r="AD36" s="1"/>
      <c r="AE36" s="1"/>
      <c r="AF36" s="2"/>
      <c r="AG36" s="54" t="s">
        <v>268</v>
      </c>
      <c r="AH36" s="1"/>
      <c r="AI36" s="1"/>
      <c r="AJ36" s="1"/>
      <c r="AK36" s="1"/>
      <c r="AL36" s="1"/>
      <c r="AM36" s="1"/>
      <c r="AN36" s="54" t="s">
        <v>268</v>
      </c>
      <c r="AO36" s="1"/>
      <c r="AP36" s="55" t="s">
        <v>268</v>
      </c>
      <c r="AQ36" s="1"/>
      <c r="AR36" s="1"/>
      <c r="AS36" s="2"/>
      <c r="AT36" s="54" t="s">
        <v>268</v>
      </c>
      <c r="AU36" s="54" t="s">
        <v>268</v>
      </c>
      <c r="AV36" s="54" t="s">
        <v>268</v>
      </c>
      <c r="AW36" s="55" t="s">
        <v>268</v>
      </c>
      <c r="AX36" s="56" t="s">
        <v>268</v>
      </c>
      <c r="AY36" s="54" t="s">
        <v>268</v>
      </c>
      <c r="AZ36" s="1"/>
      <c r="BA36" s="57" t="s">
        <v>268</v>
      </c>
      <c r="BB36" s="58" t="s">
        <v>268</v>
      </c>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t="s">
        <v>268</v>
      </c>
      <c r="EC36" s="39" t="s">
        <v>268</v>
      </c>
      <c r="ED36" s="1"/>
      <c r="EE36" s="1"/>
      <c r="EF36" s="1"/>
      <c r="EG36" s="1"/>
      <c r="EH36" s="1"/>
      <c r="EI36" s="1"/>
      <c r="EJ36" s="1"/>
      <c r="EK36" s="54" t="s">
        <v>268</v>
      </c>
      <c r="EL36" s="1"/>
      <c r="EM36" s="55" t="s">
        <v>268</v>
      </c>
      <c r="EN36" s="1"/>
      <c r="EO36" s="1"/>
      <c r="EP36" s="2"/>
      <c r="EQ36" s="54" t="s">
        <v>268</v>
      </c>
      <c r="ER36" s="1"/>
      <c r="ES36" s="1"/>
      <c r="ET36" s="1"/>
      <c r="EU36" s="1"/>
      <c r="EV36" s="1"/>
      <c r="EW36" s="1"/>
      <c r="EX36" s="54" t="s">
        <v>268</v>
      </c>
      <c r="EY36" s="1"/>
      <c r="EZ36" s="55" t="s">
        <v>268</v>
      </c>
      <c r="FA36" s="1"/>
      <c r="FB36" s="1"/>
      <c r="FC36" s="2"/>
      <c r="FD36" s="54" t="s">
        <v>268</v>
      </c>
      <c r="FE36" s="54" t="s">
        <v>268</v>
      </c>
      <c r="FF36" s="54" t="s">
        <v>268</v>
      </c>
      <c r="FG36" s="55" t="s">
        <v>268</v>
      </c>
      <c r="FH36" s="56" t="s">
        <v>268</v>
      </c>
      <c r="FI36" s="54" t="s">
        <v>268</v>
      </c>
      <c r="FJ36" s="1"/>
      <c r="FK36" s="57" t="s">
        <v>268</v>
      </c>
      <c r="FL36" s="58" t="s">
        <v>268</v>
      </c>
      <c r="FM36" s="4"/>
      <c r="FN36" s="39" t="s">
        <v>268</v>
      </c>
      <c r="FO36" s="39" t="s">
        <v>268</v>
      </c>
      <c r="FP36" s="1"/>
      <c r="FQ36" s="1"/>
      <c r="FR36" s="1"/>
      <c r="FS36" s="1"/>
      <c r="FT36" s="1"/>
      <c r="FU36" s="1"/>
      <c r="FV36" s="1"/>
      <c r="FW36" s="54" t="s">
        <v>268</v>
      </c>
      <c r="FX36" s="1"/>
      <c r="FY36" s="55" t="s">
        <v>268</v>
      </c>
      <c r="FZ36" s="1"/>
      <c r="GA36" s="1"/>
      <c r="GB36" s="2"/>
      <c r="GC36" s="54" t="s">
        <v>268</v>
      </c>
      <c r="GD36" s="1"/>
      <c r="GE36" s="1"/>
      <c r="GF36" s="1"/>
      <c r="GG36" s="1"/>
      <c r="GH36" s="1"/>
      <c r="GI36" s="1"/>
      <c r="GJ36" s="54" t="s">
        <v>268</v>
      </c>
      <c r="GK36" s="1"/>
      <c r="GL36" s="55" t="s">
        <v>268</v>
      </c>
      <c r="GM36" s="1"/>
      <c r="GN36" s="1"/>
      <c r="GO36" s="2"/>
      <c r="GP36" s="54" t="s">
        <v>268</v>
      </c>
      <c r="GQ36" s="54" t="s">
        <v>268</v>
      </c>
      <c r="GR36" s="54" t="s">
        <v>268</v>
      </c>
      <c r="GS36" s="55" t="s">
        <v>268</v>
      </c>
      <c r="GT36" s="56" t="s">
        <v>268</v>
      </c>
      <c r="GU36" s="54" t="s">
        <v>268</v>
      </c>
      <c r="GV36" s="1"/>
      <c r="GW36" s="57" t="s">
        <v>268</v>
      </c>
      <c r="GX36" s="58" t="s">
        <v>268</v>
      </c>
      <c r="GY36" s="4"/>
      <c r="GZ36" s="39" t="s">
        <v>268</v>
      </c>
      <c r="HA36" s="39" t="s">
        <v>268</v>
      </c>
      <c r="HB36" s="1"/>
      <c r="HC36" s="1"/>
      <c r="HD36" s="1"/>
      <c r="HE36" s="1"/>
      <c r="HF36" s="1"/>
      <c r="HG36" s="1"/>
      <c r="HH36" s="1"/>
      <c r="HI36" s="54" t="s">
        <v>268</v>
      </c>
      <c r="HJ36" s="1"/>
      <c r="HK36" s="55" t="s">
        <v>268</v>
      </c>
      <c r="HL36" s="1"/>
      <c r="HM36" s="1"/>
      <c r="HN36" s="2"/>
      <c r="HO36" s="54" t="s">
        <v>268</v>
      </c>
      <c r="HP36" s="1"/>
      <c r="HQ36" s="1"/>
      <c r="HR36" s="1"/>
      <c r="HS36" s="1"/>
      <c r="HT36" s="1"/>
      <c r="HU36" s="1"/>
      <c r="HV36" s="54" t="s">
        <v>268</v>
      </c>
      <c r="HW36" s="1"/>
      <c r="HX36" s="55" t="s">
        <v>268</v>
      </c>
      <c r="HY36" s="1"/>
      <c r="HZ36" s="1"/>
      <c r="IA36" s="2"/>
      <c r="IB36" s="54" t="s">
        <v>268</v>
      </c>
      <c r="IC36" s="54" t="s">
        <v>268</v>
      </c>
      <c r="ID36" s="54" t="s">
        <v>268</v>
      </c>
      <c r="IE36" s="55" t="s">
        <v>268</v>
      </c>
      <c r="IF36" s="56" t="s">
        <v>268</v>
      </c>
      <c r="IG36" s="54" t="s">
        <v>268</v>
      </c>
      <c r="IH36" s="1"/>
      <c r="II36" s="57" t="s">
        <v>268</v>
      </c>
      <c r="IJ36" s="58" t="s">
        <v>268</v>
      </c>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t="s">
        <v>268</v>
      </c>
      <c r="PU36" s="39" t="s">
        <v>268</v>
      </c>
      <c r="PV36" s="1"/>
      <c r="PW36" s="1"/>
      <c r="PX36" s="1"/>
      <c r="PY36" s="1"/>
      <c r="PZ36" s="1"/>
      <c r="QA36" s="1"/>
      <c r="QB36" s="1"/>
      <c r="QC36" s="54" t="s">
        <v>268</v>
      </c>
      <c r="QD36" s="1"/>
      <c r="QE36" s="55" t="s">
        <v>268</v>
      </c>
      <c r="QF36" s="1"/>
      <c r="QG36" s="1"/>
      <c r="QH36" s="2"/>
      <c r="QI36" s="54" t="s">
        <v>268</v>
      </c>
      <c r="QJ36" s="1"/>
      <c r="QK36" s="1"/>
      <c r="QL36" s="1"/>
      <c r="QM36" s="1"/>
      <c r="QN36" s="1"/>
      <c r="QO36" s="1"/>
      <c r="QP36" s="54" t="s">
        <v>268</v>
      </c>
      <c r="QQ36" s="1"/>
      <c r="QR36" s="55" t="s">
        <v>268</v>
      </c>
      <c r="QS36" s="1"/>
      <c r="QT36" s="1"/>
      <c r="QU36" s="2"/>
      <c r="QV36" s="54" t="s">
        <v>268</v>
      </c>
      <c r="QW36" s="54" t="s">
        <v>268</v>
      </c>
      <c r="QX36" s="54" t="s">
        <v>268</v>
      </c>
      <c r="QY36" s="55" t="s">
        <v>268</v>
      </c>
      <c r="QZ36" s="56" t="s">
        <v>268</v>
      </c>
      <c r="RA36" s="54" t="s">
        <v>268</v>
      </c>
      <c r="RB36" s="1"/>
      <c r="RC36" s="57" t="s">
        <v>268</v>
      </c>
      <c r="RD36" s="58" t="s">
        <v>268</v>
      </c>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t="s">
        <v>268</v>
      </c>
      <c r="UE36" s="39" t="s">
        <v>268</v>
      </c>
      <c r="UF36" s="1"/>
      <c r="UG36" s="1"/>
      <c r="UH36" s="1"/>
      <c r="UI36" s="1"/>
      <c r="UJ36" s="1"/>
      <c r="UK36" s="1"/>
      <c r="UL36" s="1"/>
      <c r="UM36" s="54" t="s">
        <v>268</v>
      </c>
      <c r="UN36" s="1"/>
      <c r="UO36" s="55" t="s">
        <v>268</v>
      </c>
      <c r="UP36" s="1"/>
      <c r="UQ36" s="1"/>
      <c r="UR36" s="2"/>
      <c r="US36" s="54" t="s">
        <v>268</v>
      </c>
      <c r="UT36" s="1"/>
      <c r="UU36" s="1"/>
      <c r="UV36" s="1"/>
      <c r="UW36" s="1"/>
      <c r="UX36" s="1"/>
      <c r="UY36" s="1"/>
      <c r="UZ36" s="54" t="s">
        <v>268</v>
      </c>
      <c r="VA36" s="1"/>
      <c r="VB36" s="55" t="s">
        <v>268</v>
      </c>
      <c r="VC36" s="1"/>
      <c r="VD36" s="1"/>
      <c r="VE36" s="2"/>
      <c r="VF36" s="54" t="s">
        <v>268</v>
      </c>
      <c r="VG36" s="54" t="s">
        <v>268</v>
      </c>
      <c r="VH36" s="54" t="s">
        <v>268</v>
      </c>
      <c r="VI36" s="55" t="s">
        <v>268</v>
      </c>
      <c r="VJ36" s="56" t="s">
        <v>268</v>
      </c>
      <c r="VK36" s="54" t="s">
        <v>268</v>
      </c>
      <c r="VL36" s="1"/>
      <c r="VM36" s="57" t="s">
        <v>268</v>
      </c>
      <c r="VN36" s="58" t="s">
        <v>268</v>
      </c>
      <c r="VO36" s="4"/>
      <c r="VP36" s="39" t="s">
        <v>268</v>
      </c>
      <c r="VQ36" s="39" t="s">
        <v>268</v>
      </c>
      <c r="VR36" s="1"/>
      <c r="VS36" s="1"/>
      <c r="VT36" s="1"/>
      <c r="VU36" s="1"/>
      <c r="VV36" s="1"/>
      <c r="VW36" s="1"/>
      <c r="VX36" s="1"/>
      <c r="VY36" s="54" t="s">
        <v>268</v>
      </c>
      <c r="VZ36" s="1"/>
      <c r="WA36" s="55" t="s">
        <v>268</v>
      </c>
      <c r="WB36" s="1"/>
      <c r="WC36" s="1"/>
      <c r="WD36" s="2"/>
      <c r="WE36" s="54" t="s">
        <v>268</v>
      </c>
      <c r="WF36" s="1"/>
      <c r="WG36" s="1"/>
      <c r="WH36" s="1"/>
      <c r="WI36" s="1"/>
      <c r="WJ36" s="1"/>
      <c r="WK36" s="1"/>
      <c r="WL36" s="54" t="s">
        <v>268</v>
      </c>
      <c r="WM36" s="1"/>
      <c r="WN36" s="55" t="s">
        <v>268</v>
      </c>
      <c r="WO36" s="1"/>
      <c r="WP36" s="1"/>
      <c r="WQ36" s="2"/>
      <c r="WR36" s="54" t="s">
        <v>268</v>
      </c>
      <c r="WS36" s="54" t="s">
        <v>268</v>
      </c>
      <c r="WT36" s="54" t="s">
        <v>268</v>
      </c>
      <c r="WU36" s="55" t="s">
        <v>268</v>
      </c>
      <c r="WV36" s="56" t="s">
        <v>268</v>
      </c>
      <c r="WW36" s="54" t="s">
        <v>268</v>
      </c>
      <c r="WX36" s="1"/>
      <c r="WY36" s="57" t="s">
        <v>268</v>
      </c>
      <c r="WZ36" s="58" t="s">
        <v>268</v>
      </c>
      <c r="XA36" s="4"/>
      <c r="XB36" s="39" t="s">
        <v>268</v>
      </c>
      <c r="XC36" s="39" t="s">
        <v>268</v>
      </c>
      <c r="XD36" s="1"/>
      <c r="XE36" s="1"/>
      <c r="XF36" s="1"/>
      <c r="XG36" s="1"/>
      <c r="XH36" s="1"/>
      <c r="XI36" s="1"/>
      <c r="XJ36" s="1"/>
      <c r="XK36" s="54" t="s">
        <v>268</v>
      </c>
      <c r="XL36" s="1"/>
      <c r="XM36" s="55" t="s">
        <v>268</v>
      </c>
      <c r="XN36" s="1"/>
      <c r="XO36" s="1"/>
      <c r="XP36" s="2"/>
      <c r="XQ36" s="54" t="s">
        <v>268</v>
      </c>
      <c r="XR36" s="1"/>
      <c r="XS36" s="1"/>
      <c r="XT36" s="1"/>
      <c r="XU36" s="1"/>
      <c r="XV36" s="1"/>
      <c r="XW36" s="1"/>
      <c r="XX36" s="54" t="s">
        <v>268</v>
      </c>
      <c r="XY36" s="1"/>
      <c r="XZ36" s="55" t="s">
        <v>268</v>
      </c>
      <c r="YA36" s="1"/>
      <c r="YB36" s="1"/>
      <c r="YC36" s="2"/>
      <c r="YD36" s="54" t="s">
        <v>268</v>
      </c>
      <c r="YE36" s="54" t="s">
        <v>268</v>
      </c>
      <c r="YF36" s="54" t="s">
        <v>268</v>
      </c>
      <c r="YG36" s="55" t="s">
        <v>268</v>
      </c>
      <c r="YH36" s="56" t="s">
        <v>268</v>
      </c>
      <c r="YI36" s="54" t="s">
        <v>268</v>
      </c>
      <c r="YJ36" s="1"/>
      <c r="YK36" s="57" t="s">
        <v>268</v>
      </c>
      <c r="YL36" s="58" t="s">
        <v>268</v>
      </c>
      <c r="YM36" s="4"/>
      <c r="YN36" s="39" t="s">
        <v>268</v>
      </c>
      <c r="YO36" s="39" t="s">
        <v>268</v>
      </c>
      <c r="YP36" s="1"/>
      <c r="YQ36" s="1"/>
      <c r="YR36" s="1"/>
      <c r="YS36" s="1"/>
      <c r="YT36" s="1"/>
      <c r="YU36" s="1"/>
      <c r="YV36" s="1"/>
      <c r="YW36" s="54" t="s">
        <v>268</v>
      </c>
      <c r="YX36" s="1"/>
      <c r="YY36" s="55" t="s">
        <v>268</v>
      </c>
      <c r="YZ36" s="1"/>
      <c r="ZA36" s="1"/>
      <c r="ZB36" s="2"/>
      <c r="ZC36" s="54" t="s">
        <v>268</v>
      </c>
      <c r="ZD36" s="1"/>
      <c r="ZE36" s="1"/>
      <c r="ZF36" s="1"/>
      <c r="ZG36" s="1"/>
      <c r="ZH36" s="1"/>
      <c r="ZI36" s="1"/>
      <c r="ZJ36" s="54" t="s">
        <v>268</v>
      </c>
      <c r="ZK36" s="1"/>
      <c r="ZL36" s="55" t="s">
        <v>268</v>
      </c>
      <c r="ZM36" s="1"/>
      <c r="ZN36" s="1"/>
      <c r="ZO36" s="2"/>
      <c r="ZP36" s="54" t="s">
        <v>268</v>
      </c>
      <c r="ZQ36" s="54" t="s">
        <v>268</v>
      </c>
      <c r="ZR36" s="54" t="s">
        <v>268</v>
      </c>
      <c r="ZS36" s="55" t="s">
        <v>268</v>
      </c>
      <c r="ZT36" s="56" t="s">
        <v>268</v>
      </c>
      <c r="ZU36" s="54" t="s">
        <v>268</v>
      </c>
      <c r="ZV36" s="1"/>
      <c r="ZW36" s="57" t="s">
        <v>268</v>
      </c>
      <c r="ZX36" s="58" t="s">
        <v>268</v>
      </c>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2" customHeight="1" x14ac:dyDescent="0.2">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t="s">
        <v>268</v>
      </c>
      <c r="S37" s="39" t="s">
        <v>268</v>
      </c>
      <c r="T37" s="1"/>
      <c r="U37" s="1"/>
      <c r="V37" s="1"/>
      <c r="W37" s="1"/>
      <c r="X37" s="1"/>
      <c r="Y37" s="1"/>
      <c r="Z37" s="1"/>
      <c r="AA37" s="54" t="s">
        <v>268</v>
      </c>
      <c r="AB37" s="1"/>
      <c r="AC37" s="55" t="s">
        <v>268</v>
      </c>
      <c r="AD37" s="1"/>
      <c r="AE37" s="1"/>
      <c r="AF37" s="2"/>
      <c r="AG37" s="54" t="s">
        <v>268</v>
      </c>
      <c r="AH37" s="1"/>
      <c r="AI37" s="1"/>
      <c r="AJ37" s="1"/>
      <c r="AK37" s="1"/>
      <c r="AL37" s="1"/>
      <c r="AM37" s="1"/>
      <c r="AN37" s="54" t="s">
        <v>268</v>
      </c>
      <c r="AO37" s="1"/>
      <c r="AP37" s="55" t="s">
        <v>268</v>
      </c>
      <c r="AQ37" s="1"/>
      <c r="AR37" s="1"/>
      <c r="AS37" s="2"/>
      <c r="AT37" s="54" t="s">
        <v>268</v>
      </c>
      <c r="AU37" s="54" t="s">
        <v>268</v>
      </c>
      <c r="AV37" s="54" t="s">
        <v>268</v>
      </c>
      <c r="AW37" s="55" t="s">
        <v>268</v>
      </c>
      <c r="AX37" s="56" t="s">
        <v>268</v>
      </c>
      <c r="AY37" s="54" t="s">
        <v>268</v>
      </c>
      <c r="AZ37" s="1"/>
      <c r="BA37" s="57" t="s">
        <v>268</v>
      </c>
      <c r="BB37" s="58" t="s">
        <v>268</v>
      </c>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t="s">
        <v>268</v>
      </c>
      <c r="EC37" s="39" t="s">
        <v>268</v>
      </c>
      <c r="ED37" s="1"/>
      <c r="EE37" s="1"/>
      <c r="EF37" s="1"/>
      <c r="EG37" s="1"/>
      <c r="EH37" s="1"/>
      <c r="EI37" s="1"/>
      <c r="EJ37" s="1"/>
      <c r="EK37" s="54" t="s">
        <v>268</v>
      </c>
      <c r="EL37" s="1"/>
      <c r="EM37" s="55" t="s">
        <v>268</v>
      </c>
      <c r="EN37" s="1"/>
      <c r="EO37" s="1"/>
      <c r="EP37" s="2"/>
      <c r="EQ37" s="54" t="s">
        <v>268</v>
      </c>
      <c r="ER37" s="1"/>
      <c r="ES37" s="1"/>
      <c r="ET37" s="1"/>
      <c r="EU37" s="1"/>
      <c r="EV37" s="1"/>
      <c r="EW37" s="1"/>
      <c r="EX37" s="54" t="s">
        <v>268</v>
      </c>
      <c r="EY37" s="1"/>
      <c r="EZ37" s="55" t="s">
        <v>268</v>
      </c>
      <c r="FA37" s="1"/>
      <c r="FB37" s="1"/>
      <c r="FC37" s="2"/>
      <c r="FD37" s="54" t="s">
        <v>268</v>
      </c>
      <c r="FE37" s="54" t="s">
        <v>268</v>
      </c>
      <c r="FF37" s="54" t="s">
        <v>268</v>
      </c>
      <c r="FG37" s="55" t="s">
        <v>268</v>
      </c>
      <c r="FH37" s="56" t="s">
        <v>268</v>
      </c>
      <c r="FI37" s="54" t="s">
        <v>268</v>
      </c>
      <c r="FJ37" s="1"/>
      <c r="FK37" s="57" t="s">
        <v>268</v>
      </c>
      <c r="FL37" s="58" t="s">
        <v>268</v>
      </c>
      <c r="FM37" s="4"/>
      <c r="FN37" s="39" t="s">
        <v>268</v>
      </c>
      <c r="FO37" s="39" t="s">
        <v>268</v>
      </c>
      <c r="FP37" s="1"/>
      <c r="FQ37" s="1"/>
      <c r="FR37" s="1"/>
      <c r="FS37" s="1"/>
      <c r="FT37" s="1"/>
      <c r="FU37" s="1"/>
      <c r="FV37" s="1"/>
      <c r="FW37" s="54" t="s">
        <v>268</v>
      </c>
      <c r="FX37" s="1"/>
      <c r="FY37" s="55" t="s">
        <v>268</v>
      </c>
      <c r="FZ37" s="1"/>
      <c r="GA37" s="1"/>
      <c r="GB37" s="2"/>
      <c r="GC37" s="54" t="s">
        <v>268</v>
      </c>
      <c r="GD37" s="1"/>
      <c r="GE37" s="1"/>
      <c r="GF37" s="1"/>
      <c r="GG37" s="1"/>
      <c r="GH37" s="1"/>
      <c r="GI37" s="1"/>
      <c r="GJ37" s="54" t="s">
        <v>268</v>
      </c>
      <c r="GK37" s="1"/>
      <c r="GL37" s="55" t="s">
        <v>268</v>
      </c>
      <c r="GM37" s="1"/>
      <c r="GN37" s="1"/>
      <c r="GO37" s="2"/>
      <c r="GP37" s="54" t="s">
        <v>268</v>
      </c>
      <c r="GQ37" s="54" t="s">
        <v>268</v>
      </c>
      <c r="GR37" s="54" t="s">
        <v>268</v>
      </c>
      <c r="GS37" s="55" t="s">
        <v>268</v>
      </c>
      <c r="GT37" s="56" t="s">
        <v>268</v>
      </c>
      <c r="GU37" s="54" t="s">
        <v>268</v>
      </c>
      <c r="GV37" s="1"/>
      <c r="GW37" s="57" t="s">
        <v>268</v>
      </c>
      <c r="GX37" s="58" t="s">
        <v>268</v>
      </c>
      <c r="GY37" s="4"/>
      <c r="GZ37" s="39" t="s">
        <v>268</v>
      </c>
      <c r="HA37" s="39" t="s">
        <v>268</v>
      </c>
      <c r="HB37" s="1"/>
      <c r="HC37" s="1"/>
      <c r="HD37" s="1"/>
      <c r="HE37" s="1"/>
      <c r="HF37" s="1"/>
      <c r="HG37" s="1"/>
      <c r="HH37" s="1"/>
      <c r="HI37" s="54" t="s">
        <v>268</v>
      </c>
      <c r="HJ37" s="1"/>
      <c r="HK37" s="55" t="s">
        <v>268</v>
      </c>
      <c r="HL37" s="1"/>
      <c r="HM37" s="1"/>
      <c r="HN37" s="2"/>
      <c r="HO37" s="54" t="s">
        <v>268</v>
      </c>
      <c r="HP37" s="1"/>
      <c r="HQ37" s="1"/>
      <c r="HR37" s="1"/>
      <c r="HS37" s="1"/>
      <c r="HT37" s="1"/>
      <c r="HU37" s="1"/>
      <c r="HV37" s="54" t="s">
        <v>268</v>
      </c>
      <c r="HW37" s="1"/>
      <c r="HX37" s="55" t="s">
        <v>268</v>
      </c>
      <c r="HY37" s="1"/>
      <c r="HZ37" s="1"/>
      <c r="IA37" s="2"/>
      <c r="IB37" s="54" t="s">
        <v>268</v>
      </c>
      <c r="IC37" s="54" t="s">
        <v>268</v>
      </c>
      <c r="ID37" s="54" t="s">
        <v>268</v>
      </c>
      <c r="IE37" s="55" t="s">
        <v>268</v>
      </c>
      <c r="IF37" s="56" t="s">
        <v>268</v>
      </c>
      <c r="IG37" s="54" t="s">
        <v>268</v>
      </c>
      <c r="IH37" s="1"/>
      <c r="II37" s="57" t="s">
        <v>268</v>
      </c>
      <c r="IJ37" s="58" t="s">
        <v>268</v>
      </c>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t="s">
        <v>268</v>
      </c>
      <c r="PU37" s="39" t="s">
        <v>268</v>
      </c>
      <c r="PV37" s="1"/>
      <c r="PW37" s="1"/>
      <c r="PX37" s="1"/>
      <c r="PY37" s="1"/>
      <c r="PZ37" s="1"/>
      <c r="QA37" s="1"/>
      <c r="QB37" s="1"/>
      <c r="QC37" s="54" t="s">
        <v>268</v>
      </c>
      <c r="QD37" s="1"/>
      <c r="QE37" s="55" t="s">
        <v>268</v>
      </c>
      <c r="QF37" s="1"/>
      <c r="QG37" s="1"/>
      <c r="QH37" s="2"/>
      <c r="QI37" s="54" t="s">
        <v>268</v>
      </c>
      <c r="QJ37" s="1"/>
      <c r="QK37" s="1"/>
      <c r="QL37" s="1"/>
      <c r="QM37" s="1"/>
      <c r="QN37" s="1"/>
      <c r="QO37" s="1"/>
      <c r="QP37" s="54" t="s">
        <v>268</v>
      </c>
      <c r="QQ37" s="1"/>
      <c r="QR37" s="55" t="s">
        <v>268</v>
      </c>
      <c r="QS37" s="1"/>
      <c r="QT37" s="1"/>
      <c r="QU37" s="2"/>
      <c r="QV37" s="54" t="s">
        <v>268</v>
      </c>
      <c r="QW37" s="54" t="s">
        <v>268</v>
      </c>
      <c r="QX37" s="54" t="s">
        <v>268</v>
      </c>
      <c r="QY37" s="55" t="s">
        <v>268</v>
      </c>
      <c r="QZ37" s="56" t="s">
        <v>268</v>
      </c>
      <c r="RA37" s="54" t="s">
        <v>268</v>
      </c>
      <c r="RB37" s="1"/>
      <c r="RC37" s="57" t="s">
        <v>268</v>
      </c>
      <c r="RD37" s="58" t="s">
        <v>268</v>
      </c>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t="s">
        <v>268</v>
      </c>
      <c r="UE37" s="39" t="s">
        <v>268</v>
      </c>
      <c r="UF37" s="1"/>
      <c r="UG37" s="1"/>
      <c r="UH37" s="1"/>
      <c r="UI37" s="1"/>
      <c r="UJ37" s="1"/>
      <c r="UK37" s="1"/>
      <c r="UL37" s="1"/>
      <c r="UM37" s="54" t="s">
        <v>268</v>
      </c>
      <c r="UN37" s="1"/>
      <c r="UO37" s="55" t="s">
        <v>268</v>
      </c>
      <c r="UP37" s="1"/>
      <c r="UQ37" s="1"/>
      <c r="UR37" s="2"/>
      <c r="US37" s="54" t="s">
        <v>268</v>
      </c>
      <c r="UT37" s="1"/>
      <c r="UU37" s="1"/>
      <c r="UV37" s="1"/>
      <c r="UW37" s="1"/>
      <c r="UX37" s="1"/>
      <c r="UY37" s="1"/>
      <c r="UZ37" s="54" t="s">
        <v>268</v>
      </c>
      <c r="VA37" s="1"/>
      <c r="VB37" s="55" t="s">
        <v>268</v>
      </c>
      <c r="VC37" s="1"/>
      <c r="VD37" s="1"/>
      <c r="VE37" s="2"/>
      <c r="VF37" s="54" t="s">
        <v>268</v>
      </c>
      <c r="VG37" s="54" t="s">
        <v>268</v>
      </c>
      <c r="VH37" s="54" t="s">
        <v>268</v>
      </c>
      <c r="VI37" s="55" t="s">
        <v>268</v>
      </c>
      <c r="VJ37" s="56" t="s">
        <v>268</v>
      </c>
      <c r="VK37" s="54" t="s">
        <v>268</v>
      </c>
      <c r="VL37" s="1"/>
      <c r="VM37" s="57" t="s">
        <v>268</v>
      </c>
      <c r="VN37" s="58" t="s">
        <v>268</v>
      </c>
      <c r="VO37" s="4"/>
      <c r="VP37" s="39" t="s">
        <v>268</v>
      </c>
      <c r="VQ37" s="39" t="s">
        <v>268</v>
      </c>
      <c r="VR37" s="1"/>
      <c r="VS37" s="1"/>
      <c r="VT37" s="1"/>
      <c r="VU37" s="1"/>
      <c r="VV37" s="1"/>
      <c r="VW37" s="1"/>
      <c r="VX37" s="1"/>
      <c r="VY37" s="54" t="s">
        <v>268</v>
      </c>
      <c r="VZ37" s="1"/>
      <c r="WA37" s="55" t="s">
        <v>268</v>
      </c>
      <c r="WB37" s="1"/>
      <c r="WC37" s="1"/>
      <c r="WD37" s="2"/>
      <c r="WE37" s="54" t="s">
        <v>268</v>
      </c>
      <c r="WF37" s="1"/>
      <c r="WG37" s="1"/>
      <c r="WH37" s="1"/>
      <c r="WI37" s="1"/>
      <c r="WJ37" s="1"/>
      <c r="WK37" s="1"/>
      <c r="WL37" s="54" t="s">
        <v>268</v>
      </c>
      <c r="WM37" s="1"/>
      <c r="WN37" s="55" t="s">
        <v>268</v>
      </c>
      <c r="WO37" s="1"/>
      <c r="WP37" s="1"/>
      <c r="WQ37" s="2"/>
      <c r="WR37" s="54" t="s">
        <v>268</v>
      </c>
      <c r="WS37" s="54" t="s">
        <v>268</v>
      </c>
      <c r="WT37" s="54" t="s">
        <v>268</v>
      </c>
      <c r="WU37" s="55" t="s">
        <v>268</v>
      </c>
      <c r="WV37" s="56" t="s">
        <v>268</v>
      </c>
      <c r="WW37" s="54" t="s">
        <v>268</v>
      </c>
      <c r="WX37" s="1"/>
      <c r="WY37" s="57" t="s">
        <v>268</v>
      </c>
      <c r="WZ37" s="58" t="s">
        <v>268</v>
      </c>
      <c r="XA37" s="4"/>
      <c r="XB37" s="39" t="s">
        <v>268</v>
      </c>
      <c r="XC37" s="39" t="s">
        <v>268</v>
      </c>
      <c r="XD37" s="1"/>
      <c r="XE37" s="1"/>
      <c r="XF37" s="1"/>
      <c r="XG37" s="1"/>
      <c r="XH37" s="1"/>
      <c r="XI37" s="1"/>
      <c r="XJ37" s="1"/>
      <c r="XK37" s="54" t="s">
        <v>268</v>
      </c>
      <c r="XL37" s="1"/>
      <c r="XM37" s="55" t="s">
        <v>268</v>
      </c>
      <c r="XN37" s="1"/>
      <c r="XO37" s="1"/>
      <c r="XP37" s="2"/>
      <c r="XQ37" s="54" t="s">
        <v>268</v>
      </c>
      <c r="XR37" s="1"/>
      <c r="XS37" s="1"/>
      <c r="XT37" s="1"/>
      <c r="XU37" s="1"/>
      <c r="XV37" s="1"/>
      <c r="XW37" s="1"/>
      <c r="XX37" s="54" t="s">
        <v>268</v>
      </c>
      <c r="XY37" s="1"/>
      <c r="XZ37" s="55" t="s">
        <v>268</v>
      </c>
      <c r="YA37" s="1"/>
      <c r="YB37" s="1"/>
      <c r="YC37" s="2"/>
      <c r="YD37" s="54" t="s">
        <v>268</v>
      </c>
      <c r="YE37" s="54" t="s">
        <v>268</v>
      </c>
      <c r="YF37" s="54" t="s">
        <v>268</v>
      </c>
      <c r="YG37" s="55" t="s">
        <v>268</v>
      </c>
      <c r="YH37" s="56" t="s">
        <v>268</v>
      </c>
      <c r="YI37" s="54" t="s">
        <v>268</v>
      </c>
      <c r="YJ37" s="1"/>
      <c r="YK37" s="57" t="s">
        <v>268</v>
      </c>
      <c r="YL37" s="58" t="s">
        <v>268</v>
      </c>
      <c r="YM37" s="4"/>
      <c r="YN37" s="39" t="s">
        <v>268</v>
      </c>
      <c r="YO37" s="39" t="s">
        <v>268</v>
      </c>
      <c r="YP37" s="1"/>
      <c r="YQ37" s="1"/>
      <c r="YR37" s="1"/>
      <c r="YS37" s="1"/>
      <c r="YT37" s="1"/>
      <c r="YU37" s="1"/>
      <c r="YV37" s="1"/>
      <c r="YW37" s="54" t="s">
        <v>268</v>
      </c>
      <c r="YX37" s="1"/>
      <c r="YY37" s="55" t="s">
        <v>268</v>
      </c>
      <c r="YZ37" s="1"/>
      <c r="ZA37" s="1"/>
      <c r="ZB37" s="2"/>
      <c r="ZC37" s="54" t="s">
        <v>268</v>
      </c>
      <c r="ZD37" s="1"/>
      <c r="ZE37" s="1"/>
      <c r="ZF37" s="1"/>
      <c r="ZG37" s="1"/>
      <c r="ZH37" s="1"/>
      <c r="ZI37" s="1"/>
      <c r="ZJ37" s="54" t="s">
        <v>268</v>
      </c>
      <c r="ZK37" s="1"/>
      <c r="ZL37" s="55" t="s">
        <v>268</v>
      </c>
      <c r="ZM37" s="1"/>
      <c r="ZN37" s="1"/>
      <c r="ZO37" s="2"/>
      <c r="ZP37" s="54" t="s">
        <v>268</v>
      </c>
      <c r="ZQ37" s="54" t="s">
        <v>268</v>
      </c>
      <c r="ZR37" s="54" t="s">
        <v>268</v>
      </c>
      <c r="ZS37" s="55" t="s">
        <v>268</v>
      </c>
      <c r="ZT37" s="56" t="s">
        <v>268</v>
      </c>
      <c r="ZU37" s="54" t="s">
        <v>268</v>
      </c>
      <c r="ZV37" s="1"/>
      <c r="ZW37" s="57" t="s">
        <v>268</v>
      </c>
      <c r="ZX37" s="58" t="s">
        <v>268</v>
      </c>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2" customHeight="1" x14ac:dyDescent="0.2">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t="s">
        <v>268</v>
      </c>
      <c r="S38" s="39" t="s">
        <v>268</v>
      </c>
      <c r="T38" s="1"/>
      <c r="U38" s="1"/>
      <c r="V38" s="1"/>
      <c r="W38" s="1"/>
      <c r="X38" s="1"/>
      <c r="Y38" s="1"/>
      <c r="Z38" s="1"/>
      <c r="AA38" s="54" t="s">
        <v>268</v>
      </c>
      <c r="AB38" s="1"/>
      <c r="AC38" s="55" t="s">
        <v>268</v>
      </c>
      <c r="AD38" s="1"/>
      <c r="AE38" s="1"/>
      <c r="AF38" s="2"/>
      <c r="AG38" s="54" t="s">
        <v>268</v>
      </c>
      <c r="AH38" s="1"/>
      <c r="AI38" s="1"/>
      <c r="AJ38" s="1"/>
      <c r="AK38" s="1"/>
      <c r="AL38" s="1"/>
      <c r="AM38" s="1"/>
      <c r="AN38" s="54" t="s">
        <v>268</v>
      </c>
      <c r="AO38" s="1"/>
      <c r="AP38" s="55" t="s">
        <v>268</v>
      </c>
      <c r="AQ38" s="1"/>
      <c r="AR38" s="1"/>
      <c r="AS38" s="2"/>
      <c r="AT38" s="54" t="s">
        <v>268</v>
      </c>
      <c r="AU38" s="54" t="s">
        <v>268</v>
      </c>
      <c r="AV38" s="54" t="s">
        <v>268</v>
      </c>
      <c r="AW38" s="55" t="s">
        <v>268</v>
      </c>
      <c r="AX38" s="56" t="s">
        <v>268</v>
      </c>
      <c r="AY38" s="54" t="s">
        <v>268</v>
      </c>
      <c r="AZ38" s="1"/>
      <c r="BA38" s="57" t="s">
        <v>268</v>
      </c>
      <c r="BB38" s="58" t="s">
        <v>268</v>
      </c>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t="s">
        <v>268</v>
      </c>
      <c r="EC38" s="39" t="s">
        <v>268</v>
      </c>
      <c r="ED38" s="1"/>
      <c r="EE38" s="1"/>
      <c r="EF38" s="1"/>
      <c r="EG38" s="1"/>
      <c r="EH38" s="1"/>
      <c r="EI38" s="1"/>
      <c r="EJ38" s="1"/>
      <c r="EK38" s="54" t="s">
        <v>268</v>
      </c>
      <c r="EL38" s="1"/>
      <c r="EM38" s="55" t="s">
        <v>268</v>
      </c>
      <c r="EN38" s="1"/>
      <c r="EO38" s="1"/>
      <c r="EP38" s="2"/>
      <c r="EQ38" s="54" t="s">
        <v>268</v>
      </c>
      <c r="ER38" s="1"/>
      <c r="ES38" s="1"/>
      <c r="ET38" s="1"/>
      <c r="EU38" s="1"/>
      <c r="EV38" s="1"/>
      <c r="EW38" s="1"/>
      <c r="EX38" s="54" t="s">
        <v>268</v>
      </c>
      <c r="EY38" s="1"/>
      <c r="EZ38" s="55" t="s">
        <v>268</v>
      </c>
      <c r="FA38" s="1"/>
      <c r="FB38" s="1"/>
      <c r="FC38" s="2"/>
      <c r="FD38" s="54" t="s">
        <v>268</v>
      </c>
      <c r="FE38" s="54" t="s">
        <v>268</v>
      </c>
      <c r="FF38" s="54" t="s">
        <v>268</v>
      </c>
      <c r="FG38" s="55" t="s">
        <v>268</v>
      </c>
      <c r="FH38" s="56" t="s">
        <v>268</v>
      </c>
      <c r="FI38" s="54" t="s">
        <v>268</v>
      </c>
      <c r="FJ38" s="1"/>
      <c r="FK38" s="57" t="s">
        <v>268</v>
      </c>
      <c r="FL38" s="58" t="s">
        <v>268</v>
      </c>
      <c r="FM38" s="4"/>
      <c r="FN38" s="39" t="s">
        <v>268</v>
      </c>
      <c r="FO38" s="39" t="s">
        <v>268</v>
      </c>
      <c r="FP38" s="1"/>
      <c r="FQ38" s="1"/>
      <c r="FR38" s="1"/>
      <c r="FS38" s="1"/>
      <c r="FT38" s="1"/>
      <c r="FU38" s="1"/>
      <c r="FV38" s="1"/>
      <c r="FW38" s="54" t="s">
        <v>268</v>
      </c>
      <c r="FX38" s="1"/>
      <c r="FY38" s="55" t="s">
        <v>268</v>
      </c>
      <c r="FZ38" s="1"/>
      <c r="GA38" s="1"/>
      <c r="GB38" s="2"/>
      <c r="GC38" s="54" t="s">
        <v>268</v>
      </c>
      <c r="GD38" s="1"/>
      <c r="GE38" s="1"/>
      <c r="GF38" s="1"/>
      <c r="GG38" s="1"/>
      <c r="GH38" s="1"/>
      <c r="GI38" s="1"/>
      <c r="GJ38" s="54" t="s">
        <v>268</v>
      </c>
      <c r="GK38" s="1"/>
      <c r="GL38" s="55" t="s">
        <v>268</v>
      </c>
      <c r="GM38" s="1"/>
      <c r="GN38" s="1"/>
      <c r="GO38" s="2"/>
      <c r="GP38" s="54" t="s">
        <v>268</v>
      </c>
      <c r="GQ38" s="54" t="s">
        <v>268</v>
      </c>
      <c r="GR38" s="54" t="s">
        <v>268</v>
      </c>
      <c r="GS38" s="55" t="s">
        <v>268</v>
      </c>
      <c r="GT38" s="56" t="s">
        <v>268</v>
      </c>
      <c r="GU38" s="54" t="s">
        <v>268</v>
      </c>
      <c r="GV38" s="1"/>
      <c r="GW38" s="57" t="s">
        <v>268</v>
      </c>
      <c r="GX38" s="58" t="s">
        <v>268</v>
      </c>
      <c r="GY38" s="4"/>
      <c r="GZ38" s="39" t="s">
        <v>268</v>
      </c>
      <c r="HA38" s="39" t="s">
        <v>268</v>
      </c>
      <c r="HB38" s="1"/>
      <c r="HC38" s="1"/>
      <c r="HD38" s="1"/>
      <c r="HE38" s="1"/>
      <c r="HF38" s="1"/>
      <c r="HG38" s="1"/>
      <c r="HH38" s="1"/>
      <c r="HI38" s="54" t="s">
        <v>268</v>
      </c>
      <c r="HJ38" s="1"/>
      <c r="HK38" s="55" t="s">
        <v>268</v>
      </c>
      <c r="HL38" s="1"/>
      <c r="HM38" s="1"/>
      <c r="HN38" s="2"/>
      <c r="HO38" s="54" t="s">
        <v>268</v>
      </c>
      <c r="HP38" s="1"/>
      <c r="HQ38" s="1"/>
      <c r="HR38" s="1"/>
      <c r="HS38" s="1"/>
      <c r="HT38" s="1"/>
      <c r="HU38" s="1"/>
      <c r="HV38" s="54" t="s">
        <v>268</v>
      </c>
      <c r="HW38" s="1"/>
      <c r="HX38" s="55" t="s">
        <v>268</v>
      </c>
      <c r="HY38" s="1"/>
      <c r="HZ38" s="1"/>
      <c r="IA38" s="2"/>
      <c r="IB38" s="54" t="s">
        <v>268</v>
      </c>
      <c r="IC38" s="54" t="s">
        <v>268</v>
      </c>
      <c r="ID38" s="54" t="s">
        <v>268</v>
      </c>
      <c r="IE38" s="55" t="s">
        <v>268</v>
      </c>
      <c r="IF38" s="56" t="s">
        <v>268</v>
      </c>
      <c r="IG38" s="54" t="s">
        <v>268</v>
      </c>
      <c r="IH38" s="1"/>
      <c r="II38" s="57" t="s">
        <v>268</v>
      </c>
      <c r="IJ38" s="58" t="s">
        <v>268</v>
      </c>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t="s">
        <v>268</v>
      </c>
      <c r="PU38" s="39" t="s">
        <v>268</v>
      </c>
      <c r="PV38" s="1"/>
      <c r="PW38" s="1"/>
      <c r="PX38" s="1"/>
      <c r="PY38" s="1"/>
      <c r="PZ38" s="1"/>
      <c r="QA38" s="1"/>
      <c r="QB38" s="1"/>
      <c r="QC38" s="54" t="s">
        <v>268</v>
      </c>
      <c r="QD38" s="1"/>
      <c r="QE38" s="55" t="s">
        <v>268</v>
      </c>
      <c r="QF38" s="1"/>
      <c r="QG38" s="1"/>
      <c r="QH38" s="2"/>
      <c r="QI38" s="54" t="s">
        <v>268</v>
      </c>
      <c r="QJ38" s="1"/>
      <c r="QK38" s="1"/>
      <c r="QL38" s="1"/>
      <c r="QM38" s="1"/>
      <c r="QN38" s="1"/>
      <c r="QO38" s="1"/>
      <c r="QP38" s="54" t="s">
        <v>268</v>
      </c>
      <c r="QQ38" s="1"/>
      <c r="QR38" s="55" t="s">
        <v>268</v>
      </c>
      <c r="QS38" s="1"/>
      <c r="QT38" s="1"/>
      <c r="QU38" s="2"/>
      <c r="QV38" s="54" t="s">
        <v>268</v>
      </c>
      <c r="QW38" s="54" t="s">
        <v>268</v>
      </c>
      <c r="QX38" s="54" t="s">
        <v>268</v>
      </c>
      <c r="QY38" s="55" t="s">
        <v>268</v>
      </c>
      <c r="QZ38" s="56" t="s">
        <v>268</v>
      </c>
      <c r="RA38" s="54" t="s">
        <v>268</v>
      </c>
      <c r="RB38" s="1"/>
      <c r="RC38" s="57" t="s">
        <v>268</v>
      </c>
      <c r="RD38" s="58" t="s">
        <v>268</v>
      </c>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t="s">
        <v>268</v>
      </c>
      <c r="UE38" s="39" t="s">
        <v>268</v>
      </c>
      <c r="UF38" s="1"/>
      <c r="UG38" s="1"/>
      <c r="UH38" s="1"/>
      <c r="UI38" s="1"/>
      <c r="UJ38" s="1"/>
      <c r="UK38" s="1"/>
      <c r="UL38" s="1"/>
      <c r="UM38" s="54" t="s">
        <v>268</v>
      </c>
      <c r="UN38" s="1"/>
      <c r="UO38" s="55" t="s">
        <v>268</v>
      </c>
      <c r="UP38" s="1"/>
      <c r="UQ38" s="1"/>
      <c r="UR38" s="2"/>
      <c r="US38" s="54" t="s">
        <v>268</v>
      </c>
      <c r="UT38" s="1"/>
      <c r="UU38" s="1"/>
      <c r="UV38" s="1"/>
      <c r="UW38" s="1"/>
      <c r="UX38" s="1"/>
      <c r="UY38" s="1"/>
      <c r="UZ38" s="54" t="s">
        <v>268</v>
      </c>
      <c r="VA38" s="1"/>
      <c r="VB38" s="55" t="s">
        <v>268</v>
      </c>
      <c r="VC38" s="1"/>
      <c r="VD38" s="1"/>
      <c r="VE38" s="2"/>
      <c r="VF38" s="54" t="s">
        <v>268</v>
      </c>
      <c r="VG38" s="54" t="s">
        <v>268</v>
      </c>
      <c r="VH38" s="54" t="s">
        <v>268</v>
      </c>
      <c r="VI38" s="55" t="s">
        <v>268</v>
      </c>
      <c r="VJ38" s="56" t="s">
        <v>268</v>
      </c>
      <c r="VK38" s="54" t="s">
        <v>268</v>
      </c>
      <c r="VL38" s="1"/>
      <c r="VM38" s="57" t="s">
        <v>268</v>
      </c>
      <c r="VN38" s="58" t="s">
        <v>268</v>
      </c>
      <c r="VO38" s="4"/>
      <c r="VP38" s="39" t="s">
        <v>268</v>
      </c>
      <c r="VQ38" s="39" t="s">
        <v>268</v>
      </c>
      <c r="VR38" s="1"/>
      <c r="VS38" s="1"/>
      <c r="VT38" s="1"/>
      <c r="VU38" s="1"/>
      <c r="VV38" s="1"/>
      <c r="VW38" s="1"/>
      <c r="VX38" s="1"/>
      <c r="VY38" s="54" t="s">
        <v>268</v>
      </c>
      <c r="VZ38" s="1"/>
      <c r="WA38" s="55" t="s">
        <v>268</v>
      </c>
      <c r="WB38" s="1"/>
      <c r="WC38" s="1"/>
      <c r="WD38" s="2"/>
      <c r="WE38" s="54" t="s">
        <v>268</v>
      </c>
      <c r="WF38" s="1"/>
      <c r="WG38" s="1"/>
      <c r="WH38" s="1"/>
      <c r="WI38" s="1"/>
      <c r="WJ38" s="1"/>
      <c r="WK38" s="1"/>
      <c r="WL38" s="54" t="s">
        <v>268</v>
      </c>
      <c r="WM38" s="1"/>
      <c r="WN38" s="55" t="s">
        <v>268</v>
      </c>
      <c r="WO38" s="1"/>
      <c r="WP38" s="1"/>
      <c r="WQ38" s="2"/>
      <c r="WR38" s="54" t="s">
        <v>268</v>
      </c>
      <c r="WS38" s="54" t="s">
        <v>268</v>
      </c>
      <c r="WT38" s="54" t="s">
        <v>268</v>
      </c>
      <c r="WU38" s="55" t="s">
        <v>268</v>
      </c>
      <c r="WV38" s="56" t="s">
        <v>268</v>
      </c>
      <c r="WW38" s="54" t="s">
        <v>268</v>
      </c>
      <c r="WX38" s="1"/>
      <c r="WY38" s="57" t="s">
        <v>268</v>
      </c>
      <c r="WZ38" s="58" t="s">
        <v>268</v>
      </c>
      <c r="XA38" s="4"/>
      <c r="XB38" s="39" t="s">
        <v>268</v>
      </c>
      <c r="XC38" s="39" t="s">
        <v>268</v>
      </c>
      <c r="XD38" s="1"/>
      <c r="XE38" s="1"/>
      <c r="XF38" s="1"/>
      <c r="XG38" s="1"/>
      <c r="XH38" s="1"/>
      <c r="XI38" s="1"/>
      <c r="XJ38" s="1"/>
      <c r="XK38" s="54" t="s">
        <v>268</v>
      </c>
      <c r="XL38" s="1"/>
      <c r="XM38" s="55" t="s">
        <v>268</v>
      </c>
      <c r="XN38" s="1"/>
      <c r="XO38" s="1"/>
      <c r="XP38" s="2"/>
      <c r="XQ38" s="54" t="s">
        <v>268</v>
      </c>
      <c r="XR38" s="1"/>
      <c r="XS38" s="1"/>
      <c r="XT38" s="1"/>
      <c r="XU38" s="1"/>
      <c r="XV38" s="1"/>
      <c r="XW38" s="1"/>
      <c r="XX38" s="54" t="s">
        <v>268</v>
      </c>
      <c r="XY38" s="1"/>
      <c r="XZ38" s="55" t="s">
        <v>268</v>
      </c>
      <c r="YA38" s="1"/>
      <c r="YB38" s="1"/>
      <c r="YC38" s="2"/>
      <c r="YD38" s="54" t="s">
        <v>268</v>
      </c>
      <c r="YE38" s="54" t="s">
        <v>268</v>
      </c>
      <c r="YF38" s="54" t="s">
        <v>268</v>
      </c>
      <c r="YG38" s="55" t="s">
        <v>268</v>
      </c>
      <c r="YH38" s="56" t="s">
        <v>268</v>
      </c>
      <c r="YI38" s="54" t="s">
        <v>268</v>
      </c>
      <c r="YJ38" s="1"/>
      <c r="YK38" s="57" t="s">
        <v>268</v>
      </c>
      <c r="YL38" s="58" t="s">
        <v>268</v>
      </c>
      <c r="YM38" s="4"/>
      <c r="YN38" s="39" t="s">
        <v>268</v>
      </c>
      <c r="YO38" s="39" t="s">
        <v>268</v>
      </c>
      <c r="YP38" s="1"/>
      <c r="YQ38" s="1"/>
      <c r="YR38" s="1"/>
      <c r="YS38" s="1"/>
      <c r="YT38" s="1"/>
      <c r="YU38" s="1"/>
      <c r="YV38" s="1"/>
      <c r="YW38" s="54" t="s">
        <v>268</v>
      </c>
      <c r="YX38" s="1"/>
      <c r="YY38" s="55" t="s">
        <v>268</v>
      </c>
      <c r="YZ38" s="1"/>
      <c r="ZA38" s="1"/>
      <c r="ZB38" s="2"/>
      <c r="ZC38" s="54" t="s">
        <v>268</v>
      </c>
      <c r="ZD38" s="1"/>
      <c r="ZE38" s="1"/>
      <c r="ZF38" s="1"/>
      <c r="ZG38" s="1"/>
      <c r="ZH38" s="1"/>
      <c r="ZI38" s="1"/>
      <c r="ZJ38" s="54" t="s">
        <v>268</v>
      </c>
      <c r="ZK38" s="1"/>
      <c r="ZL38" s="55" t="s">
        <v>268</v>
      </c>
      <c r="ZM38" s="1"/>
      <c r="ZN38" s="1"/>
      <c r="ZO38" s="2"/>
      <c r="ZP38" s="54" t="s">
        <v>268</v>
      </c>
      <c r="ZQ38" s="54" t="s">
        <v>268</v>
      </c>
      <c r="ZR38" s="54" t="s">
        <v>268</v>
      </c>
      <c r="ZS38" s="55" t="s">
        <v>268</v>
      </c>
      <c r="ZT38" s="56" t="s">
        <v>268</v>
      </c>
      <c r="ZU38" s="54" t="s">
        <v>268</v>
      </c>
      <c r="ZV38" s="1"/>
      <c r="ZW38" s="57" t="s">
        <v>268</v>
      </c>
      <c r="ZX38" s="58" t="s">
        <v>268</v>
      </c>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2" customHeight="1" x14ac:dyDescent="0.2">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t="s">
        <v>268</v>
      </c>
      <c r="S39" s="39" t="s">
        <v>268</v>
      </c>
      <c r="T39" s="1"/>
      <c r="U39" s="1"/>
      <c r="V39" s="1"/>
      <c r="W39" s="1"/>
      <c r="X39" s="1"/>
      <c r="Y39" s="1"/>
      <c r="Z39" s="1"/>
      <c r="AA39" s="54" t="s">
        <v>268</v>
      </c>
      <c r="AB39" s="1"/>
      <c r="AC39" s="55" t="s">
        <v>268</v>
      </c>
      <c r="AD39" s="1"/>
      <c r="AE39" s="1"/>
      <c r="AF39" s="2"/>
      <c r="AG39" s="54" t="s">
        <v>268</v>
      </c>
      <c r="AH39" s="1"/>
      <c r="AI39" s="1"/>
      <c r="AJ39" s="1"/>
      <c r="AK39" s="1"/>
      <c r="AL39" s="1"/>
      <c r="AM39" s="1"/>
      <c r="AN39" s="54" t="s">
        <v>268</v>
      </c>
      <c r="AO39" s="1"/>
      <c r="AP39" s="55" t="s">
        <v>268</v>
      </c>
      <c r="AQ39" s="1"/>
      <c r="AR39" s="1"/>
      <c r="AS39" s="2"/>
      <c r="AT39" s="54" t="s">
        <v>268</v>
      </c>
      <c r="AU39" s="54" t="s">
        <v>268</v>
      </c>
      <c r="AV39" s="54" t="s">
        <v>268</v>
      </c>
      <c r="AW39" s="55" t="s">
        <v>268</v>
      </c>
      <c r="AX39" s="56" t="s">
        <v>268</v>
      </c>
      <c r="AY39" s="54" t="s">
        <v>268</v>
      </c>
      <c r="AZ39" s="1"/>
      <c r="BA39" s="57" t="s">
        <v>268</v>
      </c>
      <c r="BB39" s="58" t="s">
        <v>268</v>
      </c>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t="s">
        <v>268</v>
      </c>
      <c r="EC39" s="39" t="s">
        <v>268</v>
      </c>
      <c r="ED39" s="1"/>
      <c r="EE39" s="1"/>
      <c r="EF39" s="1"/>
      <c r="EG39" s="1"/>
      <c r="EH39" s="1"/>
      <c r="EI39" s="1"/>
      <c r="EJ39" s="1"/>
      <c r="EK39" s="54" t="s">
        <v>268</v>
      </c>
      <c r="EL39" s="1"/>
      <c r="EM39" s="55" t="s">
        <v>268</v>
      </c>
      <c r="EN39" s="1"/>
      <c r="EO39" s="1"/>
      <c r="EP39" s="2"/>
      <c r="EQ39" s="54" t="s">
        <v>268</v>
      </c>
      <c r="ER39" s="1"/>
      <c r="ES39" s="1"/>
      <c r="ET39" s="1"/>
      <c r="EU39" s="1"/>
      <c r="EV39" s="1"/>
      <c r="EW39" s="1"/>
      <c r="EX39" s="54" t="s">
        <v>268</v>
      </c>
      <c r="EY39" s="1"/>
      <c r="EZ39" s="55" t="s">
        <v>268</v>
      </c>
      <c r="FA39" s="1"/>
      <c r="FB39" s="1"/>
      <c r="FC39" s="2"/>
      <c r="FD39" s="54" t="s">
        <v>268</v>
      </c>
      <c r="FE39" s="54" t="s">
        <v>268</v>
      </c>
      <c r="FF39" s="54" t="s">
        <v>268</v>
      </c>
      <c r="FG39" s="55" t="s">
        <v>268</v>
      </c>
      <c r="FH39" s="56" t="s">
        <v>268</v>
      </c>
      <c r="FI39" s="54" t="s">
        <v>268</v>
      </c>
      <c r="FJ39" s="1"/>
      <c r="FK39" s="57" t="s">
        <v>268</v>
      </c>
      <c r="FL39" s="58" t="s">
        <v>268</v>
      </c>
      <c r="FM39" s="4"/>
      <c r="FN39" s="39" t="s">
        <v>268</v>
      </c>
      <c r="FO39" s="39" t="s">
        <v>268</v>
      </c>
      <c r="FP39" s="1"/>
      <c r="FQ39" s="1"/>
      <c r="FR39" s="1"/>
      <c r="FS39" s="1"/>
      <c r="FT39" s="1"/>
      <c r="FU39" s="1"/>
      <c r="FV39" s="1"/>
      <c r="FW39" s="54" t="s">
        <v>268</v>
      </c>
      <c r="FX39" s="1"/>
      <c r="FY39" s="55" t="s">
        <v>268</v>
      </c>
      <c r="FZ39" s="1"/>
      <c r="GA39" s="1"/>
      <c r="GB39" s="2"/>
      <c r="GC39" s="54" t="s">
        <v>268</v>
      </c>
      <c r="GD39" s="1"/>
      <c r="GE39" s="1"/>
      <c r="GF39" s="1"/>
      <c r="GG39" s="1"/>
      <c r="GH39" s="1"/>
      <c r="GI39" s="1"/>
      <c r="GJ39" s="54" t="s">
        <v>268</v>
      </c>
      <c r="GK39" s="1"/>
      <c r="GL39" s="55" t="s">
        <v>268</v>
      </c>
      <c r="GM39" s="1"/>
      <c r="GN39" s="1"/>
      <c r="GO39" s="2"/>
      <c r="GP39" s="54" t="s">
        <v>268</v>
      </c>
      <c r="GQ39" s="54" t="s">
        <v>268</v>
      </c>
      <c r="GR39" s="54" t="s">
        <v>268</v>
      </c>
      <c r="GS39" s="55" t="s">
        <v>268</v>
      </c>
      <c r="GT39" s="56" t="s">
        <v>268</v>
      </c>
      <c r="GU39" s="54" t="s">
        <v>268</v>
      </c>
      <c r="GV39" s="1"/>
      <c r="GW39" s="57" t="s">
        <v>268</v>
      </c>
      <c r="GX39" s="58" t="s">
        <v>268</v>
      </c>
      <c r="GY39" s="4"/>
      <c r="GZ39" s="39" t="s">
        <v>268</v>
      </c>
      <c r="HA39" s="39" t="s">
        <v>268</v>
      </c>
      <c r="HB39" s="1"/>
      <c r="HC39" s="1"/>
      <c r="HD39" s="1"/>
      <c r="HE39" s="1"/>
      <c r="HF39" s="1"/>
      <c r="HG39" s="1"/>
      <c r="HH39" s="1"/>
      <c r="HI39" s="54" t="s">
        <v>268</v>
      </c>
      <c r="HJ39" s="1"/>
      <c r="HK39" s="55" t="s">
        <v>268</v>
      </c>
      <c r="HL39" s="1"/>
      <c r="HM39" s="1"/>
      <c r="HN39" s="2"/>
      <c r="HO39" s="54" t="s">
        <v>268</v>
      </c>
      <c r="HP39" s="1"/>
      <c r="HQ39" s="1"/>
      <c r="HR39" s="1"/>
      <c r="HS39" s="1"/>
      <c r="HT39" s="1"/>
      <c r="HU39" s="1"/>
      <c r="HV39" s="54" t="s">
        <v>268</v>
      </c>
      <c r="HW39" s="1"/>
      <c r="HX39" s="55" t="s">
        <v>268</v>
      </c>
      <c r="HY39" s="1"/>
      <c r="HZ39" s="1"/>
      <c r="IA39" s="2"/>
      <c r="IB39" s="54" t="s">
        <v>268</v>
      </c>
      <c r="IC39" s="54" t="s">
        <v>268</v>
      </c>
      <c r="ID39" s="54" t="s">
        <v>268</v>
      </c>
      <c r="IE39" s="55" t="s">
        <v>268</v>
      </c>
      <c r="IF39" s="56" t="s">
        <v>268</v>
      </c>
      <c r="IG39" s="54" t="s">
        <v>268</v>
      </c>
      <c r="IH39" s="1"/>
      <c r="II39" s="57" t="s">
        <v>268</v>
      </c>
      <c r="IJ39" s="58" t="s">
        <v>268</v>
      </c>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t="s">
        <v>268</v>
      </c>
      <c r="PU39" s="39" t="s">
        <v>268</v>
      </c>
      <c r="PV39" s="1"/>
      <c r="PW39" s="1"/>
      <c r="PX39" s="1"/>
      <c r="PY39" s="1"/>
      <c r="PZ39" s="1"/>
      <c r="QA39" s="1"/>
      <c r="QB39" s="1"/>
      <c r="QC39" s="54" t="s">
        <v>268</v>
      </c>
      <c r="QD39" s="1"/>
      <c r="QE39" s="55" t="s">
        <v>268</v>
      </c>
      <c r="QF39" s="1"/>
      <c r="QG39" s="1"/>
      <c r="QH39" s="2"/>
      <c r="QI39" s="54" t="s">
        <v>268</v>
      </c>
      <c r="QJ39" s="1"/>
      <c r="QK39" s="1"/>
      <c r="QL39" s="1"/>
      <c r="QM39" s="1"/>
      <c r="QN39" s="1"/>
      <c r="QO39" s="1"/>
      <c r="QP39" s="54" t="s">
        <v>268</v>
      </c>
      <c r="QQ39" s="1"/>
      <c r="QR39" s="55" t="s">
        <v>268</v>
      </c>
      <c r="QS39" s="1"/>
      <c r="QT39" s="1"/>
      <c r="QU39" s="2"/>
      <c r="QV39" s="54" t="s">
        <v>268</v>
      </c>
      <c r="QW39" s="54" t="s">
        <v>268</v>
      </c>
      <c r="QX39" s="54" t="s">
        <v>268</v>
      </c>
      <c r="QY39" s="55" t="s">
        <v>268</v>
      </c>
      <c r="QZ39" s="56" t="s">
        <v>268</v>
      </c>
      <c r="RA39" s="54" t="s">
        <v>268</v>
      </c>
      <c r="RB39" s="1"/>
      <c r="RC39" s="57" t="s">
        <v>268</v>
      </c>
      <c r="RD39" s="58" t="s">
        <v>268</v>
      </c>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t="s">
        <v>268</v>
      </c>
      <c r="UE39" s="39" t="s">
        <v>268</v>
      </c>
      <c r="UF39" s="1"/>
      <c r="UG39" s="1"/>
      <c r="UH39" s="1"/>
      <c r="UI39" s="1"/>
      <c r="UJ39" s="1"/>
      <c r="UK39" s="1"/>
      <c r="UL39" s="1"/>
      <c r="UM39" s="54" t="s">
        <v>268</v>
      </c>
      <c r="UN39" s="1"/>
      <c r="UO39" s="55" t="s">
        <v>268</v>
      </c>
      <c r="UP39" s="1"/>
      <c r="UQ39" s="1"/>
      <c r="UR39" s="2"/>
      <c r="US39" s="54" t="s">
        <v>268</v>
      </c>
      <c r="UT39" s="1"/>
      <c r="UU39" s="1"/>
      <c r="UV39" s="1"/>
      <c r="UW39" s="1"/>
      <c r="UX39" s="1"/>
      <c r="UY39" s="1"/>
      <c r="UZ39" s="54" t="s">
        <v>268</v>
      </c>
      <c r="VA39" s="1"/>
      <c r="VB39" s="55" t="s">
        <v>268</v>
      </c>
      <c r="VC39" s="1"/>
      <c r="VD39" s="1"/>
      <c r="VE39" s="2"/>
      <c r="VF39" s="54" t="s">
        <v>268</v>
      </c>
      <c r="VG39" s="54" t="s">
        <v>268</v>
      </c>
      <c r="VH39" s="54" t="s">
        <v>268</v>
      </c>
      <c r="VI39" s="55" t="s">
        <v>268</v>
      </c>
      <c r="VJ39" s="56" t="s">
        <v>268</v>
      </c>
      <c r="VK39" s="54" t="s">
        <v>268</v>
      </c>
      <c r="VL39" s="1"/>
      <c r="VM39" s="57" t="s">
        <v>268</v>
      </c>
      <c r="VN39" s="58" t="s">
        <v>268</v>
      </c>
      <c r="VO39" s="4"/>
      <c r="VP39" s="39" t="s">
        <v>268</v>
      </c>
      <c r="VQ39" s="39" t="s">
        <v>268</v>
      </c>
      <c r="VR39" s="1"/>
      <c r="VS39" s="1"/>
      <c r="VT39" s="1"/>
      <c r="VU39" s="1"/>
      <c r="VV39" s="1"/>
      <c r="VW39" s="1"/>
      <c r="VX39" s="1"/>
      <c r="VY39" s="54" t="s">
        <v>268</v>
      </c>
      <c r="VZ39" s="1"/>
      <c r="WA39" s="55" t="s">
        <v>268</v>
      </c>
      <c r="WB39" s="1"/>
      <c r="WC39" s="1"/>
      <c r="WD39" s="2"/>
      <c r="WE39" s="54" t="s">
        <v>268</v>
      </c>
      <c r="WF39" s="1"/>
      <c r="WG39" s="1"/>
      <c r="WH39" s="1"/>
      <c r="WI39" s="1"/>
      <c r="WJ39" s="1"/>
      <c r="WK39" s="1"/>
      <c r="WL39" s="54" t="s">
        <v>268</v>
      </c>
      <c r="WM39" s="1"/>
      <c r="WN39" s="55" t="s">
        <v>268</v>
      </c>
      <c r="WO39" s="1"/>
      <c r="WP39" s="1"/>
      <c r="WQ39" s="2"/>
      <c r="WR39" s="54" t="s">
        <v>268</v>
      </c>
      <c r="WS39" s="54" t="s">
        <v>268</v>
      </c>
      <c r="WT39" s="54" t="s">
        <v>268</v>
      </c>
      <c r="WU39" s="55" t="s">
        <v>268</v>
      </c>
      <c r="WV39" s="56" t="s">
        <v>268</v>
      </c>
      <c r="WW39" s="54" t="s">
        <v>268</v>
      </c>
      <c r="WX39" s="1"/>
      <c r="WY39" s="57" t="s">
        <v>268</v>
      </c>
      <c r="WZ39" s="58" t="s">
        <v>268</v>
      </c>
      <c r="XA39" s="4"/>
      <c r="XB39" s="39" t="s">
        <v>268</v>
      </c>
      <c r="XC39" s="39" t="s">
        <v>268</v>
      </c>
      <c r="XD39" s="1"/>
      <c r="XE39" s="1"/>
      <c r="XF39" s="1"/>
      <c r="XG39" s="1"/>
      <c r="XH39" s="1"/>
      <c r="XI39" s="1"/>
      <c r="XJ39" s="1"/>
      <c r="XK39" s="54" t="s">
        <v>268</v>
      </c>
      <c r="XL39" s="1"/>
      <c r="XM39" s="55" t="s">
        <v>268</v>
      </c>
      <c r="XN39" s="1"/>
      <c r="XO39" s="1"/>
      <c r="XP39" s="2"/>
      <c r="XQ39" s="54" t="s">
        <v>268</v>
      </c>
      <c r="XR39" s="1"/>
      <c r="XS39" s="1"/>
      <c r="XT39" s="1"/>
      <c r="XU39" s="1"/>
      <c r="XV39" s="1"/>
      <c r="XW39" s="1"/>
      <c r="XX39" s="54" t="s">
        <v>268</v>
      </c>
      <c r="XY39" s="1"/>
      <c r="XZ39" s="55" t="s">
        <v>268</v>
      </c>
      <c r="YA39" s="1"/>
      <c r="YB39" s="1"/>
      <c r="YC39" s="2"/>
      <c r="YD39" s="54" t="s">
        <v>268</v>
      </c>
      <c r="YE39" s="54" t="s">
        <v>268</v>
      </c>
      <c r="YF39" s="54" t="s">
        <v>268</v>
      </c>
      <c r="YG39" s="55" t="s">
        <v>268</v>
      </c>
      <c r="YH39" s="56" t="s">
        <v>268</v>
      </c>
      <c r="YI39" s="54" t="s">
        <v>268</v>
      </c>
      <c r="YJ39" s="1"/>
      <c r="YK39" s="57" t="s">
        <v>268</v>
      </c>
      <c r="YL39" s="58" t="s">
        <v>268</v>
      </c>
      <c r="YM39" s="4"/>
      <c r="YN39" s="39" t="s">
        <v>268</v>
      </c>
      <c r="YO39" s="39" t="s">
        <v>268</v>
      </c>
      <c r="YP39" s="1"/>
      <c r="YQ39" s="1"/>
      <c r="YR39" s="1"/>
      <c r="YS39" s="1"/>
      <c r="YT39" s="1"/>
      <c r="YU39" s="1"/>
      <c r="YV39" s="1"/>
      <c r="YW39" s="54" t="s">
        <v>268</v>
      </c>
      <c r="YX39" s="1"/>
      <c r="YY39" s="55" t="s">
        <v>268</v>
      </c>
      <c r="YZ39" s="1"/>
      <c r="ZA39" s="1"/>
      <c r="ZB39" s="2"/>
      <c r="ZC39" s="54" t="s">
        <v>268</v>
      </c>
      <c r="ZD39" s="1"/>
      <c r="ZE39" s="1"/>
      <c r="ZF39" s="1"/>
      <c r="ZG39" s="1"/>
      <c r="ZH39" s="1"/>
      <c r="ZI39" s="1"/>
      <c r="ZJ39" s="54" t="s">
        <v>268</v>
      </c>
      <c r="ZK39" s="1"/>
      <c r="ZL39" s="55" t="s">
        <v>268</v>
      </c>
      <c r="ZM39" s="1"/>
      <c r="ZN39" s="1"/>
      <c r="ZO39" s="2"/>
      <c r="ZP39" s="54" t="s">
        <v>268</v>
      </c>
      <c r="ZQ39" s="54" t="s">
        <v>268</v>
      </c>
      <c r="ZR39" s="54" t="s">
        <v>268</v>
      </c>
      <c r="ZS39" s="55" t="s">
        <v>268</v>
      </c>
      <c r="ZT39" s="56" t="s">
        <v>268</v>
      </c>
      <c r="ZU39" s="54" t="s">
        <v>268</v>
      </c>
      <c r="ZV39" s="1"/>
      <c r="ZW39" s="57" t="s">
        <v>268</v>
      </c>
      <c r="ZX39" s="58" t="s">
        <v>268</v>
      </c>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2" customHeight="1" x14ac:dyDescent="0.2">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t="s">
        <v>268</v>
      </c>
      <c r="S40" s="39" t="s">
        <v>268</v>
      </c>
      <c r="T40" s="1"/>
      <c r="U40" s="1"/>
      <c r="V40" s="1"/>
      <c r="W40" s="1"/>
      <c r="X40" s="1"/>
      <c r="Y40" s="1"/>
      <c r="Z40" s="1"/>
      <c r="AA40" s="54" t="s">
        <v>268</v>
      </c>
      <c r="AB40" s="1"/>
      <c r="AC40" s="55" t="s">
        <v>268</v>
      </c>
      <c r="AD40" s="1"/>
      <c r="AE40" s="1"/>
      <c r="AF40" s="2"/>
      <c r="AG40" s="54" t="s">
        <v>268</v>
      </c>
      <c r="AH40" s="1"/>
      <c r="AI40" s="1"/>
      <c r="AJ40" s="1"/>
      <c r="AK40" s="1"/>
      <c r="AL40" s="1"/>
      <c r="AM40" s="1"/>
      <c r="AN40" s="54" t="s">
        <v>268</v>
      </c>
      <c r="AO40" s="1"/>
      <c r="AP40" s="55" t="s">
        <v>268</v>
      </c>
      <c r="AQ40" s="1"/>
      <c r="AR40" s="1"/>
      <c r="AS40" s="2"/>
      <c r="AT40" s="54" t="s">
        <v>268</v>
      </c>
      <c r="AU40" s="54" t="s">
        <v>268</v>
      </c>
      <c r="AV40" s="54" t="s">
        <v>268</v>
      </c>
      <c r="AW40" s="55" t="s">
        <v>268</v>
      </c>
      <c r="AX40" s="56" t="s">
        <v>268</v>
      </c>
      <c r="AY40" s="54" t="s">
        <v>268</v>
      </c>
      <c r="AZ40" s="1"/>
      <c r="BA40" s="57" t="s">
        <v>268</v>
      </c>
      <c r="BB40" s="58" t="s">
        <v>268</v>
      </c>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t="s">
        <v>268</v>
      </c>
      <c r="EC40" s="39" t="s">
        <v>268</v>
      </c>
      <c r="ED40" s="1"/>
      <c r="EE40" s="1"/>
      <c r="EF40" s="1"/>
      <c r="EG40" s="1"/>
      <c r="EH40" s="1"/>
      <c r="EI40" s="1"/>
      <c r="EJ40" s="1"/>
      <c r="EK40" s="54" t="s">
        <v>268</v>
      </c>
      <c r="EL40" s="1"/>
      <c r="EM40" s="55" t="s">
        <v>268</v>
      </c>
      <c r="EN40" s="1"/>
      <c r="EO40" s="1"/>
      <c r="EP40" s="2"/>
      <c r="EQ40" s="54" t="s">
        <v>268</v>
      </c>
      <c r="ER40" s="1"/>
      <c r="ES40" s="1"/>
      <c r="ET40" s="1"/>
      <c r="EU40" s="1"/>
      <c r="EV40" s="1"/>
      <c r="EW40" s="1"/>
      <c r="EX40" s="54" t="s">
        <v>268</v>
      </c>
      <c r="EY40" s="1"/>
      <c r="EZ40" s="55" t="s">
        <v>268</v>
      </c>
      <c r="FA40" s="1"/>
      <c r="FB40" s="1"/>
      <c r="FC40" s="2"/>
      <c r="FD40" s="54" t="s">
        <v>268</v>
      </c>
      <c r="FE40" s="54" t="s">
        <v>268</v>
      </c>
      <c r="FF40" s="54" t="s">
        <v>268</v>
      </c>
      <c r="FG40" s="55" t="s">
        <v>268</v>
      </c>
      <c r="FH40" s="56" t="s">
        <v>268</v>
      </c>
      <c r="FI40" s="54" t="s">
        <v>268</v>
      </c>
      <c r="FJ40" s="1"/>
      <c r="FK40" s="57" t="s">
        <v>268</v>
      </c>
      <c r="FL40" s="58" t="s">
        <v>268</v>
      </c>
      <c r="FM40" s="4"/>
      <c r="FN40" s="39" t="s">
        <v>268</v>
      </c>
      <c r="FO40" s="39" t="s">
        <v>268</v>
      </c>
      <c r="FP40" s="1"/>
      <c r="FQ40" s="1"/>
      <c r="FR40" s="1"/>
      <c r="FS40" s="1"/>
      <c r="FT40" s="1"/>
      <c r="FU40" s="1"/>
      <c r="FV40" s="1"/>
      <c r="FW40" s="54" t="s">
        <v>268</v>
      </c>
      <c r="FX40" s="1"/>
      <c r="FY40" s="55" t="s">
        <v>268</v>
      </c>
      <c r="FZ40" s="1"/>
      <c r="GA40" s="1"/>
      <c r="GB40" s="2"/>
      <c r="GC40" s="54" t="s">
        <v>268</v>
      </c>
      <c r="GD40" s="1"/>
      <c r="GE40" s="1"/>
      <c r="GF40" s="1"/>
      <c r="GG40" s="1"/>
      <c r="GH40" s="1"/>
      <c r="GI40" s="1"/>
      <c r="GJ40" s="54" t="s">
        <v>268</v>
      </c>
      <c r="GK40" s="1"/>
      <c r="GL40" s="55" t="s">
        <v>268</v>
      </c>
      <c r="GM40" s="1"/>
      <c r="GN40" s="1"/>
      <c r="GO40" s="2"/>
      <c r="GP40" s="54" t="s">
        <v>268</v>
      </c>
      <c r="GQ40" s="54" t="s">
        <v>268</v>
      </c>
      <c r="GR40" s="54" t="s">
        <v>268</v>
      </c>
      <c r="GS40" s="55" t="s">
        <v>268</v>
      </c>
      <c r="GT40" s="56" t="s">
        <v>268</v>
      </c>
      <c r="GU40" s="54" t="s">
        <v>268</v>
      </c>
      <c r="GV40" s="1"/>
      <c r="GW40" s="57" t="s">
        <v>268</v>
      </c>
      <c r="GX40" s="58" t="s">
        <v>268</v>
      </c>
      <c r="GY40" s="4"/>
      <c r="GZ40" s="39" t="s">
        <v>268</v>
      </c>
      <c r="HA40" s="39" t="s">
        <v>268</v>
      </c>
      <c r="HB40" s="1"/>
      <c r="HC40" s="1"/>
      <c r="HD40" s="1"/>
      <c r="HE40" s="1"/>
      <c r="HF40" s="1"/>
      <c r="HG40" s="1"/>
      <c r="HH40" s="1"/>
      <c r="HI40" s="54" t="s">
        <v>268</v>
      </c>
      <c r="HJ40" s="1"/>
      <c r="HK40" s="55" t="s">
        <v>268</v>
      </c>
      <c r="HL40" s="1"/>
      <c r="HM40" s="1"/>
      <c r="HN40" s="2"/>
      <c r="HO40" s="54" t="s">
        <v>268</v>
      </c>
      <c r="HP40" s="1"/>
      <c r="HQ40" s="1"/>
      <c r="HR40" s="1"/>
      <c r="HS40" s="1"/>
      <c r="HT40" s="1"/>
      <c r="HU40" s="1"/>
      <c r="HV40" s="54" t="s">
        <v>268</v>
      </c>
      <c r="HW40" s="1"/>
      <c r="HX40" s="55" t="s">
        <v>268</v>
      </c>
      <c r="HY40" s="1"/>
      <c r="HZ40" s="1"/>
      <c r="IA40" s="2"/>
      <c r="IB40" s="54" t="s">
        <v>268</v>
      </c>
      <c r="IC40" s="54" t="s">
        <v>268</v>
      </c>
      <c r="ID40" s="54" t="s">
        <v>268</v>
      </c>
      <c r="IE40" s="55" t="s">
        <v>268</v>
      </c>
      <c r="IF40" s="56" t="s">
        <v>268</v>
      </c>
      <c r="IG40" s="54" t="s">
        <v>268</v>
      </c>
      <c r="IH40" s="1"/>
      <c r="II40" s="57" t="s">
        <v>268</v>
      </c>
      <c r="IJ40" s="58" t="s">
        <v>268</v>
      </c>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t="s">
        <v>268</v>
      </c>
      <c r="PU40" s="39" t="s">
        <v>268</v>
      </c>
      <c r="PV40" s="1"/>
      <c r="PW40" s="1"/>
      <c r="PX40" s="1"/>
      <c r="PY40" s="1"/>
      <c r="PZ40" s="1"/>
      <c r="QA40" s="1"/>
      <c r="QB40" s="1"/>
      <c r="QC40" s="54" t="s">
        <v>268</v>
      </c>
      <c r="QD40" s="1"/>
      <c r="QE40" s="55" t="s">
        <v>268</v>
      </c>
      <c r="QF40" s="1"/>
      <c r="QG40" s="1"/>
      <c r="QH40" s="2"/>
      <c r="QI40" s="54" t="s">
        <v>268</v>
      </c>
      <c r="QJ40" s="1"/>
      <c r="QK40" s="1"/>
      <c r="QL40" s="1"/>
      <c r="QM40" s="1"/>
      <c r="QN40" s="1"/>
      <c r="QO40" s="1"/>
      <c r="QP40" s="54" t="s">
        <v>268</v>
      </c>
      <c r="QQ40" s="1"/>
      <c r="QR40" s="55" t="s">
        <v>268</v>
      </c>
      <c r="QS40" s="1"/>
      <c r="QT40" s="1"/>
      <c r="QU40" s="2"/>
      <c r="QV40" s="54" t="s">
        <v>268</v>
      </c>
      <c r="QW40" s="54" t="s">
        <v>268</v>
      </c>
      <c r="QX40" s="54" t="s">
        <v>268</v>
      </c>
      <c r="QY40" s="55" t="s">
        <v>268</v>
      </c>
      <c r="QZ40" s="56" t="s">
        <v>268</v>
      </c>
      <c r="RA40" s="54" t="s">
        <v>268</v>
      </c>
      <c r="RB40" s="1"/>
      <c r="RC40" s="57" t="s">
        <v>268</v>
      </c>
      <c r="RD40" s="58" t="s">
        <v>268</v>
      </c>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t="s">
        <v>268</v>
      </c>
      <c r="UE40" s="39" t="s">
        <v>268</v>
      </c>
      <c r="UF40" s="1"/>
      <c r="UG40" s="1"/>
      <c r="UH40" s="1"/>
      <c r="UI40" s="1"/>
      <c r="UJ40" s="1"/>
      <c r="UK40" s="1"/>
      <c r="UL40" s="1"/>
      <c r="UM40" s="54" t="s">
        <v>268</v>
      </c>
      <c r="UN40" s="1"/>
      <c r="UO40" s="55" t="s">
        <v>268</v>
      </c>
      <c r="UP40" s="1"/>
      <c r="UQ40" s="1"/>
      <c r="UR40" s="2"/>
      <c r="US40" s="54" t="s">
        <v>268</v>
      </c>
      <c r="UT40" s="1"/>
      <c r="UU40" s="1"/>
      <c r="UV40" s="1"/>
      <c r="UW40" s="1"/>
      <c r="UX40" s="1"/>
      <c r="UY40" s="1"/>
      <c r="UZ40" s="54" t="s">
        <v>268</v>
      </c>
      <c r="VA40" s="1"/>
      <c r="VB40" s="55" t="s">
        <v>268</v>
      </c>
      <c r="VC40" s="1"/>
      <c r="VD40" s="1"/>
      <c r="VE40" s="2"/>
      <c r="VF40" s="54" t="s">
        <v>268</v>
      </c>
      <c r="VG40" s="54" t="s">
        <v>268</v>
      </c>
      <c r="VH40" s="54" t="s">
        <v>268</v>
      </c>
      <c r="VI40" s="55" t="s">
        <v>268</v>
      </c>
      <c r="VJ40" s="56" t="s">
        <v>268</v>
      </c>
      <c r="VK40" s="54" t="s">
        <v>268</v>
      </c>
      <c r="VL40" s="1"/>
      <c r="VM40" s="57" t="s">
        <v>268</v>
      </c>
      <c r="VN40" s="58" t="s">
        <v>268</v>
      </c>
      <c r="VO40" s="4"/>
      <c r="VP40" s="39" t="s">
        <v>268</v>
      </c>
      <c r="VQ40" s="39" t="s">
        <v>268</v>
      </c>
      <c r="VR40" s="1"/>
      <c r="VS40" s="1"/>
      <c r="VT40" s="1"/>
      <c r="VU40" s="1"/>
      <c r="VV40" s="1"/>
      <c r="VW40" s="1"/>
      <c r="VX40" s="1"/>
      <c r="VY40" s="54" t="s">
        <v>268</v>
      </c>
      <c r="VZ40" s="1"/>
      <c r="WA40" s="55" t="s">
        <v>268</v>
      </c>
      <c r="WB40" s="1"/>
      <c r="WC40" s="1"/>
      <c r="WD40" s="2"/>
      <c r="WE40" s="54" t="s">
        <v>268</v>
      </c>
      <c r="WF40" s="1"/>
      <c r="WG40" s="1"/>
      <c r="WH40" s="1"/>
      <c r="WI40" s="1"/>
      <c r="WJ40" s="1"/>
      <c r="WK40" s="1"/>
      <c r="WL40" s="54" t="s">
        <v>268</v>
      </c>
      <c r="WM40" s="1"/>
      <c r="WN40" s="55" t="s">
        <v>268</v>
      </c>
      <c r="WO40" s="1"/>
      <c r="WP40" s="1"/>
      <c r="WQ40" s="2"/>
      <c r="WR40" s="54" t="s">
        <v>268</v>
      </c>
      <c r="WS40" s="54" t="s">
        <v>268</v>
      </c>
      <c r="WT40" s="54" t="s">
        <v>268</v>
      </c>
      <c r="WU40" s="55" t="s">
        <v>268</v>
      </c>
      <c r="WV40" s="56" t="s">
        <v>268</v>
      </c>
      <c r="WW40" s="54" t="s">
        <v>268</v>
      </c>
      <c r="WX40" s="1"/>
      <c r="WY40" s="57" t="s">
        <v>268</v>
      </c>
      <c r="WZ40" s="58" t="s">
        <v>268</v>
      </c>
      <c r="XA40" s="4"/>
      <c r="XB40" s="39" t="s">
        <v>268</v>
      </c>
      <c r="XC40" s="39" t="s">
        <v>268</v>
      </c>
      <c r="XD40" s="1"/>
      <c r="XE40" s="1"/>
      <c r="XF40" s="1"/>
      <c r="XG40" s="1"/>
      <c r="XH40" s="1"/>
      <c r="XI40" s="1"/>
      <c r="XJ40" s="1"/>
      <c r="XK40" s="54" t="s">
        <v>268</v>
      </c>
      <c r="XL40" s="1"/>
      <c r="XM40" s="55" t="s">
        <v>268</v>
      </c>
      <c r="XN40" s="1"/>
      <c r="XO40" s="1"/>
      <c r="XP40" s="2"/>
      <c r="XQ40" s="54" t="s">
        <v>268</v>
      </c>
      <c r="XR40" s="1"/>
      <c r="XS40" s="1"/>
      <c r="XT40" s="1"/>
      <c r="XU40" s="1"/>
      <c r="XV40" s="1"/>
      <c r="XW40" s="1"/>
      <c r="XX40" s="54" t="s">
        <v>268</v>
      </c>
      <c r="XY40" s="1"/>
      <c r="XZ40" s="55" t="s">
        <v>268</v>
      </c>
      <c r="YA40" s="1"/>
      <c r="YB40" s="1"/>
      <c r="YC40" s="2"/>
      <c r="YD40" s="54" t="s">
        <v>268</v>
      </c>
      <c r="YE40" s="54" t="s">
        <v>268</v>
      </c>
      <c r="YF40" s="54" t="s">
        <v>268</v>
      </c>
      <c r="YG40" s="55" t="s">
        <v>268</v>
      </c>
      <c r="YH40" s="56" t="s">
        <v>268</v>
      </c>
      <c r="YI40" s="54" t="s">
        <v>268</v>
      </c>
      <c r="YJ40" s="1"/>
      <c r="YK40" s="57" t="s">
        <v>268</v>
      </c>
      <c r="YL40" s="58" t="s">
        <v>268</v>
      </c>
      <c r="YM40" s="4"/>
      <c r="YN40" s="39" t="s">
        <v>268</v>
      </c>
      <c r="YO40" s="39" t="s">
        <v>268</v>
      </c>
      <c r="YP40" s="1"/>
      <c r="YQ40" s="1"/>
      <c r="YR40" s="1"/>
      <c r="YS40" s="1"/>
      <c r="YT40" s="1"/>
      <c r="YU40" s="1"/>
      <c r="YV40" s="1"/>
      <c r="YW40" s="54" t="s">
        <v>268</v>
      </c>
      <c r="YX40" s="1"/>
      <c r="YY40" s="55" t="s">
        <v>268</v>
      </c>
      <c r="YZ40" s="1"/>
      <c r="ZA40" s="1"/>
      <c r="ZB40" s="2"/>
      <c r="ZC40" s="54" t="s">
        <v>268</v>
      </c>
      <c r="ZD40" s="1"/>
      <c r="ZE40" s="1"/>
      <c r="ZF40" s="1"/>
      <c r="ZG40" s="1"/>
      <c r="ZH40" s="1"/>
      <c r="ZI40" s="1"/>
      <c r="ZJ40" s="54" t="s">
        <v>268</v>
      </c>
      <c r="ZK40" s="1"/>
      <c r="ZL40" s="55" t="s">
        <v>268</v>
      </c>
      <c r="ZM40" s="1"/>
      <c r="ZN40" s="1"/>
      <c r="ZO40" s="2"/>
      <c r="ZP40" s="54" t="s">
        <v>268</v>
      </c>
      <c r="ZQ40" s="54" t="s">
        <v>268</v>
      </c>
      <c r="ZR40" s="54" t="s">
        <v>268</v>
      </c>
      <c r="ZS40" s="55" t="s">
        <v>268</v>
      </c>
      <c r="ZT40" s="56" t="s">
        <v>268</v>
      </c>
      <c r="ZU40" s="54" t="s">
        <v>268</v>
      </c>
      <c r="ZV40" s="1"/>
      <c r="ZW40" s="57" t="s">
        <v>268</v>
      </c>
      <c r="ZX40" s="58" t="s">
        <v>268</v>
      </c>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2" customHeight="1" x14ac:dyDescent="0.2">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t="s">
        <v>268</v>
      </c>
      <c r="S41" s="39" t="s">
        <v>268</v>
      </c>
      <c r="T41" s="1"/>
      <c r="U41" s="1"/>
      <c r="V41" s="1"/>
      <c r="W41" s="1"/>
      <c r="X41" s="1"/>
      <c r="Y41" s="1"/>
      <c r="Z41" s="1"/>
      <c r="AA41" s="54" t="s">
        <v>268</v>
      </c>
      <c r="AB41" s="1"/>
      <c r="AC41" s="55" t="s">
        <v>268</v>
      </c>
      <c r="AD41" s="1"/>
      <c r="AE41" s="1"/>
      <c r="AF41" s="2"/>
      <c r="AG41" s="54" t="s">
        <v>268</v>
      </c>
      <c r="AH41" s="1"/>
      <c r="AI41" s="1"/>
      <c r="AJ41" s="1"/>
      <c r="AK41" s="1"/>
      <c r="AL41" s="1"/>
      <c r="AM41" s="1"/>
      <c r="AN41" s="54" t="s">
        <v>268</v>
      </c>
      <c r="AO41" s="1"/>
      <c r="AP41" s="55" t="s">
        <v>268</v>
      </c>
      <c r="AQ41" s="1"/>
      <c r="AR41" s="1"/>
      <c r="AS41" s="2"/>
      <c r="AT41" s="54" t="s">
        <v>268</v>
      </c>
      <c r="AU41" s="54" t="s">
        <v>268</v>
      </c>
      <c r="AV41" s="54" t="s">
        <v>268</v>
      </c>
      <c r="AW41" s="55" t="s">
        <v>268</v>
      </c>
      <c r="AX41" s="56" t="s">
        <v>268</v>
      </c>
      <c r="AY41" s="54" t="s">
        <v>268</v>
      </c>
      <c r="AZ41" s="1"/>
      <c r="BA41" s="57" t="s">
        <v>268</v>
      </c>
      <c r="BB41" s="58" t="s">
        <v>268</v>
      </c>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t="s">
        <v>268</v>
      </c>
      <c r="EC41" s="39" t="s">
        <v>268</v>
      </c>
      <c r="ED41" s="1"/>
      <c r="EE41" s="1"/>
      <c r="EF41" s="1"/>
      <c r="EG41" s="1"/>
      <c r="EH41" s="1"/>
      <c r="EI41" s="1"/>
      <c r="EJ41" s="1"/>
      <c r="EK41" s="54" t="s">
        <v>268</v>
      </c>
      <c r="EL41" s="1"/>
      <c r="EM41" s="55" t="s">
        <v>268</v>
      </c>
      <c r="EN41" s="1"/>
      <c r="EO41" s="1"/>
      <c r="EP41" s="2"/>
      <c r="EQ41" s="54" t="s">
        <v>268</v>
      </c>
      <c r="ER41" s="1"/>
      <c r="ES41" s="1"/>
      <c r="ET41" s="1"/>
      <c r="EU41" s="1"/>
      <c r="EV41" s="1"/>
      <c r="EW41" s="1"/>
      <c r="EX41" s="54" t="s">
        <v>268</v>
      </c>
      <c r="EY41" s="1"/>
      <c r="EZ41" s="55" t="s">
        <v>268</v>
      </c>
      <c r="FA41" s="1"/>
      <c r="FB41" s="1"/>
      <c r="FC41" s="2"/>
      <c r="FD41" s="54" t="s">
        <v>268</v>
      </c>
      <c r="FE41" s="54" t="s">
        <v>268</v>
      </c>
      <c r="FF41" s="54" t="s">
        <v>268</v>
      </c>
      <c r="FG41" s="55" t="s">
        <v>268</v>
      </c>
      <c r="FH41" s="56" t="s">
        <v>268</v>
      </c>
      <c r="FI41" s="54" t="s">
        <v>268</v>
      </c>
      <c r="FJ41" s="1"/>
      <c r="FK41" s="57" t="s">
        <v>268</v>
      </c>
      <c r="FL41" s="58" t="s">
        <v>268</v>
      </c>
      <c r="FM41" s="4"/>
      <c r="FN41" s="39" t="s">
        <v>268</v>
      </c>
      <c r="FO41" s="39" t="s">
        <v>268</v>
      </c>
      <c r="FP41" s="1"/>
      <c r="FQ41" s="1"/>
      <c r="FR41" s="1"/>
      <c r="FS41" s="1"/>
      <c r="FT41" s="1"/>
      <c r="FU41" s="1"/>
      <c r="FV41" s="1"/>
      <c r="FW41" s="54" t="s">
        <v>268</v>
      </c>
      <c r="FX41" s="1"/>
      <c r="FY41" s="55" t="s">
        <v>268</v>
      </c>
      <c r="FZ41" s="1"/>
      <c r="GA41" s="1"/>
      <c r="GB41" s="2"/>
      <c r="GC41" s="54" t="s">
        <v>268</v>
      </c>
      <c r="GD41" s="1"/>
      <c r="GE41" s="1"/>
      <c r="GF41" s="1"/>
      <c r="GG41" s="1"/>
      <c r="GH41" s="1"/>
      <c r="GI41" s="1"/>
      <c r="GJ41" s="54" t="s">
        <v>268</v>
      </c>
      <c r="GK41" s="1"/>
      <c r="GL41" s="55" t="s">
        <v>268</v>
      </c>
      <c r="GM41" s="1"/>
      <c r="GN41" s="1"/>
      <c r="GO41" s="2"/>
      <c r="GP41" s="54" t="s">
        <v>268</v>
      </c>
      <c r="GQ41" s="54" t="s">
        <v>268</v>
      </c>
      <c r="GR41" s="54" t="s">
        <v>268</v>
      </c>
      <c r="GS41" s="55" t="s">
        <v>268</v>
      </c>
      <c r="GT41" s="56" t="s">
        <v>268</v>
      </c>
      <c r="GU41" s="54" t="s">
        <v>268</v>
      </c>
      <c r="GV41" s="1"/>
      <c r="GW41" s="57" t="s">
        <v>268</v>
      </c>
      <c r="GX41" s="58" t="s">
        <v>268</v>
      </c>
      <c r="GY41" s="4"/>
      <c r="GZ41" s="39" t="s">
        <v>268</v>
      </c>
      <c r="HA41" s="39" t="s">
        <v>268</v>
      </c>
      <c r="HB41" s="1"/>
      <c r="HC41" s="1"/>
      <c r="HD41" s="1"/>
      <c r="HE41" s="1"/>
      <c r="HF41" s="1"/>
      <c r="HG41" s="1"/>
      <c r="HH41" s="1"/>
      <c r="HI41" s="54" t="s">
        <v>268</v>
      </c>
      <c r="HJ41" s="1"/>
      <c r="HK41" s="55" t="s">
        <v>268</v>
      </c>
      <c r="HL41" s="1"/>
      <c r="HM41" s="1"/>
      <c r="HN41" s="2"/>
      <c r="HO41" s="54" t="s">
        <v>268</v>
      </c>
      <c r="HP41" s="1"/>
      <c r="HQ41" s="1"/>
      <c r="HR41" s="1"/>
      <c r="HS41" s="1"/>
      <c r="HT41" s="1"/>
      <c r="HU41" s="1"/>
      <c r="HV41" s="54" t="s">
        <v>268</v>
      </c>
      <c r="HW41" s="1"/>
      <c r="HX41" s="55" t="s">
        <v>268</v>
      </c>
      <c r="HY41" s="1"/>
      <c r="HZ41" s="1"/>
      <c r="IA41" s="2"/>
      <c r="IB41" s="54" t="s">
        <v>268</v>
      </c>
      <c r="IC41" s="54" t="s">
        <v>268</v>
      </c>
      <c r="ID41" s="54" t="s">
        <v>268</v>
      </c>
      <c r="IE41" s="55" t="s">
        <v>268</v>
      </c>
      <c r="IF41" s="56" t="s">
        <v>268</v>
      </c>
      <c r="IG41" s="54" t="s">
        <v>268</v>
      </c>
      <c r="IH41" s="1"/>
      <c r="II41" s="57" t="s">
        <v>268</v>
      </c>
      <c r="IJ41" s="58" t="s">
        <v>268</v>
      </c>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t="s">
        <v>268</v>
      </c>
      <c r="PU41" s="39" t="s">
        <v>268</v>
      </c>
      <c r="PV41" s="1"/>
      <c r="PW41" s="1"/>
      <c r="PX41" s="1"/>
      <c r="PY41" s="1"/>
      <c r="PZ41" s="1"/>
      <c r="QA41" s="1"/>
      <c r="QB41" s="1"/>
      <c r="QC41" s="54" t="s">
        <v>268</v>
      </c>
      <c r="QD41" s="1"/>
      <c r="QE41" s="55" t="s">
        <v>268</v>
      </c>
      <c r="QF41" s="1"/>
      <c r="QG41" s="1"/>
      <c r="QH41" s="2"/>
      <c r="QI41" s="54" t="s">
        <v>268</v>
      </c>
      <c r="QJ41" s="1"/>
      <c r="QK41" s="1"/>
      <c r="QL41" s="1"/>
      <c r="QM41" s="1"/>
      <c r="QN41" s="1"/>
      <c r="QO41" s="1"/>
      <c r="QP41" s="54" t="s">
        <v>268</v>
      </c>
      <c r="QQ41" s="1"/>
      <c r="QR41" s="55" t="s">
        <v>268</v>
      </c>
      <c r="QS41" s="1"/>
      <c r="QT41" s="1"/>
      <c r="QU41" s="2"/>
      <c r="QV41" s="54" t="s">
        <v>268</v>
      </c>
      <c r="QW41" s="54" t="s">
        <v>268</v>
      </c>
      <c r="QX41" s="54" t="s">
        <v>268</v>
      </c>
      <c r="QY41" s="55" t="s">
        <v>268</v>
      </c>
      <c r="QZ41" s="56" t="s">
        <v>268</v>
      </c>
      <c r="RA41" s="54" t="s">
        <v>268</v>
      </c>
      <c r="RB41" s="1"/>
      <c r="RC41" s="57" t="s">
        <v>268</v>
      </c>
      <c r="RD41" s="58" t="s">
        <v>268</v>
      </c>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t="s">
        <v>268</v>
      </c>
      <c r="UE41" s="39" t="s">
        <v>268</v>
      </c>
      <c r="UF41" s="1"/>
      <c r="UG41" s="1"/>
      <c r="UH41" s="1"/>
      <c r="UI41" s="1"/>
      <c r="UJ41" s="1"/>
      <c r="UK41" s="1"/>
      <c r="UL41" s="1"/>
      <c r="UM41" s="54" t="s">
        <v>268</v>
      </c>
      <c r="UN41" s="1"/>
      <c r="UO41" s="55" t="s">
        <v>268</v>
      </c>
      <c r="UP41" s="1"/>
      <c r="UQ41" s="1"/>
      <c r="UR41" s="2"/>
      <c r="US41" s="54" t="s">
        <v>268</v>
      </c>
      <c r="UT41" s="1"/>
      <c r="UU41" s="1"/>
      <c r="UV41" s="1"/>
      <c r="UW41" s="1"/>
      <c r="UX41" s="1"/>
      <c r="UY41" s="1"/>
      <c r="UZ41" s="54" t="s">
        <v>268</v>
      </c>
      <c r="VA41" s="1"/>
      <c r="VB41" s="55" t="s">
        <v>268</v>
      </c>
      <c r="VC41" s="1"/>
      <c r="VD41" s="1"/>
      <c r="VE41" s="2"/>
      <c r="VF41" s="54" t="s">
        <v>268</v>
      </c>
      <c r="VG41" s="54" t="s">
        <v>268</v>
      </c>
      <c r="VH41" s="54" t="s">
        <v>268</v>
      </c>
      <c r="VI41" s="55" t="s">
        <v>268</v>
      </c>
      <c r="VJ41" s="56" t="s">
        <v>268</v>
      </c>
      <c r="VK41" s="54" t="s">
        <v>268</v>
      </c>
      <c r="VL41" s="1"/>
      <c r="VM41" s="57" t="s">
        <v>268</v>
      </c>
      <c r="VN41" s="58" t="s">
        <v>268</v>
      </c>
      <c r="VO41" s="4"/>
      <c r="VP41" s="39" t="s">
        <v>268</v>
      </c>
      <c r="VQ41" s="39" t="s">
        <v>268</v>
      </c>
      <c r="VR41" s="1"/>
      <c r="VS41" s="1"/>
      <c r="VT41" s="1"/>
      <c r="VU41" s="1"/>
      <c r="VV41" s="1"/>
      <c r="VW41" s="1"/>
      <c r="VX41" s="1"/>
      <c r="VY41" s="54" t="s">
        <v>268</v>
      </c>
      <c r="VZ41" s="1"/>
      <c r="WA41" s="55" t="s">
        <v>268</v>
      </c>
      <c r="WB41" s="1"/>
      <c r="WC41" s="1"/>
      <c r="WD41" s="2"/>
      <c r="WE41" s="54" t="s">
        <v>268</v>
      </c>
      <c r="WF41" s="1"/>
      <c r="WG41" s="1"/>
      <c r="WH41" s="1"/>
      <c r="WI41" s="1"/>
      <c r="WJ41" s="1"/>
      <c r="WK41" s="1"/>
      <c r="WL41" s="54" t="s">
        <v>268</v>
      </c>
      <c r="WM41" s="1"/>
      <c r="WN41" s="55" t="s">
        <v>268</v>
      </c>
      <c r="WO41" s="1"/>
      <c r="WP41" s="1"/>
      <c r="WQ41" s="2"/>
      <c r="WR41" s="54" t="s">
        <v>268</v>
      </c>
      <c r="WS41" s="54" t="s">
        <v>268</v>
      </c>
      <c r="WT41" s="54" t="s">
        <v>268</v>
      </c>
      <c r="WU41" s="55" t="s">
        <v>268</v>
      </c>
      <c r="WV41" s="56" t="s">
        <v>268</v>
      </c>
      <c r="WW41" s="54" t="s">
        <v>268</v>
      </c>
      <c r="WX41" s="1"/>
      <c r="WY41" s="57" t="s">
        <v>268</v>
      </c>
      <c r="WZ41" s="58" t="s">
        <v>268</v>
      </c>
      <c r="XA41" s="4"/>
      <c r="XB41" s="39" t="s">
        <v>268</v>
      </c>
      <c r="XC41" s="39" t="s">
        <v>268</v>
      </c>
      <c r="XD41" s="1"/>
      <c r="XE41" s="1"/>
      <c r="XF41" s="1"/>
      <c r="XG41" s="1"/>
      <c r="XH41" s="1"/>
      <c r="XI41" s="1"/>
      <c r="XJ41" s="1"/>
      <c r="XK41" s="54" t="s">
        <v>268</v>
      </c>
      <c r="XL41" s="1"/>
      <c r="XM41" s="55" t="s">
        <v>268</v>
      </c>
      <c r="XN41" s="1"/>
      <c r="XO41" s="1"/>
      <c r="XP41" s="2"/>
      <c r="XQ41" s="54" t="s">
        <v>268</v>
      </c>
      <c r="XR41" s="1"/>
      <c r="XS41" s="1"/>
      <c r="XT41" s="1"/>
      <c r="XU41" s="1"/>
      <c r="XV41" s="1"/>
      <c r="XW41" s="1"/>
      <c r="XX41" s="54" t="s">
        <v>268</v>
      </c>
      <c r="XY41" s="1"/>
      <c r="XZ41" s="55" t="s">
        <v>268</v>
      </c>
      <c r="YA41" s="1"/>
      <c r="YB41" s="1"/>
      <c r="YC41" s="2"/>
      <c r="YD41" s="54" t="s">
        <v>268</v>
      </c>
      <c r="YE41" s="54" t="s">
        <v>268</v>
      </c>
      <c r="YF41" s="54" t="s">
        <v>268</v>
      </c>
      <c r="YG41" s="55" t="s">
        <v>268</v>
      </c>
      <c r="YH41" s="56" t="s">
        <v>268</v>
      </c>
      <c r="YI41" s="54" t="s">
        <v>268</v>
      </c>
      <c r="YJ41" s="1"/>
      <c r="YK41" s="57" t="s">
        <v>268</v>
      </c>
      <c r="YL41" s="58" t="s">
        <v>268</v>
      </c>
      <c r="YM41" s="4"/>
      <c r="YN41" s="39" t="s">
        <v>268</v>
      </c>
      <c r="YO41" s="39" t="s">
        <v>268</v>
      </c>
      <c r="YP41" s="1"/>
      <c r="YQ41" s="1"/>
      <c r="YR41" s="1"/>
      <c r="YS41" s="1"/>
      <c r="YT41" s="1"/>
      <c r="YU41" s="1"/>
      <c r="YV41" s="1"/>
      <c r="YW41" s="54" t="s">
        <v>268</v>
      </c>
      <c r="YX41" s="1"/>
      <c r="YY41" s="55" t="s">
        <v>268</v>
      </c>
      <c r="YZ41" s="1"/>
      <c r="ZA41" s="1"/>
      <c r="ZB41" s="2"/>
      <c r="ZC41" s="54" t="s">
        <v>268</v>
      </c>
      <c r="ZD41" s="1"/>
      <c r="ZE41" s="1"/>
      <c r="ZF41" s="1"/>
      <c r="ZG41" s="1"/>
      <c r="ZH41" s="1"/>
      <c r="ZI41" s="1"/>
      <c r="ZJ41" s="54" t="s">
        <v>268</v>
      </c>
      <c r="ZK41" s="1"/>
      <c r="ZL41" s="55" t="s">
        <v>268</v>
      </c>
      <c r="ZM41" s="1"/>
      <c r="ZN41" s="1"/>
      <c r="ZO41" s="2"/>
      <c r="ZP41" s="54" t="s">
        <v>268</v>
      </c>
      <c r="ZQ41" s="54" t="s">
        <v>268</v>
      </c>
      <c r="ZR41" s="54" t="s">
        <v>268</v>
      </c>
      <c r="ZS41" s="55" t="s">
        <v>268</v>
      </c>
      <c r="ZT41" s="56" t="s">
        <v>268</v>
      </c>
      <c r="ZU41" s="54" t="s">
        <v>268</v>
      </c>
      <c r="ZV41" s="1"/>
      <c r="ZW41" s="57" t="s">
        <v>268</v>
      </c>
      <c r="ZX41" s="58" t="s">
        <v>268</v>
      </c>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2" customHeight="1" x14ac:dyDescent="0.2">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t="s">
        <v>268</v>
      </c>
      <c r="S42" s="39" t="s">
        <v>268</v>
      </c>
      <c r="T42" s="1"/>
      <c r="U42" s="1"/>
      <c r="V42" s="1"/>
      <c r="W42" s="1"/>
      <c r="X42" s="1"/>
      <c r="Y42" s="1"/>
      <c r="Z42" s="1"/>
      <c r="AA42" s="54" t="s">
        <v>268</v>
      </c>
      <c r="AB42" s="1"/>
      <c r="AC42" s="55" t="s">
        <v>268</v>
      </c>
      <c r="AD42" s="1"/>
      <c r="AE42" s="1"/>
      <c r="AF42" s="2"/>
      <c r="AG42" s="54" t="s">
        <v>268</v>
      </c>
      <c r="AH42" s="1"/>
      <c r="AI42" s="1"/>
      <c r="AJ42" s="1"/>
      <c r="AK42" s="1"/>
      <c r="AL42" s="1"/>
      <c r="AM42" s="1"/>
      <c r="AN42" s="54" t="s">
        <v>268</v>
      </c>
      <c r="AO42" s="1"/>
      <c r="AP42" s="55" t="s">
        <v>268</v>
      </c>
      <c r="AQ42" s="1"/>
      <c r="AR42" s="1"/>
      <c r="AS42" s="2"/>
      <c r="AT42" s="54" t="s">
        <v>268</v>
      </c>
      <c r="AU42" s="54" t="s">
        <v>268</v>
      </c>
      <c r="AV42" s="54" t="s">
        <v>268</v>
      </c>
      <c r="AW42" s="55" t="s">
        <v>268</v>
      </c>
      <c r="AX42" s="56" t="s">
        <v>268</v>
      </c>
      <c r="AY42" s="54" t="s">
        <v>268</v>
      </c>
      <c r="AZ42" s="1"/>
      <c r="BA42" s="57" t="s">
        <v>268</v>
      </c>
      <c r="BB42" s="58" t="s">
        <v>268</v>
      </c>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t="s">
        <v>268</v>
      </c>
      <c r="EC42" s="39" t="s">
        <v>268</v>
      </c>
      <c r="ED42" s="1"/>
      <c r="EE42" s="1"/>
      <c r="EF42" s="1"/>
      <c r="EG42" s="1"/>
      <c r="EH42" s="1"/>
      <c r="EI42" s="1"/>
      <c r="EJ42" s="1"/>
      <c r="EK42" s="54" t="s">
        <v>268</v>
      </c>
      <c r="EL42" s="1"/>
      <c r="EM42" s="55" t="s">
        <v>268</v>
      </c>
      <c r="EN42" s="1"/>
      <c r="EO42" s="1"/>
      <c r="EP42" s="2"/>
      <c r="EQ42" s="54" t="s">
        <v>268</v>
      </c>
      <c r="ER42" s="1"/>
      <c r="ES42" s="1"/>
      <c r="ET42" s="1"/>
      <c r="EU42" s="1"/>
      <c r="EV42" s="1"/>
      <c r="EW42" s="1"/>
      <c r="EX42" s="54" t="s">
        <v>268</v>
      </c>
      <c r="EY42" s="1"/>
      <c r="EZ42" s="55" t="s">
        <v>268</v>
      </c>
      <c r="FA42" s="1"/>
      <c r="FB42" s="1"/>
      <c r="FC42" s="2"/>
      <c r="FD42" s="54" t="s">
        <v>268</v>
      </c>
      <c r="FE42" s="54" t="s">
        <v>268</v>
      </c>
      <c r="FF42" s="54" t="s">
        <v>268</v>
      </c>
      <c r="FG42" s="55" t="s">
        <v>268</v>
      </c>
      <c r="FH42" s="56" t="s">
        <v>268</v>
      </c>
      <c r="FI42" s="54" t="s">
        <v>268</v>
      </c>
      <c r="FJ42" s="1"/>
      <c r="FK42" s="57" t="s">
        <v>268</v>
      </c>
      <c r="FL42" s="58" t="s">
        <v>268</v>
      </c>
      <c r="FM42" s="4"/>
      <c r="FN42" s="39" t="s">
        <v>268</v>
      </c>
      <c r="FO42" s="39" t="s">
        <v>268</v>
      </c>
      <c r="FP42" s="1"/>
      <c r="FQ42" s="1"/>
      <c r="FR42" s="1"/>
      <c r="FS42" s="1"/>
      <c r="FT42" s="1"/>
      <c r="FU42" s="1"/>
      <c r="FV42" s="1"/>
      <c r="FW42" s="54" t="s">
        <v>268</v>
      </c>
      <c r="FX42" s="1"/>
      <c r="FY42" s="55" t="s">
        <v>268</v>
      </c>
      <c r="FZ42" s="1"/>
      <c r="GA42" s="1"/>
      <c r="GB42" s="2"/>
      <c r="GC42" s="54" t="s">
        <v>268</v>
      </c>
      <c r="GD42" s="1"/>
      <c r="GE42" s="1"/>
      <c r="GF42" s="1"/>
      <c r="GG42" s="1"/>
      <c r="GH42" s="1"/>
      <c r="GI42" s="1"/>
      <c r="GJ42" s="54" t="s">
        <v>268</v>
      </c>
      <c r="GK42" s="1"/>
      <c r="GL42" s="55" t="s">
        <v>268</v>
      </c>
      <c r="GM42" s="1"/>
      <c r="GN42" s="1"/>
      <c r="GO42" s="2"/>
      <c r="GP42" s="54" t="s">
        <v>268</v>
      </c>
      <c r="GQ42" s="54" t="s">
        <v>268</v>
      </c>
      <c r="GR42" s="54" t="s">
        <v>268</v>
      </c>
      <c r="GS42" s="55" t="s">
        <v>268</v>
      </c>
      <c r="GT42" s="56" t="s">
        <v>268</v>
      </c>
      <c r="GU42" s="54" t="s">
        <v>268</v>
      </c>
      <c r="GV42" s="1"/>
      <c r="GW42" s="57" t="s">
        <v>268</v>
      </c>
      <c r="GX42" s="58" t="s">
        <v>268</v>
      </c>
      <c r="GY42" s="4"/>
      <c r="GZ42" s="39" t="s">
        <v>268</v>
      </c>
      <c r="HA42" s="39" t="s">
        <v>268</v>
      </c>
      <c r="HB42" s="1"/>
      <c r="HC42" s="1"/>
      <c r="HD42" s="1"/>
      <c r="HE42" s="1"/>
      <c r="HF42" s="1"/>
      <c r="HG42" s="1"/>
      <c r="HH42" s="1"/>
      <c r="HI42" s="54" t="s">
        <v>268</v>
      </c>
      <c r="HJ42" s="1"/>
      <c r="HK42" s="55" t="s">
        <v>268</v>
      </c>
      <c r="HL42" s="1"/>
      <c r="HM42" s="1"/>
      <c r="HN42" s="2"/>
      <c r="HO42" s="54" t="s">
        <v>268</v>
      </c>
      <c r="HP42" s="1"/>
      <c r="HQ42" s="1"/>
      <c r="HR42" s="1"/>
      <c r="HS42" s="1"/>
      <c r="HT42" s="1"/>
      <c r="HU42" s="1"/>
      <c r="HV42" s="54" t="s">
        <v>268</v>
      </c>
      <c r="HW42" s="1"/>
      <c r="HX42" s="55" t="s">
        <v>268</v>
      </c>
      <c r="HY42" s="1"/>
      <c r="HZ42" s="1"/>
      <c r="IA42" s="2"/>
      <c r="IB42" s="54" t="s">
        <v>268</v>
      </c>
      <c r="IC42" s="54" t="s">
        <v>268</v>
      </c>
      <c r="ID42" s="54" t="s">
        <v>268</v>
      </c>
      <c r="IE42" s="55" t="s">
        <v>268</v>
      </c>
      <c r="IF42" s="56" t="s">
        <v>268</v>
      </c>
      <c r="IG42" s="54" t="s">
        <v>268</v>
      </c>
      <c r="IH42" s="1"/>
      <c r="II42" s="57" t="s">
        <v>268</v>
      </c>
      <c r="IJ42" s="58" t="s">
        <v>268</v>
      </c>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t="s">
        <v>268</v>
      </c>
      <c r="PU42" s="39" t="s">
        <v>268</v>
      </c>
      <c r="PV42" s="1"/>
      <c r="PW42" s="1"/>
      <c r="PX42" s="1"/>
      <c r="PY42" s="1"/>
      <c r="PZ42" s="1"/>
      <c r="QA42" s="1"/>
      <c r="QB42" s="1"/>
      <c r="QC42" s="54" t="s">
        <v>268</v>
      </c>
      <c r="QD42" s="1"/>
      <c r="QE42" s="55" t="s">
        <v>268</v>
      </c>
      <c r="QF42" s="1"/>
      <c r="QG42" s="1"/>
      <c r="QH42" s="2"/>
      <c r="QI42" s="54" t="s">
        <v>268</v>
      </c>
      <c r="QJ42" s="1"/>
      <c r="QK42" s="1"/>
      <c r="QL42" s="1"/>
      <c r="QM42" s="1"/>
      <c r="QN42" s="1"/>
      <c r="QO42" s="1"/>
      <c r="QP42" s="54" t="s">
        <v>268</v>
      </c>
      <c r="QQ42" s="1"/>
      <c r="QR42" s="55" t="s">
        <v>268</v>
      </c>
      <c r="QS42" s="1"/>
      <c r="QT42" s="1"/>
      <c r="QU42" s="2"/>
      <c r="QV42" s="54" t="s">
        <v>268</v>
      </c>
      <c r="QW42" s="54" t="s">
        <v>268</v>
      </c>
      <c r="QX42" s="54" t="s">
        <v>268</v>
      </c>
      <c r="QY42" s="55" t="s">
        <v>268</v>
      </c>
      <c r="QZ42" s="56" t="s">
        <v>268</v>
      </c>
      <c r="RA42" s="54" t="s">
        <v>268</v>
      </c>
      <c r="RB42" s="1"/>
      <c r="RC42" s="57" t="s">
        <v>268</v>
      </c>
      <c r="RD42" s="58" t="s">
        <v>268</v>
      </c>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t="s">
        <v>268</v>
      </c>
      <c r="UE42" s="39" t="s">
        <v>268</v>
      </c>
      <c r="UF42" s="1"/>
      <c r="UG42" s="1"/>
      <c r="UH42" s="1"/>
      <c r="UI42" s="1"/>
      <c r="UJ42" s="1"/>
      <c r="UK42" s="1"/>
      <c r="UL42" s="1"/>
      <c r="UM42" s="54" t="s">
        <v>268</v>
      </c>
      <c r="UN42" s="1"/>
      <c r="UO42" s="55" t="s">
        <v>268</v>
      </c>
      <c r="UP42" s="1"/>
      <c r="UQ42" s="1"/>
      <c r="UR42" s="2"/>
      <c r="US42" s="54" t="s">
        <v>268</v>
      </c>
      <c r="UT42" s="1"/>
      <c r="UU42" s="1"/>
      <c r="UV42" s="1"/>
      <c r="UW42" s="1"/>
      <c r="UX42" s="1"/>
      <c r="UY42" s="1"/>
      <c r="UZ42" s="54" t="s">
        <v>268</v>
      </c>
      <c r="VA42" s="1"/>
      <c r="VB42" s="55" t="s">
        <v>268</v>
      </c>
      <c r="VC42" s="1"/>
      <c r="VD42" s="1"/>
      <c r="VE42" s="2"/>
      <c r="VF42" s="54" t="s">
        <v>268</v>
      </c>
      <c r="VG42" s="54" t="s">
        <v>268</v>
      </c>
      <c r="VH42" s="54" t="s">
        <v>268</v>
      </c>
      <c r="VI42" s="55" t="s">
        <v>268</v>
      </c>
      <c r="VJ42" s="56" t="s">
        <v>268</v>
      </c>
      <c r="VK42" s="54" t="s">
        <v>268</v>
      </c>
      <c r="VL42" s="1"/>
      <c r="VM42" s="57" t="s">
        <v>268</v>
      </c>
      <c r="VN42" s="58" t="s">
        <v>268</v>
      </c>
      <c r="VO42" s="4"/>
      <c r="VP42" s="39" t="s">
        <v>268</v>
      </c>
      <c r="VQ42" s="39" t="s">
        <v>268</v>
      </c>
      <c r="VR42" s="1"/>
      <c r="VS42" s="1"/>
      <c r="VT42" s="1"/>
      <c r="VU42" s="1"/>
      <c r="VV42" s="1"/>
      <c r="VW42" s="1"/>
      <c r="VX42" s="1"/>
      <c r="VY42" s="54" t="s">
        <v>268</v>
      </c>
      <c r="VZ42" s="1"/>
      <c r="WA42" s="55" t="s">
        <v>268</v>
      </c>
      <c r="WB42" s="1"/>
      <c r="WC42" s="1"/>
      <c r="WD42" s="2"/>
      <c r="WE42" s="54" t="s">
        <v>268</v>
      </c>
      <c r="WF42" s="1"/>
      <c r="WG42" s="1"/>
      <c r="WH42" s="1"/>
      <c r="WI42" s="1"/>
      <c r="WJ42" s="1"/>
      <c r="WK42" s="1"/>
      <c r="WL42" s="54" t="s">
        <v>268</v>
      </c>
      <c r="WM42" s="1"/>
      <c r="WN42" s="55" t="s">
        <v>268</v>
      </c>
      <c r="WO42" s="1"/>
      <c r="WP42" s="1"/>
      <c r="WQ42" s="2"/>
      <c r="WR42" s="54" t="s">
        <v>268</v>
      </c>
      <c r="WS42" s="54" t="s">
        <v>268</v>
      </c>
      <c r="WT42" s="54" t="s">
        <v>268</v>
      </c>
      <c r="WU42" s="55" t="s">
        <v>268</v>
      </c>
      <c r="WV42" s="56" t="s">
        <v>268</v>
      </c>
      <c r="WW42" s="54" t="s">
        <v>268</v>
      </c>
      <c r="WX42" s="1"/>
      <c r="WY42" s="57" t="s">
        <v>268</v>
      </c>
      <c r="WZ42" s="58" t="s">
        <v>268</v>
      </c>
      <c r="XA42" s="4"/>
      <c r="XB42" s="39" t="s">
        <v>268</v>
      </c>
      <c r="XC42" s="39" t="s">
        <v>268</v>
      </c>
      <c r="XD42" s="1"/>
      <c r="XE42" s="1"/>
      <c r="XF42" s="1"/>
      <c r="XG42" s="1"/>
      <c r="XH42" s="1"/>
      <c r="XI42" s="1"/>
      <c r="XJ42" s="1"/>
      <c r="XK42" s="54" t="s">
        <v>268</v>
      </c>
      <c r="XL42" s="1"/>
      <c r="XM42" s="55" t="s">
        <v>268</v>
      </c>
      <c r="XN42" s="1"/>
      <c r="XO42" s="1"/>
      <c r="XP42" s="2"/>
      <c r="XQ42" s="54" t="s">
        <v>268</v>
      </c>
      <c r="XR42" s="1"/>
      <c r="XS42" s="1"/>
      <c r="XT42" s="1"/>
      <c r="XU42" s="1"/>
      <c r="XV42" s="1"/>
      <c r="XW42" s="1"/>
      <c r="XX42" s="54" t="s">
        <v>268</v>
      </c>
      <c r="XY42" s="1"/>
      <c r="XZ42" s="55" t="s">
        <v>268</v>
      </c>
      <c r="YA42" s="1"/>
      <c r="YB42" s="1"/>
      <c r="YC42" s="2"/>
      <c r="YD42" s="54" t="s">
        <v>268</v>
      </c>
      <c r="YE42" s="54" t="s">
        <v>268</v>
      </c>
      <c r="YF42" s="54" t="s">
        <v>268</v>
      </c>
      <c r="YG42" s="55" t="s">
        <v>268</v>
      </c>
      <c r="YH42" s="56" t="s">
        <v>268</v>
      </c>
      <c r="YI42" s="54" t="s">
        <v>268</v>
      </c>
      <c r="YJ42" s="1"/>
      <c r="YK42" s="57" t="s">
        <v>268</v>
      </c>
      <c r="YL42" s="58" t="s">
        <v>268</v>
      </c>
      <c r="YM42" s="4"/>
      <c r="YN42" s="39" t="s">
        <v>268</v>
      </c>
      <c r="YO42" s="39" t="s">
        <v>268</v>
      </c>
      <c r="YP42" s="1"/>
      <c r="YQ42" s="1"/>
      <c r="YR42" s="1"/>
      <c r="YS42" s="1"/>
      <c r="YT42" s="1"/>
      <c r="YU42" s="1"/>
      <c r="YV42" s="1"/>
      <c r="YW42" s="54" t="s">
        <v>268</v>
      </c>
      <c r="YX42" s="1"/>
      <c r="YY42" s="55" t="s">
        <v>268</v>
      </c>
      <c r="YZ42" s="1"/>
      <c r="ZA42" s="1"/>
      <c r="ZB42" s="2"/>
      <c r="ZC42" s="54" t="s">
        <v>268</v>
      </c>
      <c r="ZD42" s="1"/>
      <c r="ZE42" s="1"/>
      <c r="ZF42" s="1"/>
      <c r="ZG42" s="1"/>
      <c r="ZH42" s="1"/>
      <c r="ZI42" s="1"/>
      <c r="ZJ42" s="54" t="s">
        <v>268</v>
      </c>
      <c r="ZK42" s="1"/>
      <c r="ZL42" s="55" t="s">
        <v>268</v>
      </c>
      <c r="ZM42" s="1"/>
      <c r="ZN42" s="1"/>
      <c r="ZO42" s="2"/>
      <c r="ZP42" s="54" t="s">
        <v>268</v>
      </c>
      <c r="ZQ42" s="54" t="s">
        <v>268</v>
      </c>
      <c r="ZR42" s="54" t="s">
        <v>268</v>
      </c>
      <c r="ZS42" s="55" t="s">
        <v>268</v>
      </c>
      <c r="ZT42" s="56" t="s">
        <v>268</v>
      </c>
      <c r="ZU42" s="54" t="s">
        <v>268</v>
      </c>
      <c r="ZV42" s="1"/>
      <c r="ZW42" s="57" t="s">
        <v>268</v>
      </c>
      <c r="ZX42" s="58" t="s">
        <v>268</v>
      </c>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2" customHeight="1" x14ac:dyDescent="0.2">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t="s">
        <v>268</v>
      </c>
      <c r="S43" s="39" t="s">
        <v>268</v>
      </c>
      <c r="T43" s="1"/>
      <c r="U43" s="1"/>
      <c r="V43" s="1"/>
      <c r="W43" s="1"/>
      <c r="X43" s="1"/>
      <c r="Y43" s="1"/>
      <c r="Z43" s="1"/>
      <c r="AA43" s="54" t="s">
        <v>268</v>
      </c>
      <c r="AB43" s="1"/>
      <c r="AC43" s="55" t="s">
        <v>268</v>
      </c>
      <c r="AD43" s="1"/>
      <c r="AE43" s="1"/>
      <c r="AF43" s="2"/>
      <c r="AG43" s="54" t="s">
        <v>268</v>
      </c>
      <c r="AH43" s="1"/>
      <c r="AI43" s="1"/>
      <c r="AJ43" s="1"/>
      <c r="AK43" s="1"/>
      <c r="AL43" s="1"/>
      <c r="AM43" s="1"/>
      <c r="AN43" s="54" t="s">
        <v>268</v>
      </c>
      <c r="AO43" s="1"/>
      <c r="AP43" s="55" t="s">
        <v>268</v>
      </c>
      <c r="AQ43" s="1"/>
      <c r="AR43" s="1"/>
      <c r="AS43" s="2"/>
      <c r="AT43" s="54" t="s">
        <v>268</v>
      </c>
      <c r="AU43" s="54" t="s">
        <v>268</v>
      </c>
      <c r="AV43" s="54" t="s">
        <v>268</v>
      </c>
      <c r="AW43" s="55" t="s">
        <v>268</v>
      </c>
      <c r="AX43" s="56" t="s">
        <v>268</v>
      </c>
      <c r="AY43" s="54" t="s">
        <v>268</v>
      </c>
      <c r="AZ43" s="1"/>
      <c r="BA43" s="57" t="s">
        <v>268</v>
      </c>
      <c r="BB43" s="58" t="s">
        <v>268</v>
      </c>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t="s">
        <v>268</v>
      </c>
      <c r="EC43" s="39" t="s">
        <v>268</v>
      </c>
      <c r="ED43" s="1"/>
      <c r="EE43" s="1"/>
      <c r="EF43" s="1"/>
      <c r="EG43" s="1"/>
      <c r="EH43" s="1"/>
      <c r="EI43" s="1"/>
      <c r="EJ43" s="1"/>
      <c r="EK43" s="54" t="s">
        <v>268</v>
      </c>
      <c r="EL43" s="1"/>
      <c r="EM43" s="55" t="s">
        <v>268</v>
      </c>
      <c r="EN43" s="1"/>
      <c r="EO43" s="1"/>
      <c r="EP43" s="2"/>
      <c r="EQ43" s="54" t="s">
        <v>268</v>
      </c>
      <c r="ER43" s="1"/>
      <c r="ES43" s="1"/>
      <c r="ET43" s="1"/>
      <c r="EU43" s="1"/>
      <c r="EV43" s="1"/>
      <c r="EW43" s="1"/>
      <c r="EX43" s="54" t="s">
        <v>268</v>
      </c>
      <c r="EY43" s="1"/>
      <c r="EZ43" s="55" t="s">
        <v>268</v>
      </c>
      <c r="FA43" s="1"/>
      <c r="FB43" s="1"/>
      <c r="FC43" s="2"/>
      <c r="FD43" s="54" t="s">
        <v>268</v>
      </c>
      <c r="FE43" s="54" t="s">
        <v>268</v>
      </c>
      <c r="FF43" s="54" t="s">
        <v>268</v>
      </c>
      <c r="FG43" s="55" t="s">
        <v>268</v>
      </c>
      <c r="FH43" s="56" t="s">
        <v>268</v>
      </c>
      <c r="FI43" s="54" t="s">
        <v>268</v>
      </c>
      <c r="FJ43" s="1"/>
      <c r="FK43" s="57" t="s">
        <v>268</v>
      </c>
      <c r="FL43" s="58" t="s">
        <v>268</v>
      </c>
      <c r="FM43" s="4"/>
      <c r="FN43" s="39" t="s">
        <v>268</v>
      </c>
      <c r="FO43" s="39" t="s">
        <v>268</v>
      </c>
      <c r="FP43" s="1"/>
      <c r="FQ43" s="1"/>
      <c r="FR43" s="1"/>
      <c r="FS43" s="1"/>
      <c r="FT43" s="1"/>
      <c r="FU43" s="1"/>
      <c r="FV43" s="1"/>
      <c r="FW43" s="54" t="s">
        <v>268</v>
      </c>
      <c r="FX43" s="1"/>
      <c r="FY43" s="55" t="s">
        <v>268</v>
      </c>
      <c r="FZ43" s="1"/>
      <c r="GA43" s="1"/>
      <c r="GB43" s="2"/>
      <c r="GC43" s="54" t="s">
        <v>268</v>
      </c>
      <c r="GD43" s="1"/>
      <c r="GE43" s="1"/>
      <c r="GF43" s="1"/>
      <c r="GG43" s="1"/>
      <c r="GH43" s="1"/>
      <c r="GI43" s="1"/>
      <c r="GJ43" s="54" t="s">
        <v>268</v>
      </c>
      <c r="GK43" s="1"/>
      <c r="GL43" s="55" t="s">
        <v>268</v>
      </c>
      <c r="GM43" s="1"/>
      <c r="GN43" s="1"/>
      <c r="GO43" s="2"/>
      <c r="GP43" s="54" t="s">
        <v>268</v>
      </c>
      <c r="GQ43" s="54" t="s">
        <v>268</v>
      </c>
      <c r="GR43" s="54" t="s">
        <v>268</v>
      </c>
      <c r="GS43" s="55" t="s">
        <v>268</v>
      </c>
      <c r="GT43" s="56" t="s">
        <v>268</v>
      </c>
      <c r="GU43" s="54" t="s">
        <v>268</v>
      </c>
      <c r="GV43" s="1"/>
      <c r="GW43" s="57" t="s">
        <v>268</v>
      </c>
      <c r="GX43" s="58" t="s">
        <v>268</v>
      </c>
      <c r="GY43" s="4"/>
      <c r="GZ43" s="39" t="s">
        <v>268</v>
      </c>
      <c r="HA43" s="39" t="s">
        <v>268</v>
      </c>
      <c r="HB43" s="1"/>
      <c r="HC43" s="1"/>
      <c r="HD43" s="1"/>
      <c r="HE43" s="1"/>
      <c r="HF43" s="1"/>
      <c r="HG43" s="1"/>
      <c r="HH43" s="1"/>
      <c r="HI43" s="54" t="s">
        <v>268</v>
      </c>
      <c r="HJ43" s="1"/>
      <c r="HK43" s="55" t="s">
        <v>268</v>
      </c>
      <c r="HL43" s="1"/>
      <c r="HM43" s="1"/>
      <c r="HN43" s="2"/>
      <c r="HO43" s="54" t="s">
        <v>268</v>
      </c>
      <c r="HP43" s="1"/>
      <c r="HQ43" s="1"/>
      <c r="HR43" s="1"/>
      <c r="HS43" s="1"/>
      <c r="HT43" s="1"/>
      <c r="HU43" s="1"/>
      <c r="HV43" s="54" t="s">
        <v>268</v>
      </c>
      <c r="HW43" s="1"/>
      <c r="HX43" s="55" t="s">
        <v>268</v>
      </c>
      <c r="HY43" s="1"/>
      <c r="HZ43" s="1"/>
      <c r="IA43" s="2"/>
      <c r="IB43" s="54" t="s">
        <v>268</v>
      </c>
      <c r="IC43" s="54" t="s">
        <v>268</v>
      </c>
      <c r="ID43" s="54" t="s">
        <v>268</v>
      </c>
      <c r="IE43" s="55" t="s">
        <v>268</v>
      </c>
      <c r="IF43" s="56" t="s">
        <v>268</v>
      </c>
      <c r="IG43" s="54" t="s">
        <v>268</v>
      </c>
      <c r="IH43" s="1"/>
      <c r="II43" s="57" t="s">
        <v>268</v>
      </c>
      <c r="IJ43" s="58" t="s">
        <v>268</v>
      </c>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t="s">
        <v>268</v>
      </c>
      <c r="PU43" s="39" t="s">
        <v>268</v>
      </c>
      <c r="PV43" s="1"/>
      <c r="PW43" s="1"/>
      <c r="PX43" s="1"/>
      <c r="PY43" s="1"/>
      <c r="PZ43" s="1"/>
      <c r="QA43" s="1"/>
      <c r="QB43" s="1"/>
      <c r="QC43" s="54" t="s">
        <v>268</v>
      </c>
      <c r="QD43" s="1"/>
      <c r="QE43" s="55" t="s">
        <v>268</v>
      </c>
      <c r="QF43" s="1"/>
      <c r="QG43" s="1"/>
      <c r="QH43" s="2"/>
      <c r="QI43" s="54" t="s">
        <v>268</v>
      </c>
      <c r="QJ43" s="1"/>
      <c r="QK43" s="1"/>
      <c r="QL43" s="1"/>
      <c r="QM43" s="1"/>
      <c r="QN43" s="1"/>
      <c r="QO43" s="1"/>
      <c r="QP43" s="54" t="s">
        <v>268</v>
      </c>
      <c r="QQ43" s="1"/>
      <c r="QR43" s="55" t="s">
        <v>268</v>
      </c>
      <c r="QS43" s="1"/>
      <c r="QT43" s="1"/>
      <c r="QU43" s="2"/>
      <c r="QV43" s="54" t="s">
        <v>268</v>
      </c>
      <c r="QW43" s="54" t="s">
        <v>268</v>
      </c>
      <c r="QX43" s="54" t="s">
        <v>268</v>
      </c>
      <c r="QY43" s="55" t="s">
        <v>268</v>
      </c>
      <c r="QZ43" s="56" t="s">
        <v>268</v>
      </c>
      <c r="RA43" s="54" t="s">
        <v>268</v>
      </c>
      <c r="RB43" s="1"/>
      <c r="RC43" s="57" t="s">
        <v>268</v>
      </c>
      <c r="RD43" s="58" t="s">
        <v>268</v>
      </c>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t="s">
        <v>268</v>
      </c>
      <c r="UE43" s="39" t="s">
        <v>268</v>
      </c>
      <c r="UF43" s="1"/>
      <c r="UG43" s="1"/>
      <c r="UH43" s="1"/>
      <c r="UI43" s="1"/>
      <c r="UJ43" s="1"/>
      <c r="UK43" s="1"/>
      <c r="UL43" s="1"/>
      <c r="UM43" s="54" t="s">
        <v>268</v>
      </c>
      <c r="UN43" s="1"/>
      <c r="UO43" s="55" t="s">
        <v>268</v>
      </c>
      <c r="UP43" s="1"/>
      <c r="UQ43" s="1"/>
      <c r="UR43" s="2"/>
      <c r="US43" s="54" t="s">
        <v>268</v>
      </c>
      <c r="UT43" s="1"/>
      <c r="UU43" s="1"/>
      <c r="UV43" s="1"/>
      <c r="UW43" s="1"/>
      <c r="UX43" s="1"/>
      <c r="UY43" s="1"/>
      <c r="UZ43" s="54" t="s">
        <v>268</v>
      </c>
      <c r="VA43" s="1"/>
      <c r="VB43" s="55" t="s">
        <v>268</v>
      </c>
      <c r="VC43" s="1"/>
      <c r="VD43" s="1"/>
      <c r="VE43" s="2"/>
      <c r="VF43" s="54" t="s">
        <v>268</v>
      </c>
      <c r="VG43" s="54" t="s">
        <v>268</v>
      </c>
      <c r="VH43" s="54" t="s">
        <v>268</v>
      </c>
      <c r="VI43" s="55" t="s">
        <v>268</v>
      </c>
      <c r="VJ43" s="56" t="s">
        <v>268</v>
      </c>
      <c r="VK43" s="54" t="s">
        <v>268</v>
      </c>
      <c r="VL43" s="1"/>
      <c r="VM43" s="57" t="s">
        <v>268</v>
      </c>
      <c r="VN43" s="58" t="s">
        <v>268</v>
      </c>
      <c r="VO43" s="4"/>
      <c r="VP43" s="39" t="s">
        <v>268</v>
      </c>
      <c r="VQ43" s="39" t="s">
        <v>268</v>
      </c>
      <c r="VR43" s="1"/>
      <c r="VS43" s="1"/>
      <c r="VT43" s="1"/>
      <c r="VU43" s="1"/>
      <c r="VV43" s="1"/>
      <c r="VW43" s="1"/>
      <c r="VX43" s="1"/>
      <c r="VY43" s="54" t="s">
        <v>268</v>
      </c>
      <c r="VZ43" s="1"/>
      <c r="WA43" s="55" t="s">
        <v>268</v>
      </c>
      <c r="WB43" s="1"/>
      <c r="WC43" s="1"/>
      <c r="WD43" s="2"/>
      <c r="WE43" s="54" t="s">
        <v>268</v>
      </c>
      <c r="WF43" s="1"/>
      <c r="WG43" s="1"/>
      <c r="WH43" s="1"/>
      <c r="WI43" s="1"/>
      <c r="WJ43" s="1"/>
      <c r="WK43" s="1"/>
      <c r="WL43" s="54" t="s">
        <v>268</v>
      </c>
      <c r="WM43" s="1"/>
      <c r="WN43" s="55" t="s">
        <v>268</v>
      </c>
      <c r="WO43" s="1"/>
      <c r="WP43" s="1"/>
      <c r="WQ43" s="2"/>
      <c r="WR43" s="54" t="s">
        <v>268</v>
      </c>
      <c r="WS43" s="54" t="s">
        <v>268</v>
      </c>
      <c r="WT43" s="54" t="s">
        <v>268</v>
      </c>
      <c r="WU43" s="55" t="s">
        <v>268</v>
      </c>
      <c r="WV43" s="56" t="s">
        <v>268</v>
      </c>
      <c r="WW43" s="54" t="s">
        <v>268</v>
      </c>
      <c r="WX43" s="1"/>
      <c r="WY43" s="57" t="s">
        <v>268</v>
      </c>
      <c r="WZ43" s="58" t="s">
        <v>268</v>
      </c>
      <c r="XA43" s="4"/>
      <c r="XB43" s="39" t="s">
        <v>268</v>
      </c>
      <c r="XC43" s="39" t="s">
        <v>268</v>
      </c>
      <c r="XD43" s="1"/>
      <c r="XE43" s="1"/>
      <c r="XF43" s="1"/>
      <c r="XG43" s="1"/>
      <c r="XH43" s="1"/>
      <c r="XI43" s="1"/>
      <c r="XJ43" s="1"/>
      <c r="XK43" s="54" t="s">
        <v>268</v>
      </c>
      <c r="XL43" s="1"/>
      <c r="XM43" s="55" t="s">
        <v>268</v>
      </c>
      <c r="XN43" s="1"/>
      <c r="XO43" s="1"/>
      <c r="XP43" s="2"/>
      <c r="XQ43" s="54" t="s">
        <v>268</v>
      </c>
      <c r="XR43" s="1"/>
      <c r="XS43" s="1"/>
      <c r="XT43" s="1"/>
      <c r="XU43" s="1"/>
      <c r="XV43" s="1"/>
      <c r="XW43" s="1"/>
      <c r="XX43" s="54" t="s">
        <v>268</v>
      </c>
      <c r="XY43" s="1"/>
      <c r="XZ43" s="55" t="s">
        <v>268</v>
      </c>
      <c r="YA43" s="1"/>
      <c r="YB43" s="1"/>
      <c r="YC43" s="2"/>
      <c r="YD43" s="54" t="s">
        <v>268</v>
      </c>
      <c r="YE43" s="54" t="s">
        <v>268</v>
      </c>
      <c r="YF43" s="54" t="s">
        <v>268</v>
      </c>
      <c r="YG43" s="55" t="s">
        <v>268</v>
      </c>
      <c r="YH43" s="56" t="s">
        <v>268</v>
      </c>
      <c r="YI43" s="54" t="s">
        <v>268</v>
      </c>
      <c r="YJ43" s="1"/>
      <c r="YK43" s="57" t="s">
        <v>268</v>
      </c>
      <c r="YL43" s="58" t="s">
        <v>268</v>
      </c>
      <c r="YM43" s="4"/>
      <c r="YN43" s="39" t="s">
        <v>268</v>
      </c>
      <c r="YO43" s="39" t="s">
        <v>268</v>
      </c>
      <c r="YP43" s="1"/>
      <c r="YQ43" s="1"/>
      <c r="YR43" s="1"/>
      <c r="YS43" s="1"/>
      <c r="YT43" s="1"/>
      <c r="YU43" s="1"/>
      <c r="YV43" s="1"/>
      <c r="YW43" s="54" t="s">
        <v>268</v>
      </c>
      <c r="YX43" s="1"/>
      <c r="YY43" s="55" t="s">
        <v>268</v>
      </c>
      <c r="YZ43" s="1"/>
      <c r="ZA43" s="1"/>
      <c r="ZB43" s="2"/>
      <c r="ZC43" s="54" t="s">
        <v>268</v>
      </c>
      <c r="ZD43" s="1"/>
      <c r="ZE43" s="1"/>
      <c r="ZF43" s="1"/>
      <c r="ZG43" s="1"/>
      <c r="ZH43" s="1"/>
      <c r="ZI43" s="1"/>
      <c r="ZJ43" s="54" t="s">
        <v>268</v>
      </c>
      <c r="ZK43" s="1"/>
      <c r="ZL43" s="55" t="s">
        <v>268</v>
      </c>
      <c r="ZM43" s="1"/>
      <c r="ZN43" s="1"/>
      <c r="ZO43" s="2"/>
      <c r="ZP43" s="54" t="s">
        <v>268</v>
      </c>
      <c r="ZQ43" s="54" t="s">
        <v>268</v>
      </c>
      <c r="ZR43" s="54" t="s">
        <v>268</v>
      </c>
      <c r="ZS43" s="55" t="s">
        <v>268</v>
      </c>
      <c r="ZT43" s="56" t="s">
        <v>268</v>
      </c>
      <c r="ZU43" s="54" t="s">
        <v>268</v>
      </c>
      <c r="ZV43" s="1"/>
      <c r="ZW43" s="57" t="s">
        <v>268</v>
      </c>
      <c r="ZX43" s="58" t="s">
        <v>268</v>
      </c>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2" customHeight="1" x14ac:dyDescent="0.2">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t="s">
        <v>268</v>
      </c>
      <c r="S44" s="39" t="s">
        <v>268</v>
      </c>
      <c r="T44" s="1"/>
      <c r="U44" s="1"/>
      <c r="V44" s="1"/>
      <c r="W44" s="1"/>
      <c r="X44" s="1"/>
      <c r="Y44" s="1"/>
      <c r="Z44" s="1"/>
      <c r="AA44" s="54" t="s">
        <v>268</v>
      </c>
      <c r="AB44" s="1"/>
      <c r="AC44" s="55" t="s">
        <v>268</v>
      </c>
      <c r="AD44" s="1"/>
      <c r="AE44" s="1"/>
      <c r="AF44" s="2"/>
      <c r="AG44" s="54" t="s">
        <v>268</v>
      </c>
      <c r="AH44" s="1"/>
      <c r="AI44" s="1"/>
      <c r="AJ44" s="1"/>
      <c r="AK44" s="1"/>
      <c r="AL44" s="1"/>
      <c r="AM44" s="1"/>
      <c r="AN44" s="54" t="s">
        <v>268</v>
      </c>
      <c r="AO44" s="1"/>
      <c r="AP44" s="55" t="s">
        <v>268</v>
      </c>
      <c r="AQ44" s="1"/>
      <c r="AR44" s="1"/>
      <c r="AS44" s="2"/>
      <c r="AT44" s="54" t="s">
        <v>268</v>
      </c>
      <c r="AU44" s="54" t="s">
        <v>268</v>
      </c>
      <c r="AV44" s="54" t="s">
        <v>268</v>
      </c>
      <c r="AW44" s="55" t="s">
        <v>268</v>
      </c>
      <c r="AX44" s="56" t="s">
        <v>268</v>
      </c>
      <c r="AY44" s="54" t="s">
        <v>268</v>
      </c>
      <c r="AZ44" s="1"/>
      <c r="BA44" s="57" t="s">
        <v>268</v>
      </c>
      <c r="BB44" s="58" t="s">
        <v>268</v>
      </c>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t="s">
        <v>268</v>
      </c>
      <c r="EC44" s="39" t="s">
        <v>268</v>
      </c>
      <c r="ED44" s="1"/>
      <c r="EE44" s="1"/>
      <c r="EF44" s="1"/>
      <c r="EG44" s="1"/>
      <c r="EH44" s="1"/>
      <c r="EI44" s="1"/>
      <c r="EJ44" s="1"/>
      <c r="EK44" s="54" t="s">
        <v>268</v>
      </c>
      <c r="EL44" s="1"/>
      <c r="EM44" s="55" t="s">
        <v>268</v>
      </c>
      <c r="EN44" s="1"/>
      <c r="EO44" s="1"/>
      <c r="EP44" s="2"/>
      <c r="EQ44" s="54" t="s">
        <v>268</v>
      </c>
      <c r="ER44" s="1"/>
      <c r="ES44" s="1"/>
      <c r="ET44" s="1"/>
      <c r="EU44" s="1"/>
      <c r="EV44" s="1"/>
      <c r="EW44" s="1"/>
      <c r="EX44" s="54" t="s">
        <v>268</v>
      </c>
      <c r="EY44" s="1"/>
      <c r="EZ44" s="55" t="s">
        <v>268</v>
      </c>
      <c r="FA44" s="1"/>
      <c r="FB44" s="1"/>
      <c r="FC44" s="2"/>
      <c r="FD44" s="54" t="s">
        <v>268</v>
      </c>
      <c r="FE44" s="54" t="s">
        <v>268</v>
      </c>
      <c r="FF44" s="54" t="s">
        <v>268</v>
      </c>
      <c r="FG44" s="55" t="s">
        <v>268</v>
      </c>
      <c r="FH44" s="56" t="s">
        <v>268</v>
      </c>
      <c r="FI44" s="54" t="s">
        <v>268</v>
      </c>
      <c r="FJ44" s="1"/>
      <c r="FK44" s="57" t="s">
        <v>268</v>
      </c>
      <c r="FL44" s="58" t="s">
        <v>268</v>
      </c>
      <c r="FM44" s="4"/>
      <c r="FN44" s="39" t="s">
        <v>268</v>
      </c>
      <c r="FO44" s="39" t="s">
        <v>268</v>
      </c>
      <c r="FP44" s="1"/>
      <c r="FQ44" s="1"/>
      <c r="FR44" s="1"/>
      <c r="FS44" s="1"/>
      <c r="FT44" s="1"/>
      <c r="FU44" s="1"/>
      <c r="FV44" s="1"/>
      <c r="FW44" s="54" t="s">
        <v>268</v>
      </c>
      <c r="FX44" s="1"/>
      <c r="FY44" s="55" t="s">
        <v>268</v>
      </c>
      <c r="FZ44" s="1"/>
      <c r="GA44" s="1"/>
      <c r="GB44" s="2"/>
      <c r="GC44" s="54" t="s">
        <v>268</v>
      </c>
      <c r="GD44" s="1"/>
      <c r="GE44" s="1"/>
      <c r="GF44" s="1"/>
      <c r="GG44" s="1"/>
      <c r="GH44" s="1"/>
      <c r="GI44" s="1"/>
      <c r="GJ44" s="54" t="s">
        <v>268</v>
      </c>
      <c r="GK44" s="1"/>
      <c r="GL44" s="55" t="s">
        <v>268</v>
      </c>
      <c r="GM44" s="1"/>
      <c r="GN44" s="1"/>
      <c r="GO44" s="2"/>
      <c r="GP44" s="54" t="s">
        <v>268</v>
      </c>
      <c r="GQ44" s="54" t="s">
        <v>268</v>
      </c>
      <c r="GR44" s="54" t="s">
        <v>268</v>
      </c>
      <c r="GS44" s="55" t="s">
        <v>268</v>
      </c>
      <c r="GT44" s="56" t="s">
        <v>268</v>
      </c>
      <c r="GU44" s="54" t="s">
        <v>268</v>
      </c>
      <c r="GV44" s="1"/>
      <c r="GW44" s="57" t="s">
        <v>268</v>
      </c>
      <c r="GX44" s="58" t="s">
        <v>268</v>
      </c>
      <c r="GY44" s="4"/>
      <c r="GZ44" s="39" t="s">
        <v>268</v>
      </c>
      <c r="HA44" s="39" t="s">
        <v>268</v>
      </c>
      <c r="HB44" s="1"/>
      <c r="HC44" s="1"/>
      <c r="HD44" s="1"/>
      <c r="HE44" s="1"/>
      <c r="HF44" s="1"/>
      <c r="HG44" s="1"/>
      <c r="HH44" s="1"/>
      <c r="HI44" s="54" t="s">
        <v>268</v>
      </c>
      <c r="HJ44" s="1"/>
      <c r="HK44" s="55" t="s">
        <v>268</v>
      </c>
      <c r="HL44" s="1"/>
      <c r="HM44" s="1"/>
      <c r="HN44" s="2"/>
      <c r="HO44" s="54" t="s">
        <v>268</v>
      </c>
      <c r="HP44" s="1"/>
      <c r="HQ44" s="1"/>
      <c r="HR44" s="1"/>
      <c r="HS44" s="1"/>
      <c r="HT44" s="1"/>
      <c r="HU44" s="1"/>
      <c r="HV44" s="54" t="s">
        <v>268</v>
      </c>
      <c r="HW44" s="1"/>
      <c r="HX44" s="55" t="s">
        <v>268</v>
      </c>
      <c r="HY44" s="1"/>
      <c r="HZ44" s="1"/>
      <c r="IA44" s="2"/>
      <c r="IB44" s="54" t="s">
        <v>268</v>
      </c>
      <c r="IC44" s="54" t="s">
        <v>268</v>
      </c>
      <c r="ID44" s="54" t="s">
        <v>268</v>
      </c>
      <c r="IE44" s="55" t="s">
        <v>268</v>
      </c>
      <c r="IF44" s="56" t="s">
        <v>268</v>
      </c>
      <c r="IG44" s="54" t="s">
        <v>268</v>
      </c>
      <c r="IH44" s="1"/>
      <c r="II44" s="57" t="s">
        <v>268</v>
      </c>
      <c r="IJ44" s="58" t="s">
        <v>268</v>
      </c>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t="s">
        <v>268</v>
      </c>
      <c r="PU44" s="39" t="s">
        <v>268</v>
      </c>
      <c r="PV44" s="1"/>
      <c r="PW44" s="1"/>
      <c r="PX44" s="1"/>
      <c r="PY44" s="1"/>
      <c r="PZ44" s="1"/>
      <c r="QA44" s="1"/>
      <c r="QB44" s="1"/>
      <c r="QC44" s="54" t="s">
        <v>268</v>
      </c>
      <c r="QD44" s="1"/>
      <c r="QE44" s="55" t="s">
        <v>268</v>
      </c>
      <c r="QF44" s="1"/>
      <c r="QG44" s="1"/>
      <c r="QH44" s="2"/>
      <c r="QI44" s="54" t="s">
        <v>268</v>
      </c>
      <c r="QJ44" s="1"/>
      <c r="QK44" s="1"/>
      <c r="QL44" s="1"/>
      <c r="QM44" s="1"/>
      <c r="QN44" s="1"/>
      <c r="QO44" s="1"/>
      <c r="QP44" s="54" t="s">
        <v>268</v>
      </c>
      <c r="QQ44" s="1"/>
      <c r="QR44" s="55" t="s">
        <v>268</v>
      </c>
      <c r="QS44" s="1"/>
      <c r="QT44" s="1"/>
      <c r="QU44" s="2"/>
      <c r="QV44" s="54" t="s">
        <v>268</v>
      </c>
      <c r="QW44" s="54" t="s">
        <v>268</v>
      </c>
      <c r="QX44" s="54" t="s">
        <v>268</v>
      </c>
      <c r="QY44" s="55" t="s">
        <v>268</v>
      </c>
      <c r="QZ44" s="56" t="s">
        <v>268</v>
      </c>
      <c r="RA44" s="54" t="s">
        <v>268</v>
      </c>
      <c r="RB44" s="1"/>
      <c r="RC44" s="57" t="s">
        <v>268</v>
      </c>
      <c r="RD44" s="58" t="s">
        <v>268</v>
      </c>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t="s">
        <v>268</v>
      </c>
      <c r="UE44" s="39" t="s">
        <v>268</v>
      </c>
      <c r="UF44" s="1"/>
      <c r="UG44" s="1"/>
      <c r="UH44" s="1"/>
      <c r="UI44" s="1"/>
      <c r="UJ44" s="1"/>
      <c r="UK44" s="1"/>
      <c r="UL44" s="1"/>
      <c r="UM44" s="54" t="s">
        <v>268</v>
      </c>
      <c r="UN44" s="1"/>
      <c r="UO44" s="55" t="s">
        <v>268</v>
      </c>
      <c r="UP44" s="1"/>
      <c r="UQ44" s="1"/>
      <c r="UR44" s="2"/>
      <c r="US44" s="54" t="s">
        <v>268</v>
      </c>
      <c r="UT44" s="1"/>
      <c r="UU44" s="1"/>
      <c r="UV44" s="1"/>
      <c r="UW44" s="1"/>
      <c r="UX44" s="1"/>
      <c r="UY44" s="1"/>
      <c r="UZ44" s="54" t="s">
        <v>268</v>
      </c>
      <c r="VA44" s="1"/>
      <c r="VB44" s="55" t="s">
        <v>268</v>
      </c>
      <c r="VC44" s="1"/>
      <c r="VD44" s="1"/>
      <c r="VE44" s="2"/>
      <c r="VF44" s="54" t="s">
        <v>268</v>
      </c>
      <c r="VG44" s="54" t="s">
        <v>268</v>
      </c>
      <c r="VH44" s="54" t="s">
        <v>268</v>
      </c>
      <c r="VI44" s="55" t="s">
        <v>268</v>
      </c>
      <c r="VJ44" s="56" t="s">
        <v>268</v>
      </c>
      <c r="VK44" s="54" t="s">
        <v>268</v>
      </c>
      <c r="VL44" s="1"/>
      <c r="VM44" s="57" t="s">
        <v>268</v>
      </c>
      <c r="VN44" s="58" t="s">
        <v>268</v>
      </c>
      <c r="VO44" s="4"/>
      <c r="VP44" s="39" t="s">
        <v>268</v>
      </c>
      <c r="VQ44" s="39" t="s">
        <v>268</v>
      </c>
      <c r="VR44" s="1"/>
      <c r="VS44" s="1"/>
      <c r="VT44" s="1"/>
      <c r="VU44" s="1"/>
      <c r="VV44" s="1"/>
      <c r="VW44" s="1"/>
      <c r="VX44" s="1"/>
      <c r="VY44" s="54" t="s">
        <v>268</v>
      </c>
      <c r="VZ44" s="1"/>
      <c r="WA44" s="55" t="s">
        <v>268</v>
      </c>
      <c r="WB44" s="1"/>
      <c r="WC44" s="1"/>
      <c r="WD44" s="2"/>
      <c r="WE44" s="54" t="s">
        <v>268</v>
      </c>
      <c r="WF44" s="1"/>
      <c r="WG44" s="1"/>
      <c r="WH44" s="1"/>
      <c r="WI44" s="1"/>
      <c r="WJ44" s="1"/>
      <c r="WK44" s="1"/>
      <c r="WL44" s="54" t="s">
        <v>268</v>
      </c>
      <c r="WM44" s="1"/>
      <c r="WN44" s="55" t="s">
        <v>268</v>
      </c>
      <c r="WO44" s="1"/>
      <c r="WP44" s="1"/>
      <c r="WQ44" s="2"/>
      <c r="WR44" s="54" t="s">
        <v>268</v>
      </c>
      <c r="WS44" s="54" t="s">
        <v>268</v>
      </c>
      <c r="WT44" s="54" t="s">
        <v>268</v>
      </c>
      <c r="WU44" s="55" t="s">
        <v>268</v>
      </c>
      <c r="WV44" s="56" t="s">
        <v>268</v>
      </c>
      <c r="WW44" s="54" t="s">
        <v>268</v>
      </c>
      <c r="WX44" s="1"/>
      <c r="WY44" s="57" t="s">
        <v>268</v>
      </c>
      <c r="WZ44" s="58" t="s">
        <v>268</v>
      </c>
      <c r="XA44" s="4"/>
      <c r="XB44" s="39" t="s">
        <v>268</v>
      </c>
      <c r="XC44" s="39" t="s">
        <v>268</v>
      </c>
      <c r="XD44" s="1"/>
      <c r="XE44" s="1"/>
      <c r="XF44" s="1"/>
      <c r="XG44" s="1"/>
      <c r="XH44" s="1"/>
      <c r="XI44" s="1"/>
      <c r="XJ44" s="1"/>
      <c r="XK44" s="54" t="s">
        <v>268</v>
      </c>
      <c r="XL44" s="1"/>
      <c r="XM44" s="55" t="s">
        <v>268</v>
      </c>
      <c r="XN44" s="1"/>
      <c r="XO44" s="1"/>
      <c r="XP44" s="2"/>
      <c r="XQ44" s="54" t="s">
        <v>268</v>
      </c>
      <c r="XR44" s="1"/>
      <c r="XS44" s="1"/>
      <c r="XT44" s="1"/>
      <c r="XU44" s="1"/>
      <c r="XV44" s="1"/>
      <c r="XW44" s="1"/>
      <c r="XX44" s="54" t="s">
        <v>268</v>
      </c>
      <c r="XY44" s="1"/>
      <c r="XZ44" s="55" t="s">
        <v>268</v>
      </c>
      <c r="YA44" s="1"/>
      <c r="YB44" s="1"/>
      <c r="YC44" s="2"/>
      <c r="YD44" s="54" t="s">
        <v>268</v>
      </c>
      <c r="YE44" s="54" t="s">
        <v>268</v>
      </c>
      <c r="YF44" s="54" t="s">
        <v>268</v>
      </c>
      <c r="YG44" s="55" t="s">
        <v>268</v>
      </c>
      <c r="YH44" s="56" t="s">
        <v>268</v>
      </c>
      <c r="YI44" s="54" t="s">
        <v>268</v>
      </c>
      <c r="YJ44" s="1"/>
      <c r="YK44" s="57" t="s">
        <v>268</v>
      </c>
      <c r="YL44" s="58" t="s">
        <v>268</v>
      </c>
      <c r="YM44" s="4"/>
      <c r="YN44" s="39" t="s">
        <v>268</v>
      </c>
      <c r="YO44" s="39" t="s">
        <v>268</v>
      </c>
      <c r="YP44" s="1"/>
      <c r="YQ44" s="1"/>
      <c r="YR44" s="1"/>
      <c r="YS44" s="1"/>
      <c r="YT44" s="1"/>
      <c r="YU44" s="1"/>
      <c r="YV44" s="1"/>
      <c r="YW44" s="54" t="s">
        <v>268</v>
      </c>
      <c r="YX44" s="1"/>
      <c r="YY44" s="55" t="s">
        <v>268</v>
      </c>
      <c r="YZ44" s="1"/>
      <c r="ZA44" s="1"/>
      <c r="ZB44" s="2"/>
      <c r="ZC44" s="54" t="s">
        <v>268</v>
      </c>
      <c r="ZD44" s="1"/>
      <c r="ZE44" s="1"/>
      <c r="ZF44" s="1"/>
      <c r="ZG44" s="1"/>
      <c r="ZH44" s="1"/>
      <c r="ZI44" s="1"/>
      <c r="ZJ44" s="54" t="s">
        <v>268</v>
      </c>
      <c r="ZK44" s="1"/>
      <c r="ZL44" s="55" t="s">
        <v>268</v>
      </c>
      <c r="ZM44" s="1"/>
      <c r="ZN44" s="1"/>
      <c r="ZO44" s="2"/>
      <c r="ZP44" s="54" t="s">
        <v>268</v>
      </c>
      <c r="ZQ44" s="54" t="s">
        <v>268</v>
      </c>
      <c r="ZR44" s="54" t="s">
        <v>268</v>
      </c>
      <c r="ZS44" s="55" t="s">
        <v>268</v>
      </c>
      <c r="ZT44" s="56" t="s">
        <v>268</v>
      </c>
      <c r="ZU44" s="54" t="s">
        <v>268</v>
      </c>
      <c r="ZV44" s="1"/>
      <c r="ZW44" s="57" t="s">
        <v>268</v>
      </c>
      <c r="ZX44" s="58" t="s">
        <v>268</v>
      </c>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2" customHeight="1" x14ac:dyDescent="0.2">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t="s">
        <v>268</v>
      </c>
      <c r="S45" s="39" t="s">
        <v>268</v>
      </c>
      <c r="T45" s="1"/>
      <c r="U45" s="1"/>
      <c r="V45" s="1"/>
      <c r="W45" s="1"/>
      <c r="X45" s="1"/>
      <c r="Y45" s="1"/>
      <c r="Z45" s="1"/>
      <c r="AA45" s="54" t="s">
        <v>268</v>
      </c>
      <c r="AB45" s="1"/>
      <c r="AC45" s="55" t="s">
        <v>268</v>
      </c>
      <c r="AD45" s="1"/>
      <c r="AE45" s="1"/>
      <c r="AF45" s="2"/>
      <c r="AG45" s="54" t="s">
        <v>268</v>
      </c>
      <c r="AH45" s="1"/>
      <c r="AI45" s="1"/>
      <c r="AJ45" s="1"/>
      <c r="AK45" s="1"/>
      <c r="AL45" s="1"/>
      <c r="AM45" s="1"/>
      <c r="AN45" s="54" t="s">
        <v>268</v>
      </c>
      <c r="AO45" s="1"/>
      <c r="AP45" s="55" t="s">
        <v>268</v>
      </c>
      <c r="AQ45" s="1"/>
      <c r="AR45" s="1"/>
      <c r="AS45" s="2"/>
      <c r="AT45" s="54" t="s">
        <v>268</v>
      </c>
      <c r="AU45" s="54" t="s">
        <v>268</v>
      </c>
      <c r="AV45" s="54" t="s">
        <v>268</v>
      </c>
      <c r="AW45" s="55" t="s">
        <v>268</v>
      </c>
      <c r="AX45" s="56" t="s">
        <v>268</v>
      </c>
      <c r="AY45" s="54" t="s">
        <v>268</v>
      </c>
      <c r="AZ45" s="1"/>
      <c r="BA45" s="57" t="s">
        <v>268</v>
      </c>
      <c r="BB45" s="58" t="s">
        <v>268</v>
      </c>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t="s">
        <v>268</v>
      </c>
      <c r="EC45" s="39" t="s">
        <v>268</v>
      </c>
      <c r="ED45" s="1"/>
      <c r="EE45" s="1"/>
      <c r="EF45" s="1"/>
      <c r="EG45" s="1"/>
      <c r="EH45" s="1"/>
      <c r="EI45" s="1"/>
      <c r="EJ45" s="1"/>
      <c r="EK45" s="54" t="s">
        <v>268</v>
      </c>
      <c r="EL45" s="1"/>
      <c r="EM45" s="55" t="s">
        <v>268</v>
      </c>
      <c r="EN45" s="1"/>
      <c r="EO45" s="1"/>
      <c r="EP45" s="2"/>
      <c r="EQ45" s="54" t="s">
        <v>268</v>
      </c>
      <c r="ER45" s="1"/>
      <c r="ES45" s="1"/>
      <c r="ET45" s="1"/>
      <c r="EU45" s="1"/>
      <c r="EV45" s="1"/>
      <c r="EW45" s="1"/>
      <c r="EX45" s="54" t="s">
        <v>268</v>
      </c>
      <c r="EY45" s="1"/>
      <c r="EZ45" s="55" t="s">
        <v>268</v>
      </c>
      <c r="FA45" s="1"/>
      <c r="FB45" s="1"/>
      <c r="FC45" s="2"/>
      <c r="FD45" s="54" t="s">
        <v>268</v>
      </c>
      <c r="FE45" s="54" t="s">
        <v>268</v>
      </c>
      <c r="FF45" s="54" t="s">
        <v>268</v>
      </c>
      <c r="FG45" s="55" t="s">
        <v>268</v>
      </c>
      <c r="FH45" s="56" t="s">
        <v>268</v>
      </c>
      <c r="FI45" s="54" t="s">
        <v>268</v>
      </c>
      <c r="FJ45" s="1"/>
      <c r="FK45" s="57" t="s">
        <v>268</v>
      </c>
      <c r="FL45" s="58" t="s">
        <v>268</v>
      </c>
      <c r="FM45" s="4"/>
      <c r="FN45" s="39" t="s">
        <v>268</v>
      </c>
      <c r="FO45" s="39" t="s">
        <v>268</v>
      </c>
      <c r="FP45" s="1"/>
      <c r="FQ45" s="1"/>
      <c r="FR45" s="1"/>
      <c r="FS45" s="1"/>
      <c r="FT45" s="1"/>
      <c r="FU45" s="1"/>
      <c r="FV45" s="1"/>
      <c r="FW45" s="54" t="s">
        <v>268</v>
      </c>
      <c r="FX45" s="1"/>
      <c r="FY45" s="55" t="s">
        <v>268</v>
      </c>
      <c r="FZ45" s="1"/>
      <c r="GA45" s="1"/>
      <c r="GB45" s="2"/>
      <c r="GC45" s="54" t="s">
        <v>268</v>
      </c>
      <c r="GD45" s="1"/>
      <c r="GE45" s="1"/>
      <c r="GF45" s="1"/>
      <c r="GG45" s="1"/>
      <c r="GH45" s="1"/>
      <c r="GI45" s="1"/>
      <c r="GJ45" s="54" t="s">
        <v>268</v>
      </c>
      <c r="GK45" s="1"/>
      <c r="GL45" s="55" t="s">
        <v>268</v>
      </c>
      <c r="GM45" s="1"/>
      <c r="GN45" s="1"/>
      <c r="GO45" s="2"/>
      <c r="GP45" s="54" t="s">
        <v>268</v>
      </c>
      <c r="GQ45" s="54" t="s">
        <v>268</v>
      </c>
      <c r="GR45" s="54" t="s">
        <v>268</v>
      </c>
      <c r="GS45" s="55" t="s">
        <v>268</v>
      </c>
      <c r="GT45" s="56" t="s">
        <v>268</v>
      </c>
      <c r="GU45" s="54" t="s">
        <v>268</v>
      </c>
      <c r="GV45" s="1"/>
      <c r="GW45" s="57" t="s">
        <v>268</v>
      </c>
      <c r="GX45" s="58" t="s">
        <v>268</v>
      </c>
      <c r="GY45" s="4"/>
      <c r="GZ45" s="39" t="s">
        <v>268</v>
      </c>
      <c r="HA45" s="39" t="s">
        <v>268</v>
      </c>
      <c r="HB45" s="1"/>
      <c r="HC45" s="1"/>
      <c r="HD45" s="1"/>
      <c r="HE45" s="1"/>
      <c r="HF45" s="1"/>
      <c r="HG45" s="1"/>
      <c r="HH45" s="1"/>
      <c r="HI45" s="54" t="s">
        <v>268</v>
      </c>
      <c r="HJ45" s="1"/>
      <c r="HK45" s="55" t="s">
        <v>268</v>
      </c>
      <c r="HL45" s="1"/>
      <c r="HM45" s="1"/>
      <c r="HN45" s="2"/>
      <c r="HO45" s="54" t="s">
        <v>268</v>
      </c>
      <c r="HP45" s="1"/>
      <c r="HQ45" s="1"/>
      <c r="HR45" s="1"/>
      <c r="HS45" s="1"/>
      <c r="HT45" s="1"/>
      <c r="HU45" s="1"/>
      <c r="HV45" s="54" t="s">
        <v>268</v>
      </c>
      <c r="HW45" s="1"/>
      <c r="HX45" s="55" t="s">
        <v>268</v>
      </c>
      <c r="HY45" s="1"/>
      <c r="HZ45" s="1"/>
      <c r="IA45" s="2"/>
      <c r="IB45" s="54" t="s">
        <v>268</v>
      </c>
      <c r="IC45" s="54" t="s">
        <v>268</v>
      </c>
      <c r="ID45" s="54" t="s">
        <v>268</v>
      </c>
      <c r="IE45" s="55" t="s">
        <v>268</v>
      </c>
      <c r="IF45" s="56" t="s">
        <v>268</v>
      </c>
      <c r="IG45" s="54" t="s">
        <v>268</v>
      </c>
      <c r="IH45" s="1"/>
      <c r="II45" s="57" t="s">
        <v>268</v>
      </c>
      <c r="IJ45" s="58" t="s">
        <v>268</v>
      </c>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t="s">
        <v>268</v>
      </c>
      <c r="PU45" s="39" t="s">
        <v>268</v>
      </c>
      <c r="PV45" s="1"/>
      <c r="PW45" s="1"/>
      <c r="PX45" s="1"/>
      <c r="PY45" s="1"/>
      <c r="PZ45" s="1"/>
      <c r="QA45" s="1"/>
      <c r="QB45" s="1"/>
      <c r="QC45" s="54" t="s">
        <v>268</v>
      </c>
      <c r="QD45" s="1"/>
      <c r="QE45" s="55" t="s">
        <v>268</v>
      </c>
      <c r="QF45" s="1"/>
      <c r="QG45" s="1"/>
      <c r="QH45" s="2"/>
      <c r="QI45" s="54" t="s">
        <v>268</v>
      </c>
      <c r="QJ45" s="1"/>
      <c r="QK45" s="1"/>
      <c r="QL45" s="1"/>
      <c r="QM45" s="1"/>
      <c r="QN45" s="1"/>
      <c r="QO45" s="1"/>
      <c r="QP45" s="54" t="s">
        <v>268</v>
      </c>
      <c r="QQ45" s="1"/>
      <c r="QR45" s="55" t="s">
        <v>268</v>
      </c>
      <c r="QS45" s="1"/>
      <c r="QT45" s="1"/>
      <c r="QU45" s="2"/>
      <c r="QV45" s="54" t="s">
        <v>268</v>
      </c>
      <c r="QW45" s="54" t="s">
        <v>268</v>
      </c>
      <c r="QX45" s="54" t="s">
        <v>268</v>
      </c>
      <c r="QY45" s="55" t="s">
        <v>268</v>
      </c>
      <c r="QZ45" s="56" t="s">
        <v>268</v>
      </c>
      <c r="RA45" s="54" t="s">
        <v>268</v>
      </c>
      <c r="RB45" s="1"/>
      <c r="RC45" s="57" t="s">
        <v>268</v>
      </c>
      <c r="RD45" s="58" t="s">
        <v>268</v>
      </c>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t="s">
        <v>268</v>
      </c>
      <c r="UE45" s="39" t="s">
        <v>268</v>
      </c>
      <c r="UF45" s="1"/>
      <c r="UG45" s="1"/>
      <c r="UH45" s="1"/>
      <c r="UI45" s="1"/>
      <c r="UJ45" s="1"/>
      <c r="UK45" s="1"/>
      <c r="UL45" s="1"/>
      <c r="UM45" s="54" t="s">
        <v>268</v>
      </c>
      <c r="UN45" s="1"/>
      <c r="UO45" s="55" t="s">
        <v>268</v>
      </c>
      <c r="UP45" s="1"/>
      <c r="UQ45" s="1"/>
      <c r="UR45" s="2"/>
      <c r="US45" s="54" t="s">
        <v>268</v>
      </c>
      <c r="UT45" s="1"/>
      <c r="UU45" s="1"/>
      <c r="UV45" s="1"/>
      <c r="UW45" s="1"/>
      <c r="UX45" s="1"/>
      <c r="UY45" s="1"/>
      <c r="UZ45" s="54" t="s">
        <v>268</v>
      </c>
      <c r="VA45" s="1"/>
      <c r="VB45" s="55" t="s">
        <v>268</v>
      </c>
      <c r="VC45" s="1"/>
      <c r="VD45" s="1"/>
      <c r="VE45" s="2"/>
      <c r="VF45" s="54" t="s">
        <v>268</v>
      </c>
      <c r="VG45" s="54" t="s">
        <v>268</v>
      </c>
      <c r="VH45" s="54" t="s">
        <v>268</v>
      </c>
      <c r="VI45" s="55" t="s">
        <v>268</v>
      </c>
      <c r="VJ45" s="56" t="s">
        <v>268</v>
      </c>
      <c r="VK45" s="54" t="s">
        <v>268</v>
      </c>
      <c r="VL45" s="1"/>
      <c r="VM45" s="57" t="s">
        <v>268</v>
      </c>
      <c r="VN45" s="58" t="s">
        <v>268</v>
      </c>
      <c r="VO45" s="4"/>
      <c r="VP45" s="39" t="s">
        <v>268</v>
      </c>
      <c r="VQ45" s="39" t="s">
        <v>268</v>
      </c>
      <c r="VR45" s="1"/>
      <c r="VS45" s="1"/>
      <c r="VT45" s="1"/>
      <c r="VU45" s="1"/>
      <c r="VV45" s="1"/>
      <c r="VW45" s="1"/>
      <c r="VX45" s="1"/>
      <c r="VY45" s="54" t="s">
        <v>268</v>
      </c>
      <c r="VZ45" s="1"/>
      <c r="WA45" s="55" t="s">
        <v>268</v>
      </c>
      <c r="WB45" s="1"/>
      <c r="WC45" s="1"/>
      <c r="WD45" s="2"/>
      <c r="WE45" s="54" t="s">
        <v>268</v>
      </c>
      <c r="WF45" s="1"/>
      <c r="WG45" s="1"/>
      <c r="WH45" s="1"/>
      <c r="WI45" s="1"/>
      <c r="WJ45" s="1"/>
      <c r="WK45" s="1"/>
      <c r="WL45" s="54" t="s">
        <v>268</v>
      </c>
      <c r="WM45" s="1"/>
      <c r="WN45" s="55" t="s">
        <v>268</v>
      </c>
      <c r="WO45" s="1"/>
      <c r="WP45" s="1"/>
      <c r="WQ45" s="2"/>
      <c r="WR45" s="54" t="s">
        <v>268</v>
      </c>
      <c r="WS45" s="54" t="s">
        <v>268</v>
      </c>
      <c r="WT45" s="54" t="s">
        <v>268</v>
      </c>
      <c r="WU45" s="55" t="s">
        <v>268</v>
      </c>
      <c r="WV45" s="56" t="s">
        <v>268</v>
      </c>
      <c r="WW45" s="54" t="s">
        <v>268</v>
      </c>
      <c r="WX45" s="1"/>
      <c r="WY45" s="57" t="s">
        <v>268</v>
      </c>
      <c r="WZ45" s="58" t="s">
        <v>268</v>
      </c>
      <c r="XA45" s="4"/>
      <c r="XB45" s="39" t="s">
        <v>268</v>
      </c>
      <c r="XC45" s="39" t="s">
        <v>268</v>
      </c>
      <c r="XD45" s="1"/>
      <c r="XE45" s="1"/>
      <c r="XF45" s="1"/>
      <c r="XG45" s="1"/>
      <c r="XH45" s="1"/>
      <c r="XI45" s="1"/>
      <c r="XJ45" s="1"/>
      <c r="XK45" s="54" t="s">
        <v>268</v>
      </c>
      <c r="XL45" s="1"/>
      <c r="XM45" s="55" t="s">
        <v>268</v>
      </c>
      <c r="XN45" s="1"/>
      <c r="XO45" s="1"/>
      <c r="XP45" s="2"/>
      <c r="XQ45" s="54" t="s">
        <v>268</v>
      </c>
      <c r="XR45" s="1"/>
      <c r="XS45" s="1"/>
      <c r="XT45" s="1"/>
      <c r="XU45" s="1"/>
      <c r="XV45" s="1"/>
      <c r="XW45" s="1"/>
      <c r="XX45" s="54" t="s">
        <v>268</v>
      </c>
      <c r="XY45" s="1"/>
      <c r="XZ45" s="55" t="s">
        <v>268</v>
      </c>
      <c r="YA45" s="1"/>
      <c r="YB45" s="1"/>
      <c r="YC45" s="2"/>
      <c r="YD45" s="54" t="s">
        <v>268</v>
      </c>
      <c r="YE45" s="54" t="s">
        <v>268</v>
      </c>
      <c r="YF45" s="54" t="s">
        <v>268</v>
      </c>
      <c r="YG45" s="55" t="s">
        <v>268</v>
      </c>
      <c r="YH45" s="56" t="s">
        <v>268</v>
      </c>
      <c r="YI45" s="54" t="s">
        <v>268</v>
      </c>
      <c r="YJ45" s="1"/>
      <c r="YK45" s="57" t="s">
        <v>268</v>
      </c>
      <c r="YL45" s="58" t="s">
        <v>268</v>
      </c>
      <c r="YM45" s="4"/>
      <c r="YN45" s="39" t="s">
        <v>268</v>
      </c>
      <c r="YO45" s="39" t="s">
        <v>268</v>
      </c>
      <c r="YP45" s="1"/>
      <c r="YQ45" s="1"/>
      <c r="YR45" s="1"/>
      <c r="YS45" s="1"/>
      <c r="YT45" s="1"/>
      <c r="YU45" s="1"/>
      <c r="YV45" s="1"/>
      <c r="YW45" s="54" t="s">
        <v>268</v>
      </c>
      <c r="YX45" s="1"/>
      <c r="YY45" s="55" t="s">
        <v>268</v>
      </c>
      <c r="YZ45" s="1"/>
      <c r="ZA45" s="1"/>
      <c r="ZB45" s="2"/>
      <c r="ZC45" s="54" t="s">
        <v>268</v>
      </c>
      <c r="ZD45" s="1"/>
      <c r="ZE45" s="1"/>
      <c r="ZF45" s="1"/>
      <c r="ZG45" s="1"/>
      <c r="ZH45" s="1"/>
      <c r="ZI45" s="1"/>
      <c r="ZJ45" s="54" t="s">
        <v>268</v>
      </c>
      <c r="ZK45" s="1"/>
      <c r="ZL45" s="55" t="s">
        <v>268</v>
      </c>
      <c r="ZM45" s="1"/>
      <c r="ZN45" s="1"/>
      <c r="ZO45" s="2"/>
      <c r="ZP45" s="54" t="s">
        <v>268</v>
      </c>
      <c r="ZQ45" s="54" t="s">
        <v>268</v>
      </c>
      <c r="ZR45" s="54" t="s">
        <v>268</v>
      </c>
      <c r="ZS45" s="55" t="s">
        <v>268</v>
      </c>
      <c r="ZT45" s="56" t="s">
        <v>268</v>
      </c>
      <c r="ZU45" s="54" t="s">
        <v>268</v>
      </c>
      <c r="ZV45" s="1"/>
      <c r="ZW45" s="57" t="s">
        <v>268</v>
      </c>
      <c r="ZX45" s="58" t="s">
        <v>268</v>
      </c>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2" customHeight="1" x14ac:dyDescent="0.2">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t="s">
        <v>268</v>
      </c>
      <c r="S46" s="39" t="s">
        <v>268</v>
      </c>
      <c r="T46" s="1"/>
      <c r="U46" s="1"/>
      <c r="V46" s="1"/>
      <c r="W46" s="1"/>
      <c r="X46" s="1"/>
      <c r="Y46" s="1"/>
      <c r="Z46" s="1"/>
      <c r="AA46" s="54" t="s">
        <v>268</v>
      </c>
      <c r="AB46" s="1"/>
      <c r="AC46" s="55" t="s">
        <v>268</v>
      </c>
      <c r="AD46" s="1"/>
      <c r="AE46" s="1"/>
      <c r="AF46" s="2"/>
      <c r="AG46" s="54" t="s">
        <v>268</v>
      </c>
      <c r="AH46" s="1"/>
      <c r="AI46" s="1"/>
      <c r="AJ46" s="1"/>
      <c r="AK46" s="1"/>
      <c r="AL46" s="1"/>
      <c r="AM46" s="1"/>
      <c r="AN46" s="54" t="s">
        <v>268</v>
      </c>
      <c r="AO46" s="1"/>
      <c r="AP46" s="55" t="s">
        <v>268</v>
      </c>
      <c r="AQ46" s="1"/>
      <c r="AR46" s="1"/>
      <c r="AS46" s="2"/>
      <c r="AT46" s="54" t="s">
        <v>268</v>
      </c>
      <c r="AU46" s="54" t="s">
        <v>268</v>
      </c>
      <c r="AV46" s="54" t="s">
        <v>268</v>
      </c>
      <c r="AW46" s="55" t="s">
        <v>268</v>
      </c>
      <c r="AX46" s="56" t="s">
        <v>268</v>
      </c>
      <c r="AY46" s="54" t="s">
        <v>268</v>
      </c>
      <c r="AZ46" s="1"/>
      <c r="BA46" s="57" t="s">
        <v>268</v>
      </c>
      <c r="BB46" s="58" t="s">
        <v>268</v>
      </c>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t="s">
        <v>268</v>
      </c>
      <c r="EC46" s="39" t="s">
        <v>268</v>
      </c>
      <c r="ED46" s="1"/>
      <c r="EE46" s="1"/>
      <c r="EF46" s="1"/>
      <c r="EG46" s="1"/>
      <c r="EH46" s="1"/>
      <c r="EI46" s="1"/>
      <c r="EJ46" s="1"/>
      <c r="EK46" s="54" t="s">
        <v>268</v>
      </c>
      <c r="EL46" s="1"/>
      <c r="EM46" s="55" t="s">
        <v>268</v>
      </c>
      <c r="EN46" s="1"/>
      <c r="EO46" s="1"/>
      <c r="EP46" s="2"/>
      <c r="EQ46" s="54" t="s">
        <v>268</v>
      </c>
      <c r="ER46" s="1"/>
      <c r="ES46" s="1"/>
      <c r="ET46" s="1"/>
      <c r="EU46" s="1"/>
      <c r="EV46" s="1"/>
      <c r="EW46" s="1"/>
      <c r="EX46" s="54" t="s">
        <v>268</v>
      </c>
      <c r="EY46" s="1"/>
      <c r="EZ46" s="55" t="s">
        <v>268</v>
      </c>
      <c r="FA46" s="1"/>
      <c r="FB46" s="1"/>
      <c r="FC46" s="2"/>
      <c r="FD46" s="54" t="s">
        <v>268</v>
      </c>
      <c r="FE46" s="54" t="s">
        <v>268</v>
      </c>
      <c r="FF46" s="54" t="s">
        <v>268</v>
      </c>
      <c r="FG46" s="55" t="s">
        <v>268</v>
      </c>
      <c r="FH46" s="56" t="s">
        <v>268</v>
      </c>
      <c r="FI46" s="54" t="s">
        <v>268</v>
      </c>
      <c r="FJ46" s="1"/>
      <c r="FK46" s="57" t="s">
        <v>268</v>
      </c>
      <c r="FL46" s="58" t="s">
        <v>268</v>
      </c>
      <c r="FM46" s="4"/>
      <c r="FN46" s="39" t="s">
        <v>268</v>
      </c>
      <c r="FO46" s="39" t="s">
        <v>268</v>
      </c>
      <c r="FP46" s="1"/>
      <c r="FQ46" s="1"/>
      <c r="FR46" s="1"/>
      <c r="FS46" s="1"/>
      <c r="FT46" s="1"/>
      <c r="FU46" s="1"/>
      <c r="FV46" s="1"/>
      <c r="FW46" s="54" t="s">
        <v>268</v>
      </c>
      <c r="FX46" s="1"/>
      <c r="FY46" s="55" t="s">
        <v>268</v>
      </c>
      <c r="FZ46" s="1"/>
      <c r="GA46" s="1"/>
      <c r="GB46" s="2"/>
      <c r="GC46" s="54" t="s">
        <v>268</v>
      </c>
      <c r="GD46" s="1"/>
      <c r="GE46" s="1"/>
      <c r="GF46" s="1"/>
      <c r="GG46" s="1"/>
      <c r="GH46" s="1"/>
      <c r="GI46" s="1"/>
      <c r="GJ46" s="54" t="s">
        <v>268</v>
      </c>
      <c r="GK46" s="1"/>
      <c r="GL46" s="55" t="s">
        <v>268</v>
      </c>
      <c r="GM46" s="1"/>
      <c r="GN46" s="1"/>
      <c r="GO46" s="2"/>
      <c r="GP46" s="54" t="s">
        <v>268</v>
      </c>
      <c r="GQ46" s="54" t="s">
        <v>268</v>
      </c>
      <c r="GR46" s="54" t="s">
        <v>268</v>
      </c>
      <c r="GS46" s="55" t="s">
        <v>268</v>
      </c>
      <c r="GT46" s="56" t="s">
        <v>268</v>
      </c>
      <c r="GU46" s="54" t="s">
        <v>268</v>
      </c>
      <c r="GV46" s="1"/>
      <c r="GW46" s="57" t="s">
        <v>268</v>
      </c>
      <c r="GX46" s="58" t="s">
        <v>268</v>
      </c>
      <c r="GY46" s="4"/>
      <c r="GZ46" s="39" t="s">
        <v>268</v>
      </c>
      <c r="HA46" s="39" t="s">
        <v>268</v>
      </c>
      <c r="HB46" s="1"/>
      <c r="HC46" s="1"/>
      <c r="HD46" s="1"/>
      <c r="HE46" s="1"/>
      <c r="HF46" s="1"/>
      <c r="HG46" s="1"/>
      <c r="HH46" s="1"/>
      <c r="HI46" s="54" t="s">
        <v>268</v>
      </c>
      <c r="HJ46" s="1"/>
      <c r="HK46" s="55" t="s">
        <v>268</v>
      </c>
      <c r="HL46" s="1"/>
      <c r="HM46" s="1"/>
      <c r="HN46" s="2"/>
      <c r="HO46" s="54" t="s">
        <v>268</v>
      </c>
      <c r="HP46" s="1"/>
      <c r="HQ46" s="1"/>
      <c r="HR46" s="1"/>
      <c r="HS46" s="1"/>
      <c r="HT46" s="1"/>
      <c r="HU46" s="1"/>
      <c r="HV46" s="54" t="s">
        <v>268</v>
      </c>
      <c r="HW46" s="1"/>
      <c r="HX46" s="55" t="s">
        <v>268</v>
      </c>
      <c r="HY46" s="1"/>
      <c r="HZ46" s="1"/>
      <c r="IA46" s="2"/>
      <c r="IB46" s="54" t="s">
        <v>268</v>
      </c>
      <c r="IC46" s="54" t="s">
        <v>268</v>
      </c>
      <c r="ID46" s="54" t="s">
        <v>268</v>
      </c>
      <c r="IE46" s="55" t="s">
        <v>268</v>
      </c>
      <c r="IF46" s="56" t="s">
        <v>268</v>
      </c>
      <c r="IG46" s="54" t="s">
        <v>268</v>
      </c>
      <c r="IH46" s="1"/>
      <c r="II46" s="57" t="s">
        <v>268</v>
      </c>
      <c r="IJ46" s="58" t="s">
        <v>268</v>
      </c>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t="s">
        <v>268</v>
      </c>
      <c r="PU46" s="39" t="s">
        <v>268</v>
      </c>
      <c r="PV46" s="1"/>
      <c r="PW46" s="1"/>
      <c r="PX46" s="1"/>
      <c r="PY46" s="1"/>
      <c r="PZ46" s="1"/>
      <c r="QA46" s="1"/>
      <c r="QB46" s="1"/>
      <c r="QC46" s="54" t="s">
        <v>268</v>
      </c>
      <c r="QD46" s="1"/>
      <c r="QE46" s="55" t="s">
        <v>268</v>
      </c>
      <c r="QF46" s="1"/>
      <c r="QG46" s="1"/>
      <c r="QH46" s="2"/>
      <c r="QI46" s="54" t="s">
        <v>268</v>
      </c>
      <c r="QJ46" s="1"/>
      <c r="QK46" s="1"/>
      <c r="QL46" s="1"/>
      <c r="QM46" s="1"/>
      <c r="QN46" s="1"/>
      <c r="QO46" s="1"/>
      <c r="QP46" s="54" t="s">
        <v>268</v>
      </c>
      <c r="QQ46" s="1"/>
      <c r="QR46" s="55" t="s">
        <v>268</v>
      </c>
      <c r="QS46" s="1"/>
      <c r="QT46" s="1"/>
      <c r="QU46" s="2"/>
      <c r="QV46" s="54" t="s">
        <v>268</v>
      </c>
      <c r="QW46" s="54" t="s">
        <v>268</v>
      </c>
      <c r="QX46" s="54" t="s">
        <v>268</v>
      </c>
      <c r="QY46" s="55" t="s">
        <v>268</v>
      </c>
      <c r="QZ46" s="56" t="s">
        <v>268</v>
      </c>
      <c r="RA46" s="54" t="s">
        <v>268</v>
      </c>
      <c r="RB46" s="1"/>
      <c r="RC46" s="57" t="s">
        <v>268</v>
      </c>
      <c r="RD46" s="58" t="s">
        <v>268</v>
      </c>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t="s">
        <v>268</v>
      </c>
      <c r="UE46" s="39" t="s">
        <v>268</v>
      </c>
      <c r="UF46" s="1"/>
      <c r="UG46" s="1"/>
      <c r="UH46" s="1"/>
      <c r="UI46" s="1"/>
      <c r="UJ46" s="1"/>
      <c r="UK46" s="1"/>
      <c r="UL46" s="1"/>
      <c r="UM46" s="54" t="s">
        <v>268</v>
      </c>
      <c r="UN46" s="1"/>
      <c r="UO46" s="55" t="s">
        <v>268</v>
      </c>
      <c r="UP46" s="1"/>
      <c r="UQ46" s="1"/>
      <c r="UR46" s="2"/>
      <c r="US46" s="54" t="s">
        <v>268</v>
      </c>
      <c r="UT46" s="1"/>
      <c r="UU46" s="1"/>
      <c r="UV46" s="1"/>
      <c r="UW46" s="1"/>
      <c r="UX46" s="1"/>
      <c r="UY46" s="1"/>
      <c r="UZ46" s="54" t="s">
        <v>268</v>
      </c>
      <c r="VA46" s="1"/>
      <c r="VB46" s="55" t="s">
        <v>268</v>
      </c>
      <c r="VC46" s="1"/>
      <c r="VD46" s="1"/>
      <c r="VE46" s="2"/>
      <c r="VF46" s="54" t="s">
        <v>268</v>
      </c>
      <c r="VG46" s="54" t="s">
        <v>268</v>
      </c>
      <c r="VH46" s="54" t="s">
        <v>268</v>
      </c>
      <c r="VI46" s="55" t="s">
        <v>268</v>
      </c>
      <c r="VJ46" s="56" t="s">
        <v>268</v>
      </c>
      <c r="VK46" s="54" t="s">
        <v>268</v>
      </c>
      <c r="VL46" s="1"/>
      <c r="VM46" s="57" t="s">
        <v>268</v>
      </c>
      <c r="VN46" s="58" t="s">
        <v>268</v>
      </c>
      <c r="VO46" s="4"/>
      <c r="VP46" s="39" t="s">
        <v>268</v>
      </c>
      <c r="VQ46" s="39" t="s">
        <v>268</v>
      </c>
      <c r="VR46" s="1"/>
      <c r="VS46" s="1"/>
      <c r="VT46" s="1"/>
      <c r="VU46" s="1"/>
      <c r="VV46" s="1"/>
      <c r="VW46" s="1"/>
      <c r="VX46" s="1"/>
      <c r="VY46" s="54" t="s">
        <v>268</v>
      </c>
      <c r="VZ46" s="1"/>
      <c r="WA46" s="55" t="s">
        <v>268</v>
      </c>
      <c r="WB46" s="1"/>
      <c r="WC46" s="1"/>
      <c r="WD46" s="2"/>
      <c r="WE46" s="54" t="s">
        <v>268</v>
      </c>
      <c r="WF46" s="1"/>
      <c r="WG46" s="1"/>
      <c r="WH46" s="1"/>
      <c r="WI46" s="1"/>
      <c r="WJ46" s="1"/>
      <c r="WK46" s="1"/>
      <c r="WL46" s="54" t="s">
        <v>268</v>
      </c>
      <c r="WM46" s="1"/>
      <c r="WN46" s="55" t="s">
        <v>268</v>
      </c>
      <c r="WO46" s="1"/>
      <c r="WP46" s="1"/>
      <c r="WQ46" s="2"/>
      <c r="WR46" s="54" t="s">
        <v>268</v>
      </c>
      <c r="WS46" s="54" t="s">
        <v>268</v>
      </c>
      <c r="WT46" s="54" t="s">
        <v>268</v>
      </c>
      <c r="WU46" s="55" t="s">
        <v>268</v>
      </c>
      <c r="WV46" s="56" t="s">
        <v>268</v>
      </c>
      <c r="WW46" s="54" t="s">
        <v>268</v>
      </c>
      <c r="WX46" s="1"/>
      <c r="WY46" s="57" t="s">
        <v>268</v>
      </c>
      <c r="WZ46" s="58" t="s">
        <v>268</v>
      </c>
      <c r="XA46" s="4"/>
      <c r="XB46" s="39" t="s">
        <v>268</v>
      </c>
      <c r="XC46" s="39" t="s">
        <v>268</v>
      </c>
      <c r="XD46" s="1"/>
      <c r="XE46" s="1"/>
      <c r="XF46" s="1"/>
      <c r="XG46" s="1"/>
      <c r="XH46" s="1"/>
      <c r="XI46" s="1"/>
      <c r="XJ46" s="1"/>
      <c r="XK46" s="54" t="s">
        <v>268</v>
      </c>
      <c r="XL46" s="1"/>
      <c r="XM46" s="55" t="s">
        <v>268</v>
      </c>
      <c r="XN46" s="1"/>
      <c r="XO46" s="1"/>
      <c r="XP46" s="2"/>
      <c r="XQ46" s="54" t="s">
        <v>268</v>
      </c>
      <c r="XR46" s="1"/>
      <c r="XS46" s="1"/>
      <c r="XT46" s="1"/>
      <c r="XU46" s="1"/>
      <c r="XV46" s="1"/>
      <c r="XW46" s="1"/>
      <c r="XX46" s="54" t="s">
        <v>268</v>
      </c>
      <c r="XY46" s="1"/>
      <c r="XZ46" s="55" t="s">
        <v>268</v>
      </c>
      <c r="YA46" s="1"/>
      <c r="YB46" s="1"/>
      <c r="YC46" s="2"/>
      <c r="YD46" s="54" t="s">
        <v>268</v>
      </c>
      <c r="YE46" s="54" t="s">
        <v>268</v>
      </c>
      <c r="YF46" s="54" t="s">
        <v>268</v>
      </c>
      <c r="YG46" s="55" t="s">
        <v>268</v>
      </c>
      <c r="YH46" s="56" t="s">
        <v>268</v>
      </c>
      <c r="YI46" s="54" t="s">
        <v>268</v>
      </c>
      <c r="YJ46" s="1"/>
      <c r="YK46" s="57" t="s">
        <v>268</v>
      </c>
      <c r="YL46" s="58" t="s">
        <v>268</v>
      </c>
      <c r="YM46" s="4"/>
      <c r="YN46" s="39" t="s">
        <v>268</v>
      </c>
      <c r="YO46" s="39" t="s">
        <v>268</v>
      </c>
      <c r="YP46" s="1"/>
      <c r="YQ46" s="1"/>
      <c r="YR46" s="1"/>
      <c r="YS46" s="1"/>
      <c r="YT46" s="1"/>
      <c r="YU46" s="1"/>
      <c r="YV46" s="1"/>
      <c r="YW46" s="54" t="s">
        <v>268</v>
      </c>
      <c r="YX46" s="1"/>
      <c r="YY46" s="55" t="s">
        <v>268</v>
      </c>
      <c r="YZ46" s="1"/>
      <c r="ZA46" s="1"/>
      <c r="ZB46" s="2"/>
      <c r="ZC46" s="54" t="s">
        <v>268</v>
      </c>
      <c r="ZD46" s="1"/>
      <c r="ZE46" s="1"/>
      <c r="ZF46" s="1"/>
      <c r="ZG46" s="1"/>
      <c r="ZH46" s="1"/>
      <c r="ZI46" s="1"/>
      <c r="ZJ46" s="54" t="s">
        <v>268</v>
      </c>
      <c r="ZK46" s="1"/>
      <c r="ZL46" s="55" t="s">
        <v>268</v>
      </c>
      <c r="ZM46" s="1"/>
      <c r="ZN46" s="1"/>
      <c r="ZO46" s="2"/>
      <c r="ZP46" s="54" t="s">
        <v>268</v>
      </c>
      <c r="ZQ46" s="54" t="s">
        <v>268</v>
      </c>
      <c r="ZR46" s="54" t="s">
        <v>268</v>
      </c>
      <c r="ZS46" s="55" t="s">
        <v>268</v>
      </c>
      <c r="ZT46" s="56" t="s">
        <v>268</v>
      </c>
      <c r="ZU46" s="54" t="s">
        <v>268</v>
      </c>
      <c r="ZV46" s="1"/>
      <c r="ZW46" s="57" t="s">
        <v>268</v>
      </c>
      <c r="ZX46" s="58" t="s">
        <v>268</v>
      </c>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2" customHeight="1" x14ac:dyDescent="0.2">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t="s">
        <v>268</v>
      </c>
      <c r="S47" s="39" t="s">
        <v>268</v>
      </c>
      <c r="T47" s="1"/>
      <c r="U47" s="1"/>
      <c r="V47" s="1"/>
      <c r="W47" s="1"/>
      <c r="X47" s="1"/>
      <c r="Y47" s="1"/>
      <c r="Z47" s="1"/>
      <c r="AA47" s="54" t="s">
        <v>268</v>
      </c>
      <c r="AB47" s="1"/>
      <c r="AC47" s="55" t="s">
        <v>268</v>
      </c>
      <c r="AD47" s="1"/>
      <c r="AE47" s="1"/>
      <c r="AF47" s="2"/>
      <c r="AG47" s="54" t="s">
        <v>268</v>
      </c>
      <c r="AH47" s="1"/>
      <c r="AI47" s="1"/>
      <c r="AJ47" s="1"/>
      <c r="AK47" s="1"/>
      <c r="AL47" s="1"/>
      <c r="AM47" s="1"/>
      <c r="AN47" s="54" t="s">
        <v>268</v>
      </c>
      <c r="AO47" s="1"/>
      <c r="AP47" s="55" t="s">
        <v>268</v>
      </c>
      <c r="AQ47" s="1"/>
      <c r="AR47" s="1"/>
      <c r="AS47" s="2"/>
      <c r="AT47" s="54" t="s">
        <v>268</v>
      </c>
      <c r="AU47" s="54" t="s">
        <v>268</v>
      </c>
      <c r="AV47" s="54" t="s">
        <v>268</v>
      </c>
      <c r="AW47" s="55" t="s">
        <v>268</v>
      </c>
      <c r="AX47" s="56" t="s">
        <v>268</v>
      </c>
      <c r="AY47" s="54" t="s">
        <v>268</v>
      </c>
      <c r="AZ47" s="1"/>
      <c r="BA47" s="57" t="s">
        <v>268</v>
      </c>
      <c r="BB47" s="58" t="s">
        <v>268</v>
      </c>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t="s">
        <v>268</v>
      </c>
      <c r="EC47" s="39" t="s">
        <v>268</v>
      </c>
      <c r="ED47" s="1"/>
      <c r="EE47" s="1"/>
      <c r="EF47" s="1"/>
      <c r="EG47" s="1"/>
      <c r="EH47" s="1"/>
      <c r="EI47" s="1"/>
      <c r="EJ47" s="1"/>
      <c r="EK47" s="54" t="s">
        <v>268</v>
      </c>
      <c r="EL47" s="1"/>
      <c r="EM47" s="55" t="s">
        <v>268</v>
      </c>
      <c r="EN47" s="1"/>
      <c r="EO47" s="1"/>
      <c r="EP47" s="2"/>
      <c r="EQ47" s="54" t="s">
        <v>268</v>
      </c>
      <c r="ER47" s="1"/>
      <c r="ES47" s="1"/>
      <c r="ET47" s="1"/>
      <c r="EU47" s="1"/>
      <c r="EV47" s="1"/>
      <c r="EW47" s="1"/>
      <c r="EX47" s="54" t="s">
        <v>268</v>
      </c>
      <c r="EY47" s="1"/>
      <c r="EZ47" s="55" t="s">
        <v>268</v>
      </c>
      <c r="FA47" s="1"/>
      <c r="FB47" s="1"/>
      <c r="FC47" s="2"/>
      <c r="FD47" s="54" t="s">
        <v>268</v>
      </c>
      <c r="FE47" s="54" t="s">
        <v>268</v>
      </c>
      <c r="FF47" s="54" t="s">
        <v>268</v>
      </c>
      <c r="FG47" s="55" t="s">
        <v>268</v>
      </c>
      <c r="FH47" s="56" t="s">
        <v>268</v>
      </c>
      <c r="FI47" s="54" t="s">
        <v>268</v>
      </c>
      <c r="FJ47" s="1"/>
      <c r="FK47" s="57" t="s">
        <v>268</v>
      </c>
      <c r="FL47" s="58" t="s">
        <v>268</v>
      </c>
      <c r="FM47" s="4"/>
      <c r="FN47" s="39" t="s">
        <v>268</v>
      </c>
      <c r="FO47" s="39" t="s">
        <v>268</v>
      </c>
      <c r="FP47" s="1"/>
      <c r="FQ47" s="1"/>
      <c r="FR47" s="1"/>
      <c r="FS47" s="1"/>
      <c r="FT47" s="1"/>
      <c r="FU47" s="1"/>
      <c r="FV47" s="1"/>
      <c r="FW47" s="54" t="s">
        <v>268</v>
      </c>
      <c r="FX47" s="1"/>
      <c r="FY47" s="55" t="s">
        <v>268</v>
      </c>
      <c r="FZ47" s="1"/>
      <c r="GA47" s="1"/>
      <c r="GB47" s="2"/>
      <c r="GC47" s="54" t="s">
        <v>268</v>
      </c>
      <c r="GD47" s="1"/>
      <c r="GE47" s="1"/>
      <c r="GF47" s="1"/>
      <c r="GG47" s="1"/>
      <c r="GH47" s="1"/>
      <c r="GI47" s="1"/>
      <c r="GJ47" s="54" t="s">
        <v>268</v>
      </c>
      <c r="GK47" s="1"/>
      <c r="GL47" s="55" t="s">
        <v>268</v>
      </c>
      <c r="GM47" s="1"/>
      <c r="GN47" s="1"/>
      <c r="GO47" s="2"/>
      <c r="GP47" s="54" t="s">
        <v>268</v>
      </c>
      <c r="GQ47" s="54" t="s">
        <v>268</v>
      </c>
      <c r="GR47" s="54" t="s">
        <v>268</v>
      </c>
      <c r="GS47" s="55" t="s">
        <v>268</v>
      </c>
      <c r="GT47" s="56" t="s">
        <v>268</v>
      </c>
      <c r="GU47" s="54" t="s">
        <v>268</v>
      </c>
      <c r="GV47" s="1"/>
      <c r="GW47" s="57" t="s">
        <v>268</v>
      </c>
      <c r="GX47" s="58" t="s">
        <v>268</v>
      </c>
      <c r="GY47" s="4"/>
      <c r="GZ47" s="39" t="s">
        <v>268</v>
      </c>
      <c r="HA47" s="39" t="s">
        <v>268</v>
      </c>
      <c r="HB47" s="1"/>
      <c r="HC47" s="1"/>
      <c r="HD47" s="1"/>
      <c r="HE47" s="1"/>
      <c r="HF47" s="1"/>
      <c r="HG47" s="1"/>
      <c r="HH47" s="1"/>
      <c r="HI47" s="54" t="s">
        <v>268</v>
      </c>
      <c r="HJ47" s="1"/>
      <c r="HK47" s="55" t="s">
        <v>268</v>
      </c>
      <c r="HL47" s="1"/>
      <c r="HM47" s="1"/>
      <c r="HN47" s="2"/>
      <c r="HO47" s="54" t="s">
        <v>268</v>
      </c>
      <c r="HP47" s="1"/>
      <c r="HQ47" s="1"/>
      <c r="HR47" s="1"/>
      <c r="HS47" s="1"/>
      <c r="HT47" s="1"/>
      <c r="HU47" s="1"/>
      <c r="HV47" s="54" t="s">
        <v>268</v>
      </c>
      <c r="HW47" s="1"/>
      <c r="HX47" s="55" t="s">
        <v>268</v>
      </c>
      <c r="HY47" s="1"/>
      <c r="HZ47" s="1"/>
      <c r="IA47" s="2"/>
      <c r="IB47" s="54" t="s">
        <v>268</v>
      </c>
      <c r="IC47" s="54" t="s">
        <v>268</v>
      </c>
      <c r="ID47" s="54" t="s">
        <v>268</v>
      </c>
      <c r="IE47" s="55" t="s">
        <v>268</v>
      </c>
      <c r="IF47" s="56" t="s">
        <v>268</v>
      </c>
      <c r="IG47" s="54" t="s">
        <v>268</v>
      </c>
      <c r="IH47" s="1"/>
      <c r="II47" s="57" t="s">
        <v>268</v>
      </c>
      <c r="IJ47" s="58" t="s">
        <v>268</v>
      </c>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t="s">
        <v>268</v>
      </c>
      <c r="PU47" s="39" t="s">
        <v>268</v>
      </c>
      <c r="PV47" s="1"/>
      <c r="PW47" s="1"/>
      <c r="PX47" s="1"/>
      <c r="PY47" s="1"/>
      <c r="PZ47" s="1"/>
      <c r="QA47" s="1"/>
      <c r="QB47" s="1"/>
      <c r="QC47" s="54" t="s">
        <v>268</v>
      </c>
      <c r="QD47" s="1"/>
      <c r="QE47" s="55" t="s">
        <v>268</v>
      </c>
      <c r="QF47" s="1"/>
      <c r="QG47" s="1"/>
      <c r="QH47" s="2"/>
      <c r="QI47" s="54" t="s">
        <v>268</v>
      </c>
      <c r="QJ47" s="1"/>
      <c r="QK47" s="1"/>
      <c r="QL47" s="1"/>
      <c r="QM47" s="1"/>
      <c r="QN47" s="1"/>
      <c r="QO47" s="1"/>
      <c r="QP47" s="54" t="s">
        <v>268</v>
      </c>
      <c r="QQ47" s="1"/>
      <c r="QR47" s="55" t="s">
        <v>268</v>
      </c>
      <c r="QS47" s="1"/>
      <c r="QT47" s="1"/>
      <c r="QU47" s="2"/>
      <c r="QV47" s="54" t="s">
        <v>268</v>
      </c>
      <c r="QW47" s="54" t="s">
        <v>268</v>
      </c>
      <c r="QX47" s="54" t="s">
        <v>268</v>
      </c>
      <c r="QY47" s="55" t="s">
        <v>268</v>
      </c>
      <c r="QZ47" s="56" t="s">
        <v>268</v>
      </c>
      <c r="RA47" s="54" t="s">
        <v>268</v>
      </c>
      <c r="RB47" s="1"/>
      <c r="RC47" s="57" t="s">
        <v>268</v>
      </c>
      <c r="RD47" s="58" t="s">
        <v>268</v>
      </c>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t="s">
        <v>268</v>
      </c>
      <c r="UE47" s="39" t="s">
        <v>268</v>
      </c>
      <c r="UF47" s="1"/>
      <c r="UG47" s="1"/>
      <c r="UH47" s="1"/>
      <c r="UI47" s="1"/>
      <c r="UJ47" s="1"/>
      <c r="UK47" s="1"/>
      <c r="UL47" s="1"/>
      <c r="UM47" s="54" t="s">
        <v>268</v>
      </c>
      <c r="UN47" s="1"/>
      <c r="UO47" s="55" t="s">
        <v>268</v>
      </c>
      <c r="UP47" s="1"/>
      <c r="UQ47" s="1"/>
      <c r="UR47" s="2"/>
      <c r="US47" s="54" t="s">
        <v>268</v>
      </c>
      <c r="UT47" s="1"/>
      <c r="UU47" s="1"/>
      <c r="UV47" s="1"/>
      <c r="UW47" s="1"/>
      <c r="UX47" s="1"/>
      <c r="UY47" s="1"/>
      <c r="UZ47" s="54" t="s">
        <v>268</v>
      </c>
      <c r="VA47" s="1"/>
      <c r="VB47" s="55" t="s">
        <v>268</v>
      </c>
      <c r="VC47" s="1"/>
      <c r="VD47" s="1"/>
      <c r="VE47" s="2"/>
      <c r="VF47" s="54" t="s">
        <v>268</v>
      </c>
      <c r="VG47" s="54" t="s">
        <v>268</v>
      </c>
      <c r="VH47" s="54" t="s">
        <v>268</v>
      </c>
      <c r="VI47" s="55" t="s">
        <v>268</v>
      </c>
      <c r="VJ47" s="56" t="s">
        <v>268</v>
      </c>
      <c r="VK47" s="54" t="s">
        <v>268</v>
      </c>
      <c r="VL47" s="1"/>
      <c r="VM47" s="57" t="s">
        <v>268</v>
      </c>
      <c r="VN47" s="58" t="s">
        <v>268</v>
      </c>
      <c r="VO47" s="4"/>
      <c r="VP47" s="39" t="s">
        <v>268</v>
      </c>
      <c r="VQ47" s="39" t="s">
        <v>268</v>
      </c>
      <c r="VR47" s="1"/>
      <c r="VS47" s="1"/>
      <c r="VT47" s="1"/>
      <c r="VU47" s="1"/>
      <c r="VV47" s="1"/>
      <c r="VW47" s="1"/>
      <c r="VX47" s="1"/>
      <c r="VY47" s="54" t="s">
        <v>268</v>
      </c>
      <c r="VZ47" s="1"/>
      <c r="WA47" s="55" t="s">
        <v>268</v>
      </c>
      <c r="WB47" s="1"/>
      <c r="WC47" s="1"/>
      <c r="WD47" s="2"/>
      <c r="WE47" s="54" t="s">
        <v>268</v>
      </c>
      <c r="WF47" s="1"/>
      <c r="WG47" s="1"/>
      <c r="WH47" s="1"/>
      <c r="WI47" s="1"/>
      <c r="WJ47" s="1"/>
      <c r="WK47" s="1"/>
      <c r="WL47" s="54" t="s">
        <v>268</v>
      </c>
      <c r="WM47" s="1"/>
      <c r="WN47" s="55" t="s">
        <v>268</v>
      </c>
      <c r="WO47" s="1"/>
      <c r="WP47" s="1"/>
      <c r="WQ47" s="2"/>
      <c r="WR47" s="54" t="s">
        <v>268</v>
      </c>
      <c r="WS47" s="54" t="s">
        <v>268</v>
      </c>
      <c r="WT47" s="54" t="s">
        <v>268</v>
      </c>
      <c r="WU47" s="55" t="s">
        <v>268</v>
      </c>
      <c r="WV47" s="56" t="s">
        <v>268</v>
      </c>
      <c r="WW47" s="54" t="s">
        <v>268</v>
      </c>
      <c r="WX47" s="1"/>
      <c r="WY47" s="57" t="s">
        <v>268</v>
      </c>
      <c r="WZ47" s="58" t="s">
        <v>268</v>
      </c>
      <c r="XA47" s="4"/>
      <c r="XB47" s="39" t="s">
        <v>268</v>
      </c>
      <c r="XC47" s="39" t="s">
        <v>268</v>
      </c>
      <c r="XD47" s="1"/>
      <c r="XE47" s="1"/>
      <c r="XF47" s="1"/>
      <c r="XG47" s="1"/>
      <c r="XH47" s="1"/>
      <c r="XI47" s="1"/>
      <c r="XJ47" s="1"/>
      <c r="XK47" s="54" t="s">
        <v>268</v>
      </c>
      <c r="XL47" s="1"/>
      <c r="XM47" s="55" t="s">
        <v>268</v>
      </c>
      <c r="XN47" s="1"/>
      <c r="XO47" s="1"/>
      <c r="XP47" s="2"/>
      <c r="XQ47" s="54" t="s">
        <v>268</v>
      </c>
      <c r="XR47" s="1"/>
      <c r="XS47" s="1"/>
      <c r="XT47" s="1"/>
      <c r="XU47" s="1"/>
      <c r="XV47" s="1"/>
      <c r="XW47" s="1"/>
      <c r="XX47" s="54" t="s">
        <v>268</v>
      </c>
      <c r="XY47" s="1"/>
      <c r="XZ47" s="55" t="s">
        <v>268</v>
      </c>
      <c r="YA47" s="1"/>
      <c r="YB47" s="1"/>
      <c r="YC47" s="2"/>
      <c r="YD47" s="54" t="s">
        <v>268</v>
      </c>
      <c r="YE47" s="54" t="s">
        <v>268</v>
      </c>
      <c r="YF47" s="54" t="s">
        <v>268</v>
      </c>
      <c r="YG47" s="55" t="s">
        <v>268</v>
      </c>
      <c r="YH47" s="56" t="s">
        <v>268</v>
      </c>
      <c r="YI47" s="54" t="s">
        <v>268</v>
      </c>
      <c r="YJ47" s="1"/>
      <c r="YK47" s="57" t="s">
        <v>268</v>
      </c>
      <c r="YL47" s="58" t="s">
        <v>268</v>
      </c>
      <c r="YM47" s="4"/>
      <c r="YN47" s="39" t="s">
        <v>268</v>
      </c>
      <c r="YO47" s="39" t="s">
        <v>268</v>
      </c>
      <c r="YP47" s="1"/>
      <c r="YQ47" s="1"/>
      <c r="YR47" s="1"/>
      <c r="YS47" s="1"/>
      <c r="YT47" s="1"/>
      <c r="YU47" s="1"/>
      <c r="YV47" s="1"/>
      <c r="YW47" s="54" t="s">
        <v>268</v>
      </c>
      <c r="YX47" s="1"/>
      <c r="YY47" s="55" t="s">
        <v>268</v>
      </c>
      <c r="YZ47" s="1"/>
      <c r="ZA47" s="1"/>
      <c r="ZB47" s="2"/>
      <c r="ZC47" s="54" t="s">
        <v>268</v>
      </c>
      <c r="ZD47" s="1"/>
      <c r="ZE47" s="1"/>
      <c r="ZF47" s="1"/>
      <c r="ZG47" s="1"/>
      <c r="ZH47" s="1"/>
      <c r="ZI47" s="1"/>
      <c r="ZJ47" s="54" t="s">
        <v>268</v>
      </c>
      <c r="ZK47" s="1"/>
      <c r="ZL47" s="55" t="s">
        <v>268</v>
      </c>
      <c r="ZM47" s="1"/>
      <c r="ZN47" s="1"/>
      <c r="ZO47" s="2"/>
      <c r="ZP47" s="54" t="s">
        <v>268</v>
      </c>
      <c r="ZQ47" s="54" t="s">
        <v>268</v>
      </c>
      <c r="ZR47" s="54" t="s">
        <v>268</v>
      </c>
      <c r="ZS47" s="55" t="s">
        <v>268</v>
      </c>
      <c r="ZT47" s="56" t="s">
        <v>268</v>
      </c>
      <c r="ZU47" s="54" t="s">
        <v>268</v>
      </c>
      <c r="ZV47" s="1"/>
      <c r="ZW47" s="57" t="s">
        <v>268</v>
      </c>
      <c r="ZX47" s="58" t="s">
        <v>268</v>
      </c>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2" customHeight="1" x14ac:dyDescent="0.2">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t="s">
        <v>268</v>
      </c>
      <c r="S48" s="39" t="s">
        <v>268</v>
      </c>
      <c r="T48" s="1"/>
      <c r="U48" s="1"/>
      <c r="V48" s="1"/>
      <c r="W48" s="1"/>
      <c r="X48" s="1"/>
      <c r="Y48" s="1"/>
      <c r="Z48" s="1"/>
      <c r="AA48" s="54" t="s">
        <v>268</v>
      </c>
      <c r="AB48" s="1"/>
      <c r="AC48" s="55" t="s">
        <v>268</v>
      </c>
      <c r="AD48" s="1"/>
      <c r="AE48" s="1"/>
      <c r="AF48" s="2"/>
      <c r="AG48" s="54" t="s">
        <v>268</v>
      </c>
      <c r="AH48" s="1"/>
      <c r="AI48" s="1"/>
      <c r="AJ48" s="1"/>
      <c r="AK48" s="1"/>
      <c r="AL48" s="1"/>
      <c r="AM48" s="1"/>
      <c r="AN48" s="54" t="s">
        <v>268</v>
      </c>
      <c r="AO48" s="1"/>
      <c r="AP48" s="55" t="s">
        <v>268</v>
      </c>
      <c r="AQ48" s="1"/>
      <c r="AR48" s="1"/>
      <c r="AS48" s="2"/>
      <c r="AT48" s="54" t="s">
        <v>268</v>
      </c>
      <c r="AU48" s="54" t="s">
        <v>268</v>
      </c>
      <c r="AV48" s="54" t="s">
        <v>268</v>
      </c>
      <c r="AW48" s="55" t="s">
        <v>268</v>
      </c>
      <c r="AX48" s="56" t="s">
        <v>268</v>
      </c>
      <c r="AY48" s="54" t="s">
        <v>268</v>
      </c>
      <c r="AZ48" s="1"/>
      <c r="BA48" s="57" t="s">
        <v>268</v>
      </c>
      <c r="BB48" s="58" t="s">
        <v>268</v>
      </c>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t="s">
        <v>268</v>
      </c>
      <c r="EC48" s="39" t="s">
        <v>268</v>
      </c>
      <c r="ED48" s="1"/>
      <c r="EE48" s="1"/>
      <c r="EF48" s="1"/>
      <c r="EG48" s="1"/>
      <c r="EH48" s="1"/>
      <c r="EI48" s="1"/>
      <c r="EJ48" s="1"/>
      <c r="EK48" s="54" t="s">
        <v>268</v>
      </c>
      <c r="EL48" s="1"/>
      <c r="EM48" s="55" t="s">
        <v>268</v>
      </c>
      <c r="EN48" s="1"/>
      <c r="EO48" s="1"/>
      <c r="EP48" s="2"/>
      <c r="EQ48" s="54" t="s">
        <v>268</v>
      </c>
      <c r="ER48" s="1"/>
      <c r="ES48" s="1"/>
      <c r="ET48" s="1"/>
      <c r="EU48" s="1"/>
      <c r="EV48" s="1"/>
      <c r="EW48" s="1"/>
      <c r="EX48" s="54" t="s">
        <v>268</v>
      </c>
      <c r="EY48" s="1"/>
      <c r="EZ48" s="55" t="s">
        <v>268</v>
      </c>
      <c r="FA48" s="1"/>
      <c r="FB48" s="1"/>
      <c r="FC48" s="2"/>
      <c r="FD48" s="54" t="s">
        <v>268</v>
      </c>
      <c r="FE48" s="54" t="s">
        <v>268</v>
      </c>
      <c r="FF48" s="54" t="s">
        <v>268</v>
      </c>
      <c r="FG48" s="55" t="s">
        <v>268</v>
      </c>
      <c r="FH48" s="56" t="s">
        <v>268</v>
      </c>
      <c r="FI48" s="54" t="s">
        <v>268</v>
      </c>
      <c r="FJ48" s="1"/>
      <c r="FK48" s="57" t="s">
        <v>268</v>
      </c>
      <c r="FL48" s="58" t="s">
        <v>268</v>
      </c>
      <c r="FM48" s="4"/>
      <c r="FN48" s="39" t="s">
        <v>268</v>
      </c>
      <c r="FO48" s="39" t="s">
        <v>268</v>
      </c>
      <c r="FP48" s="1"/>
      <c r="FQ48" s="1"/>
      <c r="FR48" s="1"/>
      <c r="FS48" s="1"/>
      <c r="FT48" s="1"/>
      <c r="FU48" s="1"/>
      <c r="FV48" s="1"/>
      <c r="FW48" s="54" t="s">
        <v>268</v>
      </c>
      <c r="FX48" s="1"/>
      <c r="FY48" s="55" t="s">
        <v>268</v>
      </c>
      <c r="FZ48" s="1"/>
      <c r="GA48" s="1"/>
      <c r="GB48" s="2"/>
      <c r="GC48" s="54" t="s">
        <v>268</v>
      </c>
      <c r="GD48" s="1"/>
      <c r="GE48" s="1"/>
      <c r="GF48" s="1"/>
      <c r="GG48" s="1"/>
      <c r="GH48" s="1"/>
      <c r="GI48" s="1"/>
      <c r="GJ48" s="54" t="s">
        <v>268</v>
      </c>
      <c r="GK48" s="1"/>
      <c r="GL48" s="55" t="s">
        <v>268</v>
      </c>
      <c r="GM48" s="1"/>
      <c r="GN48" s="1"/>
      <c r="GO48" s="2"/>
      <c r="GP48" s="54" t="s">
        <v>268</v>
      </c>
      <c r="GQ48" s="54" t="s">
        <v>268</v>
      </c>
      <c r="GR48" s="54" t="s">
        <v>268</v>
      </c>
      <c r="GS48" s="55" t="s">
        <v>268</v>
      </c>
      <c r="GT48" s="56" t="s">
        <v>268</v>
      </c>
      <c r="GU48" s="54" t="s">
        <v>268</v>
      </c>
      <c r="GV48" s="1"/>
      <c r="GW48" s="57" t="s">
        <v>268</v>
      </c>
      <c r="GX48" s="58" t="s">
        <v>268</v>
      </c>
      <c r="GY48" s="4"/>
      <c r="GZ48" s="39" t="s">
        <v>268</v>
      </c>
      <c r="HA48" s="39" t="s">
        <v>268</v>
      </c>
      <c r="HB48" s="1"/>
      <c r="HC48" s="1"/>
      <c r="HD48" s="1"/>
      <c r="HE48" s="1"/>
      <c r="HF48" s="1"/>
      <c r="HG48" s="1"/>
      <c r="HH48" s="1"/>
      <c r="HI48" s="54" t="s">
        <v>268</v>
      </c>
      <c r="HJ48" s="1"/>
      <c r="HK48" s="55" t="s">
        <v>268</v>
      </c>
      <c r="HL48" s="1"/>
      <c r="HM48" s="1"/>
      <c r="HN48" s="2"/>
      <c r="HO48" s="54" t="s">
        <v>268</v>
      </c>
      <c r="HP48" s="1"/>
      <c r="HQ48" s="1"/>
      <c r="HR48" s="1"/>
      <c r="HS48" s="1"/>
      <c r="HT48" s="1"/>
      <c r="HU48" s="1"/>
      <c r="HV48" s="54" t="s">
        <v>268</v>
      </c>
      <c r="HW48" s="1"/>
      <c r="HX48" s="55" t="s">
        <v>268</v>
      </c>
      <c r="HY48" s="1"/>
      <c r="HZ48" s="1"/>
      <c r="IA48" s="2"/>
      <c r="IB48" s="54" t="s">
        <v>268</v>
      </c>
      <c r="IC48" s="54" t="s">
        <v>268</v>
      </c>
      <c r="ID48" s="54" t="s">
        <v>268</v>
      </c>
      <c r="IE48" s="55" t="s">
        <v>268</v>
      </c>
      <c r="IF48" s="56" t="s">
        <v>268</v>
      </c>
      <c r="IG48" s="54" t="s">
        <v>268</v>
      </c>
      <c r="IH48" s="1"/>
      <c r="II48" s="57" t="s">
        <v>268</v>
      </c>
      <c r="IJ48" s="58" t="s">
        <v>268</v>
      </c>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t="s">
        <v>268</v>
      </c>
      <c r="PU48" s="39" t="s">
        <v>268</v>
      </c>
      <c r="PV48" s="1"/>
      <c r="PW48" s="1"/>
      <c r="PX48" s="1"/>
      <c r="PY48" s="1"/>
      <c r="PZ48" s="1"/>
      <c r="QA48" s="1"/>
      <c r="QB48" s="1"/>
      <c r="QC48" s="54" t="s">
        <v>268</v>
      </c>
      <c r="QD48" s="1"/>
      <c r="QE48" s="55" t="s">
        <v>268</v>
      </c>
      <c r="QF48" s="1"/>
      <c r="QG48" s="1"/>
      <c r="QH48" s="2"/>
      <c r="QI48" s="54" t="s">
        <v>268</v>
      </c>
      <c r="QJ48" s="1"/>
      <c r="QK48" s="1"/>
      <c r="QL48" s="1"/>
      <c r="QM48" s="1"/>
      <c r="QN48" s="1"/>
      <c r="QO48" s="1"/>
      <c r="QP48" s="54" t="s">
        <v>268</v>
      </c>
      <c r="QQ48" s="1"/>
      <c r="QR48" s="55" t="s">
        <v>268</v>
      </c>
      <c r="QS48" s="1"/>
      <c r="QT48" s="1"/>
      <c r="QU48" s="2"/>
      <c r="QV48" s="54" t="s">
        <v>268</v>
      </c>
      <c r="QW48" s="54" t="s">
        <v>268</v>
      </c>
      <c r="QX48" s="54" t="s">
        <v>268</v>
      </c>
      <c r="QY48" s="55" t="s">
        <v>268</v>
      </c>
      <c r="QZ48" s="56" t="s">
        <v>268</v>
      </c>
      <c r="RA48" s="54" t="s">
        <v>268</v>
      </c>
      <c r="RB48" s="1"/>
      <c r="RC48" s="57" t="s">
        <v>268</v>
      </c>
      <c r="RD48" s="58" t="s">
        <v>268</v>
      </c>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t="s">
        <v>268</v>
      </c>
      <c r="UE48" s="39" t="s">
        <v>268</v>
      </c>
      <c r="UF48" s="1"/>
      <c r="UG48" s="1"/>
      <c r="UH48" s="1"/>
      <c r="UI48" s="1"/>
      <c r="UJ48" s="1"/>
      <c r="UK48" s="1"/>
      <c r="UL48" s="1"/>
      <c r="UM48" s="54" t="s">
        <v>268</v>
      </c>
      <c r="UN48" s="1"/>
      <c r="UO48" s="55" t="s">
        <v>268</v>
      </c>
      <c r="UP48" s="1"/>
      <c r="UQ48" s="1"/>
      <c r="UR48" s="2"/>
      <c r="US48" s="54" t="s">
        <v>268</v>
      </c>
      <c r="UT48" s="1"/>
      <c r="UU48" s="1"/>
      <c r="UV48" s="1"/>
      <c r="UW48" s="1"/>
      <c r="UX48" s="1"/>
      <c r="UY48" s="1"/>
      <c r="UZ48" s="54" t="s">
        <v>268</v>
      </c>
      <c r="VA48" s="1"/>
      <c r="VB48" s="55" t="s">
        <v>268</v>
      </c>
      <c r="VC48" s="1"/>
      <c r="VD48" s="1"/>
      <c r="VE48" s="2"/>
      <c r="VF48" s="54" t="s">
        <v>268</v>
      </c>
      <c r="VG48" s="54" t="s">
        <v>268</v>
      </c>
      <c r="VH48" s="54" t="s">
        <v>268</v>
      </c>
      <c r="VI48" s="55" t="s">
        <v>268</v>
      </c>
      <c r="VJ48" s="56" t="s">
        <v>268</v>
      </c>
      <c r="VK48" s="54" t="s">
        <v>268</v>
      </c>
      <c r="VL48" s="1"/>
      <c r="VM48" s="57" t="s">
        <v>268</v>
      </c>
      <c r="VN48" s="58" t="s">
        <v>268</v>
      </c>
      <c r="VO48" s="4"/>
      <c r="VP48" s="39" t="s">
        <v>268</v>
      </c>
      <c r="VQ48" s="39" t="s">
        <v>268</v>
      </c>
      <c r="VR48" s="1"/>
      <c r="VS48" s="1"/>
      <c r="VT48" s="1"/>
      <c r="VU48" s="1"/>
      <c r="VV48" s="1"/>
      <c r="VW48" s="1"/>
      <c r="VX48" s="1"/>
      <c r="VY48" s="54" t="s">
        <v>268</v>
      </c>
      <c r="VZ48" s="1"/>
      <c r="WA48" s="55" t="s">
        <v>268</v>
      </c>
      <c r="WB48" s="1"/>
      <c r="WC48" s="1"/>
      <c r="WD48" s="2"/>
      <c r="WE48" s="54" t="s">
        <v>268</v>
      </c>
      <c r="WF48" s="1"/>
      <c r="WG48" s="1"/>
      <c r="WH48" s="1"/>
      <c r="WI48" s="1"/>
      <c r="WJ48" s="1"/>
      <c r="WK48" s="1"/>
      <c r="WL48" s="54" t="s">
        <v>268</v>
      </c>
      <c r="WM48" s="1"/>
      <c r="WN48" s="55" t="s">
        <v>268</v>
      </c>
      <c r="WO48" s="1"/>
      <c r="WP48" s="1"/>
      <c r="WQ48" s="2"/>
      <c r="WR48" s="54" t="s">
        <v>268</v>
      </c>
      <c r="WS48" s="54" t="s">
        <v>268</v>
      </c>
      <c r="WT48" s="54" t="s">
        <v>268</v>
      </c>
      <c r="WU48" s="55" t="s">
        <v>268</v>
      </c>
      <c r="WV48" s="56" t="s">
        <v>268</v>
      </c>
      <c r="WW48" s="54" t="s">
        <v>268</v>
      </c>
      <c r="WX48" s="1"/>
      <c r="WY48" s="57" t="s">
        <v>268</v>
      </c>
      <c r="WZ48" s="58" t="s">
        <v>268</v>
      </c>
      <c r="XA48" s="4"/>
      <c r="XB48" s="39" t="s">
        <v>268</v>
      </c>
      <c r="XC48" s="39" t="s">
        <v>268</v>
      </c>
      <c r="XD48" s="1"/>
      <c r="XE48" s="1"/>
      <c r="XF48" s="1"/>
      <c r="XG48" s="1"/>
      <c r="XH48" s="1"/>
      <c r="XI48" s="1"/>
      <c r="XJ48" s="1"/>
      <c r="XK48" s="54" t="s">
        <v>268</v>
      </c>
      <c r="XL48" s="1"/>
      <c r="XM48" s="55" t="s">
        <v>268</v>
      </c>
      <c r="XN48" s="1"/>
      <c r="XO48" s="1"/>
      <c r="XP48" s="2"/>
      <c r="XQ48" s="54" t="s">
        <v>268</v>
      </c>
      <c r="XR48" s="1"/>
      <c r="XS48" s="1"/>
      <c r="XT48" s="1"/>
      <c r="XU48" s="1"/>
      <c r="XV48" s="1"/>
      <c r="XW48" s="1"/>
      <c r="XX48" s="54" t="s">
        <v>268</v>
      </c>
      <c r="XY48" s="1"/>
      <c r="XZ48" s="55" t="s">
        <v>268</v>
      </c>
      <c r="YA48" s="1"/>
      <c r="YB48" s="1"/>
      <c r="YC48" s="2"/>
      <c r="YD48" s="54" t="s">
        <v>268</v>
      </c>
      <c r="YE48" s="54" t="s">
        <v>268</v>
      </c>
      <c r="YF48" s="54" t="s">
        <v>268</v>
      </c>
      <c r="YG48" s="55" t="s">
        <v>268</v>
      </c>
      <c r="YH48" s="56" t="s">
        <v>268</v>
      </c>
      <c r="YI48" s="54" t="s">
        <v>268</v>
      </c>
      <c r="YJ48" s="1"/>
      <c r="YK48" s="57" t="s">
        <v>268</v>
      </c>
      <c r="YL48" s="58" t="s">
        <v>268</v>
      </c>
      <c r="YM48" s="4"/>
      <c r="YN48" s="39" t="s">
        <v>268</v>
      </c>
      <c r="YO48" s="39" t="s">
        <v>268</v>
      </c>
      <c r="YP48" s="1"/>
      <c r="YQ48" s="1"/>
      <c r="YR48" s="1"/>
      <c r="YS48" s="1"/>
      <c r="YT48" s="1"/>
      <c r="YU48" s="1"/>
      <c r="YV48" s="1"/>
      <c r="YW48" s="54" t="s">
        <v>268</v>
      </c>
      <c r="YX48" s="1"/>
      <c r="YY48" s="55" t="s">
        <v>268</v>
      </c>
      <c r="YZ48" s="1"/>
      <c r="ZA48" s="1"/>
      <c r="ZB48" s="2"/>
      <c r="ZC48" s="54" t="s">
        <v>268</v>
      </c>
      <c r="ZD48" s="1"/>
      <c r="ZE48" s="1"/>
      <c r="ZF48" s="1"/>
      <c r="ZG48" s="1"/>
      <c r="ZH48" s="1"/>
      <c r="ZI48" s="1"/>
      <c r="ZJ48" s="54" t="s">
        <v>268</v>
      </c>
      <c r="ZK48" s="1"/>
      <c r="ZL48" s="55" t="s">
        <v>268</v>
      </c>
      <c r="ZM48" s="1"/>
      <c r="ZN48" s="1"/>
      <c r="ZO48" s="2"/>
      <c r="ZP48" s="54" t="s">
        <v>268</v>
      </c>
      <c r="ZQ48" s="54" t="s">
        <v>268</v>
      </c>
      <c r="ZR48" s="54" t="s">
        <v>268</v>
      </c>
      <c r="ZS48" s="55" t="s">
        <v>268</v>
      </c>
      <c r="ZT48" s="56" t="s">
        <v>268</v>
      </c>
      <c r="ZU48" s="54" t="s">
        <v>268</v>
      </c>
      <c r="ZV48" s="1"/>
      <c r="ZW48" s="57" t="s">
        <v>268</v>
      </c>
      <c r="ZX48" s="58" t="s">
        <v>268</v>
      </c>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2" customHeight="1" x14ac:dyDescent="0.2">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t="s">
        <v>268</v>
      </c>
      <c r="S49" s="39" t="s">
        <v>268</v>
      </c>
      <c r="T49" s="1"/>
      <c r="U49" s="1"/>
      <c r="V49" s="1"/>
      <c r="W49" s="1"/>
      <c r="X49" s="1"/>
      <c r="Y49" s="1"/>
      <c r="Z49" s="1"/>
      <c r="AA49" s="54" t="s">
        <v>268</v>
      </c>
      <c r="AB49" s="1"/>
      <c r="AC49" s="55" t="s">
        <v>268</v>
      </c>
      <c r="AD49" s="1"/>
      <c r="AE49" s="1"/>
      <c r="AF49" s="2"/>
      <c r="AG49" s="54" t="s">
        <v>268</v>
      </c>
      <c r="AH49" s="1"/>
      <c r="AI49" s="1"/>
      <c r="AJ49" s="1"/>
      <c r="AK49" s="1"/>
      <c r="AL49" s="1"/>
      <c r="AM49" s="1"/>
      <c r="AN49" s="54" t="s">
        <v>268</v>
      </c>
      <c r="AO49" s="1"/>
      <c r="AP49" s="55" t="s">
        <v>268</v>
      </c>
      <c r="AQ49" s="1"/>
      <c r="AR49" s="1"/>
      <c r="AS49" s="2"/>
      <c r="AT49" s="54" t="s">
        <v>268</v>
      </c>
      <c r="AU49" s="54" t="s">
        <v>268</v>
      </c>
      <c r="AV49" s="54" t="s">
        <v>268</v>
      </c>
      <c r="AW49" s="55" t="s">
        <v>268</v>
      </c>
      <c r="AX49" s="56" t="s">
        <v>268</v>
      </c>
      <c r="AY49" s="54" t="s">
        <v>268</v>
      </c>
      <c r="AZ49" s="1"/>
      <c r="BA49" s="57" t="s">
        <v>268</v>
      </c>
      <c r="BB49" s="58" t="s">
        <v>268</v>
      </c>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t="s">
        <v>268</v>
      </c>
      <c r="EC49" s="39" t="s">
        <v>268</v>
      </c>
      <c r="ED49" s="1"/>
      <c r="EE49" s="1"/>
      <c r="EF49" s="1"/>
      <c r="EG49" s="1"/>
      <c r="EH49" s="1"/>
      <c r="EI49" s="1"/>
      <c r="EJ49" s="1"/>
      <c r="EK49" s="54" t="s">
        <v>268</v>
      </c>
      <c r="EL49" s="1"/>
      <c r="EM49" s="55" t="s">
        <v>268</v>
      </c>
      <c r="EN49" s="1"/>
      <c r="EO49" s="1"/>
      <c r="EP49" s="2"/>
      <c r="EQ49" s="54" t="s">
        <v>268</v>
      </c>
      <c r="ER49" s="1"/>
      <c r="ES49" s="1"/>
      <c r="ET49" s="1"/>
      <c r="EU49" s="1"/>
      <c r="EV49" s="1"/>
      <c r="EW49" s="1"/>
      <c r="EX49" s="54" t="s">
        <v>268</v>
      </c>
      <c r="EY49" s="1"/>
      <c r="EZ49" s="55" t="s">
        <v>268</v>
      </c>
      <c r="FA49" s="1"/>
      <c r="FB49" s="1"/>
      <c r="FC49" s="2"/>
      <c r="FD49" s="54" t="s">
        <v>268</v>
      </c>
      <c r="FE49" s="54" t="s">
        <v>268</v>
      </c>
      <c r="FF49" s="54" t="s">
        <v>268</v>
      </c>
      <c r="FG49" s="55" t="s">
        <v>268</v>
      </c>
      <c r="FH49" s="56" t="s">
        <v>268</v>
      </c>
      <c r="FI49" s="54" t="s">
        <v>268</v>
      </c>
      <c r="FJ49" s="1"/>
      <c r="FK49" s="57" t="s">
        <v>268</v>
      </c>
      <c r="FL49" s="58" t="s">
        <v>268</v>
      </c>
      <c r="FM49" s="4"/>
      <c r="FN49" s="39" t="s">
        <v>268</v>
      </c>
      <c r="FO49" s="39" t="s">
        <v>268</v>
      </c>
      <c r="FP49" s="1"/>
      <c r="FQ49" s="1"/>
      <c r="FR49" s="1"/>
      <c r="FS49" s="1"/>
      <c r="FT49" s="1"/>
      <c r="FU49" s="1"/>
      <c r="FV49" s="1"/>
      <c r="FW49" s="54" t="s">
        <v>268</v>
      </c>
      <c r="FX49" s="1"/>
      <c r="FY49" s="55" t="s">
        <v>268</v>
      </c>
      <c r="FZ49" s="1"/>
      <c r="GA49" s="1"/>
      <c r="GB49" s="2"/>
      <c r="GC49" s="54" t="s">
        <v>268</v>
      </c>
      <c r="GD49" s="1"/>
      <c r="GE49" s="1"/>
      <c r="GF49" s="1"/>
      <c r="GG49" s="1"/>
      <c r="GH49" s="1"/>
      <c r="GI49" s="1"/>
      <c r="GJ49" s="54" t="s">
        <v>268</v>
      </c>
      <c r="GK49" s="1"/>
      <c r="GL49" s="55" t="s">
        <v>268</v>
      </c>
      <c r="GM49" s="1"/>
      <c r="GN49" s="1"/>
      <c r="GO49" s="2"/>
      <c r="GP49" s="54" t="s">
        <v>268</v>
      </c>
      <c r="GQ49" s="54" t="s">
        <v>268</v>
      </c>
      <c r="GR49" s="54" t="s">
        <v>268</v>
      </c>
      <c r="GS49" s="55" t="s">
        <v>268</v>
      </c>
      <c r="GT49" s="56" t="s">
        <v>268</v>
      </c>
      <c r="GU49" s="54" t="s">
        <v>268</v>
      </c>
      <c r="GV49" s="1"/>
      <c r="GW49" s="57" t="s">
        <v>268</v>
      </c>
      <c r="GX49" s="58" t="s">
        <v>268</v>
      </c>
      <c r="GY49" s="4"/>
      <c r="GZ49" s="39" t="s">
        <v>268</v>
      </c>
      <c r="HA49" s="39" t="s">
        <v>268</v>
      </c>
      <c r="HB49" s="1"/>
      <c r="HC49" s="1"/>
      <c r="HD49" s="1"/>
      <c r="HE49" s="1"/>
      <c r="HF49" s="1"/>
      <c r="HG49" s="1"/>
      <c r="HH49" s="1"/>
      <c r="HI49" s="54" t="s">
        <v>268</v>
      </c>
      <c r="HJ49" s="1"/>
      <c r="HK49" s="55" t="s">
        <v>268</v>
      </c>
      <c r="HL49" s="1"/>
      <c r="HM49" s="1"/>
      <c r="HN49" s="2"/>
      <c r="HO49" s="54" t="s">
        <v>268</v>
      </c>
      <c r="HP49" s="1"/>
      <c r="HQ49" s="1"/>
      <c r="HR49" s="1"/>
      <c r="HS49" s="1"/>
      <c r="HT49" s="1"/>
      <c r="HU49" s="1"/>
      <c r="HV49" s="54" t="s">
        <v>268</v>
      </c>
      <c r="HW49" s="1"/>
      <c r="HX49" s="55" t="s">
        <v>268</v>
      </c>
      <c r="HY49" s="1"/>
      <c r="HZ49" s="1"/>
      <c r="IA49" s="2"/>
      <c r="IB49" s="54" t="s">
        <v>268</v>
      </c>
      <c r="IC49" s="54" t="s">
        <v>268</v>
      </c>
      <c r="ID49" s="54" t="s">
        <v>268</v>
      </c>
      <c r="IE49" s="55" t="s">
        <v>268</v>
      </c>
      <c r="IF49" s="56" t="s">
        <v>268</v>
      </c>
      <c r="IG49" s="54" t="s">
        <v>268</v>
      </c>
      <c r="IH49" s="1"/>
      <c r="II49" s="57" t="s">
        <v>268</v>
      </c>
      <c r="IJ49" s="58" t="s">
        <v>268</v>
      </c>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t="s">
        <v>268</v>
      </c>
      <c r="PU49" s="39" t="s">
        <v>268</v>
      </c>
      <c r="PV49" s="1"/>
      <c r="PW49" s="1"/>
      <c r="PX49" s="1"/>
      <c r="PY49" s="1"/>
      <c r="PZ49" s="1"/>
      <c r="QA49" s="1"/>
      <c r="QB49" s="1"/>
      <c r="QC49" s="54" t="s">
        <v>268</v>
      </c>
      <c r="QD49" s="1"/>
      <c r="QE49" s="55" t="s">
        <v>268</v>
      </c>
      <c r="QF49" s="1"/>
      <c r="QG49" s="1"/>
      <c r="QH49" s="2"/>
      <c r="QI49" s="54" t="s">
        <v>268</v>
      </c>
      <c r="QJ49" s="1"/>
      <c r="QK49" s="1"/>
      <c r="QL49" s="1"/>
      <c r="QM49" s="1"/>
      <c r="QN49" s="1"/>
      <c r="QO49" s="1"/>
      <c r="QP49" s="54" t="s">
        <v>268</v>
      </c>
      <c r="QQ49" s="1"/>
      <c r="QR49" s="55" t="s">
        <v>268</v>
      </c>
      <c r="QS49" s="1"/>
      <c r="QT49" s="1"/>
      <c r="QU49" s="2"/>
      <c r="QV49" s="54" t="s">
        <v>268</v>
      </c>
      <c r="QW49" s="54" t="s">
        <v>268</v>
      </c>
      <c r="QX49" s="54" t="s">
        <v>268</v>
      </c>
      <c r="QY49" s="55" t="s">
        <v>268</v>
      </c>
      <c r="QZ49" s="56" t="s">
        <v>268</v>
      </c>
      <c r="RA49" s="54" t="s">
        <v>268</v>
      </c>
      <c r="RB49" s="1"/>
      <c r="RC49" s="57" t="s">
        <v>268</v>
      </c>
      <c r="RD49" s="58" t="s">
        <v>268</v>
      </c>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t="s">
        <v>268</v>
      </c>
      <c r="UE49" s="39" t="s">
        <v>268</v>
      </c>
      <c r="UF49" s="1"/>
      <c r="UG49" s="1"/>
      <c r="UH49" s="1"/>
      <c r="UI49" s="1"/>
      <c r="UJ49" s="1"/>
      <c r="UK49" s="1"/>
      <c r="UL49" s="1"/>
      <c r="UM49" s="54" t="s">
        <v>268</v>
      </c>
      <c r="UN49" s="1"/>
      <c r="UO49" s="55" t="s">
        <v>268</v>
      </c>
      <c r="UP49" s="1"/>
      <c r="UQ49" s="1"/>
      <c r="UR49" s="2"/>
      <c r="US49" s="54" t="s">
        <v>268</v>
      </c>
      <c r="UT49" s="1"/>
      <c r="UU49" s="1"/>
      <c r="UV49" s="1"/>
      <c r="UW49" s="1"/>
      <c r="UX49" s="1"/>
      <c r="UY49" s="1"/>
      <c r="UZ49" s="54" t="s">
        <v>268</v>
      </c>
      <c r="VA49" s="1"/>
      <c r="VB49" s="55" t="s">
        <v>268</v>
      </c>
      <c r="VC49" s="1"/>
      <c r="VD49" s="1"/>
      <c r="VE49" s="2"/>
      <c r="VF49" s="54" t="s">
        <v>268</v>
      </c>
      <c r="VG49" s="54" t="s">
        <v>268</v>
      </c>
      <c r="VH49" s="54" t="s">
        <v>268</v>
      </c>
      <c r="VI49" s="55" t="s">
        <v>268</v>
      </c>
      <c r="VJ49" s="56" t="s">
        <v>268</v>
      </c>
      <c r="VK49" s="54" t="s">
        <v>268</v>
      </c>
      <c r="VL49" s="1"/>
      <c r="VM49" s="57" t="s">
        <v>268</v>
      </c>
      <c r="VN49" s="58" t="s">
        <v>268</v>
      </c>
      <c r="VO49" s="4"/>
      <c r="VP49" s="39" t="s">
        <v>268</v>
      </c>
      <c r="VQ49" s="39" t="s">
        <v>268</v>
      </c>
      <c r="VR49" s="1"/>
      <c r="VS49" s="1"/>
      <c r="VT49" s="1"/>
      <c r="VU49" s="1"/>
      <c r="VV49" s="1"/>
      <c r="VW49" s="1"/>
      <c r="VX49" s="1"/>
      <c r="VY49" s="54" t="s">
        <v>268</v>
      </c>
      <c r="VZ49" s="1"/>
      <c r="WA49" s="55" t="s">
        <v>268</v>
      </c>
      <c r="WB49" s="1"/>
      <c r="WC49" s="1"/>
      <c r="WD49" s="2"/>
      <c r="WE49" s="54" t="s">
        <v>268</v>
      </c>
      <c r="WF49" s="1"/>
      <c r="WG49" s="1"/>
      <c r="WH49" s="1"/>
      <c r="WI49" s="1"/>
      <c r="WJ49" s="1"/>
      <c r="WK49" s="1"/>
      <c r="WL49" s="54" t="s">
        <v>268</v>
      </c>
      <c r="WM49" s="1"/>
      <c r="WN49" s="55" t="s">
        <v>268</v>
      </c>
      <c r="WO49" s="1"/>
      <c r="WP49" s="1"/>
      <c r="WQ49" s="2"/>
      <c r="WR49" s="54" t="s">
        <v>268</v>
      </c>
      <c r="WS49" s="54" t="s">
        <v>268</v>
      </c>
      <c r="WT49" s="54" t="s">
        <v>268</v>
      </c>
      <c r="WU49" s="55" t="s">
        <v>268</v>
      </c>
      <c r="WV49" s="56" t="s">
        <v>268</v>
      </c>
      <c r="WW49" s="54" t="s">
        <v>268</v>
      </c>
      <c r="WX49" s="1"/>
      <c r="WY49" s="57" t="s">
        <v>268</v>
      </c>
      <c r="WZ49" s="58" t="s">
        <v>268</v>
      </c>
      <c r="XA49" s="4"/>
      <c r="XB49" s="39" t="s">
        <v>268</v>
      </c>
      <c r="XC49" s="39" t="s">
        <v>268</v>
      </c>
      <c r="XD49" s="1"/>
      <c r="XE49" s="1"/>
      <c r="XF49" s="1"/>
      <c r="XG49" s="1"/>
      <c r="XH49" s="1"/>
      <c r="XI49" s="1"/>
      <c r="XJ49" s="1"/>
      <c r="XK49" s="54" t="s">
        <v>268</v>
      </c>
      <c r="XL49" s="1"/>
      <c r="XM49" s="55" t="s">
        <v>268</v>
      </c>
      <c r="XN49" s="1"/>
      <c r="XO49" s="1"/>
      <c r="XP49" s="2"/>
      <c r="XQ49" s="54" t="s">
        <v>268</v>
      </c>
      <c r="XR49" s="1"/>
      <c r="XS49" s="1"/>
      <c r="XT49" s="1"/>
      <c r="XU49" s="1"/>
      <c r="XV49" s="1"/>
      <c r="XW49" s="1"/>
      <c r="XX49" s="54" t="s">
        <v>268</v>
      </c>
      <c r="XY49" s="1"/>
      <c r="XZ49" s="55" t="s">
        <v>268</v>
      </c>
      <c r="YA49" s="1"/>
      <c r="YB49" s="1"/>
      <c r="YC49" s="2"/>
      <c r="YD49" s="54" t="s">
        <v>268</v>
      </c>
      <c r="YE49" s="54" t="s">
        <v>268</v>
      </c>
      <c r="YF49" s="54" t="s">
        <v>268</v>
      </c>
      <c r="YG49" s="55" t="s">
        <v>268</v>
      </c>
      <c r="YH49" s="56" t="s">
        <v>268</v>
      </c>
      <c r="YI49" s="54" t="s">
        <v>268</v>
      </c>
      <c r="YJ49" s="1"/>
      <c r="YK49" s="57" t="s">
        <v>268</v>
      </c>
      <c r="YL49" s="58" t="s">
        <v>268</v>
      </c>
      <c r="YM49" s="4"/>
      <c r="YN49" s="39" t="s">
        <v>268</v>
      </c>
      <c r="YO49" s="39" t="s">
        <v>268</v>
      </c>
      <c r="YP49" s="1"/>
      <c r="YQ49" s="1"/>
      <c r="YR49" s="1"/>
      <c r="YS49" s="1"/>
      <c r="YT49" s="1"/>
      <c r="YU49" s="1"/>
      <c r="YV49" s="1"/>
      <c r="YW49" s="54" t="s">
        <v>268</v>
      </c>
      <c r="YX49" s="1"/>
      <c r="YY49" s="55" t="s">
        <v>268</v>
      </c>
      <c r="YZ49" s="1"/>
      <c r="ZA49" s="1"/>
      <c r="ZB49" s="2"/>
      <c r="ZC49" s="54" t="s">
        <v>268</v>
      </c>
      <c r="ZD49" s="1"/>
      <c r="ZE49" s="1"/>
      <c r="ZF49" s="1"/>
      <c r="ZG49" s="1"/>
      <c r="ZH49" s="1"/>
      <c r="ZI49" s="1"/>
      <c r="ZJ49" s="54" t="s">
        <v>268</v>
      </c>
      <c r="ZK49" s="1"/>
      <c r="ZL49" s="55" t="s">
        <v>268</v>
      </c>
      <c r="ZM49" s="1"/>
      <c r="ZN49" s="1"/>
      <c r="ZO49" s="2"/>
      <c r="ZP49" s="54" t="s">
        <v>268</v>
      </c>
      <c r="ZQ49" s="54" t="s">
        <v>268</v>
      </c>
      <c r="ZR49" s="54" t="s">
        <v>268</v>
      </c>
      <c r="ZS49" s="55" t="s">
        <v>268</v>
      </c>
      <c r="ZT49" s="56" t="s">
        <v>268</v>
      </c>
      <c r="ZU49" s="54" t="s">
        <v>268</v>
      </c>
      <c r="ZV49" s="1"/>
      <c r="ZW49" s="57" t="s">
        <v>268</v>
      </c>
      <c r="ZX49" s="58" t="s">
        <v>268</v>
      </c>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2" customHeight="1" x14ac:dyDescent="0.2">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t="s">
        <v>268</v>
      </c>
      <c r="S50" s="39" t="s">
        <v>268</v>
      </c>
      <c r="T50" s="1"/>
      <c r="U50" s="1"/>
      <c r="V50" s="1"/>
      <c r="W50" s="1"/>
      <c r="X50" s="1"/>
      <c r="Y50" s="1"/>
      <c r="Z50" s="1"/>
      <c r="AA50" s="54" t="s">
        <v>268</v>
      </c>
      <c r="AB50" s="1"/>
      <c r="AC50" s="55" t="s">
        <v>268</v>
      </c>
      <c r="AD50" s="1"/>
      <c r="AE50" s="1"/>
      <c r="AF50" s="2"/>
      <c r="AG50" s="54" t="s">
        <v>268</v>
      </c>
      <c r="AH50" s="1"/>
      <c r="AI50" s="1"/>
      <c r="AJ50" s="1"/>
      <c r="AK50" s="1"/>
      <c r="AL50" s="1"/>
      <c r="AM50" s="1"/>
      <c r="AN50" s="54" t="s">
        <v>268</v>
      </c>
      <c r="AO50" s="1"/>
      <c r="AP50" s="55" t="s">
        <v>268</v>
      </c>
      <c r="AQ50" s="1"/>
      <c r="AR50" s="1"/>
      <c r="AS50" s="2"/>
      <c r="AT50" s="54" t="s">
        <v>268</v>
      </c>
      <c r="AU50" s="54" t="s">
        <v>268</v>
      </c>
      <c r="AV50" s="54" t="s">
        <v>268</v>
      </c>
      <c r="AW50" s="55" t="s">
        <v>268</v>
      </c>
      <c r="AX50" s="56" t="s">
        <v>268</v>
      </c>
      <c r="AY50" s="54" t="s">
        <v>268</v>
      </c>
      <c r="AZ50" s="1"/>
      <c r="BA50" s="57" t="s">
        <v>268</v>
      </c>
      <c r="BB50" s="58" t="s">
        <v>268</v>
      </c>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t="s">
        <v>268</v>
      </c>
      <c r="EC50" s="39" t="s">
        <v>268</v>
      </c>
      <c r="ED50" s="1"/>
      <c r="EE50" s="1"/>
      <c r="EF50" s="1"/>
      <c r="EG50" s="1"/>
      <c r="EH50" s="1"/>
      <c r="EI50" s="1"/>
      <c r="EJ50" s="1"/>
      <c r="EK50" s="54" t="s">
        <v>268</v>
      </c>
      <c r="EL50" s="1"/>
      <c r="EM50" s="55" t="s">
        <v>268</v>
      </c>
      <c r="EN50" s="1"/>
      <c r="EO50" s="1"/>
      <c r="EP50" s="2"/>
      <c r="EQ50" s="54" t="s">
        <v>268</v>
      </c>
      <c r="ER50" s="1"/>
      <c r="ES50" s="1"/>
      <c r="ET50" s="1"/>
      <c r="EU50" s="1"/>
      <c r="EV50" s="1"/>
      <c r="EW50" s="1"/>
      <c r="EX50" s="54" t="s">
        <v>268</v>
      </c>
      <c r="EY50" s="1"/>
      <c r="EZ50" s="55" t="s">
        <v>268</v>
      </c>
      <c r="FA50" s="1"/>
      <c r="FB50" s="1"/>
      <c r="FC50" s="2"/>
      <c r="FD50" s="54" t="s">
        <v>268</v>
      </c>
      <c r="FE50" s="54" t="s">
        <v>268</v>
      </c>
      <c r="FF50" s="54" t="s">
        <v>268</v>
      </c>
      <c r="FG50" s="55" t="s">
        <v>268</v>
      </c>
      <c r="FH50" s="56" t="s">
        <v>268</v>
      </c>
      <c r="FI50" s="54" t="s">
        <v>268</v>
      </c>
      <c r="FJ50" s="1"/>
      <c r="FK50" s="57" t="s">
        <v>268</v>
      </c>
      <c r="FL50" s="58" t="s">
        <v>268</v>
      </c>
      <c r="FM50" s="4"/>
      <c r="FN50" s="39" t="s">
        <v>268</v>
      </c>
      <c r="FO50" s="39" t="s">
        <v>268</v>
      </c>
      <c r="FP50" s="1"/>
      <c r="FQ50" s="1"/>
      <c r="FR50" s="1"/>
      <c r="FS50" s="1"/>
      <c r="FT50" s="1"/>
      <c r="FU50" s="1"/>
      <c r="FV50" s="1"/>
      <c r="FW50" s="54" t="s">
        <v>268</v>
      </c>
      <c r="FX50" s="1"/>
      <c r="FY50" s="55" t="s">
        <v>268</v>
      </c>
      <c r="FZ50" s="1"/>
      <c r="GA50" s="1"/>
      <c r="GB50" s="2"/>
      <c r="GC50" s="54" t="s">
        <v>268</v>
      </c>
      <c r="GD50" s="1"/>
      <c r="GE50" s="1"/>
      <c r="GF50" s="1"/>
      <c r="GG50" s="1"/>
      <c r="GH50" s="1"/>
      <c r="GI50" s="1"/>
      <c r="GJ50" s="54" t="s">
        <v>268</v>
      </c>
      <c r="GK50" s="1"/>
      <c r="GL50" s="55" t="s">
        <v>268</v>
      </c>
      <c r="GM50" s="1"/>
      <c r="GN50" s="1"/>
      <c r="GO50" s="2"/>
      <c r="GP50" s="54" t="s">
        <v>268</v>
      </c>
      <c r="GQ50" s="54" t="s">
        <v>268</v>
      </c>
      <c r="GR50" s="54" t="s">
        <v>268</v>
      </c>
      <c r="GS50" s="55" t="s">
        <v>268</v>
      </c>
      <c r="GT50" s="56" t="s">
        <v>268</v>
      </c>
      <c r="GU50" s="54" t="s">
        <v>268</v>
      </c>
      <c r="GV50" s="1"/>
      <c r="GW50" s="57" t="s">
        <v>268</v>
      </c>
      <c r="GX50" s="58" t="s">
        <v>268</v>
      </c>
      <c r="GY50" s="4"/>
      <c r="GZ50" s="39" t="s">
        <v>268</v>
      </c>
      <c r="HA50" s="39" t="s">
        <v>268</v>
      </c>
      <c r="HB50" s="1"/>
      <c r="HC50" s="1"/>
      <c r="HD50" s="1"/>
      <c r="HE50" s="1"/>
      <c r="HF50" s="1"/>
      <c r="HG50" s="1"/>
      <c r="HH50" s="1"/>
      <c r="HI50" s="54" t="s">
        <v>268</v>
      </c>
      <c r="HJ50" s="1"/>
      <c r="HK50" s="55" t="s">
        <v>268</v>
      </c>
      <c r="HL50" s="1"/>
      <c r="HM50" s="1"/>
      <c r="HN50" s="2"/>
      <c r="HO50" s="54" t="s">
        <v>268</v>
      </c>
      <c r="HP50" s="1"/>
      <c r="HQ50" s="1"/>
      <c r="HR50" s="1"/>
      <c r="HS50" s="1"/>
      <c r="HT50" s="1"/>
      <c r="HU50" s="1"/>
      <c r="HV50" s="54" t="s">
        <v>268</v>
      </c>
      <c r="HW50" s="1"/>
      <c r="HX50" s="55" t="s">
        <v>268</v>
      </c>
      <c r="HY50" s="1"/>
      <c r="HZ50" s="1"/>
      <c r="IA50" s="2"/>
      <c r="IB50" s="54" t="s">
        <v>268</v>
      </c>
      <c r="IC50" s="54" t="s">
        <v>268</v>
      </c>
      <c r="ID50" s="54" t="s">
        <v>268</v>
      </c>
      <c r="IE50" s="55" t="s">
        <v>268</v>
      </c>
      <c r="IF50" s="56" t="s">
        <v>268</v>
      </c>
      <c r="IG50" s="54" t="s">
        <v>268</v>
      </c>
      <c r="IH50" s="1"/>
      <c r="II50" s="57" t="s">
        <v>268</v>
      </c>
      <c r="IJ50" s="58" t="s">
        <v>268</v>
      </c>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t="s">
        <v>268</v>
      </c>
      <c r="PU50" s="39" t="s">
        <v>268</v>
      </c>
      <c r="PV50" s="1"/>
      <c r="PW50" s="1"/>
      <c r="PX50" s="1"/>
      <c r="PY50" s="1"/>
      <c r="PZ50" s="1"/>
      <c r="QA50" s="1"/>
      <c r="QB50" s="1"/>
      <c r="QC50" s="54" t="s">
        <v>268</v>
      </c>
      <c r="QD50" s="1"/>
      <c r="QE50" s="55" t="s">
        <v>268</v>
      </c>
      <c r="QF50" s="1"/>
      <c r="QG50" s="1"/>
      <c r="QH50" s="2"/>
      <c r="QI50" s="54" t="s">
        <v>268</v>
      </c>
      <c r="QJ50" s="1"/>
      <c r="QK50" s="1"/>
      <c r="QL50" s="1"/>
      <c r="QM50" s="1"/>
      <c r="QN50" s="1"/>
      <c r="QO50" s="1"/>
      <c r="QP50" s="54" t="s">
        <v>268</v>
      </c>
      <c r="QQ50" s="1"/>
      <c r="QR50" s="55" t="s">
        <v>268</v>
      </c>
      <c r="QS50" s="1"/>
      <c r="QT50" s="1"/>
      <c r="QU50" s="2"/>
      <c r="QV50" s="54" t="s">
        <v>268</v>
      </c>
      <c r="QW50" s="54" t="s">
        <v>268</v>
      </c>
      <c r="QX50" s="54" t="s">
        <v>268</v>
      </c>
      <c r="QY50" s="55" t="s">
        <v>268</v>
      </c>
      <c r="QZ50" s="56" t="s">
        <v>268</v>
      </c>
      <c r="RA50" s="54" t="s">
        <v>268</v>
      </c>
      <c r="RB50" s="1"/>
      <c r="RC50" s="57" t="s">
        <v>268</v>
      </c>
      <c r="RD50" s="58" t="s">
        <v>268</v>
      </c>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t="s">
        <v>268</v>
      </c>
      <c r="UE50" s="39" t="s">
        <v>268</v>
      </c>
      <c r="UF50" s="1"/>
      <c r="UG50" s="1"/>
      <c r="UH50" s="1"/>
      <c r="UI50" s="1"/>
      <c r="UJ50" s="1"/>
      <c r="UK50" s="1"/>
      <c r="UL50" s="1"/>
      <c r="UM50" s="54" t="s">
        <v>268</v>
      </c>
      <c r="UN50" s="1"/>
      <c r="UO50" s="55" t="s">
        <v>268</v>
      </c>
      <c r="UP50" s="1"/>
      <c r="UQ50" s="1"/>
      <c r="UR50" s="2"/>
      <c r="US50" s="54" t="s">
        <v>268</v>
      </c>
      <c r="UT50" s="1"/>
      <c r="UU50" s="1"/>
      <c r="UV50" s="1"/>
      <c r="UW50" s="1"/>
      <c r="UX50" s="1"/>
      <c r="UY50" s="1"/>
      <c r="UZ50" s="54" t="s">
        <v>268</v>
      </c>
      <c r="VA50" s="1"/>
      <c r="VB50" s="55" t="s">
        <v>268</v>
      </c>
      <c r="VC50" s="1"/>
      <c r="VD50" s="1"/>
      <c r="VE50" s="2"/>
      <c r="VF50" s="54" t="s">
        <v>268</v>
      </c>
      <c r="VG50" s="54" t="s">
        <v>268</v>
      </c>
      <c r="VH50" s="54" t="s">
        <v>268</v>
      </c>
      <c r="VI50" s="55" t="s">
        <v>268</v>
      </c>
      <c r="VJ50" s="56" t="s">
        <v>268</v>
      </c>
      <c r="VK50" s="54" t="s">
        <v>268</v>
      </c>
      <c r="VL50" s="1"/>
      <c r="VM50" s="57" t="s">
        <v>268</v>
      </c>
      <c r="VN50" s="58" t="s">
        <v>268</v>
      </c>
      <c r="VO50" s="4"/>
      <c r="VP50" s="39" t="s">
        <v>268</v>
      </c>
      <c r="VQ50" s="39" t="s">
        <v>268</v>
      </c>
      <c r="VR50" s="1"/>
      <c r="VS50" s="1"/>
      <c r="VT50" s="1"/>
      <c r="VU50" s="1"/>
      <c r="VV50" s="1"/>
      <c r="VW50" s="1"/>
      <c r="VX50" s="1"/>
      <c r="VY50" s="54" t="s">
        <v>268</v>
      </c>
      <c r="VZ50" s="1"/>
      <c r="WA50" s="55" t="s">
        <v>268</v>
      </c>
      <c r="WB50" s="1"/>
      <c r="WC50" s="1"/>
      <c r="WD50" s="2"/>
      <c r="WE50" s="54" t="s">
        <v>268</v>
      </c>
      <c r="WF50" s="1"/>
      <c r="WG50" s="1"/>
      <c r="WH50" s="1"/>
      <c r="WI50" s="1"/>
      <c r="WJ50" s="1"/>
      <c r="WK50" s="1"/>
      <c r="WL50" s="54" t="s">
        <v>268</v>
      </c>
      <c r="WM50" s="1"/>
      <c r="WN50" s="55" t="s">
        <v>268</v>
      </c>
      <c r="WO50" s="1"/>
      <c r="WP50" s="1"/>
      <c r="WQ50" s="2"/>
      <c r="WR50" s="54" t="s">
        <v>268</v>
      </c>
      <c r="WS50" s="54" t="s">
        <v>268</v>
      </c>
      <c r="WT50" s="54" t="s">
        <v>268</v>
      </c>
      <c r="WU50" s="55" t="s">
        <v>268</v>
      </c>
      <c r="WV50" s="56" t="s">
        <v>268</v>
      </c>
      <c r="WW50" s="54" t="s">
        <v>268</v>
      </c>
      <c r="WX50" s="1"/>
      <c r="WY50" s="57" t="s">
        <v>268</v>
      </c>
      <c r="WZ50" s="58" t="s">
        <v>268</v>
      </c>
      <c r="XA50" s="4"/>
      <c r="XB50" s="39" t="s">
        <v>268</v>
      </c>
      <c r="XC50" s="39" t="s">
        <v>268</v>
      </c>
      <c r="XD50" s="1"/>
      <c r="XE50" s="1"/>
      <c r="XF50" s="1"/>
      <c r="XG50" s="1"/>
      <c r="XH50" s="1"/>
      <c r="XI50" s="1"/>
      <c r="XJ50" s="1"/>
      <c r="XK50" s="54" t="s">
        <v>268</v>
      </c>
      <c r="XL50" s="1"/>
      <c r="XM50" s="55" t="s">
        <v>268</v>
      </c>
      <c r="XN50" s="1"/>
      <c r="XO50" s="1"/>
      <c r="XP50" s="2"/>
      <c r="XQ50" s="54" t="s">
        <v>268</v>
      </c>
      <c r="XR50" s="1"/>
      <c r="XS50" s="1"/>
      <c r="XT50" s="1"/>
      <c r="XU50" s="1"/>
      <c r="XV50" s="1"/>
      <c r="XW50" s="1"/>
      <c r="XX50" s="54" t="s">
        <v>268</v>
      </c>
      <c r="XY50" s="1"/>
      <c r="XZ50" s="55" t="s">
        <v>268</v>
      </c>
      <c r="YA50" s="1"/>
      <c r="YB50" s="1"/>
      <c r="YC50" s="2"/>
      <c r="YD50" s="54" t="s">
        <v>268</v>
      </c>
      <c r="YE50" s="54" t="s">
        <v>268</v>
      </c>
      <c r="YF50" s="54" t="s">
        <v>268</v>
      </c>
      <c r="YG50" s="55" t="s">
        <v>268</v>
      </c>
      <c r="YH50" s="56" t="s">
        <v>268</v>
      </c>
      <c r="YI50" s="54" t="s">
        <v>268</v>
      </c>
      <c r="YJ50" s="1"/>
      <c r="YK50" s="57" t="s">
        <v>268</v>
      </c>
      <c r="YL50" s="58" t="s">
        <v>268</v>
      </c>
      <c r="YM50" s="4"/>
      <c r="YN50" s="39" t="s">
        <v>268</v>
      </c>
      <c r="YO50" s="39" t="s">
        <v>268</v>
      </c>
      <c r="YP50" s="1"/>
      <c r="YQ50" s="1"/>
      <c r="YR50" s="1"/>
      <c r="YS50" s="1"/>
      <c r="YT50" s="1"/>
      <c r="YU50" s="1"/>
      <c r="YV50" s="1"/>
      <c r="YW50" s="54" t="s">
        <v>268</v>
      </c>
      <c r="YX50" s="1"/>
      <c r="YY50" s="55" t="s">
        <v>268</v>
      </c>
      <c r="YZ50" s="1"/>
      <c r="ZA50" s="1"/>
      <c r="ZB50" s="2"/>
      <c r="ZC50" s="54" t="s">
        <v>268</v>
      </c>
      <c r="ZD50" s="1"/>
      <c r="ZE50" s="1"/>
      <c r="ZF50" s="1"/>
      <c r="ZG50" s="1"/>
      <c r="ZH50" s="1"/>
      <c r="ZI50" s="1"/>
      <c r="ZJ50" s="54" t="s">
        <v>268</v>
      </c>
      <c r="ZK50" s="1"/>
      <c r="ZL50" s="55" t="s">
        <v>268</v>
      </c>
      <c r="ZM50" s="1"/>
      <c r="ZN50" s="1"/>
      <c r="ZO50" s="2"/>
      <c r="ZP50" s="54" t="s">
        <v>268</v>
      </c>
      <c r="ZQ50" s="54" t="s">
        <v>268</v>
      </c>
      <c r="ZR50" s="54" t="s">
        <v>268</v>
      </c>
      <c r="ZS50" s="55" t="s">
        <v>268</v>
      </c>
      <c r="ZT50" s="56" t="s">
        <v>268</v>
      </c>
      <c r="ZU50" s="54" t="s">
        <v>268</v>
      </c>
      <c r="ZV50" s="1"/>
      <c r="ZW50" s="57" t="s">
        <v>268</v>
      </c>
      <c r="ZX50" s="58" t="s">
        <v>268</v>
      </c>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2" customHeight="1" x14ac:dyDescent="0.2">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t="s">
        <v>268</v>
      </c>
      <c r="S51" s="39" t="s">
        <v>268</v>
      </c>
      <c r="T51" s="1"/>
      <c r="U51" s="1"/>
      <c r="V51" s="1"/>
      <c r="W51" s="1"/>
      <c r="X51" s="1"/>
      <c r="Y51" s="1"/>
      <c r="Z51" s="1"/>
      <c r="AA51" s="54" t="s">
        <v>268</v>
      </c>
      <c r="AB51" s="1"/>
      <c r="AC51" s="55" t="s">
        <v>268</v>
      </c>
      <c r="AD51" s="1"/>
      <c r="AE51" s="1"/>
      <c r="AF51" s="2"/>
      <c r="AG51" s="54" t="s">
        <v>268</v>
      </c>
      <c r="AH51" s="1"/>
      <c r="AI51" s="1"/>
      <c r="AJ51" s="1"/>
      <c r="AK51" s="1"/>
      <c r="AL51" s="1"/>
      <c r="AM51" s="1"/>
      <c r="AN51" s="54" t="s">
        <v>268</v>
      </c>
      <c r="AO51" s="1"/>
      <c r="AP51" s="55" t="s">
        <v>268</v>
      </c>
      <c r="AQ51" s="1"/>
      <c r="AR51" s="1"/>
      <c r="AS51" s="2"/>
      <c r="AT51" s="54" t="s">
        <v>268</v>
      </c>
      <c r="AU51" s="54" t="s">
        <v>268</v>
      </c>
      <c r="AV51" s="54" t="s">
        <v>268</v>
      </c>
      <c r="AW51" s="55" t="s">
        <v>268</v>
      </c>
      <c r="AX51" s="56" t="s">
        <v>268</v>
      </c>
      <c r="AY51" s="54" t="s">
        <v>268</v>
      </c>
      <c r="AZ51" s="1"/>
      <c r="BA51" s="57" t="s">
        <v>268</v>
      </c>
      <c r="BB51" s="58" t="s">
        <v>268</v>
      </c>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t="s">
        <v>268</v>
      </c>
      <c r="EC51" s="39" t="s">
        <v>268</v>
      </c>
      <c r="ED51" s="1"/>
      <c r="EE51" s="1"/>
      <c r="EF51" s="1"/>
      <c r="EG51" s="1"/>
      <c r="EH51" s="1"/>
      <c r="EI51" s="1"/>
      <c r="EJ51" s="1"/>
      <c r="EK51" s="54" t="s">
        <v>268</v>
      </c>
      <c r="EL51" s="1"/>
      <c r="EM51" s="55" t="s">
        <v>268</v>
      </c>
      <c r="EN51" s="1"/>
      <c r="EO51" s="1"/>
      <c r="EP51" s="2"/>
      <c r="EQ51" s="54" t="s">
        <v>268</v>
      </c>
      <c r="ER51" s="1"/>
      <c r="ES51" s="1"/>
      <c r="ET51" s="1"/>
      <c r="EU51" s="1"/>
      <c r="EV51" s="1"/>
      <c r="EW51" s="1"/>
      <c r="EX51" s="54" t="s">
        <v>268</v>
      </c>
      <c r="EY51" s="1"/>
      <c r="EZ51" s="55" t="s">
        <v>268</v>
      </c>
      <c r="FA51" s="1"/>
      <c r="FB51" s="1"/>
      <c r="FC51" s="2"/>
      <c r="FD51" s="54" t="s">
        <v>268</v>
      </c>
      <c r="FE51" s="54" t="s">
        <v>268</v>
      </c>
      <c r="FF51" s="54" t="s">
        <v>268</v>
      </c>
      <c r="FG51" s="55" t="s">
        <v>268</v>
      </c>
      <c r="FH51" s="56" t="s">
        <v>268</v>
      </c>
      <c r="FI51" s="54" t="s">
        <v>268</v>
      </c>
      <c r="FJ51" s="1"/>
      <c r="FK51" s="57" t="s">
        <v>268</v>
      </c>
      <c r="FL51" s="58" t="s">
        <v>268</v>
      </c>
      <c r="FM51" s="4"/>
      <c r="FN51" s="39" t="s">
        <v>268</v>
      </c>
      <c r="FO51" s="39" t="s">
        <v>268</v>
      </c>
      <c r="FP51" s="1"/>
      <c r="FQ51" s="1"/>
      <c r="FR51" s="1"/>
      <c r="FS51" s="1"/>
      <c r="FT51" s="1"/>
      <c r="FU51" s="1"/>
      <c r="FV51" s="1"/>
      <c r="FW51" s="54" t="s">
        <v>268</v>
      </c>
      <c r="FX51" s="1"/>
      <c r="FY51" s="55" t="s">
        <v>268</v>
      </c>
      <c r="FZ51" s="1"/>
      <c r="GA51" s="1"/>
      <c r="GB51" s="2"/>
      <c r="GC51" s="54" t="s">
        <v>268</v>
      </c>
      <c r="GD51" s="1"/>
      <c r="GE51" s="1"/>
      <c r="GF51" s="1"/>
      <c r="GG51" s="1"/>
      <c r="GH51" s="1"/>
      <c r="GI51" s="1"/>
      <c r="GJ51" s="54" t="s">
        <v>268</v>
      </c>
      <c r="GK51" s="1"/>
      <c r="GL51" s="55" t="s">
        <v>268</v>
      </c>
      <c r="GM51" s="1"/>
      <c r="GN51" s="1"/>
      <c r="GO51" s="2"/>
      <c r="GP51" s="54" t="s">
        <v>268</v>
      </c>
      <c r="GQ51" s="54" t="s">
        <v>268</v>
      </c>
      <c r="GR51" s="54" t="s">
        <v>268</v>
      </c>
      <c r="GS51" s="55" t="s">
        <v>268</v>
      </c>
      <c r="GT51" s="56" t="s">
        <v>268</v>
      </c>
      <c r="GU51" s="54" t="s">
        <v>268</v>
      </c>
      <c r="GV51" s="1"/>
      <c r="GW51" s="57" t="s">
        <v>268</v>
      </c>
      <c r="GX51" s="58" t="s">
        <v>268</v>
      </c>
      <c r="GY51" s="4"/>
      <c r="GZ51" s="39" t="s">
        <v>268</v>
      </c>
      <c r="HA51" s="39" t="s">
        <v>268</v>
      </c>
      <c r="HB51" s="1"/>
      <c r="HC51" s="1"/>
      <c r="HD51" s="1"/>
      <c r="HE51" s="1"/>
      <c r="HF51" s="1"/>
      <c r="HG51" s="1"/>
      <c r="HH51" s="1"/>
      <c r="HI51" s="54" t="s">
        <v>268</v>
      </c>
      <c r="HJ51" s="1"/>
      <c r="HK51" s="55" t="s">
        <v>268</v>
      </c>
      <c r="HL51" s="1"/>
      <c r="HM51" s="1"/>
      <c r="HN51" s="2"/>
      <c r="HO51" s="54" t="s">
        <v>268</v>
      </c>
      <c r="HP51" s="1"/>
      <c r="HQ51" s="1"/>
      <c r="HR51" s="1"/>
      <c r="HS51" s="1"/>
      <c r="HT51" s="1"/>
      <c r="HU51" s="1"/>
      <c r="HV51" s="54" t="s">
        <v>268</v>
      </c>
      <c r="HW51" s="1"/>
      <c r="HX51" s="55" t="s">
        <v>268</v>
      </c>
      <c r="HY51" s="1"/>
      <c r="HZ51" s="1"/>
      <c r="IA51" s="2"/>
      <c r="IB51" s="54" t="s">
        <v>268</v>
      </c>
      <c r="IC51" s="54" t="s">
        <v>268</v>
      </c>
      <c r="ID51" s="54" t="s">
        <v>268</v>
      </c>
      <c r="IE51" s="55" t="s">
        <v>268</v>
      </c>
      <c r="IF51" s="56" t="s">
        <v>268</v>
      </c>
      <c r="IG51" s="54" t="s">
        <v>268</v>
      </c>
      <c r="IH51" s="1"/>
      <c r="II51" s="57" t="s">
        <v>268</v>
      </c>
      <c r="IJ51" s="58" t="s">
        <v>268</v>
      </c>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t="s">
        <v>268</v>
      </c>
      <c r="PU51" s="39" t="s">
        <v>268</v>
      </c>
      <c r="PV51" s="1"/>
      <c r="PW51" s="1"/>
      <c r="PX51" s="1"/>
      <c r="PY51" s="1"/>
      <c r="PZ51" s="1"/>
      <c r="QA51" s="1"/>
      <c r="QB51" s="1"/>
      <c r="QC51" s="54" t="s">
        <v>268</v>
      </c>
      <c r="QD51" s="1"/>
      <c r="QE51" s="55" t="s">
        <v>268</v>
      </c>
      <c r="QF51" s="1"/>
      <c r="QG51" s="1"/>
      <c r="QH51" s="2"/>
      <c r="QI51" s="54" t="s">
        <v>268</v>
      </c>
      <c r="QJ51" s="1"/>
      <c r="QK51" s="1"/>
      <c r="QL51" s="1"/>
      <c r="QM51" s="1"/>
      <c r="QN51" s="1"/>
      <c r="QO51" s="1"/>
      <c r="QP51" s="54" t="s">
        <v>268</v>
      </c>
      <c r="QQ51" s="1"/>
      <c r="QR51" s="55" t="s">
        <v>268</v>
      </c>
      <c r="QS51" s="1"/>
      <c r="QT51" s="1"/>
      <c r="QU51" s="2"/>
      <c r="QV51" s="54" t="s">
        <v>268</v>
      </c>
      <c r="QW51" s="54" t="s">
        <v>268</v>
      </c>
      <c r="QX51" s="54" t="s">
        <v>268</v>
      </c>
      <c r="QY51" s="55" t="s">
        <v>268</v>
      </c>
      <c r="QZ51" s="56" t="s">
        <v>268</v>
      </c>
      <c r="RA51" s="54" t="s">
        <v>268</v>
      </c>
      <c r="RB51" s="1"/>
      <c r="RC51" s="57" t="s">
        <v>268</v>
      </c>
      <c r="RD51" s="58" t="s">
        <v>268</v>
      </c>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t="s">
        <v>268</v>
      </c>
      <c r="UE51" s="39" t="s">
        <v>268</v>
      </c>
      <c r="UF51" s="1"/>
      <c r="UG51" s="1"/>
      <c r="UH51" s="1"/>
      <c r="UI51" s="1"/>
      <c r="UJ51" s="1"/>
      <c r="UK51" s="1"/>
      <c r="UL51" s="1"/>
      <c r="UM51" s="54" t="s">
        <v>268</v>
      </c>
      <c r="UN51" s="1"/>
      <c r="UO51" s="55" t="s">
        <v>268</v>
      </c>
      <c r="UP51" s="1"/>
      <c r="UQ51" s="1"/>
      <c r="UR51" s="2"/>
      <c r="US51" s="54" t="s">
        <v>268</v>
      </c>
      <c r="UT51" s="1"/>
      <c r="UU51" s="1"/>
      <c r="UV51" s="1"/>
      <c r="UW51" s="1"/>
      <c r="UX51" s="1"/>
      <c r="UY51" s="1"/>
      <c r="UZ51" s="54" t="s">
        <v>268</v>
      </c>
      <c r="VA51" s="1"/>
      <c r="VB51" s="55" t="s">
        <v>268</v>
      </c>
      <c r="VC51" s="1"/>
      <c r="VD51" s="1"/>
      <c r="VE51" s="2"/>
      <c r="VF51" s="54" t="s">
        <v>268</v>
      </c>
      <c r="VG51" s="54" t="s">
        <v>268</v>
      </c>
      <c r="VH51" s="54" t="s">
        <v>268</v>
      </c>
      <c r="VI51" s="55" t="s">
        <v>268</v>
      </c>
      <c r="VJ51" s="56" t="s">
        <v>268</v>
      </c>
      <c r="VK51" s="54" t="s">
        <v>268</v>
      </c>
      <c r="VL51" s="1"/>
      <c r="VM51" s="57" t="s">
        <v>268</v>
      </c>
      <c r="VN51" s="58" t="s">
        <v>268</v>
      </c>
      <c r="VO51" s="4"/>
      <c r="VP51" s="39" t="s">
        <v>268</v>
      </c>
      <c r="VQ51" s="39" t="s">
        <v>268</v>
      </c>
      <c r="VR51" s="1"/>
      <c r="VS51" s="1"/>
      <c r="VT51" s="1"/>
      <c r="VU51" s="1"/>
      <c r="VV51" s="1"/>
      <c r="VW51" s="1"/>
      <c r="VX51" s="1"/>
      <c r="VY51" s="54" t="s">
        <v>268</v>
      </c>
      <c r="VZ51" s="1"/>
      <c r="WA51" s="55" t="s">
        <v>268</v>
      </c>
      <c r="WB51" s="1"/>
      <c r="WC51" s="1"/>
      <c r="WD51" s="2"/>
      <c r="WE51" s="54" t="s">
        <v>268</v>
      </c>
      <c r="WF51" s="1"/>
      <c r="WG51" s="1"/>
      <c r="WH51" s="1"/>
      <c r="WI51" s="1"/>
      <c r="WJ51" s="1"/>
      <c r="WK51" s="1"/>
      <c r="WL51" s="54" t="s">
        <v>268</v>
      </c>
      <c r="WM51" s="1"/>
      <c r="WN51" s="55" t="s">
        <v>268</v>
      </c>
      <c r="WO51" s="1"/>
      <c r="WP51" s="1"/>
      <c r="WQ51" s="2"/>
      <c r="WR51" s="54" t="s">
        <v>268</v>
      </c>
      <c r="WS51" s="54" t="s">
        <v>268</v>
      </c>
      <c r="WT51" s="54" t="s">
        <v>268</v>
      </c>
      <c r="WU51" s="55" t="s">
        <v>268</v>
      </c>
      <c r="WV51" s="56" t="s">
        <v>268</v>
      </c>
      <c r="WW51" s="54" t="s">
        <v>268</v>
      </c>
      <c r="WX51" s="1"/>
      <c r="WY51" s="57" t="s">
        <v>268</v>
      </c>
      <c r="WZ51" s="58" t="s">
        <v>268</v>
      </c>
      <c r="XA51" s="4"/>
      <c r="XB51" s="39" t="s">
        <v>268</v>
      </c>
      <c r="XC51" s="39" t="s">
        <v>268</v>
      </c>
      <c r="XD51" s="1"/>
      <c r="XE51" s="1"/>
      <c r="XF51" s="1"/>
      <c r="XG51" s="1"/>
      <c r="XH51" s="1"/>
      <c r="XI51" s="1"/>
      <c r="XJ51" s="1"/>
      <c r="XK51" s="54" t="s">
        <v>268</v>
      </c>
      <c r="XL51" s="1"/>
      <c r="XM51" s="55" t="s">
        <v>268</v>
      </c>
      <c r="XN51" s="1"/>
      <c r="XO51" s="1"/>
      <c r="XP51" s="2"/>
      <c r="XQ51" s="54" t="s">
        <v>268</v>
      </c>
      <c r="XR51" s="1"/>
      <c r="XS51" s="1"/>
      <c r="XT51" s="1"/>
      <c r="XU51" s="1"/>
      <c r="XV51" s="1"/>
      <c r="XW51" s="1"/>
      <c r="XX51" s="54" t="s">
        <v>268</v>
      </c>
      <c r="XY51" s="1"/>
      <c r="XZ51" s="55" t="s">
        <v>268</v>
      </c>
      <c r="YA51" s="1"/>
      <c r="YB51" s="1"/>
      <c r="YC51" s="2"/>
      <c r="YD51" s="54" t="s">
        <v>268</v>
      </c>
      <c r="YE51" s="54" t="s">
        <v>268</v>
      </c>
      <c r="YF51" s="54" t="s">
        <v>268</v>
      </c>
      <c r="YG51" s="55" t="s">
        <v>268</v>
      </c>
      <c r="YH51" s="56" t="s">
        <v>268</v>
      </c>
      <c r="YI51" s="54" t="s">
        <v>268</v>
      </c>
      <c r="YJ51" s="1"/>
      <c r="YK51" s="57" t="s">
        <v>268</v>
      </c>
      <c r="YL51" s="58" t="s">
        <v>268</v>
      </c>
      <c r="YM51" s="4"/>
      <c r="YN51" s="39" t="s">
        <v>268</v>
      </c>
      <c r="YO51" s="39" t="s">
        <v>268</v>
      </c>
      <c r="YP51" s="1"/>
      <c r="YQ51" s="1"/>
      <c r="YR51" s="1"/>
      <c r="YS51" s="1"/>
      <c r="YT51" s="1"/>
      <c r="YU51" s="1"/>
      <c r="YV51" s="1"/>
      <c r="YW51" s="54" t="s">
        <v>268</v>
      </c>
      <c r="YX51" s="1"/>
      <c r="YY51" s="55" t="s">
        <v>268</v>
      </c>
      <c r="YZ51" s="1"/>
      <c r="ZA51" s="1"/>
      <c r="ZB51" s="2"/>
      <c r="ZC51" s="54" t="s">
        <v>268</v>
      </c>
      <c r="ZD51" s="1"/>
      <c r="ZE51" s="1"/>
      <c r="ZF51" s="1"/>
      <c r="ZG51" s="1"/>
      <c r="ZH51" s="1"/>
      <c r="ZI51" s="1"/>
      <c r="ZJ51" s="54" t="s">
        <v>268</v>
      </c>
      <c r="ZK51" s="1"/>
      <c r="ZL51" s="55" t="s">
        <v>268</v>
      </c>
      <c r="ZM51" s="1"/>
      <c r="ZN51" s="1"/>
      <c r="ZO51" s="2"/>
      <c r="ZP51" s="54" t="s">
        <v>268</v>
      </c>
      <c r="ZQ51" s="54" t="s">
        <v>268</v>
      </c>
      <c r="ZR51" s="54" t="s">
        <v>268</v>
      </c>
      <c r="ZS51" s="55" t="s">
        <v>268</v>
      </c>
      <c r="ZT51" s="56" t="s">
        <v>268</v>
      </c>
      <c r="ZU51" s="54" t="s">
        <v>268</v>
      </c>
      <c r="ZV51" s="1"/>
      <c r="ZW51" s="57" t="s">
        <v>268</v>
      </c>
      <c r="ZX51" s="58" t="s">
        <v>268</v>
      </c>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2" customHeight="1" x14ac:dyDescent="0.2">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t="s">
        <v>268</v>
      </c>
      <c r="S52" s="39" t="s">
        <v>268</v>
      </c>
      <c r="T52" s="1"/>
      <c r="U52" s="1"/>
      <c r="V52" s="1"/>
      <c r="W52" s="1"/>
      <c r="X52" s="1"/>
      <c r="Y52" s="1"/>
      <c r="Z52" s="1"/>
      <c r="AA52" s="54" t="s">
        <v>268</v>
      </c>
      <c r="AB52" s="1"/>
      <c r="AC52" s="55" t="s">
        <v>268</v>
      </c>
      <c r="AD52" s="1"/>
      <c r="AE52" s="1"/>
      <c r="AF52" s="2"/>
      <c r="AG52" s="54" t="s">
        <v>268</v>
      </c>
      <c r="AH52" s="1"/>
      <c r="AI52" s="1"/>
      <c r="AJ52" s="1"/>
      <c r="AK52" s="1"/>
      <c r="AL52" s="1"/>
      <c r="AM52" s="1"/>
      <c r="AN52" s="54" t="s">
        <v>268</v>
      </c>
      <c r="AO52" s="1"/>
      <c r="AP52" s="55" t="s">
        <v>268</v>
      </c>
      <c r="AQ52" s="1"/>
      <c r="AR52" s="1"/>
      <c r="AS52" s="2"/>
      <c r="AT52" s="54" t="s">
        <v>268</v>
      </c>
      <c r="AU52" s="54" t="s">
        <v>268</v>
      </c>
      <c r="AV52" s="54" t="s">
        <v>268</v>
      </c>
      <c r="AW52" s="55" t="s">
        <v>268</v>
      </c>
      <c r="AX52" s="56" t="s">
        <v>268</v>
      </c>
      <c r="AY52" s="54" t="s">
        <v>268</v>
      </c>
      <c r="AZ52" s="1"/>
      <c r="BA52" s="57" t="s">
        <v>268</v>
      </c>
      <c r="BB52" s="58" t="s">
        <v>268</v>
      </c>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t="s">
        <v>268</v>
      </c>
      <c r="EC52" s="39" t="s">
        <v>268</v>
      </c>
      <c r="ED52" s="1"/>
      <c r="EE52" s="1"/>
      <c r="EF52" s="1"/>
      <c r="EG52" s="1"/>
      <c r="EH52" s="1"/>
      <c r="EI52" s="1"/>
      <c r="EJ52" s="1"/>
      <c r="EK52" s="54" t="s">
        <v>268</v>
      </c>
      <c r="EL52" s="1"/>
      <c r="EM52" s="55" t="s">
        <v>268</v>
      </c>
      <c r="EN52" s="1"/>
      <c r="EO52" s="1"/>
      <c r="EP52" s="2"/>
      <c r="EQ52" s="54" t="s">
        <v>268</v>
      </c>
      <c r="ER52" s="1"/>
      <c r="ES52" s="1"/>
      <c r="ET52" s="1"/>
      <c r="EU52" s="1"/>
      <c r="EV52" s="1"/>
      <c r="EW52" s="1"/>
      <c r="EX52" s="54" t="s">
        <v>268</v>
      </c>
      <c r="EY52" s="1"/>
      <c r="EZ52" s="55" t="s">
        <v>268</v>
      </c>
      <c r="FA52" s="1"/>
      <c r="FB52" s="1"/>
      <c r="FC52" s="2"/>
      <c r="FD52" s="54" t="s">
        <v>268</v>
      </c>
      <c r="FE52" s="54" t="s">
        <v>268</v>
      </c>
      <c r="FF52" s="54" t="s">
        <v>268</v>
      </c>
      <c r="FG52" s="55" t="s">
        <v>268</v>
      </c>
      <c r="FH52" s="56" t="s">
        <v>268</v>
      </c>
      <c r="FI52" s="54" t="s">
        <v>268</v>
      </c>
      <c r="FJ52" s="1"/>
      <c r="FK52" s="57" t="s">
        <v>268</v>
      </c>
      <c r="FL52" s="58" t="s">
        <v>268</v>
      </c>
      <c r="FM52" s="4"/>
      <c r="FN52" s="39" t="s">
        <v>268</v>
      </c>
      <c r="FO52" s="39" t="s">
        <v>268</v>
      </c>
      <c r="FP52" s="1"/>
      <c r="FQ52" s="1"/>
      <c r="FR52" s="1"/>
      <c r="FS52" s="1"/>
      <c r="FT52" s="1"/>
      <c r="FU52" s="1"/>
      <c r="FV52" s="1"/>
      <c r="FW52" s="54" t="s">
        <v>268</v>
      </c>
      <c r="FX52" s="1"/>
      <c r="FY52" s="55" t="s">
        <v>268</v>
      </c>
      <c r="FZ52" s="1"/>
      <c r="GA52" s="1"/>
      <c r="GB52" s="2"/>
      <c r="GC52" s="54" t="s">
        <v>268</v>
      </c>
      <c r="GD52" s="1"/>
      <c r="GE52" s="1"/>
      <c r="GF52" s="1"/>
      <c r="GG52" s="1"/>
      <c r="GH52" s="1"/>
      <c r="GI52" s="1"/>
      <c r="GJ52" s="54" t="s">
        <v>268</v>
      </c>
      <c r="GK52" s="1"/>
      <c r="GL52" s="55" t="s">
        <v>268</v>
      </c>
      <c r="GM52" s="1"/>
      <c r="GN52" s="1"/>
      <c r="GO52" s="2"/>
      <c r="GP52" s="54" t="s">
        <v>268</v>
      </c>
      <c r="GQ52" s="54" t="s">
        <v>268</v>
      </c>
      <c r="GR52" s="54" t="s">
        <v>268</v>
      </c>
      <c r="GS52" s="55" t="s">
        <v>268</v>
      </c>
      <c r="GT52" s="56" t="s">
        <v>268</v>
      </c>
      <c r="GU52" s="54" t="s">
        <v>268</v>
      </c>
      <c r="GV52" s="1"/>
      <c r="GW52" s="57" t="s">
        <v>268</v>
      </c>
      <c r="GX52" s="58" t="s">
        <v>268</v>
      </c>
      <c r="GY52" s="4"/>
      <c r="GZ52" s="39" t="s">
        <v>268</v>
      </c>
      <c r="HA52" s="39" t="s">
        <v>268</v>
      </c>
      <c r="HB52" s="1"/>
      <c r="HC52" s="1"/>
      <c r="HD52" s="1"/>
      <c r="HE52" s="1"/>
      <c r="HF52" s="1"/>
      <c r="HG52" s="1"/>
      <c r="HH52" s="1"/>
      <c r="HI52" s="54" t="s">
        <v>268</v>
      </c>
      <c r="HJ52" s="1"/>
      <c r="HK52" s="55" t="s">
        <v>268</v>
      </c>
      <c r="HL52" s="1"/>
      <c r="HM52" s="1"/>
      <c r="HN52" s="2"/>
      <c r="HO52" s="54" t="s">
        <v>268</v>
      </c>
      <c r="HP52" s="1"/>
      <c r="HQ52" s="1"/>
      <c r="HR52" s="1"/>
      <c r="HS52" s="1"/>
      <c r="HT52" s="1"/>
      <c r="HU52" s="1"/>
      <c r="HV52" s="54" t="s">
        <v>268</v>
      </c>
      <c r="HW52" s="1"/>
      <c r="HX52" s="55" t="s">
        <v>268</v>
      </c>
      <c r="HY52" s="1"/>
      <c r="HZ52" s="1"/>
      <c r="IA52" s="2"/>
      <c r="IB52" s="54" t="s">
        <v>268</v>
      </c>
      <c r="IC52" s="54" t="s">
        <v>268</v>
      </c>
      <c r="ID52" s="54" t="s">
        <v>268</v>
      </c>
      <c r="IE52" s="55" t="s">
        <v>268</v>
      </c>
      <c r="IF52" s="56" t="s">
        <v>268</v>
      </c>
      <c r="IG52" s="54" t="s">
        <v>268</v>
      </c>
      <c r="IH52" s="1"/>
      <c r="II52" s="57" t="s">
        <v>268</v>
      </c>
      <c r="IJ52" s="58" t="s">
        <v>268</v>
      </c>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t="s">
        <v>268</v>
      </c>
      <c r="PU52" s="39" t="s">
        <v>268</v>
      </c>
      <c r="PV52" s="1"/>
      <c r="PW52" s="1"/>
      <c r="PX52" s="1"/>
      <c r="PY52" s="1"/>
      <c r="PZ52" s="1"/>
      <c r="QA52" s="1"/>
      <c r="QB52" s="1"/>
      <c r="QC52" s="54" t="s">
        <v>268</v>
      </c>
      <c r="QD52" s="1"/>
      <c r="QE52" s="55" t="s">
        <v>268</v>
      </c>
      <c r="QF52" s="1"/>
      <c r="QG52" s="1"/>
      <c r="QH52" s="2"/>
      <c r="QI52" s="54" t="s">
        <v>268</v>
      </c>
      <c r="QJ52" s="1"/>
      <c r="QK52" s="1"/>
      <c r="QL52" s="1"/>
      <c r="QM52" s="1"/>
      <c r="QN52" s="1"/>
      <c r="QO52" s="1"/>
      <c r="QP52" s="54" t="s">
        <v>268</v>
      </c>
      <c r="QQ52" s="1"/>
      <c r="QR52" s="55" t="s">
        <v>268</v>
      </c>
      <c r="QS52" s="1"/>
      <c r="QT52" s="1"/>
      <c r="QU52" s="2"/>
      <c r="QV52" s="54" t="s">
        <v>268</v>
      </c>
      <c r="QW52" s="54" t="s">
        <v>268</v>
      </c>
      <c r="QX52" s="54" t="s">
        <v>268</v>
      </c>
      <c r="QY52" s="55" t="s">
        <v>268</v>
      </c>
      <c r="QZ52" s="56" t="s">
        <v>268</v>
      </c>
      <c r="RA52" s="54" t="s">
        <v>268</v>
      </c>
      <c r="RB52" s="1"/>
      <c r="RC52" s="57" t="s">
        <v>268</v>
      </c>
      <c r="RD52" s="58" t="s">
        <v>268</v>
      </c>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t="s">
        <v>268</v>
      </c>
      <c r="UE52" s="39" t="s">
        <v>268</v>
      </c>
      <c r="UF52" s="1"/>
      <c r="UG52" s="1"/>
      <c r="UH52" s="1"/>
      <c r="UI52" s="1"/>
      <c r="UJ52" s="1"/>
      <c r="UK52" s="1"/>
      <c r="UL52" s="1"/>
      <c r="UM52" s="54" t="s">
        <v>268</v>
      </c>
      <c r="UN52" s="1"/>
      <c r="UO52" s="55" t="s">
        <v>268</v>
      </c>
      <c r="UP52" s="1"/>
      <c r="UQ52" s="1"/>
      <c r="UR52" s="2"/>
      <c r="US52" s="54" t="s">
        <v>268</v>
      </c>
      <c r="UT52" s="1"/>
      <c r="UU52" s="1"/>
      <c r="UV52" s="1"/>
      <c r="UW52" s="1"/>
      <c r="UX52" s="1"/>
      <c r="UY52" s="1"/>
      <c r="UZ52" s="54" t="s">
        <v>268</v>
      </c>
      <c r="VA52" s="1"/>
      <c r="VB52" s="55" t="s">
        <v>268</v>
      </c>
      <c r="VC52" s="1"/>
      <c r="VD52" s="1"/>
      <c r="VE52" s="2"/>
      <c r="VF52" s="54" t="s">
        <v>268</v>
      </c>
      <c r="VG52" s="54" t="s">
        <v>268</v>
      </c>
      <c r="VH52" s="54" t="s">
        <v>268</v>
      </c>
      <c r="VI52" s="55" t="s">
        <v>268</v>
      </c>
      <c r="VJ52" s="56" t="s">
        <v>268</v>
      </c>
      <c r="VK52" s="54" t="s">
        <v>268</v>
      </c>
      <c r="VL52" s="1"/>
      <c r="VM52" s="57" t="s">
        <v>268</v>
      </c>
      <c r="VN52" s="58" t="s">
        <v>268</v>
      </c>
      <c r="VO52" s="4"/>
      <c r="VP52" s="39" t="s">
        <v>268</v>
      </c>
      <c r="VQ52" s="39" t="s">
        <v>268</v>
      </c>
      <c r="VR52" s="1"/>
      <c r="VS52" s="1"/>
      <c r="VT52" s="1"/>
      <c r="VU52" s="1"/>
      <c r="VV52" s="1"/>
      <c r="VW52" s="1"/>
      <c r="VX52" s="1"/>
      <c r="VY52" s="54" t="s">
        <v>268</v>
      </c>
      <c r="VZ52" s="1"/>
      <c r="WA52" s="55" t="s">
        <v>268</v>
      </c>
      <c r="WB52" s="1"/>
      <c r="WC52" s="1"/>
      <c r="WD52" s="2"/>
      <c r="WE52" s="54" t="s">
        <v>268</v>
      </c>
      <c r="WF52" s="1"/>
      <c r="WG52" s="1"/>
      <c r="WH52" s="1"/>
      <c r="WI52" s="1"/>
      <c r="WJ52" s="1"/>
      <c r="WK52" s="1"/>
      <c r="WL52" s="54" t="s">
        <v>268</v>
      </c>
      <c r="WM52" s="1"/>
      <c r="WN52" s="55" t="s">
        <v>268</v>
      </c>
      <c r="WO52" s="1"/>
      <c r="WP52" s="1"/>
      <c r="WQ52" s="2"/>
      <c r="WR52" s="54" t="s">
        <v>268</v>
      </c>
      <c r="WS52" s="54" t="s">
        <v>268</v>
      </c>
      <c r="WT52" s="54" t="s">
        <v>268</v>
      </c>
      <c r="WU52" s="55" t="s">
        <v>268</v>
      </c>
      <c r="WV52" s="56" t="s">
        <v>268</v>
      </c>
      <c r="WW52" s="54" t="s">
        <v>268</v>
      </c>
      <c r="WX52" s="1"/>
      <c r="WY52" s="57" t="s">
        <v>268</v>
      </c>
      <c r="WZ52" s="58" t="s">
        <v>268</v>
      </c>
      <c r="XA52" s="4"/>
      <c r="XB52" s="39" t="s">
        <v>268</v>
      </c>
      <c r="XC52" s="39" t="s">
        <v>268</v>
      </c>
      <c r="XD52" s="1"/>
      <c r="XE52" s="1"/>
      <c r="XF52" s="1"/>
      <c r="XG52" s="1"/>
      <c r="XH52" s="1"/>
      <c r="XI52" s="1"/>
      <c r="XJ52" s="1"/>
      <c r="XK52" s="54" t="s">
        <v>268</v>
      </c>
      <c r="XL52" s="1"/>
      <c r="XM52" s="55" t="s">
        <v>268</v>
      </c>
      <c r="XN52" s="1"/>
      <c r="XO52" s="1"/>
      <c r="XP52" s="2"/>
      <c r="XQ52" s="54" t="s">
        <v>268</v>
      </c>
      <c r="XR52" s="1"/>
      <c r="XS52" s="1"/>
      <c r="XT52" s="1"/>
      <c r="XU52" s="1"/>
      <c r="XV52" s="1"/>
      <c r="XW52" s="1"/>
      <c r="XX52" s="54" t="s">
        <v>268</v>
      </c>
      <c r="XY52" s="1"/>
      <c r="XZ52" s="55" t="s">
        <v>268</v>
      </c>
      <c r="YA52" s="1"/>
      <c r="YB52" s="1"/>
      <c r="YC52" s="2"/>
      <c r="YD52" s="54" t="s">
        <v>268</v>
      </c>
      <c r="YE52" s="54" t="s">
        <v>268</v>
      </c>
      <c r="YF52" s="54" t="s">
        <v>268</v>
      </c>
      <c r="YG52" s="55" t="s">
        <v>268</v>
      </c>
      <c r="YH52" s="56" t="s">
        <v>268</v>
      </c>
      <c r="YI52" s="54" t="s">
        <v>268</v>
      </c>
      <c r="YJ52" s="1"/>
      <c r="YK52" s="57" t="s">
        <v>268</v>
      </c>
      <c r="YL52" s="58" t="s">
        <v>268</v>
      </c>
      <c r="YM52" s="4"/>
      <c r="YN52" s="39" t="s">
        <v>268</v>
      </c>
      <c r="YO52" s="39" t="s">
        <v>268</v>
      </c>
      <c r="YP52" s="1"/>
      <c r="YQ52" s="1"/>
      <c r="YR52" s="1"/>
      <c r="YS52" s="1"/>
      <c r="YT52" s="1"/>
      <c r="YU52" s="1"/>
      <c r="YV52" s="1"/>
      <c r="YW52" s="54" t="s">
        <v>268</v>
      </c>
      <c r="YX52" s="1"/>
      <c r="YY52" s="55" t="s">
        <v>268</v>
      </c>
      <c r="YZ52" s="1"/>
      <c r="ZA52" s="1"/>
      <c r="ZB52" s="2"/>
      <c r="ZC52" s="54" t="s">
        <v>268</v>
      </c>
      <c r="ZD52" s="1"/>
      <c r="ZE52" s="1"/>
      <c r="ZF52" s="1"/>
      <c r="ZG52" s="1"/>
      <c r="ZH52" s="1"/>
      <c r="ZI52" s="1"/>
      <c r="ZJ52" s="54" t="s">
        <v>268</v>
      </c>
      <c r="ZK52" s="1"/>
      <c r="ZL52" s="55" t="s">
        <v>268</v>
      </c>
      <c r="ZM52" s="1"/>
      <c r="ZN52" s="1"/>
      <c r="ZO52" s="2"/>
      <c r="ZP52" s="54" t="s">
        <v>268</v>
      </c>
      <c r="ZQ52" s="54" t="s">
        <v>268</v>
      </c>
      <c r="ZR52" s="54" t="s">
        <v>268</v>
      </c>
      <c r="ZS52" s="55" t="s">
        <v>268</v>
      </c>
      <c r="ZT52" s="56" t="s">
        <v>268</v>
      </c>
      <c r="ZU52" s="54" t="s">
        <v>268</v>
      </c>
      <c r="ZV52" s="1"/>
      <c r="ZW52" s="57" t="s">
        <v>268</v>
      </c>
      <c r="ZX52" s="58" t="s">
        <v>268</v>
      </c>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2" customHeight="1" x14ac:dyDescent="0.2">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t="s">
        <v>268</v>
      </c>
      <c r="S53" s="39" t="s">
        <v>268</v>
      </c>
      <c r="T53" s="1"/>
      <c r="U53" s="1"/>
      <c r="V53" s="1"/>
      <c r="W53" s="1"/>
      <c r="X53" s="1"/>
      <c r="Y53" s="1"/>
      <c r="Z53" s="1"/>
      <c r="AA53" s="54" t="s">
        <v>268</v>
      </c>
      <c r="AB53" s="1"/>
      <c r="AC53" s="55" t="s">
        <v>268</v>
      </c>
      <c r="AD53" s="1"/>
      <c r="AE53" s="1"/>
      <c r="AF53" s="2"/>
      <c r="AG53" s="54" t="s">
        <v>268</v>
      </c>
      <c r="AH53" s="1"/>
      <c r="AI53" s="1"/>
      <c r="AJ53" s="1"/>
      <c r="AK53" s="1"/>
      <c r="AL53" s="1"/>
      <c r="AM53" s="1"/>
      <c r="AN53" s="54" t="s">
        <v>268</v>
      </c>
      <c r="AO53" s="1"/>
      <c r="AP53" s="55" t="s">
        <v>268</v>
      </c>
      <c r="AQ53" s="1"/>
      <c r="AR53" s="1"/>
      <c r="AS53" s="2"/>
      <c r="AT53" s="54" t="s">
        <v>268</v>
      </c>
      <c r="AU53" s="54" t="s">
        <v>268</v>
      </c>
      <c r="AV53" s="54" t="s">
        <v>268</v>
      </c>
      <c r="AW53" s="55" t="s">
        <v>268</v>
      </c>
      <c r="AX53" s="56" t="s">
        <v>268</v>
      </c>
      <c r="AY53" s="54" t="s">
        <v>268</v>
      </c>
      <c r="AZ53" s="1"/>
      <c r="BA53" s="57" t="s">
        <v>268</v>
      </c>
      <c r="BB53" s="58" t="s">
        <v>268</v>
      </c>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t="s">
        <v>268</v>
      </c>
      <c r="EC53" s="39" t="s">
        <v>268</v>
      </c>
      <c r="ED53" s="1"/>
      <c r="EE53" s="1"/>
      <c r="EF53" s="1"/>
      <c r="EG53" s="1"/>
      <c r="EH53" s="1"/>
      <c r="EI53" s="1"/>
      <c r="EJ53" s="1"/>
      <c r="EK53" s="54" t="s">
        <v>268</v>
      </c>
      <c r="EL53" s="1"/>
      <c r="EM53" s="55" t="s">
        <v>268</v>
      </c>
      <c r="EN53" s="1"/>
      <c r="EO53" s="1"/>
      <c r="EP53" s="2"/>
      <c r="EQ53" s="54" t="s">
        <v>268</v>
      </c>
      <c r="ER53" s="1"/>
      <c r="ES53" s="1"/>
      <c r="ET53" s="1"/>
      <c r="EU53" s="1"/>
      <c r="EV53" s="1"/>
      <c r="EW53" s="1"/>
      <c r="EX53" s="54" t="s">
        <v>268</v>
      </c>
      <c r="EY53" s="1"/>
      <c r="EZ53" s="55" t="s">
        <v>268</v>
      </c>
      <c r="FA53" s="1"/>
      <c r="FB53" s="1"/>
      <c r="FC53" s="2"/>
      <c r="FD53" s="54" t="s">
        <v>268</v>
      </c>
      <c r="FE53" s="54" t="s">
        <v>268</v>
      </c>
      <c r="FF53" s="54" t="s">
        <v>268</v>
      </c>
      <c r="FG53" s="55" t="s">
        <v>268</v>
      </c>
      <c r="FH53" s="56" t="s">
        <v>268</v>
      </c>
      <c r="FI53" s="54" t="s">
        <v>268</v>
      </c>
      <c r="FJ53" s="1"/>
      <c r="FK53" s="57" t="s">
        <v>268</v>
      </c>
      <c r="FL53" s="58" t="s">
        <v>268</v>
      </c>
      <c r="FM53" s="4"/>
      <c r="FN53" s="39" t="s">
        <v>268</v>
      </c>
      <c r="FO53" s="39" t="s">
        <v>268</v>
      </c>
      <c r="FP53" s="1"/>
      <c r="FQ53" s="1"/>
      <c r="FR53" s="1"/>
      <c r="FS53" s="1"/>
      <c r="FT53" s="1"/>
      <c r="FU53" s="1"/>
      <c r="FV53" s="1"/>
      <c r="FW53" s="54" t="s">
        <v>268</v>
      </c>
      <c r="FX53" s="1"/>
      <c r="FY53" s="55" t="s">
        <v>268</v>
      </c>
      <c r="FZ53" s="1"/>
      <c r="GA53" s="1"/>
      <c r="GB53" s="2"/>
      <c r="GC53" s="54" t="s">
        <v>268</v>
      </c>
      <c r="GD53" s="1"/>
      <c r="GE53" s="1"/>
      <c r="GF53" s="1"/>
      <c r="GG53" s="1"/>
      <c r="GH53" s="1"/>
      <c r="GI53" s="1"/>
      <c r="GJ53" s="54" t="s">
        <v>268</v>
      </c>
      <c r="GK53" s="1"/>
      <c r="GL53" s="55" t="s">
        <v>268</v>
      </c>
      <c r="GM53" s="1"/>
      <c r="GN53" s="1"/>
      <c r="GO53" s="2"/>
      <c r="GP53" s="54" t="s">
        <v>268</v>
      </c>
      <c r="GQ53" s="54" t="s">
        <v>268</v>
      </c>
      <c r="GR53" s="54" t="s">
        <v>268</v>
      </c>
      <c r="GS53" s="55" t="s">
        <v>268</v>
      </c>
      <c r="GT53" s="56" t="s">
        <v>268</v>
      </c>
      <c r="GU53" s="54" t="s">
        <v>268</v>
      </c>
      <c r="GV53" s="1"/>
      <c r="GW53" s="57" t="s">
        <v>268</v>
      </c>
      <c r="GX53" s="58" t="s">
        <v>268</v>
      </c>
      <c r="GY53" s="4"/>
      <c r="GZ53" s="39" t="s">
        <v>268</v>
      </c>
      <c r="HA53" s="39" t="s">
        <v>268</v>
      </c>
      <c r="HB53" s="1"/>
      <c r="HC53" s="1"/>
      <c r="HD53" s="1"/>
      <c r="HE53" s="1"/>
      <c r="HF53" s="1"/>
      <c r="HG53" s="1"/>
      <c r="HH53" s="1"/>
      <c r="HI53" s="54" t="s">
        <v>268</v>
      </c>
      <c r="HJ53" s="1"/>
      <c r="HK53" s="55" t="s">
        <v>268</v>
      </c>
      <c r="HL53" s="1"/>
      <c r="HM53" s="1"/>
      <c r="HN53" s="2"/>
      <c r="HO53" s="54" t="s">
        <v>268</v>
      </c>
      <c r="HP53" s="1"/>
      <c r="HQ53" s="1"/>
      <c r="HR53" s="1"/>
      <c r="HS53" s="1"/>
      <c r="HT53" s="1"/>
      <c r="HU53" s="1"/>
      <c r="HV53" s="54" t="s">
        <v>268</v>
      </c>
      <c r="HW53" s="1"/>
      <c r="HX53" s="55" t="s">
        <v>268</v>
      </c>
      <c r="HY53" s="1"/>
      <c r="HZ53" s="1"/>
      <c r="IA53" s="2"/>
      <c r="IB53" s="54" t="s">
        <v>268</v>
      </c>
      <c r="IC53" s="54" t="s">
        <v>268</v>
      </c>
      <c r="ID53" s="54" t="s">
        <v>268</v>
      </c>
      <c r="IE53" s="55" t="s">
        <v>268</v>
      </c>
      <c r="IF53" s="56" t="s">
        <v>268</v>
      </c>
      <c r="IG53" s="54" t="s">
        <v>268</v>
      </c>
      <c r="IH53" s="1"/>
      <c r="II53" s="57" t="s">
        <v>268</v>
      </c>
      <c r="IJ53" s="58" t="s">
        <v>268</v>
      </c>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t="s">
        <v>268</v>
      </c>
      <c r="PU53" s="39" t="s">
        <v>268</v>
      </c>
      <c r="PV53" s="1"/>
      <c r="PW53" s="1"/>
      <c r="PX53" s="1"/>
      <c r="PY53" s="1"/>
      <c r="PZ53" s="1"/>
      <c r="QA53" s="1"/>
      <c r="QB53" s="1"/>
      <c r="QC53" s="54" t="s">
        <v>268</v>
      </c>
      <c r="QD53" s="1"/>
      <c r="QE53" s="55" t="s">
        <v>268</v>
      </c>
      <c r="QF53" s="1"/>
      <c r="QG53" s="1"/>
      <c r="QH53" s="2"/>
      <c r="QI53" s="54" t="s">
        <v>268</v>
      </c>
      <c r="QJ53" s="1"/>
      <c r="QK53" s="1"/>
      <c r="QL53" s="1"/>
      <c r="QM53" s="1"/>
      <c r="QN53" s="1"/>
      <c r="QO53" s="1"/>
      <c r="QP53" s="54" t="s">
        <v>268</v>
      </c>
      <c r="QQ53" s="1"/>
      <c r="QR53" s="55" t="s">
        <v>268</v>
      </c>
      <c r="QS53" s="1"/>
      <c r="QT53" s="1"/>
      <c r="QU53" s="2"/>
      <c r="QV53" s="54" t="s">
        <v>268</v>
      </c>
      <c r="QW53" s="54" t="s">
        <v>268</v>
      </c>
      <c r="QX53" s="54" t="s">
        <v>268</v>
      </c>
      <c r="QY53" s="55" t="s">
        <v>268</v>
      </c>
      <c r="QZ53" s="56" t="s">
        <v>268</v>
      </c>
      <c r="RA53" s="54" t="s">
        <v>268</v>
      </c>
      <c r="RB53" s="1"/>
      <c r="RC53" s="57" t="s">
        <v>268</v>
      </c>
      <c r="RD53" s="58" t="s">
        <v>268</v>
      </c>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t="s">
        <v>268</v>
      </c>
      <c r="UE53" s="39" t="s">
        <v>268</v>
      </c>
      <c r="UF53" s="1"/>
      <c r="UG53" s="1"/>
      <c r="UH53" s="1"/>
      <c r="UI53" s="1"/>
      <c r="UJ53" s="1"/>
      <c r="UK53" s="1"/>
      <c r="UL53" s="1"/>
      <c r="UM53" s="54" t="s">
        <v>268</v>
      </c>
      <c r="UN53" s="1"/>
      <c r="UO53" s="55" t="s">
        <v>268</v>
      </c>
      <c r="UP53" s="1"/>
      <c r="UQ53" s="1"/>
      <c r="UR53" s="2"/>
      <c r="US53" s="54" t="s">
        <v>268</v>
      </c>
      <c r="UT53" s="1"/>
      <c r="UU53" s="1"/>
      <c r="UV53" s="1"/>
      <c r="UW53" s="1"/>
      <c r="UX53" s="1"/>
      <c r="UY53" s="1"/>
      <c r="UZ53" s="54" t="s">
        <v>268</v>
      </c>
      <c r="VA53" s="1"/>
      <c r="VB53" s="55" t="s">
        <v>268</v>
      </c>
      <c r="VC53" s="1"/>
      <c r="VD53" s="1"/>
      <c r="VE53" s="2"/>
      <c r="VF53" s="54" t="s">
        <v>268</v>
      </c>
      <c r="VG53" s="54" t="s">
        <v>268</v>
      </c>
      <c r="VH53" s="54" t="s">
        <v>268</v>
      </c>
      <c r="VI53" s="55" t="s">
        <v>268</v>
      </c>
      <c r="VJ53" s="56" t="s">
        <v>268</v>
      </c>
      <c r="VK53" s="54" t="s">
        <v>268</v>
      </c>
      <c r="VL53" s="1"/>
      <c r="VM53" s="57" t="s">
        <v>268</v>
      </c>
      <c r="VN53" s="58" t="s">
        <v>268</v>
      </c>
      <c r="VO53" s="4"/>
      <c r="VP53" s="39" t="s">
        <v>268</v>
      </c>
      <c r="VQ53" s="39" t="s">
        <v>268</v>
      </c>
      <c r="VR53" s="1"/>
      <c r="VS53" s="1"/>
      <c r="VT53" s="1"/>
      <c r="VU53" s="1"/>
      <c r="VV53" s="1"/>
      <c r="VW53" s="1"/>
      <c r="VX53" s="1"/>
      <c r="VY53" s="54" t="s">
        <v>268</v>
      </c>
      <c r="VZ53" s="1"/>
      <c r="WA53" s="55" t="s">
        <v>268</v>
      </c>
      <c r="WB53" s="1"/>
      <c r="WC53" s="1"/>
      <c r="WD53" s="2"/>
      <c r="WE53" s="54" t="s">
        <v>268</v>
      </c>
      <c r="WF53" s="1"/>
      <c r="WG53" s="1"/>
      <c r="WH53" s="1"/>
      <c r="WI53" s="1"/>
      <c r="WJ53" s="1"/>
      <c r="WK53" s="1"/>
      <c r="WL53" s="54" t="s">
        <v>268</v>
      </c>
      <c r="WM53" s="1"/>
      <c r="WN53" s="55" t="s">
        <v>268</v>
      </c>
      <c r="WO53" s="1"/>
      <c r="WP53" s="1"/>
      <c r="WQ53" s="2"/>
      <c r="WR53" s="54" t="s">
        <v>268</v>
      </c>
      <c r="WS53" s="54" t="s">
        <v>268</v>
      </c>
      <c r="WT53" s="54" t="s">
        <v>268</v>
      </c>
      <c r="WU53" s="55" t="s">
        <v>268</v>
      </c>
      <c r="WV53" s="56" t="s">
        <v>268</v>
      </c>
      <c r="WW53" s="54" t="s">
        <v>268</v>
      </c>
      <c r="WX53" s="1"/>
      <c r="WY53" s="57" t="s">
        <v>268</v>
      </c>
      <c r="WZ53" s="58" t="s">
        <v>268</v>
      </c>
      <c r="XA53" s="4"/>
      <c r="XB53" s="39" t="s">
        <v>268</v>
      </c>
      <c r="XC53" s="39" t="s">
        <v>268</v>
      </c>
      <c r="XD53" s="1"/>
      <c r="XE53" s="1"/>
      <c r="XF53" s="1"/>
      <c r="XG53" s="1"/>
      <c r="XH53" s="1"/>
      <c r="XI53" s="1"/>
      <c r="XJ53" s="1"/>
      <c r="XK53" s="54" t="s">
        <v>268</v>
      </c>
      <c r="XL53" s="1"/>
      <c r="XM53" s="55" t="s">
        <v>268</v>
      </c>
      <c r="XN53" s="1"/>
      <c r="XO53" s="1"/>
      <c r="XP53" s="2"/>
      <c r="XQ53" s="54" t="s">
        <v>268</v>
      </c>
      <c r="XR53" s="1"/>
      <c r="XS53" s="1"/>
      <c r="XT53" s="1"/>
      <c r="XU53" s="1"/>
      <c r="XV53" s="1"/>
      <c r="XW53" s="1"/>
      <c r="XX53" s="54" t="s">
        <v>268</v>
      </c>
      <c r="XY53" s="1"/>
      <c r="XZ53" s="55" t="s">
        <v>268</v>
      </c>
      <c r="YA53" s="1"/>
      <c r="YB53" s="1"/>
      <c r="YC53" s="2"/>
      <c r="YD53" s="54" t="s">
        <v>268</v>
      </c>
      <c r="YE53" s="54" t="s">
        <v>268</v>
      </c>
      <c r="YF53" s="54" t="s">
        <v>268</v>
      </c>
      <c r="YG53" s="55" t="s">
        <v>268</v>
      </c>
      <c r="YH53" s="56" t="s">
        <v>268</v>
      </c>
      <c r="YI53" s="54" t="s">
        <v>268</v>
      </c>
      <c r="YJ53" s="1"/>
      <c r="YK53" s="57" t="s">
        <v>268</v>
      </c>
      <c r="YL53" s="58" t="s">
        <v>268</v>
      </c>
      <c r="YM53" s="4"/>
      <c r="YN53" s="39" t="s">
        <v>268</v>
      </c>
      <c r="YO53" s="39" t="s">
        <v>268</v>
      </c>
      <c r="YP53" s="1"/>
      <c r="YQ53" s="1"/>
      <c r="YR53" s="1"/>
      <c r="YS53" s="1"/>
      <c r="YT53" s="1"/>
      <c r="YU53" s="1"/>
      <c r="YV53" s="1"/>
      <c r="YW53" s="54" t="s">
        <v>268</v>
      </c>
      <c r="YX53" s="1"/>
      <c r="YY53" s="55" t="s">
        <v>268</v>
      </c>
      <c r="YZ53" s="1"/>
      <c r="ZA53" s="1"/>
      <c r="ZB53" s="2"/>
      <c r="ZC53" s="54" t="s">
        <v>268</v>
      </c>
      <c r="ZD53" s="1"/>
      <c r="ZE53" s="1"/>
      <c r="ZF53" s="1"/>
      <c r="ZG53" s="1"/>
      <c r="ZH53" s="1"/>
      <c r="ZI53" s="1"/>
      <c r="ZJ53" s="54" t="s">
        <v>268</v>
      </c>
      <c r="ZK53" s="1"/>
      <c r="ZL53" s="55" t="s">
        <v>268</v>
      </c>
      <c r="ZM53" s="1"/>
      <c r="ZN53" s="1"/>
      <c r="ZO53" s="2"/>
      <c r="ZP53" s="54" t="s">
        <v>268</v>
      </c>
      <c r="ZQ53" s="54" t="s">
        <v>268</v>
      </c>
      <c r="ZR53" s="54" t="s">
        <v>268</v>
      </c>
      <c r="ZS53" s="55" t="s">
        <v>268</v>
      </c>
      <c r="ZT53" s="56" t="s">
        <v>268</v>
      </c>
      <c r="ZU53" s="54" t="s">
        <v>268</v>
      </c>
      <c r="ZV53" s="1"/>
      <c r="ZW53" s="57" t="s">
        <v>268</v>
      </c>
      <c r="ZX53" s="58" t="s">
        <v>268</v>
      </c>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2" customHeight="1" x14ac:dyDescent="0.2">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t="s">
        <v>268</v>
      </c>
      <c r="S54" s="39" t="s">
        <v>268</v>
      </c>
      <c r="T54" s="1"/>
      <c r="U54" s="1"/>
      <c r="V54" s="1"/>
      <c r="W54" s="1"/>
      <c r="X54" s="1"/>
      <c r="Y54" s="1"/>
      <c r="Z54" s="1"/>
      <c r="AA54" s="54" t="s">
        <v>268</v>
      </c>
      <c r="AB54" s="1"/>
      <c r="AC54" s="55" t="s">
        <v>268</v>
      </c>
      <c r="AD54" s="1"/>
      <c r="AE54" s="1"/>
      <c r="AF54" s="2"/>
      <c r="AG54" s="54" t="s">
        <v>268</v>
      </c>
      <c r="AH54" s="1"/>
      <c r="AI54" s="1"/>
      <c r="AJ54" s="1"/>
      <c r="AK54" s="1"/>
      <c r="AL54" s="1"/>
      <c r="AM54" s="1"/>
      <c r="AN54" s="54" t="s">
        <v>268</v>
      </c>
      <c r="AO54" s="1"/>
      <c r="AP54" s="55" t="s">
        <v>268</v>
      </c>
      <c r="AQ54" s="1"/>
      <c r="AR54" s="1"/>
      <c r="AS54" s="2"/>
      <c r="AT54" s="54" t="s">
        <v>268</v>
      </c>
      <c r="AU54" s="54" t="s">
        <v>268</v>
      </c>
      <c r="AV54" s="54" t="s">
        <v>268</v>
      </c>
      <c r="AW54" s="55" t="s">
        <v>268</v>
      </c>
      <c r="AX54" s="56" t="s">
        <v>268</v>
      </c>
      <c r="AY54" s="54" t="s">
        <v>268</v>
      </c>
      <c r="AZ54" s="1"/>
      <c r="BA54" s="57" t="s">
        <v>268</v>
      </c>
      <c r="BB54" s="58" t="s">
        <v>268</v>
      </c>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t="s">
        <v>268</v>
      </c>
      <c r="EC54" s="39" t="s">
        <v>268</v>
      </c>
      <c r="ED54" s="1"/>
      <c r="EE54" s="1"/>
      <c r="EF54" s="1"/>
      <c r="EG54" s="1"/>
      <c r="EH54" s="1"/>
      <c r="EI54" s="1"/>
      <c r="EJ54" s="1"/>
      <c r="EK54" s="54" t="s">
        <v>268</v>
      </c>
      <c r="EL54" s="1"/>
      <c r="EM54" s="55" t="s">
        <v>268</v>
      </c>
      <c r="EN54" s="1"/>
      <c r="EO54" s="1"/>
      <c r="EP54" s="2"/>
      <c r="EQ54" s="54" t="s">
        <v>268</v>
      </c>
      <c r="ER54" s="1"/>
      <c r="ES54" s="1"/>
      <c r="ET54" s="1"/>
      <c r="EU54" s="1"/>
      <c r="EV54" s="1"/>
      <c r="EW54" s="1"/>
      <c r="EX54" s="54" t="s">
        <v>268</v>
      </c>
      <c r="EY54" s="1"/>
      <c r="EZ54" s="55" t="s">
        <v>268</v>
      </c>
      <c r="FA54" s="1"/>
      <c r="FB54" s="1"/>
      <c r="FC54" s="2"/>
      <c r="FD54" s="54" t="s">
        <v>268</v>
      </c>
      <c r="FE54" s="54" t="s">
        <v>268</v>
      </c>
      <c r="FF54" s="54" t="s">
        <v>268</v>
      </c>
      <c r="FG54" s="55" t="s">
        <v>268</v>
      </c>
      <c r="FH54" s="56" t="s">
        <v>268</v>
      </c>
      <c r="FI54" s="54" t="s">
        <v>268</v>
      </c>
      <c r="FJ54" s="1"/>
      <c r="FK54" s="57" t="s">
        <v>268</v>
      </c>
      <c r="FL54" s="58" t="s">
        <v>268</v>
      </c>
      <c r="FM54" s="4"/>
      <c r="FN54" s="39" t="s">
        <v>268</v>
      </c>
      <c r="FO54" s="39" t="s">
        <v>268</v>
      </c>
      <c r="FP54" s="1"/>
      <c r="FQ54" s="1"/>
      <c r="FR54" s="1"/>
      <c r="FS54" s="1"/>
      <c r="FT54" s="1"/>
      <c r="FU54" s="1"/>
      <c r="FV54" s="1"/>
      <c r="FW54" s="54" t="s">
        <v>268</v>
      </c>
      <c r="FX54" s="1"/>
      <c r="FY54" s="55" t="s">
        <v>268</v>
      </c>
      <c r="FZ54" s="1"/>
      <c r="GA54" s="1"/>
      <c r="GB54" s="2"/>
      <c r="GC54" s="54" t="s">
        <v>268</v>
      </c>
      <c r="GD54" s="1"/>
      <c r="GE54" s="1"/>
      <c r="GF54" s="1"/>
      <c r="GG54" s="1"/>
      <c r="GH54" s="1"/>
      <c r="GI54" s="1"/>
      <c r="GJ54" s="54" t="s">
        <v>268</v>
      </c>
      <c r="GK54" s="1"/>
      <c r="GL54" s="55" t="s">
        <v>268</v>
      </c>
      <c r="GM54" s="1"/>
      <c r="GN54" s="1"/>
      <c r="GO54" s="2"/>
      <c r="GP54" s="54" t="s">
        <v>268</v>
      </c>
      <c r="GQ54" s="54" t="s">
        <v>268</v>
      </c>
      <c r="GR54" s="54" t="s">
        <v>268</v>
      </c>
      <c r="GS54" s="55" t="s">
        <v>268</v>
      </c>
      <c r="GT54" s="56" t="s">
        <v>268</v>
      </c>
      <c r="GU54" s="54" t="s">
        <v>268</v>
      </c>
      <c r="GV54" s="1"/>
      <c r="GW54" s="57" t="s">
        <v>268</v>
      </c>
      <c r="GX54" s="58" t="s">
        <v>268</v>
      </c>
      <c r="GY54" s="4"/>
      <c r="GZ54" s="39" t="s">
        <v>268</v>
      </c>
      <c r="HA54" s="39" t="s">
        <v>268</v>
      </c>
      <c r="HB54" s="1"/>
      <c r="HC54" s="1"/>
      <c r="HD54" s="1"/>
      <c r="HE54" s="1"/>
      <c r="HF54" s="1"/>
      <c r="HG54" s="1"/>
      <c r="HH54" s="1"/>
      <c r="HI54" s="54" t="s">
        <v>268</v>
      </c>
      <c r="HJ54" s="1"/>
      <c r="HK54" s="55" t="s">
        <v>268</v>
      </c>
      <c r="HL54" s="1"/>
      <c r="HM54" s="1"/>
      <c r="HN54" s="2"/>
      <c r="HO54" s="54" t="s">
        <v>268</v>
      </c>
      <c r="HP54" s="1"/>
      <c r="HQ54" s="1"/>
      <c r="HR54" s="1"/>
      <c r="HS54" s="1"/>
      <c r="HT54" s="1"/>
      <c r="HU54" s="1"/>
      <c r="HV54" s="54" t="s">
        <v>268</v>
      </c>
      <c r="HW54" s="1"/>
      <c r="HX54" s="55" t="s">
        <v>268</v>
      </c>
      <c r="HY54" s="1"/>
      <c r="HZ54" s="1"/>
      <c r="IA54" s="2"/>
      <c r="IB54" s="54" t="s">
        <v>268</v>
      </c>
      <c r="IC54" s="54" t="s">
        <v>268</v>
      </c>
      <c r="ID54" s="54" t="s">
        <v>268</v>
      </c>
      <c r="IE54" s="55" t="s">
        <v>268</v>
      </c>
      <c r="IF54" s="56" t="s">
        <v>268</v>
      </c>
      <c r="IG54" s="54" t="s">
        <v>268</v>
      </c>
      <c r="IH54" s="1"/>
      <c r="II54" s="57" t="s">
        <v>268</v>
      </c>
      <c r="IJ54" s="58" t="s">
        <v>268</v>
      </c>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t="s">
        <v>268</v>
      </c>
      <c r="PU54" s="39" t="s">
        <v>268</v>
      </c>
      <c r="PV54" s="1"/>
      <c r="PW54" s="1"/>
      <c r="PX54" s="1"/>
      <c r="PY54" s="1"/>
      <c r="PZ54" s="1"/>
      <c r="QA54" s="1"/>
      <c r="QB54" s="1"/>
      <c r="QC54" s="54" t="s">
        <v>268</v>
      </c>
      <c r="QD54" s="1"/>
      <c r="QE54" s="55" t="s">
        <v>268</v>
      </c>
      <c r="QF54" s="1"/>
      <c r="QG54" s="1"/>
      <c r="QH54" s="2"/>
      <c r="QI54" s="54" t="s">
        <v>268</v>
      </c>
      <c r="QJ54" s="1"/>
      <c r="QK54" s="1"/>
      <c r="QL54" s="1"/>
      <c r="QM54" s="1"/>
      <c r="QN54" s="1"/>
      <c r="QO54" s="1"/>
      <c r="QP54" s="54" t="s">
        <v>268</v>
      </c>
      <c r="QQ54" s="1"/>
      <c r="QR54" s="55" t="s">
        <v>268</v>
      </c>
      <c r="QS54" s="1"/>
      <c r="QT54" s="1"/>
      <c r="QU54" s="2"/>
      <c r="QV54" s="54" t="s">
        <v>268</v>
      </c>
      <c r="QW54" s="54" t="s">
        <v>268</v>
      </c>
      <c r="QX54" s="54" t="s">
        <v>268</v>
      </c>
      <c r="QY54" s="55" t="s">
        <v>268</v>
      </c>
      <c r="QZ54" s="56" t="s">
        <v>268</v>
      </c>
      <c r="RA54" s="54" t="s">
        <v>268</v>
      </c>
      <c r="RB54" s="1"/>
      <c r="RC54" s="57" t="s">
        <v>268</v>
      </c>
      <c r="RD54" s="58" t="s">
        <v>268</v>
      </c>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t="s">
        <v>268</v>
      </c>
      <c r="UE54" s="39" t="s">
        <v>268</v>
      </c>
      <c r="UF54" s="1"/>
      <c r="UG54" s="1"/>
      <c r="UH54" s="1"/>
      <c r="UI54" s="1"/>
      <c r="UJ54" s="1"/>
      <c r="UK54" s="1"/>
      <c r="UL54" s="1"/>
      <c r="UM54" s="54" t="s">
        <v>268</v>
      </c>
      <c r="UN54" s="1"/>
      <c r="UO54" s="55" t="s">
        <v>268</v>
      </c>
      <c r="UP54" s="1"/>
      <c r="UQ54" s="1"/>
      <c r="UR54" s="2"/>
      <c r="US54" s="54" t="s">
        <v>268</v>
      </c>
      <c r="UT54" s="1"/>
      <c r="UU54" s="1"/>
      <c r="UV54" s="1"/>
      <c r="UW54" s="1"/>
      <c r="UX54" s="1"/>
      <c r="UY54" s="1"/>
      <c r="UZ54" s="54" t="s">
        <v>268</v>
      </c>
      <c r="VA54" s="1"/>
      <c r="VB54" s="55" t="s">
        <v>268</v>
      </c>
      <c r="VC54" s="1"/>
      <c r="VD54" s="1"/>
      <c r="VE54" s="2"/>
      <c r="VF54" s="54" t="s">
        <v>268</v>
      </c>
      <c r="VG54" s="54" t="s">
        <v>268</v>
      </c>
      <c r="VH54" s="54" t="s">
        <v>268</v>
      </c>
      <c r="VI54" s="55" t="s">
        <v>268</v>
      </c>
      <c r="VJ54" s="56" t="s">
        <v>268</v>
      </c>
      <c r="VK54" s="54" t="s">
        <v>268</v>
      </c>
      <c r="VL54" s="1"/>
      <c r="VM54" s="57" t="s">
        <v>268</v>
      </c>
      <c r="VN54" s="58" t="s">
        <v>268</v>
      </c>
      <c r="VO54" s="4"/>
      <c r="VP54" s="39" t="s">
        <v>268</v>
      </c>
      <c r="VQ54" s="39" t="s">
        <v>268</v>
      </c>
      <c r="VR54" s="1"/>
      <c r="VS54" s="1"/>
      <c r="VT54" s="1"/>
      <c r="VU54" s="1"/>
      <c r="VV54" s="1"/>
      <c r="VW54" s="1"/>
      <c r="VX54" s="1"/>
      <c r="VY54" s="54" t="s">
        <v>268</v>
      </c>
      <c r="VZ54" s="1"/>
      <c r="WA54" s="55" t="s">
        <v>268</v>
      </c>
      <c r="WB54" s="1"/>
      <c r="WC54" s="1"/>
      <c r="WD54" s="2"/>
      <c r="WE54" s="54" t="s">
        <v>268</v>
      </c>
      <c r="WF54" s="1"/>
      <c r="WG54" s="1"/>
      <c r="WH54" s="1"/>
      <c r="WI54" s="1"/>
      <c r="WJ54" s="1"/>
      <c r="WK54" s="1"/>
      <c r="WL54" s="54" t="s">
        <v>268</v>
      </c>
      <c r="WM54" s="1"/>
      <c r="WN54" s="55" t="s">
        <v>268</v>
      </c>
      <c r="WO54" s="1"/>
      <c r="WP54" s="1"/>
      <c r="WQ54" s="2"/>
      <c r="WR54" s="54" t="s">
        <v>268</v>
      </c>
      <c r="WS54" s="54" t="s">
        <v>268</v>
      </c>
      <c r="WT54" s="54" t="s">
        <v>268</v>
      </c>
      <c r="WU54" s="55" t="s">
        <v>268</v>
      </c>
      <c r="WV54" s="56" t="s">
        <v>268</v>
      </c>
      <c r="WW54" s="54" t="s">
        <v>268</v>
      </c>
      <c r="WX54" s="1"/>
      <c r="WY54" s="57" t="s">
        <v>268</v>
      </c>
      <c r="WZ54" s="58" t="s">
        <v>268</v>
      </c>
      <c r="XA54" s="4"/>
      <c r="XB54" s="39" t="s">
        <v>268</v>
      </c>
      <c r="XC54" s="39" t="s">
        <v>268</v>
      </c>
      <c r="XD54" s="1"/>
      <c r="XE54" s="1"/>
      <c r="XF54" s="1"/>
      <c r="XG54" s="1"/>
      <c r="XH54" s="1"/>
      <c r="XI54" s="1"/>
      <c r="XJ54" s="1"/>
      <c r="XK54" s="54" t="s">
        <v>268</v>
      </c>
      <c r="XL54" s="1"/>
      <c r="XM54" s="55" t="s">
        <v>268</v>
      </c>
      <c r="XN54" s="1"/>
      <c r="XO54" s="1"/>
      <c r="XP54" s="2"/>
      <c r="XQ54" s="54" t="s">
        <v>268</v>
      </c>
      <c r="XR54" s="1"/>
      <c r="XS54" s="1"/>
      <c r="XT54" s="1"/>
      <c r="XU54" s="1"/>
      <c r="XV54" s="1"/>
      <c r="XW54" s="1"/>
      <c r="XX54" s="54" t="s">
        <v>268</v>
      </c>
      <c r="XY54" s="1"/>
      <c r="XZ54" s="55" t="s">
        <v>268</v>
      </c>
      <c r="YA54" s="1"/>
      <c r="YB54" s="1"/>
      <c r="YC54" s="2"/>
      <c r="YD54" s="54" t="s">
        <v>268</v>
      </c>
      <c r="YE54" s="54" t="s">
        <v>268</v>
      </c>
      <c r="YF54" s="54" t="s">
        <v>268</v>
      </c>
      <c r="YG54" s="55" t="s">
        <v>268</v>
      </c>
      <c r="YH54" s="56" t="s">
        <v>268</v>
      </c>
      <c r="YI54" s="54" t="s">
        <v>268</v>
      </c>
      <c r="YJ54" s="1"/>
      <c r="YK54" s="57" t="s">
        <v>268</v>
      </c>
      <c r="YL54" s="58" t="s">
        <v>268</v>
      </c>
      <c r="YM54" s="4"/>
      <c r="YN54" s="39" t="s">
        <v>268</v>
      </c>
      <c r="YO54" s="39" t="s">
        <v>268</v>
      </c>
      <c r="YP54" s="1"/>
      <c r="YQ54" s="1"/>
      <c r="YR54" s="1"/>
      <c r="YS54" s="1"/>
      <c r="YT54" s="1"/>
      <c r="YU54" s="1"/>
      <c r="YV54" s="1"/>
      <c r="YW54" s="54" t="s">
        <v>268</v>
      </c>
      <c r="YX54" s="1"/>
      <c r="YY54" s="55" t="s">
        <v>268</v>
      </c>
      <c r="YZ54" s="1"/>
      <c r="ZA54" s="1"/>
      <c r="ZB54" s="2"/>
      <c r="ZC54" s="54" t="s">
        <v>268</v>
      </c>
      <c r="ZD54" s="1"/>
      <c r="ZE54" s="1"/>
      <c r="ZF54" s="1"/>
      <c r="ZG54" s="1"/>
      <c r="ZH54" s="1"/>
      <c r="ZI54" s="1"/>
      <c r="ZJ54" s="54" t="s">
        <v>268</v>
      </c>
      <c r="ZK54" s="1"/>
      <c r="ZL54" s="55" t="s">
        <v>268</v>
      </c>
      <c r="ZM54" s="1"/>
      <c r="ZN54" s="1"/>
      <c r="ZO54" s="2"/>
      <c r="ZP54" s="54" t="s">
        <v>268</v>
      </c>
      <c r="ZQ54" s="54" t="s">
        <v>268</v>
      </c>
      <c r="ZR54" s="54" t="s">
        <v>268</v>
      </c>
      <c r="ZS54" s="55" t="s">
        <v>268</v>
      </c>
      <c r="ZT54" s="56" t="s">
        <v>268</v>
      </c>
      <c r="ZU54" s="54" t="s">
        <v>268</v>
      </c>
      <c r="ZV54" s="1"/>
      <c r="ZW54" s="57" t="s">
        <v>268</v>
      </c>
      <c r="ZX54" s="58" t="s">
        <v>268</v>
      </c>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2" customHeight="1" x14ac:dyDescent="0.2">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t="s">
        <v>268</v>
      </c>
      <c r="S55" s="39" t="s">
        <v>268</v>
      </c>
      <c r="T55" s="1"/>
      <c r="U55" s="1"/>
      <c r="V55" s="1"/>
      <c r="W55" s="1"/>
      <c r="X55" s="1"/>
      <c r="Y55" s="1"/>
      <c r="Z55" s="1"/>
      <c r="AA55" s="54" t="s">
        <v>268</v>
      </c>
      <c r="AB55" s="1"/>
      <c r="AC55" s="55" t="s">
        <v>268</v>
      </c>
      <c r="AD55" s="1"/>
      <c r="AE55" s="1"/>
      <c r="AF55" s="2"/>
      <c r="AG55" s="54" t="s">
        <v>268</v>
      </c>
      <c r="AH55" s="1"/>
      <c r="AI55" s="1"/>
      <c r="AJ55" s="1"/>
      <c r="AK55" s="1"/>
      <c r="AL55" s="1"/>
      <c r="AM55" s="1"/>
      <c r="AN55" s="54" t="s">
        <v>268</v>
      </c>
      <c r="AO55" s="1"/>
      <c r="AP55" s="55" t="s">
        <v>268</v>
      </c>
      <c r="AQ55" s="1"/>
      <c r="AR55" s="1"/>
      <c r="AS55" s="2"/>
      <c r="AT55" s="54" t="s">
        <v>268</v>
      </c>
      <c r="AU55" s="54" t="s">
        <v>268</v>
      </c>
      <c r="AV55" s="54" t="s">
        <v>268</v>
      </c>
      <c r="AW55" s="55" t="s">
        <v>268</v>
      </c>
      <c r="AX55" s="56" t="s">
        <v>268</v>
      </c>
      <c r="AY55" s="54" t="s">
        <v>268</v>
      </c>
      <c r="AZ55" s="1"/>
      <c r="BA55" s="57" t="s">
        <v>268</v>
      </c>
      <c r="BB55" s="58" t="s">
        <v>268</v>
      </c>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t="s">
        <v>268</v>
      </c>
      <c r="EC55" s="39" t="s">
        <v>268</v>
      </c>
      <c r="ED55" s="1"/>
      <c r="EE55" s="1"/>
      <c r="EF55" s="1"/>
      <c r="EG55" s="1"/>
      <c r="EH55" s="1"/>
      <c r="EI55" s="1"/>
      <c r="EJ55" s="1"/>
      <c r="EK55" s="54" t="s">
        <v>268</v>
      </c>
      <c r="EL55" s="1"/>
      <c r="EM55" s="55" t="s">
        <v>268</v>
      </c>
      <c r="EN55" s="1"/>
      <c r="EO55" s="1"/>
      <c r="EP55" s="2"/>
      <c r="EQ55" s="54" t="s">
        <v>268</v>
      </c>
      <c r="ER55" s="1"/>
      <c r="ES55" s="1"/>
      <c r="ET55" s="1"/>
      <c r="EU55" s="1"/>
      <c r="EV55" s="1"/>
      <c r="EW55" s="1"/>
      <c r="EX55" s="54" t="s">
        <v>268</v>
      </c>
      <c r="EY55" s="1"/>
      <c r="EZ55" s="55" t="s">
        <v>268</v>
      </c>
      <c r="FA55" s="1"/>
      <c r="FB55" s="1"/>
      <c r="FC55" s="2"/>
      <c r="FD55" s="54" t="s">
        <v>268</v>
      </c>
      <c r="FE55" s="54" t="s">
        <v>268</v>
      </c>
      <c r="FF55" s="54" t="s">
        <v>268</v>
      </c>
      <c r="FG55" s="55" t="s">
        <v>268</v>
      </c>
      <c r="FH55" s="56" t="s">
        <v>268</v>
      </c>
      <c r="FI55" s="54" t="s">
        <v>268</v>
      </c>
      <c r="FJ55" s="1"/>
      <c r="FK55" s="57" t="s">
        <v>268</v>
      </c>
      <c r="FL55" s="58" t="s">
        <v>268</v>
      </c>
      <c r="FM55" s="4"/>
      <c r="FN55" s="39" t="s">
        <v>268</v>
      </c>
      <c r="FO55" s="39" t="s">
        <v>268</v>
      </c>
      <c r="FP55" s="1"/>
      <c r="FQ55" s="1"/>
      <c r="FR55" s="1"/>
      <c r="FS55" s="1"/>
      <c r="FT55" s="1"/>
      <c r="FU55" s="1"/>
      <c r="FV55" s="1"/>
      <c r="FW55" s="54" t="s">
        <v>268</v>
      </c>
      <c r="FX55" s="1"/>
      <c r="FY55" s="55" t="s">
        <v>268</v>
      </c>
      <c r="FZ55" s="1"/>
      <c r="GA55" s="1"/>
      <c r="GB55" s="2"/>
      <c r="GC55" s="54" t="s">
        <v>268</v>
      </c>
      <c r="GD55" s="1"/>
      <c r="GE55" s="1"/>
      <c r="GF55" s="1"/>
      <c r="GG55" s="1"/>
      <c r="GH55" s="1"/>
      <c r="GI55" s="1"/>
      <c r="GJ55" s="54" t="s">
        <v>268</v>
      </c>
      <c r="GK55" s="1"/>
      <c r="GL55" s="55" t="s">
        <v>268</v>
      </c>
      <c r="GM55" s="1"/>
      <c r="GN55" s="1"/>
      <c r="GO55" s="2"/>
      <c r="GP55" s="54" t="s">
        <v>268</v>
      </c>
      <c r="GQ55" s="54" t="s">
        <v>268</v>
      </c>
      <c r="GR55" s="54" t="s">
        <v>268</v>
      </c>
      <c r="GS55" s="55" t="s">
        <v>268</v>
      </c>
      <c r="GT55" s="56" t="s">
        <v>268</v>
      </c>
      <c r="GU55" s="54" t="s">
        <v>268</v>
      </c>
      <c r="GV55" s="1"/>
      <c r="GW55" s="57" t="s">
        <v>268</v>
      </c>
      <c r="GX55" s="58" t="s">
        <v>268</v>
      </c>
      <c r="GY55" s="4"/>
      <c r="GZ55" s="39" t="s">
        <v>268</v>
      </c>
      <c r="HA55" s="39" t="s">
        <v>268</v>
      </c>
      <c r="HB55" s="1"/>
      <c r="HC55" s="1"/>
      <c r="HD55" s="1"/>
      <c r="HE55" s="1"/>
      <c r="HF55" s="1"/>
      <c r="HG55" s="1"/>
      <c r="HH55" s="1"/>
      <c r="HI55" s="54" t="s">
        <v>268</v>
      </c>
      <c r="HJ55" s="1"/>
      <c r="HK55" s="55" t="s">
        <v>268</v>
      </c>
      <c r="HL55" s="1"/>
      <c r="HM55" s="1"/>
      <c r="HN55" s="2"/>
      <c r="HO55" s="54" t="s">
        <v>268</v>
      </c>
      <c r="HP55" s="1"/>
      <c r="HQ55" s="1"/>
      <c r="HR55" s="1"/>
      <c r="HS55" s="1"/>
      <c r="HT55" s="1"/>
      <c r="HU55" s="1"/>
      <c r="HV55" s="54" t="s">
        <v>268</v>
      </c>
      <c r="HW55" s="1"/>
      <c r="HX55" s="55" t="s">
        <v>268</v>
      </c>
      <c r="HY55" s="1"/>
      <c r="HZ55" s="1"/>
      <c r="IA55" s="2"/>
      <c r="IB55" s="54" t="s">
        <v>268</v>
      </c>
      <c r="IC55" s="54" t="s">
        <v>268</v>
      </c>
      <c r="ID55" s="54" t="s">
        <v>268</v>
      </c>
      <c r="IE55" s="55" t="s">
        <v>268</v>
      </c>
      <c r="IF55" s="56" t="s">
        <v>268</v>
      </c>
      <c r="IG55" s="54" t="s">
        <v>268</v>
      </c>
      <c r="IH55" s="1"/>
      <c r="II55" s="57" t="s">
        <v>268</v>
      </c>
      <c r="IJ55" s="58" t="s">
        <v>268</v>
      </c>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t="s">
        <v>268</v>
      </c>
      <c r="PU55" s="39" t="s">
        <v>268</v>
      </c>
      <c r="PV55" s="1"/>
      <c r="PW55" s="1"/>
      <c r="PX55" s="1"/>
      <c r="PY55" s="1"/>
      <c r="PZ55" s="1"/>
      <c r="QA55" s="1"/>
      <c r="QB55" s="1"/>
      <c r="QC55" s="54" t="s">
        <v>268</v>
      </c>
      <c r="QD55" s="1"/>
      <c r="QE55" s="55" t="s">
        <v>268</v>
      </c>
      <c r="QF55" s="1"/>
      <c r="QG55" s="1"/>
      <c r="QH55" s="2"/>
      <c r="QI55" s="54" t="s">
        <v>268</v>
      </c>
      <c r="QJ55" s="1"/>
      <c r="QK55" s="1"/>
      <c r="QL55" s="1"/>
      <c r="QM55" s="1"/>
      <c r="QN55" s="1"/>
      <c r="QO55" s="1"/>
      <c r="QP55" s="54" t="s">
        <v>268</v>
      </c>
      <c r="QQ55" s="1"/>
      <c r="QR55" s="55" t="s">
        <v>268</v>
      </c>
      <c r="QS55" s="1"/>
      <c r="QT55" s="1"/>
      <c r="QU55" s="2"/>
      <c r="QV55" s="54" t="s">
        <v>268</v>
      </c>
      <c r="QW55" s="54" t="s">
        <v>268</v>
      </c>
      <c r="QX55" s="54" t="s">
        <v>268</v>
      </c>
      <c r="QY55" s="55" t="s">
        <v>268</v>
      </c>
      <c r="QZ55" s="56" t="s">
        <v>268</v>
      </c>
      <c r="RA55" s="54" t="s">
        <v>268</v>
      </c>
      <c r="RB55" s="1"/>
      <c r="RC55" s="57" t="s">
        <v>268</v>
      </c>
      <c r="RD55" s="58" t="s">
        <v>268</v>
      </c>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t="s">
        <v>268</v>
      </c>
      <c r="UE55" s="39" t="s">
        <v>268</v>
      </c>
      <c r="UF55" s="1"/>
      <c r="UG55" s="1"/>
      <c r="UH55" s="1"/>
      <c r="UI55" s="1"/>
      <c r="UJ55" s="1"/>
      <c r="UK55" s="1"/>
      <c r="UL55" s="1"/>
      <c r="UM55" s="54" t="s">
        <v>268</v>
      </c>
      <c r="UN55" s="1"/>
      <c r="UO55" s="55" t="s">
        <v>268</v>
      </c>
      <c r="UP55" s="1"/>
      <c r="UQ55" s="1"/>
      <c r="UR55" s="2"/>
      <c r="US55" s="54" t="s">
        <v>268</v>
      </c>
      <c r="UT55" s="1"/>
      <c r="UU55" s="1"/>
      <c r="UV55" s="1"/>
      <c r="UW55" s="1"/>
      <c r="UX55" s="1"/>
      <c r="UY55" s="1"/>
      <c r="UZ55" s="54" t="s">
        <v>268</v>
      </c>
      <c r="VA55" s="1"/>
      <c r="VB55" s="55" t="s">
        <v>268</v>
      </c>
      <c r="VC55" s="1"/>
      <c r="VD55" s="1"/>
      <c r="VE55" s="2"/>
      <c r="VF55" s="54" t="s">
        <v>268</v>
      </c>
      <c r="VG55" s="54" t="s">
        <v>268</v>
      </c>
      <c r="VH55" s="54" t="s">
        <v>268</v>
      </c>
      <c r="VI55" s="55" t="s">
        <v>268</v>
      </c>
      <c r="VJ55" s="56" t="s">
        <v>268</v>
      </c>
      <c r="VK55" s="54" t="s">
        <v>268</v>
      </c>
      <c r="VL55" s="1"/>
      <c r="VM55" s="57" t="s">
        <v>268</v>
      </c>
      <c r="VN55" s="58" t="s">
        <v>268</v>
      </c>
      <c r="VO55" s="4"/>
      <c r="VP55" s="39" t="s">
        <v>268</v>
      </c>
      <c r="VQ55" s="39" t="s">
        <v>268</v>
      </c>
      <c r="VR55" s="1"/>
      <c r="VS55" s="1"/>
      <c r="VT55" s="1"/>
      <c r="VU55" s="1"/>
      <c r="VV55" s="1"/>
      <c r="VW55" s="1"/>
      <c r="VX55" s="1"/>
      <c r="VY55" s="54" t="s">
        <v>268</v>
      </c>
      <c r="VZ55" s="1"/>
      <c r="WA55" s="55" t="s">
        <v>268</v>
      </c>
      <c r="WB55" s="1"/>
      <c r="WC55" s="1"/>
      <c r="WD55" s="2"/>
      <c r="WE55" s="54" t="s">
        <v>268</v>
      </c>
      <c r="WF55" s="1"/>
      <c r="WG55" s="1"/>
      <c r="WH55" s="1"/>
      <c r="WI55" s="1"/>
      <c r="WJ55" s="1"/>
      <c r="WK55" s="1"/>
      <c r="WL55" s="54" t="s">
        <v>268</v>
      </c>
      <c r="WM55" s="1"/>
      <c r="WN55" s="55" t="s">
        <v>268</v>
      </c>
      <c r="WO55" s="1"/>
      <c r="WP55" s="1"/>
      <c r="WQ55" s="2"/>
      <c r="WR55" s="54" t="s">
        <v>268</v>
      </c>
      <c r="WS55" s="54" t="s">
        <v>268</v>
      </c>
      <c r="WT55" s="54" t="s">
        <v>268</v>
      </c>
      <c r="WU55" s="55" t="s">
        <v>268</v>
      </c>
      <c r="WV55" s="56" t="s">
        <v>268</v>
      </c>
      <c r="WW55" s="54" t="s">
        <v>268</v>
      </c>
      <c r="WX55" s="1"/>
      <c r="WY55" s="57" t="s">
        <v>268</v>
      </c>
      <c r="WZ55" s="58" t="s">
        <v>268</v>
      </c>
      <c r="XA55" s="4"/>
      <c r="XB55" s="39" t="s">
        <v>268</v>
      </c>
      <c r="XC55" s="39" t="s">
        <v>268</v>
      </c>
      <c r="XD55" s="1"/>
      <c r="XE55" s="1"/>
      <c r="XF55" s="1"/>
      <c r="XG55" s="1"/>
      <c r="XH55" s="1"/>
      <c r="XI55" s="1"/>
      <c r="XJ55" s="1"/>
      <c r="XK55" s="54" t="s">
        <v>268</v>
      </c>
      <c r="XL55" s="1"/>
      <c r="XM55" s="55" t="s">
        <v>268</v>
      </c>
      <c r="XN55" s="1"/>
      <c r="XO55" s="1"/>
      <c r="XP55" s="2"/>
      <c r="XQ55" s="54" t="s">
        <v>268</v>
      </c>
      <c r="XR55" s="1"/>
      <c r="XS55" s="1"/>
      <c r="XT55" s="1"/>
      <c r="XU55" s="1"/>
      <c r="XV55" s="1"/>
      <c r="XW55" s="1"/>
      <c r="XX55" s="54" t="s">
        <v>268</v>
      </c>
      <c r="XY55" s="1"/>
      <c r="XZ55" s="55" t="s">
        <v>268</v>
      </c>
      <c r="YA55" s="1"/>
      <c r="YB55" s="1"/>
      <c r="YC55" s="2"/>
      <c r="YD55" s="54" t="s">
        <v>268</v>
      </c>
      <c r="YE55" s="54" t="s">
        <v>268</v>
      </c>
      <c r="YF55" s="54" t="s">
        <v>268</v>
      </c>
      <c r="YG55" s="55" t="s">
        <v>268</v>
      </c>
      <c r="YH55" s="56" t="s">
        <v>268</v>
      </c>
      <c r="YI55" s="54" t="s">
        <v>268</v>
      </c>
      <c r="YJ55" s="1"/>
      <c r="YK55" s="57" t="s">
        <v>268</v>
      </c>
      <c r="YL55" s="58" t="s">
        <v>268</v>
      </c>
      <c r="YM55" s="4"/>
      <c r="YN55" s="39" t="s">
        <v>268</v>
      </c>
      <c r="YO55" s="39" t="s">
        <v>268</v>
      </c>
      <c r="YP55" s="1"/>
      <c r="YQ55" s="1"/>
      <c r="YR55" s="1"/>
      <c r="YS55" s="1"/>
      <c r="YT55" s="1"/>
      <c r="YU55" s="1"/>
      <c r="YV55" s="1"/>
      <c r="YW55" s="54" t="s">
        <v>268</v>
      </c>
      <c r="YX55" s="1"/>
      <c r="YY55" s="55" t="s">
        <v>268</v>
      </c>
      <c r="YZ55" s="1"/>
      <c r="ZA55" s="1"/>
      <c r="ZB55" s="2"/>
      <c r="ZC55" s="54" t="s">
        <v>268</v>
      </c>
      <c r="ZD55" s="1"/>
      <c r="ZE55" s="1"/>
      <c r="ZF55" s="1"/>
      <c r="ZG55" s="1"/>
      <c r="ZH55" s="1"/>
      <c r="ZI55" s="1"/>
      <c r="ZJ55" s="54" t="s">
        <v>268</v>
      </c>
      <c r="ZK55" s="1"/>
      <c r="ZL55" s="55" t="s">
        <v>268</v>
      </c>
      <c r="ZM55" s="1"/>
      <c r="ZN55" s="1"/>
      <c r="ZO55" s="2"/>
      <c r="ZP55" s="54" t="s">
        <v>268</v>
      </c>
      <c r="ZQ55" s="54" t="s">
        <v>268</v>
      </c>
      <c r="ZR55" s="54" t="s">
        <v>268</v>
      </c>
      <c r="ZS55" s="55" t="s">
        <v>268</v>
      </c>
      <c r="ZT55" s="56" t="s">
        <v>268</v>
      </c>
      <c r="ZU55" s="54" t="s">
        <v>268</v>
      </c>
      <c r="ZV55" s="1"/>
      <c r="ZW55" s="57" t="s">
        <v>268</v>
      </c>
      <c r="ZX55" s="58" t="s">
        <v>268</v>
      </c>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2" customHeight="1" x14ac:dyDescent="0.2">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t="s">
        <v>268</v>
      </c>
      <c r="S56" s="39" t="s">
        <v>268</v>
      </c>
      <c r="T56" s="1"/>
      <c r="U56" s="1"/>
      <c r="V56" s="1"/>
      <c r="W56" s="1"/>
      <c r="X56" s="1"/>
      <c r="Y56" s="1"/>
      <c r="Z56" s="1"/>
      <c r="AA56" s="54" t="s">
        <v>268</v>
      </c>
      <c r="AB56" s="1"/>
      <c r="AC56" s="55" t="s">
        <v>268</v>
      </c>
      <c r="AD56" s="1"/>
      <c r="AE56" s="1"/>
      <c r="AF56" s="2"/>
      <c r="AG56" s="54" t="s">
        <v>268</v>
      </c>
      <c r="AH56" s="1"/>
      <c r="AI56" s="1"/>
      <c r="AJ56" s="1"/>
      <c r="AK56" s="1"/>
      <c r="AL56" s="1"/>
      <c r="AM56" s="1"/>
      <c r="AN56" s="54" t="s">
        <v>268</v>
      </c>
      <c r="AO56" s="1"/>
      <c r="AP56" s="55" t="s">
        <v>268</v>
      </c>
      <c r="AQ56" s="1"/>
      <c r="AR56" s="1"/>
      <c r="AS56" s="2"/>
      <c r="AT56" s="54" t="s">
        <v>268</v>
      </c>
      <c r="AU56" s="54" t="s">
        <v>268</v>
      </c>
      <c r="AV56" s="54" t="s">
        <v>268</v>
      </c>
      <c r="AW56" s="55" t="s">
        <v>268</v>
      </c>
      <c r="AX56" s="56" t="s">
        <v>268</v>
      </c>
      <c r="AY56" s="54" t="s">
        <v>268</v>
      </c>
      <c r="AZ56" s="1"/>
      <c r="BA56" s="57" t="s">
        <v>268</v>
      </c>
      <c r="BB56" s="58" t="s">
        <v>268</v>
      </c>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t="s">
        <v>268</v>
      </c>
      <c r="EC56" s="39" t="s">
        <v>268</v>
      </c>
      <c r="ED56" s="1"/>
      <c r="EE56" s="1"/>
      <c r="EF56" s="1"/>
      <c r="EG56" s="1"/>
      <c r="EH56" s="1"/>
      <c r="EI56" s="1"/>
      <c r="EJ56" s="1"/>
      <c r="EK56" s="54" t="s">
        <v>268</v>
      </c>
      <c r="EL56" s="1"/>
      <c r="EM56" s="55" t="s">
        <v>268</v>
      </c>
      <c r="EN56" s="1"/>
      <c r="EO56" s="1"/>
      <c r="EP56" s="2"/>
      <c r="EQ56" s="54" t="s">
        <v>268</v>
      </c>
      <c r="ER56" s="1"/>
      <c r="ES56" s="1"/>
      <c r="ET56" s="1"/>
      <c r="EU56" s="1"/>
      <c r="EV56" s="1"/>
      <c r="EW56" s="1"/>
      <c r="EX56" s="54" t="s">
        <v>268</v>
      </c>
      <c r="EY56" s="1"/>
      <c r="EZ56" s="55" t="s">
        <v>268</v>
      </c>
      <c r="FA56" s="1"/>
      <c r="FB56" s="1"/>
      <c r="FC56" s="2"/>
      <c r="FD56" s="54" t="s">
        <v>268</v>
      </c>
      <c r="FE56" s="54" t="s">
        <v>268</v>
      </c>
      <c r="FF56" s="54" t="s">
        <v>268</v>
      </c>
      <c r="FG56" s="55" t="s">
        <v>268</v>
      </c>
      <c r="FH56" s="56" t="s">
        <v>268</v>
      </c>
      <c r="FI56" s="54" t="s">
        <v>268</v>
      </c>
      <c r="FJ56" s="1"/>
      <c r="FK56" s="57" t="s">
        <v>268</v>
      </c>
      <c r="FL56" s="58" t="s">
        <v>268</v>
      </c>
      <c r="FM56" s="4"/>
      <c r="FN56" s="39" t="s">
        <v>268</v>
      </c>
      <c r="FO56" s="39" t="s">
        <v>268</v>
      </c>
      <c r="FP56" s="1"/>
      <c r="FQ56" s="1"/>
      <c r="FR56" s="1"/>
      <c r="FS56" s="1"/>
      <c r="FT56" s="1"/>
      <c r="FU56" s="1"/>
      <c r="FV56" s="1"/>
      <c r="FW56" s="54" t="s">
        <v>268</v>
      </c>
      <c r="FX56" s="1"/>
      <c r="FY56" s="55" t="s">
        <v>268</v>
      </c>
      <c r="FZ56" s="1"/>
      <c r="GA56" s="1"/>
      <c r="GB56" s="2"/>
      <c r="GC56" s="54" t="s">
        <v>268</v>
      </c>
      <c r="GD56" s="1"/>
      <c r="GE56" s="1"/>
      <c r="GF56" s="1"/>
      <c r="GG56" s="1"/>
      <c r="GH56" s="1"/>
      <c r="GI56" s="1"/>
      <c r="GJ56" s="54" t="s">
        <v>268</v>
      </c>
      <c r="GK56" s="1"/>
      <c r="GL56" s="55" t="s">
        <v>268</v>
      </c>
      <c r="GM56" s="1"/>
      <c r="GN56" s="1"/>
      <c r="GO56" s="2"/>
      <c r="GP56" s="54" t="s">
        <v>268</v>
      </c>
      <c r="GQ56" s="54" t="s">
        <v>268</v>
      </c>
      <c r="GR56" s="54" t="s">
        <v>268</v>
      </c>
      <c r="GS56" s="55" t="s">
        <v>268</v>
      </c>
      <c r="GT56" s="56" t="s">
        <v>268</v>
      </c>
      <c r="GU56" s="54" t="s">
        <v>268</v>
      </c>
      <c r="GV56" s="1"/>
      <c r="GW56" s="57" t="s">
        <v>268</v>
      </c>
      <c r="GX56" s="58" t="s">
        <v>268</v>
      </c>
      <c r="GY56" s="4"/>
      <c r="GZ56" s="39" t="s">
        <v>268</v>
      </c>
      <c r="HA56" s="39" t="s">
        <v>268</v>
      </c>
      <c r="HB56" s="1"/>
      <c r="HC56" s="1"/>
      <c r="HD56" s="1"/>
      <c r="HE56" s="1"/>
      <c r="HF56" s="1"/>
      <c r="HG56" s="1"/>
      <c r="HH56" s="1"/>
      <c r="HI56" s="54" t="s">
        <v>268</v>
      </c>
      <c r="HJ56" s="1"/>
      <c r="HK56" s="55" t="s">
        <v>268</v>
      </c>
      <c r="HL56" s="1"/>
      <c r="HM56" s="1"/>
      <c r="HN56" s="2"/>
      <c r="HO56" s="54" t="s">
        <v>268</v>
      </c>
      <c r="HP56" s="1"/>
      <c r="HQ56" s="1"/>
      <c r="HR56" s="1"/>
      <c r="HS56" s="1"/>
      <c r="HT56" s="1"/>
      <c r="HU56" s="1"/>
      <c r="HV56" s="54" t="s">
        <v>268</v>
      </c>
      <c r="HW56" s="1"/>
      <c r="HX56" s="55" t="s">
        <v>268</v>
      </c>
      <c r="HY56" s="1"/>
      <c r="HZ56" s="1"/>
      <c r="IA56" s="2"/>
      <c r="IB56" s="54" t="s">
        <v>268</v>
      </c>
      <c r="IC56" s="54" t="s">
        <v>268</v>
      </c>
      <c r="ID56" s="54" t="s">
        <v>268</v>
      </c>
      <c r="IE56" s="55" t="s">
        <v>268</v>
      </c>
      <c r="IF56" s="56" t="s">
        <v>268</v>
      </c>
      <c r="IG56" s="54" t="s">
        <v>268</v>
      </c>
      <c r="IH56" s="1"/>
      <c r="II56" s="57" t="s">
        <v>268</v>
      </c>
      <c r="IJ56" s="58" t="s">
        <v>268</v>
      </c>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t="s">
        <v>268</v>
      </c>
      <c r="PU56" s="39" t="s">
        <v>268</v>
      </c>
      <c r="PV56" s="1"/>
      <c r="PW56" s="1"/>
      <c r="PX56" s="1"/>
      <c r="PY56" s="1"/>
      <c r="PZ56" s="1"/>
      <c r="QA56" s="1"/>
      <c r="QB56" s="1"/>
      <c r="QC56" s="54" t="s">
        <v>268</v>
      </c>
      <c r="QD56" s="1"/>
      <c r="QE56" s="55" t="s">
        <v>268</v>
      </c>
      <c r="QF56" s="1"/>
      <c r="QG56" s="1"/>
      <c r="QH56" s="2"/>
      <c r="QI56" s="54" t="s">
        <v>268</v>
      </c>
      <c r="QJ56" s="1"/>
      <c r="QK56" s="1"/>
      <c r="QL56" s="1"/>
      <c r="QM56" s="1"/>
      <c r="QN56" s="1"/>
      <c r="QO56" s="1"/>
      <c r="QP56" s="54" t="s">
        <v>268</v>
      </c>
      <c r="QQ56" s="1"/>
      <c r="QR56" s="55" t="s">
        <v>268</v>
      </c>
      <c r="QS56" s="1"/>
      <c r="QT56" s="1"/>
      <c r="QU56" s="2"/>
      <c r="QV56" s="54" t="s">
        <v>268</v>
      </c>
      <c r="QW56" s="54" t="s">
        <v>268</v>
      </c>
      <c r="QX56" s="54" t="s">
        <v>268</v>
      </c>
      <c r="QY56" s="55" t="s">
        <v>268</v>
      </c>
      <c r="QZ56" s="56" t="s">
        <v>268</v>
      </c>
      <c r="RA56" s="54" t="s">
        <v>268</v>
      </c>
      <c r="RB56" s="1"/>
      <c r="RC56" s="57" t="s">
        <v>268</v>
      </c>
      <c r="RD56" s="58" t="s">
        <v>268</v>
      </c>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t="s">
        <v>268</v>
      </c>
      <c r="UE56" s="39" t="s">
        <v>268</v>
      </c>
      <c r="UF56" s="1"/>
      <c r="UG56" s="1"/>
      <c r="UH56" s="1"/>
      <c r="UI56" s="1"/>
      <c r="UJ56" s="1"/>
      <c r="UK56" s="1"/>
      <c r="UL56" s="1"/>
      <c r="UM56" s="54" t="s">
        <v>268</v>
      </c>
      <c r="UN56" s="1"/>
      <c r="UO56" s="55" t="s">
        <v>268</v>
      </c>
      <c r="UP56" s="1"/>
      <c r="UQ56" s="1"/>
      <c r="UR56" s="2"/>
      <c r="US56" s="54" t="s">
        <v>268</v>
      </c>
      <c r="UT56" s="1"/>
      <c r="UU56" s="1"/>
      <c r="UV56" s="1"/>
      <c r="UW56" s="1"/>
      <c r="UX56" s="1"/>
      <c r="UY56" s="1"/>
      <c r="UZ56" s="54" t="s">
        <v>268</v>
      </c>
      <c r="VA56" s="1"/>
      <c r="VB56" s="55" t="s">
        <v>268</v>
      </c>
      <c r="VC56" s="1"/>
      <c r="VD56" s="1"/>
      <c r="VE56" s="2"/>
      <c r="VF56" s="54" t="s">
        <v>268</v>
      </c>
      <c r="VG56" s="54" t="s">
        <v>268</v>
      </c>
      <c r="VH56" s="54" t="s">
        <v>268</v>
      </c>
      <c r="VI56" s="55" t="s">
        <v>268</v>
      </c>
      <c r="VJ56" s="56" t="s">
        <v>268</v>
      </c>
      <c r="VK56" s="54" t="s">
        <v>268</v>
      </c>
      <c r="VL56" s="1"/>
      <c r="VM56" s="57" t="s">
        <v>268</v>
      </c>
      <c r="VN56" s="58" t="s">
        <v>268</v>
      </c>
      <c r="VO56" s="4"/>
      <c r="VP56" s="39" t="s">
        <v>268</v>
      </c>
      <c r="VQ56" s="39" t="s">
        <v>268</v>
      </c>
      <c r="VR56" s="1"/>
      <c r="VS56" s="1"/>
      <c r="VT56" s="1"/>
      <c r="VU56" s="1"/>
      <c r="VV56" s="1"/>
      <c r="VW56" s="1"/>
      <c r="VX56" s="1"/>
      <c r="VY56" s="54" t="s">
        <v>268</v>
      </c>
      <c r="VZ56" s="1"/>
      <c r="WA56" s="55" t="s">
        <v>268</v>
      </c>
      <c r="WB56" s="1"/>
      <c r="WC56" s="1"/>
      <c r="WD56" s="2"/>
      <c r="WE56" s="54" t="s">
        <v>268</v>
      </c>
      <c r="WF56" s="1"/>
      <c r="WG56" s="1"/>
      <c r="WH56" s="1"/>
      <c r="WI56" s="1"/>
      <c r="WJ56" s="1"/>
      <c r="WK56" s="1"/>
      <c r="WL56" s="54" t="s">
        <v>268</v>
      </c>
      <c r="WM56" s="1"/>
      <c r="WN56" s="55" t="s">
        <v>268</v>
      </c>
      <c r="WO56" s="1"/>
      <c r="WP56" s="1"/>
      <c r="WQ56" s="2"/>
      <c r="WR56" s="54" t="s">
        <v>268</v>
      </c>
      <c r="WS56" s="54" t="s">
        <v>268</v>
      </c>
      <c r="WT56" s="54" t="s">
        <v>268</v>
      </c>
      <c r="WU56" s="55" t="s">
        <v>268</v>
      </c>
      <c r="WV56" s="56" t="s">
        <v>268</v>
      </c>
      <c r="WW56" s="54" t="s">
        <v>268</v>
      </c>
      <c r="WX56" s="1"/>
      <c r="WY56" s="57" t="s">
        <v>268</v>
      </c>
      <c r="WZ56" s="58" t="s">
        <v>268</v>
      </c>
      <c r="XA56" s="4"/>
      <c r="XB56" s="39" t="s">
        <v>268</v>
      </c>
      <c r="XC56" s="39" t="s">
        <v>268</v>
      </c>
      <c r="XD56" s="1"/>
      <c r="XE56" s="1"/>
      <c r="XF56" s="1"/>
      <c r="XG56" s="1"/>
      <c r="XH56" s="1"/>
      <c r="XI56" s="1"/>
      <c r="XJ56" s="1"/>
      <c r="XK56" s="54" t="s">
        <v>268</v>
      </c>
      <c r="XL56" s="1"/>
      <c r="XM56" s="55" t="s">
        <v>268</v>
      </c>
      <c r="XN56" s="1"/>
      <c r="XO56" s="1"/>
      <c r="XP56" s="2"/>
      <c r="XQ56" s="54" t="s">
        <v>268</v>
      </c>
      <c r="XR56" s="1"/>
      <c r="XS56" s="1"/>
      <c r="XT56" s="1"/>
      <c r="XU56" s="1"/>
      <c r="XV56" s="1"/>
      <c r="XW56" s="1"/>
      <c r="XX56" s="54" t="s">
        <v>268</v>
      </c>
      <c r="XY56" s="1"/>
      <c r="XZ56" s="55" t="s">
        <v>268</v>
      </c>
      <c r="YA56" s="1"/>
      <c r="YB56" s="1"/>
      <c r="YC56" s="2"/>
      <c r="YD56" s="54" t="s">
        <v>268</v>
      </c>
      <c r="YE56" s="54" t="s">
        <v>268</v>
      </c>
      <c r="YF56" s="54" t="s">
        <v>268</v>
      </c>
      <c r="YG56" s="55" t="s">
        <v>268</v>
      </c>
      <c r="YH56" s="56" t="s">
        <v>268</v>
      </c>
      <c r="YI56" s="54" t="s">
        <v>268</v>
      </c>
      <c r="YJ56" s="1"/>
      <c r="YK56" s="57" t="s">
        <v>268</v>
      </c>
      <c r="YL56" s="58" t="s">
        <v>268</v>
      </c>
      <c r="YM56" s="4"/>
      <c r="YN56" s="39" t="s">
        <v>268</v>
      </c>
      <c r="YO56" s="39" t="s">
        <v>268</v>
      </c>
      <c r="YP56" s="1"/>
      <c r="YQ56" s="1"/>
      <c r="YR56" s="1"/>
      <c r="YS56" s="1"/>
      <c r="YT56" s="1"/>
      <c r="YU56" s="1"/>
      <c r="YV56" s="1"/>
      <c r="YW56" s="54" t="s">
        <v>268</v>
      </c>
      <c r="YX56" s="1"/>
      <c r="YY56" s="55" t="s">
        <v>268</v>
      </c>
      <c r="YZ56" s="1"/>
      <c r="ZA56" s="1"/>
      <c r="ZB56" s="2"/>
      <c r="ZC56" s="54" t="s">
        <v>268</v>
      </c>
      <c r="ZD56" s="1"/>
      <c r="ZE56" s="1"/>
      <c r="ZF56" s="1"/>
      <c r="ZG56" s="1"/>
      <c r="ZH56" s="1"/>
      <c r="ZI56" s="1"/>
      <c r="ZJ56" s="54" t="s">
        <v>268</v>
      </c>
      <c r="ZK56" s="1"/>
      <c r="ZL56" s="55" t="s">
        <v>268</v>
      </c>
      <c r="ZM56" s="1"/>
      <c r="ZN56" s="1"/>
      <c r="ZO56" s="2"/>
      <c r="ZP56" s="54" t="s">
        <v>268</v>
      </c>
      <c r="ZQ56" s="54" t="s">
        <v>268</v>
      </c>
      <c r="ZR56" s="54" t="s">
        <v>268</v>
      </c>
      <c r="ZS56" s="55" t="s">
        <v>268</v>
      </c>
      <c r="ZT56" s="56" t="s">
        <v>268</v>
      </c>
      <c r="ZU56" s="54" t="s">
        <v>268</v>
      </c>
      <c r="ZV56" s="1"/>
      <c r="ZW56" s="57" t="s">
        <v>268</v>
      </c>
      <c r="ZX56" s="58" t="s">
        <v>268</v>
      </c>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2" customHeight="1" x14ac:dyDescent="0.2">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t="s">
        <v>268</v>
      </c>
      <c r="S57" s="39" t="s">
        <v>268</v>
      </c>
      <c r="T57" s="1"/>
      <c r="U57" s="1"/>
      <c r="V57" s="1"/>
      <c r="W57" s="1"/>
      <c r="X57" s="1"/>
      <c r="Y57" s="1"/>
      <c r="Z57" s="1"/>
      <c r="AA57" s="54" t="s">
        <v>268</v>
      </c>
      <c r="AB57" s="1"/>
      <c r="AC57" s="55" t="s">
        <v>268</v>
      </c>
      <c r="AD57" s="1"/>
      <c r="AE57" s="1"/>
      <c r="AF57" s="2"/>
      <c r="AG57" s="54" t="s">
        <v>268</v>
      </c>
      <c r="AH57" s="1"/>
      <c r="AI57" s="1"/>
      <c r="AJ57" s="1"/>
      <c r="AK57" s="1"/>
      <c r="AL57" s="1"/>
      <c r="AM57" s="1"/>
      <c r="AN57" s="54" t="s">
        <v>268</v>
      </c>
      <c r="AO57" s="1"/>
      <c r="AP57" s="55" t="s">
        <v>268</v>
      </c>
      <c r="AQ57" s="1"/>
      <c r="AR57" s="1"/>
      <c r="AS57" s="2"/>
      <c r="AT57" s="54" t="s">
        <v>268</v>
      </c>
      <c r="AU57" s="54" t="s">
        <v>268</v>
      </c>
      <c r="AV57" s="54" t="s">
        <v>268</v>
      </c>
      <c r="AW57" s="55" t="s">
        <v>268</v>
      </c>
      <c r="AX57" s="56" t="s">
        <v>268</v>
      </c>
      <c r="AY57" s="54" t="s">
        <v>268</v>
      </c>
      <c r="AZ57" s="1"/>
      <c r="BA57" s="57" t="s">
        <v>268</v>
      </c>
      <c r="BB57" s="58" t="s">
        <v>268</v>
      </c>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t="s">
        <v>268</v>
      </c>
      <c r="EC57" s="39" t="s">
        <v>268</v>
      </c>
      <c r="ED57" s="1"/>
      <c r="EE57" s="1"/>
      <c r="EF57" s="1"/>
      <c r="EG57" s="1"/>
      <c r="EH57" s="1"/>
      <c r="EI57" s="1"/>
      <c r="EJ57" s="1"/>
      <c r="EK57" s="54" t="s">
        <v>268</v>
      </c>
      <c r="EL57" s="1"/>
      <c r="EM57" s="55" t="s">
        <v>268</v>
      </c>
      <c r="EN57" s="1"/>
      <c r="EO57" s="1"/>
      <c r="EP57" s="2"/>
      <c r="EQ57" s="54" t="s">
        <v>268</v>
      </c>
      <c r="ER57" s="1"/>
      <c r="ES57" s="1"/>
      <c r="ET57" s="1"/>
      <c r="EU57" s="1"/>
      <c r="EV57" s="1"/>
      <c r="EW57" s="1"/>
      <c r="EX57" s="54" t="s">
        <v>268</v>
      </c>
      <c r="EY57" s="1"/>
      <c r="EZ57" s="55" t="s">
        <v>268</v>
      </c>
      <c r="FA57" s="1"/>
      <c r="FB57" s="1"/>
      <c r="FC57" s="2"/>
      <c r="FD57" s="54" t="s">
        <v>268</v>
      </c>
      <c r="FE57" s="54" t="s">
        <v>268</v>
      </c>
      <c r="FF57" s="54" t="s">
        <v>268</v>
      </c>
      <c r="FG57" s="55" t="s">
        <v>268</v>
      </c>
      <c r="FH57" s="56" t="s">
        <v>268</v>
      </c>
      <c r="FI57" s="54" t="s">
        <v>268</v>
      </c>
      <c r="FJ57" s="1"/>
      <c r="FK57" s="57" t="s">
        <v>268</v>
      </c>
      <c r="FL57" s="58" t="s">
        <v>268</v>
      </c>
      <c r="FM57" s="4"/>
      <c r="FN57" s="39" t="s">
        <v>268</v>
      </c>
      <c r="FO57" s="39" t="s">
        <v>268</v>
      </c>
      <c r="FP57" s="1"/>
      <c r="FQ57" s="1"/>
      <c r="FR57" s="1"/>
      <c r="FS57" s="1"/>
      <c r="FT57" s="1"/>
      <c r="FU57" s="1"/>
      <c r="FV57" s="1"/>
      <c r="FW57" s="54" t="s">
        <v>268</v>
      </c>
      <c r="FX57" s="1"/>
      <c r="FY57" s="55" t="s">
        <v>268</v>
      </c>
      <c r="FZ57" s="1"/>
      <c r="GA57" s="1"/>
      <c r="GB57" s="2"/>
      <c r="GC57" s="54" t="s">
        <v>268</v>
      </c>
      <c r="GD57" s="1"/>
      <c r="GE57" s="1"/>
      <c r="GF57" s="1"/>
      <c r="GG57" s="1"/>
      <c r="GH57" s="1"/>
      <c r="GI57" s="1"/>
      <c r="GJ57" s="54" t="s">
        <v>268</v>
      </c>
      <c r="GK57" s="1"/>
      <c r="GL57" s="55" t="s">
        <v>268</v>
      </c>
      <c r="GM57" s="1"/>
      <c r="GN57" s="1"/>
      <c r="GO57" s="2"/>
      <c r="GP57" s="54" t="s">
        <v>268</v>
      </c>
      <c r="GQ57" s="54" t="s">
        <v>268</v>
      </c>
      <c r="GR57" s="54" t="s">
        <v>268</v>
      </c>
      <c r="GS57" s="55" t="s">
        <v>268</v>
      </c>
      <c r="GT57" s="56" t="s">
        <v>268</v>
      </c>
      <c r="GU57" s="54" t="s">
        <v>268</v>
      </c>
      <c r="GV57" s="1"/>
      <c r="GW57" s="57" t="s">
        <v>268</v>
      </c>
      <c r="GX57" s="58" t="s">
        <v>268</v>
      </c>
      <c r="GY57" s="4"/>
      <c r="GZ57" s="39" t="s">
        <v>268</v>
      </c>
      <c r="HA57" s="39" t="s">
        <v>268</v>
      </c>
      <c r="HB57" s="1"/>
      <c r="HC57" s="1"/>
      <c r="HD57" s="1"/>
      <c r="HE57" s="1"/>
      <c r="HF57" s="1"/>
      <c r="HG57" s="1"/>
      <c r="HH57" s="1"/>
      <c r="HI57" s="54" t="s">
        <v>268</v>
      </c>
      <c r="HJ57" s="1"/>
      <c r="HK57" s="55" t="s">
        <v>268</v>
      </c>
      <c r="HL57" s="1"/>
      <c r="HM57" s="1"/>
      <c r="HN57" s="2"/>
      <c r="HO57" s="54" t="s">
        <v>268</v>
      </c>
      <c r="HP57" s="1"/>
      <c r="HQ57" s="1"/>
      <c r="HR57" s="1"/>
      <c r="HS57" s="1"/>
      <c r="HT57" s="1"/>
      <c r="HU57" s="1"/>
      <c r="HV57" s="54" t="s">
        <v>268</v>
      </c>
      <c r="HW57" s="1"/>
      <c r="HX57" s="55" t="s">
        <v>268</v>
      </c>
      <c r="HY57" s="1"/>
      <c r="HZ57" s="1"/>
      <c r="IA57" s="2"/>
      <c r="IB57" s="54" t="s">
        <v>268</v>
      </c>
      <c r="IC57" s="54" t="s">
        <v>268</v>
      </c>
      <c r="ID57" s="54" t="s">
        <v>268</v>
      </c>
      <c r="IE57" s="55" t="s">
        <v>268</v>
      </c>
      <c r="IF57" s="56" t="s">
        <v>268</v>
      </c>
      <c r="IG57" s="54" t="s">
        <v>268</v>
      </c>
      <c r="IH57" s="1"/>
      <c r="II57" s="57" t="s">
        <v>268</v>
      </c>
      <c r="IJ57" s="58" t="s">
        <v>268</v>
      </c>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t="s">
        <v>268</v>
      </c>
      <c r="PU57" s="39" t="s">
        <v>268</v>
      </c>
      <c r="PV57" s="1"/>
      <c r="PW57" s="1"/>
      <c r="PX57" s="1"/>
      <c r="PY57" s="1"/>
      <c r="PZ57" s="1"/>
      <c r="QA57" s="1"/>
      <c r="QB57" s="1"/>
      <c r="QC57" s="54" t="s">
        <v>268</v>
      </c>
      <c r="QD57" s="1"/>
      <c r="QE57" s="55" t="s">
        <v>268</v>
      </c>
      <c r="QF57" s="1"/>
      <c r="QG57" s="1"/>
      <c r="QH57" s="2"/>
      <c r="QI57" s="54" t="s">
        <v>268</v>
      </c>
      <c r="QJ57" s="1"/>
      <c r="QK57" s="1"/>
      <c r="QL57" s="1"/>
      <c r="QM57" s="1"/>
      <c r="QN57" s="1"/>
      <c r="QO57" s="1"/>
      <c r="QP57" s="54" t="s">
        <v>268</v>
      </c>
      <c r="QQ57" s="1"/>
      <c r="QR57" s="55" t="s">
        <v>268</v>
      </c>
      <c r="QS57" s="1"/>
      <c r="QT57" s="1"/>
      <c r="QU57" s="2"/>
      <c r="QV57" s="54" t="s">
        <v>268</v>
      </c>
      <c r="QW57" s="54" t="s">
        <v>268</v>
      </c>
      <c r="QX57" s="54" t="s">
        <v>268</v>
      </c>
      <c r="QY57" s="55" t="s">
        <v>268</v>
      </c>
      <c r="QZ57" s="56" t="s">
        <v>268</v>
      </c>
      <c r="RA57" s="54" t="s">
        <v>268</v>
      </c>
      <c r="RB57" s="1"/>
      <c r="RC57" s="57" t="s">
        <v>268</v>
      </c>
      <c r="RD57" s="58" t="s">
        <v>268</v>
      </c>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t="s">
        <v>268</v>
      </c>
      <c r="UE57" s="39" t="s">
        <v>268</v>
      </c>
      <c r="UF57" s="1"/>
      <c r="UG57" s="1"/>
      <c r="UH57" s="1"/>
      <c r="UI57" s="1"/>
      <c r="UJ57" s="1"/>
      <c r="UK57" s="1"/>
      <c r="UL57" s="1"/>
      <c r="UM57" s="54" t="s">
        <v>268</v>
      </c>
      <c r="UN57" s="1"/>
      <c r="UO57" s="55" t="s">
        <v>268</v>
      </c>
      <c r="UP57" s="1"/>
      <c r="UQ57" s="1"/>
      <c r="UR57" s="2"/>
      <c r="US57" s="54" t="s">
        <v>268</v>
      </c>
      <c r="UT57" s="1"/>
      <c r="UU57" s="1"/>
      <c r="UV57" s="1"/>
      <c r="UW57" s="1"/>
      <c r="UX57" s="1"/>
      <c r="UY57" s="1"/>
      <c r="UZ57" s="54" t="s">
        <v>268</v>
      </c>
      <c r="VA57" s="1"/>
      <c r="VB57" s="55" t="s">
        <v>268</v>
      </c>
      <c r="VC57" s="1"/>
      <c r="VD57" s="1"/>
      <c r="VE57" s="2"/>
      <c r="VF57" s="54" t="s">
        <v>268</v>
      </c>
      <c r="VG57" s="54" t="s">
        <v>268</v>
      </c>
      <c r="VH57" s="54" t="s">
        <v>268</v>
      </c>
      <c r="VI57" s="55" t="s">
        <v>268</v>
      </c>
      <c r="VJ57" s="56" t="s">
        <v>268</v>
      </c>
      <c r="VK57" s="54" t="s">
        <v>268</v>
      </c>
      <c r="VL57" s="1"/>
      <c r="VM57" s="57" t="s">
        <v>268</v>
      </c>
      <c r="VN57" s="58" t="s">
        <v>268</v>
      </c>
      <c r="VO57" s="4"/>
      <c r="VP57" s="39" t="s">
        <v>268</v>
      </c>
      <c r="VQ57" s="39" t="s">
        <v>268</v>
      </c>
      <c r="VR57" s="1"/>
      <c r="VS57" s="1"/>
      <c r="VT57" s="1"/>
      <c r="VU57" s="1"/>
      <c r="VV57" s="1"/>
      <c r="VW57" s="1"/>
      <c r="VX57" s="1"/>
      <c r="VY57" s="54" t="s">
        <v>268</v>
      </c>
      <c r="VZ57" s="1"/>
      <c r="WA57" s="55" t="s">
        <v>268</v>
      </c>
      <c r="WB57" s="1"/>
      <c r="WC57" s="1"/>
      <c r="WD57" s="2"/>
      <c r="WE57" s="54" t="s">
        <v>268</v>
      </c>
      <c r="WF57" s="1"/>
      <c r="WG57" s="1"/>
      <c r="WH57" s="1"/>
      <c r="WI57" s="1"/>
      <c r="WJ57" s="1"/>
      <c r="WK57" s="1"/>
      <c r="WL57" s="54" t="s">
        <v>268</v>
      </c>
      <c r="WM57" s="1"/>
      <c r="WN57" s="55" t="s">
        <v>268</v>
      </c>
      <c r="WO57" s="1"/>
      <c r="WP57" s="1"/>
      <c r="WQ57" s="2"/>
      <c r="WR57" s="54" t="s">
        <v>268</v>
      </c>
      <c r="WS57" s="54" t="s">
        <v>268</v>
      </c>
      <c r="WT57" s="54" t="s">
        <v>268</v>
      </c>
      <c r="WU57" s="55" t="s">
        <v>268</v>
      </c>
      <c r="WV57" s="56" t="s">
        <v>268</v>
      </c>
      <c r="WW57" s="54" t="s">
        <v>268</v>
      </c>
      <c r="WX57" s="1"/>
      <c r="WY57" s="57" t="s">
        <v>268</v>
      </c>
      <c r="WZ57" s="58" t="s">
        <v>268</v>
      </c>
      <c r="XA57" s="4"/>
      <c r="XB57" s="39" t="s">
        <v>268</v>
      </c>
      <c r="XC57" s="39" t="s">
        <v>268</v>
      </c>
      <c r="XD57" s="1"/>
      <c r="XE57" s="1"/>
      <c r="XF57" s="1"/>
      <c r="XG57" s="1"/>
      <c r="XH57" s="1"/>
      <c r="XI57" s="1"/>
      <c r="XJ57" s="1"/>
      <c r="XK57" s="54" t="s">
        <v>268</v>
      </c>
      <c r="XL57" s="1"/>
      <c r="XM57" s="55" t="s">
        <v>268</v>
      </c>
      <c r="XN57" s="1"/>
      <c r="XO57" s="1"/>
      <c r="XP57" s="2"/>
      <c r="XQ57" s="54" t="s">
        <v>268</v>
      </c>
      <c r="XR57" s="1"/>
      <c r="XS57" s="1"/>
      <c r="XT57" s="1"/>
      <c r="XU57" s="1"/>
      <c r="XV57" s="1"/>
      <c r="XW57" s="1"/>
      <c r="XX57" s="54" t="s">
        <v>268</v>
      </c>
      <c r="XY57" s="1"/>
      <c r="XZ57" s="55" t="s">
        <v>268</v>
      </c>
      <c r="YA57" s="1"/>
      <c r="YB57" s="1"/>
      <c r="YC57" s="2"/>
      <c r="YD57" s="54" t="s">
        <v>268</v>
      </c>
      <c r="YE57" s="54" t="s">
        <v>268</v>
      </c>
      <c r="YF57" s="54" t="s">
        <v>268</v>
      </c>
      <c r="YG57" s="55" t="s">
        <v>268</v>
      </c>
      <c r="YH57" s="56" t="s">
        <v>268</v>
      </c>
      <c r="YI57" s="54" t="s">
        <v>268</v>
      </c>
      <c r="YJ57" s="1"/>
      <c r="YK57" s="57" t="s">
        <v>268</v>
      </c>
      <c r="YL57" s="58" t="s">
        <v>268</v>
      </c>
      <c r="YM57" s="4"/>
      <c r="YN57" s="39" t="s">
        <v>268</v>
      </c>
      <c r="YO57" s="39" t="s">
        <v>268</v>
      </c>
      <c r="YP57" s="1"/>
      <c r="YQ57" s="1"/>
      <c r="YR57" s="1"/>
      <c r="YS57" s="1"/>
      <c r="YT57" s="1"/>
      <c r="YU57" s="1"/>
      <c r="YV57" s="1"/>
      <c r="YW57" s="54" t="s">
        <v>268</v>
      </c>
      <c r="YX57" s="1"/>
      <c r="YY57" s="55" t="s">
        <v>268</v>
      </c>
      <c r="YZ57" s="1"/>
      <c r="ZA57" s="1"/>
      <c r="ZB57" s="2"/>
      <c r="ZC57" s="54" t="s">
        <v>268</v>
      </c>
      <c r="ZD57" s="1"/>
      <c r="ZE57" s="1"/>
      <c r="ZF57" s="1"/>
      <c r="ZG57" s="1"/>
      <c r="ZH57" s="1"/>
      <c r="ZI57" s="1"/>
      <c r="ZJ57" s="54" t="s">
        <v>268</v>
      </c>
      <c r="ZK57" s="1"/>
      <c r="ZL57" s="55" t="s">
        <v>268</v>
      </c>
      <c r="ZM57" s="1"/>
      <c r="ZN57" s="1"/>
      <c r="ZO57" s="2"/>
      <c r="ZP57" s="54" t="s">
        <v>268</v>
      </c>
      <c r="ZQ57" s="54" t="s">
        <v>268</v>
      </c>
      <c r="ZR57" s="54" t="s">
        <v>268</v>
      </c>
      <c r="ZS57" s="55" t="s">
        <v>268</v>
      </c>
      <c r="ZT57" s="56" t="s">
        <v>268</v>
      </c>
      <c r="ZU57" s="54" t="s">
        <v>268</v>
      </c>
      <c r="ZV57" s="1"/>
      <c r="ZW57" s="57" t="s">
        <v>268</v>
      </c>
      <c r="ZX57" s="58" t="s">
        <v>268</v>
      </c>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2" customHeight="1" x14ac:dyDescent="0.2">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t="s">
        <v>268</v>
      </c>
      <c r="S58" s="39" t="s">
        <v>268</v>
      </c>
      <c r="T58" s="1"/>
      <c r="U58" s="1"/>
      <c r="V58" s="1"/>
      <c r="W58" s="1"/>
      <c r="X58" s="1"/>
      <c r="Y58" s="1"/>
      <c r="Z58" s="1"/>
      <c r="AA58" s="54" t="s">
        <v>268</v>
      </c>
      <c r="AB58" s="1"/>
      <c r="AC58" s="55" t="s">
        <v>268</v>
      </c>
      <c r="AD58" s="1"/>
      <c r="AE58" s="1"/>
      <c r="AF58" s="2"/>
      <c r="AG58" s="54" t="s">
        <v>268</v>
      </c>
      <c r="AH58" s="1"/>
      <c r="AI58" s="1"/>
      <c r="AJ58" s="1"/>
      <c r="AK58" s="1"/>
      <c r="AL58" s="1"/>
      <c r="AM58" s="1"/>
      <c r="AN58" s="54" t="s">
        <v>268</v>
      </c>
      <c r="AO58" s="1"/>
      <c r="AP58" s="55" t="s">
        <v>268</v>
      </c>
      <c r="AQ58" s="1"/>
      <c r="AR58" s="1"/>
      <c r="AS58" s="2"/>
      <c r="AT58" s="54" t="s">
        <v>268</v>
      </c>
      <c r="AU58" s="54" t="s">
        <v>268</v>
      </c>
      <c r="AV58" s="54" t="s">
        <v>268</v>
      </c>
      <c r="AW58" s="55" t="s">
        <v>268</v>
      </c>
      <c r="AX58" s="56" t="s">
        <v>268</v>
      </c>
      <c r="AY58" s="54" t="s">
        <v>268</v>
      </c>
      <c r="AZ58" s="1"/>
      <c r="BA58" s="57" t="s">
        <v>268</v>
      </c>
      <c r="BB58" s="58" t="s">
        <v>268</v>
      </c>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t="s">
        <v>268</v>
      </c>
      <c r="EC58" s="39" t="s">
        <v>268</v>
      </c>
      <c r="ED58" s="1"/>
      <c r="EE58" s="1"/>
      <c r="EF58" s="1"/>
      <c r="EG58" s="1"/>
      <c r="EH58" s="1"/>
      <c r="EI58" s="1"/>
      <c r="EJ58" s="1"/>
      <c r="EK58" s="54" t="s">
        <v>268</v>
      </c>
      <c r="EL58" s="1"/>
      <c r="EM58" s="55" t="s">
        <v>268</v>
      </c>
      <c r="EN58" s="1"/>
      <c r="EO58" s="1"/>
      <c r="EP58" s="2"/>
      <c r="EQ58" s="54" t="s">
        <v>268</v>
      </c>
      <c r="ER58" s="1"/>
      <c r="ES58" s="1"/>
      <c r="ET58" s="1"/>
      <c r="EU58" s="1"/>
      <c r="EV58" s="1"/>
      <c r="EW58" s="1"/>
      <c r="EX58" s="54" t="s">
        <v>268</v>
      </c>
      <c r="EY58" s="1"/>
      <c r="EZ58" s="55" t="s">
        <v>268</v>
      </c>
      <c r="FA58" s="1"/>
      <c r="FB58" s="1"/>
      <c r="FC58" s="2"/>
      <c r="FD58" s="54" t="s">
        <v>268</v>
      </c>
      <c r="FE58" s="54" t="s">
        <v>268</v>
      </c>
      <c r="FF58" s="54" t="s">
        <v>268</v>
      </c>
      <c r="FG58" s="55" t="s">
        <v>268</v>
      </c>
      <c r="FH58" s="56" t="s">
        <v>268</v>
      </c>
      <c r="FI58" s="54" t="s">
        <v>268</v>
      </c>
      <c r="FJ58" s="1"/>
      <c r="FK58" s="57" t="s">
        <v>268</v>
      </c>
      <c r="FL58" s="58" t="s">
        <v>268</v>
      </c>
      <c r="FM58" s="4"/>
      <c r="FN58" s="39" t="s">
        <v>268</v>
      </c>
      <c r="FO58" s="39" t="s">
        <v>268</v>
      </c>
      <c r="FP58" s="1"/>
      <c r="FQ58" s="1"/>
      <c r="FR58" s="1"/>
      <c r="FS58" s="1"/>
      <c r="FT58" s="1"/>
      <c r="FU58" s="1"/>
      <c r="FV58" s="1"/>
      <c r="FW58" s="54" t="s">
        <v>268</v>
      </c>
      <c r="FX58" s="1"/>
      <c r="FY58" s="55" t="s">
        <v>268</v>
      </c>
      <c r="FZ58" s="1"/>
      <c r="GA58" s="1"/>
      <c r="GB58" s="2"/>
      <c r="GC58" s="54" t="s">
        <v>268</v>
      </c>
      <c r="GD58" s="1"/>
      <c r="GE58" s="1"/>
      <c r="GF58" s="1"/>
      <c r="GG58" s="1"/>
      <c r="GH58" s="1"/>
      <c r="GI58" s="1"/>
      <c r="GJ58" s="54" t="s">
        <v>268</v>
      </c>
      <c r="GK58" s="1"/>
      <c r="GL58" s="55" t="s">
        <v>268</v>
      </c>
      <c r="GM58" s="1"/>
      <c r="GN58" s="1"/>
      <c r="GO58" s="2"/>
      <c r="GP58" s="54" t="s">
        <v>268</v>
      </c>
      <c r="GQ58" s="54" t="s">
        <v>268</v>
      </c>
      <c r="GR58" s="54" t="s">
        <v>268</v>
      </c>
      <c r="GS58" s="55" t="s">
        <v>268</v>
      </c>
      <c r="GT58" s="56" t="s">
        <v>268</v>
      </c>
      <c r="GU58" s="54" t="s">
        <v>268</v>
      </c>
      <c r="GV58" s="1"/>
      <c r="GW58" s="57" t="s">
        <v>268</v>
      </c>
      <c r="GX58" s="58" t="s">
        <v>268</v>
      </c>
      <c r="GY58" s="4"/>
      <c r="GZ58" s="39" t="s">
        <v>268</v>
      </c>
      <c r="HA58" s="39" t="s">
        <v>268</v>
      </c>
      <c r="HB58" s="1"/>
      <c r="HC58" s="1"/>
      <c r="HD58" s="1"/>
      <c r="HE58" s="1"/>
      <c r="HF58" s="1"/>
      <c r="HG58" s="1"/>
      <c r="HH58" s="1"/>
      <c r="HI58" s="54" t="s">
        <v>268</v>
      </c>
      <c r="HJ58" s="1"/>
      <c r="HK58" s="55" t="s">
        <v>268</v>
      </c>
      <c r="HL58" s="1"/>
      <c r="HM58" s="1"/>
      <c r="HN58" s="2"/>
      <c r="HO58" s="54" t="s">
        <v>268</v>
      </c>
      <c r="HP58" s="1"/>
      <c r="HQ58" s="1"/>
      <c r="HR58" s="1"/>
      <c r="HS58" s="1"/>
      <c r="HT58" s="1"/>
      <c r="HU58" s="1"/>
      <c r="HV58" s="54" t="s">
        <v>268</v>
      </c>
      <c r="HW58" s="1"/>
      <c r="HX58" s="55" t="s">
        <v>268</v>
      </c>
      <c r="HY58" s="1"/>
      <c r="HZ58" s="1"/>
      <c r="IA58" s="2"/>
      <c r="IB58" s="54" t="s">
        <v>268</v>
      </c>
      <c r="IC58" s="54" t="s">
        <v>268</v>
      </c>
      <c r="ID58" s="54" t="s">
        <v>268</v>
      </c>
      <c r="IE58" s="55" t="s">
        <v>268</v>
      </c>
      <c r="IF58" s="56" t="s">
        <v>268</v>
      </c>
      <c r="IG58" s="54" t="s">
        <v>268</v>
      </c>
      <c r="IH58" s="1"/>
      <c r="II58" s="57" t="s">
        <v>268</v>
      </c>
      <c r="IJ58" s="58" t="s">
        <v>268</v>
      </c>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t="s">
        <v>268</v>
      </c>
      <c r="PU58" s="39" t="s">
        <v>268</v>
      </c>
      <c r="PV58" s="1"/>
      <c r="PW58" s="1"/>
      <c r="PX58" s="1"/>
      <c r="PY58" s="1"/>
      <c r="PZ58" s="1"/>
      <c r="QA58" s="1"/>
      <c r="QB58" s="1"/>
      <c r="QC58" s="54" t="s">
        <v>268</v>
      </c>
      <c r="QD58" s="1"/>
      <c r="QE58" s="55" t="s">
        <v>268</v>
      </c>
      <c r="QF58" s="1"/>
      <c r="QG58" s="1"/>
      <c r="QH58" s="2"/>
      <c r="QI58" s="54" t="s">
        <v>268</v>
      </c>
      <c r="QJ58" s="1"/>
      <c r="QK58" s="1"/>
      <c r="QL58" s="1"/>
      <c r="QM58" s="1"/>
      <c r="QN58" s="1"/>
      <c r="QO58" s="1"/>
      <c r="QP58" s="54" t="s">
        <v>268</v>
      </c>
      <c r="QQ58" s="1"/>
      <c r="QR58" s="55" t="s">
        <v>268</v>
      </c>
      <c r="QS58" s="1"/>
      <c r="QT58" s="1"/>
      <c r="QU58" s="2"/>
      <c r="QV58" s="54" t="s">
        <v>268</v>
      </c>
      <c r="QW58" s="54" t="s">
        <v>268</v>
      </c>
      <c r="QX58" s="54" t="s">
        <v>268</v>
      </c>
      <c r="QY58" s="55" t="s">
        <v>268</v>
      </c>
      <c r="QZ58" s="56" t="s">
        <v>268</v>
      </c>
      <c r="RA58" s="54" t="s">
        <v>268</v>
      </c>
      <c r="RB58" s="1"/>
      <c r="RC58" s="57" t="s">
        <v>268</v>
      </c>
      <c r="RD58" s="58" t="s">
        <v>268</v>
      </c>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t="s">
        <v>268</v>
      </c>
      <c r="UE58" s="39" t="s">
        <v>268</v>
      </c>
      <c r="UF58" s="1"/>
      <c r="UG58" s="1"/>
      <c r="UH58" s="1"/>
      <c r="UI58" s="1"/>
      <c r="UJ58" s="1"/>
      <c r="UK58" s="1"/>
      <c r="UL58" s="1"/>
      <c r="UM58" s="54" t="s">
        <v>268</v>
      </c>
      <c r="UN58" s="1"/>
      <c r="UO58" s="55" t="s">
        <v>268</v>
      </c>
      <c r="UP58" s="1"/>
      <c r="UQ58" s="1"/>
      <c r="UR58" s="2"/>
      <c r="US58" s="54" t="s">
        <v>268</v>
      </c>
      <c r="UT58" s="1"/>
      <c r="UU58" s="1"/>
      <c r="UV58" s="1"/>
      <c r="UW58" s="1"/>
      <c r="UX58" s="1"/>
      <c r="UY58" s="1"/>
      <c r="UZ58" s="54" t="s">
        <v>268</v>
      </c>
      <c r="VA58" s="1"/>
      <c r="VB58" s="55" t="s">
        <v>268</v>
      </c>
      <c r="VC58" s="1"/>
      <c r="VD58" s="1"/>
      <c r="VE58" s="2"/>
      <c r="VF58" s="54" t="s">
        <v>268</v>
      </c>
      <c r="VG58" s="54" t="s">
        <v>268</v>
      </c>
      <c r="VH58" s="54" t="s">
        <v>268</v>
      </c>
      <c r="VI58" s="55" t="s">
        <v>268</v>
      </c>
      <c r="VJ58" s="56" t="s">
        <v>268</v>
      </c>
      <c r="VK58" s="54" t="s">
        <v>268</v>
      </c>
      <c r="VL58" s="1"/>
      <c r="VM58" s="57" t="s">
        <v>268</v>
      </c>
      <c r="VN58" s="58" t="s">
        <v>268</v>
      </c>
      <c r="VO58" s="4"/>
      <c r="VP58" s="39" t="s">
        <v>268</v>
      </c>
      <c r="VQ58" s="39" t="s">
        <v>268</v>
      </c>
      <c r="VR58" s="1"/>
      <c r="VS58" s="1"/>
      <c r="VT58" s="1"/>
      <c r="VU58" s="1"/>
      <c r="VV58" s="1"/>
      <c r="VW58" s="1"/>
      <c r="VX58" s="1"/>
      <c r="VY58" s="54" t="s">
        <v>268</v>
      </c>
      <c r="VZ58" s="1"/>
      <c r="WA58" s="55" t="s">
        <v>268</v>
      </c>
      <c r="WB58" s="1"/>
      <c r="WC58" s="1"/>
      <c r="WD58" s="2"/>
      <c r="WE58" s="54" t="s">
        <v>268</v>
      </c>
      <c r="WF58" s="1"/>
      <c r="WG58" s="1"/>
      <c r="WH58" s="1"/>
      <c r="WI58" s="1"/>
      <c r="WJ58" s="1"/>
      <c r="WK58" s="1"/>
      <c r="WL58" s="54" t="s">
        <v>268</v>
      </c>
      <c r="WM58" s="1"/>
      <c r="WN58" s="55" t="s">
        <v>268</v>
      </c>
      <c r="WO58" s="1"/>
      <c r="WP58" s="1"/>
      <c r="WQ58" s="2"/>
      <c r="WR58" s="54" t="s">
        <v>268</v>
      </c>
      <c r="WS58" s="54" t="s">
        <v>268</v>
      </c>
      <c r="WT58" s="54" t="s">
        <v>268</v>
      </c>
      <c r="WU58" s="55" t="s">
        <v>268</v>
      </c>
      <c r="WV58" s="56" t="s">
        <v>268</v>
      </c>
      <c r="WW58" s="54" t="s">
        <v>268</v>
      </c>
      <c r="WX58" s="1"/>
      <c r="WY58" s="57" t="s">
        <v>268</v>
      </c>
      <c r="WZ58" s="58" t="s">
        <v>268</v>
      </c>
      <c r="XA58" s="4"/>
      <c r="XB58" s="39" t="s">
        <v>268</v>
      </c>
      <c r="XC58" s="39" t="s">
        <v>268</v>
      </c>
      <c r="XD58" s="1"/>
      <c r="XE58" s="1"/>
      <c r="XF58" s="1"/>
      <c r="XG58" s="1"/>
      <c r="XH58" s="1"/>
      <c r="XI58" s="1"/>
      <c r="XJ58" s="1"/>
      <c r="XK58" s="54" t="s">
        <v>268</v>
      </c>
      <c r="XL58" s="1"/>
      <c r="XM58" s="55" t="s">
        <v>268</v>
      </c>
      <c r="XN58" s="1"/>
      <c r="XO58" s="1"/>
      <c r="XP58" s="2"/>
      <c r="XQ58" s="54" t="s">
        <v>268</v>
      </c>
      <c r="XR58" s="1"/>
      <c r="XS58" s="1"/>
      <c r="XT58" s="1"/>
      <c r="XU58" s="1"/>
      <c r="XV58" s="1"/>
      <c r="XW58" s="1"/>
      <c r="XX58" s="54" t="s">
        <v>268</v>
      </c>
      <c r="XY58" s="1"/>
      <c r="XZ58" s="55" t="s">
        <v>268</v>
      </c>
      <c r="YA58" s="1"/>
      <c r="YB58" s="1"/>
      <c r="YC58" s="2"/>
      <c r="YD58" s="54" t="s">
        <v>268</v>
      </c>
      <c r="YE58" s="54" t="s">
        <v>268</v>
      </c>
      <c r="YF58" s="54" t="s">
        <v>268</v>
      </c>
      <c r="YG58" s="55" t="s">
        <v>268</v>
      </c>
      <c r="YH58" s="56" t="s">
        <v>268</v>
      </c>
      <c r="YI58" s="54" t="s">
        <v>268</v>
      </c>
      <c r="YJ58" s="1"/>
      <c r="YK58" s="57" t="s">
        <v>268</v>
      </c>
      <c r="YL58" s="58" t="s">
        <v>268</v>
      </c>
      <c r="YM58" s="4"/>
      <c r="YN58" s="39" t="s">
        <v>268</v>
      </c>
      <c r="YO58" s="39" t="s">
        <v>268</v>
      </c>
      <c r="YP58" s="1"/>
      <c r="YQ58" s="1"/>
      <c r="YR58" s="1"/>
      <c r="YS58" s="1"/>
      <c r="YT58" s="1"/>
      <c r="YU58" s="1"/>
      <c r="YV58" s="1"/>
      <c r="YW58" s="54" t="s">
        <v>268</v>
      </c>
      <c r="YX58" s="1"/>
      <c r="YY58" s="55" t="s">
        <v>268</v>
      </c>
      <c r="YZ58" s="1"/>
      <c r="ZA58" s="1"/>
      <c r="ZB58" s="2"/>
      <c r="ZC58" s="54" t="s">
        <v>268</v>
      </c>
      <c r="ZD58" s="1"/>
      <c r="ZE58" s="1"/>
      <c r="ZF58" s="1"/>
      <c r="ZG58" s="1"/>
      <c r="ZH58" s="1"/>
      <c r="ZI58" s="1"/>
      <c r="ZJ58" s="54" t="s">
        <v>268</v>
      </c>
      <c r="ZK58" s="1"/>
      <c r="ZL58" s="55" t="s">
        <v>268</v>
      </c>
      <c r="ZM58" s="1"/>
      <c r="ZN58" s="1"/>
      <c r="ZO58" s="2"/>
      <c r="ZP58" s="54" t="s">
        <v>268</v>
      </c>
      <c r="ZQ58" s="54" t="s">
        <v>268</v>
      </c>
      <c r="ZR58" s="54" t="s">
        <v>268</v>
      </c>
      <c r="ZS58" s="55" t="s">
        <v>268</v>
      </c>
      <c r="ZT58" s="56" t="s">
        <v>268</v>
      </c>
      <c r="ZU58" s="54" t="s">
        <v>268</v>
      </c>
      <c r="ZV58" s="1"/>
      <c r="ZW58" s="57" t="s">
        <v>268</v>
      </c>
      <c r="ZX58" s="58" t="s">
        <v>268</v>
      </c>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2" customHeight="1" thickBot="1" x14ac:dyDescent="0.2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t="s">
        <v>268</v>
      </c>
      <c r="S59" s="59" t="s">
        <v>268</v>
      </c>
      <c r="T59" s="6"/>
      <c r="U59" s="6"/>
      <c r="V59" s="6"/>
      <c r="W59" s="6"/>
      <c r="X59" s="6"/>
      <c r="Y59" s="6"/>
      <c r="Z59" s="6"/>
      <c r="AA59" s="60" t="s">
        <v>268</v>
      </c>
      <c r="AB59" s="6"/>
      <c r="AC59" s="61" t="s">
        <v>268</v>
      </c>
      <c r="AD59" s="6"/>
      <c r="AE59" s="6"/>
      <c r="AF59" s="7"/>
      <c r="AG59" s="60" t="s">
        <v>268</v>
      </c>
      <c r="AH59" s="6"/>
      <c r="AI59" s="6"/>
      <c r="AJ59" s="6"/>
      <c r="AK59" s="6"/>
      <c r="AL59" s="6"/>
      <c r="AM59" s="6"/>
      <c r="AN59" s="60" t="s">
        <v>268</v>
      </c>
      <c r="AO59" s="6"/>
      <c r="AP59" s="61" t="s">
        <v>268</v>
      </c>
      <c r="AQ59" s="6"/>
      <c r="AR59" s="6"/>
      <c r="AS59" s="7"/>
      <c r="AT59" s="60" t="s">
        <v>268</v>
      </c>
      <c r="AU59" s="60" t="s">
        <v>268</v>
      </c>
      <c r="AV59" s="60" t="s">
        <v>268</v>
      </c>
      <c r="AW59" s="61" t="s">
        <v>268</v>
      </c>
      <c r="AX59" s="62" t="s">
        <v>268</v>
      </c>
      <c r="AY59" s="60" t="s">
        <v>268</v>
      </c>
      <c r="AZ59" s="6"/>
      <c r="BA59" s="63" t="s">
        <v>268</v>
      </c>
      <c r="BB59" s="64" t="s">
        <v>268</v>
      </c>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t="s">
        <v>268</v>
      </c>
      <c r="EC59" s="59" t="s">
        <v>268</v>
      </c>
      <c r="ED59" s="6"/>
      <c r="EE59" s="6"/>
      <c r="EF59" s="6"/>
      <c r="EG59" s="6"/>
      <c r="EH59" s="6"/>
      <c r="EI59" s="6"/>
      <c r="EJ59" s="6"/>
      <c r="EK59" s="60" t="s">
        <v>268</v>
      </c>
      <c r="EL59" s="6"/>
      <c r="EM59" s="61" t="s">
        <v>268</v>
      </c>
      <c r="EN59" s="6"/>
      <c r="EO59" s="6"/>
      <c r="EP59" s="7"/>
      <c r="EQ59" s="60" t="s">
        <v>268</v>
      </c>
      <c r="ER59" s="6"/>
      <c r="ES59" s="6"/>
      <c r="ET59" s="6"/>
      <c r="EU59" s="6"/>
      <c r="EV59" s="6"/>
      <c r="EW59" s="6"/>
      <c r="EX59" s="60" t="s">
        <v>268</v>
      </c>
      <c r="EY59" s="6"/>
      <c r="EZ59" s="61" t="s">
        <v>268</v>
      </c>
      <c r="FA59" s="6"/>
      <c r="FB59" s="6"/>
      <c r="FC59" s="7"/>
      <c r="FD59" s="60" t="s">
        <v>268</v>
      </c>
      <c r="FE59" s="60" t="s">
        <v>268</v>
      </c>
      <c r="FF59" s="60" t="s">
        <v>268</v>
      </c>
      <c r="FG59" s="61" t="s">
        <v>268</v>
      </c>
      <c r="FH59" s="62" t="s">
        <v>268</v>
      </c>
      <c r="FI59" s="60" t="s">
        <v>268</v>
      </c>
      <c r="FJ59" s="6"/>
      <c r="FK59" s="63" t="s">
        <v>268</v>
      </c>
      <c r="FL59" s="64" t="s">
        <v>268</v>
      </c>
      <c r="FM59" s="5"/>
      <c r="FN59" s="59" t="s">
        <v>268</v>
      </c>
      <c r="FO59" s="59" t="s">
        <v>268</v>
      </c>
      <c r="FP59" s="6"/>
      <c r="FQ59" s="6"/>
      <c r="FR59" s="6"/>
      <c r="FS59" s="6"/>
      <c r="FT59" s="6"/>
      <c r="FU59" s="6"/>
      <c r="FV59" s="6"/>
      <c r="FW59" s="60" t="s">
        <v>268</v>
      </c>
      <c r="FX59" s="6"/>
      <c r="FY59" s="61" t="s">
        <v>268</v>
      </c>
      <c r="FZ59" s="6"/>
      <c r="GA59" s="6"/>
      <c r="GB59" s="7"/>
      <c r="GC59" s="60" t="s">
        <v>268</v>
      </c>
      <c r="GD59" s="6"/>
      <c r="GE59" s="6"/>
      <c r="GF59" s="6"/>
      <c r="GG59" s="6"/>
      <c r="GH59" s="6"/>
      <c r="GI59" s="6"/>
      <c r="GJ59" s="60" t="s">
        <v>268</v>
      </c>
      <c r="GK59" s="6"/>
      <c r="GL59" s="61" t="s">
        <v>268</v>
      </c>
      <c r="GM59" s="6"/>
      <c r="GN59" s="6"/>
      <c r="GO59" s="7"/>
      <c r="GP59" s="60" t="s">
        <v>268</v>
      </c>
      <c r="GQ59" s="60" t="s">
        <v>268</v>
      </c>
      <c r="GR59" s="60" t="s">
        <v>268</v>
      </c>
      <c r="GS59" s="61" t="s">
        <v>268</v>
      </c>
      <c r="GT59" s="62" t="s">
        <v>268</v>
      </c>
      <c r="GU59" s="60" t="s">
        <v>268</v>
      </c>
      <c r="GV59" s="6"/>
      <c r="GW59" s="63" t="s">
        <v>268</v>
      </c>
      <c r="GX59" s="64" t="s">
        <v>268</v>
      </c>
      <c r="GY59" s="5"/>
      <c r="GZ59" s="59" t="s">
        <v>268</v>
      </c>
      <c r="HA59" s="59" t="s">
        <v>268</v>
      </c>
      <c r="HB59" s="6"/>
      <c r="HC59" s="6"/>
      <c r="HD59" s="6"/>
      <c r="HE59" s="6"/>
      <c r="HF59" s="6"/>
      <c r="HG59" s="6"/>
      <c r="HH59" s="6"/>
      <c r="HI59" s="60" t="s">
        <v>268</v>
      </c>
      <c r="HJ59" s="6"/>
      <c r="HK59" s="61" t="s">
        <v>268</v>
      </c>
      <c r="HL59" s="6"/>
      <c r="HM59" s="6"/>
      <c r="HN59" s="7"/>
      <c r="HO59" s="60" t="s">
        <v>268</v>
      </c>
      <c r="HP59" s="6"/>
      <c r="HQ59" s="6"/>
      <c r="HR59" s="6"/>
      <c r="HS59" s="6"/>
      <c r="HT59" s="6"/>
      <c r="HU59" s="6"/>
      <c r="HV59" s="60" t="s">
        <v>268</v>
      </c>
      <c r="HW59" s="6"/>
      <c r="HX59" s="61" t="s">
        <v>268</v>
      </c>
      <c r="HY59" s="6"/>
      <c r="HZ59" s="6"/>
      <c r="IA59" s="7"/>
      <c r="IB59" s="60" t="s">
        <v>268</v>
      </c>
      <c r="IC59" s="60" t="s">
        <v>268</v>
      </c>
      <c r="ID59" s="60" t="s">
        <v>268</v>
      </c>
      <c r="IE59" s="61" t="s">
        <v>268</v>
      </c>
      <c r="IF59" s="62" t="s">
        <v>268</v>
      </c>
      <c r="IG59" s="60" t="s">
        <v>268</v>
      </c>
      <c r="IH59" s="6"/>
      <c r="II59" s="63" t="s">
        <v>268</v>
      </c>
      <c r="IJ59" s="64" t="s">
        <v>268</v>
      </c>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t="s">
        <v>268</v>
      </c>
      <c r="PU59" s="59" t="s">
        <v>268</v>
      </c>
      <c r="PV59" s="6"/>
      <c r="PW59" s="6"/>
      <c r="PX59" s="6"/>
      <c r="PY59" s="6"/>
      <c r="PZ59" s="6"/>
      <c r="QA59" s="6"/>
      <c r="QB59" s="6"/>
      <c r="QC59" s="60" t="s">
        <v>268</v>
      </c>
      <c r="QD59" s="6"/>
      <c r="QE59" s="61" t="s">
        <v>268</v>
      </c>
      <c r="QF59" s="6"/>
      <c r="QG59" s="6"/>
      <c r="QH59" s="7"/>
      <c r="QI59" s="60" t="s">
        <v>268</v>
      </c>
      <c r="QJ59" s="6"/>
      <c r="QK59" s="6"/>
      <c r="QL59" s="6"/>
      <c r="QM59" s="6"/>
      <c r="QN59" s="6"/>
      <c r="QO59" s="6"/>
      <c r="QP59" s="60" t="s">
        <v>268</v>
      </c>
      <c r="QQ59" s="6"/>
      <c r="QR59" s="61" t="s">
        <v>268</v>
      </c>
      <c r="QS59" s="6"/>
      <c r="QT59" s="6"/>
      <c r="QU59" s="7"/>
      <c r="QV59" s="60" t="s">
        <v>268</v>
      </c>
      <c r="QW59" s="60" t="s">
        <v>268</v>
      </c>
      <c r="QX59" s="60" t="s">
        <v>268</v>
      </c>
      <c r="QY59" s="61" t="s">
        <v>268</v>
      </c>
      <c r="QZ59" s="62" t="s">
        <v>268</v>
      </c>
      <c r="RA59" s="60" t="s">
        <v>268</v>
      </c>
      <c r="RB59" s="6"/>
      <c r="RC59" s="63" t="s">
        <v>268</v>
      </c>
      <c r="RD59" s="64" t="s">
        <v>268</v>
      </c>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t="s">
        <v>268</v>
      </c>
      <c r="UE59" s="59" t="s">
        <v>268</v>
      </c>
      <c r="UF59" s="6"/>
      <c r="UG59" s="6"/>
      <c r="UH59" s="6"/>
      <c r="UI59" s="6"/>
      <c r="UJ59" s="6"/>
      <c r="UK59" s="6"/>
      <c r="UL59" s="6"/>
      <c r="UM59" s="60" t="s">
        <v>268</v>
      </c>
      <c r="UN59" s="6"/>
      <c r="UO59" s="61" t="s">
        <v>268</v>
      </c>
      <c r="UP59" s="6"/>
      <c r="UQ59" s="6"/>
      <c r="UR59" s="7"/>
      <c r="US59" s="60" t="s">
        <v>268</v>
      </c>
      <c r="UT59" s="6"/>
      <c r="UU59" s="6"/>
      <c r="UV59" s="6"/>
      <c r="UW59" s="6"/>
      <c r="UX59" s="6"/>
      <c r="UY59" s="6"/>
      <c r="UZ59" s="60" t="s">
        <v>268</v>
      </c>
      <c r="VA59" s="6"/>
      <c r="VB59" s="61" t="s">
        <v>268</v>
      </c>
      <c r="VC59" s="6"/>
      <c r="VD59" s="6"/>
      <c r="VE59" s="7"/>
      <c r="VF59" s="60" t="s">
        <v>268</v>
      </c>
      <c r="VG59" s="60" t="s">
        <v>268</v>
      </c>
      <c r="VH59" s="60" t="s">
        <v>268</v>
      </c>
      <c r="VI59" s="61" t="s">
        <v>268</v>
      </c>
      <c r="VJ59" s="62" t="s">
        <v>268</v>
      </c>
      <c r="VK59" s="60" t="s">
        <v>268</v>
      </c>
      <c r="VL59" s="6"/>
      <c r="VM59" s="63" t="s">
        <v>268</v>
      </c>
      <c r="VN59" s="64" t="s">
        <v>268</v>
      </c>
      <c r="VO59" s="5"/>
      <c r="VP59" s="59" t="s">
        <v>268</v>
      </c>
      <c r="VQ59" s="59" t="s">
        <v>268</v>
      </c>
      <c r="VR59" s="6"/>
      <c r="VS59" s="6"/>
      <c r="VT59" s="6"/>
      <c r="VU59" s="6"/>
      <c r="VV59" s="6"/>
      <c r="VW59" s="6"/>
      <c r="VX59" s="6"/>
      <c r="VY59" s="60" t="s">
        <v>268</v>
      </c>
      <c r="VZ59" s="6"/>
      <c r="WA59" s="61" t="s">
        <v>268</v>
      </c>
      <c r="WB59" s="6"/>
      <c r="WC59" s="6"/>
      <c r="WD59" s="7"/>
      <c r="WE59" s="60" t="s">
        <v>268</v>
      </c>
      <c r="WF59" s="6"/>
      <c r="WG59" s="6"/>
      <c r="WH59" s="6"/>
      <c r="WI59" s="6"/>
      <c r="WJ59" s="6"/>
      <c r="WK59" s="6"/>
      <c r="WL59" s="60" t="s">
        <v>268</v>
      </c>
      <c r="WM59" s="6"/>
      <c r="WN59" s="61" t="s">
        <v>268</v>
      </c>
      <c r="WO59" s="6"/>
      <c r="WP59" s="6"/>
      <c r="WQ59" s="7"/>
      <c r="WR59" s="60" t="s">
        <v>268</v>
      </c>
      <c r="WS59" s="60" t="s">
        <v>268</v>
      </c>
      <c r="WT59" s="60" t="s">
        <v>268</v>
      </c>
      <c r="WU59" s="61" t="s">
        <v>268</v>
      </c>
      <c r="WV59" s="62" t="s">
        <v>268</v>
      </c>
      <c r="WW59" s="60" t="s">
        <v>268</v>
      </c>
      <c r="WX59" s="6"/>
      <c r="WY59" s="63" t="s">
        <v>268</v>
      </c>
      <c r="WZ59" s="64" t="s">
        <v>268</v>
      </c>
      <c r="XA59" s="5"/>
      <c r="XB59" s="59" t="s">
        <v>268</v>
      </c>
      <c r="XC59" s="59" t="s">
        <v>268</v>
      </c>
      <c r="XD59" s="6"/>
      <c r="XE59" s="6"/>
      <c r="XF59" s="6"/>
      <c r="XG59" s="6"/>
      <c r="XH59" s="6"/>
      <c r="XI59" s="6"/>
      <c r="XJ59" s="6"/>
      <c r="XK59" s="60" t="s">
        <v>268</v>
      </c>
      <c r="XL59" s="6"/>
      <c r="XM59" s="61" t="s">
        <v>268</v>
      </c>
      <c r="XN59" s="6"/>
      <c r="XO59" s="6"/>
      <c r="XP59" s="7"/>
      <c r="XQ59" s="60" t="s">
        <v>268</v>
      </c>
      <c r="XR59" s="6"/>
      <c r="XS59" s="6"/>
      <c r="XT59" s="6"/>
      <c r="XU59" s="6"/>
      <c r="XV59" s="6"/>
      <c r="XW59" s="6"/>
      <c r="XX59" s="60" t="s">
        <v>268</v>
      </c>
      <c r="XY59" s="6"/>
      <c r="XZ59" s="61" t="s">
        <v>268</v>
      </c>
      <c r="YA59" s="6"/>
      <c r="YB59" s="6"/>
      <c r="YC59" s="7"/>
      <c r="YD59" s="60" t="s">
        <v>268</v>
      </c>
      <c r="YE59" s="60" t="s">
        <v>268</v>
      </c>
      <c r="YF59" s="60" t="s">
        <v>268</v>
      </c>
      <c r="YG59" s="61" t="s">
        <v>268</v>
      </c>
      <c r="YH59" s="62" t="s">
        <v>268</v>
      </c>
      <c r="YI59" s="60" t="s">
        <v>268</v>
      </c>
      <c r="YJ59" s="6"/>
      <c r="YK59" s="63" t="s">
        <v>268</v>
      </c>
      <c r="YL59" s="64" t="s">
        <v>268</v>
      </c>
      <c r="YM59" s="5"/>
      <c r="YN59" s="59" t="s">
        <v>268</v>
      </c>
      <c r="YO59" s="59" t="s">
        <v>268</v>
      </c>
      <c r="YP59" s="6"/>
      <c r="YQ59" s="6"/>
      <c r="YR59" s="6"/>
      <c r="YS59" s="6"/>
      <c r="YT59" s="6"/>
      <c r="YU59" s="6"/>
      <c r="YV59" s="6"/>
      <c r="YW59" s="60" t="s">
        <v>268</v>
      </c>
      <c r="YX59" s="6"/>
      <c r="YY59" s="61" t="s">
        <v>268</v>
      </c>
      <c r="YZ59" s="6"/>
      <c r="ZA59" s="6"/>
      <c r="ZB59" s="7"/>
      <c r="ZC59" s="60" t="s">
        <v>268</v>
      </c>
      <c r="ZD59" s="6"/>
      <c r="ZE59" s="6"/>
      <c r="ZF59" s="6"/>
      <c r="ZG59" s="6"/>
      <c r="ZH59" s="6"/>
      <c r="ZI59" s="6"/>
      <c r="ZJ59" s="60" t="s">
        <v>268</v>
      </c>
      <c r="ZK59" s="6"/>
      <c r="ZL59" s="61" t="s">
        <v>268</v>
      </c>
      <c r="ZM59" s="6"/>
      <c r="ZN59" s="6"/>
      <c r="ZO59" s="7"/>
      <c r="ZP59" s="60" t="s">
        <v>268</v>
      </c>
      <c r="ZQ59" s="60" t="s">
        <v>268</v>
      </c>
      <c r="ZR59" s="60" t="s">
        <v>268</v>
      </c>
      <c r="ZS59" s="61" t="s">
        <v>268</v>
      </c>
      <c r="ZT59" s="62" t="s">
        <v>268</v>
      </c>
      <c r="ZU59" s="60" t="s">
        <v>268</v>
      </c>
      <c r="ZV59" s="6"/>
      <c r="ZW59" s="63" t="s">
        <v>268</v>
      </c>
      <c r="ZX59" s="64" t="s">
        <v>268</v>
      </c>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xr:uid="{00000000-0002-0000-0100-000000000000}">
      <formula1>$M$3:$M$4</formula1>
    </dataValidation>
    <dataValidation type="list" showDropDown="1" showInputMessage="1" showErrorMessage="1" errorTitle="Yanlış məlumat" error="Azərbaycan bölməsi - A_x000a_Rus bölməsi - R" sqref="K9" xr:uid="{00000000-0002-0000-0100-000001000000}">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75" defaultRowHeight="14.25" x14ac:dyDescent="0.2"/>
  <cols>
    <col min="1" max="1" width="9.953125" style="12" customWidth="1"/>
    <col min="2" max="2" width="16.0078125" style="12" customWidth="1"/>
    <col min="3" max="3" width="7.3984375" style="12" customWidth="1"/>
    <col min="4" max="4" width="8.7421875" style="12" customWidth="1"/>
    <col min="5" max="39" width="7.3984375" style="12" customWidth="1"/>
    <col min="40" max="41" width="8.875" style="70" hidden="1" customWidth="1"/>
    <col min="42" max="16384" width="8.875" style="12"/>
  </cols>
  <sheetData>
    <row r="1" spans="1:41" ht="21" customHeight="1" x14ac:dyDescent="0.2">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x14ac:dyDescent="0.2">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x14ac:dyDescent="0.25">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x14ac:dyDescent="0.2">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x14ac:dyDescent="0.2">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x14ac:dyDescent="0.25">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899999999999999" customHeight="1" x14ac:dyDescent="0.2">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899999999999999" customHeight="1" x14ac:dyDescent="0.2">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899999999999999" customHeight="1" x14ac:dyDescent="0.2">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899999999999999" customHeight="1" x14ac:dyDescent="0.2">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899999999999999" customHeight="1" x14ac:dyDescent="0.2">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899999999999999" customHeight="1" x14ac:dyDescent="0.2">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899999999999999" customHeight="1" x14ac:dyDescent="0.2">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899999999999999" customHeight="1" x14ac:dyDescent="0.2">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899999999999999" customHeight="1" x14ac:dyDescent="0.2">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899999999999999" customHeight="1" x14ac:dyDescent="0.2">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899999999999999" customHeight="1" x14ac:dyDescent="0.2">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899999999999999" customHeight="1" x14ac:dyDescent="0.2">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899999999999999" customHeight="1" x14ac:dyDescent="0.2">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899999999999999" customHeight="1" x14ac:dyDescent="0.2">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899999999999999" customHeight="1" x14ac:dyDescent="0.2">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899999999999999" customHeight="1" x14ac:dyDescent="0.2">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899999999999999" customHeight="1" x14ac:dyDescent="0.2">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899999999999999" customHeight="1" x14ac:dyDescent="0.2">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899999999999999" customHeight="1" x14ac:dyDescent="0.2">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899999999999999" customHeight="1" x14ac:dyDescent="0.2">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899999999999999" customHeight="1" x14ac:dyDescent="0.2">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899999999999999" customHeight="1" x14ac:dyDescent="0.2">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899999999999999" customHeight="1" x14ac:dyDescent="0.2">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899999999999999" customHeight="1" x14ac:dyDescent="0.2">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899999999999999" customHeight="1" x14ac:dyDescent="0.2">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899999999999999" customHeight="1" x14ac:dyDescent="0.2">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899999999999999" customHeight="1" x14ac:dyDescent="0.2">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899999999999999" customHeight="1" x14ac:dyDescent="0.2">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899999999999999" customHeight="1" x14ac:dyDescent="0.2">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899999999999999" customHeight="1" x14ac:dyDescent="0.2">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899999999999999" customHeight="1" x14ac:dyDescent="0.2">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899999999999999" customHeight="1" x14ac:dyDescent="0.2">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899999999999999" customHeight="1" x14ac:dyDescent="0.2">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899999999999999" customHeight="1" x14ac:dyDescent="0.2">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899999999999999" customHeight="1" x14ac:dyDescent="0.2">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899999999999999" customHeight="1" x14ac:dyDescent="0.2">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899999999999999" customHeight="1" x14ac:dyDescent="0.2">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899999999999999" customHeight="1" x14ac:dyDescent="0.2">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899999999999999" customHeight="1" x14ac:dyDescent="0.2">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899999999999999" customHeight="1" x14ac:dyDescent="0.2">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899999999999999" customHeight="1" x14ac:dyDescent="0.2">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899999999999999" customHeight="1" x14ac:dyDescent="0.2">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899999999999999" customHeight="1" x14ac:dyDescent="0.2">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899999999999999" customHeight="1" x14ac:dyDescent="0.2">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899999999999999" customHeight="1" x14ac:dyDescent="0.2">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899999999999999" customHeight="1" x14ac:dyDescent="0.2">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899999999999999" customHeight="1" x14ac:dyDescent="0.2">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899999999999999" customHeight="1" x14ac:dyDescent="0.2">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899999999999999" customHeight="1" x14ac:dyDescent="0.2">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899999999999999" customHeight="1" x14ac:dyDescent="0.2">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899999999999999" customHeight="1" x14ac:dyDescent="0.2">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899999999999999" customHeight="1" x14ac:dyDescent="0.2">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899999999999999" customHeight="1" x14ac:dyDescent="0.2">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899999999999999" customHeight="1" x14ac:dyDescent="0.2">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899999999999999" customHeight="1" x14ac:dyDescent="0.2">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899999999999999" customHeight="1" x14ac:dyDescent="0.2">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899999999999999" customHeight="1" x14ac:dyDescent="0.2">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899999999999999" customHeight="1" x14ac:dyDescent="0.2">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899999999999999" customHeight="1" x14ac:dyDescent="0.2">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899999999999999" customHeight="1" x14ac:dyDescent="0.2">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899999999999999" customHeight="1" x14ac:dyDescent="0.2">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899999999999999" customHeight="1" x14ac:dyDescent="0.2">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899999999999999" customHeight="1" x14ac:dyDescent="0.2">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899999999999999" customHeight="1" x14ac:dyDescent="0.2">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899999999999999" customHeight="1" x14ac:dyDescent="0.2">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899999999999999" customHeight="1" x14ac:dyDescent="0.2">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899999999999999" customHeight="1" x14ac:dyDescent="0.2">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899999999999999" customHeight="1" x14ac:dyDescent="0.2">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899999999999999" customHeight="1" x14ac:dyDescent="0.2">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899999999999999" customHeight="1" x14ac:dyDescent="0.2">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899999999999999" customHeight="1" x14ac:dyDescent="0.2">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899999999999999" customHeight="1" x14ac:dyDescent="0.2">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899999999999999" customHeight="1" x14ac:dyDescent="0.2">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899999999999999" customHeight="1" x14ac:dyDescent="0.2">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899999999999999" customHeight="1" x14ac:dyDescent="0.2">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899999999999999" customHeight="1" x14ac:dyDescent="0.2">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899999999999999" customHeight="1" x14ac:dyDescent="0.2">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899999999999999" customHeight="1" x14ac:dyDescent="0.2">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899999999999999" customHeight="1" x14ac:dyDescent="0.2">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899999999999999" customHeight="1" x14ac:dyDescent="0.2">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899999999999999" customHeight="1" x14ac:dyDescent="0.2">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899999999999999" customHeight="1" x14ac:dyDescent="0.2">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899999999999999" customHeight="1" x14ac:dyDescent="0.2">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899999999999999" customHeight="1" x14ac:dyDescent="0.2">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899999999999999" customHeight="1" x14ac:dyDescent="0.2">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899999999999999" customHeight="1" x14ac:dyDescent="0.2">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899999999999999" customHeight="1" x14ac:dyDescent="0.2">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899999999999999" customHeight="1" x14ac:dyDescent="0.2">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899999999999999" customHeight="1" x14ac:dyDescent="0.2">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899999999999999" customHeight="1" x14ac:dyDescent="0.2">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899999999999999" customHeight="1" x14ac:dyDescent="0.2">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899999999999999" customHeight="1" x14ac:dyDescent="0.2">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899999999999999" customHeight="1" x14ac:dyDescent="0.2">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899999999999999" customHeight="1" x14ac:dyDescent="0.2">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899999999999999" customHeight="1" x14ac:dyDescent="0.2">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899999999999999" customHeight="1" x14ac:dyDescent="0.2">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899999999999999" customHeight="1" x14ac:dyDescent="0.2">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899999999999999" customHeight="1" x14ac:dyDescent="0.2">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899999999999999" customHeight="1" x14ac:dyDescent="0.2">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899999999999999" customHeight="1" x14ac:dyDescent="0.2">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899999999999999" customHeight="1" x14ac:dyDescent="0.2">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899999999999999" customHeight="1" x14ac:dyDescent="0.2">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899999999999999" customHeight="1" x14ac:dyDescent="0.2">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899999999999999" customHeight="1" x14ac:dyDescent="0.2">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899999999999999" customHeight="1" x14ac:dyDescent="0.2">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899999999999999" customHeight="1" x14ac:dyDescent="0.2">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899999999999999" customHeight="1" x14ac:dyDescent="0.2">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899999999999999" customHeight="1" x14ac:dyDescent="0.2">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899999999999999" customHeight="1" x14ac:dyDescent="0.2">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899999999999999" customHeight="1" x14ac:dyDescent="0.2">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899999999999999" customHeight="1" x14ac:dyDescent="0.2">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899999999999999" customHeight="1" x14ac:dyDescent="0.2">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899999999999999" customHeight="1" x14ac:dyDescent="0.2">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899999999999999" customHeight="1" x14ac:dyDescent="0.2">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899999999999999" customHeight="1" x14ac:dyDescent="0.2">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899999999999999" customHeight="1" x14ac:dyDescent="0.2">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899999999999999" customHeight="1" x14ac:dyDescent="0.2">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899999999999999" customHeight="1" x14ac:dyDescent="0.2">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899999999999999" customHeight="1" x14ac:dyDescent="0.2">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899999999999999" customHeight="1" x14ac:dyDescent="0.2">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899999999999999" customHeight="1" x14ac:dyDescent="0.2">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899999999999999" customHeight="1" x14ac:dyDescent="0.2">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899999999999999" customHeight="1" x14ac:dyDescent="0.2">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899999999999999" customHeight="1" x14ac:dyDescent="0.2">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899999999999999" customHeight="1" x14ac:dyDescent="0.2">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899999999999999" customHeight="1" x14ac:dyDescent="0.2"/>
    <row r="133" spans="1:40" ht="40.15" customHeight="1" x14ac:dyDescent="0.2">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İş vərəqləri</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2024-01-31T13:00:19Z</dcterms:modified>
</cp:coreProperties>
</file>