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<sst xmlns="http://schemas.openxmlformats.org/spreadsheetml/2006/main" count="275" uniqueCount="199">
  <si>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</si>
  <si>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</si>
  <si>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</si>
  <si>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</si>
  <si>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</si>
  <si>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</si>
  <si>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</si>
  <si>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</si>
  <si>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</si>
  <si>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</si>
  <si>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</si>
  <si>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</si>
  <si>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</si>
  <si>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</si>
  <si>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</si>
  <si>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</si>
  <si>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</si>
  <si>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</si>
  <si>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</si>
  <si>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</si>
  <si>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</si>
  <si>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</si>
  <si>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</si>
  <si>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</si>
  <si>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</si>
  <si>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</si>
  <si>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</si>
  <si>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</si>
  <si>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</si>
  <si>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</si>
  <si>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</si>
  <si>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</si>
  <si>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</si>
  <si>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</si>
  <si>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</si>
  <si>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</si>
  <si>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</si>
  <si>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</si>
  <si>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</si>
  <si>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</si>
  <si>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</si>
  <si>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</si>
  <si>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</si>
  <si>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</si>
  <si>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</si>
  <si>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</si>
  <si>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</si>
  <si>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</si>
  <si>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</si>
  <si>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</si>
  <si>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</si>
  <si>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</si>
  <si>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</si>
  <si>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</si>
  <si>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</si>
  <si>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</si>
  <si>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</si>
  <si>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</si>
  <si>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</si>
  <si>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</si>
  <si>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</si>
  <si>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</si>
  <si>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</si>
  <si>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</si>
  <si>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</si>
  <si>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</si>
  <si>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</si>
  <si>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</si>
  <si>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</si>
  <si>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</si>
  <si>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</si>
  <si>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</si>
  <si>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</si>
  <si>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</si>
  <si>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</si>
  <si>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</si>
  <si>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</si>
  <si>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</si>
  <si>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</si>
  <si>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</si>
  <si>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</si>
  <si>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</si>
  <si>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</si>
  <si>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</si>
  <si>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</si>
  <si>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</si>
  <si>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</si>
  <si>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</si>
  <si>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</si>
  <si>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</si>
  <si>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</si>
  <si>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</si>
  <si>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</si>
  <si>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</si>
  <si>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</si>
  <si>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</si>
  <si>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</si>
  <si>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</si>
  <si>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</si>
  <si>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</si>
  <si>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</si>
  <si>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</si>
  <si>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</si>
  <si>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</si>
  <si>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</si>
  <si>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</si>
  <si>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</si>
  <si>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</si>
  <si>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</si>
  <si>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</si>
  <si>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</si>
  <si>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</si>
  <si>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</si>
  <si>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</si>
  <si>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</si>
  <si>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</si>
  <si>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</si>
  <si>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</si>
  <si>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</si>
  <si>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</si>
  <si>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</si>
  <si>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</si>
  <si>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Abbasov</t>
  </si>
  <si>
    <t>Asiman</t>
  </si>
  <si>
    <t>Yaşar</t>
  </si>
  <si>
    <t>Abdinova</t>
  </si>
  <si>
    <t>Dilbər</t>
  </si>
  <si>
    <t>Camal</t>
  </si>
  <si>
    <t>Abdullazadə</t>
  </si>
  <si>
    <t>Aidə</t>
  </si>
  <si>
    <t>Ruslan</t>
  </si>
  <si>
    <t>Azadova</t>
  </si>
  <si>
    <t>Ayla</t>
  </si>
  <si>
    <t>Elnur</t>
  </si>
  <si>
    <t>Əkbərli</t>
  </si>
  <si>
    <t>Zeynəb</t>
  </si>
  <si>
    <t>Rəşid</t>
  </si>
  <si>
    <t>Ələkbərova</t>
  </si>
  <si>
    <t>Nuray</t>
  </si>
  <si>
    <t>Xəlil</t>
  </si>
  <si>
    <t>Xəlilli</t>
  </si>
  <si>
    <t>Dilarə</t>
  </si>
  <si>
    <t xml:space="preserve"> Firuddin</t>
  </si>
  <si>
    <t>İmanlı</t>
  </si>
  <si>
    <t>Məhəmməd</t>
  </si>
  <si>
    <t>İsrəfilova</t>
  </si>
  <si>
    <t>Sevgi</t>
  </si>
  <si>
    <t>İlkin</t>
  </si>
  <si>
    <t>Qədirli</t>
  </si>
  <si>
    <t>Ayan</t>
  </si>
  <si>
    <t>Elvin</t>
  </si>
  <si>
    <t>Quluzadə</t>
  </si>
  <si>
    <t>Məhin</t>
  </si>
  <si>
    <t>Əli</t>
  </si>
  <si>
    <t>Mahmudov</t>
  </si>
  <si>
    <t>Təmrəz</t>
  </si>
  <si>
    <t>Mehman</t>
  </si>
  <si>
    <t>Mehdiyev</t>
  </si>
  <si>
    <t>Anar</t>
  </si>
  <si>
    <t>Mirxaslı</t>
  </si>
  <si>
    <t>Mirzəfər</t>
  </si>
  <si>
    <t>Rasət</t>
  </si>
  <si>
    <t>Mirzəyev</t>
  </si>
  <si>
    <t>Ramal</t>
  </si>
  <si>
    <t>Ramin</t>
  </si>
  <si>
    <t>Mustafayeva</t>
  </si>
  <si>
    <t>Gülşən</t>
  </si>
  <si>
    <t>Bəhruz</t>
  </si>
  <si>
    <t>Mürsəlov</t>
  </si>
  <si>
    <t>Osman</t>
  </si>
  <si>
    <t>Zaur</t>
  </si>
  <si>
    <t>Nərimanov</t>
  </si>
  <si>
    <t>Abbas</t>
  </si>
  <si>
    <t>Nurlan</t>
  </si>
  <si>
    <t>Nərimanova</t>
  </si>
  <si>
    <t>Oruczadə</t>
  </si>
  <si>
    <t>Vaqif</t>
  </si>
  <si>
    <t>Gülağa</t>
  </si>
  <si>
    <t>Paşayeva</t>
  </si>
  <si>
    <t>Samirə</t>
  </si>
  <si>
    <t>Salmanov</t>
  </si>
  <si>
    <t>Qaya</t>
  </si>
  <si>
    <t>Coşqun</t>
  </si>
  <si>
    <t>Səfərova</t>
  </si>
  <si>
    <t>Dilək</t>
  </si>
  <si>
    <t>Valeh</t>
  </si>
  <si>
    <t>Tahirli</t>
  </si>
  <si>
    <t>Dəniz</t>
  </si>
  <si>
    <t>Ramil</t>
  </si>
  <si>
    <t>Vəliyeva</t>
  </si>
  <si>
    <t>Mədinə</t>
  </si>
  <si>
    <t>Vəli</t>
  </si>
  <si>
    <t>Nazlı</t>
  </si>
  <si>
    <t xml:space="preserve">Cavadlı </t>
  </si>
  <si>
    <t>Nərgiz</t>
  </si>
  <si>
    <t>Rauf</t>
  </si>
  <si>
    <t>İsayeva</t>
  </si>
  <si>
    <t>Gülay</t>
  </si>
  <si>
    <t>Xalid</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</si>
</sst>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9">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
      <left style="thin">
        <color theme="0" tint="-0.499984740745262"/>
      </left>
      <right/>
      <top/>
      <bottom style="thin">
        <color theme="0" tint="-0.499984740745262"/>
      </bottom>
      <diagonal/>
    </border>
  </borders>
  <cellStyleXfs count="1">
    <xf numFmtId="0" fontId="0" fillId="0" borderId="0"/>
  </cellStyleXfs>
  <cellXfs count="124">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 fillId="3" borderId="5" xfId="0" applyFont="1" applyFill="1" applyBorder="1" applyAlignment="1" applyProtection="1">
      <alignment horizontal="center" vertical="center" wrapText="1"/>
      <protection locked="0" hidden="1"/>
    </xf>
    <xf numFmtId="0" fontId="1" fillId="7" borderId="5" xfId="0" applyFont="1" applyFill="1" applyBorder="1" applyAlignment="1" applyProtection="1">
      <alignment horizontal="center" vertical="center" wrapText="1"/>
      <protection locked="0"/>
    </xf>
    <xf numFmtId="0" fontId="1" fillId="7" borderId="38" xfId="0" applyFont="1" applyFill="1" applyBorder="1" applyAlignment="1" applyProtection="1">
      <alignment horizontal="center" vertical="center" wrapText="1"/>
      <protection locked="0"/>
    </xf>
    <xf numFmtId="0" fontId="1" fillId="7" borderId="6" xfId="0" applyFont="1" applyFill="1" applyBorder="1" applyAlignment="1" applyProtection="1">
      <alignment horizontal="center" vertical="center" wrapText="1"/>
      <protection locked="0"/>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14.285714285714286</c:v>
                </c:pt>
                <c:pt idx="2">
                  <c:v>0</c:v>
                </c:pt>
                <c:pt idx="3">
                  <c:v>14.285714285714286</c:v>
                </c:pt>
                <c:pt idx="4">
                  <c:v>0</c:v>
                </c:pt>
                <c:pt idx="5">
                  <c:v>0</c:v>
                </c:pt>
                <c:pt idx="6">
                  <c:v>10.714285714285714</c:v>
                </c:pt>
                <c:pt idx="7">
                  <c:v>0</c:v>
                </c:pt>
                <c:pt idx="8">
                  <c:v>10.714285714285714</c:v>
                </c:pt>
                <c:pt idx="9">
                  <c:v>0</c:v>
                </c:pt>
                <c:pt idx="10">
                  <c:v>0</c:v>
                </c:pt>
                <c:pt idx="11">
                  <c:v>14.285714285714286</c:v>
                </c:pt>
                <c:pt idx="12">
                  <c:v>0</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28.571428571428573</c:v>
                </c:pt>
                <c:pt idx="2">
                  <c:v>0</c:v>
                </c:pt>
                <c:pt idx="3">
                  <c:v>28.571428571428573</c:v>
                </c:pt>
                <c:pt idx="4">
                  <c:v>0</c:v>
                </c:pt>
                <c:pt idx="5">
                  <c:v>0</c:v>
                </c:pt>
                <c:pt idx="6">
                  <c:v>17.857142857142858</c:v>
                </c:pt>
                <c:pt idx="7">
                  <c:v>0</c:v>
                </c:pt>
                <c:pt idx="8">
                  <c:v>17.857142857142858</c:v>
                </c:pt>
                <c:pt idx="9">
                  <c:v>0</c:v>
                </c:pt>
                <c:pt idx="10">
                  <c:v>0</c:v>
                </c:pt>
                <c:pt idx="11">
                  <c:v>17.857142857142858</c:v>
                </c:pt>
                <c:pt idx="12">
                  <c:v>0</c:v>
                </c:pt>
                <c:pt idx="13">
                  <c:v>17.857142857142858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57.142857142857146</c:v>
                </c:pt>
                <c:pt idx="2">
                  <c:v>0</c:v>
                </c:pt>
                <c:pt idx="3">
                  <c:v>57.142857142857146</c:v>
                </c:pt>
                <c:pt idx="4">
                  <c:v>0</c:v>
                </c:pt>
                <c:pt idx="5">
                  <c:v>0</c:v>
                </c:pt>
                <c:pt idx="6">
                  <c:v>71.428571428571431</c:v>
                </c:pt>
                <c:pt idx="7">
                  <c:v>0</c:v>
                </c:pt>
                <c:pt idx="8">
                  <c:v>71.428571428571431</c:v>
                </c:pt>
                <c:pt idx="9">
                  <c:v>0</c:v>
                </c:pt>
                <c:pt idx="10">
                  <c:v>0</c:v>
                </c:pt>
                <c:pt idx="11">
                  <c:v>67.857142857142861</c:v>
                </c:pt>
                <c:pt idx="12">
                  <c:v>0</c:v>
                </c:pt>
                <c:pt idx="13">
                  <c:v>67.857142857142861</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8753352"/>
        <c:axId val="318751784"/>
      </c:barChart>
      <c:catAx>
        <c:axId val="318753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8751784"/>
        <c:crosses val="autoZero"/>
        <c:auto val="1"/>
        <c:lblAlgn val="ctr"/>
        <c:lblOffset val="100"/>
        <c:noMultiLvlLbl val="0"/>
      </c:catAx>
      <c:valAx>
        <c:axId val="318751784"/>
        <c:scaling>
          <c:orientation val="minMax"/>
          <c:max val="100"/>
        </c:scaling>
        <c:delete val="1"/>
        <c:axPos val="l"/>
        <c:numFmt formatCode="0" sourceLinked="1"/>
        <c:majorTickMark val="none"/>
        <c:minorTickMark val="none"/>
        <c:tickLblPos val="nextTo"/>
        <c:crossAx val="318753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80.60401785714285</c:v>
                </c:pt>
                <c:pt idx="2">
                  <c:v>0</c:v>
                </c:pt>
                <c:pt idx="3">
                  <c:v>80.60401785714285</c:v>
                </c:pt>
                <c:pt idx="4">
                  <c:v>0</c:v>
                </c:pt>
                <c:pt idx="5">
                  <c:v>0</c:v>
                </c:pt>
                <c:pt idx="6">
                  <c:v>85.232142857142861</c:v>
                </c:pt>
                <c:pt idx="7">
                  <c:v>0</c:v>
                </c:pt>
                <c:pt idx="8">
                  <c:v>85.232142857142861</c:v>
                </c:pt>
                <c:pt idx="9">
                  <c:v>0</c:v>
                </c:pt>
                <c:pt idx="10">
                  <c:v>0</c:v>
                </c:pt>
                <c:pt idx="11">
                  <c:v>82.91808035714287</c:v>
                </c:pt>
                <c:pt idx="12">
                  <c:v>0</c:v>
                </c:pt>
                <c:pt idx="13">
                  <c:v>82.91808035714287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8752568"/>
        <c:axId val="318749040"/>
      </c:barChart>
      <c:catAx>
        <c:axId val="318752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8749040"/>
        <c:crosses val="autoZero"/>
        <c:auto val="1"/>
        <c:lblAlgn val="ctr"/>
        <c:lblOffset val="100"/>
        <c:noMultiLvlLbl val="0"/>
      </c:catAx>
      <c:valAx>
        <c:axId val="318749040"/>
        <c:scaling>
          <c:orientation val="minMax"/>
          <c:max val="110"/>
          <c:min val="0"/>
        </c:scaling>
        <c:delete val="1"/>
        <c:axPos val="l"/>
        <c:numFmt formatCode="0.00" sourceLinked="1"/>
        <c:majorTickMark val="out"/>
        <c:minorTickMark val="none"/>
        <c:tickLblPos val="nextTo"/>
        <c:crossAx val="31875256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19"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71" t="s">
        <v>120</v>
      </c>
      <c r="B1" s="71"/>
      <c r="C1" s="71"/>
      <c r="D1" s="71"/>
    </row>
    <row r="2" spans="1:4" ht="17.399999999999999" x14ac:dyDescent="0.3">
      <c r="A2" s="72" t="s">
        <v>47</v>
      </c>
      <c r="B2" s="72"/>
      <c r="C2" s="72"/>
      <c r="D2" s="72"/>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73" t="s">
        <v>118</v>
      </c>
      <c r="B19" s="73"/>
      <c r="C19" s="73"/>
      <c r="D19" s="73"/>
    </row>
    <row r="20" spans="1:4" ht="19.8" x14ac:dyDescent="0.3">
      <c r="A20" s="74" t="s">
        <v>68</v>
      </c>
      <c r="B20" s="74"/>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8" zoomScaleNormal="98" workbookViewId="0">
      <pane xSplit="6" ySplit="4" topLeftCell="G5" activePane="bottomRight" state="frozen"/>
      <selection pane="topRight" activeCell="G1" sqref="G1"/>
      <selection pane="bottomLeft" activeCell="A5" sqref="A5"/>
      <selection pane="bottomRight" activeCell="AF16" sqref="AF1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11" t="s">
        <v>9</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row>
    <row r="2" spans="1:43" ht="36.6" customHeight="1" x14ac:dyDescent="0.3">
      <c r="A2" s="113" t="s">
        <v>12</v>
      </c>
      <c r="B2" s="113" t="s">
        <v>14</v>
      </c>
      <c r="C2" s="114" t="s">
        <v>0</v>
      </c>
      <c r="D2" s="114"/>
      <c r="E2" s="114"/>
      <c r="F2" s="78" t="s">
        <v>17</v>
      </c>
      <c r="G2" s="78" t="s">
        <v>28</v>
      </c>
      <c r="H2" s="80" t="s">
        <v>19</v>
      </c>
      <c r="I2" s="122" t="s">
        <v>18</v>
      </c>
      <c r="J2" s="77" t="s">
        <v>21</v>
      </c>
      <c r="K2" s="77"/>
      <c r="L2" s="77"/>
      <c r="M2" s="77"/>
      <c r="N2" s="77"/>
      <c r="O2" s="77"/>
      <c r="P2" s="77"/>
      <c r="Q2" s="77"/>
      <c r="R2" s="77"/>
      <c r="S2" s="77"/>
      <c r="T2" s="77"/>
      <c r="U2" s="77"/>
      <c r="V2" s="77"/>
      <c r="W2" s="77" t="s">
        <v>22</v>
      </c>
      <c r="X2" s="77"/>
      <c r="Y2" s="77"/>
      <c r="Z2" s="77"/>
      <c r="AA2" s="77"/>
      <c r="AB2" s="77"/>
      <c r="AC2" s="77"/>
      <c r="AD2" s="77"/>
      <c r="AE2" s="77"/>
      <c r="AF2" s="77"/>
      <c r="AG2" s="77"/>
      <c r="AH2" s="77"/>
      <c r="AI2" s="77"/>
      <c r="AJ2" s="77" t="s">
        <v>24</v>
      </c>
      <c r="AK2" s="77"/>
      <c r="AL2" s="77"/>
      <c r="AM2" s="77"/>
      <c r="AN2" s="77"/>
      <c r="AO2" s="77"/>
      <c r="AP2" s="77"/>
      <c r="AQ2" s="77"/>
    </row>
    <row r="3" spans="1:43" ht="27" customHeight="1" x14ac:dyDescent="0.3">
      <c r="A3" s="113"/>
      <c r="B3" s="113"/>
      <c r="C3" s="114"/>
      <c r="D3" s="114"/>
      <c r="E3" s="114"/>
      <c r="F3" s="78"/>
      <c r="G3" s="78"/>
      <c r="H3" s="80"/>
      <c r="I3" s="123"/>
      <c r="J3" s="119" t="s">
        <v>20</v>
      </c>
      <c r="K3" s="120"/>
      <c r="L3" s="120"/>
      <c r="M3" s="120"/>
      <c r="N3" s="120"/>
      <c r="O3" s="120"/>
      <c r="P3" s="120"/>
      <c r="Q3" s="121"/>
      <c r="R3" s="117" t="s">
        <v>43</v>
      </c>
      <c r="S3" s="78" t="s">
        <v>7</v>
      </c>
      <c r="T3" s="78"/>
      <c r="U3" s="80" t="s">
        <v>33</v>
      </c>
      <c r="V3" s="107" t="s">
        <v>27</v>
      </c>
      <c r="W3" s="119" t="s">
        <v>20</v>
      </c>
      <c r="X3" s="120"/>
      <c r="Y3" s="120"/>
      <c r="Z3" s="120"/>
      <c r="AA3" s="120"/>
      <c r="AB3" s="120"/>
      <c r="AC3" s="120"/>
      <c r="AD3" s="121"/>
      <c r="AE3" s="122" t="s">
        <v>34</v>
      </c>
      <c r="AF3" s="78" t="s">
        <v>7</v>
      </c>
      <c r="AG3" s="78"/>
      <c r="AH3" s="80" t="s">
        <v>35</v>
      </c>
      <c r="AI3" s="107" t="s">
        <v>27</v>
      </c>
      <c r="AJ3" s="78" t="s">
        <v>36</v>
      </c>
      <c r="AK3" s="78" t="s">
        <v>37</v>
      </c>
      <c r="AL3" s="78" t="s">
        <v>8</v>
      </c>
      <c r="AM3" s="78"/>
      <c r="AN3" s="109" t="s">
        <v>23</v>
      </c>
      <c r="AO3" s="109" t="s">
        <v>38</v>
      </c>
      <c r="AP3" s="80" t="s">
        <v>39</v>
      </c>
      <c r="AQ3" s="107" t="s">
        <v>27</v>
      </c>
    </row>
    <row r="4" spans="1:43" ht="52.8" customHeight="1" thickBot="1" x14ac:dyDescent="0.35">
      <c r="A4" s="113"/>
      <c r="B4" s="113"/>
      <c r="C4" s="53" t="s">
        <v>2</v>
      </c>
      <c r="D4" s="53" t="s">
        <v>3</v>
      </c>
      <c r="E4" s="53" t="s">
        <v>1</v>
      </c>
      <c r="F4" s="79"/>
      <c r="G4" s="13">
        <v>101</v>
      </c>
      <c r="H4" s="13">
        <v>306</v>
      </c>
      <c r="I4" s="123"/>
      <c r="J4" s="54" t="s">
        <v>4</v>
      </c>
      <c r="K4" s="54" t="s">
        <v>4</v>
      </c>
      <c r="L4" s="54" t="s">
        <v>4</v>
      </c>
      <c r="M4" s="54" t="s">
        <v>4</v>
      </c>
      <c r="N4" s="54" t="s">
        <v>4</v>
      </c>
      <c r="O4" s="54" t="s">
        <v>4</v>
      </c>
      <c r="P4" s="54" t="s">
        <v>6</v>
      </c>
      <c r="Q4" s="54" t="s">
        <v>5</v>
      </c>
      <c r="R4" s="118"/>
      <c r="S4" s="14" t="s">
        <v>29</v>
      </c>
      <c r="T4" s="14" t="s">
        <v>30</v>
      </c>
      <c r="U4" s="106"/>
      <c r="V4" s="108"/>
      <c r="W4" s="54" t="s">
        <v>4</v>
      </c>
      <c r="X4" s="54" t="s">
        <v>4</v>
      </c>
      <c r="Y4" s="54" t="s">
        <v>4</v>
      </c>
      <c r="Z4" s="54" t="s">
        <v>4</v>
      </c>
      <c r="AA4" s="54" t="s">
        <v>4</v>
      </c>
      <c r="AB4" s="54" t="s">
        <v>4</v>
      </c>
      <c r="AC4" s="54" t="s">
        <v>6</v>
      </c>
      <c r="AD4" s="54" t="s">
        <v>5</v>
      </c>
      <c r="AE4" s="123"/>
      <c r="AF4" s="14" t="s">
        <v>31</v>
      </c>
      <c r="AG4" s="14" t="s">
        <v>32</v>
      </c>
      <c r="AH4" s="106"/>
      <c r="AI4" s="108"/>
      <c r="AJ4" s="79"/>
      <c r="AK4" s="79"/>
      <c r="AL4" s="51" t="s">
        <v>40</v>
      </c>
      <c r="AM4" s="51" t="s">
        <v>41</v>
      </c>
      <c r="AN4" s="110"/>
      <c r="AO4" s="110"/>
      <c r="AP4" s="106"/>
      <c r="AQ4" s="108"/>
    </row>
    <row r="5" spans="1:43" ht="18.149999999999999" customHeight="1" thickBot="1" x14ac:dyDescent="0.35">
      <c r="A5" s="67">
        <v>2</v>
      </c>
      <c r="B5" s="67" t="s">
        <v>121</v>
      </c>
      <c r="C5" s="68" t="s">
        <v>122</v>
      </c>
      <c r="D5" s="68" t="s">
        <v>123</v>
      </c>
      <c r="E5" s="69" t="s">
        <v>124</v>
      </c>
      <c r="F5" s="15">
        <v>1072039</v>
      </c>
      <c r="G5" s="16">
        <f>IF(F5="","",$G$4)</f>
        <v>101</v>
      </c>
      <c r="H5" s="16">
        <f>IF(F5="","",$H$4)</f>
        <v>306</v>
      </c>
      <c r="I5" s="17"/>
      <c r="J5" s="17">
        <v>74</v>
      </c>
      <c r="K5" s="17">
        <v>70</v>
      </c>
      <c r="L5" s="17">
        <v>84</v>
      </c>
      <c r="M5" s="17">
        <v>77</v>
      </c>
      <c r="N5" s="17"/>
      <c r="O5" s="17"/>
      <c r="P5" s="18">
        <f t="shared" ref="P5:P36" si="0">IFERROR(AVERAGE(J5:O5),"")</f>
        <v>76.25</v>
      </c>
      <c r="Q5" s="17"/>
      <c r="R5" s="19">
        <f t="shared" ref="R5:R36" si="1">IF(Q5="",P5,IF(P5="",Q5,P5*40/100+Q5*60/100))</f>
        <v>76.25</v>
      </c>
      <c r="S5" s="17"/>
      <c r="T5" s="17"/>
      <c r="U5" s="20">
        <v>0</v>
      </c>
      <c r="V5" s="57">
        <f>IF(U5="","",((H5/2)-U5)*100/(H5/2))</f>
        <v>100</v>
      </c>
      <c r="W5" s="17">
        <v>100</v>
      </c>
      <c r="X5" s="17">
        <v>100</v>
      </c>
      <c r="Y5" s="17">
        <v>81</v>
      </c>
      <c r="Z5" s="17">
        <v>81</v>
      </c>
      <c r="AA5" s="17"/>
      <c r="AB5" s="17"/>
      <c r="AC5" s="18">
        <f t="shared" ref="AC5:AC54" si="2">IFERROR(AVERAGE(W5:AB5),"")</f>
        <v>90.5</v>
      </c>
      <c r="AD5" s="17"/>
      <c r="AE5" s="19">
        <f t="shared" ref="AE5:AE54" si="3">IF(AD5="",AC5,IF(AC5="",AD5,AC5*40/100+AD5*60/100))</f>
        <v>90.5</v>
      </c>
      <c r="AF5" s="17"/>
      <c r="AG5" s="17"/>
      <c r="AH5" s="60">
        <v>0</v>
      </c>
      <c r="AI5" s="66">
        <f>IF(AH5="","",((H5/2)-AH5)*100/(H5/2))</f>
        <v>100</v>
      </c>
      <c r="AJ5" s="62">
        <f>IFERROR(AVERAGE(P5,AC5),"")</f>
        <v>83.375</v>
      </c>
      <c r="AK5" s="18" t="str">
        <f>IFERROR(AVERAGE(Q5,AD5),"")</f>
        <v/>
      </c>
      <c r="AL5" s="19">
        <f>IFERROR(AVERAGE(R5,AE5),"")</f>
        <v>83.375</v>
      </c>
      <c r="AM5" s="21">
        <f>IF(AL5&lt;=30,2,IF(AL5&lt;=60,3,IF(AL5&lt;=80,4,IF(AL5&lt;=100,5,""))))</f>
        <v>5</v>
      </c>
      <c r="AN5" s="18" t="str">
        <f>IFERROR(AVERAGE(S5,T5,AF5,AG5),"")</f>
        <v/>
      </c>
      <c r="AO5" s="17"/>
      <c r="AP5" s="25">
        <f>IF(C5="","",(U5+AH5))</f>
        <v>0</v>
      </c>
      <c r="AQ5" s="26">
        <f>IF(AP5="","",(H5-AP5)*100/H5)</f>
        <v>100</v>
      </c>
    </row>
    <row r="6" spans="1:43" ht="18.149999999999999" customHeight="1" thickBot="1" x14ac:dyDescent="0.35">
      <c r="A6" s="67">
        <v>2</v>
      </c>
      <c r="B6" s="67" t="s">
        <v>121</v>
      </c>
      <c r="C6" s="68" t="s">
        <v>125</v>
      </c>
      <c r="D6" s="49" t="s">
        <v>126</v>
      </c>
      <c r="E6" s="70" t="s">
        <v>127</v>
      </c>
      <c r="F6" s="15">
        <v>1072039</v>
      </c>
      <c r="G6" s="1">
        <f t="shared" ref="G6:G54" si="4">IF(F6="","",$G$4)</f>
        <v>101</v>
      </c>
      <c r="H6" s="1">
        <f t="shared" ref="H6:H54" si="5">IF(F6="","",$H$4)</f>
        <v>306</v>
      </c>
      <c r="I6" s="12"/>
      <c r="J6" s="12">
        <v>100</v>
      </c>
      <c r="K6" s="12">
        <v>100</v>
      </c>
      <c r="L6" s="12">
        <v>100</v>
      </c>
      <c r="M6" s="12">
        <v>100</v>
      </c>
      <c r="N6" s="12"/>
      <c r="O6" s="12"/>
      <c r="P6" s="2">
        <f t="shared" si="0"/>
        <v>100</v>
      </c>
      <c r="Q6" s="12"/>
      <c r="R6" s="3">
        <f t="shared" si="1"/>
        <v>100</v>
      </c>
      <c r="S6" s="12"/>
      <c r="T6" s="12"/>
      <c r="U6" s="55">
        <v>0</v>
      </c>
      <c r="V6" s="58">
        <f>IF(U6="","",((H6/2)-U6)*100/(H6/2))</f>
        <v>100</v>
      </c>
      <c r="W6" s="56">
        <v>100</v>
      </c>
      <c r="X6" s="12">
        <v>100</v>
      </c>
      <c r="Y6" s="12">
        <v>88</v>
      </c>
      <c r="Z6" s="12">
        <v>100</v>
      </c>
      <c r="AA6" s="12"/>
      <c r="AB6" s="12"/>
      <c r="AC6" s="2">
        <f t="shared" si="2"/>
        <v>97</v>
      </c>
      <c r="AD6" s="12"/>
      <c r="AE6" s="3">
        <f t="shared" si="3"/>
        <v>97</v>
      </c>
      <c r="AF6" s="12"/>
      <c r="AG6" s="12"/>
      <c r="AH6" s="55">
        <v>0</v>
      </c>
      <c r="AI6" s="58">
        <f t="shared" ref="AI6:AI54" si="6">IF(AH6="","",((H6/2)-AH6)*100/(H6/2))</f>
        <v>100</v>
      </c>
      <c r="AJ6" s="63">
        <f t="shared" ref="AJ6:AJ54" si="7">IFERROR(AVERAGE(P6,AC6),"")</f>
        <v>98.5</v>
      </c>
      <c r="AK6" s="2" t="str">
        <f t="shared" ref="AK6:AK54" si="8">IFERROR(AVERAGE(Q6,AD6),"")</f>
        <v/>
      </c>
      <c r="AL6" s="3">
        <f t="shared" ref="AL6:AL54" si="9">IFERROR(AVERAGE(R6,AE6),"")</f>
        <v>98.5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67">
        <v>2</v>
      </c>
      <c r="B7" s="67" t="s">
        <v>121</v>
      </c>
      <c r="C7" s="68" t="s">
        <v>128</v>
      </c>
      <c r="D7" s="49" t="s">
        <v>129</v>
      </c>
      <c r="E7" s="70" t="s">
        <v>130</v>
      </c>
      <c r="F7" s="15">
        <v>1072039</v>
      </c>
      <c r="G7" s="1">
        <f t="shared" si="4"/>
        <v>101</v>
      </c>
      <c r="H7" s="1">
        <f t="shared" si="5"/>
        <v>306</v>
      </c>
      <c r="I7" s="12"/>
      <c r="J7" s="12">
        <v>78</v>
      </c>
      <c r="K7" s="12">
        <v>89</v>
      </c>
      <c r="L7" s="12">
        <v>40</v>
      </c>
      <c r="M7" s="12">
        <v>89</v>
      </c>
      <c r="N7" s="12"/>
      <c r="O7" s="12"/>
      <c r="P7" s="2">
        <f t="shared" si="0"/>
        <v>74</v>
      </c>
      <c r="Q7" s="12"/>
      <c r="R7" s="3">
        <f t="shared" si="1"/>
        <v>74</v>
      </c>
      <c r="S7" s="12"/>
      <c r="T7" s="12"/>
      <c r="U7" s="55">
        <v>2</v>
      </c>
      <c r="V7" s="58">
        <f t="shared" ref="V7:V54" si="14">IF(U7="","",((H7/2)-U7)*100/(H7/2))</f>
        <v>98.692810457516345</v>
      </c>
      <c r="W7" s="56">
        <v>90</v>
      </c>
      <c r="X7" s="12">
        <v>100</v>
      </c>
      <c r="Y7" s="12">
        <v>90</v>
      </c>
      <c r="Z7" s="12">
        <v>100</v>
      </c>
      <c r="AA7" s="12"/>
      <c r="AB7" s="12"/>
      <c r="AC7" s="2">
        <f t="shared" si="2"/>
        <v>95</v>
      </c>
      <c r="AD7" s="12"/>
      <c r="AE7" s="3">
        <f t="shared" si="3"/>
        <v>95</v>
      </c>
      <c r="AF7" s="12"/>
      <c r="AG7" s="12"/>
      <c r="AH7" s="55">
        <v>2</v>
      </c>
      <c r="AI7" s="58">
        <f t="shared" si="6"/>
        <v>98.692810457516345</v>
      </c>
      <c r="AJ7" s="63">
        <f>IFERROR(AVERAGE(P7,AC7),"")</f>
        <v>84.5</v>
      </c>
      <c r="AK7" s="2" t="str">
        <f t="shared" si="8"/>
        <v/>
      </c>
      <c r="AL7" s="3">
        <f t="shared" si="9"/>
        <v>84.5</v>
      </c>
      <c r="AM7" s="4">
        <f t="shared" si="10"/>
        <v>5</v>
      </c>
      <c r="AN7" s="2" t="str">
        <f t="shared" si="11"/>
        <v/>
      </c>
      <c r="AO7" s="12"/>
      <c r="AP7" s="5">
        <f t="shared" si="12"/>
        <v>4</v>
      </c>
      <c r="AQ7" s="28">
        <f t="shared" si="13"/>
        <v>98.692810457516345</v>
      </c>
    </row>
    <row r="8" spans="1:43" ht="18.149999999999999" customHeight="1" thickBot="1" x14ac:dyDescent="0.35">
      <c r="A8" s="67">
        <v>2</v>
      </c>
      <c r="B8" s="67" t="s">
        <v>121</v>
      </c>
      <c r="C8" s="68" t="s">
        <v>131</v>
      </c>
      <c r="D8" s="49" t="s">
        <v>132</v>
      </c>
      <c r="E8" s="70" t="s">
        <v>133</v>
      </c>
      <c r="F8" s="15">
        <v>1072039</v>
      </c>
      <c r="G8" s="1">
        <f t="shared" si="4"/>
        <v>101</v>
      </c>
      <c r="H8" s="1">
        <f t="shared" si="5"/>
        <v>306</v>
      </c>
      <c r="I8" s="12"/>
      <c r="J8" s="12">
        <v>96</v>
      </c>
      <c r="K8" s="12">
        <v>94</v>
      </c>
      <c r="L8" s="12">
        <v>100</v>
      </c>
      <c r="M8" s="12">
        <v>100</v>
      </c>
      <c r="N8" s="12"/>
      <c r="O8" s="12"/>
      <c r="P8" s="2">
        <f t="shared" si="0"/>
        <v>97.5</v>
      </c>
      <c r="Q8" s="12"/>
      <c r="R8" s="3">
        <f t="shared" si="1"/>
        <v>97.5</v>
      </c>
      <c r="S8" s="12"/>
      <c r="T8" s="12"/>
      <c r="U8" s="55">
        <v>0</v>
      </c>
      <c r="V8" s="58">
        <f t="shared" si="14"/>
        <v>100</v>
      </c>
      <c r="W8" s="56">
        <v>100</v>
      </c>
      <c r="X8" s="12">
        <v>86</v>
      </c>
      <c r="Y8" s="12">
        <v>95</v>
      </c>
      <c r="Z8" s="12">
        <v>95</v>
      </c>
      <c r="AA8" s="12"/>
      <c r="AB8" s="12"/>
      <c r="AC8" s="2">
        <f t="shared" si="2"/>
        <v>94</v>
      </c>
      <c r="AD8" s="12"/>
      <c r="AE8" s="3">
        <f t="shared" si="3"/>
        <v>94</v>
      </c>
      <c r="AF8" s="12"/>
      <c r="AG8" s="12"/>
      <c r="AH8" s="55">
        <v>0</v>
      </c>
      <c r="AI8" s="58">
        <f t="shared" si="6"/>
        <v>100</v>
      </c>
      <c r="AJ8" s="63">
        <f t="shared" si="7"/>
        <v>95.75</v>
      </c>
      <c r="AK8" s="2" t="str">
        <f t="shared" si="8"/>
        <v/>
      </c>
      <c r="AL8" s="3">
        <f t="shared" si="9"/>
        <v>95.75</v>
      </c>
      <c r="AM8" s="4">
        <f t="shared" si="10"/>
        <v>5</v>
      </c>
      <c r="AN8" s="2" t="str">
        <f t="shared" si="11"/>
        <v/>
      </c>
      <c r="AO8" s="12"/>
      <c r="AP8" s="5">
        <f t="shared" si="12"/>
        <v>0</v>
      </c>
      <c r="AQ8" s="28">
        <f t="shared" si="13"/>
        <v>100</v>
      </c>
    </row>
    <row r="9" spans="1:43" ht="18.149999999999999" customHeight="1" thickBot="1" x14ac:dyDescent="0.35">
      <c r="A9" s="67">
        <v>2</v>
      </c>
      <c r="B9" s="67" t="s">
        <v>121</v>
      </c>
      <c r="C9" s="68" t="s">
        <v>134</v>
      </c>
      <c r="D9" s="49" t="s">
        <v>135</v>
      </c>
      <c r="E9" s="70" t="s">
        <v>136</v>
      </c>
      <c r="F9" s="15">
        <v>1072039</v>
      </c>
      <c r="G9" s="1">
        <f t="shared" si="4"/>
        <v>101</v>
      </c>
      <c r="H9" s="1">
        <f t="shared" si="5"/>
        <v>306</v>
      </c>
      <c r="I9" s="12"/>
      <c r="J9" s="12">
        <v>86</v>
      </c>
      <c r="K9" s="12">
        <v>100</v>
      </c>
      <c r="L9" s="12">
        <v>100</v>
      </c>
      <c r="M9" s="12">
        <v>100</v>
      </c>
      <c r="N9" s="12"/>
      <c r="O9" s="12"/>
      <c r="P9" s="2">
        <f t="shared" si="0"/>
        <v>96.5</v>
      </c>
      <c r="Q9" s="12"/>
      <c r="R9" s="3">
        <f t="shared" si="1"/>
        <v>96.5</v>
      </c>
      <c r="S9" s="12"/>
      <c r="T9" s="12"/>
      <c r="U9" s="55">
        <v>0</v>
      </c>
      <c r="V9" s="58">
        <f t="shared" si="14"/>
        <v>100</v>
      </c>
      <c r="W9" s="56">
        <v>100</v>
      </c>
      <c r="X9" s="12">
        <v>100</v>
      </c>
      <c r="Y9" s="12">
        <v>100</v>
      </c>
      <c r="Z9" s="12">
        <v>100</v>
      </c>
      <c r="AA9" s="12"/>
      <c r="AB9" s="12"/>
      <c r="AC9" s="2">
        <f t="shared" si="2"/>
        <v>100</v>
      </c>
      <c r="AD9" s="12"/>
      <c r="AE9" s="3">
        <f t="shared" si="3"/>
        <v>100</v>
      </c>
      <c r="AF9" s="12"/>
      <c r="AG9" s="12"/>
      <c r="AH9" s="55">
        <v>16</v>
      </c>
      <c r="AI9" s="58">
        <f t="shared" si="6"/>
        <v>89.542483660130713</v>
      </c>
      <c r="AJ9" s="63">
        <f t="shared" si="7"/>
        <v>98.25</v>
      </c>
      <c r="AK9" s="2" t="str">
        <f t="shared" si="8"/>
        <v/>
      </c>
      <c r="AL9" s="3">
        <f t="shared" si="9"/>
        <v>98.25</v>
      </c>
      <c r="AM9" s="4">
        <f t="shared" si="10"/>
        <v>5</v>
      </c>
      <c r="AN9" s="2" t="str">
        <f t="shared" si="11"/>
        <v/>
      </c>
      <c r="AO9" s="12"/>
      <c r="AP9" s="5">
        <f t="shared" si="12"/>
        <v>16</v>
      </c>
      <c r="AQ9" s="28">
        <f t="shared" si="13"/>
        <v>94.771241830065364</v>
      </c>
    </row>
    <row r="10" spans="1:43" ht="18.149999999999999" customHeight="1" thickBot="1" x14ac:dyDescent="0.35">
      <c r="A10" s="67">
        <v>2</v>
      </c>
      <c r="B10" s="67" t="s">
        <v>121</v>
      </c>
      <c r="C10" s="68" t="s">
        <v>137</v>
      </c>
      <c r="D10" s="49" t="s">
        <v>138</v>
      </c>
      <c r="E10" s="70" t="s">
        <v>139</v>
      </c>
      <c r="F10" s="15">
        <v>1072039</v>
      </c>
      <c r="G10" s="1">
        <f t="shared" si="4"/>
        <v>101</v>
      </c>
      <c r="H10" s="1">
        <f t="shared" si="5"/>
        <v>306</v>
      </c>
      <c r="I10" s="12"/>
      <c r="J10" s="12">
        <v>96</v>
      </c>
      <c r="K10" s="12">
        <v>95</v>
      </c>
      <c r="L10" s="12">
        <v>77</v>
      </c>
      <c r="M10" s="12">
        <v>100</v>
      </c>
      <c r="N10" s="12"/>
      <c r="O10" s="12"/>
      <c r="P10" s="2">
        <f t="shared" si="0"/>
        <v>92</v>
      </c>
      <c r="Q10" s="12"/>
      <c r="R10" s="3">
        <f t="shared" si="1"/>
        <v>92</v>
      </c>
      <c r="S10" s="12"/>
      <c r="T10" s="12"/>
      <c r="U10" s="55">
        <v>0</v>
      </c>
      <c r="V10" s="58">
        <f t="shared" si="14"/>
        <v>100</v>
      </c>
      <c r="W10" s="56">
        <v>100</v>
      </c>
      <c r="X10" s="12">
        <v>100</v>
      </c>
      <c r="Y10" s="12">
        <v>100</v>
      </c>
      <c r="Z10" s="12">
        <v>100</v>
      </c>
      <c r="AA10" s="12"/>
      <c r="AB10" s="12"/>
      <c r="AC10" s="2">
        <f t="shared" si="2"/>
        <v>100</v>
      </c>
      <c r="AD10" s="12"/>
      <c r="AE10" s="3">
        <f t="shared" si="3"/>
        <v>100</v>
      </c>
      <c r="AF10" s="12"/>
      <c r="AG10" s="12"/>
      <c r="AH10" s="55">
        <v>0</v>
      </c>
      <c r="AI10" s="58">
        <f t="shared" si="6"/>
        <v>100</v>
      </c>
      <c r="AJ10" s="63">
        <f t="shared" si="7"/>
        <v>96</v>
      </c>
      <c r="AK10" s="2" t="str">
        <f t="shared" si="8"/>
        <v/>
      </c>
      <c r="AL10" s="3">
        <f t="shared" si="9"/>
        <v>96</v>
      </c>
      <c r="AM10" s="4">
        <f t="shared" si="10"/>
        <v>5</v>
      </c>
      <c r="AN10" s="2" t="str">
        <f t="shared" si="11"/>
        <v/>
      </c>
      <c r="AO10" s="12"/>
      <c r="AP10" s="5">
        <f t="shared" si="12"/>
        <v>0</v>
      </c>
      <c r="AQ10" s="28">
        <f t="shared" si="13"/>
        <v>100</v>
      </c>
    </row>
    <row r="11" spans="1:43" ht="18.149999999999999" customHeight="1" thickBot="1" x14ac:dyDescent="0.35">
      <c r="A11" s="67">
        <v>2</v>
      </c>
      <c r="B11" s="67" t="s">
        <v>121</v>
      </c>
      <c r="C11" s="68" t="s">
        <v>140</v>
      </c>
      <c r="D11" s="49" t="s">
        <v>141</v>
      </c>
      <c r="E11" s="70" t="s">
        <v>142</v>
      </c>
      <c r="F11" s="15">
        <v>1072039</v>
      </c>
      <c r="G11" s="1">
        <f t="shared" si="4"/>
        <v>101</v>
      </c>
      <c r="H11" s="1">
        <f t="shared" si="5"/>
        <v>306</v>
      </c>
      <c r="I11" s="12"/>
      <c r="J11" s="12">
        <v>94</v>
      </c>
      <c r="K11" s="12">
        <v>61</v>
      </c>
      <c r="L11" s="12">
        <v>75</v>
      </c>
      <c r="M11" s="12">
        <v>74</v>
      </c>
      <c r="N11" s="12"/>
      <c r="O11" s="12"/>
      <c r="P11" s="2">
        <f t="shared" si="0"/>
        <v>76</v>
      </c>
      <c r="Q11" s="12"/>
      <c r="R11" s="3">
        <f t="shared" si="1"/>
        <v>76</v>
      </c>
      <c r="S11" s="12"/>
      <c r="T11" s="12"/>
      <c r="U11" s="55">
        <v>0</v>
      </c>
      <c r="V11" s="58">
        <f t="shared" si="14"/>
        <v>100</v>
      </c>
      <c r="W11" s="56">
        <v>90</v>
      </c>
      <c r="X11" s="12">
        <v>75</v>
      </c>
      <c r="Y11" s="12">
        <v>67</v>
      </c>
      <c r="Z11" s="12">
        <v>92</v>
      </c>
      <c r="AA11" s="12"/>
      <c r="AB11" s="12"/>
      <c r="AC11" s="2">
        <f t="shared" si="2"/>
        <v>81</v>
      </c>
      <c r="AD11" s="12"/>
      <c r="AE11" s="3">
        <f t="shared" si="3"/>
        <v>81</v>
      </c>
      <c r="AF11" s="12"/>
      <c r="AG11" s="12"/>
      <c r="AH11" s="55">
        <v>0</v>
      </c>
      <c r="AI11" s="58">
        <f t="shared" si="6"/>
        <v>100</v>
      </c>
      <c r="AJ11" s="63">
        <f t="shared" si="7"/>
        <v>78.5</v>
      </c>
      <c r="AK11" s="2" t="str">
        <f t="shared" si="8"/>
        <v/>
      </c>
      <c r="AL11" s="3">
        <f t="shared" si="9"/>
        <v>78.5</v>
      </c>
      <c r="AM11" s="4">
        <f t="shared" si="10"/>
        <v>4</v>
      </c>
      <c r="AN11" s="2" t="str">
        <f t="shared" si="11"/>
        <v/>
      </c>
      <c r="AO11" s="12"/>
      <c r="AP11" s="5">
        <f t="shared" si="12"/>
        <v>0</v>
      </c>
      <c r="AQ11" s="28">
        <f t="shared" si="13"/>
        <v>100</v>
      </c>
    </row>
    <row r="12" spans="1:43" ht="18.149999999999999" customHeight="1" thickBot="1" x14ac:dyDescent="0.35">
      <c r="A12" s="67">
        <v>2</v>
      </c>
      <c r="B12" s="67" t="s">
        <v>121</v>
      </c>
      <c r="C12" s="68" t="s">
        <v>143</v>
      </c>
      <c r="D12" s="49" t="s">
        <v>144</v>
      </c>
      <c r="E12" s="70" t="s">
        <v>133</v>
      </c>
      <c r="F12" s="15">
        <v>1072039</v>
      </c>
      <c r="G12" s="1">
        <f t="shared" si="4"/>
        <v>101</v>
      </c>
      <c r="H12" s="1">
        <f t="shared" si="5"/>
        <v>306</v>
      </c>
      <c r="I12" s="12"/>
      <c r="J12" s="12">
        <v>60</v>
      </c>
      <c r="K12" s="12">
        <v>49</v>
      </c>
      <c r="L12" s="12">
        <v>34</v>
      </c>
      <c r="M12" s="12">
        <v>33</v>
      </c>
      <c r="N12" s="12"/>
      <c r="O12" s="12"/>
      <c r="P12" s="2">
        <f t="shared" si="0"/>
        <v>44</v>
      </c>
      <c r="Q12" s="12"/>
      <c r="R12" s="3">
        <f t="shared" si="1"/>
        <v>44</v>
      </c>
      <c r="S12" s="12"/>
      <c r="T12" s="12"/>
      <c r="U12" s="55">
        <v>21</v>
      </c>
      <c r="V12" s="58">
        <f t="shared" si="14"/>
        <v>86.274509803921575</v>
      </c>
      <c r="W12" s="56">
        <v>75</v>
      </c>
      <c r="X12" s="12">
        <v>43</v>
      </c>
      <c r="Y12" s="12">
        <v>45</v>
      </c>
      <c r="Z12" s="12">
        <v>60</v>
      </c>
      <c r="AA12" s="12"/>
      <c r="AB12" s="12"/>
      <c r="AC12" s="2">
        <f t="shared" si="2"/>
        <v>55.75</v>
      </c>
      <c r="AD12" s="12"/>
      <c r="AE12" s="3">
        <f t="shared" si="3"/>
        <v>55.75</v>
      </c>
      <c r="AF12" s="12"/>
      <c r="AG12" s="12"/>
      <c r="AH12" s="55">
        <v>8</v>
      </c>
      <c r="AI12" s="58">
        <f t="shared" si="6"/>
        <v>94.771241830065364</v>
      </c>
      <c r="AJ12" s="63">
        <f t="shared" si="7"/>
        <v>49.875</v>
      </c>
      <c r="AK12" s="2" t="str">
        <f t="shared" si="8"/>
        <v/>
      </c>
      <c r="AL12" s="3">
        <f t="shared" si="9"/>
        <v>49.875</v>
      </c>
      <c r="AM12" s="4">
        <f t="shared" si="10"/>
        <v>3</v>
      </c>
      <c r="AN12" s="2" t="str">
        <f t="shared" si="11"/>
        <v/>
      </c>
      <c r="AO12" s="12"/>
      <c r="AP12" s="5">
        <f t="shared" si="12"/>
        <v>29</v>
      </c>
      <c r="AQ12" s="28">
        <f t="shared" si="13"/>
        <v>90.522875816993462</v>
      </c>
    </row>
    <row r="13" spans="1:43" ht="18.149999999999999" customHeight="1" thickBot="1" x14ac:dyDescent="0.35">
      <c r="A13" s="67">
        <v>2</v>
      </c>
      <c r="B13" s="67" t="s">
        <v>121</v>
      </c>
      <c r="C13" s="68" t="s">
        <v>145</v>
      </c>
      <c r="D13" s="49" t="s">
        <v>146</v>
      </c>
      <c r="E13" s="70" t="s">
        <v>147</v>
      </c>
      <c r="F13" s="15">
        <v>1072039</v>
      </c>
      <c r="G13" s="1">
        <f t="shared" si="4"/>
        <v>101</v>
      </c>
      <c r="H13" s="1">
        <f t="shared" si="5"/>
        <v>306</v>
      </c>
      <c r="I13" s="12"/>
      <c r="J13" s="12">
        <v>82</v>
      </c>
      <c r="K13" s="12">
        <v>79</v>
      </c>
      <c r="L13" s="12">
        <v>85</v>
      </c>
      <c r="M13" s="12">
        <v>83</v>
      </c>
      <c r="N13" s="12"/>
      <c r="O13" s="12"/>
      <c r="P13" s="2">
        <f t="shared" si="0"/>
        <v>82.25</v>
      </c>
      <c r="Q13" s="12"/>
      <c r="R13" s="3">
        <f t="shared" si="1"/>
        <v>82.25</v>
      </c>
      <c r="S13" s="12"/>
      <c r="T13" s="12"/>
      <c r="U13" s="55">
        <v>1</v>
      </c>
      <c r="V13" s="58">
        <f t="shared" si="14"/>
        <v>99.346405228758172</v>
      </c>
      <c r="W13" s="56">
        <v>90</v>
      </c>
      <c r="X13" s="12">
        <v>89</v>
      </c>
      <c r="Y13" s="12">
        <v>89</v>
      </c>
      <c r="Z13" s="12">
        <v>100</v>
      </c>
      <c r="AA13" s="12"/>
      <c r="AB13" s="12"/>
      <c r="AC13" s="2">
        <f t="shared" si="2"/>
        <v>92</v>
      </c>
      <c r="AD13" s="12"/>
      <c r="AE13" s="3">
        <f t="shared" si="3"/>
        <v>92</v>
      </c>
      <c r="AF13" s="12"/>
      <c r="AG13" s="12"/>
      <c r="AH13" s="55">
        <v>0</v>
      </c>
      <c r="AI13" s="58">
        <f t="shared" si="6"/>
        <v>100</v>
      </c>
      <c r="AJ13" s="63">
        <f t="shared" si="7"/>
        <v>87.125</v>
      </c>
      <c r="AK13" s="2" t="str">
        <f t="shared" si="8"/>
        <v/>
      </c>
      <c r="AL13" s="3">
        <f t="shared" si="9"/>
        <v>87.125</v>
      </c>
      <c r="AM13" s="4">
        <f t="shared" si="10"/>
        <v>5</v>
      </c>
      <c r="AN13" s="2" t="str">
        <f t="shared" si="11"/>
        <v/>
      </c>
      <c r="AO13" s="12"/>
      <c r="AP13" s="5">
        <f t="shared" si="12"/>
        <v>1</v>
      </c>
      <c r="AQ13" s="28">
        <f t="shared" si="13"/>
        <v>99.673202614379079</v>
      </c>
    </row>
    <row r="14" spans="1:43" ht="18.149999999999999" customHeight="1" thickBot="1" x14ac:dyDescent="0.35">
      <c r="A14" s="67">
        <v>2</v>
      </c>
      <c r="B14" s="67" t="s">
        <v>121</v>
      </c>
      <c r="C14" s="68" t="s">
        <v>148</v>
      </c>
      <c r="D14" s="49" t="s">
        <v>149</v>
      </c>
      <c r="E14" s="70" t="s">
        <v>150</v>
      </c>
      <c r="F14" s="15">
        <v>1072039</v>
      </c>
      <c r="G14" s="1">
        <f t="shared" si="4"/>
        <v>101</v>
      </c>
      <c r="H14" s="1">
        <f t="shared" si="5"/>
        <v>306</v>
      </c>
      <c r="I14" s="12"/>
      <c r="J14" s="12">
        <v>97</v>
      </c>
      <c r="K14" s="12">
        <v>100</v>
      </c>
      <c r="L14" s="12">
        <v>100</v>
      </c>
      <c r="M14" s="12">
        <v>100</v>
      </c>
      <c r="N14" s="12"/>
      <c r="O14" s="12"/>
      <c r="P14" s="2">
        <f t="shared" si="0"/>
        <v>99.25</v>
      </c>
      <c r="Q14" s="12"/>
      <c r="R14" s="3">
        <f t="shared" si="1"/>
        <v>99.25</v>
      </c>
      <c r="S14" s="12"/>
      <c r="T14" s="12"/>
      <c r="U14" s="55">
        <v>0</v>
      </c>
      <c r="V14" s="58">
        <f t="shared" si="14"/>
        <v>100</v>
      </c>
      <c r="W14" s="56">
        <v>100</v>
      </c>
      <c r="X14" s="12">
        <v>100</v>
      </c>
      <c r="Y14" s="12">
        <v>100</v>
      </c>
      <c r="Z14" s="12">
        <v>100</v>
      </c>
      <c r="AA14" s="12"/>
      <c r="AB14" s="12"/>
      <c r="AC14" s="2">
        <f t="shared" si="2"/>
        <v>100</v>
      </c>
      <c r="AD14" s="12"/>
      <c r="AE14" s="3">
        <f t="shared" si="3"/>
        <v>100</v>
      </c>
      <c r="AF14" s="12"/>
      <c r="AG14" s="12"/>
      <c r="AH14" s="55">
        <v>0</v>
      </c>
      <c r="AI14" s="58">
        <f t="shared" si="6"/>
        <v>100</v>
      </c>
      <c r="AJ14" s="63">
        <f t="shared" si="7"/>
        <v>99.625</v>
      </c>
      <c r="AK14" s="2" t="str">
        <f t="shared" si="8"/>
        <v/>
      </c>
      <c r="AL14" s="3">
        <f t="shared" si="9"/>
        <v>99.625</v>
      </c>
      <c r="AM14" s="4">
        <f t="shared" si="10"/>
        <v>5</v>
      </c>
      <c r="AN14" s="2" t="str">
        <f t="shared" si="11"/>
        <v/>
      </c>
      <c r="AO14" s="12"/>
      <c r="AP14" s="5">
        <f t="shared" si="12"/>
        <v>0</v>
      </c>
      <c r="AQ14" s="28">
        <f t="shared" si="13"/>
        <v>100</v>
      </c>
    </row>
    <row r="15" spans="1:43" ht="18.149999999999999" customHeight="1" thickBot="1" x14ac:dyDescent="0.35">
      <c r="A15" s="67">
        <v>2</v>
      </c>
      <c r="B15" s="67" t="s">
        <v>121</v>
      </c>
      <c r="C15" s="49" t="s">
        <v>151</v>
      </c>
      <c r="D15" s="49" t="s">
        <v>152</v>
      </c>
      <c r="E15" s="70" t="s">
        <v>153</v>
      </c>
      <c r="F15" s="15">
        <v>1072039</v>
      </c>
      <c r="G15" s="1">
        <f t="shared" si="4"/>
        <v>101</v>
      </c>
      <c r="H15" s="1">
        <f t="shared" si="5"/>
        <v>306</v>
      </c>
      <c r="I15" s="12"/>
      <c r="J15" s="12">
        <v>91</v>
      </c>
      <c r="K15" s="12">
        <v>86</v>
      </c>
      <c r="L15" s="12">
        <v>100</v>
      </c>
      <c r="M15" s="12">
        <v>100</v>
      </c>
      <c r="N15" s="12"/>
      <c r="O15" s="12"/>
      <c r="P15" s="2">
        <f t="shared" si="0"/>
        <v>94.25</v>
      </c>
      <c r="Q15" s="12"/>
      <c r="R15" s="3">
        <f t="shared" si="1"/>
        <v>94.25</v>
      </c>
      <c r="S15" s="12"/>
      <c r="T15" s="12"/>
      <c r="U15" s="55">
        <v>2</v>
      </c>
      <c r="V15" s="58">
        <f t="shared" si="14"/>
        <v>98.692810457516345</v>
      </c>
      <c r="W15" s="56">
        <v>100</v>
      </c>
      <c r="X15" s="12">
        <v>93</v>
      </c>
      <c r="Y15" s="12">
        <v>100</v>
      </c>
      <c r="Z15" s="12">
        <v>93</v>
      </c>
      <c r="AA15" s="12"/>
      <c r="AB15" s="12"/>
      <c r="AC15" s="2">
        <f t="shared" si="2"/>
        <v>96.5</v>
      </c>
      <c r="AD15" s="12"/>
      <c r="AE15" s="3">
        <f t="shared" si="3"/>
        <v>96.5</v>
      </c>
      <c r="AF15" s="12"/>
      <c r="AG15" s="12"/>
      <c r="AH15" s="55">
        <v>0</v>
      </c>
      <c r="AI15" s="58">
        <f t="shared" si="6"/>
        <v>100</v>
      </c>
      <c r="AJ15" s="63">
        <f t="shared" si="7"/>
        <v>95.375</v>
      </c>
      <c r="AK15" s="2" t="str">
        <f t="shared" si="8"/>
        <v/>
      </c>
      <c r="AL15" s="3">
        <f t="shared" si="9"/>
        <v>95.375</v>
      </c>
      <c r="AM15" s="4">
        <f t="shared" si="10"/>
        <v>5</v>
      </c>
      <c r="AN15" s="2" t="str">
        <f t="shared" si="11"/>
        <v/>
      </c>
      <c r="AO15" s="12"/>
      <c r="AP15" s="5">
        <f t="shared" si="12"/>
        <v>2</v>
      </c>
      <c r="AQ15" s="28">
        <f t="shared" si="13"/>
        <v>99.346405228758172</v>
      </c>
    </row>
    <row r="16" spans="1:43" ht="18.149999999999999" customHeight="1" thickBot="1" x14ac:dyDescent="0.35">
      <c r="A16" s="67">
        <v>2</v>
      </c>
      <c r="B16" s="67" t="s">
        <v>121</v>
      </c>
      <c r="C16" s="49" t="s">
        <v>154</v>
      </c>
      <c r="D16" s="49" t="s">
        <v>155</v>
      </c>
      <c r="E16" s="70" t="s">
        <v>156</v>
      </c>
      <c r="F16" s="15">
        <v>1072039</v>
      </c>
      <c r="G16" s="1">
        <f t="shared" si="4"/>
        <v>101</v>
      </c>
      <c r="H16" s="1">
        <f t="shared" si="5"/>
        <v>306</v>
      </c>
      <c r="I16" s="12"/>
      <c r="J16" s="12">
        <v>94</v>
      </c>
      <c r="K16" s="12">
        <v>93</v>
      </c>
      <c r="L16" s="12">
        <v>85</v>
      </c>
      <c r="M16" s="12">
        <v>100</v>
      </c>
      <c r="N16" s="12"/>
      <c r="O16" s="12"/>
      <c r="P16" s="2">
        <f t="shared" si="0"/>
        <v>93</v>
      </c>
      <c r="Q16" s="12"/>
      <c r="R16" s="3">
        <f t="shared" si="1"/>
        <v>93</v>
      </c>
      <c r="S16" s="12"/>
      <c r="T16" s="12"/>
      <c r="U16" s="55">
        <v>0</v>
      </c>
      <c r="V16" s="58">
        <f t="shared" si="14"/>
        <v>100</v>
      </c>
      <c r="W16" s="56">
        <v>100</v>
      </c>
      <c r="X16" s="12">
        <v>81</v>
      </c>
      <c r="Y16" s="12">
        <v>100</v>
      </c>
      <c r="Z16" s="12">
        <v>100</v>
      </c>
      <c r="AA16" s="12"/>
      <c r="AB16" s="12"/>
      <c r="AC16" s="2">
        <f t="shared" si="2"/>
        <v>95.25</v>
      </c>
      <c r="AD16" s="12"/>
      <c r="AE16" s="3">
        <f t="shared" si="3"/>
        <v>95.25</v>
      </c>
      <c r="AF16" s="12"/>
      <c r="AG16" s="12"/>
      <c r="AH16" s="55">
        <v>0</v>
      </c>
      <c r="AI16" s="58">
        <f t="shared" si="6"/>
        <v>100</v>
      </c>
      <c r="AJ16" s="63">
        <f t="shared" si="7"/>
        <v>94.125</v>
      </c>
      <c r="AK16" s="2" t="str">
        <f t="shared" si="8"/>
        <v/>
      </c>
      <c r="AL16" s="3">
        <f t="shared" si="9"/>
        <v>94.125</v>
      </c>
      <c r="AM16" s="4">
        <f t="shared" si="10"/>
        <v>5</v>
      </c>
      <c r="AN16" s="2" t="str">
        <f t="shared" si="11"/>
        <v/>
      </c>
      <c r="AO16" s="12"/>
      <c r="AP16" s="5">
        <f t="shared" si="12"/>
        <v>0</v>
      </c>
      <c r="AQ16" s="28">
        <f t="shared" si="13"/>
        <v>100</v>
      </c>
    </row>
    <row r="17" spans="1:43" ht="18.149999999999999" customHeight="1" thickBot="1" x14ac:dyDescent="0.35">
      <c r="A17" s="67">
        <v>2</v>
      </c>
      <c r="B17" s="67" t="s">
        <v>121</v>
      </c>
      <c r="C17" s="49" t="s">
        <v>157</v>
      </c>
      <c r="D17" s="49" t="s">
        <v>144</v>
      </c>
      <c r="E17" s="70" t="s">
        <v>158</v>
      </c>
      <c r="F17" s="15">
        <v>1072039</v>
      </c>
      <c r="G17" s="1">
        <f t="shared" si="4"/>
        <v>101</v>
      </c>
      <c r="H17" s="1">
        <f t="shared" si="5"/>
        <v>306</v>
      </c>
      <c r="I17" s="12"/>
      <c r="J17" s="12">
        <v>58</v>
      </c>
      <c r="K17" s="12">
        <v>45</v>
      </c>
      <c r="L17" s="12">
        <v>82</v>
      </c>
      <c r="M17" s="12">
        <v>94</v>
      </c>
      <c r="N17" s="12"/>
      <c r="O17" s="12"/>
      <c r="P17" s="2">
        <f t="shared" si="0"/>
        <v>69.75</v>
      </c>
      <c r="Q17" s="12"/>
      <c r="R17" s="3">
        <f t="shared" si="1"/>
        <v>69.75</v>
      </c>
      <c r="S17" s="12"/>
      <c r="T17" s="12"/>
      <c r="U17" s="55">
        <v>0</v>
      </c>
      <c r="V17" s="58">
        <f t="shared" si="14"/>
        <v>100</v>
      </c>
      <c r="W17" s="56">
        <v>65</v>
      </c>
      <c r="X17" s="12">
        <v>63</v>
      </c>
      <c r="Y17" s="12">
        <v>57</v>
      </c>
      <c r="Z17" s="12">
        <v>57</v>
      </c>
      <c r="AA17" s="12"/>
      <c r="AB17" s="12"/>
      <c r="AC17" s="2">
        <f t="shared" si="2"/>
        <v>60.5</v>
      </c>
      <c r="AD17" s="12"/>
      <c r="AE17" s="3">
        <f t="shared" si="3"/>
        <v>60.5</v>
      </c>
      <c r="AF17" s="12"/>
      <c r="AG17" s="12"/>
      <c r="AH17" s="55">
        <v>0</v>
      </c>
      <c r="AI17" s="58">
        <f t="shared" si="6"/>
        <v>100</v>
      </c>
      <c r="AJ17" s="63">
        <f t="shared" si="7"/>
        <v>65.125</v>
      </c>
      <c r="AK17" s="2" t="str">
        <f t="shared" si="8"/>
        <v/>
      </c>
      <c r="AL17" s="3">
        <f t="shared" si="9"/>
        <v>65.125</v>
      </c>
      <c r="AM17" s="4">
        <f t="shared" si="10"/>
        <v>4</v>
      </c>
      <c r="AN17" s="2" t="str">
        <f t="shared" si="11"/>
        <v/>
      </c>
      <c r="AO17" s="12"/>
      <c r="AP17" s="5">
        <f t="shared" si="12"/>
        <v>0</v>
      </c>
      <c r="AQ17" s="28">
        <f t="shared" si="13"/>
        <v>100</v>
      </c>
    </row>
    <row r="18" spans="1:43" ht="18.149999999999999" customHeight="1" thickBot="1" x14ac:dyDescent="0.35">
      <c r="A18" s="67">
        <v>2</v>
      </c>
      <c r="B18" s="67" t="s">
        <v>121</v>
      </c>
      <c r="C18" s="49" t="s">
        <v>159</v>
      </c>
      <c r="D18" s="49" t="s">
        <v>160</v>
      </c>
      <c r="E18" s="70" t="s">
        <v>161</v>
      </c>
      <c r="F18" s="15">
        <v>1072039</v>
      </c>
      <c r="G18" s="1">
        <f t="shared" si="4"/>
        <v>101</v>
      </c>
      <c r="H18" s="1">
        <f t="shared" si="5"/>
        <v>306</v>
      </c>
      <c r="I18" s="12"/>
      <c r="J18" s="12">
        <v>50</v>
      </c>
      <c r="K18" s="12">
        <v>51</v>
      </c>
      <c r="L18" s="12">
        <v>50</v>
      </c>
      <c r="M18" s="12">
        <v>45</v>
      </c>
      <c r="N18" s="12"/>
      <c r="O18" s="12"/>
      <c r="P18" s="2">
        <f t="shared" si="0"/>
        <v>49</v>
      </c>
      <c r="Q18" s="12"/>
      <c r="R18" s="3">
        <f t="shared" si="1"/>
        <v>49</v>
      </c>
      <c r="S18" s="12"/>
      <c r="T18" s="12"/>
      <c r="U18" s="55">
        <v>1</v>
      </c>
      <c r="V18" s="58">
        <f t="shared" si="14"/>
        <v>99.346405228758172</v>
      </c>
      <c r="W18" s="56">
        <v>65</v>
      </c>
      <c r="X18" s="12">
        <v>43</v>
      </c>
      <c r="Y18" s="12">
        <v>42</v>
      </c>
      <c r="Z18" s="12">
        <v>71</v>
      </c>
      <c r="AA18" s="12"/>
      <c r="AB18" s="12"/>
      <c r="AC18" s="2">
        <f t="shared" si="2"/>
        <v>55.25</v>
      </c>
      <c r="AD18" s="12"/>
      <c r="AE18" s="3">
        <f t="shared" si="3"/>
        <v>55.25</v>
      </c>
      <c r="AF18" s="12"/>
      <c r="AG18" s="12"/>
      <c r="AH18" s="55">
        <v>0</v>
      </c>
      <c r="AI18" s="58">
        <f t="shared" si="6"/>
        <v>100</v>
      </c>
      <c r="AJ18" s="63">
        <f t="shared" si="7"/>
        <v>52.125</v>
      </c>
      <c r="AK18" s="2" t="str">
        <f t="shared" si="8"/>
        <v/>
      </c>
      <c r="AL18" s="3">
        <f t="shared" si="9"/>
        <v>52.125</v>
      </c>
      <c r="AM18" s="4">
        <f t="shared" si="10"/>
        <v>3</v>
      </c>
      <c r="AN18" s="2" t="str">
        <f t="shared" si="11"/>
        <v/>
      </c>
      <c r="AO18" s="12"/>
      <c r="AP18" s="5">
        <f t="shared" si="12"/>
        <v>1</v>
      </c>
      <c r="AQ18" s="28">
        <f t="shared" si="13"/>
        <v>99.673202614379079</v>
      </c>
    </row>
    <row r="19" spans="1:43" ht="18.149999999999999" customHeight="1" thickBot="1" x14ac:dyDescent="0.35">
      <c r="A19" s="67">
        <v>2</v>
      </c>
      <c r="B19" s="67" t="s">
        <v>121</v>
      </c>
      <c r="C19" s="49" t="s">
        <v>162</v>
      </c>
      <c r="D19" s="49" t="s">
        <v>163</v>
      </c>
      <c r="E19" s="70" t="s">
        <v>164</v>
      </c>
      <c r="F19" s="15">
        <v>1072039</v>
      </c>
      <c r="G19" s="1">
        <f t="shared" si="4"/>
        <v>101</v>
      </c>
      <c r="H19" s="1">
        <f t="shared" si="5"/>
        <v>306</v>
      </c>
      <c r="I19" s="12"/>
      <c r="J19" s="12">
        <v>58</v>
      </c>
      <c r="K19" s="12">
        <v>47</v>
      </c>
      <c r="L19" s="12">
        <v>70</v>
      </c>
      <c r="M19" s="12">
        <v>72</v>
      </c>
      <c r="N19" s="12"/>
      <c r="O19" s="12"/>
      <c r="P19" s="2">
        <f t="shared" si="0"/>
        <v>61.75</v>
      </c>
      <c r="Q19" s="12"/>
      <c r="R19" s="3">
        <f t="shared" si="1"/>
        <v>61.75</v>
      </c>
      <c r="S19" s="12"/>
      <c r="T19" s="12"/>
      <c r="U19" s="55">
        <v>4</v>
      </c>
      <c r="V19" s="58">
        <f t="shared" si="14"/>
        <v>97.385620915032675</v>
      </c>
      <c r="W19" s="56">
        <v>70</v>
      </c>
      <c r="X19" s="12">
        <v>70</v>
      </c>
      <c r="Y19" s="12">
        <v>64</v>
      </c>
      <c r="Z19" s="12">
        <v>61</v>
      </c>
      <c r="AA19" s="12"/>
      <c r="AB19" s="12"/>
      <c r="AC19" s="2">
        <f t="shared" si="2"/>
        <v>66.25</v>
      </c>
      <c r="AD19" s="12"/>
      <c r="AE19" s="3">
        <f t="shared" si="3"/>
        <v>66.25</v>
      </c>
      <c r="AF19" s="12"/>
      <c r="AG19" s="12"/>
      <c r="AH19" s="55">
        <v>0</v>
      </c>
      <c r="AI19" s="58">
        <f t="shared" si="6"/>
        <v>100</v>
      </c>
      <c r="AJ19" s="63">
        <f t="shared" si="7"/>
        <v>64</v>
      </c>
      <c r="AK19" s="2" t="str">
        <f t="shared" si="8"/>
        <v/>
      </c>
      <c r="AL19" s="3">
        <f t="shared" si="9"/>
        <v>64</v>
      </c>
      <c r="AM19" s="4">
        <f t="shared" si="10"/>
        <v>4</v>
      </c>
      <c r="AN19" s="2" t="str">
        <f t="shared" si="11"/>
        <v/>
      </c>
      <c r="AO19" s="12"/>
      <c r="AP19" s="5">
        <f t="shared" si="12"/>
        <v>4</v>
      </c>
      <c r="AQ19" s="28">
        <f t="shared" si="13"/>
        <v>98.692810457516345</v>
      </c>
    </row>
    <row r="20" spans="1:43" ht="18.149999999999999" customHeight="1" thickBot="1" x14ac:dyDescent="0.35">
      <c r="A20" s="67">
        <v>2</v>
      </c>
      <c r="B20" s="67" t="s">
        <v>121</v>
      </c>
      <c r="C20" s="49" t="s">
        <v>165</v>
      </c>
      <c r="D20" s="49" t="s">
        <v>166</v>
      </c>
      <c r="E20" s="70" t="s">
        <v>167</v>
      </c>
      <c r="F20" s="15">
        <v>1072039</v>
      </c>
      <c r="G20" s="1">
        <f t="shared" si="4"/>
        <v>101</v>
      </c>
      <c r="H20" s="1">
        <f t="shared" si="5"/>
        <v>306</v>
      </c>
      <c r="I20" s="12"/>
      <c r="J20" s="12">
        <v>100</v>
      </c>
      <c r="K20" s="12">
        <v>94</v>
      </c>
      <c r="L20" s="12">
        <v>100</v>
      </c>
      <c r="M20" s="12">
        <v>100</v>
      </c>
      <c r="N20" s="12"/>
      <c r="O20" s="12"/>
      <c r="P20" s="2">
        <f t="shared" si="0"/>
        <v>98.5</v>
      </c>
      <c r="Q20" s="12"/>
      <c r="R20" s="3">
        <f t="shared" si="1"/>
        <v>98.5</v>
      </c>
      <c r="S20" s="12"/>
      <c r="T20" s="12"/>
      <c r="U20" s="55">
        <v>0</v>
      </c>
      <c r="V20" s="58">
        <f t="shared" si="14"/>
        <v>100</v>
      </c>
      <c r="W20" s="56">
        <v>100</v>
      </c>
      <c r="X20" s="12">
        <v>100</v>
      </c>
      <c r="Y20" s="12">
        <v>100</v>
      </c>
      <c r="Z20" s="12">
        <v>100</v>
      </c>
      <c r="AA20" s="12"/>
      <c r="AB20" s="12"/>
      <c r="AC20" s="2">
        <f t="shared" si="2"/>
        <v>100</v>
      </c>
      <c r="AD20" s="12"/>
      <c r="AE20" s="3">
        <f t="shared" si="3"/>
        <v>100</v>
      </c>
      <c r="AF20" s="12"/>
      <c r="AG20" s="12"/>
      <c r="AH20" s="55">
        <v>0</v>
      </c>
      <c r="AI20" s="58">
        <f t="shared" si="6"/>
        <v>100</v>
      </c>
      <c r="AJ20" s="63">
        <f t="shared" si="7"/>
        <v>99.25</v>
      </c>
      <c r="AK20" s="2" t="str">
        <f t="shared" si="8"/>
        <v/>
      </c>
      <c r="AL20" s="3">
        <f t="shared" si="9"/>
        <v>99.25</v>
      </c>
      <c r="AM20" s="4">
        <f t="shared" si="10"/>
        <v>5</v>
      </c>
      <c r="AN20" s="2" t="str">
        <f t="shared" si="11"/>
        <v/>
      </c>
      <c r="AO20" s="12"/>
      <c r="AP20" s="5">
        <f t="shared" si="12"/>
        <v>0</v>
      </c>
      <c r="AQ20" s="28">
        <f t="shared" si="13"/>
        <v>100</v>
      </c>
    </row>
    <row r="21" spans="1:43" ht="18.149999999999999" customHeight="1" thickBot="1" x14ac:dyDescent="0.35">
      <c r="A21" s="67"/>
      <c r="B21" s="67" t="s">
        <v>121</v>
      </c>
      <c r="C21" s="49" t="s">
        <v>168</v>
      </c>
      <c r="D21" s="49" t="s">
        <v>169</v>
      </c>
      <c r="E21" s="70" t="s">
        <v>170</v>
      </c>
      <c r="F21" s="15">
        <v>1072039</v>
      </c>
      <c r="G21" s="1">
        <f t="shared" si="4"/>
        <v>101</v>
      </c>
      <c r="H21" s="1">
        <f t="shared" si="5"/>
        <v>306</v>
      </c>
      <c r="I21" s="12"/>
      <c r="J21" s="12">
        <v>81</v>
      </c>
      <c r="K21" s="12">
        <v>58</v>
      </c>
      <c r="L21" s="12">
        <v>62</v>
      </c>
      <c r="M21" s="12">
        <v>85</v>
      </c>
      <c r="N21" s="12"/>
      <c r="O21" s="12"/>
      <c r="P21" s="2">
        <f t="shared" si="0"/>
        <v>71.5</v>
      </c>
      <c r="Q21" s="12"/>
      <c r="R21" s="3">
        <f t="shared" si="1"/>
        <v>71.5</v>
      </c>
      <c r="S21" s="12"/>
      <c r="T21" s="12"/>
      <c r="U21" s="55">
        <v>1</v>
      </c>
      <c r="V21" s="58">
        <f t="shared" si="14"/>
        <v>99.346405228758172</v>
      </c>
      <c r="W21" s="56">
        <v>100</v>
      </c>
      <c r="X21" s="12">
        <v>80</v>
      </c>
      <c r="Y21" s="12">
        <v>60</v>
      </c>
      <c r="Z21" s="12">
        <v>69</v>
      </c>
      <c r="AA21" s="12"/>
      <c r="AB21" s="12"/>
      <c r="AC21" s="2">
        <f t="shared" si="2"/>
        <v>77.25</v>
      </c>
      <c r="AD21" s="12"/>
      <c r="AE21" s="3">
        <f t="shared" si="3"/>
        <v>77.25</v>
      </c>
      <c r="AF21" s="12"/>
      <c r="AG21" s="12"/>
      <c r="AH21" s="55">
        <v>5</v>
      </c>
      <c r="AI21" s="58">
        <f t="shared" si="6"/>
        <v>96.732026143790847</v>
      </c>
      <c r="AJ21" s="63">
        <f t="shared" si="7"/>
        <v>74.375</v>
      </c>
      <c r="AK21" s="2" t="str">
        <f t="shared" si="8"/>
        <v/>
      </c>
      <c r="AL21" s="3">
        <f t="shared" si="9"/>
        <v>74.375</v>
      </c>
      <c r="AM21" s="4">
        <f t="shared" si="10"/>
        <v>4</v>
      </c>
      <c r="AN21" s="2" t="str">
        <f t="shared" si="11"/>
        <v/>
      </c>
      <c r="AO21" s="12"/>
      <c r="AP21" s="5">
        <f t="shared" si="12"/>
        <v>6</v>
      </c>
      <c r="AQ21" s="28">
        <f t="shared" si="13"/>
        <v>98.039215686274517</v>
      </c>
    </row>
    <row r="22" spans="1:43" ht="18.149999999999999" customHeight="1" thickBot="1" x14ac:dyDescent="0.35">
      <c r="A22" s="67">
        <v>2</v>
      </c>
      <c r="B22" s="67" t="s">
        <v>121</v>
      </c>
      <c r="C22" s="49" t="s">
        <v>171</v>
      </c>
      <c r="D22" s="49" t="s">
        <v>172</v>
      </c>
      <c r="E22" s="70" t="s">
        <v>173</v>
      </c>
      <c r="F22" s="15">
        <v>1072039</v>
      </c>
      <c r="G22" s="1">
        <f t="shared" si="4"/>
        <v>101</v>
      </c>
      <c r="H22" s="1">
        <f t="shared" si="5"/>
        <v>306</v>
      </c>
      <c r="I22" s="12"/>
      <c r="J22" s="12">
        <v>61</v>
      </c>
      <c r="K22" s="12">
        <v>80</v>
      </c>
      <c r="L22" s="12">
        <v>85</v>
      </c>
      <c r="M22" s="12">
        <v>80</v>
      </c>
      <c r="N22" s="12"/>
      <c r="O22" s="12"/>
      <c r="P22" s="2">
        <f t="shared" si="0"/>
        <v>76.5</v>
      </c>
      <c r="Q22" s="12"/>
      <c r="R22" s="3">
        <f t="shared" si="1"/>
        <v>76.5</v>
      </c>
      <c r="S22" s="12"/>
      <c r="T22" s="12"/>
      <c r="U22" s="55">
        <v>0</v>
      </c>
      <c r="V22" s="58">
        <f t="shared" si="14"/>
        <v>100</v>
      </c>
      <c r="W22" s="56">
        <v>90</v>
      </c>
      <c r="X22" s="12">
        <v>80</v>
      </c>
      <c r="Y22" s="12">
        <v>84</v>
      </c>
      <c r="Z22" s="12">
        <v>90</v>
      </c>
      <c r="AA22" s="12"/>
      <c r="AB22" s="12"/>
      <c r="AC22" s="2">
        <f t="shared" si="2"/>
        <v>86</v>
      </c>
      <c r="AD22" s="12"/>
      <c r="AE22" s="3">
        <f t="shared" si="3"/>
        <v>86</v>
      </c>
      <c r="AF22" s="12"/>
      <c r="AG22" s="12"/>
      <c r="AH22" s="55">
        <v>0</v>
      </c>
      <c r="AI22" s="58">
        <f t="shared" si="6"/>
        <v>100</v>
      </c>
      <c r="AJ22" s="63">
        <f t="shared" si="7"/>
        <v>81.25</v>
      </c>
      <c r="AK22" s="2" t="str">
        <f t="shared" si="8"/>
        <v/>
      </c>
      <c r="AL22" s="3">
        <f t="shared" si="9"/>
        <v>81.25</v>
      </c>
      <c r="AM22" s="4">
        <f t="shared" si="10"/>
        <v>5</v>
      </c>
      <c r="AN22" s="2" t="str">
        <f t="shared" si="11"/>
        <v/>
      </c>
      <c r="AO22" s="12"/>
      <c r="AP22" s="5">
        <f t="shared" si="12"/>
        <v>0</v>
      </c>
      <c r="AQ22" s="28">
        <f t="shared" si="13"/>
        <v>100</v>
      </c>
    </row>
    <row r="23" spans="1:43" ht="18.149999999999999" customHeight="1" thickBot="1" x14ac:dyDescent="0.35">
      <c r="A23" s="67">
        <v>2</v>
      </c>
      <c r="B23" s="67" t="s">
        <v>121</v>
      </c>
      <c r="C23" s="49" t="s">
        <v>174</v>
      </c>
      <c r="D23" s="49" t="s">
        <v>135</v>
      </c>
      <c r="E23" s="70" t="s">
        <v>173</v>
      </c>
      <c r="F23" s="15">
        <v>1072039</v>
      </c>
      <c r="G23" s="1">
        <f t="shared" si="4"/>
        <v>101</v>
      </c>
      <c r="H23" s="1">
        <f t="shared" si="5"/>
        <v>306</v>
      </c>
      <c r="I23" s="12"/>
      <c r="J23" s="12">
        <v>62</v>
      </c>
      <c r="K23" s="12">
        <v>83</v>
      </c>
      <c r="L23" s="12">
        <v>100</v>
      </c>
      <c r="M23" s="12">
        <v>94</v>
      </c>
      <c r="N23" s="12"/>
      <c r="O23" s="12"/>
      <c r="P23" s="2">
        <f t="shared" si="0"/>
        <v>84.75</v>
      </c>
      <c r="Q23" s="12"/>
      <c r="R23" s="3">
        <f t="shared" si="1"/>
        <v>84.75</v>
      </c>
      <c r="S23" s="12"/>
      <c r="T23" s="12"/>
      <c r="U23" s="55">
        <v>0</v>
      </c>
      <c r="V23" s="58">
        <f t="shared" si="14"/>
        <v>100</v>
      </c>
      <c r="W23" s="56">
        <v>100</v>
      </c>
      <c r="X23" s="12">
        <v>100</v>
      </c>
      <c r="Y23" s="12">
        <v>90</v>
      </c>
      <c r="Z23" s="12">
        <v>100</v>
      </c>
      <c r="AA23" s="12"/>
      <c r="AB23" s="12"/>
      <c r="AC23" s="2">
        <f t="shared" si="2"/>
        <v>97.5</v>
      </c>
      <c r="AD23" s="12"/>
      <c r="AE23" s="3">
        <f t="shared" si="3"/>
        <v>97.5</v>
      </c>
      <c r="AF23" s="12"/>
      <c r="AG23" s="12"/>
      <c r="AH23" s="55">
        <v>0</v>
      </c>
      <c r="AI23" s="58">
        <f t="shared" si="6"/>
        <v>100</v>
      </c>
      <c r="AJ23" s="63">
        <f t="shared" si="7"/>
        <v>91.125</v>
      </c>
      <c r="AK23" s="2" t="str">
        <f t="shared" si="8"/>
        <v/>
      </c>
      <c r="AL23" s="3">
        <f t="shared" si="9"/>
        <v>91.125</v>
      </c>
      <c r="AM23" s="4">
        <f t="shared" si="10"/>
        <v>5</v>
      </c>
      <c r="AN23" s="2" t="str">
        <f t="shared" si="11"/>
        <v/>
      </c>
      <c r="AO23" s="12"/>
      <c r="AP23" s="5">
        <f t="shared" si="12"/>
        <v>0</v>
      </c>
      <c r="AQ23" s="28">
        <f t="shared" si="13"/>
        <v>100</v>
      </c>
    </row>
    <row r="24" spans="1:43" ht="18.149999999999999" customHeight="1" thickBot="1" x14ac:dyDescent="0.35">
      <c r="A24" s="67">
        <v>2</v>
      </c>
      <c r="B24" s="67" t="s">
        <v>121</v>
      </c>
      <c r="C24" s="49" t="s">
        <v>175</v>
      </c>
      <c r="D24" s="49" t="s">
        <v>176</v>
      </c>
      <c r="E24" s="70" t="s">
        <v>177</v>
      </c>
      <c r="F24" s="15">
        <v>1072039</v>
      </c>
      <c r="G24" s="1">
        <f t="shared" si="4"/>
        <v>101</v>
      </c>
      <c r="H24" s="1">
        <f t="shared" si="5"/>
        <v>306</v>
      </c>
      <c r="I24" s="12"/>
      <c r="J24" s="12">
        <v>68</v>
      </c>
      <c r="K24" s="12">
        <v>45</v>
      </c>
      <c r="L24" s="12">
        <v>76</v>
      </c>
      <c r="M24" s="12">
        <v>80</v>
      </c>
      <c r="N24" s="12"/>
      <c r="O24" s="12"/>
      <c r="P24" s="2">
        <f t="shared" si="0"/>
        <v>67.25</v>
      </c>
      <c r="Q24" s="12"/>
      <c r="R24" s="3">
        <f t="shared" si="1"/>
        <v>67.25</v>
      </c>
      <c r="S24" s="12"/>
      <c r="T24" s="12"/>
      <c r="U24" s="55">
        <v>22</v>
      </c>
      <c r="V24" s="58">
        <f t="shared" si="14"/>
        <v>85.620915032679733</v>
      </c>
      <c r="W24" s="56">
        <v>95</v>
      </c>
      <c r="X24" s="12">
        <v>79</v>
      </c>
      <c r="Y24" s="12">
        <v>63</v>
      </c>
      <c r="Z24" s="12">
        <v>82</v>
      </c>
      <c r="AA24" s="12"/>
      <c r="AB24" s="12"/>
      <c r="AC24" s="2">
        <f t="shared" si="2"/>
        <v>79.75</v>
      </c>
      <c r="AD24" s="12"/>
      <c r="AE24" s="3">
        <f t="shared" si="3"/>
        <v>79.75</v>
      </c>
      <c r="AF24" s="12"/>
      <c r="AG24" s="12"/>
      <c r="AH24" s="55">
        <v>0</v>
      </c>
      <c r="AI24" s="58">
        <f t="shared" si="6"/>
        <v>100</v>
      </c>
      <c r="AJ24" s="63">
        <f t="shared" si="7"/>
        <v>73.5</v>
      </c>
      <c r="AK24" s="2" t="str">
        <f t="shared" si="8"/>
        <v/>
      </c>
      <c r="AL24" s="3">
        <f t="shared" si="9"/>
        <v>73.5</v>
      </c>
      <c r="AM24" s="4">
        <f t="shared" si="10"/>
        <v>4</v>
      </c>
      <c r="AN24" s="2" t="str">
        <f t="shared" si="11"/>
        <v/>
      </c>
      <c r="AO24" s="12"/>
      <c r="AP24" s="5">
        <f t="shared" si="12"/>
        <v>22</v>
      </c>
      <c r="AQ24" s="28">
        <f t="shared" si="13"/>
        <v>92.810457516339866</v>
      </c>
    </row>
    <row r="25" spans="1:43" ht="18.149999999999999" customHeight="1" thickBot="1" x14ac:dyDescent="0.35">
      <c r="A25" s="67">
        <v>2</v>
      </c>
      <c r="B25" s="67" t="s">
        <v>121</v>
      </c>
      <c r="C25" s="49" t="s">
        <v>178</v>
      </c>
      <c r="D25" s="49" t="s">
        <v>179</v>
      </c>
      <c r="E25" s="70" t="s">
        <v>136</v>
      </c>
      <c r="F25" s="15">
        <v>1072039</v>
      </c>
      <c r="G25" s="1">
        <f t="shared" si="4"/>
        <v>101</v>
      </c>
      <c r="H25" s="1">
        <f t="shared" si="5"/>
        <v>306</v>
      </c>
      <c r="I25" s="12"/>
      <c r="J25" s="12">
        <v>97</v>
      </c>
      <c r="K25" s="12">
        <v>86</v>
      </c>
      <c r="L25" s="12">
        <v>100</v>
      </c>
      <c r="M25" s="12">
        <v>90</v>
      </c>
      <c r="N25" s="12"/>
      <c r="O25" s="12"/>
      <c r="P25" s="2">
        <f t="shared" si="0"/>
        <v>93.25</v>
      </c>
      <c r="Q25" s="12"/>
      <c r="R25" s="3">
        <f t="shared" si="1"/>
        <v>93.25</v>
      </c>
      <c r="S25" s="12"/>
      <c r="T25" s="12"/>
      <c r="U25" s="55">
        <v>0</v>
      </c>
      <c r="V25" s="58">
        <f t="shared" si="14"/>
        <v>100</v>
      </c>
      <c r="W25" s="56">
        <v>100</v>
      </c>
      <c r="X25" s="12">
        <v>86</v>
      </c>
      <c r="Y25" s="12">
        <v>85</v>
      </c>
      <c r="Z25" s="12">
        <v>94</v>
      </c>
      <c r="AA25" s="12"/>
      <c r="AB25" s="12"/>
      <c r="AC25" s="2">
        <f t="shared" si="2"/>
        <v>91.25</v>
      </c>
      <c r="AD25" s="12"/>
      <c r="AE25" s="3">
        <f t="shared" si="3"/>
        <v>91.25</v>
      </c>
      <c r="AF25" s="12"/>
      <c r="AG25" s="12"/>
      <c r="AH25" s="55">
        <v>0</v>
      </c>
      <c r="AI25" s="58">
        <f t="shared" si="6"/>
        <v>100</v>
      </c>
      <c r="AJ25" s="63">
        <f t="shared" si="7"/>
        <v>92.25</v>
      </c>
      <c r="AK25" s="2" t="str">
        <f t="shared" si="8"/>
        <v/>
      </c>
      <c r="AL25" s="3">
        <f t="shared" si="9"/>
        <v>92.25</v>
      </c>
      <c r="AM25" s="4">
        <f t="shared" si="10"/>
        <v>5</v>
      </c>
      <c r="AN25" s="2" t="str">
        <f t="shared" si="11"/>
        <v/>
      </c>
      <c r="AO25" s="12"/>
      <c r="AP25" s="5">
        <f t="shared" si="12"/>
        <v>0</v>
      </c>
      <c r="AQ25" s="28">
        <f t="shared" si="13"/>
        <v>100</v>
      </c>
    </row>
    <row r="26" spans="1:43" ht="18.149999999999999" customHeight="1" thickBot="1" x14ac:dyDescent="0.35">
      <c r="A26" s="67">
        <v>2</v>
      </c>
      <c r="B26" s="67" t="s">
        <v>121</v>
      </c>
      <c r="C26" s="49" t="s">
        <v>180</v>
      </c>
      <c r="D26" s="49" t="s">
        <v>181</v>
      </c>
      <c r="E26" s="70" t="s">
        <v>182</v>
      </c>
      <c r="F26" s="15">
        <v>1072039</v>
      </c>
      <c r="G26" s="1">
        <f t="shared" si="4"/>
        <v>101</v>
      </c>
      <c r="H26" s="1">
        <f t="shared" si="5"/>
        <v>306</v>
      </c>
      <c r="I26" s="12"/>
      <c r="J26" s="12">
        <v>30</v>
      </c>
      <c r="K26" s="12">
        <v>33</v>
      </c>
      <c r="L26" s="12">
        <v>43</v>
      </c>
      <c r="M26" s="12">
        <v>43</v>
      </c>
      <c r="N26" s="12"/>
      <c r="O26" s="12"/>
      <c r="P26" s="2">
        <f t="shared" si="0"/>
        <v>37.25</v>
      </c>
      <c r="Q26" s="12"/>
      <c r="R26" s="3">
        <f t="shared" si="1"/>
        <v>37.25</v>
      </c>
      <c r="S26" s="12"/>
      <c r="T26" s="12"/>
      <c r="U26" s="55">
        <v>7</v>
      </c>
      <c r="V26" s="58">
        <f t="shared" si="14"/>
        <v>95.424836601307192</v>
      </c>
      <c r="W26" s="56">
        <v>40</v>
      </c>
      <c r="X26" s="12">
        <v>34</v>
      </c>
      <c r="Y26" s="12">
        <v>32</v>
      </c>
      <c r="Z26" s="12">
        <v>31</v>
      </c>
      <c r="AA26" s="12"/>
      <c r="AB26" s="12"/>
      <c r="AC26" s="2">
        <f t="shared" si="2"/>
        <v>34.25</v>
      </c>
      <c r="AD26" s="12"/>
      <c r="AE26" s="3">
        <f t="shared" si="3"/>
        <v>34.25</v>
      </c>
      <c r="AF26" s="12"/>
      <c r="AG26" s="12"/>
      <c r="AH26" s="55">
        <v>0</v>
      </c>
      <c r="AI26" s="58">
        <f t="shared" si="6"/>
        <v>100</v>
      </c>
      <c r="AJ26" s="63">
        <f t="shared" si="7"/>
        <v>35.75</v>
      </c>
      <c r="AK26" s="2" t="str">
        <f t="shared" si="8"/>
        <v/>
      </c>
      <c r="AL26" s="3">
        <f t="shared" si="9"/>
        <v>35.75</v>
      </c>
      <c r="AM26" s="4">
        <f t="shared" si="10"/>
        <v>3</v>
      </c>
      <c r="AN26" s="2" t="str">
        <f t="shared" si="11"/>
        <v/>
      </c>
      <c r="AO26" s="12"/>
      <c r="AP26" s="5">
        <f t="shared" si="12"/>
        <v>7</v>
      </c>
      <c r="AQ26" s="28">
        <f t="shared" si="13"/>
        <v>97.712418300653596</v>
      </c>
    </row>
    <row r="27" spans="1:43" ht="18.149999999999999" customHeight="1" thickBot="1" x14ac:dyDescent="0.35">
      <c r="A27" s="67">
        <v>2</v>
      </c>
      <c r="B27" s="67" t="s">
        <v>121</v>
      </c>
      <c r="C27" s="49" t="s">
        <v>183</v>
      </c>
      <c r="D27" s="49" t="s">
        <v>184</v>
      </c>
      <c r="E27" s="70" t="s">
        <v>185</v>
      </c>
      <c r="F27" s="15">
        <v>1072039</v>
      </c>
      <c r="G27" s="1">
        <f t="shared" si="4"/>
        <v>101</v>
      </c>
      <c r="H27" s="1">
        <f t="shared" si="5"/>
        <v>306</v>
      </c>
      <c r="I27" s="12"/>
      <c r="J27" s="12">
        <v>51</v>
      </c>
      <c r="K27" s="12">
        <v>31</v>
      </c>
      <c r="L27" s="12">
        <v>34</v>
      </c>
      <c r="M27" s="12">
        <v>71</v>
      </c>
      <c r="N27" s="12"/>
      <c r="O27" s="12"/>
      <c r="P27" s="2">
        <f t="shared" si="0"/>
        <v>46.75</v>
      </c>
      <c r="Q27" s="12"/>
      <c r="R27" s="3">
        <f t="shared" si="1"/>
        <v>46.75</v>
      </c>
      <c r="S27" s="12"/>
      <c r="T27" s="12"/>
      <c r="U27" s="55">
        <v>4</v>
      </c>
      <c r="V27" s="58">
        <f t="shared" si="14"/>
        <v>97.385620915032675</v>
      </c>
      <c r="W27" s="56">
        <v>80</v>
      </c>
      <c r="X27" s="12">
        <v>65</v>
      </c>
      <c r="Y27" s="12">
        <v>41</v>
      </c>
      <c r="Z27" s="12">
        <v>58</v>
      </c>
      <c r="AA27" s="12"/>
      <c r="AB27" s="12"/>
      <c r="AC27" s="2">
        <f t="shared" si="2"/>
        <v>61</v>
      </c>
      <c r="AD27" s="12"/>
      <c r="AE27" s="3">
        <f t="shared" si="3"/>
        <v>61</v>
      </c>
      <c r="AF27" s="12"/>
      <c r="AG27" s="12"/>
      <c r="AH27" s="55">
        <v>0</v>
      </c>
      <c r="AI27" s="58">
        <f t="shared" si="6"/>
        <v>100</v>
      </c>
      <c r="AJ27" s="63">
        <f t="shared" si="7"/>
        <v>53.875</v>
      </c>
      <c r="AK27" s="2" t="str">
        <f t="shared" si="8"/>
        <v/>
      </c>
      <c r="AL27" s="3">
        <f t="shared" si="9"/>
        <v>53.875</v>
      </c>
      <c r="AM27" s="4">
        <f t="shared" si="10"/>
        <v>3</v>
      </c>
      <c r="AN27" s="2" t="str">
        <f t="shared" si="11"/>
        <v/>
      </c>
      <c r="AO27" s="12"/>
      <c r="AP27" s="5">
        <f t="shared" si="12"/>
        <v>4</v>
      </c>
      <c r="AQ27" s="28">
        <f t="shared" si="13"/>
        <v>98.692810457516345</v>
      </c>
    </row>
    <row r="28" spans="1:43" ht="18.149999999999999" customHeight="1" thickBot="1" x14ac:dyDescent="0.35">
      <c r="A28" s="67">
        <v>2</v>
      </c>
      <c r="B28" s="67" t="s">
        <v>121</v>
      </c>
      <c r="C28" s="49" t="s">
        <v>186</v>
      </c>
      <c r="D28" s="49" t="s">
        <v>187</v>
      </c>
      <c r="E28" s="70" t="s">
        <v>188</v>
      </c>
      <c r="F28" s="15">
        <v>1072039</v>
      </c>
      <c r="G28" s="1">
        <f t="shared" si="4"/>
        <v>101</v>
      </c>
      <c r="H28" s="1">
        <f t="shared" si="5"/>
        <v>306</v>
      </c>
      <c r="I28" s="12"/>
      <c r="J28" s="12">
        <v>94</v>
      </c>
      <c r="K28" s="12">
        <v>88</v>
      </c>
      <c r="L28" s="12">
        <v>100</v>
      </c>
      <c r="M28" s="12">
        <v>100</v>
      </c>
      <c r="N28" s="12"/>
      <c r="O28" s="12"/>
      <c r="P28" s="2">
        <f t="shared" si="0"/>
        <v>95.5</v>
      </c>
      <c r="Q28" s="12"/>
      <c r="R28" s="3">
        <f t="shared" si="1"/>
        <v>95.5</v>
      </c>
      <c r="S28" s="12"/>
      <c r="T28" s="12"/>
      <c r="U28" s="55">
        <v>0</v>
      </c>
      <c r="V28" s="58">
        <f t="shared" si="14"/>
        <v>100</v>
      </c>
      <c r="W28" s="56">
        <v>100</v>
      </c>
      <c r="X28" s="12">
        <v>100</v>
      </c>
      <c r="Y28" s="12">
        <v>88</v>
      </c>
      <c r="Z28" s="12">
        <v>100</v>
      </c>
      <c r="AA28" s="12"/>
      <c r="AB28" s="12"/>
      <c r="AC28" s="2">
        <f t="shared" si="2"/>
        <v>97</v>
      </c>
      <c r="AD28" s="12"/>
      <c r="AE28" s="3">
        <f t="shared" si="3"/>
        <v>97</v>
      </c>
      <c r="AF28" s="12"/>
      <c r="AG28" s="12"/>
      <c r="AH28" s="55">
        <v>0</v>
      </c>
      <c r="AI28" s="58">
        <f t="shared" si="6"/>
        <v>100</v>
      </c>
      <c r="AJ28" s="63">
        <f t="shared" si="7"/>
        <v>96.25</v>
      </c>
      <c r="AK28" s="2" t="str">
        <f t="shared" si="8"/>
        <v/>
      </c>
      <c r="AL28" s="3">
        <f t="shared" si="9"/>
        <v>96.25</v>
      </c>
      <c r="AM28" s="4">
        <f t="shared" si="10"/>
        <v>5</v>
      </c>
      <c r="AN28" s="2" t="str">
        <f t="shared" si="11"/>
        <v/>
      </c>
      <c r="AO28" s="12"/>
      <c r="AP28" s="5">
        <f t="shared" si="12"/>
        <v>0</v>
      </c>
      <c r="AQ28" s="28">
        <f t="shared" si="13"/>
        <v>100</v>
      </c>
    </row>
    <row r="29" spans="1:43" ht="18.149999999999999" customHeight="1" thickBot="1" x14ac:dyDescent="0.35">
      <c r="A29" s="67">
        <v>2</v>
      </c>
      <c r="B29" s="67" t="s">
        <v>121</v>
      </c>
      <c r="C29" s="49" t="s">
        <v>189</v>
      </c>
      <c r="D29" s="49" t="s">
        <v>190</v>
      </c>
      <c r="E29" s="70" t="s">
        <v>191</v>
      </c>
      <c r="F29" s="15">
        <v>1072039</v>
      </c>
      <c r="G29" s="1">
        <f t="shared" si="4"/>
        <v>101</v>
      </c>
      <c r="H29" s="1">
        <f t="shared" si="5"/>
        <v>306</v>
      </c>
      <c r="I29" s="12"/>
      <c r="J29" s="12">
        <v>88</v>
      </c>
      <c r="K29" s="12">
        <v>100</v>
      </c>
      <c r="L29" s="12">
        <v>100</v>
      </c>
      <c r="M29" s="12">
        <v>100</v>
      </c>
      <c r="N29" s="12"/>
      <c r="O29" s="12"/>
      <c r="P29" s="2">
        <f t="shared" si="0"/>
        <v>97</v>
      </c>
      <c r="Q29" s="12"/>
      <c r="R29" s="3">
        <f t="shared" si="1"/>
        <v>97</v>
      </c>
      <c r="S29" s="12"/>
      <c r="T29" s="12"/>
      <c r="U29" s="55">
        <v>0</v>
      </c>
      <c r="V29" s="58">
        <f t="shared" si="14"/>
        <v>100</v>
      </c>
      <c r="W29" s="56">
        <v>100</v>
      </c>
      <c r="X29" s="12">
        <v>100</v>
      </c>
      <c r="Y29" s="12">
        <v>100</v>
      </c>
      <c r="Z29" s="12">
        <v>100</v>
      </c>
      <c r="AA29" s="12"/>
      <c r="AB29" s="12"/>
      <c r="AC29" s="2">
        <f t="shared" si="2"/>
        <v>100</v>
      </c>
      <c r="AD29" s="12"/>
      <c r="AE29" s="3">
        <f t="shared" si="3"/>
        <v>100</v>
      </c>
      <c r="AF29" s="12"/>
      <c r="AG29" s="12"/>
      <c r="AH29" s="55">
        <v>0</v>
      </c>
      <c r="AI29" s="58">
        <f t="shared" si="6"/>
        <v>100</v>
      </c>
      <c r="AJ29" s="63">
        <f t="shared" si="7"/>
        <v>98.5</v>
      </c>
      <c r="AK29" s="2" t="str">
        <f t="shared" si="8"/>
        <v/>
      </c>
      <c r="AL29" s="3">
        <f t="shared" si="9"/>
        <v>98.5</v>
      </c>
      <c r="AM29" s="4">
        <f t="shared" si="10"/>
        <v>5</v>
      </c>
      <c r="AN29" s="2" t="str">
        <f t="shared" si="11"/>
        <v/>
      </c>
      <c r="AO29" s="12"/>
      <c r="AP29" s="5">
        <f t="shared" si="12"/>
        <v>0</v>
      </c>
      <c r="AQ29" s="28">
        <f t="shared" si="13"/>
        <v>100</v>
      </c>
    </row>
    <row r="30" spans="1:43" ht="18.149999999999999" customHeight="1" x14ac:dyDescent="0.3">
      <c r="A30" s="67">
        <v>2</v>
      </c>
      <c r="B30" s="67" t="s">
        <v>121</v>
      </c>
      <c r="C30" s="49" t="s">
        <v>189</v>
      </c>
      <c r="D30" s="49" t="s">
        <v>192</v>
      </c>
      <c r="E30" s="70" t="s">
        <v>191</v>
      </c>
      <c r="F30" s="15">
        <v>1072039</v>
      </c>
      <c r="G30" s="1">
        <f t="shared" si="4"/>
        <v>101</v>
      </c>
      <c r="H30" s="1">
        <f t="shared" si="5"/>
        <v>306</v>
      </c>
      <c r="I30" s="12"/>
      <c r="J30" s="12">
        <v>91</v>
      </c>
      <c r="K30" s="12">
        <v>89</v>
      </c>
      <c r="L30" s="12">
        <v>93</v>
      </c>
      <c r="M30" s="12">
        <v>100</v>
      </c>
      <c r="N30" s="12"/>
      <c r="O30" s="12"/>
      <c r="P30" s="2">
        <f t="shared" si="0"/>
        <v>93.25</v>
      </c>
      <c r="Q30" s="12"/>
      <c r="R30" s="3">
        <f t="shared" si="1"/>
        <v>93.25</v>
      </c>
      <c r="S30" s="12"/>
      <c r="T30" s="12"/>
      <c r="U30" s="55">
        <v>0</v>
      </c>
      <c r="V30" s="58">
        <f t="shared" si="14"/>
        <v>100</v>
      </c>
      <c r="W30" s="56">
        <v>100</v>
      </c>
      <c r="X30" s="12">
        <v>92</v>
      </c>
      <c r="Y30" s="12">
        <v>88</v>
      </c>
      <c r="Z30" s="12">
        <v>94</v>
      </c>
      <c r="AA30" s="12"/>
      <c r="AB30" s="12"/>
      <c r="AC30" s="2">
        <f t="shared" si="2"/>
        <v>93.5</v>
      </c>
      <c r="AD30" s="12"/>
      <c r="AE30" s="3">
        <f t="shared" si="3"/>
        <v>93.5</v>
      </c>
      <c r="AF30" s="12"/>
      <c r="AG30" s="12"/>
      <c r="AH30" s="55">
        <v>20</v>
      </c>
      <c r="AI30" s="58">
        <f t="shared" si="6"/>
        <v>86.928104575163403</v>
      </c>
      <c r="AJ30" s="63">
        <f t="shared" si="7"/>
        <v>93.375</v>
      </c>
      <c r="AK30" s="2" t="str">
        <f t="shared" si="8"/>
        <v/>
      </c>
      <c r="AL30" s="3">
        <f t="shared" si="9"/>
        <v>93.375</v>
      </c>
      <c r="AM30" s="4">
        <f t="shared" si="10"/>
        <v>5</v>
      </c>
      <c r="AN30" s="2" t="str">
        <f t="shared" si="11"/>
        <v/>
      </c>
      <c r="AO30" s="12"/>
      <c r="AP30" s="5">
        <f t="shared" si="12"/>
        <v>20</v>
      </c>
      <c r="AQ30" s="28">
        <f t="shared" si="13"/>
        <v>93.464052287581694</v>
      </c>
    </row>
    <row r="31" spans="1:43" ht="18.149999999999999" customHeight="1" x14ac:dyDescent="0.3">
      <c r="A31" s="67">
        <v>2</v>
      </c>
      <c r="B31" s="67" t="s">
        <v>121</v>
      </c>
      <c r="C31" s="49" t="s">
        <v>193</v>
      </c>
      <c r="D31" s="49" t="s">
        <v>194</v>
      </c>
      <c r="E31" s="50" t="s">
        <v>195</v>
      </c>
      <c r="F31" s="27">
        <v>3984215</v>
      </c>
      <c r="G31" s="1">
        <f t="shared" si="4"/>
        <v>101</v>
      </c>
      <c r="H31" s="1">
        <f t="shared" si="5"/>
        <v>306</v>
      </c>
      <c r="I31" s="12"/>
      <c r="J31" s="12">
        <v>97.5</v>
      </c>
      <c r="K31" s="12">
        <v>97.5</v>
      </c>
      <c r="L31" s="12">
        <v>97.5</v>
      </c>
      <c r="M31" s="12">
        <v>97.15</v>
      </c>
      <c r="N31" s="12"/>
      <c r="O31" s="12"/>
      <c r="P31" s="2">
        <f t="shared" si="0"/>
        <v>97.412499999999994</v>
      </c>
      <c r="Q31" s="12"/>
      <c r="R31" s="3">
        <f t="shared" si="1"/>
        <v>97.412499999999994</v>
      </c>
      <c r="S31" s="12"/>
      <c r="T31" s="12"/>
      <c r="U31" s="55">
        <v>0</v>
      </c>
      <c r="V31" s="58">
        <f t="shared" si="14"/>
        <v>100</v>
      </c>
      <c r="W31" s="56"/>
      <c r="X31" s="12"/>
      <c r="Y31" s="12">
        <v>95</v>
      </c>
      <c r="Z31" s="12">
        <v>95</v>
      </c>
      <c r="AA31" s="12"/>
      <c r="AB31" s="12"/>
      <c r="AC31" s="2">
        <f t="shared" si="2"/>
        <v>95</v>
      </c>
      <c r="AD31" s="12"/>
      <c r="AE31" s="3">
        <f t="shared" si="3"/>
        <v>95</v>
      </c>
      <c r="AF31" s="12"/>
      <c r="AG31" s="12"/>
      <c r="AH31" s="55">
        <v>0</v>
      </c>
      <c r="AI31" s="58">
        <f t="shared" si="6"/>
        <v>100</v>
      </c>
      <c r="AJ31" s="63">
        <f t="shared" si="7"/>
        <v>96.206249999999997</v>
      </c>
      <c r="AK31" s="2" t="str">
        <f t="shared" si="8"/>
        <v/>
      </c>
      <c r="AL31" s="3">
        <f t="shared" si="9"/>
        <v>96.206249999999997</v>
      </c>
      <c r="AM31" s="4">
        <f t="shared" si="10"/>
        <v>5</v>
      </c>
      <c r="AN31" s="2" t="str">
        <f t="shared" si="11"/>
        <v/>
      </c>
      <c r="AO31" s="12"/>
      <c r="AP31" s="5">
        <f t="shared" si="12"/>
        <v>0</v>
      </c>
      <c r="AQ31" s="28">
        <f t="shared" si="13"/>
        <v>100</v>
      </c>
    </row>
    <row r="32" spans="1:43" ht="18.149999999999999" customHeight="1" x14ac:dyDescent="0.3">
      <c r="A32" s="67">
        <v>2</v>
      </c>
      <c r="B32" s="67" t="s">
        <v>121</v>
      </c>
      <c r="C32" s="49" t="s">
        <v>196</v>
      </c>
      <c r="D32" s="49" t="s">
        <v>197</v>
      </c>
      <c r="E32" s="50" t="s">
        <v>198</v>
      </c>
      <c r="F32" s="27">
        <v>3984591</v>
      </c>
      <c r="G32" s="1">
        <f t="shared" si="4"/>
        <v>101</v>
      </c>
      <c r="H32" s="1">
        <f t="shared" si="5"/>
        <v>306</v>
      </c>
      <c r="I32" s="12"/>
      <c r="J32" s="12">
        <v>92.5</v>
      </c>
      <c r="K32" s="12">
        <v>92.5</v>
      </c>
      <c r="L32" s="12">
        <v>92.5</v>
      </c>
      <c r="M32" s="12">
        <v>92.5</v>
      </c>
      <c r="N32" s="12"/>
      <c r="O32" s="12"/>
      <c r="P32" s="2">
        <f t="shared" si="0"/>
        <v>92.5</v>
      </c>
      <c r="Q32" s="12"/>
      <c r="R32" s="3">
        <f t="shared" si="1"/>
        <v>92.5</v>
      </c>
      <c r="S32" s="12"/>
      <c r="T32" s="12"/>
      <c r="U32" s="55">
        <v>0</v>
      </c>
      <c r="V32" s="58">
        <f t="shared" si="14"/>
        <v>100</v>
      </c>
      <c r="W32" s="56"/>
      <c r="X32" s="12"/>
      <c r="Y32" s="12">
        <v>95</v>
      </c>
      <c r="Z32" s="12">
        <v>95</v>
      </c>
      <c r="AA32" s="12"/>
      <c r="AB32" s="12"/>
      <c r="AC32" s="2">
        <f t="shared" si="2"/>
        <v>95</v>
      </c>
      <c r="AD32" s="12"/>
      <c r="AE32" s="3">
        <f t="shared" si="3"/>
        <v>95</v>
      </c>
      <c r="AF32" s="12"/>
      <c r="AG32" s="12"/>
      <c r="AH32" s="55">
        <v>0</v>
      </c>
      <c r="AI32" s="58">
        <f t="shared" si="6"/>
        <v>100</v>
      </c>
      <c r="AJ32" s="63">
        <f t="shared" si="7"/>
        <v>93.75</v>
      </c>
      <c r="AK32" s="2" t="str">
        <f t="shared" si="8"/>
        <v/>
      </c>
      <c r="AL32" s="3">
        <f t="shared" si="9"/>
        <v>93.75</v>
      </c>
      <c r="AM32" s="4">
        <f t="shared" si="10"/>
        <v>5</v>
      </c>
      <c r="AN32" s="2" t="str">
        <f t="shared" si="11"/>
        <v/>
      </c>
      <c r="AO32" s="12"/>
      <c r="AP32" s="5">
        <f t="shared" si="12"/>
        <v>0</v>
      </c>
      <c r="AQ32" s="28">
        <f t="shared" si="13"/>
        <v>100</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5" t="s">
        <v>42</v>
      </c>
      <c r="B55" s="115"/>
      <c r="C55" s="115"/>
      <c r="D55" s="115"/>
      <c r="E55" s="115"/>
      <c r="F55" s="116"/>
      <c r="G55" s="22">
        <f>IF(G4="","",$G$4)</f>
        <v>101</v>
      </c>
      <c r="H55" s="22">
        <f>IF(H4="","",$H$4)</f>
        <v>306</v>
      </c>
      <c r="I55" s="23" t="str">
        <f t="shared" ref="I55:V55" si="17">IFERROR(AVERAGE(I5:I54),"")</f>
        <v/>
      </c>
      <c r="J55" s="23">
        <f t="shared" si="17"/>
        <v>79.535714285714292</v>
      </c>
      <c r="K55" s="23">
        <f t="shared" si="17"/>
        <v>76.285714285714292</v>
      </c>
      <c r="L55" s="23">
        <f t="shared" si="17"/>
        <v>80.892857142857139</v>
      </c>
      <c r="M55" s="23">
        <f t="shared" si="17"/>
        <v>85.70178571428572</v>
      </c>
      <c r="N55" s="23" t="str">
        <f t="shared" si="17"/>
        <v/>
      </c>
      <c r="O55" s="23" t="str">
        <f t="shared" si="17"/>
        <v/>
      </c>
      <c r="P55" s="23">
        <f t="shared" si="17"/>
        <v>80.60401785714285</v>
      </c>
      <c r="Q55" s="23" t="str">
        <f t="shared" si="17"/>
        <v/>
      </c>
      <c r="R55" s="23">
        <f t="shared" si="17"/>
        <v>80.60401785714285</v>
      </c>
      <c r="S55" s="23" t="str">
        <f t="shared" si="17"/>
        <v/>
      </c>
      <c r="T55" s="23" t="str">
        <f t="shared" si="17"/>
        <v/>
      </c>
      <c r="U55" s="24">
        <f>IFERROR(SUM(U5:U54),"")</f>
        <v>65</v>
      </c>
      <c r="V55" s="23">
        <f t="shared" si="17"/>
        <v>98.482726423902889</v>
      </c>
      <c r="W55" s="23">
        <f t="shared" ref="W55:AG55" si="18">IFERROR(AVERAGE(W5:W54),"")</f>
        <v>90.384615384615387</v>
      </c>
      <c r="X55" s="23">
        <f t="shared" si="18"/>
        <v>83.038461538461533</v>
      </c>
      <c r="Y55" s="23">
        <f t="shared" si="18"/>
        <v>79.964285714285708</v>
      </c>
      <c r="Z55" s="23">
        <f t="shared" si="18"/>
        <v>86.357142857142861</v>
      </c>
      <c r="AA55" s="23" t="str">
        <f t="shared" si="18"/>
        <v/>
      </c>
      <c r="AB55" s="23" t="str">
        <f t="shared" si="18"/>
        <v/>
      </c>
      <c r="AC55" s="23">
        <f t="shared" si="18"/>
        <v>85.232142857142861</v>
      </c>
      <c r="AD55" s="23" t="str">
        <f t="shared" si="18"/>
        <v/>
      </c>
      <c r="AE55" s="23">
        <f t="shared" si="18"/>
        <v>85.232142857142861</v>
      </c>
      <c r="AF55" s="23" t="str">
        <f t="shared" si="18"/>
        <v/>
      </c>
      <c r="AG55" s="23" t="str">
        <f t="shared" si="18"/>
        <v/>
      </c>
      <c r="AH55" s="24">
        <f>IFERROR(SUM(AH5:AH54),"")</f>
        <v>51</v>
      </c>
      <c r="AI55" s="23">
        <f t="shared" ref="AI55" si="19">IFERROR(AVERAGE(AI5:AI54),"")</f>
        <v>98.809523809523824</v>
      </c>
      <c r="AJ55" s="23">
        <f t="shared" ref="AJ55" si="20">IFERROR(AVERAGE(AJ5:AJ54),"")</f>
        <v>82.91808035714287</v>
      </c>
      <c r="AK55" s="23" t="str">
        <f t="shared" ref="AK55" si="21">IFERROR(AVERAGE(AK5:AK54),"")</f>
        <v/>
      </c>
      <c r="AL55" s="23">
        <f t="shared" ref="AL55" si="22">IFERROR(AVERAGE(AL5:AL54),"")</f>
        <v>82.91808035714287</v>
      </c>
      <c r="AM55" s="24">
        <f>IF(AL55&lt;=30,2,IF(AL55&lt;=60,3,IF(AL55&lt;=80,4,IF(AL55&lt;=100,5,""))))</f>
        <v>5</v>
      </c>
      <c r="AN55" s="23" t="str">
        <f>IFERROR(AVERAGE(AN5:AN54),"")</f>
        <v/>
      </c>
      <c r="AO55" s="23" t="str">
        <f>IFERROR(AVERAGE(AO5:AO54),"")</f>
        <v/>
      </c>
      <c r="AP55" s="24">
        <f>IFERROR(SUM(AP5:AP54),"")</f>
        <v>116</v>
      </c>
      <c r="AQ55" s="23">
        <f t="shared" ref="AQ55" si="23">IFERROR(AVERAGE(AQ5:AQ54),"")</f>
        <v>98.64612511671335</v>
      </c>
    </row>
    <row r="56" spans="1:43" ht="18.149999999999999" customHeight="1" x14ac:dyDescent="0.3">
      <c r="A56" s="112"/>
      <c r="B56" s="112"/>
      <c r="C56" s="112"/>
      <c r="D56" s="112"/>
      <c r="E56" s="112"/>
      <c r="F56" s="112"/>
      <c r="G56" s="112"/>
      <c r="H56" s="112"/>
      <c r="I56" s="112"/>
      <c r="J56" s="112"/>
      <c r="K56" s="112"/>
      <c r="L56" s="112"/>
      <c r="M56" s="112"/>
      <c r="N56" s="112"/>
      <c r="O56" s="112"/>
      <c r="P56" s="112"/>
      <c r="Q56" s="112"/>
      <c r="R56" s="112"/>
      <c r="S56" s="112"/>
      <c r="T56" s="112"/>
      <c r="U56" s="112"/>
      <c r="V56" s="112"/>
      <c r="W56" s="112"/>
      <c r="X56" s="112"/>
      <c r="Y56" s="112"/>
      <c r="Z56" s="112"/>
      <c r="AA56" s="112"/>
      <c r="AB56" s="112"/>
      <c r="AC56" s="112"/>
      <c r="AD56" s="112"/>
      <c r="AE56" s="112"/>
      <c r="AF56" s="112"/>
      <c r="AG56" s="112"/>
      <c r="AH56" s="112"/>
      <c r="AI56" s="112"/>
      <c r="AJ56" s="112"/>
      <c r="AK56" s="112"/>
      <c r="AL56" s="112"/>
      <c r="AM56" s="112"/>
      <c r="AN56" s="112"/>
      <c r="AO56" s="112"/>
    </row>
    <row r="57" spans="1:43" ht="18.149999999999999" customHeight="1" x14ac:dyDescent="0.3">
      <c r="A57" s="83" t="s">
        <v>13</v>
      </c>
      <c r="B57" s="84"/>
      <c r="C57" s="84"/>
      <c r="D57" s="84"/>
      <c r="E57" s="84"/>
      <c r="F57" s="85"/>
      <c r="G57" s="101" t="s">
        <v>25</v>
      </c>
      <c r="H57" s="102"/>
      <c r="I57" s="6">
        <f>COUNTIFS(I5:I54,"&gt;80",I5:I54,"&lt;=100")</f>
        <v>0</v>
      </c>
      <c r="J57" s="6">
        <f t="shared" ref="J57:AK57" si="24">COUNTIFS(J5:J54,"&gt;80",J5:J54,"&lt;=100")</f>
        <v>17</v>
      </c>
      <c r="K57" s="6">
        <f t="shared" si="24"/>
        <v>16</v>
      </c>
      <c r="L57" s="6">
        <f t="shared" si="24"/>
        <v>18</v>
      </c>
      <c r="M57" s="6">
        <f t="shared" si="24"/>
        <v>19</v>
      </c>
      <c r="N57" s="6">
        <f t="shared" si="24"/>
        <v>0</v>
      </c>
      <c r="O57" s="6">
        <f t="shared" si="24"/>
        <v>0</v>
      </c>
      <c r="P57" s="6">
        <f t="shared" si="24"/>
        <v>16</v>
      </c>
      <c r="Q57" s="6">
        <f t="shared" si="24"/>
        <v>0</v>
      </c>
      <c r="R57" s="6">
        <f t="shared" si="24"/>
        <v>16</v>
      </c>
      <c r="S57" s="6">
        <f t="shared" si="24"/>
        <v>0</v>
      </c>
      <c r="T57" s="6">
        <f t="shared" si="24"/>
        <v>0</v>
      </c>
      <c r="U57" s="75"/>
      <c r="V57" s="75"/>
      <c r="W57" s="6">
        <f t="shared" ref="W57:AG57" si="25">COUNTIFS(W5:W54,"&gt;80",W5:W54,"&lt;=100")</f>
        <v>20</v>
      </c>
      <c r="X57" s="6">
        <f t="shared" si="25"/>
        <v>16</v>
      </c>
      <c r="Y57" s="6">
        <f t="shared" si="25"/>
        <v>19</v>
      </c>
      <c r="Z57" s="6">
        <f t="shared" si="25"/>
        <v>21</v>
      </c>
      <c r="AA57" s="6">
        <f t="shared" si="25"/>
        <v>0</v>
      </c>
      <c r="AB57" s="6">
        <f t="shared" si="25"/>
        <v>0</v>
      </c>
      <c r="AC57" s="6">
        <f t="shared" si="25"/>
        <v>20</v>
      </c>
      <c r="AD57" s="6">
        <f t="shared" si="25"/>
        <v>0</v>
      </c>
      <c r="AE57" s="6">
        <f t="shared" si="25"/>
        <v>20</v>
      </c>
      <c r="AF57" s="6">
        <f t="shared" si="25"/>
        <v>0</v>
      </c>
      <c r="AG57" s="6">
        <f t="shared" si="25"/>
        <v>0</v>
      </c>
      <c r="AH57" s="75"/>
      <c r="AI57" s="75"/>
      <c r="AJ57" s="6">
        <f t="shared" si="24"/>
        <v>19</v>
      </c>
      <c r="AK57" s="6">
        <f t="shared" si="24"/>
        <v>0</v>
      </c>
      <c r="AL57" s="6">
        <f>COUNTIFS(AL5:AL54,"&gt;80",AL5:AL54,"&lt;=100")</f>
        <v>19</v>
      </c>
      <c r="AM57" s="6"/>
      <c r="AN57" s="6">
        <f t="shared" ref="AN57:AO57" si="26">COUNTIFS(AN5:AN54,"&gt;80",AN5:AN54,"&lt;=100")</f>
        <v>0</v>
      </c>
      <c r="AO57" s="6">
        <f t="shared" si="26"/>
        <v>0</v>
      </c>
      <c r="AP57" s="75"/>
      <c r="AQ57" s="75"/>
    </row>
    <row r="58" spans="1:43" ht="18.149999999999999" customHeight="1" x14ac:dyDescent="0.3">
      <c r="A58" s="86"/>
      <c r="B58" s="87"/>
      <c r="C58" s="87"/>
      <c r="D58" s="87"/>
      <c r="E58" s="87"/>
      <c r="F58" s="88"/>
      <c r="G58" s="101" t="s">
        <v>26</v>
      </c>
      <c r="H58" s="102"/>
      <c r="I58" s="6">
        <f t="shared" ref="I58:AL58" si="27">COUNTIFS(I5:I54,"&gt;60",I5:I54,"&lt;=80")</f>
        <v>0</v>
      </c>
      <c r="J58" s="6">
        <f t="shared" si="27"/>
        <v>5</v>
      </c>
      <c r="K58" s="6">
        <f t="shared" si="27"/>
        <v>4</v>
      </c>
      <c r="L58" s="6">
        <f t="shared" si="27"/>
        <v>5</v>
      </c>
      <c r="M58" s="6">
        <f t="shared" si="27"/>
        <v>6</v>
      </c>
      <c r="N58" s="6">
        <f t="shared" si="27"/>
        <v>0</v>
      </c>
      <c r="O58" s="6">
        <f t="shared" si="27"/>
        <v>0</v>
      </c>
      <c r="P58" s="6">
        <f t="shared" si="27"/>
        <v>8</v>
      </c>
      <c r="Q58" s="6">
        <f t="shared" si="27"/>
        <v>0</v>
      </c>
      <c r="R58" s="6">
        <f t="shared" si="27"/>
        <v>8</v>
      </c>
      <c r="S58" s="6">
        <f t="shared" si="27"/>
        <v>0</v>
      </c>
      <c r="T58" s="6">
        <f t="shared" si="27"/>
        <v>0</v>
      </c>
      <c r="U58" s="76"/>
      <c r="V58" s="76"/>
      <c r="W58" s="6">
        <f t="shared" ref="W58:AG58" si="28">COUNTIFS(W5:W54,"&gt;60",W5:W54,"&lt;=80")</f>
        <v>5</v>
      </c>
      <c r="X58" s="6">
        <f t="shared" si="28"/>
        <v>7</v>
      </c>
      <c r="Y58" s="6">
        <f t="shared" si="28"/>
        <v>3</v>
      </c>
      <c r="Z58" s="6">
        <f t="shared" si="28"/>
        <v>3</v>
      </c>
      <c r="AA58" s="6">
        <f t="shared" si="28"/>
        <v>0</v>
      </c>
      <c r="AB58" s="6">
        <f t="shared" si="28"/>
        <v>0</v>
      </c>
      <c r="AC58" s="6">
        <f t="shared" si="28"/>
        <v>5</v>
      </c>
      <c r="AD58" s="6">
        <f t="shared" si="28"/>
        <v>0</v>
      </c>
      <c r="AE58" s="6">
        <f t="shared" si="28"/>
        <v>5</v>
      </c>
      <c r="AF58" s="6">
        <f t="shared" si="28"/>
        <v>0</v>
      </c>
      <c r="AG58" s="6">
        <f t="shared" si="28"/>
        <v>0</v>
      </c>
      <c r="AH58" s="76"/>
      <c r="AI58" s="76"/>
      <c r="AJ58" s="6">
        <f t="shared" si="27"/>
        <v>5</v>
      </c>
      <c r="AK58" s="6">
        <f t="shared" si="27"/>
        <v>0</v>
      </c>
      <c r="AL58" s="6">
        <f t="shared" si="27"/>
        <v>5</v>
      </c>
      <c r="AM58" s="6"/>
      <c r="AN58" s="6">
        <f t="shared" ref="AN58:AO58" si="29">COUNTIFS(AN5:AN54,"&gt;60",AN5:AN54,"&lt;=80")</f>
        <v>0</v>
      </c>
      <c r="AO58" s="6">
        <f t="shared" si="29"/>
        <v>0</v>
      </c>
      <c r="AP58" s="76"/>
      <c r="AQ58" s="76"/>
    </row>
    <row r="59" spans="1:43" ht="18.149999999999999" customHeight="1" x14ac:dyDescent="0.3">
      <c r="A59" s="86"/>
      <c r="B59" s="87"/>
      <c r="C59" s="87"/>
      <c r="D59" s="87"/>
      <c r="E59" s="87"/>
      <c r="F59" s="88"/>
      <c r="G59" s="101" t="s">
        <v>16</v>
      </c>
      <c r="H59" s="102"/>
      <c r="I59" s="6">
        <f t="shared" ref="I59:AL59" si="30">COUNTIFS(I5:I54,"&gt;30",I5:I54,"&lt;=60")</f>
        <v>0</v>
      </c>
      <c r="J59" s="6">
        <f t="shared" si="30"/>
        <v>5</v>
      </c>
      <c r="K59" s="6">
        <f t="shared" si="30"/>
        <v>8</v>
      </c>
      <c r="L59" s="6">
        <f t="shared" si="30"/>
        <v>5</v>
      </c>
      <c r="M59" s="6">
        <f t="shared" si="30"/>
        <v>3</v>
      </c>
      <c r="N59" s="6">
        <f t="shared" si="30"/>
        <v>0</v>
      </c>
      <c r="O59" s="6">
        <f t="shared" si="30"/>
        <v>0</v>
      </c>
      <c r="P59" s="6">
        <f t="shared" si="30"/>
        <v>4</v>
      </c>
      <c r="Q59" s="6">
        <f t="shared" si="30"/>
        <v>0</v>
      </c>
      <c r="R59" s="6">
        <f t="shared" si="30"/>
        <v>4</v>
      </c>
      <c r="S59" s="6">
        <f t="shared" si="30"/>
        <v>0</v>
      </c>
      <c r="T59" s="6">
        <f t="shared" si="30"/>
        <v>0</v>
      </c>
      <c r="U59" s="76"/>
      <c r="V59" s="76"/>
      <c r="W59" s="6">
        <f t="shared" ref="W59:AG59" si="31">COUNTIFS(W5:W54,"&gt;30",W5:W54,"&lt;=60")</f>
        <v>1</v>
      </c>
      <c r="X59" s="6">
        <f t="shared" si="31"/>
        <v>3</v>
      </c>
      <c r="Y59" s="6">
        <f t="shared" si="31"/>
        <v>6</v>
      </c>
      <c r="Z59" s="6">
        <f t="shared" si="31"/>
        <v>4</v>
      </c>
      <c r="AA59" s="6">
        <f t="shared" si="31"/>
        <v>0</v>
      </c>
      <c r="AB59" s="6">
        <f t="shared" si="31"/>
        <v>0</v>
      </c>
      <c r="AC59" s="6">
        <f t="shared" si="31"/>
        <v>3</v>
      </c>
      <c r="AD59" s="6">
        <f t="shared" si="31"/>
        <v>0</v>
      </c>
      <c r="AE59" s="6">
        <f t="shared" si="31"/>
        <v>3</v>
      </c>
      <c r="AF59" s="6">
        <f t="shared" si="31"/>
        <v>0</v>
      </c>
      <c r="AG59" s="6">
        <f t="shared" si="31"/>
        <v>0</v>
      </c>
      <c r="AH59" s="76"/>
      <c r="AI59" s="76"/>
      <c r="AJ59" s="6">
        <f t="shared" si="30"/>
        <v>4</v>
      </c>
      <c r="AK59" s="6">
        <f t="shared" si="30"/>
        <v>0</v>
      </c>
      <c r="AL59" s="6">
        <f t="shared" si="30"/>
        <v>4</v>
      </c>
      <c r="AM59" s="6"/>
      <c r="AN59" s="6">
        <f t="shared" ref="AN59:AO59" si="32">COUNTIFS(AN5:AN54,"&gt;30",AN5:AN54,"&lt;=60")</f>
        <v>0</v>
      </c>
      <c r="AO59" s="6">
        <f t="shared" si="32"/>
        <v>0</v>
      </c>
      <c r="AP59" s="76"/>
      <c r="AQ59" s="76"/>
    </row>
    <row r="60" spans="1:43" ht="18.149999999999999" customHeight="1" x14ac:dyDescent="0.3">
      <c r="A60" s="86"/>
      <c r="B60" s="87"/>
      <c r="C60" s="87"/>
      <c r="D60" s="87"/>
      <c r="E60" s="87"/>
      <c r="F60" s="88"/>
      <c r="G60" s="101" t="s">
        <v>15</v>
      </c>
      <c r="H60" s="102"/>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6"/>
      <c r="V60" s="76"/>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6"/>
      <c r="AI60" s="76"/>
      <c r="AJ60" s="6">
        <f t="shared" si="33"/>
        <v>0</v>
      </c>
      <c r="AK60" s="6">
        <f t="shared" si="33"/>
        <v>0</v>
      </c>
      <c r="AL60" s="6">
        <f t="shared" si="33"/>
        <v>0</v>
      </c>
      <c r="AM60" s="6"/>
      <c r="AN60" s="6">
        <f t="shared" ref="AN60:AO60" si="35">COUNTIFS(AN5:AN54,"&gt;=0",AN5:AN54,"&lt;=30")</f>
        <v>0</v>
      </c>
      <c r="AO60" s="6">
        <f t="shared" si="35"/>
        <v>0</v>
      </c>
      <c r="AP60" s="76"/>
      <c r="AQ60" s="76"/>
    </row>
    <row r="61" spans="1:43" ht="18.149999999999999" customHeight="1" x14ac:dyDescent="0.3">
      <c r="A61" s="89"/>
      <c r="B61" s="90"/>
      <c r="C61" s="90"/>
      <c r="D61" s="90"/>
      <c r="E61" s="90"/>
      <c r="F61" s="91"/>
      <c r="G61" s="103" t="s">
        <v>10</v>
      </c>
      <c r="H61" s="104"/>
      <c r="I61" s="7">
        <f>SUM(I57:I60)</f>
        <v>0</v>
      </c>
      <c r="J61" s="7">
        <f t="shared" ref="J61:AL61" si="36">SUM(J57:J60)</f>
        <v>28</v>
      </c>
      <c r="K61" s="7">
        <f t="shared" si="36"/>
        <v>28</v>
      </c>
      <c r="L61" s="7">
        <f t="shared" si="36"/>
        <v>28</v>
      </c>
      <c r="M61" s="7">
        <f t="shared" si="36"/>
        <v>28</v>
      </c>
      <c r="N61" s="7">
        <f t="shared" si="36"/>
        <v>0</v>
      </c>
      <c r="O61" s="7">
        <f t="shared" si="36"/>
        <v>0</v>
      </c>
      <c r="P61" s="7">
        <f t="shared" si="36"/>
        <v>28</v>
      </c>
      <c r="Q61" s="7">
        <f t="shared" si="36"/>
        <v>0</v>
      </c>
      <c r="R61" s="7">
        <f t="shared" si="36"/>
        <v>28</v>
      </c>
      <c r="S61" s="7">
        <f t="shared" si="36"/>
        <v>0</v>
      </c>
      <c r="T61" s="7">
        <f t="shared" si="36"/>
        <v>0</v>
      </c>
      <c r="U61" s="76"/>
      <c r="V61" s="76"/>
      <c r="W61" s="7">
        <f t="shared" ref="W61:AG61" si="37">SUM(W57:W60)</f>
        <v>26</v>
      </c>
      <c r="X61" s="7">
        <f t="shared" si="37"/>
        <v>26</v>
      </c>
      <c r="Y61" s="7">
        <f t="shared" si="37"/>
        <v>28</v>
      </c>
      <c r="Z61" s="7">
        <f t="shared" si="37"/>
        <v>28</v>
      </c>
      <c r="AA61" s="7">
        <f t="shared" si="37"/>
        <v>0</v>
      </c>
      <c r="AB61" s="7">
        <f t="shared" si="37"/>
        <v>0</v>
      </c>
      <c r="AC61" s="7">
        <f t="shared" si="37"/>
        <v>28</v>
      </c>
      <c r="AD61" s="7">
        <f t="shared" si="37"/>
        <v>0</v>
      </c>
      <c r="AE61" s="7">
        <f t="shared" si="37"/>
        <v>28</v>
      </c>
      <c r="AF61" s="7">
        <f t="shared" si="37"/>
        <v>0</v>
      </c>
      <c r="AG61" s="7">
        <f t="shared" si="37"/>
        <v>0</v>
      </c>
      <c r="AH61" s="76"/>
      <c r="AI61" s="76"/>
      <c r="AJ61" s="7">
        <f t="shared" si="36"/>
        <v>28</v>
      </c>
      <c r="AK61" s="7">
        <f t="shared" si="36"/>
        <v>0</v>
      </c>
      <c r="AL61" s="7">
        <f t="shared" si="36"/>
        <v>28</v>
      </c>
      <c r="AM61" s="7"/>
      <c r="AN61" s="7">
        <f t="shared" ref="AN61:AO61" si="38">SUM(AN57:AN60)</f>
        <v>0</v>
      </c>
      <c r="AO61" s="7">
        <f t="shared" si="38"/>
        <v>0</v>
      </c>
      <c r="AP61" s="76"/>
      <c r="AQ61" s="76"/>
    </row>
    <row r="62" spans="1:43" ht="18.149999999999999" customHeight="1" x14ac:dyDescent="0.3">
      <c r="A62" s="92" t="s">
        <v>11</v>
      </c>
      <c r="B62" s="93"/>
      <c r="C62" s="93"/>
      <c r="D62" s="93"/>
      <c r="E62" s="93"/>
      <c r="F62" s="94"/>
      <c r="G62" s="81" t="str">
        <f>G57</f>
        <v>(80-100]</v>
      </c>
      <c r="H62" s="82"/>
      <c r="I62" s="8" t="str">
        <f>IFERROR(I57*100/I61,"")</f>
        <v/>
      </c>
      <c r="J62" s="8">
        <f t="shared" ref="J62:AL62" si="39">IFERROR(J57*100/J61,"")</f>
        <v>60.714285714285715</v>
      </c>
      <c r="K62" s="8">
        <f t="shared" si="39"/>
        <v>57.142857142857146</v>
      </c>
      <c r="L62" s="8">
        <f t="shared" si="39"/>
        <v>64.285714285714292</v>
      </c>
      <c r="M62" s="8">
        <f t="shared" si="39"/>
        <v>67.857142857142861</v>
      </c>
      <c r="N62" s="8" t="str">
        <f t="shared" si="39"/>
        <v/>
      </c>
      <c r="O62" s="8" t="str">
        <f t="shared" si="39"/>
        <v/>
      </c>
      <c r="P62" s="8">
        <f t="shared" si="39"/>
        <v>57.142857142857146</v>
      </c>
      <c r="Q62" s="8" t="str">
        <f t="shared" si="39"/>
        <v/>
      </c>
      <c r="R62" s="8">
        <f t="shared" si="39"/>
        <v>57.142857142857146</v>
      </c>
      <c r="S62" s="8" t="str">
        <f t="shared" si="39"/>
        <v/>
      </c>
      <c r="T62" s="8" t="str">
        <f t="shared" si="39"/>
        <v/>
      </c>
      <c r="U62" s="76"/>
      <c r="V62" s="76"/>
      <c r="W62" s="8">
        <f t="shared" ref="W62:AG62" si="40">IFERROR(W57*100/W61,"")</f>
        <v>76.92307692307692</v>
      </c>
      <c r="X62" s="8">
        <f t="shared" si="40"/>
        <v>61.53846153846154</v>
      </c>
      <c r="Y62" s="8">
        <f t="shared" si="40"/>
        <v>67.857142857142861</v>
      </c>
      <c r="Z62" s="8">
        <f t="shared" si="40"/>
        <v>75</v>
      </c>
      <c r="AA62" s="8" t="str">
        <f t="shared" si="40"/>
        <v/>
      </c>
      <c r="AB62" s="8" t="str">
        <f t="shared" si="40"/>
        <v/>
      </c>
      <c r="AC62" s="8">
        <f t="shared" si="40"/>
        <v>71.428571428571431</v>
      </c>
      <c r="AD62" s="8" t="str">
        <f t="shared" si="40"/>
        <v/>
      </c>
      <c r="AE62" s="8">
        <f t="shared" si="40"/>
        <v>71.428571428571431</v>
      </c>
      <c r="AF62" s="8" t="str">
        <f t="shared" si="40"/>
        <v/>
      </c>
      <c r="AG62" s="8" t="str">
        <f t="shared" si="40"/>
        <v/>
      </c>
      <c r="AH62" s="76"/>
      <c r="AI62" s="76"/>
      <c r="AJ62" s="8">
        <f t="shared" si="39"/>
        <v>67.857142857142861</v>
      </c>
      <c r="AK62" s="8" t="str">
        <f t="shared" si="39"/>
        <v/>
      </c>
      <c r="AL62" s="8">
        <f t="shared" si="39"/>
        <v>67.857142857142861</v>
      </c>
      <c r="AM62" s="8"/>
      <c r="AN62" s="8" t="str">
        <f t="shared" ref="AN62:AO62" si="41">IFERROR(AN57*100/AN61,"")</f>
        <v/>
      </c>
      <c r="AO62" s="8" t="str">
        <f t="shared" si="41"/>
        <v/>
      </c>
      <c r="AP62" s="76"/>
      <c r="AQ62" s="76"/>
    </row>
    <row r="63" spans="1:43" ht="18.149999999999999" customHeight="1" x14ac:dyDescent="0.3">
      <c r="A63" s="95"/>
      <c r="B63" s="96"/>
      <c r="C63" s="96"/>
      <c r="D63" s="96"/>
      <c r="E63" s="96"/>
      <c r="F63" s="97"/>
      <c r="G63" s="81" t="str">
        <f>G58</f>
        <v>(60-80]</v>
      </c>
      <c r="H63" s="82"/>
      <c r="I63" s="8" t="str">
        <f>IFERROR(I58*100/I61,"")</f>
        <v/>
      </c>
      <c r="J63" s="8">
        <f t="shared" ref="J63:AL63" si="42">IFERROR(J58*100/J61,"")</f>
        <v>17.857142857142858</v>
      </c>
      <c r="K63" s="8">
        <f t="shared" si="42"/>
        <v>14.285714285714286</v>
      </c>
      <c r="L63" s="8">
        <f t="shared" si="42"/>
        <v>17.857142857142858</v>
      </c>
      <c r="M63" s="8">
        <f t="shared" si="42"/>
        <v>21.428571428571427</v>
      </c>
      <c r="N63" s="8" t="str">
        <f t="shared" si="42"/>
        <v/>
      </c>
      <c r="O63" s="8" t="str">
        <f t="shared" si="42"/>
        <v/>
      </c>
      <c r="P63" s="8">
        <f t="shared" si="42"/>
        <v>28.571428571428573</v>
      </c>
      <c r="Q63" s="8" t="str">
        <f t="shared" si="42"/>
        <v/>
      </c>
      <c r="R63" s="8">
        <f t="shared" si="42"/>
        <v>28.571428571428573</v>
      </c>
      <c r="S63" s="8" t="str">
        <f t="shared" si="42"/>
        <v/>
      </c>
      <c r="T63" s="8" t="str">
        <f t="shared" si="42"/>
        <v/>
      </c>
      <c r="U63" s="76"/>
      <c r="V63" s="76"/>
      <c r="W63" s="8">
        <f t="shared" ref="W63:AG63" si="43">IFERROR(W58*100/W61,"")</f>
        <v>19.23076923076923</v>
      </c>
      <c r="X63" s="8">
        <f t="shared" si="43"/>
        <v>26.923076923076923</v>
      </c>
      <c r="Y63" s="8">
        <f t="shared" si="43"/>
        <v>10.714285714285714</v>
      </c>
      <c r="Z63" s="8">
        <f t="shared" si="43"/>
        <v>10.714285714285714</v>
      </c>
      <c r="AA63" s="8" t="str">
        <f t="shared" si="43"/>
        <v/>
      </c>
      <c r="AB63" s="8" t="str">
        <f t="shared" si="43"/>
        <v/>
      </c>
      <c r="AC63" s="8">
        <f t="shared" si="43"/>
        <v>17.857142857142858</v>
      </c>
      <c r="AD63" s="8" t="str">
        <f t="shared" si="43"/>
        <v/>
      </c>
      <c r="AE63" s="8">
        <f t="shared" si="43"/>
        <v>17.857142857142858</v>
      </c>
      <c r="AF63" s="8" t="str">
        <f t="shared" si="43"/>
        <v/>
      </c>
      <c r="AG63" s="8" t="str">
        <f t="shared" si="43"/>
        <v/>
      </c>
      <c r="AH63" s="76"/>
      <c r="AI63" s="76"/>
      <c r="AJ63" s="8">
        <f t="shared" si="42"/>
        <v>17.857142857142858</v>
      </c>
      <c r="AK63" s="8" t="str">
        <f t="shared" si="42"/>
        <v/>
      </c>
      <c r="AL63" s="8">
        <f t="shared" si="42"/>
        <v>17.857142857142858</v>
      </c>
      <c r="AM63" s="8"/>
      <c r="AN63" s="8" t="str">
        <f t="shared" ref="AN63:AO63" si="44">IFERROR(AN58*100/AN61,"")</f>
        <v/>
      </c>
      <c r="AO63" s="8" t="str">
        <f t="shared" si="44"/>
        <v/>
      </c>
      <c r="AP63" s="76"/>
      <c r="AQ63" s="76"/>
    </row>
    <row r="64" spans="1:43" ht="18.149999999999999" customHeight="1" x14ac:dyDescent="0.3">
      <c r="A64" s="95"/>
      <c r="B64" s="96"/>
      <c r="C64" s="96"/>
      <c r="D64" s="96"/>
      <c r="E64" s="96"/>
      <c r="F64" s="97"/>
      <c r="G64" s="81" t="str">
        <f>G59</f>
        <v>(30-60]</v>
      </c>
      <c r="H64" s="82"/>
      <c r="I64" s="8" t="str">
        <f>IFERROR(I59*100/I61,"")</f>
        <v/>
      </c>
      <c r="J64" s="8">
        <f t="shared" ref="J64:AL64" si="45">IFERROR(J59*100/J61,"")</f>
        <v>17.857142857142858</v>
      </c>
      <c r="K64" s="8">
        <f t="shared" si="45"/>
        <v>28.571428571428573</v>
      </c>
      <c r="L64" s="8">
        <f t="shared" si="45"/>
        <v>17.857142857142858</v>
      </c>
      <c r="M64" s="8">
        <f t="shared" si="45"/>
        <v>10.714285714285714</v>
      </c>
      <c r="N64" s="8" t="str">
        <f t="shared" si="45"/>
        <v/>
      </c>
      <c r="O64" s="8" t="str">
        <f t="shared" si="45"/>
        <v/>
      </c>
      <c r="P64" s="8">
        <f t="shared" si="45"/>
        <v>14.285714285714286</v>
      </c>
      <c r="Q64" s="8" t="str">
        <f t="shared" si="45"/>
        <v/>
      </c>
      <c r="R64" s="8">
        <f t="shared" si="45"/>
        <v>14.285714285714286</v>
      </c>
      <c r="S64" s="8" t="str">
        <f t="shared" si="45"/>
        <v/>
      </c>
      <c r="T64" s="8" t="str">
        <f t="shared" si="45"/>
        <v/>
      </c>
      <c r="U64" s="76"/>
      <c r="V64" s="76"/>
      <c r="W64" s="8">
        <f t="shared" ref="W64:AG64" si="46">IFERROR(W59*100/W61,"")</f>
        <v>3.8461538461538463</v>
      </c>
      <c r="X64" s="8">
        <f t="shared" si="46"/>
        <v>11.538461538461538</v>
      </c>
      <c r="Y64" s="8">
        <f t="shared" si="46"/>
        <v>21.428571428571427</v>
      </c>
      <c r="Z64" s="8">
        <f t="shared" si="46"/>
        <v>14.285714285714286</v>
      </c>
      <c r="AA64" s="8" t="str">
        <f t="shared" si="46"/>
        <v/>
      </c>
      <c r="AB64" s="8" t="str">
        <f t="shared" si="46"/>
        <v/>
      </c>
      <c r="AC64" s="8">
        <f t="shared" si="46"/>
        <v>10.714285714285714</v>
      </c>
      <c r="AD64" s="8" t="str">
        <f t="shared" si="46"/>
        <v/>
      </c>
      <c r="AE64" s="8">
        <f t="shared" si="46"/>
        <v>10.714285714285714</v>
      </c>
      <c r="AF64" s="8" t="str">
        <f t="shared" si="46"/>
        <v/>
      </c>
      <c r="AG64" s="8" t="str">
        <f t="shared" si="46"/>
        <v/>
      </c>
      <c r="AH64" s="76"/>
      <c r="AI64" s="76"/>
      <c r="AJ64" s="8">
        <f t="shared" si="45"/>
        <v>14.285714285714286</v>
      </c>
      <c r="AK64" s="8" t="str">
        <f t="shared" si="45"/>
        <v/>
      </c>
      <c r="AL64" s="8">
        <f t="shared" si="45"/>
        <v>14.285714285714286</v>
      </c>
      <c r="AM64" s="8"/>
      <c r="AN64" s="8" t="str">
        <f t="shared" ref="AN64:AO64" si="47">IFERROR(AN59*100/AN61,"")</f>
        <v/>
      </c>
      <c r="AO64" s="8" t="str">
        <f t="shared" si="47"/>
        <v/>
      </c>
      <c r="AP64" s="76"/>
      <c r="AQ64" s="76"/>
    </row>
    <row r="65" spans="1:43" ht="18.149999999999999" customHeight="1" x14ac:dyDescent="0.3">
      <c r="A65" s="98"/>
      <c r="B65" s="99"/>
      <c r="C65" s="99"/>
      <c r="D65" s="99"/>
      <c r="E65" s="99"/>
      <c r="F65" s="100"/>
      <c r="G65" s="81" t="str">
        <f>G60</f>
        <v>[0-30]</v>
      </c>
      <c r="H65" s="82"/>
      <c r="I65" s="8" t="str">
        <f>IFERROR(I60*100/I61,"")</f>
        <v/>
      </c>
      <c r="J65" s="8">
        <f t="shared" ref="J65:AL65" si="48">IFERROR(J60*100/J61,"")</f>
        <v>3.5714285714285716</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6"/>
      <c r="V65" s="76"/>
      <c r="W65" s="8">
        <f t="shared" ref="W65:AG65" si="49">IFERROR(W60*100/W61,"")</f>
        <v>0</v>
      </c>
      <c r="X65" s="8">
        <f t="shared" si="49"/>
        <v>0</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t="str">
        <f t="shared" si="49"/>
        <v/>
      </c>
      <c r="AH65" s="76"/>
      <c r="AI65" s="76"/>
      <c r="AJ65" s="8">
        <f t="shared" si="48"/>
        <v>0</v>
      </c>
      <c r="AK65" s="8" t="str">
        <f t="shared" si="48"/>
        <v/>
      </c>
      <c r="AL65" s="8">
        <f t="shared" si="48"/>
        <v>0</v>
      </c>
      <c r="AM65" s="8"/>
      <c r="AN65" s="8" t="str">
        <f t="shared" ref="AN65:AO65" si="50">IFERROR(AN60*100/AN61,"")</f>
        <v/>
      </c>
      <c r="AO65" s="8" t="str">
        <f t="shared" si="50"/>
        <v/>
      </c>
      <c r="AP65" s="76"/>
      <c r="AQ65" s="76"/>
    </row>
    <row r="66" spans="1:43" ht="49.2" customHeight="1" x14ac:dyDescent="0.3">
      <c r="A66" s="9"/>
      <c r="B66" s="9"/>
      <c r="C66" s="9"/>
      <c r="D66" s="9"/>
      <c r="E66" s="9"/>
      <c r="F66" s="9"/>
      <c r="G66" s="105" t="s">
        <v>44</v>
      </c>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105"/>
      <c r="AP66" s="105"/>
      <c r="AQ66" s="105"/>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5" t="s">
        <v>45</v>
      </c>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105"/>
      <c r="AL94" s="105"/>
      <c r="AM94" s="105"/>
      <c r="AN94" s="105"/>
      <c r="AO94" s="105"/>
      <c r="AP94" s="105"/>
      <c r="AQ94" s="105"/>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2024-06-29T08:00:44Z</dcterms:modified>
</cp:coreProperties>
</file>