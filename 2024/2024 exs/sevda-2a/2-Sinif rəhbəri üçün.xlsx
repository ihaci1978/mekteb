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<sst xmlns="http://schemas.openxmlformats.org/spreadsheetml/2006/main" count="1823" uniqueCount="232">
  <si>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</si>
  <si>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</si>
  <si>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</si>
  <si>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</si>
  <si>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</si>
  <si>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</si>
  <si>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</si>
  <si>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</si>
  <si>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</si>
  <si>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</si>
  <si>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</si>
  <si>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</si>
  <si>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</si>
  <si>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</si>
  <si>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</si>
  <si>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</si>
  <si>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</si>
  <si>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</si>
  <si>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</si>
  <si>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</si>
  <si>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</si>
  <si>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</si>
  <si>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</si>
  <si>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</si>
  <si>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</si>
  <si>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</si>
  <si>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</si>
  <si>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</si>
  <si>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</si>
  <si>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</si>
  <si>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</si>
  <si>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</si>
  <si>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</si>
  <si>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</si>
  <si>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</si>
  <si>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</si>
  <si>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</si>
  <si>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</si>
  <si>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</si>
  <si>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</si>
  <si>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</si>
  <si>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</si>
  <si>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</si>
  <si>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</si>
  <si>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</si>
  <si>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</si>
  <si>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</si>
  <si>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</si>
  <si>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</si>
  <si>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</si>
  <si>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</si>
  <si>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</si>
  <si>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</si>
  <si>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</si>
  <si>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</si>
  <si>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</si>
  <si>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</si>
  <si>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</si>
  <si>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</si>
  <si>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</si>
  <si>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</si>
  <si>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</si>
  <si>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</si>
  <si>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</si>
  <si>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</si>
  <si>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</si>
  <si>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</si>
  <si>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</si>
  <si>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</si>
  <si>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</si>
  <si>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</si>
  <si>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</si>
  <si>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</si>
  <si>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</si>
  <si>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</si>
  <si>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</si>
  <si>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</si>
  <si>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</si>
  <si>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</si>
  <si>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</si>
  <si>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</si>
  <si>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</si>
  <si>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</si>
  <si>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</si>
  <si>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</si>
  <si>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</si>
  <si>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</si>
  <si>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</si>
  <si>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</si>
  <si>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</si>
  <si>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</si>
  <si>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</si>
  <si>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</si>
  <si>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</si>
  <si>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</si>
  <si>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</si>
  <si>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</si>
  <si>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</si>
  <si>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</si>
  <si>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</si>
  <si>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</si>
  <si>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</si>
  <si>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</si>
  <si>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</si>
  <si>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</si>
  <si>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</si>
  <si>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</si>
  <si>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</si>
  <si>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</si>
  <si>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</si>
  <si>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</si>
  <si>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</si>
  <si>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</si>
  <si>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</si>
  <si>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</si>
  <si>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</si>
  <si>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</si>
  <si>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</si>
  <si>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</si>
  <si>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</si>
  <si>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</si>
  <si>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</si>
  <si>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</si>
  <si>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</si>
  <si>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</si>
  <si>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</si>
  <si>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</si>
  <si>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</si>
  <si>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</si>
  <si>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</si>
  <si>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</si>
  <si>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</si>
  <si>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</si>
  <si>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</si>
  <si>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</si>
  <si>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</si>
  <si>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</si>
  <si>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</si>
  <si>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</si>
  <si>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</si>
  <si>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</si>
  <si>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</si>
  <si>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</si>
  <si>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</si>
  <si>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</si>
  <si>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</si>
  <si>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</si>
  <si>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</si>
  <si>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</si>
  <si>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</si>
  <si>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Sirzadova Şahnaz Zəfər</t>
  </si>
  <si>
    <t>Abbasov</t>
  </si>
  <si>
    <t>Asiman</t>
  </si>
  <si>
    <t>Yaşar</t>
  </si>
  <si>
    <t>Abdinova</t>
  </si>
  <si>
    <t>Dilbər</t>
  </si>
  <si>
    <t>Camal</t>
  </si>
  <si>
    <t>Abdullazadə</t>
  </si>
  <si>
    <t>Aidə</t>
  </si>
  <si>
    <t>Ruslan</t>
  </si>
  <si>
    <t>Azadova</t>
  </si>
  <si>
    <t>Ayla</t>
  </si>
  <si>
    <t>Elnur</t>
  </si>
  <si>
    <t>Zeynəb</t>
  </si>
  <si>
    <t>Rəşid</t>
  </si>
  <si>
    <t>Nuray</t>
  </si>
  <si>
    <t>Xəlil</t>
  </si>
  <si>
    <t>Xəlilli</t>
  </si>
  <si>
    <t>Dilarə</t>
  </si>
  <si>
    <t xml:space="preserve"> Firuddin</t>
  </si>
  <si>
    <t>İmanlı</t>
  </si>
  <si>
    <t>Məhəmməd</t>
  </si>
  <si>
    <t>İsrəfilova</t>
  </si>
  <si>
    <t>Sevgi</t>
  </si>
  <si>
    <t>İlkin</t>
  </si>
  <si>
    <t>Qədirli</t>
  </si>
  <si>
    <t>Ayan</t>
  </si>
  <si>
    <t>Elvin</t>
  </si>
  <si>
    <t>Quluzadə</t>
  </si>
  <si>
    <t>Məhin</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</si>
  <si>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</si>
  <si>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</si>
  <si>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</si>
  <si>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</si>
  <si>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</si>
  <si>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</si>
  <si>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</si>
  <si>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</si>
  <si>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</si>
  <si>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</si>
  <si>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</si>
  <si>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</si>
  <si>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</si>
  <si>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</si>
  <si>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</si>
  <si>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</si>
  <si>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</si>
  <si>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</si>
  <si>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</si>
  <si>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</si>
  <si>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</si>
  <si>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</si>
  <si>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</si>
  <si>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</si>
  <si>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</si>
  <si>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</si>
  <si>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</si>
  <si>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</si>
  <si>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</si>
  <si>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</si>
  <si>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</si>
  <si>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</si>
  <si>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</si>
  <si>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</si>
  <si>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</si>
  <si>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</si>
  <si>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</si>
  <si>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</si>
  <si>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</si>
  <si>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Əkbərli</t>
  </si>
  <si>
    <t>Ələkbərova</t>
  </si>
  <si>
    <t>Əli</t>
  </si>
  <si>
    <t>15/03/2016</t>
  </si>
  <si>
    <t>20/03/2016</t>
  </si>
  <si>
    <t>21/09/2016</t>
  </si>
  <si>
    <t>20/04/2016</t>
  </si>
  <si>
    <t>28/07/2015</t>
  </si>
  <si>
    <t>20/11/2016</t>
  </si>
  <si>
    <t>27/02/2016</t>
  </si>
  <si>
    <t>28/09/2015</t>
  </si>
  <si>
    <t>24/11/2016</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</si>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</sst>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7" t="s">
        <v>146</v>
      </c>
      <c r="B1" s="97"/>
      <c r="C1" s="97"/>
      <c r="D1" s="97"/>
      <c r="E1" s="97"/>
    </row>
    <row r="2" spans="1:5" ht="17.399999999999999">
      <c r="A2" s="98" t="s">
        <v>35</v>
      </c>
      <c r="B2" s="98"/>
      <c r="C2" s="98"/>
      <c r="D2" s="98"/>
      <c r="E2" s="98"/>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9" t="s">
        <v>145</v>
      </c>
      <c r="B19" s="99"/>
      <c r="C19" s="99"/>
      <c r="D19" s="100"/>
      <c r="E19" s="100"/>
    </row>
    <row r="20" spans="1:5" ht="19.8">
      <c r="A20" s="101" t="s">
        <v>42</v>
      </c>
      <c r="B20" s="101"/>
      <c r="C20" s="101"/>
      <c r="D20" s="11"/>
    </row>
    <row r="21" spans="1:5">
      <c r="A21" s="67" t="s">
        <v>44</v>
      </c>
      <c r="B21" s="93" t="s">
        <v>45</v>
      </c>
      <c r="C21" s="94"/>
      <c r="D21" s="11"/>
    </row>
    <row r="22" spans="1:5">
      <c r="A22" s="67" t="s">
        <v>46</v>
      </c>
      <c r="B22" s="93" t="s">
        <v>47</v>
      </c>
      <c r="C22" s="94"/>
      <c r="D22" s="11"/>
    </row>
    <row r="23" spans="1:5">
      <c r="A23" s="67" t="s">
        <v>48</v>
      </c>
      <c r="B23" s="93" t="s">
        <v>49</v>
      </c>
      <c r="C23" s="94"/>
      <c r="D23" s="11"/>
    </row>
    <row r="24" spans="1:5">
      <c r="A24" s="67" t="s">
        <v>50</v>
      </c>
      <c r="B24" s="93" t="s">
        <v>51</v>
      </c>
      <c r="C24" s="94"/>
      <c r="D24" s="11"/>
    </row>
    <row r="25" spans="1:5">
      <c r="A25" s="67" t="s">
        <v>52</v>
      </c>
      <c r="B25" s="93" t="s">
        <v>53</v>
      </c>
      <c r="C25" s="94"/>
      <c r="D25" s="11"/>
    </row>
    <row r="26" spans="1:5">
      <c r="A26" s="67" t="s">
        <v>54</v>
      </c>
      <c r="B26" s="93" t="s">
        <v>55</v>
      </c>
      <c r="C26" s="94"/>
      <c r="D26" s="11"/>
    </row>
    <row r="27" spans="1:5">
      <c r="A27" s="67">
        <v>115</v>
      </c>
      <c r="B27" s="95" t="s">
        <v>43</v>
      </c>
      <c r="C27" s="96"/>
      <c r="D27" s="11"/>
    </row>
    <row r="28" spans="1:5">
      <c r="A28" s="67" t="s">
        <v>56</v>
      </c>
      <c r="B28" s="93" t="s">
        <v>57</v>
      </c>
      <c r="C28" s="94"/>
      <c r="D28" s="11"/>
    </row>
    <row r="29" spans="1:5">
      <c r="A29" s="67" t="s">
        <v>58</v>
      </c>
      <c r="B29" s="93" t="s">
        <v>59</v>
      </c>
      <c r="C29" s="94"/>
      <c r="D29" s="11"/>
    </row>
    <row r="30" spans="1:5">
      <c r="A30" s="67" t="s">
        <v>60</v>
      </c>
      <c r="B30" s="93" t="s">
        <v>61</v>
      </c>
      <c r="C30" s="94"/>
      <c r="D30" s="11"/>
    </row>
    <row r="31" spans="1:5">
      <c r="A31" s="67" t="s">
        <v>62</v>
      </c>
      <c r="B31" s="93" t="s">
        <v>63</v>
      </c>
      <c r="C31" s="94"/>
      <c r="D31" s="11"/>
    </row>
    <row r="32" spans="1:5">
      <c r="A32" s="67" t="s">
        <v>64</v>
      </c>
      <c r="B32" s="93" t="s">
        <v>65</v>
      </c>
      <c r="C32" s="94"/>
      <c r="D32" s="11"/>
    </row>
    <row r="33" spans="1:4">
      <c r="A33" s="67" t="s">
        <v>66</v>
      </c>
      <c r="B33" s="93" t="s">
        <v>67</v>
      </c>
      <c r="C33" s="94"/>
      <c r="D33" s="11"/>
    </row>
    <row r="34" spans="1:4">
      <c r="A34" s="67" t="s">
        <v>68</v>
      </c>
      <c r="B34" s="93" t="s">
        <v>69</v>
      </c>
      <c r="C34" s="94"/>
      <c r="D34" s="11"/>
    </row>
    <row r="35" spans="1:4">
      <c r="A35" s="67" t="s">
        <v>70</v>
      </c>
      <c r="B35" s="93" t="s">
        <v>71</v>
      </c>
      <c r="C35" s="94"/>
      <c r="D35" s="11"/>
    </row>
    <row r="36" spans="1:4">
      <c r="A36" s="67" t="s">
        <v>72</v>
      </c>
      <c r="B36" s="93" t="s">
        <v>73</v>
      </c>
      <c r="C36" s="94"/>
      <c r="D36" s="11"/>
    </row>
    <row r="37" spans="1:4">
      <c r="A37" s="67" t="s">
        <v>74</v>
      </c>
      <c r="B37" s="93" t="s">
        <v>75</v>
      </c>
      <c r="C37" s="94"/>
      <c r="D37" s="11"/>
    </row>
    <row r="38" spans="1:4">
      <c r="A38" s="67" t="s">
        <v>76</v>
      </c>
      <c r="B38" s="93" t="s">
        <v>77</v>
      </c>
      <c r="C38" s="94"/>
      <c r="D38" s="11"/>
    </row>
    <row r="39" spans="1:4">
      <c r="A39" s="67" t="s">
        <v>78</v>
      </c>
      <c r="B39" s="93" t="s">
        <v>79</v>
      </c>
      <c r="C39" s="94"/>
      <c r="D39" s="11"/>
    </row>
    <row r="40" spans="1:4">
      <c r="A40" s="67" t="s">
        <v>80</v>
      </c>
      <c r="B40" s="93" t="s">
        <v>81</v>
      </c>
      <c r="C40" s="94"/>
      <c r="D40" s="11"/>
    </row>
    <row r="41" spans="1:4">
      <c r="A41" s="67" t="s">
        <v>82</v>
      </c>
      <c r="B41" s="93" t="s">
        <v>83</v>
      </c>
      <c r="C41" s="94"/>
      <c r="D41" s="11"/>
    </row>
    <row r="42" spans="1:4">
      <c r="A42" s="67" t="s">
        <v>84</v>
      </c>
      <c r="B42" s="93" t="s">
        <v>89</v>
      </c>
      <c r="C42" s="94"/>
      <c r="D42" s="11"/>
    </row>
    <row r="43" spans="1:4">
      <c r="A43" s="67" t="s">
        <v>85</v>
      </c>
      <c r="B43" s="93" t="s">
        <v>86</v>
      </c>
      <c r="C43" s="94"/>
      <c r="D43" s="11"/>
    </row>
    <row r="44" spans="1:4">
      <c r="A44" s="67" t="s">
        <v>87</v>
      </c>
      <c r="B44" s="93" t="s">
        <v>88</v>
      </c>
      <c r="C44" s="94"/>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2" zoomScaleNormal="52" workbookViewId="0">
      <pane xSplit="10" ySplit="9" topLeftCell="K10" activePane="bottomRight" state="frozen"/>
      <selection pane="topRight" activeCell="H1" sqref="H1"/>
      <selection pane="bottomLeft" activeCell="A5" sqref="A5"/>
      <selection pane="bottomRight" activeCell="Q10" sqref="Q10:BB35"/>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22" t="s">
        <v>95</v>
      </c>
      <c r="D1" s="122"/>
      <c r="E1" s="122"/>
      <c r="F1" s="122"/>
      <c r="G1" s="122"/>
      <c r="H1" s="122"/>
      <c r="I1" s="122"/>
      <c r="J1" s="122"/>
      <c r="K1" s="122"/>
      <c r="L1" s="122"/>
      <c r="M1" s="122"/>
      <c r="N1" s="122"/>
      <c r="O1" s="122"/>
      <c r="P1" s="71"/>
      <c r="Q1" s="72">
        <v>101</v>
      </c>
      <c r="R1" s="117" t="s">
        <v>45</v>
      </c>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73">
        <v>102</v>
      </c>
      <c r="BD1" s="116" t="s">
        <v>47</v>
      </c>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72">
        <v>104</v>
      </c>
      <c r="CP1" s="117" t="s">
        <v>49</v>
      </c>
      <c r="CQ1" s="117"/>
      <c r="CR1" s="117"/>
      <c r="CS1" s="117"/>
      <c r="CT1" s="117"/>
      <c r="CU1" s="117"/>
      <c r="CV1" s="117"/>
      <c r="CW1" s="117"/>
      <c r="CX1" s="117"/>
      <c r="CY1" s="117"/>
      <c r="CZ1" s="117"/>
      <c r="DA1" s="117"/>
      <c r="DB1" s="117"/>
      <c r="DC1" s="117"/>
      <c r="DD1" s="117"/>
      <c r="DE1" s="117"/>
      <c r="DF1" s="117"/>
      <c r="DG1" s="117"/>
      <c r="DH1" s="117"/>
      <c r="DI1" s="117"/>
      <c r="DJ1" s="117"/>
      <c r="DK1" s="117"/>
      <c r="DL1" s="117"/>
      <c r="DM1" s="117"/>
      <c r="DN1" s="117"/>
      <c r="DO1" s="117"/>
      <c r="DP1" s="117"/>
      <c r="DQ1" s="117"/>
      <c r="DR1" s="117"/>
      <c r="DS1" s="117"/>
      <c r="DT1" s="117"/>
      <c r="DU1" s="117"/>
      <c r="DV1" s="117"/>
      <c r="DW1" s="117"/>
      <c r="DX1" s="117"/>
      <c r="DY1" s="117"/>
      <c r="DZ1" s="117"/>
      <c r="EA1" s="73">
        <v>106</v>
      </c>
      <c r="EB1" s="116" t="s">
        <v>51</v>
      </c>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116"/>
      <c r="FL1" s="116"/>
      <c r="FM1" s="72">
        <v>110</v>
      </c>
      <c r="FN1" s="117" t="s">
        <v>53</v>
      </c>
      <c r="FO1" s="117"/>
      <c r="FP1" s="117"/>
      <c r="FQ1" s="117"/>
      <c r="FR1" s="117"/>
      <c r="FS1" s="117"/>
      <c r="FT1" s="117"/>
      <c r="FU1" s="117"/>
      <c r="FV1" s="117"/>
      <c r="FW1" s="117"/>
      <c r="FX1" s="117"/>
      <c r="FY1" s="117"/>
      <c r="FZ1" s="117"/>
      <c r="GA1" s="117"/>
      <c r="GB1" s="117"/>
      <c r="GC1" s="117"/>
      <c r="GD1" s="117"/>
      <c r="GE1" s="117"/>
      <c r="GF1" s="117"/>
      <c r="GG1" s="117"/>
      <c r="GH1" s="117"/>
      <c r="GI1" s="117"/>
      <c r="GJ1" s="117"/>
      <c r="GK1" s="117"/>
      <c r="GL1" s="117"/>
      <c r="GM1" s="117"/>
      <c r="GN1" s="117"/>
      <c r="GO1" s="117"/>
      <c r="GP1" s="117"/>
      <c r="GQ1" s="117"/>
      <c r="GR1" s="117"/>
      <c r="GS1" s="117"/>
      <c r="GT1" s="117"/>
      <c r="GU1" s="117"/>
      <c r="GV1" s="117"/>
      <c r="GW1" s="117"/>
      <c r="GX1" s="117"/>
      <c r="GY1" s="73">
        <v>114</v>
      </c>
      <c r="GZ1" s="116" t="s">
        <v>55</v>
      </c>
      <c r="HA1" s="116"/>
      <c r="HB1" s="116"/>
      <c r="HC1" s="116"/>
      <c r="HD1" s="116"/>
      <c r="HE1" s="116"/>
      <c r="HF1" s="116"/>
      <c r="HG1" s="116"/>
      <c r="HH1" s="116"/>
      <c r="HI1" s="116"/>
      <c r="HJ1" s="116"/>
      <c r="HK1" s="116"/>
      <c r="HL1" s="116"/>
      <c r="HM1" s="116"/>
      <c r="HN1" s="116"/>
      <c r="HO1" s="116"/>
      <c r="HP1" s="116"/>
      <c r="HQ1" s="116"/>
      <c r="HR1" s="116"/>
      <c r="HS1" s="116"/>
      <c r="HT1" s="116"/>
      <c r="HU1" s="116"/>
      <c r="HV1" s="116"/>
      <c r="HW1" s="116"/>
      <c r="HX1" s="116"/>
      <c r="HY1" s="116"/>
      <c r="HZ1" s="116"/>
      <c r="IA1" s="116"/>
      <c r="IB1" s="116"/>
      <c r="IC1" s="116"/>
      <c r="ID1" s="116"/>
      <c r="IE1" s="116"/>
      <c r="IF1" s="116"/>
      <c r="IG1" s="116"/>
      <c r="IH1" s="116"/>
      <c r="II1" s="116"/>
      <c r="IJ1" s="116"/>
      <c r="IK1" s="72">
        <v>115</v>
      </c>
      <c r="IL1" s="117" t="s">
        <v>43</v>
      </c>
      <c r="IM1" s="117"/>
      <c r="IN1" s="117"/>
      <c r="IO1" s="117"/>
      <c r="IP1" s="117"/>
      <c r="IQ1" s="117"/>
      <c r="IR1" s="117"/>
      <c r="IS1" s="117"/>
      <c r="IT1" s="117"/>
      <c r="IU1" s="117"/>
      <c r="IV1" s="117"/>
      <c r="IW1" s="117"/>
      <c r="IX1" s="117"/>
      <c r="IY1" s="117"/>
      <c r="IZ1" s="117"/>
      <c r="JA1" s="117"/>
      <c r="JB1" s="117"/>
      <c r="JC1" s="117"/>
      <c r="JD1" s="117"/>
      <c r="JE1" s="117"/>
      <c r="JF1" s="117"/>
      <c r="JG1" s="117"/>
      <c r="JH1" s="117"/>
      <c r="JI1" s="117"/>
      <c r="JJ1" s="117"/>
      <c r="JK1" s="117"/>
      <c r="JL1" s="117"/>
      <c r="JM1" s="117"/>
      <c r="JN1" s="117"/>
      <c r="JO1" s="117"/>
      <c r="JP1" s="117"/>
      <c r="JQ1" s="117"/>
      <c r="JR1" s="117"/>
      <c r="JS1" s="117"/>
      <c r="JT1" s="117"/>
      <c r="JU1" s="117"/>
      <c r="JV1" s="117"/>
      <c r="JW1" s="73">
        <v>117</v>
      </c>
      <c r="JX1" s="116" t="s">
        <v>57</v>
      </c>
      <c r="JY1" s="116"/>
      <c r="JZ1" s="116"/>
      <c r="KA1" s="116"/>
      <c r="KB1" s="116"/>
      <c r="KC1" s="116"/>
      <c r="KD1" s="116"/>
      <c r="KE1" s="116"/>
      <c r="KF1" s="116"/>
      <c r="KG1" s="116"/>
      <c r="KH1" s="116"/>
      <c r="KI1" s="116"/>
      <c r="KJ1" s="116"/>
      <c r="KK1" s="116"/>
      <c r="KL1" s="116"/>
      <c r="KM1" s="116"/>
      <c r="KN1" s="116"/>
      <c r="KO1" s="116"/>
      <c r="KP1" s="116"/>
      <c r="KQ1" s="116"/>
      <c r="KR1" s="116"/>
      <c r="KS1" s="116"/>
      <c r="KT1" s="116"/>
      <c r="KU1" s="116"/>
      <c r="KV1" s="116"/>
      <c r="KW1" s="116"/>
      <c r="KX1" s="116"/>
      <c r="KY1" s="116"/>
      <c r="KZ1" s="116"/>
      <c r="LA1" s="116"/>
      <c r="LB1" s="116"/>
      <c r="LC1" s="116"/>
      <c r="LD1" s="116"/>
      <c r="LE1" s="116"/>
      <c r="LF1" s="116"/>
      <c r="LG1" s="116"/>
      <c r="LH1" s="116"/>
      <c r="LI1" s="72">
        <v>120</v>
      </c>
      <c r="LJ1" s="117" t="s">
        <v>59</v>
      </c>
      <c r="LK1" s="117"/>
      <c r="LL1" s="117"/>
      <c r="LM1" s="117"/>
      <c r="LN1" s="117"/>
      <c r="LO1" s="117"/>
      <c r="LP1" s="117"/>
      <c r="LQ1" s="117"/>
      <c r="LR1" s="117"/>
      <c r="LS1" s="117"/>
      <c r="LT1" s="117"/>
      <c r="LU1" s="117"/>
      <c r="LV1" s="117"/>
      <c r="LW1" s="117"/>
      <c r="LX1" s="117"/>
      <c r="LY1" s="117"/>
      <c r="LZ1" s="117"/>
      <c r="MA1" s="117"/>
      <c r="MB1" s="117"/>
      <c r="MC1" s="117"/>
      <c r="MD1" s="117"/>
      <c r="ME1" s="117"/>
      <c r="MF1" s="117"/>
      <c r="MG1" s="117"/>
      <c r="MH1" s="117"/>
      <c r="MI1" s="117"/>
      <c r="MJ1" s="117"/>
      <c r="MK1" s="117"/>
      <c r="ML1" s="117"/>
      <c r="MM1" s="117"/>
      <c r="MN1" s="117"/>
      <c r="MO1" s="117"/>
      <c r="MP1" s="117"/>
      <c r="MQ1" s="117"/>
      <c r="MR1" s="117"/>
      <c r="MS1" s="117"/>
      <c r="MT1" s="117"/>
      <c r="MU1" s="73">
        <v>125</v>
      </c>
      <c r="MV1" s="116" t="s">
        <v>61</v>
      </c>
      <c r="MW1" s="116"/>
      <c r="MX1" s="116"/>
      <c r="MY1" s="116"/>
      <c r="MZ1" s="116"/>
      <c r="NA1" s="116"/>
      <c r="NB1" s="116"/>
      <c r="NC1" s="116"/>
      <c r="ND1" s="116"/>
      <c r="NE1" s="116"/>
      <c r="NF1" s="116"/>
      <c r="NG1" s="116"/>
      <c r="NH1" s="116"/>
      <c r="NI1" s="116"/>
      <c r="NJ1" s="116"/>
      <c r="NK1" s="116"/>
      <c r="NL1" s="116"/>
      <c r="NM1" s="116"/>
      <c r="NN1" s="116"/>
      <c r="NO1" s="116"/>
      <c r="NP1" s="116"/>
      <c r="NQ1" s="116"/>
      <c r="NR1" s="116"/>
      <c r="NS1" s="116"/>
      <c r="NT1" s="116"/>
      <c r="NU1" s="116"/>
      <c r="NV1" s="116"/>
      <c r="NW1" s="116"/>
      <c r="NX1" s="116"/>
      <c r="NY1" s="116"/>
      <c r="NZ1" s="116"/>
      <c r="OA1" s="116"/>
      <c r="OB1" s="116"/>
      <c r="OC1" s="116"/>
      <c r="OD1" s="116"/>
      <c r="OE1" s="116"/>
      <c r="OF1" s="116"/>
      <c r="OG1" s="72">
        <v>127</v>
      </c>
      <c r="OH1" s="117" t="s">
        <v>63</v>
      </c>
      <c r="OI1" s="117"/>
      <c r="OJ1" s="117"/>
      <c r="OK1" s="117"/>
      <c r="OL1" s="117"/>
      <c r="OM1" s="117"/>
      <c r="ON1" s="117"/>
      <c r="OO1" s="117"/>
      <c r="OP1" s="117"/>
      <c r="OQ1" s="117"/>
      <c r="OR1" s="117"/>
      <c r="OS1" s="117"/>
      <c r="OT1" s="117"/>
      <c r="OU1" s="117"/>
      <c r="OV1" s="117"/>
      <c r="OW1" s="117"/>
      <c r="OX1" s="117"/>
      <c r="OY1" s="117"/>
      <c r="OZ1" s="117"/>
      <c r="PA1" s="117"/>
      <c r="PB1" s="117"/>
      <c r="PC1" s="117"/>
      <c r="PD1" s="117"/>
      <c r="PE1" s="117"/>
      <c r="PF1" s="117"/>
      <c r="PG1" s="117"/>
      <c r="PH1" s="117"/>
      <c r="PI1" s="117"/>
      <c r="PJ1" s="117"/>
      <c r="PK1" s="117"/>
      <c r="PL1" s="117"/>
      <c r="PM1" s="117"/>
      <c r="PN1" s="117"/>
      <c r="PO1" s="117"/>
      <c r="PP1" s="117"/>
      <c r="PQ1" s="117"/>
      <c r="PR1" s="117"/>
      <c r="PS1" s="73">
        <v>128</v>
      </c>
      <c r="PT1" s="116" t="s">
        <v>65</v>
      </c>
      <c r="PU1" s="116"/>
      <c r="PV1" s="116"/>
      <c r="PW1" s="116"/>
      <c r="PX1" s="116"/>
      <c r="PY1" s="116"/>
      <c r="PZ1" s="116"/>
      <c r="QA1" s="116"/>
      <c r="QB1" s="116"/>
      <c r="QC1" s="116"/>
      <c r="QD1" s="116"/>
      <c r="QE1" s="116"/>
      <c r="QF1" s="116"/>
      <c r="QG1" s="116"/>
      <c r="QH1" s="116"/>
      <c r="QI1" s="116"/>
      <c r="QJ1" s="116"/>
      <c r="QK1" s="116"/>
      <c r="QL1" s="116"/>
      <c r="QM1" s="116"/>
      <c r="QN1" s="116"/>
      <c r="QO1" s="116"/>
      <c r="QP1" s="116"/>
      <c r="QQ1" s="116"/>
      <c r="QR1" s="116"/>
      <c r="QS1" s="116"/>
      <c r="QT1" s="116"/>
      <c r="QU1" s="116"/>
      <c r="QV1" s="116"/>
      <c r="QW1" s="116"/>
      <c r="QX1" s="116"/>
      <c r="QY1" s="116"/>
      <c r="QZ1" s="116"/>
      <c r="RA1" s="116"/>
      <c r="RB1" s="116"/>
      <c r="RC1" s="116"/>
      <c r="RD1" s="116"/>
      <c r="RE1" s="72">
        <v>129</v>
      </c>
      <c r="RF1" s="117" t="s">
        <v>67</v>
      </c>
      <c r="RG1" s="117"/>
      <c r="RH1" s="117"/>
      <c r="RI1" s="117"/>
      <c r="RJ1" s="117"/>
      <c r="RK1" s="117"/>
      <c r="RL1" s="117"/>
      <c r="RM1" s="117"/>
      <c r="RN1" s="117"/>
      <c r="RO1" s="117"/>
      <c r="RP1" s="117"/>
      <c r="RQ1" s="117"/>
      <c r="RR1" s="117"/>
      <c r="RS1" s="117"/>
      <c r="RT1" s="117"/>
      <c r="RU1" s="117"/>
      <c r="RV1" s="117"/>
      <c r="RW1" s="117"/>
      <c r="RX1" s="117"/>
      <c r="RY1" s="117"/>
      <c r="RZ1" s="117"/>
      <c r="SA1" s="117"/>
      <c r="SB1" s="117"/>
      <c r="SC1" s="117"/>
      <c r="SD1" s="117"/>
      <c r="SE1" s="117"/>
      <c r="SF1" s="117"/>
      <c r="SG1" s="117"/>
      <c r="SH1" s="117"/>
      <c r="SI1" s="117"/>
      <c r="SJ1" s="117"/>
      <c r="SK1" s="117"/>
      <c r="SL1" s="117"/>
      <c r="SM1" s="117"/>
      <c r="SN1" s="117"/>
      <c r="SO1" s="117"/>
      <c r="SP1" s="117"/>
      <c r="SQ1" s="73">
        <v>130</v>
      </c>
      <c r="SR1" s="116" t="s">
        <v>69</v>
      </c>
      <c r="SS1" s="116"/>
      <c r="ST1" s="116"/>
      <c r="SU1" s="116"/>
      <c r="SV1" s="116"/>
      <c r="SW1" s="116"/>
      <c r="SX1" s="116"/>
      <c r="SY1" s="116"/>
      <c r="SZ1" s="116"/>
      <c r="TA1" s="116"/>
      <c r="TB1" s="116"/>
      <c r="TC1" s="116"/>
      <c r="TD1" s="116"/>
      <c r="TE1" s="116"/>
      <c r="TF1" s="116"/>
      <c r="TG1" s="116"/>
      <c r="TH1" s="116"/>
      <c r="TI1" s="116"/>
      <c r="TJ1" s="116"/>
      <c r="TK1" s="116"/>
      <c r="TL1" s="116"/>
      <c r="TM1" s="116"/>
      <c r="TN1" s="116"/>
      <c r="TO1" s="116"/>
      <c r="TP1" s="116"/>
      <c r="TQ1" s="116"/>
      <c r="TR1" s="116"/>
      <c r="TS1" s="116"/>
      <c r="TT1" s="116"/>
      <c r="TU1" s="116"/>
      <c r="TV1" s="116"/>
      <c r="TW1" s="116"/>
      <c r="TX1" s="116"/>
      <c r="TY1" s="116"/>
      <c r="TZ1" s="116"/>
      <c r="UA1" s="116"/>
      <c r="UB1" s="116"/>
      <c r="UC1" s="72">
        <v>131</v>
      </c>
      <c r="UD1" s="117" t="s">
        <v>71</v>
      </c>
      <c r="UE1" s="117"/>
      <c r="UF1" s="117"/>
      <c r="UG1" s="117"/>
      <c r="UH1" s="117"/>
      <c r="UI1" s="117"/>
      <c r="UJ1" s="117"/>
      <c r="UK1" s="117"/>
      <c r="UL1" s="117"/>
      <c r="UM1" s="117"/>
      <c r="UN1" s="117"/>
      <c r="UO1" s="117"/>
      <c r="UP1" s="117"/>
      <c r="UQ1" s="117"/>
      <c r="UR1" s="117"/>
      <c r="US1" s="117"/>
      <c r="UT1" s="117"/>
      <c r="UU1" s="117"/>
      <c r="UV1" s="117"/>
      <c r="UW1" s="117"/>
      <c r="UX1" s="117"/>
      <c r="UY1" s="117"/>
      <c r="UZ1" s="117"/>
      <c r="VA1" s="117"/>
      <c r="VB1" s="117"/>
      <c r="VC1" s="117"/>
      <c r="VD1" s="117"/>
      <c r="VE1" s="117"/>
      <c r="VF1" s="117"/>
      <c r="VG1" s="117"/>
      <c r="VH1" s="117"/>
      <c r="VI1" s="117"/>
      <c r="VJ1" s="117"/>
      <c r="VK1" s="117"/>
      <c r="VL1" s="117"/>
      <c r="VM1" s="117"/>
      <c r="VN1" s="117"/>
      <c r="VO1" s="73">
        <v>132</v>
      </c>
      <c r="VP1" s="116" t="s">
        <v>73</v>
      </c>
      <c r="VQ1" s="116"/>
      <c r="VR1" s="116"/>
      <c r="VS1" s="116"/>
      <c r="VT1" s="116"/>
      <c r="VU1" s="116"/>
      <c r="VV1" s="116"/>
      <c r="VW1" s="116"/>
      <c r="VX1" s="116"/>
      <c r="VY1" s="116"/>
      <c r="VZ1" s="116"/>
      <c r="WA1" s="116"/>
      <c r="WB1" s="116"/>
      <c r="WC1" s="116"/>
      <c r="WD1" s="116"/>
      <c r="WE1" s="116"/>
      <c r="WF1" s="116"/>
      <c r="WG1" s="116"/>
      <c r="WH1" s="116"/>
      <c r="WI1" s="116"/>
      <c r="WJ1" s="116"/>
      <c r="WK1" s="116"/>
      <c r="WL1" s="116"/>
      <c r="WM1" s="116"/>
      <c r="WN1" s="116"/>
      <c r="WO1" s="116"/>
      <c r="WP1" s="116"/>
      <c r="WQ1" s="116"/>
      <c r="WR1" s="116"/>
      <c r="WS1" s="116"/>
      <c r="WT1" s="116"/>
      <c r="WU1" s="116"/>
      <c r="WV1" s="116"/>
      <c r="WW1" s="116"/>
      <c r="WX1" s="116"/>
      <c r="WY1" s="116"/>
      <c r="WZ1" s="116"/>
      <c r="XA1" s="72">
        <v>133</v>
      </c>
      <c r="XB1" s="117" t="s">
        <v>75</v>
      </c>
      <c r="XC1" s="117"/>
      <c r="XD1" s="117"/>
      <c r="XE1" s="117"/>
      <c r="XF1" s="117"/>
      <c r="XG1" s="117"/>
      <c r="XH1" s="117"/>
      <c r="XI1" s="117"/>
      <c r="XJ1" s="117"/>
      <c r="XK1" s="117"/>
      <c r="XL1" s="117"/>
      <c r="XM1" s="117"/>
      <c r="XN1" s="117"/>
      <c r="XO1" s="117"/>
      <c r="XP1" s="117"/>
      <c r="XQ1" s="117"/>
      <c r="XR1" s="117"/>
      <c r="XS1" s="117"/>
      <c r="XT1" s="117"/>
      <c r="XU1" s="117"/>
      <c r="XV1" s="117"/>
      <c r="XW1" s="117"/>
      <c r="XX1" s="117"/>
      <c r="XY1" s="117"/>
      <c r="XZ1" s="117"/>
      <c r="YA1" s="117"/>
      <c r="YB1" s="117"/>
      <c r="YC1" s="117"/>
      <c r="YD1" s="117"/>
      <c r="YE1" s="117"/>
      <c r="YF1" s="117"/>
      <c r="YG1" s="117"/>
      <c r="YH1" s="117"/>
      <c r="YI1" s="117"/>
      <c r="YJ1" s="117"/>
      <c r="YK1" s="117"/>
      <c r="YL1" s="117"/>
      <c r="YM1" s="73">
        <v>135</v>
      </c>
      <c r="YN1" s="116" t="s">
        <v>77</v>
      </c>
      <c r="YO1" s="116"/>
      <c r="YP1" s="116"/>
      <c r="YQ1" s="116"/>
      <c r="YR1" s="116"/>
      <c r="YS1" s="116"/>
      <c r="YT1" s="116"/>
      <c r="YU1" s="116"/>
      <c r="YV1" s="116"/>
      <c r="YW1" s="116"/>
      <c r="YX1" s="116"/>
      <c r="YY1" s="116"/>
      <c r="YZ1" s="116"/>
      <c r="ZA1" s="116"/>
      <c r="ZB1" s="116"/>
      <c r="ZC1" s="116"/>
      <c r="ZD1" s="116"/>
      <c r="ZE1" s="116"/>
      <c r="ZF1" s="116"/>
      <c r="ZG1" s="116"/>
      <c r="ZH1" s="116"/>
      <c r="ZI1" s="116"/>
      <c r="ZJ1" s="116"/>
      <c r="ZK1" s="116"/>
      <c r="ZL1" s="116"/>
      <c r="ZM1" s="116"/>
      <c r="ZN1" s="116"/>
      <c r="ZO1" s="116"/>
      <c r="ZP1" s="116"/>
      <c r="ZQ1" s="116"/>
      <c r="ZR1" s="116"/>
      <c r="ZS1" s="116"/>
      <c r="ZT1" s="116"/>
      <c r="ZU1" s="116"/>
      <c r="ZV1" s="116"/>
      <c r="ZW1" s="116"/>
      <c r="ZX1" s="116"/>
      <c r="ZY1" s="72">
        <v>181</v>
      </c>
      <c r="ZZ1" s="117" t="s">
        <v>79</v>
      </c>
      <c r="AAA1" s="117"/>
      <c r="AAB1" s="117"/>
      <c r="AAC1" s="117"/>
      <c r="AAD1" s="117"/>
      <c r="AAE1" s="117"/>
      <c r="AAF1" s="117"/>
      <c r="AAG1" s="117"/>
      <c r="AAH1" s="117"/>
      <c r="AAI1" s="117"/>
      <c r="AAJ1" s="117"/>
      <c r="AAK1" s="117"/>
      <c r="AAL1" s="117"/>
      <c r="AAM1" s="117"/>
      <c r="AAN1" s="117"/>
      <c r="AAO1" s="117"/>
      <c r="AAP1" s="117"/>
      <c r="AAQ1" s="117"/>
      <c r="AAR1" s="117"/>
      <c r="AAS1" s="117"/>
      <c r="AAT1" s="117"/>
      <c r="AAU1" s="117"/>
      <c r="AAV1" s="117"/>
      <c r="AAW1" s="117"/>
      <c r="AAX1" s="117"/>
      <c r="AAY1" s="117"/>
      <c r="AAZ1" s="117"/>
      <c r="ABA1" s="117"/>
      <c r="ABB1" s="117"/>
      <c r="ABC1" s="117"/>
      <c r="ABD1" s="117"/>
      <c r="ABE1" s="117"/>
      <c r="ABF1" s="117"/>
      <c r="ABG1" s="117"/>
      <c r="ABH1" s="117"/>
      <c r="ABI1" s="117"/>
      <c r="ABJ1" s="117"/>
      <c r="ABK1" s="73">
        <v>182</v>
      </c>
      <c r="ABL1" s="116" t="s">
        <v>81</v>
      </c>
      <c r="ABM1" s="116"/>
      <c r="ABN1" s="116"/>
      <c r="ABO1" s="116"/>
      <c r="ABP1" s="116"/>
      <c r="ABQ1" s="116"/>
      <c r="ABR1" s="116"/>
      <c r="ABS1" s="116"/>
      <c r="ABT1" s="116"/>
      <c r="ABU1" s="116"/>
      <c r="ABV1" s="116"/>
      <c r="ABW1" s="116"/>
      <c r="ABX1" s="116"/>
      <c r="ABY1" s="116"/>
      <c r="ABZ1" s="116"/>
      <c r="ACA1" s="116"/>
      <c r="ACB1" s="116"/>
      <c r="ACC1" s="116"/>
      <c r="ACD1" s="116"/>
      <c r="ACE1" s="116"/>
      <c r="ACF1" s="116"/>
      <c r="ACG1" s="116"/>
      <c r="ACH1" s="116"/>
      <c r="ACI1" s="116"/>
      <c r="ACJ1" s="116"/>
      <c r="ACK1" s="116"/>
      <c r="ACL1" s="116"/>
      <c r="ACM1" s="116"/>
      <c r="ACN1" s="116"/>
      <c r="ACO1" s="116"/>
      <c r="ACP1" s="116"/>
      <c r="ACQ1" s="116"/>
      <c r="ACR1" s="116"/>
      <c r="ACS1" s="116"/>
      <c r="ACT1" s="116"/>
      <c r="ACU1" s="116"/>
      <c r="ACV1" s="116"/>
      <c r="ACW1" s="72">
        <v>281</v>
      </c>
      <c r="ACX1" s="117" t="s">
        <v>83</v>
      </c>
      <c r="ACY1" s="117"/>
      <c r="ACZ1" s="117"/>
      <c r="ADA1" s="117"/>
      <c r="ADB1" s="117"/>
      <c r="ADC1" s="117"/>
      <c r="ADD1" s="117"/>
      <c r="ADE1" s="117"/>
      <c r="ADF1" s="117"/>
      <c r="ADG1" s="117"/>
      <c r="ADH1" s="117"/>
      <c r="ADI1" s="117"/>
      <c r="ADJ1" s="117"/>
      <c r="ADK1" s="117"/>
      <c r="ADL1" s="117"/>
      <c r="ADM1" s="117"/>
      <c r="ADN1" s="117"/>
      <c r="ADO1" s="117"/>
      <c r="ADP1" s="117"/>
      <c r="ADQ1" s="117"/>
      <c r="ADR1" s="117"/>
      <c r="ADS1" s="117"/>
      <c r="ADT1" s="117"/>
      <c r="ADU1" s="117"/>
      <c r="ADV1" s="117"/>
      <c r="ADW1" s="117"/>
      <c r="ADX1" s="117"/>
      <c r="ADY1" s="117"/>
      <c r="ADZ1" s="117"/>
      <c r="AEA1" s="117"/>
      <c r="AEB1" s="117"/>
      <c r="AEC1" s="117"/>
      <c r="AED1" s="117"/>
      <c r="AEE1" s="117"/>
      <c r="AEF1" s="117"/>
      <c r="AEG1" s="117"/>
      <c r="AEH1" s="117"/>
      <c r="AEI1" s="73">
        <v>771</v>
      </c>
      <c r="AEJ1" s="116" t="s">
        <v>89</v>
      </c>
      <c r="AEK1" s="116"/>
      <c r="AEL1" s="116"/>
      <c r="AEM1" s="116"/>
      <c r="AEN1" s="116"/>
      <c r="AEO1" s="116"/>
      <c r="AEP1" s="116"/>
      <c r="AEQ1" s="116"/>
      <c r="AER1" s="116"/>
      <c r="AES1" s="116"/>
      <c r="AET1" s="116"/>
      <c r="AEU1" s="116"/>
      <c r="AEV1" s="116"/>
      <c r="AEW1" s="116"/>
      <c r="AEX1" s="116"/>
      <c r="AEY1" s="116"/>
      <c r="AEZ1" s="116"/>
      <c r="AFA1" s="116"/>
      <c r="AFB1" s="116"/>
      <c r="AFC1" s="116"/>
      <c r="AFD1" s="116"/>
      <c r="AFE1" s="116"/>
      <c r="AFF1" s="116"/>
      <c r="AFG1" s="116"/>
      <c r="AFH1" s="116"/>
      <c r="AFI1" s="116"/>
      <c r="AFJ1" s="116"/>
      <c r="AFK1" s="116"/>
      <c r="AFL1" s="116"/>
      <c r="AFM1" s="116"/>
      <c r="AFN1" s="116"/>
      <c r="AFO1" s="116"/>
      <c r="AFP1" s="116"/>
      <c r="AFQ1" s="116"/>
      <c r="AFR1" s="116"/>
      <c r="AFS1" s="116"/>
      <c r="AFT1" s="116"/>
      <c r="AFU1" s="72">
        <v>926</v>
      </c>
      <c r="AFV1" s="117" t="s">
        <v>86</v>
      </c>
      <c r="AFW1" s="117"/>
      <c r="AFX1" s="117"/>
      <c r="AFY1" s="117"/>
      <c r="AFZ1" s="117"/>
      <c r="AGA1" s="117"/>
      <c r="AGB1" s="117"/>
      <c r="AGC1" s="117"/>
      <c r="AGD1" s="117"/>
      <c r="AGE1" s="117"/>
      <c r="AGF1" s="117"/>
      <c r="AGG1" s="117"/>
      <c r="AGH1" s="117"/>
      <c r="AGI1" s="117"/>
      <c r="AGJ1" s="117"/>
      <c r="AGK1" s="117"/>
      <c r="AGL1" s="117"/>
      <c r="AGM1" s="117"/>
      <c r="AGN1" s="117"/>
      <c r="AGO1" s="117"/>
      <c r="AGP1" s="117"/>
      <c r="AGQ1" s="117"/>
      <c r="AGR1" s="117"/>
      <c r="AGS1" s="117"/>
      <c r="AGT1" s="117"/>
      <c r="AGU1" s="117"/>
      <c r="AGV1" s="117"/>
      <c r="AGW1" s="117"/>
      <c r="AGX1" s="117"/>
      <c r="AGY1" s="117"/>
      <c r="AGZ1" s="117"/>
      <c r="AHA1" s="117"/>
      <c r="AHB1" s="117"/>
      <c r="AHC1" s="117"/>
      <c r="AHD1" s="117"/>
      <c r="AHE1" s="117"/>
      <c r="AHF1" s="117"/>
      <c r="AHG1" s="73">
        <v>927</v>
      </c>
      <c r="AHH1" s="116" t="s">
        <v>88</v>
      </c>
      <c r="AHI1" s="116"/>
      <c r="AHJ1" s="116"/>
      <c r="AHK1" s="116"/>
      <c r="AHL1" s="116"/>
      <c r="AHM1" s="116"/>
      <c r="AHN1" s="116"/>
      <c r="AHO1" s="116"/>
      <c r="AHP1" s="116"/>
      <c r="AHQ1" s="116"/>
      <c r="AHR1" s="116"/>
      <c r="AHS1" s="116"/>
      <c r="AHT1" s="116"/>
      <c r="AHU1" s="116"/>
      <c r="AHV1" s="116"/>
      <c r="AHW1" s="116"/>
      <c r="AHX1" s="116"/>
      <c r="AHY1" s="116"/>
      <c r="AHZ1" s="116"/>
      <c r="AIA1" s="116"/>
      <c r="AIB1" s="116"/>
      <c r="AIC1" s="116"/>
      <c r="AID1" s="116"/>
      <c r="AIE1" s="116"/>
      <c r="AIF1" s="116"/>
      <c r="AIG1" s="116"/>
      <c r="AIH1" s="116"/>
      <c r="AII1" s="116"/>
      <c r="AIJ1" s="116"/>
      <c r="AIK1" s="116"/>
      <c r="AIL1" s="116"/>
      <c r="AIM1" s="116"/>
      <c r="AIN1" s="116"/>
      <c r="AIO1" s="116"/>
      <c r="AIP1" s="116"/>
      <c r="AIQ1" s="116"/>
      <c r="AIR1" s="116"/>
    </row>
    <row r="2" spans="1:928" s="79" customFormat="1" ht="41.4" hidden="1" customHeight="1">
      <c r="A2" s="74" t="str">
        <f>IF(A9="","",A9)</f>
        <v>2023-2024</v>
      </c>
      <c r="B2" s="74" t="str">
        <f>IF(B9="","",B9)</f>
        <v>Bakı</v>
      </c>
      <c r="C2" s="74" t="str">
        <f>IF(C9="","",C9)</f>
        <v>Binəqədi</v>
      </c>
      <c r="D2" s="74">
        <f>IF(D9="","",D9)</f>
        <v>99</v>
      </c>
      <c r="E2" s="74" t="s">
        <v>9</v>
      </c>
      <c r="F2" s="74"/>
      <c r="G2" s="74"/>
      <c r="H2" s="74" t="str">
        <f>IF(F9="","",F9&amp;G9)</f>
        <v>2A</v>
      </c>
      <c r="I2" s="74" t="str">
        <f>IF(K9="R","Rus",IF(K9="A","Azərbaycan",""))</f>
        <v>Azərbaycan</v>
      </c>
      <c r="J2" s="74"/>
      <c r="K2" s="74" t="str">
        <f>IF(K9="","",K9)</f>
        <v>A</v>
      </c>
      <c r="L2" s="74">
        <f>SUM(L4,L6)</f>
        <v>26</v>
      </c>
      <c r="M2" s="74"/>
      <c r="N2" s="74"/>
      <c r="O2" s="74"/>
      <c r="P2" s="74" t="str">
        <f>IF(P9="","",P9)</f>
        <v>Sirzadova Şahnaz Zəfər</v>
      </c>
      <c r="Q2" s="74"/>
      <c r="R2" s="74">
        <f>IF(Q1="","",Q1)</f>
        <v>101</v>
      </c>
      <c r="S2" s="74">
        <f>IF(S10="","",S10)</f>
        <v>157</v>
      </c>
      <c r="T2" s="75" t="str">
        <f>IFERROR(AVERAGE(T10:T59),"")</f>
        <v/>
      </c>
      <c r="U2" s="75">
        <f t="shared" ref="U2:BB2" si="0">IFERROR(AVERAGE(U10:U59),"")</f>
        <v>78.34615384615384</v>
      </c>
      <c r="V2" s="75">
        <f t="shared" si="0"/>
        <v>74.84615384615384</v>
      </c>
      <c r="W2" s="75">
        <f t="shared" si="0"/>
        <v>79.807692307692307</v>
      </c>
      <c r="X2" s="75">
        <f t="shared" si="0"/>
        <v>85.2</v>
      </c>
      <c r="Y2" s="75" t="str">
        <f t="shared" si="0"/>
        <v/>
      </c>
      <c r="Z2" s="75" t="str">
        <f t="shared" si="0"/>
        <v/>
      </c>
      <c r="AA2" s="75">
        <f t="shared" si="0"/>
        <v>79.336538461538467</v>
      </c>
      <c r="AB2" s="75" t="str">
        <f t="shared" si="0"/>
        <v/>
      </c>
      <c r="AC2" s="75">
        <f t="shared" si="0"/>
        <v>79.336538461538467</v>
      </c>
      <c r="AD2" s="75" t="str">
        <f t="shared" si="0"/>
        <v/>
      </c>
      <c r="AE2" s="75" t="str">
        <f t="shared" si="0"/>
        <v/>
      </c>
      <c r="AF2" s="76">
        <f>IFERROR(SUM(AF10:AF59),"")</f>
        <v>65</v>
      </c>
      <c r="AG2" s="75">
        <f t="shared" si="0"/>
        <v>96.815286624203821</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f t="shared" si="0"/>
        <v>79.336538461538467</v>
      </c>
      <c r="AV2" s="75" t="str">
        <f t="shared" si="0"/>
        <v/>
      </c>
      <c r="AW2" s="75">
        <f t="shared" si="0"/>
        <v>79.336538461538467</v>
      </c>
      <c r="AX2" s="77">
        <f t="shared" si="0"/>
        <v>4.384615384615385</v>
      </c>
      <c r="AY2" s="75" t="str">
        <f t="shared" si="0"/>
        <v/>
      </c>
      <c r="AZ2" s="75" t="str">
        <f t="shared" si="0"/>
        <v/>
      </c>
      <c r="BA2" s="76">
        <f>IFERROR(SUM(BA10:BA59),"")</f>
        <v>65</v>
      </c>
      <c r="BB2" s="75">
        <f t="shared" si="0"/>
        <v>98.407643312101897</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f t="shared" ref="U3:AZ3" si="25">IFERROR(COUNTIFS(U10:U900000,"&gt;80",U10:U900000,"&lt;=100")/COUNTIF(U10:U900000,"&gt;=0"),"")</f>
        <v>0.57692307692307687</v>
      </c>
      <c r="V3" s="81">
        <f t="shared" si="25"/>
        <v>0.53846153846153844</v>
      </c>
      <c r="W3" s="81">
        <f t="shared" si="25"/>
        <v>0.61538461538461542</v>
      </c>
      <c r="X3" s="81">
        <f t="shared" si="25"/>
        <v>0.68</v>
      </c>
      <c r="Y3" s="81" t="str">
        <f t="shared" si="25"/>
        <v/>
      </c>
      <c r="Z3" s="81" t="str">
        <f t="shared" si="25"/>
        <v/>
      </c>
      <c r="AA3" s="81">
        <f t="shared" si="25"/>
        <v>0.53846153846153844</v>
      </c>
      <c r="AB3" s="81" t="str">
        <f t="shared" si="25"/>
        <v/>
      </c>
      <c r="AC3" s="81">
        <f t="shared" si="25"/>
        <v>0.53846153846153844</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f t="shared" si="25"/>
        <v>0.53846153846153844</v>
      </c>
      <c r="AV3" s="81" t="str">
        <f t="shared" si="25"/>
        <v/>
      </c>
      <c r="AW3" s="81">
        <f t="shared" si="25"/>
        <v>0.53846153846153844</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16</v>
      </c>
      <c r="M4" s="80" t="s">
        <v>119</v>
      </c>
      <c r="N4" s="80"/>
      <c r="O4" s="80"/>
      <c r="P4" s="80"/>
      <c r="Q4" s="80" t="s">
        <v>107</v>
      </c>
      <c r="R4" s="80"/>
      <c r="S4" s="80"/>
      <c r="T4" s="81" t="str">
        <f>IFERROR(COUNTIFS(T10:T900000,"&gt;60",T10:T900000,"&lt;=80")/COUNTIF(T10:T900000,"&gt;=0"),"")</f>
        <v/>
      </c>
      <c r="U4" s="81">
        <f t="shared" ref="U4:AZ4" si="118">IFERROR(COUNTIFS(U10:U900000,"&gt;60",U10:U900000,"&lt;=80")/COUNTIF(U10:U900000,"&gt;=0"),"")</f>
        <v>0.19230769230769232</v>
      </c>
      <c r="V4" s="81">
        <f t="shared" si="118"/>
        <v>0.15384615384615385</v>
      </c>
      <c r="W4" s="81">
        <f t="shared" si="118"/>
        <v>0.19230769230769232</v>
      </c>
      <c r="X4" s="81">
        <f t="shared" si="118"/>
        <v>0.2</v>
      </c>
      <c r="Y4" s="81" t="str">
        <f t="shared" si="118"/>
        <v/>
      </c>
      <c r="Z4" s="81" t="str">
        <f t="shared" si="118"/>
        <v/>
      </c>
      <c r="AA4" s="81">
        <f t="shared" si="118"/>
        <v>0.30769230769230771</v>
      </c>
      <c r="AB4" s="81" t="str">
        <f t="shared" si="118"/>
        <v/>
      </c>
      <c r="AC4" s="81">
        <f t="shared" si="118"/>
        <v>0.30769230769230771</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f t="shared" si="118"/>
        <v>0.30769230769230771</v>
      </c>
      <c r="AV4" s="81" t="str">
        <f t="shared" si="118"/>
        <v/>
      </c>
      <c r="AW4" s="81">
        <f t="shared" si="118"/>
        <v>0.30769230769230771</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f t="shared" ref="U5:AZ5" si="211">IFERROR(COUNTIFS(U10:U900000,"&gt;30",U10:U900000,"&lt;=60")/COUNTIF(U10:U900000,"&gt;=0"),"")</f>
        <v>0.19230769230769232</v>
      </c>
      <c r="V5" s="81">
        <f t="shared" si="211"/>
        <v>0.30769230769230771</v>
      </c>
      <c r="W5" s="81">
        <f t="shared" si="211"/>
        <v>0.19230769230769232</v>
      </c>
      <c r="X5" s="81">
        <f t="shared" si="211"/>
        <v>0.12</v>
      </c>
      <c r="Y5" s="81" t="str">
        <f t="shared" si="211"/>
        <v/>
      </c>
      <c r="Z5" s="81" t="str">
        <f t="shared" si="211"/>
        <v/>
      </c>
      <c r="AA5" s="81">
        <f t="shared" si="211"/>
        <v>0.15384615384615385</v>
      </c>
      <c r="AB5" s="81" t="str">
        <f t="shared" si="211"/>
        <v/>
      </c>
      <c r="AC5" s="81">
        <f t="shared" si="211"/>
        <v>0.15384615384615385</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f t="shared" si="211"/>
        <v>0.15384615384615385</v>
      </c>
      <c r="AV5" s="81" t="str">
        <f t="shared" si="211"/>
        <v/>
      </c>
      <c r="AW5" s="81">
        <f t="shared" si="211"/>
        <v>0.15384615384615385</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10</v>
      </c>
      <c r="M6" s="80"/>
      <c r="N6" s="80"/>
      <c r="O6" s="80"/>
      <c r="P6" s="80"/>
      <c r="Q6" s="80" t="s">
        <v>109</v>
      </c>
      <c r="R6" s="80"/>
      <c r="S6" s="80"/>
      <c r="T6" s="81" t="str">
        <f>IFERROR(COUNTIFS(T10:T900000,"&gt;=0",T10:T900000,"&lt;=30")/COUNTIF(T10:T900000,"&gt;=0"),"")</f>
        <v/>
      </c>
      <c r="U6" s="81">
        <f t="shared" ref="U6:AZ6" si="304">IFERROR(COUNTIFS(U10:U900000,"&gt;=0",U10:U900000,"&lt;=30")/COUNTIF(U10:U900000,"&gt;=0"),"")</f>
        <v>3.8461538461538464E-2</v>
      </c>
      <c r="V6" s="81">
        <f t="shared" si="304"/>
        <v>0</v>
      </c>
      <c r="W6" s="81">
        <f t="shared" si="304"/>
        <v>0</v>
      </c>
      <c r="X6" s="81">
        <f t="shared" si="304"/>
        <v>0</v>
      </c>
      <c r="Y6" s="81" t="str">
        <f t="shared" si="304"/>
        <v/>
      </c>
      <c r="Z6" s="81" t="str">
        <f t="shared" si="304"/>
        <v/>
      </c>
      <c r="AA6" s="81">
        <f t="shared" si="304"/>
        <v>0</v>
      </c>
      <c r="AB6" s="81" t="str">
        <f t="shared" si="304"/>
        <v/>
      </c>
      <c r="AC6" s="81">
        <f t="shared" si="304"/>
        <v>0</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f t="shared" si="304"/>
        <v>0</v>
      </c>
      <c r="AV6" s="81" t="str">
        <f t="shared" si="304"/>
        <v/>
      </c>
      <c r="AW6" s="81">
        <f t="shared" si="304"/>
        <v>0</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18" t="s">
        <v>102</v>
      </c>
      <c r="B7" s="115" t="s">
        <v>103</v>
      </c>
      <c r="C7" s="118" t="s">
        <v>90</v>
      </c>
      <c r="D7" s="118" t="s">
        <v>91</v>
      </c>
      <c r="E7" s="115" t="s">
        <v>99</v>
      </c>
      <c r="F7" s="120" t="s">
        <v>9</v>
      </c>
      <c r="G7" s="120" t="s">
        <v>10</v>
      </c>
      <c r="H7" s="115" t="s">
        <v>0</v>
      </c>
      <c r="I7" s="115"/>
      <c r="J7" s="115"/>
      <c r="K7" s="118" t="s">
        <v>97</v>
      </c>
      <c r="L7" s="115" t="s">
        <v>104</v>
      </c>
      <c r="M7" s="115" t="s">
        <v>131</v>
      </c>
      <c r="N7" s="115" t="s">
        <v>92</v>
      </c>
      <c r="O7" s="115"/>
      <c r="P7" s="115" t="s">
        <v>120</v>
      </c>
      <c r="Q7" s="102" t="s">
        <v>11</v>
      </c>
      <c r="R7" s="102" t="s">
        <v>19</v>
      </c>
      <c r="S7" s="102" t="s">
        <v>96</v>
      </c>
      <c r="T7" s="110" t="s">
        <v>12</v>
      </c>
      <c r="U7" s="112" t="s">
        <v>14</v>
      </c>
      <c r="V7" s="112"/>
      <c r="W7" s="112"/>
      <c r="X7" s="112"/>
      <c r="Y7" s="112"/>
      <c r="Z7" s="112"/>
      <c r="AA7" s="112"/>
      <c r="AB7" s="112"/>
      <c r="AC7" s="112"/>
      <c r="AD7" s="112"/>
      <c r="AE7" s="112"/>
      <c r="AF7" s="112"/>
      <c r="AG7" s="112"/>
      <c r="AH7" s="112" t="s">
        <v>15</v>
      </c>
      <c r="AI7" s="112"/>
      <c r="AJ7" s="112"/>
      <c r="AK7" s="112"/>
      <c r="AL7" s="112"/>
      <c r="AM7" s="112"/>
      <c r="AN7" s="112"/>
      <c r="AO7" s="112"/>
      <c r="AP7" s="112"/>
      <c r="AQ7" s="112"/>
      <c r="AR7" s="112"/>
      <c r="AS7" s="112"/>
      <c r="AT7" s="112"/>
      <c r="AU7" s="112" t="s">
        <v>17</v>
      </c>
      <c r="AV7" s="112"/>
      <c r="AW7" s="112"/>
      <c r="AX7" s="112"/>
      <c r="AY7" s="112"/>
      <c r="AZ7" s="112"/>
      <c r="BA7" s="112"/>
      <c r="BB7" s="112"/>
      <c r="BC7" s="102" t="s">
        <v>11</v>
      </c>
      <c r="BD7" s="102" t="s">
        <v>19</v>
      </c>
      <c r="BE7" s="102" t="s">
        <v>96</v>
      </c>
      <c r="BF7" s="110" t="s">
        <v>12</v>
      </c>
      <c r="BG7" s="112" t="s">
        <v>14</v>
      </c>
      <c r="BH7" s="112"/>
      <c r="BI7" s="112"/>
      <c r="BJ7" s="112"/>
      <c r="BK7" s="112"/>
      <c r="BL7" s="112"/>
      <c r="BM7" s="112"/>
      <c r="BN7" s="112"/>
      <c r="BO7" s="112"/>
      <c r="BP7" s="112"/>
      <c r="BQ7" s="112"/>
      <c r="BR7" s="112"/>
      <c r="BS7" s="112"/>
      <c r="BT7" s="112" t="s">
        <v>15</v>
      </c>
      <c r="BU7" s="112"/>
      <c r="BV7" s="112"/>
      <c r="BW7" s="112"/>
      <c r="BX7" s="112"/>
      <c r="BY7" s="112"/>
      <c r="BZ7" s="112"/>
      <c r="CA7" s="112"/>
      <c r="CB7" s="112"/>
      <c r="CC7" s="112"/>
      <c r="CD7" s="112"/>
      <c r="CE7" s="112"/>
      <c r="CF7" s="112"/>
      <c r="CG7" s="112" t="s">
        <v>17</v>
      </c>
      <c r="CH7" s="112"/>
      <c r="CI7" s="112"/>
      <c r="CJ7" s="112"/>
      <c r="CK7" s="112"/>
      <c r="CL7" s="112"/>
      <c r="CM7" s="112"/>
      <c r="CN7" s="112"/>
      <c r="CO7" s="102" t="s">
        <v>11</v>
      </c>
      <c r="CP7" s="102" t="s">
        <v>19</v>
      </c>
      <c r="CQ7" s="102" t="s">
        <v>96</v>
      </c>
      <c r="CR7" s="110" t="s">
        <v>12</v>
      </c>
      <c r="CS7" s="112" t="s">
        <v>14</v>
      </c>
      <c r="CT7" s="112"/>
      <c r="CU7" s="112"/>
      <c r="CV7" s="112"/>
      <c r="CW7" s="112"/>
      <c r="CX7" s="112"/>
      <c r="CY7" s="112"/>
      <c r="CZ7" s="112"/>
      <c r="DA7" s="112"/>
      <c r="DB7" s="112"/>
      <c r="DC7" s="112"/>
      <c r="DD7" s="112"/>
      <c r="DE7" s="112"/>
      <c r="DF7" s="112" t="s">
        <v>15</v>
      </c>
      <c r="DG7" s="112"/>
      <c r="DH7" s="112"/>
      <c r="DI7" s="112"/>
      <c r="DJ7" s="112"/>
      <c r="DK7" s="112"/>
      <c r="DL7" s="112"/>
      <c r="DM7" s="112"/>
      <c r="DN7" s="112"/>
      <c r="DO7" s="112"/>
      <c r="DP7" s="112"/>
      <c r="DQ7" s="112"/>
      <c r="DR7" s="112"/>
      <c r="DS7" s="112" t="s">
        <v>17</v>
      </c>
      <c r="DT7" s="112"/>
      <c r="DU7" s="112"/>
      <c r="DV7" s="112"/>
      <c r="DW7" s="112"/>
      <c r="DX7" s="112"/>
      <c r="DY7" s="112"/>
      <c r="DZ7" s="112"/>
      <c r="EA7" s="102" t="s">
        <v>11</v>
      </c>
      <c r="EB7" s="102" t="s">
        <v>19</v>
      </c>
      <c r="EC7" s="102" t="s">
        <v>96</v>
      </c>
      <c r="ED7" s="110" t="s">
        <v>12</v>
      </c>
      <c r="EE7" s="112" t="s">
        <v>14</v>
      </c>
      <c r="EF7" s="112"/>
      <c r="EG7" s="112"/>
      <c r="EH7" s="112"/>
      <c r="EI7" s="112"/>
      <c r="EJ7" s="112"/>
      <c r="EK7" s="112"/>
      <c r="EL7" s="112"/>
      <c r="EM7" s="112"/>
      <c r="EN7" s="112"/>
      <c r="EO7" s="112"/>
      <c r="EP7" s="112"/>
      <c r="EQ7" s="112"/>
      <c r="ER7" s="112" t="s">
        <v>15</v>
      </c>
      <c r="ES7" s="112"/>
      <c r="ET7" s="112"/>
      <c r="EU7" s="112"/>
      <c r="EV7" s="112"/>
      <c r="EW7" s="112"/>
      <c r="EX7" s="112"/>
      <c r="EY7" s="112"/>
      <c r="EZ7" s="112"/>
      <c r="FA7" s="112"/>
      <c r="FB7" s="112"/>
      <c r="FC7" s="112"/>
      <c r="FD7" s="112"/>
      <c r="FE7" s="112" t="s">
        <v>17</v>
      </c>
      <c r="FF7" s="112"/>
      <c r="FG7" s="112"/>
      <c r="FH7" s="112"/>
      <c r="FI7" s="112"/>
      <c r="FJ7" s="112"/>
      <c r="FK7" s="112"/>
      <c r="FL7" s="112"/>
      <c r="FM7" s="102" t="s">
        <v>11</v>
      </c>
      <c r="FN7" s="102" t="s">
        <v>19</v>
      </c>
      <c r="FO7" s="102" t="s">
        <v>96</v>
      </c>
      <c r="FP7" s="110" t="s">
        <v>12</v>
      </c>
      <c r="FQ7" s="112" t="s">
        <v>14</v>
      </c>
      <c r="FR7" s="112"/>
      <c r="FS7" s="112"/>
      <c r="FT7" s="112"/>
      <c r="FU7" s="112"/>
      <c r="FV7" s="112"/>
      <c r="FW7" s="112"/>
      <c r="FX7" s="112"/>
      <c r="FY7" s="112"/>
      <c r="FZ7" s="112"/>
      <c r="GA7" s="112"/>
      <c r="GB7" s="112"/>
      <c r="GC7" s="112"/>
      <c r="GD7" s="112" t="s">
        <v>15</v>
      </c>
      <c r="GE7" s="112"/>
      <c r="GF7" s="112"/>
      <c r="GG7" s="112"/>
      <c r="GH7" s="112"/>
      <c r="GI7" s="112"/>
      <c r="GJ7" s="112"/>
      <c r="GK7" s="112"/>
      <c r="GL7" s="112"/>
      <c r="GM7" s="112"/>
      <c r="GN7" s="112"/>
      <c r="GO7" s="112"/>
      <c r="GP7" s="112"/>
      <c r="GQ7" s="112" t="s">
        <v>17</v>
      </c>
      <c r="GR7" s="112"/>
      <c r="GS7" s="112"/>
      <c r="GT7" s="112"/>
      <c r="GU7" s="112"/>
      <c r="GV7" s="112"/>
      <c r="GW7" s="112"/>
      <c r="GX7" s="112"/>
      <c r="GY7" s="102" t="s">
        <v>11</v>
      </c>
      <c r="GZ7" s="102" t="s">
        <v>19</v>
      </c>
      <c r="HA7" s="102" t="s">
        <v>96</v>
      </c>
      <c r="HB7" s="110" t="s">
        <v>12</v>
      </c>
      <c r="HC7" s="112" t="s">
        <v>14</v>
      </c>
      <c r="HD7" s="112"/>
      <c r="HE7" s="112"/>
      <c r="HF7" s="112"/>
      <c r="HG7" s="112"/>
      <c r="HH7" s="112"/>
      <c r="HI7" s="112"/>
      <c r="HJ7" s="112"/>
      <c r="HK7" s="112"/>
      <c r="HL7" s="112"/>
      <c r="HM7" s="112"/>
      <c r="HN7" s="112"/>
      <c r="HO7" s="112"/>
      <c r="HP7" s="112" t="s">
        <v>15</v>
      </c>
      <c r="HQ7" s="112"/>
      <c r="HR7" s="112"/>
      <c r="HS7" s="112"/>
      <c r="HT7" s="112"/>
      <c r="HU7" s="112"/>
      <c r="HV7" s="112"/>
      <c r="HW7" s="112"/>
      <c r="HX7" s="112"/>
      <c r="HY7" s="112"/>
      <c r="HZ7" s="112"/>
      <c r="IA7" s="112"/>
      <c r="IB7" s="112"/>
      <c r="IC7" s="112" t="s">
        <v>17</v>
      </c>
      <c r="ID7" s="112"/>
      <c r="IE7" s="112"/>
      <c r="IF7" s="112"/>
      <c r="IG7" s="112"/>
      <c r="IH7" s="112"/>
      <c r="II7" s="112"/>
      <c r="IJ7" s="112"/>
      <c r="IK7" s="102" t="s">
        <v>11</v>
      </c>
      <c r="IL7" s="102" t="s">
        <v>19</v>
      </c>
      <c r="IM7" s="102" t="s">
        <v>96</v>
      </c>
      <c r="IN7" s="110" t="s">
        <v>12</v>
      </c>
      <c r="IO7" s="112" t="s">
        <v>14</v>
      </c>
      <c r="IP7" s="112"/>
      <c r="IQ7" s="112"/>
      <c r="IR7" s="112"/>
      <c r="IS7" s="112"/>
      <c r="IT7" s="112"/>
      <c r="IU7" s="112"/>
      <c r="IV7" s="112"/>
      <c r="IW7" s="112"/>
      <c r="IX7" s="112"/>
      <c r="IY7" s="112"/>
      <c r="IZ7" s="112"/>
      <c r="JA7" s="112"/>
      <c r="JB7" s="112" t="s">
        <v>15</v>
      </c>
      <c r="JC7" s="112"/>
      <c r="JD7" s="112"/>
      <c r="JE7" s="112"/>
      <c r="JF7" s="112"/>
      <c r="JG7" s="112"/>
      <c r="JH7" s="112"/>
      <c r="JI7" s="112"/>
      <c r="JJ7" s="112"/>
      <c r="JK7" s="112"/>
      <c r="JL7" s="112"/>
      <c r="JM7" s="112"/>
      <c r="JN7" s="112"/>
      <c r="JO7" s="112" t="s">
        <v>17</v>
      </c>
      <c r="JP7" s="112"/>
      <c r="JQ7" s="112"/>
      <c r="JR7" s="112"/>
      <c r="JS7" s="112"/>
      <c r="JT7" s="112"/>
      <c r="JU7" s="112"/>
      <c r="JV7" s="112"/>
      <c r="JW7" s="102" t="s">
        <v>11</v>
      </c>
      <c r="JX7" s="102" t="s">
        <v>19</v>
      </c>
      <c r="JY7" s="102" t="s">
        <v>96</v>
      </c>
      <c r="JZ7" s="110" t="s">
        <v>12</v>
      </c>
      <c r="KA7" s="112" t="s">
        <v>14</v>
      </c>
      <c r="KB7" s="112"/>
      <c r="KC7" s="112"/>
      <c r="KD7" s="112"/>
      <c r="KE7" s="112"/>
      <c r="KF7" s="112"/>
      <c r="KG7" s="112"/>
      <c r="KH7" s="112"/>
      <c r="KI7" s="112"/>
      <c r="KJ7" s="112"/>
      <c r="KK7" s="112"/>
      <c r="KL7" s="112"/>
      <c r="KM7" s="112"/>
      <c r="KN7" s="112" t="s">
        <v>15</v>
      </c>
      <c r="KO7" s="112"/>
      <c r="KP7" s="112"/>
      <c r="KQ7" s="112"/>
      <c r="KR7" s="112"/>
      <c r="KS7" s="112"/>
      <c r="KT7" s="112"/>
      <c r="KU7" s="112"/>
      <c r="KV7" s="112"/>
      <c r="KW7" s="112"/>
      <c r="KX7" s="112"/>
      <c r="KY7" s="112"/>
      <c r="KZ7" s="112"/>
      <c r="LA7" s="112" t="s">
        <v>17</v>
      </c>
      <c r="LB7" s="112"/>
      <c r="LC7" s="112"/>
      <c r="LD7" s="112"/>
      <c r="LE7" s="112"/>
      <c r="LF7" s="112"/>
      <c r="LG7" s="112"/>
      <c r="LH7" s="112"/>
      <c r="LI7" s="102" t="s">
        <v>11</v>
      </c>
      <c r="LJ7" s="102" t="s">
        <v>19</v>
      </c>
      <c r="LK7" s="102" t="s">
        <v>96</v>
      </c>
      <c r="LL7" s="110" t="s">
        <v>12</v>
      </c>
      <c r="LM7" s="112" t="s">
        <v>14</v>
      </c>
      <c r="LN7" s="112"/>
      <c r="LO7" s="112"/>
      <c r="LP7" s="112"/>
      <c r="LQ7" s="112"/>
      <c r="LR7" s="112"/>
      <c r="LS7" s="112"/>
      <c r="LT7" s="112"/>
      <c r="LU7" s="112"/>
      <c r="LV7" s="112"/>
      <c r="LW7" s="112"/>
      <c r="LX7" s="112"/>
      <c r="LY7" s="112"/>
      <c r="LZ7" s="112" t="s">
        <v>15</v>
      </c>
      <c r="MA7" s="112"/>
      <c r="MB7" s="112"/>
      <c r="MC7" s="112"/>
      <c r="MD7" s="112"/>
      <c r="ME7" s="112"/>
      <c r="MF7" s="112"/>
      <c r="MG7" s="112"/>
      <c r="MH7" s="112"/>
      <c r="MI7" s="112"/>
      <c r="MJ7" s="112"/>
      <c r="MK7" s="112"/>
      <c r="ML7" s="112"/>
      <c r="MM7" s="112" t="s">
        <v>17</v>
      </c>
      <c r="MN7" s="112"/>
      <c r="MO7" s="112"/>
      <c r="MP7" s="112"/>
      <c r="MQ7" s="112"/>
      <c r="MR7" s="112"/>
      <c r="MS7" s="112"/>
      <c r="MT7" s="112"/>
      <c r="MU7" s="102" t="s">
        <v>11</v>
      </c>
      <c r="MV7" s="102" t="s">
        <v>19</v>
      </c>
      <c r="MW7" s="102" t="s">
        <v>96</v>
      </c>
      <c r="MX7" s="110" t="s">
        <v>12</v>
      </c>
      <c r="MY7" s="112" t="s">
        <v>14</v>
      </c>
      <c r="MZ7" s="112"/>
      <c r="NA7" s="112"/>
      <c r="NB7" s="112"/>
      <c r="NC7" s="112"/>
      <c r="ND7" s="112"/>
      <c r="NE7" s="112"/>
      <c r="NF7" s="112"/>
      <c r="NG7" s="112"/>
      <c r="NH7" s="112"/>
      <c r="NI7" s="112"/>
      <c r="NJ7" s="112"/>
      <c r="NK7" s="112"/>
      <c r="NL7" s="112" t="s">
        <v>15</v>
      </c>
      <c r="NM7" s="112"/>
      <c r="NN7" s="112"/>
      <c r="NO7" s="112"/>
      <c r="NP7" s="112"/>
      <c r="NQ7" s="112"/>
      <c r="NR7" s="112"/>
      <c r="NS7" s="112"/>
      <c r="NT7" s="112"/>
      <c r="NU7" s="112"/>
      <c r="NV7" s="112"/>
      <c r="NW7" s="112"/>
      <c r="NX7" s="112"/>
      <c r="NY7" s="112" t="s">
        <v>17</v>
      </c>
      <c r="NZ7" s="112"/>
      <c r="OA7" s="112"/>
      <c r="OB7" s="112"/>
      <c r="OC7" s="112"/>
      <c r="OD7" s="112"/>
      <c r="OE7" s="112"/>
      <c r="OF7" s="112"/>
      <c r="OG7" s="102" t="s">
        <v>11</v>
      </c>
      <c r="OH7" s="102" t="s">
        <v>19</v>
      </c>
      <c r="OI7" s="102" t="s">
        <v>96</v>
      </c>
      <c r="OJ7" s="110" t="s">
        <v>12</v>
      </c>
      <c r="OK7" s="112" t="s">
        <v>14</v>
      </c>
      <c r="OL7" s="112"/>
      <c r="OM7" s="112"/>
      <c r="ON7" s="112"/>
      <c r="OO7" s="112"/>
      <c r="OP7" s="112"/>
      <c r="OQ7" s="112"/>
      <c r="OR7" s="112"/>
      <c r="OS7" s="112"/>
      <c r="OT7" s="112"/>
      <c r="OU7" s="112"/>
      <c r="OV7" s="112"/>
      <c r="OW7" s="112"/>
      <c r="OX7" s="112" t="s">
        <v>15</v>
      </c>
      <c r="OY7" s="112"/>
      <c r="OZ7" s="112"/>
      <c r="PA7" s="112"/>
      <c r="PB7" s="112"/>
      <c r="PC7" s="112"/>
      <c r="PD7" s="112"/>
      <c r="PE7" s="112"/>
      <c r="PF7" s="112"/>
      <c r="PG7" s="112"/>
      <c r="PH7" s="112"/>
      <c r="PI7" s="112"/>
      <c r="PJ7" s="112"/>
      <c r="PK7" s="112" t="s">
        <v>17</v>
      </c>
      <c r="PL7" s="112"/>
      <c r="PM7" s="112"/>
      <c r="PN7" s="112"/>
      <c r="PO7" s="112"/>
      <c r="PP7" s="112"/>
      <c r="PQ7" s="112"/>
      <c r="PR7" s="112"/>
      <c r="PS7" s="102" t="s">
        <v>11</v>
      </c>
      <c r="PT7" s="102" t="s">
        <v>19</v>
      </c>
      <c r="PU7" s="102" t="s">
        <v>96</v>
      </c>
      <c r="PV7" s="110" t="s">
        <v>12</v>
      </c>
      <c r="PW7" s="112" t="s">
        <v>14</v>
      </c>
      <c r="PX7" s="112"/>
      <c r="PY7" s="112"/>
      <c r="PZ7" s="112"/>
      <c r="QA7" s="112"/>
      <c r="QB7" s="112"/>
      <c r="QC7" s="112"/>
      <c r="QD7" s="112"/>
      <c r="QE7" s="112"/>
      <c r="QF7" s="112"/>
      <c r="QG7" s="112"/>
      <c r="QH7" s="112"/>
      <c r="QI7" s="112"/>
      <c r="QJ7" s="112" t="s">
        <v>15</v>
      </c>
      <c r="QK7" s="112"/>
      <c r="QL7" s="112"/>
      <c r="QM7" s="112"/>
      <c r="QN7" s="112"/>
      <c r="QO7" s="112"/>
      <c r="QP7" s="112"/>
      <c r="QQ7" s="112"/>
      <c r="QR7" s="112"/>
      <c r="QS7" s="112"/>
      <c r="QT7" s="112"/>
      <c r="QU7" s="112"/>
      <c r="QV7" s="112"/>
      <c r="QW7" s="112" t="s">
        <v>17</v>
      </c>
      <c r="QX7" s="112"/>
      <c r="QY7" s="112"/>
      <c r="QZ7" s="112"/>
      <c r="RA7" s="112"/>
      <c r="RB7" s="112"/>
      <c r="RC7" s="112"/>
      <c r="RD7" s="112"/>
      <c r="RE7" s="102" t="s">
        <v>11</v>
      </c>
      <c r="RF7" s="102" t="s">
        <v>19</v>
      </c>
      <c r="RG7" s="102" t="s">
        <v>96</v>
      </c>
      <c r="RH7" s="110" t="s">
        <v>12</v>
      </c>
      <c r="RI7" s="112" t="s">
        <v>14</v>
      </c>
      <c r="RJ7" s="112"/>
      <c r="RK7" s="112"/>
      <c r="RL7" s="112"/>
      <c r="RM7" s="112"/>
      <c r="RN7" s="112"/>
      <c r="RO7" s="112"/>
      <c r="RP7" s="112"/>
      <c r="RQ7" s="112"/>
      <c r="RR7" s="112"/>
      <c r="RS7" s="112"/>
      <c r="RT7" s="112"/>
      <c r="RU7" s="112"/>
      <c r="RV7" s="112" t="s">
        <v>15</v>
      </c>
      <c r="RW7" s="112"/>
      <c r="RX7" s="112"/>
      <c r="RY7" s="112"/>
      <c r="RZ7" s="112"/>
      <c r="SA7" s="112"/>
      <c r="SB7" s="112"/>
      <c r="SC7" s="112"/>
      <c r="SD7" s="112"/>
      <c r="SE7" s="112"/>
      <c r="SF7" s="112"/>
      <c r="SG7" s="112"/>
      <c r="SH7" s="112"/>
      <c r="SI7" s="112" t="s">
        <v>17</v>
      </c>
      <c r="SJ7" s="112"/>
      <c r="SK7" s="112"/>
      <c r="SL7" s="112"/>
      <c r="SM7" s="112"/>
      <c r="SN7" s="112"/>
      <c r="SO7" s="112"/>
      <c r="SP7" s="112"/>
      <c r="SQ7" s="102" t="s">
        <v>11</v>
      </c>
      <c r="SR7" s="102" t="s">
        <v>19</v>
      </c>
      <c r="SS7" s="102" t="s">
        <v>96</v>
      </c>
      <c r="ST7" s="110" t="s">
        <v>12</v>
      </c>
      <c r="SU7" s="112" t="s">
        <v>14</v>
      </c>
      <c r="SV7" s="112"/>
      <c r="SW7" s="112"/>
      <c r="SX7" s="112"/>
      <c r="SY7" s="112"/>
      <c r="SZ7" s="112"/>
      <c r="TA7" s="112"/>
      <c r="TB7" s="112"/>
      <c r="TC7" s="112"/>
      <c r="TD7" s="112"/>
      <c r="TE7" s="112"/>
      <c r="TF7" s="112"/>
      <c r="TG7" s="112"/>
      <c r="TH7" s="112" t="s">
        <v>15</v>
      </c>
      <c r="TI7" s="112"/>
      <c r="TJ7" s="112"/>
      <c r="TK7" s="112"/>
      <c r="TL7" s="112"/>
      <c r="TM7" s="112"/>
      <c r="TN7" s="112"/>
      <c r="TO7" s="112"/>
      <c r="TP7" s="112"/>
      <c r="TQ7" s="112"/>
      <c r="TR7" s="112"/>
      <c r="TS7" s="112"/>
      <c r="TT7" s="112"/>
      <c r="TU7" s="112" t="s">
        <v>17</v>
      </c>
      <c r="TV7" s="112"/>
      <c r="TW7" s="112"/>
      <c r="TX7" s="112"/>
      <c r="TY7" s="112"/>
      <c r="TZ7" s="112"/>
      <c r="UA7" s="112"/>
      <c r="UB7" s="112"/>
      <c r="UC7" s="102" t="s">
        <v>11</v>
      </c>
      <c r="UD7" s="102" t="s">
        <v>19</v>
      </c>
      <c r="UE7" s="102" t="s">
        <v>96</v>
      </c>
      <c r="UF7" s="110" t="s">
        <v>12</v>
      </c>
      <c r="UG7" s="112" t="s">
        <v>14</v>
      </c>
      <c r="UH7" s="112"/>
      <c r="UI7" s="112"/>
      <c r="UJ7" s="112"/>
      <c r="UK7" s="112"/>
      <c r="UL7" s="112"/>
      <c r="UM7" s="112"/>
      <c r="UN7" s="112"/>
      <c r="UO7" s="112"/>
      <c r="UP7" s="112"/>
      <c r="UQ7" s="112"/>
      <c r="UR7" s="112"/>
      <c r="US7" s="112"/>
      <c r="UT7" s="112" t="s">
        <v>15</v>
      </c>
      <c r="UU7" s="112"/>
      <c r="UV7" s="112"/>
      <c r="UW7" s="112"/>
      <c r="UX7" s="112"/>
      <c r="UY7" s="112"/>
      <c r="UZ7" s="112"/>
      <c r="VA7" s="112"/>
      <c r="VB7" s="112"/>
      <c r="VC7" s="112"/>
      <c r="VD7" s="112"/>
      <c r="VE7" s="112"/>
      <c r="VF7" s="112"/>
      <c r="VG7" s="112" t="s">
        <v>17</v>
      </c>
      <c r="VH7" s="112"/>
      <c r="VI7" s="112"/>
      <c r="VJ7" s="112"/>
      <c r="VK7" s="112"/>
      <c r="VL7" s="112"/>
      <c r="VM7" s="112"/>
      <c r="VN7" s="112"/>
      <c r="VO7" s="102" t="s">
        <v>11</v>
      </c>
      <c r="VP7" s="102" t="s">
        <v>19</v>
      </c>
      <c r="VQ7" s="102" t="s">
        <v>96</v>
      </c>
      <c r="VR7" s="110" t="s">
        <v>12</v>
      </c>
      <c r="VS7" s="112" t="s">
        <v>14</v>
      </c>
      <c r="VT7" s="112"/>
      <c r="VU7" s="112"/>
      <c r="VV7" s="112"/>
      <c r="VW7" s="112"/>
      <c r="VX7" s="112"/>
      <c r="VY7" s="112"/>
      <c r="VZ7" s="112"/>
      <c r="WA7" s="112"/>
      <c r="WB7" s="112"/>
      <c r="WC7" s="112"/>
      <c r="WD7" s="112"/>
      <c r="WE7" s="112"/>
      <c r="WF7" s="112" t="s">
        <v>15</v>
      </c>
      <c r="WG7" s="112"/>
      <c r="WH7" s="112"/>
      <c r="WI7" s="112"/>
      <c r="WJ7" s="112"/>
      <c r="WK7" s="112"/>
      <c r="WL7" s="112"/>
      <c r="WM7" s="112"/>
      <c r="WN7" s="112"/>
      <c r="WO7" s="112"/>
      <c r="WP7" s="112"/>
      <c r="WQ7" s="112"/>
      <c r="WR7" s="112"/>
      <c r="WS7" s="112" t="s">
        <v>17</v>
      </c>
      <c r="WT7" s="112"/>
      <c r="WU7" s="112"/>
      <c r="WV7" s="112"/>
      <c r="WW7" s="112"/>
      <c r="WX7" s="112"/>
      <c r="WY7" s="112"/>
      <c r="WZ7" s="112"/>
      <c r="XA7" s="102" t="s">
        <v>11</v>
      </c>
      <c r="XB7" s="102" t="s">
        <v>19</v>
      </c>
      <c r="XC7" s="102" t="s">
        <v>96</v>
      </c>
      <c r="XD7" s="110" t="s">
        <v>12</v>
      </c>
      <c r="XE7" s="112" t="s">
        <v>14</v>
      </c>
      <c r="XF7" s="112"/>
      <c r="XG7" s="112"/>
      <c r="XH7" s="112"/>
      <c r="XI7" s="112"/>
      <c r="XJ7" s="112"/>
      <c r="XK7" s="112"/>
      <c r="XL7" s="112"/>
      <c r="XM7" s="112"/>
      <c r="XN7" s="112"/>
      <c r="XO7" s="112"/>
      <c r="XP7" s="112"/>
      <c r="XQ7" s="112"/>
      <c r="XR7" s="112" t="s">
        <v>15</v>
      </c>
      <c r="XS7" s="112"/>
      <c r="XT7" s="112"/>
      <c r="XU7" s="112"/>
      <c r="XV7" s="112"/>
      <c r="XW7" s="112"/>
      <c r="XX7" s="112"/>
      <c r="XY7" s="112"/>
      <c r="XZ7" s="112"/>
      <c r="YA7" s="112"/>
      <c r="YB7" s="112"/>
      <c r="YC7" s="112"/>
      <c r="YD7" s="112"/>
      <c r="YE7" s="112" t="s">
        <v>17</v>
      </c>
      <c r="YF7" s="112"/>
      <c r="YG7" s="112"/>
      <c r="YH7" s="112"/>
      <c r="YI7" s="112"/>
      <c r="YJ7" s="112"/>
      <c r="YK7" s="112"/>
      <c r="YL7" s="112"/>
      <c r="YM7" s="102" t="s">
        <v>11</v>
      </c>
      <c r="YN7" s="102" t="s">
        <v>19</v>
      </c>
      <c r="YO7" s="102" t="s">
        <v>96</v>
      </c>
      <c r="YP7" s="110" t="s">
        <v>12</v>
      </c>
      <c r="YQ7" s="112" t="s">
        <v>14</v>
      </c>
      <c r="YR7" s="112"/>
      <c r="YS7" s="112"/>
      <c r="YT7" s="112"/>
      <c r="YU7" s="112"/>
      <c r="YV7" s="112"/>
      <c r="YW7" s="112"/>
      <c r="YX7" s="112"/>
      <c r="YY7" s="112"/>
      <c r="YZ7" s="112"/>
      <c r="ZA7" s="112"/>
      <c r="ZB7" s="112"/>
      <c r="ZC7" s="112"/>
      <c r="ZD7" s="112" t="s">
        <v>15</v>
      </c>
      <c r="ZE7" s="112"/>
      <c r="ZF7" s="112"/>
      <c r="ZG7" s="112"/>
      <c r="ZH7" s="112"/>
      <c r="ZI7" s="112"/>
      <c r="ZJ7" s="112"/>
      <c r="ZK7" s="112"/>
      <c r="ZL7" s="112"/>
      <c r="ZM7" s="112"/>
      <c r="ZN7" s="112"/>
      <c r="ZO7" s="112"/>
      <c r="ZP7" s="112"/>
      <c r="ZQ7" s="112" t="s">
        <v>17</v>
      </c>
      <c r="ZR7" s="112"/>
      <c r="ZS7" s="112"/>
      <c r="ZT7" s="112"/>
      <c r="ZU7" s="112"/>
      <c r="ZV7" s="112"/>
      <c r="ZW7" s="112"/>
      <c r="ZX7" s="112"/>
      <c r="ZY7" s="102" t="s">
        <v>11</v>
      </c>
      <c r="ZZ7" s="102" t="s">
        <v>19</v>
      </c>
      <c r="AAA7" s="102" t="s">
        <v>96</v>
      </c>
      <c r="AAB7" s="110" t="s">
        <v>12</v>
      </c>
      <c r="AAC7" s="112" t="s">
        <v>14</v>
      </c>
      <c r="AAD7" s="112"/>
      <c r="AAE7" s="112"/>
      <c r="AAF7" s="112"/>
      <c r="AAG7" s="112"/>
      <c r="AAH7" s="112"/>
      <c r="AAI7" s="112"/>
      <c r="AAJ7" s="112"/>
      <c r="AAK7" s="112"/>
      <c r="AAL7" s="112"/>
      <c r="AAM7" s="112"/>
      <c r="AAN7" s="112"/>
      <c r="AAO7" s="112"/>
      <c r="AAP7" s="112" t="s">
        <v>15</v>
      </c>
      <c r="AAQ7" s="112"/>
      <c r="AAR7" s="112"/>
      <c r="AAS7" s="112"/>
      <c r="AAT7" s="112"/>
      <c r="AAU7" s="112"/>
      <c r="AAV7" s="112"/>
      <c r="AAW7" s="112"/>
      <c r="AAX7" s="112"/>
      <c r="AAY7" s="112"/>
      <c r="AAZ7" s="112"/>
      <c r="ABA7" s="112"/>
      <c r="ABB7" s="112"/>
      <c r="ABC7" s="112" t="s">
        <v>17</v>
      </c>
      <c r="ABD7" s="112"/>
      <c r="ABE7" s="112"/>
      <c r="ABF7" s="112"/>
      <c r="ABG7" s="112"/>
      <c r="ABH7" s="112"/>
      <c r="ABI7" s="112"/>
      <c r="ABJ7" s="112"/>
      <c r="ABK7" s="102" t="s">
        <v>11</v>
      </c>
      <c r="ABL7" s="102" t="s">
        <v>19</v>
      </c>
      <c r="ABM7" s="102" t="s">
        <v>96</v>
      </c>
      <c r="ABN7" s="110" t="s">
        <v>12</v>
      </c>
      <c r="ABO7" s="112" t="s">
        <v>14</v>
      </c>
      <c r="ABP7" s="112"/>
      <c r="ABQ7" s="112"/>
      <c r="ABR7" s="112"/>
      <c r="ABS7" s="112"/>
      <c r="ABT7" s="112"/>
      <c r="ABU7" s="112"/>
      <c r="ABV7" s="112"/>
      <c r="ABW7" s="112"/>
      <c r="ABX7" s="112"/>
      <c r="ABY7" s="112"/>
      <c r="ABZ7" s="112"/>
      <c r="ACA7" s="112"/>
      <c r="ACB7" s="112" t="s">
        <v>15</v>
      </c>
      <c r="ACC7" s="112"/>
      <c r="ACD7" s="112"/>
      <c r="ACE7" s="112"/>
      <c r="ACF7" s="112"/>
      <c r="ACG7" s="112"/>
      <c r="ACH7" s="112"/>
      <c r="ACI7" s="112"/>
      <c r="ACJ7" s="112"/>
      <c r="ACK7" s="112"/>
      <c r="ACL7" s="112"/>
      <c r="ACM7" s="112"/>
      <c r="ACN7" s="112"/>
      <c r="ACO7" s="112" t="s">
        <v>17</v>
      </c>
      <c r="ACP7" s="112"/>
      <c r="ACQ7" s="112"/>
      <c r="ACR7" s="112"/>
      <c r="ACS7" s="112"/>
      <c r="ACT7" s="112"/>
      <c r="ACU7" s="112"/>
      <c r="ACV7" s="112"/>
      <c r="ACW7" s="102" t="s">
        <v>11</v>
      </c>
      <c r="ACX7" s="102" t="s">
        <v>19</v>
      </c>
      <c r="ACY7" s="102" t="s">
        <v>96</v>
      </c>
      <c r="ACZ7" s="110" t="s">
        <v>12</v>
      </c>
      <c r="ADA7" s="112" t="s">
        <v>14</v>
      </c>
      <c r="ADB7" s="112"/>
      <c r="ADC7" s="112"/>
      <c r="ADD7" s="112"/>
      <c r="ADE7" s="112"/>
      <c r="ADF7" s="112"/>
      <c r="ADG7" s="112"/>
      <c r="ADH7" s="112"/>
      <c r="ADI7" s="112"/>
      <c r="ADJ7" s="112"/>
      <c r="ADK7" s="112"/>
      <c r="ADL7" s="112"/>
      <c r="ADM7" s="112"/>
      <c r="ADN7" s="112" t="s">
        <v>15</v>
      </c>
      <c r="ADO7" s="112"/>
      <c r="ADP7" s="112"/>
      <c r="ADQ7" s="112"/>
      <c r="ADR7" s="112"/>
      <c r="ADS7" s="112"/>
      <c r="ADT7" s="112"/>
      <c r="ADU7" s="112"/>
      <c r="ADV7" s="112"/>
      <c r="ADW7" s="112"/>
      <c r="ADX7" s="112"/>
      <c r="ADY7" s="112"/>
      <c r="ADZ7" s="112"/>
      <c r="AEA7" s="112" t="s">
        <v>17</v>
      </c>
      <c r="AEB7" s="112"/>
      <c r="AEC7" s="112"/>
      <c r="AED7" s="112"/>
      <c r="AEE7" s="112"/>
      <c r="AEF7" s="112"/>
      <c r="AEG7" s="112"/>
      <c r="AEH7" s="112"/>
      <c r="AEI7" s="102" t="s">
        <v>11</v>
      </c>
      <c r="AEJ7" s="102" t="s">
        <v>19</v>
      </c>
      <c r="AEK7" s="102" t="s">
        <v>96</v>
      </c>
      <c r="AEL7" s="110" t="s">
        <v>12</v>
      </c>
      <c r="AEM7" s="112" t="s">
        <v>14</v>
      </c>
      <c r="AEN7" s="112"/>
      <c r="AEO7" s="112"/>
      <c r="AEP7" s="112"/>
      <c r="AEQ7" s="112"/>
      <c r="AER7" s="112"/>
      <c r="AES7" s="112"/>
      <c r="AET7" s="112"/>
      <c r="AEU7" s="112"/>
      <c r="AEV7" s="112"/>
      <c r="AEW7" s="112"/>
      <c r="AEX7" s="112"/>
      <c r="AEY7" s="112"/>
      <c r="AEZ7" s="112" t="s">
        <v>15</v>
      </c>
      <c r="AFA7" s="112"/>
      <c r="AFB7" s="112"/>
      <c r="AFC7" s="112"/>
      <c r="AFD7" s="112"/>
      <c r="AFE7" s="112"/>
      <c r="AFF7" s="112"/>
      <c r="AFG7" s="112"/>
      <c r="AFH7" s="112"/>
      <c r="AFI7" s="112"/>
      <c r="AFJ7" s="112"/>
      <c r="AFK7" s="112"/>
      <c r="AFL7" s="112"/>
      <c r="AFM7" s="112" t="s">
        <v>17</v>
      </c>
      <c r="AFN7" s="112"/>
      <c r="AFO7" s="112"/>
      <c r="AFP7" s="112"/>
      <c r="AFQ7" s="112"/>
      <c r="AFR7" s="112"/>
      <c r="AFS7" s="112"/>
      <c r="AFT7" s="112"/>
      <c r="AFU7" s="102" t="s">
        <v>11</v>
      </c>
      <c r="AFV7" s="102" t="s">
        <v>19</v>
      </c>
      <c r="AFW7" s="102" t="s">
        <v>96</v>
      </c>
      <c r="AFX7" s="110" t="s">
        <v>12</v>
      </c>
      <c r="AFY7" s="112" t="s">
        <v>14</v>
      </c>
      <c r="AFZ7" s="112"/>
      <c r="AGA7" s="112"/>
      <c r="AGB7" s="112"/>
      <c r="AGC7" s="112"/>
      <c r="AGD7" s="112"/>
      <c r="AGE7" s="112"/>
      <c r="AGF7" s="112"/>
      <c r="AGG7" s="112"/>
      <c r="AGH7" s="112"/>
      <c r="AGI7" s="112"/>
      <c r="AGJ7" s="112"/>
      <c r="AGK7" s="112"/>
      <c r="AGL7" s="112" t="s">
        <v>15</v>
      </c>
      <c r="AGM7" s="112"/>
      <c r="AGN7" s="112"/>
      <c r="AGO7" s="112"/>
      <c r="AGP7" s="112"/>
      <c r="AGQ7" s="112"/>
      <c r="AGR7" s="112"/>
      <c r="AGS7" s="112"/>
      <c r="AGT7" s="112"/>
      <c r="AGU7" s="112"/>
      <c r="AGV7" s="112"/>
      <c r="AGW7" s="112"/>
      <c r="AGX7" s="112"/>
      <c r="AGY7" s="112" t="s">
        <v>17</v>
      </c>
      <c r="AGZ7" s="112"/>
      <c r="AHA7" s="112"/>
      <c r="AHB7" s="112"/>
      <c r="AHC7" s="112"/>
      <c r="AHD7" s="112"/>
      <c r="AHE7" s="112"/>
      <c r="AHF7" s="112"/>
      <c r="AHG7" s="102" t="s">
        <v>11</v>
      </c>
      <c r="AHH7" s="102" t="s">
        <v>19</v>
      </c>
      <c r="AHI7" s="102" t="s">
        <v>96</v>
      </c>
      <c r="AHJ7" s="110" t="s">
        <v>12</v>
      </c>
      <c r="AHK7" s="112" t="s">
        <v>14</v>
      </c>
      <c r="AHL7" s="112"/>
      <c r="AHM7" s="112"/>
      <c r="AHN7" s="112"/>
      <c r="AHO7" s="112"/>
      <c r="AHP7" s="112"/>
      <c r="AHQ7" s="112"/>
      <c r="AHR7" s="112"/>
      <c r="AHS7" s="112"/>
      <c r="AHT7" s="112"/>
      <c r="AHU7" s="112"/>
      <c r="AHV7" s="112"/>
      <c r="AHW7" s="112"/>
      <c r="AHX7" s="112" t="s">
        <v>15</v>
      </c>
      <c r="AHY7" s="112"/>
      <c r="AHZ7" s="112"/>
      <c r="AIA7" s="112"/>
      <c r="AIB7" s="112"/>
      <c r="AIC7" s="112"/>
      <c r="AID7" s="112"/>
      <c r="AIE7" s="112"/>
      <c r="AIF7" s="112"/>
      <c r="AIG7" s="112"/>
      <c r="AIH7" s="112"/>
      <c r="AII7" s="112"/>
      <c r="AIJ7" s="112"/>
      <c r="AIK7" s="112" t="s">
        <v>17</v>
      </c>
      <c r="AIL7" s="112"/>
      <c r="AIM7" s="112"/>
      <c r="AIN7" s="112"/>
      <c r="AIO7" s="112"/>
      <c r="AIP7" s="112"/>
      <c r="AIQ7" s="112"/>
      <c r="AIR7" s="112"/>
    </row>
    <row r="8" spans="1:928" ht="27" customHeight="1">
      <c r="A8" s="119"/>
      <c r="B8" s="115"/>
      <c r="C8" s="119"/>
      <c r="D8" s="119"/>
      <c r="E8" s="115"/>
      <c r="F8" s="121"/>
      <c r="G8" s="121"/>
      <c r="H8" s="115"/>
      <c r="I8" s="115"/>
      <c r="J8" s="115"/>
      <c r="K8" s="119"/>
      <c r="L8" s="115"/>
      <c r="M8" s="115"/>
      <c r="N8" s="115" t="s">
        <v>94</v>
      </c>
      <c r="O8" s="115" t="s">
        <v>93</v>
      </c>
      <c r="P8" s="115"/>
      <c r="Q8" s="102"/>
      <c r="R8" s="102"/>
      <c r="S8" s="102"/>
      <c r="T8" s="110"/>
      <c r="U8" s="102" t="s">
        <v>13</v>
      </c>
      <c r="V8" s="102"/>
      <c r="W8" s="102"/>
      <c r="X8" s="102"/>
      <c r="Y8" s="102"/>
      <c r="Z8" s="102"/>
      <c r="AA8" s="102"/>
      <c r="AB8" s="102"/>
      <c r="AC8" s="113" t="s">
        <v>33</v>
      </c>
      <c r="AD8" s="102" t="s">
        <v>7</v>
      </c>
      <c r="AE8" s="102"/>
      <c r="AF8" s="106" t="s">
        <v>24</v>
      </c>
      <c r="AG8" s="108" t="s">
        <v>18</v>
      </c>
      <c r="AH8" s="102" t="s">
        <v>13</v>
      </c>
      <c r="AI8" s="102"/>
      <c r="AJ8" s="102"/>
      <c r="AK8" s="102"/>
      <c r="AL8" s="102"/>
      <c r="AM8" s="102"/>
      <c r="AN8" s="102"/>
      <c r="AO8" s="102"/>
      <c r="AP8" s="110" t="s">
        <v>25</v>
      </c>
      <c r="AQ8" s="102" t="s">
        <v>7</v>
      </c>
      <c r="AR8" s="102"/>
      <c r="AS8" s="106" t="s">
        <v>26</v>
      </c>
      <c r="AT8" s="108" t="s">
        <v>18</v>
      </c>
      <c r="AU8" s="102" t="s">
        <v>27</v>
      </c>
      <c r="AV8" s="102" t="s">
        <v>28</v>
      </c>
      <c r="AW8" s="102" t="s">
        <v>8</v>
      </c>
      <c r="AX8" s="102"/>
      <c r="AY8" s="104" t="s">
        <v>16</v>
      </c>
      <c r="AZ8" s="104" t="s">
        <v>29</v>
      </c>
      <c r="BA8" s="106" t="s">
        <v>30</v>
      </c>
      <c r="BB8" s="108" t="s">
        <v>18</v>
      </c>
      <c r="BC8" s="102"/>
      <c r="BD8" s="102"/>
      <c r="BE8" s="102"/>
      <c r="BF8" s="110"/>
      <c r="BG8" s="102" t="s">
        <v>13</v>
      </c>
      <c r="BH8" s="102"/>
      <c r="BI8" s="102"/>
      <c r="BJ8" s="102"/>
      <c r="BK8" s="102"/>
      <c r="BL8" s="102"/>
      <c r="BM8" s="102"/>
      <c r="BN8" s="102"/>
      <c r="BO8" s="113" t="s">
        <v>33</v>
      </c>
      <c r="BP8" s="102" t="s">
        <v>7</v>
      </c>
      <c r="BQ8" s="102"/>
      <c r="BR8" s="106" t="s">
        <v>24</v>
      </c>
      <c r="BS8" s="108" t="s">
        <v>18</v>
      </c>
      <c r="BT8" s="102" t="s">
        <v>13</v>
      </c>
      <c r="BU8" s="102"/>
      <c r="BV8" s="102"/>
      <c r="BW8" s="102"/>
      <c r="BX8" s="102"/>
      <c r="BY8" s="102"/>
      <c r="BZ8" s="102"/>
      <c r="CA8" s="102"/>
      <c r="CB8" s="110" t="s">
        <v>25</v>
      </c>
      <c r="CC8" s="102" t="s">
        <v>7</v>
      </c>
      <c r="CD8" s="102"/>
      <c r="CE8" s="106" t="s">
        <v>26</v>
      </c>
      <c r="CF8" s="108" t="s">
        <v>18</v>
      </c>
      <c r="CG8" s="102" t="s">
        <v>27</v>
      </c>
      <c r="CH8" s="102" t="s">
        <v>28</v>
      </c>
      <c r="CI8" s="102" t="s">
        <v>8</v>
      </c>
      <c r="CJ8" s="102"/>
      <c r="CK8" s="104" t="s">
        <v>16</v>
      </c>
      <c r="CL8" s="104" t="s">
        <v>29</v>
      </c>
      <c r="CM8" s="106" t="s">
        <v>30</v>
      </c>
      <c r="CN8" s="108" t="s">
        <v>18</v>
      </c>
      <c r="CO8" s="102"/>
      <c r="CP8" s="102"/>
      <c r="CQ8" s="102"/>
      <c r="CR8" s="110"/>
      <c r="CS8" s="102" t="s">
        <v>13</v>
      </c>
      <c r="CT8" s="102"/>
      <c r="CU8" s="102"/>
      <c r="CV8" s="102"/>
      <c r="CW8" s="102"/>
      <c r="CX8" s="102"/>
      <c r="CY8" s="102"/>
      <c r="CZ8" s="102"/>
      <c r="DA8" s="113" t="s">
        <v>33</v>
      </c>
      <c r="DB8" s="102" t="s">
        <v>7</v>
      </c>
      <c r="DC8" s="102"/>
      <c r="DD8" s="106" t="s">
        <v>24</v>
      </c>
      <c r="DE8" s="108" t="s">
        <v>18</v>
      </c>
      <c r="DF8" s="102" t="s">
        <v>13</v>
      </c>
      <c r="DG8" s="102"/>
      <c r="DH8" s="102"/>
      <c r="DI8" s="102"/>
      <c r="DJ8" s="102"/>
      <c r="DK8" s="102"/>
      <c r="DL8" s="102"/>
      <c r="DM8" s="102"/>
      <c r="DN8" s="110" t="s">
        <v>25</v>
      </c>
      <c r="DO8" s="102" t="s">
        <v>7</v>
      </c>
      <c r="DP8" s="102"/>
      <c r="DQ8" s="106" t="s">
        <v>26</v>
      </c>
      <c r="DR8" s="108" t="s">
        <v>18</v>
      </c>
      <c r="DS8" s="102" t="s">
        <v>27</v>
      </c>
      <c r="DT8" s="102" t="s">
        <v>28</v>
      </c>
      <c r="DU8" s="102" t="s">
        <v>8</v>
      </c>
      <c r="DV8" s="102"/>
      <c r="DW8" s="104" t="s">
        <v>16</v>
      </c>
      <c r="DX8" s="104" t="s">
        <v>29</v>
      </c>
      <c r="DY8" s="106" t="s">
        <v>30</v>
      </c>
      <c r="DZ8" s="108" t="s">
        <v>18</v>
      </c>
      <c r="EA8" s="102"/>
      <c r="EB8" s="102"/>
      <c r="EC8" s="102"/>
      <c r="ED8" s="110"/>
      <c r="EE8" s="102" t="s">
        <v>13</v>
      </c>
      <c r="EF8" s="102"/>
      <c r="EG8" s="102"/>
      <c r="EH8" s="102"/>
      <c r="EI8" s="102"/>
      <c r="EJ8" s="102"/>
      <c r="EK8" s="102"/>
      <c r="EL8" s="102"/>
      <c r="EM8" s="113" t="s">
        <v>33</v>
      </c>
      <c r="EN8" s="102" t="s">
        <v>7</v>
      </c>
      <c r="EO8" s="102"/>
      <c r="EP8" s="106" t="s">
        <v>24</v>
      </c>
      <c r="EQ8" s="108" t="s">
        <v>18</v>
      </c>
      <c r="ER8" s="102" t="s">
        <v>13</v>
      </c>
      <c r="ES8" s="102"/>
      <c r="ET8" s="102"/>
      <c r="EU8" s="102"/>
      <c r="EV8" s="102"/>
      <c r="EW8" s="102"/>
      <c r="EX8" s="102"/>
      <c r="EY8" s="102"/>
      <c r="EZ8" s="110" t="s">
        <v>25</v>
      </c>
      <c r="FA8" s="102" t="s">
        <v>7</v>
      </c>
      <c r="FB8" s="102"/>
      <c r="FC8" s="106" t="s">
        <v>26</v>
      </c>
      <c r="FD8" s="108" t="s">
        <v>18</v>
      </c>
      <c r="FE8" s="102" t="s">
        <v>27</v>
      </c>
      <c r="FF8" s="102" t="s">
        <v>28</v>
      </c>
      <c r="FG8" s="102" t="s">
        <v>8</v>
      </c>
      <c r="FH8" s="102"/>
      <c r="FI8" s="104" t="s">
        <v>16</v>
      </c>
      <c r="FJ8" s="104" t="s">
        <v>29</v>
      </c>
      <c r="FK8" s="106" t="s">
        <v>30</v>
      </c>
      <c r="FL8" s="108" t="s">
        <v>18</v>
      </c>
      <c r="FM8" s="102"/>
      <c r="FN8" s="102"/>
      <c r="FO8" s="102"/>
      <c r="FP8" s="110"/>
      <c r="FQ8" s="102" t="s">
        <v>13</v>
      </c>
      <c r="FR8" s="102"/>
      <c r="FS8" s="102"/>
      <c r="FT8" s="102"/>
      <c r="FU8" s="102"/>
      <c r="FV8" s="102"/>
      <c r="FW8" s="102"/>
      <c r="FX8" s="102"/>
      <c r="FY8" s="113" t="s">
        <v>33</v>
      </c>
      <c r="FZ8" s="102" t="s">
        <v>7</v>
      </c>
      <c r="GA8" s="102"/>
      <c r="GB8" s="106" t="s">
        <v>24</v>
      </c>
      <c r="GC8" s="108" t="s">
        <v>18</v>
      </c>
      <c r="GD8" s="102" t="s">
        <v>13</v>
      </c>
      <c r="GE8" s="102"/>
      <c r="GF8" s="102"/>
      <c r="GG8" s="102"/>
      <c r="GH8" s="102"/>
      <c r="GI8" s="102"/>
      <c r="GJ8" s="102"/>
      <c r="GK8" s="102"/>
      <c r="GL8" s="110" t="s">
        <v>25</v>
      </c>
      <c r="GM8" s="102" t="s">
        <v>7</v>
      </c>
      <c r="GN8" s="102"/>
      <c r="GO8" s="106" t="s">
        <v>26</v>
      </c>
      <c r="GP8" s="108" t="s">
        <v>18</v>
      </c>
      <c r="GQ8" s="102" t="s">
        <v>27</v>
      </c>
      <c r="GR8" s="102" t="s">
        <v>28</v>
      </c>
      <c r="GS8" s="102" t="s">
        <v>8</v>
      </c>
      <c r="GT8" s="102"/>
      <c r="GU8" s="104" t="s">
        <v>16</v>
      </c>
      <c r="GV8" s="104" t="s">
        <v>29</v>
      </c>
      <c r="GW8" s="106" t="s">
        <v>30</v>
      </c>
      <c r="GX8" s="108" t="s">
        <v>18</v>
      </c>
      <c r="GY8" s="102"/>
      <c r="GZ8" s="102"/>
      <c r="HA8" s="102"/>
      <c r="HB8" s="110"/>
      <c r="HC8" s="102" t="s">
        <v>13</v>
      </c>
      <c r="HD8" s="102"/>
      <c r="HE8" s="102"/>
      <c r="HF8" s="102"/>
      <c r="HG8" s="102"/>
      <c r="HH8" s="102"/>
      <c r="HI8" s="102"/>
      <c r="HJ8" s="102"/>
      <c r="HK8" s="113" t="s">
        <v>33</v>
      </c>
      <c r="HL8" s="102" t="s">
        <v>7</v>
      </c>
      <c r="HM8" s="102"/>
      <c r="HN8" s="106" t="s">
        <v>24</v>
      </c>
      <c r="HO8" s="108" t="s">
        <v>18</v>
      </c>
      <c r="HP8" s="102" t="s">
        <v>13</v>
      </c>
      <c r="HQ8" s="102"/>
      <c r="HR8" s="102"/>
      <c r="HS8" s="102"/>
      <c r="HT8" s="102"/>
      <c r="HU8" s="102"/>
      <c r="HV8" s="102"/>
      <c r="HW8" s="102"/>
      <c r="HX8" s="110" t="s">
        <v>25</v>
      </c>
      <c r="HY8" s="102" t="s">
        <v>7</v>
      </c>
      <c r="HZ8" s="102"/>
      <c r="IA8" s="106" t="s">
        <v>26</v>
      </c>
      <c r="IB8" s="108" t="s">
        <v>18</v>
      </c>
      <c r="IC8" s="102" t="s">
        <v>27</v>
      </c>
      <c r="ID8" s="102" t="s">
        <v>28</v>
      </c>
      <c r="IE8" s="102" t="s">
        <v>8</v>
      </c>
      <c r="IF8" s="102"/>
      <c r="IG8" s="104" t="s">
        <v>16</v>
      </c>
      <c r="IH8" s="104" t="s">
        <v>29</v>
      </c>
      <c r="II8" s="106" t="s">
        <v>30</v>
      </c>
      <c r="IJ8" s="108" t="s">
        <v>18</v>
      </c>
      <c r="IK8" s="102"/>
      <c r="IL8" s="102"/>
      <c r="IM8" s="102"/>
      <c r="IN8" s="110"/>
      <c r="IO8" s="102" t="s">
        <v>13</v>
      </c>
      <c r="IP8" s="102"/>
      <c r="IQ8" s="102"/>
      <c r="IR8" s="102"/>
      <c r="IS8" s="102"/>
      <c r="IT8" s="102"/>
      <c r="IU8" s="102"/>
      <c r="IV8" s="102"/>
      <c r="IW8" s="113" t="s">
        <v>33</v>
      </c>
      <c r="IX8" s="102" t="s">
        <v>7</v>
      </c>
      <c r="IY8" s="102"/>
      <c r="IZ8" s="106" t="s">
        <v>24</v>
      </c>
      <c r="JA8" s="108" t="s">
        <v>18</v>
      </c>
      <c r="JB8" s="102" t="s">
        <v>13</v>
      </c>
      <c r="JC8" s="102"/>
      <c r="JD8" s="102"/>
      <c r="JE8" s="102"/>
      <c r="JF8" s="102"/>
      <c r="JG8" s="102"/>
      <c r="JH8" s="102"/>
      <c r="JI8" s="102"/>
      <c r="JJ8" s="110" t="s">
        <v>25</v>
      </c>
      <c r="JK8" s="102" t="s">
        <v>7</v>
      </c>
      <c r="JL8" s="102"/>
      <c r="JM8" s="106" t="s">
        <v>26</v>
      </c>
      <c r="JN8" s="108" t="s">
        <v>18</v>
      </c>
      <c r="JO8" s="102" t="s">
        <v>27</v>
      </c>
      <c r="JP8" s="102" t="s">
        <v>28</v>
      </c>
      <c r="JQ8" s="102" t="s">
        <v>8</v>
      </c>
      <c r="JR8" s="102"/>
      <c r="JS8" s="104" t="s">
        <v>16</v>
      </c>
      <c r="JT8" s="104" t="s">
        <v>29</v>
      </c>
      <c r="JU8" s="106" t="s">
        <v>30</v>
      </c>
      <c r="JV8" s="108" t="s">
        <v>18</v>
      </c>
      <c r="JW8" s="102"/>
      <c r="JX8" s="102"/>
      <c r="JY8" s="102"/>
      <c r="JZ8" s="110"/>
      <c r="KA8" s="102" t="s">
        <v>13</v>
      </c>
      <c r="KB8" s="102"/>
      <c r="KC8" s="102"/>
      <c r="KD8" s="102"/>
      <c r="KE8" s="102"/>
      <c r="KF8" s="102"/>
      <c r="KG8" s="102"/>
      <c r="KH8" s="102"/>
      <c r="KI8" s="113" t="s">
        <v>33</v>
      </c>
      <c r="KJ8" s="102" t="s">
        <v>7</v>
      </c>
      <c r="KK8" s="102"/>
      <c r="KL8" s="106" t="s">
        <v>24</v>
      </c>
      <c r="KM8" s="108" t="s">
        <v>18</v>
      </c>
      <c r="KN8" s="102" t="s">
        <v>13</v>
      </c>
      <c r="KO8" s="102"/>
      <c r="KP8" s="102"/>
      <c r="KQ8" s="102"/>
      <c r="KR8" s="102"/>
      <c r="KS8" s="102"/>
      <c r="KT8" s="102"/>
      <c r="KU8" s="102"/>
      <c r="KV8" s="110" t="s">
        <v>25</v>
      </c>
      <c r="KW8" s="102" t="s">
        <v>7</v>
      </c>
      <c r="KX8" s="102"/>
      <c r="KY8" s="106" t="s">
        <v>26</v>
      </c>
      <c r="KZ8" s="108" t="s">
        <v>18</v>
      </c>
      <c r="LA8" s="102" t="s">
        <v>27</v>
      </c>
      <c r="LB8" s="102" t="s">
        <v>28</v>
      </c>
      <c r="LC8" s="102" t="s">
        <v>8</v>
      </c>
      <c r="LD8" s="102"/>
      <c r="LE8" s="104" t="s">
        <v>16</v>
      </c>
      <c r="LF8" s="104" t="s">
        <v>29</v>
      </c>
      <c r="LG8" s="106" t="s">
        <v>30</v>
      </c>
      <c r="LH8" s="108" t="s">
        <v>18</v>
      </c>
      <c r="LI8" s="102"/>
      <c r="LJ8" s="102"/>
      <c r="LK8" s="102"/>
      <c r="LL8" s="110"/>
      <c r="LM8" s="102" t="s">
        <v>13</v>
      </c>
      <c r="LN8" s="102"/>
      <c r="LO8" s="102"/>
      <c r="LP8" s="102"/>
      <c r="LQ8" s="102"/>
      <c r="LR8" s="102"/>
      <c r="LS8" s="102"/>
      <c r="LT8" s="102"/>
      <c r="LU8" s="113" t="s">
        <v>33</v>
      </c>
      <c r="LV8" s="102" t="s">
        <v>7</v>
      </c>
      <c r="LW8" s="102"/>
      <c r="LX8" s="106" t="s">
        <v>24</v>
      </c>
      <c r="LY8" s="108" t="s">
        <v>18</v>
      </c>
      <c r="LZ8" s="102" t="s">
        <v>13</v>
      </c>
      <c r="MA8" s="102"/>
      <c r="MB8" s="102"/>
      <c r="MC8" s="102"/>
      <c r="MD8" s="102"/>
      <c r="ME8" s="102"/>
      <c r="MF8" s="102"/>
      <c r="MG8" s="102"/>
      <c r="MH8" s="110" t="s">
        <v>25</v>
      </c>
      <c r="MI8" s="102" t="s">
        <v>7</v>
      </c>
      <c r="MJ8" s="102"/>
      <c r="MK8" s="106" t="s">
        <v>26</v>
      </c>
      <c r="ML8" s="108" t="s">
        <v>18</v>
      </c>
      <c r="MM8" s="102" t="s">
        <v>27</v>
      </c>
      <c r="MN8" s="102" t="s">
        <v>28</v>
      </c>
      <c r="MO8" s="102" t="s">
        <v>8</v>
      </c>
      <c r="MP8" s="102"/>
      <c r="MQ8" s="104" t="s">
        <v>16</v>
      </c>
      <c r="MR8" s="104" t="s">
        <v>29</v>
      </c>
      <c r="MS8" s="106" t="s">
        <v>30</v>
      </c>
      <c r="MT8" s="108" t="s">
        <v>18</v>
      </c>
      <c r="MU8" s="102"/>
      <c r="MV8" s="102"/>
      <c r="MW8" s="102"/>
      <c r="MX8" s="110"/>
      <c r="MY8" s="102" t="s">
        <v>13</v>
      </c>
      <c r="MZ8" s="102"/>
      <c r="NA8" s="102"/>
      <c r="NB8" s="102"/>
      <c r="NC8" s="102"/>
      <c r="ND8" s="102"/>
      <c r="NE8" s="102"/>
      <c r="NF8" s="102"/>
      <c r="NG8" s="113" t="s">
        <v>33</v>
      </c>
      <c r="NH8" s="102" t="s">
        <v>7</v>
      </c>
      <c r="NI8" s="102"/>
      <c r="NJ8" s="106" t="s">
        <v>24</v>
      </c>
      <c r="NK8" s="108" t="s">
        <v>18</v>
      </c>
      <c r="NL8" s="102" t="s">
        <v>13</v>
      </c>
      <c r="NM8" s="102"/>
      <c r="NN8" s="102"/>
      <c r="NO8" s="102"/>
      <c r="NP8" s="102"/>
      <c r="NQ8" s="102"/>
      <c r="NR8" s="102"/>
      <c r="NS8" s="102"/>
      <c r="NT8" s="110" t="s">
        <v>25</v>
      </c>
      <c r="NU8" s="102" t="s">
        <v>7</v>
      </c>
      <c r="NV8" s="102"/>
      <c r="NW8" s="106" t="s">
        <v>26</v>
      </c>
      <c r="NX8" s="108" t="s">
        <v>18</v>
      </c>
      <c r="NY8" s="102" t="s">
        <v>27</v>
      </c>
      <c r="NZ8" s="102" t="s">
        <v>28</v>
      </c>
      <c r="OA8" s="102" t="s">
        <v>8</v>
      </c>
      <c r="OB8" s="102"/>
      <c r="OC8" s="104" t="s">
        <v>16</v>
      </c>
      <c r="OD8" s="104" t="s">
        <v>29</v>
      </c>
      <c r="OE8" s="106" t="s">
        <v>30</v>
      </c>
      <c r="OF8" s="108" t="s">
        <v>18</v>
      </c>
      <c r="OG8" s="102"/>
      <c r="OH8" s="102"/>
      <c r="OI8" s="102"/>
      <c r="OJ8" s="110"/>
      <c r="OK8" s="102" t="s">
        <v>13</v>
      </c>
      <c r="OL8" s="102"/>
      <c r="OM8" s="102"/>
      <c r="ON8" s="102"/>
      <c r="OO8" s="102"/>
      <c r="OP8" s="102"/>
      <c r="OQ8" s="102"/>
      <c r="OR8" s="102"/>
      <c r="OS8" s="113" t="s">
        <v>33</v>
      </c>
      <c r="OT8" s="102" t="s">
        <v>7</v>
      </c>
      <c r="OU8" s="102"/>
      <c r="OV8" s="106" t="s">
        <v>24</v>
      </c>
      <c r="OW8" s="108" t="s">
        <v>18</v>
      </c>
      <c r="OX8" s="102" t="s">
        <v>13</v>
      </c>
      <c r="OY8" s="102"/>
      <c r="OZ8" s="102"/>
      <c r="PA8" s="102"/>
      <c r="PB8" s="102"/>
      <c r="PC8" s="102"/>
      <c r="PD8" s="102"/>
      <c r="PE8" s="102"/>
      <c r="PF8" s="110" t="s">
        <v>25</v>
      </c>
      <c r="PG8" s="102" t="s">
        <v>7</v>
      </c>
      <c r="PH8" s="102"/>
      <c r="PI8" s="106" t="s">
        <v>26</v>
      </c>
      <c r="PJ8" s="108" t="s">
        <v>18</v>
      </c>
      <c r="PK8" s="102" t="s">
        <v>27</v>
      </c>
      <c r="PL8" s="102" t="s">
        <v>28</v>
      </c>
      <c r="PM8" s="102" t="s">
        <v>8</v>
      </c>
      <c r="PN8" s="102"/>
      <c r="PO8" s="104" t="s">
        <v>16</v>
      </c>
      <c r="PP8" s="104" t="s">
        <v>29</v>
      </c>
      <c r="PQ8" s="106" t="s">
        <v>30</v>
      </c>
      <c r="PR8" s="108" t="s">
        <v>18</v>
      </c>
      <c r="PS8" s="102"/>
      <c r="PT8" s="102"/>
      <c r="PU8" s="102"/>
      <c r="PV8" s="110"/>
      <c r="PW8" s="102" t="s">
        <v>13</v>
      </c>
      <c r="PX8" s="102"/>
      <c r="PY8" s="102"/>
      <c r="PZ8" s="102"/>
      <c r="QA8" s="102"/>
      <c r="QB8" s="102"/>
      <c r="QC8" s="102"/>
      <c r="QD8" s="102"/>
      <c r="QE8" s="113" t="s">
        <v>33</v>
      </c>
      <c r="QF8" s="102" t="s">
        <v>7</v>
      </c>
      <c r="QG8" s="102"/>
      <c r="QH8" s="106" t="s">
        <v>24</v>
      </c>
      <c r="QI8" s="108" t="s">
        <v>18</v>
      </c>
      <c r="QJ8" s="102" t="s">
        <v>13</v>
      </c>
      <c r="QK8" s="102"/>
      <c r="QL8" s="102"/>
      <c r="QM8" s="102"/>
      <c r="QN8" s="102"/>
      <c r="QO8" s="102"/>
      <c r="QP8" s="102"/>
      <c r="QQ8" s="102"/>
      <c r="QR8" s="110" t="s">
        <v>25</v>
      </c>
      <c r="QS8" s="102" t="s">
        <v>7</v>
      </c>
      <c r="QT8" s="102"/>
      <c r="QU8" s="106" t="s">
        <v>26</v>
      </c>
      <c r="QV8" s="108" t="s">
        <v>18</v>
      </c>
      <c r="QW8" s="102" t="s">
        <v>27</v>
      </c>
      <c r="QX8" s="102" t="s">
        <v>28</v>
      </c>
      <c r="QY8" s="102" t="s">
        <v>8</v>
      </c>
      <c r="QZ8" s="102"/>
      <c r="RA8" s="104" t="s">
        <v>16</v>
      </c>
      <c r="RB8" s="104" t="s">
        <v>29</v>
      </c>
      <c r="RC8" s="106" t="s">
        <v>30</v>
      </c>
      <c r="RD8" s="108" t="s">
        <v>18</v>
      </c>
      <c r="RE8" s="102"/>
      <c r="RF8" s="102"/>
      <c r="RG8" s="102"/>
      <c r="RH8" s="110"/>
      <c r="RI8" s="102" t="s">
        <v>13</v>
      </c>
      <c r="RJ8" s="102"/>
      <c r="RK8" s="102"/>
      <c r="RL8" s="102"/>
      <c r="RM8" s="102"/>
      <c r="RN8" s="102"/>
      <c r="RO8" s="102"/>
      <c r="RP8" s="102"/>
      <c r="RQ8" s="113" t="s">
        <v>33</v>
      </c>
      <c r="RR8" s="102" t="s">
        <v>7</v>
      </c>
      <c r="RS8" s="102"/>
      <c r="RT8" s="106" t="s">
        <v>24</v>
      </c>
      <c r="RU8" s="108" t="s">
        <v>18</v>
      </c>
      <c r="RV8" s="102" t="s">
        <v>13</v>
      </c>
      <c r="RW8" s="102"/>
      <c r="RX8" s="102"/>
      <c r="RY8" s="102"/>
      <c r="RZ8" s="102"/>
      <c r="SA8" s="102"/>
      <c r="SB8" s="102"/>
      <c r="SC8" s="102"/>
      <c r="SD8" s="110" t="s">
        <v>25</v>
      </c>
      <c r="SE8" s="102" t="s">
        <v>7</v>
      </c>
      <c r="SF8" s="102"/>
      <c r="SG8" s="106" t="s">
        <v>26</v>
      </c>
      <c r="SH8" s="108" t="s">
        <v>18</v>
      </c>
      <c r="SI8" s="102" t="s">
        <v>27</v>
      </c>
      <c r="SJ8" s="102" t="s">
        <v>28</v>
      </c>
      <c r="SK8" s="102" t="s">
        <v>8</v>
      </c>
      <c r="SL8" s="102"/>
      <c r="SM8" s="104" t="s">
        <v>16</v>
      </c>
      <c r="SN8" s="104" t="s">
        <v>29</v>
      </c>
      <c r="SO8" s="106" t="s">
        <v>30</v>
      </c>
      <c r="SP8" s="108" t="s">
        <v>18</v>
      </c>
      <c r="SQ8" s="102"/>
      <c r="SR8" s="102"/>
      <c r="SS8" s="102"/>
      <c r="ST8" s="110"/>
      <c r="SU8" s="102" t="s">
        <v>13</v>
      </c>
      <c r="SV8" s="102"/>
      <c r="SW8" s="102"/>
      <c r="SX8" s="102"/>
      <c r="SY8" s="102"/>
      <c r="SZ8" s="102"/>
      <c r="TA8" s="102"/>
      <c r="TB8" s="102"/>
      <c r="TC8" s="113" t="s">
        <v>33</v>
      </c>
      <c r="TD8" s="102" t="s">
        <v>7</v>
      </c>
      <c r="TE8" s="102"/>
      <c r="TF8" s="106" t="s">
        <v>24</v>
      </c>
      <c r="TG8" s="108" t="s">
        <v>18</v>
      </c>
      <c r="TH8" s="102" t="s">
        <v>13</v>
      </c>
      <c r="TI8" s="102"/>
      <c r="TJ8" s="102"/>
      <c r="TK8" s="102"/>
      <c r="TL8" s="102"/>
      <c r="TM8" s="102"/>
      <c r="TN8" s="102"/>
      <c r="TO8" s="102"/>
      <c r="TP8" s="110" t="s">
        <v>25</v>
      </c>
      <c r="TQ8" s="102" t="s">
        <v>7</v>
      </c>
      <c r="TR8" s="102"/>
      <c r="TS8" s="106" t="s">
        <v>26</v>
      </c>
      <c r="TT8" s="108" t="s">
        <v>18</v>
      </c>
      <c r="TU8" s="102" t="s">
        <v>27</v>
      </c>
      <c r="TV8" s="102" t="s">
        <v>28</v>
      </c>
      <c r="TW8" s="102" t="s">
        <v>8</v>
      </c>
      <c r="TX8" s="102"/>
      <c r="TY8" s="104" t="s">
        <v>16</v>
      </c>
      <c r="TZ8" s="104" t="s">
        <v>29</v>
      </c>
      <c r="UA8" s="106" t="s">
        <v>30</v>
      </c>
      <c r="UB8" s="108" t="s">
        <v>18</v>
      </c>
      <c r="UC8" s="102"/>
      <c r="UD8" s="102"/>
      <c r="UE8" s="102"/>
      <c r="UF8" s="110"/>
      <c r="UG8" s="102" t="s">
        <v>13</v>
      </c>
      <c r="UH8" s="102"/>
      <c r="UI8" s="102"/>
      <c r="UJ8" s="102"/>
      <c r="UK8" s="102"/>
      <c r="UL8" s="102"/>
      <c r="UM8" s="102"/>
      <c r="UN8" s="102"/>
      <c r="UO8" s="113" t="s">
        <v>33</v>
      </c>
      <c r="UP8" s="102" t="s">
        <v>7</v>
      </c>
      <c r="UQ8" s="102"/>
      <c r="UR8" s="106" t="s">
        <v>24</v>
      </c>
      <c r="US8" s="108" t="s">
        <v>18</v>
      </c>
      <c r="UT8" s="102" t="s">
        <v>13</v>
      </c>
      <c r="UU8" s="102"/>
      <c r="UV8" s="102"/>
      <c r="UW8" s="102"/>
      <c r="UX8" s="102"/>
      <c r="UY8" s="102"/>
      <c r="UZ8" s="102"/>
      <c r="VA8" s="102"/>
      <c r="VB8" s="110" t="s">
        <v>25</v>
      </c>
      <c r="VC8" s="102" t="s">
        <v>7</v>
      </c>
      <c r="VD8" s="102"/>
      <c r="VE8" s="106" t="s">
        <v>26</v>
      </c>
      <c r="VF8" s="108" t="s">
        <v>18</v>
      </c>
      <c r="VG8" s="102" t="s">
        <v>27</v>
      </c>
      <c r="VH8" s="102" t="s">
        <v>28</v>
      </c>
      <c r="VI8" s="102" t="s">
        <v>8</v>
      </c>
      <c r="VJ8" s="102"/>
      <c r="VK8" s="104" t="s">
        <v>16</v>
      </c>
      <c r="VL8" s="104" t="s">
        <v>29</v>
      </c>
      <c r="VM8" s="106" t="s">
        <v>30</v>
      </c>
      <c r="VN8" s="108" t="s">
        <v>18</v>
      </c>
      <c r="VO8" s="102"/>
      <c r="VP8" s="102"/>
      <c r="VQ8" s="102"/>
      <c r="VR8" s="110"/>
      <c r="VS8" s="102" t="s">
        <v>13</v>
      </c>
      <c r="VT8" s="102"/>
      <c r="VU8" s="102"/>
      <c r="VV8" s="102"/>
      <c r="VW8" s="102"/>
      <c r="VX8" s="102"/>
      <c r="VY8" s="102"/>
      <c r="VZ8" s="102"/>
      <c r="WA8" s="113" t="s">
        <v>33</v>
      </c>
      <c r="WB8" s="102" t="s">
        <v>7</v>
      </c>
      <c r="WC8" s="102"/>
      <c r="WD8" s="106" t="s">
        <v>24</v>
      </c>
      <c r="WE8" s="108" t="s">
        <v>18</v>
      </c>
      <c r="WF8" s="102" t="s">
        <v>13</v>
      </c>
      <c r="WG8" s="102"/>
      <c r="WH8" s="102"/>
      <c r="WI8" s="102"/>
      <c r="WJ8" s="102"/>
      <c r="WK8" s="102"/>
      <c r="WL8" s="102"/>
      <c r="WM8" s="102"/>
      <c r="WN8" s="110" t="s">
        <v>25</v>
      </c>
      <c r="WO8" s="102" t="s">
        <v>7</v>
      </c>
      <c r="WP8" s="102"/>
      <c r="WQ8" s="106" t="s">
        <v>26</v>
      </c>
      <c r="WR8" s="108" t="s">
        <v>18</v>
      </c>
      <c r="WS8" s="102" t="s">
        <v>27</v>
      </c>
      <c r="WT8" s="102" t="s">
        <v>28</v>
      </c>
      <c r="WU8" s="102" t="s">
        <v>8</v>
      </c>
      <c r="WV8" s="102"/>
      <c r="WW8" s="104" t="s">
        <v>16</v>
      </c>
      <c r="WX8" s="104" t="s">
        <v>29</v>
      </c>
      <c r="WY8" s="106" t="s">
        <v>30</v>
      </c>
      <c r="WZ8" s="108" t="s">
        <v>18</v>
      </c>
      <c r="XA8" s="102"/>
      <c r="XB8" s="102"/>
      <c r="XC8" s="102"/>
      <c r="XD8" s="110"/>
      <c r="XE8" s="102" t="s">
        <v>13</v>
      </c>
      <c r="XF8" s="102"/>
      <c r="XG8" s="102"/>
      <c r="XH8" s="102"/>
      <c r="XI8" s="102"/>
      <c r="XJ8" s="102"/>
      <c r="XK8" s="102"/>
      <c r="XL8" s="102"/>
      <c r="XM8" s="113" t="s">
        <v>33</v>
      </c>
      <c r="XN8" s="102" t="s">
        <v>7</v>
      </c>
      <c r="XO8" s="102"/>
      <c r="XP8" s="106" t="s">
        <v>24</v>
      </c>
      <c r="XQ8" s="108" t="s">
        <v>18</v>
      </c>
      <c r="XR8" s="102" t="s">
        <v>13</v>
      </c>
      <c r="XS8" s="102"/>
      <c r="XT8" s="102"/>
      <c r="XU8" s="102"/>
      <c r="XV8" s="102"/>
      <c r="XW8" s="102"/>
      <c r="XX8" s="102"/>
      <c r="XY8" s="102"/>
      <c r="XZ8" s="110" t="s">
        <v>25</v>
      </c>
      <c r="YA8" s="102" t="s">
        <v>7</v>
      </c>
      <c r="YB8" s="102"/>
      <c r="YC8" s="106" t="s">
        <v>26</v>
      </c>
      <c r="YD8" s="108" t="s">
        <v>18</v>
      </c>
      <c r="YE8" s="102" t="s">
        <v>27</v>
      </c>
      <c r="YF8" s="102" t="s">
        <v>28</v>
      </c>
      <c r="YG8" s="102" t="s">
        <v>8</v>
      </c>
      <c r="YH8" s="102"/>
      <c r="YI8" s="104" t="s">
        <v>16</v>
      </c>
      <c r="YJ8" s="104" t="s">
        <v>29</v>
      </c>
      <c r="YK8" s="106" t="s">
        <v>30</v>
      </c>
      <c r="YL8" s="108" t="s">
        <v>18</v>
      </c>
      <c r="YM8" s="102"/>
      <c r="YN8" s="102"/>
      <c r="YO8" s="102"/>
      <c r="YP8" s="110"/>
      <c r="YQ8" s="102" t="s">
        <v>13</v>
      </c>
      <c r="YR8" s="102"/>
      <c r="YS8" s="102"/>
      <c r="YT8" s="102"/>
      <c r="YU8" s="102"/>
      <c r="YV8" s="102"/>
      <c r="YW8" s="102"/>
      <c r="YX8" s="102"/>
      <c r="YY8" s="113" t="s">
        <v>33</v>
      </c>
      <c r="YZ8" s="102" t="s">
        <v>7</v>
      </c>
      <c r="ZA8" s="102"/>
      <c r="ZB8" s="106" t="s">
        <v>24</v>
      </c>
      <c r="ZC8" s="108" t="s">
        <v>18</v>
      </c>
      <c r="ZD8" s="102" t="s">
        <v>13</v>
      </c>
      <c r="ZE8" s="102"/>
      <c r="ZF8" s="102"/>
      <c r="ZG8" s="102"/>
      <c r="ZH8" s="102"/>
      <c r="ZI8" s="102"/>
      <c r="ZJ8" s="102"/>
      <c r="ZK8" s="102"/>
      <c r="ZL8" s="110" t="s">
        <v>25</v>
      </c>
      <c r="ZM8" s="102" t="s">
        <v>7</v>
      </c>
      <c r="ZN8" s="102"/>
      <c r="ZO8" s="106" t="s">
        <v>26</v>
      </c>
      <c r="ZP8" s="108" t="s">
        <v>18</v>
      </c>
      <c r="ZQ8" s="102" t="s">
        <v>27</v>
      </c>
      <c r="ZR8" s="102" t="s">
        <v>28</v>
      </c>
      <c r="ZS8" s="102" t="s">
        <v>8</v>
      </c>
      <c r="ZT8" s="102"/>
      <c r="ZU8" s="104" t="s">
        <v>16</v>
      </c>
      <c r="ZV8" s="104" t="s">
        <v>29</v>
      </c>
      <c r="ZW8" s="106" t="s">
        <v>30</v>
      </c>
      <c r="ZX8" s="108" t="s">
        <v>18</v>
      </c>
      <c r="ZY8" s="102"/>
      <c r="ZZ8" s="102"/>
      <c r="AAA8" s="102"/>
      <c r="AAB8" s="110"/>
      <c r="AAC8" s="102" t="s">
        <v>13</v>
      </c>
      <c r="AAD8" s="102"/>
      <c r="AAE8" s="102"/>
      <c r="AAF8" s="102"/>
      <c r="AAG8" s="102"/>
      <c r="AAH8" s="102"/>
      <c r="AAI8" s="102"/>
      <c r="AAJ8" s="102"/>
      <c r="AAK8" s="113" t="s">
        <v>33</v>
      </c>
      <c r="AAL8" s="102" t="s">
        <v>7</v>
      </c>
      <c r="AAM8" s="102"/>
      <c r="AAN8" s="106" t="s">
        <v>24</v>
      </c>
      <c r="AAO8" s="108" t="s">
        <v>18</v>
      </c>
      <c r="AAP8" s="102" t="s">
        <v>13</v>
      </c>
      <c r="AAQ8" s="102"/>
      <c r="AAR8" s="102"/>
      <c r="AAS8" s="102"/>
      <c r="AAT8" s="102"/>
      <c r="AAU8" s="102"/>
      <c r="AAV8" s="102"/>
      <c r="AAW8" s="102"/>
      <c r="AAX8" s="110" t="s">
        <v>25</v>
      </c>
      <c r="AAY8" s="102" t="s">
        <v>7</v>
      </c>
      <c r="AAZ8" s="102"/>
      <c r="ABA8" s="106" t="s">
        <v>26</v>
      </c>
      <c r="ABB8" s="108" t="s">
        <v>18</v>
      </c>
      <c r="ABC8" s="102" t="s">
        <v>27</v>
      </c>
      <c r="ABD8" s="102" t="s">
        <v>28</v>
      </c>
      <c r="ABE8" s="102" t="s">
        <v>8</v>
      </c>
      <c r="ABF8" s="102"/>
      <c r="ABG8" s="104" t="s">
        <v>16</v>
      </c>
      <c r="ABH8" s="104" t="s">
        <v>29</v>
      </c>
      <c r="ABI8" s="106" t="s">
        <v>30</v>
      </c>
      <c r="ABJ8" s="108" t="s">
        <v>18</v>
      </c>
      <c r="ABK8" s="102"/>
      <c r="ABL8" s="102"/>
      <c r="ABM8" s="102"/>
      <c r="ABN8" s="110"/>
      <c r="ABO8" s="102" t="s">
        <v>13</v>
      </c>
      <c r="ABP8" s="102"/>
      <c r="ABQ8" s="102"/>
      <c r="ABR8" s="102"/>
      <c r="ABS8" s="102"/>
      <c r="ABT8" s="102"/>
      <c r="ABU8" s="102"/>
      <c r="ABV8" s="102"/>
      <c r="ABW8" s="113" t="s">
        <v>33</v>
      </c>
      <c r="ABX8" s="102" t="s">
        <v>7</v>
      </c>
      <c r="ABY8" s="102"/>
      <c r="ABZ8" s="106" t="s">
        <v>24</v>
      </c>
      <c r="ACA8" s="108" t="s">
        <v>18</v>
      </c>
      <c r="ACB8" s="102" t="s">
        <v>13</v>
      </c>
      <c r="ACC8" s="102"/>
      <c r="ACD8" s="102"/>
      <c r="ACE8" s="102"/>
      <c r="ACF8" s="102"/>
      <c r="ACG8" s="102"/>
      <c r="ACH8" s="102"/>
      <c r="ACI8" s="102"/>
      <c r="ACJ8" s="110" t="s">
        <v>25</v>
      </c>
      <c r="ACK8" s="102" t="s">
        <v>7</v>
      </c>
      <c r="ACL8" s="102"/>
      <c r="ACM8" s="106" t="s">
        <v>26</v>
      </c>
      <c r="ACN8" s="108" t="s">
        <v>18</v>
      </c>
      <c r="ACO8" s="102" t="s">
        <v>27</v>
      </c>
      <c r="ACP8" s="102" t="s">
        <v>28</v>
      </c>
      <c r="ACQ8" s="102" t="s">
        <v>8</v>
      </c>
      <c r="ACR8" s="102"/>
      <c r="ACS8" s="104" t="s">
        <v>16</v>
      </c>
      <c r="ACT8" s="104" t="s">
        <v>29</v>
      </c>
      <c r="ACU8" s="106" t="s">
        <v>30</v>
      </c>
      <c r="ACV8" s="108" t="s">
        <v>18</v>
      </c>
      <c r="ACW8" s="102"/>
      <c r="ACX8" s="102"/>
      <c r="ACY8" s="102"/>
      <c r="ACZ8" s="110"/>
      <c r="ADA8" s="102" t="s">
        <v>13</v>
      </c>
      <c r="ADB8" s="102"/>
      <c r="ADC8" s="102"/>
      <c r="ADD8" s="102"/>
      <c r="ADE8" s="102"/>
      <c r="ADF8" s="102"/>
      <c r="ADG8" s="102"/>
      <c r="ADH8" s="102"/>
      <c r="ADI8" s="113" t="s">
        <v>33</v>
      </c>
      <c r="ADJ8" s="102" t="s">
        <v>7</v>
      </c>
      <c r="ADK8" s="102"/>
      <c r="ADL8" s="106" t="s">
        <v>24</v>
      </c>
      <c r="ADM8" s="108" t="s">
        <v>18</v>
      </c>
      <c r="ADN8" s="102" t="s">
        <v>13</v>
      </c>
      <c r="ADO8" s="102"/>
      <c r="ADP8" s="102"/>
      <c r="ADQ8" s="102"/>
      <c r="ADR8" s="102"/>
      <c r="ADS8" s="102"/>
      <c r="ADT8" s="102"/>
      <c r="ADU8" s="102"/>
      <c r="ADV8" s="110" t="s">
        <v>25</v>
      </c>
      <c r="ADW8" s="102" t="s">
        <v>7</v>
      </c>
      <c r="ADX8" s="102"/>
      <c r="ADY8" s="106" t="s">
        <v>26</v>
      </c>
      <c r="ADZ8" s="108" t="s">
        <v>18</v>
      </c>
      <c r="AEA8" s="102" t="s">
        <v>27</v>
      </c>
      <c r="AEB8" s="102" t="s">
        <v>28</v>
      </c>
      <c r="AEC8" s="102" t="s">
        <v>8</v>
      </c>
      <c r="AED8" s="102"/>
      <c r="AEE8" s="104" t="s">
        <v>16</v>
      </c>
      <c r="AEF8" s="104" t="s">
        <v>29</v>
      </c>
      <c r="AEG8" s="106" t="s">
        <v>30</v>
      </c>
      <c r="AEH8" s="108" t="s">
        <v>18</v>
      </c>
      <c r="AEI8" s="102"/>
      <c r="AEJ8" s="102"/>
      <c r="AEK8" s="102"/>
      <c r="AEL8" s="110"/>
      <c r="AEM8" s="102" t="s">
        <v>13</v>
      </c>
      <c r="AEN8" s="102"/>
      <c r="AEO8" s="102"/>
      <c r="AEP8" s="102"/>
      <c r="AEQ8" s="102"/>
      <c r="AER8" s="102"/>
      <c r="AES8" s="102"/>
      <c r="AET8" s="102"/>
      <c r="AEU8" s="113" t="s">
        <v>33</v>
      </c>
      <c r="AEV8" s="102" t="s">
        <v>7</v>
      </c>
      <c r="AEW8" s="102"/>
      <c r="AEX8" s="106" t="s">
        <v>24</v>
      </c>
      <c r="AEY8" s="108" t="s">
        <v>18</v>
      </c>
      <c r="AEZ8" s="102" t="s">
        <v>13</v>
      </c>
      <c r="AFA8" s="102"/>
      <c r="AFB8" s="102"/>
      <c r="AFC8" s="102"/>
      <c r="AFD8" s="102"/>
      <c r="AFE8" s="102"/>
      <c r="AFF8" s="102"/>
      <c r="AFG8" s="102"/>
      <c r="AFH8" s="110" t="s">
        <v>25</v>
      </c>
      <c r="AFI8" s="102" t="s">
        <v>7</v>
      </c>
      <c r="AFJ8" s="102"/>
      <c r="AFK8" s="106" t="s">
        <v>26</v>
      </c>
      <c r="AFL8" s="108" t="s">
        <v>18</v>
      </c>
      <c r="AFM8" s="102" t="s">
        <v>27</v>
      </c>
      <c r="AFN8" s="102" t="s">
        <v>28</v>
      </c>
      <c r="AFO8" s="102" t="s">
        <v>8</v>
      </c>
      <c r="AFP8" s="102"/>
      <c r="AFQ8" s="104" t="s">
        <v>16</v>
      </c>
      <c r="AFR8" s="104" t="s">
        <v>29</v>
      </c>
      <c r="AFS8" s="106" t="s">
        <v>30</v>
      </c>
      <c r="AFT8" s="108" t="s">
        <v>18</v>
      </c>
      <c r="AFU8" s="102"/>
      <c r="AFV8" s="102"/>
      <c r="AFW8" s="102"/>
      <c r="AFX8" s="110"/>
      <c r="AFY8" s="102" t="s">
        <v>13</v>
      </c>
      <c r="AFZ8" s="102"/>
      <c r="AGA8" s="102"/>
      <c r="AGB8" s="102"/>
      <c r="AGC8" s="102"/>
      <c r="AGD8" s="102"/>
      <c r="AGE8" s="102"/>
      <c r="AGF8" s="102"/>
      <c r="AGG8" s="113" t="s">
        <v>33</v>
      </c>
      <c r="AGH8" s="102" t="s">
        <v>7</v>
      </c>
      <c r="AGI8" s="102"/>
      <c r="AGJ8" s="106" t="s">
        <v>24</v>
      </c>
      <c r="AGK8" s="108" t="s">
        <v>18</v>
      </c>
      <c r="AGL8" s="102" t="s">
        <v>13</v>
      </c>
      <c r="AGM8" s="102"/>
      <c r="AGN8" s="102"/>
      <c r="AGO8" s="102"/>
      <c r="AGP8" s="102"/>
      <c r="AGQ8" s="102"/>
      <c r="AGR8" s="102"/>
      <c r="AGS8" s="102"/>
      <c r="AGT8" s="110" t="s">
        <v>25</v>
      </c>
      <c r="AGU8" s="102" t="s">
        <v>7</v>
      </c>
      <c r="AGV8" s="102"/>
      <c r="AGW8" s="106" t="s">
        <v>26</v>
      </c>
      <c r="AGX8" s="108" t="s">
        <v>18</v>
      </c>
      <c r="AGY8" s="102" t="s">
        <v>27</v>
      </c>
      <c r="AGZ8" s="102" t="s">
        <v>28</v>
      </c>
      <c r="AHA8" s="102" t="s">
        <v>8</v>
      </c>
      <c r="AHB8" s="102"/>
      <c r="AHC8" s="104" t="s">
        <v>16</v>
      </c>
      <c r="AHD8" s="104" t="s">
        <v>29</v>
      </c>
      <c r="AHE8" s="106" t="s">
        <v>30</v>
      </c>
      <c r="AHF8" s="108" t="s">
        <v>18</v>
      </c>
      <c r="AHG8" s="102"/>
      <c r="AHH8" s="102"/>
      <c r="AHI8" s="102"/>
      <c r="AHJ8" s="110"/>
      <c r="AHK8" s="102" t="s">
        <v>13</v>
      </c>
      <c r="AHL8" s="102"/>
      <c r="AHM8" s="102"/>
      <c r="AHN8" s="102"/>
      <c r="AHO8" s="102"/>
      <c r="AHP8" s="102"/>
      <c r="AHQ8" s="102"/>
      <c r="AHR8" s="102"/>
      <c r="AHS8" s="113" t="s">
        <v>33</v>
      </c>
      <c r="AHT8" s="102" t="s">
        <v>7</v>
      </c>
      <c r="AHU8" s="102"/>
      <c r="AHV8" s="106" t="s">
        <v>24</v>
      </c>
      <c r="AHW8" s="108" t="s">
        <v>18</v>
      </c>
      <c r="AHX8" s="102" t="s">
        <v>13</v>
      </c>
      <c r="AHY8" s="102"/>
      <c r="AHZ8" s="102"/>
      <c r="AIA8" s="102"/>
      <c r="AIB8" s="102"/>
      <c r="AIC8" s="102"/>
      <c r="AID8" s="102"/>
      <c r="AIE8" s="102"/>
      <c r="AIF8" s="110" t="s">
        <v>25</v>
      </c>
      <c r="AIG8" s="102" t="s">
        <v>7</v>
      </c>
      <c r="AIH8" s="102"/>
      <c r="AII8" s="106" t="s">
        <v>26</v>
      </c>
      <c r="AIJ8" s="108" t="s">
        <v>18</v>
      </c>
      <c r="AIK8" s="102" t="s">
        <v>27</v>
      </c>
      <c r="AIL8" s="102" t="s">
        <v>28</v>
      </c>
      <c r="AIM8" s="102" t="s">
        <v>8</v>
      </c>
      <c r="AIN8" s="102"/>
      <c r="AIO8" s="104" t="s">
        <v>16</v>
      </c>
      <c r="AIP8" s="104" t="s">
        <v>29</v>
      </c>
      <c r="AIQ8" s="106" t="s">
        <v>30</v>
      </c>
      <c r="AIR8" s="108" t="s">
        <v>18</v>
      </c>
    </row>
    <row r="9" spans="1:928" ht="57.6" customHeight="1" thickBot="1">
      <c r="A9" s="44" t="s">
        <v>147</v>
      </c>
      <c r="B9" s="45" t="s">
        <v>148</v>
      </c>
      <c r="C9" s="44" t="s">
        <v>149</v>
      </c>
      <c r="D9" s="44">
        <v>99</v>
      </c>
      <c r="E9" s="115"/>
      <c r="F9" s="46">
        <v>2</v>
      </c>
      <c r="G9" s="46" t="s">
        <v>98</v>
      </c>
      <c r="H9" s="84" t="s">
        <v>2</v>
      </c>
      <c r="I9" s="84" t="s">
        <v>3</v>
      </c>
      <c r="J9" s="84" t="s">
        <v>1</v>
      </c>
      <c r="K9" s="46" t="s">
        <v>98</v>
      </c>
      <c r="L9" s="115"/>
      <c r="M9" s="115"/>
      <c r="N9" s="115"/>
      <c r="O9" s="115"/>
      <c r="P9" s="47" t="s">
        <v>150</v>
      </c>
      <c r="Q9" s="103"/>
      <c r="R9" s="103"/>
      <c r="S9" s="103"/>
      <c r="T9" s="111"/>
      <c r="U9" s="85" t="s">
        <v>4</v>
      </c>
      <c r="V9" s="85" t="s">
        <v>4</v>
      </c>
      <c r="W9" s="85" t="s">
        <v>4</v>
      </c>
      <c r="X9" s="85" t="s">
        <v>4</v>
      </c>
      <c r="Y9" s="85" t="s">
        <v>4</v>
      </c>
      <c r="Z9" s="85" t="s">
        <v>4</v>
      </c>
      <c r="AA9" s="85" t="s">
        <v>6</v>
      </c>
      <c r="AB9" s="85" t="s">
        <v>5</v>
      </c>
      <c r="AC9" s="114"/>
      <c r="AD9" s="86" t="s">
        <v>20</v>
      </c>
      <c r="AE9" s="86" t="s">
        <v>21</v>
      </c>
      <c r="AF9" s="107"/>
      <c r="AG9" s="109"/>
      <c r="AH9" s="85" t="s">
        <v>4</v>
      </c>
      <c r="AI9" s="85" t="s">
        <v>4</v>
      </c>
      <c r="AJ9" s="85" t="s">
        <v>4</v>
      </c>
      <c r="AK9" s="85" t="s">
        <v>4</v>
      </c>
      <c r="AL9" s="85" t="s">
        <v>4</v>
      </c>
      <c r="AM9" s="85" t="s">
        <v>4</v>
      </c>
      <c r="AN9" s="85" t="s">
        <v>6</v>
      </c>
      <c r="AO9" s="85" t="s">
        <v>5</v>
      </c>
      <c r="AP9" s="111"/>
      <c r="AQ9" s="86" t="s">
        <v>22</v>
      </c>
      <c r="AR9" s="86" t="s">
        <v>23</v>
      </c>
      <c r="AS9" s="107"/>
      <c r="AT9" s="109"/>
      <c r="AU9" s="103"/>
      <c r="AV9" s="103"/>
      <c r="AW9" s="87" t="s">
        <v>31</v>
      </c>
      <c r="AX9" s="87" t="s">
        <v>32</v>
      </c>
      <c r="AY9" s="105"/>
      <c r="AZ9" s="105"/>
      <c r="BA9" s="107"/>
      <c r="BB9" s="109"/>
      <c r="BC9" s="103"/>
      <c r="BD9" s="103"/>
      <c r="BE9" s="103"/>
      <c r="BF9" s="111"/>
      <c r="BG9" s="85" t="s">
        <v>4</v>
      </c>
      <c r="BH9" s="85" t="s">
        <v>4</v>
      </c>
      <c r="BI9" s="85" t="s">
        <v>4</v>
      </c>
      <c r="BJ9" s="85" t="s">
        <v>4</v>
      </c>
      <c r="BK9" s="85" t="s">
        <v>4</v>
      </c>
      <c r="BL9" s="85" t="s">
        <v>4</v>
      </c>
      <c r="BM9" s="85" t="s">
        <v>6</v>
      </c>
      <c r="BN9" s="85" t="s">
        <v>5</v>
      </c>
      <c r="BO9" s="114"/>
      <c r="BP9" s="86" t="s">
        <v>20</v>
      </c>
      <c r="BQ9" s="86" t="s">
        <v>21</v>
      </c>
      <c r="BR9" s="107"/>
      <c r="BS9" s="109"/>
      <c r="BT9" s="85" t="s">
        <v>4</v>
      </c>
      <c r="BU9" s="85" t="s">
        <v>4</v>
      </c>
      <c r="BV9" s="85" t="s">
        <v>4</v>
      </c>
      <c r="BW9" s="85" t="s">
        <v>4</v>
      </c>
      <c r="BX9" s="85" t="s">
        <v>4</v>
      </c>
      <c r="BY9" s="85" t="s">
        <v>4</v>
      </c>
      <c r="BZ9" s="85" t="s">
        <v>6</v>
      </c>
      <c r="CA9" s="85" t="s">
        <v>5</v>
      </c>
      <c r="CB9" s="111"/>
      <c r="CC9" s="86" t="s">
        <v>22</v>
      </c>
      <c r="CD9" s="86" t="s">
        <v>23</v>
      </c>
      <c r="CE9" s="107"/>
      <c r="CF9" s="109"/>
      <c r="CG9" s="103"/>
      <c r="CH9" s="103"/>
      <c r="CI9" s="87" t="s">
        <v>31</v>
      </c>
      <c r="CJ9" s="87" t="s">
        <v>32</v>
      </c>
      <c r="CK9" s="105"/>
      <c r="CL9" s="105"/>
      <c r="CM9" s="107"/>
      <c r="CN9" s="109"/>
      <c r="CO9" s="103"/>
      <c r="CP9" s="103"/>
      <c r="CQ9" s="103"/>
      <c r="CR9" s="111"/>
      <c r="CS9" s="85" t="s">
        <v>4</v>
      </c>
      <c r="CT9" s="85" t="s">
        <v>4</v>
      </c>
      <c r="CU9" s="85" t="s">
        <v>4</v>
      </c>
      <c r="CV9" s="85" t="s">
        <v>4</v>
      </c>
      <c r="CW9" s="85" t="s">
        <v>4</v>
      </c>
      <c r="CX9" s="85" t="s">
        <v>4</v>
      </c>
      <c r="CY9" s="85" t="s">
        <v>6</v>
      </c>
      <c r="CZ9" s="85" t="s">
        <v>5</v>
      </c>
      <c r="DA9" s="114"/>
      <c r="DB9" s="86" t="s">
        <v>20</v>
      </c>
      <c r="DC9" s="86" t="s">
        <v>21</v>
      </c>
      <c r="DD9" s="107"/>
      <c r="DE9" s="109"/>
      <c r="DF9" s="85" t="s">
        <v>4</v>
      </c>
      <c r="DG9" s="85" t="s">
        <v>4</v>
      </c>
      <c r="DH9" s="85" t="s">
        <v>4</v>
      </c>
      <c r="DI9" s="85" t="s">
        <v>4</v>
      </c>
      <c r="DJ9" s="85" t="s">
        <v>4</v>
      </c>
      <c r="DK9" s="85" t="s">
        <v>4</v>
      </c>
      <c r="DL9" s="85" t="s">
        <v>6</v>
      </c>
      <c r="DM9" s="85" t="s">
        <v>5</v>
      </c>
      <c r="DN9" s="111"/>
      <c r="DO9" s="86" t="s">
        <v>22</v>
      </c>
      <c r="DP9" s="86" t="s">
        <v>23</v>
      </c>
      <c r="DQ9" s="107"/>
      <c r="DR9" s="109"/>
      <c r="DS9" s="103"/>
      <c r="DT9" s="103"/>
      <c r="DU9" s="87" t="s">
        <v>31</v>
      </c>
      <c r="DV9" s="87" t="s">
        <v>32</v>
      </c>
      <c r="DW9" s="105"/>
      <c r="DX9" s="105"/>
      <c r="DY9" s="107"/>
      <c r="DZ9" s="109"/>
      <c r="EA9" s="103"/>
      <c r="EB9" s="103"/>
      <c r="EC9" s="103"/>
      <c r="ED9" s="111"/>
      <c r="EE9" s="85" t="s">
        <v>4</v>
      </c>
      <c r="EF9" s="85" t="s">
        <v>4</v>
      </c>
      <c r="EG9" s="85" t="s">
        <v>4</v>
      </c>
      <c r="EH9" s="85" t="s">
        <v>4</v>
      </c>
      <c r="EI9" s="85" t="s">
        <v>4</v>
      </c>
      <c r="EJ9" s="85" t="s">
        <v>4</v>
      </c>
      <c r="EK9" s="85" t="s">
        <v>6</v>
      </c>
      <c r="EL9" s="85" t="s">
        <v>5</v>
      </c>
      <c r="EM9" s="114"/>
      <c r="EN9" s="86" t="s">
        <v>20</v>
      </c>
      <c r="EO9" s="86" t="s">
        <v>21</v>
      </c>
      <c r="EP9" s="107"/>
      <c r="EQ9" s="109"/>
      <c r="ER9" s="85" t="s">
        <v>4</v>
      </c>
      <c r="ES9" s="85" t="s">
        <v>4</v>
      </c>
      <c r="ET9" s="85" t="s">
        <v>4</v>
      </c>
      <c r="EU9" s="85" t="s">
        <v>4</v>
      </c>
      <c r="EV9" s="85" t="s">
        <v>4</v>
      </c>
      <c r="EW9" s="85" t="s">
        <v>4</v>
      </c>
      <c r="EX9" s="85" t="s">
        <v>6</v>
      </c>
      <c r="EY9" s="85" t="s">
        <v>5</v>
      </c>
      <c r="EZ9" s="111"/>
      <c r="FA9" s="86" t="s">
        <v>22</v>
      </c>
      <c r="FB9" s="86" t="s">
        <v>23</v>
      </c>
      <c r="FC9" s="107"/>
      <c r="FD9" s="109"/>
      <c r="FE9" s="103"/>
      <c r="FF9" s="103"/>
      <c r="FG9" s="87" t="s">
        <v>31</v>
      </c>
      <c r="FH9" s="87" t="s">
        <v>32</v>
      </c>
      <c r="FI9" s="105"/>
      <c r="FJ9" s="105"/>
      <c r="FK9" s="107"/>
      <c r="FL9" s="109"/>
      <c r="FM9" s="103"/>
      <c r="FN9" s="103"/>
      <c r="FO9" s="103"/>
      <c r="FP9" s="111"/>
      <c r="FQ9" s="85" t="s">
        <v>4</v>
      </c>
      <c r="FR9" s="85" t="s">
        <v>4</v>
      </c>
      <c r="FS9" s="85" t="s">
        <v>4</v>
      </c>
      <c r="FT9" s="85" t="s">
        <v>4</v>
      </c>
      <c r="FU9" s="85" t="s">
        <v>4</v>
      </c>
      <c r="FV9" s="85" t="s">
        <v>4</v>
      </c>
      <c r="FW9" s="85" t="s">
        <v>6</v>
      </c>
      <c r="FX9" s="85" t="s">
        <v>5</v>
      </c>
      <c r="FY9" s="114"/>
      <c r="FZ9" s="86" t="s">
        <v>20</v>
      </c>
      <c r="GA9" s="86" t="s">
        <v>21</v>
      </c>
      <c r="GB9" s="107"/>
      <c r="GC9" s="109"/>
      <c r="GD9" s="85" t="s">
        <v>4</v>
      </c>
      <c r="GE9" s="85" t="s">
        <v>4</v>
      </c>
      <c r="GF9" s="85" t="s">
        <v>4</v>
      </c>
      <c r="GG9" s="85" t="s">
        <v>4</v>
      </c>
      <c r="GH9" s="85" t="s">
        <v>4</v>
      </c>
      <c r="GI9" s="85" t="s">
        <v>4</v>
      </c>
      <c r="GJ9" s="85" t="s">
        <v>6</v>
      </c>
      <c r="GK9" s="85" t="s">
        <v>5</v>
      </c>
      <c r="GL9" s="111"/>
      <c r="GM9" s="86" t="s">
        <v>22</v>
      </c>
      <c r="GN9" s="86" t="s">
        <v>23</v>
      </c>
      <c r="GO9" s="107"/>
      <c r="GP9" s="109"/>
      <c r="GQ9" s="103"/>
      <c r="GR9" s="103"/>
      <c r="GS9" s="87" t="s">
        <v>31</v>
      </c>
      <c r="GT9" s="87" t="s">
        <v>32</v>
      </c>
      <c r="GU9" s="105"/>
      <c r="GV9" s="105"/>
      <c r="GW9" s="107"/>
      <c r="GX9" s="109"/>
      <c r="GY9" s="103"/>
      <c r="GZ9" s="103"/>
      <c r="HA9" s="103"/>
      <c r="HB9" s="111"/>
      <c r="HC9" s="85" t="s">
        <v>4</v>
      </c>
      <c r="HD9" s="85" t="s">
        <v>4</v>
      </c>
      <c r="HE9" s="85" t="s">
        <v>4</v>
      </c>
      <c r="HF9" s="85" t="s">
        <v>4</v>
      </c>
      <c r="HG9" s="85" t="s">
        <v>4</v>
      </c>
      <c r="HH9" s="85" t="s">
        <v>4</v>
      </c>
      <c r="HI9" s="85" t="s">
        <v>6</v>
      </c>
      <c r="HJ9" s="85" t="s">
        <v>5</v>
      </c>
      <c r="HK9" s="114"/>
      <c r="HL9" s="86" t="s">
        <v>20</v>
      </c>
      <c r="HM9" s="86" t="s">
        <v>21</v>
      </c>
      <c r="HN9" s="107"/>
      <c r="HO9" s="109"/>
      <c r="HP9" s="85" t="s">
        <v>4</v>
      </c>
      <c r="HQ9" s="85" t="s">
        <v>4</v>
      </c>
      <c r="HR9" s="85" t="s">
        <v>4</v>
      </c>
      <c r="HS9" s="85" t="s">
        <v>4</v>
      </c>
      <c r="HT9" s="85" t="s">
        <v>4</v>
      </c>
      <c r="HU9" s="85" t="s">
        <v>4</v>
      </c>
      <c r="HV9" s="85" t="s">
        <v>6</v>
      </c>
      <c r="HW9" s="85" t="s">
        <v>5</v>
      </c>
      <c r="HX9" s="111"/>
      <c r="HY9" s="86" t="s">
        <v>22</v>
      </c>
      <c r="HZ9" s="86" t="s">
        <v>23</v>
      </c>
      <c r="IA9" s="107"/>
      <c r="IB9" s="109"/>
      <c r="IC9" s="103"/>
      <c r="ID9" s="103"/>
      <c r="IE9" s="87" t="s">
        <v>31</v>
      </c>
      <c r="IF9" s="87" t="s">
        <v>32</v>
      </c>
      <c r="IG9" s="105"/>
      <c r="IH9" s="105"/>
      <c r="II9" s="107"/>
      <c r="IJ9" s="109"/>
      <c r="IK9" s="103"/>
      <c r="IL9" s="103"/>
      <c r="IM9" s="103"/>
      <c r="IN9" s="111"/>
      <c r="IO9" s="85" t="s">
        <v>4</v>
      </c>
      <c r="IP9" s="85" t="s">
        <v>4</v>
      </c>
      <c r="IQ9" s="85" t="s">
        <v>4</v>
      </c>
      <c r="IR9" s="85" t="s">
        <v>4</v>
      </c>
      <c r="IS9" s="85" t="s">
        <v>4</v>
      </c>
      <c r="IT9" s="85" t="s">
        <v>4</v>
      </c>
      <c r="IU9" s="85" t="s">
        <v>6</v>
      </c>
      <c r="IV9" s="85" t="s">
        <v>5</v>
      </c>
      <c r="IW9" s="114"/>
      <c r="IX9" s="86" t="s">
        <v>20</v>
      </c>
      <c r="IY9" s="86" t="s">
        <v>21</v>
      </c>
      <c r="IZ9" s="107"/>
      <c r="JA9" s="109"/>
      <c r="JB9" s="85" t="s">
        <v>4</v>
      </c>
      <c r="JC9" s="85" t="s">
        <v>4</v>
      </c>
      <c r="JD9" s="85" t="s">
        <v>4</v>
      </c>
      <c r="JE9" s="85" t="s">
        <v>4</v>
      </c>
      <c r="JF9" s="85" t="s">
        <v>4</v>
      </c>
      <c r="JG9" s="85" t="s">
        <v>4</v>
      </c>
      <c r="JH9" s="85" t="s">
        <v>6</v>
      </c>
      <c r="JI9" s="85" t="s">
        <v>5</v>
      </c>
      <c r="JJ9" s="111"/>
      <c r="JK9" s="86" t="s">
        <v>22</v>
      </c>
      <c r="JL9" s="86" t="s">
        <v>23</v>
      </c>
      <c r="JM9" s="107"/>
      <c r="JN9" s="109"/>
      <c r="JO9" s="103"/>
      <c r="JP9" s="103"/>
      <c r="JQ9" s="87" t="s">
        <v>31</v>
      </c>
      <c r="JR9" s="87" t="s">
        <v>32</v>
      </c>
      <c r="JS9" s="105"/>
      <c r="JT9" s="105"/>
      <c r="JU9" s="107"/>
      <c r="JV9" s="109"/>
      <c r="JW9" s="103"/>
      <c r="JX9" s="103"/>
      <c r="JY9" s="103"/>
      <c r="JZ9" s="111"/>
      <c r="KA9" s="85" t="s">
        <v>4</v>
      </c>
      <c r="KB9" s="85" t="s">
        <v>4</v>
      </c>
      <c r="KC9" s="85" t="s">
        <v>4</v>
      </c>
      <c r="KD9" s="85" t="s">
        <v>4</v>
      </c>
      <c r="KE9" s="85" t="s">
        <v>4</v>
      </c>
      <c r="KF9" s="85" t="s">
        <v>4</v>
      </c>
      <c r="KG9" s="85" t="s">
        <v>6</v>
      </c>
      <c r="KH9" s="85" t="s">
        <v>5</v>
      </c>
      <c r="KI9" s="114"/>
      <c r="KJ9" s="86" t="s">
        <v>20</v>
      </c>
      <c r="KK9" s="86" t="s">
        <v>21</v>
      </c>
      <c r="KL9" s="107"/>
      <c r="KM9" s="109"/>
      <c r="KN9" s="85" t="s">
        <v>4</v>
      </c>
      <c r="KO9" s="85" t="s">
        <v>4</v>
      </c>
      <c r="KP9" s="85" t="s">
        <v>4</v>
      </c>
      <c r="KQ9" s="85" t="s">
        <v>4</v>
      </c>
      <c r="KR9" s="85" t="s">
        <v>4</v>
      </c>
      <c r="KS9" s="85" t="s">
        <v>4</v>
      </c>
      <c r="KT9" s="85" t="s">
        <v>6</v>
      </c>
      <c r="KU9" s="85" t="s">
        <v>5</v>
      </c>
      <c r="KV9" s="111"/>
      <c r="KW9" s="86" t="s">
        <v>22</v>
      </c>
      <c r="KX9" s="86" t="s">
        <v>23</v>
      </c>
      <c r="KY9" s="107"/>
      <c r="KZ9" s="109"/>
      <c r="LA9" s="103"/>
      <c r="LB9" s="103"/>
      <c r="LC9" s="87" t="s">
        <v>31</v>
      </c>
      <c r="LD9" s="87" t="s">
        <v>32</v>
      </c>
      <c r="LE9" s="105"/>
      <c r="LF9" s="105"/>
      <c r="LG9" s="107"/>
      <c r="LH9" s="109"/>
      <c r="LI9" s="103"/>
      <c r="LJ9" s="103"/>
      <c r="LK9" s="103"/>
      <c r="LL9" s="111"/>
      <c r="LM9" s="85" t="s">
        <v>4</v>
      </c>
      <c r="LN9" s="85" t="s">
        <v>4</v>
      </c>
      <c r="LO9" s="85" t="s">
        <v>4</v>
      </c>
      <c r="LP9" s="85" t="s">
        <v>4</v>
      </c>
      <c r="LQ9" s="85" t="s">
        <v>4</v>
      </c>
      <c r="LR9" s="85" t="s">
        <v>4</v>
      </c>
      <c r="LS9" s="85" t="s">
        <v>6</v>
      </c>
      <c r="LT9" s="85" t="s">
        <v>5</v>
      </c>
      <c r="LU9" s="114"/>
      <c r="LV9" s="86" t="s">
        <v>20</v>
      </c>
      <c r="LW9" s="86" t="s">
        <v>21</v>
      </c>
      <c r="LX9" s="107"/>
      <c r="LY9" s="109"/>
      <c r="LZ9" s="85" t="s">
        <v>4</v>
      </c>
      <c r="MA9" s="85" t="s">
        <v>4</v>
      </c>
      <c r="MB9" s="85" t="s">
        <v>4</v>
      </c>
      <c r="MC9" s="85" t="s">
        <v>4</v>
      </c>
      <c r="MD9" s="85" t="s">
        <v>4</v>
      </c>
      <c r="ME9" s="85" t="s">
        <v>4</v>
      </c>
      <c r="MF9" s="85" t="s">
        <v>6</v>
      </c>
      <c r="MG9" s="85" t="s">
        <v>5</v>
      </c>
      <c r="MH9" s="111"/>
      <c r="MI9" s="86" t="s">
        <v>22</v>
      </c>
      <c r="MJ9" s="86" t="s">
        <v>23</v>
      </c>
      <c r="MK9" s="107"/>
      <c r="ML9" s="109"/>
      <c r="MM9" s="103"/>
      <c r="MN9" s="103"/>
      <c r="MO9" s="87" t="s">
        <v>31</v>
      </c>
      <c r="MP9" s="87" t="s">
        <v>32</v>
      </c>
      <c r="MQ9" s="105"/>
      <c r="MR9" s="105"/>
      <c r="MS9" s="107"/>
      <c r="MT9" s="109"/>
      <c r="MU9" s="103"/>
      <c r="MV9" s="103"/>
      <c r="MW9" s="103"/>
      <c r="MX9" s="111"/>
      <c r="MY9" s="85" t="s">
        <v>4</v>
      </c>
      <c r="MZ9" s="85" t="s">
        <v>4</v>
      </c>
      <c r="NA9" s="85" t="s">
        <v>4</v>
      </c>
      <c r="NB9" s="85" t="s">
        <v>4</v>
      </c>
      <c r="NC9" s="85" t="s">
        <v>4</v>
      </c>
      <c r="ND9" s="85" t="s">
        <v>4</v>
      </c>
      <c r="NE9" s="85" t="s">
        <v>6</v>
      </c>
      <c r="NF9" s="85" t="s">
        <v>5</v>
      </c>
      <c r="NG9" s="114"/>
      <c r="NH9" s="86" t="s">
        <v>20</v>
      </c>
      <c r="NI9" s="86" t="s">
        <v>21</v>
      </c>
      <c r="NJ9" s="107"/>
      <c r="NK9" s="109"/>
      <c r="NL9" s="85" t="s">
        <v>4</v>
      </c>
      <c r="NM9" s="85" t="s">
        <v>4</v>
      </c>
      <c r="NN9" s="85" t="s">
        <v>4</v>
      </c>
      <c r="NO9" s="85" t="s">
        <v>4</v>
      </c>
      <c r="NP9" s="85" t="s">
        <v>4</v>
      </c>
      <c r="NQ9" s="85" t="s">
        <v>4</v>
      </c>
      <c r="NR9" s="85" t="s">
        <v>6</v>
      </c>
      <c r="NS9" s="85" t="s">
        <v>5</v>
      </c>
      <c r="NT9" s="111"/>
      <c r="NU9" s="86" t="s">
        <v>22</v>
      </c>
      <c r="NV9" s="86" t="s">
        <v>23</v>
      </c>
      <c r="NW9" s="107"/>
      <c r="NX9" s="109"/>
      <c r="NY9" s="103"/>
      <c r="NZ9" s="103"/>
      <c r="OA9" s="87" t="s">
        <v>31</v>
      </c>
      <c r="OB9" s="87" t="s">
        <v>32</v>
      </c>
      <c r="OC9" s="105"/>
      <c r="OD9" s="105"/>
      <c r="OE9" s="107"/>
      <c r="OF9" s="109"/>
      <c r="OG9" s="103"/>
      <c r="OH9" s="103"/>
      <c r="OI9" s="103"/>
      <c r="OJ9" s="111"/>
      <c r="OK9" s="85" t="s">
        <v>4</v>
      </c>
      <c r="OL9" s="85" t="s">
        <v>4</v>
      </c>
      <c r="OM9" s="85" t="s">
        <v>4</v>
      </c>
      <c r="ON9" s="85" t="s">
        <v>4</v>
      </c>
      <c r="OO9" s="85" t="s">
        <v>4</v>
      </c>
      <c r="OP9" s="85" t="s">
        <v>4</v>
      </c>
      <c r="OQ9" s="85" t="s">
        <v>6</v>
      </c>
      <c r="OR9" s="85" t="s">
        <v>5</v>
      </c>
      <c r="OS9" s="114"/>
      <c r="OT9" s="86" t="s">
        <v>20</v>
      </c>
      <c r="OU9" s="86" t="s">
        <v>21</v>
      </c>
      <c r="OV9" s="107"/>
      <c r="OW9" s="109"/>
      <c r="OX9" s="85" t="s">
        <v>4</v>
      </c>
      <c r="OY9" s="85" t="s">
        <v>4</v>
      </c>
      <c r="OZ9" s="85" t="s">
        <v>4</v>
      </c>
      <c r="PA9" s="85" t="s">
        <v>4</v>
      </c>
      <c r="PB9" s="85" t="s">
        <v>4</v>
      </c>
      <c r="PC9" s="85" t="s">
        <v>4</v>
      </c>
      <c r="PD9" s="85" t="s">
        <v>6</v>
      </c>
      <c r="PE9" s="85" t="s">
        <v>5</v>
      </c>
      <c r="PF9" s="111"/>
      <c r="PG9" s="86" t="s">
        <v>22</v>
      </c>
      <c r="PH9" s="86" t="s">
        <v>23</v>
      </c>
      <c r="PI9" s="107"/>
      <c r="PJ9" s="109"/>
      <c r="PK9" s="103"/>
      <c r="PL9" s="103"/>
      <c r="PM9" s="87" t="s">
        <v>31</v>
      </c>
      <c r="PN9" s="87" t="s">
        <v>32</v>
      </c>
      <c r="PO9" s="105"/>
      <c r="PP9" s="105"/>
      <c r="PQ9" s="107"/>
      <c r="PR9" s="109"/>
      <c r="PS9" s="103"/>
      <c r="PT9" s="103"/>
      <c r="PU9" s="103"/>
      <c r="PV9" s="111"/>
      <c r="PW9" s="85" t="s">
        <v>4</v>
      </c>
      <c r="PX9" s="85" t="s">
        <v>4</v>
      </c>
      <c r="PY9" s="85" t="s">
        <v>4</v>
      </c>
      <c r="PZ9" s="85" t="s">
        <v>4</v>
      </c>
      <c r="QA9" s="85" t="s">
        <v>4</v>
      </c>
      <c r="QB9" s="85" t="s">
        <v>4</v>
      </c>
      <c r="QC9" s="85" t="s">
        <v>6</v>
      </c>
      <c r="QD9" s="85" t="s">
        <v>5</v>
      </c>
      <c r="QE9" s="114"/>
      <c r="QF9" s="86" t="s">
        <v>20</v>
      </c>
      <c r="QG9" s="86" t="s">
        <v>21</v>
      </c>
      <c r="QH9" s="107"/>
      <c r="QI9" s="109"/>
      <c r="QJ9" s="85" t="s">
        <v>4</v>
      </c>
      <c r="QK9" s="85" t="s">
        <v>4</v>
      </c>
      <c r="QL9" s="85" t="s">
        <v>4</v>
      </c>
      <c r="QM9" s="85" t="s">
        <v>4</v>
      </c>
      <c r="QN9" s="85" t="s">
        <v>4</v>
      </c>
      <c r="QO9" s="85" t="s">
        <v>4</v>
      </c>
      <c r="QP9" s="85" t="s">
        <v>6</v>
      </c>
      <c r="QQ9" s="85" t="s">
        <v>5</v>
      </c>
      <c r="QR9" s="111"/>
      <c r="QS9" s="86" t="s">
        <v>22</v>
      </c>
      <c r="QT9" s="86" t="s">
        <v>23</v>
      </c>
      <c r="QU9" s="107"/>
      <c r="QV9" s="109"/>
      <c r="QW9" s="103"/>
      <c r="QX9" s="103"/>
      <c r="QY9" s="87" t="s">
        <v>31</v>
      </c>
      <c r="QZ9" s="87" t="s">
        <v>32</v>
      </c>
      <c r="RA9" s="105"/>
      <c r="RB9" s="105"/>
      <c r="RC9" s="107"/>
      <c r="RD9" s="109"/>
      <c r="RE9" s="103"/>
      <c r="RF9" s="103"/>
      <c r="RG9" s="103"/>
      <c r="RH9" s="111"/>
      <c r="RI9" s="85" t="s">
        <v>4</v>
      </c>
      <c r="RJ9" s="85" t="s">
        <v>4</v>
      </c>
      <c r="RK9" s="85" t="s">
        <v>4</v>
      </c>
      <c r="RL9" s="85" t="s">
        <v>4</v>
      </c>
      <c r="RM9" s="85" t="s">
        <v>4</v>
      </c>
      <c r="RN9" s="85" t="s">
        <v>4</v>
      </c>
      <c r="RO9" s="85" t="s">
        <v>6</v>
      </c>
      <c r="RP9" s="85" t="s">
        <v>5</v>
      </c>
      <c r="RQ9" s="114"/>
      <c r="RR9" s="86" t="s">
        <v>20</v>
      </c>
      <c r="RS9" s="86" t="s">
        <v>21</v>
      </c>
      <c r="RT9" s="107"/>
      <c r="RU9" s="109"/>
      <c r="RV9" s="85" t="s">
        <v>4</v>
      </c>
      <c r="RW9" s="85" t="s">
        <v>4</v>
      </c>
      <c r="RX9" s="85" t="s">
        <v>4</v>
      </c>
      <c r="RY9" s="85" t="s">
        <v>4</v>
      </c>
      <c r="RZ9" s="85" t="s">
        <v>4</v>
      </c>
      <c r="SA9" s="85" t="s">
        <v>4</v>
      </c>
      <c r="SB9" s="85" t="s">
        <v>6</v>
      </c>
      <c r="SC9" s="85" t="s">
        <v>5</v>
      </c>
      <c r="SD9" s="111"/>
      <c r="SE9" s="86" t="s">
        <v>22</v>
      </c>
      <c r="SF9" s="86" t="s">
        <v>23</v>
      </c>
      <c r="SG9" s="107"/>
      <c r="SH9" s="109"/>
      <c r="SI9" s="103"/>
      <c r="SJ9" s="103"/>
      <c r="SK9" s="87" t="s">
        <v>31</v>
      </c>
      <c r="SL9" s="87" t="s">
        <v>32</v>
      </c>
      <c r="SM9" s="105"/>
      <c r="SN9" s="105"/>
      <c r="SO9" s="107"/>
      <c r="SP9" s="109"/>
      <c r="SQ9" s="103"/>
      <c r="SR9" s="103"/>
      <c r="SS9" s="103"/>
      <c r="ST9" s="111"/>
      <c r="SU9" s="85" t="s">
        <v>4</v>
      </c>
      <c r="SV9" s="85" t="s">
        <v>4</v>
      </c>
      <c r="SW9" s="85" t="s">
        <v>4</v>
      </c>
      <c r="SX9" s="85" t="s">
        <v>4</v>
      </c>
      <c r="SY9" s="85" t="s">
        <v>4</v>
      </c>
      <c r="SZ9" s="85" t="s">
        <v>4</v>
      </c>
      <c r="TA9" s="85" t="s">
        <v>6</v>
      </c>
      <c r="TB9" s="85" t="s">
        <v>5</v>
      </c>
      <c r="TC9" s="114"/>
      <c r="TD9" s="86" t="s">
        <v>20</v>
      </c>
      <c r="TE9" s="86" t="s">
        <v>21</v>
      </c>
      <c r="TF9" s="107"/>
      <c r="TG9" s="109"/>
      <c r="TH9" s="85" t="s">
        <v>4</v>
      </c>
      <c r="TI9" s="85" t="s">
        <v>4</v>
      </c>
      <c r="TJ9" s="85" t="s">
        <v>4</v>
      </c>
      <c r="TK9" s="85" t="s">
        <v>4</v>
      </c>
      <c r="TL9" s="85" t="s">
        <v>4</v>
      </c>
      <c r="TM9" s="85" t="s">
        <v>4</v>
      </c>
      <c r="TN9" s="85" t="s">
        <v>6</v>
      </c>
      <c r="TO9" s="85" t="s">
        <v>5</v>
      </c>
      <c r="TP9" s="111"/>
      <c r="TQ9" s="86" t="s">
        <v>22</v>
      </c>
      <c r="TR9" s="86" t="s">
        <v>23</v>
      </c>
      <c r="TS9" s="107"/>
      <c r="TT9" s="109"/>
      <c r="TU9" s="103"/>
      <c r="TV9" s="103"/>
      <c r="TW9" s="87" t="s">
        <v>31</v>
      </c>
      <c r="TX9" s="87" t="s">
        <v>32</v>
      </c>
      <c r="TY9" s="105"/>
      <c r="TZ9" s="105"/>
      <c r="UA9" s="107"/>
      <c r="UB9" s="109"/>
      <c r="UC9" s="103"/>
      <c r="UD9" s="103"/>
      <c r="UE9" s="103"/>
      <c r="UF9" s="111"/>
      <c r="UG9" s="85" t="s">
        <v>4</v>
      </c>
      <c r="UH9" s="85" t="s">
        <v>4</v>
      </c>
      <c r="UI9" s="85" t="s">
        <v>4</v>
      </c>
      <c r="UJ9" s="85" t="s">
        <v>4</v>
      </c>
      <c r="UK9" s="85" t="s">
        <v>4</v>
      </c>
      <c r="UL9" s="85" t="s">
        <v>4</v>
      </c>
      <c r="UM9" s="85" t="s">
        <v>6</v>
      </c>
      <c r="UN9" s="85" t="s">
        <v>5</v>
      </c>
      <c r="UO9" s="114"/>
      <c r="UP9" s="86" t="s">
        <v>20</v>
      </c>
      <c r="UQ9" s="86" t="s">
        <v>21</v>
      </c>
      <c r="UR9" s="107"/>
      <c r="US9" s="109"/>
      <c r="UT9" s="85" t="s">
        <v>4</v>
      </c>
      <c r="UU9" s="85" t="s">
        <v>4</v>
      </c>
      <c r="UV9" s="85" t="s">
        <v>4</v>
      </c>
      <c r="UW9" s="85" t="s">
        <v>4</v>
      </c>
      <c r="UX9" s="85" t="s">
        <v>4</v>
      </c>
      <c r="UY9" s="85" t="s">
        <v>4</v>
      </c>
      <c r="UZ9" s="85" t="s">
        <v>6</v>
      </c>
      <c r="VA9" s="85" t="s">
        <v>5</v>
      </c>
      <c r="VB9" s="111"/>
      <c r="VC9" s="86" t="s">
        <v>22</v>
      </c>
      <c r="VD9" s="86" t="s">
        <v>23</v>
      </c>
      <c r="VE9" s="107"/>
      <c r="VF9" s="109"/>
      <c r="VG9" s="103"/>
      <c r="VH9" s="103"/>
      <c r="VI9" s="87" t="s">
        <v>31</v>
      </c>
      <c r="VJ9" s="87" t="s">
        <v>32</v>
      </c>
      <c r="VK9" s="105"/>
      <c r="VL9" s="105"/>
      <c r="VM9" s="107"/>
      <c r="VN9" s="109"/>
      <c r="VO9" s="103"/>
      <c r="VP9" s="103"/>
      <c r="VQ9" s="103"/>
      <c r="VR9" s="111"/>
      <c r="VS9" s="85" t="s">
        <v>4</v>
      </c>
      <c r="VT9" s="85" t="s">
        <v>4</v>
      </c>
      <c r="VU9" s="85" t="s">
        <v>4</v>
      </c>
      <c r="VV9" s="85" t="s">
        <v>4</v>
      </c>
      <c r="VW9" s="85" t="s">
        <v>4</v>
      </c>
      <c r="VX9" s="85" t="s">
        <v>4</v>
      </c>
      <c r="VY9" s="85" t="s">
        <v>6</v>
      </c>
      <c r="VZ9" s="85" t="s">
        <v>5</v>
      </c>
      <c r="WA9" s="114"/>
      <c r="WB9" s="86" t="s">
        <v>20</v>
      </c>
      <c r="WC9" s="86" t="s">
        <v>21</v>
      </c>
      <c r="WD9" s="107"/>
      <c r="WE9" s="109"/>
      <c r="WF9" s="85" t="s">
        <v>4</v>
      </c>
      <c r="WG9" s="85" t="s">
        <v>4</v>
      </c>
      <c r="WH9" s="85" t="s">
        <v>4</v>
      </c>
      <c r="WI9" s="85" t="s">
        <v>4</v>
      </c>
      <c r="WJ9" s="85" t="s">
        <v>4</v>
      </c>
      <c r="WK9" s="85" t="s">
        <v>4</v>
      </c>
      <c r="WL9" s="85" t="s">
        <v>6</v>
      </c>
      <c r="WM9" s="85" t="s">
        <v>5</v>
      </c>
      <c r="WN9" s="111"/>
      <c r="WO9" s="86" t="s">
        <v>22</v>
      </c>
      <c r="WP9" s="86" t="s">
        <v>23</v>
      </c>
      <c r="WQ9" s="107"/>
      <c r="WR9" s="109"/>
      <c r="WS9" s="103"/>
      <c r="WT9" s="103"/>
      <c r="WU9" s="87" t="s">
        <v>31</v>
      </c>
      <c r="WV9" s="87" t="s">
        <v>32</v>
      </c>
      <c r="WW9" s="105"/>
      <c r="WX9" s="105"/>
      <c r="WY9" s="107"/>
      <c r="WZ9" s="109"/>
      <c r="XA9" s="103"/>
      <c r="XB9" s="103"/>
      <c r="XC9" s="103"/>
      <c r="XD9" s="111"/>
      <c r="XE9" s="85" t="s">
        <v>4</v>
      </c>
      <c r="XF9" s="85" t="s">
        <v>4</v>
      </c>
      <c r="XG9" s="85" t="s">
        <v>4</v>
      </c>
      <c r="XH9" s="85" t="s">
        <v>4</v>
      </c>
      <c r="XI9" s="85" t="s">
        <v>4</v>
      </c>
      <c r="XJ9" s="85" t="s">
        <v>4</v>
      </c>
      <c r="XK9" s="85" t="s">
        <v>6</v>
      </c>
      <c r="XL9" s="85" t="s">
        <v>5</v>
      </c>
      <c r="XM9" s="114"/>
      <c r="XN9" s="86" t="s">
        <v>20</v>
      </c>
      <c r="XO9" s="86" t="s">
        <v>21</v>
      </c>
      <c r="XP9" s="107"/>
      <c r="XQ9" s="109"/>
      <c r="XR9" s="85" t="s">
        <v>4</v>
      </c>
      <c r="XS9" s="85" t="s">
        <v>4</v>
      </c>
      <c r="XT9" s="85" t="s">
        <v>4</v>
      </c>
      <c r="XU9" s="85" t="s">
        <v>4</v>
      </c>
      <c r="XV9" s="85" t="s">
        <v>4</v>
      </c>
      <c r="XW9" s="85" t="s">
        <v>4</v>
      </c>
      <c r="XX9" s="85" t="s">
        <v>6</v>
      </c>
      <c r="XY9" s="85" t="s">
        <v>5</v>
      </c>
      <c r="XZ9" s="111"/>
      <c r="YA9" s="86" t="s">
        <v>22</v>
      </c>
      <c r="YB9" s="86" t="s">
        <v>23</v>
      </c>
      <c r="YC9" s="107"/>
      <c r="YD9" s="109"/>
      <c r="YE9" s="103"/>
      <c r="YF9" s="103"/>
      <c r="YG9" s="87" t="s">
        <v>31</v>
      </c>
      <c r="YH9" s="87" t="s">
        <v>32</v>
      </c>
      <c r="YI9" s="105"/>
      <c r="YJ9" s="105"/>
      <c r="YK9" s="107"/>
      <c r="YL9" s="109"/>
      <c r="YM9" s="103"/>
      <c r="YN9" s="103"/>
      <c r="YO9" s="103"/>
      <c r="YP9" s="111"/>
      <c r="YQ9" s="85" t="s">
        <v>4</v>
      </c>
      <c r="YR9" s="85" t="s">
        <v>4</v>
      </c>
      <c r="YS9" s="85" t="s">
        <v>4</v>
      </c>
      <c r="YT9" s="85" t="s">
        <v>4</v>
      </c>
      <c r="YU9" s="85" t="s">
        <v>4</v>
      </c>
      <c r="YV9" s="85" t="s">
        <v>4</v>
      </c>
      <c r="YW9" s="85" t="s">
        <v>6</v>
      </c>
      <c r="YX9" s="85" t="s">
        <v>5</v>
      </c>
      <c r="YY9" s="114"/>
      <c r="YZ9" s="86" t="s">
        <v>20</v>
      </c>
      <c r="ZA9" s="86" t="s">
        <v>21</v>
      </c>
      <c r="ZB9" s="107"/>
      <c r="ZC9" s="109"/>
      <c r="ZD9" s="85" t="s">
        <v>4</v>
      </c>
      <c r="ZE9" s="85" t="s">
        <v>4</v>
      </c>
      <c r="ZF9" s="85" t="s">
        <v>4</v>
      </c>
      <c r="ZG9" s="85" t="s">
        <v>4</v>
      </c>
      <c r="ZH9" s="85" t="s">
        <v>4</v>
      </c>
      <c r="ZI9" s="85" t="s">
        <v>4</v>
      </c>
      <c r="ZJ9" s="85" t="s">
        <v>6</v>
      </c>
      <c r="ZK9" s="85" t="s">
        <v>5</v>
      </c>
      <c r="ZL9" s="111"/>
      <c r="ZM9" s="86" t="s">
        <v>22</v>
      </c>
      <c r="ZN9" s="86" t="s">
        <v>23</v>
      </c>
      <c r="ZO9" s="107"/>
      <c r="ZP9" s="109"/>
      <c r="ZQ9" s="103"/>
      <c r="ZR9" s="103"/>
      <c r="ZS9" s="87" t="s">
        <v>31</v>
      </c>
      <c r="ZT9" s="87" t="s">
        <v>32</v>
      </c>
      <c r="ZU9" s="105"/>
      <c r="ZV9" s="105"/>
      <c r="ZW9" s="107"/>
      <c r="ZX9" s="109"/>
      <c r="ZY9" s="103"/>
      <c r="ZZ9" s="103"/>
      <c r="AAA9" s="103"/>
      <c r="AAB9" s="111"/>
      <c r="AAC9" s="85" t="s">
        <v>4</v>
      </c>
      <c r="AAD9" s="85" t="s">
        <v>4</v>
      </c>
      <c r="AAE9" s="85" t="s">
        <v>4</v>
      </c>
      <c r="AAF9" s="85" t="s">
        <v>4</v>
      </c>
      <c r="AAG9" s="85" t="s">
        <v>4</v>
      </c>
      <c r="AAH9" s="85" t="s">
        <v>4</v>
      </c>
      <c r="AAI9" s="85" t="s">
        <v>6</v>
      </c>
      <c r="AAJ9" s="85" t="s">
        <v>5</v>
      </c>
      <c r="AAK9" s="114"/>
      <c r="AAL9" s="86" t="s">
        <v>20</v>
      </c>
      <c r="AAM9" s="86" t="s">
        <v>21</v>
      </c>
      <c r="AAN9" s="107"/>
      <c r="AAO9" s="109"/>
      <c r="AAP9" s="85" t="s">
        <v>4</v>
      </c>
      <c r="AAQ9" s="85" t="s">
        <v>4</v>
      </c>
      <c r="AAR9" s="85" t="s">
        <v>4</v>
      </c>
      <c r="AAS9" s="85" t="s">
        <v>4</v>
      </c>
      <c r="AAT9" s="85" t="s">
        <v>4</v>
      </c>
      <c r="AAU9" s="85" t="s">
        <v>4</v>
      </c>
      <c r="AAV9" s="85" t="s">
        <v>6</v>
      </c>
      <c r="AAW9" s="85" t="s">
        <v>5</v>
      </c>
      <c r="AAX9" s="111"/>
      <c r="AAY9" s="86" t="s">
        <v>22</v>
      </c>
      <c r="AAZ9" s="86" t="s">
        <v>23</v>
      </c>
      <c r="ABA9" s="107"/>
      <c r="ABB9" s="109"/>
      <c r="ABC9" s="103"/>
      <c r="ABD9" s="103"/>
      <c r="ABE9" s="87" t="s">
        <v>31</v>
      </c>
      <c r="ABF9" s="87" t="s">
        <v>32</v>
      </c>
      <c r="ABG9" s="105"/>
      <c r="ABH9" s="105"/>
      <c r="ABI9" s="107"/>
      <c r="ABJ9" s="109"/>
      <c r="ABK9" s="103"/>
      <c r="ABL9" s="103"/>
      <c r="ABM9" s="103"/>
      <c r="ABN9" s="111"/>
      <c r="ABO9" s="85" t="s">
        <v>4</v>
      </c>
      <c r="ABP9" s="85" t="s">
        <v>4</v>
      </c>
      <c r="ABQ9" s="85" t="s">
        <v>4</v>
      </c>
      <c r="ABR9" s="85" t="s">
        <v>4</v>
      </c>
      <c r="ABS9" s="85" t="s">
        <v>4</v>
      </c>
      <c r="ABT9" s="85" t="s">
        <v>4</v>
      </c>
      <c r="ABU9" s="85" t="s">
        <v>6</v>
      </c>
      <c r="ABV9" s="85" t="s">
        <v>5</v>
      </c>
      <c r="ABW9" s="114"/>
      <c r="ABX9" s="86" t="s">
        <v>20</v>
      </c>
      <c r="ABY9" s="86" t="s">
        <v>21</v>
      </c>
      <c r="ABZ9" s="107"/>
      <c r="ACA9" s="109"/>
      <c r="ACB9" s="85" t="s">
        <v>4</v>
      </c>
      <c r="ACC9" s="85" t="s">
        <v>4</v>
      </c>
      <c r="ACD9" s="85" t="s">
        <v>4</v>
      </c>
      <c r="ACE9" s="85" t="s">
        <v>4</v>
      </c>
      <c r="ACF9" s="85" t="s">
        <v>4</v>
      </c>
      <c r="ACG9" s="85" t="s">
        <v>4</v>
      </c>
      <c r="ACH9" s="85" t="s">
        <v>6</v>
      </c>
      <c r="ACI9" s="85" t="s">
        <v>5</v>
      </c>
      <c r="ACJ9" s="111"/>
      <c r="ACK9" s="86" t="s">
        <v>22</v>
      </c>
      <c r="ACL9" s="86" t="s">
        <v>23</v>
      </c>
      <c r="ACM9" s="107"/>
      <c r="ACN9" s="109"/>
      <c r="ACO9" s="103"/>
      <c r="ACP9" s="103"/>
      <c r="ACQ9" s="87" t="s">
        <v>31</v>
      </c>
      <c r="ACR9" s="87" t="s">
        <v>32</v>
      </c>
      <c r="ACS9" s="105"/>
      <c r="ACT9" s="105"/>
      <c r="ACU9" s="107"/>
      <c r="ACV9" s="109"/>
      <c r="ACW9" s="103"/>
      <c r="ACX9" s="103"/>
      <c r="ACY9" s="103"/>
      <c r="ACZ9" s="111"/>
      <c r="ADA9" s="85" t="s">
        <v>4</v>
      </c>
      <c r="ADB9" s="85" t="s">
        <v>4</v>
      </c>
      <c r="ADC9" s="85" t="s">
        <v>4</v>
      </c>
      <c r="ADD9" s="85" t="s">
        <v>4</v>
      </c>
      <c r="ADE9" s="85" t="s">
        <v>4</v>
      </c>
      <c r="ADF9" s="85" t="s">
        <v>4</v>
      </c>
      <c r="ADG9" s="85" t="s">
        <v>6</v>
      </c>
      <c r="ADH9" s="85" t="s">
        <v>5</v>
      </c>
      <c r="ADI9" s="114"/>
      <c r="ADJ9" s="86" t="s">
        <v>20</v>
      </c>
      <c r="ADK9" s="86" t="s">
        <v>21</v>
      </c>
      <c r="ADL9" s="107"/>
      <c r="ADM9" s="109"/>
      <c r="ADN9" s="85" t="s">
        <v>4</v>
      </c>
      <c r="ADO9" s="85" t="s">
        <v>4</v>
      </c>
      <c r="ADP9" s="85" t="s">
        <v>4</v>
      </c>
      <c r="ADQ9" s="85" t="s">
        <v>4</v>
      </c>
      <c r="ADR9" s="85" t="s">
        <v>4</v>
      </c>
      <c r="ADS9" s="85" t="s">
        <v>4</v>
      </c>
      <c r="ADT9" s="85" t="s">
        <v>6</v>
      </c>
      <c r="ADU9" s="85" t="s">
        <v>5</v>
      </c>
      <c r="ADV9" s="111"/>
      <c r="ADW9" s="86" t="s">
        <v>22</v>
      </c>
      <c r="ADX9" s="86" t="s">
        <v>23</v>
      </c>
      <c r="ADY9" s="107"/>
      <c r="ADZ9" s="109"/>
      <c r="AEA9" s="103"/>
      <c r="AEB9" s="103"/>
      <c r="AEC9" s="87" t="s">
        <v>31</v>
      </c>
      <c r="AED9" s="87" t="s">
        <v>32</v>
      </c>
      <c r="AEE9" s="105"/>
      <c r="AEF9" s="105"/>
      <c r="AEG9" s="107"/>
      <c r="AEH9" s="109"/>
      <c r="AEI9" s="103"/>
      <c r="AEJ9" s="103"/>
      <c r="AEK9" s="103"/>
      <c r="AEL9" s="111"/>
      <c r="AEM9" s="85" t="s">
        <v>4</v>
      </c>
      <c r="AEN9" s="85" t="s">
        <v>4</v>
      </c>
      <c r="AEO9" s="85" t="s">
        <v>4</v>
      </c>
      <c r="AEP9" s="85" t="s">
        <v>4</v>
      </c>
      <c r="AEQ9" s="85" t="s">
        <v>4</v>
      </c>
      <c r="AER9" s="85" t="s">
        <v>4</v>
      </c>
      <c r="AES9" s="85" t="s">
        <v>6</v>
      </c>
      <c r="AET9" s="85" t="s">
        <v>5</v>
      </c>
      <c r="AEU9" s="114"/>
      <c r="AEV9" s="86" t="s">
        <v>20</v>
      </c>
      <c r="AEW9" s="86" t="s">
        <v>21</v>
      </c>
      <c r="AEX9" s="107"/>
      <c r="AEY9" s="109"/>
      <c r="AEZ9" s="85" t="s">
        <v>4</v>
      </c>
      <c r="AFA9" s="85" t="s">
        <v>4</v>
      </c>
      <c r="AFB9" s="85" t="s">
        <v>4</v>
      </c>
      <c r="AFC9" s="85" t="s">
        <v>4</v>
      </c>
      <c r="AFD9" s="85" t="s">
        <v>4</v>
      </c>
      <c r="AFE9" s="85" t="s">
        <v>4</v>
      </c>
      <c r="AFF9" s="85" t="s">
        <v>6</v>
      </c>
      <c r="AFG9" s="85" t="s">
        <v>5</v>
      </c>
      <c r="AFH9" s="111"/>
      <c r="AFI9" s="86" t="s">
        <v>22</v>
      </c>
      <c r="AFJ9" s="86" t="s">
        <v>23</v>
      </c>
      <c r="AFK9" s="107"/>
      <c r="AFL9" s="109"/>
      <c r="AFM9" s="103"/>
      <c r="AFN9" s="103"/>
      <c r="AFO9" s="87" t="s">
        <v>31</v>
      </c>
      <c r="AFP9" s="87" t="s">
        <v>32</v>
      </c>
      <c r="AFQ9" s="105"/>
      <c r="AFR9" s="105"/>
      <c r="AFS9" s="107"/>
      <c r="AFT9" s="109"/>
      <c r="AFU9" s="103"/>
      <c r="AFV9" s="103"/>
      <c r="AFW9" s="103"/>
      <c r="AFX9" s="111"/>
      <c r="AFY9" s="85" t="s">
        <v>4</v>
      </c>
      <c r="AFZ9" s="85" t="s">
        <v>4</v>
      </c>
      <c r="AGA9" s="85" t="s">
        <v>4</v>
      </c>
      <c r="AGB9" s="85" t="s">
        <v>4</v>
      </c>
      <c r="AGC9" s="85" t="s">
        <v>4</v>
      </c>
      <c r="AGD9" s="85" t="s">
        <v>4</v>
      </c>
      <c r="AGE9" s="85" t="s">
        <v>6</v>
      </c>
      <c r="AGF9" s="85" t="s">
        <v>5</v>
      </c>
      <c r="AGG9" s="114"/>
      <c r="AGH9" s="86" t="s">
        <v>20</v>
      </c>
      <c r="AGI9" s="86" t="s">
        <v>21</v>
      </c>
      <c r="AGJ9" s="107"/>
      <c r="AGK9" s="109"/>
      <c r="AGL9" s="85" t="s">
        <v>4</v>
      </c>
      <c r="AGM9" s="85" t="s">
        <v>4</v>
      </c>
      <c r="AGN9" s="85" t="s">
        <v>4</v>
      </c>
      <c r="AGO9" s="85" t="s">
        <v>4</v>
      </c>
      <c r="AGP9" s="85" t="s">
        <v>4</v>
      </c>
      <c r="AGQ9" s="85" t="s">
        <v>4</v>
      </c>
      <c r="AGR9" s="85" t="s">
        <v>6</v>
      </c>
      <c r="AGS9" s="85" t="s">
        <v>5</v>
      </c>
      <c r="AGT9" s="111"/>
      <c r="AGU9" s="86" t="s">
        <v>22</v>
      </c>
      <c r="AGV9" s="86" t="s">
        <v>23</v>
      </c>
      <c r="AGW9" s="107"/>
      <c r="AGX9" s="109"/>
      <c r="AGY9" s="103"/>
      <c r="AGZ9" s="103"/>
      <c r="AHA9" s="87" t="s">
        <v>31</v>
      </c>
      <c r="AHB9" s="87" t="s">
        <v>32</v>
      </c>
      <c r="AHC9" s="105"/>
      <c r="AHD9" s="105"/>
      <c r="AHE9" s="107"/>
      <c r="AHF9" s="109"/>
      <c r="AHG9" s="103"/>
      <c r="AHH9" s="103"/>
      <c r="AHI9" s="103"/>
      <c r="AHJ9" s="111"/>
      <c r="AHK9" s="85" t="s">
        <v>4</v>
      </c>
      <c r="AHL9" s="85" t="s">
        <v>4</v>
      </c>
      <c r="AHM9" s="85" t="s">
        <v>4</v>
      </c>
      <c r="AHN9" s="85" t="s">
        <v>4</v>
      </c>
      <c r="AHO9" s="85" t="s">
        <v>4</v>
      </c>
      <c r="AHP9" s="85" t="s">
        <v>4</v>
      </c>
      <c r="AHQ9" s="85" t="s">
        <v>6</v>
      </c>
      <c r="AHR9" s="85" t="s">
        <v>5</v>
      </c>
      <c r="AHS9" s="114"/>
      <c r="AHT9" s="86" t="s">
        <v>20</v>
      </c>
      <c r="AHU9" s="86" t="s">
        <v>21</v>
      </c>
      <c r="AHV9" s="107"/>
      <c r="AHW9" s="109"/>
      <c r="AHX9" s="85" t="s">
        <v>4</v>
      </c>
      <c r="AHY9" s="85" t="s">
        <v>4</v>
      </c>
      <c r="AHZ9" s="85" t="s">
        <v>4</v>
      </c>
      <c r="AIA9" s="85" t="s">
        <v>4</v>
      </c>
      <c r="AIB9" s="85" t="s">
        <v>4</v>
      </c>
      <c r="AIC9" s="85" t="s">
        <v>4</v>
      </c>
      <c r="AID9" s="85" t="s">
        <v>6</v>
      </c>
      <c r="AIE9" s="85" t="s">
        <v>5</v>
      </c>
      <c r="AIF9" s="111"/>
      <c r="AIG9" s="86" t="s">
        <v>22</v>
      </c>
      <c r="AIH9" s="86" t="s">
        <v>23</v>
      </c>
      <c r="AII9" s="107"/>
      <c r="AIJ9" s="109"/>
      <c r="AIK9" s="103"/>
      <c r="AIL9" s="103"/>
      <c r="AIM9" s="87" t="s">
        <v>31</v>
      </c>
      <c r="AIN9" s="87" t="s">
        <v>32</v>
      </c>
      <c r="AIO9" s="105"/>
      <c r="AIP9" s="105"/>
      <c r="AIQ9" s="107"/>
      <c r="AIR9" s="109"/>
    </row>
    <row r="10" spans="1:928" ht="18" customHeight="1">
      <c r="A10" s="88" t="str">
        <f>IF(H10="","",$A$9)</f>
        <v>2023-2024</v>
      </c>
      <c r="B10" s="88" t="str">
        <f>IF(H10="","",$B$9)</f>
        <v>Bakı</v>
      </c>
      <c r="C10" s="88" t="str">
        <f>IF(H10="","",$C$9)</f>
        <v>Binəqədi</v>
      </c>
      <c r="D10" s="88">
        <f>IF(H10="","",$D$9)</f>
        <v>99</v>
      </c>
      <c r="E10" s="40">
        <v>3984059</v>
      </c>
      <c r="F10" s="88">
        <f>IF(H10="","",$F$9)</f>
        <v>2</v>
      </c>
      <c r="G10" s="88" t="str">
        <f>IF(H10="","",$G$9)</f>
        <v>A</v>
      </c>
      <c r="H10" s="36" t="s">
        <v>151</v>
      </c>
      <c r="I10" s="36" t="s">
        <v>152</v>
      </c>
      <c r="J10" s="40" t="s">
        <v>153</v>
      </c>
      <c r="K10" s="89" t="str">
        <f>IF(H10="","",$K$9)</f>
        <v>A</v>
      </c>
      <c r="L10" s="40" t="s">
        <v>119</v>
      </c>
      <c r="M10" s="91">
        <v>42406</v>
      </c>
      <c r="N10" s="40"/>
      <c r="O10" s="42"/>
      <c r="P10" s="90" t="str">
        <f>IF(H10="","",$P$9)</f>
        <v>Sirzadova Şahnaz Zəfər</v>
      </c>
      <c r="Q10" s="48">
        <v>1072039</v>
      </c>
      <c r="R10" s="38">
        <v>101</v>
      </c>
      <c r="S10" s="38">
        <v>157</v>
      </c>
      <c r="T10" s="34"/>
      <c r="U10" s="34">
        <v>74</v>
      </c>
      <c r="V10" s="34">
        <v>70</v>
      </c>
      <c r="W10" s="34">
        <v>84</v>
      </c>
      <c r="X10" s="34">
        <v>77</v>
      </c>
      <c r="Y10" s="34"/>
      <c r="Z10" s="34"/>
      <c r="AA10" s="49">
        <v>76.25</v>
      </c>
      <c r="AB10" s="34"/>
      <c r="AC10" s="50">
        <v>76.25</v>
      </c>
      <c r="AD10" s="34"/>
      <c r="AE10" s="34"/>
      <c r="AF10" s="35">
        <v>0</v>
      </c>
      <c r="AG10" s="49">
        <v>100</v>
      </c>
      <c r="AH10" s="34"/>
      <c r="AI10" s="34"/>
      <c r="AJ10" s="34"/>
      <c r="AK10" s="34"/>
      <c r="AL10" s="34"/>
      <c r="AM10" s="34"/>
      <c r="AN10" s="49" t="s">
        <v>231</v>
      </c>
      <c r="AO10" s="34"/>
      <c r="AP10" s="50" t="s">
        <v>231</v>
      </c>
      <c r="AQ10" s="34"/>
      <c r="AR10" s="34"/>
      <c r="AS10" s="35"/>
      <c r="AT10" s="49" t="s">
        <v>231</v>
      </c>
      <c r="AU10" s="49">
        <v>76.25</v>
      </c>
      <c r="AV10" s="49" t="s">
        <v>231</v>
      </c>
      <c r="AW10" s="50">
        <v>76.25</v>
      </c>
      <c r="AX10" s="51">
        <v>4</v>
      </c>
      <c r="AY10" s="49" t="s">
        <v>231</v>
      </c>
      <c r="AZ10" s="34"/>
      <c r="BA10" s="52">
        <v>0</v>
      </c>
      <c r="BB10" s="53">
        <v>100</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3984073</v>
      </c>
      <c r="F11" s="88">
        <f t="shared" ref="F11:F59" si="401">IF(H11="","",$F$9)</f>
        <v>2</v>
      </c>
      <c r="G11" s="88" t="str">
        <f t="shared" ref="G11:G59" si="402">IF(H11="","",$G$9)</f>
        <v>A</v>
      </c>
      <c r="H11" s="36" t="s">
        <v>154</v>
      </c>
      <c r="I11" s="37" t="s">
        <v>155</v>
      </c>
      <c r="J11" s="41" t="s">
        <v>156</v>
      </c>
      <c r="K11" s="89" t="str">
        <f t="shared" ref="K11:K59" si="403">IF(H11="","",$K$9)</f>
        <v>A</v>
      </c>
      <c r="L11" s="41" t="s">
        <v>117</v>
      </c>
      <c r="M11" s="92">
        <v>42381</v>
      </c>
      <c r="N11" s="41"/>
      <c r="O11" s="43"/>
      <c r="P11" s="90" t="str">
        <f t="shared" ref="P11:P59" si="404">IF(H11="","",$P$9)</f>
        <v>Sirzadova Şahnaz Zəfər</v>
      </c>
      <c r="Q11" s="4">
        <v>1072039</v>
      </c>
      <c r="R11" s="39">
        <v>101</v>
      </c>
      <c r="S11" s="39">
        <v>157</v>
      </c>
      <c r="T11" s="1"/>
      <c r="U11" s="1">
        <v>100</v>
      </c>
      <c r="V11" s="1">
        <v>100</v>
      </c>
      <c r="W11" s="1">
        <v>100</v>
      </c>
      <c r="X11" s="1">
        <v>100</v>
      </c>
      <c r="Y11" s="1"/>
      <c r="Z11" s="1"/>
      <c r="AA11" s="54">
        <v>100</v>
      </c>
      <c r="AB11" s="1"/>
      <c r="AC11" s="55">
        <v>100</v>
      </c>
      <c r="AD11" s="1"/>
      <c r="AE11" s="1"/>
      <c r="AF11" s="2">
        <v>0</v>
      </c>
      <c r="AG11" s="54">
        <v>100</v>
      </c>
      <c r="AH11" s="1"/>
      <c r="AI11" s="1"/>
      <c r="AJ11" s="1"/>
      <c r="AK11" s="1"/>
      <c r="AL11" s="1"/>
      <c r="AM11" s="1"/>
      <c r="AN11" s="54" t="s">
        <v>231</v>
      </c>
      <c r="AO11" s="1"/>
      <c r="AP11" s="55" t="s">
        <v>231</v>
      </c>
      <c r="AQ11" s="1"/>
      <c r="AR11" s="1"/>
      <c r="AS11" s="2"/>
      <c r="AT11" s="54" t="s">
        <v>231</v>
      </c>
      <c r="AU11" s="54">
        <v>100</v>
      </c>
      <c r="AV11" s="54" t="s">
        <v>231</v>
      </c>
      <c r="AW11" s="55">
        <v>100</v>
      </c>
      <c r="AX11" s="56">
        <v>5</v>
      </c>
      <c r="AY11" s="54" t="s">
        <v>231</v>
      </c>
      <c r="AZ11" s="1"/>
      <c r="BA11" s="57">
        <v>0</v>
      </c>
      <c r="BB11" s="58">
        <v>100</v>
      </c>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4235200</v>
      </c>
      <c r="F12" s="88">
        <f t="shared" si="401"/>
        <v>2</v>
      </c>
      <c r="G12" s="88" t="str">
        <f t="shared" si="402"/>
        <v>A</v>
      </c>
      <c r="H12" s="36" t="s">
        <v>157</v>
      </c>
      <c r="I12" s="37" t="s">
        <v>158</v>
      </c>
      <c r="J12" s="41" t="s">
        <v>159</v>
      </c>
      <c r="K12" s="89" t="str">
        <f t="shared" si="403"/>
        <v>A</v>
      </c>
      <c r="L12" s="41" t="s">
        <v>117</v>
      </c>
      <c r="M12" s="92">
        <v>42319</v>
      </c>
      <c r="N12" s="41"/>
      <c r="O12" s="43"/>
      <c r="P12" s="90" t="str">
        <f t="shared" si="404"/>
        <v>Sirzadova Şahnaz Zəfər</v>
      </c>
      <c r="Q12" s="4">
        <v>1072039</v>
      </c>
      <c r="R12" s="39">
        <v>101</v>
      </c>
      <c r="S12" s="39">
        <v>157</v>
      </c>
      <c r="T12" s="1"/>
      <c r="U12" s="1">
        <v>78</v>
      </c>
      <c r="V12" s="1">
        <v>89</v>
      </c>
      <c r="W12" s="1">
        <v>40</v>
      </c>
      <c r="X12" s="1">
        <v>89</v>
      </c>
      <c r="Y12" s="1"/>
      <c r="Z12" s="1"/>
      <c r="AA12" s="54">
        <v>74</v>
      </c>
      <c r="AB12" s="1"/>
      <c r="AC12" s="55">
        <v>74</v>
      </c>
      <c r="AD12" s="1"/>
      <c r="AE12" s="1"/>
      <c r="AF12" s="2">
        <v>2</v>
      </c>
      <c r="AG12" s="54">
        <v>97.452229299363054</v>
      </c>
      <c r="AH12" s="1"/>
      <c r="AI12" s="1"/>
      <c r="AJ12" s="1"/>
      <c r="AK12" s="1"/>
      <c r="AL12" s="1"/>
      <c r="AM12" s="1"/>
      <c r="AN12" s="54" t="s">
        <v>231</v>
      </c>
      <c r="AO12" s="1"/>
      <c r="AP12" s="55" t="s">
        <v>231</v>
      </c>
      <c r="AQ12" s="1"/>
      <c r="AR12" s="1"/>
      <c r="AS12" s="2"/>
      <c r="AT12" s="54" t="s">
        <v>231</v>
      </c>
      <c r="AU12" s="54">
        <v>74</v>
      </c>
      <c r="AV12" s="54" t="s">
        <v>231</v>
      </c>
      <c r="AW12" s="55">
        <v>74</v>
      </c>
      <c r="AX12" s="56">
        <v>4</v>
      </c>
      <c r="AY12" s="54" t="s">
        <v>231</v>
      </c>
      <c r="AZ12" s="1"/>
      <c r="BA12" s="57">
        <v>2</v>
      </c>
      <c r="BB12" s="58">
        <v>98.726114649681534</v>
      </c>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3984155</v>
      </c>
      <c r="F13" s="88">
        <f t="shared" si="401"/>
        <v>2</v>
      </c>
      <c r="G13" s="88" t="str">
        <f t="shared" si="402"/>
        <v>A</v>
      </c>
      <c r="H13" s="36" t="s">
        <v>160</v>
      </c>
      <c r="I13" s="37" t="s">
        <v>161</v>
      </c>
      <c r="J13" s="41" t="s">
        <v>162</v>
      </c>
      <c r="K13" s="89" t="str">
        <f t="shared" si="403"/>
        <v>A</v>
      </c>
      <c r="L13" s="41" t="s">
        <v>117</v>
      </c>
      <c r="M13" s="41" t="s">
        <v>222</v>
      </c>
      <c r="N13" s="41"/>
      <c r="O13" s="43"/>
      <c r="P13" s="90" t="str">
        <f t="shared" si="404"/>
        <v>Sirzadova Şahnaz Zəfər</v>
      </c>
      <c r="Q13" s="4">
        <v>1072039</v>
      </c>
      <c r="R13" s="39">
        <v>101</v>
      </c>
      <c r="S13" s="39">
        <v>157</v>
      </c>
      <c r="T13" s="1"/>
      <c r="U13" s="1">
        <v>96</v>
      </c>
      <c r="V13" s="1">
        <v>94</v>
      </c>
      <c r="W13" s="1">
        <v>100</v>
      </c>
      <c r="X13" s="1">
        <v>100</v>
      </c>
      <c r="Y13" s="1"/>
      <c r="Z13" s="1"/>
      <c r="AA13" s="54">
        <v>97.5</v>
      </c>
      <c r="AB13" s="1"/>
      <c r="AC13" s="55">
        <v>97.5</v>
      </c>
      <c r="AD13" s="1"/>
      <c r="AE13" s="1"/>
      <c r="AF13" s="2">
        <v>0</v>
      </c>
      <c r="AG13" s="54">
        <v>100</v>
      </c>
      <c r="AH13" s="1"/>
      <c r="AI13" s="1"/>
      <c r="AJ13" s="1"/>
      <c r="AK13" s="1"/>
      <c r="AL13" s="1"/>
      <c r="AM13" s="1"/>
      <c r="AN13" s="54" t="s">
        <v>231</v>
      </c>
      <c r="AO13" s="1"/>
      <c r="AP13" s="55" t="s">
        <v>231</v>
      </c>
      <c r="AQ13" s="1"/>
      <c r="AR13" s="1"/>
      <c r="AS13" s="2"/>
      <c r="AT13" s="54" t="s">
        <v>231</v>
      </c>
      <c r="AU13" s="54">
        <v>97.5</v>
      </c>
      <c r="AV13" s="54" t="s">
        <v>231</v>
      </c>
      <c r="AW13" s="55">
        <v>97.5</v>
      </c>
      <c r="AX13" s="56">
        <v>5</v>
      </c>
      <c r="AY13" s="54" t="s">
        <v>231</v>
      </c>
      <c r="AZ13" s="1"/>
      <c r="BA13" s="57">
        <v>0</v>
      </c>
      <c r="BB13" s="58">
        <v>100</v>
      </c>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3984252</v>
      </c>
      <c r="F14" s="88">
        <f t="shared" si="401"/>
        <v>2</v>
      </c>
      <c r="G14" s="88" t="str">
        <f t="shared" si="402"/>
        <v>A</v>
      </c>
      <c r="H14" s="36" t="s">
        <v>219</v>
      </c>
      <c r="I14" s="37" t="s">
        <v>163</v>
      </c>
      <c r="J14" s="41" t="s">
        <v>164</v>
      </c>
      <c r="K14" s="89" t="str">
        <f t="shared" si="403"/>
        <v>A</v>
      </c>
      <c r="L14" s="41" t="s">
        <v>117</v>
      </c>
      <c r="M14" s="92">
        <v>42676</v>
      </c>
      <c r="N14" s="41"/>
      <c r="O14" s="43"/>
      <c r="P14" s="90" t="str">
        <f t="shared" si="404"/>
        <v>Sirzadova Şahnaz Zəfər</v>
      </c>
      <c r="Q14" s="4">
        <v>1072039</v>
      </c>
      <c r="R14" s="39">
        <v>101</v>
      </c>
      <c r="S14" s="39">
        <v>157</v>
      </c>
      <c r="T14" s="1"/>
      <c r="U14" s="1">
        <v>86</v>
      </c>
      <c r="V14" s="1">
        <v>100</v>
      </c>
      <c r="W14" s="1">
        <v>100</v>
      </c>
      <c r="X14" s="1">
        <v>100</v>
      </c>
      <c r="Y14" s="1"/>
      <c r="Z14" s="1"/>
      <c r="AA14" s="54">
        <v>96.5</v>
      </c>
      <c r="AB14" s="1"/>
      <c r="AC14" s="55">
        <v>96.5</v>
      </c>
      <c r="AD14" s="1"/>
      <c r="AE14" s="1"/>
      <c r="AF14" s="2">
        <v>0</v>
      </c>
      <c r="AG14" s="54">
        <v>100</v>
      </c>
      <c r="AH14" s="1"/>
      <c r="AI14" s="1"/>
      <c r="AJ14" s="1"/>
      <c r="AK14" s="1"/>
      <c r="AL14" s="1"/>
      <c r="AM14" s="1"/>
      <c r="AN14" s="54" t="s">
        <v>231</v>
      </c>
      <c r="AO14" s="1"/>
      <c r="AP14" s="55" t="s">
        <v>231</v>
      </c>
      <c r="AQ14" s="1"/>
      <c r="AR14" s="1"/>
      <c r="AS14" s="2"/>
      <c r="AT14" s="54" t="s">
        <v>231</v>
      </c>
      <c r="AU14" s="54">
        <v>96.5</v>
      </c>
      <c r="AV14" s="54" t="s">
        <v>231</v>
      </c>
      <c r="AW14" s="55">
        <v>96.5</v>
      </c>
      <c r="AX14" s="56">
        <v>5</v>
      </c>
      <c r="AY14" s="54" t="s">
        <v>231</v>
      </c>
      <c r="AZ14" s="1"/>
      <c r="BA14" s="57">
        <v>0</v>
      </c>
      <c r="BB14" s="58">
        <v>100</v>
      </c>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3984262</v>
      </c>
      <c r="F15" s="88">
        <f t="shared" si="401"/>
        <v>2</v>
      </c>
      <c r="G15" s="88" t="str">
        <f t="shared" si="402"/>
        <v>A</v>
      </c>
      <c r="H15" s="36" t="s">
        <v>220</v>
      </c>
      <c r="I15" s="37" t="s">
        <v>165</v>
      </c>
      <c r="J15" s="41" t="s">
        <v>166</v>
      </c>
      <c r="K15" s="89" t="str">
        <f t="shared" si="403"/>
        <v>A</v>
      </c>
      <c r="L15" s="41" t="s">
        <v>117</v>
      </c>
      <c r="M15" s="92">
        <v>42466</v>
      </c>
      <c r="N15" s="41"/>
      <c r="O15" s="43"/>
      <c r="P15" s="90" t="str">
        <f t="shared" si="404"/>
        <v>Sirzadova Şahnaz Zəfər</v>
      </c>
      <c r="Q15" s="4">
        <v>1072039</v>
      </c>
      <c r="R15" s="39">
        <v>101</v>
      </c>
      <c r="S15" s="39">
        <v>157</v>
      </c>
      <c r="T15" s="1"/>
      <c r="U15" s="1">
        <v>96</v>
      </c>
      <c r="V15" s="1">
        <v>95</v>
      </c>
      <c r="W15" s="1">
        <v>77</v>
      </c>
      <c r="X15" s="1">
        <v>100</v>
      </c>
      <c r="Y15" s="1"/>
      <c r="Z15" s="1"/>
      <c r="AA15" s="54">
        <v>92</v>
      </c>
      <c r="AB15" s="1"/>
      <c r="AC15" s="55">
        <v>92</v>
      </c>
      <c r="AD15" s="1"/>
      <c r="AE15" s="1"/>
      <c r="AF15" s="2">
        <v>0</v>
      </c>
      <c r="AG15" s="54">
        <v>100</v>
      </c>
      <c r="AH15" s="1"/>
      <c r="AI15" s="1"/>
      <c r="AJ15" s="1"/>
      <c r="AK15" s="1"/>
      <c r="AL15" s="1"/>
      <c r="AM15" s="1"/>
      <c r="AN15" s="54" t="s">
        <v>231</v>
      </c>
      <c r="AO15" s="1"/>
      <c r="AP15" s="55" t="s">
        <v>231</v>
      </c>
      <c r="AQ15" s="1"/>
      <c r="AR15" s="1"/>
      <c r="AS15" s="2"/>
      <c r="AT15" s="54" t="s">
        <v>231</v>
      </c>
      <c r="AU15" s="54">
        <v>92</v>
      </c>
      <c r="AV15" s="54" t="s">
        <v>231</v>
      </c>
      <c r="AW15" s="55">
        <v>92</v>
      </c>
      <c r="AX15" s="56">
        <v>5</v>
      </c>
      <c r="AY15" s="54" t="s">
        <v>231</v>
      </c>
      <c r="AZ15" s="1"/>
      <c r="BA15" s="57">
        <v>0</v>
      </c>
      <c r="BB15" s="58">
        <v>100</v>
      </c>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3984566</v>
      </c>
      <c r="F16" s="88">
        <f t="shared" si="401"/>
        <v>2</v>
      </c>
      <c r="G16" s="88" t="str">
        <f t="shared" si="402"/>
        <v>A</v>
      </c>
      <c r="H16" s="36" t="s">
        <v>167</v>
      </c>
      <c r="I16" s="37" t="s">
        <v>168</v>
      </c>
      <c r="J16" s="41" t="s">
        <v>169</v>
      </c>
      <c r="K16" s="89" t="str">
        <f t="shared" si="403"/>
        <v>A</v>
      </c>
      <c r="L16" s="41" t="s">
        <v>117</v>
      </c>
      <c r="M16" s="41" t="s">
        <v>223</v>
      </c>
      <c r="N16" s="41"/>
      <c r="O16" s="43"/>
      <c r="P16" s="90" t="str">
        <f t="shared" si="404"/>
        <v>Sirzadova Şahnaz Zəfər</v>
      </c>
      <c r="Q16" s="4">
        <v>1072039</v>
      </c>
      <c r="R16" s="39">
        <v>101</v>
      </c>
      <c r="S16" s="39">
        <v>157</v>
      </c>
      <c r="T16" s="1"/>
      <c r="U16" s="1">
        <v>94</v>
      </c>
      <c r="V16" s="1">
        <v>61</v>
      </c>
      <c r="W16" s="1">
        <v>75</v>
      </c>
      <c r="X16" s="1">
        <v>74</v>
      </c>
      <c r="Y16" s="1"/>
      <c r="Z16" s="1"/>
      <c r="AA16" s="54">
        <v>76</v>
      </c>
      <c r="AB16" s="1"/>
      <c r="AC16" s="55">
        <v>76</v>
      </c>
      <c r="AD16" s="1"/>
      <c r="AE16" s="1"/>
      <c r="AF16" s="2">
        <v>0</v>
      </c>
      <c r="AG16" s="54">
        <v>100</v>
      </c>
      <c r="AH16" s="1"/>
      <c r="AI16" s="1"/>
      <c r="AJ16" s="1"/>
      <c r="AK16" s="1"/>
      <c r="AL16" s="1"/>
      <c r="AM16" s="1"/>
      <c r="AN16" s="54" t="s">
        <v>231</v>
      </c>
      <c r="AO16" s="1"/>
      <c r="AP16" s="55" t="s">
        <v>231</v>
      </c>
      <c r="AQ16" s="1"/>
      <c r="AR16" s="1"/>
      <c r="AS16" s="2"/>
      <c r="AT16" s="54" t="s">
        <v>231</v>
      </c>
      <c r="AU16" s="54">
        <v>76</v>
      </c>
      <c r="AV16" s="54" t="s">
        <v>231</v>
      </c>
      <c r="AW16" s="55">
        <v>76</v>
      </c>
      <c r="AX16" s="56">
        <v>4</v>
      </c>
      <c r="AY16" s="54" t="s">
        <v>231</v>
      </c>
      <c r="AZ16" s="1"/>
      <c r="BA16" s="57">
        <v>0</v>
      </c>
      <c r="BB16" s="58">
        <v>100</v>
      </c>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3984582</v>
      </c>
      <c r="F17" s="88">
        <f t="shared" si="401"/>
        <v>2</v>
      </c>
      <c r="G17" s="88" t="str">
        <f t="shared" si="402"/>
        <v>A</v>
      </c>
      <c r="H17" s="36" t="s">
        <v>170</v>
      </c>
      <c r="I17" s="37" t="s">
        <v>171</v>
      </c>
      <c r="J17" s="41" t="s">
        <v>162</v>
      </c>
      <c r="K17" s="89" t="str">
        <f t="shared" si="403"/>
        <v>A</v>
      </c>
      <c r="L17" s="41" t="s">
        <v>119</v>
      </c>
      <c r="M17" s="41" t="s">
        <v>224</v>
      </c>
      <c r="N17" s="41"/>
      <c r="O17" s="43"/>
      <c r="P17" s="90" t="str">
        <f t="shared" si="404"/>
        <v>Sirzadova Şahnaz Zəfər</v>
      </c>
      <c r="Q17" s="4">
        <v>1072039</v>
      </c>
      <c r="R17" s="39">
        <v>101</v>
      </c>
      <c r="S17" s="39">
        <v>157</v>
      </c>
      <c r="T17" s="1"/>
      <c r="U17" s="1">
        <v>60</v>
      </c>
      <c r="V17" s="1">
        <v>49</v>
      </c>
      <c r="W17" s="1">
        <v>34</v>
      </c>
      <c r="X17" s="1">
        <v>33</v>
      </c>
      <c r="Y17" s="1"/>
      <c r="Z17" s="1"/>
      <c r="AA17" s="54">
        <v>44</v>
      </c>
      <c r="AB17" s="1"/>
      <c r="AC17" s="55">
        <v>44</v>
      </c>
      <c r="AD17" s="1"/>
      <c r="AE17" s="1"/>
      <c r="AF17" s="2">
        <v>21</v>
      </c>
      <c r="AG17" s="54">
        <v>73.248407643312106</v>
      </c>
      <c r="AH17" s="1"/>
      <c r="AI17" s="1"/>
      <c r="AJ17" s="1"/>
      <c r="AK17" s="1"/>
      <c r="AL17" s="1"/>
      <c r="AM17" s="1"/>
      <c r="AN17" s="54" t="s">
        <v>231</v>
      </c>
      <c r="AO17" s="1"/>
      <c r="AP17" s="55" t="s">
        <v>231</v>
      </c>
      <c r="AQ17" s="1"/>
      <c r="AR17" s="1"/>
      <c r="AS17" s="2"/>
      <c r="AT17" s="54" t="s">
        <v>231</v>
      </c>
      <c r="AU17" s="54">
        <v>44</v>
      </c>
      <c r="AV17" s="54" t="s">
        <v>231</v>
      </c>
      <c r="AW17" s="55">
        <v>44</v>
      </c>
      <c r="AX17" s="56">
        <v>3</v>
      </c>
      <c r="AY17" s="54" t="s">
        <v>231</v>
      </c>
      <c r="AZ17" s="1"/>
      <c r="BA17" s="57">
        <v>21</v>
      </c>
      <c r="BB17" s="58">
        <v>86.624203821656053</v>
      </c>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3984627</v>
      </c>
      <c r="F18" s="88">
        <f t="shared" si="401"/>
        <v>2</v>
      </c>
      <c r="G18" s="88" t="str">
        <f t="shared" si="402"/>
        <v>A</v>
      </c>
      <c r="H18" s="36" t="s">
        <v>172</v>
      </c>
      <c r="I18" s="37" t="s">
        <v>173</v>
      </c>
      <c r="J18" s="41" t="s">
        <v>174</v>
      </c>
      <c r="K18" s="89" t="str">
        <f t="shared" si="403"/>
        <v>A</v>
      </c>
      <c r="L18" s="41" t="s">
        <v>117</v>
      </c>
      <c r="M18" s="92">
        <v>42435</v>
      </c>
      <c r="N18" s="41"/>
      <c r="O18" s="43"/>
      <c r="P18" s="90" t="str">
        <f t="shared" si="404"/>
        <v>Sirzadova Şahnaz Zəfər</v>
      </c>
      <c r="Q18" s="4">
        <v>1072039</v>
      </c>
      <c r="R18" s="39">
        <v>101</v>
      </c>
      <c r="S18" s="39">
        <v>157</v>
      </c>
      <c r="T18" s="1"/>
      <c r="U18" s="1">
        <v>82</v>
      </c>
      <c r="V18" s="1">
        <v>79</v>
      </c>
      <c r="W18" s="1">
        <v>85</v>
      </c>
      <c r="X18" s="1">
        <v>83</v>
      </c>
      <c r="Y18" s="1"/>
      <c r="Z18" s="1"/>
      <c r="AA18" s="54">
        <v>82.25</v>
      </c>
      <c r="AB18" s="1"/>
      <c r="AC18" s="55">
        <v>82.25</v>
      </c>
      <c r="AD18" s="1"/>
      <c r="AE18" s="1"/>
      <c r="AF18" s="2">
        <v>1</v>
      </c>
      <c r="AG18" s="54">
        <v>98.726114649681534</v>
      </c>
      <c r="AH18" s="1"/>
      <c r="AI18" s="1"/>
      <c r="AJ18" s="1"/>
      <c r="AK18" s="1"/>
      <c r="AL18" s="1"/>
      <c r="AM18" s="1"/>
      <c r="AN18" s="54" t="s">
        <v>231</v>
      </c>
      <c r="AO18" s="1"/>
      <c r="AP18" s="55" t="s">
        <v>231</v>
      </c>
      <c r="AQ18" s="1"/>
      <c r="AR18" s="1"/>
      <c r="AS18" s="2"/>
      <c r="AT18" s="54" t="s">
        <v>231</v>
      </c>
      <c r="AU18" s="54">
        <v>82.25</v>
      </c>
      <c r="AV18" s="54" t="s">
        <v>231</v>
      </c>
      <c r="AW18" s="55">
        <v>82.25</v>
      </c>
      <c r="AX18" s="56">
        <v>5</v>
      </c>
      <c r="AY18" s="54" t="s">
        <v>231</v>
      </c>
      <c r="AZ18" s="1"/>
      <c r="BA18" s="57">
        <v>1</v>
      </c>
      <c r="BB18" s="58">
        <v>99.363057324840767</v>
      </c>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4235596</v>
      </c>
      <c r="F19" s="88">
        <f t="shared" si="401"/>
        <v>2</v>
      </c>
      <c r="G19" s="88" t="str">
        <f t="shared" si="402"/>
        <v>A</v>
      </c>
      <c r="H19" s="36" t="s">
        <v>175</v>
      </c>
      <c r="I19" s="37" t="s">
        <v>176</v>
      </c>
      <c r="J19" s="41" t="s">
        <v>177</v>
      </c>
      <c r="K19" s="89" t="str">
        <f t="shared" si="403"/>
        <v>A</v>
      </c>
      <c r="L19" s="41" t="s">
        <v>117</v>
      </c>
      <c r="M19" s="92">
        <v>42403</v>
      </c>
      <c r="N19" s="41"/>
      <c r="O19" s="43"/>
      <c r="P19" s="90" t="str">
        <f t="shared" si="404"/>
        <v>Sirzadova Şahnaz Zəfər</v>
      </c>
      <c r="Q19" s="4">
        <v>1072039</v>
      </c>
      <c r="R19" s="39">
        <v>101</v>
      </c>
      <c r="S19" s="39">
        <v>157</v>
      </c>
      <c r="T19" s="1"/>
      <c r="U19" s="1">
        <v>97</v>
      </c>
      <c r="V19" s="1">
        <v>100</v>
      </c>
      <c r="W19" s="1">
        <v>100</v>
      </c>
      <c r="X19" s="1">
        <v>100</v>
      </c>
      <c r="Y19" s="1"/>
      <c r="Z19" s="1"/>
      <c r="AA19" s="54">
        <v>99.25</v>
      </c>
      <c r="AB19" s="1"/>
      <c r="AC19" s="55">
        <v>99.25</v>
      </c>
      <c r="AD19" s="1"/>
      <c r="AE19" s="1"/>
      <c r="AF19" s="2">
        <v>0</v>
      </c>
      <c r="AG19" s="54">
        <v>100</v>
      </c>
      <c r="AH19" s="1"/>
      <c r="AI19" s="1"/>
      <c r="AJ19" s="1"/>
      <c r="AK19" s="1"/>
      <c r="AL19" s="1"/>
      <c r="AM19" s="1"/>
      <c r="AN19" s="54" t="s">
        <v>231</v>
      </c>
      <c r="AO19" s="1"/>
      <c r="AP19" s="55" t="s">
        <v>231</v>
      </c>
      <c r="AQ19" s="1"/>
      <c r="AR19" s="1"/>
      <c r="AS19" s="2"/>
      <c r="AT19" s="54" t="s">
        <v>231</v>
      </c>
      <c r="AU19" s="54">
        <v>99.25</v>
      </c>
      <c r="AV19" s="54" t="s">
        <v>231</v>
      </c>
      <c r="AW19" s="55">
        <v>99.25</v>
      </c>
      <c r="AX19" s="56">
        <v>5</v>
      </c>
      <c r="AY19" s="54" t="s">
        <v>231</v>
      </c>
      <c r="AZ19" s="1"/>
      <c r="BA19" s="57">
        <v>0</v>
      </c>
      <c r="BB19" s="58">
        <v>100</v>
      </c>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4236399</v>
      </c>
      <c r="F20" s="88">
        <f t="shared" si="401"/>
        <v>2</v>
      </c>
      <c r="G20" s="88" t="str">
        <f t="shared" si="402"/>
        <v>A</v>
      </c>
      <c r="H20" s="37" t="s">
        <v>178</v>
      </c>
      <c r="I20" s="37" t="s">
        <v>179</v>
      </c>
      <c r="J20" s="41" t="s">
        <v>221</v>
      </c>
      <c r="K20" s="89" t="str">
        <f t="shared" si="403"/>
        <v>A</v>
      </c>
      <c r="L20" s="41" t="s">
        <v>117</v>
      </c>
      <c r="M20" s="92">
        <v>42103</v>
      </c>
      <c r="N20" s="41"/>
      <c r="O20" s="43"/>
      <c r="P20" s="90" t="str">
        <f t="shared" si="404"/>
        <v>Sirzadova Şahnaz Zəfər</v>
      </c>
      <c r="Q20" s="4">
        <v>1072039</v>
      </c>
      <c r="R20" s="39">
        <v>101</v>
      </c>
      <c r="S20" s="39">
        <v>157</v>
      </c>
      <c r="T20" s="1"/>
      <c r="U20" s="1">
        <v>91</v>
      </c>
      <c r="V20" s="1">
        <v>86</v>
      </c>
      <c r="W20" s="1">
        <v>100</v>
      </c>
      <c r="X20" s="1">
        <v>100</v>
      </c>
      <c r="Y20" s="1"/>
      <c r="Z20" s="1"/>
      <c r="AA20" s="54">
        <v>94.25</v>
      </c>
      <c r="AB20" s="1"/>
      <c r="AC20" s="55">
        <v>94.25</v>
      </c>
      <c r="AD20" s="1"/>
      <c r="AE20" s="1"/>
      <c r="AF20" s="2">
        <v>2</v>
      </c>
      <c r="AG20" s="54">
        <v>97.452229299363054</v>
      </c>
      <c r="AH20" s="1"/>
      <c r="AI20" s="1"/>
      <c r="AJ20" s="1"/>
      <c r="AK20" s="1"/>
      <c r="AL20" s="1"/>
      <c r="AM20" s="1"/>
      <c r="AN20" s="54" t="s">
        <v>231</v>
      </c>
      <c r="AO20" s="1"/>
      <c r="AP20" s="55" t="s">
        <v>231</v>
      </c>
      <c r="AQ20" s="1"/>
      <c r="AR20" s="1"/>
      <c r="AS20" s="2"/>
      <c r="AT20" s="54" t="s">
        <v>231</v>
      </c>
      <c r="AU20" s="54">
        <v>94.25</v>
      </c>
      <c r="AV20" s="54" t="s">
        <v>231</v>
      </c>
      <c r="AW20" s="55">
        <v>94.25</v>
      </c>
      <c r="AX20" s="56">
        <v>5</v>
      </c>
      <c r="AY20" s="54" t="s">
        <v>231</v>
      </c>
      <c r="AZ20" s="1"/>
      <c r="BA20" s="57">
        <v>2</v>
      </c>
      <c r="BB20" s="58">
        <v>98.726114649681534</v>
      </c>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4020534</v>
      </c>
      <c r="F21" s="88">
        <f t="shared" si="401"/>
        <v>2</v>
      </c>
      <c r="G21" s="88" t="str">
        <f t="shared" si="402"/>
        <v>A</v>
      </c>
      <c r="H21" s="37" t="s">
        <v>180</v>
      </c>
      <c r="I21" s="37" t="s">
        <v>181</v>
      </c>
      <c r="J21" s="41" t="s">
        <v>182</v>
      </c>
      <c r="K21" s="89" t="str">
        <f t="shared" si="403"/>
        <v>A</v>
      </c>
      <c r="L21" s="41" t="s">
        <v>119</v>
      </c>
      <c r="M21" s="92">
        <v>42527</v>
      </c>
      <c r="N21" s="41"/>
      <c r="O21" s="43"/>
      <c r="P21" s="90" t="str">
        <f t="shared" si="404"/>
        <v>Sirzadova Şahnaz Zəfər</v>
      </c>
      <c r="Q21" s="4">
        <v>1072039</v>
      </c>
      <c r="R21" s="39">
        <v>101</v>
      </c>
      <c r="S21" s="39">
        <v>157</v>
      </c>
      <c r="T21" s="1"/>
      <c r="U21" s="1">
        <v>94</v>
      </c>
      <c r="V21" s="1">
        <v>93</v>
      </c>
      <c r="W21" s="1">
        <v>85</v>
      </c>
      <c r="X21" s="1">
        <v>100</v>
      </c>
      <c r="Y21" s="1"/>
      <c r="Z21" s="1"/>
      <c r="AA21" s="54">
        <v>93</v>
      </c>
      <c r="AB21" s="1"/>
      <c r="AC21" s="55">
        <v>93</v>
      </c>
      <c r="AD21" s="1"/>
      <c r="AE21" s="1"/>
      <c r="AF21" s="2">
        <v>0</v>
      </c>
      <c r="AG21" s="54">
        <v>100</v>
      </c>
      <c r="AH21" s="1"/>
      <c r="AI21" s="1"/>
      <c r="AJ21" s="1"/>
      <c r="AK21" s="1"/>
      <c r="AL21" s="1"/>
      <c r="AM21" s="1"/>
      <c r="AN21" s="54" t="s">
        <v>231</v>
      </c>
      <c r="AO21" s="1"/>
      <c r="AP21" s="55" t="s">
        <v>231</v>
      </c>
      <c r="AQ21" s="1"/>
      <c r="AR21" s="1"/>
      <c r="AS21" s="2"/>
      <c r="AT21" s="54" t="s">
        <v>231</v>
      </c>
      <c r="AU21" s="54">
        <v>93</v>
      </c>
      <c r="AV21" s="54" t="s">
        <v>231</v>
      </c>
      <c r="AW21" s="55">
        <v>93</v>
      </c>
      <c r="AX21" s="56">
        <v>5</v>
      </c>
      <c r="AY21" s="54" t="s">
        <v>231</v>
      </c>
      <c r="AZ21" s="1"/>
      <c r="BA21" s="57">
        <v>0</v>
      </c>
      <c r="BB21" s="58">
        <v>100</v>
      </c>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4087369</v>
      </c>
      <c r="F22" s="88">
        <f t="shared" si="401"/>
        <v>2</v>
      </c>
      <c r="G22" s="88" t="str">
        <f t="shared" si="402"/>
        <v>A</v>
      </c>
      <c r="H22" s="37" t="s">
        <v>183</v>
      </c>
      <c r="I22" s="37" t="s">
        <v>171</v>
      </c>
      <c r="J22" s="41" t="s">
        <v>184</v>
      </c>
      <c r="K22" s="89" t="str">
        <f t="shared" si="403"/>
        <v>A</v>
      </c>
      <c r="L22" s="41" t="s">
        <v>119</v>
      </c>
      <c r="M22" s="92">
        <v>42621</v>
      </c>
      <c r="N22" s="41"/>
      <c r="O22" s="43"/>
      <c r="P22" s="90" t="str">
        <f t="shared" si="404"/>
        <v>Sirzadova Şahnaz Zəfər</v>
      </c>
      <c r="Q22" s="4">
        <v>1072039</v>
      </c>
      <c r="R22" s="39">
        <v>101</v>
      </c>
      <c r="S22" s="39">
        <v>157</v>
      </c>
      <c r="T22" s="1"/>
      <c r="U22" s="1">
        <v>58</v>
      </c>
      <c r="V22" s="1">
        <v>45</v>
      </c>
      <c r="W22" s="1">
        <v>82</v>
      </c>
      <c r="X22" s="1">
        <v>94</v>
      </c>
      <c r="Y22" s="1"/>
      <c r="Z22" s="1"/>
      <c r="AA22" s="54">
        <v>69.75</v>
      </c>
      <c r="AB22" s="1"/>
      <c r="AC22" s="55">
        <v>69.75</v>
      </c>
      <c r="AD22" s="1"/>
      <c r="AE22" s="1"/>
      <c r="AF22" s="2">
        <v>0</v>
      </c>
      <c r="AG22" s="54">
        <v>100</v>
      </c>
      <c r="AH22" s="1"/>
      <c r="AI22" s="1"/>
      <c r="AJ22" s="1"/>
      <c r="AK22" s="1"/>
      <c r="AL22" s="1"/>
      <c r="AM22" s="1"/>
      <c r="AN22" s="54" t="s">
        <v>231</v>
      </c>
      <c r="AO22" s="1"/>
      <c r="AP22" s="55" t="s">
        <v>231</v>
      </c>
      <c r="AQ22" s="1"/>
      <c r="AR22" s="1"/>
      <c r="AS22" s="2"/>
      <c r="AT22" s="54" t="s">
        <v>231</v>
      </c>
      <c r="AU22" s="54">
        <v>69.75</v>
      </c>
      <c r="AV22" s="54" t="s">
        <v>231</v>
      </c>
      <c r="AW22" s="55">
        <v>69.75</v>
      </c>
      <c r="AX22" s="56">
        <v>4</v>
      </c>
      <c r="AY22" s="54" t="s">
        <v>231</v>
      </c>
      <c r="AZ22" s="1"/>
      <c r="BA22" s="57">
        <v>0</v>
      </c>
      <c r="BB22" s="58">
        <v>100</v>
      </c>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3984866</v>
      </c>
      <c r="F23" s="88">
        <f t="shared" si="401"/>
        <v>2</v>
      </c>
      <c r="G23" s="88" t="str">
        <f t="shared" si="402"/>
        <v>A</v>
      </c>
      <c r="H23" s="37" t="s">
        <v>185</v>
      </c>
      <c r="I23" s="37" t="s">
        <v>186</v>
      </c>
      <c r="J23" s="41" t="s">
        <v>187</v>
      </c>
      <c r="K23" s="89" t="str">
        <f t="shared" si="403"/>
        <v>A</v>
      </c>
      <c r="L23" s="41" t="s">
        <v>119</v>
      </c>
      <c r="M23" s="41" t="s">
        <v>225</v>
      </c>
      <c r="N23" s="41"/>
      <c r="O23" s="43"/>
      <c r="P23" s="90" t="str">
        <f t="shared" si="404"/>
        <v>Sirzadova Şahnaz Zəfər</v>
      </c>
      <c r="Q23" s="4">
        <v>1072039</v>
      </c>
      <c r="R23" s="39">
        <v>101</v>
      </c>
      <c r="S23" s="39">
        <v>157</v>
      </c>
      <c r="T23" s="1"/>
      <c r="U23" s="1">
        <v>50</v>
      </c>
      <c r="V23" s="1">
        <v>51</v>
      </c>
      <c r="W23" s="1">
        <v>50</v>
      </c>
      <c r="X23" s="1">
        <v>45</v>
      </c>
      <c r="Y23" s="1"/>
      <c r="Z23" s="1"/>
      <c r="AA23" s="54">
        <v>49</v>
      </c>
      <c r="AB23" s="1"/>
      <c r="AC23" s="55">
        <v>49</v>
      </c>
      <c r="AD23" s="1"/>
      <c r="AE23" s="1"/>
      <c r="AF23" s="2">
        <v>1</v>
      </c>
      <c r="AG23" s="54">
        <v>98.726114649681534</v>
      </c>
      <c r="AH23" s="1"/>
      <c r="AI23" s="1"/>
      <c r="AJ23" s="1"/>
      <c r="AK23" s="1"/>
      <c r="AL23" s="1"/>
      <c r="AM23" s="1"/>
      <c r="AN23" s="54" t="s">
        <v>231</v>
      </c>
      <c r="AO23" s="1"/>
      <c r="AP23" s="55" t="s">
        <v>231</v>
      </c>
      <c r="AQ23" s="1"/>
      <c r="AR23" s="1"/>
      <c r="AS23" s="2"/>
      <c r="AT23" s="54" t="s">
        <v>231</v>
      </c>
      <c r="AU23" s="54">
        <v>49</v>
      </c>
      <c r="AV23" s="54" t="s">
        <v>231</v>
      </c>
      <c r="AW23" s="55">
        <v>49</v>
      </c>
      <c r="AX23" s="56">
        <v>3</v>
      </c>
      <c r="AY23" s="54" t="s">
        <v>231</v>
      </c>
      <c r="AZ23" s="1"/>
      <c r="BA23" s="57">
        <v>1</v>
      </c>
      <c r="BB23" s="58">
        <v>99.363057324840767</v>
      </c>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4236278</v>
      </c>
      <c r="F24" s="88">
        <f t="shared" si="401"/>
        <v>2</v>
      </c>
      <c r="G24" s="88" t="str">
        <f t="shared" si="402"/>
        <v>A</v>
      </c>
      <c r="H24" s="37" t="s">
        <v>188</v>
      </c>
      <c r="I24" s="37" t="s">
        <v>189</v>
      </c>
      <c r="J24" s="41" t="s">
        <v>190</v>
      </c>
      <c r="K24" s="89" t="str">
        <f t="shared" si="403"/>
        <v>A</v>
      </c>
      <c r="L24" s="41" t="s">
        <v>119</v>
      </c>
      <c r="M24" s="92">
        <v>42707</v>
      </c>
      <c r="N24" s="41"/>
      <c r="O24" s="43"/>
      <c r="P24" s="90" t="str">
        <f t="shared" si="404"/>
        <v>Sirzadova Şahnaz Zəfər</v>
      </c>
      <c r="Q24" s="4">
        <v>1072039</v>
      </c>
      <c r="R24" s="39">
        <v>101</v>
      </c>
      <c r="S24" s="39">
        <v>157</v>
      </c>
      <c r="T24" s="1"/>
      <c r="U24" s="1">
        <v>58</v>
      </c>
      <c r="V24" s="1">
        <v>47</v>
      </c>
      <c r="W24" s="1">
        <v>70</v>
      </c>
      <c r="X24" s="1">
        <v>72</v>
      </c>
      <c r="Y24" s="1"/>
      <c r="Z24" s="1"/>
      <c r="AA24" s="54">
        <v>61.75</v>
      </c>
      <c r="AB24" s="1"/>
      <c r="AC24" s="55">
        <v>61.75</v>
      </c>
      <c r="AD24" s="1"/>
      <c r="AE24" s="1"/>
      <c r="AF24" s="2">
        <v>4</v>
      </c>
      <c r="AG24" s="54">
        <v>94.904458598726109</v>
      </c>
      <c r="AH24" s="1"/>
      <c r="AI24" s="1"/>
      <c r="AJ24" s="1"/>
      <c r="AK24" s="1"/>
      <c r="AL24" s="1"/>
      <c r="AM24" s="1"/>
      <c r="AN24" s="54" t="s">
        <v>231</v>
      </c>
      <c r="AO24" s="1"/>
      <c r="AP24" s="55" t="s">
        <v>231</v>
      </c>
      <c r="AQ24" s="1"/>
      <c r="AR24" s="1"/>
      <c r="AS24" s="2"/>
      <c r="AT24" s="54" t="s">
        <v>231</v>
      </c>
      <c r="AU24" s="54">
        <v>61.75</v>
      </c>
      <c r="AV24" s="54" t="s">
        <v>231</v>
      </c>
      <c r="AW24" s="55">
        <v>61.75</v>
      </c>
      <c r="AX24" s="56">
        <v>4</v>
      </c>
      <c r="AY24" s="54" t="s">
        <v>231</v>
      </c>
      <c r="AZ24" s="1"/>
      <c r="BA24" s="57">
        <v>4</v>
      </c>
      <c r="BB24" s="58">
        <v>97.452229299363054</v>
      </c>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4235633</v>
      </c>
      <c r="F25" s="88">
        <f t="shared" si="401"/>
        <v>2</v>
      </c>
      <c r="G25" s="88" t="str">
        <f t="shared" si="402"/>
        <v>A</v>
      </c>
      <c r="H25" s="37" t="s">
        <v>191</v>
      </c>
      <c r="I25" s="37" t="s">
        <v>192</v>
      </c>
      <c r="J25" s="41" t="s">
        <v>193</v>
      </c>
      <c r="K25" s="89" t="str">
        <f t="shared" si="403"/>
        <v>A</v>
      </c>
      <c r="L25" s="41" t="s">
        <v>117</v>
      </c>
      <c r="M25" s="41" t="s">
        <v>226</v>
      </c>
      <c r="N25" s="41"/>
      <c r="O25" s="43"/>
      <c r="P25" s="90" t="str">
        <f t="shared" si="404"/>
        <v>Sirzadova Şahnaz Zəfər</v>
      </c>
      <c r="Q25" s="4">
        <v>1072039</v>
      </c>
      <c r="R25" s="39">
        <v>101</v>
      </c>
      <c r="S25" s="39">
        <v>157</v>
      </c>
      <c r="T25" s="1"/>
      <c r="U25" s="1">
        <v>100</v>
      </c>
      <c r="V25" s="1">
        <v>94</v>
      </c>
      <c r="W25" s="1">
        <v>100</v>
      </c>
      <c r="X25" s="1">
        <v>100</v>
      </c>
      <c r="Y25" s="1"/>
      <c r="Z25" s="1"/>
      <c r="AA25" s="54">
        <v>98.5</v>
      </c>
      <c r="AB25" s="1"/>
      <c r="AC25" s="55">
        <v>98.5</v>
      </c>
      <c r="AD25" s="1"/>
      <c r="AE25" s="1"/>
      <c r="AF25" s="2">
        <v>0</v>
      </c>
      <c r="AG25" s="54">
        <v>100</v>
      </c>
      <c r="AH25" s="1"/>
      <c r="AI25" s="1"/>
      <c r="AJ25" s="1"/>
      <c r="AK25" s="1"/>
      <c r="AL25" s="1"/>
      <c r="AM25" s="1"/>
      <c r="AN25" s="54" t="s">
        <v>231</v>
      </c>
      <c r="AO25" s="1"/>
      <c r="AP25" s="55" t="s">
        <v>231</v>
      </c>
      <c r="AQ25" s="1"/>
      <c r="AR25" s="1"/>
      <c r="AS25" s="2"/>
      <c r="AT25" s="54" t="s">
        <v>231</v>
      </c>
      <c r="AU25" s="54">
        <v>98.5</v>
      </c>
      <c r="AV25" s="54" t="s">
        <v>231</v>
      </c>
      <c r="AW25" s="55">
        <v>98.5</v>
      </c>
      <c r="AX25" s="56">
        <v>5</v>
      </c>
      <c r="AY25" s="54" t="s">
        <v>231</v>
      </c>
      <c r="AZ25" s="1"/>
      <c r="BA25" s="57">
        <v>0</v>
      </c>
      <c r="BB25" s="58">
        <v>100</v>
      </c>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3984880</v>
      </c>
      <c r="F26" s="88">
        <f t="shared" si="401"/>
        <v>2</v>
      </c>
      <c r="G26" s="88" t="str">
        <f t="shared" si="402"/>
        <v>A</v>
      </c>
      <c r="H26" s="37" t="s">
        <v>194</v>
      </c>
      <c r="I26" s="37" t="s">
        <v>195</v>
      </c>
      <c r="J26" s="41" t="s">
        <v>196</v>
      </c>
      <c r="K26" s="89" t="str">
        <f t="shared" si="403"/>
        <v>A</v>
      </c>
      <c r="L26" s="41" t="s">
        <v>119</v>
      </c>
      <c r="M26" s="92">
        <v>42498</v>
      </c>
      <c r="N26" s="41"/>
      <c r="O26" s="43"/>
      <c r="P26" s="90" t="str">
        <f t="shared" si="404"/>
        <v>Sirzadova Şahnaz Zəfər</v>
      </c>
      <c r="Q26" s="4">
        <v>1072039</v>
      </c>
      <c r="R26" s="39">
        <v>101</v>
      </c>
      <c r="S26" s="39">
        <v>157</v>
      </c>
      <c r="T26" s="1"/>
      <c r="U26" s="1">
        <v>81</v>
      </c>
      <c r="V26" s="1">
        <v>58</v>
      </c>
      <c r="W26" s="1">
        <v>62</v>
      </c>
      <c r="X26" s="1">
        <v>85</v>
      </c>
      <c r="Y26" s="1"/>
      <c r="Z26" s="1"/>
      <c r="AA26" s="54">
        <v>71.5</v>
      </c>
      <c r="AB26" s="1"/>
      <c r="AC26" s="55">
        <v>71.5</v>
      </c>
      <c r="AD26" s="1"/>
      <c r="AE26" s="1"/>
      <c r="AF26" s="2">
        <v>1</v>
      </c>
      <c r="AG26" s="54">
        <v>98.726114649681534</v>
      </c>
      <c r="AH26" s="1"/>
      <c r="AI26" s="1"/>
      <c r="AJ26" s="1"/>
      <c r="AK26" s="1"/>
      <c r="AL26" s="1"/>
      <c r="AM26" s="1"/>
      <c r="AN26" s="54" t="s">
        <v>231</v>
      </c>
      <c r="AO26" s="1"/>
      <c r="AP26" s="55" t="s">
        <v>231</v>
      </c>
      <c r="AQ26" s="1"/>
      <c r="AR26" s="1"/>
      <c r="AS26" s="2"/>
      <c r="AT26" s="54" t="s">
        <v>231</v>
      </c>
      <c r="AU26" s="54">
        <v>71.5</v>
      </c>
      <c r="AV26" s="54" t="s">
        <v>231</v>
      </c>
      <c r="AW26" s="55">
        <v>71.5</v>
      </c>
      <c r="AX26" s="56">
        <v>4</v>
      </c>
      <c r="AY26" s="54" t="s">
        <v>231</v>
      </c>
      <c r="AZ26" s="1"/>
      <c r="BA26" s="57">
        <v>1</v>
      </c>
      <c r="BB26" s="58">
        <v>99.363057324840767</v>
      </c>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3984902</v>
      </c>
      <c r="F27" s="88">
        <f t="shared" si="401"/>
        <v>2</v>
      </c>
      <c r="G27" s="88" t="str">
        <f t="shared" si="402"/>
        <v>A</v>
      </c>
      <c r="H27" s="37" t="s">
        <v>197</v>
      </c>
      <c r="I27" s="37" t="s">
        <v>198</v>
      </c>
      <c r="J27" s="41" t="s">
        <v>199</v>
      </c>
      <c r="K27" s="89" t="str">
        <f t="shared" si="403"/>
        <v>A</v>
      </c>
      <c r="L27" s="41" t="s">
        <v>119</v>
      </c>
      <c r="M27" s="41" t="s">
        <v>227</v>
      </c>
      <c r="N27" s="41"/>
      <c r="O27" s="43"/>
      <c r="P27" s="90" t="str">
        <f t="shared" si="404"/>
        <v>Sirzadova Şahnaz Zəfər</v>
      </c>
      <c r="Q27" s="4">
        <v>1072039</v>
      </c>
      <c r="R27" s="39">
        <v>101</v>
      </c>
      <c r="S27" s="39">
        <v>157</v>
      </c>
      <c r="T27" s="1"/>
      <c r="U27" s="1">
        <v>61</v>
      </c>
      <c r="V27" s="1">
        <v>80</v>
      </c>
      <c r="W27" s="1">
        <v>85</v>
      </c>
      <c r="X27" s="1">
        <v>80</v>
      </c>
      <c r="Y27" s="1"/>
      <c r="Z27" s="1"/>
      <c r="AA27" s="54">
        <v>76.5</v>
      </c>
      <c r="AB27" s="1"/>
      <c r="AC27" s="55">
        <v>76.5</v>
      </c>
      <c r="AD27" s="1"/>
      <c r="AE27" s="1"/>
      <c r="AF27" s="2">
        <v>0</v>
      </c>
      <c r="AG27" s="54">
        <v>100</v>
      </c>
      <c r="AH27" s="1"/>
      <c r="AI27" s="1"/>
      <c r="AJ27" s="1"/>
      <c r="AK27" s="1"/>
      <c r="AL27" s="1"/>
      <c r="AM27" s="1"/>
      <c r="AN27" s="54" t="s">
        <v>231</v>
      </c>
      <c r="AO27" s="1"/>
      <c r="AP27" s="55" t="s">
        <v>231</v>
      </c>
      <c r="AQ27" s="1"/>
      <c r="AR27" s="1"/>
      <c r="AS27" s="2"/>
      <c r="AT27" s="54" t="s">
        <v>231</v>
      </c>
      <c r="AU27" s="54">
        <v>76.5</v>
      </c>
      <c r="AV27" s="54" t="s">
        <v>231</v>
      </c>
      <c r="AW27" s="55">
        <v>76.5</v>
      </c>
      <c r="AX27" s="56">
        <v>4</v>
      </c>
      <c r="AY27" s="54" t="s">
        <v>231</v>
      </c>
      <c r="AZ27" s="1"/>
      <c r="BA27" s="57">
        <v>0</v>
      </c>
      <c r="BB27" s="58">
        <v>100</v>
      </c>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3984908</v>
      </c>
      <c r="F28" s="88">
        <f t="shared" si="401"/>
        <v>2</v>
      </c>
      <c r="G28" s="88" t="str">
        <f t="shared" si="402"/>
        <v>A</v>
      </c>
      <c r="H28" s="37" t="s">
        <v>200</v>
      </c>
      <c r="I28" s="37" t="s">
        <v>163</v>
      </c>
      <c r="J28" s="41" t="s">
        <v>199</v>
      </c>
      <c r="K28" s="89" t="str">
        <f t="shared" si="403"/>
        <v>A</v>
      </c>
      <c r="L28" s="41" t="s">
        <v>117</v>
      </c>
      <c r="M28" s="41" t="s">
        <v>227</v>
      </c>
      <c r="N28" s="41"/>
      <c r="O28" s="43"/>
      <c r="P28" s="90" t="str">
        <f t="shared" si="404"/>
        <v>Sirzadova Şahnaz Zəfər</v>
      </c>
      <c r="Q28" s="4">
        <v>1072039</v>
      </c>
      <c r="R28" s="39">
        <v>101</v>
      </c>
      <c r="S28" s="39">
        <v>157</v>
      </c>
      <c r="T28" s="1"/>
      <c r="U28" s="1">
        <v>62</v>
      </c>
      <c r="V28" s="1">
        <v>83</v>
      </c>
      <c r="W28" s="1">
        <v>100</v>
      </c>
      <c r="X28" s="1">
        <v>94</v>
      </c>
      <c r="Y28" s="1"/>
      <c r="Z28" s="1"/>
      <c r="AA28" s="54">
        <v>84.75</v>
      </c>
      <c r="AB28" s="1"/>
      <c r="AC28" s="55">
        <v>84.75</v>
      </c>
      <c r="AD28" s="1"/>
      <c r="AE28" s="1"/>
      <c r="AF28" s="2">
        <v>0</v>
      </c>
      <c r="AG28" s="54">
        <v>100</v>
      </c>
      <c r="AH28" s="1"/>
      <c r="AI28" s="1"/>
      <c r="AJ28" s="1"/>
      <c r="AK28" s="1"/>
      <c r="AL28" s="1"/>
      <c r="AM28" s="1"/>
      <c r="AN28" s="54" t="s">
        <v>231</v>
      </c>
      <c r="AO28" s="1"/>
      <c r="AP28" s="55" t="s">
        <v>231</v>
      </c>
      <c r="AQ28" s="1"/>
      <c r="AR28" s="1"/>
      <c r="AS28" s="2"/>
      <c r="AT28" s="54" t="s">
        <v>231</v>
      </c>
      <c r="AU28" s="54">
        <v>84.75</v>
      </c>
      <c r="AV28" s="54" t="s">
        <v>231</v>
      </c>
      <c r="AW28" s="55">
        <v>84.75</v>
      </c>
      <c r="AX28" s="56">
        <v>5</v>
      </c>
      <c r="AY28" s="54" t="s">
        <v>231</v>
      </c>
      <c r="AZ28" s="1"/>
      <c r="BA28" s="57">
        <v>0</v>
      </c>
      <c r="BB28" s="58">
        <v>100</v>
      </c>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3984945</v>
      </c>
      <c r="F29" s="88">
        <f t="shared" si="401"/>
        <v>2</v>
      </c>
      <c r="G29" s="88" t="str">
        <f t="shared" si="402"/>
        <v>A</v>
      </c>
      <c r="H29" s="37" t="s">
        <v>201</v>
      </c>
      <c r="I29" s="37" t="s">
        <v>202</v>
      </c>
      <c r="J29" s="41" t="s">
        <v>203</v>
      </c>
      <c r="K29" s="89" t="str">
        <f t="shared" si="403"/>
        <v>A</v>
      </c>
      <c r="L29" s="41" t="s">
        <v>119</v>
      </c>
      <c r="M29" s="92">
        <v>42707</v>
      </c>
      <c r="N29" s="41"/>
      <c r="O29" s="43"/>
      <c r="P29" s="90" t="str">
        <f t="shared" si="404"/>
        <v>Sirzadova Şahnaz Zəfər</v>
      </c>
      <c r="Q29" s="4">
        <v>1072039</v>
      </c>
      <c r="R29" s="39">
        <v>101</v>
      </c>
      <c r="S29" s="39">
        <v>157</v>
      </c>
      <c r="T29" s="1"/>
      <c r="U29" s="1">
        <v>68</v>
      </c>
      <c r="V29" s="1">
        <v>45</v>
      </c>
      <c r="W29" s="1">
        <v>76</v>
      </c>
      <c r="X29" s="1"/>
      <c r="Y29" s="1"/>
      <c r="Z29" s="1"/>
      <c r="AA29" s="54">
        <v>63</v>
      </c>
      <c r="AB29" s="1"/>
      <c r="AC29" s="55">
        <v>63</v>
      </c>
      <c r="AD29" s="1"/>
      <c r="AE29" s="1"/>
      <c r="AF29" s="2">
        <v>22</v>
      </c>
      <c r="AG29" s="54">
        <v>71.974522292993626</v>
      </c>
      <c r="AH29" s="1"/>
      <c r="AI29" s="1"/>
      <c r="AJ29" s="1"/>
      <c r="AK29" s="1"/>
      <c r="AL29" s="1"/>
      <c r="AM29" s="1"/>
      <c r="AN29" s="54" t="s">
        <v>231</v>
      </c>
      <c r="AO29" s="1"/>
      <c r="AP29" s="55" t="s">
        <v>231</v>
      </c>
      <c r="AQ29" s="1"/>
      <c r="AR29" s="1"/>
      <c r="AS29" s="2"/>
      <c r="AT29" s="54" t="s">
        <v>231</v>
      </c>
      <c r="AU29" s="54">
        <v>63</v>
      </c>
      <c r="AV29" s="54" t="s">
        <v>231</v>
      </c>
      <c r="AW29" s="55">
        <v>63</v>
      </c>
      <c r="AX29" s="56">
        <v>4</v>
      </c>
      <c r="AY29" s="54" t="s">
        <v>231</v>
      </c>
      <c r="AZ29" s="1"/>
      <c r="BA29" s="57">
        <v>22</v>
      </c>
      <c r="BB29" s="58">
        <v>85.98726114649682</v>
      </c>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3984951</v>
      </c>
      <c r="F30" s="88">
        <f t="shared" si="401"/>
        <v>2</v>
      </c>
      <c r="G30" s="88" t="str">
        <f t="shared" si="402"/>
        <v>A</v>
      </c>
      <c r="H30" s="37" t="s">
        <v>204</v>
      </c>
      <c r="I30" s="37" t="s">
        <v>205</v>
      </c>
      <c r="J30" s="41" t="s">
        <v>164</v>
      </c>
      <c r="K30" s="89" t="str">
        <f t="shared" si="403"/>
        <v>A</v>
      </c>
      <c r="L30" s="41" t="s">
        <v>117</v>
      </c>
      <c r="M30" s="41" t="s">
        <v>228</v>
      </c>
      <c r="N30" s="41"/>
      <c r="O30" s="43"/>
      <c r="P30" s="90" t="str">
        <f t="shared" si="404"/>
        <v>Sirzadova Şahnaz Zəfər</v>
      </c>
      <c r="Q30" s="4">
        <v>1072039</v>
      </c>
      <c r="R30" s="39">
        <v>101</v>
      </c>
      <c r="S30" s="39">
        <v>157</v>
      </c>
      <c r="T30" s="1"/>
      <c r="U30" s="1">
        <v>97</v>
      </c>
      <c r="V30" s="1">
        <v>86</v>
      </c>
      <c r="W30" s="1">
        <v>100</v>
      </c>
      <c r="X30" s="1">
        <v>90</v>
      </c>
      <c r="Y30" s="1"/>
      <c r="Z30" s="1"/>
      <c r="AA30" s="54">
        <v>93.25</v>
      </c>
      <c r="AB30" s="1"/>
      <c r="AC30" s="55">
        <v>93.25</v>
      </c>
      <c r="AD30" s="1"/>
      <c r="AE30" s="1"/>
      <c r="AF30" s="2">
        <v>0</v>
      </c>
      <c r="AG30" s="54">
        <v>100</v>
      </c>
      <c r="AH30" s="1"/>
      <c r="AI30" s="1"/>
      <c r="AJ30" s="1"/>
      <c r="AK30" s="1"/>
      <c r="AL30" s="1"/>
      <c r="AM30" s="1"/>
      <c r="AN30" s="54" t="s">
        <v>231</v>
      </c>
      <c r="AO30" s="1"/>
      <c r="AP30" s="55" t="s">
        <v>231</v>
      </c>
      <c r="AQ30" s="1"/>
      <c r="AR30" s="1"/>
      <c r="AS30" s="2"/>
      <c r="AT30" s="54" t="s">
        <v>231</v>
      </c>
      <c r="AU30" s="54">
        <v>93.25</v>
      </c>
      <c r="AV30" s="54" t="s">
        <v>231</v>
      </c>
      <c r="AW30" s="55">
        <v>93.25</v>
      </c>
      <c r="AX30" s="56">
        <v>5</v>
      </c>
      <c r="AY30" s="54" t="s">
        <v>231</v>
      </c>
      <c r="AZ30" s="1"/>
      <c r="BA30" s="57">
        <v>0</v>
      </c>
      <c r="BB30" s="58">
        <v>100</v>
      </c>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2023-2024</v>
      </c>
      <c r="B31" s="88" t="str">
        <f t="shared" si="398"/>
        <v>Bakı</v>
      </c>
      <c r="C31" s="88" t="str">
        <f t="shared" si="399"/>
        <v>Binəqədi</v>
      </c>
      <c r="D31" s="88">
        <f t="shared" si="400"/>
        <v>99</v>
      </c>
      <c r="E31" s="40">
        <v>3966229</v>
      </c>
      <c r="F31" s="88">
        <f t="shared" si="401"/>
        <v>2</v>
      </c>
      <c r="G31" s="88" t="str">
        <f t="shared" si="402"/>
        <v>A</v>
      </c>
      <c r="H31" s="37" t="s">
        <v>206</v>
      </c>
      <c r="I31" s="37" t="s">
        <v>207</v>
      </c>
      <c r="J31" s="41" t="s">
        <v>208</v>
      </c>
      <c r="K31" s="89" t="str">
        <f t="shared" si="403"/>
        <v>A</v>
      </c>
      <c r="L31" s="41" t="s">
        <v>119</v>
      </c>
      <c r="M31" s="92">
        <v>42617</v>
      </c>
      <c r="N31" s="41"/>
      <c r="O31" s="43"/>
      <c r="P31" s="90" t="str">
        <f t="shared" si="404"/>
        <v>Sirzadova Şahnaz Zəfər</v>
      </c>
      <c r="Q31" s="4">
        <v>1072039</v>
      </c>
      <c r="R31" s="39">
        <v>101</v>
      </c>
      <c r="S31" s="39">
        <v>157</v>
      </c>
      <c r="T31" s="1"/>
      <c r="U31" s="1">
        <v>30</v>
      </c>
      <c r="V31" s="1">
        <v>33</v>
      </c>
      <c r="W31" s="1">
        <v>43</v>
      </c>
      <c r="X31" s="1">
        <v>43</v>
      </c>
      <c r="Y31" s="1"/>
      <c r="Z31" s="1"/>
      <c r="AA31" s="54">
        <v>37.25</v>
      </c>
      <c r="AB31" s="1"/>
      <c r="AC31" s="55">
        <v>37.25</v>
      </c>
      <c r="AD31" s="1"/>
      <c r="AE31" s="1"/>
      <c r="AF31" s="2">
        <v>7</v>
      </c>
      <c r="AG31" s="54">
        <v>91.082802547770697</v>
      </c>
      <c r="AH31" s="1"/>
      <c r="AI31" s="1"/>
      <c r="AJ31" s="1"/>
      <c r="AK31" s="1"/>
      <c r="AL31" s="1"/>
      <c r="AM31" s="1"/>
      <c r="AN31" s="54" t="s">
        <v>231</v>
      </c>
      <c r="AO31" s="1"/>
      <c r="AP31" s="55" t="s">
        <v>231</v>
      </c>
      <c r="AQ31" s="1"/>
      <c r="AR31" s="1"/>
      <c r="AS31" s="2"/>
      <c r="AT31" s="54" t="s">
        <v>231</v>
      </c>
      <c r="AU31" s="54">
        <v>37.25</v>
      </c>
      <c r="AV31" s="54" t="s">
        <v>231</v>
      </c>
      <c r="AW31" s="55">
        <v>37.25</v>
      </c>
      <c r="AX31" s="56">
        <v>3</v>
      </c>
      <c r="AY31" s="54" t="s">
        <v>231</v>
      </c>
      <c r="AZ31" s="1"/>
      <c r="BA31" s="57">
        <v>7</v>
      </c>
      <c r="BB31" s="58">
        <v>95.541401273885356</v>
      </c>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2023-2024</v>
      </c>
      <c r="B32" s="88" t="str">
        <f t="shared" si="398"/>
        <v>Bakı</v>
      </c>
      <c r="C32" s="88" t="str">
        <f t="shared" si="399"/>
        <v>Binəqədi</v>
      </c>
      <c r="D32" s="88">
        <f t="shared" si="400"/>
        <v>99</v>
      </c>
      <c r="E32" s="40">
        <v>3984983</v>
      </c>
      <c r="F32" s="88">
        <f t="shared" si="401"/>
        <v>2</v>
      </c>
      <c r="G32" s="88" t="str">
        <f t="shared" si="402"/>
        <v>A</v>
      </c>
      <c r="H32" s="37" t="s">
        <v>209</v>
      </c>
      <c r="I32" s="37" t="s">
        <v>210</v>
      </c>
      <c r="J32" s="41" t="s">
        <v>211</v>
      </c>
      <c r="K32" s="89" t="str">
        <f t="shared" si="403"/>
        <v>A</v>
      </c>
      <c r="L32" s="41" t="s">
        <v>117</v>
      </c>
      <c r="M32" s="92">
        <v>42593</v>
      </c>
      <c r="N32" s="41"/>
      <c r="O32" s="43"/>
      <c r="P32" s="90" t="str">
        <f t="shared" si="404"/>
        <v>Sirzadova Şahnaz Zəfər</v>
      </c>
      <c r="Q32" s="4">
        <v>1072039</v>
      </c>
      <c r="R32" s="39">
        <v>101</v>
      </c>
      <c r="S32" s="39">
        <v>157</v>
      </c>
      <c r="T32" s="1"/>
      <c r="U32" s="1">
        <v>51</v>
      </c>
      <c r="V32" s="1">
        <v>31</v>
      </c>
      <c r="W32" s="1">
        <v>34</v>
      </c>
      <c r="X32" s="1">
        <v>71</v>
      </c>
      <c r="Y32" s="1"/>
      <c r="Z32" s="1"/>
      <c r="AA32" s="54">
        <v>46.75</v>
      </c>
      <c r="AB32" s="1"/>
      <c r="AC32" s="55">
        <v>46.75</v>
      </c>
      <c r="AD32" s="1"/>
      <c r="AE32" s="1"/>
      <c r="AF32" s="2">
        <v>4</v>
      </c>
      <c r="AG32" s="54">
        <v>94.904458598726109</v>
      </c>
      <c r="AH32" s="1"/>
      <c r="AI32" s="1"/>
      <c r="AJ32" s="1"/>
      <c r="AK32" s="1"/>
      <c r="AL32" s="1"/>
      <c r="AM32" s="1"/>
      <c r="AN32" s="54" t="s">
        <v>231</v>
      </c>
      <c r="AO32" s="1"/>
      <c r="AP32" s="55" t="s">
        <v>231</v>
      </c>
      <c r="AQ32" s="1"/>
      <c r="AR32" s="1"/>
      <c r="AS32" s="2"/>
      <c r="AT32" s="54" t="s">
        <v>231</v>
      </c>
      <c r="AU32" s="54">
        <v>46.75</v>
      </c>
      <c r="AV32" s="54" t="s">
        <v>231</v>
      </c>
      <c r="AW32" s="55">
        <v>46.75</v>
      </c>
      <c r="AX32" s="56">
        <v>3</v>
      </c>
      <c r="AY32" s="54" t="s">
        <v>231</v>
      </c>
      <c r="AZ32" s="1"/>
      <c r="BA32" s="57">
        <v>4</v>
      </c>
      <c r="BB32" s="58">
        <v>97.452229299363054</v>
      </c>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2023-2024</v>
      </c>
      <c r="B33" s="88" t="str">
        <f t="shared" si="398"/>
        <v>Bakı</v>
      </c>
      <c r="C33" s="88" t="str">
        <f t="shared" si="399"/>
        <v>Binəqədi</v>
      </c>
      <c r="D33" s="88">
        <f t="shared" si="400"/>
        <v>99</v>
      </c>
      <c r="E33" s="40">
        <v>3985082</v>
      </c>
      <c r="F33" s="88">
        <f t="shared" si="401"/>
        <v>2</v>
      </c>
      <c r="G33" s="88" t="str">
        <f t="shared" si="402"/>
        <v>A</v>
      </c>
      <c r="H33" s="37" t="s">
        <v>212</v>
      </c>
      <c r="I33" s="37" t="s">
        <v>213</v>
      </c>
      <c r="J33" s="41" t="s">
        <v>214</v>
      </c>
      <c r="K33" s="89" t="str">
        <f t="shared" si="403"/>
        <v>A</v>
      </c>
      <c r="L33" s="41" t="s">
        <v>117</v>
      </c>
      <c r="M33" s="92">
        <v>42463</v>
      </c>
      <c r="N33" s="41"/>
      <c r="O33" s="43"/>
      <c r="P33" s="90" t="str">
        <f t="shared" si="404"/>
        <v>Sirzadova Şahnaz Zəfər</v>
      </c>
      <c r="Q33" s="4">
        <v>1072039</v>
      </c>
      <c r="R33" s="39">
        <v>101</v>
      </c>
      <c r="S33" s="39">
        <v>157</v>
      </c>
      <c r="T33" s="1"/>
      <c r="U33" s="1">
        <v>94</v>
      </c>
      <c r="V33" s="1">
        <v>88</v>
      </c>
      <c r="W33" s="1">
        <v>100</v>
      </c>
      <c r="X33" s="1">
        <v>100</v>
      </c>
      <c r="Y33" s="1"/>
      <c r="Z33" s="1"/>
      <c r="AA33" s="54">
        <v>95.5</v>
      </c>
      <c r="AB33" s="1"/>
      <c r="AC33" s="55">
        <v>95.5</v>
      </c>
      <c r="AD33" s="1"/>
      <c r="AE33" s="1"/>
      <c r="AF33" s="2">
        <v>0</v>
      </c>
      <c r="AG33" s="54">
        <v>100</v>
      </c>
      <c r="AH33" s="1"/>
      <c r="AI33" s="1"/>
      <c r="AJ33" s="1"/>
      <c r="AK33" s="1"/>
      <c r="AL33" s="1"/>
      <c r="AM33" s="1"/>
      <c r="AN33" s="54" t="s">
        <v>231</v>
      </c>
      <c r="AO33" s="1"/>
      <c r="AP33" s="55" t="s">
        <v>231</v>
      </c>
      <c r="AQ33" s="1"/>
      <c r="AR33" s="1"/>
      <c r="AS33" s="2"/>
      <c r="AT33" s="54" t="s">
        <v>231</v>
      </c>
      <c r="AU33" s="54">
        <v>95.5</v>
      </c>
      <c r="AV33" s="54" t="s">
        <v>231</v>
      </c>
      <c r="AW33" s="55">
        <v>95.5</v>
      </c>
      <c r="AX33" s="56">
        <v>5</v>
      </c>
      <c r="AY33" s="54" t="s">
        <v>231</v>
      </c>
      <c r="AZ33" s="1"/>
      <c r="BA33" s="57">
        <v>0</v>
      </c>
      <c r="BB33" s="58">
        <v>100</v>
      </c>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2023-2024</v>
      </c>
      <c r="B34" s="88" t="str">
        <f t="shared" si="398"/>
        <v>Bakı</v>
      </c>
      <c r="C34" s="88" t="str">
        <f t="shared" si="399"/>
        <v>Binəqədi</v>
      </c>
      <c r="D34" s="88">
        <f t="shared" si="400"/>
        <v>99</v>
      </c>
      <c r="E34" s="40">
        <v>4236104</v>
      </c>
      <c r="F34" s="88">
        <f t="shared" si="401"/>
        <v>2</v>
      </c>
      <c r="G34" s="88" t="str">
        <f t="shared" si="402"/>
        <v>A</v>
      </c>
      <c r="H34" s="37" t="s">
        <v>215</v>
      </c>
      <c r="I34" s="37" t="s">
        <v>216</v>
      </c>
      <c r="J34" s="41" t="s">
        <v>217</v>
      </c>
      <c r="K34" s="89" t="str">
        <f t="shared" si="403"/>
        <v>A</v>
      </c>
      <c r="L34" s="41" t="s">
        <v>117</v>
      </c>
      <c r="M34" s="41" t="s">
        <v>229</v>
      </c>
      <c r="N34" s="41"/>
      <c r="O34" s="43"/>
      <c r="P34" s="90" t="str">
        <f t="shared" si="404"/>
        <v>Sirzadova Şahnaz Zəfər</v>
      </c>
      <c r="Q34" s="4">
        <v>1072039</v>
      </c>
      <c r="R34" s="39">
        <v>101</v>
      </c>
      <c r="S34" s="39">
        <v>157</v>
      </c>
      <c r="T34" s="1"/>
      <c r="U34" s="1">
        <v>88</v>
      </c>
      <c r="V34" s="1">
        <v>100</v>
      </c>
      <c r="W34" s="1">
        <v>100</v>
      </c>
      <c r="X34" s="1">
        <v>100</v>
      </c>
      <c r="Y34" s="1"/>
      <c r="Z34" s="1"/>
      <c r="AA34" s="54">
        <v>97</v>
      </c>
      <c r="AB34" s="1"/>
      <c r="AC34" s="55">
        <v>97</v>
      </c>
      <c r="AD34" s="1"/>
      <c r="AE34" s="1"/>
      <c r="AF34" s="2">
        <v>0</v>
      </c>
      <c r="AG34" s="54">
        <v>100</v>
      </c>
      <c r="AH34" s="1"/>
      <c r="AI34" s="1"/>
      <c r="AJ34" s="1"/>
      <c r="AK34" s="1"/>
      <c r="AL34" s="1"/>
      <c r="AM34" s="1"/>
      <c r="AN34" s="54" t="s">
        <v>231</v>
      </c>
      <c r="AO34" s="1"/>
      <c r="AP34" s="55" t="s">
        <v>231</v>
      </c>
      <c r="AQ34" s="1"/>
      <c r="AR34" s="1"/>
      <c r="AS34" s="2"/>
      <c r="AT34" s="54" t="s">
        <v>231</v>
      </c>
      <c r="AU34" s="54">
        <v>97</v>
      </c>
      <c r="AV34" s="54" t="s">
        <v>231</v>
      </c>
      <c r="AW34" s="55">
        <v>97</v>
      </c>
      <c r="AX34" s="56">
        <v>5</v>
      </c>
      <c r="AY34" s="54" t="s">
        <v>231</v>
      </c>
      <c r="AZ34" s="1"/>
      <c r="BA34" s="57">
        <v>0</v>
      </c>
      <c r="BB34" s="58">
        <v>100</v>
      </c>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2023-2024</v>
      </c>
      <c r="B35" s="88" t="str">
        <f t="shared" si="398"/>
        <v>Bakı</v>
      </c>
      <c r="C35" s="88" t="str">
        <f t="shared" si="399"/>
        <v>Binəqədi</v>
      </c>
      <c r="D35" s="88">
        <f t="shared" si="400"/>
        <v>99</v>
      </c>
      <c r="E35" s="40">
        <v>3985123</v>
      </c>
      <c r="F35" s="88">
        <f t="shared" si="401"/>
        <v>2</v>
      </c>
      <c r="G35" s="88" t="str">
        <f t="shared" si="402"/>
        <v>A</v>
      </c>
      <c r="H35" s="37" t="s">
        <v>215</v>
      </c>
      <c r="I35" s="37" t="s">
        <v>218</v>
      </c>
      <c r="J35" s="41" t="s">
        <v>217</v>
      </c>
      <c r="K35" s="89" t="str">
        <f t="shared" si="403"/>
        <v>A</v>
      </c>
      <c r="L35" s="41" t="s">
        <v>117</v>
      </c>
      <c r="M35" s="41" t="s">
        <v>230</v>
      </c>
      <c r="N35" s="41"/>
      <c r="O35" s="43"/>
      <c r="P35" s="90" t="str">
        <f t="shared" si="404"/>
        <v>Sirzadova Şahnaz Zəfər</v>
      </c>
      <c r="Q35" s="4">
        <v>1072039</v>
      </c>
      <c r="R35" s="39">
        <v>101</v>
      </c>
      <c r="S35" s="39">
        <v>157</v>
      </c>
      <c r="T35" s="1"/>
      <c r="U35" s="1">
        <v>91</v>
      </c>
      <c r="V35" s="1">
        <v>89</v>
      </c>
      <c r="W35" s="1">
        <v>93</v>
      </c>
      <c r="X35" s="1">
        <v>100</v>
      </c>
      <c r="Y35" s="1"/>
      <c r="Z35" s="1"/>
      <c r="AA35" s="54">
        <v>93.25</v>
      </c>
      <c r="AB35" s="1"/>
      <c r="AC35" s="55">
        <v>93.25</v>
      </c>
      <c r="AD35" s="1"/>
      <c r="AE35" s="1"/>
      <c r="AF35" s="2">
        <v>0</v>
      </c>
      <c r="AG35" s="54">
        <v>100</v>
      </c>
      <c r="AH35" s="1"/>
      <c r="AI35" s="1"/>
      <c r="AJ35" s="1"/>
      <c r="AK35" s="1"/>
      <c r="AL35" s="1"/>
      <c r="AM35" s="1"/>
      <c r="AN35" s="54" t="s">
        <v>231</v>
      </c>
      <c r="AO35" s="1"/>
      <c r="AP35" s="55" t="s">
        <v>231</v>
      </c>
      <c r="AQ35" s="1"/>
      <c r="AR35" s="1"/>
      <c r="AS35" s="2"/>
      <c r="AT35" s="54" t="s">
        <v>231</v>
      </c>
      <c r="AU35" s="54">
        <v>93.25</v>
      </c>
      <c r="AV35" s="54" t="s">
        <v>231</v>
      </c>
      <c r="AW35" s="55">
        <v>93.25</v>
      </c>
      <c r="AX35" s="56">
        <v>5</v>
      </c>
      <c r="AY35" s="54" t="s">
        <v>231</v>
      </c>
      <c r="AZ35" s="1"/>
      <c r="BA35" s="57">
        <v>0</v>
      </c>
      <c r="BB35" s="58">
        <v>100</v>
      </c>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75" t="s">
        <v>105</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3"/>
      <c r="AG1" s="173"/>
      <c r="AH1" s="173"/>
      <c r="AI1" s="28" t="str">
        <f>IF(AF2="Şagird sayı","Qız","")</f>
        <v/>
      </c>
      <c r="AJ1" s="28" t="str">
        <f>IF(AF2="Şagird sayı","Oğlan","")</f>
        <v/>
      </c>
      <c r="AK1" s="176" t="str">
        <f>IF(AF2="Şagird sayı","Ümumi","")</f>
        <v/>
      </c>
      <c r="AL1" s="176"/>
      <c r="AM1" s="176"/>
    </row>
    <row r="2" spans="1:41" ht="33" customHeight="1">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4" t="str">
        <f>IF(B3="Sinif","Şagird sayı","")</f>
        <v/>
      </c>
      <c r="AG2" s="174"/>
      <c r="AH2" s="174"/>
      <c r="AI2" s="24" t="str">
        <f>IF(AF2="","",Baza!L4)</f>
        <v/>
      </c>
      <c r="AJ2" s="24" t="str">
        <f>IF(AF2="","",Baza!L6)</f>
        <v/>
      </c>
      <c r="AK2" s="177" t="str">
        <f>IF(AF2="","",Baza!L2)</f>
        <v/>
      </c>
      <c r="AL2" s="177"/>
      <c r="AM2" s="177"/>
    </row>
    <row r="3" spans="1:41" ht="30.6" customHeight="1" thickBot="1">
      <c r="A3" s="26" t="s">
        <v>101</v>
      </c>
      <c r="B3" s="182"/>
      <c r="C3" s="182"/>
      <c r="D3" s="25"/>
      <c r="E3" s="183" t="s">
        <v>103</v>
      </c>
      <c r="F3" s="184"/>
      <c r="G3" s="185"/>
      <c r="H3" s="151" t="str">
        <f>IF(Baza!B2="","",Baza!B2)</f>
        <v>Bakı</v>
      </c>
      <c r="I3" s="151"/>
      <c r="J3" s="151"/>
      <c r="K3" s="151"/>
      <c r="L3" s="151"/>
      <c r="N3" s="186" t="s">
        <v>90</v>
      </c>
      <c r="O3" s="186"/>
      <c r="P3" s="186"/>
      <c r="Q3" s="151" t="str">
        <f>IF(Baza!C2="","",Baza!C2)</f>
        <v>Binəqədi</v>
      </c>
      <c r="R3" s="151"/>
      <c r="S3" s="151"/>
      <c r="T3" s="151"/>
      <c r="U3" s="151"/>
      <c r="W3" s="186" t="s">
        <v>116</v>
      </c>
      <c r="X3" s="186"/>
      <c r="Y3" s="186"/>
      <c r="Z3" s="151">
        <f>IF(Baza!D2="","",Baza!D2)</f>
        <v>99</v>
      </c>
      <c r="AA3" s="151"/>
      <c r="AB3" s="151"/>
      <c r="AC3" s="151"/>
      <c r="AD3" s="151"/>
      <c r="AE3" s="23"/>
      <c r="AF3" s="152" t="s">
        <v>102</v>
      </c>
      <c r="AG3" s="152"/>
      <c r="AH3" s="152"/>
      <c r="AI3" s="153" t="str">
        <f>IF(Baza!A2="","",Baza!A2)</f>
        <v>2023-2024</v>
      </c>
      <c r="AJ3" s="154"/>
      <c r="AK3" s="154"/>
      <c r="AL3" s="154"/>
      <c r="AM3" s="155"/>
    </row>
    <row r="4" spans="1:41" ht="36.6" customHeight="1" thickTop="1">
      <c r="A4" s="15" t="str">
        <f>IF(B3="sinif","Sinif","Soyad")</f>
        <v>Soyad</v>
      </c>
      <c r="B4" s="181" t="e">
        <f>VLOOKUP(B3,Baza!E2:J59,4,0)</f>
        <v>#N/A</v>
      </c>
      <c r="C4" s="181"/>
      <c r="D4" s="147" t="s">
        <v>96</v>
      </c>
      <c r="E4" s="193" t="s">
        <v>12</v>
      </c>
      <c r="F4" s="172" t="s">
        <v>14</v>
      </c>
      <c r="G4" s="172"/>
      <c r="H4" s="172"/>
      <c r="I4" s="172"/>
      <c r="J4" s="172"/>
      <c r="K4" s="172"/>
      <c r="L4" s="172"/>
      <c r="M4" s="172"/>
      <c r="N4" s="172"/>
      <c r="O4" s="172"/>
      <c r="P4" s="172"/>
      <c r="Q4" s="172"/>
      <c r="R4" s="172"/>
      <c r="S4" s="172" t="s">
        <v>15</v>
      </c>
      <c r="T4" s="172"/>
      <c r="U4" s="172"/>
      <c r="V4" s="172"/>
      <c r="W4" s="172"/>
      <c r="X4" s="172"/>
      <c r="Y4" s="172"/>
      <c r="Z4" s="172"/>
      <c r="AA4" s="172"/>
      <c r="AB4" s="172"/>
      <c r="AC4" s="172"/>
      <c r="AD4" s="172"/>
      <c r="AE4" s="172"/>
      <c r="AF4" s="159" t="s">
        <v>17</v>
      </c>
      <c r="AG4" s="160"/>
      <c r="AH4" s="160"/>
      <c r="AI4" s="160"/>
      <c r="AJ4" s="160"/>
      <c r="AK4" s="160"/>
      <c r="AL4" s="160"/>
      <c r="AM4" s="160"/>
    </row>
    <row r="5" spans="1:41" ht="33" customHeight="1">
      <c r="A5" s="14" t="str">
        <f>IF(B3="sinif","Bölmə","Ad")</f>
        <v>Ad</v>
      </c>
      <c r="B5" s="180" t="e">
        <f>VLOOKUP(B3,Baza!E2:J59,5,0)</f>
        <v>#N/A</v>
      </c>
      <c r="C5" s="180"/>
      <c r="D5" s="110"/>
      <c r="E5" s="194"/>
      <c r="F5" s="161" t="s">
        <v>111</v>
      </c>
      <c r="G5" s="162"/>
      <c r="H5" s="162"/>
      <c r="I5" s="162"/>
      <c r="J5" s="162"/>
      <c r="K5" s="162"/>
      <c r="L5" s="162"/>
      <c r="M5" s="163"/>
      <c r="N5" s="164" t="s">
        <v>33</v>
      </c>
      <c r="O5" s="165" t="s">
        <v>7</v>
      </c>
      <c r="P5" s="165"/>
      <c r="Q5" s="166" t="s">
        <v>24</v>
      </c>
      <c r="R5" s="168" t="s">
        <v>18</v>
      </c>
      <c r="S5" s="161" t="s">
        <v>111</v>
      </c>
      <c r="T5" s="162"/>
      <c r="U5" s="162"/>
      <c r="V5" s="162"/>
      <c r="W5" s="162"/>
      <c r="X5" s="162"/>
      <c r="Y5" s="162"/>
      <c r="Z5" s="163"/>
      <c r="AA5" s="192" t="s">
        <v>25</v>
      </c>
      <c r="AB5" s="165" t="s">
        <v>7</v>
      </c>
      <c r="AC5" s="165"/>
      <c r="AD5" s="166" t="s">
        <v>26</v>
      </c>
      <c r="AE5" s="168" t="s">
        <v>18</v>
      </c>
      <c r="AF5" s="170" t="s">
        <v>27</v>
      </c>
      <c r="AG5" s="170" t="s">
        <v>28</v>
      </c>
      <c r="AH5" s="170" t="s">
        <v>8</v>
      </c>
      <c r="AI5" s="170"/>
      <c r="AJ5" s="187" t="s">
        <v>16</v>
      </c>
      <c r="AK5" s="187" t="s">
        <v>29</v>
      </c>
      <c r="AL5" s="189" t="s">
        <v>30</v>
      </c>
      <c r="AM5" s="191" t="s">
        <v>18</v>
      </c>
    </row>
    <row r="6" spans="1:41" ht="48.6" customHeight="1">
      <c r="A6" s="17" t="s">
        <v>19</v>
      </c>
      <c r="B6" s="178" t="s">
        <v>100</v>
      </c>
      <c r="C6" s="179"/>
      <c r="D6" s="110"/>
      <c r="E6" s="194"/>
      <c r="F6" s="21" t="s">
        <v>4</v>
      </c>
      <c r="G6" s="21" t="s">
        <v>4</v>
      </c>
      <c r="H6" s="21" t="s">
        <v>4</v>
      </c>
      <c r="I6" s="21" t="s">
        <v>4</v>
      </c>
      <c r="J6" s="21" t="s">
        <v>4</v>
      </c>
      <c r="K6" s="21" t="s">
        <v>4</v>
      </c>
      <c r="L6" s="21" t="s">
        <v>6</v>
      </c>
      <c r="M6" s="21" t="s">
        <v>5</v>
      </c>
      <c r="N6" s="164"/>
      <c r="O6" s="3" t="s">
        <v>20</v>
      </c>
      <c r="P6" s="3" t="s">
        <v>21</v>
      </c>
      <c r="Q6" s="167"/>
      <c r="R6" s="169"/>
      <c r="S6" s="21" t="s">
        <v>4</v>
      </c>
      <c r="T6" s="21" t="s">
        <v>4</v>
      </c>
      <c r="U6" s="21" t="s">
        <v>4</v>
      </c>
      <c r="V6" s="21" t="s">
        <v>4</v>
      </c>
      <c r="W6" s="21" t="s">
        <v>4</v>
      </c>
      <c r="X6" s="21" t="s">
        <v>4</v>
      </c>
      <c r="Y6" s="21" t="s">
        <v>6</v>
      </c>
      <c r="Z6" s="21" t="s">
        <v>5</v>
      </c>
      <c r="AA6" s="192"/>
      <c r="AB6" s="3" t="s">
        <v>22</v>
      </c>
      <c r="AC6" s="3" t="s">
        <v>23</v>
      </c>
      <c r="AD6" s="167"/>
      <c r="AE6" s="169"/>
      <c r="AF6" s="171"/>
      <c r="AG6" s="171"/>
      <c r="AH6" s="22" t="s">
        <v>31</v>
      </c>
      <c r="AI6" s="22" t="s">
        <v>32</v>
      </c>
      <c r="AJ6" s="188"/>
      <c r="AK6" s="188"/>
      <c r="AL6" s="190"/>
      <c r="AM6" s="169"/>
    </row>
    <row r="7" spans="1:41" ht="19.95" customHeight="1">
      <c r="A7" s="145" t="s">
        <v>44</v>
      </c>
      <c r="B7" s="145" t="s">
        <v>45</v>
      </c>
      <c r="C7" s="29" t="s">
        <v>31</v>
      </c>
      <c r="D7" s="148"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6" t="e">
        <f>IF(VLOOKUP($B$3,Baza!$E$2:$AIR$59,$AN7+13,0)="","",VLOOKUP($B$3,Baza!$E$2:$AIR$59,$AN7+13,0))</f>
        <v>#N/A</v>
      </c>
      <c r="R7" s="123"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6" t="e">
        <f>IF(VLOOKUP($B$3,Baza!$E$2:$AIR$59,$AN7+26,0)="","",VLOOKUP($B$3,Baza!$E$2:$AIR$59,$AN7+26,0))</f>
        <v>#N/A</v>
      </c>
      <c r="AE7" s="123"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2" t="e">
        <f>IF(VLOOKUP($B$3,Baza!$E$2:$AIR$59,$AN7+31,0)="","",VLOOKUP($B$3,Baza!$E$2:$AIR$59,$AN7+31,0))</f>
        <v>#N/A</v>
      </c>
      <c r="AJ7" s="13" t="e">
        <f>IF(VLOOKUP($B$3,Baza!$E$2:$AIR$59,$AN7+32,0)="","",VLOOKUP($B$3,Baza!$E$2:$AIR$59,$AN7+32,0))</f>
        <v>#N/A</v>
      </c>
      <c r="AK7" s="13" t="e">
        <f>IF(VLOOKUP($B$3,Baza!$E$2:$AIR$59,$AN7+33,0)="","",VLOOKUP($B$3,Baza!$E$2:$AIR$59,$AN7+33,0))</f>
        <v>#N/A</v>
      </c>
      <c r="AL7" s="126" t="e">
        <f>IF(VLOOKUP($B$3,Baza!$E$2:$AIR$59,$AN7+34,0)="","",VLOOKUP($B$3,Baza!$E$2:$AIR$59,$AN7+34,0))</f>
        <v>#N/A</v>
      </c>
      <c r="AM7" s="129" t="e">
        <f>IF(VLOOKUP($B$3,Baza!$E$2:$AIR$59,$AN7+35,0)="","",VLOOKUP($B$3,Baza!$E$2:$AIR$59,$AN7+35,0))</f>
        <v>#N/A</v>
      </c>
      <c r="AN7" s="70">
        <v>15</v>
      </c>
      <c r="AO7" s="70" t="str">
        <f>IF(B3="Sinif","Dördüncü","")</f>
        <v/>
      </c>
    </row>
    <row r="8" spans="1:41" ht="19.95" customHeight="1">
      <c r="A8" s="146"/>
      <c r="B8" s="146"/>
      <c r="C8" s="18" t="s">
        <v>106</v>
      </c>
      <c r="D8" s="148"/>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7"/>
      <c r="R8" s="124"/>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7"/>
      <c r="AE8" s="124"/>
      <c r="AF8" s="20" t="str">
        <f>IF($AO$7="","",IF(VLOOKUP($AO$7,Baza!$E$2:$AIR$59,$AN7+28,0)="","",VLOOKUP($AO$7,Baza!$E$2:$AIR$59,$AN7+28,0)))</f>
        <v/>
      </c>
      <c r="AG8" s="20" t="str">
        <f>IF($AO$7="","",IF(VLOOKUP($AO$7,Baza!$E$2:$AIR$59,$AN7+29,0)="","",VLOOKUP($AO$7,Baza!$E$2:$AIR$59,$AN7+29,0)))</f>
        <v/>
      </c>
      <c r="AH8" s="32" t="str">
        <f>IF($AO$7="","",IF(VLOOKUP($AO$7,Baza!$E$2:$AIR$59,$AN7+30,0)="","",VLOOKUP($AO$7,Baza!$E$2:$AIR$59,$AN7+30,0)))</f>
        <v/>
      </c>
      <c r="AI8" s="133"/>
      <c r="AJ8" s="20" t="str">
        <f>IF($AO$7="","",IF(VLOOKUP($AO$7,Baza!$E$2:$AIR$59,$AN7+32,0)="","",VLOOKUP($AO$7,Baza!$E$2:$AIR$59,$AN7+32,0)))</f>
        <v/>
      </c>
      <c r="AK8" s="20" t="str">
        <f>IF($AO$7="","",IF(VLOOKUP($AO$7,Baza!$E$2:$AIR$59,$AN7+33,0)="","",VLOOKUP($AO$7,Baza!$E$2:$AIR$59,$AN7+33,0)))</f>
        <v/>
      </c>
      <c r="AL8" s="127"/>
      <c r="AM8" s="130"/>
      <c r="AN8" s="70">
        <v>15</v>
      </c>
      <c r="AO8" s="70" t="str">
        <f>IF(B3="Sinif","Üçüncü","")</f>
        <v/>
      </c>
    </row>
    <row r="9" spans="1:41" ht="19.95" customHeight="1">
      <c r="A9" s="146"/>
      <c r="B9" s="146"/>
      <c r="C9" s="18" t="s">
        <v>107</v>
      </c>
      <c r="D9" s="148"/>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7"/>
      <c r="R9" s="124"/>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7"/>
      <c r="AE9" s="124"/>
      <c r="AF9" s="20" t="str">
        <f>IF($AO$8="","",IF(VLOOKUP($AO$8,Baza!$E$2:$AIR$59,$AN8+28,0)="","",VLOOKUP($AO$8,Baza!$E$2:$AIR$59,$AN8+28,0)))</f>
        <v/>
      </c>
      <c r="AG9" s="20" t="str">
        <f>IF($AO$8="","",IF(VLOOKUP($AO$8,Baza!$E$2:$AIR$59,$AN8+29,0)="","",VLOOKUP($AO$8,Baza!$E$2:$AIR$59,$AN8+29,0)))</f>
        <v/>
      </c>
      <c r="AH9" s="32" t="str">
        <f>IF($AO$8="","",IF(VLOOKUP($AO$8,Baza!$E$2:$AIR$59,$AN8+30,0)="","",VLOOKUP($AO$8,Baza!$E$2:$AIR$59,$AN8+30,0)))</f>
        <v/>
      </c>
      <c r="AI9" s="133"/>
      <c r="AJ9" s="20" t="str">
        <f>IF($AO$8="","",IF(VLOOKUP($AO$8,Baza!$E$2:$AIR$59,$AN8+32,0)="","",VLOOKUP($AO$8,Baza!$E$2:$AIR$59,$AN8+32,0)))</f>
        <v/>
      </c>
      <c r="AK9" s="20" t="str">
        <f>IF($AO$8="","",IF(VLOOKUP($AO$8,Baza!$E$2:$AIR$59,$AN8+33,0)="","",VLOOKUP($AO$8,Baza!$E$2:$AIR$59,$AN8+33,0)))</f>
        <v/>
      </c>
      <c r="AL9" s="127"/>
      <c r="AM9" s="130"/>
      <c r="AN9" s="70">
        <v>15</v>
      </c>
      <c r="AO9" s="70" t="str">
        <f>IF(B3="Sinif","İkinci","")</f>
        <v/>
      </c>
    </row>
    <row r="10" spans="1:41" ht="19.95" customHeight="1">
      <c r="A10" s="146"/>
      <c r="B10" s="146"/>
      <c r="C10" s="18" t="s">
        <v>108</v>
      </c>
      <c r="D10" s="148"/>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7"/>
      <c r="R10" s="124"/>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7"/>
      <c r="AE10" s="124"/>
      <c r="AF10" s="20" t="str">
        <f>IF($AO$9="","",IF(VLOOKUP($AO$9,Baza!$E$2:$AIR$59,$AN9+28,0)="","",VLOOKUP($AO$9,Baza!$E$2:$AIR$59,$AN9+28,0)))</f>
        <v/>
      </c>
      <c r="AG10" s="20" t="str">
        <f>IF($AO$9="","",IF(VLOOKUP($AO$9,Baza!$E$2:$AIR$59,$AN9+29,0)="","",VLOOKUP($AO$9,Baza!$E$2:$AIR$59,$AN9+29,0)))</f>
        <v/>
      </c>
      <c r="AH10" s="32" t="str">
        <f>IF($AO$9="","",IF(VLOOKUP($AO$9,Baza!$E$2:$AIR$59,$AN9+30,0)="","",VLOOKUP($AO$9,Baza!$E$2:$AIR$59,$AN9+30,0)))</f>
        <v/>
      </c>
      <c r="AI10" s="133"/>
      <c r="AJ10" s="20" t="str">
        <f>IF($AO$9="","",IF(VLOOKUP($AO$9,Baza!$E$2:$AIR$59,$AN9+32,0)="","",VLOOKUP($AO$9,Baza!$E$2:$AIR$59,$AN9+32,0)))</f>
        <v/>
      </c>
      <c r="AK10" s="20" t="str">
        <f>IF($AO$9="","",IF(VLOOKUP($AO$9,Baza!$E$2:$AIR$59,$AN9+33,0)="","",VLOOKUP($AO$9,Baza!$E$2:$AIR$59,$AN9+33,0)))</f>
        <v/>
      </c>
      <c r="AL10" s="127"/>
      <c r="AM10" s="130"/>
      <c r="AN10" s="70">
        <v>15</v>
      </c>
      <c r="AO10" s="70" t="str">
        <f>IF(B3="Sinif","Birinci","")</f>
        <v/>
      </c>
    </row>
    <row r="11" spans="1:41" ht="19.95" customHeight="1">
      <c r="A11" s="147"/>
      <c r="B11" s="147"/>
      <c r="C11" s="18" t="s">
        <v>109</v>
      </c>
      <c r="D11" s="148"/>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8"/>
      <c r="R11" s="125"/>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8"/>
      <c r="AE11" s="125"/>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4"/>
      <c r="AJ11" s="20" t="str">
        <f>IF($AO$10="","",IF(VLOOKUP($AO$10,Baza!$E$2:$AIR$59,$AN10+32,0)="","",VLOOKUP($AO$10,Baza!$E$2:$AIR$59,$AN10+32,0)))</f>
        <v/>
      </c>
      <c r="AK11" s="20" t="str">
        <f>IF($AO$10="","",IF(VLOOKUP($AO$10,Baza!$E$2:$AIR$59,$AN10+33,0)="","",VLOOKUP($AO$10,Baza!$E$2:$AIR$59,$AN10+33,0)))</f>
        <v/>
      </c>
      <c r="AL11" s="128"/>
      <c r="AM11" s="131"/>
      <c r="AN11" s="70">
        <v>15</v>
      </c>
    </row>
    <row r="12" spans="1:41" ht="19.95" customHeight="1">
      <c r="A12" s="145">
        <v>102</v>
      </c>
      <c r="B12" s="145" t="s">
        <v>47</v>
      </c>
      <c r="C12" s="29" t="s">
        <v>31</v>
      </c>
      <c r="D12" s="148"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6" t="e">
        <f>IF(VLOOKUP($B$3,Baza!$E$2:$AIR$59,$AN12+13,0)="","",VLOOKUP($B$3,Baza!$E$2:$AIR$59,$AN12+13,0))</f>
        <v>#N/A</v>
      </c>
      <c r="R12" s="123"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6" t="e">
        <f>IF(VLOOKUP($B$3,Baza!$E$2:$AIR$59,$AN12+26,0)="","",VLOOKUP($B$3,Baza!$E$2:$AIR$59,$AN12+26,0))</f>
        <v>#N/A</v>
      </c>
      <c r="AE12" s="123"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2" t="e">
        <f>IF(VLOOKUP($B$3,Baza!$E$2:$AIR$59,$AN12+31,0)="","",VLOOKUP($B$3,Baza!$E$2:$AIR$59,$AN12+31,0))</f>
        <v>#N/A</v>
      </c>
      <c r="AJ12" s="13" t="e">
        <f>IF(VLOOKUP($B$3,Baza!$E$2:$AIR$59,$AN12+32,0)="","",VLOOKUP($B$3,Baza!$E$2:$AIR$59,$AN12+32,0))</f>
        <v>#N/A</v>
      </c>
      <c r="AK12" s="13" t="e">
        <f>IF(VLOOKUP($B$3,Baza!$E$2:$AIR$59,$AN12+33,0)="","",VLOOKUP($B$3,Baza!$E$2:$AIR$59,$AN12+33,0))</f>
        <v>#N/A</v>
      </c>
      <c r="AL12" s="126" t="e">
        <f>IF(VLOOKUP($B$3,Baza!$E$2:$AIR$59,$AN12+34,0)="","",VLOOKUP($B$3,Baza!$E$2:$AIR$59,$AN12+34,0))</f>
        <v>#N/A</v>
      </c>
      <c r="AM12" s="129" t="e">
        <f>IF(VLOOKUP($B$3,Baza!$E$2:$AIR$59,$AN12+35,0)="","",VLOOKUP($B$3,Baza!$E$2:$AIR$59,$AN12+35,0))</f>
        <v>#N/A</v>
      </c>
      <c r="AN12" s="70">
        <f>AN7+38</f>
        <v>53</v>
      </c>
    </row>
    <row r="13" spans="1:41" ht="19.95" customHeight="1">
      <c r="A13" s="146"/>
      <c r="B13" s="146"/>
      <c r="C13" s="18" t="s">
        <v>106</v>
      </c>
      <c r="D13" s="148"/>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7"/>
      <c r="R13" s="124"/>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7"/>
      <c r="AE13" s="124"/>
      <c r="AF13" s="20" t="str">
        <f>IF($AO$7="","",IF(VLOOKUP($AO$7,Baza!$E$2:$AIR$59,$AN12+28,0)="","",VLOOKUP($AO$7,Baza!$E$2:$AIR$59,$AN12+28,0)))</f>
        <v/>
      </c>
      <c r="AG13" s="20" t="str">
        <f>IF($AO$7="","",IF(VLOOKUP($AO$7,Baza!$E$2:$AIR$59,$AN12+29,0)="","",VLOOKUP($AO$7,Baza!$E$2:$AIR$59,$AN12+29,0)))</f>
        <v/>
      </c>
      <c r="AH13" s="32" t="str">
        <f>IF($AO$7="","",IF(VLOOKUP($AO$7,Baza!$E$2:$AIR$59,$AN12+30,0)="","",VLOOKUP($AO$7,Baza!$E$2:$AIR$59,$AN12+30,0)))</f>
        <v/>
      </c>
      <c r="AI13" s="133"/>
      <c r="AJ13" s="20" t="str">
        <f>IF($AO$7="","",IF(VLOOKUP($AO$7,Baza!$E$2:$AIR$59,$AN12+32,0)="","",VLOOKUP($AO$7,Baza!$E$2:$AIR$59,$AN12+32,0)))</f>
        <v/>
      </c>
      <c r="AK13" s="20" t="str">
        <f>IF($AO$7="","",IF(VLOOKUP($AO$7,Baza!$E$2:$AIR$59,$AN12+33,0)="","",VLOOKUP($AO$7,Baza!$E$2:$AIR$59,$AN12+33,0)))</f>
        <v/>
      </c>
      <c r="AL13" s="127"/>
      <c r="AM13" s="130"/>
      <c r="AN13" s="70">
        <f>AN8+38</f>
        <v>53</v>
      </c>
    </row>
    <row r="14" spans="1:41" ht="19.95" customHeight="1">
      <c r="A14" s="146"/>
      <c r="B14" s="146"/>
      <c r="C14" s="18" t="s">
        <v>107</v>
      </c>
      <c r="D14" s="148"/>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7"/>
      <c r="R14" s="124"/>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7"/>
      <c r="AE14" s="124"/>
      <c r="AF14" s="20" t="str">
        <f>IF($AO$8="","",IF(VLOOKUP($AO$8,Baza!$E$2:$AIR$59,$AN13+28,0)="","",VLOOKUP($AO$8,Baza!$E$2:$AIR$59,$AN13+28,0)))</f>
        <v/>
      </c>
      <c r="AG14" s="20" t="str">
        <f>IF($AO$8="","",IF(VLOOKUP($AO$8,Baza!$E$2:$AIR$59,$AN13+29,0)="","",VLOOKUP($AO$8,Baza!$E$2:$AIR$59,$AN13+29,0)))</f>
        <v/>
      </c>
      <c r="AH14" s="32" t="str">
        <f>IF($AO$8="","",IF(VLOOKUP($AO$8,Baza!$E$2:$AIR$59,$AN13+30,0)="","",VLOOKUP($AO$8,Baza!$E$2:$AIR$59,$AN13+30,0)))</f>
        <v/>
      </c>
      <c r="AI14" s="133"/>
      <c r="AJ14" s="20" t="str">
        <f>IF($AO$8="","",IF(VLOOKUP($AO$8,Baza!$E$2:$AIR$59,$AN13+32,0)="","",VLOOKUP($AO$8,Baza!$E$2:$AIR$59,$AN13+32,0)))</f>
        <v/>
      </c>
      <c r="AK14" s="20" t="str">
        <f>IF($AO$8="","",IF(VLOOKUP($AO$8,Baza!$E$2:$AIR$59,$AN13+33,0)="","",VLOOKUP($AO$8,Baza!$E$2:$AIR$59,$AN13+33,0)))</f>
        <v/>
      </c>
      <c r="AL14" s="127"/>
      <c r="AM14" s="130"/>
      <c r="AN14" s="70">
        <f t="shared" ref="AN14:AN16" si="0">AN9+38</f>
        <v>53</v>
      </c>
    </row>
    <row r="15" spans="1:41" ht="19.95" customHeight="1">
      <c r="A15" s="146"/>
      <c r="B15" s="146"/>
      <c r="C15" s="18" t="s">
        <v>108</v>
      </c>
      <c r="D15" s="148"/>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7"/>
      <c r="R15" s="124"/>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7"/>
      <c r="AE15" s="124"/>
      <c r="AF15" s="20" t="str">
        <f>IF($AO$9="","",IF(VLOOKUP($AO$9,Baza!$E$2:$AIR$59,$AN14+28,0)="","",VLOOKUP($AO$9,Baza!$E$2:$AIR$59,$AN14+28,0)))</f>
        <v/>
      </c>
      <c r="AG15" s="20" t="str">
        <f>IF($AO$9="","",IF(VLOOKUP($AO$9,Baza!$E$2:$AIR$59,$AN14+29,0)="","",VLOOKUP($AO$9,Baza!$E$2:$AIR$59,$AN14+29,0)))</f>
        <v/>
      </c>
      <c r="AH15" s="32" t="str">
        <f>IF($AO$9="","",IF(VLOOKUP($AO$9,Baza!$E$2:$AIR$59,$AN14+30,0)="","",VLOOKUP($AO$9,Baza!$E$2:$AIR$59,$AN14+30,0)))</f>
        <v/>
      </c>
      <c r="AI15" s="133"/>
      <c r="AJ15" s="20" t="str">
        <f>IF($AO$9="","",IF(VLOOKUP($AO$9,Baza!$E$2:$AIR$59,$AN14+32,0)="","",VLOOKUP($AO$9,Baza!$E$2:$AIR$59,$AN14+32,0)))</f>
        <v/>
      </c>
      <c r="AK15" s="20" t="str">
        <f>IF($AO$9="","",IF(VLOOKUP($AO$9,Baza!$E$2:$AIR$59,$AN14+33,0)="","",VLOOKUP($AO$9,Baza!$E$2:$AIR$59,$AN14+33,0)))</f>
        <v/>
      </c>
      <c r="AL15" s="127"/>
      <c r="AM15" s="130"/>
      <c r="AN15" s="70">
        <f t="shared" si="0"/>
        <v>53</v>
      </c>
    </row>
    <row r="16" spans="1:41" ht="19.95" customHeight="1">
      <c r="A16" s="147"/>
      <c r="B16" s="147"/>
      <c r="C16" s="18" t="s">
        <v>109</v>
      </c>
      <c r="D16" s="148"/>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8"/>
      <c r="R16" s="125"/>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8"/>
      <c r="AE16" s="125"/>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4"/>
      <c r="AJ16" s="20" t="str">
        <f>IF($AO$10="","",IF(VLOOKUP($AO$10,Baza!$E$2:$AIR$59,$AN15+32,0)="","",VLOOKUP($AO$10,Baza!$E$2:$AIR$59,$AN15+32,0)))</f>
        <v/>
      </c>
      <c r="AK16" s="20" t="str">
        <f>IF($AO$10="","",IF(VLOOKUP($AO$10,Baza!$E$2:$AIR$59,$AN15+33,0)="","",VLOOKUP($AO$10,Baza!$E$2:$AIR$59,$AN15+33,0)))</f>
        <v/>
      </c>
      <c r="AL16" s="128"/>
      <c r="AM16" s="131"/>
      <c r="AN16" s="70">
        <f t="shared" si="0"/>
        <v>53</v>
      </c>
    </row>
    <row r="17" spans="1:40" ht="19.95" customHeight="1">
      <c r="A17" s="145">
        <v>104</v>
      </c>
      <c r="B17" s="145" t="s">
        <v>49</v>
      </c>
      <c r="C17" s="29" t="s">
        <v>31</v>
      </c>
      <c r="D17" s="148"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6" t="e">
        <f>IF(VLOOKUP($B$3,Baza!$E$2:$AIR$59,$AN17+13,0)="","",VLOOKUP($B$3,Baza!$E$2:$AIR$59,$AN17+13,0))</f>
        <v>#N/A</v>
      </c>
      <c r="R17" s="123"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6" t="e">
        <f>IF(VLOOKUP($B$3,Baza!$E$2:$AIR$59,$AN17+26,0)="","",VLOOKUP($B$3,Baza!$E$2:$AIR$59,$AN17+26,0))</f>
        <v>#N/A</v>
      </c>
      <c r="AE17" s="123"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2" t="e">
        <f>IF(VLOOKUP($B$3,Baza!$E$2:$AIR$59,$AN17+31,0)="","",VLOOKUP($B$3,Baza!$E$2:$AIR$59,$AN17+31,0))</f>
        <v>#N/A</v>
      </c>
      <c r="AJ17" s="13" t="e">
        <f>IF(VLOOKUP($B$3,Baza!$E$2:$AIR$59,$AN17+32,0)="","",VLOOKUP($B$3,Baza!$E$2:$AIR$59,$AN17+32,0))</f>
        <v>#N/A</v>
      </c>
      <c r="AK17" s="13" t="e">
        <f>IF(VLOOKUP($B$3,Baza!$E$2:$AIR$59,$AN17+33,0)="","",VLOOKUP($B$3,Baza!$E$2:$AIR$59,$AN17+33,0))</f>
        <v>#N/A</v>
      </c>
      <c r="AL17" s="126" t="e">
        <f>IF(VLOOKUP($B$3,Baza!$E$2:$AIR$59,$AN17+34,0)="","",VLOOKUP($B$3,Baza!$E$2:$AIR$59,$AN17+34,0))</f>
        <v>#N/A</v>
      </c>
      <c r="AM17" s="129" t="e">
        <f>IF(VLOOKUP($B$3,Baza!$E$2:$AIR$59,$AN17+35,0)="","",VLOOKUP($B$3,Baza!$E$2:$AIR$59,$AN17+35,0))</f>
        <v>#N/A</v>
      </c>
      <c r="AN17" s="70">
        <f>AN12+38</f>
        <v>91</v>
      </c>
    </row>
    <row r="18" spans="1:40" ht="19.95" customHeight="1">
      <c r="A18" s="146"/>
      <c r="B18" s="146"/>
      <c r="C18" s="18" t="s">
        <v>106</v>
      </c>
      <c r="D18" s="148"/>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7"/>
      <c r="R18" s="124"/>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7"/>
      <c r="AE18" s="124"/>
      <c r="AF18" s="20" t="str">
        <f>IF($AO$7="","",IF(VLOOKUP($AO$7,Baza!$E$2:$AIR$59,$AN17+28,0)="","",VLOOKUP($AO$7,Baza!$E$2:$AIR$59,$AN17+28,0)))</f>
        <v/>
      </c>
      <c r="AG18" s="20" t="str">
        <f>IF($AO$7="","",IF(VLOOKUP($AO$7,Baza!$E$2:$AIR$59,$AN17+29,0)="","",VLOOKUP($AO$7,Baza!$E$2:$AIR$59,$AN17+29,0)))</f>
        <v/>
      </c>
      <c r="AH18" s="32" t="str">
        <f>IF($AO$7="","",IF(VLOOKUP($AO$7,Baza!$E$2:$AIR$59,$AN17+30,0)="","",VLOOKUP($AO$7,Baza!$E$2:$AIR$59,$AN17+30,0)))</f>
        <v/>
      </c>
      <c r="AI18" s="133"/>
      <c r="AJ18" s="20" t="str">
        <f>IF($AO$7="","",IF(VLOOKUP($AO$7,Baza!$E$2:$AIR$59,$AN17+32,0)="","",VLOOKUP($AO$7,Baza!$E$2:$AIR$59,$AN17+32,0)))</f>
        <v/>
      </c>
      <c r="AK18" s="20" t="str">
        <f>IF($AO$7="","",IF(VLOOKUP($AO$7,Baza!$E$2:$AIR$59,$AN17+33,0)="","",VLOOKUP($AO$7,Baza!$E$2:$AIR$59,$AN17+33,0)))</f>
        <v/>
      </c>
      <c r="AL18" s="127"/>
      <c r="AM18" s="130"/>
      <c r="AN18" s="70">
        <f>AN13+38</f>
        <v>91</v>
      </c>
    </row>
    <row r="19" spans="1:40" ht="19.95" customHeight="1">
      <c r="A19" s="146"/>
      <c r="B19" s="146"/>
      <c r="C19" s="18" t="s">
        <v>107</v>
      </c>
      <c r="D19" s="148"/>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7"/>
      <c r="R19" s="124"/>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7"/>
      <c r="AE19" s="124"/>
      <c r="AF19" s="20" t="str">
        <f>IF($AO$8="","",IF(VLOOKUP($AO$8,Baza!$E$2:$AIR$59,$AN18+28,0)="","",VLOOKUP($AO$8,Baza!$E$2:$AIR$59,$AN18+28,0)))</f>
        <v/>
      </c>
      <c r="AG19" s="20" t="str">
        <f>IF($AO$8="","",IF(VLOOKUP($AO$8,Baza!$E$2:$AIR$59,$AN18+29,0)="","",VLOOKUP($AO$8,Baza!$E$2:$AIR$59,$AN18+29,0)))</f>
        <v/>
      </c>
      <c r="AH19" s="32" t="str">
        <f>IF($AO$8="","",IF(VLOOKUP($AO$8,Baza!$E$2:$AIR$59,$AN18+30,0)="","",VLOOKUP($AO$8,Baza!$E$2:$AIR$59,$AN18+30,0)))</f>
        <v/>
      </c>
      <c r="AI19" s="133"/>
      <c r="AJ19" s="20" t="str">
        <f>IF($AO$8="","",IF(VLOOKUP($AO$8,Baza!$E$2:$AIR$59,$AN18+32,0)="","",VLOOKUP($AO$8,Baza!$E$2:$AIR$59,$AN18+32,0)))</f>
        <v/>
      </c>
      <c r="AK19" s="20" t="str">
        <f>IF($AO$8="","",IF(VLOOKUP($AO$8,Baza!$E$2:$AIR$59,$AN18+33,0)="","",VLOOKUP($AO$8,Baza!$E$2:$AIR$59,$AN18+33,0)))</f>
        <v/>
      </c>
      <c r="AL19" s="127"/>
      <c r="AM19" s="130"/>
      <c r="AN19" s="70">
        <f t="shared" ref="AN19:AN82" si="1">AN14+38</f>
        <v>91</v>
      </c>
    </row>
    <row r="20" spans="1:40" ht="19.95" customHeight="1">
      <c r="A20" s="146"/>
      <c r="B20" s="146"/>
      <c r="C20" s="18" t="s">
        <v>108</v>
      </c>
      <c r="D20" s="148"/>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7"/>
      <c r="R20" s="124"/>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7"/>
      <c r="AE20" s="124"/>
      <c r="AF20" s="20" t="str">
        <f>IF($AO$9="","",IF(VLOOKUP($AO$9,Baza!$E$2:$AIR$59,$AN19+28,0)="","",VLOOKUP($AO$9,Baza!$E$2:$AIR$59,$AN19+28,0)))</f>
        <v/>
      </c>
      <c r="AG20" s="20" t="str">
        <f>IF($AO$9="","",IF(VLOOKUP($AO$9,Baza!$E$2:$AIR$59,$AN19+29,0)="","",VLOOKUP($AO$9,Baza!$E$2:$AIR$59,$AN19+29,0)))</f>
        <v/>
      </c>
      <c r="AH20" s="32" t="str">
        <f>IF($AO$9="","",IF(VLOOKUP($AO$9,Baza!$E$2:$AIR$59,$AN19+30,0)="","",VLOOKUP($AO$9,Baza!$E$2:$AIR$59,$AN19+30,0)))</f>
        <v/>
      </c>
      <c r="AI20" s="133"/>
      <c r="AJ20" s="20" t="str">
        <f>IF($AO$9="","",IF(VLOOKUP($AO$9,Baza!$E$2:$AIR$59,$AN19+32,0)="","",VLOOKUP($AO$9,Baza!$E$2:$AIR$59,$AN19+32,0)))</f>
        <v/>
      </c>
      <c r="AK20" s="20" t="str">
        <f>IF($AO$9="","",IF(VLOOKUP($AO$9,Baza!$E$2:$AIR$59,$AN19+33,0)="","",VLOOKUP($AO$9,Baza!$E$2:$AIR$59,$AN19+33,0)))</f>
        <v/>
      </c>
      <c r="AL20" s="127"/>
      <c r="AM20" s="130"/>
      <c r="AN20" s="70">
        <f t="shared" si="1"/>
        <v>91</v>
      </c>
    </row>
    <row r="21" spans="1:40" ht="19.95" customHeight="1">
      <c r="A21" s="147"/>
      <c r="B21" s="147"/>
      <c r="C21" s="18" t="s">
        <v>109</v>
      </c>
      <c r="D21" s="148"/>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8"/>
      <c r="R21" s="125"/>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8"/>
      <c r="AE21" s="125"/>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4"/>
      <c r="AJ21" s="20" t="str">
        <f>IF($AO$10="","",IF(VLOOKUP($AO$10,Baza!$E$2:$AIR$59,$AN20+32,0)="","",VLOOKUP($AO$10,Baza!$E$2:$AIR$59,$AN20+32,0)))</f>
        <v/>
      </c>
      <c r="AK21" s="20" t="str">
        <f>IF($AO$10="","",IF(VLOOKUP($AO$10,Baza!$E$2:$AIR$59,$AN20+33,0)="","",VLOOKUP($AO$10,Baza!$E$2:$AIR$59,$AN20+33,0)))</f>
        <v/>
      </c>
      <c r="AL21" s="128"/>
      <c r="AM21" s="131"/>
      <c r="AN21" s="70">
        <f t="shared" si="1"/>
        <v>91</v>
      </c>
    </row>
    <row r="22" spans="1:40" ht="19.95" customHeight="1">
      <c r="A22" s="145">
        <v>106</v>
      </c>
      <c r="B22" s="145" t="s">
        <v>51</v>
      </c>
      <c r="C22" s="29" t="s">
        <v>31</v>
      </c>
      <c r="D22" s="148"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6" t="e">
        <f>IF(VLOOKUP($B$3,Baza!$E$2:$AIR$59,$AN22+13,0)="","",VLOOKUP($B$3,Baza!$E$2:$AIR$59,$AN22+13,0))</f>
        <v>#N/A</v>
      </c>
      <c r="R22" s="123"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6" t="e">
        <f>IF(VLOOKUP($B$3,Baza!$E$2:$AIR$59,$AN22+26,0)="","",VLOOKUP($B$3,Baza!$E$2:$AIR$59,$AN22+26,0))</f>
        <v>#N/A</v>
      </c>
      <c r="AE22" s="123"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2" t="e">
        <f>IF(VLOOKUP($B$3,Baza!$E$2:$AIR$59,$AN22+31,0)="","",VLOOKUP($B$3,Baza!$E$2:$AIR$59,$AN22+31,0))</f>
        <v>#N/A</v>
      </c>
      <c r="AJ22" s="13" t="e">
        <f>IF(VLOOKUP($B$3,Baza!$E$2:$AIR$59,$AN22+32,0)="","",VLOOKUP($B$3,Baza!$E$2:$AIR$59,$AN22+32,0))</f>
        <v>#N/A</v>
      </c>
      <c r="AK22" s="13" t="e">
        <f>IF(VLOOKUP($B$3,Baza!$E$2:$AIR$59,$AN22+33,0)="","",VLOOKUP($B$3,Baza!$E$2:$AIR$59,$AN22+33,0))</f>
        <v>#N/A</v>
      </c>
      <c r="AL22" s="126" t="e">
        <f>IF(VLOOKUP($B$3,Baza!$E$2:$AIR$59,$AN22+34,0)="","",VLOOKUP($B$3,Baza!$E$2:$AIR$59,$AN22+34,0))</f>
        <v>#N/A</v>
      </c>
      <c r="AM22" s="129" t="e">
        <f>IF(VLOOKUP($B$3,Baza!$E$2:$AIR$59,$AN22+35,0)="","",VLOOKUP($B$3,Baza!$E$2:$AIR$59,$AN22+35,0))</f>
        <v>#N/A</v>
      </c>
      <c r="AN22" s="70">
        <f t="shared" si="1"/>
        <v>129</v>
      </c>
    </row>
    <row r="23" spans="1:40" ht="19.95" customHeight="1">
      <c r="A23" s="146"/>
      <c r="B23" s="146"/>
      <c r="C23" s="18" t="s">
        <v>106</v>
      </c>
      <c r="D23" s="148"/>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7"/>
      <c r="R23" s="124"/>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7"/>
      <c r="AE23" s="124"/>
      <c r="AF23" s="20" t="str">
        <f>IF($AO$7="","",IF(VLOOKUP($AO$7,Baza!$E$2:$AIR$59,$AN22+28,0)="","",VLOOKUP($AO$7,Baza!$E$2:$AIR$59,$AN22+28,0)))</f>
        <v/>
      </c>
      <c r="AG23" s="20" t="str">
        <f>IF($AO$7="","",IF(VLOOKUP($AO$7,Baza!$E$2:$AIR$59,$AN22+29,0)="","",VLOOKUP($AO$7,Baza!$E$2:$AIR$59,$AN22+29,0)))</f>
        <v/>
      </c>
      <c r="AH23" s="32" t="str">
        <f>IF($AO$7="","",IF(VLOOKUP($AO$7,Baza!$E$2:$AIR$59,$AN22+30,0)="","",VLOOKUP($AO$7,Baza!$E$2:$AIR$59,$AN22+30,0)))</f>
        <v/>
      </c>
      <c r="AI23" s="133"/>
      <c r="AJ23" s="20" t="str">
        <f>IF($AO$7="","",IF(VLOOKUP($AO$7,Baza!$E$2:$AIR$59,$AN22+32,0)="","",VLOOKUP($AO$7,Baza!$E$2:$AIR$59,$AN22+32,0)))</f>
        <v/>
      </c>
      <c r="AK23" s="20" t="str">
        <f>IF($AO$7="","",IF(VLOOKUP($AO$7,Baza!$E$2:$AIR$59,$AN22+33,0)="","",VLOOKUP($AO$7,Baza!$E$2:$AIR$59,$AN22+33,0)))</f>
        <v/>
      </c>
      <c r="AL23" s="127"/>
      <c r="AM23" s="130"/>
      <c r="AN23" s="70">
        <f t="shared" si="1"/>
        <v>129</v>
      </c>
    </row>
    <row r="24" spans="1:40" ht="19.95" customHeight="1">
      <c r="A24" s="146"/>
      <c r="B24" s="146"/>
      <c r="C24" s="18" t="s">
        <v>107</v>
      </c>
      <c r="D24" s="148"/>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7"/>
      <c r="R24" s="124"/>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7"/>
      <c r="AE24" s="124"/>
      <c r="AF24" s="20" t="str">
        <f>IF($AO$8="","",IF(VLOOKUP($AO$8,Baza!$E$2:$AIR$59,$AN23+28,0)="","",VLOOKUP($AO$8,Baza!$E$2:$AIR$59,$AN23+28,0)))</f>
        <v/>
      </c>
      <c r="AG24" s="20" t="str">
        <f>IF($AO$8="","",IF(VLOOKUP($AO$8,Baza!$E$2:$AIR$59,$AN23+29,0)="","",VLOOKUP($AO$8,Baza!$E$2:$AIR$59,$AN23+29,0)))</f>
        <v/>
      </c>
      <c r="AH24" s="32" t="str">
        <f>IF($AO$8="","",IF(VLOOKUP($AO$8,Baza!$E$2:$AIR$59,$AN23+30,0)="","",VLOOKUP($AO$8,Baza!$E$2:$AIR$59,$AN23+30,0)))</f>
        <v/>
      </c>
      <c r="AI24" s="133"/>
      <c r="AJ24" s="20" t="str">
        <f>IF($AO$8="","",IF(VLOOKUP($AO$8,Baza!$E$2:$AIR$59,$AN23+32,0)="","",VLOOKUP($AO$8,Baza!$E$2:$AIR$59,$AN23+32,0)))</f>
        <v/>
      </c>
      <c r="AK24" s="20" t="str">
        <f>IF($AO$8="","",IF(VLOOKUP($AO$8,Baza!$E$2:$AIR$59,$AN23+33,0)="","",VLOOKUP($AO$8,Baza!$E$2:$AIR$59,$AN23+33,0)))</f>
        <v/>
      </c>
      <c r="AL24" s="127"/>
      <c r="AM24" s="130"/>
      <c r="AN24" s="70">
        <f t="shared" si="1"/>
        <v>129</v>
      </c>
    </row>
    <row r="25" spans="1:40" ht="19.95" customHeight="1">
      <c r="A25" s="146"/>
      <c r="B25" s="146"/>
      <c r="C25" s="18" t="s">
        <v>108</v>
      </c>
      <c r="D25" s="148"/>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7"/>
      <c r="R25" s="124"/>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7"/>
      <c r="AE25" s="124"/>
      <c r="AF25" s="20" t="str">
        <f>IF($AO$9="","",IF(VLOOKUP($AO$9,Baza!$E$2:$AIR$59,$AN24+28,0)="","",VLOOKUP($AO$9,Baza!$E$2:$AIR$59,$AN24+28,0)))</f>
        <v/>
      </c>
      <c r="AG25" s="20" t="str">
        <f>IF($AO$9="","",IF(VLOOKUP($AO$9,Baza!$E$2:$AIR$59,$AN24+29,0)="","",VLOOKUP($AO$9,Baza!$E$2:$AIR$59,$AN24+29,0)))</f>
        <v/>
      </c>
      <c r="AH25" s="32" t="str">
        <f>IF($AO$9="","",IF(VLOOKUP($AO$9,Baza!$E$2:$AIR$59,$AN24+30,0)="","",VLOOKUP($AO$9,Baza!$E$2:$AIR$59,$AN24+30,0)))</f>
        <v/>
      </c>
      <c r="AI25" s="133"/>
      <c r="AJ25" s="20" t="str">
        <f>IF($AO$9="","",IF(VLOOKUP($AO$9,Baza!$E$2:$AIR$59,$AN24+32,0)="","",VLOOKUP($AO$9,Baza!$E$2:$AIR$59,$AN24+32,0)))</f>
        <v/>
      </c>
      <c r="AK25" s="20" t="str">
        <f>IF($AO$9="","",IF(VLOOKUP($AO$9,Baza!$E$2:$AIR$59,$AN24+33,0)="","",VLOOKUP($AO$9,Baza!$E$2:$AIR$59,$AN24+33,0)))</f>
        <v/>
      </c>
      <c r="AL25" s="127"/>
      <c r="AM25" s="130"/>
      <c r="AN25" s="70">
        <f t="shared" si="1"/>
        <v>129</v>
      </c>
    </row>
    <row r="26" spans="1:40" ht="19.95" customHeight="1">
      <c r="A26" s="147"/>
      <c r="B26" s="147"/>
      <c r="C26" s="18" t="s">
        <v>109</v>
      </c>
      <c r="D26" s="148"/>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8"/>
      <c r="R26" s="125"/>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8"/>
      <c r="AE26" s="125"/>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4"/>
      <c r="AJ26" s="20" t="str">
        <f>IF($AO$10="","",IF(VLOOKUP($AO$10,Baza!$E$2:$AIR$59,$AN25+32,0)="","",VLOOKUP($AO$10,Baza!$E$2:$AIR$59,$AN25+32,0)))</f>
        <v/>
      </c>
      <c r="AK26" s="20" t="str">
        <f>IF($AO$10="","",IF(VLOOKUP($AO$10,Baza!$E$2:$AIR$59,$AN25+33,0)="","",VLOOKUP($AO$10,Baza!$E$2:$AIR$59,$AN25+33,0)))</f>
        <v/>
      </c>
      <c r="AL26" s="128"/>
      <c r="AM26" s="131"/>
      <c r="AN26" s="70">
        <f t="shared" si="1"/>
        <v>129</v>
      </c>
    </row>
    <row r="27" spans="1:40" ht="19.95" customHeight="1">
      <c r="A27" s="145">
        <v>110</v>
      </c>
      <c r="B27" s="145" t="s">
        <v>53</v>
      </c>
      <c r="C27" s="29" t="s">
        <v>31</v>
      </c>
      <c r="D27" s="148"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6" t="e">
        <f>IF(VLOOKUP($B$3,Baza!$E$2:$AIR$59,$AN27+13,0)="","",VLOOKUP($B$3,Baza!$E$2:$AIR$59,$AN27+13,0))</f>
        <v>#N/A</v>
      </c>
      <c r="R27" s="123"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6" t="e">
        <f>IF(VLOOKUP($B$3,Baza!$E$2:$AIR$59,$AN27+26,0)="","",VLOOKUP($B$3,Baza!$E$2:$AIR$59,$AN27+26,0))</f>
        <v>#N/A</v>
      </c>
      <c r="AE27" s="123"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2" t="e">
        <f>IF(VLOOKUP($B$3,Baza!$E$2:$AIR$59,$AN27+31,0)="","",VLOOKUP($B$3,Baza!$E$2:$AIR$59,$AN27+31,0))</f>
        <v>#N/A</v>
      </c>
      <c r="AJ27" s="13" t="e">
        <f>IF(VLOOKUP($B$3,Baza!$E$2:$AIR$59,$AN27+32,0)="","",VLOOKUP($B$3,Baza!$E$2:$AIR$59,$AN27+32,0))</f>
        <v>#N/A</v>
      </c>
      <c r="AK27" s="13" t="e">
        <f>IF(VLOOKUP($B$3,Baza!$E$2:$AIR$59,$AN27+33,0)="","",VLOOKUP($B$3,Baza!$E$2:$AIR$59,$AN27+33,0))</f>
        <v>#N/A</v>
      </c>
      <c r="AL27" s="126" t="e">
        <f>IF(VLOOKUP($B$3,Baza!$E$2:$AIR$59,$AN27+34,0)="","",VLOOKUP($B$3,Baza!$E$2:$AIR$59,$AN27+34,0))</f>
        <v>#N/A</v>
      </c>
      <c r="AM27" s="129" t="e">
        <f>IF(VLOOKUP($B$3,Baza!$E$2:$AIR$59,$AN27+35,0)="","",VLOOKUP($B$3,Baza!$E$2:$AIR$59,$AN27+35,0))</f>
        <v>#N/A</v>
      </c>
      <c r="AN27" s="70">
        <f t="shared" si="1"/>
        <v>167</v>
      </c>
    </row>
    <row r="28" spans="1:40" ht="19.95" customHeight="1">
      <c r="A28" s="146"/>
      <c r="B28" s="146"/>
      <c r="C28" s="18" t="s">
        <v>106</v>
      </c>
      <c r="D28" s="148"/>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7"/>
      <c r="R28" s="124"/>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7"/>
      <c r="AE28" s="124"/>
      <c r="AF28" s="20" t="str">
        <f>IF($AO$7="","",IF(VLOOKUP($AO$7,Baza!$E$2:$AIR$59,$AN27+28,0)="","",VLOOKUP($AO$7,Baza!$E$2:$AIR$59,$AN27+28,0)))</f>
        <v/>
      </c>
      <c r="AG28" s="20" t="str">
        <f>IF($AO$7="","",IF(VLOOKUP($AO$7,Baza!$E$2:$AIR$59,$AN27+29,0)="","",VLOOKUP($AO$7,Baza!$E$2:$AIR$59,$AN27+29,0)))</f>
        <v/>
      </c>
      <c r="AH28" s="32" t="str">
        <f>IF($AO$7="","",IF(VLOOKUP($AO$7,Baza!$E$2:$AIR$59,$AN27+30,0)="","",VLOOKUP($AO$7,Baza!$E$2:$AIR$59,$AN27+30,0)))</f>
        <v/>
      </c>
      <c r="AI28" s="133"/>
      <c r="AJ28" s="20" t="str">
        <f>IF($AO$7="","",IF(VLOOKUP($AO$7,Baza!$E$2:$AIR$59,$AN27+32,0)="","",VLOOKUP($AO$7,Baza!$E$2:$AIR$59,$AN27+32,0)))</f>
        <v/>
      </c>
      <c r="AK28" s="20" t="str">
        <f>IF($AO$7="","",IF(VLOOKUP($AO$7,Baza!$E$2:$AIR$59,$AN27+33,0)="","",VLOOKUP($AO$7,Baza!$E$2:$AIR$59,$AN27+33,0)))</f>
        <v/>
      </c>
      <c r="AL28" s="127"/>
      <c r="AM28" s="130"/>
      <c r="AN28" s="70">
        <f t="shared" si="1"/>
        <v>167</v>
      </c>
    </row>
    <row r="29" spans="1:40" ht="19.95" customHeight="1">
      <c r="A29" s="146"/>
      <c r="B29" s="146"/>
      <c r="C29" s="18" t="s">
        <v>107</v>
      </c>
      <c r="D29" s="148"/>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7"/>
      <c r="R29" s="124"/>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7"/>
      <c r="AE29" s="124"/>
      <c r="AF29" s="20" t="str">
        <f>IF($AO$8="","",IF(VLOOKUP($AO$8,Baza!$E$2:$AIR$59,$AN28+28,0)="","",VLOOKUP($AO$8,Baza!$E$2:$AIR$59,$AN28+28,0)))</f>
        <v/>
      </c>
      <c r="AG29" s="20" t="str">
        <f>IF($AO$8="","",IF(VLOOKUP($AO$8,Baza!$E$2:$AIR$59,$AN28+29,0)="","",VLOOKUP($AO$8,Baza!$E$2:$AIR$59,$AN28+29,0)))</f>
        <v/>
      </c>
      <c r="AH29" s="32" t="str">
        <f>IF($AO$8="","",IF(VLOOKUP($AO$8,Baza!$E$2:$AIR$59,$AN28+30,0)="","",VLOOKUP($AO$8,Baza!$E$2:$AIR$59,$AN28+30,0)))</f>
        <v/>
      </c>
      <c r="AI29" s="133"/>
      <c r="AJ29" s="20" t="str">
        <f>IF($AO$8="","",IF(VLOOKUP($AO$8,Baza!$E$2:$AIR$59,$AN28+32,0)="","",VLOOKUP($AO$8,Baza!$E$2:$AIR$59,$AN28+32,0)))</f>
        <v/>
      </c>
      <c r="AK29" s="20" t="str">
        <f>IF($AO$8="","",IF(VLOOKUP($AO$8,Baza!$E$2:$AIR$59,$AN28+33,0)="","",VLOOKUP($AO$8,Baza!$E$2:$AIR$59,$AN28+33,0)))</f>
        <v/>
      </c>
      <c r="AL29" s="127"/>
      <c r="AM29" s="130"/>
      <c r="AN29" s="70">
        <f t="shared" si="1"/>
        <v>167</v>
      </c>
    </row>
    <row r="30" spans="1:40" ht="19.95" customHeight="1">
      <c r="A30" s="146"/>
      <c r="B30" s="146"/>
      <c r="C30" s="18" t="s">
        <v>108</v>
      </c>
      <c r="D30" s="148"/>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7"/>
      <c r="R30" s="124"/>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7"/>
      <c r="AE30" s="124"/>
      <c r="AF30" s="20" t="str">
        <f>IF($AO$9="","",IF(VLOOKUP($AO$9,Baza!$E$2:$AIR$59,$AN29+28,0)="","",VLOOKUP($AO$9,Baza!$E$2:$AIR$59,$AN29+28,0)))</f>
        <v/>
      </c>
      <c r="AG30" s="20" t="str">
        <f>IF($AO$9="","",IF(VLOOKUP($AO$9,Baza!$E$2:$AIR$59,$AN29+29,0)="","",VLOOKUP($AO$9,Baza!$E$2:$AIR$59,$AN29+29,0)))</f>
        <v/>
      </c>
      <c r="AH30" s="32" t="str">
        <f>IF($AO$9="","",IF(VLOOKUP($AO$9,Baza!$E$2:$AIR$59,$AN29+30,0)="","",VLOOKUP($AO$9,Baza!$E$2:$AIR$59,$AN29+30,0)))</f>
        <v/>
      </c>
      <c r="AI30" s="133"/>
      <c r="AJ30" s="20" t="str">
        <f>IF($AO$9="","",IF(VLOOKUP($AO$9,Baza!$E$2:$AIR$59,$AN29+32,0)="","",VLOOKUP($AO$9,Baza!$E$2:$AIR$59,$AN29+32,0)))</f>
        <v/>
      </c>
      <c r="AK30" s="20" t="str">
        <f>IF($AO$9="","",IF(VLOOKUP($AO$9,Baza!$E$2:$AIR$59,$AN29+33,0)="","",VLOOKUP($AO$9,Baza!$E$2:$AIR$59,$AN29+33,0)))</f>
        <v/>
      </c>
      <c r="AL30" s="127"/>
      <c r="AM30" s="130"/>
      <c r="AN30" s="70">
        <f t="shared" si="1"/>
        <v>167</v>
      </c>
    </row>
    <row r="31" spans="1:40" ht="19.95" customHeight="1">
      <c r="A31" s="147"/>
      <c r="B31" s="147"/>
      <c r="C31" s="18" t="s">
        <v>109</v>
      </c>
      <c r="D31" s="148"/>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8"/>
      <c r="R31" s="125"/>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8"/>
      <c r="AE31" s="125"/>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4"/>
      <c r="AJ31" s="20" t="str">
        <f>IF($AO$10="","",IF(VLOOKUP($AO$10,Baza!$E$2:$AIR$59,$AN30+32,0)="","",VLOOKUP($AO$10,Baza!$E$2:$AIR$59,$AN30+32,0)))</f>
        <v/>
      </c>
      <c r="AK31" s="20" t="str">
        <f>IF($AO$10="","",IF(VLOOKUP($AO$10,Baza!$E$2:$AIR$59,$AN30+33,0)="","",VLOOKUP($AO$10,Baza!$E$2:$AIR$59,$AN30+33,0)))</f>
        <v/>
      </c>
      <c r="AL31" s="128"/>
      <c r="AM31" s="131"/>
      <c r="AN31" s="70">
        <f t="shared" si="1"/>
        <v>167</v>
      </c>
    </row>
    <row r="32" spans="1:40" ht="19.95" customHeight="1">
      <c r="A32" s="145">
        <v>114</v>
      </c>
      <c r="B32" s="145" t="s">
        <v>55</v>
      </c>
      <c r="C32" s="29" t="s">
        <v>31</v>
      </c>
      <c r="D32" s="148"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6" t="e">
        <f>IF(VLOOKUP($B$3,Baza!$E$2:$AIR$59,$AN32+13,0)="","",VLOOKUP($B$3,Baza!$E$2:$AIR$59,$AN32+13,0))</f>
        <v>#N/A</v>
      </c>
      <c r="R32" s="123"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6" t="e">
        <f>IF(VLOOKUP($B$3,Baza!$E$2:$AIR$59,$AN32+26,0)="","",VLOOKUP($B$3,Baza!$E$2:$AIR$59,$AN32+26,0))</f>
        <v>#N/A</v>
      </c>
      <c r="AE32" s="123"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2" t="e">
        <f>IF(VLOOKUP($B$3,Baza!$E$2:$AIR$59,$AN32+31,0)="","",VLOOKUP($B$3,Baza!$E$2:$AIR$59,$AN32+31,0))</f>
        <v>#N/A</v>
      </c>
      <c r="AJ32" s="13" t="e">
        <f>IF(VLOOKUP($B$3,Baza!$E$2:$AIR$59,$AN32+32,0)="","",VLOOKUP($B$3,Baza!$E$2:$AIR$59,$AN32+32,0))</f>
        <v>#N/A</v>
      </c>
      <c r="AK32" s="13" t="e">
        <f>IF(VLOOKUP($B$3,Baza!$E$2:$AIR$59,$AN32+33,0)="","",VLOOKUP($B$3,Baza!$E$2:$AIR$59,$AN32+33,0))</f>
        <v>#N/A</v>
      </c>
      <c r="AL32" s="126" t="e">
        <f>IF(VLOOKUP($B$3,Baza!$E$2:$AIR$59,$AN32+34,0)="","",VLOOKUP($B$3,Baza!$E$2:$AIR$59,$AN32+34,0))</f>
        <v>#N/A</v>
      </c>
      <c r="AM32" s="129" t="e">
        <f>IF(VLOOKUP($B$3,Baza!$E$2:$AIR$59,$AN32+35,0)="","",VLOOKUP($B$3,Baza!$E$2:$AIR$59,$AN32+35,0))</f>
        <v>#N/A</v>
      </c>
      <c r="AN32" s="70">
        <f t="shared" si="1"/>
        <v>205</v>
      </c>
    </row>
    <row r="33" spans="1:40" ht="19.95" customHeight="1">
      <c r="A33" s="146"/>
      <c r="B33" s="146"/>
      <c r="C33" s="18" t="s">
        <v>106</v>
      </c>
      <c r="D33" s="148"/>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7"/>
      <c r="R33" s="124"/>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7"/>
      <c r="AE33" s="124"/>
      <c r="AF33" s="20" t="str">
        <f>IF($AO$7="","",IF(VLOOKUP($AO$7,Baza!$E$2:$AIR$59,$AN32+28,0)="","",VLOOKUP($AO$7,Baza!$E$2:$AIR$59,$AN32+28,0)))</f>
        <v/>
      </c>
      <c r="AG33" s="20" t="str">
        <f>IF($AO$7="","",IF(VLOOKUP($AO$7,Baza!$E$2:$AIR$59,$AN32+29,0)="","",VLOOKUP($AO$7,Baza!$E$2:$AIR$59,$AN32+29,0)))</f>
        <v/>
      </c>
      <c r="AH33" s="32" t="str">
        <f>IF($AO$7="","",IF(VLOOKUP($AO$7,Baza!$E$2:$AIR$59,$AN32+30,0)="","",VLOOKUP($AO$7,Baza!$E$2:$AIR$59,$AN32+30,0)))</f>
        <v/>
      </c>
      <c r="AI33" s="133"/>
      <c r="AJ33" s="20" t="str">
        <f>IF($AO$7="","",IF(VLOOKUP($AO$7,Baza!$E$2:$AIR$59,$AN32+32,0)="","",VLOOKUP($AO$7,Baza!$E$2:$AIR$59,$AN32+32,0)))</f>
        <v/>
      </c>
      <c r="AK33" s="20" t="str">
        <f>IF($AO$7="","",IF(VLOOKUP($AO$7,Baza!$E$2:$AIR$59,$AN32+33,0)="","",VLOOKUP($AO$7,Baza!$E$2:$AIR$59,$AN32+33,0)))</f>
        <v/>
      </c>
      <c r="AL33" s="127"/>
      <c r="AM33" s="130"/>
      <c r="AN33" s="70">
        <f t="shared" si="1"/>
        <v>205</v>
      </c>
    </row>
    <row r="34" spans="1:40" ht="19.95" customHeight="1">
      <c r="A34" s="146"/>
      <c r="B34" s="146"/>
      <c r="C34" s="18" t="s">
        <v>107</v>
      </c>
      <c r="D34" s="148"/>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7"/>
      <c r="R34" s="124"/>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7"/>
      <c r="AE34" s="124"/>
      <c r="AF34" s="20" t="str">
        <f>IF($AO$8="","",IF(VLOOKUP($AO$8,Baza!$E$2:$AIR$59,$AN33+28,0)="","",VLOOKUP($AO$8,Baza!$E$2:$AIR$59,$AN33+28,0)))</f>
        <v/>
      </c>
      <c r="AG34" s="20" t="str">
        <f>IF($AO$8="","",IF(VLOOKUP($AO$8,Baza!$E$2:$AIR$59,$AN33+29,0)="","",VLOOKUP($AO$8,Baza!$E$2:$AIR$59,$AN33+29,0)))</f>
        <v/>
      </c>
      <c r="AH34" s="32" t="str">
        <f>IF($AO$8="","",IF(VLOOKUP($AO$8,Baza!$E$2:$AIR$59,$AN33+30,0)="","",VLOOKUP($AO$8,Baza!$E$2:$AIR$59,$AN33+30,0)))</f>
        <v/>
      </c>
      <c r="AI34" s="133"/>
      <c r="AJ34" s="20" t="str">
        <f>IF($AO$8="","",IF(VLOOKUP($AO$8,Baza!$E$2:$AIR$59,$AN33+32,0)="","",VLOOKUP($AO$8,Baza!$E$2:$AIR$59,$AN33+32,0)))</f>
        <v/>
      </c>
      <c r="AK34" s="20" t="str">
        <f>IF($AO$8="","",IF(VLOOKUP($AO$8,Baza!$E$2:$AIR$59,$AN33+33,0)="","",VLOOKUP($AO$8,Baza!$E$2:$AIR$59,$AN33+33,0)))</f>
        <v/>
      </c>
      <c r="AL34" s="127"/>
      <c r="AM34" s="130"/>
      <c r="AN34" s="70">
        <f t="shared" si="1"/>
        <v>205</v>
      </c>
    </row>
    <row r="35" spans="1:40" ht="19.95" customHeight="1">
      <c r="A35" s="146"/>
      <c r="B35" s="146"/>
      <c r="C35" s="18" t="s">
        <v>108</v>
      </c>
      <c r="D35" s="148"/>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7"/>
      <c r="R35" s="124"/>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7"/>
      <c r="AE35" s="124"/>
      <c r="AF35" s="20" t="str">
        <f>IF($AO$9="","",IF(VLOOKUP($AO$9,Baza!$E$2:$AIR$59,$AN34+28,0)="","",VLOOKUP($AO$9,Baza!$E$2:$AIR$59,$AN34+28,0)))</f>
        <v/>
      </c>
      <c r="AG35" s="20" t="str">
        <f>IF($AO$9="","",IF(VLOOKUP($AO$9,Baza!$E$2:$AIR$59,$AN34+29,0)="","",VLOOKUP($AO$9,Baza!$E$2:$AIR$59,$AN34+29,0)))</f>
        <v/>
      </c>
      <c r="AH35" s="32" t="str">
        <f>IF($AO$9="","",IF(VLOOKUP($AO$9,Baza!$E$2:$AIR$59,$AN34+30,0)="","",VLOOKUP($AO$9,Baza!$E$2:$AIR$59,$AN34+30,0)))</f>
        <v/>
      </c>
      <c r="AI35" s="133"/>
      <c r="AJ35" s="20" t="str">
        <f>IF($AO$9="","",IF(VLOOKUP($AO$9,Baza!$E$2:$AIR$59,$AN34+32,0)="","",VLOOKUP($AO$9,Baza!$E$2:$AIR$59,$AN34+32,0)))</f>
        <v/>
      </c>
      <c r="AK35" s="20" t="str">
        <f>IF($AO$9="","",IF(VLOOKUP($AO$9,Baza!$E$2:$AIR$59,$AN34+33,0)="","",VLOOKUP($AO$9,Baza!$E$2:$AIR$59,$AN34+33,0)))</f>
        <v/>
      </c>
      <c r="AL35" s="127"/>
      <c r="AM35" s="130"/>
      <c r="AN35" s="70">
        <f t="shared" si="1"/>
        <v>205</v>
      </c>
    </row>
    <row r="36" spans="1:40" ht="19.95" customHeight="1">
      <c r="A36" s="147"/>
      <c r="B36" s="147"/>
      <c r="C36" s="18" t="s">
        <v>109</v>
      </c>
      <c r="D36" s="148"/>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8"/>
      <c r="R36" s="125"/>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8"/>
      <c r="AE36" s="125"/>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4"/>
      <c r="AJ36" s="20" t="str">
        <f>IF($AO$10="","",IF(VLOOKUP($AO$10,Baza!$E$2:$AIR$59,$AN35+32,0)="","",VLOOKUP($AO$10,Baza!$E$2:$AIR$59,$AN35+32,0)))</f>
        <v/>
      </c>
      <c r="AK36" s="20" t="str">
        <f>IF($AO$10="","",IF(VLOOKUP($AO$10,Baza!$E$2:$AIR$59,$AN35+33,0)="","",VLOOKUP($AO$10,Baza!$E$2:$AIR$59,$AN35+33,0)))</f>
        <v/>
      </c>
      <c r="AL36" s="128"/>
      <c r="AM36" s="131"/>
      <c r="AN36" s="70">
        <f t="shared" si="1"/>
        <v>205</v>
      </c>
    </row>
    <row r="37" spans="1:40" ht="19.95" customHeight="1">
      <c r="A37" s="145">
        <v>115</v>
      </c>
      <c r="B37" s="145" t="s">
        <v>43</v>
      </c>
      <c r="C37" s="29" t="s">
        <v>31</v>
      </c>
      <c r="D37" s="148"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6" t="e">
        <f>IF(VLOOKUP($B$3,Baza!$E$2:$AIR$59,$AN37+13,0)="","",VLOOKUP($B$3,Baza!$E$2:$AIR$59,$AN37+13,0))</f>
        <v>#N/A</v>
      </c>
      <c r="R37" s="123"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6" t="e">
        <f>IF(VLOOKUP($B$3,Baza!$E$2:$AIR$59,$AN37+26,0)="","",VLOOKUP($B$3,Baza!$E$2:$AIR$59,$AN37+26,0))</f>
        <v>#N/A</v>
      </c>
      <c r="AE37" s="123"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2" t="e">
        <f>IF(VLOOKUP($B$3,Baza!$E$2:$AIR$59,$AN37+31,0)="","",VLOOKUP($B$3,Baza!$E$2:$AIR$59,$AN37+31,0))</f>
        <v>#N/A</v>
      </c>
      <c r="AJ37" s="13" t="e">
        <f>IF(VLOOKUP($B$3,Baza!$E$2:$AIR$59,$AN37+32,0)="","",VLOOKUP($B$3,Baza!$E$2:$AIR$59,$AN37+32,0))</f>
        <v>#N/A</v>
      </c>
      <c r="AK37" s="13" t="e">
        <f>IF(VLOOKUP($B$3,Baza!$E$2:$AIR$59,$AN37+33,0)="","",VLOOKUP($B$3,Baza!$E$2:$AIR$59,$AN37+33,0))</f>
        <v>#N/A</v>
      </c>
      <c r="AL37" s="126" t="e">
        <f>IF(VLOOKUP($B$3,Baza!$E$2:$AIR$59,$AN37+34,0)="","",VLOOKUP($B$3,Baza!$E$2:$AIR$59,$AN37+34,0))</f>
        <v>#N/A</v>
      </c>
      <c r="AM37" s="129" t="e">
        <f>IF(VLOOKUP($B$3,Baza!$E$2:$AIR$59,$AN37+35,0)="","",VLOOKUP($B$3,Baza!$E$2:$AIR$59,$AN37+35,0))</f>
        <v>#N/A</v>
      </c>
      <c r="AN37" s="70">
        <f t="shared" si="1"/>
        <v>243</v>
      </c>
    </row>
    <row r="38" spans="1:40" ht="19.95" customHeight="1">
      <c r="A38" s="146"/>
      <c r="B38" s="146"/>
      <c r="C38" s="18" t="s">
        <v>106</v>
      </c>
      <c r="D38" s="148"/>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7"/>
      <c r="R38" s="124"/>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7"/>
      <c r="AE38" s="124"/>
      <c r="AF38" s="20" t="str">
        <f>IF($AO$7="","",IF(VLOOKUP($AO$7,Baza!$E$2:$AIR$59,$AN37+28,0)="","",VLOOKUP($AO$7,Baza!$E$2:$AIR$59,$AN37+28,0)))</f>
        <v/>
      </c>
      <c r="AG38" s="20" t="str">
        <f>IF($AO$7="","",IF(VLOOKUP($AO$7,Baza!$E$2:$AIR$59,$AN37+29,0)="","",VLOOKUP($AO$7,Baza!$E$2:$AIR$59,$AN37+29,0)))</f>
        <v/>
      </c>
      <c r="AH38" s="32" t="str">
        <f>IF($AO$7="","",IF(VLOOKUP($AO$7,Baza!$E$2:$AIR$59,$AN37+30,0)="","",VLOOKUP($AO$7,Baza!$E$2:$AIR$59,$AN37+30,0)))</f>
        <v/>
      </c>
      <c r="AI38" s="133"/>
      <c r="AJ38" s="20" t="str">
        <f>IF($AO$7="","",IF(VLOOKUP($AO$7,Baza!$E$2:$AIR$59,$AN37+32,0)="","",VLOOKUP($AO$7,Baza!$E$2:$AIR$59,$AN37+32,0)))</f>
        <v/>
      </c>
      <c r="AK38" s="20" t="str">
        <f>IF($AO$7="","",IF(VLOOKUP($AO$7,Baza!$E$2:$AIR$59,$AN37+33,0)="","",VLOOKUP($AO$7,Baza!$E$2:$AIR$59,$AN37+33,0)))</f>
        <v/>
      </c>
      <c r="AL38" s="127"/>
      <c r="AM38" s="130"/>
      <c r="AN38" s="70">
        <f t="shared" si="1"/>
        <v>243</v>
      </c>
    </row>
    <row r="39" spans="1:40" ht="19.95" customHeight="1">
      <c r="A39" s="146"/>
      <c r="B39" s="146"/>
      <c r="C39" s="18" t="s">
        <v>107</v>
      </c>
      <c r="D39" s="148"/>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7"/>
      <c r="R39" s="124"/>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7"/>
      <c r="AE39" s="124"/>
      <c r="AF39" s="20" t="str">
        <f>IF($AO$8="","",IF(VLOOKUP($AO$8,Baza!$E$2:$AIR$59,$AN38+28,0)="","",VLOOKUP($AO$8,Baza!$E$2:$AIR$59,$AN38+28,0)))</f>
        <v/>
      </c>
      <c r="AG39" s="20" t="str">
        <f>IF($AO$8="","",IF(VLOOKUP($AO$8,Baza!$E$2:$AIR$59,$AN38+29,0)="","",VLOOKUP($AO$8,Baza!$E$2:$AIR$59,$AN38+29,0)))</f>
        <v/>
      </c>
      <c r="AH39" s="32" t="str">
        <f>IF($AO$8="","",IF(VLOOKUP($AO$8,Baza!$E$2:$AIR$59,$AN38+30,0)="","",VLOOKUP($AO$8,Baza!$E$2:$AIR$59,$AN38+30,0)))</f>
        <v/>
      </c>
      <c r="AI39" s="133"/>
      <c r="AJ39" s="20" t="str">
        <f>IF($AO$8="","",IF(VLOOKUP($AO$8,Baza!$E$2:$AIR$59,$AN38+32,0)="","",VLOOKUP($AO$8,Baza!$E$2:$AIR$59,$AN38+32,0)))</f>
        <v/>
      </c>
      <c r="AK39" s="20" t="str">
        <f>IF($AO$8="","",IF(VLOOKUP($AO$8,Baza!$E$2:$AIR$59,$AN38+33,0)="","",VLOOKUP($AO$8,Baza!$E$2:$AIR$59,$AN38+33,0)))</f>
        <v/>
      </c>
      <c r="AL39" s="127"/>
      <c r="AM39" s="130"/>
      <c r="AN39" s="70">
        <f t="shared" si="1"/>
        <v>243</v>
      </c>
    </row>
    <row r="40" spans="1:40" ht="19.95" customHeight="1">
      <c r="A40" s="146"/>
      <c r="B40" s="146"/>
      <c r="C40" s="18" t="s">
        <v>108</v>
      </c>
      <c r="D40" s="148"/>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7"/>
      <c r="R40" s="124"/>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7"/>
      <c r="AE40" s="124"/>
      <c r="AF40" s="20" t="str">
        <f>IF($AO$9="","",IF(VLOOKUP($AO$9,Baza!$E$2:$AIR$59,$AN39+28,0)="","",VLOOKUP($AO$9,Baza!$E$2:$AIR$59,$AN39+28,0)))</f>
        <v/>
      </c>
      <c r="AG40" s="20" t="str">
        <f>IF($AO$9="","",IF(VLOOKUP($AO$9,Baza!$E$2:$AIR$59,$AN39+29,0)="","",VLOOKUP($AO$9,Baza!$E$2:$AIR$59,$AN39+29,0)))</f>
        <v/>
      </c>
      <c r="AH40" s="32" t="str">
        <f>IF($AO$9="","",IF(VLOOKUP($AO$9,Baza!$E$2:$AIR$59,$AN39+30,0)="","",VLOOKUP($AO$9,Baza!$E$2:$AIR$59,$AN39+30,0)))</f>
        <v/>
      </c>
      <c r="AI40" s="133"/>
      <c r="AJ40" s="20" t="str">
        <f>IF($AO$9="","",IF(VLOOKUP($AO$9,Baza!$E$2:$AIR$59,$AN39+32,0)="","",VLOOKUP($AO$9,Baza!$E$2:$AIR$59,$AN39+32,0)))</f>
        <v/>
      </c>
      <c r="AK40" s="20" t="str">
        <f>IF($AO$9="","",IF(VLOOKUP($AO$9,Baza!$E$2:$AIR$59,$AN39+33,0)="","",VLOOKUP($AO$9,Baza!$E$2:$AIR$59,$AN39+33,0)))</f>
        <v/>
      </c>
      <c r="AL40" s="127"/>
      <c r="AM40" s="130"/>
      <c r="AN40" s="70">
        <f t="shared" si="1"/>
        <v>243</v>
      </c>
    </row>
    <row r="41" spans="1:40" ht="19.95" customHeight="1">
      <c r="A41" s="147"/>
      <c r="B41" s="147"/>
      <c r="C41" s="18" t="s">
        <v>109</v>
      </c>
      <c r="D41" s="148"/>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8"/>
      <c r="R41" s="125"/>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8"/>
      <c r="AE41" s="125"/>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4"/>
      <c r="AJ41" s="20" t="str">
        <f>IF($AO$10="","",IF(VLOOKUP($AO$10,Baza!$E$2:$AIR$59,$AN40+32,0)="","",VLOOKUP($AO$10,Baza!$E$2:$AIR$59,$AN40+32,0)))</f>
        <v/>
      </c>
      <c r="AK41" s="20" t="str">
        <f>IF($AO$10="","",IF(VLOOKUP($AO$10,Baza!$E$2:$AIR$59,$AN40+33,0)="","",VLOOKUP($AO$10,Baza!$E$2:$AIR$59,$AN40+33,0)))</f>
        <v/>
      </c>
      <c r="AL41" s="128"/>
      <c r="AM41" s="131"/>
      <c r="AN41" s="70">
        <f t="shared" si="1"/>
        <v>243</v>
      </c>
    </row>
    <row r="42" spans="1:40" ht="19.95" customHeight="1">
      <c r="A42" s="145">
        <v>117</v>
      </c>
      <c r="B42" s="145" t="s">
        <v>57</v>
      </c>
      <c r="C42" s="29" t="s">
        <v>31</v>
      </c>
      <c r="D42" s="148"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6" t="e">
        <f>IF(VLOOKUP($B$3,Baza!$E$2:$AIR$59,$AN42+13,0)="","",VLOOKUP($B$3,Baza!$E$2:$AIR$59,$AN42+13,0))</f>
        <v>#N/A</v>
      </c>
      <c r="R42" s="123"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6" t="e">
        <f>IF(VLOOKUP($B$3,Baza!$E$2:$AIR$59,$AN42+26,0)="","",VLOOKUP($B$3,Baza!$E$2:$AIR$59,$AN42+26,0))</f>
        <v>#N/A</v>
      </c>
      <c r="AE42" s="123"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2" t="e">
        <f>IF(VLOOKUP($B$3,Baza!$E$2:$AIR$59,$AN42+31,0)="","",VLOOKUP($B$3,Baza!$E$2:$AIR$59,$AN42+31,0))</f>
        <v>#N/A</v>
      </c>
      <c r="AJ42" s="13" t="e">
        <f>IF(VLOOKUP($B$3,Baza!$E$2:$AIR$59,$AN42+32,0)="","",VLOOKUP($B$3,Baza!$E$2:$AIR$59,$AN42+32,0))</f>
        <v>#N/A</v>
      </c>
      <c r="AK42" s="13" t="e">
        <f>IF(VLOOKUP($B$3,Baza!$E$2:$AIR$59,$AN42+33,0)="","",VLOOKUP($B$3,Baza!$E$2:$AIR$59,$AN42+33,0))</f>
        <v>#N/A</v>
      </c>
      <c r="AL42" s="126" t="e">
        <f>IF(VLOOKUP($B$3,Baza!$E$2:$AIR$59,$AN42+34,0)="","",VLOOKUP($B$3,Baza!$E$2:$AIR$59,$AN42+34,0))</f>
        <v>#N/A</v>
      </c>
      <c r="AM42" s="129" t="e">
        <f>IF(VLOOKUP($B$3,Baza!$E$2:$AIR$59,$AN42+35,0)="","",VLOOKUP($B$3,Baza!$E$2:$AIR$59,$AN42+35,0))</f>
        <v>#N/A</v>
      </c>
      <c r="AN42" s="70">
        <f t="shared" si="1"/>
        <v>281</v>
      </c>
    </row>
    <row r="43" spans="1:40" ht="19.95" customHeight="1">
      <c r="A43" s="146"/>
      <c r="B43" s="146"/>
      <c r="C43" s="18" t="s">
        <v>106</v>
      </c>
      <c r="D43" s="148"/>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7"/>
      <c r="R43" s="124"/>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7"/>
      <c r="AE43" s="124"/>
      <c r="AF43" s="20" t="str">
        <f>IF($AO$7="","",IF(VLOOKUP($AO$7,Baza!$E$2:$AIR$59,$AN42+28,0)="","",VLOOKUP($AO$7,Baza!$E$2:$AIR$59,$AN42+28,0)))</f>
        <v/>
      </c>
      <c r="AG43" s="20" t="str">
        <f>IF($AO$7="","",IF(VLOOKUP($AO$7,Baza!$E$2:$AIR$59,$AN42+29,0)="","",VLOOKUP($AO$7,Baza!$E$2:$AIR$59,$AN42+29,0)))</f>
        <v/>
      </c>
      <c r="AH43" s="32" t="str">
        <f>IF($AO$7="","",IF(VLOOKUP($AO$7,Baza!$E$2:$AIR$59,$AN42+30,0)="","",VLOOKUP($AO$7,Baza!$E$2:$AIR$59,$AN42+30,0)))</f>
        <v/>
      </c>
      <c r="AI43" s="133"/>
      <c r="AJ43" s="20" t="str">
        <f>IF($AO$7="","",IF(VLOOKUP($AO$7,Baza!$E$2:$AIR$59,$AN42+32,0)="","",VLOOKUP($AO$7,Baza!$E$2:$AIR$59,$AN42+32,0)))</f>
        <v/>
      </c>
      <c r="AK43" s="20" t="str">
        <f>IF($AO$7="","",IF(VLOOKUP($AO$7,Baza!$E$2:$AIR$59,$AN42+33,0)="","",VLOOKUP($AO$7,Baza!$E$2:$AIR$59,$AN42+33,0)))</f>
        <v/>
      </c>
      <c r="AL43" s="127"/>
      <c r="AM43" s="130"/>
      <c r="AN43" s="70">
        <f t="shared" si="1"/>
        <v>281</v>
      </c>
    </row>
    <row r="44" spans="1:40" ht="19.95" customHeight="1">
      <c r="A44" s="146"/>
      <c r="B44" s="146"/>
      <c r="C44" s="18" t="s">
        <v>107</v>
      </c>
      <c r="D44" s="148"/>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7"/>
      <c r="R44" s="124"/>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7"/>
      <c r="AE44" s="124"/>
      <c r="AF44" s="20" t="str">
        <f>IF($AO$8="","",IF(VLOOKUP($AO$8,Baza!$E$2:$AIR$59,$AN43+28,0)="","",VLOOKUP($AO$8,Baza!$E$2:$AIR$59,$AN43+28,0)))</f>
        <v/>
      </c>
      <c r="AG44" s="20" t="str">
        <f>IF($AO$8="","",IF(VLOOKUP($AO$8,Baza!$E$2:$AIR$59,$AN43+29,0)="","",VLOOKUP($AO$8,Baza!$E$2:$AIR$59,$AN43+29,0)))</f>
        <v/>
      </c>
      <c r="AH44" s="32" t="str">
        <f>IF($AO$8="","",IF(VLOOKUP($AO$8,Baza!$E$2:$AIR$59,$AN43+30,0)="","",VLOOKUP($AO$8,Baza!$E$2:$AIR$59,$AN43+30,0)))</f>
        <v/>
      </c>
      <c r="AI44" s="133"/>
      <c r="AJ44" s="20" t="str">
        <f>IF($AO$8="","",IF(VLOOKUP($AO$8,Baza!$E$2:$AIR$59,$AN43+32,0)="","",VLOOKUP($AO$8,Baza!$E$2:$AIR$59,$AN43+32,0)))</f>
        <v/>
      </c>
      <c r="AK44" s="20" t="str">
        <f>IF($AO$8="","",IF(VLOOKUP($AO$8,Baza!$E$2:$AIR$59,$AN43+33,0)="","",VLOOKUP($AO$8,Baza!$E$2:$AIR$59,$AN43+33,0)))</f>
        <v/>
      </c>
      <c r="AL44" s="127"/>
      <c r="AM44" s="130"/>
      <c r="AN44" s="70">
        <f t="shared" si="1"/>
        <v>281</v>
      </c>
    </row>
    <row r="45" spans="1:40" ht="19.95" customHeight="1">
      <c r="A45" s="146"/>
      <c r="B45" s="146"/>
      <c r="C45" s="18" t="s">
        <v>108</v>
      </c>
      <c r="D45" s="148"/>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7"/>
      <c r="R45" s="124"/>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7"/>
      <c r="AE45" s="124"/>
      <c r="AF45" s="20" t="str">
        <f>IF($AO$9="","",IF(VLOOKUP($AO$9,Baza!$E$2:$AIR$59,$AN44+28,0)="","",VLOOKUP($AO$9,Baza!$E$2:$AIR$59,$AN44+28,0)))</f>
        <v/>
      </c>
      <c r="AG45" s="20" t="str">
        <f>IF($AO$9="","",IF(VLOOKUP($AO$9,Baza!$E$2:$AIR$59,$AN44+29,0)="","",VLOOKUP($AO$9,Baza!$E$2:$AIR$59,$AN44+29,0)))</f>
        <v/>
      </c>
      <c r="AH45" s="32" t="str">
        <f>IF($AO$9="","",IF(VLOOKUP($AO$9,Baza!$E$2:$AIR$59,$AN44+30,0)="","",VLOOKUP($AO$9,Baza!$E$2:$AIR$59,$AN44+30,0)))</f>
        <v/>
      </c>
      <c r="AI45" s="133"/>
      <c r="AJ45" s="20" t="str">
        <f>IF($AO$9="","",IF(VLOOKUP($AO$9,Baza!$E$2:$AIR$59,$AN44+32,0)="","",VLOOKUP($AO$9,Baza!$E$2:$AIR$59,$AN44+32,0)))</f>
        <v/>
      </c>
      <c r="AK45" s="20" t="str">
        <f>IF($AO$9="","",IF(VLOOKUP($AO$9,Baza!$E$2:$AIR$59,$AN44+33,0)="","",VLOOKUP($AO$9,Baza!$E$2:$AIR$59,$AN44+33,0)))</f>
        <v/>
      </c>
      <c r="AL45" s="127"/>
      <c r="AM45" s="130"/>
      <c r="AN45" s="70">
        <f t="shared" si="1"/>
        <v>281</v>
      </c>
    </row>
    <row r="46" spans="1:40" ht="19.95" customHeight="1">
      <c r="A46" s="147"/>
      <c r="B46" s="147"/>
      <c r="C46" s="18" t="s">
        <v>109</v>
      </c>
      <c r="D46" s="148"/>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8"/>
      <c r="R46" s="125"/>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8"/>
      <c r="AE46" s="125"/>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4"/>
      <c r="AJ46" s="20" t="str">
        <f>IF($AO$10="","",IF(VLOOKUP($AO$10,Baza!$E$2:$AIR$59,$AN45+32,0)="","",VLOOKUP($AO$10,Baza!$E$2:$AIR$59,$AN45+32,0)))</f>
        <v/>
      </c>
      <c r="AK46" s="20" t="str">
        <f>IF($AO$10="","",IF(VLOOKUP($AO$10,Baza!$E$2:$AIR$59,$AN45+33,0)="","",VLOOKUP($AO$10,Baza!$E$2:$AIR$59,$AN45+33,0)))</f>
        <v/>
      </c>
      <c r="AL46" s="128"/>
      <c r="AM46" s="131"/>
      <c r="AN46" s="70">
        <f t="shared" si="1"/>
        <v>281</v>
      </c>
    </row>
    <row r="47" spans="1:40" ht="19.95" customHeight="1">
      <c r="A47" s="145">
        <v>120</v>
      </c>
      <c r="B47" s="145" t="s">
        <v>59</v>
      </c>
      <c r="C47" s="29" t="s">
        <v>31</v>
      </c>
      <c r="D47" s="148"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6" t="e">
        <f>IF(VLOOKUP($B$3,Baza!$E$2:$AIR$59,$AN47+13,0)="","",VLOOKUP($B$3,Baza!$E$2:$AIR$59,$AN47+13,0))</f>
        <v>#N/A</v>
      </c>
      <c r="R47" s="123"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6" t="e">
        <f>IF(VLOOKUP($B$3,Baza!$E$2:$AIR$59,$AN47+26,0)="","",VLOOKUP($B$3,Baza!$E$2:$AIR$59,$AN47+26,0))</f>
        <v>#N/A</v>
      </c>
      <c r="AE47" s="123"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2" t="e">
        <f>IF(VLOOKUP($B$3,Baza!$E$2:$AIR$59,$AN47+31,0)="","",VLOOKUP($B$3,Baza!$E$2:$AIR$59,$AN47+31,0))</f>
        <v>#N/A</v>
      </c>
      <c r="AJ47" s="13" t="e">
        <f>IF(VLOOKUP($B$3,Baza!$E$2:$AIR$59,$AN47+32,0)="","",VLOOKUP($B$3,Baza!$E$2:$AIR$59,$AN47+32,0))</f>
        <v>#N/A</v>
      </c>
      <c r="AK47" s="13" t="e">
        <f>IF(VLOOKUP($B$3,Baza!$E$2:$AIR$59,$AN47+33,0)="","",VLOOKUP($B$3,Baza!$E$2:$AIR$59,$AN47+33,0))</f>
        <v>#N/A</v>
      </c>
      <c r="AL47" s="126" t="e">
        <f>IF(VLOOKUP($B$3,Baza!$E$2:$AIR$59,$AN47+34,0)="","",VLOOKUP($B$3,Baza!$E$2:$AIR$59,$AN47+34,0))</f>
        <v>#N/A</v>
      </c>
      <c r="AM47" s="129" t="e">
        <f>IF(VLOOKUP($B$3,Baza!$E$2:$AIR$59,$AN47+35,0)="","",VLOOKUP($B$3,Baza!$E$2:$AIR$59,$AN47+35,0))</f>
        <v>#N/A</v>
      </c>
      <c r="AN47" s="70">
        <f t="shared" si="1"/>
        <v>319</v>
      </c>
    </row>
    <row r="48" spans="1:40" ht="19.95" customHeight="1">
      <c r="A48" s="146"/>
      <c r="B48" s="146"/>
      <c r="C48" s="18" t="s">
        <v>106</v>
      </c>
      <c r="D48" s="148"/>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7"/>
      <c r="R48" s="124"/>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7"/>
      <c r="AE48" s="124"/>
      <c r="AF48" s="20" t="str">
        <f>IF($AO$7="","",IF(VLOOKUP($AO$7,Baza!$E$2:$AIR$59,$AN47+28,0)="","",VLOOKUP($AO$7,Baza!$E$2:$AIR$59,$AN47+28,0)))</f>
        <v/>
      </c>
      <c r="AG48" s="20" t="str">
        <f>IF($AO$7="","",IF(VLOOKUP($AO$7,Baza!$E$2:$AIR$59,$AN47+29,0)="","",VLOOKUP($AO$7,Baza!$E$2:$AIR$59,$AN47+29,0)))</f>
        <v/>
      </c>
      <c r="AH48" s="32" t="str">
        <f>IF($AO$7="","",IF(VLOOKUP($AO$7,Baza!$E$2:$AIR$59,$AN47+30,0)="","",VLOOKUP($AO$7,Baza!$E$2:$AIR$59,$AN47+30,0)))</f>
        <v/>
      </c>
      <c r="AI48" s="133"/>
      <c r="AJ48" s="20" t="str">
        <f>IF($AO$7="","",IF(VLOOKUP($AO$7,Baza!$E$2:$AIR$59,$AN47+32,0)="","",VLOOKUP($AO$7,Baza!$E$2:$AIR$59,$AN47+32,0)))</f>
        <v/>
      </c>
      <c r="AK48" s="20" t="str">
        <f>IF($AO$7="","",IF(VLOOKUP($AO$7,Baza!$E$2:$AIR$59,$AN47+33,0)="","",VLOOKUP($AO$7,Baza!$E$2:$AIR$59,$AN47+33,0)))</f>
        <v/>
      </c>
      <c r="AL48" s="127"/>
      <c r="AM48" s="130"/>
      <c r="AN48" s="70">
        <f t="shared" si="1"/>
        <v>319</v>
      </c>
    </row>
    <row r="49" spans="1:40" ht="19.95" customHeight="1">
      <c r="A49" s="146"/>
      <c r="B49" s="146"/>
      <c r="C49" s="18" t="s">
        <v>107</v>
      </c>
      <c r="D49" s="148"/>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7"/>
      <c r="R49" s="124"/>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7"/>
      <c r="AE49" s="124"/>
      <c r="AF49" s="20" t="str">
        <f>IF($AO$8="","",IF(VLOOKUP($AO$8,Baza!$E$2:$AIR$59,$AN48+28,0)="","",VLOOKUP($AO$8,Baza!$E$2:$AIR$59,$AN48+28,0)))</f>
        <v/>
      </c>
      <c r="AG49" s="20" t="str">
        <f>IF($AO$8="","",IF(VLOOKUP($AO$8,Baza!$E$2:$AIR$59,$AN48+29,0)="","",VLOOKUP($AO$8,Baza!$E$2:$AIR$59,$AN48+29,0)))</f>
        <v/>
      </c>
      <c r="AH49" s="32" t="str">
        <f>IF($AO$8="","",IF(VLOOKUP($AO$8,Baza!$E$2:$AIR$59,$AN48+30,0)="","",VLOOKUP($AO$8,Baza!$E$2:$AIR$59,$AN48+30,0)))</f>
        <v/>
      </c>
      <c r="AI49" s="133"/>
      <c r="AJ49" s="20" t="str">
        <f>IF($AO$8="","",IF(VLOOKUP($AO$8,Baza!$E$2:$AIR$59,$AN48+32,0)="","",VLOOKUP($AO$8,Baza!$E$2:$AIR$59,$AN48+32,0)))</f>
        <v/>
      </c>
      <c r="AK49" s="20" t="str">
        <f>IF($AO$8="","",IF(VLOOKUP($AO$8,Baza!$E$2:$AIR$59,$AN48+33,0)="","",VLOOKUP($AO$8,Baza!$E$2:$AIR$59,$AN48+33,0)))</f>
        <v/>
      </c>
      <c r="AL49" s="127"/>
      <c r="AM49" s="130"/>
      <c r="AN49" s="70">
        <f t="shared" si="1"/>
        <v>319</v>
      </c>
    </row>
    <row r="50" spans="1:40" ht="19.95" customHeight="1">
      <c r="A50" s="146"/>
      <c r="B50" s="146"/>
      <c r="C50" s="18" t="s">
        <v>108</v>
      </c>
      <c r="D50" s="148"/>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7"/>
      <c r="R50" s="124"/>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7"/>
      <c r="AE50" s="124"/>
      <c r="AF50" s="20" t="str">
        <f>IF($AO$9="","",IF(VLOOKUP($AO$9,Baza!$E$2:$AIR$59,$AN49+28,0)="","",VLOOKUP($AO$9,Baza!$E$2:$AIR$59,$AN49+28,0)))</f>
        <v/>
      </c>
      <c r="AG50" s="20" t="str">
        <f>IF($AO$9="","",IF(VLOOKUP($AO$9,Baza!$E$2:$AIR$59,$AN49+29,0)="","",VLOOKUP($AO$9,Baza!$E$2:$AIR$59,$AN49+29,0)))</f>
        <v/>
      </c>
      <c r="AH50" s="32" t="str">
        <f>IF($AO$9="","",IF(VLOOKUP($AO$9,Baza!$E$2:$AIR$59,$AN49+30,0)="","",VLOOKUP($AO$9,Baza!$E$2:$AIR$59,$AN49+30,0)))</f>
        <v/>
      </c>
      <c r="AI50" s="133"/>
      <c r="AJ50" s="20" t="str">
        <f>IF($AO$9="","",IF(VLOOKUP($AO$9,Baza!$E$2:$AIR$59,$AN49+32,0)="","",VLOOKUP($AO$9,Baza!$E$2:$AIR$59,$AN49+32,0)))</f>
        <v/>
      </c>
      <c r="AK50" s="20" t="str">
        <f>IF($AO$9="","",IF(VLOOKUP($AO$9,Baza!$E$2:$AIR$59,$AN49+33,0)="","",VLOOKUP($AO$9,Baza!$E$2:$AIR$59,$AN49+33,0)))</f>
        <v/>
      </c>
      <c r="AL50" s="127"/>
      <c r="AM50" s="130"/>
      <c r="AN50" s="70">
        <f t="shared" si="1"/>
        <v>319</v>
      </c>
    </row>
    <row r="51" spans="1:40" ht="19.95" customHeight="1">
      <c r="A51" s="147"/>
      <c r="B51" s="147"/>
      <c r="C51" s="18" t="s">
        <v>109</v>
      </c>
      <c r="D51" s="148"/>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8"/>
      <c r="R51" s="125"/>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8"/>
      <c r="AE51" s="125"/>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4"/>
      <c r="AJ51" s="20" t="str">
        <f>IF($AO$10="","",IF(VLOOKUP($AO$10,Baza!$E$2:$AIR$59,$AN50+32,0)="","",VLOOKUP($AO$10,Baza!$E$2:$AIR$59,$AN50+32,0)))</f>
        <v/>
      </c>
      <c r="AK51" s="20" t="str">
        <f>IF($AO$10="","",IF(VLOOKUP($AO$10,Baza!$E$2:$AIR$59,$AN50+33,0)="","",VLOOKUP($AO$10,Baza!$E$2:$AIR$59,$AN50+33,0)))</f>
        <v/>
      </c>
      <c r="AL51" s="128"/>
      <c r="AM51" s="131"/>
      <c r="AN51" s="70">
        <f t="shared" si="1"/>
        <v>319</v>
      </c>
    </row>
    <row r="52" spans="1:40" ht="19.95" customHeight="1">
      <c r="A52" s="145">
        <v>125</v>
      </c>
      <c r="B52" s="145" t="s">
        <v>61</v>
      </c>
      <c r="C52" s="29" t="s">
        <v>31</v>
      </c>
      <c r="D52" s="148"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6" t="e">
        <f>IF(VLOOKUP($B$3,Baza!$E$2:$AIR$59,$AN52+13,0)="","",VLOOKUP($B$3,Baza!$E$2:$AIR$59,$AN52+13,0))</f>
        <v>#N/A</v>
      </c>
      <c r="R52" s="123"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6" t="e">
        <f>IF(VLOOKUP($B$3,Baza!$E$2:$AIR$59,$AN52+26,0)="","",VLOOKUP($B$3,Baza!$E$2:$AIR$59,$AN52+26,0))</f>
        <v>#N/A</v>
      </c>
      <c r="AE52" s="123"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2" t="e">
        <f>IF(VLOOKUP($B$3,Baza!$E$2:$AIR$59,$AN52+31,0)="","",VLOOKUP($B$3,Baza!$E$2:$AIR$59,$AN52+31,0))</f>
        <v>#N/A</v>
      </c>
      <c r="AJ52" s="13" t="e">
        <f>IF(VLOOKUP($B$3,Baza!$E$2:$AIR$59,$AN52+32,0)="","",VLOOKUP($B$3,Baza!$E$2:$AIR$59,$AN52+32,0))</f>
        <v>#N/A</v>
      </c>
      <c r="AK52" s="13" t="e">
        <f>IF(VLOOKUP($B$3,Baza!$E$2:$AIR$59,$AN52+33,0)="","",VLOOKUP($B$3,Baza!$E$2:$AIR$59,$AN52+33,0))</f>
        <v>#N/A</v>
      </c>
      <c r="AL52" s="126" t="e">
        <f>IF(VLOOKUP($B$3,Baza!$E$2:$AIR$59,$AN52+34,0)="","",VLOOKUP($B$3,Baza!$E$2:$AIR$59,$AN52+34,0))</f>
        <v>#N/A</v>
      </c>
      <c r="AM52" s="129" t="e">
        <f>IF(VLOOKUP($B$3,Baza!$E$2:$AIR$59,$AN52+35,0)="","",VLOOKUP($B$3,Baza!$E$2:$AIR$59,$AN52+35,0))</f>
        <v>#N/A</v>
      </c>
      <c r="AN52" s="70">
        <f t="shared" si="1"/>
        <v>357</v>
      </c>
    </row>
    <row r="53" spans="1:40" ht="19.95" customHeight="1">
      <c r="A53" s="146"/>
      <c r="B53" s="146"/>
      <c r="C53" s="18" t="s">
        <v>106</v>
      </c>
      <c r="D53" s="148"/>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7"/>
      <c r="R53" s="124"/>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7"/>
      <c r="AE53" s="124"/>
      <c r="AF53" s="20" t="str">
        <f>IF($AO$7="","",IF(VLOOKUP($AO$7,Baza!$E$2:$AIR$59,$AN52+28,0)="","",VLOOKUP($AO$7,Baza!$E$2:$AIR$59,$AN52+28,0)))</f>
        <v/>
      </c>
      <c r="AG53" s="20" t="str">
        <f>IF($AO$7="","",IF(VLOOKUP($AO$7,Baza!$E$2:$AIR$59,$AN52+29,0)="","",VLOOKUP($AO$7,Baza!$E$2:$AIR$59,$AN52+29,0)))</f>
        <v/>
      </c>
      <c r="AH53" s="32" t="str">
        <f>IF($AO$7="","",IF(VLOOKUP($AO$7,Baza!$E$2:$AIR$59,$AN52+30,0)="","",VLOOKUP($AO$7,Baza!$E$2:$AIR$59,$AN52+30,0)))</f>
        <v/>
      </c>
      <c r="AI53" s="133"/>
      <c r="AJ53" s="20" t="str">
        <f>IF($AO$7="","",IF(VLOOKUP($AO$7,Baza!$E$2:$AIR$59,$AN52+32,0)="","",VLOOKUP($AO$7,Baza!$E$2:$AIR$59,$AN52+32,0)))</f>
        <v/>
      </c>
      <c r="AK53" s="20" t="str">
        <f>IF($AO$7="","",IF(VLOOKUP($AO$7,Baza!$E$2:$AIR$59,$AN52+33,0)="","",VLOOKUP($AO$7,Baza!$E$2:$AIR$59,$AN52+33,0)))</f>
        <v/>
      </c>
      <c r="AL53" s="127"/>
      <c r="AM53" s="130"/>
      <c r="AN53" s="70">
        <f t="shared" si="1"/>
        <v>357</v>
      </c>
    </row>
    <row r="54" spans="1:40" ht="19.95" customHeight="1">
      <c r="A54" s="146"/>
      <c r="B54" s="146"/>
      <c r="C54" s="18" t="s">
        <v>107</v>
      </c>
      <c r="D54" s="148"/>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7"/>
      <c r="R54" s="124"/>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7"/>
      <c r="AE54" s="124"/>
      <c r="AF54" s="20" t="str">
        <f>IF($AO$8="","",IF(VLOOKUP($AO$8,Baza!$E$2:$AIR$59,$AN53+28,0)="","",VLOOKUP($AO$8,Baza!$E$2:$AIR$59,$AN53+28,0)))</f>
        <v/>
      </c>
      <c r="AG54" s="20" t="str">
        <f>IF($AO$8="","",IF(VLOOKUP($AO$8,Baza!$E$2:$AIR$59,$AN53+29,0)="","",VLOOKUP($AO$8,Baza!$E$2:$AIR$59,$AN53+29,0)))</f>
        <v/>
      </c>
      <c r="AH54" s="32" t="str">
        <f>IF($AO$8="","",IF(VLOOKUP($AO$8,Baza!$E$2:$AIR$59,$AN53+30,0)="","",VLOOKUP($AO$8,Baza!$E$2:$AIR$59,$AN53+30,0)))</f>
        <v/>
      </c>
      <c r="AI54" s="133"/>
      <c r="AJ54" s="20" t="str">
        <f>IF($AO$8="","",IF(VLOOKUP($AO$8,Baza!$E$2:$AIR$59,$AN53+32,0)="","",VLOOKUP($AO$8,Baza!$E$2:$AIR$59,$AN53+32,0)))</f>
        <v/>
      </c>
      <c r="AK54" s="20" t="str">
        <f>IF($AO$8="","",IF(VLOOKUP($AO$8,Baza!$E$2:$AIR$59,$AN53+33,0)="","",VLOOKUP($AO$8,Baza!$E$2:$AIR$59,$AN53+33,0)))</f>
        <v/>
      </c>
      <c r="AL54" s="127"/>
      <c r="AM54" s="130"/>
      <c r="AN54" s="70">
        <f t="shared" si="1"/>
        <v>357</v>
      </c>
    </row>
    <row r="55" spans="1:40" ht="19.95" customHeight="1">
      <c r="A55" s="146"/>
      <c r="B55" s="146"/>
      <c r="C55" s="18" t="s">
        <v>108</v>
      </c>
      <c r="D55" s="148"/>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7"/>
      <c r="R55" s="124"/>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7"/>
      <c r="AE55" s="124"/>
      <c r="AF55" s="20" t="str">
        <f>IF($AO$9="","",IF(VLOOKUP($AO$9,Baza!$E$2:$AIR$59,$AN54+28,0)="","",VLOOKUP($AO$9,Baza!$E$2:$AIR$59,$AN54+28,0)))</f>
        <v/>
      </c>
      <c r="AG55" s="20" t="str">
        <f>IF($AO$9="","",IF(VLOOKUP($AO$9,Baza!$E$2:$AIR$59,$AN54+29,0)="","",VLOOKUP($AO$9,Baza!$E$2:$AIR$59,$AN54+29,0)))</f>
        <v/>
      </c>
      <c r="AH55" s="32" t="str">
        <f>IF($AO$9="","",IF(VLOOKUP($AO$9,Baza!$E$2:$AIR$59,$AN54+30,0)="","",VLOOKUP($AO$9,Baza!$E$2:$AIR$59,$AN54+30,0)))</f>
        <v/>
      </c>
      <c r="AI55" s="133"/>
      <c r="AJ55" s="20" t="str">
        <f>IF($AO$9="","",IF(VLOOKUP($AO$9,Baza!$E$2:$AIR$59,$AN54+32,0)="","",VLOOKUP($AO$9,Baza!$E$2:$AIR$59,$AN54+32,0)))</f>
        <v/>
      </c>
      <c r="AK55" s="20" t="str">
        <f>IF($AO$9="","",IF(VLOOKUP($AO$9,Baza!$E$2:$AIR$59,$AN54+33,0)="","",VLOOKUP($AO$9,Baza!$E$2:$AIR$59,$AN54+33,0)))</f>
        <v/>
      </c>
      <c r="AL55" s="127"/>
      <c r="AM55" s="130"/>
      <c r="AN55" s="70">
        <f t="shared" si="1"/>
        <v>357</v>
      </c>
    </row>
    <row r="56" spans="1:40" ht="19.95" customHeight="1">
      <c r="A56" s="147"/>
      <c r="B56" s="147"/>
      <c r="C56" s="18" t="s">
        <v>109</v>
      </c>
      <c r="D56" s="148"/>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8"/>
      <c r="R56" s="125"/>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8"/>
      <c r="AE56" s="125"/>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4"/>
      <c r="AJ56" s="20" t="str">
        <f>IF($AO$10="","",IF(VLOOKUP($AO$10,Baza!$E$2:$AIR$59,$AN55+32,0)="","",VLOOKUP($AO$10,Baza!$E$2:$AIR$59,$AN55+32,0)))</f>
        <v/>
      </c>
      <c r="AK56" s="20" t="str">
        <f>IF($AO$10="","",IF(VLOOKUP($AO$10,Baza!$E$2:$AIR$59,$AN55+33,0)="","",VLOOKUP($AO$10,Baza!$E$2:$AIR$59,$AN55+33,0)))</f>
        <v/>
      </c>
      <c r="AL56" s="128"/>
      <c r="AM56" s="131"/>
      <c r="AN56" s="70">
        <f t="shared" si="1"/>
        <v>357</v>
      </c>
    </row>
    <row r="57" spans="1:40" ht="19.95" customHeight="1">
      <c r="A57" s="145">
        <v>127</v>
      </c>
      <c r="B57" s="145" t="s">
        <v>63</v>
      </c>
      <c r="C57" s="29" t="s">
        <v>31</v>
      </c>
      <c r="D57" s="148"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6" t="e">
        <f>IF(VLOOKUP($B$3,Baza!$E$2:$AIR$59,$AN57+13,0)="","",VLOOKUP($B$3,Baza!$E$2:$AIR$59,$AN57+13,0))</f>
        <v>#N/A</v>
      </c>
      <c r="R57" s="123"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6" t="e">
        <f>IF(VLOOKUP($B$3,Baza!$E$2:$AIR$59,$AN57+26,0)="","",VLOOKUP($B$3,Baza!$E$2:$AIR$59,$AN57+26,0))</f>
        <v>#N/A</v>
      </c>
      <c r="AE57" s="123"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2" t="e">
        <f>IF(VLOOKUP($B$3,Baza!$E$2:$AIR$59,$AN57+31,0)="","",VLOOKUP($B$3,Baza!$E$2:$AIR$59,$AN57+31,0))</f>
        <v>#N/A</v>
      </c>
      <c r="AJ57" s="13" t="e">
        <f>IF(VLOOKUP($B$3,Baza!$E$2:$AIR$59,$AN57+32,0)="","",VLOOKUP($B$3,Baza!$E$2:$AIR$59,$AN57+32,0))</f>
        <v>#N/A</v>
      </c>
      <c r="AK57" s="13" t="e">
        <f>IF(VLOOKUP($B$3,Baza!$E$2:$AIR$59,$AN57+33,0)="","",VLOOKUP($B$3,Baza!$E$2:$AIR$59,$AN57+33,0))</f>
        <v>#N/A</v>
      </c>
      <c r="AL57" s="126" t="e">
        <f>IF(VLOOKUP($B$3,Baza!$E$2:$AIR$59,$AN57+34,0)="","",VLOOKUP($B$3,Baza!$E$2:$AIR$59,$AN57+34,0))</f>
        <v>#N/A</v>
      </c>
      <c r="AM57" s="129" t="e">
        <f>IF(VLOOKUP($B$3,Baza!$E$2:$AIR$59,$AN57+35,0)="","",VLOOKUP($B$3,Baza!$E$2:$AIR$59,$AN57+35,0))</f>
        <v>#N/A</v>
      </c>
      <c r="AN57" s="70">
        <f t="shared" si="1"/>
        <v>395</v>
      </c>
    </row>
    <row r="58" spans="1:40" ht="19.95" customHeight="1">
      <c r="A58" s="146"/>
      <c r="B58" s="146"/>
      <c r="C58" s="18" t="s">
        <v>106</v>
      </c>
      <c r="D58" s="148"/>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7"/>
      <c r="R58" s="124"/>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7"/>
      <c r="AE58" s="124"/>
      <c r="AF58" s="20" t="str">
        <f>IF($AO$7="","",IF(VLOOKUP($AO$7,Baza!$E$2:$AIR$59,$AN57+28,0)="","",VLOOKUP($AO$7,Baza!$E$2:$AIR$59,$AN57+28,0)))</f>
        <v/>
      </c>
      <c r="AG58" s="20" t="str">
        <f>IF($AO$7="","",IF(VLOOKUP($AO$7,Baza!$E$2:$AIR$59,$AN57+29,0)="","",VLOOKUP($AO$7,Baza!$E$2:$AIR$59,$AN57+29,0)))</f>
        <v/>
      </c>
      <c r="AH58" s="32" t="str">
        <f>IF($AO$7="","",IF(VLOOKUP($AO$7,Baza!$E$2:$AIR$59,$AN57+30,0)="","",VLOOKUP($AO$7,Baza!$E$2:$AIR$59,$AN57+30,0)))</f>
        <v/>
      </c>
      <c r="AI58" s="133"/>
      <c r="AJ58" s="20" t="str">
        <f>IF($AO$7="","",IF(VLOOKUP($AO$7,Baza!$E$2:$AIR$59,$AN57+32,0)="","",VLOOKUP($AO$7,Baza!$E$2:$AIR$59,$AN57+32,0)))</f>
        <v/>
      </c>
      <c r="AK58" s="20" t="str">
        <f>IF($AO$7="","",IF(VLOOKUP($AO$7,Baza!$E$2:$AIR$59,$AN57+33,0)="","",VLOOKUP($AO$7,Baza!$E$2:$AIR$59,$AN57+33,0)))</f>
        <v/>
      </c>
      <c r="AL58" s="127"/>
      <c r="AM58" s="130"/>
      <c r="AN58" s="70">
        <f t="shared" si="1"/>
        <v>395</v>
      </c>
    </row>
    <row r="59" spans="1:40" ht="19.95" customHeight="1">
      <c r="A59" s="146"/>
      <c r="B59" s="146"/>
      <c r="C59" s="18" t="s">
        <v>107</v>
      </c>
      <c r="D59" s="148"/>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7"/>
      <c r="R59" s="124"/>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7"/>
      <c r="AE59" s="124"/>
      <c r="AF59" s="20" t="str">
        <f>IF($AO$8="","",IF(VLOOKUP($AO$8,Baza!$E$2:$AIR$59,$AN58+28,0)="","",VLOOKUP($AO$8,Baza!$E$2:$AIR$59,$AN58+28,0)))</f>
        <v/>
      </c>
      <c r="AG59" s="20" t="str">
        <f>IF($AO$8="","",IF(VLOOKUP($AO$8,Baza!$E$2:$AIR$59,$AN58+29,0)="","",VLOOKUP($AO$8,Baza!$E$2:$AIR$59,$AN58+29,0)))</f>
        <v/>
      </c>
      <c r="AH59" s="32" t="str">
        <f>IF($AO$8="","",IF(VLOOKUP($AO$8,Baza!$E$2:$AIR$59,$AN58+30,0)="","",VLOOKUP($AO$8,Baza!$E$2:$AIR$59,$AN58+30,0)))</f>
        <v/>
      </c>
      <c r="AI59" s="133"/>
      <c r="AJ59" s="20" t="str">
        <f>IF($AO$8="","",IF(VLOOKUP($AO$8,Baza!$E$2:$AIR$59,$AN58+32,0)="","",VLOOKUP($AO$8,Baza!$E$2:$AIR$59,$AN58+32,0)))</f>
        <v/>
      </c>
      <c r="AK59" s="20" t="str">
        <f>IF($AO$8="","",IF(VLOOKUP($AO$8,Baza!$E$2:$AIR$59,$AN58+33,0)="","",VLOOKUP($AO$8,Baza!$E$2:$AIR$59,$AN58+33,0)))</f>
        <v/>
      </c>
      <c r="AL59" s="127"/>
      <c r="AM59" s="130"/>
      <c r="AN59" s="70">
        <f t="shared" si="1"/>
        <v>395</v>
      </c>
    </row>
    <row r="60" spans="1:40" ht="19.95" customHeight="1">
      <c r="A60" s="146"/>
      <c r="B60" s="146"/>
      <c r="C60" s="18" t="s">
        <v>108</v>
      </c>
      <c r="D60" s="148"/>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7"/>
      <c r="R60" s="124"/>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7"/>
      <c r="AE60" s="124"/>
      <c r="AF60" s="20" t="str">
        <f>IF($AO$9="","",IF(VLOOKUP($AO$9,Baza!$E$2:$AIR$59,$AN59+28,0)="","",VLOOKUP($AO$9,Baza!$E$2:$AIR$59,$AN59+28,0)))</f>
        <v/>
      </c>
      <c r="AG60" s="20" t="str">
        <f>IF($AO$9="","",IF(VLOOKUP($AO$9,Baza!$E$2:$AIR$59,$AN59+29,0)="","",VLOOKUP($AO$9,Baza!$E$2:$AIR$59,$AN59+29,0)))</f>
        <v/>
      </c>
      <c r="AH60" s="32" t="str">
        <f>IF($AO$9="","",IF(VLOOKUP($AO$9,Baza!$E$2:$AIR$59,$AN59+30,0)="","",VLOOKUP($AO$9,Baza!$E$2:$AIR$59,$AN59+30,0)))</f>
        <v/>
      </c>
      <c r="AI60" s="133"/>
      <c r="AJ60" s="20" t="str">
        <f>IF($AO$9="","",IF(VLOOKUP($AO$9,Baza!$E$2:$AIR$59,$AN59+32,0)="","",VLOOKUP($AO$9,Baza!$E$2:$AIR$59,$AN59+32,0)))</f>
        <v/>
      </c>
      <c r="AK60" s="20" t="str">
        <f>IF($AO$9="","",IF(VLOOKUP($AO$9,Baza!$E$2:$AIR$59,$AN59+33,0)="","",VLOOKUP($AO$9,Baza!$E$2:$AIR$59,$AN59+33,0)))</f>
        <v/>
      </c>
      <c r="AL60" s="127"/>
      <c r="AM60" s="130"/>
      <c r="AN60" s="70">
        <f t="shared" si="1"/>
        <v>395</v>
      </c>
    </row>
    <row r="61" spans="1:40" ht="19.95" customHeight="1">
      <c r="A61" s="147"/>
      <c r="B61" s="147"/>
      <c r="C61" s="18" t="s">
        <v>109</v>
      </c>
      <c r="D61" s="148"/>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8"/>
      <c r="R61" s="125"/>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8"/>
      <c r="AE61" s="125"/>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4"/>
      <c r="AJ61" s="20" t="str">
        <f>IF($AO$10="","",IF(VLOOKUP($AO$10,Baza!$E$2:$AIR$59,$AN60+32,0)="","",VLOOKUP($AO$10,Baza!$E$2:$AIR$59,$AN60+32,0)))</f>
        <v/>
      </c>
      <c r="AK61" s="20" t="str">
        <f>IF($AO$10="","",IF(VLOOKUP($AO$10,Baza!$E$2:$AIR$59,$AN60+33,0)="","",VLOOKUP($AO$10,Baza!$E$2:$AIR$59,$AN60+33,0)))</f>
        <v/>
      </c>
      <c r="AL61" s="128"/>
      <c r="AM61" s="131"/>
      <c r="AN61" s="70">
        <f t="shared" si="1"/>
        <v>395</v>
      </c>
    </row>
    <row r="62" spans="1:40" ht="19.95" customHeight="1">
      <c r="A62" s="145">
        <v>128</v>
      </c>
      <c r="B62" s="145" t="s">
        <v>65</v>
      </c>
      <c r="C62" s="29" t="s">
        <v>31</v>
      </c>
      <c r="D62" s="148"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6" t="e">
        <f>IF(VLOOKUP($B$3,Baza!$E$2:$AIR$59,$AN62+13,0)="","",VLOOKUP($B$3,Baza!$E$2:$AIR$59,$AN62+13,0))</f>
        <v>#N/A</v>
      </c>
      <c r="R62" s="123"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6" t="e">
        <f>IF(VLOOKUP($B$3,Baza!$E$2:$AIR$59,$AN62+26,0)="","",VLOOKUP($B$3,Baza!$E$2:$AIR$59,$AN62+26,0))</f>
        <v>#N/A</v>
      </c>
      <c r="AE62" s="123"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2" t="e">
        <f>IF(VLOOKUP($B$3,Baza!$E$2:$AIR$59,$AN62+31,0)="","",VLOOKUP($B$3,Baza!$E$2:$AIR$59,$AN62+31,0))</f>
        <v>#N/A</v>
      </c>
      <c r="AJ62" s="13" t="e">
        <f>IF(VLOOKUP($B$3,Baza!$E$2:$AIR$59,$AN62+32,0)="","",VLOOKUP($B$3,Baza!$E$2:$AIR$59,$AN62+32,0))</f>
        <v>#N/A</v>
      </c>
      <c r="AK62" s="13" t="e">
        <f>IF(VLOOKUP($B$3,Baza!$E$2:$AIR$59,$AN62+33,0)="","",VLOOKUP($B$3,Baza!$E$2:$AIR$59,$AN62+33,0))</f>
        <v>#N/A</v>
      </c>
      <c r="AL62" s="126" t="e">
        <f>IF(VLOOKUP($B$3,Baza!$E$2:$AIR$59,$AN62+34,0)="","",VLOOKUP($B$3,Baza!$E$2:$AIR$59,$AN62+34,0))</f>
        <v>#N/A</v>
      </c>
      <c r="AM62" s="129" t="e">
        <f>IF(VLOOKUP($B$3,Baza!$E$2:$AIR$59,$AN62+35,0)="","",VLOOKUP($B$3,Baza!$E$2:$AIR$59,$AN62+35,0))</f>
        <v>#N/A</v>
      </c>
      <c r="AN62" s="70">
        <f t="shared" si="1"/>
        <v>433</v>
      </c>
    </row>
    <row r="63" spans="1:40" ht="19.95" customHeight="1">
      <c r="A63" s="146"/>
      <c r="B63" s="146"/>
      <c r="C63" s="18" t="s">
        <v>106</v>
      </c>
      <c r="D63" s="148"/>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7"/>
      <c r="R63" s="124"/>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7"/>
      <c r="AE63" s="124"/>
      <c r="AF63" s="20" t="str">
        <f>IF($AO$7="","",IF(VLOOKUP($AO$7,Baza!$E$2:$AIR$59,$AN62+28,0)="","",VLOOKUP($AO$7,Baza!$E$2:$AIR$59,$AN62+28,0)))</f>
        <v/>
      </c>
      <c r="AG63" s="20" t="str">
        <f>IF($AO$7="","",IF(VLOOKUP($AO$7,Baza!$E$2:$AIR$59,$AN62+29,0)="","",VLOOKUP($AO$7,Baza!$E$2:$AIR$59,$AN62+29,0)))</f>
        <v/>
      </c>
      <c r="AH63" s="32" t="str">
        <f>IF($AO$7="","",IF(VLOOKUP($AO$7,Baza!$E$2:$AIR$59,$AN62+30,0)="","",VLOOKUP($AO$7,Baza!$E$2:$AIR$59,$AN62+30,0)))</f>
        <v/>
      </c>
      <c r="AI63" s="133"/>
      <c r="AJ63" s="20" t="str">
        <f>IF($AO$7="","",IF(VLOOKUP($AO$7,Baza!$E$2:$AIR$59,$AN62+32,0)="","",VLOOKUP($AO$7,Baza!$E$2:$AIR$59,$AN62+32,0)))</f>
        <v/>
      </c>
      <c r="AK63" s="20" t="str">
        <f>IF($AO$7="","",IF(VLOOKUP($AO$7,Baza!$E$2:$AIR$59,$AN62+33,0)="","",VLOOKUP($AO$7,Baza!$E$2:$AIR$59,$AN62+33,0)))</f>
        <v/>
      </c>
      <c r="AL63" s="127"/>
      <c r="AM63" s="130"/>
      <c r="AN63" s="70">
        <f t="shared" si="1"/>
        <v>433</v>
      </c>
    </row>
    <row r="64" spans="1:40" ht="19.95" customHeight="1">
      <c r="A64" s="146"/>
      <c r="B64" s="146"/>
      <c r="C64" s="18" t="s">
        <v>107</v>
      </c>
      <c r="D64" s="148"/>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7"/>
      <c r="R64" s="124"/>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7"/>
      <c r="AE64" s="124"/>
      <c r="AF64" s="20" t="str">
        <f>IF($AO$8="","",IF(VLOOKUP($AO$8,Baza!$E$2:$AIR$59,$AN63+28,0)="","",VLOOKUP($AO$8,Baza!$E$2:$AIR$59,$AN63+28,0)))</f>
        <v/>
      </c>
      <c r="AG64" s="20" t="str">
        <f>IF($AO$8="","",IF(VLOOKUP($AO$8,Baza!$E$2:$AIR$59,$AN63+29,0)="","",VLOOKUP($AO$8,Baza!$E$2:$AIR$59,$AN63+29,0)))</f>
        <v/>
      </c>
      <c r="AH64" s="32" t="str">
        <f>IF($AO$8="","",IF(VLOOKUP($AO$8,Baza!$E$2:$AIR$59,$AN63+30,0)="","",VLOOKUP($AO$8,Baza!$E$2:$AIR$59,$AN63+30,0)))</f>
        <v/>
      </c>
      <c r="AI64" s="133"/>
      <c r="AJ64" s="20" t="str">
        <f>IF($AO$8="","",IF(VLOOKUP($AO$8,Baza!$E$2:$AIR$59,$AN63+32,0)="","",VLOOKUP($AO$8,Baza!$E$2:$AIR$59,$AN63+32,0)))</f>
        <v/>
      </c>
      <c r="AK64" s="20" t="str">
        <f>IF($AO$8="","",IF(VLOOKUP($AO$8,Baza!$E$2:$AIR$59,$AN63+33,0)="","",VLOOKUP($AO$8,Baza!$E$2:$AIR$59,$AN63+33,0)))</f>
        <v/>
      </c>
      <c r="AL64" s="127"/>
      <c r="AM64" s="130"/>
      <c r="AN64" s="70">
        <f t="shared" si="1"/>
        <v>433</v>
      </c>
    </row>
    <row r="65" spans="1:40" ht="19.95" customHeight="1">
      <c r="A65" s="146"/>
      <c r="B65" s="146"/>
      <c r="C65" s="18" t="s">
        <v>108</v>
      </c>
      <c r="D65" s="148"/>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7"/>
      <c r="R65" s="124"/>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7"/>
      <c r="AE65" s="124"/>
      <c r="AF65" s="20" t="str">
        <f>IF($AO$9="","",IF(VLOOKUP($AO$9,Baza!$E$2:$AIR$59,$AN64+28,0)="","",VLOOKUP($AO$9,Baza!$E$2:$AIR$59,$AN64+28,0)))</f>
        <v/>
      </c>
      <c r="AG65" s="20" t="str">
        <f>IF($AO$9="","",IF(VLOOKUP($AO$9,Baza!$E$2:$AIR$59,$AN64+29,0)="","",VLOOKUP($AO$9,Baza!$E$2:$AIR$59,$AN64+29,0)))</f>
        <v/>
      </c>
      <c r="AH65" s="32" t="str">
        <f>IF($AO$9="","",IF(VLOOKUP($AO$9,Baza!$E$2:$AIR$59,$AN64+30,0)="","",VLOOKUP($AO$9,Baza!$E$2:$AIR$59,$AN64+30,0)))</f>
        <v/>
      </c>
      <c r="AI65" s="133"/>
      <c r="AJ65" s="20" t="str">
        <f>IF($AO$9="","",IF(VLOOKUP($AO$9,Baza!$E$2:$AIR$59,$AN64+32,0)="","",VLOOKUP($AO$9,Baza!$E$2:$AIR$59,$AN64+32,0)))</f>
        <v/>
      </c>
      <c r="AK65" s="20" t="str">
        <f>IF($AO$9="","",IF(VLOOKUP($AO$9,Baza!$E$2:$AIR$59,$AN64+33,0)="","",VLOOKUP($AO$9,Baza!$E$2:$AIR$59,$AN64+33,0)))</f>
        <v/>
      </c>
      <c r="AL65" s="127"/>
      <c r="AM65" s="130"/>
      <c r="AN65" s="70">
        <f t="shared" si="1"/>
        <v>433</v>
      </c>
    </row>
    <row r="66" spans="1:40" ht="19.95" customHeight="1">
      <c r="A66" s="147"/>
      <c r="B66" s="147"/>
      <c r="C66" s="18" t="s">
        <v>109</v>
      </c>
      <c r="D66" s="148"/>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8"/>
      <c r="R66" s="125"/>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8"/>
      <c r="AE66" s="125"/>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4"/>
      <c r="AJ66" s="20" t="str">
        <f>IF($AO$10="","",IF(VLOOKUP($AO$10,Baza!$E$2:$AIR$59,$AN65+32,0)="","",VLOOKUP($AO$10,Baza!$E$2:$AIR$59,$AN65+32,0)))</f>
        <v/>
      </c>
      <c r="AK66" s="20" t="str">
        <f>IF($AO$10="","",IF(VLOOKUP($AO$10,Baza!$E$2:$AIR$59,$AN65+33,0)="","",VLOOKUP($AO$10,Baza!$E$2:$AIR$59,$AN65+33,0)))</f>
        <v/>
      </c>
      <c r="AL66" s="128"/>
      <c r="AM66" s="131"/>
      <c r="AN66" s="70">
        <f t="shared" si="1"/>
        <v>433</v>
      </c>
    </row>
    <row r="67" spans="1:40" ht="19.95" customHeight="1">
      <c r="A67" s="145">
        <v>129</v>
      </c>
      <c r="B67" s="145" t="s">
        <v>67</v>
      </c>
      <c r="C67" s="29" t="s">
        <v>31</v>
      </c>
      <c r="D67" s="148"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6" t="e">
        <f>IF(VLOOKUP($B$3,Baza!$E$2:$AIR$59,$AN67+13,0)="","",VLOOKUP($B$3,Baza!$E$2:$AIR$59,$AN67+13,0))</f>
        <v>#N/A</v>
      </c>
      <c r="R67" s="123"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6" t="e">
        <f>IF(VLOOKUP($B$3,Baza!$E$2:$AIR$59,$AN67+26,0)="","",VLOOKUP($B$3,Baza!$E$2:$AIR$59,$AN67+26,0))</f>
        <v>#N/A</v>
      </c>
      <c r="AE67" s="123"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2" t="e">
        <f>IF(VLOOKUP($B$3,Baza!$E$2:$AIR$59,$AN67+31,0)="","",VLOOKUP($B$3,Baza!$E$2:$AIR$59,$AN67+31,0))</f>
        <v>#N/A</v>
      </c>
      <c r="AJ67" s="13" t="e">
        <f>IF(VLOOKUP($B$3,Baza!$E$2:$AIR$59,$AN67+32,0)="","",VLOOKUP($B$3,Baza!$E$2:$AIR$59,$AN67+32,0))</f>
        <v>#N/A</v>
      </c>
      <c r="AK67" s="13" t="e">
        <f>IF(VLOOKUP($B$3,Baza!$E$2:$AIR$59,$AN67+33,0)="","",VLOOKUP($B$3,Baza!$E$2:$AIR$59,$AN67+33,0))</f>
        <v>#N/A</v>
      </c>
      <c r="AL67" s="126" t="e">
        <f>IF(VLOOKUP($B$3,Baza!$E$2:$AIR$59,$AN67+34,0)="","",VLOOKUP($B$3,Baza!$E$2:$AIR$59,$AN67+34,0))</f>
        <v>#N/A</v>
      </c>
      <c r="AM67" s="129" t="e">
        <f>IF(VLOOKUP($B$3,Baza!$E$2:$AIR$59,$AN67+35,0)="","",VLOOKUP($B$3,Baza!$E$2:$AIR$59,$AN67+35,0))</f>
        <v>#N/A</v>
      </c>
      <c r="AN67" s="70">
        <f t="shared" si="1"/>
        <v>471</v>
      </c>
    </row>
    <row r="68" spans="1:40" ht="19.95" customHeight="1">
      <c r="A68" s="146"/>
      <c r="B68" s="146"/>
      <c r="C68" s="18" t="s">
        <v>106</v>
      </c>
      <c r="D68" s="148"/>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7"/>
      <c r="R68" s="124"/>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7"/>
      <c r="AE68" s="124"/>
      <c r="AF68" s="20" t="str">
        <f>IF($AO$7="","",IF(VLOOKUP($AO$7,Baza!$E$2:$AIR$59,$AN67+28,0)="","",VLOOKUP($AO$7,Baza!$E$2:$AIR$59,$AN67+28,0)))</f>
        <v/>
      </c>
      <c r="AG68" s="20" t="str">
        <f>IF($AO$7="","",IF(VLOOKUP($AO$7,Baza!$E$2:$AIR$59,$AN67+29,0)="","",VLOOKUP($AO$7,Baza!$E$2:$AIR$59,$AN67+29,0)))</f>
        <v/>
      </c>
      <c r="AH68" s="32" t="str">
        <f>IF($AO$7="","",IF(VLOOKUP($AO$7,Baza!$E$2:$AIR$59,$AN67+30,0)="","",VLOOKUP($AO$7,Baza!$E$2:$AIR$59,$AN67+30,0)))</f>
        <v/>
      </c>
      <c r="AI68" s="133"/>
      <c r="AJ68" s="20" t="str">
        <f>IF($AO$7="","",IF(VLOOKUP($AO$7,Baza!$E$2:$AIR$59,$AN67+32,0)="","",VLOOKUP($AO$7,Baza!$E$2:$AIR$59,$AN67+32,0)))</f>
        <v/>
      </c>
      <c r="AK68" s="20" t="str">
        <f>IF($AO$7="","",IF(VLOOKUP($AO$7,Baza!$E$2:$AIR$59,$AN67+33,0)="","",VLOOKUP($AO$7,Baza!$E$2:$AIR$59,$AN67+33,0)))</f>
        <v/>
      </c>
      <c r="AL68" s="127"/>
      <c r="AM68" s="130"/>
      <c r="AN68" s="70">
        <f t="shared" si="1"/>
        <v>471</v>
      </c>
    </row>
    <row r="69" spans="1:40" ht="19.95" customHeight="1">
      <c r="A69" s="146"/>
      <c r="B69" s="146"/>
      <c r="C69" s="18" t="s">
        <v>107</v>
      </c>
      <c r="D69" s="148"/>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7"/>
      <c r="R69" s="124"/>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7"/>
      <c r="AE69" s="124"/>
      <c r="AF69" s="20" t="str">
        <f>IF($AO$8="","",IF(VLOOKUP($AO$8,Baza!$E$2:$AIR$59,$AN68+28,0)="","",VLOOKUP($AO$8,Baza!$E$2:$AIR$59,$AN68+28,0)))</f>
        <v/>
      </c>
      <c r="AG69" s="20" t="str">
        <f>IF($AO$8="","",IF(VLOOKUP($AO$8,Baza!$E$2:$AIR$59,$AN68+29,0)="","",VLOOKUP($AO$8,Baza!$E$2:$AIR$59,$AN68+29,0)))</f>
        <v/>
      </c>
      <c r="AH69" s="32" t="str">
        <f>IF($AO$8="","",IF(VLOOKUP($AO$8,Baza!$E$2:$AIR$59,$AN68+30,0)="","",VLOOKUP($AO$8,Baza!$E$2:$AIR$59,$AN68+30,0)))</f>
        <v/>
      </c>
      <c r="AI69" s="133"/>
      <c r="AJ69" s="20" t="str">
        <f>IF($AO$8="","",IF(VLOOKUP($AO$8,Baza!$E$2:$AIR$59,$AN68+32,0)="","",VLOOKUP($AO$8,Baza!$E$2:$AIR$59,$AN68+32,0)))</f>
        <v/>
      </c>
      <c r="AK69" s="20" t="str">
        <f>IF($AO$8="","",IF(VLOOKUP($AO$8,Baza!$E$2:$AIR$59,$AN68+33,0)="","",VLOOKUP($AO$8,Baza!$E$2:$AIR$59,$AN68+33,0)))</f>
        <v/>
      </c>
      <c r="AL69" s="127"/>
      <c r="AM69" s="130"/>
      <c r="AN69" s="70">
        <f t="shared" si="1"/>
        <v>471</v>
      </c>
    </row>
    <row r="70" spans="1:40" ht="19.95" customHeight="1">
      <c r="A70" s="146"/>
      <c r="B70" s="146"/>
      <c r="C70" s="18" t="s">
        <v>108</v>
      </c>
      <c r="D70" s="148"/>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7"/>
      <c r="R70" s="124"/>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7"/>
      <c r="AE70" s="124"/>
      <c r="AF70" s="20" t="str">
        <f>IF($AO$9="","",IF(VLOOKUP($AO$9,Baza!$E$2:$AIR$59,$AN69+28,0)="","",VLOOKUP($AO$9,Baza!$E$2:$AIR$59,$AN69+28,0)))</f>
        <v/>
      </c>
      <c r="AG70" s="20" t="str">
        <f>IF($AO$9="","",IF(VLOOKUP($AO$9,Baza!$E$2:$AIR$59,$AN69+29,0)="","",VLOOKUP($AO$9,Baza!$E$2:$AIR$59,$AN69+29,0)))</f>
        <v/>
      </c>
      <c r="AH70" s="32" t="str">
        <f>IF($AO$9="","",IF(VLOOKUP($AO$9,Baza!$E$2:$AIR$59,$AN69+30,0)="","",VLOOKUP($AO$9,Baza!$E$2:$AIR$59,$AN69+30,0)))</f>
        <v/>
      </c>
      <c r="AI70" s="133"/>
      <c r="AJ70" s="20" t="str">
        <f>IF($AO$9="","",IF(VLOOKUP($AO$9,Baza!$E$2:$AIR$59,$AN69+32,0)="","",VLOOKUP($AO$9,Baza!$E$2:$AIR$59,$AN69+32,0)))</f>
        <v/>
      </c>
      <c r="AK70" s="20" t="str">
        <f>IF($AO$9="","",IF(VLOOKUP($AO$9,Baza!$E$2:$AIR$59,$AN69+33,0)="","",VLOOKUP($AO$9,Baza!$E$2:$AIR$59,$AN69+33,0)))</f>
        <v/>
      </c>
      <c r="AL70" s="127"/>
      <c r="AM70" s="130"/>
      <c r="AN70" s="70">
        <f t="shared" si="1"/>
        <v>471</v>
      </c>
    </row>
    <row r="71" spans="1:40" ht="19.95" customHeight="1">
      <c r="A71" s="147"/>
      <c r="B71" s="147"/>
      <c r="C71" s="18" t="s">
        <v>109</v>
      </c>
      <c r="D71" s="148"/>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8"/>
      <c r="R71" s="125"/>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8"/>
      <c r="AE71" s="125"/>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4"/>
      <c r="AJ71" s="20" t="str">
        <f>IF($AO$10="","",IF(VLOOKUP($AO$10,Baza!$E$2:$AIR$59,$AN70+32,0)="","",VLOOKUP($AO$10,Baza!$E$2:$AIR$59,$AN70+32,0)))</f>
        <v/>
      </c>
      <c r="AK71" s="20" t="str">
        <f>IF($AO$10="","",IF(VLOOKUP($AO$10,Baza!$E$2:$AIR$59,$AN70+33,0)="","",VLOOKUP($AO$10,Baza!$E$2:$AIR$59,$AN70+33,0)))</f>
        <v/>
      </c>
      <c r="AL71" s="128"/>
      <c r="AM71" s="131"/>
      <c r="AN71" s="70">
        <f t="shared" si="1"/>
        <v>471</v>
      </c>
    </row>
    <row r="72" spans="1:40" ht="19.95" customHeight="1">
      <c r="A72" s="145">
        <v>130</v>
      </c>
      <c r="B72" s="145" t="s">
        <v>69</v>
      </c>
      <c r="C72" s="29" t="s">
        <v>31</v>
      </c>
      <c r="D72" s="148"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6" t="e">
        <f>IF(VLOOKUP($B$3,Baza!$E$2:$AIR$59,$AN72+13,0)="","",VLOOKUP($B$3,Baza!$E$2:$AIR$59,$AN72+13,0))</f>
        <v>#N/A</v>
      </c>
      <c r="R72" s="123"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6" t="e">
        <f>IF(VLOOKUP($B$3,Baza!$E$2:$AIR$59,$AN72+26,0)="","",VLOOKUP($B$3,Baza!$E$2:$AIR$59,$AN72+26,0))</f>
        <v>#N/A</v>
      </c>
      <c r="AE72" s="123"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2" t="e">
        <f>IF(VLOOKUP($B$3,Baza!$E$2:$AIR$59,$AN72+31,0)="","",VLOOKUP($B$3,Baza!$E$2:$AIR$59,$AN72+31,0))</f>
        <v>#N/A</v>
      </c>
      <c r="AJ72" s="13" t="e">
        <f>IF(VLOOKUP($B$3,Baza!$E$2:$AIR$59,$AN72+32,0)="","",VLOOKUP($B$3,Baza!$E$2:$AIR$59,$AN72+32,0))</f>
        <v>#N/A</v>
      </c>
      <c r="AK72" s="13" t="e">
        <f>IF(VLOOKUP($B$3,Baza!$E$2:$AIR$59,$AN72+33,0)="","",VLOOKUP($B$3,Baza!$E$2:$AIR$59,$AN72+33,0))</f>
        <v>#N/A</v>
      </c>
      <c r="AL72" s="126" t="e">
        <f>IF(VLOOKUP($B$3,Baza!$E$2:$AIR$59,$AN72+34,0)="","",VLOOKUP($B$3,Baza!$E$2:$AIR$59,$AN72+34,0))</f>
        <v>#N/A</v>
      </c>
      <c r="AM72" s="129" t="e">
        <f>IF(VLOOKUP($B$3,Baza!$E$2:$AIR$59,$AN72+35,0)="","",VLOOKUP($B$3,Baza!$E$2:$AIR$59,$AN72+35,0))</f>
        <v>#N/A</v>
      </c>
      <c r="AN72" s="70">
        <f t="shared" si="1"/>
        <v>509</v>
      </c>
    </row>
    <row r="73" spans="1:40" ht="19.95" customHeight="1">
      <c r="A73" s="146"/>
      <c r="B73" s="146"/>
      <c r="C73" s="18" t="s">
        <v>106</v>
      </c>
      <c r="D73" s="148"/>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7"/>
      <c r="R73" s="124"/>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7"/>
      <c r="AE73" s="124"/>
      <c r="AF73" s="20" t="str">
        <f>IF($AO$7="","",IF(VLOOKUP($AO$7,Baza!$E$2:$AIR$59,$AN72+28,0)="","",VLOOKUP($AO$7,Baza!$E$2:$AIR$59,$AN72+28,0)))</f>
        <v/>
      </c>
      <c r="AG73" s="20" t="str">
        <f>IF($AO$7="","",IF(VLOOKUP($AO$7,Baza!$E$2:$AIR$59,$AN72+29,0)="","",VLOOKUP($AO$7,Baza!$E$2:$AIR$59,$AN72+29,0)))</f>
        <v/>
      </c>
      <c r="AH73" s="32" t="str">
        <f>IF($AO$7="","",IF(VLOOKUP($AO$7,Baza!$E$2:$AIR$59,$AN72+30,0)="","",VLOOKUP($AO$7,Baza!$E$2:$AIR$59,$AN72+30,0)))</f>
        <v/>
      </c>
      <c r="AI73" s="133"/>
      <c r="AJ73" s="20" t="str">
        <f>IF($AO$7="","",IF(VLOOKUP($AO$7,Baza!$E$2:$AIR$59,$AN72+32,0)="","",VLOOKUP($AO$7,Baza!$E$2:$AIR$59,$AN72+32,0)))</f>
        <v/>
      </c>
      <c r="AK73" s="20" t="str">
        <f>IF($AO$7="","",IF(VLOOKUP($AO$7,Baza!$E$2:$AIR$59,$AN72+33,0)="","",VLOOKUP($AO$7,Baza!$E$2:$AIR$59,$AN72+33,0)))</f>
        <v/>
      </c>
      <c r="AL73" s="127"/>
      <c r="AM73" s="130"/>
      <c r="AN73" s="70">
        <f t="shared" si="1"/>
        <v>509</v>
      </c>
    </row>
    <row r="74" spans="1:40" ht="19.95" customHeight="1">
      <c r="A74" s="146"/>
      <c r="B74" s="146"/>
      <c r="C74" s="18" t="s">
        <v>107</v>
      </c>
      <c r="D74" s="148"/>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7"/>
      <c r="R74" s="124"/>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7"/>
      <c r="AE74" s="124"/>
      <c r="AF74" s="20" t="str">
        <f>IF($AO$8="","",IF(VLOOKUP($AO$8,Baza!$E$2:$AIR$59,$AN73+28,0)="","",VLOOKUP($AO$8,Baza!$E$2:$AIR$59,$AN73+28,0)))</f>
        <v/>
      </c>
      <c r="AG74" s="20" t="str">
        <f>IF($AO$8="","",IF(VLOOKUP($AO$8,Baza!$E$2:$AIR$59,$AN73+29,0)="","",VLOOKUP($AO$8,Baza!$E$2:$AIR$59,$AN73+29,0)))</f>
        <v/>
      </c>
      <c r="AH74" s="32" t="str">
        <f>IF($AO$8="","",IF(VLOOKUP($AO$8,Baza!$E$2:$AIR$59,$AN73+30,0)="","",VLOOKUP($AO$8,Baza!$E$2:$AIR$59,$AN73+30,0)))</f>
        <v/>
      </c>
      <c r="AI74" s="133"/>
      <c r="AJ74" s="20" t="str">
        <f>IF($AO$8="","",IF(VLOOKUP($AO$8,Baza!$E$2:$AIR$59,$AN73+32,0)="","",VLOOKUP($AO$8,Baza!$E$2:$AIR$59,$AN73+32,0)))</f>
        <v/>
      </c>
      <c r="AK74" s="20" t="str">
        <f>IF($AO$8="","",IF(VLOOKUP($AO$8,Baza!$E$2:$AIR$59,$AN73+33,0)="","",VLOOKUP($AO$8,Baza!$E$2:$AIR$59,$AN73+33,0)))</f>
        <v/>
      </c>
      <c r="AL74" s="127"/>
      <c r="AM74" s="130"/>
      <c r="AN74" s="70">
        <f t="shared" si="1"/>
        <v>509</v>
      </c>
    </row>
    <row r="75" spans="1:40" ht="19.95" customHeight="1">
      <c r="A75" s="146"/>
      <c r="B75" s="146"/>
      <c r="C75" s="18" t="s">
        <v>108</v>
      </c>
      <c r="D75" s="148"/>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7"/>
      <c r="R75" s="124"/>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7"/>
      <c r="AE75" s="124"/>
      <c r="AF75" s="20" t="str">
        <f>IF($AO$9="","",IF(VLOOKUP($AO$9,Baza!$E$2:$AIR$59,$AN74+28,0)="","",VLOOKUP($AO$9,Baza!$E$2:$AIR$59,$AN74+28,0)))</f>
        <v/>
      </c>
      <c r="AG75" s="20" t="str">
        <f>IF($AO$9="","",IF(VLOOKUP($AO$9,Baza!$E$2:$AIR$59,$AN74+29,0)="","",VLOOKUP($AO$9,Baza!$E$2:$AIR$59,$AN74+29,0)))</f>
        <v/>
      </c>
      <c r="AH75" s="32" t="str">
        <f>IF($AO$9="","",IF(VLOOKUP($AO$9,Baza!$E$2:$AIR$59,$AN74+30,0)="","",VLOOKUP($AO$9,Baza!$E$2:$AIR$59,$AN74+30,0)))</f>
        <v/>
      </c>
      <c r="AI75" s="133"/>
      <c r="AJ75" s="20" t="str">
        <f>IF($AO$9="","",IF(VLOOKUP($AO$9,Baza!$E$2:$AIR$59,$AN74+32,0)="","",VLOOKUP($AO$9,Baza!$E$2:$AIR$59,$AN74+32,0)))</f>
        <v/>
      </c>
      <c r="AK75" s="20" t="str">
        <f>IF($AO$9="","",IF(VLOOKUP($AO$9,Baza!$E$2:$AIR$59,$AN74+33,0)="","",VLOOKUP($AO$9,Baza!$E$2:$AIR$59,$AN74+33,0)))</f>
        <v/>
      </c>
      <c r="AL75" s="127"/>
      <c r="AM75" s="130"/>
      <c r="AN75" s="70">
        <f t="shared" si="1"/>
        <v>509</v>
      </c>
    </row>
    <row r="76" spans="1:40" ht="19.95" customHeight="1">
      <c r="A76" s="147"/>
      <c r="B76" s="147"/>
      <c r="C76" s="18" t="s">
        <v>109</v>
      </c>
      <c r="D76" s="148"/>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8"/>
      <c r="R76" s="125"/>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8"/>
      <c r="AE76" s="125"/>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4"/>
      <c r="AJ76" s="20" t="str">
        <f>IF($AO$10="","",IF(VLOOKUP($AO$10,Baza!$E$2:$AIR$59,$AN75+32,0)="","",VLOOKUP($AO$10,Baza!$E$2:$AIR$59,$AN75+32,0)))</f>
        <v/>
      </c>
      <c r="AK76" s="20" t="str">
        <f>IF($AO$10="","",IF(VLOOKUP($AO$10,Baza!$E$2:$AIR$59,$AN75+33,0)="","",VLOOKUP($AO$10,Baza!$E$2:$AIR$59,$AN75+33,0)))</f>
        <v/>
      </c>
      <c r="AL76" s="128"/>
      <c r="AM76" s="131"/>
      <c r="AN76" s="70">
        <f t="shared" si="1"/>
        <v>509</v>
      </c>
    </row>
    <row r="77" spans="1:40" ht="19.95" customHeight="1">
      <c r="A77" s="145">
        <v>131</v>
      </c>
      <c r="B77" s="145" t="s">
        <v>71</v>
      </c>
      <c r="C77" s="29" t="s">
        <v>31</v>
      </c>
      <c r="D77" s="148"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6" t="e">
        <f>IF(VLOOKUP($B$3,Baza!$E$2:$AIR$59,$AN77+13,0)="","",VLOOKUP($B$3,Baza!$E$2:$AIR$59,$AN77+13,0))</f>
        <v>#N/A</v>
      </c>
      <c r="R77" s="123"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6" t="e">
        <f>IF(VLOOKUP($B$3,Baza!$E$2:$AIR$59,$AN77+26,0)="","",VLOOKUP($B$3,Baza!$E$2:$AIR$59,$AN77+26,0))</f>
        <v>#N/A</v>
      </c>
      <c r="AE77" s="123"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2" t="e">
        <f>IF(VLOOKUP($B$3,Baza!$E$2:$AIR$59,$AN77+31,0)="","",VLOOKUP($B$3,Baza!$E$2:$AIR$59,$AN77+31,0))</f>
        <v>#N/A</v>
      </c>
      <c r="AJ77" s="13" t="e">
        <f>IF(VLOOKUP($B$3,Baza!$E$2:$AIR$59,$AN77+32,0)="","",VLOOKUP($B$3,Baza!$E$2:$AIR$59,$AN77+32,0))</f>
        <v>#N/A</v>
      </c>
      <c r="AK77" s="13" t="e">
        <f>IF(VLOOKUP($B$3,Baza!$E$2:$AIR$59,$AN77+33,0)="","",VLOOKUP($B$3,Baza!$E$2:$AIR$59,$AN77+33,0))</f>
        <v>#N/A</v>
      </c>
      <c r="AL77" s="126" t="e">
        <f>IF(VLOOKUP($B$3,Baza!$E$2:$AIR$59,$AN77+34,0)="","",VLOOKUP($B$3,Baza!$E$2:$AIR$59,$AN77+34,0))</f>
        <v>#N/A</v>
      </c>
      <c r="AM77" s="129" t="e">
        <f>IF(VLOOKUP($B$3,Baza!$E$2:$AIR$59,$AN77+35,0)="","",VLOOKUP($B$3,Baza!$E$2:$AIR$59,$AN77+35,0))</f>
        <v>#N/A</v>
      </c>
      <c r="AN77" s="70">
        <f t="shared" si="1"/>
        <v>547</v>
      </c>
    </row>
    <row r="78" spans="1:40" ht="19.95" customHeight="1">
      <c r="A78" s="146"/>
      <c r="B78" s="146"/>
      <c r="C78" s="18" t="s">
        <v>106</v>
      </c>
      <c r="D78" s="148"/>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7"/>
      <c r="R78" s="124"/>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7"/>
      <c r="AE78" s="124"/>
      <c r="AF78" s="20" t="str">
        <f>IF($AO$7="","",IF(VLOOKUP($AO$7,Baza!$E$2:$AIR$59,$AN77+28,0)="","",VLOOKUP($AO$7,Baza!$E$2:$AIR$59,$AN77+28,0)))</f>
        <v/>
      </c>
      <c r="AG78" s="20" t="str">
        <f>IF($AO$7="","",IF(VLOOKUP($AO$7,Baza!$E$2:$AIR$59,$AN77+29,0)="","",VLOOKUP($AO$7,Baza!$E$2:$AIR$59,$AN77+29,0)))</f>
        <v/>
      </c>
      <c r="AH78" s="32" t="str">
        <f>IF($AO$7="","",IF(VLOOKUP($AO$7,Baza!$E$2:$AIR$59,$AN77+30,0)="","",VLOOKUP($AO$7,Baza!$E$2:$AIR$59,$AN77+30,0)))</f>
        <v/>
      </c>
      <c r="AI78" s="133"/>
      <c r="AJ78" s="20" t="str">
        <f>IF($AO$7="","",IF(VLOOKUP($AO$7,Baza!$E$2:$AIR$59,$AN77+32,0)="","",VLOOKUP($AO$7,Baza!$E$2:$AIR$59,$AN77+32,0)))</f>
        <v/>
      </c>
      <c r="AK78" s="20" t="str">
        <f>IF($AO$7="","",IF(VLOOKUP($AO$7,Baza!$E$2:$AIR$59,$AN77+33,0)="","",VLOOKUP($AO$7,Baza!$E$2:$AIR$59,$AN77+33,0)))</f>
        <v/>
      </c>
      <c r="AL78" s="127"/>
      <c r="AM78" s="130"/>
      <c r="AN78" s="70">
        <f t="shared" si="1"/>
        <v>547</v>
      </c>
    </row>
    <row r="79" spans="1:40" ht="19.95" customHeight="1">
      <c r="A79" s="146"/>
      <c r="B79" s="146"/>
      <c r="C79" s="18" t="s">
        <v>107</v>
      </c>
      <c r="D79" s="148"/>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7"/>
      <c r="R79" s="124"/>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7"/>
      <c r="AE79" s="124"/>
      <c r="AF79" s="20" t="str">
        <f>IF($AO$8="","",IF(VLOOKUP($AO$8,Baza!$E$2:$AIR$59,$AN78+28,0)="","",VLOOKUP($AO$8,Baza!$E$2:$AIR$59,$AN78+28,0)))</f>
        <v/>
      </c>
      <c r="AG79" s="20" t="str">
        <f>IF($AO$8="","",IF(VLOOKUP($AO$8,Baza!$E$2:$AIR$59,$AN78+29,0)="","",VLOOKUP($AO$8,Baza!$E$2:$AIR$59,$AN78+29,0)))</f>
        <v/>
      </c>
      <c r="AH79" s="32" t="str">
        <f>IF($AO$8="","",IF(VLOOKUP($AO$8,Baza!$E$2:$AIR$59,$AN78+30,0)="","",VLOOKUP($AO$8,Baza!$E$2:$AIR$59,$AN78+30,0)))</f>
        <v/>
      </c>
      <c r="AI79" s="133"/>
      <c r="AJ79" s="20" t="str">
        <f>IF($AO$8="","",IF(VLOOKUP($AO$8,Baza!$E$2:$AIR$59,$AN78+32,0)="","",VLOOKUP($AO$8,Baza!$E$2:$AIR$59,$AN78+32,0)))</f>
        <v/>
      </c>
      <c r="AK79" s="20" t="str">
        <f>IF($AO$8="","",IF(VLOOKUP($AO$8,Baza!$E$2:$AIR$59,$AN78+33,0)="","",VLOOKUP($AO$8,Baza!$E$2:$AIR$59,$AN78+33,0)))</f>
        <v/>
      </c>
      <c r="AL79" s="127"/>
      <c r="AM79" s="130"/>
      <c r="AN79" s="70">
        <f t="shared" si="1"/>
        <v>547</v>
      </c>
    </row>
    <row r="80" spans="1:40" ht="19.95" customHeight="1">
      <c r="A80" s="146"/>
      <c r="B80" s="146"/>
      <c r="C80" s="18" t="s">
        <v>108</v>
      </c>
      <c r="D80" s="148"/>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7"/>
      <c r="R80" s="124"/>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7"/>
      <c r="AE80" s="124"/>
      <c r="AF80" s="20" t="str">
        <f>IF($AO$9="","",IF(VLOOKUP($AO$9,Baza!$E$2:$AIR$59,$AN79+28,0)="","",VLOOKUP($AO$9,Baza!$E$2:$AIR$59,$AN79+28,0)))</f>
        <v/>
      </c>
      <c r="AG80" s="20" t="str">
        <f>IF($AO$9="","",IF(VLOOKUP($AO$9,Baza!$E$2:$AIR$59,$AN79+29,0)="","",VLOOKUP($AO$9,Baza!$E$2:$AIR$59,$AN79+29,0)))</f>
        <v/>
      </c>
      <c r="AH80" s="32" t="str">
        <f>IF($AO$9="","",IF(VLOOKUP($AO$9,Baza!$E$2:$AIR$59,$AN79+30,0)="","",VLOOKUP($AO$9,Baza!$E$2:$AIR$59,$AN79+30,0)))</f>
        <v/>
      </c>
      <c r="AI80" s="133"/>
      <c r="AJ80" s="20" t="str">
        <f>IF($AO$9="","",IF(VLOOKUP($AO$9,Baza!$E$2:$AIR$59,$AN79+32,0)="","",VLOOKUP($AO$9,Baza!$E$2:$AIR$59,$AN79+32,0)))</f>
        <v/>
      </c>
      <c r="AK80" s="20" t="str">
        <f>IF($AO$9="","",IF(VLOOKUP($AO$9,Baza!$E$2:$AIR$59,$AN79+33,0)="","",VLOOKUP($AO$9,Baza!$E$2:$AIR$59,$AN79+33,0)))</f>
        <v/>
      </c>
      <c r="AL80" s="127"/>
      <c r="AM80" s="130"/>
      <c r="AN80" s="70">
        <f t="shared" si="1"/>
        <v>547</v>
      </c>
    </row>
    <row r="81" spans="1:40" ht="19.95" customHeight="1">
      <c r="A81" s="147"/>
      <c r="B81" s="147"/>
      <c r="C81" s="18" t="s">
        <v>109</v>
      </c>
      <c r="D81" s="148"/>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8"/>
      <c r="R81" s="125"/>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8"/>
      <c r="AE81" s="125"/>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4"/>
      <c r="AJ81" s="20" t="str">
        <f>IF($AO$10="","",IF(VLOOKUP($AO$10,Baza!$E$2:$AIR$59,$AN80+32,0)="","",VLOOKUP($AO$10,Baza!$E$2:$AIR$59,$AN80+32,0)))</f>
        <v/>
      </c>
      <c r="AK81" s="20" t="str">
        <f>IF($AO$10="","",IF(VLOOKUP($AO$10,Baza!$E$2:$AIR$59,$AN80+33,0)="","",VLOOKUP($AO$10,Baza!$E$2:$AIR$59,$AN80+33,0)))</f>
        <v/>
      </c>
      <c r="AL81" s="128"/>
      <c r="AM81" s="131"/>
      <c r="AN81" s="70">
        <f t="shared" si="1"/>
        <v>547</v>
      </c>
    </row>
    <row r="82" spans="1:40" ht="19.95" customHeight="1">
      <c r="A82" s="145">
        <v>132</v>
      </c>
      <c r="B82" s="145" t="s">
        <v>73</v>
      </c>
      <c r="C82" s="29" t="s">
        <v>31</v>
      </c>
      <c r="D82" s="148"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6" t="e">
        <f>IF(VLOOKUP($B$3,Baza!$E$2:$AIR$59,$AN82+13,0)="","",VLOOKUP($B$3,Baza!$E$2:$AIR$59,$AN82+13,0))</f>
        <v>#N/A</v>
      </c>
      <c r="R82" s="123"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6" t="e">
        <f>IF(VLOOKUP($B$3,Baza!$E$2:$AIR$59,$AN82+26,0)="","",VLOOKUP($B$3,Baza!$E$2:$AIR$59,$AN82+26,0))</f>
        <v>#N/A</v>
      </c>
      <c r="AE82" s="123"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2" t="e">
        <f>IF(VLOOKUP($B$3,Baza!$E$2:$AIR$59,$AN82+31,0)="","",VLOOKUP($B$3,Baza!$E$2:$AIR$59,$AN82+31,0))</f>
        <v>#N/A</v>
      </c>
      <c r="AJ82" s="13" t="e">
        <f>IF(VLOOKUP($B$3,Baza!$E$2:$AIR$59,$AN82+32,0)="","",VLOOKUP($B$3,Baza!$E$2:$AIR$59,$AN82+32,0))</f>
        <v>#N/A</v>
      </c>
      <c r="AK82" s="13" t="e">
        <f>IF(VLOOKUP($B$3,Baza!$E$2:$AIR$59,$AN82+33,0)="","",VLOOKUP($B$3,Baza!$E$2:$AIR$59,$AN82+33,0))</f>
        <v>#N/A</v>
      </c>
      <c r="AL82" s="126" t="e">
        <f>IF(VLOOKUP($B$3,Baza!$E$2:$AIR$59,$AN82+34,0)="","",VLOOKUP($B$3,Baza!$E$2:$AIR$59,$AN82+34,0))</f>
        <v>#N/A</v>
      </c>
      <c r="AM82" s="129" t="e">
        <f>IF(VLOOKUP($B$3,Baza!$E$2:$AIR$59,$AN82+35,0)="","",VLOOKUP($B$3,Baza!$E$2:$AIR$59,$AN82+35,0))</f>
        <v>#N/A</v>
      </c>
      <c r="AN82" s="70">
        <f t="shared" si="1"/>
        <v>585</v>
      </c>
    </row>
    <row r="83" spans="1:40" ht="19.95" customHeight="1">
      <c r="A83" s="146"/>
      <c r="B83" s="146"/>
      <c r="C83" s="18" t="s">
        <v>106</v>
      </c>
      <c r="D83" s="148"/>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7"/>
      <c r="R83" s="124"/>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7"/>
      <c r="AE83" s="124"/>
      <c r="AF83" s="20" t="str">
        <f>IF($AO$7="","",IF(VLOOKUP($AO$7,Baza!$E$2:$AIR$59,$AN82+28,0)="","",VLOOKUP($AO$7,Baza!$E$2:$AIR$59,$AN82+28,0)))</f>
        <v/>
      </c>
      <c r="AG83" s="20" t="str">
        <f>IF($AO$7="","",IF(VLOOKUP($AO$7,Baza!$E$2:$AIR$59,$AN82+29,0)="","",VLOOKUP($AO$7,Baza!$E$2:$AIR$59,$AN82+29,0)))</f>
        <v/>
      </c>
      <c r="AH83" s="32" t="str">
        <f>IF($AO$7="","",IF(VLOOKUP($AO$7,Baza!$E$2:$AIR$59,$AN82+30,0)="","",VLOOKUP($AO$7,Baza!$E$2:$AIR$59,$AN82+30,0)))</f>
        <v/>
      </c>
      <c r="AI83" s="133"/>
      <c r="AJ83" s="20" t="str">
        <f>IF($AO$7="","",IF(VLOOKUP($AO$7,Baza!$E$2:$AIR$59,$AN82+32,0)="","",VLOOKUP($AO$7,Baza!$E$2:$AIR$59,$AN82+32,0)))</f>
        <v/>
      </c>
      <c r="AK83" s="20" t="str">
        <f>IF($AO$7="","",IF(VLOOKUP($AO$7,Baza!$E$2:$AIR$59,$AN82+33,0)="","",VLOOKUP($AO$7,Baza!$E$2:$AIR$59,$AN82+33,0)))</f>
        <v/>
      </c>
      <c r="AL83" s="127"/>
      <c r="AM83" s="130"/>
      <c r="AN83" s="70">
        <f t="shared" ref="AN83:AN131" si="2">AN78+38</f>
        <v>585</v>
      </c>
    </row>
    <row r="84" spans="1:40" ht="19.95" customHeight="1">
      <c r="A84" s="146"/>
      <c r="B84" s="146"/>
      <c r="C84" s="18" t="s">
        <v>107</v>
      </c>
      <c r="D84" s="148"/>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7"/>
      <c r="R84" s="124"/>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7"/>
      <c r="AE84" s="124"/>
      <c r="AF84" s="20" t="str">
        <f>IF($AO$8="","",IF(VLOOKUP($AO$8,Baza!$E$2:$AIR$59,$AN83+28,0)="","",VLOOKUP($AO$8,Baza!$E$2:$AIR$59,$AN83+28,0)))</f>
        <v/>
      </c>
      <c r="AG84" s="20" t="str">
        <f>IF($AO$8="","",IF(VLOOKUP($AO$8,Baza!$E$2:$AIR$59,$AN83+29,0)="","",VLOOKUP($AO$8,Baza!$E$2:$AIR$59,$AN83+29,0)))</f>
        <v/>
      </c>
      <c r="AH84" s="32" t="str">
        <f>IF($AO$8="","",IF(VLOOKUP($AO$8,Baza!$E$2:$AIR$59,$AN83+30,0)="","",VLOOKUP($AO$8,Baza!$E$2:$AIR$59,$AN83+30,0)))</f>
        <v/>
      </c>
      <c r="AI84" s="133"/>
      <c r="AJ84" s="20" t="str">
        <f>IF($AO$8="","",IF(VLOOKUP($AO$8,Baza!$E$2:$AIR$59,$AN83+32,0)="","",VLOOKUP($AO$8,Baza!$E$2:$AIR$59,$AN83+32,0)))</f>
        <v/>
      </c>
      <c r="AK84" s="20" t="str">
        <f>IF($AO$8="","",IF(VLOOKUP($AO$8,Baza!$E$2:$AIR$59,$AN83+33,0)="","",VLOOKUP($AO$8,Baza!$E$2:$AIR$59,$AN83+33,0)))</f>
        <v/>
      </c>
      <c r="AL84" s="127"/>
      <c r="AM84" s="130"/>
      <c r="AN84" s="70">
        <f t="shared" si="2"/>
        <v>585</v>
      </c>
    </row>
    <row r="85" spans="1:40" ht="19.95" customHeight="1">
      <c r="A85" s="146"/>
      <c r="B85" s="146"/>
      <c r="C85" s="18" t="s">
        <v>108</v>
      </c>
      <c r="D85" s="148"/>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7"/>
      <c r="R85" s="124"/>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7"/>
      <c r="AE85" s="124"/>
      <c r="AF85" s="20" t="str">
        <f>IF($AO$9="","",IF(VLOOKUP($AO$9,Baza!$E$2:$AIR$59,$AN84+28,0)="","",VLOOKUP($AO$9,Baza!$E$2:$AIR$59,$AN84+28,0)))</f>
        <v/>
      </c>
      <c r="AG85" s="20" t="str">
        <f>IF($AO$9="","",IF(VLOOKUP($AO$9,Baza!$E$2:$AIR$59,$AN84+29,0)="","",VLOOKUP($AO$9,Baza!$E$2:$AIR$59,$AN84+29,0)))</f>
        <v/>
      </c>
      <c r="AH85" s="32" t="str">
        <f>IF($AO$9="","",IF(VLOOKUP($AO$9,Baza!$E$2:$AIR$59,$AN84+30,0)="","",VLOOKUP($AO$9,Baza!$E$2:$AIR$59,$AN84+30,0)))</f>
        <v/>
      </c>
      <c r="AI85" s="133"/>
      <c r="AJ85" s="20" t="str">
        <f>IF($AO$9="","",IF(VLOOKUP($AO$9,Baza!$E$2:$AIR$59,$AN84+32,0)="","",VLOOKUP($AO$9,Baza!$E$2:$AIR$59,$AN84+32,0)))</f>
        <v/>
      </c>
      <c r="AK85" s="20" t="str">
        <f>IF($AO$9="","",IF(VLOOKUP($AO$9,Baza!$E$2:$AIR$59,$AN84+33,0)="","",VLOOKUP($AO$9,Baza!$E$2:$AIR$59,$AN84+33,0)))</f>
        <v/>
      </c>
      <c r="AL85" s="127"/>
      <c r="AM85" s="130"/>
      <c r="AN85" s="70">
        <f t="shared" si="2"/>
        <v>585</v>
      </c>
    </row>
    <row r="86" spans="1:40" ht="19.95" customHeight="1">
      <c r="A86" s="147"/>
      <c r="B86" s="147"/>
      <c r="C86" s="18" t="s">
        <v>109</v>
      </c>
      <c r="D86" s="148"/>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8"/>
      <c r="R86" s="125"/>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8"/>
      <c r="AE86" s="125"/>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4"/>
      <c r="AJ86" s="20" t="str">
        <f>IF($AO$10="","",IF(VLOOKUP($AO$10,Baza!$E$2:$AIR$59,$AN85+32,0)="","",VLOOKUP($AO$10,Baza!$E$2:$AIR$59,$AN85+32,0)))</f>
        <v/>
      </c>
      <c r="AK86" s="20" t="str">
        <f>IF($AO$10="","",IF(VLOOKUP($AO$10,Baza!$E$2:$AIR$59,$AN85+33,0)="","",VLOOKUP($AO$10,Baza!$E$2:$AIR$59,$AN85+33,0)))</f>
        <v/>
      </c>
      <c r="AL86" s="128"/>
      <c r="AM86" s="131"/>
      <c r="AN86" s="70">
        <f t="shared" si="2"/>
        <v>585</v>
      </c>
    </row>
    <row r="87" spans="1:40" ht="19.95" customHeight="1">
      <c r="A87" s="145">
        <v>133</v>
      </c>
      <c r="B87" s="145" t="s">
        <v>75</v>
      </c>
      <c r="C87" s="29" t="s">
        <v>31</v>
      </c>
      <c r="D87" s="148"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6" t="e">
        <f>IF(VLOOKUP($B$3,Baza!$E$2:$AIR$59,$AN87+13,0)="","",VLOOKUP($B$3,Baza!$E$2:$AIR$59,$AN87+13,0))</f>
        <v>#N/A</v>
      </c>
      <c r="R87" s="123"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6" t="e">
        <f>IF(VLOOKUP($B$3,Baza!$E$2:$AIR$59,$AN87+26,0)="","",VLOOKUP($B$3,Baza!$E$2:$AIR$59,$AN87+26,0))</f>
        <v>#N/A</v>
      </c>
      <c r="AE87" s="123"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2" t="e">
        <f>IF(VLOOKUP($B$3,Baza!$E$2:$AIR$59,$AN87+31,0)="","",VLOOKUP($B$3,Baza!$E$2:$AIR$59,$AN87+31,0))</f>
        <v>#N/A</v>
      </c>
      <c r="AJ87" s="13" t="e">
        <f>IF(VLOOKUP($B$3,Baza!$E$2:$AIR$59,$AN87+32,0)="","",VLOOKUP($B$3,Baza!$E$2:$AIR$59,$AN87+32,0))</f>
        <v>#N/A</v>
      </c>
      <c r="AK87" s="13" t="e">
        <f>IF(VLOOKUP($B$3,Baza!$E$2:$AIR$59,$AN87+33,0)="","",VLOOKUP($B$3,Baza!$E$2:$AIR$59,$AN87+33,0))</f>
        <v>#N/A</v>
      </c>
      <c r="AL87" s="126" t="e">
        <f>IF(VLOOKUP($B$3,Baza!$E$2:$AIR$59,$AN87+34,0)="","",VLOOKUP($B$3,Baza!$E$2:$AIR$59,$AN87+34,0))</f>
        <v>#N/A</v>
      </c>
      <c r="AM87" s="129" t="e">
        <f>IF(VLOOKUP($B$3,Baza!$E$2:$AIR$59,$AN87+35,0)="","",VLOOKUP($B$3,Baza!$E$2:$AIR$59,$AN87+35,0))</f>
        <v>#N/A</v>
      </c>
      <c r="AN87" s="70">
        <f t="shared" si="2"/>
        <v>623</v>
      </c>
    </row>
    <row r="88" spans="1:40" ht="19.95" customHeight="1">
      <c r="A88" s="146"/>
      <c r="B88" s="146"/>
      <c r="C88" s="18" t="s">
        <v>106</v>
      </c>
      <c r="D88" s="148"/>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7"/>
      <c r="R88" s="124"/>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7"/>
      <c r="AE88" s="124"/>
      <c r="AF88" s="20" t="str">
        <f>IF($AO$7="","",IF(VLOOKUP($AO$7,Baza!$E$2:$AIR$59,$AN87+28,0)="","",VLOOKUP($AO$7,Baza!$E$2:$AIR$59,$AN87+28,0)))</f>
        <v/>
      </c>
      <c r="AG88" s="20" t="str">
        <f>IF($AO$7="","",IF(VLOOKUP($AO$7,Baza!$E$2:$AIR$59,$AN87+29,0)="","",VLOOKUP($AO$7,Baza!$E$2:$AIR$59,$AN87+29,0)))</f>
        <v/>
      </c>
      <c r="AH88" s="32" t="str">
        <f>IF($AO$7="","",IF(VLOOKUP($AO$7,Baza!$E$2:$AIR$59,$AN87+30,0)="","",VLOOKUP($AO$7,Baza!$E$2:$AIR$59,$AN87+30,0)))</f>
        <v/>
      </c>
      <c r="AI88" s="133"/>
      <c r="AJ88" s="20" t="str">
        <f>IF($AO$7="","",IF(VLOOKUP($AO$7,Baza!$E$2:$AIR$59,$AN87+32,0)="","",VLOOKUP($AO$7,Baza!$E$2:$AIR$59,$AN87+32,0)))</f>
        <v/>
      </c>
      <c r="AK88" s="20" t="str">
        <f>IF($AO$7="","",IF(VLOOKUP($AO$7,Baza!$E$2:$AIR$59,$AN87+33,0)="","",VLOOKUP($AO$7,Baza!$E$2:$AIR$59,$AN87+33,0)))</f>
        <v/>
      </c>
      <c r="AL88" s="127"/>
      <c r="AM88" s="130"/>
      <c r="AN88" s="70">
        <f t="shared" si="2"/>
        <v>623</v>
      </c>
    </row>
    <row r="89" spans="1:40" ht="19.95" customHeight="1">
      <c r="A89" s="146"/>
      <c r="B89" s="146"/>
      <c r="C89" s="18" t="s">
        <v>107</v>
      </c>
      <c r="D89" s="148"/>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7"/>
      <c r="R89" s="124"/>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7"/>
      <c r="AE89" s="124"/>
      <c r="AF89" s="20" t="str">
        <f>IF($AO$8="","",IF(VLOOKUP($AO$8,Baza!$E$2:$AIR$59,$AN88+28,0)="","",VLOOKUP($AO$8,Baza!$E$2:$AIR$59,$AN88+28,0)))</f>
        <v/>
      </c>
      <c r="AG89" s="20" t="str">
        <f>IF($AO$8="","",IF(VLOOKUP($AO$8,Baza!$E$2:$AIR$59,$AN88+29,0)="","",VLOOKUP($AO$8,Baza!$E$2:$AIR$59,$AN88+29,0)))</f>
        <v/>
      </c>
      <c r="AH89" s="32" t="str">
        <f>IF($AO$8="","",IF(VLOOKUP($AO$8,Baza!$E$2:$AIR$59,$AN88+30,0)="","",VLOOKUP($AO$8,Baza!$E$2:$AIR$59,$AN88+30,0)))</f>
        <v/>
      </c>
      <c r="AI89" s="133"/>
      <c r="AJ89" s="20" t="str">
        <f>IF($AO$8="","",IF(VLOOKUP($AO$8,Baza!$E$2:$AIR$59,$AN88+32,0)="","",VLOOKUP($AO$8,Baza!$E$2:$AIR$59,$AN88+32,0)))</f>
        <v/>
      </c>
      <c r="AK89" s="20" t="str">
        <f>IF($AO$8="","",IF(VLOOKUP($AO$8,Baza!$E$2:$AIR$59,$AN88+33,0)="","",VLOOKUP($AO$8,Baza!$E$2:$AIR$59,$AN88+33,0)))</f>
        <v/>
      </c>
      <c r="AL89" s="127"/>
      <c r="AM89" s="130"/>
      <c r="AN89" s="70">
        <f t="shared" si="2"/>
        <v>623</v>
      </c>
    </row>
    <row r="90" spans="1:40" ht="19.95" customHeight="1">
      <c r="A90" s="146"/>
      <c r="B90" s="146"/>
      <c r="C90" s="18" t="s">
        <v>108</v>
      </c>
      <c r="D90" s="148"/>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7"/>
      <c r="R90" s="124"/>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7"/>
      <c r="AE90" s="124"/>
      <c r="AF90" s="20" t="str">
        <f>IF($AO$9="","",IF(VLOOKUP($AO$9,Baza!$E$2:$AIR$59,$AN89+28,0)="","",VLOOKUP($AO$9,Baza!$E$2:$AIR$59,$AN89+28,0)))</f>
        <v/>
      </c>
      <c r="AG90" s="20" t="str">
        <f>IF($AO$9="","",IF(VLOOKUP($AO$9,Baza!$E$2:$AIR$59,$AN89+29,0)="","",VLOOKUP($AO$9,Baza!$E$2:$AIR$59,$AN89+29,0)))</f>
        <v/>
      </c>
      <c r="AH90" s="32" t="str">
        <f>IF($AO$9="","",IF(VLOOKUP($AO$9,Baza!$E$2:$AIR$59,$AN89+30,0)="","",VLOOKUP($AO$9,Baza!$E$2:$AIR$59,$AN89+30,0)))</f>
        <v/>
      </c>
      <c r="AI90" s="133"/>
      <c r="AJ90" s="20" t="str">
        <f>IF($AO$9="","",IF(VLOOKUP($AO$9,Baza!$E$2:$AIR$59,$AN89+32,0)="","",VLOOKUP($AO$9,Baza!$E$2:$AIR$59,$AN89+32,0)))</f>
        <v/>
      </c>
      <c r="AK90" s="20" t="str">
        <f>IF($AO$9="","",IF(VLOOKUP($AO$9,Baza!$E$2:$AIR$59,$AN89+33,0)="","",VLOOKUP($AO$9,Baza!$E$2:$AIR$59,$AN89+33,0)))</f>
        <v/>
      </c>
      <c r="AL90" s="127"/>
      <c r="AM90" s="130"/>
      <c r="AN90" s="70">
        <f t="shared" si="2"/>
        <v>623</v>
      </c>
    </row>
    <row r="91" spans="1:40" ht="19.95" customHeight="1">
      <c r="A91" s="147"/>
      <c r="B91" s="147"/>
      <c r="C91" s="18" t="s">
        <v>109</v>
      </c>
      <c r="D91" s="148"/>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8"/>
      <c r="R91" s="125"/>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8"/>
      <c r="AE91" s="125"/>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4"/>
      <c r="AJ91" s="20" t="str">
        <f>IF($AO$10="","",IF(VLOOKUP($AO$10,Baza!$E$2:$AIR$59,$AN90+32,0)="","",VLOOKUP($AO$10,Baza!$E$2:$AIR$59,$AN90+32,0)))</f>
        <v/>
      </c>
      <c r="AK91" s="20" t="str">
        <f>IF($AO$10="","",IF(VLOOKUP($AO$10,Baza!$E$2:$AIR$59,$AN90+33,0)="","",VLOOKUP($AO$10,Baza!$E$2:$AIR$59,$AN90+33,0)))</f>
        <v/>
      </c>
      <c r="AL91" s="128"/>
      <c r="AM91" s="131"/>
      <c r="AN91" s="70">
        <f t="shared" si="2"/>
        <v>623</v>
      </c>
    </row>
    <row r="92" spans="1:40" ht="19.95" customHeight="1">
      <c r="A92" s="145">
        <v>135</v>
      </c>
      <c r="B92" s="145" t="s">
        <v>77</v>
      </c>
      <c r="C92" s="29" t="s">
        <v>31</v>
      </c>
      <c r="D92" s="148"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6" t="e">
        <f>IF(VLOOKUP($B$3,Baza!$E$2:$AIR$59,$AN92+13,0)="","",VLOOKUP($B$3,Baza!$E$2:$AIR$59,$AN92+13,0))</f>
        <v>#N/A</v>
      </c>
      <c r="R92" s="123"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6" t="e">
        <f>IF(VLOOKUP($B$3,Baza!$E$2:$AIR$59,$AN92+26,0)="","",VLOOKUP($B$3,Baza!$E$2:$AIR$59,$AN92+26,0))</f>
        <v>#N/A</v>
      </c>
      <c r="AE92" s="123"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2" t="e">
        <f>IF(VLOOKUP($B$3,Baza!$E$2:$AIR$59,$AN92+31,0)="","",VLOOKUP($B$3,Baza!$E$2:$AIR$59,$AN92+31,0))</f>
        <v>#N/A</v>
      </c>
      <c r="AJ92" s="13" t="e">
        <f>IF(VLOOKUP($B$3,Baza!$E$2:$AIR$59,$AN92+32,0)="","",VLOOKUP($B$3,Baza!$E$2:$AIR$59,$AN92+32,0))</f>
        <v>#N/A</v>
      </c>
      <c r="AK92" s="13" t="e">
        <f>IF(VLOOKUP($B$3,Baza!$E$2:$AIR$59,$AN92+33,0)="","",VLOOKUP($B$3,Baza!$E$2:$AIR$59,$AN92+33,0))</f>
        <v>#N/A</v>
      </c>
      <c r="AL92" s="126" t="e">
        <f>IF(VLOOKUP($B$3,Baza!$E$2:$AIR$59,$AN92+34,0)="","",VLOOKUP($B$3,Baza!$E$2:$AIR$59,$AN92+34,0))</f>
        <v>#N/A</v>
      </c>
      <c r="AM92" s="129" t="e">
        <f>IF(VLOOKUP($B$3,Baza!$E$2:$AIR$59,$AN92+35,0)="","",VLOOKUP($B$3,Baza!$E$2:$AIR$59,$AN92+35,0))</f>
        <v>#N/A</v>
      </c>
      <c r="AN92" s="70">
        <f t="shared" si="2"/>
        <v>661</v>
      </c>
    </row>
    <row r="93" spans="1:40" ht="19.95" customHeight="1">
      <c r="A93" s="146"/>
      <c r="B93" s="146"/>
      <c r="C93" s="18" t="s">
        <v>106</v>
      </c>
      <c r="D93" s="148"/>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7"/>
      <c r="R93" s="124"/>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7"/>
      <c r="AE93" s="124"/>
      <c r="AF93" s="20" t="str">
        <f>IF($AO$7="","",IF(VLOOKUP($AO$7,Baza!$E$2:$AIR$59,$AN92+28,0)="","",VLOOKUP($AO$7,Baza!$E$2:$AIR$59,$AN92+28,0)))</f>
        <v/>
      </c>
      <c r="AG93" s="20" t="str">
        <f>IF($AO$7="","",IF(VLOOKUP($AO$7,Baza!$E$2:$AIR$59,$AN92+29,0)="","",VLOOKUP($AO$7,Baza!$E$2:$AIR$59,$AN92+29,0)))</f>
        <v/>
      </c>
      <c r="AH93" s="32" t="str">
        <f>IF($AO$7="","",IF(VLOOKUP($AO$7,Baza!$E$2:$AIR$59,$AN92+30,0)="","",VLOOKUP($AO$7,Baza!$E$2:$AIR$59,$AN92+30,0)))</f>
        <v/>
      </c>
      <c r="AI93" s="133"/>
      <c r="AJ93" s="20" t="str">
        <f>IF($AO$7="","",IF(VLOOKUP($AO$7,Baza!$E$2:$AIR$59,$AN92+32,0)="","",VLOOKUP($AO$7,Baza!$E$2:$AIR$59,$AN92+32,0)))</f>
        <v/>
      </c>
      <c r="AK93" s="20" t="str">
        <f>IF($AO$7="","",IF(VLOOKUP($AO$7,Baza!$E$2:$AIR$59,$AN92+33,0)="","",VLOOKUP($AO$7,Baza!$E$2:$AIR$59,$AN92+33,0)))</f>
        <v/>
      </c>
      <c r="AL93" s="127"/>
      <c r="AM93" s="130"/>
      <c r="AN93" s="70">
        <f t="shared" si="2"/>
        <v>661</v>
      </c>
    </row>
    <row r="94" spans="1:40" ht="19.95" customHeight="1">
      <c r="A94" s="146"/>
      <c r="B94" s="146"/>
      <c r="C94" s="18" t="s">
        <v>107</v>
      </c>
      <c r="D94" s="148"/>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7"/>
      <c r="R94" s="124"/>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7"/>
      <c r="AE94" s="124"/>
      <c r="AF94" s="20" t="str">
        <f>IF($AO$8="","",IF(VLOOKUP($AO$8,Baza!$E$2:$AIR$59,$AN93+28,0)="","",VLOOKUP($AO$8,Baza!$E$2:$AIR$59,$AN93+28,0)))</f>
        <v/>
      </c>
      <c r="AG94" s="20" t="str">
        <f>IF($AO$8="","",IF(VLOOKUP($AO$8,Baza!$E$2:$AIR$59,$AN93+29,0)="","",VLOOKUP($AO$8,Baza!$E$2:$AIR$59,$AN93+29,0)))</f>
        <v/>
      </c>
      <c r="AH94" s="32" t="str">
        <f>IF($AO$8="","",IF(VLOOKUP($AO$8,Baza!$E$2:$AIR$59,$AN93+30,0)="","",VLOOKUP($AO$8,Baza!$E$2:$AIR$59,$AN93+30,0)))</f>
        <v/>
      </c>
      <c r="AI94" s="133"/>
      <c r="AJ94" s="20" t="str">
        <f>IF($AO$8="","",IF(VLOOKUP($AO$8,Baza!$E$2:$AIR$59,$AN93+32,0)="","",VLOOKUP($AO$8,Baza!$E$2:$AIR$59,$AN93+32,0)))</f>
        <v/>
      </c>
      <c r="AK94" s="20" t="str">
        <f>IF($AO$8="","",IF(VLOOKUP($AO$8,Baza!$E$2:$AIR$59,$AN93+33,0)="","",VLOOKUP($AO$8,Baza!$E$2:$AIR$59,$AN93+33,0)))</f>
        <v/>
      </c>
      <c r="AL94" s="127"/>
      <c r="AM94" s="130"/>
      <c r="AN94" s="70">
        <f t="shared" si="2"/>
        <v>661</v>
      </c>
    </row>
    <row r="95" spans="1:40" ht="19.95" customHeight="1">
      <c r="A95" s="146"/>
      <c r="B95" s="146"/>
      <c r="C95" s="18" t="s">
        <v>108</v>
      </c>
      <c r="D95" s="148"/>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7"/>
      <c r="R95" s="124"/>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7"/>
      <c r="AE95" s="124"/>
      <c r="AF95" s="20" t="str">
        <f>IF($AO$9="","",IF(VLOOKUP($AO$9,Baza!$E$2:$AIR$59,$AN94+28,0)="","",VLOOKUP($AO$9,Baza!$E$2:$AIR$59,$AN94+28,0)))</f>
        <v/>
      </c>
      <c r="AG95" s="20" t="str">
        <f>IF($AO$9="","",IF(VLOOKUP($AO$9,Baza!$E$2:$AIR$59,$AN94+29,0)="","",VLOOKUP($AO$9,Baza!$E$2:$AIR$59,$AN94+29,0)))</f>
        <v/>
      </c>
      <c r="AH95" s="32" t="str">
        <f>IF($AO$9="","",IF(VLOOKUP($AO$9,Baza!$E$2:$AIR$59,$AN94+30,0)="","",VLOOKUP($AO$9,Baza!$E$2:$AIR$59,$AN94+30,0)))</f>
        <v/>
      </c>
      <c r="AI95" s="133"/>
      <c r="AJ95" s="20" t="str">
        <f>IF($AO$9="","",IF(VLOOKUP($AO$9,Baza!$E$2:$AIR$59,$AN94+32,0)="","",VLOOKUP($AO$9,Baza!$E$2:$AIR$59,$AN94+32,0)))</f>
        <v/>
      </c>
      <c r="AK95" s="20" t="str">
        <f>IF($AO$9="","",IF(VLOOKUP($AO$9,Baza!$E$2:$AIR$59,$AN94+33,0)="","",VLOOKUP($AO$9,Baza!$E$2:$AIR$59,$AN94+33,0)))</f>
        <v/>
      </c>
      <c r="AL95" s="127"/>
      <c r="AM95" s="130"/>
      <c r="AN95" s="70">
        <f t="shared" si="2"/>
        <v>661</v>
      </c>
    </row>
    <row r="96" spans="1:40" ht="19.95" customHeight="1">
      <c r="A96" s="147"/>
      <c r="B96" s="147"/>
      <c r="C96" s="18" t="s">
        <v>109</v>
      </c>
      <c r="D96" s="148"/>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8"/>
      <c r="R96" s="125"/>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8"/>
      <c r="AE96" s="125"/>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4"/>
      <c r="AJ96" s="20" t="str">
        <f>IF($AO$10="","",IF(VLOOKUP($AO$10,Baza!$E$2:$AIR$59,$AN95+32,0)="","",VLOOKUP($AO$10,Baza!$E$2:$AIR$59,$AN95+32,0)))</f>
        <v/>
      </c>
      <c r="AK96" s="20" t="str">
        <f>IF($AO$10="","",IF(VLOOKUP($AO$10,Baza!$E$2:$AIR$59,$AN95+33,0)="","",VLOOKUP($AO$10,Baza!$E$2:$AIR$59,$AN95+33,0)))</f>
        <v/>
      </c>
      <c r="AL96" s="128"/>
      <c r="AM96" s="131"/>
      <c r="AN96" s="70">
        <f t="shared" si="2"/>
        <v>661</v>
      </c>
    </row>
    <row r="97" spans="1:40" ht="19.95" customHeight="1">
      <c r="A97" s="145">
        <v>181</v>
      </c>
      <c r="B97" s="145" t="s">
        <v>79</v>
      </c>
      <c r="C97" s="29" t="s">
        <v>31</v>
      </c>
      <c r="D97" s="148"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6" t="e">
        <f>IF(VLOOKUP($B$3,Baza!$E$2:$AIR$59,$AN97+13,0)="","",VLOOKUP($B$3,Baza!$E$2:$AIR$59,$AN97+13,0))</f>
        <v>#N/A</v>
      </c>
      <c r="R97" s="123"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6" t="e">
        <f>IF(VLOOKUP($B$3,Baza!$E$2:$AIR$59,$AN97+26,0)="","",VLOOKUP($B$3,Baza!$E$2:$AIR$59,$AN97+26,0))</f>
        <v>#N/A</v>
      </c>
      <c r="AE97" s="123"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2" t="e">
        <f>IF(VLOOKUP($B$3,Baza!$E$2:$AIR$59,$AN97+31,0)="","",VLOOKUP($B$3,Baza!$E$2:$AIR$59,$AN97+31,0))</f>
        <v>#N/A</v>
      </c>
      <c r="AJ97" s="13" t="e">
        <f>IF(VLOOKUP($B$3,Baza!$E$2:$AIR$59,$AN97+32,0)="","",VLOOKUP($B$3,Baza!$E$2:$AIR$59,$AN97+32,0))</f>
        <v>#N/A</v>
      </c>
      <c r="AK97" s="13" t="e">
        <f>IF(VLOOKUP($B$3,Baza!$E$2:$AIR$59,$AN97+33,0)="","",VLOOKUP($B$3,Baza!$E$2:$AIR$59,$AN97+33,0))</f>
        <v>#N/A</v>
      </c>
      <c r="AL97" s="126" t="e">
        <f>IF(VLOOKUP($B$3,Baza!$E$2:$AIR$59,$AN97+34,0)="","",VLOOKUP($B$3,Baza!$E$2:$AIR$59,$AN97+34,0))</f>
        <v>#N/A</v>
      </c>
      <c r="AM97" s="129" t="e">
        <f>IF(VLOOKUP($B$3,Baza!$E$2:$AIR$59,$AN97+35,0)="","",VLOOKUP($B$3,Baza!$E$2:$AIR$59,$AN97+35,0))</f>
        <v>#N/A</v>
      </c>
      <c r="AN97" s="70">
        <f t="shared" si="2"/>
        <v>699</v>
      </c>
    </row>
    <row r="98" spans="1:40" ht="19.95" customHeight="1">
      <c r="A98" s="146"/>
      <c r="B98" s="146"/>
      <c r="C98" s="18" t="s">
        <v>106</v>
      </c>
      <c r="D98" s="148"/>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7"/>
      <c r="R98" s="124"/>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7"/>
      <c r="AE98" s="124"/>
      <c r="AF98" s="20" t="str">
        <f>IF($AO$7="","",IF(VLOOKUP($AO$7,Baza!$E$2:$AIR$59,$AN97+28,0)="","",VLOOKUP($AO$7,Baza!$E$2:$AIR$59,$AN97+28,0)))</f>
        <v/>
      </c>
      <c r="AG98" s="20" t="str">
        <f>IF($AO$7="","",IF(VLOOKUP($AO$7,Baza!$E$2:$AIR$59,$AN97+29,0)="","",VLOOKUP($AO$7,Baza!$E$2:$AIR$59,$AN97+29,0)))</f>
        <v/>
      </c>
      <c r="AH98" s="32" t="str">
        <f>IF($AO$7="","",IF(VLOOKUP($AO$7,Baza!$E$2:$AIR$59,$AN97+30,0)="","",VLOOKUP($AO$7,Baza!$E$2:$AIR$59,$AN97+30,0)))</f>
        <v/>
      </c>
      <c r="AI98" s="133"/>
      <c r="AJ98" s="20" t="str">
        <f>IF($AO$7="","",IF(VLOOKUP($AO$7,Baza!$E$2:$AIR$59,$AN97+32,0)="","",VLOOKUP($AO$7,Baza!$E$2:$AIR$59,$AN97+32,0)))</f>
        <v/>
      </c>
      <c r="AK98" s="20" t="str">
        <f>IF($AO$7="","",IF(VLOOKUP($AO$7,Baza!$E$2:$AIR$59,$AN97+33,0)="","",VLOOKUP($AO$7,Baza!$E$2:$AIR$59,$AN97+33,0)))</f>
        <v/>
      </c>
      <c r="AL98" s="127"/>
      <c r="AM98" s="130"/>
      <c r="AN98" s="70">
        <f t="shared" si="2"/>
        <v>699</v>
      </c>
    </row>
    <row r="99" spans="1:40" ht="19.95" customHeight="1">
      <c r="A99" s="146"/>
      <c r="B99" s="146"/>
      <c r="C99" s="18" t="s">
        <v>107</v>
      </c>
      <c r="D99" s="148"/>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7"/>
      <c r="R99" s="124"/>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7"/>
      <c r="AE99" s="124"/>
      <c r="AF99" s="20" t="str">
        <f>IF($AO$8="","",IF(VLOOKUP($AO$8,Baza!$E$2:$AIR$59,$AN98+28,0)="","",VLOOKUP($AO$8,Baza!$E$2:$AIR$59,$AN98+28,0)))</f>
        <v/>
      </c>
      <c r="AG99" s="20" t="str">
        <f>IF($AO$8="","",IF(VLOOKUP($AO$8,Baza!$E$2:$AIR$59,$AN98+29,0)="","",VLOOKUP($AO$8,Baza!$E$2:$AIR$59,$AN98+29,0)))</f>
        <v/>
      </c>
      <c r="AH99" s="32" t="str">
        <f>IF($AO$8="","",IF(VLOOKUP($AO$8,Baza!$E$2:$AIR$59,$AN98+30,0)="","",VLOOKUP($AO$8,Baza!$E$2:$AIR$59,$AN98+30,0)))</f>
        <v/>
      </c>
      <c r="AI99" s="133"/>
      <c r="AJ99" s="20" t="str">
        <f>IF($AO$8="","",IF(VLOOKUP($AO$8,Baza!$E$2:$AIR$59,$AN98+32,0)="","",VLOOKUP($AO$8,Baza!$E$2:$AIR$59,$AN98+32,0)))</f>
        <v/>
      </c>
      <c r="AK99" s="20" t="str">
        <f>IF($AO$8="","",IF(VLOOKUP($AO$8,Baza!$E$2:$AIR$59,$AN98+33,0)="","",VLOOKUP($AO$8,Baza!$E$2:$AIR$59,$AN98+33,0)))</f>
        <v/>
      </c>
      <c r="AL99" s="127"/>
      <c r="AM99" s="130"/>
      <c r="AN99" s="70">
        <f t="shared" si="2"/>
        <v>699</v>
      </c>
    </row>
    <row r="100" spans="1:40" ht="19.95" customHeight="1">
      <c r="A100" s="146"/>
      <c r="B100" s="146"/>
      <c r="C100" s="18" t="s">
        <v>108</v>
      </c>
      <c r="D100" s="148"/>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7"/>
      <c r="R100" s="124"/>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7"/>
      <c r="AE100" s="124"/>
      <c r="AF100" s="20" t="str">
        <f>IF($AO$9="","",IF(VLOOKUP($AO$9,Baza!$E$2:$AIR$59,$AN99+28,0)="","",VLOOKUP($AO$9,Baza!$E$2:$AIR$59,$AN99+28,0)))</f>
        <v/>
      </c>
      <c r="AG100" s="20" t="str">
        <f>IF($AO$9="","",IF(VLOOKUP($AO$9,Baza!$E$2:$AIR$59,$AN99+29,0)="","",VLOOKUP($AO$9,Baza!$E$2:$AIR$59,$AN99+29,0)))</f>
        <v/>
      </c>
      <c r="AH100" s="32" t="str">
        <f>IF($AO$9="","",IF(VLOOKUP($AO$9,Baza!$E$2:$AIR$59,$AN99+30,0)="","",VLOOKUP($AO$9,Baza!$E$2:$AIR$59,$AN99+30,0)))</f>
        <v/>
      </c>
      <c r="AI100" s="133"/>
      <c r="AJ100" s="20" t="str">
        <f>IF($AO$9="","",IF(VLOOKUP($AO$9,Baza!$E$2:$AIR$59,$AN99+32,0)="","",VLOOKUP($AO$9,Baza!$E$2:$AIR$59,$AN99+32,0)))</f>
        <v/>
      </c>
      <c r="AK100" s="20" t="str">
        <f>IF($AO$9="","",IF(VLOOKUP($AO$9,Baza!$E$2:$AIR$59,$AN99+33,0)="","",VLOOKUP($AO$9,Baza!$E$2:$AIR$59,$AN99+33,0)))</f>
        <v/>
      </c>
      <c r="AL100" s="127"/>
      <c r="AM100" s="130"/>
      <c r="AN100" s="70">
        <f t="shared" si="2"/>
        <v>699</v>
      </c>
    </row>
    <row r="101" spans="1:40" ht="19.95" customHeight="1">
      <c r="A101" s="147"/>
      <c r="B101" s="147"/>
      <c r="C101" s="18" t="s">
        <v>109</v>
      </c>
      <c r="D101" s="148"/>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8"/>
      <c r="R101" s="125"/>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8"/>
      <c r="AE101" s="125"/>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4"/>
      <c r="AJ101" s="20" t="str">
        <f>IF($AO$10="","",IF(VLOOKUP($AO$10,Baza!$E$2:$AIR$59,$AN100+32,0)="","",VLOOKUP($AO$10,Baza!$E$2:$AIR$59,$AN100+32,0)))</f>
        <v/>
      </c>
      <c r="AK101" s="20" t="str">
        <f>IF($AO$10="","",IF(VLOOKUP($AO$10,Baza!$E$2:$AIR$59,$AN100+33,0)="","",VLOOKUP($AO$10,Baza!$E$2:$AIR$59,$AN100+33,0)))</f>
        <v/>
      </c>
      <c r="AL101" s="128"/>
      <c r="AM101" s="131"/>
      <c r="AN101" s="70">
        <f t="shared" si="2"/>
        <v>699</v>
      </c>
    </row>
    <row r="102" spans="1:40" ht="19.95" customHeight="1">
      <c r="A102" s="145">
        <v>182</v>
      </c>
      <c r="B102" s="145" t="s">
        <v>81</v>
      </c>
      <c r="C102" s="29" t="s">
        <v>31</v>
      </c>
      <c r="D102" s="148"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6" t="e">
        <f>IF(VLOOKUP($B$3,Baza!$E$2:$AIR$59,$AN102+13,0)="","",VLOOKUP($B$3,Baza!$E$2:$AIR$59,$AN102+13,0))</f>
        <v>#N/A</v>
      </c>
      <c r="R102" s="123"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6" t="e">
        <f>IF(VLOOKUP($B$3,Baza!$E$2:$AIR$59,$AN102+26,0)="","",VLOOKUP($B$3,Baza!$E$2:$AIR$59,$AN102+26,0))</f>
        <v>#N/A</v>
      </c>
      <c r="AE102" s="123"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2" t="e">
        <f>IF(VLOOKUP($B$3,Baza!$E$2:$AIR$59,$AN102+31,0)="","",VLOOKUP($B$3,Baza!$E$2:$AIR$59,$AN102+31,0))</f>
        <v>#N/A</v>
      </c>
      <c r="AJ102" s="13" t="e">
        <f>IF(VLOOKUP($B$3,Baza!$E$2:$AIR$59,$AN102+32,0)="","",VLOOKUP($B$3,Baza!$E$2:$AIR$59,$AN102+32,0))</f>
        <v>#N/A</v>
      </c>
      <c r="AK102" s="13" t="e">
        <f>IF(VLOOKUP($B$3,Baza!$E$2:$AIR$59,$AN102+33,0)="","",VLOOKUP($B$3,Baza!$E$2:$AIR$59,$AN102+33,0))</f>
        <v>#N/A</v>
      </c>
      <c r="AL102" s="126" t="e">
        <f>IF(VLOOKUP($B$3,Baza!$E$2:$AIR$59,$AN102+34,0)="","",VLOOKUP($B$3,Baza!$E$2:$AIR$59,$AN102+34,0))</f>
        <v>#N/A</v>
      </c>
      <c r="AM102" s="129" t="e">
        <f>IF(VLOOKUP($B$3,Baza!$E$2:$AIR$59,$AN102+35,0)="","",VLOOKUP($B$3,Baza!$E$2:$AIR$59,$AN102+35,0))</f>
        <v>#N/A</v>
      </c>
      <c r="AN102" s="70">
        <f t="shared" si="2"/>
        <v>737</v>
      </c>
    </row>
    <row r="103" spans="1:40" ht="19.95" customHeight="1">
      <c r="A103" s="146"/>
      <c r="B103" s="146"/>
      <c r="C103" s="18" t="s">
        <v>106</v>
      </c>
      <c r="D103" s="148"/>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7"/>
      <c r="R103" s="124"/>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7"/>
      <c r="AE103" s="124"/>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3"/>
      <c r="AJ103" s="20" t="str">
        <f>IF($AO$7="","",IF(VLOOKUP($AO$7,Baza!$E$2:$AIR$59,$AN102+32,0)="","",VLOOKUP($AO$7,Baza!$E$2:$AIR$59,$AN102+32,0)))</f>
        <v/>
      </c>
      <c r="AK103" s="20" t="str">
        <f>IF($AO$7="","",IF(VLOOKUP($AO$7,Baza!$E$2:$AIR$59,$AN102+33,0)="","",VLOOKUP($AO$7,Baza!$E$2:$AIR$59,$AN102+33,0)))</f>
        <v/>
      </c>
      <c r="AL103" s="127"/>
      <c r="AM103" s="130"/>
      <c r="AN103" s="70">
        <f t="shared" si="2"/>
        <v>737</v>
      </c>
    </row>
    <row r="104" spans="1:40" ht="19.95" customHeight="1">
      <c r="A104" s="146"/>
      <c r="B104" s="146"/>
      <c r="C104" s="18" t="s">
        <v>107</v>
      </c>
      <c r="D104" s="148"/>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7"/>
      <c r="R104" s="124"/>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7"/>
      <c r="AE104" s="124"/>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3"/>
      <c r="AJ104" s="20" t="str">
        <f>IF($AO$8="","",IF(VLOOKUP($AO$8,Baza!$E$2:$AIR$59,$AN103+32,0)="","",VLOOKUP($AO$8,Baza!$E$2:$AIR$59,$AN103+32,0)))</f>
        <v/>
      </c>
      <c r="AK104" s="20" t="str">
        <f>IF($AO$8="","",IF(VLOOKUP($AO$8,Baza!$E$2:$AIR$59,$AN103+33,0)="","",VLOOKUP($AO$8,Baza!$E$2:$AIR$59,$AN103+33,0)))</f>
        <v/>
      </c>
      <c r="AL104" s="127"/>
      <c r="AM104" s="130"/>
      <c r="AN104" s="70">
        <f t="shared" si="2"/>
        <v>737</v>
      </c>
    </row>
    <row r="105" spans="1:40" ht="19.95" customHeight="1">
      <c r="A105" s="146"/>
      <c r="B105" s="146"/>
      <c r="C105" s="18" t="s">
        <v>108</v>
      </c>
      <c r="D105" s="148"/>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7"/>
      <c r="R105" s="124"/>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7"/>
      <c r="AE105" s="124"/>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3"/>
      <c r="AJ105" s="20" t="str">
        <f>IF($AO$9="","",IF(VLOOKUP($AO$9,Baza!$E$2:$AIR$59,$AN104+32,0)="","",VLOOKUP($AO$9,Baza!$E$2:$AIR$59,$AN104+32,0)))</f>
        <v/>
      </c>
      <c r="AK105" s="20" t="str">
        <f>IF($AO$9="","",IF(VLOOKUP($AO$9,Baza!$E$2:$AIR$59,$AN104+33,0)="","",VLOOKUP($AO$9,Baza!$E$2:$AIR$59,$AN104+33,0)))</f>
        <v/>
      </c>
      <c r="AL105" s="127"/>
      <c r="AM105" s="130"/>
      <c r="AN105" s="70">
        <f t="shared" si="2"/>
        <v>737</v>
      </c>
    </row>
    <row r="106" spans="1:40" ht="19.95" customHeight="1">
      <c r="A106" s="147"/>
      <c r="B106" s="147"/>
      <c r="C106" s="18" t="s">
        <v>109</v>
      </c>
      <c r="D106" s="148"/>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8"/>
      <c r="R106" s="125"/>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8"/>
      <c r="AE106" s="125"/>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4"/>
      <c r="AJ106" s="20" t="str">
        <f>IF($AO$10="","",IF(VLOOKUP($AO$10,Baza!$E$2:$AIR$59,$AN105+32,0)="","",VLOOKUP($AO$10,Baza!$E$2:$AIR$59,$AN105+32,0)))</f>
        <v/>
      </c>
      <c r="AK106" s="20" t="str">
        <f>IF($AO$10="","",IF(VLOOKUP($AO$10,Baza!$E$2:$AIR$59,$AN105+33,0)="","",VLOOKUP($AO$10,Baza!$E$2:$AIR$59,$AN105+33,0)))</f>
        <v/>
      </c>
      <c r="AL106" s="128"/>
      <c r="AM106" s="131"/>
      <c r="AN106" s="70">
        <f t="shared" si="2"/>
        <v>737</v>
      </c>
    </row>
    <row r="107" spans="1:40" ht="19.95" customHeight="1">
      <c r="A107" s="145">
        <v>281</v>
      </c>
      <c r="B107" s="145" t="s">
        <v>83</v>
      </c>
      <c r="C107" s="29" t="s">
        <v>31</v>
      </c>
      <c r="D107" s="148"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6" t="e">
        <f>IF(VLOOKUP($B$3,Baza!$E$2:$AIR$59,$AN107+13,0)="","",VLOOKUP($B$3,Baza!$E$2:$AIR$59,$AN107+13,0))</f>
        <v>#N/A</v>
      </c>
      <c r="R107" s="123"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6" t="e">
        <f>IF(VLOOKUP($B$3,Baza!$E$2:$AIR$59,$AN107+26,0)="","",VLOOKUP($B$3,Baza!$E$2:$AIR$59,$AN107+26,0))</f>
        <v>#N/A</v>
      </c>
      <c r="AE107" s="123"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2" t="e">
        <f>IF(VLOOKUP($B$3,Baza!$E$2:$AIR$59,$AN107+31,0)="","",VLOOKUP($B$3,Baza!$E$2:$AIR$59,$AN107+31,0))</f>
        <v>#N/A</v>
      </c>
      <c r="AJ107" s="13" t="e">
        <f>IF(VLOOKUP($B$3,Baza!$E$2:$AIR$59,$AN107+32,0)="","",VLOOKUP($B$3,Baza!$E$2:$AIR$59,$AN107+32,0))</f>
        <v>#N/A</v>
      </c>
      <c r="AK107" s="13" t="e">
        <f>IF(VLOOKUP($B$3,Baza!$E$2:$AIR$59,$AN107+33,0)="","",VLOOKUP($B$3,Baza!$E$2:$AIR$59,$AN107+33,0))</f>
        <v>#N/A</v>
      </c>
      <c r="AL107" s="126" t="e">
        <f>IF(VLOOKUP($B$3,Baza!$E$2:$AIR$59,$AN107+34,0)="","",VLOOKUP($B$3,Baza!$E$2:$AIR$59,$AN107+34,0))</f>
        <v>#N/A</v>
      </c>
      <c r="AM107" s="129" t="e">
        <f>IF(VLOOKUP($B$3,Baza!$E$2:$AIR$59,$AN107+35,0)="","",VLOOKUP($B$3,Baza!$E$2:$AIR$59,$AN107+35,0))</f>
        <v>#N/A</v>
      </c>
      <c r="AN107" s="70">
        <f t="shared" si="2"/>
        <v>775</v>
      </c>
    </row>
    <row r="108" spans="1:40" ht="19.95" customHeight="1">
      <c r="A108" s="146"/>
      <c r="B108" s="146"/>
      <c r="C108" s="18" t="s">
        <v>106</v>
      </c>
      <c r="D108" s="148"/>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7"/>
      <c r="R108" s="124"/>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7"/>
      <c r="AE108" s="124"/>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3"/>
      <c r="AJ108" s="20" t="str">
        <f>IF($AO$7="","",IF(VLOOKUP($AO$7,Baza!$E$2:$AIR$59,$AN107+32,0)="","",VLOOKUP($AO$7,Baza!$E$2:$AIR$59,$AN107+32,0)))</f>
        <v/>
      </c>
      <c r="AK108" s="20" t="str">
        <f>IF($AO$7="","",IF(VLOOKUP($AO$7,Baza!$E$2:$AIR$59,$AN107+33,0)="","",VLOOKUP($AO$7,Baza!$E$2:$AIR$59,$AN107+33,0)))</f>
        <v/>
      </c>
      <c r="AL108" s="127"/>
      <c r="AM108" s="130"/>
      <c r="AN108" s="70">
        <f t="shared" si="2"/>
        <v>775</v>
      </c>
    </row>
    <row r="109" spans="1:40" ht="19.95" customHeight="1">
      <c r="A109" s="146"/>
      <c r="B109" s="146"/>
      <c r="C109" s="18" t="s">
        <v>107</v>
      </c>
      <c r="D109" s="148"/>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7"/>
      <c r="R109" s="124"/>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7"/>
      <c r="AE109" s="124"/>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3"/>
      <c r="AJ109" s="20" t="str">
        <f>IF($AO$8="","",IF(VLOOKUP($AO$8,Baza!$E$2:$AIR$59,$AN108+32,0)="","",VLOOKUP($AO$8,Baza!$E$2:$AIR$59,$AN108+32,0)))</f>
        <v/>
      </c>
      <c r="AK109" s="20" t="str">
        <f>IF($AO$8="","",IF(VLOOKUP($AO$8,Baza!$E$2:$AIR$59,$AN108+33,0)="","",VLOOKUP($AO$8,Baza!$E$2:$AIR$59,$AN108+33,0)))</f>
        <v/>
      </c>
      <c r="AL109" s="127"/>
      <c r="AM109" s="130"/>
      <c r="AN109" s="70">
        <f t="shared" si="2"/>
        <v>775</v>
      </c>
    </row>
    <row r="110" spans="1:40" ht="19.95" customHeight="1">
      <c r="A110" s="146"/>
      <c r="B110" s="146"/>
      <c r="C110" s="18" t="s">
        <v>108</v>
      </c>
      <c r="D110" s="148"/>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7"/>
      <c r="R110" s="124"/>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7"/>
      <c r="AE110" s="124"/>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3"/>
      <c r="AJ110" s="20" t="str">
        <f>IF($AO$9="","",IF(VLOOKUP($AO$9,Baza!$E$2:$AIR$59,$AN109+32,0)="","",VLOOKUP($AO$9,Baza!$E$2:$AIR$59,$AN109+32,0)))</f>
        <v/>
      </c>
      <c r="AK110" s="20" t="str">
        <f>IF($AO$9="","",IF(VLOOKUP($AO$9,Baza!$E$2:$AIR$59,$AN109+33,0)="","",VLOOKUP($AO$9,Baza!$E$2:$AIR$59,$AN109+33,0)))</f>
        <v/>
      </c>
      <c r="AL110" s="127"/>
      <c r="AM110" s="130"/>
      <c r="AN110" s="70">
        <f t="shared" si="2"/>
        <v>775</v>
      </c>
    </row>
    <row r="111" spans="1:40" ht="19.95" customHeight="1">
      <c r="A111" s="147"/>
      <c r="B111" s="147"/>
      <c r="C111" s="18" t="s">
        <v>109</v>
      </c>
      <c r="D111" s="148"/>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8"/>
      <c r="R111" s="125"/>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8"/>
      <c r="AE111" s="125"/>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4"/>
      <c r="AJ111" s="20" t="str">
        <f>IF($AO$10="","",IF(VLOOKUP($AO$10,Baza!$E$2:$AIR$59,$AN110+32,0)="","",VLOOKUP($AO$10,Baza!$E$2:$AIR$59,$AN110+32,0)))</f>
        <v/>
      </c>
      <c r="AK111" s="20" t="str">
        <f>IF($AO$10="","",IF(VLOOKUP($AO$10,Baza!$E$2:$AIR$59,$AN110+33,0)="","",VLOOKUP($AO$10,Baza!$E$2:$AIR$59,$AN110+33,0)))</f>
        <v/>
      </c>
      <c r="AL111" s="128"/>
      <c r="AM111" s="131"/>
      <c r="AN111" s="70">
        <f t="shared" si="2"/>
        <v>775</v>
      </c>
    </row>
    <row r="112" spans="1:40" ht="19.95" customHeight="1">
      <c r="A112" s="145">
        <v>771</v>
      </c>
      <c r="B112" s="145" t="s">
        <v>89</v>
      </c>
      <c r="C112" s="29" t="s">
        <v>31</v>
      </c>
      <c r="D112" s="148"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6" t="e">
        <f>IF(VLOOKUP($B$3,Baza!$E$2:$AIR$59,$AN112+13,0)="","",VLOOKUP($B$3,Baza!$E$2:$AIR$59,$AN112+13,0))</f>
        <v>#N/A</v>
      </c>
      <c r="R112" s="123"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6" t="e">
        <f>IF(VLOOKUP($B$3,Baza!$E$2:$AIR$59,$AN112+26,0)="","",VLOOKUP($B$3,Baza!$E$2:$AIR$59,$AN112+26,0))</f>
        <v>#N/A</v>
      </c>
      <c r="AE112" s="123"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2" t="e">
        <f>IF(VLOOKUP($B$3,Baza!$E$2:$AIR$59,$AN112+31,0)="","",VLOOKUP($B$3,Baza!$E$2:$AIR$59,$AN112+31,0))</f>
        <v>#N/A</v>
      </c>
      <c r="AJ112" s="13" t="e">
        <f>IF(VLOOKUP($B$3,Baza!$E$2:$AIR$59,$AN112+32,0)="","",VLOOKUP($B$3,Baza!$E$2:$AIR$59,$AN112+32,0))</f>
        <v>#N/A</v>
      </c>
      <c r="AK112" s="13" t="e">
        <f>IF(VLOOKUP($B$3,Baza!$E$2:$AIR$59,$AN112+33,0)="","",VLOOKUP($B$3,Baza!$E$2:$AIR$59,$AN112+33,0))</f>
        <v>#N/A</v>
      </c>
      <c r="AL112" s="126" t="e">
        <f>IF(VLOOKUP($B$3,Baza!$E$2:$AIR$59,$AN112+34,0)="","",VLOOKUP($B$3,Baza!$E$2:$AIR$59,$AN112+34,0))</f>
        <v>#N/A</v>
      </c>
      <c r="AM112" s="129" t="e">
        <f>IF(VLOOKUP($B$3,Baza!$E$2:$AIR$59,$AN112+35,0)="","",VLOOKUP($B$3,Baza!$E$2:$AIR$59,$AN112+35,0))</f>
        <v>#N/A</v>
      </c>
      <c r="AN112" s="70">
        <f t="shared" si="2"/>
        <v>813</v>
      </c>
    </row>
    <row r="113" spans="1:40" ht="19.95" customHeight="1">
      <c r="A113" s="146"/>
      <c r="B113" s="146"/>
      <c r="C113" s="18" t="s">
        <v>106</v>
      </c>
      <c r="D113" s="148"/>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7"/>
      <c r="R113" s="124"/>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7"/>
      <c r="AE113" s="124"/>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3"/>
      <c r="AJ113" s="20" t="str">
        <f>IF($AO$7="","",IF(VLOOKUP($AO$7,Baza!$E$2:$AIR$59,$AN112+32,0)="","",VLOOKUP($AO$7,Baza!$E$2:$AIR$59,$AN112+32,0)))</f>
        <v/>
      </c>
      <c r="AK113" s="20" t="str">
        <f>IF($AO$7="","",IF(VLOOKUP($AO$7,Baza!$E$2:$AIR$59,$AN112+33,0)="","",VLOOKUP($AO$7,Baza!$E$2:$AIR$59,$AN112+33,0)))</f>
        <v/>
      </c>
      <c r="AL113" s="127"/>
      <c r="AM113" s="130"/>
      <c r="AN113" s="70">
        <f t="shared" si="2"/>
        <v>813</v>
      </c>
    </row>
    <row r="114" spans="1:40" ht="19.95" customHeight="1">
      <c r="A114" s="146"/>
      <c r="B114" s="146"/>
      <c r="C114" s="18" t="s">
        <v>107</v>
      </c>
      <c r="D114" s="148"/>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7"/>
      <c r="R114" s="124"/>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7"/>
      <c r="AE114" s="124"/>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3"/>
      <c r="AJ114" s="20" t="str">
        <f>IF($AO$8="","",IF(VLOOKUP($AO$8,Baza!$E$2:$AIR$59,$AN113+32,0)="","",VLOOKUP($AO$8,Baza!$E$2:$AIR$59,$AN113+32,0)))</f>
        <v/>
      </c>
      <c r="AK114" s="20" t="str">
        <f>IF($AO$8="","",IF(VLOOKUP($AO$8,Baza!$E$2:$AIR$59,$AN113+33,0)="","",VLOOKUP($AO$8,Baza!$E$2:$AIR$59,$AN113+33,0)))</f>
        <v/>
      </c>
      <c r="AL114" s="127"/>
      <c r="AM114" s="130"/>
      <c r="AN114" s="70">
        <f t="shared" si="2"/>
        <v>813</v>
      </c>
    </row>
    <row r="115" spans="1:40" ht="19.95" customHeight="1">
      <c r="A115" s="146"/>
      <c r="B115" s="146"/>
      <c r="C115" s="18" t="s">
        <v>108</v>
      </c>
      <c r="D115" s="148"/>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7"/>
      <c r="R115" s="124"/>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7"/>
      <c r="AE115" s="124"/>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3"/>
      <c r="AJ115" s="20" t="str">
        <f>IF($AO$9="","",IF(VLOOKUP($AO$9,Baza!$E$2:$AIR$59,$AN114+32,0)="","",VLOOKUP($AO$9,Baza!$E$2:$AIR$59,$AN114+32,0)))</f>
        <v/>
      </c>
      <c r="AK115" s="20" t="str">
        <f>IF($AO$9="","",IF(VLOOKUP($AO$9,Baza!$E$2:$AIR$59,$AN114+33,0)="","",VLOOKUP($AO$9,Baza!$E$2:$AIR$59,$AN114+33,0)))</f>
        <v/>
      </c>
      <c r="AL115" s="127"/>
      <c r="AM115" s="130"/>
      <c r="AN115" s="70">
        <f t="shared" si="2"/>
        <v>813</v>
      </c>
    </row>
    <row r="116" spans="1:40" ht="19.95" customHeight="1">
      <c r="A116" s="147"/>
      <c r="B116" s="147"/>
      <c r="C116" s="18" t="s">
        <v>109</v>
      </c>
      <c r="D116" s="148"/>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8"/>
      <c r="R116" s="125"/>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8"/>
      <c r="AE116" s="125"/>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4"/>
      <c r="AJ116" s="20" t="str">
        <f>IF($AO$10="","",IF(VLOOKUP($AO$10,Baza!$E$2:$AIR$59,$AN115+32,0)="","",VLOOKUP($AO$10,Baza!$E$2:$AIR$59,$AN115+32,0)))</f>
        <v/>
      </c>
      <c r="AK116" s="20" t="str">
        <f>IF($AO$10="","",IF(VLOOKUP($AO$10,Baza!$E$2:$AIR$59,$AN115+33,0)="","",VLOOKUP($AO$10,Baza!$E$2:$AIR$59,$AN115+33,0)))</f>
        <v/>
      </c>
      <c r="AL116" s="128"/>
      <c r="AM116" s="131"/>
      <c r="AN116" s="70">
        <f t="shared" si="2"/>
        <v>813</v>
      </c>
    </row>
    <row r="117" spans="1:40" ht="19.95" customHeight="1">
      <c r="A117" s="145">
        <v>926</v>
      </c>
      <c r="B117" s="145" t="s">
        <v>86</v>
      </c>
      <c r="C117" s="29" t="s">
        <v>31</v>
      </c>
      <c r="D117" s="148"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6" t="e">
        <f>IF(VLOOKUP($B$3,Baza!$E$2:$AIR$59,$AN117+13,0)="","",VLOOKUP($B$3,Baza!$E$2:$AIR$59,$AN117+13,0))</f>
        <v>#N/A</v>
      </c>
      <c r="R117" s="123"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6" t="e">
        <f>IF(VLOOKUP($B$3,Baza!$E$2:$AIR$59,$AN117+26,0)="","",VLOOKUP($B$3,Baza!$E$2:$AIR$59,$AN117+26,0))</f>
        <v>#N/A</v>
      </c>
      <c r="AE117" s="123"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2" t="e">
        <f>IF(VLOOKUP($B$3,Baza!$E$2:$AIR$59,$AN117+31,0)="","",VLOOKUP($B$3,Baza!$E$2:$AIR$59,$AN117+31,0))</f>
        <v>#N/A</v>
      </c>
      <c r="AJ117" s="13" t="e">
        <f>IF(VLOOKUP($B$3,Baza!$E$2:$AIR$59,$AN117+32,0)="","",VLOOKUP($B$3,Baza!$E$2:$AIR$59,$AN117+32,0))</f>
        <v>#N/A</v>
      </c>
      <c r="AK117" s="13" t="e">
        <f>IF(VLOOKUP($B$3,Baza!$E$2:$AIR$59,$AN117+33,0)="","",VLOOKUP($B$3,Baza!$E$2:$AIR$59,$AN117+33,0))</f>
        <v>#N/A</v>
      </c>
      <c r="AL117" s="126" t="e">
        <f>IF(VLOOKUP($B$3,Baza!$E$2:$AIR$59,$AN117+34,0)="","",VLOOKUP($B$3,Baza!$E$2:$AIR$59,$AN117+34,0))</f>
        <v>#N/A</v>
      </c>
      <c r="AM117" s="129" t="e">
        <f>IF(VLOOKUP($B$3,Baza!$E$2:$AIR$59,$AN117+35,0)="","",VLOOKUP($B$3,Baza!$E$2:$AIR$59,$AN117+35,0))</f>
        <v>#N/A</v>
      </c>
      <c r="AN117" s="70">
        <f t="shared" si="2"/>
        <v>851</v>
      </c>
    </row>
    <row r="118" spans="1:40" ht="19.95" customHeight="1">
      <c r="A118" s="146"/>
      <c r="B118" s="146"/>
      <c r="C118" s="18" t="s">
        <v>106</v>
      </c>
      <c r="D118" s="148"/>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7"/>
      <c r="R118" s="124"/>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7"/>
      <c r="AE118" s="124"/>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3"/>
      <c r="AJ118" s="20" t="str">
        <f>IF($AO$7="","",IF(VLOOKUP($AO$7,Baza!$E$2:$AIR$59,$AN117+32,0)="","",VLOOKUP($AO$7,Baza!$E$2:$AIR$59,$AN117+32,0)))</f>
        <v/>
      </c>
      <c r="AK118" s="20" t="str">
        <f>IF($AO$7="","",IF(VLOOKUP($AO$7,Baza!$E$2:$AIR$59,$AN117+33,0)="","",VLOOKUP($AO$7,Baza!$E$2:$AIR$59,$AN117+33,0)))</f>
        <v/>
      </c>
      <c r="AL118" s="127"/>
      <c r="AM118" s="130"/>
      <c r="AN118" s="70">
        <f t="shared" si="2"/>
        <v>851</v>
      </c>
    </row>
    <row r="119" spans="1:40" ht="19.95" customHeight="1">
      <c r="A119" s="146"/>
      <c r="B119" s="146"/>
      <c r="C119" s="18" t="s">
        <v>107</v>
      </c>
      <c r="D119" s="148"/>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7"/>
      <c r="R119" s="124"/>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7"/>
      <c r="AE119" s="124"/>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3"/>
      <c r="AJ119" s="20" t="str">
        <f>IF($AO$8="","",IF(VLOOKUP($AO$8,Baza!$E$2:$AIR$59,$AN118+32,0)="","",VLOOKUP($AO$8,Baza!$E$2:$AIR$59,$AN118+32,0)))</f>
        <v/>
      </c>
      <c r="AK119" s="20" t="str">
        <f>IF($AO$8="","",IF(VLOOKUP($AO$8,Baza!$E$2:$AIR$59,$AN118+33,0)="","",VLOOKUP($AO$8,Baza!$E$2:$AIR$59,$AN118+33,0)))</f>
        <v/>
      </c>
      <c r="AL119" s="127"/>
      <c r="AM119" s="130"/>
      <c r="AN119" s="70">
        <f t="shared" si="2"/>
        <v>851</v>
      </c>
    </row>
    <row r="120" spans="1:40" ht="19.95" customHeight="1">
      <c r="A120" s="146"/>
      <c r="B120" s="146"/>
      <c r="C120" s="18" t="s">
        <v>108</v>
      </c>
      <c r="D120" s="148"/>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7"/>
      <c r="R120" s="124"/>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7"/>
      <c r="AE120" s="124"/>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3"/>
      <c r="AJ120" s="20" t="str">
        <f>IF($AO$9="","",IF(VLOOKUP($AO$9,Baza!$E$2:$AIR$59,$AN119+32,0)="","",VLOOKUP($AO$9,Baza!$E$2:$AIR$59,$AN119+32,0)))</f>
        <v/>
      </c>
      <c r="AK120" s="20" t="str">
        <f>IF($AO$9="","",IF(VLOOKUP($AO$9,Baza!$E$2:$AIR$59,$AN119+33,0)="","",VLOOKUP($AO$9,Baza!$E$2:$AIR$59,$AN119+33,0)))</f>
        <v/>
      </c>
      <c r="AL120" s="127"/>
      <c r="AM120" s="130"/>
      <c r="AN120" s="70">
        <f t="shared" si="2"/>
        <v>851</v>
      </c>
    </row>
    <row r="121" spans="1:40" ht="19.95" customHeight="1">
      <c r="A121" s="147"/>
      <c r="B121" s="147"/>
      <c r="C121" s="18" t="s">
        <v>109</v>
      </c>
      <c r="D121" s="148"/>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8"/>
      <c r="R121" s="125"/>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8"/>
      <c r="AE121" s="125"/>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4"/>
      <c r="AJ121" s="20" t="str">
        <f>IF($AO$10="","",IF(VLOOKUP($AO$10,Baza!$E$2:$AIR$59,$AN120+32,0)="","",VLOOKUP($AO$10,Baza!$E$2:$AIR$59,$AN120+32,0)))</f>
        <v/>
      </c>
      <c r="AK121" s="20" t="str">
        <f>IF($AO$10="","",IF(VLOOKUP($AO$10,Baza!$E$2:$AIR$59,$AN120+33,0)="","",VLOOKUP($AO$10,Baza!$E$2:$AIR$59,$AN120+33,0)))</f>
        <v/>
      </c>
      <c r="AL121" s="128"/>
      <c r="AM121" s="131"/>
      <c r="AN121" s="70">
        <f t="shared" si="2"/>
        <v>851</v>
      </c>
    </row>
    <row r="122" spans="1:40" ht="19.95" customHeight="1">
      <c r="A122" s="145">
        <v>927</v>
      </c>
      <c r="B122" s="145" t="s">
        <v>88</v>
      </c>
      <c r="C122" s="29" t="s">
        <v>31</v>
      </c>
      <c r="D122" s="148"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6" t="e">
        <f>IF(VLOOKUP($B$3,Baza!$E$2:$AIR$59,$AN122+13,0)="","",VLOOKUP($B$3,Baza!$E$2:$AIR$59,$AN122+13,0))</f>
        <v>#N/A</v>
      </c>
      <c r="R122" s="123"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6" t="e">
        <f>IF(VLOOKUP($B$3,Baza!$E$2:$AIR$59,$AN122+26,0)="","",VLOOKUP($B$3,Baza!$E$2:$AIR$59,$AN122+26,0))</f>
        <v>#N/A</v>
      </c>
      <c r="AE122" s="123"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2" t="e">
        <f>IF(VLOOKUP($B$3,Baza!$E$2:$AIR$59,$AN122+31,0)="","",VLOOKUP($B$3,Baza!$E$2:$AIR$59,$AN122+31,0))</f>
        <v>#N/A</v>
      </c>
      <c r="AJ122" s="13" t="e">
        <f>IF(VLOOKUP($B$3,Baza!$E$2:$AIR$59,$AN122+32,0)="","",VLOOKUP($B$3,Baza!$E$2:$AIR$59,$AN122+32,0))</f>
        <v>#N/A</v>
      </c>
      <c r="AK122" s="13" t="e">
        <f>IF(VLOOKUP($B$3,Baza!$E$2:$AIR$59,$AN122+33,0)="","",VLOOKUP($B$3,Baza!$E$2:$AIR$59,$AN122+33,0))</f>
        <v>#N/A</v>
      </c>
      <c r="AL122" s="126" t="e">
        <f>IF(VLOOKUP($B$3,Baza!$E$2:$AIR$59,$AN122+34,0)="","",VLOOKUP($B$3,Baza!$E$2:$AIR$59,$AN122+34,0))</f>
        <v>#N/A</v>
      </c>
      <c r="AM122" s="129" t="e">
        <f>IF(VLOOKUP($B$3,Baza!$E$2:$AIR$59,$AN122+35,0)="","",VLOOKUP($B$3,Baza!$E$2:$AIR$59,$AN122+35,0))</f>
        <v>#N/A</v>
      </c>
      <c r="AN122" s="70">
        <f t="shared" si="2"/>
        <v>889</v>
      </c>
    </row>
    <row r="123" spans="1:40" ht="19.95" customHeight="1">
      <c r="A123" s="146"/>
      <c r="B123" s="146"/>
      <c r="C123" s="18" t="s">
        <v>106</v>
      </c>
      <c r="D123" s="148"/>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7"/>
      <c r="R123" s="124"/>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7"/>
      <c r="AE123" s="124"/>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3"/>
      <c r="AJ123" s="20" t="str">
        <f>IF($AO$7="","",IF(VLOOKUP($AO$7,Baza!$E$2:$AIR$59,$AN122+32,0)="","",VLOOKUP($AO$7,Baza!$E$2:$AIR$59,$AN122+32,0)))</f>
        <v/>
      </c>
      <c r="AK123" s="20" t="str">
        <f>IF($AO$7="","",IF(VLOOKUP($AO$7,Baza!$E$2:$AIR$59,$AN122+33,0)="","",VLOOKUP($AO$7,Baza!$E$2:$AIR$59,$AN122+33,0)))</f>
        <v/>
      </c>
      <c r="AL123" s="127"/>
      <c r="AM123" s="130"/>
      <c r="AN123" s="70">
        <f t="shared" si="2"/>
        <v>889</v>
      </c>
    </row>
    <row r="124" spans="1:40" ht="19.95" customHeight="1">
      <c r="A124" s="146"/>
      <c r="B124" s="146"/>
      <c r="C124" s="18" t="s">
        <v>107</v>
      </c>
      <c r="D124" s="148"/>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7"/>
      <c r="R124" s="124"/>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7"/>
      <c r="AE124" s="124"/>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3"/>
      <c r="AJ124" s="20" t="str">
        <f>IF($AO$8="","",IF(VLOOKUP($AO$8,Baza!$E$2:$AIR$59,$AN123+32,0)="","",VLOOKUP($AO$8,Baza!$E$2:$AIR$59,$AN123+32,0)))</f>
        <v/>
      </c>
      <c r="AK124" s="20" t="str">
        <f>IF($AO$8="","",IF(VLOOKUP($AO$8,Baza!$E$2:$AIR$59,$AN123+33,0)="","",VLOOKUP($AO$8,Baza!$E$2:$AIR$59,$AN123+33,0)))</f>
        <v/>
      </c>
      <c r="AL124" s="127"/>
      <c r="AM124" s="130"/>
      <c r="AN124" s="70">
        <f t="shared" si="2"/>
        <v>889</v>
      </c>
    </row>
    <row r="125" spans="1:40" ht="19.95" customHeight="1">
      <c r="A125" s="146"/>
      <c r="B125" s="146"/>
      <c r="C125" s="18" t="s">
        <v>108</v>
      </c>
      <c r="D125" s="148"/>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7"/>
      <c r="R125" s="124"/>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7"/>
      <c r="AE125" s="124"/>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3"/>
      <c r="AJ125" s="20" t="str">
        <f>IF($AO$9="","",IF(VLOOKUP($AO$9,Baza!$E$2:$AIR$59,$AN124+32,0)="","",VLOOKUP($AO$9,Baza!$E$2:$AIR$59,$AN124+32,0)))</f>
        <v/>
      </c>
      <c r="AK125" s="20" t="str">
        <f>IF($AO$9="","",IF(VLOOKUP($AO$9,Baza!$E$2:$AIR$59,$AN124+33,0)="","",VLOOKUP($AO$9,Baza!$E$2:$AIR$59,$AN124+33,0)))</f>
        <v/>
      </c>
      <c r="AL125" s="127"/>
      <c r="AM125" s="130"/>
      <c r="AN125" s="70">
        <f t="shared" si="2"/>
        <v>889</v>
      </c>
    </row>
    <row r="126" spans="1:40" ht="19.95" customHeight="1">
      <c r="A126" s="147"/>
      <c r="B126" s="147"/>
      <c r="C126" s="18" t="s">
        <v>109</v>
      </c>
      <c r="D126" s="148"/>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8"/>
      <c r="R126" s="125"/>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8"/>
      <c r="AE126" s="125"/>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4"/>
      <c r="AJ126" s="20" t="str">
        <f>IF($AO$10="","",IF(VLOOKUP($AO$10,Baza!$E$2:$AIR$59,$AN125+32,0)="","",VLOOKUP($AO$10,Baza!$E$2:$AIR$59,$AN125+32,0)))</f>
        <v/>
      </c>
      <c r="AK126" s="20" t="str">
        <f>IF($AO$10="","",IF(VLOOKUP($AO$10,Baza!$E$2:$AIR$59,$AN125+33,0)="","",VLOOKUP($AO$10,Baza!$E$2:$AIR$59,$AN125+33,0)))</f>
        <v/>
      </c>
      <c r="AL126" s="128"/>
      <c r="AM126" s="131"/>
      <c r="AN126" s="70">
        <f t="shared" si="2"/>
        <v>889</v>
      </c>
    </row>
    <row r="127" spans="1:40" ht="19.95" customHeight="1">
      <c r="A127" s="139" t="s">
        <v>110</v>
      </c>
      <c r="B127" s="140"/>
      <c r="C127" s="16" t="s">
        <v>31</v>
      </c>
      <c r="D127" s="13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5" t="str">
        <f>IFERROR(SUM(Q7:Q126),"")</f>
        <v/>
      </c>
      <c r="R127" s="13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5" t="str">
        <f>IFERROR(SUM(AD7:AD126),"")</f>
        <v/>
      </c>
      <c r="AE127" s="13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6" t="str">
        <f t="shared" si="5"/>
        <v/>
      </c>
      <c r="AJ127" s="13" t="str">
        <f t="shared" si="5"/>
        <v/>
      </c>
      <c r="AK127" s="13" t="str">
        <f t="shared" si="5"/>
        <v/>
      </c>
      <c r="AL127" s="135" t="str">
        <f>IFERROR(SUM(AL7:AL126),"")</f>
        <v/>
      </c>
      <c r="AM127" s="136" t="str">
        <f>IFERROR(AVERAGE(AM7:AM126),"")</f>
        <v/>
      </c>
      <c r="AN127" s="70">
        <f t="shared" si="2"/>
        <v>927</v>
      </c>
    </row>
    <row r="128" spans="1:40" ht="19.95" customHeight="1">
      <c r="A128" s="141"/>
      <c r="B128" s="142"/>
      <c r="C128" s="19" t="s">
        <v>106</v>
      </c>
      <c r="D128" s="13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5"/>
      <c r="R128" s="13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5"/>
      <c r="AE128" s="13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7"/>
      <c r="AJ128" s="30" t="str">
        <f t="shared" si="8"/>
        <v/>
      </c>
      <c r="AK128" s="30" t="str">
        <f t="shared" si="8"/>
        <v/>
      </c>
      <c r="AL128" s="135"/>
      <c r="AM128" s="137"/>
      <c r="AN128" s="70">
        <f t="shared" si="2"/>
        <v>927</v>
      </c>
    </row>
    <row r="129" spans="1:40" ht="19.95" customHeight="1">
      <c r="A129" s="141"/>
      <c r="B129" s="142"/>
      <c r="C129" s="19" t="s">
        <v>107</v>
      </c>
      <c r="D129" s="13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5"/>
      <c r="R129" s="13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5"/>
      <c r="AE129" s="137"/>
      <c r="AF129" s="30" t="str">
        <f t="shared" ref="AF129:AK129" si="12">IFERROR(AVERAGE(AF9,AF14,AF19,AF24,AF29,AF34,AF39,AF44,AF49,AF54,AF59,AF64,AF69,AF74,AF79,AF84,AF89,AF94,AF99,AF104,AF109,AF114,AF119,AF124),"")</f>
        <v/>
      </c>
      <c r="AG129" s="30" t="str">
        <f t="shared" si="12"/>
        <v/>
      </c>
      <c r="AH129" s="33" t="str">
        <f t="shared" si="12"/>
        <v/>
      </c>
      <c r="AI129" s="157"/>
      <c r="AJ129" s="30" t="str">
        <f t="shared" si="12"/>
        <v/>
      </c>
      <c r="AK129" s="30" t="str">
        <f t="shared" si="12"/>
        <v/>
      </c>
      <c r="AL129" s="135"/>
      <c r="AM129" s="137"/>
      <c r="AN129" s="70">
        <f t="shared" si="2"/>
        <v>927</v>
      </c>
    </row>
    <row r="130" spans="1:40" ht="19.95" customHeight="1">
      <c r="A130" s="141"/>
      <c r="B130" s="142"/>
      <c r="C130" s="19" t="s">
        <v>108</v>
      </c>
      <c r="D130" s="13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5"/>
      <c r="R130" s="13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5"/>
      <c r="AE130" s="137"/>
      <c r="AF130" s="30" t="str">
        <f t="shared" ref="AF130:AK130" si="16">IFERROR(AVERAGE(AF10,AF15,AF20,AF25,AF30,AF35,AF40,AF45,AF50,AF55,AF60,AF65,AF70,AF75,AF80,AF85,AF90,AF95,AF100,AF105,AF110,AF115,AF120,AF125),"")</f>
        <v/>
      </c>
      <c r="AG130" s="30" t="str">
        <f t="shared" si="16"/>
        <v/>
      </c>
      <c r="AH130" s="33" t="str">
        <f t="shared" si="16"/>
        <v/>
      </c>
      <c r="AI130" s="157"/>
      <c r="AJ130" s="30" t="str">
        <f t="shared" si="16"/>
        <v/>
      </c>
      <c r="AK130" s="30" t="str">
        <f t="shared" si="16"/>
        <v/>
      </c>
      <c r="AL130" s="135"/>
      <c r="AM130" s="137"/>
      <c r="AN130" s="70">
        <f t="shared" si="2"/>
        <v>927</v>
      </c>
    </row>
    <row r="131" spans="1:40" ht="19.95" customHeight="1">
      <c r="A131" s="143"/>
      <c r="B131" s="144"/>
      <c r="C131" s="19" t="s">
        <v>109</v>
      </c>
      <c r="D131" s="13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5"/>
      <c r="R131" s="13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5"/>
      <c r="AE131" s="138"/>
      <c r="AF131" s="30" t="str">
        <f t="shared" ref="AF131:AK131" si="20">IFERROR(AVERAGE(AF11,AF16,AF21,AF26,AF31,AF36,AF41,AF46,AF51,AF56,AF61,AF66,AF71,AF76,AF81,AF86,AF91,AF96,AF101,AF106,AF111,AF116,AF121,AF126),"")</f>
        <v/>
      </c>
      <c r="AG131" s="30" t="str">
        <f t="shared" si="20"/>
        <v/>
      </c>
      <c r="AH131" s="33" t="str">
        <f t="shared" si="20"/>
        <v/>
      </c>
      <c r="AI131" s="158"/>
      <c r="AJ131" s="30" t="str">
        <f t="shared" si="20"/>
        <v/>
      </c>
      <c r="AK131" s="30" t="str">
        <f t="shared" si="20"/>
        <v/>
      </c>
      <c r="AL131" s="135"/>
      <c r="AM131" s="138"/>
      <c r="AN131" s="70">
        <f t="shared" si="2"/>
        <v>927</v>
      </c>
    </row>
    <row r="132" spans="1:40" ht="19.95" customHeight="1"/>
    <row r="133" spans="1:40" ht="40.200000000000003" customHeight="1">
      <c r="AC133" s="149" t="str">
        <f>IF(B3="","","Sinif rəhbəri:")</f>
        <v/>
      </c>
      <c r="AD133" s="149"/>
      <c r="AE133" s="149"/>
      <c r="AF133" s="150" t="str">
        <f>IF(AC133="","",Baza!P2)</f>
        <v/>
      </c>
      <c r="AG133" s="150"/>
      <c r="AH133" s="150"/>
      <c r="AI133" s="150"/>
      <c r="AJ133" s="150"/>
      <c r="AK133" s="150"/>
      <c r="AL133" s="150"/>
      <c r="AM133" s="150"/>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2024-01-31T16:54:18Z</dcterms:modified>
</cp:coreProperties>
</file>