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<sst xmlns="http://schemas.openxmlformats.org/spreadsheetml/2006/main" count="255" uniqueCount="186">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</sst>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60.869565217391305</c:v>
                </c:pt>
                <c:pt idx="2">
                  <c:v>0</c:v>
                </c:pt>
                <c:pt idx="3">
                  <c:v>60.869565217391305</c:v>
                </c:pt>
                <c:pt idx="4">
                  <c:v>0</c:v>
                </c:pt>
                <c:pt idx="5">
                  <c:v>0</c:v>
                </c:pt>
                <c:pt idx="6">
                  <c:v>0</c:v>
                </c:pt>
                <c:pt idx="7">
                  <c:v>0</c:v>
                </c:pt>
                <c:pt idx="8">
                  <c:v>0</c:v>
                </c:pt>
                <c:pt idx="9">
                  <c:v>0</c:v>
                </c:pt>
                <c:pt idx="10">
                  <c:v>0</c:v>
                </c:pt>
                <c:pt idx="11">
                  <c:v>60.869565217391305</c:v>
                </c:pt>
                <c:pt idx="12">
                  <c:v>0</c:v>
                </c:pt>
                <c:pt idx="13">
                  <c:v>60.869565217391305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39.130434782608695</c:v>
                </c:pt>
                <c:pt idx="2">
                  <c:v>0</c:v>
                </c:pt>
                <c:pt idx="3">
                  <c:v>39.130434782608695</c:v>
                </c:pt>
                <c:pt idx="4">
                  <c:v>0</c:v>
                </c:pt>
                <c:pt idx="5">
                  <c:v>0</c:v>
                </c:pt>
                <c:pt idx="6">
                  <c:v>0</c:v>
                </c:pt>
                <c:pt idx="7">
                  <c:v>0</c:v>
                </c:pt>
                <c:pt idx="8">
                  <c:v>0</c:v>
                </c:pt>
                <c:pt idx="9">
                  <c:v>0</c:v>
                </c:pt>
                <c:pt idx="10">
                  <c:v>0</c:v>
                </c:pt>
                <c:pt idx="11">
                  <c:v>39.130434782608695</c:v>
                </c:pt>
                <c:pt idx="12">
                  <c:v>0</c:v>
                </c:pt>
                <c:pt idx="13">
                  <c:v>39.130434782608695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2547184"/>
        <c:axId val="306139432"/>
      </c:barChart>
      <c:catAx>
        <c:axId val="17254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139432"/>
        <c:crosses val="autoZero"/>
        <c:auto val="1"/>
        <c:lblAlgn val="ctr"/>
        <c:lblOffset val="100"/>
        <c:noMultiLvlLbl val="0"/>
      </c:catAx>
      <c:valAx>
        <c:axId val="306139432"/>
        <c:scaling>
          <c:orientation val="minMax"/>
          <c:max val="100"/>
        </c:scaling>
        <c:delete val="1"/>
        <c:axPos val="l"/>
        <c:numFmt formatCode="0" sourceLinked="1"/>
        <c:majorTickMark val="none"/>
        <c:minorTickMark val="none"/>
        <c:tickLblPos val="nextTo"/>
        <c:crossAx val="172547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78.536231884057983</c:v>
                </c:pt>
                <c:pt idx="2">
                  <c:v>0</c:v>
                </c:pt>
                <c:pt idx="3">
                  <c:v>78.536231884057983</c:v>
                </c:pt>
                <c:pt idx="4">
                  <c:v>0</c:v>
                </c:pt>
                <c:pt idx="5">
                  <c:v>0</c:v>
                </c:pt>
                <c:pt idx="6">
                  <c:v>0</c:v>
                </c:pt>
                <c:pt idx="7">
                  <c:v>0</c:v>
                </c:pt>
                <c:pt idx="8">
                  <c:v>0</c:v>
                </c:pt>
                <c:pt idx="9">
                  <c:v>0</c:v>
                </c:pt>
                <c:pt idx="10">
                  <c:v>0</c:v>
                </c:pt>
                <c:pt idx="11">
                  <c:v>78.536231884057983</c:v>
                </c:pt>
                <c:pt idx="12">
                  <c:v>0</c:v>
                </c:pt>
                <c:pt idx="13">
                  <c:v>78.536231884057983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6460232"/>
        <c:axId val="306460616"/>
      </c:barChart>
      <c:catAx>
        <c:axId val="306460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460616"/>
        <c:crosses val="autoZero"/>
        <c:auto val="1"/>
        <c:lblAlgn val="ctr"/>
        <c:lblOffset val="100"/>
        <c:noMultiLvlLbl val="0"/>
      </c:catAx>
      <c:valAx>
        <c:axId val="306460616"/>
        <c:scaling>
          <c:orientation val="minMax"/>
          <c:max val="110"/>
          <c:min val="0"/>
        </c:scaling>
        <c:delete val="1"/>
        <c:axPos val="l"/>
        <c:numFmt formatCode="0.00" sourceLinked="1"/>
        <c:majorTickMark val="out"/>
        <c:minorTickMark val="none"/>
        <c:tickLblPos val="nextTo"/>
        <c:crossAx val="3064602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5" activePane="bottomRight" state="frozen"/>
      <selection pane="topRight" activeCell="G1" sqref="G1"/>
      <selection pane="bottomLeft" activeCell="A5" sqref="A5"/>
      <selection pane="bottomRight" activeCell="X21" sqref="X21"/>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132</v>
      </c>
      <c r="H4" s="13">
        <v>18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1784642</v>
      </c>
      <c r="G5" s="16">
        <f>IF(F5="","",$G$4)</f>
        <v>132</v>
      </c>
      <c r="H5" s="16">
        <f>IF(F5="","",$H$4)</f>
        <v>18</v>
      </c>
      <c r="I5" s="17"/>
      <c r="J5" s="17">
        <v>78</v>
      </c>
      <c r="K5" s="17">
        <v>77</v>
      </c>
      <c r="L5" s="17">
        <v>75</v>
      </c>
      <c r="M5" s="17"/>
      <c r="N5" s="17"/>
      <c r="O5" s="17"/>
      <c r="P5" s="18">
        <f t="shared" ref="P5:P36" si="0">IFERROR(AVERAGE(J5:O5),"")</f>
        <v>76.666666666666671</v>
      </c>
      <c r="Q5" s="17"/>
      <c r="R5" s="19">
        <f t="shared" ref="R5:R36" si="1">IF(Q5="",P5,IF(P5="",Q5,P5*40/100+Q5*60/100))</f>
        <v>76.666666666666671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76.666666666666671</v>
      </c>
      <c r="AK5" s="18" t="str">
        <f>IFERROR(AVERAGE(Q5,AD5),"")</f>
        <v/>
      </c>
      <c r="AL5" s="19">
        <f>IFERROR(AVERAGE(R5,AE5),"")</f>
        <v>76.666666666666671</v>
      </c>
      <c r="AM5" s="21">
        <f>IF(AL5&lt;=30,2,IF(AL5&lt;=60,3,IF(AL5&lt;=80,4,IF(AL5&lt;=100,5,""))))</f>
        <v>4</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1784642</v>
      </c>
      <c r="G6" s="1">
        <f t="shared" ref="G6:G54" si="4">IF(F6="","",$G$4)</f>
        <v>132</v>
      </c>
      <c r="H6" s="1">
        <f t="shared" ref="H6:H54" si="5">IF(F6="","",$H$4)</f>
        <v>18</v>
      </c>
      <c r="I6" s="12"/>
      <c r="J6" s="12">
        <v>84</v>
      </c>
      <c r="K6" s="12">
        <v>81</v>
      </c>
      <c r="L6" s="12">
        <v>83</v>
      </c>
      <c r="M6" s="12"/>
      <c r="N6" s="12"/>
      <c r="O6" s="12"/>
      <c r="P6" s="2">
        <f t="shared" si="0"/>
        <v>82.666666666666671</v>
      </c>
      <c r="Q6" s="12"/>
      <c r="R6" s="3">
        <f t="shared" si="1"/>
        <v>82.666666666666671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82.666666666666671</v>
      </c>
      <c r="AK6" s="2" t="str">
        <f t="shared" ref="AK6:AK54" si="8">IFERROR(AVERAGE(Q6,AD6),"")</f>
        <v/>
      </c>
      <c r="AL6" s="3">
        <f t="shared" ref="AL6:AL54" si="9">IFERROR(AVERAGE(R6,AE6),"")</f>
        <v>82.666666666666671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125</v>
      </c>
      <c r="D7" s="49" t="s">
        <v>128</v>
      </c>
      <c r="E7" s="50" t="s">
        <v>129</v>
      </c>
      <c r="F7" s="15">
        <v>1784642</v>
      </c>
      <c r="G7" s="1">
        <f t="shared" si="4"/>
        <v>132</v>
      </c>
      <c r="H7" s="1">
        <f t="shared" si="5"/>
        <v>18</v>
      </c>
      <c r="I7" s="12"/>
      <c r="J7" s="12">
        <v>76</v>
      </c>
      <c r="K7" s="12">
        <v>75</v>
      </c>
      <c r="L7" s="12">
        <v>72</v>
      </c>
      <c r="M7" s="12"/>
      <c r="N7" s="12"/>
      <c r="O7" s="12"/>
      <c r="P7" s="2">
        <f t="shared" si="0"/>
        <v>74.333333333333329</v>
      </c>
      <c r="Q7" s="12"/>
      <c r="R7" s="3">
        <f t="shared" si="1"/>
        <v>74.333333333333329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74.333333333333329</v>
      </c>
      <c r="AK7" s="2" t="str">
        <f t="shared" si="8"/>
        <v/>
      </c>
      <c r="AL7" s="3">
        <f t="shared" si="9"/>
        <v>74.333333333333329</v>
      </c>
      <c r="AM7" s="4">
        <f t="shared" si="10"/>
        <v>4</v>
      </c>
      <c r="AN7" s="2" t="str">
        <f t="shared" si="11"/>
        <v/>
      </c>
      <c r="AO7" s="12"/>
      <c r="AP7" s="5">
        <f t="shared" si="12"/>
        <v>0</v>
      </c>
      <c r="AQ7" s="28">
        <f t="shared" si="13"/>
        <v>100</v>
      </c>
    </row>
    <row r="8" spans="1:43" ht="18.149999999999999" customHeight="1" thickBot="1">
      <c r="A8" s="49">
        <v>7</v>
      </c>
      <c r="B8" s="49" t="s">
        <v>121</v>
      </c>
      <c r="C8" s="49" t="s">
        <v>130</v>
      </c>
      <c r="D8" s="49" t="s">
        <v>131</v>
      </c>
      <c r="E8" s="50" t="s">
        <v>132</v>
      </c>
      <c r="F8" s="15">
        <v>1784642</v>
      </c>
      <c r="G8" s="1">
        <f t="shared" si="4"/>
        <v>132</v>
      </c>
      <c r="H8" s="1">
        <f t="shared" si="5"/>
        <v>18</v>
      </c>
      <c r="I8" s="12"/>
      <c r="J8" s="12">
        <v>82</v>
      </c>
      <c r="K8" s="12">
        <v>81</v>
      </c>
      <c r="L8" s="12">
        <v>83</v>
      </c>
      <c r="M8" s="12"/>
      <c r="N8" s="12"/>
      <c r="O8" s="12"/>
      <c r="P8" s="2">
        <f t="shared" si="0"/>
        <v>82</v>
      </c>
      <c r="Q8" s="12"/>
      <c r="R8" s="3">
        <f t="shared" si="1"/>
        <v>82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82</v>
      </c>
      <c r="AK8" s="2" t="str">
        <f t="shared" si="8"/>
        <v/>
      </c>
      <c r="AL8" s="3">
        <f t="shared" si="9"/>
        <v>82</v>
      </c>
      <c r="AM8" s="4">
        <f t="shared" si="10"/>
        <v>5</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1784642</v>
      </c>
      <c r="G9" s="1">
        <f t="shared" si="4"/>
        <v>132</v>
      </c>
      <c r="H9" s="1">
        <f t="shared" si="5"/>
        <v>18</v>
      </c>
      <c r="I9" s="12"/>
      <c r="J9" s="12">
        <v>90</v>
      </c>
      <c r="K9" s="12">
        <v>85</v>
      </c>
      <c r="L9" s="12">
        <v>82</v>
      </c>
      <c r="M9" s="12"/>
      <c r="N9" s="12"/>
      <c r="O9" s="12"/>
      <c r="P9" s="2">
        <f t="shared" si="0"/>
        <v>85.666666666666671</v>
      </c>
      <c r="Q9" s="12"/>
      <c r="R9" s="3">
        <f t="shared" si="1"/>
        <v>85.666666666666671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85.666666666666671</v>
      </c>
      <c r="AK9" s="2" t="str">
        <f t="shared" si="8"/>
        <v/>
      </c>
      <c r="AL9" s="3">
        <f t="shared" si="9"/>
        <v>85.666666666666671</v>
      </c>
      <c r="AM9" s="4">
        <f t="shared" si="10"/>
        <v>5</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1784642</v>
      </c>
      <c r="G10" s="1">
        <f t="shared" si="4"/>
        <v>132</v>
      </c>
      <c r="H10" s="1">
        <f t="shared" si="5"/>
        <v>18</v>
      </c>
      <c r="I10" s="12"/>
      <c r="J10" s="12">
        <v>83</v>
      </c>
      <c r="K10" s="12">
        <v>90</v>
      </c>
      <c r="L10" s="12">
        <v>95</v>
      </c>
      <c r="M10" s="12"/>
      <c r="N10" s="12"/>
      <c r="O10" s="12"/>
      <c r="P10" s="2">
        <f t="shared" si="0"/>
        <v>89.333333333333329</v>
      </c>
      <c r="Q10" s="12"/>
      <c r="R10" s="3">
        <f t="shared" si="1"/>
        <v>89.333333333333329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89.333333333333329</v>
      </c>
      <c r="AK10" s="2" t="str">
        <f t="shared" si="8"/>
        <v/>
      </c>
      <c r="AL10" s="3">
        <f t="shared" si="9"/>
        <v>89.333333333333329</v>
      </c>
      <c r="AM10" s="4">
        <f t="shared" si="10"/>
        <v>5</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1784642</v>
      </c>
      <c r="G11" s="1">
        <f t="shared" si="4"/>
        <v>132</v>
      </c>
      <c r="H11" s="1">
        <f t="shared" si="5"/>
        <v>18</v>
      </c>
      <c r="I11" s="12"/>
      <c r="J11" s="12">
        <v>77</v>
      </c>
      <c r="K11" s="12">
        <v>75</v>
      </c>
      <c r="L11" s="12">
        <v>76</v>
      </c>
      <c r="M11" s="12"/>
      <c r="N11" s="12"/>
      <c r="O11" s="12"/>
      <c r="P11" s="2">
        <f t="shared" si="0"/>
        <v>76</v>
      </c>
      <c r="Q11" s="12"/>
      <c r="R11" s="3">
        <f t="shared" si="1"/>
        <v>76</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76</v>
      </c>
      <c r="AK11" s="2" t="str">
        <f t="shared" si="8"/>
        <v/>
      </c>
      <c r="AL11" s="3">
        <f t="shared" si="9"/>
        <v>76</v>
      </c>
      <c r="AM11" s="4">
        <f t="shared" si="10"/>
        <v>4</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1784642</v>
      </c>
      <c r="G12" s="1">
        <f t="shared" si="4"/>
        <v>132</v>
      </c>
      <c r="H12" s="1">
        <f t="shared" si="5"/>
        <v>18</v>
      </c>
      <c r="I12" s="12"/>
      <c r="J12" s="12">
        <v>84</v>
      </c>
      <c r="K12" s="12">
        <v>85</v>
      </c>
      <c r="L12" s="12">
        <v>82</v>
      </c>
      <c r="M12" s="12"/>
      <c r="N12" s="12"/>
      <c r="O12" s="12"/>
      <c r="P12" s="2">
        <f t="shared" si="0"/>
        <v>83.666666666666671</v>
      </c>
      <c r="Q12" s="12"/>
      <c r="R12" s="3">
        <f t="shared" si="1"/>
        <v>83.666666666666671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83.666666666666671</v>
      </c>
      <c r="AK12" s="2" t="str">
        <f t="shared" si="8"/>
        <v/>
      </c>
      <c r="AL12" s="3">
        <f t="shared" si="9"/>
        <v>83.666666666666671</v>
      </c>
      <c r="AM12" s="4">
        <f t="shared" si="10"/>
        <v>5</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1784642</v>
      </c>
      <c r="G13" s="1">
        <f t="shared" si="4"/>
        <v>132</v>
      </c>
      <c r="H13" s="1">
        <f t="shared" si="5"/>
        <v>18</v>
      </c>
      <c r="I13" s="12"/>
      <c r="J13" s="12">
        <v>78</v>
      </c>
      <c r="K13" s="12">
        <v>75</v>
      </c>
      <c r="L13" s="12">
        <v>71</v>
      </c>
      <c r="M13" s="12"/>
      <c r="N13" s="12"/>
      <c r="O13" s="12"/>
      <c r="P13" s="2">
        <f t="shared" si="0"/>
        <v>74.666666666666671</v>
      </c>
      <c r="Q13" s="12"/>
      <c r="R13" s="3">
        <f t="shared" si="1"/>
        <v>74.666666666666671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74.666666666666671</v>
      </c>
      <c r="AK13" s="2" t="str">
        <f t="shared" si="8"/>
        <v/>
      </c>
      <c r="AL13" s="3">
        <f t="shared" si="9"/>
        <v>74.666666666666671</v>
      </c>
      <c r="AM13" s="4">
        <f t="shared" si="10"/>
        <v>4</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1784642</v>
      </c>
      <c r="G14" s="1">
        <f t="shared" si="4"/>
        <v>132</v>
      </c>
      <c r="H14" s="1">
        <f t="shared" si="5"/>
        <v>18</v>
      </c>
      <c r="I14" s="12"/>
      <c r="J14" s="12">
        <v>74</v>
      </c>
      <c r="K14" s="12">
        <v>76</v>
      </c>
      <c r="L14" s="12">
        <v>72</v>
      </c>
      <c r="M14" s="12"/>
      <c r="N14" s="12"/>
      <c r="O14" s="12"/>
      <c r="P14" s="2">
        <f t="shared" si="0"/>
        <v>74</v>
      </c>
      <c r="Q14" s="12"/>
      <c r="R14" s="3">
        <f t="shared" si="1"/>
        <v>74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74</v>
      </c>
      <c r="AK14" s="2" t="str">
        <f t="shared" si="8"/>
        <v/>
      </c>
      <c r="AL14" s="3">
        <f t="shared" si="9"/>
        <v>74</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1784642</v>
      </c>
      <c r="G15" s="1">
        <f t="shared" si="4"/>
        <v>132</v>
      </c>
      <c r="H15" s="1">
        <f t="shared" si="5"/>
        <v>18</v>
      </c>
      <c r="I15" s="12"/>
      <c r="J15" s="12">
        <v>82</v>
      </c>
      <c r="K15" s="12">
        <v>81</v>
      </c>
      <c r="L15" s="12">
        <v>82</v>
      </c>
      <c r="M15" s="12"/>
      <c r="N15" s="12"/>
      <c r="O15" s="12"/>
      <c r="P15" s="2">
        <f t="shared" si="0"/>
        <v>81.666666666666671</v>
      </c>
      <c r="Q15" s="12"/>
      <c r="R15" s="3">
        <f t="shared" si="1"/>
        <v>81.666666666666671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81.666666666666671</v>
      </c>
      <c r="AK15" s="2" t="str">
        <f t="shared" si="8"/>
        <v/>
      </c>
      <c r="AL15" s="3">
        <f t="shared" si="9"/>
        <v>81.666666666666671</v>
      </c>
      <c r="AM15" s="4">
        <f t="shared" si="10"/>
        <v>5</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1784642</v>
      </c>
      <c r="G16" s="1">
        <f t="shared" si="4"/>
        <v>132</v>
      </c>
      <c r="H16" s="1">
        <f t="shared" si="5"/>
        <v>18</v>
      </c>
      <c r="I16" s="12"/>
      <c r="J16" s="12">
        <v>75</v>
      </c>
      <c r="K16" s="12">
        <v>72</v>
      </c>
      <c r="L16" s="12">
        <v>75</v>
      </c>
      <c r="M16" s="12"/>
      <c r="N16" s="12"/>
      <c r="O16" s="12"/>
      <c r="P16" s="2">
        <f t="shared" si="0"/>
        <v>74</v>
      </c>
      <c r="Q16" s="12"/>
      <c r="R16" s="3">
        <f t="shared" si="1"/>
        <v>74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74</v>
      </c>
      <c r="AK16" s="2" t="str">
        <f t="shared" si="8"/>
        <v/>
      </c>
      <c r="AL16" s="3">
        <f t="shared" si="9"/>
        <v>74</v>
      </c>
      <c r="AM16" s="4">
        <f t="shared" si="10"/>
        <v>4</v>
      </c>
      <c r="AN16" s="2" t="str">
        <f t="shared" si="11"/>
        <v/>
      </c>
      <c r="AO16" s="12"/>
      <c r="AP16" s="5">
        <f t="shared" si="12"/>
        <v>0</v>
      </c>
      <c r="AQ16" s="28">
        <f t="shared" si="13"/>
        <v>100</v>
      </c>
    </row>
    <row r="17" spans="1:43" ht="18.149999999999999" customHeight="1" thickBot="1">
      <c r="A17" s="49">
        <v>7</v>
      </c>
      <c r="B17" s="49" t="s">
        <v>121</v>
      </c>
      <c r="C17" s="49" t="s">
        <v>154</v>
      </c>
      <c r="D17" s="49" t="s">
        <v>157</v>
      </c>
      <c r="E17" s="50" t="s">
        <v>158</v>
      </c>
      <c r="F17" s="15">
        <v>1784642</v>
      </c>
      <c r="G17" s="1">
        <f t="shared" si="4"/>
        <v>132</v>
      </c>
      <c r="H17" s="1">
        <f t="shared" si="5"/>
        <v>18</v>
      </c>
      <c r="I17" s="12"/>
      <c r="J17" s="12">
        <v>72</v>
      </c>
      <c r="K17" s="12">
        <v>75</v>
      </c>
      <c r="L17" s="12">
        <v>76</v>
      </c>
      <c r="M17" s="12"/>
      <c r="N17" s="12"/>
      <c r="O17" s="12"/>
      <c r="P17" s="2">
        <f t="shared" si="0"/>
        <v>74.333333333333329</v>
      </c>
      <c r="Q17" s="12"/>
      <c r="R17" s="3">
        <f t="shared" si="1"/>
        <v>74.333333333333329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74.333333333333329</v>
      </c>
      <c r="AK17" s="2" t="str">
        <f t="shared" si="8"/>
        <v/>
      </c>
      <c r="AL17" s="3">
        <f t="shared" si="9"/>
        <v>74.333333333333329</v>
      </c>
      <c r="AM17" s="4">
        <f t="shared" si="10"/>
        <v>4</v>
      </c>
      <c r="AN17" s="2" t="str">
        <f t="shared" si="11"/>
        <v/>
      </c>
      <c r="AO17" s="12"/>
      <c r="AP17" s="5">
        <f t="shared" si="12"/>
        <v>0</v>
      </c>
      <c r="AQ17" s="28">
        <f t="shared" si="13"/>
        <v>100</v>
      </c>
    </row>
    <row r="18" spans="1:43" ht="18.149999999999999" customHeight="1" thickBot="1">
      <c r="A18" s="49">
        <v>7</v>
      </c>
      <c r="B18" s="49" t="s">
        <v>121</v>
      </c>
      <c r="C18" s="49" t="s">
        <v>159</v>
      </c>
      <c r="D18" s="49" t="s">
        <v>160</v>
      </c>
      <c r="E18" s="50" t="s">
        <v>161</v>
      </c>
      <c r="F18" s="15">
        <v>1784642</v>
      </c>
      <c r="G18" s="1">
        <f t="shared" si="4"/>
        <v>132</v>
      </c>
      <c r="H18" s="1">
        <f t="shared" si="5"/>
        <v>18</v>
      </c>
      <c r="I18" s="12"/>
      <c r="J18" s="12">
        <v>75</v>
      </c>
      <c r="K18" s="12">
        <v>74</v>
      </c>
      <c r="L18" s="12">
        <v>75</v>
      </c>
      <c r="M18" s="12"/>
      <c r="N18" s="12"/>
      <c r="O18" s="12"/>
      <c r="P18" s="2">
        <f t="shared" si="0"/>
        <v>74.666666666666671</v>
      </c>
      <c r="Q18" s="12"/>
      <c r="R18" s="3">
        <f t="shared" si="1"/>
        <v>74.666666666666671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74.666666666666671</v>
      </c>
      <c r="AK18" s="2" t="str">
        <f t="shared" si="8"/>
        <v/>
      </c>
      <c r="AL18" s="3">
        <f t="shared" si="9"/>
        <v>74.666666666666671</v>
      </c>
      <c r="AM18" s="4">
        <f t="shared" si="10"/>
        <v>4</v>
      </c>
      <c r="AN18" s="2" t="str">
        <f t="shared" si="11"/>
        <v/>
      </c>
      <c r="AO18" s="12"/>
      <c r="AP18" s="5">
        <f t="shared" si="12"/>
        <v>0</v>
      </c>
      <c r="AQ18" s="28">
        <f t="shared" si="13"/>
        <v>100</v>
      </c>
    </row>
    <row r="19" spans="1:43" ht="18.149999999999999" customHeight="1" thickBot="1">
      <c r="A19" s="49">
        <v>7</v>
      </c>
      <c r="B19" s="49" t="s">
        <v>121</v>
      </c>
      <c r="C19" s="49" t="s">
        <v>162</v>
      </c>
      <c r="D19" s="49" t="s">
        <v>157</v>
      </c>
      <c r="E19" s="50" t="s">
        <v>163</v>
      </c>
      <c r="F19" s="15">
        <v>1784642</v>
      </c>
      <c r="G19" s="1">
        <f t="shared" si="4"/>
        <v>132</v>
      </c>
      <c r="H19" s="1">
        <f t="shared" si="5"/>
        <v>18</v>
      </c>
      <c r="I19" s="12"/>
      <c r="J19" s="12">
        <v>83</v>
      </c>
      <c r="K19" s="12">
        <v>82</v>
      </c>
      <c r="L19" s="12">
        <v>84</v>
      </c>
      <c r="M19" s="12"/>
      <c r="N19" s="12"/>
      <c r="O19" s="12"/>
      <c r="P19" s="2">
        <f t="shared" si="0"/>
        <v>83</v>
      </c>
      <c r="Q19" s="12"/>
      <c r="R19" s="3">
        <f t="shared" si="1"/>
        <v>83</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83</v>
      </c>
      <c r="AK19" s="2" t="str">
        <f t="shared" si="8"/>
        <v/>
      </c>
      <c r="AL19" s="3">
        <f t="shared" si="9"/>
        <v>83</v>
      </c>
      <c r="AM19" s="4">
        <f t="shared" si="10"/>
        <v>5</v>
      </c>
      <c r="AN19" s="2" t="str">
        <f t="shared" si="11"/>
        <v/>
      </c>
      <c r="AO19" s="12"/>
      <c r="AP19" s="5">
        <f t="shared" si="12"/>
        <v>0</v>
      </c>
      <c r="AQ19" s="28">
        <f t="shared" si="13"/>
        <v>100</v>
      </c>
    </row>
    <row r="20" spans="1:43" ht="18.149999999999999" customHeight="1" thickBot="1">
      <c r="A20" s="49">
        <v>7</v>
      </c>
      <c r="B20" s="49" t="s">
        <v>121</v>
      </c>
      <c r="C20" s="49" t="s">
        <v>164</v>
      </c>
      <c r="D20" s="49" t="s">
        <v>131</v>
      </c>
      <c r="E20" s="50" t="s">
        <v>165</v>
      </c>
      <c r="F20" s="15">
        <v>1784642</v>
      </c>
      <c r="G20" s="1">
        <f t="shared" si="4"/>
        <v>132</v>
      </c>
      <c r="H20" s="1">
        <f t="shared" si="5"/>
        <v>18</v>
      </c>
      <c r="I20" s="12"/>
      <c r="J20" s="12">
        <v>74</v>
      </c>
      <c r="K20" s="12">
        <v>81</v>
      </c>
      <c r="L20" s="12">
        <v>82</v>
      </c>
      <c r="M20" s="12"/>
      <c r="N20" s="12"/>
      <c r="O20" s="12"/>
      <c r="P20" s="2">
        <f t="shared" si="0"/>
        <v>79</v>
      </c>
      <c r="Q20" s="12"/>
      <c r="R20" s="3">
        <f t="shared" si="1"/>
        <v>79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79</v>
      </c>
      <c r="AK20" s="2" t="str">
        <f t="shared" si="8"/>
        <v/>
      </c>
      <c r="AL20" s="3">
        <f t="shared" si="9"/>
        <v>79</v>
      </c>
      <c r="AM20" s="4">
        <f t="shared" si="10"/>
        <v>4</v>
      </c>
      <c r="AN20" s="2" t="str">
        <f t="shared" si="11"/>
        <v/>
      </c>
      <c r="AO20" s="12"/>
      <c r="AP20" s="5">
        <f t="shared" si="12"/>
        <v>0</v>
      </c>
      <c r="AQ20" s="28">
        <f t="shared" si="13"/>
        <v>100</v>
      </c>
    </row>
    <row r="21" spans="1:43" ht="18.149999999999999" customHeight="1" thickBot="1">
      <c r="A21" s="49">
        <v>7</v>
      </c>
      <c r="B21" s="49" t="s">
        <v>121</v>
      </c>
      <c r="C21" s="49" t="s">
        <v>166</v>
      </c>
      <c r="D21" s="49" t="s">
        <v>167</v>
      </c>
      <c r="E21" s="50" t="s">
        <v>168</v>
      </c>
      <c r="F21" s="15">
        <v>1784642</v>
      </c>
      <c r="G21" s="1">
        <f t="shared" si="4"/>
        <v>132</v>
      </c>
      <c r="H21" s="1">
        <f t="shared" si="5"/>
        <v>18</v>
      </c>
      <c r="I21" s="12"/>
      <c r="J21" s="12">
        <v>72</v>
      </c>
      <c r="K21" s="12">
        <v>73</v>
      </c>
      <c r="L21" s="12">
        <v>76</v>
      </c>
      <c r="M21" s="12"/>
      <c r="N21" s="12"/>
      <c r="O21" s="12"/>
      <c r="P21" s="2">
        <f t="shared" si="0"/>
        <v>73.666666666666671</v>
      </c>
      <c r="Q21" s="12"/>
      <c r="R21" s="3">
        <f t="shared" si="1"/>
        <v>73.666666666666671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73.666666666666671</v>
      </c>
      <c r="AK21" s="2" t="str">
        <f t="shared" si="8"/>
        <v/>
      </c>
      <c r="AL21" s="3">
        <f t="shared" si="9"/>
        <v>73.666666666666671</v>
      </c>
      <c r="AM21" s="4">
        <f t="shared" si="10"/>
        <v>4</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1784642</v>
      </c>
      <c r="G22" s="1">
        <f t="shared" si="4"/>
        <v>132</v>
      </c>
      <c r="H22" s="1">
        <f t="shared" si="5"/>
        <v>18</v>
      </c>
      <c r="I22" s="12"/>
      <c r="J22" s="12">
        <v>78</v>
      </c>
      <c r="K22" s="12">
        <v>71</v>
      </c>
      <c r="L22" s="12">
        <v>75</v>
      </c>
      <c r="M22" s="12"/>
      <c r="N22" s="12"/>
      <c r="O22" s="12"/>
      <c r="P22" s="2">
        <f t="shared" si="0"/>
        <v>74.666666666666671</v>
      </c>
      <c r="Q22" s="12"/>
      <c r="R22" s="3">
        <f t="shared" si="1"/>
        <v>74.666666666666671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74.666666666666671</v>
      </c>
      <c r="AK22" s="2" t="str">
        <f t="shared" si="8"/>
        <v/>
      </c>
      <c r="AL22" s="3">
        <f t="shared" si="9"/>
        <v>74.666666666666671</v>
      </c>
      <c r="AM22" s="4">
        <f t="shared" si="10"/>
        <v>4</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174</v>
      </c>
      <c r="F23" s="15">
        <v>1784642</v>
      </c>
      <c r="G23" s="1">
        <f t="shared" si="4"/>
        <v>132</v>
      </c>
      <c r="H23" s="1">
        <f t="shared" si="5"/>
        <v>18</v>
      </c>
      <c r="I23" s="12"/>
      <c r="J23" s="12">
        <v>76</v>
      </c>
      <c r="K23" s="12">
        <v>72</v>
      </c>
      <c r="L23" s="12">
        <v>75</v>
      </c>
      <c r="M23" s="12"/>
      <c r="N23" s="12"/>
      <c r="O23" s="12"/>
      <c r="P23" s="2">
        <f t="shared" si="0"/>
        <v>74.333333333333329</v>
      </c>
      <c r="Q23" s="12"/>
      <c r="R23" s="3">
        <f t="shared" si="1"/>
        <v>74.333333333333329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74.333333333333329</v>
      </c>
      <c r="AK23" s="2" t="str">
        <f t="shared" si="8"/>
        <v/>
      </c>
      <c r="AL23" s="3">
        <f t="shared" si="9"/>
        <v>74.333333333333329</v>
      </c>
      <c r="AM23" s="4">
        <f t="shared" si="10"/>
        <v>4</v>
      </c>
      <c r="AN23" s="2" t="str">
        <f t="shared" si="11"/>
        <v/>
      </c>
      <c r="AO23" s="12"/>
      <c r="AP23" s="5">
        <f t="shared" si="12"/>
        <v>0</v>
      </c>
      <c r="AQ23" s="28">
        <f t="shared" si="13"/>
        <v>100</v>
      </c>
    </row>
    <row r="24" spans="1:43" ht="18.149999999999999" customHeight="1" thickBot="1">
      <c r="A24" s="49">
        <v>7</v>
      </c>
      <c r="B24" s="49" t="s">
        <v>121</v>
      </c>
      <c r="C24" s="49" t="s">
        <v>175</v>
      </c>
      <c r="D24" s="49" t="s">
        <v>176</v>
      </c>
      <c r="E24" s="50" t="s">
        <v>177</v>
      </c>
      <c r="F24" s="15">
        <v>1784642</v>
      </c>
      <c r="G24" s="1">
        <f t="shared" si="4"/>
        <v>132</v>
      </c>
      <c r="H24" s="1">
        <f t="shared" si="5"/>
        <v>18</v>
      </c>
      <c r="I24" s="12"/>
      <c r="J24" s="12">
        <v>75</v>
      </c>
      <c r="K24" s="12">
        <v>72</v>
      </c>
      <c r="L24" s="12">
        <v>78</v>
      </c>
      <c r="M24" s="12"/>
      <c r="N24" s="12"/>
      <c r="O24" s="12"/>
      <c r="P24" s="2">
        <f t="shared" si="0"/>
        <v>75</v>
      </c>
      <c r="Q24" s="12"/>
      <c r="R24" s="3">
        <f t="shared" si="1"/>
        <v>75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75</v>
      </c>
      <c r="AK24" s="2" t="str">
        <f t="shared" si="8"/>
        <v/>
      </c>
      <c r="AL24" s="3">
        <f t="shared" si="9"/>
        <v>75</v>
      </c>
      <c r="AM24" s="4">
        <f t="shared" si="10"/>
        <v>4</v>
      </c>
      <c r="AN24" s="2" t="str">
        <f t="shared" si="11"/>
        <v/>
      </c>
      <c r="AO24" s="12"/>
      <c r="AP24" s="5">
        <f t="shared" si="12"/>
        <v>0</v>
      </c>
      <c r="AQ24" s="28">
        <f t="shared" si="13"/>
        <v>100</v>
      </c>
    </row>
    <row r="25" spans="1:43" ht="18.149999999999999" customHeight="1" thickBot="1">
      <c r="A25" s="49">
        <v>7</v>
      </c>
      <c r="B25" s="49" t="s">
        <v>121</v>
      </c>
      <c r="C25" s="49" t="s">
        <v>178</v>
      </c>
      <c r="D25" s="49" t="s">
        <v>126</v>
      </c>
      <c r="E25" s="50" t="s">
        <v>179</v>
      </c>
      <c r="F25" s="15">
        <v>1784642</v>
      </c>
      <c r="G25" s="1">
        <f t="shared" si="4"/>
        <v>132</v>
      </c>
      <c r="H25" s="1">
        <f t="shared" si="5"/>
        <v>18</v>
      </c>
      <c r="I25" s="12"/>
      <c r="J25" s="12">
        <v>83</v>
      </c>
      <c r="K25" s="12">
        <v>83</v>
      </c>
      <c r="L25" s="12">
        <v>86</v>
      </c>
      <c r="M25" s="12"/>
      <c r="N25" s="12"/>
      <c r="O25" s="12"/>
      <c r="P25" s="2">
        <f t="shared" si="0"/>
        <v>84</v>
      </c>
      <c r="Q25" s="12"/>
      <c r="R25" s="3">
        <f t="shared" si="1"/>
        <v>84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84</v>
      </c>
      <c r="AK25" s="2" t="str">
        <f t="shared" si="8"/>
        <v/>
      </c>
      <c r="AL25" s="3">
        <f t="shared" si="9"/>
        <v>84</v>
      </c>
      <c r="AM25" s="4">
        <f t="shared" si="10"/>
        <v>5</v>
      </c>
      <c r="AN25" s="2" t="str">
        <f t="shared" si="11"/>
        <v/>
      </c>
      <c r="AO25" s="12"/>
      <c r="AP25" s="5">
        <f t="shared" si="12"/>
        <v>0</v>
      </c>
      <c r="AQ25" s="28">
        <f t="shared" si="13"/>
        <v>100</v>
      </c>
    </row>
    <row r="26" spans="1:43" ht="18.149999999999999" customHeight="1" thickBot="1">
      <c r="A26" s="49">
        <v>7</v>
      </c>
      <c r="B26" s="49" t="s">
        <v>121</v>
      </c>
      <c r="C26" s="49" t="s">
        <v>180</v>
      </c>
      <c r="D26" s="49" t="s">
        <v>181</v>
      </c>
      <c r="E26" s="50" t="s">
        <v>182</v>
      </c>
      <c r="F26" s="15">
        <v>1784642</v>
      </c>
      <c r="G26" s="1">
        <f t="shared" si="4"/>
        <v>132</v>
      </c>
      <c r="H26" s="1">
        <f t="shared" si="5"/>
        <v>18</v>
      </c>
      <c r="I26" s="12"/>
      <c r="J26" s="12">
        <v>86</v>
      </c>
      <c r="K26" s="12">
        <v>83</v>
      </c>
      <c r="L26" s="12">
        <v>85</v>
      </c>
      <c r="M26" s="12"/>
      <c r="N26" s="12"/>
      <c r="O26" s="12"/>
      <c r="P26" s="2">
        <f t="shared" si="0"/>
        <v>84.666666666666671</v>
      </c>
      <c r="Q26" s="12"/>
      <c r="R26" s="3">
        <f t="shared" si="1"/>
        <v>84.666666666666671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84.666666666666671</v>
      </c>
      <c r="AK26" s="2" t="str">
        <f t="shared" si="8"/>
        <v/>
      </c>
      <c r="AL26" s="3">
        <f t="shared" si="9"/>
        <v>84.666666666666671</v>
      </c>
      <c r="AM26" s="4">
        <f t="shared" si="10"/>
        <v>5</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15">
        <v>1784642</v>
      </c>
      <c r="G27" s="1">
        <f t="shared" si="4"/>
        <v>132</v>
      </c>
      <c r="H27" s="1">
        <f t="shared" si="5"/>
        <v>18</v>
      </c>
      <c r="I27" s="12"/>
      <c r="J27" s="12">
        <v>75</v>
      </c>
      <c r="K27" s="12">
        <v>76</v>
      </c>
      <c r="L27" s="12">
        <v>72</v>
      </c>
      <c r="M27" s="12"/>
      <c r="N27" s="12"/>
      <c r="O27" s="12"/>
      <c r="P27" s="2">
        <f t="shared" si="0"/>
        <v>74.333333333333329</v>
      </c>
      <c r="Q27" s="12"/>
      <c r="R27" s="3">
        <f t="shared" si="1"/>
        <v>74.333333333333329</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74.333333333333329</v>
      </c>
      <c r="AK27" s="2" t="str">
        <f t="shared" si="8"/>
        <v/>
      </c>
      <c r="AL27" s="3">
        <f t="shared" si="9"/>
        <v>74.333333333333329</v>
      </c>
      <c r="AM27" s="4">
        <f t="shared" si="10"/>
        <v>4</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132</v>
      </c>
      <c r="H55" s="22">
        <f>IF(H4="","",$H$4)</f>
        <v>18</v>
      </c>
      <c r="I55" s="23" t="str">
        <f t="shared" ref="I55:V55" si="17">IFERROR(AVERAGE(I5:I54),"")</f>
        <v/>
      </c>
      <c r="J55" s="23">
        <f t="shared" si="17"/>
        <v>78.782608695652172</v>
      </c>
      <c r="K55" s="23">
        <f t="shared" si="17"/>
        <v>78.043478260869563</v>
      </c>
      <c r="L55" s="23">
        <f t="shared" si="17"/>
        <v>78.782608695652172</v>
      </c>
      <c r="M55" s="23" t="str">
        <f t="shared" si="17"/>
        <v/>
      </c>
      <c r="N55" s="23" t="str">
        <f t="shared" si="17"/>
        <v/>
      </c>
      <c r="O55" s="23" t="str">
        <f t="shared" si="17"/>
        <v/>
      </c>
      <c r="P55" s="23">
        <f t="shared" si="17"/>
        <v>78.536231884057983</v>
      </c>
      <c r="Q55" s="23" t="str">
        <f t="shared" si="17"/>
        <v/>
      </c>
      <c r="R55" s="23">
        <f t="shared" si="17"/>
        <v>78.536231884057983</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78.536231884057983</v>
      </c>
      <c r="AK55" s="23" t="str">
        <f t="shared" ref="AK55" si="21">IFERROR(AVERAGE(AK5:AK54),"")</f>
        <v/>
      </c>
      <c r="AL55" s="23">
        <f t="shared" ref="AL55" si="22">IFERROR(AVERAGE(AL5:AL54),"")</f>
        <v>78.536231884057983</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9</v>
      </c>
      <c r="K57" s="6">
        <f t="shared" si="24"/>
        <v>10</v>
      </c>
      <c r="L57" s="6">
        <f t="shared" si="24"/>
        <v>10</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9</v>
      </c>
      <c r="AK57" s="6">
        <f t="shared" si="24"/>
        <v>0</v>
      </c>
      <c r="AL57" s="6">
        <f>COUNTIFS(AL5:AL54,"&gt;80",AL5:AL54,"&lt;=100")</f>
        <v>9</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14</v>
      </c>
      <c r="K58" s="6">
        <f t="shared" si="27"/>
        <v>13</v>
      </c>
      <c r="L58" s="6">
        <f t="shared" si="27"/>
        <v>13</v>
      </c>
      <c r="M58" s="6">
        <f t="shared" si="27"/>
        <v>0</v>
      </c>
      <c r="N58" s="6">
        <f t="shared" si="27"/>
        <v>0</v>
      </c>
      <c r="O58" s="6">
        <f t="shared" si="27"/>
        <v>0</v>
      </c>
      <c r="P58" s="6">
        <f t="shared" si="27"/>
        <v>14</v>
      </c>
      <c r="Q58" s="6">
        <f t="shared" si="27"/>
        <v>0</v>
      </c>
      <c r="R58" s="6">
        <f t="shared" si="27"/>
        <v>14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14</v>
      </c>
      <c r="AK58" s="6">
        <f t="shared" si="27"/>
        <v>0</v>
      </c>
      <c r="AL58" s="6">
        <f t="shared" si="27"/>
        <v>14</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39.130434782608695</v>
      </c>
      <c r="K62" s="8">
        <f t="shared" si="39"/>
        <v>43.478260869565219</v>
      </c>
      <c r="L62" s="8">
        <f t="shared" si="39"/>
        <v>43.478260869565219</v>
      </c>
      <c r="M62" s="8" t="str">
        <f t="shared" si="39"/>
        <v/>
      </c>
      <c r="N62" s="8" t="str">
        <f t="shared" si="39"/>
        <v/>
      </c>
      <c r="O62" s="8" t="str">
        <f t="shared" si="39"/>
        <v/>
      </c>
      <c r="P62" s="8">
        <f t="shared" si="39"/>
        <v>39.130434782608695</v>
      </c>
      <c r="Q62" s="8" t="str">
        <f t="shared" si="39"/>
        <v/>
      </c>
      <c r="R62" s="8">
        <f t="shared" si="39"/>
        <v>39.130434782608695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39.130434782608695</v>
      </c>
      <c r="AK62" s="8" t="str">
        <f t="shared" si="39"/>
        <v/>
      </c>
      <c r="AL62" s="8">
        <f t="shared" si="39"/>
        <v>39.130434782608695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60.869565217391305</v>
      </c>
      <c r="K63" s="8">
        <f t="shared" si="42"/>
        <v>56.521739130434781</v>
      </c>
      <c r="L63" s="8">
        <f t="shared" si="42"/>
        <v>56.521739130434781</v>
      </c>
      <c r="M63" s="8" t="str">
        <f t="shared" si="42"/>
        <v/>
      </c>
      <c r="N63" s="8" t="str">
        <f t="shared" si="42"/>
        <v/>
      </c>
      <c r="O63" s="8" t="str">
        <f t="shared" si="42"/>
        <v/>
      </c>
      <c r="P63" s="8">
        <f t="shared" si="42"/>
        <v>60.869565217391305</v>
      </c>
      <c r="Q63" s="8" t="str">
        <f t="shared" si="42"/>
        <v/>
      </c>
      <c r="R63" s="8">
        <f t="shared" si="42"/>
        <v>60.869565217391305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60.869565217391305</v>
      </c>
      <c r="AK63" s="8" t="str">
        <f t="shared" si="42"/>
        <v/>
      </c>
      <c r="AL63" s="8">
        <f t="shared" si="42"/>
        <v>60.869565217391305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0</v>
      </c>
      <c r="K64" s="8">
        <f t="shared" si="45"/>
        <v>0</v>
      </c>
      <c r="L64" s="8">
        <f t="shared" si="45"/>
        <v>0</v>
      </c>
      <c r="M64" s="8" t="str">
        <f t="shared" si="45"/>
        <v/>
      </c>
      <c r="N64" s="8" t="str">
        <f t="shared" si="45"/>
        <v/>
      </c>
      <c r="O64" s="8" t="str">
        <f t="shared" si="45"/>
        <v/>
      </c>
      <c r="P64" s="8">
        <f t="shared" si="45"/>
        <v>0</v>
      </c>
      <c r="Q64" s="8" t="str">
        <f t="shared" si="45"/>
        <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2024-02-03T17:34:50Z</dcterms:modified>
</cp:coreProperties>
</file>