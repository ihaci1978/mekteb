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xr:revisionPtr revIDLastSave="0" documentId="13_ncr:1_{2D50B480-2EEB-4F87-B3CA-5BBF0BF9C5EA}" xr6:coauthVersionLast="47" xr6:coauthVersionMax="47" xr10:uidLastSave="{00000000-0000-0000-0000-000000000000}"/>
  <bookViews>
    <workbookView xWindow="-108" yWindow="-108" windowWidth="23256" windowHeight="12576" tabRatio="512" activeTab="1" xr2:uid="{00000000-000D-0000-FFFF-FFFF00000000}"/>
  </bookViews>
  <sheets>
    <sheet name="Təlimat" sheetId="2" r:id="rId1"/>
    <sheet name="Baza" sheetId="4" r:id="rId2"/>
    <sheet name="Akademik nailiyyətlər"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<sst xmlns="http://schemas.openxmlformats.org/spreadsheetml/2006/main" count="1573" uniqueCount="147">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</sst>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3">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1" t="s">
        <v>146</v>
      </c>
      <c r="B1" s="91"/>
      <c r="C1" s="91"/>
      <c r="D1" s="91"/>
      <c r="E1" s="91"/>
    </row>
    <row r="2" spans="1:5" ht="17.399999999999999" x14ac:dyDescent="0.3">
      <c r="A2" s="92" t="s">
        <v>35</v>
      </c>
      <c r="B2" s="92"/>
      <c r="C2" s="92"/>
      <c r="D2" s="92"/>
      <c r="E2" s="92"/>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3" t="s">
        <v>145</v>
      </c>
      <c r="B19" s="93"/>
      <c r="C19" s="93"/>
      <c r="D19" s="94"/>
      <c r="E19" s="94"/>
    </row>
    <row r="20" spans="1:5" ht="19.8" x14ac:dyDescent="0.3">
      <c r="A20" s="95" t="s">
        <v>42</v>
      </c>
      <c r="B20" s="95"/>
      <c r="C20" s="95"/>
      <c r="D20" s="11"/>
    </row>
    <row r="21" spans="1:5" x14ac:dyDescent="0.3">
      <c r="A21" s="67" t="s">
        <v>44</v>
      </c>
      <c r="B21" s="96" t="s">
        <v>45</v>
      </c>
      <c r="C21" s="97"/>
      <c r="D21" s="11"/>
    </row>
    <row r="22" spans="1:5" x14ac:dyDescent="0.3">
      <c r="A22" s="67" t="s">
        <v>46</v>
      </c>
      <c r="B22" s="96" t="s">
        <v>47</v>
      </c>
      <c r="C22" s="97"/>
      <c r="D22" s="11"/>
    </row>
    <row r="23" spans="1:5" x14ac:dyDescent="0.3">
      <c r="A23" s="67" t="s">
        <v>48</v>
      </c>
      <c r="B23" s="96" t="s">
        <v>49</v>
      </c>
      <c r="C23" s="97"/>
      <c r="D23" s="11"/>
    </row>
    <row r="24" spans="1:5" x14ac:dyDescent="0.3">
      <c r="A24" s="67" t="s">
        <v>50</v>
      </c>
      <c r="B24" s="96" t="s">
        <v>51</v>
      </c>
      <c r="C24" s="97"/>
      <c r="D24" s="11"/>
    </row>
    <row r="25" spans="1:5" x14ac:dyDescent="0.3">
      <c r="A25" s="67" t="s">
        <v>52</v>
      </c>
      <c r="B25" s="96" t="s">
        <v>53</v>
      </c>
      <c r="C25" s="97"/>
      <c r="D25" s="11"/>
    </row>
    <row r="26" spans="1:5" x14ac:dyDescent="0.3">
      <c r="A26" s="67" t="s">
        <v>54</v>
      </c>
      <c r="B26" s="96" t="s">
        <v>55</v>
      </c>
      <c r="C26" s="97"/>
      <c r="D26" s="11"/>
    </row>
    <row r="27" spans="1:5" x14ac:dyDescent="0.3">
      <c r="A27" s="67">
        <v>115</v>
      </c>
      <c r="B27" s="98" t="s">
        <v>43</v>
      </c>
      <c r="C27" s="99"/>
      <c r="D27" s="11"/>
    </row>
    <row r="28" spans="1:5" x14ac:dyDescent="0.3">
      <c r="A28" s="67" t="s">
        <v>56</v>
      </c>
      <c r="B28" s="96" t="s">
        <v>57</v>
      </c>
      <c r="C28" s="97"/>
      <c r="D28" s="11"/>
    </row>
    <row r="29" spans="1:5" x14ac:dyDescent="0.3">
      <c r="A29" s="67" t="s">
        <v>58</v>
      </c>
      <c r="B29" s="96" t="s">
        <v>59</v>
      </c>
      <c r="C29" s="97"/>
      <c r="D29" s="11"/>
    </row>
    <row r="30" spans="1:5" x14ac:dyDescent="0.3">
      <c r="A30" s="67" t="s">
        <v>60</v>
      </c>
      <c r="B30" s="96" t="s">
        <v>61</v>
      </c>
      <c r="C30" s="97"/>
      <c r="D30" s="11"/>
    </row>
    <row r="31" spans="1:5" x14ac:dyDescent="0.3">
      <c r="A31" s="67" t="s">
        <v>62</v>
      </c>
      <c r="B31" s="96" t="s">
        <v>63</v>
      </c>
      <c r="C31" s="97"/>
      <c r="D31" s="11"/>
    </row>
    <row r="32" spans="1:5" x14ac:dyDescent="0.3">
      <c r="A32" s="67" t="s">
        <v>64</v>
      </c>
      <c r="B32" s="96" t="s">
        <v>65</v>
      </c>
      <c r="C32" s="97"/>
      <c r="D32" s="11"/>
    </row>
    <row r="33" spans="1:4" x14ac:dyDescent="0.3">
      <c r="A33" s="67" t="s">
        <v>66</v>
      </c>
      <c r="B33" s="96" t="s">
        <v>67</v>
      </c>
      <c r="C33" s="97"/>
      <c r="D33" s="11"/>
    </row>
    <row r="34" spans="1:4" x14ac:dyDescent="0.3">
      <c r="A34" s="67" t="s">
        <v>68</v>
      </c>
      <c r="B34" s="96" t="s">
        <v>69</v>
      </c>
      <c r="C34" s="97"/>
      <c r="D34" s="11"/>
    </row>
    <row r="35" spans="1:4" x14ac:dyDescent="0.3">
      <c r="A35" s="67" t="s">
        <v>70</v>
      </c>
      <c r="B35" s="96" t="s">
        <v>71</v>
      </c>
      <c r="C35" s="97"/>
      <c r="D35" s="11"/>
    </row>
    <row r="36" spans="1:4" x14ac:dyDescent="0.3">
      <c r="A36" s="67" t="s">
        <v>72</v>
      </c>
      <c r="B36" s="96" t="s">
        <v>73</v>
      </c>
      <c r="C36" s="97"/>
      <c r="D36" s="11"/>
    </row>
    <row r="37" spans="1:4" x14ac:dyDescent="0.3">
      <c r="A37" s="67" t="s">
        <v>74</v>
      </c>
      <c r="B37" s="96" t="s">
        <v>75</v>
      </c>
      <c r="C37" s="97"/>
      <c r="D37" s="11"/>
    </row>
    <row r="38" spans="1:4" x14ac:dyDescent="0.3">
      <c r="A38" s="67" t="s">
        <v>76</v>
      </c>
      <c r="B38" s="96" t="s">
        <v>77</v>
      </c>
      <c r="C38" s="97"/>
      <c r="D38" s="11"/>
    </row>
    <row r="39" spans="1:4" x14ac:dyDescent="0.3">
      <c r="A39" s="67" t="s">
        <v>78</v>
      </c>
      <c r="B39" s="96" t="s">
        <v>79</v>
      </c>
      <c r="C39" s="97"/>
      <c r="D39" s="11"/>
    </row>
    <row r="40" spans="1:4" x14ac:dyDescent="0.3">
      <c r="A40" s="67" t="s">
        <v>80</v>
      </c>
      <c r="B40" s="96" t="s">
        <v>81</v>
      </c>
      <c r="C40" s="97"/>
      <c r="D40" s="11"/>
    </row>
    <row r="41" spans="1:4" x14ac:dyDescent="0.3">
      <c r="A41" s="67" t="s">
        <v>82</v>
      </c>
      <c r="B41" s="96" t="s">
        <v>83</v>
      </c>
      <c r="C41" s="97"/>
      <c r="D41" s="11"/>
    </row>
    <row r="42" spans="1:4" x14ac:dyDescent="0.3">
      <c r="A42" s="67" t="s">
        <v>84</v>
      </c>
      <c r="B42" s="96" t="s">
        <v>89</v>
      </c>
      <c r="C42" s="97"/>
      <c r="D42" s="11"/>
    </row>
    <row r="43" spans="1:4" x14ac:dyDescent="0.3">
      <c r="A43" s="67" t="s">
        <v>85</v>
      </c>
      <c r="B43" s="96" t="s">
        <v>86</v>
      </c>
      <c r="C43" s="97"/>
      <c r="D43" s="11"/>
    </row>
    <row r="44" spans="1:4" x14ac:dyDescent="0.3">
      <c r="A44" s="67" t="s">
        <v>87</v>
      </c>
      <c r="B44" s="96" t="s">
        <v>88</v>
      </c>
      <c r="C44" s="97"/>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xmlns:xlrd2="http://schemas.microsoft.com/office/spreadsheetml/2017/richdata2"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R59"/>
  <sheetViews>
    <sheetView showGridLines="0" tabSelected="1" zoomScale="68" zoomScaleNormal="68" workbookViewId="0">
      <pane xSplit="10" ySplit="9" topLeftCell="K10" activePane="bottomRight" state="frozen"/>
      <selection pane="topRight" activeCell="H1" sqref="H1"/>
      <selection pane="bottomLeft" activeCell="A5" sqref="A5"/>
      <selection pane="bottomRight" activeCell="A9" sqref="A9"/>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x14ac:dyDescent="0.3">
      <c r="A2" s="74" t="str">
        <f>IF(A9="","",A9)</f>
        <v/>
      </c>
      <c r="B2" s="74" t="str">
        <f>IF(B9="","",B9)</f>
        <v/>
      </c>
      <c r="C2" s="74" t="str">
        <f>IF(C9="","",C9)</f>
        <v/>
      </c>
      <c r="D2" s="74" t="str">
        <f>IF(D9="","",D9)</f>
        <v/>
      </c>
      <c r="E2" s="74" t="s">
        <v>9</v>
      </c>
      <c r="F2" s="74"/>
      <c r="G2" s="74"/>
      <c r="H2" s="74" t="str">
        <f>IF(F9="","",F9&amp;G9)</f>
        <v/>
      </c>
      <c r="I2" s="74" t="str">
        <f>IF(K9="R","Rus",IF(K9="A","Azərbaycan",""))</f>
        <v/>
      </c>
      <c r="J2" s="74"/>
      <c r="K2" s="74" t="str">
        <f>IF(K9="","",K9)</f>
        <v/>
      </c>
      <c r="L2" s="74">
        <f>SUM(L4,L6)</f>
        <v>0</v>
      </c>
      <c r="M2" s="74"/>
      <c r="N2" s="74"/>
      <c r="O2" s="74"/>
      <c r="P2" s="74" t="str">
        <f>IF(P9="","",P9)</f>
        <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0</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0</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x14ac:dyDescent="0.3">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x14ac:dyDescent="0.35">
      <c r="A9" s="44"/>
      <c r="B9" s="45"/>
      <c r="C9" s="44"/>
      <c r="D9" s="44"/>
      <c r="E9" s="102"/>
      <c r="F9" s="46"/>
      <c r="G9" s="46"/>
      <c r="H9" s="84" t="s">
        <v>2</v>
      </c>
      <c r="I9" s="84" t="s">
        <v>3</v>
      </c>
      <c r="J9" s="84" t="s">
        <v>1</v>
      </c>
      <c r="K9" s="46"/>
      <c r="L9" s="102"/>
      <c r="M9" s="102"/>
      <c r="N9" s="102"/>
      <c r="O9" s="102"/>
      <c r="P9" s="47"/>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x14ac:dyDescent="0.3">
      <c r="A10" s="88" t="str">
        <f>IF(H10="","",$A$9)</f>
        <v/>
      </c>
      <c r="B10" s="88" t="str">
        <f>IF(H10="","",$B$9)</f>
        <v/>
      </c>
      <c r="C10" s="88" t="str">
        <f>IF(H10="","",$C$9)</f>
        <v/>
      </c>
      <c r="D10" s="88" t="str">
        <f>IF(H10="","",$D$9)</f>
        <v/>
      </c>
      <c r="E10" s="40"/>
      <c r="F10" s="88" t="str">
        <f>IF(H10="","",$F$9)</f>
        <v/>
      </c>
      <c r="G10" s="88" t="str">
        <f>IF(H10="","",$G$9)</f>
        <v/>
      </c>
      <c r="H10" s="36"/>
      <c r="I10" s="36"/>
      <c r="J10" s="40"/>
      <c r="K10" s="89" t="str">
        <f>IF(H10="","",$K$9)</f>
        <v/>
      </c>
      <c r="L10" s="40"/>
      <c r="M10" s="40"/>
      <c r="N10" s="40"/>
      <c r="O10" s="42"/>
      <c r="P10" s="90" t="str">
        <f>IF(H10="","",$P$9)</f>
        <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
      </c>
      <c r="B11" s="88" t="str">
        <f t="shared" ref="B11:B59" si="398">IF(H11="","",$B$9)</f>
        <v/>
      </c>
      <c r="C11" s="88" t="str">
        <f t="shared" ref="C11:C59" si="399">IF(H11="","",$C$9)</f>
        <v/>
      </c>
      <c r="D11" s="88" t="str">
        <f t="shared" ref="D11:D59" si="400">IF(H11="","",$D$9)</f>
        <v/>
      </c>
      <c r="E11" s="40"/>
      <c r="F11" s="88" t="str">
        <f t="shared" ref="F11:F59" si="401">IF(H11="","",$F$9)</f>
        <v/>
      </c>
      <c r="G11" s="88" t="str">
        <f t="shared" ref="G11:G59" si="402">IF(H11="","",$G$9)</f>
        <v/>
      </c>
      <c r="H11" s="36"/>
      <c r="I11" s="37"/>
      <c r="J11" s="41"/>
      <c r="K11" s="89" t="str">
        <f t="shared" ref="K11:K59" si="403">IF(H11="","",$K$9)</f>
        <v/>
      </c>
      <c r="L11" s="41"/>
      <c r="M11" s="41"/>
      <c r="N11" s="41"/>
      <c r="O11" s="43"/>
      <c r="P11" s="90" t="str">
        <f t="shared" ref="P11:P59" si="404">IF(H11="","",$P$9)</f>
        <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
      </c>
      <c r="B12" s="88" t="str">
        <f t="shared" si="398"/>
        <v/>
      </c>
      <c r="C12" s="88" t="str">
        <f t="shared" si="399"/>
        <v/>
      </c>
      <c r="D12" s="88" t="str">
        <f t="shared" si="400"/>
        <v/>
      </c>
      <c r="E12" s="40"/>
      <c r="F12" s="88" t="str">
        <f t="shared" si="401"/>
        <v/>
      </c>
      <c r="G12" s="88" t="str">
        <f t="shared" si="402"/>
        <v/>
      </c>
      <c r="H12" s="36"/>
      <c r="I12" s="37"/>
      <c r="J12" s="41"/>
      <c r="K12" s="89" t="str">
        <f t="shared" si="403"/>
        <v/>
      </c>
      <c r="L12" s="41"/>
      <c r="M12" s="41"/>
      <c r="N12" s="41"/>
      <c r="O12" s="43"/>
      <c r="P12" s="90" t="str">
        <f t="shared" si="404"/>
        <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
      </c>
      <c r="B13" s="88" t="str">
        <f t="shared" si="398"/>
        <v/>
      </c>
      <c r="C13" s="88" t="str">
        <f t="shared" si="399"/>
        <v/>
      </c>
      <c r="D13" s="88" t="str">
        <f t="shared" si="400"/>
        <v/>
      </c>
      <c r="E13" s="40"/>
      <c r="F13" s="88" t="str">
        <f t="shared" si="401"/>
        <v/>
      </c>
      <c r="G13" s="88" t="str">
        <f t="shared" si="402"/>
        <v/>
      </c>
      <c r="H13" s="36"/>
      <c r="I13" s="37"/>
      <c r="J13" s="41"/>
      <c r="K13" s="89" t="str">
        <f t="shared" si="403"/>
        <v/>
      </c>
      <c r="L13" s="41"/>
      <c r="M13" s="41"/>
      <c r="N13" s="41"/>
      <c r="O13" s="43"/>
      <c r="P13" s="90" t="str">
        <f t="shared" si="404"/>
        <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
      </c>
      <c r="B14" s="88" t="str">
        <f t="shared" si="398"/>
        <v/>
      </c>
      <c r="C14" s="88" t="str">
        <f t="shared" si="399"/>
        <v/>
      </c>
      <c r="D14" s="88" t="str">
        <f t="shared" si="400"/>
        <v/>
      </c>
      <c r="E14" s="40"/>
      <c r="F14" s="88" t="str">
        <f t="shared" si="401"/>
        <v/>
      </c>
      <c r="G14" s="88" t="str">
        <f t="shared" si="402"/>
        <v/>
      </c>
      <c r="H14" s="36"/>
      <c r="I14" s="37"/>
      <c r="J14" s="41"/>
      <c r="K14" s="89" t="str">
        <f t="shared" si="403"/>
        <v/>
      </c>
      <c r="L14" s="41"/>
      <c r="M14" s="41"/>
      <c r="N14" s="41"/>
      <c r="O14" s="43"/>
      <c r="P14" s="90" t="str">
        <f t="shared" si="404"/>
        <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
      </c>
      <c r="B15" s="88" t="str">
        <f t="shared" si="398"/>
        <v/>
      </c>
      <c r="C15" s="88" t="str">
        <f t="shared" si="399"/>
        <v/>
      </c>
      <c r="D15" s="88" t="str">
        <f t="shared" si="400"/>
        <v/>
      </c>
      <c r="E15" s="40"/>
      <c r="F15" s="88" t="str">
        <f t="shared" si="401"/>
        <v/>
      </c>
      <c r="G15" s="88" t="str">
        <f t="shared" si="402"/>
        <v/>
      </c>
      <c r="H15" s="36"/>
      <c r="I15" s="37"/>
      <c r="J15" s="41"/>
      <c r="K15" s="89" t="str">
        <f t="shared" si="403"/>
        <v/>
      </c>
      <c r="L15" s="41"/>
      <c r="M15" s="41"/>
      <c r="N15" s="41"/>
      <c r="O15" s="43"/>
      <c r="P15" s="90" t="str">
        <f t="shared" si="404"/>
        <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
      </c>
      <c r="B16" s="88" t="str">
        <f t="shared" si="398"/>
        <v/>
      </c>
      <c r="C16" s="88" t="str">
        <f t="shared" si="399"/>
        <v/>
      </c>
      <c r="D16" s="88" t="str">
        <f t="shared" si="400"/>
        <v/>
      </c>
      <c r="E16" s="40"/>
      <c r="F16" s="88" t="str">
        <f t="shared" si="401"/>
        <v/>
      </c>
      <c r="G16" s="88" t="str">
        <f t="shared" si="402"/>
        <v/>
      </c>
      <c r="H16" s="36"/>
      <c r="I16" s="37"/>
      <c r="J16" s="41"/>
      <c r="K16" s="89" t="str">
        <f t="shared" si="403"/>
        <v/>
      </c>
      <c r="L16" s="41"/>
      <c r="M16" s="41"/>
      <c r="N16" s="41"/>
      <c r="O16" s="43"/>
      <c r="P16" s="90" t="str">
        <f t="shared" si="404"/>
        <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
      </c>
      <c r="B17" s="88" t="str">
        <f t="shared" si="398"/>
        <v/>
      </c>
      <c r="C17" s="88" t="str">
        <f t="shared" si="399"/>
        <v/>
      </c>
      <c r="D17" s="88" t="str">
        <f t="shared" si="400"/>
        <v/>
      </c>
      <c r="E17" s="40"/>
      <c r="F17" s="88" t="str">
        <f t="shared" si="401"/>
        <v/>
      </c>
      <c r="G17" s="88" t="str">
        <f t="shared" si="402"/>
        <v/>
      </c>
      <c r="H17" s="36"/>
      <c r="I17" s="37"/>
      <c r="J17" s="41"/>
      <c r="K17" s="89" t="str">
        <f t="shared" si="403"/>
        <v/>
      </c>
      <c r="L17" s="41"/>
      <c r="M17" s="41"/>
      <c r="N17" s="41"/>
      <c r="O17" s="43"/>
      <c r="P17" s="90" t="str">
        <f t="shared" si="404"/>
        <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
      </c>
      <c r="B18" s="88" t="str">
        <f t="shared" si="398"/>
        <v/>
      </c>
      <c r="C18" s="88" t="str">
        <f t="shared" si="399"/>
        <v/>
      </c>
      <c r="D18" s="88" t="str">
        <f t="shared" si="400"/>
        <v/>
      </c>
      <c r="E18" s="40"/>
      <c r="F18" s="88" t="str">
        <f t="shared" si="401"/>
        <v/>
      </c>
      <c r="G18" s="88" t="str">
        <f t="shared" si="402"/>
        <v/>
      </c>
      <c r="H18" s="36"/>
      <c r="I18" s="37"/>
      <c r="J18" s="41"/>
      <c r="K18" s="89" t="str">
        <f t="shared" si="403"/>
        <v/>
      </c>
      <c r="L18" s="41"/>
      <c r="M18" s="41"/>
      <c r="N18" s="41"/>
      <c r="O18" s="43"/>
      <c r="P18" s="90" t="str">
        <f t="shared" si="404"/>
        <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
      </c>
      <c r="B19" s="88" t="str">
        <f t="shared" si="398"/>
        <v/>
      </c>
      <c r="C19" s="88" t="str">
        <f t="shared" si="399"/>
        <v/>
      </c>
      <c r="D19" s="88" t="str">
        <f t="shared" si="400"/>
        <v/>
      </c>
      <c r="E19" s="40"/>
      <c r="F19" s="88" t="str">
        <f t="shared" si="401"/>
        <v/>
      </c>
      <c r="G19" s="88" t="str">
        <f t="shared" si="402"/>
        <v/>
      </c>
      <c r="H19" s="36"/>
      <c r="I19" s="37"/>
      <c r="J19" s="41"/>
      <c r="K19" s="89" t="str">
        <f t="shared" si="403"/>
        <v/>
      </c>
      <c r="L19" s="41"/>
      <c r="M19" s="41"/>
      <c r="N19" s="41"/>
      <c r="O19" s="43"/>
      <c r="P19" s="90" t="str">
        <f t="shared" si="404"/>
        <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
      </c>
      <c r="B20" s="88" t="str">
        <f t="shared" si="398"/>
        <v/>
      </c>
      <c r="C20" s="88" t="str">
        <f t="shared" si="399"/>
        <v/>
      </c>
      <c r="D20" s="88" t="str">
        <f t="shared" si="400"/>
        <v/>
      </c>
      <c r="E20" s="40"/>
      <c r="F20" s="88" t="str">
        <f t="shared" si="401"/>
        <v/>
      </c>
      <c r="G20" s="88" t="str">
        <f t="shared" si="402"/>
        <v/>
      </c>
      <c r="H20" s="37"/>
      <c r="I20" s="37"/>
      <c r="J20" s="41"/>
      <c r="K20" s="89" t="str">
        <f t="shared" si="403"/>
        <v/>
      </c>
      <c r="L20" s="41"/>
      <c r="M20" s="41"/>
      <c r="N20" s="41"/>
      <c r="O20" s="43"/>
      <c r="P20" s="90" t="str">
        <f t="shared" si="404"/>
        <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
      </c>
      <c r="B21" s="88" t="str">
        <f t="shared" si="398"/>
        <v/>
      </c>
      <c r="C21" s="88" t="str">
        <f t="shared" si="399"/>
        <v/>
      </c>
      <c r="D21" s="88" t="str">
        <f t="shared" si="400"/>
        <v/>
      </c>
      <c r="E21" s="40"/>
      <c r="F21" s="88" t="str">
        <f t="shared" si="401"/>
        <v/>
      </c>
      <c r="G21" s="88" t="str">
        <f t="shared" si="402"/>
        <v/>
      </c>
      <c r="H21" s="37"/>
      <c r="I21" s="37"/>
      <c r="J21" s="41"/>
      <c r="K21" s="89" t="str">
        <f t="shared" si="403"/>
        <v/>
      </c>
      <c r="L21" s="41"/>
      <c r="M21" s="41"/>
      <c r="N21" s="41"/>
      <c r="O21" s="43"/>
      <c r="P21" s="90" t="str">
        <f t="shared" si="404"/>
        <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
      </c>
      <c r="B22" s="88" t="str">
        <f t="shared" si="398"/>
        <v/>
      </c>
      <c r="C22" s="88" t="str">
        <f t="shared" si="399"/>
        <v/>
      </c>
      <c r="D22" s="88" t="str">
        <f t="shared" si="400"/>
        <v/>
      </c>
      <c r="E22" s="40"/>
      <c r="F22" s="88" t="str">
        <f t="shared" si="401"/>
        <v/>
      </c>
      <c r="G22" s="88" t="str">
        <f t="shared" si="402"/>
        <v/>
      </c>
      <c r="H22" s="37"/>
      <c r="I22" s="37"/>
      <c r="J22" s="41"/>
      <c r="K22" s="89" t="str">
        <f t="shared" si="403"/>
        <v/>
      </c>
      <c r="L22" s="41"/>
      <c r="M22" s="41"/>
      <c r="N22" s="41"/>
      <c r="O22" s="43"/>
      <c r="P22" s="90" t="str">
        <f t="shared" si="404"/>
        <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
      </c>
      <c r="B23" s="88" t="str">
        <f t="shared" si="398"/>
        <v/>
      </c>
      <c r="C23" s="88" t="str">
        <f t="shared" si="399"/>
        <v/>
      </c>
      <c r="D23" s="88" t="str">
        <f t="shared" si="400"/>
        <v/>
      </c>
      <c r="E23" s="40"/>
      <c r="F23" s="88" t="str">
        <f t="shared" si="401"/>
        <v/>
      </c>
      <c r="G23" s="88" t="str">
        <f t="shared" si="402"/>
        <v/>
      </c>
      <c r="H23" s="37"/>
      <c r="I23" s="37"/>
      <c r="J23" s="41"/>
      <c r="K23" s="89" t="str">
        <f t="shared" si="403"/>
        <v/>
      </c>
      <c r="L23" s="41"/>
      <c r="M23" s="41"/>
      <c r="N23" s="41"/>
      <c r="O23" s="43"/>
      <c r="P23" s="90" t="str">
        <f t="shared" si="404"/>
        <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
      </c>
      <c r="B24" s="88" t="str">
        <f t="shared" si="398"/>
        <v/>
      </c>
      <c r="C24" s="88" t="str">
        <f t="shared" si="399"/>
        <v/>
      </c>
      <c r="D24" s="88" t="str">
        <f t="shared" si="400"/>
        <v/>
      </c>
      <c r="E24" s="40"/>
      <c r="F24" s="88" t="str">
        <f t="shared" si="401"/>
        <v/>
      </c>
      <c r="G24" s="88" t="str">
        <f t="shared" si="402"/>
        <v/>
      </c>
      <c r="H24" s="37"/>
      <c r="I24" s="37"/>
      <c r="J24" s="41"/>
      <c r="K24" s="89" t="str">
        <f t="shared" si="403"/>
        <v/>
      </c>
      <c r="L24" s="41"/>
      <c r="M24" s="41"/>
      <c r="N24" s="41"/>
      <c r="O24" s="43"/>
      <c r="P24" s="90" t="str">
        <f t="shared" si="404"/>
        <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
      </c>
      <c r="B25" s="88" t="str">
        <f t="shared" si="398"/>
        <v/>
      </c>
      <c r="C25" s="88" t="str">
        <f t="shared" si="399"/>
        <v/>
      </c>
      <c r="D25" s="88" t="str">
        <f t="shared" si="400"/>
        <v/>
      </c>
      <c r="E25" s="40"/>
      <c r="F25" s="88" t="str">
        <f t="shared" si="401"/>
        <v/>
      </c>
      <c r="G25" s="88" t="str">
        <f t="shared" si="402"/>
        <v/>
      </c>
      <c r="H25" s="37"/>
      <c r="I25" s="37"/>
      <c r="J25" s="41"/>
      <c r="K25" s="89" t="str">
        <f t="shared" si="403"/>
        <v/>
      </c>
      <c r="L25" s="41"/>
      <c r="M25" s="41"/>
      <c r="N25" s="41"/>
      <c r="O25" s="43"/>
      <c r="P25" s="90" t="str">
        <f t="shared" si="404"/>
        <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
      </c>
      <c r="B26" s="88" t="str">
        <f t="shared" si="398"/>
        <v/>
      </c>
      <c r="C26" s="88" t="str">
        <f t="shared" si="399"/>
        <v/>
      </c>
      <c r="D26" s="88" t="str">
        <f t="shared" si="400"/>
        <v/>
      </c>
      <c r="E26" s="40"/>
      <c r="F26" s="88" t="str">
        <f t="shared" si="401"/>
        <v/>
      </c>
      <c r="G26" s="88" t="str">
        <f t="shared" si="402"/>
        <v/>
      </c>
      <c r="H26" s="37"/>
      <c r="I26" s="37"/>
      <c r="J26" s="41"/>
      <c r="K26" s="89" t="str">
        <f t="shared" si="403"/>
        <v/>
      </c>
      <c r="L26" s="41"/>
      <c r="M26" s="41"/>
      <c r="N26" s="41"/>
      <c r="O26" s="43"/>
      <c r="P26" s="90" t="str">
        <f t="shared" si="404"/>
        <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
      </c>
      <c r="B27" s="88" t="str">
        <f t="shared" si="398"/>
        <v/>
      </c>
      <c r="C27" s="88" t="str">
        <f t="shared" si="399"/>
        <v/>
      </c>
      <c r="D27" s="88" t="str">
        <f t="shared" si="400"/>
        <v/>
      </c>
      <c r="E27" s="40"/>
      <c r="F27" s="88" t="str">
        <f t="shared" si="401"/>
        <v/>
      </c>
      <c r="G27" s="88" t="str">
        <f t="shared" si="402"/>
        <v/>
      </c>
      <c r="H27" s="37"/>
      <c r="I27" s="37"/>
      <c r="J27" s="41"/>
      <c r="K27" s="89" t="str">
        <f t="shared" si="403"/>
        <v/>
      </c>
      <c r="L27" s="41"/>
      <c r="M27" s="41"/>
      <c r="N27" s="41"/>
      <c r="O27" s="43"/>
      <c r="P27" s="90" t="str">
        <f t="shared" si="404"/>
        <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
      </c>
      <c r="B28" s="88" t="str">
        <f t="shared" si="398"/>
        <v/>
      </c>
      <c r="C28" s="88" t="str">
        <f t="shared" si="399"/>
        <v/>
      </c>
      <c r="D28" s="88" t="str">
        <f t="shared" si="400"/>
        <v/>
      </c>
      <c r="E28" s="40"/>
      <c r="F28" s="88" t="str">
        <f t="shared" si="401"/>
        <v/>
      </c>
      <c r="G28" s="88" t="str">
        <f t="shared" si="402"/>
        <v/>
      </c>
      <c r="H28" s="37"/>
      <c r="I28" s="37"/>
      <c r="J28" s="41"/>
      <c r="K28" s="89" t="str">
        <f t="shared" si="403"/>
        <v/>
      </c>
      <c r="L28" s="41"/>
      <c r="M28" s="41"/>
      <c r="N28" s="41"/>
      <c r="O28" s="43"/>
      <c r="P28" s="90" t="str">
        <f t="shared" si="404"/>
        <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
      </c>
      <c r="B29" s="88" t="str">
        <f t="shared" si="398"/>
        <v/>
      </c>
      <c r="C29" s="88" t="str">
        <f t="shared" si="399"/>
        <v/>
      </c>
      <c r="D29" s="88" t="str">
        <f t="shared" si="400"/>
        <v/>
      </c>
      <c r="E29" s="40"/>
      <c r="F29" s="88" t="str">
        <f t="shared" si="401"/>
        <v/>
      </c>
      <c r="G29" s="88" t="str">
        <f t="shared" si="402"/>
        <v/>
      </c>
      <c r="H29" s="37"/>
      <c r="I29" s="37"/>
      <c r="J29" s="41"/>
      <c r="K29" s="89" t="str">
        <f t="shared" si="403"/>
        <v/>
      </c>
      <c r="L29" s="41"/>
      <c r="M29" s="41"/>
      <c r="N29" s="41"/>
      <c r="O29" s="43"/>
      <c r="P29" s="90" t="str">
        <f t="shared" si="404"/>
        <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xr:uid="{00000000-0002-0000-0100-000000000000}">
      <formula1>$M$3:$M$4</formula1>
    </dataValidation>
    <dataValidation type="list" showDropDown="1" showInputMessage="1" showErrorMessage="1" errorTitle="Yanlış məlumat" error="Azərbaycan bölməsi - A_x000a_Rus bölməsi - R" sqref="K9" xr:uid="{00000000-0002-0000-0100-000001000000}">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x14ac:dyDescent="0.3">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x14ac:dyDescent="0.35">
      <c r="A3" s="26" t="s">
        <v>101</v>
      </c>
      <c r="B3" s="138"/>
      <c r="C3" s="138"/>
      <c r="D3" s="25"/>
      <c r="E3" s="139" t="s">
        <v>103</v>
      </c>
      <c r="F3" s="140"/>
      <c r="G3" s="141"/>
      <c r="H3" s="142" t="str">
        <f>IF(Baza!B2="","",Baza!B2)</f>
        <v/>
      </c>
      <c r="I3" s="142"/>
      <c r="J3" s="142"/>
      <c r="K3" s="142"/>
      <c r="L3" s="142"/>
      <c r="N3" s="143" t="s">
        <v>90</v>
      </c>
      <c r="O3" s="143"/>
      <c r="P3" s="143"/>
      <c r="Q3" s="142" t="str">
        <f>IF(Baza!C2="","",Baza!C2)</f>
        <v/>
      </c>
      <c r="R3" s="142"/>
      <c r="S3" s="142"/>
      <c r="T3" s="142"/>
      <c r="U3" s="142"/>
      <c r="W3" s="143" t="s">
        <v>116</v>
      </c>
      <c r="X3" s="143"/>
      <c r="Y3" s="143"/>
      <c r="Z3" s="142" t="str">
        <f>IF(Baza!D2="","",Baza!D2)</f>
        <v/>
      </c>
      <c r="AA3" s="142"/>
      <c r="AB3" s="142"/>
      <c r="AC3" s="142"/>
      <c r="AD3" s="142"/>
      <c r="AE3" s="23"/>
      <c r="AF3" s="153" t="s">
        <v>102</v>
      </c>
      <c r="AG3" s="153"/>
      <c r="AH3" s="153"/>
      <c r="AI3" s="154" t="str">
        <f>IF(Baza!A2="","",Baza!A2)</f>
        <v/>
      </c>
      <c r="AJ3" s="155"/>
      <c r="AK3" s="155"/>
      <c r="AL3" s="155"/>
      <c r="AM3" s="156"/>
    </row>
    <row r="4" spans="1:41" ht="36.6" customHeight="1" thickTop="1" x14ac:dyDescent="0.3">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x14ac:dyDescent="0.3">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x14ac:dyDescent="0.3">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x14ac:dyDescent="0.3">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x14ac:dyDescent="0.3">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x14ac:dyDescent="0.3">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x14ac:dyDescent="0.3">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x14ac:dyDescent="0.3">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x14ac:dyDescent="0.3">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x14ac:dyDescent="0.3">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x14ac:dyDescent="0.3">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x14ac:dyDescent="0.3">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x14ac:dyDescent="0.3">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x14ac:dyDescent="0.3">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x14ac:dyDescent="0.3">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x14ac:dyDescent="0.3">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x14ac:dyDescent="0.3">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x14ac:dyDescent="0.3">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x14ac:dyDescent="0.3">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x14ac:dyDescent="0.3">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x14ac:dyDescent="0.3">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x14ac:dyDescent="0.3">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x14ac:dyDescent="0.3">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x14ac:dyDescent="0.3">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x14ac:dyDescent="0.3">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x14ac:dyDescent="0.3">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x14ac:dyDescent="0.3">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x14ac:dyDescent="0.3">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x14ac:dyDescent="0.3">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x14ac:dyDescent="0.3">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x14ac:dyDescent="0.3">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x14ac:dyDescent="0.3">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x14ac:dyDescent="0.3">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x14ac:dyDescent="0.3">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x14ac:dyDescent="0.3">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x14ac:dyDescent="0.3">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x14ac:dyDescent="0.3">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x14ac:dyDescent="0.3">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x14ac:dyDescent="0.3">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x14ac:dyDescent="0.3">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x14ac:dyDescent="0.3">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x14ac:dyDescent="0.3">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x14ac:dyDescent="0.3">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x14ac:dyDescent="0.3">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x14ac:dyDescent="0.3">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x14ac:dyDescent="0.3">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x14ac:dyDescent="0.3">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x14ac:dyDescent="0.3">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x14ac:dyDescent="0.3">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x14ac:dyDescent="0.3">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x14ac:dyDescent="0.3">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x14ac:dyDescent="0.3">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x14ac:dyDescent="0.3">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x14ac:dyDescent="0.3">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x14ac:dyDescent="0.3">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x14ac:dyDescent="0.3">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x14ac:dyDescent="0.3">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x14ac:dyDescent="0.3">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x14ac:dyDescent="0.3">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x14ac:dyDescent="0.3">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x14ac:dyDescent="0.3">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x14ac:dyDescent="0.3">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x14ac:dyDescent="0.3">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x14ac:dyDescent="0.3">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x14ac:dyDescent="0.3">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x14ac:dyDescent="0.3">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x14ac:dyDescent="0.3">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x14ac:dyDescent="0.3">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x14ac:dyDescent="0.3">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x14ac:dyDescent="0.3">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x14ac:dyDescent="0.3">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x14ac:dyDescent="0.3">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x14ac:dyDescent="0.3">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x14ac:dyDescent="0.3">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x14ac:dyDescent="0.3">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x14ac:dyDescent="0.3">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x14ac:dyDescent="0.3">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x14ac:dyDescent="0.3">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x14ac:dyDescent="0.3">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x14ac:dyDescent="0.3">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x14ac:dyDescent="0.3">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x14ac:dyDescent="0.3">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x14ac:dyDescent="0.3">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x14ac:dyDescent="0.3">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x14ac:dyDescent="0.3">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x14ac:dyDescent="0.3">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x14ac:dyDescent="0.3">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x14ac:dyDescent="0.3">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x14ac:dyDescent="0.3">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x14ac:dyDescent="0.3">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x14ac:dyDescent="0.3">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x14ac:dyDescent="0.3">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x14ac:dyDescent="0.3">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x14ac:dyDescent="0.3">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x14ac:dyDescent="0.3">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x14ac:dyDescent="0.3">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x14ac:dyDescent="0.3">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x14ac:dyDescent="0.3">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x14ac:dyDescent="0.3">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x14ac:dyDescent="0.3">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x14ac:dyDescent="0.3">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x14ac:dyDescent="0.3">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x14ac:dyDescent="0.3">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x14ac:dyDescent="0.3">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x14ac:dyDescent="0.3">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x14ac:dyDescent="0.3">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x14ac:dyDescent="0.3">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x14ac:dyDescent="0.3">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x14ac:dyDescent="0.3">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x14ac:dyDescent="0.3">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x14ac:dyDescent="0.3">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x14ac:dyDescent="0.3">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x14ac:dyDescent="0.3">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x14ac:dyDescent="0.3">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x14ac:dyDescent="0.3">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x14ac:dyDescent="0.3">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x14ac:dyDescent="0.3">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x14ac:dyDescent="0.3">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x14ac:dyDescent="0.3">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x14ac:dyDescent="0.3">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x14ac:dyDescent="0.3">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x14ac:dyDescent="0.3">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x14ac:dyDescent="0.3">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x14ac:dyDescent="0.3">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x14ac:dyDescent="0.3">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x14ac:dyDescent="0.3">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x14ac:dyDescent="0.3">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x14ac:dyDescent="0.3">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x14ac:dyDescent="0.3"/>
    <row r="133" spans="1:40" ht="40.200000000000003" customHeight="1" x14ac:dyDescent="0.3">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2023-06-26T14:24:14Z</dcterms:modified>
</cp:coreProperties>
</file>