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<sst xmlns="http://schemas.openxmlformats.org/spreadsheetml/2006/main" count="247" uniqueCount="183">
  <si>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</si>
  <si>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</si>
  <si>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</si>
  <si>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</si>
  <si>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</si>
  <si>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</si>
  <si>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</si>
  <si>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</si>
  <si>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</si>
  <si>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</si>
  <si>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</si>
  <si>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</si>
  <si>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</si>
  <si>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</si>
  <si>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</si>
  <si>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</si>
  <si>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</si>
  <si>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</si>
  <si>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</si>
  <si>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</si>
  <si>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</si>
  <si>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</si>
  <si>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</si>
  <si>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</si>
  <si>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</si>
  <si>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</si>
  <si>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</si>
  <si>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</si>
  <si>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</si>
  <si>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</si>
  <si>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</si>
  <si>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</si>
  <si>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</si>
  <si>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</si>
  <si>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</si>
  <si>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</si>
  <si>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</si>
  <si>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</si>
  <si>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</si>
  <si>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</si>
  <si>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</si>
  <si>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</si>
  <si>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</si>
  <si>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</si>
  <si>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</si>
  <si>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</si>
  <si>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</si>
  <si>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</si>
  <si>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</si>
  <si>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</si>
  <si>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</si>
  <si>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</si>
  <si>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</si>
  <si>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</si>
  <si>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</si>
  <si>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</si>
  <si>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</si>
  <si>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</si>
  <si>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</si>
  <si>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</si>
  <si>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</si>
  <si>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</si>
  <si>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</si>
  <si>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</si>
  <si>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</si>
  <si>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</si>
  <si>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</si>
  <si>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</si>
  <si>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</si>
  <si>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</si>
  <si>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</si>
  <si>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</si>
  <si>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</si>
  <si>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</si>
  <si>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</si>
  <si>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</si>
  <si>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</si>
  <si>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</si>
  <si>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</si>
  <si>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</si>
  <si>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</si>
  <si>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</si>
  <si>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</si>
  <si>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</si>
  <si>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</si>
  <si>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</si>
  <si>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</si>
  <si>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</si>
  <si>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</si>
  <si>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</si>
  <si>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</si>
  <si>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</si>
  <si>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</si>
  <si>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</si>
  <si>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</si>
  <si>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</si>
  <si>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</si>
  <si>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</si>
  <si>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</si>
  <si>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</si>
  <si>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</si>
  <si>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</si>
  <si>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</si>
  <si>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</si>
  <si>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</si>
  <si>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</si>
  <si>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</si>
  <si>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</si>
  <si>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</si>
  <si>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</si>
  <si>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</si>
  <si>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</si>
  <si>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</si>
  <si>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</si>
  <si>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</si>
  <si>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</si>
  <si>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</si>
  <si>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</si>
  <si>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</si>
  <si>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</si>
  <si>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</si>
  <si>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</si>
  <si>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</si>
  <si>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</si>
  <si>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</si>
  <si>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</si>
  <si>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</si>
  <si>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</si>
  <si>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</si>
  <si>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</si>
  <si>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</si>
  <si>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</si>
  <si>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</si>
  <si>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</si>
  <si>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</si>
  <si>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</si>
  <si>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</si>
  <si>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</si>
  <si>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</si>
  <si>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</si>
  <si>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</si>
  <si>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</si>
  <si>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</si>
  <si>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</si>
  <si>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</si>
  <si>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</si>
  <si>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</si>
  <si>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</si>
  <si>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</si>
  <si>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</si>
  <si>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</si>
  <si>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</si>
  <si>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</si>
  <si>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</si>
  <si>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Məmmədli</t>
  </si>
  <si>
    <t>Vəsilə</t>
  </si>
  <si>
    <t xml:space="preserve">Qalib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</si>
  <si>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</si>
  <si>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</si>
  <si>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</si>
  <si>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</si>
  <si>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</si>
  <si>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</si>
  <si>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</si>
  <si>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</si>
  <si>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</si>
  <si>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</si>
  <si>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</si>
  <si>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</si>
  <si>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</si>
  <si>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</si>
  <si>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</si>
  <si>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</si>
  <si>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</si>
  <si>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</si>
  <si>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</si>
  <si>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</si>
  <si>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Rüstəmov</t>
  </si>
  <si>
    <t>Murad</t>
  </si>
  <si>
    <t xml:space="preserve">Radiq </t>
  </si>
  <si>
    <t>Sadıqlı</t>
  </si>
  <si>
    <t>Nurlan</t>
  </si>
  <si>
    <t xml:space="preserve">Ağamalı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</si>
</sst>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08037928"/>
        <c:axId val="308033224"/>
      </c:barChart>
      <c:catAx>
        <c:axId val="308037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8033224"/>
        <c:crosses val="autoZero"/>
        <c:auto val="1"/>
        <c:lblAlgn val="ctr"/>
        <c:lblOffset val="100"/>
        <c:noMultiLvlLbl val="0"/>
      </c:catAx>
      <c:valAx>
        <c:axId val="308033224"/>
        <c:scaling>
          <c:orientation val="minMax"/>
          <c:max val="100"/>
        </c:scaling>
        <c:delete val="1"/>
        <c:axPos val="l"/>
        <c:numFmt formatCode="0" sourceLinked="1"/>
        <c:majorTickMark val="none"/>
        <c:minorTickMark val="none"/>
        <c:tickLblPos val="nextTo"/>
        <c:crossAx val="308037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8031264"/>
        <c:axId val="308032440"/>
      </c:barChart>
      <c:catAx>
        <c:axId val="30803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8032440"/>
        <c:crosses val="autoZero"/>
        <c:auto val="1"/>
        <c:lblAlgn val="ctr"/>
        <c:lblOffset val="100"/>
        <c:noMultiLvlLbl val="0"/>
      </c:catAx>
      <c:valAx>
        <c:axId val="308032440"/>
        <c:scaling>
          <c:orientation val="minMax"/>
          <c:max val="110"/>
          <c:min val="0"/>
        </c:scaling>
        <c:delete val="1"/>
        <c:axPos val="l"/>
        <c:numFmt formatCode="0.00" sourceLinked="1"/>
        <c:majorTickMark val="out"/>
        <c:minorTickMark val="none"/>
        <c:tickLblPos val="nextTo"/>
        <c:crossAx val="30803126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G14" activePane="bottomRight" state="frozen"/>
      <selection pane="topRight" activeCell="G1" sqref="G1"/>
      <selection pane="bottomLeft" activeCell="A5" sqref="A5"/>
      <selection pane="bottomRight" activeCell="Q27" sqref="Q27"/>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771</v>
      </c>
      <c r="H4" s="13">
        <v>32</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1069818</v>
      </c>
      <c r="G5" s="16">
        <f>IF(F5="","",$G$4)</f>
        <v>771</v>
      </c>
      <c r="H5" s="16">
        <f>IF(F5="","",$H$4)</f>
        <v>32</v>
      </c>
      <c r="I5" s="17"/>
      <c r="J5" s="17"/>
      <c r="K5" s="17"/>
      <c r="L5" s="17"/>
      <c r="M5" s="17"/>
      <c r="N5" s="17"/>
      <c r="O5" s="17"/>
      <c r="P5" s="18" t="str">
        <f t="shared" ref="P5:P36" si="0">IFERROR(AVERAGE(J5:O5),"")</f>
        <v/>
      </c>
      <c r="Q5" s="17"/>
      <c r="R5" s="19" t="str">
        <f t="shared" ref="R5:R36" si="1">IF(Q5="",P5,IF(P5="",Q5,P5*40/100+Q5*60/100))</f>
        <v/>
      </c>
      <c r="S5" s="17"/>
      <c r="T5" s="17"/>
      <c r="U5" s="20">
        <v>4</v>
      </c>
      <c r="V5" s="57">
        <f>IF(U5="","",((H5/2)-U5)*100/(H5/2))</f>
        <v>75</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4</v>
      </c>
      <c r="AQ5" s="26">
        <f>IF(AP5="","",(H5-AP5)*100/H5)</f>
        <v>87.5</v>
      </c>
    </row>
    <row r="6" spans="1:43" ht="18.149999999999999" customHeight="1" thickBot="1" x14ac:dyDescent="0.35">
      <c r="A6" s="49">
        <v>6</v>
      </c>
      <c r="B6" s="49" t="s">
        <v>121</v>
      </c>
      <c r="C6" s="49" t="s">
        <v>125</v>
      </c>
      <c r="D6" s="49" t="s">
        <v>126</v>
      </c>
      <c r="E6" s="50" t="s">
        <v>127</v>
      </c>
      <c r="F6" s="15">
        <v>1069818</v>
      </c>
      <c r="G6" s="1">
        <f t="shared" ref="G6:G54" si="4">IF(F6="","",$G$4)</f>
        <v>771</v>
      </c>
      <c r="H6" s="1">
        <f t="shared" ref="H6:H54" si="5">IF(F6="","",$H$4)</f>
        <v>32</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6</v>
      </c>
      <c r="B7" s="49" t="s">
        <v>121</v>
      </c>
      <c r="C7" s="49" t="s">
        <v>128</v>
      </c>
      <c r="D7" s="49" t="s">
        <v>129</v>
      </c>
      <c r="E7" s="50" t="s">
        <v>130</v>
      </c>
      <c r="F7" s="15">
        <v>1069818</v>
      </c>
      <c r="G7" s="1">
        <f t="shared" si="4"/>
        <v>771</v>
      </c>
      <c r="H7" s="1">
        <f t="shared" si="5"/>
        <v>32</v>
      </c>
      <c r="I7" s="12"/>
      <c r="J7" s="12"/>
      <c r="K7" s="12"/>
      <c r="L7" s="12"/>
      <c r="M7" s="12"/>
      <c r="N7" s="12"/>
      <c r="O7" s="12"/>
      <c r="P7" s="2" t="str">
        <f t="shared" si="0"/>
        <v/>
      </c>
      <c r="Q7" s="12"/>
      <c r="R7" s="3" t="str">
        <f t="shared" si="1"/>
        <v/>
      </c>
      <c r="S7" s="12"/>
      <c r="T7" s="12"/>
      <c r="U7" s="55">
        <v>2</v>
      </c>
      <c r="V7" s="58">
        <f t="shared" ref="V7:V54" si="14">IF(U7="","",((H7/2)-U7)*100/(H7/2))</f>
        <v>87.5</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2</v>
      </c>
      <c r="AQ7" s="28">
        <f t="shared" si="13"/>
        <v>93.75</v>
      </c>
    </row>
    <row r="8" spans="1:43" ht="18.149999999999999" customHeight="1" thickBot="1" x14ac:dyDescent="0.35">
      <c r="A8" s="49">
        <v>6</v>
      </c>
      <c r="B8" s="49" t="s">
        <v>121</v>
      </c>
      <c r="C8" s="49" t="s">
        <v>131</v>
      </c>
      <c r="D8" s="49" t="s">
        <v>132</v>
      </c>
      <c r="E8" s="50" t="s">
        <v>133</v>
      </c>
      <c r="F8" s="15">
        <v>1069818</v>
      </c>
      <c r="G8" s="1">
        <f t="shared" si="4"/>
        <v>771</v>
      </c>
      <c r="H8" s="1">
        <f t="shared" si="5"/>
        <v>32</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f t="shared" si="13"/>
        <v>100</v>
      </c>
    </row>
    <row r="9" spans="1:43" ht="18.149999999999999" customHeight="1" thickBot="1" x14ac:dyDescent="0.35">
      <c r="A9" s="49">
        <v>6</v>
      </c>
      <c r="B9" s="49" t="s">
        <v>121</v>
      </c>
      <c r="C9" s="49" t="s">
        <v>134</v>
      </c>
      <c r="D9" s="49" t="s">
        <v>135</v>
      </c>
      <c r="E9" s="50" t="s">
        <v>136</v>
      </c>
      <c r="F9" s="15">
        <v>1069818</v>
      </c>
      <c r="G9" s="1">
        <f t="shared" si="4"/>
        <v>771</v>
      </c>
      <c r="H9" s="1">
        <f t="shared" si="5"/>
        <v>32</v>
      </c>
      <c r="I9" s="12"/>
      <c r="J9" s="12"/>
      <c r="K9" s="12"/>
      <c r="L9" s="12"/>
      <c r="M9" s="12"/>
      <c r="N9" s="12"/>
      <c r="O9" s="12"/>
      <c r="P9" s="2" t="str">
        <f t="shared" si="0"/>
        <v/>
      </c>
      <c r="Q9" s="12"/>
      <c r="R9" s="3" t="str">
        <f t="shared" si="1"/>
        <v/>
      </c>
      <c r="S9" s="12"/>
      <c r="T9" s="12"/>
      <c r="U9" s="55">
        <v>3</v>
      </c>
      <c r="V9" s="58">
        <f t="shared" si="14"/>
        <v>81.25</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3</v>
      </c>
      <c r="AQ9" s="28">
        <f t="shared" si="13"/>
        <v>90.625</v>
      </c>
    </row>
    <row r="10" spans="1:43" ht="18.149999999999999" customHeight="1" thickBot="1" x14ac:dyDescent="0.35">
      <c r="A10" s="49">
        <v>6</v>
      </c>
      <c r="B10" s="49" t="s">
        <v>121</v>
      </c>
      <c r="C10" s="49" t="s">
        <v>137</v>
      </c>
      <c r="D10" s="49" t="s">
        <v>138</v>
      </c>
      <c r="E10" s="50" t="s">
        <v>139</v>
      </c>
      <c r="F10" s="15">
        <v>1069818</v>
      </c>
      <c r="G10" s="1">
        <f t="shared" si="4"/>
        <v>771</v>
      </c>
      <c r="H10" s="1">
        <f t="shared" si="5"/>
        <v>32</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149999999999999" customHeight="1" thickBot="1" x14ac:dyDescent="0.35">
      <c r="A11" s="49">
        <v>6</v>
      </c>
      <c r="B11" s="49" t="s">
        <v>121</v>
      </c>
      <c r="C11" s="49" t="s">
        <v>140</v>
      </c>
      <c r="D11" s="49" t="s">
        <v>141</v>
      </c>
      <c r="E11" s="50" t="s">
        <v>142</v>
      </c>
      <c r="F11" s="15">
        <v>1069818</v>
      </c>
      <c r="G11" s="1">
        <f t="shared" si="4"/>
        <v>771</v>
      </c>
      <c r="H11" s="1">
        <f t="shared" si="5"/>
        <v>32</v>
      </c>
      <c r="I11" s="12"/>
      <c r="J11" s="12"/>
      <c r="K11" s="12"/>
      <c r="L11" s="12"/>
      <c r="M11" s="12"/>
      <c r="N11" s="12"/>
      <c r="O11" s="12"/>
      <c r="P11" s="2" t="str">
        <f t="shared" si="0"/>
        <v/>
      </c>
      <c r="Q11" s="12"/>
      <c r="R11" s="3" t="str">
        <f t="shared" si="1"/>
        <v/>
      </c>
      <c r="S11" s="12"/>
      <c r="T11" s="12"/>
      <c r="U11" s="55">
        <v>1</v>
      </c>
      <c r="V11" s="58">
        <f t="shared" si="14"/>
        <v>93.75</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1</v>
      </c>
      <c r="AQ11" s="28">
        <f t="shared" si="13"/>
        <v>96.875</v>
      </c>
    </row>
    <row r="12" spans="1:43" ht="18.149999999999999" customHeight="1" thickBot="1" x14ac:dyDescent="0.35">
      <c r="A12" s="49">
        <v>6</v>
      </c>
      <c r="B12" s="49" t="s">
        <v>121</v>
      </c>
      <c r="C12" s="49" t="s">
        <v>143</v>
      </c>
      <c r="D12" s="49" t="s">
        <v>144</v>
      </c>
      <c r="E12" s="50" t="s">
        <v>145</v>
      </c>
      <c r="F12" s="15">
        <v>1069818</v>
      </c>
      <c r="G12" s="1">
        <f t="shared" si="4"/>
        <v>771</v>
      </c>
      <c r="H12" s="1">
        <f t="shared" si="5"/>
        <v>32</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149999999999999" customHeight="1" thickBot="1" x14ac:dyDescent="0.35">
      <c r="A13" s="49">
        <v>6</v>
      </c>
      <c r="B13" s="49" t="s">
        <v>121</v>
      </c>
      <c r="C13" s="49" t="s">
        <v>146</v>
      </c>
      <c r="D13" s="49" t="s">
        <v>147</v>
      </c>
      <c r="E13" s="50" t="s">
        <v>148</v>
      </c>
      <c r="F13" s="15">
        <v>1069818</v>
      </c>
      <c r="G13" s="1">
        <f t="shared" si="4"/>
        <v>771</v>
      </c>
      <c r="H13" s="1">
        <f t="shared" si="5"/>
        <v>32</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149999999999999" customHeight="1" x14ac:dyDescent="0.3">
      <c r="A14" s="49">
        <v>6</v>
      </c>
      <c r="B14" s="49" t="s">
        <v>121</v>
      </c>
      <c r="C14" s="49" t="s">
        <v>146</v>
      </c>
      <c r="D14" s="49" t="s">
        <v>149</v>
      </c>
      <c r="E14" s="50" t="s">
        <v>150</v>
      </c>
      <c r="F14" s="15">
        <v>1069818</v>
      </c>
      <c r="G14" s="1">
        <f t="shared" si="4"/>
        <v>771</v>
      </c>
      <c r="H14" s="1">
        <f t="shared" si="5"/>
        <v>32</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149999999999999" customHeight="1" x14ac:dyDescent="0.3">
      <c r="A15" s="49">
        <v>6</v>
      </c>
      <c r="B15" s="49" t="s">
        <v>121</v>
      </c>
      <c r="C15" s="49" t="s">
        <v>151</v>
      </c>
      <c r="D15" s="49" t="s">
        <v>152</v>
      </c>
      <c r="E15" s="50" t="s">
        <v>153</v>
      </c>
      <c r="F15" s="27">
        <v>1793159</v>
      </c>
      <c r="G15" s="1">
        <f t="shared" si="4"/>
        <v>771</v>
      </c>
      <c r="H15" s="1">
        <f t="shared" si="5"/>
        <v>32</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149999999999999" customHeight="1" x14ac:dyDescent="0.3">
      <c r="A16" s="49">
        <v>6</v>
      </c>
      <c r="B16" s="49" t="s">
        <v>121</v>
      </c>
      <c r="C16" s="49" t="s">
        <v>154</v>
      </c>
      <c r="D16" s="49" t="s">
        <v>155</v>
      </c>
      <c r="E16" s="50" t="s">
        <v>156</v>
      </c>
      <c r="F16" s="27">
        <v>1793159</v>
      </c>
      <c r="G16" s="1">
        <f t="shared" si="4"/>
        <v>771</v>
      </c>
      <c r="H16" s="1">
        <f t="shared" si="5"/>
        <v>32</v>
      </c>
      <c r="I16" s="12"/>
      <c r="J16" s="12"/>
      <c r="K16" s="12"/>
      <c r="L16" s="12"/>
      <c r="M16" s="12"/>
      <c r="N16" s="12"/>
      <c r="O16" s="12"/>
      <c r="P16" s="2" t="str">
        <f t="shared" si="0"/>
        <v/>
      </c>
      <c r="Q16" s="12"/>
      <c r="R16" s="3" t="str">
        <f t="shared" si="1"/>
        <v/>
      </c>
      <c r="S16" s="12"/>
      <c r="T16" s="12"/>
      <c r="U16" s="55">
        <v>4</v>
      </c>
      <c r="V16" s="58">
        <f t="shared" si="14"/>
        <v>75</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4</v>
      </c>
      <c r="AQ16" s="28">
        <f t="shared" si="13"/>
        <v>87.5</v>
      </c>
    </row>
    <row r="17" spans="1:43" ht="18.149999999999999" customHeight="1" x14ac:dyDescent="0.3">
      <c r="A17" s="49">
        <v>6</v>
      </c>
      <c r="B17" s="49" t="s">
        <v>121</v>
      </c>
      <c r="C17" s="49" t="s">
        <v>157</v>
      </c>
      <c r="D17" s="49" t="s">
        <v>158</v>
      </c>
      <c r="E17" s="50" t="s">
        <v>159</v>
      </c>
      <c r="F17" s="27">
        <v>1793159</v>
      </c>
      <c r="G17" s="1">
        <f t="shared" si="4"/>
        <v>771</v>
      </c>
      <c r="H17" s="1">
        <f t="shared" si="5"/>
        <v>32</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149999999999999" customHeight="1" x14ac:dyDescent="0.3">
      <c r="A18" s="49">
        <v>6</v>
      </c>
      <c r="B18" s="49" t="s">
        <v>121</v>
      </c>
      <c r="C18" s="49" t="s">
        <v>157</v>
      </c>
      <c r="D18" s="49" t="s">
        <v>160</v>
      </c>
      <c r="E18" s="50" t="s">
        <v>161</v>
      </c>
      <c r="F18" s="27">
        <v>1793159</v>
      </c>
      <c r="G18" s="1">
        <f t="shared" si="4"/>
        <v>771</v>
      </c>
      <c r="H18" s="1">
        <f t="shared" si="5"/>
        <v>32</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149999999999999" customHeight="1" x14ac:dyDescent="0.3">
      <c r="A19" s="49">
        <v>6</v>
      </c>
      <c r="B19" s="49" t="s">
        <v>121</v>
      </c>
      <c r="C19" s="49" t="s">
        <v>162</v>
      </c>
      <c r="D19" s="49" t="s">
        <v>163</v>
      </c>
      <c r="E19" s="50" t="s">
        <v>164</v>
      </c>
      <c r="F19" s="27">
        <v>1793159</v>
      </c>
      <c r="G19" s="1">
        <f t="shared" si="4"/>
        <v>771</v>
      </c>
      <c r="H19" s="1">
        <f t="shared" si="5"/>
        <v>32</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149999999999999" customHeight="1" x14ac:dyDescent="0.3">
      <c r="A20" s="49">
        <v>6</v>
      </c>
      <c r="B20" s="49" t="s">
        <v>121</v>
      </c>
      <c r="C20" s="49" t="s">
        <v>165</v>
      </c>
      <c r="D20" s="49" t="s">
        <v>166</v>
      </c>
      <c r="E20" s="50" t="s">
        <v>167</v>
      </c>
      <c r="F20" s="27">
        <v>1793159</v>
      </c>
      <c r="G20" s="1">
        <f t="shared" si="4"/>
        <v>771</v>
      </c>
      <c r="H20" s="1">
        <f t="shared" si="5"/>
        <v>32</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x14ac:dyDescent="0.3">
      <c r="A21" s="49">
        <v>6</v>
      </c>
      <c r="B21" s="49" t="s">
        <v>121</v>
      </c>
      <c r="C21" s="49" t="s">
        <v>168</v>
      </c>
      <c r="D21" s="49" t="s">
        <v>169</v>
      </c>
      <c r="E21" s="50" t="s">
        <v>170</v>
      </c>
      <c r="F21" s="27">
        <v>1793159</v>
      </c>
      <c r="G21" s="1">
        <f t="shared" si="4"/>
        <v>771</v>
      </c>
      <c r="H21" s="1">
        <f t="shared" si="5"/>
        <v>32</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149999999999999" customHeight="1" x14ac:dyDescent="0.3">
      <c r="A22" s="49">
        <v>6</v>
      </c>
      <c r="B22" s="49" t="s">
        <v>121</v>
      </c>
      <c r="C22" s="49" t="s">
        <v>171</v>
      </c>
      <c r="D22" s="49" t="s">
        <v>172</v>
      </c>
      <c r="E22" s="50" t="s">
        <v>173</v>
      </c>
      <c r="F22" s="27">
        <v>1793159</v>
      </c>
      <c r="G22" s="1">
        <f t="shared" si="4"/>
        <v>771</v>
      </c>
      <c r="H22" s="1">
        <f t="shared" si="5"/>
        <v>32</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149999999999999" customHeight="1" x14ac:dyDescent="0.3">
      <c r="A23" s="49">
        <v>6</v>
      </c>
      <c r="B23" s="49" t="s">
        <v>121</v>
      </c>
      <c r="C23" s="49" t="s">
        <v>174</v>
      </c>
      <c r="D23" s="49" t="s">
        <v>175</v>
      </c>
      <c r="E23" s="50" t="s">
        <v>176</v>
      </c>
      <c r="F23" s="27">
        <v>1793159</v>
      </c>
      <c r="G23" s="1">
        <f t="shared" si="4"/>
        <v>771</v>
      </c>
      <c r="H23" s="1">
        <f t="shared" si="5"/>
        <v>32</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149999999999999" customHeight="1" x14ac:dyDescent="0.3">
      <c r="A24" s="49">
        <v>6</v>
      </c>
      <c r="B24" s="49" t="s">
        <v>121</v>
      </c>
      <c r="C24" s="49" t="s">
        <v>177</v>
      </c>
      <c r="D24" s="49" t="s">
        <v>178</v>
      </c>
      <c r="E24" s="50" t="s">
        <v>179</v>
      </c>
      <c r="F24" s="27">
        <v>1793159</v>
      </c>
      <c r="G24" s="1">
        <f t="shared" si="4"/>
        <v>771</v>
      </c>
      <c r="H24" s="1">
        <f t="shared" si="5"/>
        <v>32</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149999999999999" customHeight="1" x14ac:dyDescent="0.3">
      <c r="A25" s="49">
        <v>6</v>
      </c>
      <c r="B25" s="49" t="s">
        <v>121</v>
      </c>
      <c r="C25" s="49" t="s">
        <v>180</v>
      </c>
      <c r="D25" s="49" t="s">
        <v>181</v>
      </c>
      <c r="E25" s="50" t="s">
        <v>182</v>
      </c>
      <c r="F25" s="27">
        <v>1793159</v>
      </c>
      <c r="G25" s="1">
        <f t="shared" si="4"/>
        <v>771</v>
      </c>
      <c r="H25" s="1">
        <f t="shared" si="5"/>
        <v>32</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771</v>
      </c>
      <c r="H55" s="22">
        <f>IF(H4="","",$H$4)</f>
        <v>32</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14</v>
      </c>
      <c r="V55" s="23">
        <f t="shared" si="17"/>
        <v>95.833333333333329</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14</v>
      </c>
      <c r="AQ55" s="23">
        <f t="shared" ref="AQ55" si="23">IFERROR(AVERAGE(AQ5:AQ54),"")</f>
        <v>97.916666666666671</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2024-02-04T09:45:13Z</dcterms:modified>
</cp:coreProperties>
</file>