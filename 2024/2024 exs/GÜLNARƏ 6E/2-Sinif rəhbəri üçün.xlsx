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9192"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I129" i="5" s="1"/>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<sst xmlns="http://schemas.openxmlformats.org/spreadsheetml/2006/main" count="1671" uniqueCount="217">
  <si>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</si>
  <si>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</si>
  <si>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</si>
  <si>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</si>
  <si>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</si>
  <si>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</si>
  <si>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</si>
  <si>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</si>
  <si>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</si>
  <si>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</si>
  <si>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</si>
  <si>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</si>
  <si>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</si>
  <si>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</si>
  <si>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</si>
  <si>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</si>
  <si>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</si>
  <si>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</si>
  <si>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</si>
  <si>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</si>
  <si>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</si>
  <si>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</si>
  <si>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</si>
  <si>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</si>
  <si>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</si>
  <si>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</si>
  <si>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</si>
  <si>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</si>
  <si>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</si>
  <si>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</si>
  <si>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</si>
  <si>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</si>
  <si>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</si>
  <si>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</si>
  <si>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</si>
  <si>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</si>
  <si>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</si>
  <si>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</si>
  <si>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</si>
  <si>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</si>
  <si>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</si>
  <si>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</si>
  <si>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</si>
  <si>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</si>
  <si>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</si>
  <si>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</si>
  <si>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</si>
  <si>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</si>
  <si>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</si>
  <si>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</si>
  <si>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</si>
  <si>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</si>
  <si>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</si>
  <si>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</si>
  <si>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</si>
  <si>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</si>
  <si>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</si>
  <si>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</si>
  <si>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</si>
  <si>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</si>
  <si>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</si>
  <si>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</si>
  <si>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</si>
  <si>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</si>
  <si>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</si>
  <si>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</si>
  <si>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</si>
  <si>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</si>
  <si>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</si>
  <si>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</si>
  <si>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</si>
  <si>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</si>
  <si>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</si>
  <si>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</si>
  <si>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</si>
  <si>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</si>
  <si>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</si>
  <si>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</si>
  <si>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</si>
  <si>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</si>
  <si>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</si>
  <si>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</si>
  <si>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</si>
  <si>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</si>
  <si>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</si>
  <si>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</si>
  <si>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</si>
  <si>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</si>
  <si>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</si>
  <si>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</si>
  <si>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</si>
  <si>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</si>
  <si>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</si>
  <si>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</si>
  <si>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</si>
  <si>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</si>
  <si>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</si>
  <si>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</si>
  <si>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</si>
  <si>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</si>
  <si>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</si>
  <si>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</si>
  <si>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</si>
  <si>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</si>
  <si>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</si>
  <si>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</si>
  <si>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</si>
  <si>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</si>
  <si>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</si>
  <si>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</si>
  <si>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</si>
  <si>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</si>
  <si>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</si>
  <si>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</si>
  <si>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</si>
  <si>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</si>
  <si>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</si>
  <si>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</si>
  <si>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</si>
  <si>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</si>
  <si>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</si>
  <si>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</si>
  <si>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</si>
  <si>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</si>
  <si>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</si>
  <si>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</si>
  <si>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</si>
  <si>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</si>
  <si>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</si>
  <si>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</si>
  <si>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</si>
  <si>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</si>
  <si>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</si>
  <si>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</si>
  <si>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</si>
  <si>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</si>
  <si>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</si>
  <si>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</si>
  <si>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</si>
  <si>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</si>
  <si>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</si>
  <si>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</si>
  <si>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</si>
  <si>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</si>
  <si>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</si>
  <si>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</si>
  <si>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</si>
  <si>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</si>
  <si>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Binəqədi</t>
  </si>
  <si>
    <t>Bakı</t>
  </si>
  <si>
    <t>Abbaszadə</t>
  </si>
  <si>
    <t>Tuncay</t>
  </si>
  <si>
    <t>Orxan oğlu</t>
  </si>
  <si>
    <t>Abıyeva</t>
  </si>
  <si>
    <t>Ayan</t>
  </si>
  <si>
    <t>Yalçın qızı</t>
  </si>
  <si>
    <t>Ağayeva</t>
  </si>
  <si>
    <t>Fəzilə</t>
  </si>
  <si>
    <t>Ramil qızı</t>
  </si>
  <si>
    <t>Nurməmmədova Sevinc Seyfəddin</t>
  </si>
  <si>
    <t>Əliyev</t>
  </si>
  <si>
    <t>Elgün</t>
  </si>
  <si>
    <t xml:space="preserve">Əfqan </t>
  </si>
  <si>
    <t>Saleh</t>
  </si>
  <si>
    <t xml:space="preserve">Elşad </t>
  </si>
  <si>
    <t>Hacıyeva</t>
  </si>
  <si>
    <t>Zeynəb</t>
  </si>
  <si>
    <t xml:space="preserve">Zamiq </t>
  </si>
  <si>
    <t>Hüseynli</t>
  </si>
  <si>
    <t>Osman</t>
  </si>
  <si>
    <t xml:space="preserve">Elvin </t>
  </si>
  <si>
    <t>Hüseynov</t>
  </si>
  <si>
    <t>Murad</t>
  </si>
  <si>
    <t>Ağahüseyn</t>
  </si>
  <si>
    <t>Hüseynova</t>
  </si>
  <si>
    <t>Sevda</t>
  </si>
  <si>
    <t xml:space="preserve">Roman </t>
  </si>
  <si>
    <t>Xanizadə</t>
  </si>
  <si>
    <t>Nuray</t>
  </si>
  <si>
    <t xml:space="preserve">Mehman </t>
  </si>
  <si>
    <t>Kərimli</t>
  </si>
  <si>
    <t>Qəmər</t>
  </si>
  <si>
    <t xml:space="preserve">Emil </t>
  </si>
  <si>
    <t>Qaflanov</t>
  </si>
  <si>
    <t>Şöhrətdin</t>
  </si>
  <si>
    <t xml:space="preserve">Faiq </t>
  </si>
  <si>
    <t>Qasımov</t>
  </si>
  <si>
    <t>Emil</t>
  </si>
  <si>
    <t>Elbrus</t>
  </si>
  <si>
    <t>Mehbalıyeva</t>
  </si>
  <si>
    <t>Zəhra</t>
  </si>
  <si>
    <t xml:space="preserve">Mehbalı </t>
  </si>
  <si>
    <t>Məhərrəmov</t>
  </si>
  <si>
    <t>Pərvin</t>
  </si>
  <si>
    <t>Pərviz</t>
  </si>
  <si>
    <t>Məhərrəmova</t>
  </si>
  <si>
    <t>Aynur</t>
  </si>
  <si>
    <t xml:space="preserve">Pərviz </t>
  </si>
  <si>
    <t>Məmmədov</t>
  </si>
  <si>
    <t>Fərid</t>
  </si>
  <si>
    <t xml:space="preserve">Alı </t>
  </si>
  <si>
    <t>Ramin</t>
  </si>
  <si>
    <t xml:space="preserve">Rahid </t>
  </si>
  <si>
    <t>Musayeva</t>
  </si>
  <si>
    <t>Turan</t>
  </si>
  <si>
    <t xml:space="preserve">Əkbər </t>
  </si>
  <si>
    <t>Mürsəlova</t>
  </si>
  <si>
    <t>Leyla</t>
  </si>
  <si>
    <t xml:space="preserve">Ruslan </t>
  </si>
  <si>
    <t>Rəhmanov</t>
  </si>
  <si>
    <t>Əli</t>
  </si>
  <si>
    <t>Saibli</t>
  </si>
  <si>
    <t>Ayşad</t>
  </si>
  <si>
    <t>Elşad</t>
  </si>
  <si>
    <t>Şəmili</t>
  </si>
  <si>
    <t>Səma</t>
  </si>
  <si>
    <t xml:space="preserve">Sadiq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</si>
</sst>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17" zoomScale="130" zoomScaleNormal="130" workbookViewId="0">
      <selection activeCell="D15" sqref="D15"/>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6" t="s">
        <v>146</v>
      </c>
      <c r="B1" s="96"/>
      <c r="C1" s="96"/>
      <c r="D1" s="96"/>
      <c r="E1" s="96"/>
    </row>
    <row r="2" spans="1:5" ht="17.399999999999999" x14ac:dyDescent="0.3">
      <c r="A2" s="97" t="s">
        <v>35</v>
      </c>
      <c r="B2" s="97"/>
      <c r="C2" s="97"/>
      <c r="D2" s="97"/>
      <c r="E2" s="97"/>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8" t="s">
        <v>145</v>
      </c>
      <c r="B19" s="98"/>
      <c r="C19" s="98"/>
      <c r="D19" s="99"/>
      <c r="E19" s="99"/>
    </row>
    <row r="20" spans="1:5" ht="19.8" x14ac:dyDescent="0.3">
      <c r="A20" s="100" t="s">
        <v>42</v>
      </c>
      <c r="B20" s="100"/>
      <c r="C20" s="100"/>
      <c r="D20" s="11"/>
    </row>
    <row r="21" spans="1:5" x14ac:dyDescent="0.3">
      <c r="A21" s="67" t="s">
        <v>44</v>
      </c>
      <c r="B21" s="92" t="s">
        <v>45</v>
      </c>
      <c r="C21" s="93"/>
      <c r="D21" s="11"/>
    </row>
    <row r="22" spans="1:5" x14ac:dyDescent="0.3">
      <c r="A22" s="67" t="s">
        <v>46</v>
      </c>
      <c r="B22" s="92" t="s">
        <v>47</v>
      </c>
      <c r="C22" s="93"/>
      <c r="D22" s="11"/>
    </row>
    <row r="23" spans="1:5" x14ac:dyDescent="0.3">
      <c r="A23" s="67" t="s">
        <v>48</v>
      </c>
      <c r="B23" s="92" t="s">
        <v>49</v>
      </c>
      <c r="C23" s="93"/>
      <c r="D23" s="11"/>
    </row>
    <row r="24" spans="1:5" x14ac:dyDescent="0.3">
      <c r="A24" s="67" t="s">
        <v>50</v>
      </c>
      <c r="B24" s="92" t="s">
        <v>51</v>
      </c>
      <c r="C24" s="93"/>
      <c r="D24" s="11"/>
    </row>
    <row r="25" spans="1:5" x14ac:dyDescent="0.3">
      <c r="A25" s="67" t="s">
        <v>52</v>
      </c>
      <c r="B25" s="92" t="s">
        <v>53</v>
      </c>
      <c r="C25" s="93"/>
      <c r="D25" s="11"/>
    </row>
    <row r="26" spans="1:5" x14ac:dyDescent="0.3">
      <c r="A26" s="67" t="s">
        <v>54</v>
      </c>
      <c r="B26" s="92" t="s">
        <v>55</v>
      </c>
      <c r="C26" s="93"/>
      <c r="D26" s="11"/>
    </row>
    <row r="27" spans="1:5" x14ac:dyDescent="0.3">
      <c r="A27" s="67">
        <v>115</v>
      </c>
      <c r="B27" s="94" t="s">
        <v>43</v>
      </c>
      <c r="C27" s="95"/>
      <c r="D27" s="11"/>
    </row>
    <row r="28" spans="1:5" x14ac:dyDescent="0.3">
      <c r="A28" s="67" t="s">
        <v>56</v>
      </c>
      <c r="B28" s="92" t="s">
        <v>57</v>
      </c>
      <c r="C28" s="93"/>
      <c r="D28" s="11"/>
    </row>
    <row r="29" spans="1:5" x14ac:dyDescent="0.3">
      <c r="A29" s="67" t="s">
        <v>58</v>
      </c>
      <c r="B29" s="92" t="s">
        <v>59</v>
      </c>
      <c r="C29" s="93"/>
      <c r="D29" s="11"/>
    </row>
    <row r="30" spans="1:5" x14ac:dyDescent="0.3">
      <c r="A30" s="67" t="s">
        <v>60</v>
      </c>
      <c r="B30" s="92" t="s">
        <v>61</v>
      </c>
      <c r="C30" s="93"/>
      <c r="D30" s="11"/>
    </row>
    <row r="31" spans="1:5" x14ac:dyDescent="0.3">
      <c r="A31" s="67" t="s">
        <v>62</v>
      </c>
      <c r="B31" s="92" t="s">
        <v>63</v>
      </c>
      <c r="C31" s="93"/>
      <c r="D31" s="11"/>
    </row>
    <row r="32" spans="1:5" x14ac:dyDescent="0.3">
      <c r="A32" s="67" t="s">
        <v>64</v>
      </c>
      <c r="B32" s="92" t="s">
        <v>65</v>
      </c>
      <c r="C32" s="93"/>
      <c r="D32" s="11"/>
    </row>
    <row r="33" spans="1:4" x14ac:dyDescent="0.3">
      <c r="A33" s="67" t="s">
        <v>66</v>
      </c>
      <c r="B33" s="92" t="s">
        <v>67</v>
      </c>
      <c r="C33" s="93"/>
      <c r="D33" s="11"/>
    </row>
    <row r="34" spans="1:4" x14ac:dyDescent="0.3">
      <c r="A34" s="67" t="s">
        <v>68</v>
      </c>
      <c r="B34" s="92" t="s">
        <v>69</v>
      </c>
      <c r="C34" s="93"/>
      <c r="D34" s="11"/>
    </row>
    <row r="35" spans="1:4" x14ac:dyDescent="0.3">
      <c r="A35" s="67" t="s">
        <v>70</v>
      </c>
      <c r="B35" s="92" t="s">
        <v>71</v>
      </c>
      <c r="C35" s="93"/>
      <c r="D35" s="11"/>
    </row>
    <row r="36" spans="1:4" x14ac:dyDescent="0.3">
      <c r="A36" s="67" t="s">
        <v>72</v>
      </c>
      <c r="B36" s="92" t="s">
        <v>73</v>
      </c>
      <c r="C36" s="93"/>
      <c r="D36" s="11"/>
    </row>
    <row r="37" spans="1:4" x14ac:dyDescent="0.3">
      <c r="A37" s="67" t="s">
        <v>74</v>
      </c>
      <c r="B37" s="92" t="s">
        <v>75</v>
      </c>
      <c r="C37" s="93"/>
      <c r="D37" s="11"/>
    </row>
    <row r="38" spans="1:4" x14ac:dyDescent="0.3">
      <c r="A38" s="67" t="s">
        <v>76</v>
      </c>
      <c r="B38" s="92" t="s">
        <v>77</v>
      </c>
      <c r="C38" s="93"/>
      <c r="D38" s="11"/>
    </row>
    <row r="39" spans="1:4" x14ac:dyDescent="0.3">
      <c r="A39" s="67" t="s">
        <v>78</v>
      </c>
      <c r="B39" s="92" t="s">
        <v>79</v>
      </c>
      <c r="C39" s="93"/>
      <c r="D39" s="11"/>
    </row>
    <row r="40" spans="1:4" x14ac:dyDescent="0.3">
      <c r="A40" s="67" t="s">
        <v>80</v>
      </c>
      <c r="B40" s="92" t="s">
        <v>81</v>
      </c>
      <c r="C40" s="93"/>
      <c r="D40" s="11"/>
    </row>
    <row r="41" spans="1:4" x14ac:dyDescent="0.3">
      <c r="A41" s="67" t="s">
        <v>82</v>
      </c>
      <c r="B41" s="92" t="s">
        <v>83</v>
      </c>
      <c r="C41" s="93"/>
      <c r="D41" s="11"/>
    </row>
    <row r="42" spans="1:4" x14ac:dyDescent="0.3">
      <c r="A42" s="67" t="s">
        <v>84</v>
      </c>
      <c r="B42" s="92" t="s">
        <v>89</v>
      </c>
      <c r="C42" s="93"/>
      <c r="D42" s="11"/>
    </row>
    <row r="43" spans="1:4" x14ac:dyDescent="0.3">
      <c r="A43" s="67" t="s">
        <v>85</v>
      </c>
      <c r="B43" s="92" t="s">
        <v>86</v>
      </c>
      <c r="C43" s="93"/>
      <c r="D43" s="11"/>
    </row>
    <row r="44" spans="1:4" x14ac:dyDescent="0.3">
      <c r="A44" s="67" t="s">
        <v>87</v>
      </c>
      <c r="B44" s="92" t="s">
        <v>88</v>
      </c>
      <c r="C44" s="93"/>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0" zoomScaleNormal="80" workbookViewId="0">
      <pane xSplit="10" ySplit="9" topLeftCell="K10" activePane="bottomRight" state="frozen"/>
      <selection pane="topRight" activeCell="H1" sqref="H1"/>
      <selection pane="bottomLeft" activeCell="A5" sqref="A5"/>
      <selection pane="bottomRight" activeCell="P32" sqref="P32"/>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 hidden="1" customHeight="1" x14ac:dyDescent="0.3">
      <c r="A2" s="74" t="str">
        <f>IF(A9="","",A9)</f>
        <v>2022-2023</v>
      </c>
      <c r="B2" s="74" t="str">
        <f>IF(B9="","",B9)</f>
        <v>Bakı</v>
      </c>
      <c r="C2" s="74" t="str">
        <f>IF(C9="","",C9)</f>
        <v>Binəqədi</v>
      </c>
      <c r="D2" s="74">
        <f>IF(D9="","",D9)</f>
        <v>99</v>
      </c>
      <c r="E2" s="74" t="s">
        <v>9</v>
      </c>
      <c r="F2" s="74"/>
      <c r="G2" s="74"/>
      <c r="H2" s="74" t="str">
        <f>IF(F9="","",F9&amp;G9)</f>
        <v>4A</v>
      </c>
      <c r="I2" s="74" t="str">
        <f>IF(K9="R","Rus",IF(K9="A","Azərbaycan",""))</f>
        <v>Azərbaycan</v>
      </c>
      <c r="J2" s="74"/>
      <c r="K2" s="74" t="str">
        <f>IF(K9="","",K9)</f>
        <v>A</v>
      </c>
      <c r="L2" s="74">
        <f>SUM(L4,L6)</f>
        <v>23</v>
      </c>
      <c r="M2" s="74"/>
      <c r="N2" s="74"/>
      <c r="O2" s="74"/>
      <c r="P2" s="74" t="str">
        <f>IF(P9="","",P9)</f>
        <v>Nurməmmədova Sevinc Seyfəddin</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f t="shared" si="0"/>
        <v>71.954545454545453</v>
      </c>
      <c r="AI2" s="75">
        <f t="shared" si="0"/>
        <v>77.5</v>
      </c>
      <c r="AJ2" s="75">
        <f t="shared" si="0"/>
        <v>68.333333333333329</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f t="shared" ref="FQ2:GX2" si="4">IFERROR(AVERAGE(FQ10:FQ59),"")</f>
        <v>62.590909090909093</v>
      </c>
      <c r="FR2" s="74">
        <f t="shared" si="4"/>
        <v>57.18181818181818</v>
      </c>
      <c r="FS2" s="74">
        <f t="shared" si="4"/>
        <v>68.63636363636364</v>
      </c>
      <c r="FT2" s="74">
        <f t="shared" si="4"/>
        <v>72.409090909090907</v>
      </c>
      <c r="FU2" s="74" t="str">
        <f t="shared" si="4"/>
        <v/>
      </c>
      <c r="FV2" s="74" t="str">
        <f t="shared" si="4"/>
        <v/>
      </c>
      <c r="FW2" s="74" t="str">
        <f t="shared" si="4"/>
        <v/>
      </c>
      <c r="FX2" s="74">
        <f t="shared" si="4"/>
        <v>79.13636363636364</v>
      </c>
      <c r="FY2" s="74" t="str">
        <f t="shared" si="4"/>
        <v/>
      </c>
      <c r="FZ2" s="74" t="str">
        <f t="shared" si="4"/>
        <v/>
      </c>
      <c r="GA2" s="74" t="str">
        <f t="shared" si="4"/>
        <v/>
      </c>
      <c r="GB2" s="74">
        <f>IFERROR(SUM(GB10:GB59),"")</f>
        <v>67</v>
      </c>
      <c r="GC2" s="74" t="str">
        <f t="shared" si="4"/>
        <v/>
      </c>
      <c r="GD2" s="74">
        <f t="shared" si="4"/>
        <v>76.714285714285708</v>
      </c>
      <c r="GE2" s="74">
        <f t="shared" si="4"/>
        <v>76.36363636363636</v>
      </c>
      <c r="GF2" s="74">
        <f t="shared" si="4"/>
        <v>72.045454545454547</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f t="shared" si="25"/>
        <v>0.31818181818181818</v>
      </c>
      <c r="AI3" s="81">
        <f t="shared" si="25"/>
        <v>0.59090909090909094</v>
      </c>
      <c r="AJ3" s="81">
        <f t="shared" si="25"/>
        <v>0.33333333333333331</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f t="shared" si="38"/>
        <v>0.18181818181818182</v>
      </c>
      <c r="FR3" s="81">
        <f t="shared" si="38"/>
        <v>9.0909090909090912E-2</v>
      </c>
      <c r="FS3" s="81">
        <f t="shared" si="38"/>
        <v>0.45454545454545453</v>
      </c>
      <c r="FT3" s="81">
        <f t="shared" si="38"/>
        <v>0.54545454545454541</v>
      </c>
      <c r="FU3" s="81" t="str">
        <f t="shared" si="38"/>
        <v/>
      </c>
      <c r="FV3" s="81" t="str">
        <f t="shared" si="38"/>
        <v/>
      </c>
      <c r="FW3" s="81" t="str">
        <f t="shared" si="38"/>
        <v/>
      </c>
      <c r="FX3" s="81">
        <f t="shared" si="38"/>
        <v>0.45454545454545453</v>
      </c>
      <c r="FY3" s="81" t="str">
        <f t="shared" si="38"/>
        <v/>
      </c>
      <c r="FZ3" s="81" t="str">
        <f t="shared" si="38"/>
        <v/>
      </c>
      <c r="GA3" s="81" t="str">
        <f t="shared" si="38"/>
        <v/>
      </c>
      <c r="GB3" s="81"/>
      <c r="GC3" s="81"/>
      <c r="GD3" s="81">
        <f t="shared" ref="GD3:GN3" si="39">IFERROR(COUNTIFS(GD10:GD900000,"&gt;80",GD10:GD900000,"&lt;=100")/COUNTIF(GD10:GD900000,"&gt;=0"),"")</f>
        <v>0.47619047619047616</v>
      </c>
      <c r="GE3" s="81">
        <f t="shared" si="39"/>
        <v>0.54545454545454541</v>
      </c>
      <c r="GF3" s="81">
        <f t="shared" si="39"/>
        <v>0.45454545454545453</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11</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f t="shared" si="118"/>
        <v>0.5</v>
      </c>
      <c r="AI4" s="81">
        <f t="shared" si="118"/>
        <v>0.13636363636363635</v>
      </c>
      <c r="AJ4" s="81">
        <f t="shared" si="118"/>
        <v>0.38095238095238093</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f t="shared" ref="FQ4:GA4" si="131">IFERROR(COUNTIFS(FQ10:FQ900000,"&gt;60",FQ10:FQ900000,"&lt;=80")/COUNTIF(FQ10:FQ900000,"&gt;=0"),"")</f>
        <v>0.40909090909090912</v>
      </c>
      <c r="FR4" s="81">
        <f t="shared" si="131"/>
        <v>0.36363636363636365</v>
      </c>
      <c r="FS4" s="81">
        <f t="shared" si="131"/>
        <v>0.22727272727272727</v>
      </c>
      <c r="FT4" s="81">
        <f t="shared" si="131"/>
        <v>0.18181818181818182</v>
      </c>
      <c r="FU4" s="81" t="str">
        <f t="shared" si="131"/>
        <v/>
      </c>
      <c r="FV4" s="81" t="str">
        <f t="shared" si="131"/>
        <v/>
      </c>
      <c r="FW4" s="81" t="str">
        <f t="shared" si="131"/>
        <v/>
      </c>
      <c r="FX4" s="81">
        <f t="shared" si="131"/>
        <v>0.31818181818181818</v>
      </c>
      <c r="FY4" s="81" t="str">
        <f t="shared" si="131"/>
        <v/>
      </c>
      <c r="FZ4" s="81" t="str">
        <f t="shared" si="131"/>
        <v/>
      </c>
      <c r="GA4" s="81" t="str">
        <f t="shared" si="131"/>
        <v/>
      </c>
      <c r="GB4" s="81"/>
      <c r="GC4" s="81"/>
      <c r="GD4" s="81">
        <f t="shared" ref="GD4:GN4" si="132">IFERROR(COUNTIFS(GD10:GD900000,"&gt;60",GD10:GD900000,"&lt;=80")/COUNTIF(GD10:GD900000,"&gt;=0"),"")</f>
        <v>0.38095238095238093</v>
      </c>
      <c r="GE4" s="81">
        <f t="shared" si="132"/>
        <v>0.18181818181818182</v>
      </c>
      <c r="GF4" s="81">
        <f t="shared" si="132"/>
        <v>0.27272727272727271</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f t="shared" si="211"/>
        <v>0.18181818181818182</v>
      </c>
      <c r="AI5" s="81">
        <f t="shared" si="211"/>
        <v>0.27272727272727271</v>
      </c>
      <c r="AJ5" s="81">
        <f t="shared" si="211"/>
        <v>0.2857142857142857</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f t="shared" ref="FQ5:GA5" si="224">IFERROR(COUNTIFS(FQ10:FQ900000,"&gt;30",FQ10:FQ900000,"&lt;=60")/COUNTIF(FQ10:FQ900000,"&gt;=0"),"")</f>
        <v>0.40909090909090912</v>
      </c>
      <c r="FR5" s="81">
        <f t="shared" si="224"/>
        <v>0.54545454545454541</v>
      </c>
      <c r="FS5" s="81">
        <f t="shared" si="224"/>
        <v>0.27272727272727271</v>
      </c>
      <c r="FT5" s="81">
        <f t="shared" si="224"/>
        <v>0.27272727272727271</v>
      </c>
      <c r="FU5" s="81" t="str">
        <f t="shared" si="224"/>
        <v/>
      </c>
      <c r="FV5" s="81" t="str">
        <f t="shared" si="224"/>
        <v/>
      </c>
      <c r="FW5" s="81" t="str">
        <f t="shared" si="224"/>
        <v/>
      </c>
      <c r="FX5" s="81">
        <f t="shared" si="224"/>
        <v>0.22727272727272727</v>
      </c>
      <c r="FY5" s="81" t="str">
        <f t="shared" si="224"/>
        <v/>
      </c>
      <c r="FZ5" s="81" t="str">
        <f t="shared" si="224"/>
        <v/>
      </c>
      <c r="GA5" s="81" t="str">
        <f t="shared" si="224"/>
        <v/>
      </c>
      <c r="GB5" s="81"/>
      <c r="GC5" s="81"/>
      <c r="GD5" s="81">
        <f t="shared" ref="GD5:GN5" si="225">IFERROR(COUNTIFS(GD10:GD900000,"&gt;30",GD10:GD900000,"&lt;=60")/COUNTIF(GD10:GD900000,"&gt;=0"),"")</f>
        <v>0.14285714285714285</v>
      </c>
      <c r="GE5" s="81">
        <f t="shared" si="225"/>
        <v>0.27272727272727271</v>
      </c>
      <c r="GF5" s="81">
        <f t="shared" si="225"/>
        <v>0.27272727272727271</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12</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f t="shared" si="304"/>
        <v>0</v>
      </c>
      <c r="AI6" s="81">
        <f t="shared" si="304"/>
        <v>0</v>
      </c>
      <c r="AJ6" s="81">
        <f t="shared" si="304"/>
        <v>0</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f t="shared" ref="FQ6:GA6" si="317">IFERROR(COUNTIFS(FQ10:FQ900000,"&gt;=0",FQ10:FQ900000,"&lt;=30")/COUNTIF(FQ10:FQ900000,"&gt;=0"),"")</f>
        <v>0</v>
      </c>
      <c r="FR6" s="81">
        <f t="shared" si="317"/>
        <v>0</v>
      </c>
      <c r="FS6" s="81">
        <f t="shared" si="317"/>
        <v>4.5454545454545456E-2</v>
      </c>
      <c r="FT6" s="81">
        <f t="shared" si="317"/>
        <v>0</v>
      </c>
      <c r="FU6" s="81" t="str">
        <f t="shared" si="317"/>
        <v/>
      </c>
      <c r="FV6" s="81" t="str">
        <f t="shared" si="317"/>
        <v/>
      </c>
      <c r="FW6" s="81" t="str">
        <f t="shared" si="317"/>
        <v/>
      </c>
      <c r="FX6" s="81">
        <f t="shared" si="317"/>
        <v>0</v>
      </c>
      <c r="FY6" s="81" t="str">
        <f t="shared" si="317"/>
        <v/>
      </c>
      <c r="FZ6" s="81" t="str">
        <f t="shared" si="317"/>
        <v/>
      </c>
      <c r="GA6" s="81" t="str">
        <f t="shared" si="317"/>
        <v/>
      </c>
      <c r="GB6" s="81"/>
      <c r="GC6" s="81"/>
      <c r="GD6" s="81">
        <f t="shared" ref="GD6:GN6" si="318">IFERROR(COUNTIFS(GD10:GD900000,"&gt;=0",GD10:GD900000,"&lt;=30")/COUNTIF(GD10:GD900000,"&gt;=0"),"")</f>
        <v>0</v>
      </c>
      <c r="GE6" s="81">
        <f t="shared" si="318"/>
        <v>0</v>
      </c>
      <c r="GF6" s="81">
        <f t="shared" si="318"/>
        <v>0</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x14ac:dyDescent="0.3">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x14ac:dyDescent="0.35">
      <c r="A9" s="44" t="s">
        <v>147</v>
      </c>
      <c r="B9" s="45" t="s">
        <v>149</v>
      </c>
      <c r="C9" s="44" t="s">
        <v>148</v>
      </c>
      <c r="D9" s="44">
        <v>99</v>
      </c>
      <c r="E9" s="114"/>
      <c r="F9" s="46">
        <v>4</v>
      </c>
      <c r="G9" s="46" t="s">
        <v>98</v>
      </c>
      <c r="H9" s="84" t="s">
        <v>2</v>
      </c>
      <c r="I9" s="84" t="s">
        <v>3</v>
      </c>
      <c r="J9" s="84" t="s">
        <v>1</v>
      </c>
      <c r="K9" s="46" t="s">
        <v>98</v>
      </c>
      <c r="L9" s="114"/>
      <c r="M9" s="114"/>
      <c r="N9" s="114"/>
      <c r="O9" s="114"/>
      <c r="P9" s="47" t="s">
        <v>159</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x14ac:dyDescent="0.3">
      <c r="A10" s="88" t="str">
        <f>IF(H10="","",$A$9)</f>
        <v>2022-2023</v>
      </c>
      <c r="B10" s="88" t="str">
        <f>IF(H10="","",$B$9)</f>
        <v>Bakı</v>
      </c>
      <c r="C10" s="88" t="str">
        <f>IF(H10="","",$C$9)</f>
        <v>Binəqədi</v>
      </c>
      <c r="D10" s="88">
        <f>IF(H10="","",$D$9)</f>
        <v>99</v>
      </c>
      <c r="E10" s="40">
        <v>3572511</v>
      </c>
      <c r="F10" s="88">
        <f>IF(H10="","",$F$9)</f>
        <v>4</v>
      </c>
      <c r="G10" s="88" t="str">
        <f>IF(H10="","",$G$9)</f>
        <v>A</v>
      </c>
      <c r="H10" s="36" t="s">
        <v>150</v>
      </c>
      <c r="I10" s="37" t="s">
        <v>151</v>
      </c>
      <c r="J10" s="41" t="s">
        <v>152</v>
      </c>
      <c r="K10" s="89" t="str">
        <f>IF(H10="","",$K$9)</f>
        <v>A</v>
      </c>
      <c r="L10" s="40" t="s">
        <v>119</v>
      </c>
      <c r="M10" s="91">
        <v>41116</v>
      </c>
      <c r="N10" s="40"/>
      <c r="O10" s="42">
        <v>708130848</v>
      </c>
      <c r="P10" s="90" t="str">
        <f>IF(H10="","",$P$9)</f>
        <v>Nurməmmədova Sevinc Seyfəddin</v>
      </c>
      <c r="Q10" s="48">
        <v>1072783</v>
      </c>
      <c r="R10" s="38">
        <v>101</v>
      </c>
      <c r="S10" s="38"/>
      <c r="T10" s="34"/>
      <c r="U10" s="34"/>
      <c r="V10" s="34"/>
      <c r="W10" s="34"/>
      <c r="X10" s="34"/>
      <c r="Y10" s="34"/>
      <c r="Z10" s="34"/>
      <c r="AA10" s="49"/>
      <c r="AB10" s="34"/>
      <c r="AC10" s="50"/>
      <c r="AD10" s="34"/>
      <c r="AE10" s="34"/>
      <c r="AF10" s="35"/>
      <c r="AG10" s="49"/>
      <c r="AH10" s="34">
        <v>85</v>
      </c>
      <c r="AI10" s="34">
        <v>86</v>
      </c>
      <c r="AJ10" s="34">
        <v>61</v>
      </c>
      <c r="AK10" s="34"/>
      <c r="AL10" s="34"/>
      <c r="AM10" s="34"/>
      <c r="AN10" s="49"/>
      <c r="AO10" s="34"/>
      <c r="AP10" s="50"/>
      <c r="AQ10" s="34"/>
      <c r="AR10" s="34"/>
      <c r="AS10" s="35"/>
      <c r="AT10" s="49"/>
      <c r="AU10" s="49"/>
      <c r="AV10" s="49"/>
      <c r="AW10" s="50"/>
      <c r="AX10" s="51"/>
      <c r="AY10" s="49"/>
      <c r="AZ10" s="34"/>
      <c r="BA10" s="52"/>
      <c r="BB10" s="53"/>
      <c r="BC10" s="48">
        <v>102</v>
      </c>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v>1072783</v>
      </c>
      <c r="FN10" s="38">
        <v>110</v>
      </c>
      <c r="FO10" s="38"/>
      <c r="FP10" s="34"/>
      <c r="FQ10" s="34">
        <v>61</v>
      </c>
      <c r="FR10" s="34">
        <v>40</v>
      </c>
      <c r="FS10" s="34">
        <v>38</v>
      </c>
      <c r="FT10" s="34">
        <v>81</v>
      </c>
      <c r="FU10" s="34"/>
      <c r="FV10" s="34"/>
      <c r="FW10" s="49"/>
      <c r="FX10" s="34">
        <v>80</v>
      </c>
      <c r="FY10" s="50"/>
      <c r="FZ10" s="34"/>
      <c r="GA10" s="34"/>
      <c r="GB10" s="35"/>
      <c r="GC10" s="49"/>
      <c r="GD10" s="34">
        <v>77</v>
      </c>
      <c r="GE10" s="34">
        <v>95</v>
      </c>
      <c r="GF10" s="34">
        <v>80</v>
      </c>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2022-2023</v>
      </c>
      <c r="B11" s="88" t="str">
        <f t="shared" ref="B11:B59" si="398">IF(H11="","",$B$9)</f>
        <v>Bakı</v>
      </c>
      <c r="C11" s="88" t="str">
        <f t="shared" ref="C11:C59" si="399">IF(H11="","",$C$9)</f>
        <v>Binəqədi</v>
      </c>
      <c r="D11" s="88">
        <f t="shared" ref="D11:D59" si="400">IF(H11="","",$D$9)</f>
        <v>99</v>
      </c>
      <c r="E11" s="40">
        <v>3265566</v>
      </c>
      <c r="F11" s="88">
        <f t="shared" ref="F11:F59" si="401">IF(H11="","",$F$9)</f>
        <v>4</v>
      </c>
      <c r="G11" s="88" t="str">
        <f t="shared" ref="G11:G59" si="402">IF(H11="","",$G$9)</f>
        <v>A</v>
      </c>
      <c r="H11" s="36" t="s">
        <v>153</v>
      </c>
      <c r="I11" s="37" t="s">
        <v>154</v>
      </c>
      <c r="J11" s="41" t="s">
        <v>155</v>
      </c>
      <c r="K11" s="89" t="str">
        <f t="shared" ref="K11:K59" si="403">IF(H11="","",$K$9)</f>
        <v>A</v>
      </c>
      <c r="L11" s="41" t="s">
        <v>117</v>
      </c>
      <c r="M11" s="91">
        <v>41488</v>
      </c>
      <c r="N11" s="41"/>
      <c r="O11" s="43">
        <v>507499741</v>
      </c>
      <c r="P11" s="90" t="str">
        <f t="shared" ref="P11:P59" si="404">IF(H11="","",$P$9)</f>
        <v>Nurməmmədova Sevinc Seyfəddin</v>
      </c>
      <c r="Q11" s="48">
        <v>1072783</v>
      </c>
      <c r="R11" s="38">
        <v>101</v>
      </c>
      <c r="S11" s="39"/>
      <c r="T11" s="1"/>
      <c r="U11" s="1"/>
      <c r="V11" s="1"/>
      <c r="W11" s="1"/>
      <c r="X11" s="1"/>
      <c r="Y11" s="1"/>
      <c r="Z11" s="1"/>
      <c r="AA11" s="54"/>
      <c r="AB11" s="1"/>
      <c r="AC11" s="55"/>
      <c r="AD11" s="1"/>
      <c r="AE11" s="1"/>
      <c r="AF11" s="2"/>
      <c r="AG11" s="54"/>
      <c r="AH11" s="1">
        <v>86</v>
      </c>
      <c r="AI11" s="1">
        <v>100</v>
      </c>
      <c r="AJ11" s="1">
        <v>88</v>
      </c>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8">
        <v>1072783</v>
      </c>
      <c r="FN11" s="38">
        <v>110</v>
      </c>
      <c r="FO11" s="39"/>
      <c r="FP11" s="1"/>
      <c r="FQ11" s="1">
        <v>96</v>
      </c>
      <c r="FR11" s="1">
        <v>70</v>
      </c>
      <c r="FS11" s="1">
        <v>87</v>
      </c>
      <c r="FT11" s="1">
        <v>100</v>
      </c>
      <c r="FU11" s="1"/>
      <c r="FV11" s="1"/>
      <c r="FW11" s="54"/>
      <c r="FX11" s="1">
        <v>100</v>
      </c>
      <c r="FY11" s="55"/>
      <c r="FZ11" s="1"/>
      <c r="GA11" s="1"/>
      <c r="GB11" s="2"/>
      <c r="GC11" s="54"/>
      <c r="GD11" s="1">
        <v>100</v>
      </c>
      <c r="GE11" s="1">
        <v>100</v>
      </c>
      <c r="GF11" s="1">
        <v>95</v>
      </c>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2022-2023</v>
      </c>
      <c r="B12" s="88" t="str">
        <f t="shared" si="398"/>
        <v>Bakı</v>
      </c>
      <c r="C12" s="88" t="str">
        <f t="shared" si="399"/>
        <v>Binəqədi</v>
      </c>
      <c r="D12" s="88">
        <f t="shared" si="400"/>
        <v>99</v>
      </c>
      <c r="E12" s="40">
        <v>3274257</v>
      </c>
      <c r="F12" s="88">
        <f t="shared" si="401"/>
        <v>4</v>
      </c>
      <c r="G12" s="88" t="str">
        <f t="shared" si="402"/>
        <v>A</v>
      </c>
      <c r="H12" s="37" t="s">
        <v>156</v>
      </c>
      <c r="I12" s="37" t="s">
        <v>157</v>
      </c>
      <c r="J12" s="41" t="s">
        <v>158</v>
      </c>
      <c r="K12" s="89" t="str">
        <f t="shared" si="403"/>
        <v>A</v>
      </c>
      <c r="L12" s="41" t="s">
        <v>117</v>
      </c>
      <c r="M12" s="91">
        <v>41418</v>
      </c>
      <c r="N12" s="41"/>
      <c r="O12" s="43">
        <v>554438972</v>
      </c>
      <c r="P12" s="90" t="str">
        <f t="shared" si="404"/>
        <v>Nurməmmədova Sevinc Seyfəddin</v>
      </c>
      <c r="Q12" s="48">
        <v>1072783</v>
      </c>
      <c r="R12" s="38">
        <v>101</v>
      </c>
      <c r="S12" s="39"/>
      <c r="T12" s="1"/>
      <c r="U12" s="1"/>
      <c r="V12" s="1"/>
      <c r="W12" s="1"/>
      <c r="X12" s="1"/>
      <c r="Y12" s="1"/>
      <c r="Z12" s="1"/>
      <c r="AA12" s="54"/>
      <c r="AB12" s="1"/>
      <c r="AC12" s="55"/>
      <c r="AD12" s="1"/>
      <c r="AE12" s="1"/>
      <c r="AF12" s="2"/>
      <c r="AG12" s="54"/>
      <c r="AH12" s="1">
        <v>57</v>
      </c>
      <c r="AI12" s="1">
        <v>60</v>
      </c>
      <c r="AJ12" s="1">
        <v>40</v>
      </c>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8">
        <v>1072783</v>
      </c>
      <c r="FN12" s="38">
        <v>110</v>
      </c>
      <c r="FO12" s="39"/>
      <c r="FP12" s="1"/>
      <c r="FQ12" s="1">
        <v>34</v>
      </c>
      <c r="FR12" s="1">
        <v>40</v>
      </c>
      <c r="FS12" s="1">
        <v>38</v>
      </c>
      <c r="FT12" s="1">
        <v>58</v>
      </c>
      <c r="FU12" s="1"/>
      <c r="FV12" s="1"/>
      <c r="FW12" s="54"/>
      <c r="FX12" s="1">
        <v>57</v>
      </c>
      <c r="FY12" s="55"/>
      <c r="FZ12" s="1"/>
      <c r="GA12" s="1"/>
      <c r="GB12" s="2"/>
      <c r="GC12" s="54"/>
      <c r="GD12" s="1">
        <v>66</v>
      </c>
      <c r="GE12" s="1">
        <v>55</v>
      </c>
      <c r="GF12" s="1">
        <v>35</v>
      </c>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2022-2023</v>
      </c>
      <c r="B13" s="88" t="str">
        <f t="shared" si="398"/>
        <v>Bakı</v>
      </c>
      <c r="C13" s="88" t="str">
        <f t="shared" si="399"/>
        <v>Binəqədi</v>
      </c>
      <c r="D13" s="88">
        <f t="shared" si="400"/>
        <v>99</v>
      </c>
      <c r="E13" s="40">
        <v>3500337</v>
      </c>
      <c r="F13" s="88">
        <f t="shared" si="401"/>
        <v>4</v>
      </c>
      <c r="G13" s="88" t="str">
        <f t="shared" si="402"/>
        <v>A</v>
      </c>
      <c r="H13" s="37" t="s">
        <v>160</v>
      </c>
      <c r="I13" s="37" t="s">
        <v>161</v>
      </c>
      <c r="J13" s="41" t="s">
        <v>162</v>
      </c>
      <c r="K13" s="89" t="str">
        <f t="shared" si="403"/>
        <v>A</v>
      </c>
      <c r="L13" s="41" t="s">
        <v>119</v>
      </c>
      <c r="M13" s="91">
        <v>41329</v>
      </c>
      <c r="N13" s="41"/>
      <c r="O13" s="43">
        <v>517617282</v>
      </c>
      <c r="P13" s="90" t="str">
        <f t="shared" si="404"/>
        <v>Nurməmmədova Sevinc Seyfəddin</v>
      </c>
      <c r="Q13" s="48">
        <v>1072783</v>
      </c>
      <c r="R13" s="38">
        <v>101</v>
      </c>
      <c r="S13" s="39"/>
      <c r="T13" s="1"/>
      <c r="U13" s="1"/>
      <c r="V13" s="1"/>
      <c r="W13" s="1"/>
      <c r="X13" s="1"/>
      <c r="Y13" s="1"/>
      <c r="Z13" s="1"/>
      <c r="AA13" s="54"/>
      <c r="AB13" s="1"/>
      <c r="AC13" s="55"/>
      <c r="AD13" s="1"/>
      <c r="AE13" s="1"/>
      <c r="AF13" s="2"/>
      <c r="AG13" s="54"/>
      <c r="AH13" s="1">
        <v>87</v>
      </c>
      <c r="AI13" s="1">
        <v>100</v>
      </c>
      <c r="AJ13" s="1">
        <v>90</v>
      </c>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8">
        <v>1072783</v>
      </c>
      <c r="FN13" s="38">
        <v>110</v>
      </c>
      <c r="FO13" s="39"/>
      <c r="FP13" s="1"/>
      <c r="FQ13" s="1">
        <v>80</v>
      </c>
      <c r="FR13" s="1">
        <v>85</v>
      </c>
      <c r="FS13" s="1">
        <v>81</v>
      </c>
      <c r="FT13" s="1">
        <v>85</v>
      </c>
      <c r="FU13" s="1"/>
      <c r="FV13" s="1"/>
      <c r="FW13" s="54"/>
      <c r="FX13" s="1">
        <v>80</v>
      </c>
      <c r="FY13" s="55"/>
      <c r="FZ13" s="1"/>
      <c r="GA13" s="1"/>
      <c r="GB13" s="2"/>
      <c r="GC13" s="54"/>
      <c r="GD13" s="1">
        <v>100</v>
      </c>
      <c r="GE13" s="1">
        <v>90</v>
      </c>
      <c r="GF13" s="1">
        <v>98</v>
      </c>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2022-2023</v>
      </c>
      <c r="B14" s="88" t="str">
        <f t="shared" si="398"/>
        <v>Bakı</v>
      </c>
      <c r="C14" s="88" t="str">
        <f t="shared" si="399"/>
        <v>Binəqədi</v>
      </c>
      <c r="D14" s="88">
        <f t="shared" si="400"/>
        <v>99</v>
      </c>
      <c r="E14" s="40">
        <v>3502067</v>
      </c>
      <c r="F14" s="88">
        <f t="shared" si="401"/>
        <v>4</v>
      </c>
      <c r="G14" s="88" t="str">
        <f t="shared" si="402"/>
        <v>A</v>
      </c>
      <c r="H14" s="37" t="s">
        <v>160</v>
      </c>
      <c r="I14" s="37" t="s">
        <v>163</v>
      </c>
      <c r="J14" s="41" t="s">
        <v>164</v>
      </c>
      <c r="K14" s="89" t="str">
        <f t="shared" si="403"/>
        <v>A</v>
      </c>
      <c r="L14" s="41" t="s">
        <v>119</v>
      </c>
      <c r="M14" s="91">
        <v>41613</v>
      </c>
      <c r="N14" s="41"/>
      <c r="O14" s="43">
        <v>552860648</v>
      </c>
      <c r="P14" s="90" t="str">
        <f t="shared" si="404"/>
        <v>Nurməmmədova Sevinc Seyfəddin</v>
      </c>
      <c r="Q14" s="48">
        <v>1072783</v>
      </c>
      <c r="R14" s="38">
        <v>101</v>
      </c>
      <c r="S14" s="39"/>
      <c r="T14" s="1"/>
      <c r="U14" s="1"/>
      <c r="V14" s="1"/>
      <c r="W14" s="1"/>
      <c r="X14" s="1"/>
      <c r="Y14" s="1"/>
      <c r="Z14" s="1"/>
      <c r="AA14" s="54"/>
      <c r="AB14" s="1"/>
      <c r="AC14" s="55"/>
      <c r="AD14" s="1"/>
      <c r="AE14" s="1"/>
      <c r="AF14" s="2"/>
      <c r="AG14" s="54"/>
      <c r="AH14" s="1">
        <v>45</v>
      </c>
      <c r="AI14" s="1">
        <v>56</v>
      </c>
      <c r="AJ14" s="1">
        <v>52</v>
      </c>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8">
        <v>1072783</v>
      </c>
      <c r="FN14" s="38">
        <v>110</v>
      </c>
      <c r="FO14" s="39"/>
      <c r="FP14" s="1"/>
      <c r="FQ14" s="1">
        <v>62</v>
      </c>
      <c r="FR14" s="1">
        <v>38</v>
      </c>
      <c r="FS14" s="1">
        <v>70</v>
      </c>
      <c r="FT14" s="1">
        <v>82</v>
      </c>
      <c r="FU14" s="1"/>
      <c r="FV14" s="1"/>
      <c r="FW14" s="54"/>
      <c r="FX14" s="1">
        <v>80</v>
      </c>
      <c r="FY14" s="55"/>
      <c r="FZ14" s="1"/>
      <c r="GA14" s="1"/>
      <c r="GB14" s="2">
        <v>9</v>
      </c>
      <c r="GC14" s="54"/>
      <c r="GD14" s="1">
        <v>63</v>
      </c>
      <c r="GE14" s="1">
        <v>50</v>
      </c>
      <c r="GF14" s="1">
        <v>40</v>
      </c>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2022-2023</v>
      </c>
      <c r="B15" s="88" t="str">
        <f t="shared" si="398"/>
        <v>Bakı</v>
      </c>
      <c r="C15" s="88" t="str">
        <f t="shared" si="399"/>
        <v>Binəqədi</v>
      </c>
      <c r="D15" s="88">
        <f t="shared" si="400"/>
        <v>99</v>
      </c>
      <c r="E15" s="40">
        <v>3500269</v>
      </c>
      <c r="F15" s="88">
        <f t="shared" si="401"/>
        <v>4</v>
      </c>
      <c r="G15" s="88" t="str">
        <f t="shared" si="402"/>
        <v>A</v>
      </c>
      <c r="H15" s="37" t="s">
        <v>165</v>
      </c>
      <c r="I15" s="37" t="s">
        <v>166</v>
      </c>
      <c r="J15" s="41" t="s">
        <v>167</v>
      </c>
      <c r="K15" s="89" t="str">
        <f t="shared" si="403"/>
        <v>A</v>
      </c>
      <c r="L15" s="41" t="s">
        <v>117</v>
      </c>
      <c r="M15" s="91">
        <v>41619</v>
      </c>
      <c r="N15" s="41"/>
      <c r="O15" s="43">
        <v>504780937</v>
      </c>
      <c r="P15" s="90" t="str">
        <f t="shared" si="404"/>
        <v>Nurməmmədova Sevinc Seyfəddin</v>
      </c>
      <c r="Q15" s="48">
        <v>1072783</v>
      </c>
      <c r="R15" s="38">
        <v>101</v>
      </c>
      <c r="S15" s="39"/>
      <c r="T15" s="1"/>
      <c r="U15" s="1"/>
      <c r="V15" s="1"/>
      <c r="W15" s="1"/>
      <c r="X15" s="1"/>
      <c r="Y15" s="1"/>
      <c r="Z15" s="1"/>
      <c r="AA15" s="54"/>
      <c r="AB15" s="1"/>
      <c r="AC15" s="55"/>
      <c r="AD15" s="1"/>
      <c r="AE15" s="1"/>
      <c r="AF15" s="2"/>
      <c r="AG15" s="54"/>
      <c r="AH15" s="1">
        <v>71</v>
      </c>
      <c r="AI15" s="1">
        <v>72</v>
      </c>
      <c r="AJ15" s="1">
        <v>55</v>
      </c>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8">
        <v>1072783</v>
      </c>
      <c r="FN15" s="38">
        <v>110</v>
      </c>
      <c r="FO15" s="39"/>
      <c r="FP15" s="1"/>
      <c r="FQ15" s="1">
        <v>54</v>
      </c>
      <c r="FR15" s="1">
        <v>44</v>
      </c>
      <c r="FS15" s="1">
        <v>91</v>
      </c>
      <c r="FT15" s="1">
        <v>56</v>
      </c>
      <c r="FU15" s="1"/>
      <c r="FV15" s="1"/>
      <c r="FW15" s="54"/>
      <c r="FX15" s="1">
        <v>70</v>
      </c>
      <c r="FY15" s="55"/>
      <c r="FZ15" s="1"/>
      <c r="GA15" s="1"/>
      <c r="GB15" s="2"/>
      <c r="GC15" s="54"/>
      <c r="GD15" s="1">
        <v>63</v>
      </c>
      <c r="GE15" s="1">
        <v>75</v>
      </c>
      <c r="GF15" s="1">
        <v>75</v>
      </c>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2022-2023</v>
      </c>
      <c r="B16" s="88" t="str">
        <f t="shared" si="398"/>
        <v>Bakı</v>
      </c>
      <c r="C16" s="88" t="str">
        <f t="shared" si="399"/>
        <v>Binəqədi</v>
      </c>
      <c r="D16" s="88">
        <f t="shared" si="400"/>
        <v>99</v>
      </c>
      <c r="E16" s="40">
        <v>3502526</v>
      </c>
      <c r="F16" s="88">
        <f t="shared" si="401"/>
        <v>4</v>
      </c>
      <c r="G16" s="88" t="str">
        <f t="shared" si="402"/>
        <v>A</v>
      </c>
      <c r="H16" s="37" t="s">
        <v>168</v>
      </c>
      <c r="I16" s="37" t="s">
        <v>169</v>
      </c>
      <c r="J16" s="41" t="s">
        <v>170</v>
      </c>
      <c r="K16" s="89" t="str">
        <f t="shared" si="403"/>
        <v>A</v>
      </c>
      <c r="L16" s="41" t="s">
        <v>119</v>
      </c>
      <c r="M16" s="91">
        <v>41007</v>
      </c>
      <c r="N16" s="41"/>
      <c r="O16" s="43">
        <v>773073562</v>
      </c>
      <c r="P16" s="90" t="str">
        <f t="shared" si="404"/>
        <v>Nurməmmədova Sevinc Seyfəddin</v>
      </c>
      <c r="Q16" s="48">
        <v>1072783</v>
      </c>
      <c r="R16" s="38">
        <v>101</v>
      </c>
      <c r="S16" s="39"/>
      <c r="T16" s="1"/>
      <c r="U16" s="1"/>
      <c r="V16" s="1"/>
      <c r="W16" s="1"/>
      <c r="X16" s="1"/>
      <c r="Y16" s="1"/>
      <c r="Z16" s="1"/>
      <c r="AA16" s="54"/>
      <c r="AB16" s="1"/>
      <c r="AC16" s="55"/>
      <c r="AD16" s="1"/>
      <c r="AE16" s="1"/>
      <c r="AF16" s="2"/>
      <c r="AG16" s="54"/>
      <c r="AH16" s="1">
        <v>61</v>
      </c>
      <c r="AI16" s="1">
        <v>51</v>
      </c>
      <c r="AJ16" s="1">
        <v>38</v>
      </c>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8">
        <v>1072783</v>
      </c>
      <c r="FN16" s="38">
        <v>110</v>
      </c>
      <c r="FO16" s="39"/>
      <c r="FP16" s="1"/>
      <c r="FQ16" s="1">
        <v>50</v>
      </c>
      <c r="FR16" s="1">
        <v>40</v>
      </c>
      <c r="FS16" s="1">
        <v>82</v>
      </c>
      <c r="FT16" s="1">
        <v>62</v>
      </c>
      <c r="FU16" s="1"/>
      <c r="FV16" s="1"/>
      <c r="FW16" s="54"/>
      <c r="FX16" s="1">
        <v>38</v>
      </c>
      <c r="FY16" s="55"/>
      <c r="FZ16" s="1"/>
      <c r="GA16" s="1"/>
      <c r="GB16" s="2">
        <v>19</v>
      </c>
      <c r="GC16" s="54"/>
      <c r="GD16" s="1">
        <v>58</v>
      </c>
      <c r="GE16" s="1">
        <v>40</v>
      </c>
      <c r="GF16" s="1">
        <v>35</v>
      </c>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2022-2023</v>
      </c>
      <c r="B17" s="88" t="str">
        <f t="shared" si="398"/>
        <v>Bakı</v>
      </c>
      <c r="C17" s="88" t="str">
        <f t="shared" si="399"/>
        <v>Binəqədi</v>
      </c>
      <c r="D17" s="88">
        <f t="shared" si="400"/>
        <v>99</v>
      </c>
      <c r="E17" s="40">
        <v>3504276</v>
      </c>
      <c r="F17" s="88">
        <f t="shared" si="401"/>
        <v>4</v>
      </c>
      <c r="G17" s="88" t="str">
        <f t="shared" si="402"/>
        <v>A</v>
      </c>
      <c r="H17" s="37" t="s">
        <v>171</v>
      </c>
      <c r="I17" s="37" t="s">
        <v>172</v>
      </c>
      <c r="J17" s="41" t="s">
        <v>173</v>
      </c>
      <c r="K17" s="89" t="str">
        <f t="shared" si="403"/>
        <v>A</v>
      </c>
      <c r="L17" s="41" t="s">
        <v>119</v>
      </c>
      <c r="M17" s="91">
        <v>41172</v>
      </c>
      <c r="N17" s="41"/>
      <c r="O17" s="43">
        <v>507170900</v>
      </c>
      <c r="P17" s="90" t="str">
        <f t="shared" si="404"/>
        <v>Nurməmmədova Sevinc Seyfəddin</v>
      </c>
      <c r="Q17" s="48">
        <v>1072783</v>
      </c>
      <c r="R17" s="38">
        <v>101</v>
      </c>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8">
        <v>1072783</v>
      </c>
      <c r="FN17" s="38">
        <v>110</v>
      </c>
      <c r="FO17" s="39"/>
      <c r="FP17" s="1"/>
      <c r="FQ17" s="1">
        <v>34</v>
      </c>
      <c r="FR17" s="1">
        <v>34</v>
      </c>
      <c r="FS17" s="1">
        <v>40</v>
      </c>
      <c r="FT17" s="1">
        <v>43</v>
      </c>
      <c r="FU17" s="1"/>
      <c r="FV17" s="1"/>
      <c r="FW17" s="54"/>
      <c r="FX17" s="1">
        <v>65</v>
      </c>
      <c r="FY17" s="55"/>
      <c r="FZ17" s="1"/>
      <c r="GA17" s="1"/>
      <c r="GB17" s="2">
        <v>28</v>
      </c>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2022-2023</v>
      </c>
      <c r="B18" s="88" t="str">
        <f t="shared" si="398"/>
        <v>Bakı</v>
      </c>
      <c r="C18" s="88" t="str">
        <f t="shared" si="399"/>
        <v>Binəqədi</v>
      </c>
      <c r="D18" s="88">
        <f t="shared" si="400"/>
        <v>99</v>
      </c>
      <c r="E18" s="40">
        <v>3502981</v>
      </c>
      <c r="F18" s="88">
        <f t="shared" si="401"/>
        <v>4</v>
      </c>
      <c r="G18" s="88" t="str">
        <f t="shared" si="402"/>
        <v>A</v>
      </c>
      <c r="H18" s="37" t="s">
        <v>174</v>
      </c>
      <c r="I18" s="37" t="s">
        <v>175</v>
      </c>
      <c r="J18" s="41" t="s">
        <v>176</v>
      </c>
      <c r="K18" s="89" t="str">
        <f t="shared" si="403"/>
        <v>A</v>
      </c>
      <c r="L18" s="41" t="s">
        <v>117</v>
      </c>
      <c r="M18" s="91">
        <v>41413</v>
      </c>
      <c r="N18" s="41"/>
      <c r="O18" s="43">
        <v>553142734</v>
      </c>
      <c r="P18" s="90" t="str">
        <f t="shared" si="404"/>
        <v>Nurməmmədova Sevinc Seyfəddin</v>
      </c>
      <c r="Q18" s="48">
        <v>1072783</v>
      </c>
      <c r="R18" s="38">
        <v>101</v>
      </c>
      <c r="S18" s="39"/>
      <c r="T18" s="1"/>
      <c r="U18" s="1"/>
      <c r="V18" s="1"/>
      <c r="W18" s="1"/>
      <c r="X18" s="1"/>
      <c r="Y18" s="1"/>
      <c r="Z18" s="1"/>
      <c r="AA18" s="54"/>
      <c r="AB18" s="1"/>
      <c r="AC18" s="55"/>
      <c r="AD18" s="1"/>
      <c r="AE18" s="1"/>
      <c r="AF18" s="2"/>
      <c r="AG18" s="54"/>
      <c r="AH18" s="1">
        <v>82</v>
      </c>
      <c r="AI18" s="1">
        <v>92</v>
      </c>
      <c r="AJ18" s="1">
        <v>90</v>
      </c>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8">
        <v>1072783</v>
      </c>
      <c r="FN18" s="38">
        <v>110</v>
      </c>
      <c r="FO18" s="39"/>
      <c r="FP18" s="1"/>
      <c r="FQ18" s="1">
        <v>93</v>
      </c>
      <c r="FR18" s="1">
        <v>85</v>
      </c>
      <c r="FS18" s="1">
        <v>67</v>
      </c>
      <c r="FT18" s="1">
        <v>85</v>
      </c>
      <c r="FU18" s="1"/>
      <c r="FV18" s="1"/>
      <c r="FW18" s="54"/>
      <c r="FX18" s="1">
        <v>100</v>
      </c>
      <c r="FY18" s="55"/>
      <c r="FZ18" s="1"/>
      <c r="GA18" s="1"/>
      <c r="GB18" s="2">
        <v>2</v>
      </c>
      <c r="GC18" s="54"/>
      <c r="GD18" s="1">
        <v>100</v>
      </c>
      <c r="GE18" s="1">
        <v>95</v>
      </c>
      <c r="GF18" s="1">
        <v>85</v>
      </c>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2022-2023</v>
      </c>
      <c r="B19" s="88" t="str">
        <f t="shared" si="398"/>
        <v>Bakı</v>
      </c>
      <c r="C19" s="88" t="str">
        <f t="shared" si="399"/>
        <v>Binəqədi</v>
      </c>
      <c r="D19" s="88">
        <f t="shared" si="400"/>
        <v>99</v>
      </c>
      <c r="E19" s="40">
        <v>3643790</v>
      </c>
      <c r="F19" s="88">
        <f t="shared" si="401"/>
        <v>4</v>
      </c>
      <c r="G19" s="88" t="str">
        <f t="shared" si="402"/>
        <v>A</v>
      </c>
      <c r="H19" s="37" t="s">
        <v>177</v>
      </c>
      <c r="I19" s="37" t="s">
        <v>178</v>
      </c>
      <c r="J19" s="41" t="s">
        <v>179</v>
      </c>
      <c r="K19" s="89" t="str">
        <f t="shared" si="403"/>
        <v>A</v>
      </c>
      <c r="L19" s="41" t="s">
        <v>117</v>
      </c>
      <c r="M19" s="91">
        <v>41498</v>
      </c>
      <c r="N19" s="41"/>
      <c r="O19" s="43">
        <v>506222054</v>
      </c>
      <c r="P19" s="90" t="str">
        <f t="shared" si="404"/>
        <v>Nurməmmədova Sevinc Seyfəddin</v>
      </c>
      <c r="Q19" s="48">
        <v>1072783</v>
      </c>
      <c r="R19" s="38">
        <v>101</v>
      </c>
      <c r="S19" s="39"/>
      <c r="T19" s="1"/>
      <c r="U19" s="1"/>
      <c r="V19" s="1"/>
      <c r="W19" s="1"/>
      <c r="X19" s="1"/>
      <c r="Y19" s="1"/>
      <c r="Z19" s="1"/>
      <c r="AA19" s="54"/>
      <c r="AB19" s="1"/>
      <c r="AC19" s="55"/>
      <c r="AD19" s="1"/>
      <c r="AE19" s="1"/>
      <c r="AF19" s="2"/>
      <c r="AG19" s="54"/>
      <c r="AH19" s="1">
        <v>73</v>
      </c>
      <c r="AI19" s="1">
        <v>85</v>
      </c>
      <c r="AJ19" s="1">
        <v>72</v>
      </c>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8">
        <v>1072783</v>
      </c>
      <c r="FN19" s="38">
        <v>110</v>
      </c>
      <c r="FO19" s="39"/>
      <c r="FP19" s="1"/>
      <c r="FQ19" s="1">
        <v>65</v>
      </c>
      <c r="FR19" s="1">
        <v>70</v>
      </c>
      <c r="FS19" s="1">
        <v>75</v>
      </c>
      <c r="FT19" s="1">
        <v>85</v>
      </c>
      <c r="FU19" s="1"/>
      <c r="FV19" s="1"/>
      <c r="FW19" s="54"/>
      <c r="FX19" s="1">
        <v>100</v>
      </c>
      <c r="FY19" s="55"/>
      <c r="FZ19" s="1"/>
      <c r="GA19" s="1"/>
      <c r="GB19" s="2"/>
      <c r="GC19" s="54"/>
      <c r="GD19" s="1">
        <v>92</v>
      </c>
      <c r="GE19" s="1">
        <v>95</v>
      </c>
      <c r="GF19" s="1">
        <v>100</v>
      </c>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2022-2023</v>
      </c>
      <c r="B20" s="88" t="str">
        <f t="shared" si="398"/>
        <v>Bakı</v>
      </c>
      <c r="C20" s="88" t="str">
        <f t="shared" si="399"/>
        <v>Binəqədi</v>
      </c>
      <c r="D20" s="88">
        <f t="shared" si="400"/>
        <v>99</v>
      </c>
      <c r="E20" s="40">
        <v>3351011</v>
      </c>
      <c r="F20" s="88">
        <f t="shared" si="401"/>
        <v>4</v>
      </c>
      <c r="G20" s="88" t="str">
        <f t="shared" si="402"/>
        <v>A</v>
      </c>
      <c r="H20" s="37" t="s">
        <v>180</v>
      </c>
      <c r="I20" s="37" t="s">
        <v>181</v>
      </c>
      <c r="J20" s="41" t="s">
        <v>182</v>
      </c>
      <c r="K20" s="89" t="str">
        <f t="shared" si="403"/>
        <v>A</v>
      </c>
      <c r="L20" s="41" t="s">
        <v>117</v>
      </c>
      <c r="M20" s="91">
        <v>41538</v>
      </c>
      <c r="N20" s="41"/>
      <c r="O20" s="43">
        <v>773031550</v>
      </c>
      <c r="P20" s="90" t="str">
        <f t="shared" si="404"/>
        <v>Nurməmmədova Sevinc Seyfəddin</v>
      </c>
      <c r="Q20" s="48">
        <v>1072783</v>
      </c>
      <c r="R20" s="38">
        <v>101</v>
      </c>
      <c r="S20" s="39"/>
      <c r="T20" s="1"/>
      <c r="U20" s="1"/>
      <c r="V20" s="1"/>
      <c r="W20" s="1"/>
      <c r="X20" s="1"/>
      <c r="Y20" s="1"/>
      <c r="Z20" s="1"/>
      <c r="AA20" s="54"/>
      <c r="AB20" s="1"/>
      <c r="AC20" s="55"/>
      <c r="AD20" s="1"/>
      <c r="AE20" s="1"/>
      <c r="AF20" s="2"/>
      <c r="AG20" s="54"/>
      <c r="AH20" s="1">
        <v>62</v>
      </c>
      <c r="AI20" s="1">
        <v>85</v>
      </c>
      <c r="AJ20" s="1">
        <v>81</v>
      </c>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8">
        <v>1072783</v>
      </c>
      <c r="FN20" s="38">
        <v>110</v>
      </c>
      <c r="FO20" s="39"/>
      <c r="FP20" s="1"/>
      <c r="FQ20" s="1">
        <v>58</v>
      </c>
      <c r="FR20" s="1">
        <v>70</v>
      </c>
      <c r="FS20" s="1">
        <v>87</v>
      </c>
      <c r="FT20" s="1">
        <v>80</v>
      </c>
      <c r="FU20" s="1"/>
      <c r="FV20" s="1"/>
      <c r="FW20" s="54"/>
      <c r="FX20" s="1">
        <v>100</v>
      </c>
      <c r="FY20" s="55"/>
      <c r="FZ20" s="1"/>
      <c r="GA20" s="1"/>
      <c r="GB20" s="2"/>
      <c r="GC20" s="54"/>
      <c r="GD20" s="1">
        <v>66</v>
      </c>
      <c r="GE20" s="1">
        <v>65</v>
      </c>
      <c r="GF20" s="1">
        <v>65</v>
      </c>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2022-2023</v>
      </c>
      <c r="B21" s="88" t="str">
        <f t="shared" si="398"/>
        <v>Bakı</v>
      </c>
      <c r="C21" s="88" t="str">
        <f t="shared" si="399"/>
        <v>Binəqədi</v>
      </c>
      <c r="D21" s="88">
        <f t="shared" si="400"/>
        <v>99</v>
      </c>
      <c r="E21" s="40">
        <v>3508843</v>
      </c>
      <c r="F21" s="88">
        <f t="shared" si="401"/>
        <v>4</v>
      </c>
      <c r="G21" s="88" t="str">
        <f t="shared" si="402"/>
        <v>A</v>
      </c>
      <c r="H21" s="37" t="s">
        <v>183</v>
      </c>
      <c r="I21" s="37" t="s">
        <v>184</v>
      </c>
      <c r="J21" s="41" t="s">
        <v>185</v>
      </c>
      <c r="K21" s="89" t="str">
        <f t="shared" si="403"/>
        <v>A</v>
      </c>
      <c r="L21" s="41" t="s">
        <v>119</v>
      </c>
      <c r="M21" s="91">
        <v>41228</v>
      </c>
      <c r="N21" s="41"/>
      <c r="O21" s="43">
        <v>504557361</v>
      </c>
      <c r="P21" s="90" t="str">
        <f t="shared" si="404"/>
        <v>Nurməmmədova Sevinc Seyfəddin</v>
      </c>
      <c r="Q21" s="48">
        <v>1072783</v>
      </c>
      <c r="R21" s="38">
        <v>101</v>
      </c>
      <c r="S21" s="39"/>
      <c r="T21" s="1"/>
      <c r="U21" s="1"/>
      <c r="V21" s="1"/>
      <c r="W21" s="1"/>
      <c r="X21" s="1"/>
      <c r="Y21" s="1"/>
      <c r="Z21" s="1"/>
      <c r="AA21" s="54"/>
      <c r="AB21" s="1"/>
      <c r="AC21" s="55"/>
      <c r="AD21" s="1"/>
      <c r="AE21" s="1"/>
      <c r="AF21" s="2"/>
      <c r="AG21" s="54"/>
      <c r="AH21" s="1">
        <v>93</v>
      </c>
      <c r="AI21" s="1">
        <v>100</v>
      </c>
      <c r="AJ21" s="1">
        <v>80</v>
      </c>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8">
        <v>1072783</v>
      </c>
      <c r="FN21" s="38">
        <v>110</v>
      </c>
      <c r="FO21" s="39"/>
      <c r="FP21" s="1"/>
      <c r="FQ21" s="1">
        <v>80</v>
      </c>
      <c r="FR21" s="1">
        <v>78</v>
      </c>
      <c r="FS21" s="1">
        <v>91</v>
      </c>
      <c r="FT21" s="1">
        <v>85</v>
      </c>
      <c r="FU21" s="1"/>
      <c r="FV21" s="1"/>
      <c r="FW21" s="54"/>
      <c r="FX21" s="1">
        <v>100</v>
      </c>
      <c r="FY21" s="55"/>
      <c r="FZ21" s="1"/>
      <c r="GA21" s="1"/>
      <c r="GB21" s="2"/>
      <c r="GC21" s="54"/>
      <c r="GD21" s="1">
        <v>100</v>
      </c>
      <c r="GE21" s="1">
        <v>95</v>
      </c>
      <c r="GF21" s="1">
        <v>98</v>
      </c>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2022-2023</v>
      </c>
      <c r="B22" s="88" t="str">
        <f t="shared" si="398"/>
        <v>Bakı</v>
      </c>
      <c r="C22" s="88" t="str">
        <f t="shared" si="399"/>
        <v>Binəqədi</v>
      </c>
      <c r="D22" s="88">
        <f t="shared" si="400"/>
        <v>99</v>
      </c>
      <c r="E22" s="40">
        <v>3502593</v>
      </c>
      <c r="F22" s="88">
        <f t="shared" si="401"/>
        <v>4</v>
      </c>
      <c r="G22" s="88" t="str">
        <f t="shared" si="402"/>
        <v>A</v>
      </c>
      <c r="H22" s="37" t="s">
        <v>186</v>
      </c>
      <c r="I22" s="37" t="s">
        <v>187</v>
      </c>
      <c r="J22" s="41" t="s">
        <v>188</v>
      </c>
      <c r="K22" s="89" t="str">
        <f t="shared" si="403"/>
        <v>A</v>
      </c>
      <c r="L22" s="41" t="s">
        <v>119</v>
      </c>
      <c r="M22" s="91">
        <v>41455</v>
      </c>
      <c r="N22" s="41"/>
      <c r="O22" s="43">
        <v>704904133</v>
      </c>
      <c r="P22" s="90" t="str">
        <f t="shared" si="404"/>
        <v>Nurməmmədova Sevinc Seyfəddin</v>
      </c>
      <c r="Q22" s="48">
        <v>1072783</v>
      </c>
      <c r="R22" s="38">
        <v>101</v>
      </c>
      <c r="S22" s="39"/>
      <c r="T22" s="1"/>
      <c r="U22" s="1"/>
      <c r="V22" s="1"/>
      <c r="W22" s="1"/>
      <c r="X22" s="1"/>
      <c r="Y22" s="1"/>
      <c r="Z22" s="1"/>
      <c r="AA22" s="54"/>
      <c r="AB22" s="1"/>
      <c r="AC22" s="55"/>
      <c r="AD22" s="1"/>
      <c r="AE22" s="1"/>
      <c r="AF22" s="2"/>
      <c r="AG22" s="54"/>
      <c r="AH22" s="1">
        <v>46</v>
      </c>
      <c r="AI22" s="1">
        <v>36</v>
      </c>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8">
        <v>1072783</v>
      </c>
      <c r="FN22" s="38">
        <v>110</v>
      </c>
      <c r="FO22" s="39"/>
      <c r="FP22" s="1"/>
      <c r="FQ22" s="1">
        <v>34</v>
      </c>
      <c r="FR22" s="1">
        <v>35</v>
      </c>
      <c r="FS22" s="1">
        <v>32</v>
      </c>
      <c r="FT22" s="1">
        <v>38</v>
      </c>
      <c r="FU22" s="1"/>
      <c r="FV22" s="1"/>
      <c r="FW22" s="54"/>
      <c r="FX22" s="1">
        <v>50</v>
      </c>
      <c r="FY22" s="55"/>
      <c r="FZ22" s="1"/>
      <c r="GA22" s="1"/>
      <c r="GB22" s="2">
        <v>3</v>
      </c>
      <c r="GC22" s="54"/>
      <c r="GD22" s="1">
        <v>34</v>
      </c>
      <c r="GE22" s="1">
        <v>35</v>
      </c>
      <c r="GF22" s="1">
        <v>32</v>
      </c>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2022-2023</v>
      </c>
      <c r="B23" s="88" t="str">
        <f t="shared" si="398"/>
        <v>Bakı</v>
      </c>
      <c r="C23" s="88" t="str">
        <f t="shared" si="399"/>
        <v>Binəqədi</v>
      </c>
      <c r="D23" s="88">
        <f t="shared" si="400"/>
        <v>99</v>
      </c>
      <c r="E23" s="40">
        <v>3500407</v>
      </c>
      <c r="F23" s="88">
        <f t="shared" si="401"/>
        <v>4</v>
      </c>
      <c r="G23" s="88" t="str">
        <f t="shared" si="402"/>
        <v>A</v>
      </c>
      <c r="H23" s="37" t="s">
        <v>189</v>
      </c>
      <c r="I23" s="37" t="s">
        <v>190</v>
      </c>
      <c r="J23" s="41" t="s">
        <v>191</v>
      </c>
      <c r="K23" s="89" t="str">
        <f t="shared" si="403"/>
        <v>A</v>
      </c>
      <c r="L23" s="41" t="s">
        <v>117</v>
      </c>
      <c r="M23" s="91">
        <v>41492</v>
      </c>
      <c r="N23" s="41"/>
      <c r="O23" s="43">
        <v>557547480</v>
      </c>
      <c r="P23" s="90" t="str">
        <f t="shared" si="404"/>
        <v>Nurməmmədova Sevinc Seyfəddin</v>
      </c>
      <c r="Q23" s="48">
        <v>1072783</v>
      </c>
      <c r="R23" s="38">
        <v>101</v>
      </c>
      <c r="S23" s="39"/>
      <c r="T23" s="1"/>
      <c r="U23" s="1"/>
      <c r="V23" s="1"/>
      <c r="W23" s="1"/>
      <c r="X23" s="1"/>
      <c r="Y23" s="1"/>
      <c r="Z23" s="1"/>
      <c r="AA23" s="54"/>
      <c r="AB23" s="1"/>
      <c r="AC23" s="55"/>
      <c r="AD23" s="1"/>
      <c r="AE23" s="1"/>
      <c r="AF23" s="2"/>
      <c r="AG23" s="54"/>
      <c r="AH23" s="1">
        <v>65</v>
      </c>
      <c r="AI23" s="1">
        <v>85</v>
      </c>
      <c r="AJ23" s="1">
        <v>90</v>
      </c>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8">
        <v>1072783</v>
      </c>
      <c r="FN23" s="38">
        <v>110</v>
      </c>
      <c r="FO23" s="39"/>
      <c r="FP23" s="1"/>
      <c r="FQ23" s="1">
        <v>70</v>
      </c>
      <c r="FR23" s="1">
        <v>75</v>
      </c>
      <c r="FS23" s="1">
        <v>77</v>
      </c>
      <c r="FT23" s="1">
        <v>85</v>
      </c>
      <c r="FU23" s="1"/>
      <c r="FV23" s="1"/>
      <c r="FW23" s="54"/>
      <c r="FX23" s="1">
        <v>100</v>
      </c>
      <c r="FY23" s="55"/>
      <c r="FZ23" s="1"/>
      <c r="GA23" s="1"/>
      <c r="GB23" s="2">
        <v>5</v>
      </c>
      <c r="GC23" s="54"/>
      <c r="GD23" s="1">
        <v>89</v>
      </c>
      <c r="GE23" s="1">
        <v>95</v>
      </c>
      <c r="GF23" s="1">
        <v>95</v>
      </c>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2022-2023</v>
      </c>
      <c r="B24" s="88" t="str">
        <f t="shared" si="398"/>
        <v>Bakı</v>
      </c>
      <c r="C24" s="88" t="str">
        <f t="shared" si="399"/>
        <v>Binəqədi</v>
      </c>
      <c r="D24" s="88">
        <f t="shared" si="400"/>
        <v>99</v>
      </c>
      <c r="E24" s="40">
        <v>3502932</v>
      </c>
      <c r="F24" s="88">
        <f t="shared" si="401"/>
        <v>4</v>
      </c>
      <c r="G24" s="88" t="str">
        <f t="shared" si="402"/>
        <v>A</v>
      </c>
      <c r="H24" s="37" t="s">
        <v>192</v>
      </c>
      <c r="I24" s="37" t="s">
        <v>193</v>
      </c>
      <c r="J24" s="41" t="s">
        <v>194</v>
      </c>
      <c r="K24" s="89" t="str">
        <f t="shared" si="403"/>
        <v>A</v>
      </c>
      <c r="L24" s="41" t="s">
        <v>119</v>
      </c>
      <c r="M24" s="91">
        <v>41108</v>
      </c>
      <c r="N24" s="41"/>
      <c r="O24" s="43">
        <v>777269202</v>
      </c>
      <c r="P24" s="90" t="str">
        <f t="shared" si="404"/>
        <v>Nurməmmədova Sevinc Seyfəddin</v>
      </c>
      <c r="Q24" s="48">
        <v>1072783</v>
      </c>
      <c r="R24" s="38">
        <v>101</v>
      </c>
      <c r="S24" s="39"/>
      <c r="T24" s="1"/>
      <c r="U24" s="1"/>
      <c r="V24" s="1"/>
      <c r="W24" s="1"/>
      <c r="X24" s="1"/>
      <c r="Y24" s="1"/>
      <c r="Z24" s="1"/>
      <c r="AA24" s="54"/>
      <c r="AB24" s="1"/>
      <c r="AC24" s="55"/>
      <c r="AD24" s="1"/>
      <c r="AE24" s="1"/>
      <c r="AF24" s="2"/>
      <c r="AG24" s="54"/>
      <c r="AH24" s="1">
        <v>68</v>
      </c>
      <c r="AI24" s="1">
        <v>62</v>
      </c>
      <c r="AJ24" s="1">
        <v>61</v>
      </c>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8">
        <v>1072783</v>
      </c>
      <c r="FN24" s="38">
        <v>110</v>
      </c>
      <c r="FO24" s="39"/>
      <c r="FP24" s="1"/>
      <c r="FQ24" s="1">
        <v>65</v>
      </c>
      <c r="FR24" s="1">
        <v>47</v>
      </c>
      <c r="FS24" s="1">
        <v>74</v>
      </c>
      <c r="FT24" s="1">
        <v>85</v>
      </c>
      <c r="FU24" s="1"/>
      <c r="FV24" s="1"/>
      <c r="FW24" s="54"/>
      <c r="FX24" s="1">
        <v>58</v>
      </c>
      <c r="FY24" s="55"/>
      <c r="FZ24" s="1"/>
      <c r="GA24" s="1"/>
      <c r="GB24" s="2"/>
      <c r="GC24" s="54"/>
      <c r="GD24" s="1">
        <v>61</v>
      </c>
      <c r="GE24" s="1">
        <v>75</v>
      </c>
      <c r="GF24" s="1">
        <v>65</v>
      </c>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2022-2023</v>
      </c>
      <c r="B25" s="88" t="str">
        <f t="shared" si="398"/>
        <v>Bakı</v>
      </c>
      <c r="C25" s="88" t="str">
        <f t="shared" si="399"/>
        <v>Binəqədi</v>
      </c>
      <c r="D25" s="88">
        <f t="shared" si="400"/>
        <v>99</v>
      </c>
      <c r="E25" s="40">
        <v>3502875</v>
      </c>
      <c r="F25" s="88">
        <f t="shared" si="401"/>
        <v>4</v>
      </c>
      <c r="G25" s="88" t="str">
        <f t="shared" si="402"/>
        <v>A</v>
      </c>
      <c r="H25" s="37" t="s">
        <v>195</v>
      </c>
      <c r="I25" s="37" t="s">
        <v>196</v>
      </c>
      <c r="J25" s="41" t="s">
        <v>197</v>
      </c>
      <c r="K25" s="89" t="str">
        <f t="shared" si="403"/>
        <v>A</v>
      </c>
      <c r="L25" s="41" t="s">
        <v>117</v>
      </c>
      <c r="M25" s="91">
        <v>41547</v>
      </c>
      <c r="N25" s="41"/>
      <c r="O25" s="43">
        <v>777269202</v>
      </c>
      <c r="P25" s="90" t="str">
        <f t="shared" si="404"/>
        <v>Nurməmmədova Sevinc Seyfəddin</v>
      </c>
      <c r="Q25" s="48">
        <v>1072783</v>
      </c>
      <c r="R25" s="38">
        <v>101</v>
      </c>
      <c r="S25" s="39"/>
      <c r="T25" s="1"/>
      <c r="U25" s="1"/>
      <c r="V25" s="1"/>
      <c r="W25" s="1"/>
      <c r="X25" s="1"/>
      <c r="Y25" s="1"/>
      <c r="Z25" s="1"/>
      <c r="AA25" s="54"/>
      <c r="AB25" s="1"/>
      <c r="AC25" s="55"/>
      <c r="AD25" s="1"/>
      <c r="AE25" s="1"/>
      <c r="AF25" s="2"/>
      <c r="AG25" s="54"/>
      <c r="AH25" s="1">
        <v>68</v>
      </c>
      <c r="AI25" s="1">
        <v>77</v>
      </c>
      <c r="AJ25" s="1">
        <v>61</v>
      </c>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8">
        <v>1072783</v>
      </c>
      <c r="FN25" s="38">
        <v>110</v>
      </c>
      <c r="FO25" s="39"/>
      <c r="FP25" s="1"/>
      <c r="FQ25" s="1">
        <v>57</v>
      </c>
      <c r="FR25" s="1">
        <v>60</v>
      </c>
      <c r="FS25" s="1">
        <v>48</v>
      </c>
      <c r="FT25" s="1">
        <v>85</v>
      </c>
      <c r="FU25" s="1"/>
      <c r="FV25" s="1"/>
      <c r="FW25" s="54"/>
      <c r="FX25" s="1">
        <v>88</v>
      </c>
      <c r="FY25" s="55"/>
      <c r="FZ25" s="1"/>
      <c r="GA25" s="1"/>
      <c r="GB25" s="2"/>
      <c r="GC25" s="54"/>
      <c r="GD25" s="1">
        <v>81</v>
      </c>
      <c r="GE25" s="1">
        <v>90</v>
      </c>
      <c r="GF25" s="1">
        <v>63</v>
      </c>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2022-2023</v>
      </c>
      <c r="B26" s="88" t="str">
        <f t="shared" si="398"/>
        <v>Bakı</v>
      </c>
      <c r="C26" s="88" t="str">
        <f t="shared" si="399"/>
        <v>Binəqədi</v>
      </c>
      <c r="D26" s="88">
        <f t="shared" si="400"/>
        <v>99</v>
      </c>
      <c r="E26" s="40">
        <v>3503025</v>
      </c>
      <c r="F26" s="88">
        <f t="shared" si="401"/>
        <v>4</v>
      </c>
      <c r="G26" s="88" t="str">
        <f t="shared" si="402"/>
        <v>A</v>
      </c>
      <c r="H26" s="37" t="s">
        <v>198</v>
      </c>
      <c r="I26" s="37" t="s">
        <v>199</v>
      </c>
      <c r="J26" s="41" t="s">
        <v>200</v>
      </c>
      <c r="K26" s="89" t="str">
        <f t="shared" si="403"/>
        <v>A</v>
      </c>
      <c r="L26" s="41" t="s">
        <v>119</v>
      </c>
      <c r="M26" s="91">
        <v>41066</v>
      </c>
      <c r="N26" s="41"/>
      <c r="O26" s="43">
        <v>773284385</v>
      </c>
      <c r="P26" s="90" t="str">
        <f t="shared" si="404"/>
        <v>Nurməmmədova Sevinc Seyfəddin</v>
      </c>
      <c r="Q26" s="48">
        <v>1072783</v>
      </c>
      <c r="R26" s="38">
        <v>101</v>
      </c>
      <c r="S26" s="39"/>
      <c r="T26" s="1"/>
      <c r="U26" s="1"/>
      <c r="V26" s="1"/>
      <c r="W26" s="1"/>
      <c r="X26" s="1"/>
      <c r="Y26" s="1"/>
      <c r="Z26" s="1"/>
      <c r="AA26" s="54"/>
      <c r="AB26" s="1"/>
      <c r="AC26" s="55"/>
      <c r="AD26" s="1"/>
      <c r="AE26" s="1"/>
      <c r="AF26" s="2"/>
      <c r="AG26" s="54"/>
      <c r="AH26" s="1">
        <v>54</v>
      </c>
      <c r="AI26" s="1">
        <v>50</v>
      </c>
      <c r="AJ26" s="1">
        <v>33</v>
      </c>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8">
        <v>1072783</v>
      </c>
      <c r="FN26" s="38">
        <v>110</v>
      </c>
      <c r="FO26" s="39"/>
      <c r="FP26" s="1"/>
      <c r="FQ26" s="1">
        <v>34</v>
      </c>
      <c r="FR26" s="1">
        <v>40</v>
      </c>
      <c r="FS26" s="1">
        <v>25</v>
      </c>
      <c r="FT26" s="1">
        <v>37</v>
      </c>
      <c r="FU26" s="1"/>
      <c r="FV26" s="1"/>
      <c r="FW26" s="54"/>
      <c r="FX26" s="1">
        <v>65</v>
      </c>
      <c r="FY26" s="55"/>
      <c r="FZ26" s="1"/>
      <c r="GA26" s="1"/>
      <c r="GB26" s="2"/>
      <c r="GC26" s="54"/>
      <c r="GD26" s="1">
        <v>48</v>
      </c>
      <c r="GE26" s="1">
        <v>40</v>
      </c>
      <c r="GF26" s="1">
        <v>40</v>
      </c>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2022-2023</v>
      </c>
      <c r="B27" s="88" t="str">
        <f t="shared" si="398"/>
        <v>Bakı</v>
      </c>
      <c r="C27" s="88" t="str">
        <f t="shared" si="399"/>
        <v>Binəqədi</v>
      </c>
      <c r="D27" s="88">
        <f t="shared" si="400"/>
        <v>99</v>
      </c>
      <c r="E27" s="40">
        <v>3649235</v>
      </c>
      <c r="F27" s="88">
        <f t="shared" si="401"/>
        <v>4</v>
      </c>
      <c r="G27" s="88" t="str">
        <f t="shared" si="402"/>
        <v>A</v>
      </c>
      <c r="H27" s="37" t="s">
        <v>198</v>
      </c>
      <c r="I27" s="37" t="s">
        <v>201</v>
      </c>
      <c r="J27" s="41" t="s">
        <v>202</v>
      </c>
      <c r="K27" s="89" t="str">
        <f t="shared" si="403"/>
        <v>A</v>
      </c>
      <c r="L27" s="41" t="s">
        <v>119</v>
      </c>
      <c r="M27" s="91">
        <v>41270</v>
      </c>
      <c r="N27" s="41"/>
      <c r="O27" s="43">
        <v>504972787</v>
      </c>
      <c r="P27" s="90" t="str">
        <f t="shared" si="404"/>
        <v>Nurməmmədova Sevinc Seyfəddin</v>
      </c>
      <c r="Q27" s="48">
        <v>1072783</v>
      </c>
      <c r="R27" s="38">
        <v>101</v>
      </c>
      <c r="S27" s="39"/>
      <c r="T27" s="1"/>
      <c r="U27" s="1"/>
      <c r="V27" s="1"/>
      <c r="W27" s="1"/>
      <c r="X27" s="1"/>
      <c r="Y27" s="1"/>
      <c r="Z27" s="1"/>
      <c r="AA27" s="54"/>
      <c r="AB27" s="1"/>
      <c r="AC27" s="55"/>
      <c r="AD27" s="1"/>
      <c r="AE27" s="1"/>
      <c r="AF27" s="2"/>
      <c r="AG27" s="54"/>
      <c r="AH27" s="1">
        <v>93</v>
      </c>
      <c r="AI27" s="1">
        <v>100</v>
      </c>
      <c r="AJ27" s="1">
        <v>72</v>
      </c>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8">
        <v>1072783</v>
      </c>
      <c r="FN27" s="38">
        <v>110</v>
      </c>
      <c r="FO27" s="39"/>
      <c r="FP27" s="1"/>
      <c r="FQ27" s="1">
        <v>100</v>
      </c>
      <c r="FR27" s="1">
        <v>65</v>
      </c>
      <c r="FS27" s="1">
        <v>100</v>
      </c>
      <c r="FT27" s="1">
        <v>85</v>
      </c>
      <c r="FU27" s="1"/>
      <c r="FV27" s="1"/>
      <c r="FW27" s="54"/>
      <c r="FX27" s="1">
        <v>100</v>
      </c>
      <c r="FY27" s="55"/>
      <c r="FZ27" s="1"/>
      <c r="GA27" s="1"/>
      <c r="GB27" s="2"/>
      <c r="GC27" s="54"/>
      <c r="GD27" s="1">
        <v>100</v>
      </c>
      <c r="GE27" s="1">
        <v>95</v>
      </c>
      <c r="GF27" s="1">
        <v>98</v>
      </c>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2022-2023</v>
      </c>
      <c r="B28" s="88" t="str">
        <f t="shared" si="398"/>
        <v>Bakı</v>
      </c>
      <c r="C28" s="88" t="str">
        <f t="shared" si="399"/>
        <v>Binəqədi</v>
      </c>
      <c r="D28" s="88">
        <f t="shared" si="400"/>
        <v>99</v>
      </c>
      <c r="E28" s="40">
        <v>3948056</v>
      </c>
      <c r="F28" s="88">
        <f t="shared" si="401"/>
        <v>4</v>
      </c>
      <c r="G28" s="88" t="str">
        <f t="shared" si="402"/>
        <v>A</v>
      </c>
      <c r="H28" s="37" t="s">
        <v>203</v>
      </c>
      <c r="I28" s="37" t="s">
        <v>204</v>
      </c>
      <c r="J28" s="41" t="s">
        <v>205</v>
      </c>
      <c r="K28" s="89" t="str">
        <f t="shared" si="403"/>
        <v>A</v>
      </c>
      <c r="L28" s="41" t="s">
        <v>117</v>
      </c>
      <c r="M28" s="91">
        <v>41493</v>
      </c>
      <c r="N28" s="41"/>
      <c r="O28" s="43">
        <v>776206545</v>
      </c>
      <c r="P28" s="90" t="str">
        <f t="shared" si="404"/>
        <v>Nurməmmədova Sevinc Seyfəddin</v>
      </c>
      <c r="Q28" s="48">
        <v>1072783</v>
      </c>
      <c r="R28" s="38">
        <v>101</v>
      </c>
      <c r="S28" s="39"/>
      <c r="T28" s="1"/>
      <c r="U28" s="1"/>
      <c r="V28" s="1"/>
      <c r="W28" s="1"/>
      <c r="X28" s="1"/>
      <c r="Y28" s="1"/>
      <c r="Z28" s="1"/>
      <c r="AA28" s="54"/>
      <c r="AB28" s="1"/>
      <c r="AC28" s="55"/>
      <c r="AD28" s="1"/>
      <c r="AE28" s="1"/>
      <c r="AF28" s="2"/>
      <c r="AG28" s="54"/>
      <c r="AH28" s="1">
        <v>95</v>
      </c>
      <c r="AI28" s="1">
        <v>100</v>
      </c>
      <c r="AJ28" s="1">
        <v>90</v>
      </c>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8">
        <v>1072783</v>
      </c>
      <c r="FN28" s="38">
        <v>110</v>
      </c>
      <c r="FO28" s="39"/>
      <c r="FP28" s="1"/>
      <c r="FQ28" s="1"/>
      <c r="FR28" s="1"/>
      <c r="FS28" s="1"/>
      <c r="FT28" s="1"/>
      <c r="FU28" s="1"/>
      <c r="FV28" s="1"/>
      <c r="FW28" s="54"/>
      <c r="FX28" s="1"/>
      <c r="FY28" s="55"/>
      <c r="FZ28" s="1"/>
      <c r="GA28" s="1"/>
      <c r="GB28" s="2"/>
      <c r="GC28" s="54"/>
      <c r="GD28" s="1"/>
      <c r="GE28" s="1">
        <v>100</v>
      </c>
      <c r="GF28" s="1">
        <v>100</v>
      </c>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2022-2023</v>
      </c>
      <c r="B29" s="88" t="str">
        <f t="shared" si="398"/>
        <v>Bakı</v>
      </c>
      <c r="C29" s="88" t="str">
        <f t="shared" si="399"/>
        <v>Binəqədi</v>
      </c>
      <c r="D29" s="88">
        <f t="shared" si="400"/>
        <v>99</v>
      </c>
      <c r="E29" s="40">
        <v>3259399</v>
      </c>
      <c r="F29" s="88">
        <f t="shared" si="401"/>
        <v>4</v>
      </c>
      <c r="G29" s="88" t="str">
        <f t="shared" si="402"/>
        <v>A</v>
      </c>
      <c r="H29" s="37" t="s">
        <v>206</v>
      </c>
      <c r="I29" s="37" t="s">
        <v>207</v>
      </c>
      <c r="J29" s="41" t="s">
        <v>208</v>
      </c>
      <c r="K29" s="89" t="str">
        <f t="shared" si="403"/>
        <v>A</v>
      </c>
      <c r="L29" s="41" t="s">
        <v>117</v>
      </c>
      <c r="M29" s="91">
        <v>41310</v>
      </c>
      <c r="N29" s="41"/>
      <c r="O29" s="43">
        <v>706741718</v>
      </c>
      <c r="P29" s="90" t="str">
        <f t="shared" si="404"/>
        <v>Nurməmmədova Sevinc Seyfəddin</v>
      </c>
      <c r="Q29" s="48">
        <v>1072783</v>
      </c>
      <c r="R29" s="38">
        <v>101</v>
      </c>
      <c r="S29" s="39"/>
      <c r="T29" s="1"/>
      <c r="U29" s="1"/>
      <c r="V29" s="1"/>
      <c r="W29" s="1"/>
      <c r="X29" s="1"/>
      <c r="Y29" s="1"/>
      <c r="Z29" s="1"/>
      <c r="AA29" s="54"/>
      <c r="AB29" s="1"/>
      <c r="AC29" s="55"/>
      <c r="AD29" s="1"/>
      <c r="AE29" s="1"/>
      <c r="AF29" s="2"/>
      <c r="AG29" s="54"/>
      <c r="AH29" s="1">
        <v>66</v>
      </c>
      <c r="AI29" s="1">
        <v>85</v>
      </c>
      <c r="AJ29" s="1">
        <v>90</v>
      </c>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8">
        <v>1072783</v>
      </c>
      <c r="FN29" s="38">
        <v>110</v>
      </c>
      <c r="FO29" s="39"/>
      <c r="FP29" s="1"/>
      <c r="FQ29" s="1">
        <v>85</v>
      </c>
      <c r="FR29" s="1">
        <v>79</v>
      </c>
      <c r="FS29" s="1">
        <v>81</v>
      </c>
      <c r="FT29" s="1">
        <v>85</v>
      </c>
      <c r="FU29" s="1"/>
      <c r="FV29" s="1"/>
      <c r="FW29" s="54"/>
      <c r="FX29" s="1">
        <v>100</v>
      </c>
      <c r="FY29" s="55"/>
      <c r="FZ29" s="1"/>
      <c r="GA29" s="1"/>
      <c r="GB29" s="2"/>
      <c r="GC29" s="54"/>
      <c r="GD29" s="1">
        <v>85</v>
      </c>
      <c r="GE29" s="1">
        <v>95</v>
      </c>
      <c r="GF29" s="1">
        <v>95</v>
      </c>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2022-2023</v>
      </c>
      <c r="B30" s="88" t="str">
        <f t="shared" si="398"/>
        <v>Bakı</v>
      </c>
      <c r="C30" s="88" t="str">
        <f t="shared" si="399"/>
        <v>Binəqədi</v>
      </c>
      <c r="D30" s="88">
        <f t="shared" si="400"/>
        <v>99</v>
      </c>
      <c r="E30" s="40">
        <v>3294581</v>
      </c>
      <c r="F30" s="88">
        <f t="shared" si="401"/>
        <v>4</v>
      </c>
      <c r="G30" s="88" t="str">
        <f t="shared" si="402"/>
        <v>A</v>
      </c>
      <c r="H30" s="37" t="s">
        <v>209</v>
      </c>
      <c r="I30" s="37" t="s">
        <v>210</v>
      </c>
      <c r="J30" s="41" t="s">
        <v>185</v>
      </c>
      <c r="K30" s="89" t="str">
        <f t="shared" si="403"/>
        <v>A</v>
      </c>
      <c r="L30" s="41" t="s">
        <v>119</v>
      </c>
      <c r="M30" s="91">
        <v>41421</v>
      </c>
      <c r="N30" s="41"/>
      <c r="O30" s="43">
        <v>553287669</v>
      </c>
      <c r="P30" s="90" t="str">
        <f t="shared" si="404"/>
        <v>Nurməmmədova Sevinc Seyfəddin</v>
      </c>
      <c r="Q30" s="48">
        <v>1072783</v>
      </c>
      <c r="R30" s="38">
        <v>101</v>
      </c>
      <c r="S30" s="39"/>
      <c r="T30" s="1"/>
      <c r="U30" s="1"/>
      <c r="V30" s="1"/>
      <c r="W30" s="1"/>
      <c r="X30" s="1"/>
      <c r="Y30" s="1"/>
      <c r="Z30" s="1"/>
      <c r="AA30" s="54"/>
      <c r="AB30" s="1"/>
      <c r="AC30" s="55"/>
      <c r="AD30" s="1"/>
      <c r="AE30" s="1"/>
      <c r="AF30" s="2"/>
      <c r="AG30" s="54"/>
      <c r="AH30" s="1">
        <v>75</v>
      </c>
      <c r="AI30" s="1">
        <v>81</v>
      </c>
      <c r="AJ30" s="1">
        <v>50</v>
      </c>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8">
        <v>1072783</v>
      </c>
      <c r="FN30" s="38">
        <v>110</v>
      </c>
      <c r="FO30" s="39"/>
      <c r="FP30" s="1"/>
      <c r="FQ30" s="1">
        <v>65</v>
      </c>
      <c r="FR30" s="1">
        <v>58</v>
      </c>
      <c r="FS30" s="1">
        <v>100</v>
      </c>
      <c r="FT30" s="1">
        <v>79</v>
      </c>
      <c r="FU30" s="1"/>
      <c r="FV30" s="1"/>
      <c r="FW30" s="54"/>
      <c r="FX30" s="1">
        <v>85</v>
      </c>
      <c r="FY30" s="55"/>
      <c r="FZ30" s="1"/>
      <c r="GA30" s="1"/>
      <c r="GB30" s="2">
        <v>1</v>
      </c>
      <c r="GC30" s="54"/>
      <c r="GD30" s="1">
        <v>85</v>
      </c>
      <c r="GE30" s="1">
        <v>80</v>
      </c>
      <c r="GF30" s="1">
        <v>90</v>
      </c>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2022-2023</v>
      </c>
      <c r="B31" s="88" t="str">
        <f t="shared" si="398"/>
        <v>Bakı</v>
      </c>
      <c r="C31" s="88" t="str">
        <f t="shared" si="399"/>
        <v>Binəqədi</v>
      </c>
      <c r="D31" s="88">
        <f t="shared" si="400"/>
        <v>99</v>
      </c>
      <c r="E31" s="40">
        <v>3273911</v>
      </c>
      <c r="F31" s="88">
        <f t="shared" si="401"/>
        <v>4</v>
      </c>
      <c r="G31" s="88" t="str">
        <f t="shared" si="402"/>
        <v>A</v>
      </c>
      <c r="H31" s="37" t="s">
        <v>211</v>
      </c>
      <c r="I31" s="37" t="s">
        <v>212</v>
      </c>
      <c r="J31" s="41" t="s">
        <v>213</v>
      </c>
      <c r="K31" s="89" t="str">
        <f t="shared" si="403"/>
        <v>A</v>
      </c>
      <c r="L31" s="41" t="s">
        <v>119</v>
      </c>
      <c r="M31" s="91">
        <v>41510</v>
      </c>
      <c r="N31" s="41"/>
      <c r="O31" s="43">
        <v>558796576</v>
      </c>
      <c r="P31" s="90" t="str">
        <f t="shared" si="404"/>
        <v>Nurməmmədova Sevinc Seyfəddin</v>
      </c>
      <c r="Q31" s="48">
        <v>1072783</v>
      </c>
      <c r="R31" s="38">
        <v>101</v>
      </c>
      <c r="S31" s="39"/>
      <c r="T31" s="1"/>
      <c r="U31" s="1"/>
      <c r="V31" s="1"/>
      <c r="W31" s="1"/>
      <c r="X31" s="1"/>
      <c r="Y31" s="1"/>
      <c r="Z31" s="1"/>
      <c r="AA31" s="54"/>
      <c r="AB31" s="1"/>
      <c r="AC31" s="55"/>
      <c r="AD31" s="1"/>
      <c r="AE31" s="1"/>
      <c r="AF31" s="2"/>
      <c r="AG31" s="54"/>
      <c r="AH31" s="1">
        <v>73</v>
      </c>
      <c r="AI31" s="1">
        <v>86</v>
      </c>
      <c r="AJ31" s="1">
        <v>61</v>
      </c>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8">
        <v>1072783</v>
      </c>
      <c r="FN31" s="38">
        <v>110</v>
      </c>
      <c r="FO31" s="39"/>
      <c r="FP31" s="1"/>
      <c r="FQ31" s="1">
        <v>65</v>
      </c>
      <c r="FR31" s="1">
        <v>73</v>
      </c>
      <c r="FS31" s="1">
        <v>87</v>
      </c>
      <c r="FT31" s="1">
        <v>76</v>
      </c>
      <c r="FU31" s="1"/>
      <c r="FV31" s="1"/>
      <c r="FW31" s="54"/>
      <c r="FX31" s="1">
        <v>65</v>
      </c>
      <c r="FY31" s="55"/>
      <c r="FZ31" s="1"/>
      <c r="GA31" s="1"/>
      <c r="GB31" s="2"/>
      <c r="GC31" s="54"/>
      <c r="GD31" s="1">
        <v>78</v>
      </c>
      <c r="GE31" s="1">
        <v>85</v>
      </c>
      <c r="GF31" s="1">
        <v>68</v>
      </c>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2022-2023</v>
      </c>
      <c r="B32" s="88" t="str">
        <f t="shared" si="398"/>
        <v>Bakı</v>
      </c>
      <c r="C32" s="88" t="str">
        <f t="shared" si="399"/>
        <v>Binəqədi</v>
      </c>
      <c r="D32" s="88">
        <f t="shared" si="400"/>
        <v>99</v>
      </c>
      <c r="E32" s="40">
        <v>3181618</v>
      </c>
      <c r="F32" s="88">
        <f t="shared" si="401"/>
        <v>4</v>
      </c>
      <c r="G32" s="88" t="str">
        <f t="shared" si="402"/>
        <v>A</v>
      </c>
      <c r="H32" s="37" t="s">
        <v>214</v>
      </c>
      <c r="I32" s="37" t="s">
        <v>215</v>
      </c>
      <c r="J32" s="41" t="s">
        <v>216</v>
      </c>
      <c r="K32" s="89" t="str">
        <f t="shared" si="403"/>
        <v>A</v>
      </c>
      <c r="L32" s="41" t="s">
        <v>117</v>
      </c>
      <c r="M32" s="91">
        <v>41274</v>
      </c>
      <c r="N32" s="41"/>
      <c r="O32" s="43">
        <v>709174454</v>
      </c>
      <c r="P32" s="90" t="str">
        <f t="shared" si="404"/>
        <v>Nurməmmədova Sevinc Seyfəddin</v>
      </c>
      <c r="Q32" s="48">
        <v>1072783</v>
      </c>
      <c r="R32" s="38">
        <v>101</v>
      </c>
      <c r="S32" s="39"/>
      <c r="T32" s="1"/>
      <c r="U32" s="1"/>
      <c r="V32" s="1"/>
      <c r="W32" s="1"/>
      <c r="X32" s="1"/>
      <c r="Y32" s="1"/>
      <c r="Z32" s="1"/>
      <c r="AA32" s="54"/>
      <c r="AB32" s="1"/>
      <c r="AC32" s="55"/>
      <c r="AD32" s="1"/>
      <c r="AE32" s="1"/>
      <c r="AF32" s="2"/>
      <c r="AG32" s="54"/>
      <c r="AH32" s="1">
        <v>78</v>
      </c>
      <c r="AI32" s="1">
        <v>56</v>
      </c>
      <c r="AJ32" s="1">
        <v>80</v>
      </c>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8">
        <v>1072783</v>
      </c>
      <c r="FN32" s="38">
        <v>110</v>
      </c>
      <c r="FO32" s="39"/>
      <c r="FP32" s="1"/>
      <c r="FQ32" s="1">
        <v>35</v>
      </c>
      <c r="FR32" s="1">
        <v>32</v>
      </c>
      <c r="FS32" s="1">
        <v>39</v>
      </c>
      <c r="FT32" s="1">
        <v>36</v>
      </c>
      <c r="FU32" s="1"/>
      <c r="FV32" s="1"/>
      <c r="FW32" s="54"/>
      <c r="FX32" s="1">
        <v>60</v>
      </c>
      <c r="FY32" s="55"/>
      <c r="FZ32" s="1"/>
      <c r="GA32" s="1"/>
      <c r="GB32" s="2"/>
      <c r="GC32" s="54"/>
      <c r="GD32" s="1">
        <v>65</v>
      </c>
      <c r="GE32" s="1">
        <v>35</v>
      </c>
      <c r="GF32" s="1">
        <v>33</v>
      </c>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9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9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9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9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9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9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9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9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gUb7hXjsu+6gH6a2+eDrJOuvZPQBWjwt5/rjTIv3AjkX830+K6xgT3QpvZGQOXRpPuq8wMa7u9nPLDvGc7l6Xg==" saltValue="zRBe4l897pXR1OjiLJNVNA=="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x14ac:dyDescent="0.3">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x14ac:dyDescent="0.35">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2022-2023</v>
      </c>
      <c r="AJ3" s="153"/>
      <c r="AK3" s="153"/>
      <c r="AL3" s="153"/>
      <c r="AM3" s="154"/>
    </row>
    <row r="4" spans="1:41" ht="36.6" customHeight="1" thickTop="1" x14ac:dyDescent="0.3">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x14ac:dyDescent="0.3">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x14ac:dyDescent="0.3">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95" customHeight="1" x14ac:dyDescent="0.3">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95" customHeight="1" x14ac:dyDescent="0.3">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95" customHeight="1" x14ac:dyDescent="0.3">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95" customHeight="1" x14ac:dyDescent="0.3">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95" customHeight="1" x14ac:dyDescent="0.3">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95" customHeight="1" x14ac:dyDescent="0.3">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95" customHeight="1" x14ac:dyDescent="0.3">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95" customHeight="1" x14ac:dyDescent="0.3">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95" customHeight="1" x14ac:dyDescent="0.3">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95" customHeight="1" x14ac:dyDescent="0.3">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95" customHeight="1" x14ac:dyDescent="0.3">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95" customHeight="1" x14ac:dyDescent="0.3">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95" customHeight="1" x14ac:dyDescent="0.3">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95" customHeight="1" x14ac:dyDescent="0.3">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95" customHeight="1" x14ac:dyDescent="0.3">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95" customHeight="1" x14ac:dyDescent="0.3">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95" customHeight="1" x14ac:dyDescent="0.3">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95" customHeight="1" x14ac:dyDescent="0.3">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95" customHeight="1" x14ac:dyDescent="0.3">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95" customHeight="1" x14ac:dyDescent="0.3">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95" customHeight="1" x14ac:dyDescent="0.3">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95" customHeight="1" x14ac:dyDescent="0.3">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95" customHeight="1" x14ac:dyDescent="0.3">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95" customHeight="1" x14ac:dyDescent="0.3">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95" customHeight="1" x14ac:dyDescent="0.3">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95" customHeight="1" x14ac:dyDescent="0.3">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95" customHeight="1" x14ac:dyDescent="0.3">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95" customHeight="1" x14ac:dyDescent="0.3">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95" customHeight="1" x14ac:dyDescent="0.3">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95" customHeight="1" x14ac:dyDescent="0.3">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95" customHeight="1" x14ac:dyDescent="0.3">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95" customHeight="1" x14ac:dyDescent="0.3">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95" customHeight="1" x14ac:dyDescent="0.3">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95" customHeight="1" x14ac:dyDescent="0.3">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95" customHeight="1" x14ac:dyDescent="0.3">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95" customHeight="1" x14ac:dyDescent="0.3">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95" customHeight="1" x14ac:dyDescent="0.3">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95" customHeight="1" x14ac:dyDescent="0.3">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95" customHeight="1" x14ac:dyDescent="0.3">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95" customHeight="1" x14ac:dyDescent="0.3">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95" customHeight="1" x14ac:dyDescent="0.3">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95" customHeight="1" x14ac:dyDescent="0.3">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95" customHeight="1" x14ac:dyDescent="0.3">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95" customHeight="1" x14ac:dyDescent="0.3">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95" customHeight="1" x14ac:dyDescent="0.3">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95" customHeight="1" x14ac:dyDescent="0.3">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95" customHeight="1" x14ac:dyDescent="0.3">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95" customHeight="1" x14ac:dyDescent="0.3">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95" customHeight="1" x14ac:dyDescent="0.3">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95" customHeight="1" x14ac:dyDescent="0.3">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95" customHeight="1" x14ac:dyDescent="0.3">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95" customHeight="1" x14ac:dyDescent="0.3">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95" customHeight="1" x14ac:dyDescent="0.3">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95" customHeight="1" x14ac:dyDescent="0.3">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95" customHeight="1" x14ac:dyDescent="0.3">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95" customHeight="1" x14ac:dyDescent="0.3">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95" customHeight="1" x14ac:dyDescent="0.3">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95" customHeight="1" x14ac:dyDescent="0.3">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95" customHeight="1" x14ac:dyDescent="0.3">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95" customHeight="1" x14ac:dyDescent="0.3">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95" customHeight="1" x14ac:dyDescent="0.3">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95" customHeight="1" x14ac:dyDescent="0.3">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95" customHeight="1" x14ac:dyDescent="0.3">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95" customHeight="1" x14ac:dyDescent="0.3">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95" customHeight="1" x14ac:dyDescent="0.3">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95" customHeight="1" x14ac:dyDescent="0.3">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95" customHeight="1" x14ac:dyDescent="0.3">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95" customHeight="1" x14ac:dyDescent="0.3">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95" customHeight="1" x14ac:dyDescent="0.3">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95" customHeight="1" x14ac:dyDescent="0.3">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95" customHeight="1" x14ac:dyDescent="0.3">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95" customHeight="1" x14ac:dyDescent="0.3">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95" customHeight="1" x14ac:dyDescent="0.3">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95" customHeight="1" x14ac:dyDescent="0.3">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95" customHeight="1" x14ac:dyDescent="0.3">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95" customHeight="1" x14ac:dyDescent="0.3">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95" customHeight="1" x14ac:dyDescent="0.3">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95" customHeight="1" x14ac:dyDescent="0.3">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95" customHeight="1" x14ac:dyDescent="0.3">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95" customHeight="1" x14ac:dyDescent="0.3">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95" customHeight="1" x14ac:dyDescent="0.3">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95" customHeight="1" x14ac:dyDescent="0.3">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95" customHeight="1" x14ac:dyDescent="0.3">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95" customHeight="1" x14ac:dyDescent="0.3">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95" customHeight="1" x14ac:dyDescent="0.3">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95" customHeight="1" x14ac:dyDescent="0.3">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95" customHeight="1" x14ac:dyDescent="0.3">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95" customHeight="1" x14ac:dyDescent="0.3">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95" customHeight="1" x14ac:dyDescent="0.3">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95" customHeight="1" x14ac:dyDescent="0.3">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95" customHeight="1" x14ac:dyDescent="0.3">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95" customHeight="1" x14ac:dyDescent="0.3">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95" customHeight="1" x14ac:dyDescent="0.3">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95" customHeight="1" x14ac:dyDescent="0.3">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95" customHeight="1" x14ac:dyDescent="0.3">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95" customHeight="1" x14ac:dyDescent="0.3">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95" customHeight="1" x14ac:dyDescent="0.3">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95" customHeight="1" x14ac:dyDescent="0.3">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95" customHeight="1" x14ac:dyDescent="0.3">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95" customHeight="1" x14ac:dyDescent="0.3">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95" customHeight="1" x14ac:dyDescent="0.3">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95" customHeight="1" x14ac:dyDescent="0.3">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95" customHeight="1" x14ac:dyDescent="0.3">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95" customHeight="1" x14ac:dyDescent="0.3">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95" customHeight="1" x14ac:dyDescent="0.3">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95" customHeight="1" x14ac:dyDescent="0.3">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95" customHeight="1" x14ac:dyDescent="0.3">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95" customHeight="1" x14ac:dyDescent="0.3">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95" customHeight="1" x14ac:dyDescent="0.3">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95" customHeight="1" x14ac:dyDescent="0.3">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95" customHeight="1" x14ac:dyDescent="0.3">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95" customHeight="1" x14ac:dyDescent="0.3">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95" customHeight="1" x14ac:dyDescent="0.3">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95" customHeight="1" x14ac:dyDescent="0.3">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95" customHeight="1" x14ac:dyDescent="0.3">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95" customHeight="1" x14ac:dyDescent="0.3">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95" customHeight="1" x14ac:dyDescent="0.3">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95" customHeight="1" x14ac:dyDescent="0.3">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95" customHeight="1" x14ac:dyDescent="0.3">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95" customHeight="1" x14ac:dyDescent="0.3">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95" customHeight="1" x14ac:dyDescent="0.3">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95" customHeight="1" x14ac:dyDescent="0.3">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95" customHeight="1" x14ac:dyDescent="0.3">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95" customHeight="1" x14ac:dyDescent="0.3">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95" customHeight="1" x14ac:dyDescent="0.3">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95" customHeight="1" x14ac:dyDescent="0.3"/>
    <row r="133" spans="1:40" ht="40.200000000000003" customHeight="1" x14ac:dyDescent="0.3">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2023-06-01T16:24:30Z</dcterms:modified>
</cp:coreProperties>
</file>