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<sst xmlns="http://schemas.openxmlformats.org/spreadsheetml/2006/main" count="247" uniqueCount="182">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</sst>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66.666666666666671</c:v>
                </c:pt>
                <c:pt idx="2">
                  <c:v>0</c:v>
                </c:pt>
                <c:pt idx="3">
                  <c:v>66.666666666666671</c:v>
                </c:pt>
                <c:pt idx="4">
                  <c:v>0</c:v>
                </c:pt>
                <c:pt idx="5">
                  <c:v>0</c:v>
                </c:pt>
                <c:pt idx="6">
                  <c:v>0</c:v>
                </c:pt>
                <c:pt idx="7">
                  <c:v>0</c:v>
                </c:pt>
                <c:pt idx="8">
                  <c:v>0</c:v>
                </c:pt>
                <c:pt idx="9">
                  <c:v>0</c:v>
                </c:pt>
                <c:pt idx="10">
                  <c:v>0</c:v>
                </c:pt>
                <c:pt idx="11">
                  <c:v>66.666666666666671</c:v>
                </c:pt>
                <c:pt idx="12">
                  <c:v>0</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0</c:v>
                </c:pt>
                <c:pt idx="11">
                  <c:v>4.7619047619047619</c:v>
                </c:pt>
                <c:pt idx="12">
                  <c:v>0</c:v>
                </c:pt>
                <c:pt idx="13">
                  <c:v>4.7619047619047619</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2146784"/>
        <c:axId val="291163024"/>
      </c:barChart>
      <c:catAx>
        <c:axId val="29214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1163024"/>
        <c:crosses val="autoZero"/>
        <c:auto val="1"/>
        <c:lblAlgn val="ctr"/>
        <c:lblOffset val="100"/>
        <c:noMultiLvlLbl val="0"/>
      </c:catAx>
      <c:valAx>
        <c:axId val="291163024"/>
        <c:scaling>
          <c:orientation val="minMax"/>
          <c:max val="100"/>
        </c:scaling>
        <c:delete val="1"/>
        <c:axPos val="l"/>
        <c:numFmt formatCode="0" sourceLinked="1"/>
        <c:majorTickMark val="none"/>
        <c:minorTickMark val="none"/>
        <c:tickLblPos val="nextTo"/>
        <c:crossAx val="292146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57.031746031746039</c:v>
                </c:pt>
                <c:pt idx="2">
                  <c:v>0</c:v>
                </c:pt>
                <c:pt idx="3">
                  <c:v>57.031746031746039</c:v>
                </c:pt>
                <c:pt idx="4">
                  <c:v>0</c:v>
                </c:pt>
                <c:pt idx="5">
                  <c:v>0</c:v>
                </c:pt>
                <c:pt idx="6">
                  <c:v>0</c:v>
                </c:pt>
                <c:pt idx="7">
                  <c:v>0</c:v>
                </c:pt>
                <c:pt idx="8">
                  <c:v>0</c:v>
                </c:pt>
                <c:pt idx="9">
                  <c:v>0</c:v>
                </c:pt>
                <c:pt idx="10">
                  <c:v>0</c:v>
                </c:pt>
                <c:pt idx="11">
                  <c:v>57.031746031746039</c:v>
                </c:pt>
                <c:pt idx="12">
                  <c:v>0</c:v>
                </c:pt>
                <c:pt idx="13">
                  <c:v>57.031746031746039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4427216"/>
        <c:axId val="34427600"/>
      </c:barChart>
      <c:catAx>
        <c:axId val="344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4427600"/>
        <c:crosses val="autoZero"/>
        <c:auto val="1"/>
        <c:lblAlgn val="ctr"/>
        <c:lblOffset val="100"/>
        <c:noMultiLvlLbl val="0"/>
      </c:catAx>
      <c:valAx>
        <c:axId val="34427600"/>
        <c:scaling>
          <c:orientation val="minMax"/>
          <c:max val="110"/>
          <c:min val="0"/>
        </c:scaling>
        <c:delete val="1"/>
        <c:axPos val="l"/>
        <c:numFmt formatCode="0.00" sourceLinked="1"/>
        <c:majorTickMark val="out"/>
        <c:minorTickMark val="none"/>
        <c:tickLblPos val="nextTo"/>
        <c:crossAx val="344272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5" activePane="bottomRight" state="frozen"/>
      <selection pane="topRight" activeCell="G1" sqref="G1"/>
      <selection pane="bottomLeft" activeCell="A5" sqref="A5"/>
      <selection pane="bottomRight" activeCell="N20" sqref="N2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35</v>
      </c>
      <c r="K5" s="17">
        <v>35</v>
      </c>
      <c r="L5" s="17">
        <v>40</v>
      </c>
      <c r="M5" s="17"/>
      <c r="N5" s="17"/>
      <c r="O5" s="17"/>
      <c r="P5" s="18">
        <f t="shared" ref="P5:P36" si="0">IFERROR(AVERAGE(J5:O5),"")</f>
        <v>36.666666666666664</v>
      </c>
      <c r="Q5" s="17"/>
      <c r="R5" s="19">
        <f t="shared" ref="R5:R36" si="1">IF(Q5="",P5,IF(P5="",Q5,P5*40/100+Q5*60/100))</f>
        <v>36.666666666666664</v>
      </c>
      <c r="S5" s="17"/>
      <c r="T5" s="17"/>
      <c r="U5" s="20">
        <v>2</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36.666666666666664</v>
      </c>
      <c r="AK5" s="18" t="str">
        <f>IFERROR(AVERAGE(Q5,AD5),"")</f>
        <v/>
      </c>
      <c r="AL5" s="19">
        <f>IFERROR(AVERAGE(R5,AE5),"")</f>
        <v>36.666666666666664</v>
      </c>
      <c r="AM5" s="21">
        <f>IF(AL5&lt;=30,2,IF(AL5&lt;=60,3,IF(AL5&lt;=80,4,IF(AL5&lt;=100,5,""))))</f>
        <v>3</v>
      </c>
      <c r="AN5" s="18" t="str">
        <f>IFERROR(AVERAGE(S5,T5,AF5,AG5),"")</f>
        <v/>
      </c>
      <c r="AO5" s="17"/>
      <c r="AP5" s="25">
        <f>IF(C5="","",(U5+AH5))</f>
        <v>2</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40</v>
      </c>
      <c r="K6" s="12">
        <v>35</v>
      </c>
      <c r="L6" s="12">
        <v>40</v>
      </c>
      <c r="M6" s="12"/>
      <c r="N6" s="12"/>
      <c r="O6" s="12"/>
      <c r="P6" s="2">
        <f t="shared" si="0"/>
        <v>38.333333333333336</v>
      </c>
      <c r="Q6" s="12"/>
      <c r="R6" s="3">
        <f t="shared" si="1"/>
        <v>38.333333333333336</v>
      </c>
      <c r="S6" s="12"/>
      <c r="T6" s="12"/>
      <c r="U6" s="55">
        <v>3</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38.333333333333336</v>
      </c>
      <c r="AK6" s="2" t="str">
        <f t="shared" ref="AK6:AK54" si="8">IFERROR(AVERAGE(Q6,AD6),"")</f>
        <v/>
      </c>
      <c r="AL6" s="3">
        <f t="shared" ref="AL6:AL54" si="9">IFERROR(AVERAGE(R6,AE6),"")</f>
        <v>38.333333333333336</v>
      </c>
      <c r="AM6" s="4">
        <f t="shared" ref="AM6:AM54" si="10">IF(AL6&lt;=30,2,IF(AL6&lt;=60,3,IF(AL6&lt;=80,4,IF(AL6&lt;=100,5,""))))</f>
        <v>3</v>
      </c>
      <c r="AN6" s="2" t="str">
        <f t="shared" ref="AN6:AN54" si="11">IFERROR(AVERAGE(S6,T6,AF6,AG6),"")</f>
        <v/>
      </c>
      <c r="AO6" s="12"/>
      <c r="AP6" s="5">
        <f t="shared" ref="AP6:AP54" si="12">IF(C6="","",(U6+AH6))</f>
        <v>3</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60</v>
      </c>
      <c r="K7" s="12">
        <v>45</v>
      </c>
      <c r="L7" s="12">
        <v>50</v>
      </c>
      <c r="M7" s="12"/>
      <c r="N7" s="12"/>
      <c r="O7" s="12"/>
      <c r="P7" s="2">
        <f t="shared" si="0"/>
        <v>51.666666666666664</v>
      </c>
      <c r="Q7" s="12"/>
      <c r="R7" s="3">
        <f t="shared" si="1"/>
        <v>51.666666666666664</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51.666666666666664</v>
      </c>
      <c r="AK7" s="2" t="str">
        <f t="shared" si="8"/>
        <v/>
      </c>
      <c r="AL7" s="3">
        <f t="shared" si="9"/>
        <v>51.666666666666664</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85</v>
      </c>
      <c r="K8" s="12">
        <v>90</v>
      </c>
      <c r="L8" s="12">
        <v>85</v>
      </c>
      <c r="M8" s="12"/>
      <c r="N8" s="12"/>
      <c r="O8" s="12"/>
      <c r="P8" s="2">
        <f t="shared" si="0"/>
        <v>86.666666666666671</v>
      </c>
      <c r="Q8" s="12"/>
      <c r="R8" s="3">
        <f t="shared" si="1"/>
        <v>86.666666666666671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86.666666666666671</v>
      </c>
      <c r="AK8" s="2" t="str">
        <f t="shared" si="8"/>
        <v/>
      </c>
      <c r="AL8" s="3">
        <f t="shared" si="9"/>
        <v>86.666666666666671</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55</v>
      </c>
      <c r="K9" s="12">
        <v>35</v>
      </c>
      <c r="L9" s="12">
        <v>35</v>
      </c>
      <c r="M9" s="12"/>
      <c r="N9" s="12"/>
      <c r="O9" s="12"/>
      <c r="P9" s="2">
        <f t="shared" si="0"/>
        <v>41.666666666666664</v>
      </c>
      <c r="Q9" s="12"/>
      <c r="R9" s="3">
        <f t="shared" si="1"/>
        <v>41.666666666666664</v>
      </c>
      <c r="S9" s="12"/>
      <c r="T9" s="12"/>
      <c r="U9" s="55">
        <v>4</v>
      </c>
      <c r="V9" s="58" t="e">
        <f t="shared" si="14"/>
        <v>#VALUE!</v>
      </c>
      <c r="W9" s="56"/>
      <c r="X9" s="12"/>
      <c r="Y9" s="12"/>
      <c r="Z9" s="12"/>
      <c r="AA9" s="12"/>
      <c r="AB9" s="12"/>
      <c r="AC9" s="2" t="str">
        <f t="shared" si="2"/>
        <v/>
      </c>
      <c r="AD9" s="12"/>
      <c r="AE9" s="3" t="str">
        <f t="shared" si="3"/>
        <v/>
      </c>
      <c r="AF9" s="12"/>
      <c r="AG9" s="12"/>
      <c r="AH9" s="55"/>
      <c r="AI9" s="58" t="str">
        <f t="shared" si="6"/>
        <v/>
      </c>
      <c r="AJ9" s="63">
        <f t="shared" si="7"/>
        <v>41.666666666666664</v>
      </c>
      <c r="AK9" s="2" t="str">
        <f t="shared" si="8"/>
        <v/>
      </c>
      <c r="AL9" s="3">
        <f t="shared" si="9"/>
        <v>41.666666666666664</v>
      </c>
      <c r="AM9" s="4">
        <f t="shared" si="10"/>
        <v>3</v>
      </c>
      <c r="AN9" s="2" t="str">
        <f t="shared" si="11"/>
        <v/>
      </c>
      <c r="AO9" s="12"/>
      <c r="AP9" s="5">
        <f t="shared" si="12"/>
        <v>4</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50</v>
      </c>
      <c r="K10" s="12">
        <v>55</v>
      </c>
      <c r="L10" s="12">
        <v>35</v>
      </c>
      <c r="M10" s="12"/>
      <c r="N10" s="12"/>
      <c r="O10" s="12"/>
      <c r="P10" s="2">
        <f t="shared" si="0"/>
        <v>46.666666666666664</v>
      </c>
      <c r="Q10" s="12"/>
      <c r="R10" s="3">
        <f t="shared" si="1"/>
        <v>46.666666666666664</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46.666666666666664</v>
      </c>
      <c r="AK10" s="2" t="str">
        <f t="shared" si="8"/>
        <v/>
      </c>
      <c r="AL10" s="3">
        <f t="shared" si="9"/>
        <v>46.666666666666664</v>
      </c>
      <c r="AM10" s="4">
        <f t="shared" si="10"/>
        <v>3</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100</v>
      </c>
      <c r="K11" s="12">
        <v>100</v>
      </c>
      <c r="L11" s="12">
        <v>90</v>
      </c>
      <c r="M11" s="12"/>
      <c r="N11" s="12"/>
      <c r="O11" s="12"/>
      <c r="P11" s="2">
        <f t="shared" si="0"/>
        <v>96.666666666666671</v>
      </c>
      <c r="Q11" s="12"/>
      <c r="R11" s="3">
        <f t="shared" si="1"/>
        <v>96.666666666666671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96.666666666666671</v>
      </c>
      <c r="AK11" s="2" t="str">
        <f t="shared" si="8"/>
        <v/>
      </c>
      <c r="AL11" s="3">
        <f t="shared" si="9"/>
        <v>96.666666666666671</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95</v>
      </c>
      <c r="K12" s="12">
        <v>70</v>
      </c>
      <c r="L12" s="12">
        <v>75</v>
      </c>
      <c r="M12" s="12"/>
      <c r="N12" s="12"/>
      <c r="O12" s="12"/>
      <c r="P12" s="2">
        <f t="shared" si="0"/>
        <v>80</v>
      </c>
      <c r="Q12" s="12"/>
      <c r="R12" s="3">
        <f t="shared" si="1"/>
        <v>80</v>
      </c>
      <c r="S12" s="12"/>
      <c r="T12" s="12"/>
      <c r="U12" s="55">
        <v>1</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80</v>
      </c>
      <c r="AK12" s="2" t="str">
        <f t="shared" si="8"/>
        <v/>
      </c>
      <c r="AL12" s="3">
        <f t="shared" si="9"/>
        <v>80</v>
      </c>
      <c r="AM12" s="4">
        <f t="shared" si="10"/>
        <v>4</v>
      </c>
      <c r="AN12" s="2" t="str">
        <f t="shared" si="11"/>
        <v/>
      </c>
      <c r="AO12" s="12"/>
      <c r="AP12" s="5">
        <f t="shared" si="12"/>
        <v>1</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45</v>
      </c>
      <c r="K13" s="12">
        <v>40</v>
      </c>
      <c r="L13" s="12">
        <v>40</v>
      </c>
      <c r="M13" s="12"/>
      <c r="N13" s="12"/>
      <c r="O13" s="12"/>
      <c r="P13" s="2">
        <f t="shared" si="0"/>
        <v>41.666666666666664</v>
      </c>
      <c r="Q13" s="12"/>
      <c r="R13" s="3">
        <f t="shared" si="1"/>
        <v>41.666666666666664</v>
      </c>
      <c r="S13" s="12"/>
      <c r="T13" s="12"/>
      <c r="U13" s="55">
        <v>2</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41.666666666666664</v>
      </c>
      <c r="AK13" s="2" t="str">
        <f t="shared" si="8"/>
        <v/>
      </c>
      <c r="AL13" s="3">
        <f t="shared" si="9"/>
        <v>41.666666666666664</v>
      </c>
      <c r="AM13" s="4">
        <f t="shared" si="10"/>
        <v>3</v>
      </c>
      <c r="AN13" s="2" t="str">
        <f t="shared" si="11"/>
        <v/>
      </c>
      <c r="AO13" s="12"/>
      <c r="AP13" s="5">
        <f t="shared" si="12"/>
        <v>2</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45</v>
      </c>
      <c r="K14" s="12">
        <v>35</v>
      </c>
      <c r="L14" s="12">
        <v>40</v>
      </c>
      <c r="M14" s="12"/>
      <c r="N14" s="12"/>
      <c r="O14" s="12"/>
      <c r="P14" s="2">
        <f t="shared" si="0"/>
        <v>40</v>
      </c>
      <c r="Q14" s="12"/>
      <c r="R14" s="3">
        <f t="shared" si="1"/>
        <v>40</v>
      </c>
      <c r="S14" s="12"/>
      <c r="T14" s="12"/>
      <c r="U14" s="55">
        <v>4</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40</v>
      </c>
      <c r="AK14" s="2" t="str">
        <f t="shared" si="8"/>
        <v/>
      </c>
      <c r="AL14" s="3">
        <f t="shared" si="9"/>
        <v>40</v>
      </c>
      <c r="AM14" s="4">
        <f t="shared" si="10"/>
        <v>3</v>
      </c>
      <c r="AN14" s="2" t="str">
        <f t="shared" si="11"/>
        <v/>
      </c>
      <c r="AO14" s="12"/>
      <c r="AP14" s="5">
        <f t="shared" si="12"/>
        <v>4</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95</v>
      </c>
      <c r="K15" s="12">
        <v>85</v>
      </c>
      <c r="L15" s="12">
        <v>65</v>
      </c>
      <c r="M15" s="12"/>
      <c r="N15" s="12"/>
      <c r="O15" s="12"/>
      <c r="P15" s="2">
        <f t="shared" si="0"/>
        <v>81.666666666666671</v>
      </c>
      <c r="Q15" s="12"/>
      <c r="R15" s="3">
        <f t="shared" si="1"/>
        <v>81.666666666666671</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81.666666666666671</v>
      </c>
      <c r="AK15" s="2" t="str">
        <f t="shared" si="8"/>
        <v/>
      </c>
      <c r="AL15" s="3">
        <f t="shared" si="9"/>
        <v>81.666666666666671</v>
      </c>
      <c r="AM15" s="4">
        <f t="shared" si="10"/>
        <v>5</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100</v>
      </c>
      <c r="K16" s="12">
        <v>100</v>
      </c>
      <c r="L16" s="12">
        <v>90</v>
      </c>
      <c r="M16" s="12"/>
      <c r="N16" s="12"/>
      <c r="O16" s="12"/>
      <c r="P16" s="2">
        <f t="shared" si="0"/>
        <v>96.666666666666671</v>
      </c>
      <c r="Q16" s="12"/>
      <c r="R16" s="3">
        <f t="shared" si="1"/>
        <v>96.666666666666671</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96.666666666666671</v>
      </c>
      <c r="AK16" s="2" t="str">
        <f t="shared" si="8"/>
        <v/>
      </c>
      <c r="AL16" s="3">
        <f t="shared" si="9"/>
        <v>96.666666666666671</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40</v>
      </c>
      <c r="K17" s="12">
        <v>35</v>
      </c>
      <c r="L17" s="12">
        <v>45</v>
      </c>
      <c r="M17" s="12"/>
      <c r="N17" s="12"/>
      <c r="O17" s="12"/>
      <c r="P17" s="2">
        <f t="shared" si="0"/>
        <v>40</v>
      </c>
      <c r="Q17" s="12"/>
      <c r="R17" s="3">
        <f t="shared" si="1"/>
        <v>40</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40</v>
      </c>
      <c r="AK17" s="2" t="str">
        <f t="shared" si="8"/>
        <v/>
      </c>
      <c r="AL17" s="3">
        <f t="shared" si="9"/>
        <v>40</v>
      </c>
      <c r="AM17" s="4">
        <f t="shared" si="10"/>
        <v>3</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40</v>
      </c>
      <c r="K18" s="12">
        <v>35</v>
      </c>
      <c r="L18" s="12">
        <v>40</v>
      </c>
      <c r="M18" s="12"/>
      <c r="N18" s="12"/>
      <c r="O18" s="12"/>
      <c r="P18" s="2">
        <f t="shared" si="0"/>
        <v>38.333333333333336</v>
      </c>
      <c r="Q18" s="12"/>
      <c r="R18" s="3">
        <f t="shared" si="1"/>
        <v>38.333333333333336</v>
      </c>
      <c r="S18" s="12"/>
      <c r="T18" s="12"/>
      <c r="U18" s="55">
        <v>4</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38.333333333333336</v>
      </c>
      <c r="AK18" s="2" t="str">
        <f t="shared" si="8"/>
        <v/>
      </c>
      <c r="AL18" s="3">
        <f t="shared" si="9"/>
        <v>38.333333333333336</v>
      </c>
      <c r="AM18" s="4">
        <f t="shared" si="10"/>
        <v>3</v>
      </c>
      <c r="AN18" s="2" t="str">
        <f t="shared" si="11"/>
        <v/>
      </c>
      <c r="AO18" s="12"/>
      <c r="AP18" s="5">
        <f t="shared" si="12"/>
        <v>4</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35</v>
      </c>
      <c r="K19" s="12">
        <v>35</v>
      </c>
      <c r="L19" s="12">
        <v>40</v>
      </c>
      <c r="M19" s="12"/>
      <c r="N19" s="12"/>
      <c r="O19" s="12"/>
      <c r="P19" s="2">
        <f t="shared" si="0"/>
        <v>36.666666666666664</v>
      </c>
      <c r="Q19" s="12"/>
      <c r="R19" s="3">
        <f t="shared" si="1"/>
        <v>36.666666666666664</v>
      </c>
      <c r="S19" s="12"/>
      <c r="T19" s="12"/>
      <c r="U19" s="55">
        <v>1</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36.666666666666664</v>
      </c>
      <c r="AK19" s="2" t="str">
        <f t="shared" si="8"/>
        <v/>
      </c>
      <c r="AL19" s="3">
        <f t="shared" si="9"/>
        <v>36.666666666666664</v>
      </c>
      <c r="AM19" s="4">
        <f t="shared" si="10"/>
        <v>3</v>
      </c>
      <c r="AN19" s="2" t="str">
        <f t="shared" si="11"/>
        <v/>
      </c>
      <c r="AO19" s="12"/>
      <c r="AP19" s="5">
        <f t="shared" si="12"/>
        <v>1</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100</v>
      </c>
      <c r="K20" s="12">
        <v>81</v>
      </c>
      <c r="L20" s="12">
        <v>90</v>
      </c>
      <c r="M20" s="12"/>
      <c r="N20" s="12"/>
      <c r="O20" s="12"/>
      <c r="P20" s="2">
        <f t="shared" si="0"/>
        <v>90.333333333333329</v>
      </c>
      <c r="Q20" s="12"/>
      <c r="R20" s="3">
        <f t="shared" si="1"/>
        <v>90.333333333333329</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90.333333333333329</v>
      </c>
      <c r="AK20" s="2" t="str">
        <f t="shared" si="8"/>
        <v/>
      </c>
      <c r="AL20" s="3">
        <f t="shared" si="9"/>
        <v>90.333333333333329</v>
      </c>
      <c r="AM20" s="4">
        <f t="shared" si="10"/>
        <v>5</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35</v>
      </c>
      <c r="K21" s="12">
        <v>45</v>
      </c>
      <c r="L21" s="12">
        <v>60</v>
      </c>
      <c r="M21" s="12"/>
      <c r="N21" s="12"/>
      <c r="O21" s="12"/>
      <c r="P21" s="2">
        <f t="shared" si="0"/>
        <v>46.666666666666664</v>
      </c>
      <c r="Q21" s="12"/>
      <c r="R21" s="3">
        <f t="shared" si="1"/>
        <v>46.666666666666664</v>
      </c>
      <c r="S21" s="12"/>
      <c r="T21" s="12"/>
      <c r="U21" s="55">
        <v>3</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46.666666666666664</v>
      </c>
      <c r="AK21" s="2" t="str">
        <f t="shared" si="8"/>
        <v/>
      </c>
      <c r="AL21" s="3">
        <f t="shared" si="9"/>
        <v>46.666666666666664</v>
      </c>
      <c r="AM21" s="4">
        <f t="shared" si="10"/>
        <v>3</v>
      </c>
      <c r="AN21" s="2" t="str">
        <f t="shared" si="11"/>
        <v/>
      </c>
      <c r="AO21" s="12"/>
      <c r="AP21" s="5">
        <f t="shared" si="12"/>
        <v>3</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40</v>
      </c>
      <c r="K22" s="12">
        <v>35</v>
      </c>
      <c r="L22" s="12">
        <v>45</v>
      </c>
      <c r="M22" s="12"/>
      <c r="N22" s="12"/>
      <c r="O22" s="12"/>
      <c r="P22" s="2">
        <f t="shared" si="0"/>
        <v>40</v>
      </c>
      <c r="Q22" s="12"/>
      <c r="R22" s="3">
        <f t="shared" si="1"/>
        <v>40</v>
      </c>
      <c r="S22" s="12"/>
      <c r="T22" s="12"/>
      <c r="U22" s="55">
        <v>1</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40</v>
      </c>
      <c r="AK22" s="2" t="str">
        <f t="shared" si="8"/>
        <v/>
      </c>
      <c r="AL22" s="3">
        <f t="shared" si="9"/>
        <v>40</v>
      </c>
      <c r="AM22" s="4">
        <f t="shared" si="10"/>
        <v>3</v>
      </c>
      <c r="AN22" s="2" t="str">
        <f t="shared" si="11"/>
        <v/>
      </c>
      <c r="AO22" s="12"/>
      <c r="AP22" s="5">
        <f t="shared" si="12"/>
        <v>1</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85</v>
      </c>
      <c r="K23" s="12">
        <v>85</v>
      </c>
      <c r="L23" s="12">
        <v>90</v>
      </c>
      <c r="M23" s="12"/>
      <c r="N23" s="12"/>
      <c r="O23" s="12"/>
      <c r="P23" s="2">
        <f t="shared" si="0"/>
        <v>86.666666666666671</v>
      </c>
      <c r="Q23" s="12"/>
      <c r="R23" s="3">
        <f t="shared" si="1"/>
        <v>86.666666666666671</v>
      </c>
      <c r="S23" s="12"/>
      <c r="T23" s="12"/>
      <c r="U23" s="55">
        <v>2</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86.666666666666671</v>
      </c>
      <c r="AK23" s="2" t="str">
        <f t="shared" si="8"/>
        <v/>
      </c>
      <c r="AL23" s="3">
        <f t="shared" si="9"/>
        <v>86.666666666666671</v>
      </c>
      <c r="AM23" s="4">
        <f t="shared" si="10"/>
        <v>5</v>
      </c>
      <c r="AN23" s="2" t="str">
        <f t="shared" si="11"/>
        <v/>
      </c>
      <c r="AO23" s="12"/>
      <c r="AP23" s="5">
        <f t="shared" si="12"/>
        <v>2</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55</v>
      </c>
      <c r="K24" s="12">
        <v>55</v>
      </c>
      <c r="L24" s="12">
        <v>31</v>
      </c>
      <c r="M24" s="12"/>
      <c r="N24" s="12"/>
      <c r="O24" s="12"/>
      <c r="P24" s="2">
        <f t="shared" si="0"/>
        <v>47</v>
      </c>
      <c r="Q24" s="12"/>
      <c r="R24" s="3">
        <f t="shared" si="1"/>
        <v>47</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47</v>
      </c>
      <c r="AK24" s="2" t="str">
        <f t="shared" si="8"/>
        <v/>
      </c>
      <c r="AL24" s="3">
        <f t="shared" si="9"/>
        <v>47</v>
      </c>
      <c r="AM24" s="4">
        <f t="shared" si="10"/>
        <v>3</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35</v>
      </c>
      <c r="K25" s="12">
        <v>31</v>
      </c>
      <c r="L25" s="12">
        <v>35</v>
      </c>
      <c r="M25" s="12"/>
      <c r="N25" s="12"/>
      <c r="O25" s="12"/>
      <c r="P25" s="2">
        <f t="shared" si="0"/>
        <v>33.666666666666664</v>
      </c>
      <c r="Q25" s="12"/>
      <c r="R25" s="3">
        <f t="shared" si="1"/>
        <v>33.666666666666664</v>
      </c>
      <c r="S25" s="12"/>
      <c r="T25" s="12"/>
      <c r="U25" s="55">
        <v>1</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33.666666666666664</v>
      </c>
      <c r="AK25" s="2" t="str">
        <f t="shared" si="8"/>
        <v/>
      </c>
      <c r="AL25" s="3">
        <f t="shared" si="9"/>
        <v>33.666666666666664</v>
      </c>
      <c r="AM25" s="4">
        <f t="shared" si="10"/>
        <v>3</v>
      </c>
      <c r="AN25" s="2" t="str">
        <f t="shared" si="11"/>
        <v/>
      </c>
      <c r="AO25" s="12"/>
      <c r="AP25" s="5">
        <f t="shared" si="12"/>
        <v>1</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60.476190476190474</v>
      </c>
      <c r="K55" s="23">
        <f t="shared" si="17"/>
        <v>55.333333333333336</v>
      </c>
      <c r="L55" s="23">
        <f t="shared" si="17"/>
        <v>55.285714285714285</v>
      </c>
      <c r="M55" s="23" t="str">
        <f t="shared" si="17"/>
        <v/>
      </c>
      <c r="N55" s="23" t="str">
        <f t="shared" si="17"/>
        <v/>
      </c>
      <c r="O55" s="23" t="str">
        <f t="shared" si="17"/>
        <v/>
      </c>
      <c r="P55" s="23">
        <f t="shared" si="17"/>
        <v>57.031746031746039</v>
      </c>
      <c r="Q55" s="23" t="str">
        <f t="shared" si="17"/>
        <v/>
      </c>
      <c r="R55" s="23">
        <f t="shared" si="17"/>
        <v>57.031746031746039</v>
      </c>
      <c r="S55" s="23" t="str">
        <f t="shared" si="17"/>
        <v/>
      </c>
      <c r="T55" s="23" t="str">
        <f t="shared" si="17"/>
        <v/>
      </c>
      <c r="U55" s="24">
        <f>IFERROR(SUM(U5:U54),"")</f>
        <v>28</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57.031746031746039</v>
      </c>
      <c r="AK55" s="23" t="str">
        <f t="shared" ref="AK55" si="21">IFERROR(AVERAGE(AK5:AK54),"")</f>
        <v/>
      </c>
      <c r="AL55" s="23">
        <f t="shared" ref="AL55" si="22">IFERROR(AVERAGE(AL5:AL54),"")</f>
        <v>57.031746031746039</v>
      </c>
      <c r="AM55" s="24">
        <f>IF(AL55&lt;=30,2,IF(AL55&lt;=60,3,IF(AL55&lt;=80,4,IF(AL55&lt;=100,5,""))))</f>
        <v>3</v>
      </c>
      <c r="AN55" s="23" t="str">
        <f>IFERROR(AVERAGE(AN5:AN54),"")</f>
        <v/>
      </c>
      <c r="AO55" s="23" t="str">
        <f>IFERROR(AVERAGE(AO5:AO54),"")</f>
        <v/>
      </c>
      <c r="AP55" s="24">
        <f>IFERROR(SUM(AP5:AP54),"")</f>
        <v>28</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7</v>
      </c>
      <c r="K57" s="6">
        <f t="shared" si="24"/>
        <v>6</v>
      </c>
      <c r="L57" s="6">
        <f t="shared" si="24"/>
        <v>5</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1</v>
      </c>
      <c r="L58" s="6">
        <f t="shared" si="27"/>
        <v>2</v>
      </c>
      <c r="M58" s="6">
        <f t="shared" si="27"/>
        <v>0</v>
      </c>
      <c r="N58" s="6">
        <f t="shared" si="27"/>
        <v>0</v>
      </c>
      <c r="O58" s="6">
        <f t="shared" si="27"/>
        <v>0</v>
      </c>
      <c r="P58" s="6">
        <f t="shared" si="27"/>
        <v>1</v>
      </c>
      <c r="Q58" s="6">
        <f t="shared" si="27"/>
        <v>0</v>
      </c>
      <c r="R58" s="6">
        <f t="shared" si="27"/>
        <v>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v>
      </c>
      <c r="AK58" s="6">
        <f t="shared" si="27"/>
        <v>0</v>
      </c>
      <c r="AL58" s="6">
        <f t="shared" si="27"/>
        <v>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14</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33.333333333333336</v>
      </c>
      <c r="K62" s="8">
        <f t="shared" si="39"/>
        <v>28.571428571428573</v>
      </c>
      <c r="L62" s="8">
        <f t="shared" si="39"/>
        <v>23.80952380952381</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28.571428571428573</v>
      </c>
      <c r="AK62" s="8" t="str">
        <f t="shared" si="39"/>
        <v/>
      </c>
      <c r="AL62" s="8">
        <f t="shared" si="39"/>
        <v>28.571428571428573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0</v>
      </c>
      <c r="K63" s="8">
        <f t="shared" si="42"/>
        <v>4.7619047619047619</v>
      </c>
      <c r="L63" s="8">
        <f t="shared" si="42"/>
        <v>9.5238095238095237</v>
      </c>
      <c r="M63" s="8" t="str">
        <f t="shared" si="42"/>
        <v/>
      </c>
      <c r="N63" s="8" t="str">
        <f t="shared" si="42"/>
        <v/>
      </c>
      <c r="O63" s="8" t="str">
        <f t="shared" si="42"/>
        <v/>
      </c>
      <c r="P63" s="8">
        <f t="shared" si="42"/>
        <v>4.7619047619047619</v>
      </c>
      <c r="Q63" s="8" t="str">
        <f t="shared" si="42"/>
        <v/>
      </c>
      <c r="R63" s="8">
        <f t="shared" si="42"/>
        <v>4.7619047619047619</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4.7619047619047619</v>
      </c>
      <c r="AK63" s="8" t="str">
        <f t="shared" si="42"/>
        <v/>
      </c>
      <c r="AL63" s="8">
        <f t="shared" si="42"/>
        <v>4.7619047619047619</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66.666666666666671</v>
      </c>
      <c r="K64" s="8">
        <f t="shared" si="45"/>
        <v>66.666666666666671</v>
      </c>
      <c r="L64" s="8">
        <f t="shared" si="45"/>
        <v>66.666666666666671</v>
      </c>
      <c r="M64" s="8" t="str">
        <f t="shared" si="45"/>
        <v/>
      </c>
      <c r="N64" s="8" t="str">
        <f t="shared" si="45"/>
        <v/>
      </c>
      <c r="O64" s="8" t="str">
        <f t="shared" si="45"/>
        <v/>
      </c>
      <c r="P64" s="8">
        <f t="shared" si="45"/>
        <v>66.666666666666671</v>
      </c>
      <c r="Q64" s="8" t="str">
        <f t="shared" si="45"/>
        <v/>
      </c>
      <c r="R64" s="8">
        <f t="shared" si="45"/>
        <v>66.666666666666671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66.666666666666671</v>
      </c>
      <c r="AK64" s="8" t="str">
        <f t="shared" si="45"/>
        <v/>
      </c>
      <c r="AL64" s="8">
        <f t="shared" si="45"/>
        <v>66.666666666666671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2024-03-21T06:49:32Z</dcterms:modified>
</cp:coreProperties>
</file>