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08" yWindow="-108" windowWidth="23256" windowHeight="12456"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<sst xmlns="http://schemas.openxmlformats.org/spreadsheetml/2006/main" count="259" uniqueCount="187">
  <si>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</si>
  <si>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</si>
  <si>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</si>
  <si>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</si>
  <si>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</si>
  <si>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</si>
  <si>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</si>
  <si>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</si>
  <si>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</si>
  <si>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</si>
  <si>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</si>
  <si>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</si>
  <si>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</si>
  <si>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</si>
  <si>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</si>
  <si>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</si>
  <si>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</si>
  <si>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</si>
  <si>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</si>
  <si>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</si>
  <si>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</si>
  <si>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</si>
  <si>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</si>
  <si>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</si>
  <si>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</si>
  <si>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</si>
  <si>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</si>
  <si>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</si>
  <si>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</si>
  <si>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</si>
  <si>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</si>
  <si>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</si>
  <si>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</si>
  <si>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</si>
  <si>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</si>
  <si>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</si>
  <si>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</si>
  <si>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</si>
  <si>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</si>
  <si>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</si>
  <si>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</si>
  <si>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</si>
  <si>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</si>
  <si>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</si>
  <si>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</si>
  <si>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</si>
  <si>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</si>
  <si>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</si>
  <si>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</si>
  <si>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</si>
  <si>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</si>
  <si>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</si>
  <si>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</si>
  <si>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</si>
  <si>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</si>
  <si>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</si>
  <si>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</si>
  <si>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</si>
  <si>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</si>
  <si>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</si>
  <si>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</si>
  <si>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</si>
  <si>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</si>
  <si>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</si>
  <si>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</si>
  <si>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</si>
  <si>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</si>
  <si>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</si>
  <si>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</si>
  <si>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</si>
  <si>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</si>
  <si>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</si>
  <si>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</si>
  <si>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</si>
  <si>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</si>
  <si>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</si>
  <si>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</si>
  <si>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</si>
  <si>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</si>
  <si>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</si>
  <si>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</si>
  <si>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</si>
  <si>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</si>
  <si>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</si>
  <si>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</si>
  <si>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</si>
  <si>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</si>
  <si>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</si>
  <si>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</si>
  <si>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</si>
  <si>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</si>
  <si>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</si>
  <si>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</si>
  <si>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</si>
  <si>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</si>
  <si>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</si>
  <si>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</si>
  <si>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</si>
  <si>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</si>
  <si>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</si>
  <si>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</si>
  <si>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</si>
  <si>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</si>
  <si>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</si>
  <si>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</si>
  <si>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</si>
  <si>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</si>
  <si>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</si>
  <si>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</si>
  <si>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</si>
  <si>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</si>
  <si>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</si>
  <si>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</si>
  <si>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</si>
  <si>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</si>
  <si>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</si>
  <si>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</si>
  <si>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</si>
  <si>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</si>
  <si>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</si>
  <si>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</si>
  <si>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</si>
  <si>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Abaszadə</t>
  </si>
  <si>
    <t>Yasin</t>
  </si>
  <si>
    <t xml:space="preserve">Taleh </t>
  </si>
  <si>
    <t>Ağa</t>
  </si>
  <si>
    <t>Ayxan</t>
  </si>
  <si>
    <t xml:space="preserve">Orxan </t>
  </si>
  <si>
    <t>Ağazadə</t>
  </si>
  <si>
    <t>Məryəm</t>
  </si>
  <si>
    <t xml:space="preserve">Eltun </t>
  </si>
  <si>
    <t>Əhmədova</t>
  </si>
  <si>
    <t>Ləman</t>
  </si>
  <si>
    <t xml:space="preserve">Şahin </t>
  </si>
  <si>
    <t>Əliyev</t>
  </si>
  <si>
    <t>Murad</t>
  </si>
  <si>
    <t xml:space="preserve">Tərlan </t>
  </si>
  <si>
    <t>Fərəcova</t>
  </si>
  <si>
    <t>Sevinc</t>
  </si>
  <si>
    <t>Elnur</t>
  </si>
  <si>
    <t>Hacaliyeva</t>
  </si>
  <si>
    <t>Sevgi</t>
  </si>
  <si>
    <t xml:space="preserve">Səbuhi </t>
  </si>
  <si>
    <t>Haqverdiyev</t>
  </si>
  <si>
    <t>Rihat</t>
  </si>
  <si>
    <t xml:space="preserve">Zaur </t>
  </si>
  <si>
    <t>Hüseynov</t>
  </si>
  <si>
    <t>Elmir</t>
  </si>
  <si>
    <t xml:space="preserve">Elşən </t>
  </si>
  <si>
    <t>İsayev</t>
  </si>
  <si>
    <t>Ömər</t>
  </si>
  <si>
    <t xml:space="preserve">Azər </t>
  </si>
  <si>
    <t>Qənbərov</t>
  </si>
  <si>
    <t>Səid</t>
  </si>
  <si>
    <t xml:space="preserve">Sakit </t>
  </si>
  <si>
    <t>Quliyev</t>
  </si>
  <si>
    <t xml:space="preserve">Aləm </t>
  </si>
  <si>
    <t>Mehtiyev</t>
  </si>
  <si>
    <t>Xəlil</t>
  </si>
  <si>
    <t xml:space="preserve">Saqil </t>
  </si>
  <si>
    <t>Mehtiyeva</t>
  </si>
  <si>
    <t>Sevil</t>
  </si>
  <si>
    <t>Məmmədov</t>
  </si>
  <si>
    <t>Elvir</t>
  </si>
  <si>
    <t xml:space="preserve">Rüstəm </t>
  </si>
  <si>
    <t>Məmmədova</t>
  </si>
  <si>
    <t>Elvira</t>
  </si>
  <si>
    <t>Möhbalıyeva</t>
  </si>
  <si>
    <t xml:space="preserve">Anar </t>
  </si>
  <si>
    <t>Murquzova</t>
  </si>
  <si>
    <t>Fidan</t>
  </si>
  <si>
    <t xml:space="preserve">Ceyhun </t>
  </si>
  <si>
    <t>Mürsəlzadə</t>
  </si>
  <si>
    <t>Sevda</t>
  </si>
  <si>
    <t xml:space="preserve">Samir </t>
  </si>
  <si>
    <t>Nəbiyev</t>
  </si>
  <si>
    <t>Osman</t>
  </si>
  <si>
    <t xml:space="preserve">Dəyanət </t>
  </si>
  <si>
    <t>Nəzirova</t>
  </si>
  <si>
    <t>Nuray</t>
  </si>
  <si>
    <t xml:space="preserve">Nurlan </t>
  </si>
  <si>
    <t>Osmanlı</t>
  </si>
  <si>
    <t>Hüseyn</t>
  </si>
  <si>
    <t>Səmədov</t>
  </si>
  <si>
    <t xml:space="preserve">Çingiz </t>
  </si>
  <si>
    <t>Şabanov</t>
  </si>
  <si>
    <t xml:space="preserve">Əfqan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</si>
</sst>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9732112"/>
        <c:axId val="339733288"/>
      </c:barChart>
      <c:catAx>
        <c:axId val="33973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9733288"/>
        <c:crosses val="autoZero"/>
        <c:auto val="1"/>
        <c:lblAlgn val="ctr"/>
        <c:lblOffset val="100"/>
        <c:noMultiLvlLbl val="0"/>
      </c:catAx>
      <c:valAx>
        <c:axId val="339733288"/>
        <c:scaling>
          <c:orientation val="minMax"/>
          <c:max val="100"/>
        </c:scaling>
        <c:delete val="1"/>
        <c:axPos val="l"/>
        <c:numFmt formatCode="0" sourceLinked="1"/>
        <c:majorTickMark val="none"/>
        <c:minorTickMark val="none"/>
        <c:tickLblPos val="nextTo"/>
        <c:crossAx val="339732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9732896"/>
        <c:axId val="339735248"/>
      </c:barChart>
      <c:catAx>
        <c:axId val="33973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9735248"/>
        <c:crosses val="autoZero"/>
        <c:auto val="1"/>
        <c:lblAlgn val="ctr"/>
        <c:lblOffset val="100"/>
        <c:noMultiLvlLbl val="0"/>
      </c:catAx>
      <c:valAx>
        <c:axId val="339735248"/>
        <c:scaling>
          <c:orientation val="minMax"/>
          <c:max val="110"/>
          <c:min val="0"/>
        </c:scaling>
        <c:delete val="1"/>
        <c:axPos val="l"/>
        <c:numFmt formatCode="0.00" sourceLinked="1"/>
        <c:majorTickMark val="out"/>
        <c:minorTickMark val="none"/>
        <c:tickLblPos val="nextTo"/>
        <c:crossAx val="33973289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5" zoomScaleNormal="55" workbookViewId="0">
      <pane xSplit="6" ySplit="4" topLeftCell="G5" activePane="bottomRight" state="frozen"/>
      <selection pane="topRight" activeCell="G1" sqref="G1"/>
      <selection pane="bottomLeft" activeCell="A5" sqref="A5"/>
      <selection pane="bottomRight" activeCell="A5" sqref="A5:E28"/>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c r="A5" s="49">
        <v>2</v>
      </c>
      <c r="B5" s="49" t="s">
        <v>121</v>
      </c>
      <c r="C5" s="49" t="s">
        <v>122</v>
      </c>
      <c r="D5" s="49" t="s">
        <v>123</v>
      </c>
      <c r="E5" s="50" t="s">
        <v>124</v>
      </c>
      <c r="F5" s="15"/>
      <c r="G5" s="16" t="str">
        <f>IF(F5="","",$G$4)</f>
        <v/>
      </c>
      <c r="H5" s="16" t="str">
        <f>IF(F5="","",$H$4)</f>
        <v/>
      </c>
      <c r="I5" s="17"/>
      <c r="J5" s="17"/>
      <c r="K5" s="17"/>
      <c r="L5" s="17"/>
      <c r="M5" s="17"/>
      <c r="N5" s="17"/>
      <c r="O5" s="17"/>
      <c r="P5" s="18" t="str">
        <f t="shared" ref="P5:P36" si="0">IFERROR(AVERAGE(J5:O5),"")</f>
        <v/>
      </c>
      <c r="Q5" s="17"/>
      <c r="R5" s="19" t="str">
        <f t="shared" ref="R5:R36" si="1">IF(Q5="",P5,IF(P5="",Q5,P5*40/100+Q5*60/100))</f>
        <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t="e">
        <f>IF(AP5="","",(H5-AP5)*100/H5)</f>
        <v>#VALUE!</v>
      </c>
    </row>
    <row r="6" spans="1:43" ht="18.149999999999999" customHeight="1">
      <c r="A6" s="49">
        <v>2</v>
      </c>
      <c r="B6" s="49" t="s">
        <v>121</v>
      </c>
      <c r="C6" s="49" t="s">
        <v>125</v>
      </c>
      <c r="D6" s="49" t="s">
        <v>126</v>
      </c>
      <c r="E6" s="50" t="s">
        <v>127</v>
      </c>
      <c r="F6" s="27"/>
      <c r="G6" s="1" t="str">
        <f t="shared" ref="G6:G54" si="4">IF(F6="","",$G$4)</f>
        <v/>
      </c>
      <c r="H6" s="1" t="str">
        <f t="shared" ref="H6:H54" si="5">IF(F6="","",$H$4)</f>
        <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t="e">
        <f t="shared" ref="AQ6:AQ54" si="13">IF(AP6="","",(H6-AP6)*100/H6)</f>
        <v>#VALUE!</v>
      </c>
    </row>
    <row r="7" spans="1:43" ht="18.149999999999999" customHeight="1">
      <c r="A7" s="49">
        <v>2</v>
      </c>
      <c r="B7" s="49" t="s">
        <v>121</v>
      </c>
      <c r="C7" s="49" t="s">
        <v>128</v>
      </c>
      <c r="D7" s="49" t="s">
        <v>129</v>
      </c>
      <c r="E7" s="50" t="s">
        <v>130</v>
      </c>
      <c r="F7" s="27"/>
      <c r="G7" s="1" t="str">
        <f t="shared" si="4"/>
        <v/>
      </c>
      <c r="H7" s="1" t="str">
        <f t="shared" si="5"/>
        <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t="e">
        <f t="shared" si="13"/>
        <v>#VALUE!</v>
      </c>
    </row>
    <row r="8" spans="1:43" ht="18.149999999999999" customHeight="1">
      <c r="A8" s="49">
        <v>2</v>
      </c>
      <c r="B8" s="49" t="s">
        <v>121</v>
      </c>
      <c r="C8" s="49" t="s">
        <v>131</v>
      </c>
      <c r="D8" s="49" t="s">
        <v>132</v>
      </c>
      <c r="E8" s="50" t="s">
        <v>133</v>
      </c>
      <c r="F8" s="27"/>
      <c r="G8" s="1" t="str">
        <f t="shared" si="4"/>
        <v/>
      </c>
      <c r="H8" s="1" t="str">
        <f t="shared" si="5"/>
        <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t="e">
        <f t="shared" si="13"/>
        <v>#VALUE!</v>
      </c>
    </row>
    <row r="9" spans="1:43" ht="18.149999999999999" customHeight="1">
      <c r="A9" s="49">
        <v>2</v>
      </c>
      <c r="B9" s="49" t="s">
        <v>121</v>
      </c>
      <c r="C9" s="49" t="s">
        <v>134</v>
      </c>
      <c r="D9" s="49" t="s">
        <v>135</v>
      </c>
      <c r="E9" s="50" t="s">
        <v>136</v>
      </c>
      <c r="F9" s="27"/>
      <c r="G9" s="1" t="str">
        <f t="shared" si="4"/>
        <v/>
      </c>
      <c r="H9" s="1" t="str">
        <f t="shared" si="5"/>
        <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t="e">
        <f t="shared" si="13"/>
        <v>#VALUE!</v>
      </c>
    </row>
    <row r="10" spans="1:43" ht="18.149999999999999" customHeight="1">
      <c r="A10" s="49">
        <v>2</v>
      </c>
      <c r="B10" s="49" t="s">
        <v>121</v>
      </c>
      <c r="C10" s="49" t="s">
        <v>137</v>
      </c>
      <c r="D10" s="49" t="s">
        <v>138</v>
      </c>
      <c r="E10" s="50" t="s">
        <v>139</v>
      </c>
      <c r="F10" s="27"/>
      <c r="G10" s="1" t="str">
        <f t="shared" si="4"/>
        <v/>
      </c>
      <c r="H10" s="1" t="str">
        <f t="shared" si="5"/>
        <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t="e">
        <f t="shared" si="13"/>
        <v>#VALUE!</v>
      </c>
    </row>
    <row r="11" spans="1:43" ht="18.149999999999999" customHeight="1">
      <c r="A11" s="49">
        <v>2</v>
      </c>
      <c r="B11" s="49" t="s">
        <v>121</v>
      </c>
      <c r="C11" s="49" t="s">
        <v>140</v>
      </c>
      <c r="D11" s="49" t="s">
        <v>141</v>
      </c>
      <c r="E11" s="50" t="s">
        <v>142</v>
      </c>
      <c r="F11" s="27"/>
      <c r="G11" s="1" t="str">
        <f t="shared" si="4"/>
        <v/>
      </c>
      <c r="H11" s="1" t="str">
        <f t="shared" si="5"/>
        <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t="e">
        <f t="shared" si="13"/>
        <v>#VALUE!</v>
      </c>
    </row>
    <row r="12" spans="1:43" ht="18.149999999999999" customHeight="1">
      <c r="A12" s="49">
        <v>2</v>
      </c>
      <c r="B12" s="49" t="s">
        <v>121</v>
      </c>
      <c r="C12" s="49" t="s">
        <v>143</v>
      </c>
      <c r="D12" s="49" t="s">
        <v>144</v>
      </c>
      <c r="E12" s="50" t="s">
        <v>145</v>
      </c>
      <c r="F12" s="27"/>
      <c r="G12" s="1" t="str">
        <f t="shared" si="4"/>
        <v/>
      </c>
      <c r="H12" s="1" t="str">
        <f t="shared" si="5"/>
        <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t="e">
        <f t="shared" si="13"/>
        <v>#VALUE!</v>
      </c>
    </row>
    <row r="13" spans="1:43" ht="18.149999999999999" customHeight="1">
      <c r="A13" s="49">
        <v>2</v>
      </c>
      <c r="B13" s="49" t="s">
        <v>121</v>
      </c>
      <c r="C13" s="49" t="s">
        <v>146</v>
      </c>
      <c r="D13" s="49" t="s">
        <v>147</v>
      </c>
      <c r="E13" s="50" t="s">
        <v>148</v>
      </c>
      <c r="F13" s="27"/>
      <c r="G13" s="1" t="str">
        <f t="shared" si="4"/>
        <v/>
      </c>
      <c r="H13" s="1" t="str">
        <f t="shared" si="5"/>
        <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t="e">
        <f t="shared" si="13"/>
        <v>#VALUE!</v>
      </c>
    </row>
    <row r="14" spans="1:43" ht="18.149999999999999" customHeight="1">
      <c r="A14" s="49">
        <v>2</v>
      </c>
      <c r="B14" s="49" t="s">
        <v>121</v>
      </c>
      <c r="C14" s="49" t="s">
        <v>149</v>
      </c>
      <c r="D14" s="49" t="s">
        <v>150</v>
      </c>
      <c r="E14" s="50" t="s">
        <v>151</v>
      </c>
      <c r="F14" s="27"/>
      <c r="G14" s="1" t="str">
        <f t="shared" si="4"/>
        <v/>
      </c>
      <c r="H14" s="1" t="str">
        <f t="shared" si="5"/>
        <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t="e">
        <f t="shared" si="13"/>
        <v>#VALUE!</v>
      </c>
    </row>
    <row r="15" spans="1:43" ht="18.149999999999999" customHeight="1">
      <c r="A15" s="49">
        <v>2</v>
      </c>
      <c r="B15" s="49" t="s">
        <v>121</v>
      </c>
      <c r="C15" s="49" t="s">
        <v>152</v>
      </c>
      <c r="D15" s="49" t="s">
        <v>153</v>
      </c>
      <c r="E15" s="50" t="s">
        <v>154</v>
      </c>
      <c r="F15" s="27"/>
      <c r="G15" s="1" t="str">
        <f t="shared" si="4"/>
        <v/>
      </c>
      <c r="H15" s="1" t="str">
        <f t="shared" si="5"/>
        <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t="e">
        <f t="shared" si="13"/>
        <v>#VALUE!</v>
      </c>
    </row>
    <row r="16" spans="1:43" ht="18.149999999999999" customHeight="1">
      <c r="A16" s="49">
        <v>2</v>
      </c>
      <c r="B16" s="49" t="s">
        <v>121</v>
      </c>
      <c r="C16" s="49" t="s">
        <v>155</v>
      </c>
      <c r="D16" s="49" t="s">
        <v>135</v>
      </c>
      <c r="E16" s="50" t="s">
        <v>156</v>
      </c>
      <c r="F16" s="27"/>
      <c r="G16" s="1" t="str">
        <f t="shared" si="4"/>
        <v/>
      </c>
      <c r="H16" s="1" t="str">
        <f t="shared" si="5"/>
        <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t="e">
        <f t="shared" si="13"/>
        <v>#VALUE!</v>
      </c>
    </row>
    <row r="17" spans="1:43" ht="18.149999999999999" customHeight="1">
      <c r="A17" s="49">
        <v>2</v>
      </c>
      <c r="B17" s="49" t="s">
        <v>121</v>
      </c>
      <c r="C17" s="49" t="s">
        <v>157</v>
      </c>
      <c r="D17" s="49" t="s">
        <v>158</v>
      </c>
      <c r="E17" s="50" t="s">
        <v>159</v>
      </c>
      <c r="F17" s="27"/>
      <c r="G17" s="1" t="str">
        <f t="shared" si="4"/>
        <v/>
      </c>
      <c r="H17" s="1" t="str">
        <f t="shared" si="5"/>
        <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t="e">
        <f t="shared" si="13"/>
        <v>#VALUE!</v>
      </c>
    </row>
    <row r="18" spans="1:43" ht="18.149999999999999" customHeight="1">
      <c r="A18" s="49">
        <v>2</v>
      </c>
      <c r="B18" s="49" t="s">
        <v>121</v>
      </c>
      <c r="C18" s="49" t="s">
        <v>160</v>
      </c>
      <c r="D18" s="49" t="s">
        <v>161</v>
      </c>
      <c r="E18" s="50" t="s">
        <v>159</v>
      </c>
      <c r="F18" s="27"/>
      <c r="G18" s="1" t="str">
        <f t="shared" si="4"/>
        <v/>
      </c>
      <c r="H18" s="1" t="str">
        <f t="shared" si="5"/>
        <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t="e">
        <f t="shared" si="13"/>
        <v>#VALUE!</v>
      </c>
    </row>
    <row r="19" spans="1:43" ht="18.149999999999999" customHeight="1">
      <c r="A19" s="49">
        <v>2</v>
      </c>
      <c r="B19" s="49" t="s">
        <v>121</v>
      </c>
      <c r="C19" s="49" t="s">
        <v>162</v>
      </c>
      <c r="D19" s="49" t="s">
        <v>163</v>
      </c>
      <c r="E19" s="50" t="s">
        <v>164</v>
      </c>
      <c r="F19" s="27"/>
      <c r="G19" s="1" t="str">
        <f t="shared" si="4"/>
        <v/>
      </c>
      <c r="H19" s="1" t="str">
        <f t="shared" si="5"/>
        <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t="e">
        <f t="shared" si="13"/>
        <v>#VALUE!</v>
      </c>
    </row>
    <row r="20" spans="1:43" ht="18.149999999999999" customHeight="1">
      <c r="A20" s="49">
        <v>2</v>
      </c>
      <c r="B20" s="49" t="s">
        <v>121</v>
      </c>
      <c r="C20" s="49" t="s">
        <v>165</v>
      </c>
      <c r="D20" s="49" t="s">
        <v>166</v>
      </c>
      <c r="E20" s="50" t="s">
        <v>164</v>
      </c>
      <c r="F20" s="27"/>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c r="A21" s="49">
        <v>2</v>
      </c>
      <c r="B21" s="49" t="s">
        <v>121</v>
      </c>
      <c r="C21" s="49" t="s">
        <v>167</v>
      </c>
      <c r="D21" s="49" t="s">
        <v>132</v>
      </c>
      <c r="E21" s="50" t="s">
        <v>168</v>
      </c>
      <c r="F21" s="27"/>
      <c r="G21" s="1" t="str">
        <f t="shared" si="4"/>
        <v/>
      </c>
      <c r="H21" s="1" t="str">
        <f t="shared" si="5"/>
        <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t="e">
        <f t="shared" si="13"/>
        <v>#VALUE!</v>
      </c>
    </row>
    <row r="22" spans="1:43" ht="18.149999999999999" customHeight="1">
      <c r="A22" s="49">
        <v>2</v>
      </c>
      <c r="B22" s="49" t="s">
        <v>121</v>
      </c>
      <c r="C22" s="49" t="s">
        <v>169</v>
      </c>
      <c r="D22" s="49" t="s">
        <v>170</v>
      </c>
      <c r="E22" s="50" t="s">
        <v>171</v>
      </c>
      <c r="F22" s="27"/>
      <c r="G22" s="1" t="str">
        <f t="shared" si="4"/>
        <v/>
      </c>
      <c r="H22" s="1" t="str">
        <f t="shared" si="5"/>
        <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t="e">
        <f t="shared" si="13"/>
        <v>#VALUE!</v>
      </c>
    </row>
    <row r="23" spans="1:43" ht="18.149999999999999" customHeight="1">
      <c r="A23" s="49">
        <v>2</v>
      </c>
      <c r="B23" s="49" t="s">
        <v>121</v>
      </c>
      <c r="C23" s="49" t="s">
        <v>172</v>
      </c>
      <c r="D23" s="49" t="s">
        <v>173</v>
      </c>
      <c r="E23" s="50" t="s">
        <v>174</v>
      </c>
      <c r="F23" s="27"/>
      <c r="G23" s="1" t="str">
        <f t="shared" si="4"/>
        <v/>
      </c>
      <c r="H23" s="1" t="str">
        <f t="shared" si="5"/>
        <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t="e">
        <f t="shared" si="13"/>
        <v>#VALUE!</v>
      </c>
    </row>
    <row r="24" spans="1:43" ht="18.149999999999999" customHeight="1">
      <c r="A24" s="49">
        <v>2</v>
      </c>
      <c r="B24" s="49" t="s">
        <v>121</v>
      </c>
      <c r="C24" s="49" t="s">
        <v>175</v>
      </c>
      <c r="D24" s="49" t="s">
        <v>176</v>
      </c>
      <c r="E24" s="50" t="s">
        <v>177</v>
      </c>
      <c r="F24" s="27"/>
      <c r="G24" s="1" t="str">
        <f t="shared" si="4"/>
        <v/>
      </c>
      <c r="H24" s="1" t="str">
        <f t="shared" si="5"/>
        <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t="e">
        <f t="shared" si="13"/>
        <v>#VALUE!</v>
      </c>
    </row>
    <row r="25" spans="1:43" ht="18.149999999999999" customHeight="1">
      <c r="A25" s="49">
        <v>2</v>
      </c>
      <c r="B25" s="49" t="s">
        <v>121</v>
      </c>
      <c r="C25" s="49" t="s">
        <v>178</v>
      </c>
      <c r="D25" s="49" t="s">
        <v>179</v>
      </c>
      <c r="E25" s="50" t="s">
        <v>180</v>
      </c>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t="e">
        <f t="shared" si="13"/>
        <v>#VALUE!</v>
      </c>
    </row>
    <row r="26" spans="1:43" ht="18.149999999999999" customHeight="1">
      <c r="A26" s="49">
        <v>2</v>
      </c>
      <c r="B26" s="49" t="s">
        <v>121</v>
      </c>
      <c r="C26" s="49" t="s">
        <v>181</v>
      </c>
      <c r="D26" s="49" t="s">
        <v>182</v>
      </c>
      <c r="E26" s="50" t="s">
        <v>148</v>
      </c>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t="e">
        <f t="shared" si="13"/>
        <v>#VALUE!</v>
      </c>
    </row>
    <row r="27" spans="1:43" ht="18.149999999999999" customHeight="1">
      <c r="A27" s="49">
        <v>2</v>
      </c>
      <c r="B27" s="49" t="s">
        <v>121</v>
      </c>
      <c r="C27" s="49" t="s">
        <v>183</v>
      </c>
      <c r="D27" s="49" t="s">
        <v>135</v>
      </c>
      <c r="E27" s="50" t="s">
        <v>184</v>
      </c>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t="e">
        <f t="shared" si="13"/>
        <v>#VALUE!</v>
      </c>
    </row>
    <row r="28" spans="1:43" ht="18.149999999999999" customHeight="1">
      <c r="A28" s="49">
        <v>2</v>
      </c>
      <c r="B28" s="49" t="s">
        <v>121</v>
      </c>
      <c r="C28" s="49" t="s">
        <v>185</v>
      </c>
      <c r="D28" s="49" t="s">
        <v>182</v>
      </c>
      <c r="E28" s="50" t="s">
        <v>186</v>
      </c>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f t="shared" si="12"/>
        <v>0</v>
      </c>
      <c r="AQ28" s="28" t="e">
        <f t="shared" si="13"/>
        <v>#VALUE!</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t="str">
        <f>IF(G4="","",$G$4)</f>
        <v/>
      </c>
      <c r="H55" s="22" t="str">
        <f>IF(H4="","",$H$4)</f>
        <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t="str">
        <f t="shared" ref="AQ55" si="23">IFERROR(AVERAGE(AQ5:AQ54),"")</f>
        <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2024-01-30T19:20:51Z</dcterms:modified>
</cp:coreProperties>
</file>