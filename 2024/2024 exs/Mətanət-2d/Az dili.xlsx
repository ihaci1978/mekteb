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<sst xmlns="http://schemas.openxmlformats.org/spreadsheetml/2006/main" count="259" uniqueCount="187">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</sst>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54.166666666666664</c:v>
                </c:pt>
                <c:pt idx="2">
                  <c:v>0</c:v>
                </c:pt>
                <c:pt idx="3">
                  <c:v>54.166666666666664</c:v>
                </c:pt>
                <c:pt idx="4">
                  <c:v>0</c:v>
                </c:pt>
                <c:pt idx="5">
                  <c:v>0</c:v>
                </c:pt>
                <c:pt idx="6">
                  <c:v>0</c:v>
                </c:pt>
                <c:pt idx="7">
                  <c:v>0</c:v>
                </c:pt>
                <c:pt idx="8">
                  <c:v>0</c:v>
                </c:pt>
                <c:pt idx="9">
                  <c:v>0</c:v>
                </c:pt>
                <c:pt idx="10">
                  <c:v>0</c:v>
                </c:pt>
                <c:pt idx="11">
                  <c:v>54.166666666666664</c:v>
                </c:pt>
                <c:pt idx="12">
                  <c:v>0</c:v>
                </c:pt>
                <c:pt idx="13">
                  <c:v>54.166666666666664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20.833333333333332</c:v>
                </c:pt>
                <c:pt idx="2">
                  <c:v>0</c:v>
                </c:pt>
                <c:pt idx="3">
                  <c:v>20.833333333333332</c:v>
                </c:pt>
                <c:pt idx="4">
                  <c:v>0</c:v>
                </c:pt>
                <c:pt idx="5">
                  <c:v>0</c:v>
                </c:pt>
                <c:pt idx="6">
                  <c:v>0</c:v>
                </c:pt>
                <c:pt idx="7">
                  <c:v>0</c:v>
                </c:pt>
                <c:pt idx="8">
                  <c:v>0</c:v>
                </c:pt>
                <c:pt idx="9">
                  <c:v>0</c:v>
                </c:pt>
                <c:pt idx="10">
                  <c:v>0</c:v>
                </c:pt>
                <c:pt idx="11">
                  <c:v>20.833333333333332</c:v>
                </c:pt>
                <c:pt idx="12">
                  <c:v>0</c:v>
                </c:pt>
                <c:pt idx="13">
                  <c:v>20.833333333333332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56034456"/>
        <c:axId val="256033672"/>
      </c:barChart>
      <c:catAx>
        <c:axId val="25603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56033672"/>
        <c:crosses val="autoZero"/>
        <c:auto val="1"/>
        <c:lblAlgn val="ctr"/>
        <c:lblOffset val="100"/>
        <c:noMultiLvlLbl val="0"/>
      </c:catAx>
      <c:valAx>
        <c:axId val="256033672"/>
        <c:scaling>
          <c:orientation val="minMax"/>
          <c:max val="100"/>
        </c:scaling>
        <c:delete val="1"/>
        <c:axPos val="l"/>
        <c:numFmt formatCode="0" sourceLinked="1"/>
        <c:majorTickMark val="none"/>
        <c:minorTickMark val="none"/>
        <c:tickLblPos val="nextTo"/>
        <c:crossAx val="256034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58.21875</c:v>
                </c:pt>
                <c:pt idx="2">
                  <c:v>0</c:v>
                </c:pt>
                <c:pt idx="3">
                  <c:v>58.21875</c:v>
                </c:pt>
                <c:pt idx="4">
                  <c:v>0</c:v>
                </c:pt>
                <c:pt idx="5">
                  <c:v>0</c:v>
                </c:pt>
                <c:pt idx="6">
                  <c:v>0</c:v>
                </c:pt>
                <c:pt idx="7">
                  <c:v>0</c:v>
                </c:pt>
                <c:pt idx="8">
                  <c:v>0</c:v>
                </c:pt>
                <c:pt idx="9">
                  <c:v>0</c:v>
                </c:pt>
                <c:pt idx="10">
                  <c:v>0</c:v>
                </c:pt>
                <c:pt idx="11">
                  <c:v>58.21875</c:v>
                </c:pt>
                <c:pt idx="12">
                  <c:v>0</c:v>
                </c:pt>
                <c:pt idx="13">
                  <c:v>58.21875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56029752"/>
        <c:axId val="256031320"/>
      </c:barChart>
      <c:catAx>
        <c:axId val="256029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56031320"/>
        <c:crosses val="autoZero"/>
        <c:auto val="1"/>
        <c:lblAlgn val="ctr"/>
        <c:lblOffset val="100"/>
        <c:noMultiLvlLbl val="0"/>
      </c:catAx>
      <c:valAx>
        <c:axId val="256031320"/>
        <c:scaling>
          <c:orientation val="minMax"/>
          <c:max val="110"/>
          <c:min val="0"/>
        </c:scaling>
        <c:delete val="1"/>
        <c:axPos val="l"/>
        <c:numFmt formatCode="0.00" sourceLinked="1"/>
        <c:majorTickMark val="out"/>
        <c:minorTickMark val="none"/>
        <c:tickLblPos val="nextTo"/>
        <c:crossAx val="2560297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5" activePane="bottomRight" state="frozen"/>
      <selection pane="topRight" activeCell="G1" sqref="G1"/>
      <selection pane="bottomLeft" activeCell="A5" sqref="A5"/>
      <selection pane="bottomRight" activeCell="O10" sqref="O1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101</v>
      </c>
      <c r="H4" s="13">
        <v>158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2</v>
      </c>
      <c r="B5" s="49" t="s">
        <v>121</v>
      </c>
      <c r="C5" s="49" t="s">
        <v>122</v>
      </c>
      <c r="D5" s="49" t="s">
        <v>123</v>
      </c>
      <c r="E5" s="50" t="s">
        <v>124</v>
      </c>
      <c r="F5" s="15">
        <v>2853056</v>
      </c>
      <c r="G5" s="16">
        <f>IF(F5="","",$G$4)</f>
        <v>101</v>
      </c>
      <c r="H5" s="16">
        <f>IF(F5="","",$H$4)</f>
        <v>158</v>
      </c>
      <c r="I5" s="17"/>
      <c r="J5" s="17">
        <v>46</v>
      </c>
      <c r="K5" s="17">
        <v>62</v>
      </c>
      <c r="L5" s="17">
        <v>63</v>
      </c>
      <c r="M5" s="17">
        <v>85</v>
      </c>
      <c r="N5" s="17"/>
      <c r="O5" s="17"/>
      <c r="P5" s="18">
        <f t="shared" ref="P5:P36" si="0">IFERROR(AVERAGE(J5:O5),"")</f>
        <v>64</v>
      </c>
      <c r="Q5" s="17"/>
      <c r="R5" s="19">
        <f t="shared" ref="R5:R36" si="1">IF(Q5="",P5,IF(P5="",Q5,P5*40/100+Q5*60/100))</f>
        <v>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64</v>
      </c>
      <c r="AK5" s="18" t="str">
        <f>IFERROR(AVERAGE(Q5,AD5),"")</f>
        <v/>
      </c>
      <c r="AL5" s="19">
        <f>IFERROR(AVERAGE(R5,AE5),"")</f>
        <v>64</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2853056</v>
      </c>
      <c r="G6" s="1">
        <f t="shared" ref="G6:G54" si="4">IF(F6="","",$G$4)</f>
        <v>101</v>
      </c>
      <c r="H6" s="1">
        <f t="shared" ref="H6:H54" si="5">IF(F6="","",$H$4)</f>
        <v>158</v>
      </c>
      <c r="I6" s="12"/>
      <c r="J6" s="12">
        <v>68</v>
      </c>
      <c r="K6" s="12">
        <v>82</v>
      </c>
      <c r="L6" s="12">
        <v>82</v>
      </c>
      <c r="M6" s="12">
        <v>100</v>
      </c>
      <c r="N6" s="12"/>
      <c r="O6" s="12"/>
      <c r="P6" s="2">
        <f t="shared" si="0"/>
        <v>83</v>
      </c>
      <c r="Q6" s="12"/>
      <c r="R6" s="3">
        <f t="shared" si="1"/>
        <v>83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83</v>
      </c>
      <c r="AK6" s="2" t="str">
        <f t="shared" ref="AK6:AK54" si="8">IFERROR(AVERAGE(Q6,AD6),"")</f>
        <v/>
      </c>
      <c r="AL6" s="3">
        <f t="shared" ref="AL6:AL54" si="9">IFERROR(AVERAGE(R6,AE6),"")</f>
        <v>83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2853056</v>
      </c>
      <c r="G7" s="1">
        <f t="shared" si="4"/>
        <v>101</v>
      </c>
      <c r="H7" s="1">
        <f t="shared" si="5"/>
        <v>158</v>
      </c>
      <c r="I7" s="12"/>
      <c r="J7" s="12">
        <v>48</v>
      </c>
      <c r="K7" s="12">
        <v>84</v>
      </c>
      <c r="L7" s="12">
        <v>90</v>
      </c>
      <c r="M7" s="12">
        <v>100</v>
      </c>
      <c r="N7" s="12"/>
      <c r="O7" s="12"/>
      <c r="P7" s="2">
        <f t="shared" si="0"/>
        <v>80.5</v>
      </c>
      <c r="Q7" s="12"/>
      <c r="R7" s="3">
        <f t="shared" si="1"/>
        <v>80.5</v>
      </c>
      <c r="S7" s="12"/>
      <c r="T7" s="12"/>
      <c r="U7" s="55">
        <v>2</v>
      </c>
      <c r="V7" s="58">
        <f t="shared" ref="V7:V54" si="14">IF(U7="","",((H7/2)-U7)*100/(H7/2))</f>
        <v>97.468354430379748</v>
      </c>
      <c r="W7" s="56"/>
      <c r="X7" s="12"/>
      <c r="Y7" s="12"/>
      <c r="Z7" s="12"/>
      <c r="AA7" s="12"/>
      <c r="AB7" s="12"/>
      <c r="AC7" s="2" t="str">
        <f t="shared" si="2"/>
        <v/>
      </c>
      <c r="AD7" s="12"/>
      <c r="AE7" s="3" t="str">
        <f t="shared" si="3"/>
        <v/>
      </c>
      <c r="AF7" s="12"/>
      <c r="AG7" s="12"/>
      <c r="AH7" s="55"/>
      <c r="AI7" s="58" t="str">
        <f t="shared" si="6"/>
        <v/>
      </c>
      <c r="AJ7" s="63">
        <f>IFERROR(AVERAGE(P7,AC7),"")</f>
        <v>80.5</v>
      </c>
      <c r="AK7" s="2" t="str">
        <f t="shared" si="8"/>
        <v/>
      </c>
      <c r="AL7" s="3">
        <f t="shared" si="9"/>
        <v>80.5</v>
      </c>
      <c r="AM7" s="4">
        <f t="shared" si="10"/>
        <v>5</v>
      </c>
      <c r="AN7" s="2" t="str">
        <f t="shared" si="11"/>
        <v/>
      </c>
      <c r="AO7" s="12"/>
      <c r="AP7" s="5">
        <f t="shared" si="12"/>
        <v>2</v>
      </c>
      <c r="AQ7" s="28">
        <f t="shared" si="13"/>
        <v>98.734177215189874</v>
      </c>
    </row>
    <row r="8" spans="1:43" ht="18.149999999999999" customHeight="1" thickBot="1" x14ac:dyDescent="0.35">
      <c r="A8" s="49">
        <v>2</v>
      </c>
      <c r="B8" s="49" t="s">
        <v>121</v>
      </c>
      <c r="C8" s="49" t="s">
        <v>131</v>
      </c>
      <c r="D8" s="49" t="s">
        <v>132</v>
      </c>
      <c r="E8" s="50" t="s">
        <v>133</v>
      </c>
      <c r="F8" s="15">
        <v>2853056</v>
      </c>
      <c r="G8" s="1">
        <f t="shared" si="4"/>
        <v>101</v>
      </c>
      <c r="H8" s="1">
        <f t="shared" si="5"/>
        <v>158</v>
      </c>
      <c r="I8" s="12"/>
      <c r="J8" s="12">
        <v>71</v>
      </c>
      <c r="K8" s="12">
        <v>96</v>
      </c>
      <c r="L8" s="12">
        <v>85</v>
      </c>
      <c r="M8" s="12">
        <v>85</v>
      </c>
      <c r="N8" s="12"/>
      <c r="O8" s="12"/>
      <c r="P8" s="2">
        <f t="shared" si="0"/>
        <v>84.25</v>
      </c>
      <c r="Q8" s="12"/>
      <c r="R8" s="3">
        <f t="shared" si="1"/>
        <v>84.25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84.25</v>
      </c>
      <c r="AK8" s="2" t="str">
        <f t="shared" si="8"/>
        <v/>
      </c>
      <c r="AL8" s="3">
        <f t="shared" si="9"/>
        <v>84.25</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2853056</v>
      </c>
      <c r="G9" s="1">
        <f t="shared" si="4"/>
        <v>101</v>
      </c>
      <c r="H9" s="1">
        <f t="shared" si="5"/>
        <v>158</v>
      </c>
      <c r="I9" s="12"/>
      <c r="J9" s="12">
        <v>69</v>
      </c>
      <c r="K9" s="12">
        <v>95</v>
      </c>
      <c r="L9" s="12">
        <v>82</v>
      </c>
      <c r="M9" s="12">
        <v>90</v>
      </c>
      <c r="N9" s="12"/>
      <c r="O9" s="12"/>
      <c r="P9" s="2">
        <f t="shared" si="0"/>
        <v>84</v>
      </c>
      <c r="Q9" s="12"/>
      <c r="R9" s="3">
        <f t="shared" si="1"/>
        <v>84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84</v>
      </c>
      <c r="AK9" s="2" t="str">
        <f t="shared" si="8"/>
        <v/>
      </c>
      <c r="AL9" s="3">
        <f t="shared" si="9"/>
        <v>84</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2853056</v>
      </c>
      <c r="G10" s="1">
        <f t="shared" si="4"/>
        <v>101</v>
      </c>
      <c r="H10" s="1">
        <f t="shared" si="5"/>
        <v>158</v>
      </c>
      <c r="I10" s="12"/>
      <c r="J10" s="12">
        <v>64</v>
      </c>
      <c r="K10" s="12">
        <v>64</v>
      </c>
      <c r="L10" s="12">
        <v>61</v>
      </c>
      <c r="M10" s="12">
        <v>65</v>
      </c>
      <c r="N10" s="12"/>
      <c r="O10" s="12"/>
      <c r="P10" s="2">
        <f t="shared" si="0"/>
        <v>63.5</v>
      </c>
      <c r="Q10" s="12"/>
      <c r="R10" s="3">
        <f t="shared" si="1"/>
        <v>63.5</v>
      </c>
      <c r="S10" s="12"/>
      <c r="T10" s="12"/>
      <c r="U10" s="55">
        <v>3</v>
      </c>
      <c r="V10" s="58">
        <f t="shared" si="14"/>
        <v>96.202531645569621</v>
      </c>
      <c r="W10" s="56"/>
      <c r="X10" s="12"/>
      <c r="Y10" s="12"/>
      <c r="Z10" s="12"/>
      <c r="AA10" s="12"/>
      <c r="AB10" s="12"/>
      <c r="AC10" s="2" t="str">
        <f t="shared" si="2"/>
        <v/>
      </c>
      <c r="AD10" s="12"/>
      <c r="AE10" s="3" t="str">
        <f t="shared" si="3"/>
        <v/>
      </c>
      <c r="AF10" s="12"/>
      <c r="AG10" s="12"/>
      <c r="AH10" s="55"/>
      <c r="AI10" s="58" t="str">
        <f t="shared" si="6"/>
        <v/>
      </c>
      <c r="AJ10" s="63">
        <f t="shared" si="7"/>
        <v>63.5</v>
      </c>
      <c r="AK10" s="2" t="str">
        <f t="shared" si="8"/>
        <v/>
      </c>
      <c r="AL10" s="3">
        <f t="shared" si="9"/>
        <v>63.5</v>
      </c>
      <c r="AM10" s="4">
        <f t="shared" si="10"/>
        <v>4</v>
      </c>
      <c r="AN10" s="2" t="str">
        <f t="shared" si="11"/>
        <v/>
      </c>
      <c r="AO10" s="12"/>
      <c r="AP10" s="5">
        <f t="shared" si="12"/>
        <v>3</v>
      </c>
      <c r="AQ10" s="28">
        <f t="shared" si="13"/>
        <v>98.101265822784811</v>
      </c>
    </row>
    <row r="11" spans="1:43" ht="18.149999999999999" customHeight="1" thickBot="1" x14ac:dyDescent="0.35">
      <c r="A11" s="49">
        <v>2</v>
      </c>
      <c r="B11" s="49" t="s">
        <v>121</v>
      </c>
      <c r="C11" s="49" t="s">
        <v>140</v>
      </c>
      <c r="D11" s="49" t="s">
        <v>141</v>
      </c>
      <c r="E11" s="50" t="s">
        <v>142</v>
      </c>
      <c r="F11" s="15">
        <v>2853056</v>
      </c>
      <c r="G11" s="1">
        <f t="shared" si="4"/>
        <v>101</v>
      </c>
      <c r="H11" s="1">
        <f t="shared" si="5"/>
        <v>158</v>
      </c>
      <c r="I11" s="12"/>
      <c r="J11" s="12">
        <v>63</v>
      </c>
      <c r="K11" s="12">
        <v>38</v>
      </c>
      <c r="L11" s="12">
        <v>35</v>
      </c>
      <c r="M11" s="12">
        <v>65</v>
      </c>
      <c r="N11" s="12"/>
      <c r="O11" s="12"/>
      <c r="P11" s="2">
        <f t="shared" si="0"/>
        <v>50.25</v>
      </c>
      <c r="Q11" s="12"/>
      <c r="R11" s="3">
        <f t="shared" si="1"/>
        <v>50.25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50.25</v>
      </c>
      <c r="AK11" s="2" t="str">
        <f t="shared" si="8"/>
        <v/>
      </c>
      <c r="AL11" s="3">
        <f t="shared" si="9"/>
        <v>50.25</v>
      </c>
      <c r="AM11" s="4">
        <f t="shared" si="10"/>
        <v>3</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2853056</v>
      </c>
      <c r="G12" s="1">
        <f t="shared" si="4"/>
        <v>101</v>
      </c>
      <c r="H12" s="1">
        <f t="shared" si="5"/>
        <v>158</v>
      </c>
      <c r="I12" s="12"/>
      <c r="J12" s="12">
        <v>47</v>
      </c>
      <c r="K12" s="12">
        <v>32</v>
      </c>
      <c r="L12" s="12">
        <v>38</v>
      </c>
      <c r="M12" s="12">
        <v>40</v>
      </c>
      <c r="N12" s="12"/>
      <c r="O12" s="12"/>
      <c r="P12" s="2">
        <f t="shared" si="0"/>
        <v>39.25</v>
      </c>
      <c r="Q12" s="12"/>
      <c r="R12" s="3">
        <f t="shared" si="1"/>
        <v>39.25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39.25</v>
      </c>
      <c r="AK12" s="2" t="str">
        <f t="shared" si="8"/>
        <v/>
      </c>
      <c r="AL12" s="3">
        <f t="shared" si="9"/>
        <v>39.25</v>
      </c>
      <c r="AM12" s="4">
        <f t="shared" si="10"/>
        <v>3</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2853056</v>
      </c>
      <c r="G13" s="1">
        <f t="shared" si="4"/>
        <v>101</v>
      </c>
      <c r="H13" s="1">
        <f t="shared" si="5"/>
        <v>158</v>
      </c>
      <c r="I13" s="12"/>
      <c r="J13" s="12">
        <v>47</v>
      </c>
      <c r="K13" s="12">
        <v>45</v>
      </c>
      <c r="L13" s="12">
        <v>38</v>
      </c>
      <c r="M13" s="12">
        <v>40</v>
      </c>
      <c r="N13" s="12"/>
      <c r="O13" s="12"/>
      <c r="P13" s="2">
        <f t="shared" si="0"/>
        <v>42.5</v>
      </c>
      <c r="Q13" s="12"/>
      <c r="R13" s="3">
        <f t="shared" si="1"/>
        <v>42.5</v>
      </c>
      <c r="S13" s="12"/>
      <c r="T13" s="12"/>
      <c r="U13" s="55">
        <v>5</v>
      </c>
      <c r="V13" s="58">
        <f t="shared" si="14"/>
        <v>93.670886075949369</v>
      </c>
      <c r="W13" s="56"/>
      <c r="X13" s="12"/>
      <c r="Y13" s="12"/>
      <c r="Z13" s="12"/>
      <c r="AA13" s="12"/>
      <c r="AB13" s="12"/>
      <c r="AC13" s="2" t="str">
        <f t="shared" si="2"/>
        <v/>
      </c>
      <c r="AD13" s="12"/>
      <c r="AE13" s="3" t="str">
        <f t="shared" si="3"/>
        <v/>
      </c>
      <c r="AF13" s="12"/>
      <c r="AG13" s="12"/>
      <c r="AH13" s="55"/>
      <c r="AI13" s="58" t="str">
        <f t="shared" si="6"/>
        <v/>
      </c>
      <c r="AJ13" s="63">
        <f t="shared" si="7"/>
        <v>42.5</v>
      </c>
      <c r="AK13" s="2" t="str">
        <f t="shared" si="8"/>
        <v/>
      </c>
      <c r="AL13" s="3">
        <f t="shared" si="9"/>
        <v>42.5</v>
      </c>
      <c r="AM13" s="4">
        <f t="shared" si="10"/>
        <v>3</v>
      </c>
      <c r="AN13" s="2" t="str">
        <f t="shared" si="11"/>
        <v/>
      </c>
      <c r="AO13" s="12"/>
      <c r="AP13" s="5">
        <f t="shared" si="12"/>
        <v>5</v>
      </c>
      <c r="AQ13" s="28">
        <f t="shared" si="13"/>
        <v>96.835443037974684</v>
      </c>
    </row>
    <row r="14" spans="1:43" ht="18.149999999999999" customHeight="1" thickBot="1" x14ac:dyDescent="0.35">
      <c r="A14" s="49">
        <v>2</v>
      </c>
      <c r="B14" s="49" t="s">
        <v>121</v>
      </c>
      <c r="C14" s="49" t="s">
        <v>149</v>
      </c>
      <c r="D14" s="49" t="s">
        <v>150</v>
      </c>
      <c r="E14" s="50" t="s">
        <v>151</v>
      </c>
      <c r="F14" s="15">
        <v>2853056</v>
      </c>
      <c r="G14" s="1">
        <f t="shared" si="4"/>
        <v>101</v>
      </c>
      <c r="H14" s="1">
        <f t="shared" si="5"/>
        <v>158</v>
      </c>
      <c r="I14" s="12"/>
      <c r="J14" s="12">
        <v>62</v>
      </c>
      <c r="K14" s="12">
        <v>46</v>
      </c>
      <c r="L14" s="12">
        <v>35</v>
      </c>
      <c r="M14" s="12">
        <v>65</v>
      </c>
      <c r="N14" s="12"/>
      <c r="O14" s="12"/>
      <c r="P14" s="2">
        <f t="shared" si="0"/>
        <v>52</v>
      </c>
      <c r="Q14" s="12"/>
      <c r="R14" s="3">
        <f t="shared" si="1"/>
        <v>52</v>
      </c>
      <c r="S14" s="12"/>
      <c r="T14" s="12"/>
      <c r="U14" s="55">
        <v>27</v>
      </c>
      <c r="V14" s="58">
        <f t="shared" si="14"/>
        <v>65.822784810126578</v>
      </c>
      <c r="W14" s="56"/>
      <c r="X14" s="12"/>
      <c r="Y14" s="12"/>
      <c r="Z14" s="12"/>
      <c r="AA14" s="12"/>
      <c r="AB14" s="12"/>
      <c r="AC14" s="2" t="str">
        <f t="shared" si="2"/>
        <v/>
      </c>
      <c r="AD14" s="12"/>
      <c r="AE14" s="3" t="str">
        <f t="shared" si="3"/>
        <v/>
      </c>
      <c r="AF14" s="12"/>
      <c r="AG14" s="12"/>
      <c r="AH14" s="55"/>
      <c r="AI14" s="58" t="str">
        <f t="shared" si="6"/>
        <v/>
      </c>
      <c r="AJ14" s="63">
        <f t="shared" si="7"/>
        <v>52</v>
      </c>
      <c r="AK14" s="2" t="str">
        <f t="shared" si="8"/>
        <v/>
      </c>
      <c r="AL14" s="3">
        <f t="shared" si="9"/>
        <v>52</v>
      </c>
      <c r="AM14" s="4">
        <f t="shared" si="10"/>
        <v>3</v>
      </c>
      <c r="AN14" s="2" t="str">
        <f t="shared" si="11"/>
        <v/>
      </c>
      <c r="AO14" s="12"/>
      <c r="AP14" s="5">
        <f t="shared" si="12"/>
        <v>27</v>
      </c>
      <c r="AQ14" s="28">
        <f t="shared" si="13"/>
        <v>82.911392405063296</v>
      </c>
    </row>
    <row r="15" spans="1:43" ht="18.149999999999999" customHeight="1" thickBot="1" x14ac:dyDescent="0.35">
      <c r="A15" s="49">
        <v>2</v>
      </c>
      <c r="B15" s="49" t="s">
        <v>121</v>
      </c>
      <c r="C15" s="49" t="s">
        <v>152</v>
      </c>
      <c r="D15" s="49" t="s">
        <v>153</v>
      </c>
      <c r="E15" s="50" t="s">
        <v>154</v>
      </c>
      <c r="F15" s="15">
        <v>2853056</v>
      </c>
      <c r="G15" s="1">
        <f t="shared" si="4"/>
        <v>101</v>
      </c>
      <c r="H15" s="1">
        <f t="shared" si="5"/>
        <v>158</v>
      </c>
      <c r="I15" s="12"/>
      <c r="J15" s="12">
        <v>39</v>
      </c>
      <c r="K15" s="12">
        <v>31</v>
      </c>
      <c r="L15" s="12">
        <v>31</v>
      </c>
      <c r="M15" s="12">
        <v>35</v>
      </c>
      <c r="N15" s="12"/>
      <c r="O15" s="12"/>
      <c r="P15" s="2">
        <f t="shared" si="0"/>
        <v>34</v>
      </c>
      <c r="Q15" s="12"/>
      <c r="R15" s="3">
        <f t="shared" si="1"/>
        <v>34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34</v>
      </c>
      <c r="AK15" s="2" t="str">
        <f t="shared" si="8"/>
        <v/>
      </c>
      <c r="AL15" s="3">
        <f t="shared" si="9"/>
        <v>34</v>
      </c>
      <c r="AM15" s="4">
        <f t="shared" si="10"/>
        <v>3</v>
      </c>
      <c r="AN15" s="2" t="str">
        <f t="shared" si="11"/>
        <v/>
      </c>
      <c r="AO15" s="12"/>
      <c r="AP15" s="5">
        <f t="shared" si="12"/>
        <v>0</v>
      </c>
      <c r="AQ15" s="28">
        <f t="shared" si="13"/>
        <v>100</v>
      </c>
    </row>
    <row r="16" spans="1:43" ht="18.149999999999999" customHeight="1" thickBot="1" x14ac:dyDescent="0.35">
      <c r="A16" s="49">
        <v>2</v>
      </c>
      <c r="B16" s="49" t="s">
        <v>121</v>
      </c>
      <c r="C16" s="49" t="s">
        <v>155</v>
      </c>
      <c r="D16" s="49" t="s">
        <v>135</v>
      </c>
      <c r="E16" s="50" t="s">
        <v>156</v>
      </c>
      <c r="F16" s="15">
        <v>2853056</v>
      </c>
      <c r="G16" s="1">
        <f t="shared" si="4"/>
        <v>101</v>
      </c>
      <c r="H16" s="1">
        <f t="shared" si="5"/>
        <v>158</v>
      </c>
      <c r="I16" s="12"/>
      <c r="J16" s="12">
        <v>74</v>
      </c>
      <c r="K16" s="12">
        <v>31</v>
      </c>
      <c r="L16" s="12">
        <v>95</v>
      </c>
      <c r="M16" s="12">
        <v>85</v>
      </c>
      <c r="N16" s="12"/>
      <c r="O16" s="12"/>
      <c r="P16" s="2">
        <f t="shared" si="0"/>
        <v>71.25</v>
      </c>
      <c r="Q16" s="12"/>
      <c r="R16" s="3">
        <f t="shared" si="1"/>
        <v>71.25</v>
      </c>
      <c r="S16" s="12"/>
      <c r="T16" s="12"/>
      <c r="U16" s="55">
        <v>16</v>
      </c>
      <c r="V16" s="58">
        <f t="shared" si="14"/>
        <v>79.74683544303798</v>
      </c>
      <c r="W16" s="56"/>
      <c r="X16" s="12"/>
      <c r="Y16" s="12"/>
      <c r="Z16" s="12"/>
      <c r="AA16" s="12"/>
      <c r="AB16" s="12"/>
      <c r="AC16" s="2" t="str">
        <f t="shared" si="2"/>
        <v/>
      </c>
      <c r="AD16" s="12"/>
      <c r="AE16" s="3" t="str">
        <f t="shared" si="3"/>
        <v/>
      </c>
      <c r="AF16" s="12"/>
      <c r="AG16" s="12"/>
      <c r="AH16" s="55"/>
      <c r="AI16" s="58" t="str">
        <f t="shared" si="6"/>
        <v/>
      </c>
      <c r="AJ16" s="63">
        <f t="shared" si="7"/>
        <v>71.25</v>
      </c>
      <c r="AK16" s="2" t="str">
        <f t="shared" si="8"/>
        <v/>
      </c>
      <c r="AL16" s="3">
        <f t="shared" si="9"/>
        <v>71.25</v>
      </c>
      <c r="AM16" s="4">
        <f t="shared" si="10"/>
        <v>4</v>
      </c>
      <c r="AN16" s="2" t="str">
        <f t="shared" si="11"/>
        <v/>
      </c>
      <c r="AO16" s="12"/>
      <c r="AP16" s="5">
        <f t="shared" si="12"/>
        <v>16</v>
      </c>
      <c r="AQ16" s="28">
        <f t="shared" si="13"/>
        <v>89.87341772151899</v>
      </c>
    </row>
    <row r="17" spans="1:43" ht="18.149999999999999" customHeight="1" thickBot="1" x14ac:dyDescent="0.35">
      <c r="A17" s="49">
        <v>2</v>
      </c>
      <c r="B17" s="49" t="s">
        <v>121</v>
      </c>
      <c r="C17" s="49" t="s">
        <v>157</v>
      </c>
      <c r="D17" s="49" t="s">
        <v>158</v>
      </c>
      <c r="E17" s="50" t="s">
        <v>159</v>
      </c>
      <c r="F17" s="15">
        <v>2853056</v>
      </c>
      <c r="G17" s="1">
        <f t="shared" si="4"/>
        <v>101</v>
      </c>
      <c r="H17" s="1">
        <f t="shared" si="5"/>
        <v>158</v>
      </c>
      <c r="I17" s="12"/>
      <c r="J17" s="12">
        <v>61</v>
      </c>
      <c r="K17" s="12">
        <v>64</v>
      </c>
      <c r="L17" s="12">
        <v>66</v>
      </c>
      <c r="M17" s="12">
        <v>70</v>
      </c>
      <c r="N17" s="12"/>
      <c r="O17" s="12"/>
      <c r="P17" s="2">
        <f t="shared" si="0"/>
        <v>65.25</v>
      </c>
      <c r="Q17" s="12"/>
      <c r="R17" s="3">
        <f t="shared" si="1"/>
        <v>65.25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65.25</v>
      </c>
      <c r="AK17" s="2" t="str">
        <f t="shared" si="8"/>
        <v/>
      </c>
      <c r="AL17" s="3">
        <f t="shared" si="9"/>
        <v>65.25</v>
      </c>
      <c r="AM17" s="4">
        <f t="shared" si="10"/>
        <v>4</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159</v>
      </c>
      <c r="F18" s="15">
        <v>2853056</v>
      </c>
      <c r="G18" s="1">
        <f t="shared" si="4"/>
        <v>101</v>
      </c>
      <c r="H18" s="1">
        <f t="shared" si="5"/>
        <v>158</v>
      </c>
      <c r="I18" s="12"/>
      <c r="J18" s="12">
        <v>61</v>
      </c>
      <c r="K18" s="12">
        <v>62</v>
      </c>
      <c r="L18" s="12">
        <v>66</v>
      </c>
      <c r="M18" s="12">
        <v>75</v>
      </c>
      <c r="N18" s="12"/>
      <c r="O18" s="12"/>
      <c r="P18" s="2">
        <f t="shared" si="0"/>
        <v>66</v>
      </c>
      <c r="Q18" s="12"/>
      <c r="R18" s="3">
        <f t="shared" si="1"/>
        <v>66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66</v>
      </c>
      <c r="AK18" s="2" t="str">
        <f t="shared" si="8"/>
        <v/>
      </c>
      <c r="AL18" s="3">
        <f t="shared" si="9"/>
        <v>66</v>
      </c>
      <c r="AM18" s="4">
        <f t="shared" si="10"/>
        <v>4</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2853056</v>
      </c>
      <c r="G19" s="1">
        <f t="shared" si="4"/>
        <v>101</v>
      </c>
      <c r="H19" s="1">
        <f t="shared" si="5"/>
        <v>158</v>
      </c>
      <c r="I19" s="12"/>
      <c r="J19" s="12">
        <v>39</v>
      </c>
      <c r="K19" s="12">
        <v>33</v>
      </c>
      <c r="L19" s="12">
        <v>32</v>
      </c>
      <c r="M19" s="12">
        <v>35</v>
      </c>
      <c r="N19" s="12"/>
      <c r="O19" s="12"/>
      <c r="P19" s="2">
        <f t="shared" si="0"/>
        <v>34.75</v>
      </c>
      <c r="Q19" s="12"/>
      <c r="R19" s="3">
        <f t="shared" si="1"/>
        <v>34.75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34.75</v>
      </c>
      <c r="AK19" s="2" t="str">
        <f t="shared" si="8"/>
        <v/>
      </c>
      <c r="AL19" s="3">
        <f t="shared" si="9"/>
        <v>34.75</v>
      </c>
      <c r="AM19" s="4">
        <f t="shared" si="10"/>
        <v>3</v>
      </c>
      <c r="AN19" s="2" t="str">
        <f t="shared" si="11"/>
        <v/>
      </c>
      <c r="AO19" s="12"/>
      <c r="AP19" s="5">
        <f t="shared" si="12"/>
        <v>0</v>
      </c>
      <c r="AQ19" s="28">
        <f t="shared" si="13"/>
        <v>100</v>
      </c>
    </row>
    <row r="20" spans="1:43" ht="18.149999999999999" customHeight="1" thickBot="1" x14ac:dyDescent="0.35">
      <c r="A20" s="49">
        <v>2</v>
      </c>
      <c r="B20" s="49" t="s">
        <v>121</v>
      </c>
      <c r="C20" s="49" t="s">
        <v>165</v>
      </c>
      <c r="D20" s="49" t="s">
        <v>166</v>
      </c>
      <c r="E20" s="50" t="s">
        <v>164</v>
      </c>
      <c r="F20" s="15">
        <v>2853056</v>
      </c>
      <c r="G20" s="1">
        <f t="shared" si="4"/>
        <v>101</v>
      </c>
      <c r="H20" s="1">
        <f t="shared" si="5"/>
        <v>158</v>
      </c>
      <c r="I20" s="12"/>
      <c r="J20" s="12">
        <v>39</v>
      </c>
      <c r="K20" s="12">
        <v>32</v>
      </c>
      <c r="L20" s="12">
        <v>32</v>
      </c>
      <c r="M20" s="12">
        <v>35</v>
      </c>
      <c r="N20" s="12"/>
      <c r="O20" s="12"/>
      <c r="P20" s="2">
        <f t="shared" si="0"/>
        <v>34.5</v>
      </c>
      <c r="Q20" s="12"/>
      <c r="R20" s="3">
        <f t="shared" si="1"/>
        <v>34.5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34.5</v>
      </c>
      <c r="AK20" s="2" t="str">
        <f t="shared" si="8"/>
        <v/>
      </c>
      <c r="AL20" s="3">
        <f t="shared" si="9"/>
        <v>34.5</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167</v>
      </c>
      <c r="D21" s="49" t="s">
        <v>132</v>
      </c>
      <c r="E21" s="50" t="s">
        <v>168</v>
      </c>
      <c r="F21" s="15">
        <v>2853056</v>
      </c>
      <c r="G21" s="1">
        <f t="shared" si="4"/>
        <v>101</v>
      </c>
      <c r="H21" s="1">
        <f t="shared" si="5"/>
        <v>158</v>
      </c>
      <c r="I21" s="12"/>
      <c r="J21" s="12">
        <v>65</v>
      </c>
      <c r="K21" s="12">
        <v>34</v>
      </c>
      <c r="L21" s="12">
        <v>70</v>
      </c>
      <c r="M21" s="12">
        <v>65</v>
      </c>
      <c r="N21" s="12"/>
      <c r="O21" s="12"/>
      <c r="P21" s="2">
        <f t="shared" si="0"/>
        <v>58.5</v>
      </c>
      <c r="Q21" s="12"/>
      <c r="R21" s="3">
        <f t="shared" si="1"/>
        <v>58.5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58.5</v>
      </c>
      <c r="AK21" s="2" t="str">
        <f t="shared" si="8"/>
        <v/>
      </c>
      <c r="AL21" s="3">
        <f t="shared" si="9"/>
        <v>58.5</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169</v>
      </c>
      <c r="D22" s="49" t="s">
        <v>170</v>
      </c>
      <c r="E22" s="50" t="s">
        <v>171</v>
      </c>
      <c r="F22" s="15">
        <v>2853056</v>
      </c>
      <c r="G22" s="1">
        <f t="shared" si="4"/>
        <v>101</v>
      </c>
      <c r="H22" s="1">
        <f t="shared" si="5"/>
        <v>158</v>
      </c>
      <c r="I22" s="12"/>
      <c r="J22" s="12">
        <v>47</v>
      </c>
      <c r="K22" s="12">
        <v>36</v>
      </c>
      <c r="L22" s="12">
        <v>64</v>
      </c>
      <c r="M22" s="12">
        <v>65</v>
      </c>
      <c r="N22" s="12"/>
      <c r="O22" s="12"/>
      <c r="P22" s="2">
        <f t="shared" si="0"/>
        <v>53</v>
      </c>
      <c r="Q22" s="12"/>
      <c r="R22" s="3">
        <f t="shared" si="1"/>
        <v>53</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53</v>
      </c>
      <c r="AK22" s="2" t="str">
        <f t="shared" si="8"/>
        <v/>
      </c>
      <c r="AL22" s="3">
        <f t="shared" si="9"/>
        <v>53</v>
      </c>
      <c r="AM22" s="4">
        <f t="shared" si="10"/>
        <v>3</v>
      </c>
      <c r="AN22" s="2" t="str">
        <f t="shared" si="11"/>
        <v/>
      </c>
      <c r="AO22" s="12"/>
      <c r="AP22" s="5">
        <f t="shared" si="12"/>
        <v>0</v>
      </c>
      <c r="AQ22" s="28">
        <f t="shared" si="13"/>
        <v>100</v>
      </c>
    </row>
    <row r="23" spans="1:43" ht="18.149999999999999" customHeight="1" thickBot="1" x14ac:dyDescent="0.35">
      <c r="A23" s="49">
        <v>2</v>
      </c>
      <c r="B23" s="49" t="s">
        <v>121</v>
      </c>
      <c r="C23" s="49" t="s">
        <v>172</v>
      </c>
      <c r="D23" s="49" t="s">
        <v>173</v>
      </c>
      <c r="E23" s="50" t="s">
        <v>174</v>
      </c>
      <c r="F23" s="15">
        <v>2853056</v>
      </c>
      <c r="G23" s="1">
        <f t="shared" si="4"/>
        <v>101</v>
      </c>
      <c r="H23" s="1">
        <f t="shared" si="5"/>
        <v>158</v>
      </c>
      <c r="I23" s="12"/>
      <c r="J23" s="12">
        <v>63</v>
      </c>
      <c r="K23" s="12">
        <v>84</v>
      </c>
      <c r="L23" s="12">
        <v>85</v>
      </c>
      <c r="M23" s="12">
        <v>100</v>
      </c>
      <c r="N23" s="12"/>
      <c r="O23" s="12"/>
      <c r="P23" s="2">
        <f t="shared" si="0"/>
        <v>83</v>
      </c>
      <c r="Q23" s="12"/>
      <c r="R23" s="3">
        <f t="shared" si="1"/>
        <v>83</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83</v>
      </c>
      <c r="AK23" s="2" t="str">
        <f t="shared" si="8"/>
        <v/>
      </c>
      <c r="AL23" s="3">
        <f t="shared" si="9"/>
        <v>83</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175</v>
      </c>
      <c r="D24" s="49" t="s">
        <v>176</v>
      </c>
      <c r="E24" s="50" t="s">
        <v>177</v>
      </c>
      <c r="F24" s="15">
        <v>2853056</v>
      </c>
      <c r="G24" s="1">
        <f t="shared" si="4"/>
        <v>101</v>
      </c>
      <c r="H24" s="1">
        <f t="shared" si="5"/>
        <v>158</v>
      </c>
      <c r="I24" s="12"/>
      <c r="J24" s="12">
        <v>35</v>
      </c>
      <c r="K24" s="12">
        <v>45</v>
      </c>
      <c r="L24" s="12">
        <v>41</v>
      </c>
      <c r="M24" s="12">
        <v>45</v>
      </c>
      <c r="N24" s="12"/>
      <c r="O24" s="12"/>
      <c r="P24" s="2">
        <f t="shared" si="0"/>
        <v>41.5</v>
      </c>
      <c r="Q24" s="12"/>
      <c r="R24" s="3">
        <f t="shared" si="1"/>
        <v>41.5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41.5</v>
      </c>
      <c r="AK24" s="2" t="str">
        <f t="shared" si="8"/>
        <v/>
      </c>
      <c r="AL24" s="3">
        <f t="shared" si="9"/>
        <v>41.5</v>
      </c>
      <c r="AM24" s="4">
        <f t="shared" si="10"/>
        <v>3</v>
      </c>
      <c r="AN24" s="2" t="str">
        <f t="shared" si="11"/>
        <v/>
      </c>
      <c r="AO24" s="12"/>
      <c r="AP24" s="5">
        <f t="shared" si="12"/>
        <v>0</v>
      </c>
      <c r="AQ24" s="28">
        <f t="shared" si="13"/>
        <v>100</v>
      </c>
    </row>
    <row r="25" spans="1:43" ht="18.149999999999999" customHeight="1" thickBot="1" x14ac:dyDescent="0.35">
      <c r="A25" s="49">
        <v>2</v>
      </c>
      <c r="B25" s="49" t="s">
        <v>121</v>
      </c>
      <c r="C25" s="49" t="s">
        <v>178</v>
      </c>
      <c r="D25" s="49" t="s">
        <v>179</v>
      </c>
      <c r="E25" s="50" t="s">
        <v>180</v>
      </c>
      <c r="F25" s="15">
        <v>2853056</v>
      </c>
      <c r="G25" s="1">
        <f t="shared" si="4"/>
        <v>101</v>
      </c>
      <c r="H25" s="1">
        <f t="shared" si="5"/>
        <v>158</v>
      </c>
      <c r="I25" s="12"/>
      <c r="J25" s="12">
        <v>37</v>
      </c>
      <c r="K25" s="12">
        <v>34</v>
      </c>
      <c r="L25" s="12">
        <v>35</v>
      </c>
      <c r="M25" s="12">
        <v>40</v>
      </c>
      <c r="N25" s="12"/>
      <c r="O25" s="12"/>
      <c r="P25" s="2">
        <f t="shared" si="0"/>
        <v>36.5</v>
      </c>
      <c r="Q25" s="12"/>
      <c r="R25" s="3">
        <f t="shared" si="1"/>
        <v>36.5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36.5</v>
      </c>
      <c r="AK25" s="2" t="str">
        <f t="shared" si="8"/>
        <v/>
      </c>
      <c r="AL25" s="3">
        <f t="shared" si="9"/>
        <v>36.5</v>
      </c>
      <c r="AM25" s="4">
        <f t="shared" si="10"/>
        <v>3</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148</v>
      </c>
      <c r="F26" s="15">
        <v>2853056</v>
      </c>
      <c r="G26" s="1">
        <f t="shared" si="4"/>
        <v>101</v>
      </c>
      <c r="H26" s="1">
        <f t="shared" si="5"/>
        <v>158</v>
      </c>
      <c r="I26" s="12"/>
      <c r="J26" s="12">
        <v>37</v>
      </c>
      <c r="K26" s="12">
        <v>33</v>
      </c>
      <c r="L26" s="12">
        <v>35</v>
      </c>
      <c r="M26" s="12">
        <v>60</v>
      </c>
      <c r="N26" s="12"/>
      <c r="O26" s="12"/>
      <c r="P26" s="2">
        <f t="shared" si="0"/>
        <v>41.25</v>
      </c>
      <c r="Q26" s="12"/>
      <c r="R26" s="3">
        <f t="shared" si="1"/>
        <v>41.25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41.25</v>
      </c>
      <c r="AK26" s="2" t="str">
        <f t="shared" si="8"/>
        <v/>
      </c>
      <c r="AL26" s="3">
        <f t="shared" si="9"/>
        <v>41.25</v>
      </c>
      <c r="AM26" s="4">
        <f t="shared" si="10"/>
        <v>3</v>
      </c>
      <c r="AN26" s="2" t="str">
        <f t="shared" si="11"/>
        <v/>
      </c>
      <c r="AO26" s="12"/>
      <c r="AP26" s="5">
        <f t="shared" si="12"/>
        <v>0</v>
      </c>
      <c r="AQ26" s="28">
        <f t="shared" si="13"/>
        <v>100</v>
      </c>
    </row>
    <row r="27" spans="1:43" ht="18.149999999999999" customHeight="1" thickBot="1" x14ac:dyDescent="0.35">
      <c r="A27" s="49">
        <v>2</v>
      </c>
      <c r="B27" s="49" t="s">
        <v>121</v>
      </c>
      <c r="C27" s="49" t="s">
        <v>183</v>
      </c>
      <c r="D27" s="49" t="s">
        <v>135</v>
      </c>
      <c r="E27" s="50" t="s">
        <v>184</v>
      </c>
      <c r="F27" s="15">
        <v>2853056</v>
      </c>
      <c r="G27" s="1">
        <f t="shared" si="4"/>
        <v>101</v>
      </c>
      <c r="H27" s="1">
        <f t="shared" si="5"/>
        <v>158</v>
      </c>
      <c r="I27" s="12"/>
      <c r="J27" s="12">
        <v>74</v>
      </c>
      <c r="K27" s="12">
        <v>84</v>
      </c>
      <c r="L27" s="12">
        <v>83</v>
      </c>
      <c r="M27" s="12">
        <v>80</v>
      </c>
      <c r="N27" s="12"/>
      <c r="O27" s="12"/>
      <c r="P27" s="2">
        <f t="shared" si="0"/>
        <v>80.25</v>
      </c>
      <c r="Q27" s="12"/>
      <c r="R27" s="3">
        <f t="shared" si="1"/>
        <v>80.25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80.25</v>
      </c>
      <c r="AK27" s="2" t="str">
        <f t="shared" si="8"/>
        <v/>
      </c>
      <c r="AL27" s="3">
        <f t="shared" si="9"/>
        <v>80.25</v>
      </c>
      <c r="AM27" s="4">
        <f t="shared" si="10"/>
        <v>5</v>
      </c>
      <c r="AN27" s="2" t="str">
        <f t="shared" si="11"/>
        <v/>
      </c>
      <c r="AO27" s="12"/>
      <c r="AP27" s="5">
        <f t="shared" si="12"/>
        <v>0</v>
      </c>
      <c r="AQ27" s="28">
        <f t="shared" si="13"/>
        <v>100</v>
      </c>
    </row>
    <row r="28" spans="1:43" ht="18.149999999999999" customHeight="1" x14ac:dyDescent="0.3">
      <c r="A28" s="49">
        <v>2</v>
      </c>
      <c r="B28" s="49" t="s">
        <v>121</v>
      </c>
      <c r="C28" s="49" t="s">
        <v>185</v>
      </c>
      <c r="D28" s="49" t="s">
        <v>182</v>
      </c>
      <c r="E28" s="50" t="s">
        <v>186</v>
      </c>
      <c r="F28" s="15">
        <v>2853056</v>
      </c>
      <c r="G28" s="1">
        <f t="shared" si="4"/>
        <v>101</v>
      </c>
      <c r="H28" s="1">
        <f t="shared" si="5"/>
        <v>158</v>
      </c>
      <c r="I28" s="12"/>
      <c r="J28" s="12">
        <v>47</v>
      </c>
      <c r="K28" s="12">
        <v>39</v>
      </c>
      <c r="L28" s="12">
        <v>66</v>
      </c>
      <c r="M28" s="12">
        <v>65</v>
      </c>
      <c r="N28" s="12"/>
      <c r="O28" s="12"/>
      <c r="P28" s="2">
        <f t="shared" si="0"/>
        <v>54.25</v>
      </c>
      <c r="Q28" s="12"/>
      <c r="R28" s="3">
        <f t="shared" si="1"/>
        <v>54.25</v>
      </c>
      <c r="S28" s="12"/>
      <c r="T28" s="12"/>
      <c r="U28" s="55">
        <v>4</v>
      </c>
      <c r="V28" s="58">
        <f t="shared" si="14"/>
        <v>94.936708860759495</v>
      </c>
      <c r="W28" s="56"/>
      <c r="X28" s="12"/>
      <c r="Y28" s="12"/>
      <c r="Z28" s="12"/>
      <c r="AA28" s="12"/>
      <c r="AB28" s="12"/>
      <c r="AC28" s="2" t="str">
        <f t="shared" si="2"/>
        <v/>
      </c>
      <c r="AD28" s="12"/>
      <c r="AE28" s="3" t="str">
        <f t="shared" si="3"/>
        <v/>
      </c>
      <c r="AF28" s="12"/>
      <c r="AG28" s="12"/>
      <c r="AH28" s="55"/>
      <c r="AI28" s="58" t="str">
        <f t="shared" si="6"/>
        <v/>
      </c>
      <c r="AJ28" s="63">
        <f t="shared" si="7"/>
        <v>54.25</v>
      </c>
      <c r="AK28" s="2" t="str">
        <f t="shared" si="8"/>
        <v/>
      </c>
      <c r="AL28" s="3">
        <f t="shared" si="9"/>
        <v>54.25</v>
      </c>
      <c r="AM28" s="4">
        <f t="shared" si="10"/>
        <v>3</v>
      </c>
      <c r="AN28" s="2" t="str">
        <f t="shared" si="11"/>
        <v/>
      </c>
      <c r="AO28" s="12"/>
      <c r="AP28" s="5">
        <f t="shared" si="12"/>
        <v>4</v>
      </c>
      <c r="AQ28" s="28">
        <f t="shared" si="13"/>
        <v>97.468354430379748</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101</v>
      </c>
      <c r="H55" s="22">
        <f>IF(H4="","",$H$4)</f>
        <v>158</v>
      </c>
      <c r="I55" s="23" t="str">
        <f t="shared" ref="I55:V55" si="17">IFERROR(AVERAGE(I5:I54),"")</f>
        <v/>
      </c>
      <c r="J55" s="23">
        <f t="shared" si="17"/>
        <v>54.291666666666664</v>
      </c>
      <c r="K55" s="23">
        <f t="shared" si="17"/>
        <v>53.583333333333336</v>
      </c>
      <c r="L55" s="23">
        <f t="shared" si="17"/>
        <v>58.75</v>
      </c>
      <c r="M55" s="23">
        <f t="shared" si="17"/>
        <v>66.25</v>
      </c>
      <c r="N55" s="23" t="str">
        <f t="shared" si="17"/>
        <v/>
      </c>
      <c r="O55" s="23" t="str">
        <f t="shared" si="17"/>
        <v/>
      </c>
      <c r="P55" s="23">
        <f t="shared" si="17"/>
        <v>58.21875</v>
      </c>
      <c r="Q55" s="23" t="str">
        <f t="shared" si="17"/>
        <v/>
      </c>
      <c r="R55" s="23">
        <f t="shared" si="17"/>
        <v>58.21875</v>
      </c>
      <c r="S55" s="23" t="str">
        <f t="shared" si="17"/>
        <v/>
      </c>
      <c r="T55" s="23" t="str">
        <f t="shared" si="17"/>
        <v/>
      </c>
      <c r="U55" s="24">
        <f>IFERROR(SUM(U5:U54),"")</f>
        <v>57</v>
      </c>
      <c r="V55" s="23">
        <f t="shared" si="17"/>
        <v>96.993670886075961</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58.21875</v>
      </c>
      <c r="AK55" s="23" t="str">
        <f t="shared" ref="AK55" si="21">IFERROR(AVERAGE(AK5:AK54),"")</f>
        <v/>
      </c>
      <c r="AL55" s="23">
        <f t="shared" ref="AL55" si="22">IFERROR(AVERAGE(AL5:AL54),"")</f>
        <v>58.21875</v>
      </c>
      <c r="AM55" s="24">
        <f>IF(AL55&lt;=30,2,IF(AL55&lt;=60,3,IF(AL55&lt;=80,4,IF(AL55&lt;=100,5,""))))</f>
        <v>3</v>
      </c>
      <c r="AN55" s="23" t="str">
        <f>IFERROR(AVERAGE(AN5:AN54),"")</f>
        <v/>
      </c>
      <c r="AO55" s="23" t="str">
        <f>IFERROR(AVERAGE(AO5:AO54),"")</f>
        <v/>
      </c>
      <c r="AP55" s="24">
        <f>IFERROR(SUM(AP5:AP54),"")</f>
        <v>57</v>
      </c>
      <c r="AQ55" s="23">
        <f t="shared" ref="AQ55" si="23">IFERROR(AVERAGE(AQ5:AQ54),"")</f>
        <v>98.49683544303798</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6</v>
      </c>
      <c r="L57" s="6">
        <f t="shared" si="24"/>
        <v>7</v>
      </c>
      <c r="M57" s="6">
        <f t="shared" si="24"/>
        <v>7</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12</v>
      </c>
      <c r="K58" s="6">
        <f t="shared" si="27"/>
        <v>4</v>
      </c>
      <c r="L58" s="6">
        <f t="shared" si="27"/>
        <v>7</v>
      </c>
      <c r="M58" s="6">
        <f t="shared" si="27"/>
        <v>9</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12</v>
      </c>
      <c r="K59" s="6">
        <f t="shared" si="30"/>
        <v>14</v>
      </c>
      <c r="L59" s="6">
        <f t="shared" si="30"/>
        <v>10</v>
      </c>
      <c r="M59" s="6">
        <f t="shared" si="30"/>
        <v>8</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25</v>
      </c>
      <c r="L62" s="8">
        <f t="shared" si="39"/>
        <v>29.166666666666668</v>
      </c>
      <c r="M62" s="8">
        <f t="shared" si="39"/>
        <v>29.166666666666668</v>
      </c>
      <c r="N62" s="8" t="str">
        <f t="shared" si="39"/>
        <v/>
      </c>
      <c r="O62" s="8" t="str">
        <f t="shared" si="39"/>
        <v/>
      </c>
      <c r="P62" s="8">
        <f t="shared" si="39"/>
        <v>25</v>
      </c>
      <c r="Q62" s="8" t="str">
        <f t="shared" si="39"/>
        <v/>
      </c>
      <c r="R62" s="8">
        <f t="shared" si="39"/>
        <v>25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50</v>
      </c>
      <c r="K63" s="8">
        <f t="shared" si="42"/>
        <v>16.666666666666668</v>
      </c>
      <c r="L63" s="8">
        <f t="shared" si="42"/>
        <v>29.166666666666668</v>
      </c>
      <c r="M63" s="8">
        <f t="shared" si="42"/>
        <v>37.5</v>
      </c>
      <c r="N63" s="8" t="str">
        <f t="shared" si="42"/>
        <v/>
      </c>
      <c r="O63" s="8" t="str">
        <f t="shared" si="42"/>
        <v/>
      </c>
      <c r="P63" s="8">
        <f t="shared" si="42"/>
        <v>20.833333333333332</v>
      </c>
      <c r="Q63" s="8" t="str">
        <f t="shared" si="42"/>
        <v/>
      </c>
      <c r="R63" s="8">
        <f t="shared" si="42"/>
        <v>20.833333333333332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20.833333333333332</v>
      </c>
      <c r="AK63" s="8" t="str">
        <f t="shared" si="42"/>
        <v/>
      </c>
      <c r="AL63" s="8">
        <f t="shared" si="42"/>
        <v>20.833333333333332</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58.333333333333336</v>
      </c>
      <c r="L64" s="8">
        <f t="shared" si="45"/>
        <v>41.666666666666664</v>
      </c>
      <c r="M64" s="8">
        <f t="shared" si="45"/>
        <v>33.333333333333336</v>
      </c>
      <c r="N64" s="8" t="str">
        <f t="shared" si="45"/>
        <v/>
      </c>
      <c r="O64" s="8" t="str">
        <f t="shared" si="45"/>
        <v/>
      </c>
      <c r="P64" s="8">
        <f t="shared" si="45"/>
        <v>54.166666666666664</v>
      </c>
      <c r="Q64" s="8" t="str">
        <f t="shared" si="45"/>
        <v/>
      </c>
      <c r="R64" s="8">
        <f t="shared" si="45"/>
        <v>54.166666666666664</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54.166666666666664</v>
      </c>
      <c r="AK64" s="8" t="str">
        <f t="shared" si="45"/>
        <v/>
      </c>
      <c r="AL64" s="8">
        <f t="shared" si="45"/>
        <v>54.166666666666664</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2024-02-01T15:23:46Z</dcterms:modified>
</cp:coreProperties>
</file>