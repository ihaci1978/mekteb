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<sst xmlns="http://schemas.openxmlformats.org/spreadsheetml/2006/main" count="3729" uniqueCount="245">
  <si>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</si>
  <si>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</si>
  <si>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</si>
  <si>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</si>
  <si>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</si>
  <si>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</si>
  <si>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</si>
  <si>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</si>
  <si>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</si>
  <si>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</si>
  <si>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</si>
  <si>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</si>
  <si>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</si>
  <si>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</si>
  <si>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</si>
  <si>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</si>
  <si>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</si>
  <si>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</si>
  <si>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</si>
  <si>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</si>
  <si>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</si>
  <si>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</si>
  <si>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</si>
  <si>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</si>
  <si>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</si>
  <si>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</si>
  <si>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</si>
  <si>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</si>
  <si>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</si>
  <si>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</si>
  <si>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</si>
  <si>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</si>
  <si>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</si>
  <si>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</si>
  <si>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</si>
  <si>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</si>
  <si>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</si>
  <si>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</si>
  <si>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</si>
  <si>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</si>
  <si>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</si>
  <si>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</si>
  <si>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</si>
  <si>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</si>
  <si>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</si>
  <si>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</si>
  <si>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</si>
  <si>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</si>
  <si>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</si>
  <si>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</si>
  <si>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</si>
  <si>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</si>
  <si>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</si>
  <si>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</si>
  <si>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</si>
  <si>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</si>
  <si>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</si>
  <si>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</si>
  <si>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</si>
  <si>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</si>
  <si>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</si>
  <si>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</si>
  <si>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</si>
  <si>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</si>
  <si>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</si>
  <si>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</si>
  <si>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</si>
  <si>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</si>
  <si>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</si>
  <si>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</si>
  <si>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</si>
  <si>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</si>
  <si>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</si>
  <si>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</si>
  <si>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</si>
  <si>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</si>
  <si>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</si>
  <si>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</si>
  <si>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</si>
  <si>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</si>
  <si>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</si>
  <si>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</si>
  <si>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</si>
  <si>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</si>
  <si>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</si>
  <si>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</si>
  <si>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</si>
  <si>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</si>
  <si>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</si>
  <si>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</si>
  <si>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</si>
  <si>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</si>
  <si>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</si>
  <si>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</si>
  <si>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</si>
  <si>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</si>
  <si>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</si>
  <si>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</si>
  <si>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</si>
  <si>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</si>
  <si>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</si>
  <si>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</si>
  <si>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</si>
  <si>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</si>
  <si>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</si>
  <si>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</si>
  <si>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</si>
  <si>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</si>
  <si>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</si>
  <si>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</si>
  <si>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</si>
  <si>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</si>
  <si>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</si>
  <si>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</si>
  <si>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</si>
  <si>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</si>
  <si>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</si>
  <si>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</si>
  <si>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</si>
  <si>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</si>
  <si>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</si>
  <si>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</si>
  <si>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</si>
  <si>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</si>
  <si>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</si>
  <si>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</si>
  <si>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</si>
  <si>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</si>
  <si>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</si>
  <si>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</si>
  <si>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</si>
  <si>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</si>
  <si>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</si>
  <si>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</si>
  <si>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</si>
  <si>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</si>
  <si>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</si>
  <si>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</si>
  <si>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</si>
  <si>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</si>
  <si>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</si>
  <si>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</si>
  <si>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</si>
  <si>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</si>
  <si>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</si>
  <si>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</si>
  <si>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</si>
  <si>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</si>
  <si>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</si>
  <si>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</si>
  <si>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Ç</t>
  </si>
  <si>
    <t>Süleymanova Samirə Həsən</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</si>
  <si>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</si>
  <si>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</si>
  <si>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</si>
  <si>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</si>
  <si>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</si>
  <si>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</si>
  <si>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</si>
  <si>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</si>
  <si>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</si>
  <si>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</si>
  <si>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</si>
  <si>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</si>
  <si>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</si>
  <si>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</si>
  <si>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</si>
  <si>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</si>
  <si>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</si>
  <si>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</si>
  <si>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</si>
  <si>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</si>
  <si>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Arzu</t>
  </si>
  <si>
    <t xml:space="preserve">Qurban </t>
  </si>
  <si>
    <t>Yusif</t>
  </si>
  <si>
    <t xml:space="preserve">Anar </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</si>
  <si>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</si>
  <si>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</si>
  <si>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</si>
  <si>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</si>
  <si>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</si>
  <si>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</si>
  <si>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</si>
  <si>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</si>
  <si>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</si>
  <si>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</si>
  <si>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</si>
  <si>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</si>
  <si>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</si>
  <si>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</si>
  <si>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</si>
  <si>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</si>
  <si>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 xml:space="preserve">Kamran </t>
  </si>
  <si>
    <t>İskəndərov</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</si>
  <si>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</si>
  <si>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</si>
  <si>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</si>
  <si>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</si>
  <si>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</si>
  <si>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</si>
  <si>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</si>
  <si>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</si>
  <si>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</si>
  <si>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</si>
  <si>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</si>
  <si>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</si>
  <si>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</si>
  <si>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</si>
  <si>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</si>
  <si>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</si>
  <si>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</si>
  <si>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</si>
  <si>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</si>
  <si>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</si>
  <si>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</si>
  <si>
    <t xml:space="preserve">Əlizamin </t>
  </si>
  <si>
    <t>Ələsgərli</t>
  </si>
  <si>
    <t>Əliyev</t>
  </si>
  <si>
    <t>Əliyeva</t>
  </si>
  <si>
    <t>Əbil</t>
  </si>
  <si>
    <t>Əkbər</t>
  </si>
  <si>
    <t>070-8681948</t>
  </si>
  <si>
    <t>051-4417751</t>
  </si>
  <si>
    <t>050-9895461</t>
  </si>
  <si>
    <t>055-9686362</t>
  </si>
  <si>
    <t>051-7317111</t>
  </si>
  <si>
    <t>077-5753182</t>
  </si>
  <si>
    <t>050-4441258</t>
  </si>
  <si>
    <t>050-8565610</t>
  </si>
  <si>
    <t>070-4974157</t>
  </si>
  <si>
    <t>070-6891994</t>
  </si>
  <si>
    <t>055-7065280</t>
  </si>
  <si>
    <t>070-5340343</t>
  </si>
  <si>
    <t>055-4083994</t>
  </si>
  <si>
    <t>070-8812229</t>
  </si>
  <si>
    <t>055-9383874</t>
  </si>
  <si>
    <t>055-5596079</t>
  </si>
  <si>
    <t>070-4023641</t>
  </si>
  <si>
    <t>055-9525999</t>
  </si>
  <si>
    <t>050-9525999</t>
  </si>
  <si>
    <t>050-4219274</t>
  </si>
  <si>
    <t>077-3262850</t>
  </si>
  <si>
    <t>055-4531513</t>
  </si>
  <si>
    <t>050-9780572</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</si>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</sst>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8" t="s">
        <v>146</v>
      </c>
      <c r="B1" s="98"/>
      <c r="C1" s="98"/>
      <c r="D1" s="98"/>
      <c r="E1" s="98"/>
    </row>
    <row r="2" spans="1:5" ht="18" x14ac:dyDescent="0.25">
      <c r="A2" s="99" t="s">
        <v>35</v>
      </c>
      <c r="B2" s="99"/>
      <c r="C2" s="99"/>
      <c r="D2" s="99"/>
      <c r="E2" s="99"/>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00" t="s">
        <v>145</v>
      </c>
      <c r="B19" s="100"/>
      <c r="C19" s="100"/>
      <c r="D19" s="101"/>
      <c r="E19" s="101"/>
    </row>
    <row r="20" spans="1:5" ht="21" x14ac:dyDescent="0.25">
      <c r="A20" s="102" t="s">
        <v>42</v>
      </c>
      <c r="B20" s="102"/>
      <c r="C20" s="102"/>
      <c r="D20" s="11"/>
    </row>
    <row r="21" spans="1:5" ht="17.25" x14ac:dyDescent="0.25">
      <c r="A21" s="68" t="s">
        <v>44</v>
      </c>
      <c r="B21" s="94" t="s">
        <v>45</v>
      </c>
      <c r="C21" s="95"/>
      <c r="D21" s="11"/>
    </row>
    <row r="22" spans="1:5" ht="17.25" x14ac:dyDescent="0.25">
      <c r="A22" s="68" t="s">
        <v>46</v>
      </c>
      <c r="B22" s="94" t="s">
        <v>47</v>
      </c>
      <c r="C22" s="95"/>
      <c r="D22" s="11"/>
    </row>
    <row r="23" spans="1:5" ht="17.25" x14ac:dyDescent="0.25">
      <c r="A23" s="68" t="s">
        <v>48</v>
      </c>
      <c r="B23" s="94" t="s">
        <v>49</v>
      </c>
      <c r="C23" s="95"/>
      <c r="D23" s="11"/>
    </row>
    <row r="24" spans="1:5" ht="17.25" x14ac:dyDescent="0.25">
      <c r="A24" s="68" t="s">
        <v>50</v>
      </c>
      <c r="B24" s="94" t="s">
        <v>51</v>
      </c>
      <c r="C24" s="95"/>
      <c r="D24" s="11"/>
    </row>
    <row r="25" spans="1:5" ht="17.25" x14ac:dyDescent="0.25">
      <c r="A25" s="68" t="s">
        <v>52</v>
      </c>
      <c r="B25" s="94" t="s">
        <v>53</v>
      </c>
      <c r="C25" s="95"/>
      <c r="D25" s="11"/>
    </row>
    <row r="26" spans="1:5" ht="17.25" x14ac:dyDescent="0.25">
      <c r="A26" s="68" t="s">
        <v>54</v>
      </c>
      <c r="B26" s="94" t="s">
        <v>55</v>
      </c>
      <c r="C26" s="95"/>
      <c r="D26" s="11"/>
    </row>
    <row r="27" spans="1:5" ht="17.25" x14ac:dyDescent="0.25">
      <c r="A27" s="68">
        <v>115</v>
      </c>
      <c r="B27" s="96" t="s">
        <v>43</v>
      </c>
      <c r="C27" s="97"/>
      <c r="D27" s="11"/>
    </row>
    <row r="28" spans="1:5" ht="17.25" x14ac:dyDescent="0.25">
      <c r="A28" s="68" t="s">
        <v>56</v>
      </c>
      <c r="B28" s="94" t="s">
        <v>57</v>
      </c>
      <c r="C28" s="95"/>
      <c r="D28" s="11"/>
    </row>
    <row r="29" spans="1:5" ht="17.25" x14ac:dyDescent="0.25">
      <c r="A29" s="68" t="s">
        <v>58</v>
      </c>
      <c r="B29" s="94" t="s">
        <v>59</v>
      </c>
      <c r="C29" s="95"/>
      <c r="D29" s="11"/>
    </row>
    <row r="30" spans="1:5" ht="17.25" x14ac:dyDescent="0.25">
      <c r="A30" s="68" t="s">
        <v>60</v>
      </c>
      <c r="B30" s="94" t="s">
        <v>61</v>
      </c>
      <c r="C30" s="95"/>
      <c r="D30" s="11"/>
    </row>
    <row r="31" spans="1:5" ht="17.25" x14ac:dyDescent="0.25">
      <c r="A31" s="68" t="s">
        <v>62</v>
      </c>
      <c r="B31" s="94" t="s">
        <v>63</v>
      </c>
      <c r="C31" s="95"/>
      <c r="D31" s="11"/>
    </row>
    <row r="32" spans="1:5" ht="17.25" x14ac:dyDescent="0.25">
      <c r="A32" s="68" t="s">
        <v>64</v>
      </c>
      <c r="B32" s="94" t="s">
        <v>65</v>
      </c>
      <c r="C32" s="95"/>
      <c r="D32" s="11"/>
    </row>
    <row r="33" spans="1:4" ht="17.25" x14ac:dyDescent="0.25">
      <c r="A33" s="68" t="s">
        <v>66</v>
      </c>
      <c r="B33" s="94" t="s">
        <v>67</v>
      </c>
      <c r="C33" s="95"/>
      <c r="D33" s="11"/>
    </row>
    <row r="34" spans="1:4" ht="17.25" x14ac:dyDescent="0.25">
      <c r="A34" s="68" t="s">
        <v>68</v>
      </c>
      <c r="B34" s="94" t="s">
        <v>69</v>
      </c>
      <c r="C34" s="95"/>
      <c r="D34" s="11"/>
    </row>
    <row r="35" spans="1:4" ht="17.25" x14ac:dyDescent="0.25">
      <c r="A35" s="68" t="s">
        <v>70</v>
      </c>
      <c r="B35" s="94" t="s">
        <v>71</v>
      </c>
      <c r="C35" s="95"/>
      <c r="D35" s="11"/>
    </row>
    <row r="36" spans="1:4" ht="17.25" x14ac:dyDescent="0.25">
      <c r="A36" s="68" t="s">
        <v>72</v>
      </c>
      <c r="B36" s="94" t="s">
        <v>73</v>
      </c>
      <c r="C36" s="95"/>
      <c r="D36" s="11"/>
    </row>
    <row r="37" spans="1:4" ht="17.25" x14ac:dyDescent="0.25">
      <c r="A37" s="68" t="s">
        <v>74</v>
      </c>
      <c r="B37" s="94" t="s">
        <v>75</v>
      </c>
      <c r="C37" s="95"/>
      <c r="D37" s="11"/>
    </row>
    <row r="38" spans="1:4" ht="17.25" x14ac:dyDescent="0.25">
      <c r="A38" s="68" t="s">
        <v>76</v>
      </c>
      <c r="B38" s="94" t="s">
        <v>77</v>
      </c>
      <c r="C38" s="95"/>
      <c r="D38" s="11"/>
    </row>
    <row r="39" spans="1:4" ht="17.25" x14ac:dyDescent="0.25">
      <c r="A39" s="68" t="s">
        <v>78</v>
      </c>
      <c r="B39" s="94" t="s">
        <v>79</v>
      </c>
      <c r="C39" s="95"/>
      <c r="D39" s="11"/>
    </row>
    <row r="40" spans="1:4" ht="17.25" x14ac:dyDescent="0.25">
      <c r="A40" s="68" t="s">
        <v>80</v>
      </c>
      <c r="B40" s="94" t="s">
        <v>81</v>
      </c>
      <c r="C40" s="95"/>
      <c r="D40" s="11"/>
    </row>
    <row r="41" spans="1:4" ht="17.25" x14ac:dyDescent="0.25">
      <c r="A41" s="68" t="s">
        <v>82</v>
      </c>
      <c r="B41" s="94" t="s">
        <v>83</v>
      </c>
      <c r="C41" s="95"/>
      <c r="D41" s="11"/>
    </row>
    <row r="42" spans="1:4" ht="17.25" x14ac:dyDescent="0.25">
      <c r="A42" s="68" t="s">
        <v>84</v>
      </c>
      <c r="B42" s="94" t="s">
        <v>89</v>
      </c>
      <c r="C42" s="95"/>
      <c r="D42" s="11"/>
    </row>
    <row r="43" spans="1:4" ht="17.25" x14ac:dyDescent="0.25">
      <c r="A43" s="68" t="s">
        <v>85</v>
      </c>
      <c r="B43" s="94" t="s">
        <v>86</v>
      </c>
      <c r="C43" s="95"/>
      <c r="D43" s="11"/>
    </row>
    <row r="44" spans="1:4" ht="17.25" x14ac:dyDescent="0.25">
      <c r="A44" s="68" t="s">
        <v>87</v>
      </c>
      <c r="B44" s="94" t="s">
        <v>88</v>
      </c>
      <c r="C44" s="95"/>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41" zoomScaleNormal="41" workbookViewId="0">
      <pane xSplit="10" ySplit="9" topLeftCell="YM10" activePane="bottomRight" state="frozen"/>
      <selection pane="topRight" activeCell="H1" sqref="H1"/>
      <selection pane="bottomLeft" activeCell="A5" sqref="A5"/>
      <selection pane="bottomRight" activeCell="ZB40" sqref="ZB40"/>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3" t="s">
        <v>95</v>
      </c>
      <c r="D1" s="123"/>
      <c r="E1" s="123"/>
      <c r="F1" s="123"/>
      <c r="G1" s="123"/>
      <c r="H1" s="123"/>
      <c r="I1" s="123"/>
      <c r="J1" s="123"/>
      <c r="K1" s="123"/>
      <c r="L1" s="123"/>
      <c r="M1" s="123"/>
      <c r="N1" s="123"/>
      <c r="O1" s="123"/>
      <c r="P1" s="72"/>
      <c r="Q1" s="73">
        <v>101</v>
      </c>
      <c r="R1" s="118" t="s">
        <v>45</v>
      </c>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74">
        <v>102</v>
      </c>
      <c r="BD1" s="117" t="s">
        <v>47</v>
      </c>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73">
        <v>104</v>
      </c>
      <c r="CP1" s="118" t="s">
        <v>49</v>
      </c>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74">
        <v>106</v>
      </c>
      <c r="EB1" s="117" t="s">
        <v>51</v>
      </c>
      <c r="EC1" s="117"/>
      <c r="ED1" s="117"/>
      <c r="EE1" s="117"/>
      <c r="EF1" s="117"/>
      <c r="EG1" s="117"/>
      <c r="EH1" s="117"/>
      <c r="EI1" s="117"/>
      <c r="EJ1" s="117"/>
      <c r="EK1" s="117"/>
      <c r="EL1" s="117"/>
      <c r="EM1" s="117"/>
      <c r="EN1" s="117"/>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73">
        <v>110</v>
      </c>
      <c r="FN1" s="118" t="s">
        <v>53</v>
      </c>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74">
        <v>114</v>
      </c>
      <c r="GZ1" s="117" t="s">
        <v>55</v>
      </c>
      <c r="HA1" s="117"/>
      <c r="HB1" s="117"/>
      <c r="HC1" s="117"/>
      <c r="HD1" s="117"/>
      <c r="HE1" s="117"/>
      <c r="HF1" s="117"/>
      <c r="HG1" s="117"/>
      <c r="HH1" s="117"/>
      <c r="HI1" s="117"/>
      <c r="HJ1" s="117"/>
      <c r="HK1" s="117"/>
      <c r="HL1" s="117"/>
      <c r="HM1" s="117"/>
      <c r="HN1" s="117"/>
      <c r="HO1" s="117"/>
      <c r="HP1" s="117"/>
      <c r="HQ1" s="117"/>
      <c r="HR1" s="117"/>
      <c r="HS1" s="117"/>
      <c r="HT1" s="117"/>
      <c r="HU1" s="117"/>
      <c r="HV1" s="117"/>
      <c r="HW1" s="117"/>
      <c r="HX1" s="117"/>
      <c r="HY1" s="117"/>
      <c r="HZ1" s="117"/>
      <c r="IA1" s="117"/>
      <c r="IB1" s="117"/>
      <c r="IC1" s="117"/>
      <c r="ID1" s="117"/>
      <c r="IE1" s="117"/>
      <c r="IF1" s="117"/>
      <c r="IG1" s="117"/>
      <c r="IH1" s="117"/>
      <c r="II1" s="117"/>
      <c r="IJ1" s="117"/>
      <c r="IK1" s="73">
        <v>115</v>
      </c>
      <c r="IL1" s="118" t="s">
        <v>43</v>
      </c>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74">
        <v>117</v>
      </c>
      <c r="JX1" s="117" t="s">
        <v>57</v>
      </c>
      <c r="JY1" s="117"/>
      <c r="JZ1" s="117"/>
      <c r="KA1" s="117"/>
      <c r="KB1" s="117"/>
      <c r="KC1" s="117"/>
      <c r="KD1" s="117"/>
      <c r="KE1" s="117"/>
      <c r="KF1" s="117"/>
      <c r="KG1" s="117"/>
      <c r="KH1" s="117"/>
      <c r="KI1" s="117"/>
      <c r="KJ1" s="117"/>
      <c r="KK1" s="117"/>
      <c r="KL1" s="117"/>
      <c r="KM1" s="117"/>
      <c r="KN1" s="117"/>
      <c r="KO1" s="117"/>
      <c r="KP1" s="117"/>
      <c r="KQ1" s="117"/>
      <c r="KR1" s="117"/>
      <c r="KS1" s="117"/>
      <c r="KT1" s="117"/>
      <c r="KU1" s="117"/>
      <c r="KV1" s="117"/>
      <c r="KW1" s="117"/>
      <c r="KX1" s="117"/>
      <c r="KY1" s="117"/>
      <c r="KZ1" s="117"/>
      <c r="LA1" s="117"/>
      <c r="LB1" s="117"/>
      <c r="LC1" s="117"/>
      <c r="LD1" s="117"/>
      <c r="LE1" s="117"/>
      <c r="LF1" s="117"/>
      <c r="LG1" s="117"/>
      <c r="LH1" s="117"/>
      <c r="LI1" s="73">
        <v>120</v>
      </c>
      <c r="LJ1" s="118" t="s">
        <v>59</v>
      </c>
      <c r="LK1" s="118"/>
      <c r="LL1" s="118"/>
      <c r="LM1" s="118"/>
      <c r="LN1" s="118"/>
      <c r="LO1" s="118"/>
      <c r="LP1" s="118"/>
      <c r="LQ1" s="118"/>
      <c r="LR1" s="118"/>
      <c r="LS1" s="118"/>
      <c r="LT1" s="118"/>
      <c r="LU1" s="118"/>
      <c r="LV1" s="118"/>
      <c r="LW1" s="118"/>
      <c r="LX1" s="118"/>
      <c r="LY1" s="118"/>
      <c r="LZ1" s="118"/>
      <c r="MA1" s="118"/>
      <c r="MB1" s="118"/>
      <c r="MC1" s="118"/>
      <c r="MD1" s="118"/>
      <c r="ME1" s="118"/>
      <c r="MF1" s="118"/>
      <c r="MG1" s="118"/>
      <c r="MH1" s="118"/>
      <c r="MI1" s="118"/>
      <c r="MJ1" s="118"/>
      <c r="MK1" s="118"/>
      <c r="ML1" s="118"/>
      <c r="MM1" s="118"/>
      <c r="MN1" s="118"/>
      <c r="MO1" s="118"/>
      <c r="MP1" s="118"/>
      <c r="MQ1" s="118"/>
      <c r="MR1" s="118"/>
      <c r="MS1" s="118"/>
      <c r="MT1" s="118"/>
      <c r="MU1" s="74">
        <v>125</v>
      </c>
      <c r="MV1" s="117" t="s">
        <v>61</v>
      </c>
      <c r="MW1" s="117"/>
      <c r="MX1" s="117"/>
      <c r="MY1" s="117"/>
      <c r="MZ1" s="117"/>
      <c r="NA1" s="117"/>
      <c r="NB1" s="117"/>
      <c r="NC1" s="117"/>
      <c r="ND1" s="117"/>
      <c r="NE1" s="117"/>
      <c r="NF1" s="117"/>
      <c r="NG1" s="117"/>
      <c r="NH1" s="117"/>
      <c r="NI1" s="117"/>
      <c r="NJ1" s="117"/>
      <c r="NK1" s="117"/>
      <c r="NL1" s="117"/>
      <c r="NM1" s="117"/>
      <c r="NN1" s="117"/>
      <c r="NO1" s="117"/>
      <c r="NP1" s="117"/>
      <c r="NQ1" s="117"/>
      <c r="NR1" s="117"/>
      <c r="NS1" s="117"/>
      <c r="NT1" s="117"/>
      <c r="NU1" s="117"/>
      <c r="NV1" s="117"/>
      <c r="NW1" s="117"/>
      <c r="NX1" s="117"/>
      <c r="NY1" s="117"/>
      <c r="NZ1" s="117"/>
      <c r="OA1" s="117"/>
      <c r="OB1" s="117"/>
      <c r="OC1" s="117"/>
      <c r="OD1" s="117"/>
      <c r="OE1" s="117"/>
      <c r="OF1" s="117"/>
      <c r="OG1" s="73">
        <v>127</v>
      </c>
      <c r="OH1" s="118" t="s">
        <v>63</v>
      </c>
      <c r="OI1" s="118"/>
      <c r="OJ1" s="118"/>
      <c r="OK1" s="118"/>
      <c r="OL1" s="118"/>
      <c r="OM1" s="118"/>
      <c r="ON1" s="118"/>
      <c r="OO1" s="118"/>
      <c r="OP1" s="118"/>
      <c r="OQ1" s="118"/>
      <c r="OR1" s="118"/>
      <c r="OS1" s="118"/>
      <c r="OT1" s="118"/>
      <c r="OU1" s="118"/>
      <c r="OV1" s="118"/>
      <c r="OW1" s="118"/>
      <c r="OX1" s="118"/>
      <c r="OY1" s="118"/>
      <c r="OZ1" s="118"/>
      <c r="PA1" s="118"/>
      <c r="PB1" s="118"/>
      <c r="PC1" s="118"/>
      <c r="PD1" s="118"/>
      <c r="PE1" s="118"/>
      <c r="PF1" s="118"/>
      <c r="PG1" s="118"/>
      <c r="PH1" s="118"/>
      <c r="PI1" s="118"/>
      <c r="PJ1" s="118"/>
      <c r="PK1" s="118"/>
      <c r="PL1" s="118"/>
      <c r="PM1" s="118"/>
      <c r="PN1" s="118"/>
      <c r="PO1" s="118"/>
      <c r="PP1" s="118"/>
      <c r="PQ1" s="118"/>
      <c r="PR1" s="118"/>
      <c r="PS1" s="74">
        <v>128</v>
      </c>
      <c r="PT1" s="117" t="s">
        <v>65</v>
      </c>
      <c r="PU1" s="117"/>
      <c r="PV1" s="117"/>
      <c r="PW1" s="117"/>
      <c r="PX1" s="117"/>
      <c r="PY1" s="117"/>
      <c r="PZ1" s="117"/>
      <c r="QA1" s="117"/>
      <c r="QB1" s="117"/>
      <c r="QC1" s="117"/>
      <c r="QD1" s="117"/>
      <c r="QE1" s="117"/>
      <c r="QF1" s="117"/>
      <c r="QG1" s="117"/>
      <c r="QH1" s="117"/>
      <c r="QI1" s="117"/>
      <c r="QJ1" s="117"/>
      <c r="QK1" s="117"/>
      <c r="QL1" s="117"/>
      <c r="QM1" s="117"/>
      <c r="QN1" s="117"/>
      <c r="QO1" s="117"/>
      <c r="QP1" s="117"/>
      <c r="QQ1" s="117"/>
      <c r="QR1" s="117"/>
      <c r="QS1" s="117"/>
      <c r="QT1" s="117"/>
      <c r="QU1" s="117"/>
      <c r="QV1" s="117"/>
      <c r="QW1" s="117"/>
      <c r="QX1" s="117"/>
      <c r="QY1" s="117"/>
      <c r="QZ1" s="117"/>
      <c r="RA1" s="117"/>
      <c r="RB1" s="117"/>
      <c r="RC1" s="117"/>
      <c r="RD1" s="117"/>
      <c r="RE1" s="73">
        <v>129</v>
      </c>
      <c r="RF1" s="118" t="s">
        <v>67</v>
      </c>
      <c r="RG1" s="118"/>
      <c r="RH1" s="118"/>
      <c r="RI1" s="118"/>
      <c r="RJ1" s="118"/>
      <c r="RK1" s="118"/>
      <c r="RL1" s="118"/>
      <c r="RM1" s="118"/>
      <c r="RN1" s="118"/>
      <c r="RO1" s="118"/>
      <c r="RP1" s="118"/>
      <c r="RQ1" s="118"/>
      <c r="RR1" s="118"/>
      <c r="RS1" s="118"/>
      <c r="RT1" s="118"/>
      <c r="RU1" s="118"/>
      <c r="RV1" s="118"/>
      <c r="RW1" s="118"/>
      <c r="RX1" s="118"/>
      <c r="RY1" s="118"/>
      <c r="RZ1" s="118"/>
      <c r="SA1" s="118"/>
      <c r="SB1" s="118"/>
      <c r="SC1" s="118"/>
      <c r="SD1" s="118"/>
      <c r="SE1" s="118"/>
      <c r="SF1" s="118"/>
      <c r="SG1" s="118"/>
      <c r="SH1" s="118"/>
      <c r="SI1" s="118"/>
      <c r="SJ1" s="118"/>
      <c r="SK1" s="118"/>
      <c r="SL1" s="118"/>
      <c r="SM1" s="118"/>
      <c r="SN1" s="118"/>
      <c r="SO1" s="118"/>
      <c r="SP1" s="118"/>
      <c r="SQ1" s="74">
        <v>130</v>
      </c>
      <c r="SR1" s="117" t="s">
        <v>69</v>
      </c>
      <c r="SS1" s="117"/>
      <c r="ST1" s="117"/>
      <c r="SU1" s="117"/>
      <c r="SV1" s="117"/>
      <c r="SW1" s="117"/>
      <c r="SX1" s="117"/>
      <c r="SY1" s="117"/>
      <c r="SZ1" s="117"/>
      <c r="TA1" s="117"/>
      <c r="TB1" s="117"/>
      <c r="TC1" s="117"/>
      <c r="TD1" s="117"/>
      <c r="TE1" s="117"/>
      <c r="TF1" s="117"/>
      <c r="TG1" s="117"/>
      <c r="TH1" s="117"/>
      <c r="TI1" s="117"/>
      <c r="TJ1" s="117"/>
      <c r="TK1" s="117"/>
      <c r="TL1" s="117"/>
      <c r="TM1" s="117"/>
      <c r="TN1" s="117"/>
      <c r="TO1" s="117"/>
      <c r="TP1" s="117"/>
      <c r="TQ1" s="117"/>
      <c r="TR1" s="117"/>
      <c r="TS1" s="117"/>
      <c r="TT1" s="117"/>
      <c r="TU1" s="117"/>
      <c r="TV1" s="117"/>
      <c r="TW1" s="117"/>
      <c r="TX1" s="117"/>
      <c r="TY1" s="117"/>
      <c r="TZ1" s="117"/>
      <c r="UA1" s="117"/>
      <c r="UB1" s="117"/>
      <c r="UC1" s="73">
        <v>131</v>
      </c>
      <c r="UD1" s="118" t="s">
        <v>71</v>
      </c>
      <c r="UE1" s="118"/>
      <c r="UF1" s="118"/>
      <c r="UG1" s="118"/>
      <c r="UH1" s="118"/>
      <c r="UI1" s="118"/>
      <c r="UJ1" s="118"/>
      <c r="UK1" s="118"/>
      <c r="UL1" s="118"/>
      <c r="UM1" s="118"/>
      <c r="UN1" s="118"/>
      <c r="UO1" s="118"/>
      <c r="UP1" s="118"/>
      <c r="UQ1" s="118"/>
      <c r="UR1" s="118"/>
      <c r="US1" s="118"/>
      <c r="UT1" s="118"/>
      <c r="UU1" s="118"/>
      <c r="UV1" s="118"/>
      <c r="UW1" s="118"/>
      <c r="UX1" s="118"/>
      <c r="UY1" s="118"/>
      <c r="UZ1" s="118"/>
      <c r="VA1" s="118"/>
      <c r="VB1" s="118"/>
      <c r="VC1" s="118"/>
      <c r="VD1" s="118"/>
      <c r="VE1" s="118"/>
      <c r="VF1" s="118"/>
      <c r="VG1" s="118"/>
      <c r="VH1" s="118"/>
      <c r="VI1" s="118"/>
      <c r="VJ1" s="118"/>
      <c r="VK1" s="118"/>
      <c r="VL1" s="118"/>
      <c r="VM1" s="118"/>
      <c r="VN1" s="118"/>
      <c r="VO1" s="74">
        <v>132</v>
      </c>
      <c r="VP1" s="117" t="s">
        <v>73</v>
      </c>
      <c r="VQ1" s="117"/>
      <c r="VR1" s="117"/>
      <c r="VS1" s="117"/>
      <c r="VT1" s="117"/>
      <c r="VU1" s="117"/>
      <c r="VV1" s="117"/>
      <c r="VW1" s="117"/>
      <c r="VX1" s="117"/>
      <c r="VY1" s="117"/>
      <c r="VZ1" s="117"/>
      <c r="WA1" s="117"/>
      <c r="WB1" s="117"/>
      <c r="WC1" s="117"/>
      <c r="WD1" s="117"/>
      <c r="WE1" s="117"/>
      <c r="WF1" s="117"/>
      <c r="WG1" s="117"/>
      <c r="WH1" s="117"/>
      <c r="WI1" s="117"/>
      <c r="WJ1" s="117"/>
      <c r="WK1" s="117"/>
      <c r="WL1" s="117"/>
      <c r="WM1" s="117"/>
      <c r="WN1" s="117"/>
      <c r="WO1" s="117"/>
      <c r="WP1" s="117"/>
      <c r="WQ1" s="117"/>
      <c r="WR1" s="117"/>
      <c r="WS1" s="117"/>
      <c r="WT1" s="117"/>
      <c r="WU1" s="117"/>
      <c r="WV1" s="117"/>
      <c r="WW1" s="117"/>
      <c r="WX1" s="117"/>
      <c r="WY1" s="117"/>
      <c r="WZ1" s="117"/>
      <c r="XA1" s="73">
        <v>133</v>
      </c>
      <c r="XB1" s="118" t="s">
        <v>75</v>
      </c>
      <c r="XC1" s="118"/>
      <c r="XD1" s="118"/>
      <c r="XE1" s="118"/>
      <c r="XF1" s="118"/>
      <c r="XG1" s="118"/>
      <c r="XH1" s="118"/>
      <c r="XI1" s="118"/>
      <c r="XJ1" s="118"/>
      <c r="XK1" s="118"/>
      <c r="XL1" s="118"/>
      <c r="XM1" s="118"/>
      <c r="XN1" s="118"/>
      <c r="XO1" s="118"/>
      <c r="XP1" s="118"/>
      <c r="XQ1" s="118"/>
      <c r="XR1" s="118"/>
      <c r="XS1" s="118"/>
      <c r="XT1" s="118"/>
      <c r="XU1" s="118"/>
      <c r="XV1" s="118"/>
      <c r="XW1" s="118"/>
      <c r="XX1" s="118"/>
      <c r="XY1" s="118"/>
      <c r="XZ1" s="118"/>
      <c r="YA1" s="118"/>
      <c r="YB1" s="118"/>
      <c r="YC1" s="118"/>
      <c r="YD1" s="118"/>
      <c r="YE1" s="118"/>
      <c r="YF1" s="118"/>
      <c r="YG1" s="118"/>
      <c r="YH1" s="118"/>
      <c r="YI1" s="118"/>
      <c r="YJ1" s="118"/>
      <c r="YK1" s="118"/>
      <c r="YL1" s="118"/>
      <c r="YM1" s="74">
        <v>135</v>
      </c>
      <c r="YN1" s="117" t="s">
        <v>77</v>
      </c>
      <c r="YO1" s="117"/>
      <c r="YP1" s="117"/>
      <c r="YQ1" s="117"/>
      <c r="YR1" s="117"/>
      <c r="YS1" s="117"/>
      <c r="YT1" s="117"/>
      <c r="YU1" s="117"/>
      <c r="YV1" s="117"/>
      <c r="YW1" s="117"/>
      <c r="YX1" s="117"/>
      <c r="YY1" s="117"/>
      <c r="YZ1" s="117"/>
      <c r="ZA1" s="117"/>
      <c r="ZB1" s="117"/>
      <c r="ZC1" s="117"/>
      <c r="ZD1" s="117"/>
      <c r="ZE1" s="117"/>
      <c r="ZF1" s="117"/>
      <c r="ZG1" s="117"/>
      <c r="ZH1" s="117"/>
      <c r="ZI1" s="117"/>
      <c r="ZJ1" s="117"/>
      <c r="ZK1" s="117"/>
      <c r="ZL1" s="117"/>
      <c r="ZM1" s="117"/>
      <c r="ZN1" s="117"/>
      <c r="ZO1" s="117"/>
      <c r="ZP1" s="117"/>
      <c r="ZQ1" s="117"/>
      <c r="ZR1" s="117"/>
      <c r="ZS1" s="117"/>
      <c r="ZT1" s="117"/>
      <c r="ZU1" s="117"/>
      <c r="ZV1" s="117"/>
      <c r="ZW1" s="117"/>
      <c r="ZX1" s="117"/>
      <c r="ZY1" s="73">
        <v>181</v>
      </c>
      <c r="ZZ1" s="118" t="s">
        <v>79</v>
      </c>
      <c r="AAA1" s="118"/>
      <c r="AAB1" s="118"/>
      <c r="AAC1" s="118"/>
      <c r="AAD1" s="118"/>
      <c r="AAE1" s="118"/>
      <c r="AAF1" s="118"/>
      <c r="AAG1" s="118"/>
      <c r="AAH1" s="118"/>
      <c r="AAI1" s="118"/>
      <c r="AAJ1" s="118"/>
      <c r="AAK1" s="118"/>
      <c r="AAL1" s="118"/>
      <c r="AAM1" s="118"/>
      <c r="AAN1" s="118"/>
      <c r="AAO1" s="118"/>
      <c r="AAP1" s="118"/>
      <c r="AAQ1" s="118"/>
      <c r="AAR1" s="118"/>
      <c r="AAS1" s="118"/>
      <c r="AAT1" s="118"/>
      <c r="AAU1" s="118"/>
      <c r="AAV1" s="118"/>
      <c r="AAW1" s="118"/>
      <c r="AAX1" s="118"/>
      <c r="AAY1" s="118"/>
      <c r="AAZ1" s="118"/>
      <c r="ABA1" s="118"/>
      <c r="ABB1" s="118"/>
      <c r="ABC1" s="118"/>
      <c r="ABD1" s="118"/>
      <c r="ABE1" s="118"/>
      <c r="ABF1" s="118"/>
      <c r="ABG1" s="118"/>
      <c r="ABH1" s="118"/>
      <c r="ABI1" s="118"/>
      <c r="ABJ1" s="118"/>
      <c r="ABK1" s="74">
        <v>182</v>
      </c>
      <c r="ABL1" s="117" t="s">
        <v>81</v>
      </c>
      <c r="ABM1" s="117"/>
      <c r="ABN1" s="117"/>
      <c r="ABO1" s="117"/>
      <c r="ABP1" s="117"/>
      <c r="ABQ1" s="117"/>
      <c r="ABR1" s="117"/>
      <c r="ABS1" s="117"/>
      <c r="ABT1" s="117"/>
      <c r="ABU1" s="117"/>
      <c r="ABV1" s="117"/>
      <c r="ABW1" s="117"/>
      <c r="ABX1" s="117"/>
      <c r="ABY1" s="117"/>
      <c r="ABZ1" s="117"/>
      <c r="ACA1" s="117"/>
      <c r="ACB1" s="117"/>
      <c r="ACC1" s="117"/>
      <c r="ACD1" s="117"/>
      <c r="ACE1" s="117"/>
      <c r="ACF1" s="117"/>
      <c r="ACG1" s="117"/>
      <c r="ACH1" s="117"/>
      <c r="ACI1" s="117"/>
      <c r="ACJ1" s="117"/>
      <c r="ACK1" s="117"/>
      <c r="ACL1" s="117"/>
      <c r="ACM1" s="117"/>
      <c r="ACN1" s="117"/>
      <c r="ACO1" s="117"/>
      <c r="ACP1" s="117"/>
      <c r="ACQ1" s="117"/>
      <c r="ACR1" s="117"/>
      <c r="ACS1" s="117"/>
      <c r="ACT1" s="117"/>
      <c r="ACU1" s="117"/>
      <c r="ACV1" s="117"/>
      <c r="ACW1" s="73">
        <v>281</v>
      </c>
      <c r="ACX1" s="118" t="s">
        <v>83</v>
      </c>
      <c r="ACY1" s="118"/>
      <c r="ACZ1" s="118"/>
      <c r="ADA1" s="118"/>
      <c r="ADB1" s="118"/>
      <c r="ADC1" s="118"/>
      <c r="ADD1" s="118"/>
      <c r="ADE1" s="118"/>
      <c r="ADF1" s="118"/>
      <c r="ADG1" s="118"/>
      <c r="ADH1" s="118"/>
      <c r="ADI1" s="118"/>
      <c r="ADJ1" s="118"/>
      <c r="ADK1" s="118"/>
      <c r="ADL1" s="118"/>
      <c r="ADM1" s="118"/>
      <c r="ADN1" s="118"/>
      <c r="ADO1" s="118"/>
      <c r="ADP1" s="118"/>
      <c r="ADQ1" s="118"/>
      <c r="ADR1" s="118"/>
      <c r="ADS1" s="118"/>
      <c r="ADT1" s="118"/>
      <c r="ADU1" s="118"/>
      <c r="ADV1" s="118"/>
      <c r="ADW1" s="118"/>
      <c r="ADX1" s="118"/>
      <c r="ADY1" s="118"/>
      <c r="ADZ1" s="118"/>
      <c r="AEA1" s="118"/>
      <c r="AEB1" s="118"/>
      <c r="AEC1" s="118"/>
      <c r="AED1" s="118"/>
      <c r="AEE1" s="118"/>
      <c r="AEF1" s="118"/>
      <c r="AEG1" s="118"/>
      <c r="AEH1" s="118"/>
      <c r="AEI1" s="74">
        <v>771</v>
      </c>
      <c r="AEJ1" s="117" t="s">
        <v>89</v>
      </c>
      <c r="AEK1" s="117"/>
      <c r="AEL1" s="117"/>
      <c r="AEM1" s="117"/>
      <c r="AEN1" s="117"/>
      <c r="AEO1" s="117"/>
      <c r="AEP1" s="117"/>
      <c r="AEQ1" s="117"/>
      <c r="AER1" s="117"/>
      <c r="AES1" s="117"/>
      <c r="AET1" s="117"/>
      <c r="AEU1" s="117"/>
      <c r="AEV1" s="117"/>
      <c r="AEW1" s="117"/>
      <c r="AEX1" s="117"/>
      <c r="AEY1" s="117"/>
      <c r="AEZ1" s="117"/>
      <c r="AFA1" s="117"/>
      <c r="AFB1" s="117"/>
      <c r="AFC1" s="117"/>
      <c r="AFD1" s="117"/>
      <c r="AFE1" s="117"/>
      <c r="AFF1" s="117"/>
      <c r="AFG1" s="117"/>
      <c r="AFH1" s="117"/>
      <c r="AFI1" s="117"/>
      <c r="AFJ1" s="117"/>
      <c r="AFK1" s="117"/>
      <c r="AFL1" s="117"/>
      <c r="AFM1" s="117"/>
      <c r="AFN1" s="117"/>
      <c r="AFO1" s="117"/>
      <c r="AFP1" s="117"/>
      <c r="AFQ1" s="117"/>
      <c r="AFR1" s="117"/>
      <c r="AFS1" s="117"/>
      <c r="AFT1" s="117"/>
      <c r="AFU1" s="73">
        <v>926</v>
      </c>
      <c r="AFV1" s="118" t="s">
        <v>86</v>
      </c>
      <c r="AFW1" s="118"/>
      <c r="AFX1" s="118"/>
      <c r="AFY1" s="118"/>
      <c r="AFZ1" s="118"/>
      <c r="AGA1" s="118"/>
      <c r="AGB1" s="118"/>
      <c r="AGC1" s="118"/>
      <c r="AGD1" s="118"/>
      <c r="AGE1" s="118"/>
      <c r="AGF1" s="118"/>
      <c r="AGG1" s="118"/>
      <c r="AGH1" s="118"/>
      <c r="AGI1" s="118"/>
      <c r="AGJ1" s="118"/>
      <c r="AGK1" s="118"/>
      <c r="AGL1" s="118"/>
      <c r="AGM1" s="118"/>
      <c r="AGN1" s="118"/>
      <c r="AGO1" s="118"/>
      <c r="AGP1" s="118"/>
      <c r="AGQ1" s="118"/>
      <c r="AGR1" s="118"/>
      <c r="AGS1" s="118"/>
      <c r="AGT1" s="118"/>
      <c r="AGU1" s="118"/>
      <c r="AGV1" s="118"/>
      <c r="AGW1" s="118"/>
      <c r="AGX1" s="118"/>
      <c r="AGY1" s="118"/>
      <c r="AGZ1" s="118"/>
      <c r="AHA1" s="118"/>
      <c r="AHB1" s="118"/>
      <c r="AHC1" s="118"/>
      <c r="AHD1" s="118"/>
      <c r="AHE1" s="118"/>
      <c r="AHF1" s="118"/>
      <c r="AHG1" s="74">
        <v>927</v>
      </c>
      <c r="AHH1" s="117" t="s">
        <v>88</v>
      </c>
      <c r="AHI1" s="117"/>
      <c r="AHJ1" s="117"/>
      <c r="AHK1" s="117"/>
      <c r="AHL1" s="117"/>
      <c r="AHM1" s="117"/>
      <c r="AHN1" s="117"/>
      <c r="AHO1" s="117"/>
      <c r="AHP1" s="117"/>
      <c r="AHQ1" s="117"/>
      <c r="AHR1" s="117"/>
      <c r="AHS1" s="117"/>
      <c r="AHT1" s="117"/>
      <c r="AHU1" s="117"/>
      <c r="AHV1" s="117"/>
      <c r="AHW1" s="117"/>
      <c r="AHX1" s="117"/>
      <c r="AHY1" s="117"/>
      <c r="AHZ1" s="117"/>
      <c r="AIA1" s="117"/>
      <c r="AIB1" s="117"/>
      <c r="AIC1" s="117"/>
      <c r="AID1" s="117"/>
      <c r="AIE1" s="117"/>
      <c r="AIF1" s="117"/>
      <c r="AIG1" s="117"/>
      <c r="AIH1" s="117"/>
      <c r="AII1" s="117"/>
      <c r="AIJ1" s="117"/>
      <c r="AIK1" s="117"/>
      <c r="AIL1" s="117"/>
      <c r="AIM1" s="117"/>
      <c r="AIN1" s="117"/>
      <c r="AIO1" s="117"/>
      <c r="AIP1" s="117"/>
      <c r="AIQ1" s="117"/>
      <c r="AIR1" s="117"/>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1Ç</v>
      </c>
      <c r="I2" s="75" t="str">
        <f>IF(K9="R","Rus",IF(K9="A","Azərbaycan",""))</f>
        <v>Azərbaycan</v>
      </c>
      <c r="J2" s="75"/>
      <c r="K2" s="75" t="str">
        <f>IF(K9="","",K9)</f>
        <v>A</v>
      </c>
      <c r="L2" s="75">
        <f>SUM(L4,L6)</f>
        <v>25</v>
      </c>
      <c r="M2" s="75"/>
      <c r="N2" s="75"/>
      <c r="O2" s="75"/>
      <c r="P2" s="75" t="str">
        <f>IF(P9="","",P9)</f>
        <v>Süleymanova Samirə Həsən</v>
      </c>
      <c r="Q2" s="75"/>
      <c r="R2" s="75">
        <f>IF(Q1="","",Q1)</f>
        <v>101</v>
      </c>
      <c r="S2" s="75">
        <f>IF(S10="","",S10)</f>
        <v>270</v>
      </c>
      <c r="T2" s="76" t="str">
        <f>IFERROR(AVERAGE(T10:T59),"")</f>
        <v/>
      </c>
      <c r="U2" s="76" t="str">
        <f t="shared" ref="U2:BB2" si="0">IFERROR(AVERAGE(U10:U59),"")</f>
        <v/>
      </c>
      <c r="V2" s="76" t="str">
        <f t="shared" si="0"/>
        <v/>
      </c>
      <c r="W2" s="76" t="str">
        <f t="shared" si="0"/>
        <v/>
      </c>
      <c r="X2" s="76" t="str">
        <f t="shared" si="0"/>
        <v/>
      </c>
      <c r="Y2" s="76" t="str">
        <f t="shared" si="0"/>
        <v/>
      </c>
      <c r="Z2" s="76" t="str">
        <f t="shared" si="0"/>
        <v/>
      </c>
      <c r="AA2" s="76" t="str">
        <f t="shared" si="0"/>
        <v/>
      </c>
      <c r="AB2" s="76" t="str">
        <f t="shared" si="0"/>
        <v/>
      </c>
      <c r="AC2" s="76" t="str">
        <f t="shared" si="0"/>
        <v/>
      </c>
      <c r="AD2" s="76" t="str">
        <f t="shared" si="0"/>
        <v/>
      </c>
      <c r="AE2" s="76" t="str">
        <f t="shared" si="0"/>
        <v/>
      </c>
      <c r="AF2" s="77">
        <f>IFERROR(SUM(AF10:AF59),"")</f>
        <v>62</v>
      </c>
      <c r="AG2" s="76">
        <f t="shared" si="0"/>
        <v>98.162962962962979</v>
      </c>
      <c r="AH2" s="76" t="str">
        <f t="shared" si="0"/>
        <v/>
      </c>
      <c r="AI2" s="76" t="str">
        <f t="shared" si="0"/>
        <v/>
      </c>
      <c r="AJ2" s="76" t="str">
        <f t="shared" si="0"/>
        <v/>
      </c>
      <c r="AK2" s="76" t="str">
        <f t="shared" si="0"/>
        <v/>
      </c>
      <c r="AL2" s="76" t="str">
        <f t="shared" si="0"/>
        <v/>
      </c>
      <c r="AM2" s="76" t="str">
        <f t="shared" si="0"/>
        <v/>
      </c>
      <c r="AN2" s="76" t="str">
        <f t="shared" si="0"/>
        <v/>
      </c>
      <c r="AO2" s="76" t="str">
        <f t="shared" si="0"/>
        <v/>
      </c>
      <c r="AP2" s="76" t="str">
        <f t="shared" si="0"/>
        <v/>
      </c>
      <c r="AQ2" s="76" t="str">
        <f t="shared" si="0"/>
        <v/>
      </c>
      <c r="AR2" s="76" t="str">
        <f t="shared" si="0"/>
        <v/>
      </c>
      <c r="AS2" s="76">
        <f>IFERROR(SUM(AS10:AS59),"")</f>
        <v>48</v>
      </c>
      <c r="AT2" s="76">
        <f t="shared" si="0"/>
        <v>98.577777777777797</v>
      </c>
      <c r="AU2" s="76" t="str">
        <f t="shared" si="0"/>
        <v/>
      </c>
      <c r="AV2" s="76" t="str">
        <f t="shared" si="0"/>
        <v/>
      </c>
      <c r="AW2" s="76" t="str">
        <f t="shared" si="0"/>
        <v/>
      </c>
      <c r="AX2" s="78" t="str">
        <f t="shared" si="0"/>
        <v/>
      </c>
      <c r="AY2" s="76" t="str">
        <f t="shared" si="0"/>
        <v/>
      </c>
      <c r="AZ2" s="76" t="str">
        <f t="shared" si="0"/>
        <v/>
      </c>
      <c r="BA2" s="77">
        <f>IFERROR(SUM(BA10:BA59),"")</f>
        <v>110</v>
      </c>
      <c r="BB2" s="76">
        <f t="shared" si="0"/>
        <v>98.370370370370367</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36</v>
      </c>
      <c r="ED2" s="79" t="str">
        <f>IFERROR(AVERAGE(ED10:ED59),"")</f>
        <v/>
      </c>
      <c r="EE2" s="79" t="str">
        <f t="shared" ref="EE2:FL2" si="3">IFERROR(AVERAGE(EE10:EE59),"")</f>
        <v/>
      </c>
      <c r="EF2" s="79" t="str">
        <f t="shared" si="3"/>
        <v/>
      </c>
      <c r="EG2" s="79" t="str">
        <f t="shared" si="3"/>
        <v/>
      </c>
      <c r="EH2" s="79" t="str">
        <f t="shared" si="3"/>
        <v/>
      </c>
      <c r="EI2" s="79" t="str">
        <f t="shared" si="3"/>
        <v/>
      </c>
      <c r="EJ2" s="79" t="str">
        <f t="shared" si="3"/>
        <v/>
      </c>
      <c r="EK2" s="79" t="str">
        <f t="shared" si="3"/>
        <v/>
      </c>
      <c r="EL2" s="79" t="str">
        <f t="shared" si="3"/>
        <v/>
      </c>
      <c r="EM2" s="79" t="str">
        <f t="shared" si="3"/>
        <v/>
      </c>
      <c r="EN2" s="79" t="str">
        <f t="shared" si="3"/>
        <v/>
      </c>
      <c r="EO2" s="79" t="str">
        <f t="shared" si="3"/>
        <v/>
      </c>
      <c r="EP2" s="79">
        <f>IFERROR(SUM(EP10:EP59),"")</f>
        <v>6</v>
      </c>
      <c r="EQ2" s="79">
        <f t="shared" si="3"/>
        <v>98.666666666666643</v>
      </c>
      <c r="ER2" s="79" t="str">
        <f t="shared" si="3"/>
        <v/>
      </c>
      <c r="ES2" s="79" t="str">
        <f t="shared" si="3"/>
        <v/>
      </c>
      <c r="ET2" s="79" t="str">
        <f t="shared" si="3"/>
        <v/>
      </c>
      <c r="EU2" s="79" t="str">
        <f t="shared" si="3"/>
        <v/>
      </c>
      <c r="EV2" s="79" t="str">
        <f t="shared" si="3"/>
        <v/>
      </c>
      <c r="EW2" s="79" t="str">
        <f t="shared" si="3"/>
        <v/>
      </c>
      <c r="EX2" s="79" t="str">
        <f t="shared" si="3"/>
        <v/>
      </c>
      <c r="EY2" s="79" t="str">
        <f t="shared" si="3"/>
        <v/>
      </c>
      <c r="EZ2" s="79" t="str">
        <f t="shared" si="3"/>
        <v/>
      </c>
      <c r="FA2" s="79" t="str">
        <f t="shared" si="3"/>
        <v/>
      </c>
      <c r="FB2" s="79" t="str">
        <f t="shared" si="3"/>
        <v/>
      </c>
      <c r="FC2" s="79">
        <f>IFERROR(SUM(FC10:FC59),"")</f>
        <v>2</v>
      </c>
      <c r="FD2" s="79">
        <f t="shared" si="3"/>
        <v>99.555555555555543</v>
      </c>
      <c r="FE2" s="79" t="str">
        <f t="shared" si="3"/>
        <v/>
      </c>
      <c r="FF2" s="79" t="str">
        <f t="shared" si="3"/>
        <v/>
      </c>
      <c r="FG2" s="79" t="str">
        <f t="shared" si="3"/>
        <v/>
      </c>
      <c r="FH2" s="79" t="str">
        <f t="shared" si="3"/>
        <v/>
      </c>
      <c r="FI2" s="79" t="str">
        <f t="shared" si="3"/>
        <v/>
      </c>
      <c r="FJ2" s="79" t="str">
        <f t="shared" si="3"/>
        <v/>
      </c>
      <c r="FK2" s="79">
        <f>IFERROR(SUM(FK10:FK59),"")</f>
        <v>8</v>
      </c>
      <c r="FL2" s="79">
        <f t="shared" si="3"/>
        <v>99.1111111111111</v>
      </c>
      <c r="FM2" s="75"/>
      <c r="FN2" s="75">
        <f>IF(FM1="","",FM1)</f>
        <v>110</v>
      </c>
      <c r="FO2" s="75">
        <f>IF(FO10="","",FO10)</f>
        <v>168</v>
      </c>
      <c r="FP2" s="75" t="str">
        <f>IFERROR(AVERAGE(FP10:FP59),"")</f>
        <v/>
      </c>
      <c r="FQ2" s="75" t="str">
        <f t="shared" ref="FQ2:GX2" si="4">IFERROR(AVERAGE(FQ10:FQ59),"")</f>
        <v/>
      </c>
      <c r="FR2" s="75" t="str">
        <f t="shared" si="4"/>
        <v/>
      </c>
      <c r="FS2" s="75" t="str">
        <f t="shared" si="4"/>
        <v/>
      </c>
      <c r="FT2" s="75" t="str">
        <f t="shared" si="4"/>
        <v/>
      </c>
      <c r="FU2" s="75" t="str">
        <f t="shared" si="4"/>
        <v/>
      </c>
      <c r="FV2" s="75" t="str">
        <f t="shared" si="4"/>
        <v/>
      </c>
      <c r="FW2" s="75" t="str">
        <f t="shared" si="4"/>
        <v/>
      </c>
      <c r="FX2" s="75" t="str">
        <f t="shared" si="4"/>
        <v/>
      </c>
      <c r="FY2" s="75" t="str">
        <f t="shared" si="4"/>
        <v/>
      </c>
      <c r="FZ2" s="75" t="str">
        <f t="shared" si="4"/>
        <v/>
      </c>
      <c r="GA2" s="75" t="str">
        <f t="shared" si="4"/>
        <v/>
      </c>
      <c r="GB2" s="75">
        <f>IFERROR(SUM(GB10:GB59),"")</f>
        <v>43</v>
      </c>
      <c r="GC2" s="75">
        <f t="shared" si="4"/>
        <v>97.952380952380949</v>
      </c>
      <c r="GD2" s="75" t="str">
        <f t="shared" si="4"/>
        <v/>
      </c>
      <c r="GE2" s="75" t="str">
        <f t="shared" si="4"/>
        <v/>
      </c>
      <c r="GF2" s="75" t="str">
        <f t="shared" si="4"/>
        <v/>
      </c>
      <c r="GG2" s="75" t="str">
        <f t="shared" si="4"/>
        <v/>
      </c>
      <c r="GH2" s="75" t="str">
        <f t="shared" si="4"/>
        <v/>
      </c>
      <c r="GI2" s="75" t="str">
        <f t="shared" si="4"/>
        <v/>
      </c>
      <c r="GJ2" s="75" t="str">
        <f t="shared" si="4"/>
        <v/>
      </c>
      <c r="GK2" s="75" t="str">
        <f t="shared" si="4"/>
        <v/>
      </c>
      <c r="GL2" s="75" t="str">
        <f t="shared" si="4"/>
        <v/>
      </c>
      <c r="GM2" s="75" t="str">
        <f t="shared" si="4"/>
        <v/>
      </c>
      <c r="GN2" s="75" t="str">
        <f t="shared" si="4"/>
        <v/>
      </c>
      <c r="GO2" s="75">
        <f>IFERROR(SUM(GO10:GO59),"")</f>
        <v>30</v>
      </c>
      <c r="GP2" s="75">
        <f t="shared" si="4"/>
        <v>98.571428571428569</v>
      </c>
      <c r="GQ2" s="75" t="str">
        <f t="shared" si="4"/>
        <v/>
      </c>
      <c r="GR2" s="75" t="str">
        <f t="shared" si="4"/>
        <v/>
      </c>
      <c r="GS2" s="75" t="str">
        <f t="shared" si="4"/>
        <v/>
      </c>
      <c r="GT2" s="75" t="str">
        <f t="shared" si="4"/>
        <v/>
      </c>
      <c r="GU2" s="75" t="str">
        <f t="shared" si="4"/>
        <v/>
      </c>
      <c r="GV2" s="75" t="str">
        <f t="shared" si="4"/>
        <v/>
      </c>
      <c r="GW2" s="75">
        <f>IFERROR(SUM(GW10:GW59),"")</f>
        <v>73</v>
      </c>
      <c r="GX2" s="75">
        <f t="shared" si="4"/>
        <v>98.261904761904759</v>
      </c>
      <c r="GY2" s="79"/>
      <c r="GZ2" s="79">
        <f>IF(GY1="","",GY1)</f>
        <v>114</v>
      </c>
      <c r="HA2" s="79">
        <f>IF(HA10="","",HA10)</f>
        <v>33</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2</v>
      </c>
      <c r="HO2" s="79">
        <f t="shared" si="5"/>
        <v>99.515151515151516</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2</v>
      </c>
      <c r="IB2" s="79">
        <f t="shared" si="5"/>
        <v>99.515151515151516</v>
      </c>
      <c r="IC2" s="79" t="str">
        <f t="shared" si="5"/>
        <v/>
      </c>
      <c r="ID2" s="79" t="str">
        <f t="shared" si="5"/>
        <v/>
      </c>
      <c r="IE2" s="79" t="str">
        <f t="shared" si="5"/>
        <v/>
      </c>
      <c r="IF2" s="79" t="str">
        <f t="shared" si="5"/>
        <v/>
      </c>
      <c r="IG2" s="79" t="str">
        <f t="shared" si="5"/>
        <v/>
      </c>
      <c r="IH2" s="79" t="str">
        <f t="shared" si="5"/>
        <v/>
      </c>
      <c r="II2" s="79">
        <f>IFERROR(SUM(II10:II59),"")</f>
        <v>4</v>
      </c>
      <c r="IJ2" s="79">
        <f t="shared" si="5"/>
        <v>99.515151515151516</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33</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8</v>
      </c>
      <c r="QI2" s="79">
        <f t="shared" si="11"/>
        <v>98.060606060606077</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5</v>
      </c>
      <c r="QV2" s="79">
        <f t="shared" si="11"/>
        <v>98.787878787878796</v>
      </c>
      <c r="QW2" s="79" t="str">
        <f t="shared" si="11"/>
        <v/>
      </c>
      <c r="QX2" s="79" t="str">
        <f t="shared" si="11"/>
        <v/>
      </c>
      <c r="QY2" s="79" t="str">
        <f t="shared" si="11"/>
        <v/>
      </c>
      <c r="QZ2" s="79" t="str">
        <f t="shared" si="11"/>
        <v/>
      </c>
      <c r="RA2" s="79" t="str">
        <f t="shared" si="11"/>
        <v/>
      </c>
      <c r="RB2" s="79" t="str">
        <f t="shared" si="11"/>
        <v/>
      </c>
      <c r="RC2" s="79">
        <f>IFERROR(SUM(RC10:RC59),"")</f>
        <v>13</v>
      </c>
      <c r="RD2" s="79">
        <f t="shared" si="11"/>
        <v>98.424242424242436</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69</v>
      </c>
      <c r="UF2" s="75" t="str">
        <f>IFERROR(AVERAGE(UF10:UF59),"")</f>
        <v/>
      </c>
      <c r="UG2" s="75" t="str">
        <f t="shared" ref="UG2:VN2" si="14">IFERROR(AVERAGE(UG10:UG59),"")</f>
        <v/>
      </c>
      <c r="UH2" s="75" t="str">
        <f t="shared" si="14"/>
        <v/>
      </c>
      <c r="UI2" s="75" t="str">
        <f t="shared" si="14"/>
        <v/>
      </c>
      <c r="UJ2" s="75" t="str">
        <f t="shared" si="14"/>
        <v/>
      </c>
      <c r="UK2" s="75" t="str">
        <f t="shared" si="14"/>
        <v/>
      </c>
      <c r="UL2" s="75" t="str">
        <f t="shared" si="14"/>
        <v/>
      </c>
      <c r="UM2" s="75" t="str">
        <f t="shared" si="14"/>
        <v/>
      </c>
      <c r="UN2" s="75" t="str">
        <f t="shared" si="14"/>
        <v/>
      </c>
      <c r="UO2" s="75" t="str">
        <f t="shared" si="14"/>
        <v/>
      </c>
      <c r="UP2" s="75" t="str">
        <f t="shared" si="14"/>
        <v/>
      </c>
      <c r="UQ2" s="75" t="str">
        <f t="shared" si="14"/>
        <v/>
      </c>
      <c r="UR2" s="75">
        <f>IFERROR(SUM(UR10:UR59),"")</f>
        <v>18</v>
      </c>
      <c r="US2" s="75">
        <f t="shared" si="14"/>
        <v>97.913043478260875</v>
      </c>
      <c r="UT2" s="75" t="str">
        <f t="shared" si="14"/>
        <v/>
      </c>
      <c r="UU2" s="75" t="str">
        <f t="shared" si="14"/>
        <v/>
      </c>
      <c r="UV2" s="75" t="str">
        <f t="shared" si="14"/>
        <v/>
      </c>
      <c r="UW2" s="75" t="str">
        <f t="shared" si="14"/>
        <v/>
      </c>
      <c r="UX2" s="75" t="str">
        <f t="shared" si="14"/>
        <v/>
      </c>
      <c r="UY2" s="75" t="str">
        <f t="shared" si="14"/>
        <v/>
      </c>
      <c r="UZ2" s="75" t="str">
        <f t="shared" si="14"/>
        <v/>
      </c>
      <c r="VA2" s="75" t="str">
        <f t="shared" si="14"/>
        <v/>
      </c>
      <c r="VB2" s="75" t="str">
        <f t="shared" si="14"/>
        <v/>
      </c>
      <c r="VC2" s="75" t="str">
        <f t="shared" si="14"/>
        <v/>
      </c>
      <c r="VD2" s="75" t="str">
        <f t="shared" si="14"/>
        <v/>
      </c>
      <c r="VE2" s="75">
        <f>IFERROR(SUM(VE10:VE59),"")</f>
        <v>10</v>
      </c>
      <c r="VF2" s="75">
        <f t="shared" si="14"/>
        <v>98.840579710144922</v>
      </c>
      <c r="VG2" s="75" t="str">
        <f t="shared" si="14"/>
        <v/>
      </c>
      <c r="VH2" s="75" t="str">
        <f t="shared" si="14"/>
        <v/>
      </c>
      <c r="VI2" s="75" t="str">
        <f t="shared" si="14"/>
        <v/>
      </c>
      <c r="VJ2" s="75" t="str">
        <f t="shared" si="14"/>
        <v/>
      </c>
      <c r="VK2" s="75" t="str">
        <f t="shared" si="14"/>
        <v/>
      </c>
      <c r="VL2" s="75" t="str">
        <f t="shared" si="14"/>
        <v/>
      </c>
      <c r="VM2" s="75">
        <f>IFERROR(SUM(VM10:VM59),"")</f>
        <v>28</v>
      </c>
      <c r="VN2" s="75">
        <f t="shared" si="14"/>
        <v>98.376811594202906</v>
      </c>
      <c r="VO2" s="79"/>
      <c r="VP2" s="79">
        <f>IF(VO1="","",VO1)</f>
        <v>132</v>
      </c>
      <c r="VQ2" s="79">
        <f>IF(VQ10="","",VQ10)</f>
        <v>33</v>
      </c>
      <c r="VR2" s="79" t="str">
        <f>IFERROR(AVERAGE(VR10:VR59),"")</f>
        <v/>
      </c>
      <c r="VS2" s="79" t="str">
        <f t="shared" ref="VS2:WZ2" si="15">IFERROR(AVERAGE(VS10:VS59),"")</f>
        <v/>
      </c>
      <c r="VT2" s="79" t="str">
        <f t="shared" si="15"/>
        <v/>
      </c>
      <c r="VU2" s="79" t="str">
        <f t="shared" si="15"/>
        <v/>
      </c>
      <c r="VV2" s="79" t="str">
        <f t="shared" si="15"/>
        <v/>
      </c>
      <c r="VW2" s="79" t="str">
        <f t="shared" si="15"/>
        <v/>
      </c>
      <c r="VX2" s="79" t="str">
        <f t="shared" si="15"/>
        <v/>
      </c>
      <c r="VY2" s="79" t="str">
        <f t="shared" si="15"/>
        <v/>
      </c>
      <c r="VZ2" s="79" t="str">
        <f t="shared" si="15"/>
        <v/>
      </c>
      <c r="WA2" s="79" t="str">
        <f t="shared" si="15"/>
        <v/>
      </c>
      <c r="WB2" s="79" t="str">
        <f t="shared" si="15"/>
        <v/>
      </c>
      <c r="WC2" s="79" t="str">
        <f t="shared" si="15"/>
        <v/>
      </c>
      <c r="WD2" s="79">
        <f>IFERROR(SUM(WD10:WD59),"")</f>
        <v>3</v>
      </c>
      <c r="WE2" s="79">
        <f t="shared" si="15"/>
        <v>99.27272727272728</v>
      </c>
      <c r="WF2" s="79" t="str">
        <f t="shared" si="15"/>
        <v/>
      </c>
      <c r="WG2" s="79" t="str">
        <f t="shared" si="15"/>
        <v/>
      </c>
      <c r="WH2" s="79" t="str">
        <f t="shared" si="15"/>
        <v/>
      </c>
      <c r="WI2" s="79" t="str">
        <f t="shared" si="15"/>
        <v/>
      </c>
      <c r="WJ2" s="79" t="str">
        <f t="shared" si="15"/>
        <v/>
      </c>
      <c r="WK2" s="79" t="str">
        <f t="shared" si="15"/>
        <v/>
      </c>
      <c r="WL2" s="79" t="str">
        <f t="shared" si="15"/>
        <v/>
      </c>
      <c r="WM2" s="79" t="str">
        <f t="shared" si="15"/>
        <v/>
      </c>
      <c r="WN2" s="79" t="str">
        <f t="shared" si="15"/>
        <v/>
      </c>
      <c r="WO2" s="79" t="str">
        <f t="shared" si="15"/>
        <v/>
      </c>
      <c r="WP2" s="79" t="str">
        <f t="shared" si="15"/>
        <v/>
      </c>
      <c r="WQ2" s="79">
        <f>IFERROR(SUM(WQ10:WQ59),"")</f>
        <v>6</v>
      </c>
      <c r="WR2" s="79">
        <f t="shared" si="15"/>
        <v>98.545454545454561</v>
      </c>
      <c r="WS2" s="79" t="str">
        <f t="shared" si="15"/>
        <v/>
      </c>
      <c r="WT2" s="79" t="str">
        <f t="shared" si="15"/>
        <v/>
      </c>
      <c r="WU2" s="79" t="str">
        <f t="shared" si="15"/>
        <v/>
      </c>
      <c r="WV2" s="79" t="str">
        <f t="shared" si="15"/>
        <v/>
      </c>
      <c r="WW2" s="79" t="str">
        <f t="shared" si="15"/>
        <v/>
      </c>
      <c r="WX2" s="79" t="str">
        <f t="shared" si="15"/>
        <v/>
      </c>
      <c r="WY2" s="79">
        <f>IFERROR(SUM(WY10:WY59),"")</f>
        <v>9</v>
      </c>
      <c r="WZ2" s="79">
        <f t="shared" si="15"/>
        <v>98.909090909090921</v>
      </c>
      <c r="XA2" s="75"/>
      <c r="XB2" s="75">
        <f>IF(XA1="","",XA1)</f>
        <v>133</v>
      </c>
      <c r="XC2" s="75">
        <f>IF(XC10="","",XC10)</f>
        <v>33</v>
      </c>
      <c r="XD2" s="75" t="str">
        <f>IFERROR(AVERAGE(XD10:XD59),"")</f>
        <v/>
      </c>
      <c r="XE2" s="75" t="str">
        <f t="shared" ref="XE2:YL2" si="16">IFERROR(AVERAGE(XE10:XE59),"")</f>
        <v/>
      </c>
      <c r="XF2" s="75" t="str">
        <f t="shared" si="16"/>
        <v/>
      </c>
      <c r="XG2" s="75" t="str">
        <f t="shared" si="16"/>
        <v/>
      </c>
      <c r="XH2" s="75" t="str">
        <f t="shared" si="16"/>
        <v/>
      </c>
      <c r="XI2" s="75" t="str">
        <f t="shared" si="16"/>
        <v/>
      </c>
      <c r="XJ2" s="75" t="str">
        <f t="shared" si="16"/>
        <v/>
      </c>
      <c r="XK2" s="75" t="str">
        <f t="shared" si="16"/>
        <v/>
      </c>
      <c r="XL2" s="75" t="str">
        <f t="shared" si="16"/>
        <v/>
      </c>
      <c r="XM2" s="75" t="str">
        <f t="shared" si="16"/>
        <v/>
      </c>
      <c r="XN2" s="75" t="str">
        <f t="shared" si="16"/>
        <v/>
      </c>
      <c r="XO2" s="75" t="str">
        <f t="shared" si="16"/>
        <v/>
      </c>
      <c r="XP2" s="75">
        <f>IFERROR(SUM(XP10:XP59),"")</f>
        <v>7</v>
      </c>
      <c r="XQ2" s="75">
        <f t="shared" si="16"/>
        <v>98.303030303030312</v>
      </c>
      <c r="XR2" s="75" t="str">
        <f t="shared" si="16"/>
        <v/>
      </c>
      <c r="XS2" s="75" t="str">
        <f t="shared" si="16"/>
        <v/>
      </c>
      <c r="XT2" s="75" t="str">
        <f t="shared" si="16"/>
        <v/>
      </c>
      <c r="XU2" s="75" t="str">
        <f t="shared" si="16"/>
        <v/>
      </c>
      <c r="XV2" s="75" t="str">
        <f t="shared" si="16"/>
        <v/>
      </c>
      <c r="XW2" s="75" t="str">
        <f t="shared" si="16"/>
        <v/>
      </c>
      <c r="XX2" s="75" t="str">
        <f t="shared" si="16"/>
        <v/>
      </c>
      <c r="XY2" s="75" t="str">
        <f t="shared" si="16"/>
        <v/>
      </c>
      <c r="XZ2" s="75" t="str">
        <f t="shared" si="16"/>
        <v/>
      </c>
      <c r="YA2" s="75" t="str">
        <f t="shared" si="16"/>
        <v/>
      </c>
      <c r="YB2" s="75" t="str">
        <f t="shared" si="16"/>
        <v/>
      </c>
      <c r="YC2" s="75">
        <f>IFERROR(SUM(YC10:YC59),"")</f>
        <v>7</v>
      </c>
      <c r="YD2" s="75">
        <f t="shared" si="16"/>
        <v>98.303030303030312</v>
      </c>
      <c r="YE2" s="75" t="str">
        <f t="shared" si="16"/>
        <v/>
      </c>
      <c r="YF2" s="75" t="str">
        <f t="shared" si="16"/>
        <v/>
      </c>
      <c r="YG2" s="75" t="str">
        <f t="shared" si="16"/>
        <v/>
      </c>
      <c r="YH2" s="75" t="str">
        <f t="shared" si="16"/>
        <v/>
      </c>
      <c r="YI2" s="75" t="str">
        <f t="shared" si="16"/>
        <v/>
      </c>
      <c r="YJ2" s="75" t="str">
        <f t="shared" si="16"/>
        <v/>
      </c>
      <c r="YK2" s="75">
        <f>IFERROR(SUM(YK10:YK59),"")</f>
        <v>14</v>
      </c>
      <c r="YL2" s="75">
        <f t="shared" si="16"/>
        <v>98.303030303030312</v>
      </c>
      <c r="YM2" s="79"/>
      <c r="YN2" s="79">
        <f>IF(YM1="","",YM1)</f>
        <v>135</v>
      </c>
      <c r="YO2" s="79">
        <f>IF(YO10="","",YO10)</f>
        <v>33</v>
      </c>
      <c r="YP2" s="79" t="str">
        <f>IFERROR(AVERAGE(YP10:YP59),"")</f>
        <v/>
      </c>
      <c r="YQ2" s="79" t="str">
        <f t="shared" ref="YQ2:ZX2" si="17">IFERROR(AVERAGE(YQ10:YQ59),"")</f>
        <v/>
      </c>
      <c r="YR2" s="79" t="str">
        <f t="shared" si="17"/>
        <v/>
      </c>
      <c r="YS2" s="79" t="str">
        <f t="shared" si="17"/>
        <v/>
      </c>
      <c r="YT2" s="79" t="str">
        <f t="shared" si="17"/>
        <v/>
      </c>
      <c r="YU2" s="79" t="str">
        <f t="shared" si="17"/>
        <v/>
      </c>
      <c r="YV2" s="79" t="str">
        <f t="shared" si="17"/>
        <v/>
      </c>
      <c r="YW2" s="79" t="str">
        <f t="shared" si="17"/>
        <v/>
      </c>
      <c r="YX2" s="79" t="str">
        <f t="shared" si="17"/>
        <v/>
      </c>
      <c r="YY2" s="79" t="str">
        <f t="shared" si="17"/>
        <v/>
      </c>
      <c r="YZ2" s="79" t="str">
        <f t="shared" si="17"/>
        <v/>
      </c>
      <c r="ZA2" s="79" t="str">
        <f t="shared" si="17"/>
        <v/>
      </c>
      <c r="ZB2" s="79">
        <f>IFERROR(SUM(ZB10:ZB59),"")</f>
        <v>7</v>
      </c>
      <c r="ZC2" s="79">
        <f t="shared" si="17"/>
        <v>98.303030303030312</v>
      </c>
      <c r="ZD2" s="79" t="str">
        <f t="shared" si="17"/>
        <v/>
      </c>
      <c r="ZE2" s="79" t="str">
        <f t="shared" si="17"/>
        <v/>
      </c>
      <c r="ZF2" s="79" t="str">
        <f t="shared" si="17"/>
        <v/>
      </c>
      <c r="ZG2" s="79" t="str">
        <f t="shared" si="17"/>
        <v/>
      </c>
      <c r="ZH2" s="79" t="str">
        <f t="shared" si="17"/>
        <v/>
      </c>
      <c r="ZI2" s="79" t="str">
        <f t="shared" si="17"/>
        <v/>
      </c>
      <c r="ZJ2" s="79" t="str">
        <f t="shared" si="17"/>
        <v/>
      </c>
      <c r="ZK2" s="79" t="str">
        <f t="shared" si="17"/>
        <v/>
      </c>
      <c r="ZL2" s="79" t="str">
        <f t="shared" si="17"/>
        <v/>
      </c>
      <c r="ZM2" s="79" t="str">
        <f t="shared" si="17"/>
        <v/>
      </c>
      <c r="ZN2" s="79" t="str">
        <f t="shared" si="17"/>
        <v/>
      </c>
      <c r="ZO2" s="79">
        <f>IFERROR(SUM(ZO10:ZO59),"")</f>
        <v>5</v>
      </c>
      <c r="ZP2" s="79">
        <f t="shared" si="17"/>
        <v>98.787878787878796</v>
      </c>
      <c r="ZQ2" s="79" t="str">
        <f t="shared" si="17"/>
        <v/>
      </c>
      <c r="ZR2" s="79" t="str">
        <f t="shared" si="17"/>
        <v/>
      </c>
      <c r="ZS2" s="79" t="str">
        <f t="shared" si="17"/>
        <v/>
      </c>
      <c r="ZT2" s="79" t="str">
        <f t="shared" si="17"/>
        <v/>
      </c>
      <c r="ZU2" s="79" t="str">
        <f t="shared" si="17"/>
        <v/>
      </c>
      <c r="ZV2" s="79" t="str">
        <f t="shared" si="17"/>
        <v/>
      </c>
      <c r="ZW2" s="79">
        <f>IFERROR(SUM(ZW10:ZW59),"")</f>
        <v>12</v>
      </c>
      <c r="ZX2" s="79">
        <f t="shared" si="17"/>
        <v>98.545454545454561</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t="str">
        <f t="shared" ref="T3" si="24">IFERROR(COUNTIFS(T10:T900000,"&gt;80",T10:T900000,"&lt;=100")/COUNTIF(T10:T900000,"&gt;=0"),"")</f>
        <v/>
      </c>
      <c r="U3" s="82" t="str">
        <f t="shared" ref="U3:AZ3" si="25">IFERROR(COUNTIFS(U10:U900000,"&gt;80",U10:U900000,"&lt;=100")/COUNTIF(U10:U900000,"&gt;=0"),"")</f>
        <v/>
      </c>
      <c r="V3" s="82" t="str">
        <f t="shared" si="25"/>
        <v/>
      </c>
      <c r="W3" s="82" t="str">
        <f t="shared" si="25"/>
        <v/>
      </c>
      <c r="X3" s="82" t="str">
        <f t="shared" si="25"/>
        <v/>
      </c>
      <c r="Y3" s="82" t="str">
        <f t="shared" si="25"/>
        <v/>
      </c>
      <c r="Z3" s="82" t="str">
        <f t="shared" si="25"/>
        <v/>
      </c>
      <c r="AA3" s="82" t="str">
        <f t="shared" si="25"/>
        <v/>
      </c>
      <c r="AB3" s="82" t="str">
        <f t="shared" si="25"/>
        <v/>
      </c>
      <c r="AC3" s="82" t="str">
        <f t="shared" si="25"/>
        <v/>
      </c>
      <c r="AD3" s="82" t="str">
        <f t="shared" si="25"/>
        <v/>
      </c>
      <c r="AE3" s="82" t="str">
        <f t="shared" si="25"/>
        <v/>
      </c>
      <c r="AF3" s="82"/>
      <c r="AG3" s="82"/>
      <c r="AH3" s="82" t="str">
        <f t="shared" si="25"/>
        <v/>
      </c>
      <c r="AI3" s="82" t="str">
        <f t="shared" si="25"/>
        <v/>
      </c>
      <c r="AJ3" s="82" t="str">
        <f t="shared" si="25"/>
        <v/>
      </c>
      <c r="AK3" s="82" t="str">
        <f t="shared" si="25"/>
        <v/>
      </c>
      <c r="AL3" s="82" t="str">
        <f t="shared" si="25"/>
        <v/>
      </c>
      <c r="AM3" s="82" t="str">
        <f t="shared" si="25"/>
        <v/>
      </c>
      <c r="AN3" s="82" t="str">
        <f t="shared" si="25"/>
        <v/>
      </c>
      <c r="AO3" s="82" t="str">
        <f t="shared" si="25"/>
        <v/>
      </c>
      <c r="AP3" s="82" t="str">
        <f t="shared" si="25"/>
        <v/>
      </c>
      <c r="AQ3" s="82" t="str">
        <f t="shared" si="25"/>
        <v/>
      </c>
      <c r="AR3" s="82" t="str">
        <f t="shared" si="25"/>
        <v/>
      </c>
      <c r="AS3" s="82"/>
      <c r="AT3" s="82"/>
      <c r="AU3" s="82" t="str">
        <f t="shared" si="25"/>
        <v/>
      </c>
      <c r="AV3" s="82" t="str">
        <f t="shared" si="25"/>
        <v/>
      </c>
      <c r="AW3" s="82" t="str">
        <f t="shared" si="25"/>
        <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t="str">
        <f t="shared" ref="ED3:EO3" si="34">IFERROR(COUNTIFS(ED10:ED900000,"&gt;80",ED10:ED900000,"&lt;=100")/COUNTIF(ED10:ED900000,"&gt;=0"),"")</f>
        <v/>
      </c>
      <c r="EE3" s="84" t="str">
        <f t="shared" si="34"/>
        <v/>
      </c>
      <c r="EF3" s="84" t="str">
        <f t="shared" si="34"/>
        <v/>
      </c>
      <c r="EG3" s="84" t="str">
        <f t="shared" si="34"/>
        <v/>
      </c>
      <c r="EH3" s="84" t="str">
        <f t="shared" si="34"/>
        <v/>
      </c>
      <c r="EI3" s="84" t="str">
        <f t="shared" si="34"/>
        <v/>
      </c>
      <c r="EJ3" s="84" t="str">
        <f t="shared" si="34"/>
        <v/>
      </c>
      <c r="EK3" s="84" t="str">
        <f t="shared" si="34"/>
        <v/>
      </c>
      <c r="EL3" s="84" t="str">
        <f t="shared" si="34"/>
        <v/>
      </c>
      <c r="EM3" s="84" t="str">
        <f t="shared" si="34"/>
        <v/>
      </c>
      <c r="EN3" s="84" t="str">
        <f t="shared" si="34"/>
        <v/>
      </c>
      <c r="EO3" s="84" t="str">
        <f t="shared" si="34"/>
        <v/>
      </c>
      <c r="EP3" s="84"/>
      <c r="EQ3" s="84"/>
      <c r="ER3" s="84" t="str">
        <f t="shared" ref="ER3:FB3" si="35">IFERROR(COUNTIFS(ER10:ER900000,"&gt;80",ER10:ER900000,"&lt;=100")/COUNTIF(ER10:ER900000,"&gt;=0"),"")</f>
        <v/>
      </c>
      <c r="ES3" s="84" t="str">
        <f t="shared" si="35"/>
        <v/>
      </c>
      <c r="ET3" s="84" t="str">
        <f t="shared" si="35"/>
        <v/>
      </c>
      <c r="EU3" s="84" t="str">
        <f t="shared" si="35"/>
        <v/>
      </c>
      <c r="EV3" s="84" t="str">
        <f t="shared" si="35"/>
        <v/>
      </c>
      <c r="EW3" s="84" t="str">
        <f t="shared" si="35"/>
        <v/>
      </c>
      <c r="EX3" s="84" t="str">
        <f t="shared" si="35"/>
        <v/>
      </c>
      <c r="EY3" s="84" t="str">
        <f t="shared" si="35"/>
        <v/>
      </c>
      <c r="EZ3" s="84" t="str">
        <f t="shared" si="35"/>
        <v/>
      </c>
      <c r="FA3" s="84" t="str">
        <f t="shared" si="35"/>
        <v/>
      </c>
      <c r="FB3" s="84" t="str">
        <f t="shared" si="35"/>
        <v/>
      </c>
      <c r="FC3" s="84"/>
      <c r="FD3" s="84"/>
      <c r="FE3" s="84" t="str">
        <f t="shared" ref="FE3:FG3" si="36">IFERROR(COUNTIFS(FE10:FE900000,"&gt;80",FE10:FE900000,"&lt;=100")/COUNTIF(FE10:FE900000,"&gt;=0"),"")</f>
        <v/>
      </c>
      <c r="FF3" s="84" t="str">
        <f t="shared" si="36"/>
        <v/>
      </c>
      <c r="FG3" s="84" t="str">
        <f t="shared" si="36"/>
        <v/>
      </c>
      <c r="FH3" s="84"/>
      <c r="FI3" s="84" t="str">
        <f t="shared" ref="FI3:FJ3" si="37">IFERROR(COUNTIFS(FI10:FI900000,"&gt;80",FI10:FI900000,"&lt;=100")/COUNTIF(FI10:FI900000,"&gt;=0"),"")</f>
        <v/>
      </c>
      <c r="FJ3" s="84" t="str">
        <f t="shared" si="37"/>
        <v/>
      </c>
      <c r="FK3" s="84"/>
      <c r="FL3" s="84"/>
      <c r="FM3" s="81" t="s">
        <v>106</v>
      </c>
      <c r="FN3" s="81"/>
      <c r="FO3" s="82"/>
      <c r="FP3" s="82" t="str">
        <f t="shared" ref="FP3:GA3" si="38">IFERROR(COUNTIFS(FP10:FP900000,"&gt;80",FP10:FP900000,"&lt;=100")/COUNTIF(FP10:FP900000,"&gt;=0"),"")</f>
        <v/>
      </c>
      <c r="FQ3" s="82" t="str">
        <f t="shared" si="38"/>
        <v/>
      </c>
      <c r="FR3" s="82" t="str">
        <f t="shared" si="38"/>
        <v/>
      </c>
      <c r="FS3" s="82" t="str">
        <f t="shared" si="38"/>
        <v/>
      </c>
      <c r="FT3" s="82" t="str">
        <f t="shared" si="38"/>
        <v/>
      </c>
      <c r="FU3" s="82" t="str">
        <f t="shared" si="38"/>
        <v/>
      </c>
      <c r="FV3" s="82" t="str">
        <f t="shared" si="38"/>
        <v/>
      </c>
      <c r="FW3" s="82" t="str">
        <f t="shared" si="38"/>
        <v/>
      </c>
      <c r="FX3" s="82" t="str">
        <f t="shared" si="38"/>
        <v/>
      </c>
      <c r="FY3" s="82" t="str">
        <f t="shared" si="38"/>
        <v/>
      </c>
      <c r="FZ3" s="82" t="str">
        <f t="shared" si="38"/>
        <v/>
      </c>
      <c r="GA3" s="82" t="str">
        <f t="shared" si="38"/>
        <v/>
      </c>
      <c r="GB3" s="82"/>
      <c r="GC3" s="82"/>
      <c r="GD3" s="82" t="str">
        <f t="shared" ref="GD3:GN3" si="39">IFERROR(COUNTIFS(GD10:GD900000,"&gt;80",GD10:GD900000,"&lt;=100")/COUNTIF(GD10:GD900000,"&gt;=0"),"")</f>
        <v/>
      </c>
      <c r="GE3" s="82" t="str">
        <f t="shared" si="39"/>
        <v/>
      </c>
      <c r="GF3" s="82" t="str">
        <f t="shared" si="39"/>
        <v/>
      </c>
      <c r="GG3" s="82" t="str">
        <f t="shared" si="39"/>
        <v/>
      </c>
      <c r="GH3" s="82" t="str">
        <f t="shared" si="39"/>
        <v/>
      </c>
      <c r="GI3" s="82" t="str">
        <f t="shared" si="39"/>
        <v/>
      </c>
      <c r="GJ3" s="82" t="str">
        <f t="shared" si="39"/>
        <v/>
      </c>
      <c r="GK3" s="82" t="str">
        <f t="shared" si="39"/>
        <v/>
      </c>
      <c r="GL3" s="82" t="str">
        <f t="shared" si="39"/>
        <v/>
      </c>
      <c r="GM3" s="82" t="str">
        <f t="shared" si="39"/>
        <v/>
      </c>
      <c r="GN3" s="82" t="str">
        <f t="shared" si="39"/>
        <v/>
      </c>
      <c r="GO3" s="82"/>
      <c r="GP3" s="82"/>
      <c r="GQ3" s="82" t="str">
        <f t="shared" ref="GQ3:GS3" si="40">IFERROR(COUNTIFS(GQ10:GQ900000,"&gt;80",GQ10:GQ900000,"&lt;=100")/COUNTIF(GQ10:GQ900000,"&gt;=0"),"")</f>
        <v/>
      </c>
      <c r="GR3" s="82" t="str">
        <f t="shared" si="40"/>
        <v/>
      </c>
      <c r="GS3" s="82" t="str">
        <f t="shared" si="40"/>
        <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t="str">
        <f t="shared" ref="UF3:UQ3" si="78">IFERROR(COUNTIFS(UF10:UF900000,"&gt;80",UF10:UF900000,"&lt;=100")/COUNTIF(UF10:UF900000,"&gt;=0"),"")</f>
        <v/>
      </c>
      <c r="UG3" s="82" t="str">
        <f t="shared" si="78"/>
        <v/>
      </c>
      <c r="UH3" s="82" t="str">
        <f t="shared" si="78"/>
        <v/>
      </c>
      <c r="UI3" s="82" t="str">
        <f t="shared" si="78"/>
        <v/>
      </c>
      <c r="UJ3" s="82" t="str">
        <f t="shared" si="78"/>
        <v/>
      </c>
      <c r="UK3" s="82" t="str">
        <f t="shared" si="78"/>
        <v/>
      </c>
      <c r="UL3" s="82" t="str">
        <f t="shared" si="78"/>
        <v/>
      </c>
      <c r="UM3" s="82" t="str">
        <f t="shared" si="78"/>
        <v/>
      </c>
      <c r="UN3" s="82" t="str">
        <f t="shared" si="78"/>
        <v/>
      </c>
      <c r="UO3" s="82" t="str">
        <f t="shared" si="78"/>
        <v/>
      </c>
      <c r="UP3" s="82" t="str">
        <f t="shared" si="78"/>
        <v/>
      </c>
      <c r="UQ3" s="82" t="str">
        <f t="shared" si="78"/>
        <v/>
      </c>
      <c r="UR3" s="82"/>
      <c r="US3" s="82"/>
      <c r="UT3" s="82" t="str">
        <f t="shared" ref="UT3:VD3" si="79">IFERROR(COUNTIFS(UT10:UT900000,"&gt;80",UT10:UT900000,"&lt;=100")/COUNTIF(UT10:UT900000,"&gt;=0"),"")</f>
        <v/>
      </c>
      <c r="UU3" s="82" t="str">
        <f t="shared" si="79"/>
        <v/>
      </c>
      <c r="UV3" s="82" t="str">
        <f t="shared" si="79"/>
        <v/>
      </c>
      <c r="UW3" s="82" t="str">
        <f t="shared" si="79"/>
        <v/>
      </c>
      <c r="UX3" s="82" t="str">
        <f t="shared" si="79"/>
        <v/>
      </c>
      <c r="UY3" s="82" t="str">
        <f t="shared" si="79"/>
        <v/>
      </c>
      <c r="UZ3" s="82" t="str">
        <f t="shared" si="79"/>
        <v/>
      </c>
      <c r="VA3" s="82" t="str">
        <f t="shared" si="79"/>
        <v/>
      </c>
      <c r="VB3" s="82" t="str">
        <f t="shared" si="79"/>
        <v/>
      </c>
      <c r="VC3" s="82" t="str">
        <f t="shared" si="79"/>
        <v/>
      </c>
      <c r="VD3" s="82" t="str">
        <f t="shared" si="79"/>
        <v/>
      </c>
      <c r="VE3" s="82"/>
      <c r="VF3" s="82"/>
      <c r="VG3" s="82" t="str">
        <f t="shared" ref="VG3:VI3" si="80">IFERROR(COUNTIFS(VG10:VG900000,"&gt;80",VG10:VG900000,"&lt;=100")/COUNTIF(VG10:VG900000,"&gt;=0"),"")</f>
        <v/>
      </c>
      <c r="VH3" s="82" t="str">
        <f t="shared" si="80"/>
        <v/>
      </c>
      <c r="VI3" s="82" t="str">
        <f t="shared" si="80"/>
        <v/>
      </c>
      <c r="VJ3" s="82"/>
      <c r="VK3" s="82" t="str">
        <f t="shared" ref="VK3:VL3" si="81">IFERROR(COUNTIFS(VK10:VK900000,"&gt;80",VK10:VK900000,"&lt;=100")/COUNTIF(VK10:VK900000,"&gt;=0"),"")</f>
        <v/>
      </c>
      <c r="VL3" s="82" t="str">
        <f t="shared" si="81"/>
        <v/>
      </c>
      <c r="VM3" s="82"/>
      <c r="VN3" s="82"/>
      <c r="VO3" s="83" t="s">
        <v>106</v>
      </c>
      <c r="VP3" s="83"/>
      <c r="VQ3" s="84"/>
      <c r="VR3" s="84" t="str">
        <f t="shared" ref="VR3:WC3" si="82">IFERROR(COUNTIFS(VR10:VR900000,"&gt;80",VR10:VR900000,"&lt;=100")/COUNTIF(VR10:VR900000,"&gt;=0"),"")</f>
        <v/>
      </c>
      <c r="VS3" s="84" t="str">
        <f t="shared" si="82"/>
        <v/>
      </c>
      <c r="VT3" s="84" t="str">
        <f t="shared" si="82"/>
        <v/>
      </c>
      <c r="VU3" s="84" t="str">
        <f t="shared" si="82"/>
        <v/>
      </c>
      <c r="VV3" s="84" t="str">
        <f t="shared" si="82"/>
        <v/>
      </c>
      <c r="VW3" s="84" t="str">
        <f t="shared" si="82"/>
        <v/>
      </c>
      <c r="VX3" s="84" t="str">
        <f t="shared" si="82"/>
        <v/>
      </c>
      <c r="VY3" s="84" t="str">
        <f t="shared" si="82"/>
        <v/>
      </c>
      <c r="VZ3" s="84" t="str">
        <f t="shared" si="82"/>
        <v/>
      </c>
      <c r="WA3" s="84" t="str">
        <f t="shared" si="82"/>
        <v/>
      </c>
      <c r="WB3" s="84" t="str">
        <f t="shared" si="82"/>
        <v/>
      </c>
      <c r="WC3" s="84" t="str">
        <f t="shared" si="82"/>
        <v/>
      </c>
      <c r="WD3" s="84"/>
      <c r="WE3" s="84"/>
      <c r="WF3" s="84" t="str">
        <f t="shared" ref="WF3:WP3" si="83">IFERROR(COUNTIFS(WF10:WF900000,"&gt;80",WF10:WF900000,"&lt;=100")/COUNTIF(WF10:WF900000,"&gt;=0"),"")</f>
        <v/>
      </c>
      <c r="WG3" s="84" t="str">
        <f t="shared" si="83"/>
        <v/>
      </c>
      <c r="WH3" s="84" t="str">
        <f t="shared" si="83"/>
        <v/>
      </c>
      <c r="WI3" s="84" t="str">
        <f t="shared" si="83"/>
        <v/>
      </c>
      <c r="WJ3" s="84" t="str">
        <f t="shared" si="83"/>
        <v/>
      </c>
      <c r="WK3" s="84" t="str">
        <f t="shared" si="83"/>
        <v/>
      </c>
      <c r="WL3" s="84" t="str">
        <f t="shared" si="83"/>
        <v/>
      </c>
      <c r="WM3" s="84" t="str">
        <f t="shared" si="83"/>
        <v/>
      </c>
      <c r="WN3" s="84" t="str">
        <f t="shared" si="83"/>
        <v/>
      </c>
      <c r="WO3" s="84" t="str">
        <f t="shared" si="83"/>
        <v/>
      </c>
      <c r="WP3" s="84" t="str">
        <f t="shared" si="83"/>
        <v/>
      </c>
      <c r="WQ3" s="84"/>
      <c r="WR3" s="84"/>
      <c r="WS3" s="84" t="str">
        <f t="shared" ref="WS3:WU3" si="84">IFERROR(COUNTIFS(WS10:WS900000,"&gt;80",WS10:WS900000,"&lt;=100")/COUNTIF(WS10:WS900000,"&gt;=0"),"")</f>
        <v/>
      </c>
      <c r="WT3" s="84" t="str">
        <f t="shared" si="84"/>
        <v/>
      </c>
      <c r="WU3" s="84" t="str">
        <f t="shared" si="84"/>
        <v/>
      </c>
      <c r="WV3" s="84"/>
      <c r="WW3" s="84" t="str">
        <f t="shared" ref="WW3:WX3" si="85">IFERROR(COUNTIFS(WW10:WW900000,"&gt;80",WW10:WW900000,"&lt;=100")/COUNTIF(WW10:WW900000,"&gt;=0"),"")</f>
        <v/>
      </c>
      <c r="WX3" s="84" t="str">
        <f t="shared" si="85"/>
        <v/>
      </c>
      <c r="WY3" s="84"/>
      <c r="WZ3" s="84"/>
      <c r="XA3" s="81" t="s">
        <v>106</v>
      </c>
      <c r="XB3" s="81"/>
      <c r="XC3" s="82"/>
      <c r="XD3" s="82" t="str">
        <f t="shared" ref="XD3:XO3" si="86">IFERROR(COUNTIFS(XD10:XD900000,"&gt;80",XD10:XD900000,"&lt;=100")/COUNTIF(XD10:XD900000,"&gt;=0"),"")</f>
        <v/>
      </c>
      <c r="XE3" s="82" t="str">
        <f t="shared" si="86"/>
        <v/>
      </c>
      <c r="XF3" s="82" t="str">
        <f t="shared" si="86"/>
        <v/>
      </c>
      <c r="XG3" s="82" t="str">
        <f t="shared" si="86"/>
        <v/>
      </c>
      <c r="XH3" s="82" t="str">
        <f t="shared" si="86"/>
        <v/>
      </c>
      <c r="XI3" s="82" t="str">
        <f t="shared" si="86"/>
        <v/>
      </c>
      <c r="XJ3" s="82" t="str">
        <f t="shared" si="86"/>
        <v/>
      </c>
      <c r="XK3" s="82" t="str">
        <f t="shared" si="86"/>
        <v/>
      </c>
      <c r="XL3" s="82" t="str">
        <f t="shared" si="86"/>
        <v/>
      </c>
      <c r="XM3" s="82" t="str">
        <f t="shared" si="86"/>
        <v/>
      </c>
      <c r="XN3" s="82" t="str">
        <f t="shared" si="86"/>
        <v/>
      </c>
      <c r="XO3" s="82" t="str">
        <f t="shared" si="86"/>
        <v/>
      </c>
      <c r="XP3" s="82"/>
      <c r="XQ3" s="82"/>
      <c r="XR3" s="82" t="str">
        <f t="shared" ref="XR3:YB3" si="87">IFERROR(COUNTIFS(XR10:XR900000,"&gt;80",XR10:XR900000,"&lt;=100")/COUNTIF(XR10:XR900000,"&gt;=0"),"")</f>
        <v/>
      </c>
      <c r="XS3" s="82" t="str">
        <f t="shared" si="87"/>
        <v/>
      </c>
      <c r="XT3" s="82" t="str">
        <f t="shared" si="87"/>
        <v/>
      </c>
      <c r="XU3" s="82" t="str">
        <f t="shared" si="87"/>
        <v/>
      </c>
      <c r="XV3" s="82" t="str">
        <f t="shared" si="87"/>
        <v/>
      </c>
      <c r="XW3" s="82" t="str">
        <f t="shared" si="87"/>
        <v/>
      </c>
      <c r="XX3" s="82" t="str">
        <f t="shared" si="87"/>
        <v/>
      </c>
      <c r="XY3" s="82" t="str">
        <f t="shared" si="87"/>
        <v/>
      </c>
      <c r="XZ3" s="82" t="str">
        <f t="shared" si="87"/>
        <v/>
      </c>
      <c r="YA3" s="82" t="str">
        <f t="shared" si="87"/>
        <v/>
      </c>
      <c r="YB3" s="82" t="str">
        <f t="shared" si="87"/>
        <v/>
      </c>
      <c r="YC3" s="82"/>
      <c r="YD3" s="82"/>
      <c r="YE3" s="82" t="str">
        <f t="shared" ref="YE3:YG3" si="88">IFERROR(COUNTIFS(YE10:YE900000,"&gt;80",YE10:YE900000,"&lt;=100")/COUNTIF(YE10:YE900000,"&gt;=0"),"")</f>
        <v/>
      </c>
      <c r="YF3" s="82" t="str">
        <f t="shared" si="88"/>
        <v/>
      </c>
      <c r="YG3" s="82" t="str">
        <f t="shared" si="88"/>
        <v/>
      </c>
      <c r="YH3" s="82"/>
      <c r="YI3" s="82" t="str">
        <f t="shared" ref="YI3:YJ3" si="89">IFERROR(COUNTIFS(YI10:YI900000,"&gt;80",YI10:YI900000,"&lt;=100")/COUNTIF(YI10:YI900000,"&gt;=0"),"")</f>
        <v/>
      </c>
      <c r="YJ3" s="82" t="str">
        <f t="shared" si="89"/>
        <v/>
      </c>
      <c r="YK3" s="82"/>
      <c r="YL3" s="82"/>
      <c r="YM3" s="83" t="s">
        <v>106</v>
      </c>
      <c r="YN3" s="83"/>
      <c r="YO3" s="84"/>
      <c r="YP3" s="84" t="str">
        <f t="shared" ref="YP3:ZA3" si="90">IFERROR(COUNTIFS(YP10:YP900000,"&gt;80",YP10:YP900000,"&lt;=100")/COUNTIF(YP10:YP900000,"&gt;=0"),"")</f>
        <v/>
      </c>
      <c r="YQ3" s="84" t="str">
        <f t="shared" si="90"/>
        <v/>
      </c>
      <c r="YR3" s="84" t="str">
        <f t="shared" si="90"/>
        <v/>
      </c>
      <c r="YS3" s="84" t="str">
        <f t="shared" si="90"/>
        <v/>
      </c>
      <c r="YT3" s="84" t="str">
        <f t="shared" si="90"/>
        <v/>
      </c>
      <c r="YU3" s="84" t="str">
        <f t="shared" si="90"/>
        <v/>
      </c>
      <c r="YV3" s="84" t="str">
        <f t="shared" si="90"/>
        <v/>
      </c>
      <c r="YW3" s="84" t="str">
        <f t="shared" si="90"/>
        <v/>
      </c>
      <c r="YX3" s="84" t="str">
        <f t="shared" si="90"/>
        <v/>
      </c>
      <c r="YY3" s="84" t="str">
        <f t="shared" si="90"/>
        <v/>
      </c>
      <c r="YZ3" s="84" t="str">
        <f t="shared" si="90"/>
        <v/>
      </c>
      <c r="ZA3" s="84" t="str">
        <f t="shared" si="90"/>
        <v/>
      </c>
      <c r="ZB3" s="84"/>
      <c r="ZC3" s="84"/>
      <c r="ZD3" s="84" t="str">
        <f t="shared" ref="ZD3:ZN3" si="91">IFERROR(COUNTIFS(ZD10:ZD900000,"&gt;80",ZD10:ZD900000,"&lt;=100")/COUNTIF(ZD10:ZD900000,"&gt;=0"),"")</f>
        <v/>
      </c>
      <c r="ZE3" s="84" t="str">
        <f t="shared" si="91"/>
        <v/>
      </c>
      <c r="ZF3" s="84" t="str">
        <f t="shared" si="91"/>
        <v/>
      </c>
      <c r="ZG3" s="84" t="str">
        <f t="shared" si="91"/>
        <v/>
      </c>
      <c r="ZH3" s="84" t="str">
        <f t="shared" si="91"/>
        <v/>
      </c>
      <c r="ZI3" s="84" t="str">
        <f t="shared" si="91"/>
        <v/>
      </c>
      <c r="ZJ3" s="84" t="str">
        <f t="shared" si="91"/>
        <v/>
      </c>
      <c r="ZK3" s="84" t="str">
        <f t="shared" si="91"/>
        <v/>
      </c>
      <c r="ZL3" s="84" t="str">
        <f t="shared" si="91"/>
        <v/>
      </c>
      <c r="ZM3" s="84" t="str">
        <f t="shared" si="91"/>
        <v/>
      </c>
      <c r="ZN3" s="84" t="str">
        <f t="shared" si="91"/>
        <v/>
      </c>
      <c r="ZO3" s="84"/>
      <c r="ZP3" s="84"/>
      <c r="ZQ3" s="84" t="str">
        <f t="shared" ref="ZQ3:ZS3" si="92">IFERROR(COUNTIFS(ZQ10:ZQ900000,"&gt;80",ZQ10:ZQ900000,"&lt;=100")/COUNTIF(ZQ10:ZQ900000,"&gt;=0"),"")</f>
        <v/>
      </c>
      <c r="ZR3" s="84" t="str">
        <f t="shared" si="92"/>
        <v/>
      </c>
      <c r="ZS3" s="84" t="str">
        <f t="shared" si="92"/>
        <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12</v>
      </c>
      <c r="M4" s="81" t="s">
        <v>119</v>
      </c>
      <c r="N4" s="81"/>
      <c r="O4" s="81"/>
      <c r="P4" s="81"/>
      <c r="Q4" s="81" t="s">
        <v>107</v>
      </c>
      <c r="R4" s="81"/>
      <c r="S4" s="81"/>
      <c r="T4" s="82" t="str">
        <f>IFERROR(COUNTIFS(T10:T900000,"&gt;60",T10:T900000,"&lt;=80")/COUNTIF(T10:T900000,"&gt;=0"),"")</f>
        <v/>
      </c>
      <c r="U4" s="82" t="str">
        <f t="shared" ref="U4:AZ4" si="118">IFERROR(COUNTIFS(U10:U900000,"&gt;60",U10:U900000,"&lt;=80")/COUNTIF(U10:U900000,"&gt;=0"),"")</f>
        <v/>
      </c>
      <c r="V4" s="82" t="str">
        <f t="shared" si="118"/>
        <v/>
      </c>
      <c r="W4" s="82" t="str">
        <f t="shared" si="118"/>
        <v/>
      </c>
      <c r="X4" s="82" t="str">
        <f t="shared" si="118"/>
        <v/>
      </c>
      <c r="Y4" s="82" t="str">
        <f t="shared" si="118"/>
        <v/>
      </c>
      <c r="Z4" s="82" t="str">
        <f t="shared" si="118"/>
        <v/>
      </c>
      <c r="AA4" s="82" t="str">
        <f t="shared" si="118"/>
        <v/>
      </c>
      <c r="AB4" s="82" t="str">
        <f t="shared" si="118"/>
        <v/>
      </c>
      <c r="AC4" s="82" t="str">
        <f t="shared" si="118"/>
        <v/>
      </c>
      <c r="AD4" s="82" t="str">
        <f t="shared" si="118"/>
        <v/>
      </c>
      <c r="AE4" s="82" t="str">
        <f t="shared" si="118"/>
        <v/>
      </c>
      <c r="AF4" s="82"/>
      <c r="AG4" s="82"/>
      <c r="AH4" s="82" t="str">
        <f t="shared" si="118"/>
        <v/>
      </c>
      <c r="AI4" s="82" t="str">
        <f t="shared" si="118"/>
        <v/>
      </c>
      <c r="AJ4" s="82" t="str">
        <f t="shared" si="118"/>
        <v/>
      </c>
      <c r="AK4" s="82" t="str">
        <f t="shared" si="118"/>
        <v/>
      </c>
      <c r="AL4" s="82" t="str">
        <f t="shared" si="118"/>
        <v/>
      </c>
      <c r="AM4" s="82" t="str">
        <f t="shared" si="118"/>
        <v/>
      </c>
      <c r="AN4" s="82" t="str">
        <f t="shared" si="118"/>
        <v/>
      </c>
      <c r="AO4" s="82" t="str">
        <f t="shared" si="118"/>
        <v/>
      </c>
      <c r="AP4" s="82" t="str">
        <f t="shared" si="118"/>
        <v/>
      </c>
      <c r="AQ4" s="82" t="str">
        <f t="shared" si="118"/>
        <v/>
      </c>
      <c r="AR4" s="82" t="str">
        <f t="shared" si="118"/>
        <v/>
      </c>
      <c r="AS4" s="82"/>
      <c r="AT4" s="82"/>
      <c r="AU4" s="82" t="str">
        <f t="shared" si="118"/>
        <v/>
      </c>
      <c r="AV4" s="82" t="str">
        <f t="shared" si="118"/>
        <v/>
      </c>
      <c r="AW4" s="82" t="str">
        <f t="shared" si="118"/>
        <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t="str">
        <f>IFERROR(COUNTIFS(ED10:ED900000,"&gt;60",ED10:ED900000,"&lt;=80")/COUNTIF(ED10:ED900000,"&gt;=0"),"")</f>
        <v/>
      </c>
      <c r="EE4" s="84" t="str">
        <f t="shared" ref="EE4:EO4" si="127">IFERROR(COUNTIFS(EE10:EE900000,"&gt;60",EE10:EE900000,"&lt;=80")/COUNTIF(EE10:EE900000,"&gt;=0"),"")</f>
        <v/>
      </c>
      <c r="EF4" s="84" t="str">
        <f t="shared" si="127"/>
        <v/>
      </c>
      <c r="EG4" s="84" t="str">
        <f t="shared" si="127"/>
        <v/>
      </c>
      <c r="EH4" s="84" t="str">
        <f t="shared" si="127"/>
        <v/>
      </c>
      <c r="EI4" s="84" t="str">
        <f t="shared" si="127"/>
        <v/>
      </c>
      <c r="EJ4" s="84" t="str">
        <f t="shared" si="127"/>
        <v/>
      </c>
      <c r="EK4" s="84" t="str">
        <f t="shared" si="127"/>
        <v/>
      </c>
      <c r="EL4" s="84" t="str">
        <f t="shared" si="127"/>
        <v/>
      </c>
      <c r="EM4" s="84" t="str">
        <f t="shared" si="127"/>
        <v/>
      </c>
      <c r="EN4" s="84" t="str">
        <f t="shared" si="127"/>
        <v/>
      </c>
      <c r="EO4" s="84" t="str">
        <f t="shared" si="127"/>
        <v/>
      </c>
      <c r="EP4" s="84"/>
      <c r="EQ4" s="84"/>
      <c r="ER4" s="84" t="str">
        <f t="shared" ref="ER4:FB4" si="128">IFERROR(COUNTIFS(ER10:ER900000,"&gt;60",ER10:ER900000,"&lt;=80")/COUNTIF(ER10:ER900000,"&gt;=0"),"")</f>
        <v/>
      </c>
      <c r="ES4" s="84" t="str">
        <f t="shared" si="128"/>
        <v/>
      </c>
      <c r="ET4" s="84" t="str">
        <f t="shared" si="128"/>
        <v/>
      </c>
      <c r="EU4" s="84" t="str">
        <f t="shared" si="128"/>
        <v/>
      </c>
      <c r="EV4" s="84" t="str">
        <f t="shared" si="128"/>
        <v/>
      </c>
      <c r="EW4" s="84" t="str">
        <f t="shared" si="128"/>
        <v/>
      </c>
      <c r="EX4" s="84" t="str">
        <f t="shared" si="128"/>
        <v/>
      </c>
      <c r="EY4" s="84" t="str">
        <f t="shared" si="128"/>
        <v/>
      </c>
      <c r="EZ4" s="84" t="str">
        <f t="shared" si="128"/>
        <v/>
      </c>
      <c r="FA4" s="84" t="str">
        <f t="shared" si="128"/>
        <v/>
      </c>
      <c r="FB4" s="84" t="str">
        <f t="shared" si="128"/>
        <v/>
      </c>
      <c r="FC4" s="84"/>
      <c r="FD4" s="84"/>
      <c r="FE4" s="84" t="str">
        <f t="shared" ref="FE4:FG4" si="129">IFERROR(COUNTIFS(FE10:FE900000,"&gt;60",FE10:FE900000,"&lt;=80")/COUNTIF(FE10:FE900000,"&gt;=0"),"")</f>
        <v/>
      </c>
      <c r="FF4" s="84" t="str">
        <f t="shared" si="129"/>
        <v/>
      </c>
      <c r="FG4" s="84" t="str">
        <f t="shared" si="129"/>
        <v/>
      </c>
      <c r="FH4" s="84"/>
      <c r="FI4" s="84" t="str">
        <f t="shared" ref="FI4:FJ4" si="130">IFERROR(COUNTIFS(FI10:FI900000,"&gt;60",FI10:FI900000,"&lt;=80")/COUNTIF(FI10:FI900000,"&gt;=0"),"")</f>
        <v/>
      </c>
      <c r="FJ4" s="84" t="str">
        <f t="shared" si="130"/>
        <v/>
      </c>
      <c r="FK4" s="84"/>
      <c r="FL4" s="84"/>
      <c r="FM4" s="81" t="s">
        <v>107</v>
      </c>
      <c r="FN4" s="81"/>
      <c r="FO4" s="81"/>
      <c r="FP4" s="82" t="str">
        <f>IFERROR(COUNTIFS(FP10:FP900000,"&gt;60",FP10:FP900000,"&lt;=80")/COUNTIF(FP10:FP900000,"&gt;=0"),"")</f>
        <v/>
      </c>
      <c r="FQ4" s="82" t="str">
        <f t="shared" ref="FQ4:GA4" si="131">IFERROR(COUNTIFS(FQ10:FQ900000,"&gt;60",FQ10:FQ900000,"&lt;=80")/COUNTIF(FQ10:FQ900000,"&gt;=0"),"")</f>
        <v/>
      </c>
      <c r="FR4" s="82" t="str">
        <f t="shared" si="131"/>
        <v/>
      </c>
      <c r="FS4" s="82" t="str">
        <f t="shared" si="131"/>
        <v/>
      </c>
      <c r="FT4" s="82" t="str">
        <f t="shared" si="131"/>
        <v/>
      </c>
      <c r="FU4" s="82" t="str">
        <f t="shared" si="131"/>
        <v/>
      </c>
      <c r="FV4" s="82" t="str">
        <f t="shared" si="131"/>
        <v/>
      </c>
      <c r="FW4" s="82" t="str">
        <f t="shared" si="131"/>
        <v/>
      </c>
      <c r="FX4" s="82" t="str">
        <f t="shared" si="131"/>
        <v/>
      </c>
      <c r="FY4" s="82" t="str">
        <f t="shared" si="131"/>
        <v/>
      </c>
      <c r="FZ4" s="82" t="str">
        <f t="shared" si="131"/>
        <v/>
      </c>
      <c r="GA4" s="82" t="str">
        <f t="shared" si="131"/>
        <v/>
      </c>
      <c r="GB4" s="82"/>
      <c r="GC4" s="82"/>
      <c r="GD4" s="82" t="str">
        <f t="shared" ref="GD4:GN4" si="132">IFERROR(COUNTIFS(GD10:GD900000,"&gt;60",GD10:GD900000,"&lt;=80")/COUNTIF(GD10:GD900000,"&gt;=0"),"")</f>
        <v/>
      </c>
      <c r="GE4" s="82" t="str">
        <f t="shared" si="132"/>
        <v/>
      </c>
      <c r="GF4" s="82" t="str">
        <f t="shared" si="132"/>
        <v/>
      </c>
      <c r="GG4" s="82" t="str">
        <f t="shared" si="132"/>
        <v/>
      </c>
      <c r="GH4" s="82" t="str">
        <f t="shared" si="132"/>
        <v/>
      </c>
      <c r="GI4" s="82" t="str">
        <f t="shared" si="132"/>
        <v/>
      </c>
      <c r="GJ4" s="82" t="str">
        <f t="shared" si="132"/>
        <v/>
      </c>
      <c r="GK4" s="82" t="str">
        <f t="shared" si="132"/>
        <v/>
      </c>
      <c r="GL4" s="82" t="str">
        <f t="shared" si="132"/>
        <v/>
      </c>
      <c r="GM4" s="82" t="str">
        <f t="shared" si="132"/>
        <v/>
      </c>
      <c r="GN4" s="82" t="str">
        <f t="shared" si="132"/>
        <v/>
      </c>
      <c r="GO4" s="82"/>
      <c r="GP4" s="82"/>
      <c r="GQ4" s="82" t="str">
        <f t="shared" ref="GQ4:GS4" si="133">IFERROR(COUNTIFS(GQ10:GQ900000,"&gt;60",GQ10:GQ900000,"&lt;=80")/COUNTIF(GQ10:GQ900000,"&gt;=0"),"")</f>
        <v/>
      </c>
      <c r="GR4" s="82" t="str">
        <f t="shared" si="133"/>
        <v/>
      </c>
      <c r="GS4" s="82" t="str">
        <f t="shared" si="133"/>
        <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t="str">
        <f>IFERROR(COUNTIFS(UF10:UF900000,"&gt;60",UF10:UF900000,"&lt;=80")/COUNTIF(UF10:UF900000,"&gt;=0"),"")</f>
        <v/>
      </c>
      <c r="UG4" s="82" t="str">
        <f t="shared" ref="UG4:UQ4" si="171">IFERROR(COUNTIFS(UG10:UG900000,"&gt;60",UG10:UG900000,"&lt;=80")/COUNTIF(UG10:UG900000,"&gt;=0"),"")</f>
        <v/>
      </c>
      <c r="UH4" s="82" t="str">
        <f t="shared" si="171"/>
        <v/>
      </c>
      <c r="UI4" s="82" t="str">
        <f t="shared" si="171"/>
        <v/>
      </c>
      <c r="UJ4" s="82" t="str">
        <f t="shared" si="171"/>
        <v/>
      </c>
      <c r="UK4" s="82" t="str">
        <f t="shared" si="171"/>
        <v/>
      </c>
      <c r="UL4" s="82" t="str">
        <f t="shared" si="171"/>
        <v/>
      </c>
      <c r="UM4" s="82" t="str">
        <f t="shared" si="171"/>
        <v/>
      </c>
      <c r="UN4" s="82" t="str">
        <f t="shared" si="171"/>
        <v/>
      </c>
      <c r="UO4" s="82" t="str">
        <f t="shared" si="171"/>
        <v/>
      </c>
      <c r="UP4" s="82" t="str">
        <f t="shared" si="171"/>
        <v/>
      </c>
      <c r="UQ4" s="82" t="str">
        <f t="shared" si="171"/>
        <v/>
      </c>
      <c r="UR4" s="82"/>
      <c r="US4" s="82"/>
      <c r="UT4" s="82" t="str">
        <f t="shared" ref="UT4:VD4" si="172">IFERROR(COUNTIFS(UT10:UT900000,"&gt;60",UT10:UT900000,"&lt;=80")/COUNTIF(UT10:UT900000,"&gt;=0"),"")</f>
        <v/>
      </c>
      <c r="UU4" s="82" t="str">
        <f t="shared" si="172"/>
        <v/>
      </c>
      <c r="UV4" s="82" t="str">
        <f t="shared" si="172"/>
        <v/>
      </c>
      <c r="UW4" s="82" t="str">
        <f t="shared" si="172"/>
        <v/>
      </c>
      <c r="UX4" s="82" t="str">
        <f t="shared" si="172"/>
        <v/>
      </c>
      <c r="UY4" s="82" t="str">
        <f t="shared" si="172"/>
        <v/>
      </c>
      <c r="UZ4" s="82" t="str">
        <f t="shared" si="172"/>
        <v/>
      </c>
      <c r="VA4" s="82" t="str">
        <f t="shared" si="172"/>
        <v/>
      </c>
      <c r="VB4" s="82" t="str">
        <f t="shared" si="172"/>
        <v/>
      </c>
      <c r="VC4" s="82" t="str">
        <f t="shared" si="172"/>
        <v/>
      </c>
      <c r="VD4" s="82" t="str">
        <f t="shared" si="172"/>
        <v/>
      </c>
      <c r="VE4" s="82"/>
      <c r="VF4" s="82"/>
      <c r="VG4" s="82" t="str">
        <f t="shared" ref="VG4:VI4" si="173">IFERROR(COUNTIFS(VG10:VG900000,"&gt;60",VG10:VG900000,"&lt;=80")/COUNTIF(VG10:VG900000,"&gt;=0"),"")</f>
        <v/>
      </c>
      <c r="VH4" s="82" t="str">
        <f t="shared" si="173"/>
        <v/>
      </c>
      <c r="VI4" s="82" t="str">
        <f t="shared" si="173"/>
        <v/>
      </c>
      <c r="VJ4" s="82"/>
      <c r="VK4" s="82" t="str">
        <f t="shared" ref="VK4:VL4" si="174">IFERROR(COUNTIFS(VK10:VK900000,"&gt;60",VK10:VK900000,"&lt;=80")/COUNTIF(VK10:VK900000,"&gt;=0"),"")</f>
        <v/>
      </c>
      <c r="VL4" s="82" t="str">
        <f t="shared" si="174"/>
        <v/>
      </c>
      <c r="VM4" s="82"/>
      <c r="VN4" s="82"/>
      <c r="VO4" s="83" t="s">
        <v>107</v>
      </c>
      <c r="VP4" s="83"/>
      <c r="VQ4" s="83"/>
      <c r="VR4" s="84" t="str">
        <f>IFERROR(COUNTIFS(VR10:VR900000,"&gt;60",VR10:VR900000,"&lt;=80")/COUNTIF(VR10:VR900000,"&gt;=0"),"")</f>
        <v/>
      </c>
      <c r="VS4" s="84" t="str">
        <f t="shared" ref="VS4:WC4" si="175">IFERROR(COUNTIFS(VS10:VS900000,"&gt;60",VS10:VS900000,"&lt;=80")/COUNTIF(VS10:VS900000,"&gt;=0"),"")</f>
        <v/>
      </c>
      <c r="VT4" s="84" t="str">
        <f t="shared" si="175"/>
        <v/>
      </c>
      <c r="VU4" s="84" t="str">
        <f t="shared" si="175"/>
        <v/>
      </c>
      <c r="VV4" s="84" t="str">
        <f t="shared" si="175"/>
        <v/>
      </c>
      <c r="VW4" s="84" t="str">
        <f t="shared" si="175"/>
        <v/>
      </c>
      <c r="VX4" s="84" t="str">
        <f t="shared" si="175"/>
        <v/>
      </c>
      <c r="VY4" s="84" t="str">
        <f t="shared" si="175"/>
        <v/>
      </c>
      <c r="VZ4" s="84" t="str">
        <f t="shared" si="175"/>
        <v/>
      </c>
      <c r="WA4" s="84" t="str">
        <f t="shared" si="175"/>
        <v/>
      </c>
      <c r="WB4" s="84" t="str">
        <f t="shared" si="175"/>
        <v/>
      </c>
      <c r="WC4" s="84" t="str">
        <f t="shared" si="175"/>
        <v/>
      </c>
      <c r="WD4" s="84"/>
      <c r="WE4" s="84"/>
      <c r="WF4" s="84" t="str">
        <f t="shared" ref="WF4:WP4" si="176">IFERROR(COUNTIFS(WF10:WF900000,"&gt;60",WF10:WF900000,"&lt;=80")/COUNTIF(WF10:WF900000,"&gt;=0"),"")</f>
        <v/>
      </c>
      <c r="WG4" s="84" t="str">
        <f t="shared" si="176"/>
        <v/>
      </c>
      <c r="WH4" s="84" t="str">
        <f t="shared" si="176"/>
        <v/>
      </c>
      <c r="WI4" s="84" t="str">
        <f t="shared" si="176"/>
        <v/>
      </c>
      <c r="WJ4" s="84" t="str">
        <f t="shared" si="176"/>
        <v/>
      </c>
      <c r="WK4" s="84" t="str">
        <f t="shared" si="176"/>
        <v/>
      </c>
      <c r="WL4" s="84" t="str">
        <f t="shared" si="176"/>
        <v/>
      </c>
      <c r="WM4" s="84" t="str">
        <f t="shared" si="176"/>
        <v/>
      </c>
      <c r="WN4" s="84" t="str">
        <f t="shared" si="176"/>
        <v/>
      </c>
      <c r="WO4" s="84" t="str">
        <f t="shared" si="176"/>
        <v/>
      </c>
      <c r="WP4" s="84" t="str">
        <f t="shared" si="176"/>
        <v/>
      </c>
      <c r="WQ4" s="84"/>
      <c r="WR4" s="84"/>
      <c r="WS4" s="84" t="str">
        <f t="shared" ref="WS4:WU4" si="177">IFERROR(COUNTIFS(WS10:WS900000,"&gt;60",WS10:WS900000,"&lt;=80")/COUNTIF(WS10:WS900000,"&gt;=0"),"")</f>
        <v/>
      </c>
      <c r="WT4" s="84" t="str">
        <f t="shared" si="177"/>
        <v/>
      </c>
      <c r="WU4" s="84" t="str">
        <f t="shared" si="177"/>
        <v/>
      </c>
      <c r="WV4" s="84"/>
      <c r="WW4" s="84" t="str">
        <f t="shared" ref="WW4:WX4" si="178">IFERROR(COUNTIFS(WW10:WW900000,"&gt;60",WW10:WW900000,"&lt;=80")/COUNTIF(WW10:WW900000,"&gt;=0"),"")</f>
        <v/>
      </c>
      <c r="WX4" s="84" t="str">
        <f t="shared" si="178"/>
        <v/>
      </c>
      <c r="WY4" s="84"/>
      <c r="WZ4" s="84"/>
      <c r="XA4" s="81" t="s">
        <v>107</v>
      </c>
      <c r="XB4" s="81"/>
      <c r="XC4" s="81"/>
      <c r="XD4" s="82" t="str">
        <f>IFERROR(COUNTIFS(XD10:XD900000,"&gt;60",XD10:XD900000,"&lt;=80")/COUNTIF(XD10:XD900000,"&gt;=0"),"")</f>
        <v/>
      </c>
      <c r="XE4" s="82" t="str">
        <f t="shared" ref="XE4:XO4" si="179">IFERROR(COUNTIFS(XE10:XE900000,"&gt;60",XE10:XE900000,"&lt;=80")/COUNTIF(XE10:XE900000,"&gt;=0"),"")</f>
        <v/>
      </c>
      <c r="XF4" s="82" t="str">
        <f t="shared" si="179"/>
        <v/>
      </c>
      <c r="XG4" s="82" t="str">
        <f t="shared" si="179"/>
        <v/>
      </c>
      <c r="XH4" s="82" t="str">
        <f t="shared" si="179"/>
        <v/>
      </c>
      <c r="XI4" s="82" t="str">
        <f t="shared" si="179"/>
        <v/>
      </c>
      <c r="XJ4" s="82" t="str">
        <f t="shared" si="179"/>
        <v/>
      </c>
      <c r="XK4" s="82" t="str">
        <f t="shared" si="179"/>
        <v/>
      </c>
      <c r="XL4" s="82" t="str">
        <f t="shared" si="179"/>
        <v/>
      </c>
      <c r="XM4" s="82" t="str">
        <f t="shared" si="179"/>
        <v/>
      </c>
      <c r="XN4" s="82" t="str">
        <f t="shared" si="179"/>
        <v/>
      </c>
      <c r="XO4" s="82" t="str">
        <f t="shared" si="179"/>
        <v/>
      </c>
      <c r="XP4" s="82"/>
      <c r="XQ4" s="82"/>
      <c r="XR4" s="82" t="str">
        <f t="shared" ref="XR4:YB4" si="180">IFERROR(COUNTIFS(XR10:XR900000,"&gt;60",XR10:XR900000,"&lt;=80")/COUNTIF(XR10:XR900000,"&gt;=0"),"")</f>
        <v/>
      </c>
      <c r="XS4" s="82" t="str">
        <f t="shared" si="180"/>
        <v/>
      </c>
      <c r="XT4" s="82" t="str">
        <f t="shared" si="180"/>
        <v/>
      </c>
      <c r="XU4" s="82" t="str">
        <f t="shared" si="180"/>
        <v/>
      </c>
      <c r="XV4" s="82" t="str">
        <f t="shared" si="180"/>
        <v/>
      </c>
      <c r="XW4" s="82" t="str">
        <f t="shared" si="180"/>
        <v/>
      </c>
      <c r="XX4" s="82" t="str">
        <f t="shared" si="180"/>
        <v/>
      </c>
      <c r="XY4" s="82" t="str">
        <f t="shared" si="180"/>
        <v/>
      </c>
      <c r="XZ4" s="82" t="str">
        <f t="shared" si="180"/>
        <v/>
      </c>
      <c r="YA4" s="82" t="str">
        <f t="shared" si="180"/>
        <v/>
      </c>
      <c r="YB4" s="82" t="str">
        <f t="shared" si="180"/>
        <v/>
      </c>
      <c r="YC4" s="82"/>
      <c r="YD4" s="82"/>
      <c r="YE4" s="82" t="str">
        <f t="shared" ref="YE4:YG4" si="181">IFERROR(COUNTIFS(YE10:YE900000,"&gt;60",YE10:YE900000,"&lt;=80")/COUNTIF(YE10:YE900000,"&gt;=0"),"")</f>
        <v/>
      </c>
      <c r="YF4" s="82" t="str">
        <f t="shared" si="181"/>
        <v/>
      </c>
      <c r="YG4" s="82" t="str">
        <f t="shared" si="181"/>
        <v/>
      </c>
      <c r="YH4" s="82"/>
      <c r="YI4" s="82" t="str">
        <f t="shared" ref="YI4:YJ4" si="182">IFERROR(COUNTIFS(YI10:YI900000,"&gt;60",YI10:YI900000,"&lt;=80")/COUNTIF(YI10:YI900000,"&gt;=0"),"")</f>
        <v/>
      </c>
      <c r="YJ4" s="82" t="str">
        <f t="shared" si="182"/>
        <v/>
      </c>
      <c r="YK4" s="82"/>
      <c r="YL4" s="82"/>
      <c r="YM4" s="83" t="s">
        <v>107</v>
      </c>
      <c r="YN4" s="83"/>
      <c r="YO4" s="83"/>
      <c r="YP4" s="84" t="str">
        <f>IFERROR(COUNTIFS(YP10:YP900000,"&gt;60",YP10:YP900000,"&lt;=80")/COUNTIF(YP10:YP900000,"&gt;=0"),"")</f>
        <v/>
      </c>
      <c r="YQ4" s="84" t="str">
        <f t="shared" ref="YQ4:ZA4" si="183">IFERROR(COUNTIFS(YQ10:YQ900000,"&gt;60",YQ10:YQ900000,"&lt;=80")/COUNTIF(YQ10:YQ900000,"&gt;=0"),"")</f>
        <v/>
      </c>
      <c r="YR4" s="84" t="str">
        <f t="shared" si="183"/>
        <v/>
      </c>
      <c r="YS4" s="84" t="str">
        <f t="shared" si="183"/>
        <v/>
      </c>
      <c r="YT4" s="84" t="str">
        <f t="shared" si="183"/>
        <v/>
      </c>
      <c r="YU4" s="84" t="str">
        <f t="shared" si="183"/>
        <v/>
      </c>
      <c r="YV4" s="84" t="str">
        <f t="shared" si="183"/>
        <v/>
      </c>
      <c r="YW4" s="84" t="str">
        <f t="shared" si="183"/>
        <v/>
      </c>
      <c r="YX4" s="84" t="str">
        <f t="shared" si="183"/>
        <v/>
      </c>
      <c r="YY4" s="84" t="str">
        <f t="shared" si="183"/>
        <v/>
      </c>
      <c r="YZ4" s="84" t="str">
        <f t="shared" si="183"/>
        <v/>
      </c>
      <c r="ZA4" s="84" t="str">
        <f t="shared" si="183"/>
        <v/>
      </c>
      <c r="ZB4" s="84"/>
      <c r="ZC4" s="84"/>
      <c r="ZD4" s="84" t="str">
        <f t="shared" ref="ZD4:ZN4" si="184">IFERROR(COUNTIFS(ZD10:ZD900000,"&gt;60",ZD10:ZD900000,"&lt;=80")/COUNTIF(ZD10:ZD900000,"&gt;=0"),"")</f>
        <v/>
      </c>
      <c r="ZE4" s="84" t="str">
        <f t="shared" si="184"/>
        <v/>
      </c>
      <c r="ZF4" s="84" t="str">
        <f t="shared" si="184"/>
        <v/>
      </c>
      <c r="ZG4" s="84" t="str">
        <f t="shared" si="184"/>
        <v/>
      </c>
      <c r="ZH4" s="84" t="str">
        <f t="shared" si="184"/>
        <v/>
      </c>
      <c r="ZI4" s="84" t="str">
        <f t="shared" si="184"/>
        <v/>
      </c>
      <c r="ZJ4" s="84" t="str">
        <f t="shared" si="184"/>
        <v/>
      </c>
      <c r="ZK4" s="84" t="str">
        <f t="shared" si="184"/>
        <v/>
      </c>
      <c r="ZL4" s="84" t="str">
        <f t="shared" si="184"/>
        <v/>
      </c>
      <c r="ZM4" s="84" t="str">
        <f t="shared" si="184"/>
        <v/>
      </c>
      <c r="ZN4" s="84" t="str">
        <f t="shared" si="184"/>
        <v/>
      </c>
      <c r="ZO4" s="84"/>
      <c r="ZP4" s="84"/>
      <c r="ZQ4" s="84" t="str">
        <f t="shared" ref="ZQ4:ZS4" si="185">IFERROR(COUNTIFS(ZQ10:ZQ900000,"&gt;60",ZQ10:ZQ900000,"&lt;=80")/COUNTIF(ZQ10:ZQ900000,"&gt;=0"),"")</f>
        <v/>
      </c>
      <c r="ZR4" s="84" t="str">
        <f t="shared" si="185"/>
        <v/>
      </c>
      <c r="ZS4" s="84" t="str">
        <f t="shared" si="185"/>
        <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t="str">
        <f>IFERROR(COUNTIFS(T10:T900000,"&gt;30",T10:T900000,"&lt;=60")/COUNTIF(T10:T900000,"&gt;=0"),"")</f>
        <v/>
      </c>
      <c r="U5" s="82" t="str">
        <f t="shared" ref="U5:AZ5" si="211">IFERROR(COUNTIFS(U10:U900000,"&gt;30",U10:U900000,"&lt;=60")/COUNTIF(U10:U900000,"&gt;=0"),"")</f>
        <v/>
      </c>
      <c r="V5" s="82" t="str">
        <f t="shared" si="211"/>
        <v/>
      </c>
      <c r="W5" s="82" t="str">
        <f t="shared" si="211"/>
        <v/>
      </c>
      <c r="X5" s="82" t="str">
        <f t="shared" si="211"/>
        <v/>
      </c>
      <c r="Y5" s="82" t="str">
        <f t="shared" si="211"/>
        <v/>
      </c>
      <c r="Z5" s="82" t="str">
        <f t="shared" si="211"/>
        <v/>
      </c>
      <c r="AA5" s="82" t="str">
        <f t="shared" si="211"/>
        <v/>
      </c>
      <c r="AB5" s="82" t="str">
        <f t="shared" si="211"/>
        <v/>
      </c>
      <c r="AC5" s="82" t="str">
        <f t="shared" si="211"/>
        <v/>
      </c>
      <c r="AD5" s="82" t="str">
        <f t="shared" si="211"/>
        <v/>
      </c>
      <c r="AE5" s="82" t="str">
        <f t="shared" si="211"/>
        <v/>
      </c>
      <c r="AF5" s="82"/>
      <c r="AG5" s="82"/>
      <c r="AH5" s="82" t="str">
        <f t="shared" si="211"/>
        <v/>
      </c>
      <c r="AI5" s="82" t="str">
        <f t="shared" si="211"/>
        <v/>
      </c>
      <c r="AJ5" s="82" t="str">
        <f t="shared" si="211"/>
        <v/>
      </c>
      <c r="AK5" s="82" t="str">
        <f t="shared" si="211"/>
        <v/>
      </c>
      <c r="AL5" s="82" t="str">
        <f t="shared" si="211"/>
        <v/>
      </c>
      <c r="AM5" s="82" t="str">
        <f t="shared" si="211"/>
        <v/>
      </c>
      <c r="AN5" s="82" t="str">
        <f t="shared" si="211"/>
        <v/>
      </c>
      <c r="AO5" s="82" t="str">
        <f t="shared" si="211"/>
        <v/>
      </c>
      <c r="AP5" s="82" t="str">
        <f t="shared" si="211"/>
        <v/>
      </c>
      <c r="AQ5" s="82" t="str">
        <f t="shared" si="211"/>
        <v/>
      </c>
      <c r="AR5" s="82" t="str">
        <f t="shared" si="211"/>
        <v/>
      </c>
      <c r="AS5" s="82"/>
      <c r="AT5" s="82"/>
      <c r="AU5" s="82" t="str">
        <f t="shared" si="211"/>
        <v/>
      </c>
      <c r="AV5" s="82" t="str">
        <f t="shared" si="211"/>
        <v/>
      </c>
      <c r="AW5" s="82" t="str">
        <f t="shared" si="211"/>
        <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t="str">
        <f>IFERROR(COUNTIFS(ED10:ED900000,"&gt;30",ED10:ED900000,"&lt;=60")/COUNTIF(ED10:ED900000,"&gt;=0"),"")</f>
        <v/>
      </c>
      <c r="EE5" s="84" t="str">
        <f t="shared" ref="EE5:EO5" si="220">IFERROR(COUNTIFS(EE10:EE900000,"&gt;30",EE10:EE900000,"&lt;=60")/COUNTIF(EE10:EE900000,"&gt;=0"),"")</f>
        <v/>
      </c>
      <c r="EF5" s="84" t="str">
        <f t="shared" si="220"/>
        <v/>
      </c>
      <c r="EG5" s="84" t="str">
        <f t="shared" si="220"/>
        <v/>
      </c>
      <c r="EH5" s="84" t="str">
        <f t="shared" si="220"/>
        <v/>
      </c>
      <c r="EI5" s="84" t="str">
        <f t="shared" si="220"/>
        <v/>
      </c>
      <c r="EJ5" s="84" t="str">
        <f t="shared" si="220"/>
        <v/>
      </c>
      <c r="EK5" s="84" t="str">
        <f t="shared" si="220"/>
        <v/>
      </c>
      <c r="EL5" s="84" t="str">
        <f t="shared" si="220"/>
        <v/>
      </c>
      <c r="EM5" s="84" t="str">
        <f t="shared" si="220"/>
        <v/>
      </c>
      <c r="EN5" s="84" t="str">
        <f t="shared" si="220"/>
        <v/>
      </c>
      <c r="EO5" s="84" t="str">
        <f t="shared" si="220"/>
        <v/>
      </c>
      <c r="EP5" s="84"/>
      <c r="EQ5" s="84"/>
      <c r="ER5" s="84" t="str">
        <f t="shared" ref="ER5:FB5" si="221">IFERROR(COUNTIFS(ER10:ER900000,"&gt;30",ER10:ER900000,"&lt;=60")/COUNTIF(ER10:ER900000,"&gt;=0"),"")</f>
        <v/>
      </c>
      <c r="ES5" s="84" t="str">
        <f t="shared" si="221"/>
        <v/>
      </c>
      <c r="ET5" s="84" t="str">
        <f t="shared" si="221"/>
        <v/>
      </c>
      <c r="EU5" s="84" t="str">
        <f t="shared" si="221"/>
        <v/>
      </c>
      <c r="EV5" s="84" t="str">
        <f t="shared" si="221"/>
        <v/>
      </c>
      <c r="EW5" s="84" t="str">
        <f t="shared" si="221"/>
        <v/>
      </c>
      <c r="EX5" s="84" t="str">
        <f t="shared" si="221"/>
        <v/>
      </c>
      <c r="EY5" s="84" t="str">
        <f t="shared" si="221"/>
        <v/>
      </c>
      <c r="EZ5" s="84" t="str">
        <f t="shared" si="221"/>
        <v/>
      </c>
      <c r="FA5" s="84" t="str">
        <f t="shared" si="221"/>
        <v/>
      </c>
      <c r="FB5" s="84" t="str">
        <f t="shared" si="221"/>
        <v/>
      </c>
      <c r="FC5" s="84"/>
      <c r="FD5" s="84"/>
      <c r="FE5" s="84" t="str">
        <f t="shared" ref="FE5:FG5" si="222">IFERROR(COUNTIFS(FE10:FE900000,"&gt;30",FE10:FE900000,"&lt;=60")/COUNTIF(FE10:FE900000,"&gt;=0"),"")</f>
        <v/>
      </c>
      <c r="FF5" s="84" t="str">
        <f t="shared" si="222"/>
        <v/>
      </c>
      <c r="FG5" s="84" t="str">
        <f t="shared" si="222"/>
        <v/>
      </c>
      <c r="FH5" s="84"/>
      <c r="FI5" s="84" t="str">
        <f t="shared" ref="FI5:FJ5" si="223">IFERROR(COUNTIFS(FI10:FI900000,"&gt;30",FI10:FI900000,"&lt;=60")/COUNTIF(FI10:FI900000,"&gt;=0"),"")</f>
        <v/>
      </c>
      <c r="FJ5" s="84" t="str">
        <f t="shared" si="223"/>
        <v/>
      </c>
      <c r="FK5" s="84"/>
      <c r="FL5" s="84"/>
      <c r="FM5" s="81" t="s">
        <v>108</v>
      </c>
      <c r="FN5" s="81"/>
      <c r="FO5" s="81"/>
      <c r="FP5" s="82" t="str">
        <f>IFERROR(COUNTIFS(FP10:FP900000,"&gt;30",FP10:FP900000,"&lt;=60")/COUNTIF(FP10:FP900000,"&gt;=0"),"")</f>
        <v/>
      </c>
      <c r="FQ5" s="82" t="str">
        <f t="shared" ref="FQ5:GA5" si="224">IFERROR(COUNTIFS(FQ10:FQ900000,"&gt;30",FQ10:FQ900000,"&lt;=60")/COUNTIF(FQ10:FQ900000,"&gt;=0"),"")</f>
        <v/>
      </c>
      <c r="FR5" s="82" t="str">
        <f t="shared" si="224"/>
        <v/>
      </c>
      <c r="FS5" s="82" t="str">
        <f t="shared" si="224"/>
        <v/>
      </c>
      <c r="FT5" s="82" t="str">
        <f t="shared" si="224"/>
        <v/>
      </c>
      <c r="FU5" s="82" t="str">
        <f t="shared" si="224"/>
        <v/>
      </c>
      <c r="FV5" s="82" t="str">
        <f t="shared" si="224"/>
        <v/>
      </c>
      <c r="FW5" s="82" t="str">
        <f t="shared" si="224"/>
        <v/>
      </c>
      <c r="FX5" s="82" t="str">
        <f t="shared" si="224"/>
        <v/>
      </c>
      <c r="FY5" s="82" t="str">
        <f t="shared" si="224"/>
        <v/>
      </c>
      <c r="FZ5" s="82" t="str">
        <f t="shared" si="224"/>
        <v/>
      </c>
      <c r="GA5" s="82" t="str">
        <f t="shared" si="224"/>
        <v/>
      </c>
      <c r="GB5" s="82"/>
      <c r="GC5" s="82"/>
      <c r="GD5" s="82" t="str">
        <f t="shared" ref="GD5:GN5" si="225">IFERROR(COUNTIFS(GD10:GD900000,"&gt;30",GD10:GD900000,"&lt;=60")/COUNTIF(GD10:GD900000,"&gt;=0"),"")</f>
        <v/>
      </c>
      <c r="GE5" s="82" t="str">
        <f t="shared" si="225"/>
        <v/>
      </c>
      <c r="GF5" s="82" t="str">
        <f t="shared" si="225"/>
        <v/>
      </c>
      <c r="GG5" s="82" t="str">
        <f t="shared" si="225"/>
        <v/>
      </c>
      <c r="GH5" s="82" t="str">
        <f t="shared" si="225"/>
        <v/>
      </c>
      <c r="GI5" s="82" t="str">
        <f t="shared" si="225"/>
        <v/>
      </c>
      <c r="GJ5" s="82" t="str">
        <f t="shared" si="225"/>
        <v/>
      </c>
      <c r="GK5" s="82" t="str">
        <f t="shared" si="225"/>
        <v/>
      </c>
      <c r="GL5" s="82" t="str">
        <f t="shared" si="225"/>
        <v/>
      </c>
      <c r="GM5" s="82" t="str">
        <f t="shared" si="225"/>
        <v/>
      </c>
      <c r="GN5" s="82" t="str">
        <f t="shared" si="225"/>
        <v/>
      </c>
      <c r="GO5" s="82"/>
      <c r="GP5" s="82"/>
      <c r="GQ5" s="82" t="str">
        <f t="shared" ref="GQ5:GS5" si="226">IFERROR(COUNTIFS(GQ10:GQ900000,"&gt;30",GQ10:GQ900000,"&lt;=60")/COUNTIF(GQ10:GQ900000,"&gt;=0"),"")</f>
        <v/>
      </c>
      <c r="GR5" s="82" t="str">
        <f t="shared" si="226"/>
        <v/>
      </c>
      <c r="GS5" s="82" t="str">
        <f t="shared" si="226"/>
        <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t="str">
        <f>IFERROR(COUNTIFS(UF10:UF900000,"&gt;30",UF10:UF900000,"&lt;=60")/COUNTIF(UF10:UF900000,"&gt;=0"),"")</f>
        <v/>
      </c>
      <c r="UG5" s="82" t="str">
        <f t="shared" ref="UG5:UQ5" si="264">IFERROR(COUNTIFS(UG10:UG900000,"&gt;30",UG10:UG900000,"&lt;=60")/COUNTIF(UG10:UG900000,"&gt;=0"),"")</f>
        <v/>
      </c>
      <c r="UH5" s="82" t="str">
        <f t="shared" si="264"/>
        <v/>
      </c>
      <c r="UI5" s="82" t="str">
        <f t="shared" si="264"/>
        <v/>
      </c>
      <c r="UJ5" s="82" t="str">
        <f t="shared" si="264"/>
        <v/>
      </c>
      <c r="UK5" s="82" t="str">
        <f t="shared" si="264"/>
        <v/>
      </c>
      <c r="UL5" s="82" t="str">
        <f t="shared" si="264"/>
        <v/>
      </c>
      <c r="UM5" s="82" t="str">
        <f t="shared" si="264"/>
        <v/>
      </c>
      <c r="UN5" s="82" t="str">
        <f t="shared" si="264"/>
        <v/>
      </c>
      <c r="UO5" s="82" t="str">
        <f t="shared" si="264"/>
        <v/>
      </c>
      <c r="UP5" s="82" t="str">
        <f t="shared" si="264"/>
        <v/>
      </c>
      <c r="UQ5" s="82" t="str">
        <f t="shared" si="264"/>
        <v/>
      </c>
      <c r="UR5" s="82"/>
      <c r="US5" s="82"/>
      <c r="UT5" s="82" t="str">
        <f t="shared" ref="UT5:VD5" si="265">IFERROR(COUNTIFS(UT10:UT900000,"&gt;30",UT10:UT900000,"&lt;=60")/COUNTIF(UT10:UT900000,"&gt;=0"),"")</f>
        <v/>
      </c>
      <c r="UU5" s="82" t="str">
        <f t="shared" si="265"/>
        <v/>
      </c>
      <c r="UV5" s="82" t="str">
        <f t="shared" si="265"/>
        <v/>
      </c>
      <c r="UW5" s="82" t="str">
        <f t="shared" si="265"/>
        <v/>
      </c>
      <c r="UX5" s="82" t="str">
        <f t="shared" si="265"/>
        <v/>
      </c>
      <c r="UY5" s="82" t="str">
        <f t="shared" si="265"/>
        <v/>
      </c>
      <c r="UZ5" s="82" t="str">
        <f t="shared" si="265"/>
        <v/>
      </c>
      <c r="VA5" s="82" t="str">
        <f t="shared" si="265"/>
        <v/>
      </c>
      <c r="VB5" s="82" t="str">
        <f t="shared" si="265"/>
        <v/>
      </c>
      <c r="VC5" s="82" t="str">
        <f t="shared" si="265"/>
        <v/>
      </c>
      <c r="VD5" s="82" t="str">
        <f t="shared" si="265"/>
        <v/>
      </c>
      <c r="VE5" s="82"/>
      <c r="VF5" s="82"/>
      <c r="VG5" s="82" t="str">
        <f t="shared" ref="VG5:VI5" si="266">IFERROR(COUNTIFS(VG10:VG900000,"&gt;30",VG10:VG900000,"&lt;=60")/COUNTIF(VG10:VG900000,"&gt;=0"),"")</f>
        <v/>
      </c>
      <c r="VH5" s="82" t="str">
        <f t="shared" si="266"/>
        <v/>
      </c>
      <c r="VI5" s="82" t="str">
        <f t="shared" si="266"/>
        <v/>
      </c>
      <c r="VJ5" s="82"/>
      <c r="VK5" s="82" t="str">
        <f t="shared" ref="VK5:VL5" si="267">IFERROR(COUNTIFS(VK10:VK900000,"&gt;30",VK10:VK900000,"&lt;=60")/COUNTIF(VK10:VK900000,"&gt;=0"),"")</f>
        <v/>
      </c>
      <c r="VL5" s="82" t="str">
        <f t="shared" si="267"/>
        <v/>
      </c>
      <c r="VM5" s="82"/>
      <c r="VN5" s="82"/>
      <c r="VO5" s="83" t="s">
        <v>108</v>
      </c>
      <c r="VP5" s="83"/>
      <c r="VQ5" s="83"/>
      <c r="VR5" s="84" t="str">
        <f>IFERROR(COUNTIFS(VR10:VR900000,"&gt;30",VR10:VR900000,"&lt;=60")/COUNTIF(VR10:VR900000,"&gt;=0"),"")</f>
        <v/>
      </c>
      <c r="VS5" s="84" t="str">
        <f t="shared" ref="VS5:WC5" si="268">IFERROR(COUNTIFS(VS10:VS900000,"&gt;30",VS10:VS900000,"&lt;=60")/COUNTIF(VS10:VS900000,"&gt;=0"),"")</f>
        <v/>
      </c>
      <c r="VT5" s="84" t="str">
        <f t="shared" si="268"/>
        <v/>
      </c>
      <c r="VU5" s="84" t="str">
        <f t="shared" si="268"/>
        <v/>
      </c>
      <c r="VV5" s="84" t="str">
        <f t="shared" si="268"/>
        <v/>
      </c>
      <c r="VW5" s="84" t="str">
        <f t="shared" si="268"/>
        <v/>
      </c>
      <c r="VX5" s="84" t="str">
        <f t="shared" si="268"/>
        <v/>
      </c>
      <c r="VY5" s="84" t="str">
        <f t="shared" si="268"/>
        <v/>
      </c>
      <c r="VZ5" s="84" t="str">
        <f t="shared" si="268"/>
        <v/>
      </c>
      <c r="WA5" s="84" t="str">
        <f t="shared" si="268"/>
        <v/>
      </c>
      <c r="WB5" s="84" t="str">
        <f t="shared" si="268"/>
        <v/>
      </c>
      <c r="WC5" s="84" t="str">
        <f t="shared" si="268"/>
        <v/>
      </c>
      <c r="WD5" s="84"/>
      <c r="WE5" s="84"/>
      <c r="WF5" s="84" t="str">
        <f t="shared" ref="WF5:WP5" si="269">IFERROR(COUNTIFS(WF10:WF900000,"&gt;30",WF10:WF900000,"&lt;=60")/COUNTIF(WF10:WF900000,"&gt;=0"),"")</f>
        <v/>
      </c>
      <c r="WG5" s="84" t="str">
        <f t="shared" si="269"/>
        <v/>
      </c>
      <c r="WH5" s="84" t="str">
        <f t="shared" si="269"/>
        <v/>
      </c>
      <c r="WI5" s="84" t="str">
        <f t="shared" si="269"/>
        <v/>
      </c>
      <c r="WJ5" s="84" t="str">
        <f t="shared" si="269"/>
        <v/>
      </c>
      <c r="WK5" s="84" t="str">
        <f t="shared" si="269"/>
        <v/>
      </c>
      <c r="WL5" s="84" t="str">
        <f t="shared" si="269"/>
        <v/>
      </c>
      <c r="WM5" s="84" t="str">
        <f t="shared" si="269"/>
        <v/>
      </c>
      <c r="WN5" s="84" t="str">
        <f t="shared" si="269"/>
        <v/>
      </c>
      <c r="WO5" s="84" t="str">
        <f t="shared" si="269"/>
        <v/>
      </c>
      <c r="WP5" s="84" t="str">
        <f t="shared" si="269"/>
        <v/>
      </c>
      <c r="WQ5" s="84"/>
      <c r="WR5" s="84"/>
      <c r="WS5" s="84" t="str">
        <f t="shared" ref="WS5:WU5" si="270">IFERROR(COUNTIFS(WS10:WS900000,"&gt;30",WS10:WS900000,"&lt;=60")/COUNTIF(WS10:WS900000,"&gt;=0"),"")</f>
        <v/>
      </c>
      <c r="WT5" s="84" t="str">
        <f t="shared" si="270"/>
        <v/>
      </c>
      <c r="WU5" s="84" t="str">
        <f t="shared" si="270"/>
        <v/>
      </c>
      <c r="WV5" s="84"/>
      <c r="WW5" s="84" t="str">
        <f t="shared" ref="WW5:WX5" si="271">IFERROR(COUNTIFS(WW10:WW900000,"&gt;30",WW10:WW900000,"&lt;=60")/COUNTIF(WW10:WW900000,"&gt;=0"),"")</f>
        <v/>
      </c>
      <c r="WX5" s="84" t="str">
        <f t="shared" si="271"/>
        <v/>
      </c>
      <c r="WY5" s="84"/>
      <c r="WZ5" s="84"/>
      <c r="XA5" s="81" t="s">
        <v>108</v>
      </c>
      <c r="XB5" s="81"/>
      <c r="XC5" s="81"/>
      <c r="XD5" s="82" t="str">
        <f>IFERROR(COUNTIFS(XD10:XD900000,"&gt;30",XD10:XD900000,"&lt;=60")/COUNTIF(XD10:XD900000,"&gt;=0"),"")</f>
        <v/>
      </c>
      <c r="XE5" s="82" t="str">
        <f t="shared" ref="XE5:XO5" si="272">IFERROR(COUNTIFS(XE10:XE900000,"&gt;30",XE10:XE900000,"&lt;=60")/COUNTIF(XE10:XE900000,"&gt;=0"),"")</f>
        <v/>
      </c>
      <c r="XF5" s="82" t="str">
        <f t="shared" si="272"/>
        <v/>
      </c>
      <c r="XG5" s="82" t="str">
        <f t="shared" si="272"/>
        <v/>
      </c>
      <c r="XH5" s="82" t="str">
        <f t="shared" si="272"/>
        <v/>
      </c>
      <c r="XI5" s="82" t="str">
        <f t="shared" si="272"/>
        <v/>
      </c>
      <c r="XJ5" s="82" t="str">
        <f t="shared" si="272"/>
        <v/>
      </c>
      <c r="XK5" s="82" t="str">
        <f t="shared" si="272"/>
        <v/>
      </c>
      <c r="XL5" s="82" t="str">
        <f t="shared" si="272"/>
        <v/>
      </c>
      <c r="XM5" s="82" t="str">
        <f t="shared" si="272"/>
        <v/>
      </c>
      <c r="XN5" s="82" t="str">
        <f t="shared" si="272"/>
        <v/>
      </c>
      <c r="XO5" s="82" t="str">
        <f t="shared" si="272"/>
        <v/>
      </c>
      <c r="XP5" s="82"/>
      <c r="XQ5" s="82"/>
      <c r="XR5" s="82" t="str">
        <f t="shared" ref="XR5:YB5" si="273">IFERROR(COUNTIFS(XR10:XR900000,"&gt;30",XR10:XR900000,"&lt;=60")/COUNTIF(XR10:XR900000,"&gt;=0"),"")</f>
        <v/>
      </c>
      <c r="XS5" s="82" t="str">
        <f t="shared" si="273"/>
        <v/>
      </c>
      <c r="XT5" s="82" t="str">
        <f t="shared" si="273"/>
        <v/>
      </c>
      <c r="XU5" s="82" t="str">
        <f t="shared" si="273"/>
        <v/>
      </c>
      <c r="XV5" s="82" t="str">
        <f t="shared" si="273"/>
        <v/>
      </c>
      <c r="XW5" s="82" t="str">
        <f t="shared" si="273"/>
        <v/>
      </c>
      <c r="XX5" s="82" t="str">
        <f t="shared" si="273"/>
        <v/>
      </c>
      <c r="XY5" s="82" t="str">
        <f t="shared" si="273"/>
        <v/>
      </c>
      <c r="XZ5" s="82" t="str">
        <f t="shared" si="273"/>
        <v/>
      </c>
      <c r="YA5" s="82" t="str">
        <f t="shared" si="273"/>
        <v/>
      </c>
      <c r="YB5" s="82" t="str">
        <f t="shared" si="273"/>
        <v/>
      </c>
      <c r="YC5" s="82"/>
      <c r="YD5" s="82"/>
      <c r="YE5" s="82" t="str">
        <f t="shared" ref="YE5:YG5" si="274">IFERROR(COUNTIFS(YE10:YE900000,"&gt;30",YE10:YE900000,"&lt;=60")/COUNTIF(YE10:YE900000,"&gt;=0"),"")</f>
        <v/>
      </c>
      <c r="YF5" s="82" t="str">
        <f t="shared" si="274"/>
        <v/>
      </c>
      <c r="YG5" s="82" t="str">
        <f t="shared" si="274"/>
        <v/>
      </c>
      <c r="YH5" s="82"/>
      <c r="YI5" s="82" t="str">
        <f t="shared" ref="YI5:YJ5" si="275">IFERROR(COUNTIFS(YI10:YI900000,"&gt;30",YI10:YI900000,"&lt;=60")/COUNTIF(YI10:YI900000,"&gt;=0"),"")</f>
        <v/>
      </c>
      <c r="YJ5" s="82" t="str">
        <f t="shared" si="275"/>
        <v/>
      </c>
      <c r="YK5" s="82"/>
      <c r="YL5" s="82"/>
      <c r="YM5" s="83" t="s">
        <v>108</v>
      </c>
      <c r="YN5" s="83"/>
      <c r="YO5" s="83"/>
      <c r="YP5" s="84" t="str">
        <f>IFERROR(COUNTIFS(YP10:YP900000,"&gt;30",YP10:YP900000,"&lt;=60")/COUNTIF(YP10:YP900000,"&gt;=0"),"")</f>
        <v/>
      </c>
      <c r="YQ5" s="84" t="str">
        <f t="shared" ref="YQ5:ZA5" si="276">IFERROR(COUNTIFS(YQ10:YQ900000,"&gt;30",YQ10:YQ900000,"&lt;=60")/COUNTIF(YQ10:YQ900000,"&gt;=0"),"")</f>
        <v/>
      </c>
      <c r="YR5" s="84" t="str">
        <f t="shared" si="276"/>
        <v/>
      </c>
      <c r="YS5" s="84" t="str">
        <f t="shared" si="276"/>
        <v/>
      </c>
      <c r="YT5" s="84" t="str">
        <f t="shared" si="276"/>
        <v/>
      </c>
      <c r="YU5" s="84" t="str">
        <f t="shared" si="276"/>
        <v/>
      </c>
      <c r="YV5" s="84" t="str">
        <f t="shared" si="276"/>
        <v/>
      </c>
      <c r="YW5" s="84" t="str">
        <f t="shared" si="276"/>
        <v/>
      </c>
      <c r="YX5" s="84" t="str">
        <f t="shared" si="276"/>
        <v/>
      </c>
      <c r="YY5" s="84" t="str">
        <f t="shared" si="276"/>
        <v/>
      </c>
      <c r="YZ5" s="84" t="str">
        <f t="shared" si="276"/>
        <v/>
      </c>
      <c r="ZA5" s="84" t="str">
        <f t="shared" si="276"/>
        <v/>
      </c>
      <c r="ZB5" s="84"/>
      <c r="ZC5" s="84"/>
      <c r="ZD5" s="84" t="str">
        <f t="shared" ref="ZD5:ZN5" si="277">IFERROR(COUNTIFS(ZD10:ZD900000,"&gt;30",ZD10:ZD900000,"&lt;=60")/COUNTIF(ZD10:ZD900000,"&gt;=0"),"")</f>
        <v/>
      </c>
      <c r="ZE5" s="84" t="str">
        <f t="shared" si="277"/>
        <v/>
      </c>
      <c r="ZF5" s="84" t="str">
        <f t="shared" si="277"/>
        <v/>
      </c>
      <c r="ZG5" s="84" t="str">
        <f t="shared" si="277"/>
        <v/>
      </c>
      <c r="ZH5" s="84" t="str">
        <f t="shared" si="277"/>
        <v/>
      </c>
      <c r="ZI5" s="84" t="str">
        <f t="shared" si="277"/>
        <v/>
      </c>
      <c r="ZJ5" s="84" t="str">
        <f t="shared" si="277"/>
        <v/>
      </c>
      <c r="ZK5" s="84" t="str">
        <f t="shared" si="277"/>
        <v/>
      </c>
      <c r="ZL5" s="84" t="str">
        <f t="shared" si="277"/>
        <v/>
      </c>
      <c r="ZM5" s="84" t="str">
        <f t="shared" si="277"/>
        <v/>
      </c>
      <c r="ZN5" s="84" t="str">
        <f t="shared" si="277"/>
        <v/>
      </c>
      <c r="ZO5" s="84"/>
      <c r="ZP5" s="84"/>
      <c r="ZQ5" s="84" t="str">
        <f t="shared" ref="ZQ5:ZS5" si="278">IFERROR(COUNTIFS(ZQ10:ZQ900000,"&gt;30",ZQ10:ZQ900000,"&lt;=60")/COUNTIF(ZQ10:ZQ900000,"&gt;=0"),"")</f>
        <v/>
      </c>
      <c r="ZR5" s="84" t="str">
        <f t="shared" si="278"/>
        <v/>
      </c>
      <c r="ZS5" s="84" t="str">
        <f t="shared" si="278"/>
        <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13</v>
      </c>
      <c r="M6" s="81"/>
      <c r="N6" s="81"/>
      <c r="O6" s="81"/>
      <c r="P6" s="81"/>
      <c r="Q6" s="81" t="s">
        <v>109</v>
      </c>
      <c r="R6" s="81"/>
      <c r="S6" s="81"/>
      <c r="T6" s="82" t="str">
        <f>IFERROR(COUNTIFS(T10:T900000,"&gt;=0",T10:T900000,"&lt;=30")/COUNTIF(T10:T900000,"&gt;=0"),"")</f>
        <v/>
      </c>
      <c r="U6" s="82" t="str">
        <f t="shared" ref="U6:AZ6" si="304">IFERROR(COUNTIFS(U10:U900000,"&gt;=0",U10:U900000,"&lt;=30")/COUNTIF(U10:U900000,"&gt;=0"),"")</f>
        <v/>
      </c>
      <c r="V6" s="82" t="str">
        <f t="shared" si="304"/>
        <v/>
      </c>
      <c r="W6" s="82" t="str">
        <f t="shared" si="304"/>
        <v/>
      </c>
      <c r="X6" s="82" t="str">
        <f t="shared" si="304"/>
        <v/>
      </c>
      <c r="Y6" s="82" t="str">
        <f t="shared" si="304"/>
        <v/>
      </c>
      <c r="Z6" s="82" t="str">
        <f t="shared" si="304"/>
        <v/>
      </c>
      <c r="AA6" s="82" t="str">
        <f t="shared" si="304"/>
        <v/>
      </c>
      <c r="AB6" s="82" t="str">
        <f t="shared" si="304"/>
        <v/>
      </c>
      <c r="AC6" s="82" t="str">
        <f t="shared" si="304"/>
        <v/>
      </c>
      <c r="AD6" s="82" t="str">
        <f t="shared" si="304"/>
        <v/>
      </c>
      <c r="AE6" s="82" t="str">
        <f t="shared" si="304"/>
        <v/>
      </c>
      <c r="AF6" s="82"/>
      <c r="AG6" s="82"/>
      <c r="AH6" s="82" t="str">
        <f t="shared" si="304"/>
        <v/>
      </c>
      <c r="AI6" s="82" t="str">
        <f t="shared" si="304"/>
        <v/>
      </c>
      <c r="AJ6" s="82" t="str">
        <f t="shared" si="304"/>
        <v/>
      </c>
      <c r="AK6" s="82" t="str">
        <f t="shared" si="304"/>
        <v/>
      </c>
      <c r="AL6" s="82" t="str">
        <f t="shared" si="304"/>
        <v/>
      </c>
      <c r="AM6" s="82" t="str">
        <f t="shared" si="304"/>
        <v/>
      </c>
      <c r="AN6" s="82" t="str">
        <f t="shared" si="304"/>
        <v/>
      </c>
      <c r="AO6" s="82" t="str">
        <f t="shared" si="304"/>
        <v/>
      </c>
      <c r="AP6" s="82" t="str">
        <f t="shared" si="304"/>
        <v/>
      </c>
      <c r="AQ6" s="82" t="str">
        <f t="shared" si="304"/>
        <v/>
      </c>
      <c r="AR6" s="82" t="str">
        <f t="shared" si="304"/>
        <v/>
      </c>
      <c r="AS6" s="82"/>
      <c r="AT6" s="82"/>
      <c r="AU6" s="82" t="str">
        <f t="shared" si="304"/>
        <v/>
      </c>
      <c r="AV6" s="82" t="str">
        <f t="shared" si="304"/>
        <v/>
      </c>
      <c r="AW6" s="82" t="str">
        <f t="shared" si="304"/>
        <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t="str">
        <f>IFERROR(COUNTIFS(ED10:ED900000,"&gt;=0",ED10:ED900000,"&lt;=30")/COUNTIF(ED10:ED900000,"&gt;=0"),"")</f>
        <v/>
      </c>
      <c r="EE6" s="84" t="str">
        <f t="shared" ref="EE6:EO6" si="313">IFERROR(COUNTIFS(EE10:EE900000,"&gt;=0",EE10:EE900000,"&lt;=30")/COUNTIF(EE10:EE900000,"&gt;=0"),"")</f>
        <v/>
      </c>
      <c r="EF6" s="84" t="str">
        <f t="shared" si="313"/>
        <v/>
      </c>
      <c r="EG6" s="84" t="str">
        <f t="shared" si="313"/>
        <v/>
      </c>
      <c r="EH6" s="84" t="str">
        <f t="shared" si="313"/>
        <v/>
      </c>
      <c r="EI6" s="84" t="str">
        <f t="shared" si="313"/>
        <v/>
      </c>
      <c r="EJ6" s="84" t="str">
        <f t="shared" si="313"/>
        <v/>
      </c>
      <c r="EK6" s="84" t="str">
        <f t="shared" si="313"/>
        <v/>
      </c>
      <c r="EL6" s="84" t="str">
        <f t="shared" si="313"/>
        <v/>
      </c>
      <c r="EM6" s="84" t="str">
        <f t="shared" si="313"/>
        <v/>
      </c>
      <c r="EN6" s="84" t="str">
        <f t="shared" si="313"/>
        <v/>
      </c>
      <c r="EO6" s="84" t="str">
        <f t="shared" si="313"/>
        <v/>
      </c>
      <c r="EP6" s="84"/>
      <c r="EQ6" s="84"/>
      <c r="ER6" s="84" t="str">
        <f t="shared" ref="ER6:FB6" si="314">IFERROR(COUNTIFS(ER10:ER900000,"&gt;=0",ER10:ER900000,"&lt;=30")/COUNTIF(ER10:ER900000,"&gt;=0"),"")</f>
        <v/>
      </c>
      <c r="ES6" s="84" t="str">
        <f t="shared" si="314"/>
        <v/>
      </c>
      <c r="ET6" s="84" t="str">
        <f t="shared" si="314"/>
        <v/>
      </c>
      <c r="EU6" s="84" t="str">
        <f t="shared" si="314"/>
        <v/>
      </c>
      <c r="EV6" s="84" t="str">
        <f t="shared" si="314"/>
        <v/>
      </c>
      <c r="EW6" s="84" t="str">
        <f t="shared" si="314"/>
        <v/>
      </c>
      <c r="EX6" s="84" t="str">
        <f t="shared" si="314"/>
        <v/>
      </c>
      <c r="EY6" s="84" t="str">
        <f t="shared" si="314"/>
        <v/>
      </c>
      <c r="EZ6" s="84" t="str">
        <f t="shared" si="314"/>
        <v/>
      </c>
      <c r="FA6" s="84" t="str">
        <f t="shared" si="314"/>
        <v/>
      </c>
      <c r="FB6" s="84" t="str">
        <f t="shared" si="314"/>
        <v/>
      </c>
      <c r="FC6" s="84"/>
      <c r="FD6" s="84"/>
      <c r="FE6" s="84" t="str">
        <f t="shared" ref="FE6:FG6" si="315">IFERROR(COUNTIFS(FE10:FE900000,"&gt;=0",FE10:FE900000,"&lt;=30")/COUNTIF(FE10:FE900000,"&gt;=0"),"")</f>
        <v/>
      </c>
      <c r="FF6" s="84" t="str">
        <f t="shared" si="315"/>
        <v/>
      </c>
      <c r="FG6" s="84" t="str">
        <f t="shared" si="315"/>
        <v/>
      </c>
      <c r="FH6" s="84"/>
      <c r="FI6" s="84" t="str">
        <f t="shared" ref="FI6:FJ6" si="316">IFERROR(COUNTIFS(FI10:FI900000,"&gt;=0",FI10:FI900000,"&lt;=30")/COUNTIF(FI10:FI900000,"&gt;=0"),"")</f>
        <v/>
      </c>
      <c r="FJ6" s="84" t="str">
        <f t="shared" si="316"/>
        <v/>
      </c>
      <c r="FK6" s="84"/>
      <c r="FL6" s="84"/>
      <c r="FM6" s="81" t="s">
        <v>109</v>
      </c>
      <c r="FN6" s="81"/>
      <c r="FO6" s="81"/>
      <c r="FP6" s="82" t="str">
        <f>IFERROR(COUNTIFS(FP10:FP900000,"&gt;=0",FP10:FP900000,"&lt;=30")/COUNTIF(FP10:FP900000,"&gt;=0"),"")</f>
        <v/>
      </c>
      <c r="FQ6" s="82" t="str">
        <f t="shared" ref="FQ6:GA6" si="317">IFERROR(COUNTIFS(FQ10:FQ900000,"&gt;=0",FQ10:FQ900000,"&lt;=30")/COUNTIF(FQ10:FQ900000,"&gt;=0"),"")</f>
        <v/>
      </c>
      <c r="FR6" s="82" t="str">
        <f t="shared" si="317"/>
        <v/>
      </c>
      <c r="FS6" s="82" t="str">
        <f t="shared" si="317"/>
        <v/>
      </c>
      <c r="FT6" s="82" t="str">
        <f t="shared" si="317"/>
        <v/>
      </c>
      <c r="FU6" s="82" t="str">
        <f t="shared" si="317"/>
        <v/>
      </c>
      <c r="FV6" s="82" t="str">
        <f t="shared" si="317"/>
        <v/>
      </c>
      <c r="FW6" s="82" t="str">
        <f t="shared" si="317"/>
        <v/>
      </c>
      <c r="FX6" s="82" t="str">
        <f t="shared" si="317"/>
        <v/>
      </c>
      <c r="FY6" s="82" t="str">
        <f t="shared" si="317"/>
        <v/>
      </c>
      <c r="FZ6" s="82" t="str">
        <f t="shared" si="317"/>
        <v/>
      </c>
      <c r="GA6" s="82" t="str">
        <f t="shared" si="317"/>
        <v/>
      </c>
      <c r="GB6" s="82"/>
      <c r="GC6" s="82"/>
      <c r="GD6" s="82" t="str">
        <f t="shared" ref="GD6:GN6" si="318">IFERROR(COUNTIFS(GD10:GD900000,"&gt;=0",GD10:GD900000,"&lt;=30")/COUNTIF(GD10:GD900000,"&gt;=0"),"")</f>
        <v/>
      </c>
      <c r="GE6" s="82" t="str">
        <f t="shared" si="318"/>
        <v/>
      </c>
      <c r="GF6" s="82" t="str">
        <f t="shared" si="318"/>
        <v/>
      </c>
      <c r="GG6" s="82" t="str">
        <f t="shared" si="318"/>
        <v/>
      </c>
      <c r="GH6" s="82" t="str">
        <f t="shared" si="318"/>
        <v/>
      </c>
      <c r="GI6" s="82" t="str">
        <f t="shared" si="318"/>
        <v/>
      </c>
      <c r="GJ6" s="82" t="str">
        <f t="shared" si="318"/>
        <v/>
      </c>
      <c r="GK6" s="82" t="str">
        <f t="shared" si="318"/>
        <v/>
      </c>
      <c r="GL6" s="82" t="str">
        <f t="shared" si="318"/>
        <v/>
      </c>
      <c r="GM6" s="82" t="str">
        <f t="shared" si="318"/>
        <v/>
      </c>
      <c r="GN6" s="82" t="str">
        <f t="shared" si="318"/>
        <v/>
      </c>
      <c r="GO6" s="82"/>
      <c r="GP6" s="82"/>
      <c r="GQ6" s="82" t="str">
        <f t="shared" ref="GQ6:GS6" si="319">IFERROR(COUNTIFS(GQ10:GQ900000,"&gt;=0",GQ10:GQ900000,"&lt;=30")/COUNTIF(GQ10:GQ900000,"&gt;=0"),"")</f>
        <v/>
      </c>
      <c r="GR6" s="82" t="str">
        <f t="shared" si="319"/>
        <v/>
      </c>
      <c r="GS6" s="82" t="str">
        <f t="shared" si="319"/>
        <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t="str">
        <f>IFERROR(COUNTIFS(UF10:UF900000,"&gt;=0",UF10:UF900000,"&lt;=30")/COUNTIF(UF10:UF900000,"&gt;=0"),"")</f>
        <v/>
      </c>
      <c r="UG6" s="82" t="str">
        <f t="shared" ref="UG6:UQ6" si="357">IFERROR(COUNTIFS(UG10:UG900000,"&gt;=0",UG10:UG900000,"&lt;=30")/COUNTIF(UG10:UG900000,"&gt;=0"),"")</f>
        <v/>
      </c>
      <c r="UH6" s="82" t="str">
        <f t="shared" si="357"/>
        <v/>
      </c>
      <c r="UI6" s="82" t="str">
        <f t="shared" si="357"/>
        <v/>
      </c>
      <c r="UJ6" s="82" t="str">
        <f t="shared" si="357"/>
        <v/>
      </c>
      <c r="UK6" s="82" t="str">
        <f t="shared" si="357"/>
        <v/>
      </c>
      <c r="UL6" s="82" t="str">
        <f t="shared" si="357"/>
        <v/>
      </c>
      <c r="UM6" s="82" t="str">
        <f t="shared" si="357"/>
        <v/>
      </c>
      <c r="UN6" s="82" t="str">
        <f t="shared" si="357"/>
        <v/>
      </c>
      <c r="UO6" s="82" t="str">
        <f t="shared" si="357"/>
        <v/>
      </c>
      <c r="UP6" s="82" t="str">
        <f t="shared" si="357"/>
        <v/>
      </c>
      <c r="UQ6" s="82" t="str">
        <f t="shared" si="357"/>
        <v/>
      </c>
      <c r="UR6" s="82"/>
      <c r="US6" s="82"/>
      <c r="UT6" s="82" t="str">
        <f t="shared" ref="UT6:VD6" si="358">IFERROR(COUNTIFS(UT10:UT900000,"&gt;=0",UT10:UT900000,"&lt;=30")/COUNTIF(UT10:UT900000,"&gt;=0"),"")</f>
        <v/>
      </c>
      <c r="UU6" s="82" t="str">
        <f t="shared" si="358"/>
        <v/>
      </c>
      <c r="UV6" s="82" t="str">
        <f t="shared" si="358"/>
        <v/>
      </c>
      <c r="UW6" s="82" t="str">
        <f t="shared" si="358"/>
        <v/>
      </c>
      <c r="UX6" s="82" t="str">
        <f t="shared" si="358"/>
        <v/>
      </c>
      <c r="UY6" s="82" t="str">
        <f t="shared" si="358"/>
        <v/>
      </c>
      <c r="UZ6" s="82" t="str">
        <f t="shared" si="358"/>
        <v/>
      </c>
      <c r="VA6" s="82" t="str">
        <f t="shared" si="358"/>
        <v/>
      </c>
      <c r="VB6" s="82" t="str">
        <f t="shared" si="358"/>
        <v/>
      </c>
      <c r="VC6" s="82" t="str">
        <f t="shared" si="358"/>
        <v/>
      </c>
      <c r="VD6" s="82" t="str">
        <f t="shared" si="358"/>
        <v/>
      </c>
      <c r="VE6" s="82"/>
      <c r="VF6" s="82"/>
      <c r="VG6" s="82" t="str">
        <f t="shared" ref="VG6:VI6" si="359">IFERROR(COUNTIFS(VG10:VG900000,"&gt;=0",VG10:VG900000,"&lt;=30")/COUNTIF(VG10:VG900000,"&gt;=0"),"")</f>
        <v/>
      </c>
      <c r="VH6" s="82" t="str">
        <f t="shared" si="359"/>
        <v/>
      </c>
      <c r="VI6" s="82" t="str">
        <f t="shared" si="359"/>
        <v/>
      </c>
      <c r="VJ6" s="82"/>
      <c r="VK6" s="82" t="str">
        <f t="shared" ref="VK6:VL6" si="360">IFERROR(COUNTIFS(VK10:VK900000,"&gt;=0",VK10:VK900000,"&lt;=30")/COUNTIF(VK10:VK900000,"&gt;=0"),"")</f>
        <v/>
      </c>
      <c r="VL6" s="82" t="str">
        <f t="shared" si="360"/>
        <v/>
      </c>
      <c r="VM6" s="82"/>
      <c r="VN6" s="82"/>
      <c r="VO6" s="83" t="s">
        <v>109</v>
      </c>
      <c r="VP6" s="83"/>
      <c r="VQ6" s="83"/>
      <c r="VR6" s="84" t="str">
        <f>IFERROR(COUNTIFS(VR10:VR900000,"&gt;=0",VR10:VR900000,"&lt;=30")/COUNTIF(VR10:VR900000,"&gt;=0"),"")</f>
        <v/>
      </c>
      <c r="VS6" s="84" t="str">
        <f t="shared" ref="VS6:WC6" si="361">IFERROR(COUNTIFS(VS10:VS900000,"&gt;=0",VS10:VS900000,"&lt;=30")/COUNTIF(VS10:VS900000,"&gt;=0"),"")</f>
        <v/>
      </c>
      <c r="VT6" s="84" t="str">
        <f t="shared" si="361"/>
        <v/>
      </c>
      <c r="VU6" s="84" t="str">
        <f t="shared" si="361"/>
        <v/>
      </c>
      <c r="VV6" s="84" t="str">
        <f t="shared" si="361"/>
        <v/>
      </c>
      <c r="VW6" s="84" t="str">
        <f t="shared" si="361"/>
        <v/>
      </c>
      <c r="VX6" s="84" t="str">
        <f t="shared" si="361"/>
        <v/>
      </c>
      <c r="VY6" s="84" t="str">
        <f t="shared" si="361"/>
        <v/>
      </c>
      <c r="VZ6" s="84" t="str">
        <f t="shared" si="361"/>
        <v/>
      </c>
      <c r="WA6" s="84" t="str">
        <f t="shared" si="361"/>
        <v/>
      </c>
      <c r="WB6" s="84" t="str">
        <f t="shared" si="361"/>
        <v/>
      </c>
      <c r="WC6" s="84" t="str">
        <f t="shared" si="361"/>
        <v/>
      </c>
      <c r="WD6" s="84"/>
      <c r="WE6" s="84"/>
      <c r="WF6" s="84" t="str">
        <f t="shared" ref="WF6:WP6" si="362">IFERROR(COUNTIFS(WF10:WF900000,"&gt;=0",WF10:WF900000,"&lt;=30")/COUNTIF(WF10:WF900000,"&gt;=0"),"")</f>
        <v/>
      </c>
      <c r="WG6" s="84" t="str">
        <f t="shared" si="362"/>
        <v/>
      </c>
      <c r="WH6" s="84" t="str">
        <f t="shared" si="362"/>
        <v/>
      </c>
      <c r="WI6" s="84" t="str">
        <f t="shared" si="362"/>
        <v/>
      </c>
      <c r="WJ6" s="84" t="str">
        <f t="shared" si="362"/>
        <v/>
      </c>
      <c r="WK6" s="84" t="str">
        <f t="shared" si="362"/>
        <v/>
      </c>
      <c r="WL6" s="84" t="str">
        <f t="shared" si="362"/>
        <v/>
      </c>
      <c r="WM6" s="84" t="str">
        <f t="shared" si="362"/>
        <v/>
      </c>
      <c r="WN6" s="84" t="str">
        <f t="shared" si="362"/>
        <v/>
      </c>
      <c r="WO6" s="84" t="str">
        <f t="shared" si="362"/>
        <v/>
      </c>
      <c r="WP6" s="84" t="str">
        <f t="shared" si="362"/>
        <v/>
      </c>
      <c r="WQ6" s="84"/>
      <c r="WR6" s="84"/>
      <c r="WS6" s="84" t="str">
        <f t="shared" ref="WS6:WU6" si="363">IFERROR(COUNTIFS(WS10:WS900000,"&gt;=0",WS10:WS900000,"&lt;=30")/COUNTIF(WS10:WS900000,"&gt;=0"),"")</f>
        <v/>
      </c>
      <c r="WT6" s="84" t="str">
        <f t="shared" si="363"/>
        <v/>
      </c>
      <c r="WU6" s="84" t="str">
        <f t="shared" si="363"/>
        <v/>
      </c>
      <c r="WV6" s="84"/>
      <c r="WW6" s="84" t="str">
        <f t="shared" ref="WW6:WX6" si="364">IFERROR(COUNTIFS(WW10:WW900000,"&gt;=0",WW10:WW900000,"&lt;=30")/COUNTIF(WW10:WW900000,"&gt;=0"),"")</f>
        <v/>
      </c>
      <c r="WX6" s="84" t="str">
        <f t="shared" si="364"/>
        <v/>
      </c>
      <c r="WY6" s="84"/>
      <c r="WZ6" s="84"/>
      <c r="XA6" s="81" t="s">
        <v>109</v>
      </c>
      <c r="XB6" s="81"/>
      <c r="XC6" s="81"/>
      <c r="XD6" s="82" t="str">
        <f>IFERROR(COUNTIFS(XD10:XD900000,"&gt;=0",XD10:XD900000,"&lt;=30")/COUNTIF(XD10:XD900000,"&gt;=0"),"")</f>
        <v/>
      </c>
      <c r="XE6" s="82" t="str">
        <f t="shared" ref="XE6:XO6" si="365">IFERROR(COUNTIFS(XE10:XE900000,"&gt;=0",XE10:XE900000,"&lt;=30")/COUNTIF(XE10:XE900000,"&gt;=0"),"")</f>
        <v/>
      </c>
      <c r="XF6" s="82" t="str">
        <f t="shared" si="365"/>
        <v/>
      </c>
      <c r="XG6" s="82" t="str">
        <f t="shared" si="365"/>
        <v/>
      </c>
      <c r="XH6" s="82" t="str">
        <f t="shared" si="365"/>
        <v/>
      </c>
      <c r="XI6" s="82" t="str">
        <f t="shared" si="365"/>
        <v/>
      </c>
      <c r="XJ6" s="82" t="str">
        <f t="shared" si="365"/>
        <v/>
      </c>
      <c r="XK6" s="82" t="str">
        <f t="shared" si="365"/>
        <v/>
      </c>
      <c r="XL6" s="82" t="str">
        <f t="shared" si="365"/>
        <v/>
      </c>
      <c r="XM6" s="82" t="str">
        <f t="shared" si="365"/>
        <v/>
      </c>
      <c r="XN6" s="82" t="str">
        <f t="shared" si="365"/>
        <v/>
      </c>
      <c r="XO6" s="82" t="str">
        <f t="shared" si="365"/>
        <v/>
      </c>
      <c r="XP6" s="82"/>
      <c r="XQ6" s="82"/>
      <c r="XR6" s="82" t="str">
        <f t="shared" ref="XR6:YB6" si="366">IFERROR(COUNTIFS(XR10:XR900000,"&gt;=0",XR10:XR900000,"&lt;=30")/COUNTIF(XR10:XR900000,"&gt;=0"),"")</f>
        <v/>
      </c>
      <c r="XS6" s="82" t="str">
        <f t="shared" si="366"/>
        <v/>
      </c>
      <c r="XT6" s="82" t="str">
        <f t="shared" si="366"/>
        <v/>
      </c>
      <c r="XU6" s="82" t="str">
        <f t="shared" si="366"/>
        <v/>
      </c>
      <c r="XV6" s="82" t="str">
        <f t="shared" si="366"/>
        <v/>
      </c>
      <c r="XW6" s="82" t="str">
        <f t="shared" si="366"/>
        <v/>
      </c>
      <c r="XX6" s="82" t="str">
        <f t="shared" si="366"/>
        <v/>
      </c>
      <c r="XY6" s="82" t="str">
        <f t="shared" si="366"/>
        <v/>
      </c>
      <c r="XZ6" s="82" t="str">
        <f t="shared" si="366"/>
        <v/>
      </c>
      <c r="YA6" s="82" t="str">
        <f t="shared" si="366"/>
        <v/>
      </c>
      <c r="YB6" s="82" t="str">
        <f t="shared" si="366"/>
        <v/>
      </c>
      <c r="YC6" s="82"/>
      <c r="YD6" s="82"/>
      <c r="YE6" s="82" t="str">
        <f t="shared" ref="YE6:YG6" si="367">IFERROR(COUNTIFS(YE10:YE900000,"&gt;=0",YE10:YE900000,"&lt;=30")/COUNTIF(YE10:YE900000,"&gt;=0"),"")</f>
        <v/>
      </c>
      <c r="YF6" s="82" t="str">
        <f t="shared" si="367"/>
        <v/>
      </c>
      <c r="YG6" s="82" t="str">
        <f t="shared" si="367"/>
        <v/>
      </c>
      <c r="YH6" s="82"/>
      <c r="YI6" s="82" t="str">
        <f t="shared" ref="YI6:YJ6" si="368">IFERROR(COUNTIFS(YI10:YI900000,"&gt;=0",YI10:YI900000,"&lt;=30")/COUNTIF(YI10:YI900000,"&gt;=0"),"")</f>
        <v/>
      </c>
      <c r="YJ6" s="82" t="str">
        <f t="shared" si="368"/>
        <v/>
      </c>
      <c r="YK6" s="82"/>
      <c r="YL6" s="82"/>
      <c r="YM6" s="83" t="s">
        <v>109</v>
      </c>
      <c r="YN6" s="83"/>
      <c r="YO6" s="83"/>
      <c r="YP6" s="84" t="str">
        <f>IFERROR(COUNTIFS(YP10:YP900000,"&gt;=0",YP10:YP900000,"&lt;=30")/COUNTIF(YP10:YP900000,"&gt;=0"),"")</f>
        <v/>
      </c>
      <c r="YQ6" s="84" t="str">
        <f t="shared" ref="YQ6:ZA6" si="369">IFERROR(COUNTIFS(YQ10:YQ900000,"&gt;=0",YQ10:YQ900000,"&lt;=30")/COUNTIF(YQ10:YQ900000,"&gt;=0"),"")</f>
        <v/>
      </c>
      <c r="YR6" s="84" t="str">
        <f t="shared" si="369"/>
        <v/>
      </c>
      <c r="YS6" s="84" t="str">
        <f t="shared" si="369"/>
        <v/>
      </c>
      <c r="YT6" s="84" t="str">
        <f t="shared" si="369"/>
        <v/>
      </c>
      <c r="YU6" s="84" t="str">
        <f t="shared" si="369"/>
        <v/>
      </c>
      <c r="YV6" s="84" t="str">
        <f t="shared" si="369"/>
        <v/>
      </c>
      <c r="YW6" s="84" t="str">
        <f t="shared" si="369"/>
        <v/>
      </c>
      <c r="YX6" s="84" t="str">
        <f t="shared" si="369"/>
        <v/>
      </c>
      <c r="YY6" s="84" t="str">
        <f t="shared" si="369"/>
        <v/>
      </c>
      <c r="YZ6" s="84" t="str">
        <f t="shared" si="369"/>
        <v/>
      </c>
      <c r="ZA6" s="84" t="str">
        <f t="shared" si="369"/>
        <v/>
      </c>
      <c r="ZB6" s="84"/>
      <c r="ZC6" s="84"/>
      <c r="ZD6" s="84" t="str">
        <f t="shared" ref="ZD6:ZN6" si="370">IFERROR(COUNTIFS(ZD10:ZD900000,"&gt;=0",ZD10:ZD900000,"&lt;=30")/COUNTIF(ZD10:ZD900000,"&gt;=0"),"")</f>
        <v/>
      </c>
      <c r="ZE6" s="84" t="str">
        <f t="shared" si="370"/>
        <v/>
      </c>
      <c r="ZF6" s="84" t="str">
        <f t="shared" si="370"/>
        <v/>
      </c>
      <c r="ZG6" s="84" t="str">
        <f t="shared" si="370"/>
        <v/>
      </c>
      <c r="ZH6" s="84" t="str">
        <f t="shared" si="370"/>
        <v/>
      </c>
      <c r="ZI6" s="84" t="str">
        <f t="shared" si="370"/>
        <v/>
      </c>
      <c r="ZJ6" s="84" t="str">
        <f t="shared" si="370"/>
        <v/>
      </c>
      <c r="ZK6" s="84" t="str">
        <f t="shared" si="370"/>
        <v/>
      </c>
      <c r="ZL6" s="84" t="str">
        <f t="shared" si="370"/>
        <v/>
      </c>
      <c r="ZM6" s="84" t="str">
        <f t="shared" si="370"/>
        <v/>
      </c>
      <c r="ZN6" s="84" t="str">
        <f t="shared" si="370"/>
        <v/>
      </c>
      <c r="ZO6" s="84"/>
      <c r="ZP6" s="84"/>
      <c r="ZQ6" s="84" t="str">
        <f t="shared" ref="ZQ6:ZS6" si="371">IFERROR(COUNTIFS(ZQ10:ZQ900000,"&gt;=0",ZQ10:ZQ900000,"&lt;=30")/COUNTIF(ZQ10:ZQ900000,"&gt;=0"),"")</f>
        <v/>
      </c>
      <c r="ZR6" s="84" t="str">
        <f t="shared" si="371"/>
        <v/>
      </c>
      <c r="ZS6" s="84" t="str">
        <f t="shared" si="371"/>
        <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19" t="s">
        <v>102</v>
      </c>
      <c r="B7" s="116" t="s">
        <v>103</v>
      </c>
      <c r="C7" s="119" t="s">
        <v>90</v>
      </c>
      <c r="D7" s="119" t="s">
        <v>91</v>
      </c>
      <c r="E7" s="116" t="s">
        <v>99</v>
      </c>
      <c r="F7" s="121" t="s">
        <v>9</v>
      </c>
      <c r="G7" s="121" t="s">
        <v>10</v>
      </c>
      <c r="H7" s="116" t="s">
        <v>0</v>
      </c>
      <c r="I7" s="116"/>
      <c r="J7" s="116"/>
      <c r="K7" s="119" t="s">
        <v>97</v>
      </c>
      <c r="L7" s="116" t="s">
        <v>104</v>
      </c>
      <c r="M7" s="116" t="s">
        <v>131</v>
      </c>
      <c r="N7" s="116" t="s">
        <v>92</v>
      </c>
      <c r="O7" s="116"/>
      <c r="P7" s="116" t="s">
        <v>120</v>
      </c>
      <c r="Q7" s="103" t="s">
        <v>11</v>
      </c>
      <c r="R7" s="103" t="s">
        <v>19</v>
      </c>
      <c r="S7" s="103" t="s">
        <v>96</v>
      </c>
      <c r="T7" s="111" t="s">
        <v>12</v>
      </c>
      <c r="U7" s="113" t="s">
        <v>14</v>
      </c>
      <c r="V7" s="113"/>
      <c r="W7" s="113"/>
      <c r="X7" s="113"/>
      <c r="Y7" s="113"/>
      <c r="Z7" s="113"/>
      <c r="AA7" s="113"/>
      <c r="AB7" s="113"/>
      <c r="AC7" s="113"/>
      <c r="AD7" s="113"/>
      <c r="AE7" s="113"/>
      <c r="AF7" s="113"/>
      <c r="AG7" s="113"/>
      <c r="AH7" s="113" t="s">
        <v>15</v>
      </c>
      <c r="AI7" s="113"/>
      <c r="AJ7" s="113"/>
      <c r="AK7" s="113"/>
      <c r="AL7" s="113"/>
      <c r="AM7" s="113"/>
      <c r="AN7" s="113"/>
      <c r="AO7" s="113"/>
      <c r="AP7" s="113"/>
      <c r="AQ7" s="113"/>
      <c r="AR7" s="113"/>
      <c r="AS7" s="113"/>
      <c r="AT7" s="113"/>
      <c r="AU7" s="113" t="s">
        <v>17</v>
      </c>
      <c r="AV7" s="113"/>
      <c r="AW7" s="113"/>
      <c r="AX7" s="113"/>
      <c r="AY7" s="113"/>
      <c r="AZ7" s="113"/>
      <c r="BA7" s="113"/>
      <c r="BB7" s="113"/>
      <c r="BC7" s="103" t="s">
        <v>11</v>
      </c>
      <c r="BD7" s="103" t="s">
        <v>19</v>
      </c>
      <c r="BE7" s="103" t="s">
        <v>96</v>
      </c>
      <c r="BF7" s="111" t="s">
        <v>12</v>
      </c>
      <c r="BG7" s="113" t="s">
        <v>14</v>
      </c>
      <c r="BH7" s="113"/>
      <c r="BI7" s="113"/>
      <c r="BJ7" s="113"/>
      <c r="BK7" s="113"/>
      <c r="BL7" s="113"/>
      <c r="BM7" s="113"/>
      <c r="BN7" s="113"/>
      <c r="BO7" s="113"/>
      <c r="BP7" s="113"/>
      <c r="BQ7" s="113"/>
      <c r="BR7" s="113"/>
      <c r="BS7" s="113"/>
      <c r="BT7" s="113" t="s">
        <v>15</v>
      </c>
      <c r="BU7" s="113"/>
      <c r="BV7" s="113"/>
      <c r="BW7" s="113"/>
      <c r="BX7" s="113"/>
      <c r="BY7" s="113"/>
      <c r="BZ7" s="113"/>
      <c r="CA7" s="113"/>
      <c r="CB7" s="113"/>
      <c r="CC7" s="113"/>
      <c r="CD7" s="113"/>
      <c r="CE7" s="113"/>
      <c r="CF7" s="113"/>
      <c r="CG7" s="113" t="s">
        <v>17</v>
      </c>
      <c r="CH7" s="113"/>
      <c r="CI7" s="113"/>
      <c r="CJ7" s="113"/>
      <c r="CK7" s="113"/>
      <c r="CL7" s="113"/>
      <c r="CM7" s="113"/>
      <c r="CN7" s="113"/>
      <c r="CO7" s="103" t="s">
        <v>11</v>
      </c>
      <c r="CP7" s="103" t="s">
        <v>19</v>
      </c>
      <c r="CQ7" s="103" t="s">
        <v>96</v>
      </c>
      <c r="CR7" s="111" t="s">
        <v>12</v>
      </c>
      <c r="CS7" s="113" t="s">
        <v>14</v>
      </c>
      <c r="CT7" s="113"/>
      <c r="CU7" s="113"/>
      <c r="CV7" s="113"/>
      <c r="CW7" s="113"/>
      <c r="CX7" s="113"/>
      <c r="CY7" s="113"/>
      <c r="CZ7" s="113"/>
      <c r="DA7" s="113"/>
      <c r="DB7" s="113"/>
      <c r="DC7" s="113"/>
      <c r="DD7" s="113"/>
      <c r="DE7" s="113"/>
      <c r="DF7" s="113" t="s">
        <v>15</v>
      </c>
      <c r="DG7" s="113"/>
      <c r="DH7" s="113"/>
      <c r="DI7" s="113"/>
      <c r="DJ7" s="113"/>
      <c r="DK7" s="113"/>
      <c r="DL7" s="113"/>
      <c r="DM7" s="113"/>
      <c r="DN7" s="113"/>
      <c r="DO7" s="113"/>
      <c r="DP7" s="113"/>
      <c r="DQ7" s="113"/>
      <c r="DR7" s="113"/>
      <c r="DS7" s="113" t="s">
        <v>17</v>
      </c>
      <c r="DT7" s="113"/>
      <c r="DU7" s="113"/>
      <c r="DV7" s="113"/>
      <c r="DW7" s="113"/>
      <c r="DX7" s="113"/>
      <c r="DY7" s="113"/>
      <c r="DZ7" s="113"/>
      <c r="EA7" s="103" t="s">
        <v>11</v>
      </c>
      <c r="EB7" s="103" t="s">
        <v>19</v>
      </c>
      <c r="EC7" s="103" t="s">
        <v>96</v>
      </c>
      <c r="ED7" s="111" t="s">
        <v>12</v>
      </c>
      <c r="EE7" s="113" t="s">
        <v>14</v>
      </c>
      <c r="EF7" s="113"/>
      <c r="EG7" s="113"/>
      <c r="EH7" s="113"/>
      <c r="EI7" s="113"/>
      <c r="EJ7" s="113"/>
      <c r="EK7" s="113"/>
      <c r="EL7" s="113"/>
      <c r="EM7" s="113"/>
      <c r="EN7" s="113"/>
      <c r="EO7" s="113"/>
      <c r="EP7" s="113"/>
      <c r="EQ7" s="113"/>
      <c r="ER7" s="113" t="s">
        <v>15</v>
      </c>
      <c r="ES7" s="113"/>
      <c r="ET7" s="113"/>
      <c r="EU7" s="113"/>
      <c r="EV7" s="113"/>
      <c r="EW7" s="113"/>
      <c r="EX7" s="113"/>
      <c r="EY7" s="113"/>
      <c r="EZ7" s="113"/>
      <c r="FA7" s="113"/>
      <c r="FB7" s="113"/>
      <c r="FC7" s="113"/>
      <c r="FD7" s="113"/>
      <c r="FE7" s="113" t="s">
        <v>17</v>
      </c>
      <c r="FF7" s="113"/>
      <c r="FG7" s="113"/>
      <c r="FH7" s="113"/>
      <c r="FI7" s="113"/>
      <c r="FJ7" s="113"/>
      <c r="FK7" s="113"/>
      <c r="FL7" s="113"/>
      <c r="FM7" s="103" t="s">
        <v>11</v>
      </c>
      <c r="FN7" s="103" t="s">
        <v>19</v>
      </c>
      <c r="FO7" s="103" t="s">
        <v>96</v>
      </c>
      <c r="FP7" s="111" t="s">
        <v>12</v>
      </c>
      <c r="FQ7" s="113" t="s">
        <v>14</v>
      </c>
      <c r="FR7" s="113"/>
      <c r="FS7" s="113"/>
      <c r="FT7" s="113"/>
      <c r="FU7" s="113"/>
      <c r="FV7" s="113"/>
      <c r="FW7" s="113"/>
      <c r="FX7" s="113"/>
      <c r="FY7" s="113"/>
      <c r="FZ7" s="113"/>
      <c r="GA7" s="113"/>
      <c r="GB7" s="113"/>
      <c r="GC7" s="113"/>
      <c r="GD7" s="113" t="s">
        <v>15</v>
      </c>
      <c r="GE7" s="113"/>
      <c r="GF7" s="113"/>
      <c r="GG7" s="113"/>
      <c r="GH7" s="113"/>
      <c r="GI7" s="113"/>
      <c r="GJ7" s="113"/>
      <c r="GK7" s="113"/>
      <c r="GL7" s="113"/>
      <c r="GM7" s="113"/>
      <c r="GN7" s="113"/>
      <c r="GO7" s="113"/>
      <c r="GP7" s="113"/>
      <c r="GQ7" s="113" t="s">
        <v>17</v>
      </c>
      <c r="GR7" s="113"/>
      <c r="GS7" s="113"/>
      <c r="GT7" s="113"/>
      <c r="GU7" s="113"/>
      <c r="GV7" s="113"/>
      <c r="GW7" s="113"/>
      <c r="GX7" s="113"/>
      <c r="GY7" s="103" t="s">
        <v>11</v>
      </c>
      <c r="GZ7" s="103" t="s">
        <v>19</v>
      </c>
      <c r="HA7" s="103" t="s">
        <v>96</v>
      </c>
      <c r="HB7" s="111" t="s">
        <v>12</v>
      </c>
      <c r="HC7" s="113" t="s">
        <v>14</v>
      </c>
      <c r="HD7" s="113"/>
      <c r="HE7" s="113"/>
      <c r="HF7" s="113"/>
      <c r="HG7" s="113"/>
      <c r="HH7" s="113"/>
      <c r="HI7" s="113"/>
      <c r="HJ7" s="113"/>
      <c r="HK7" s="113"/>
      <c r="HL7" s="113"/>
      <c r="HM7" s="113"/>
      <c r="HN7" s="113"/>
      <c r="HO7" s="113"/>
      <c r="HP7" s="113" t="s">
        <v>15</v>
      </c>
      <c r="HQ7" s="113"/>
      <c r="HR7" s="113"/>
      <c r="HS7" s="113"/>
      <c r="HT7" s="113"/>
      <c r="HU7" s="113"/>
      <c r="HV7" s="113"/>
      <c r="HW7" s="113"/>
      <c r="HX7" s="113"/>
      <c r="HY7" s="113"/>
      <c r="HZ7" s="113"/>
      <c r="IA7" s="113"/>
      <c r="IB7" s="113"/>
      <c r="IC7" s="113" t="s">
        <v>17</v>
      </c>
      <c r="ID7" s="113"/>
      <c r="IE7" s="113"/>
      <c r="IF7" s="113"/>
      <c r="IG7" s="113"/>
      <c r="IH7" s="113"/>
      <c r="II7" s="113"/>
      <c r="IJ7" s="113"/>
      <c r="IK7" s="103" t="s">
        <v>11</v>
      </c>
      <c r="IL7" s="103" t="s">
        <v>19</v>
      </c>
      <c r="IM7" s="103" t="s">
        <v>96</v>
      </c>
      <c r="IN7" s="111" t="s">
        <v>12</v>
      </c>
      <c r="IO7" s="113" t="s">
        <v>14</v>
      </c>
      <c r="IP7" s="113"/>
      <c r="IQ7" s="113"/>
      <c r="IR7" s="113"/>
      <c r="IS7" s="113"/>
      <c r="IT7" s="113"/>
      <c r="IU7" s="113"/>
      <c r="IV7" s="113"/>
      <c r="IW7" s="113"/>
      <c r="IX7" s="113"/>
      <c r="IY7" s="113"/>
      <c r="IZ7" s="113"/>
      <c r="JA7" s="113"/>
      <c r="JB7" s="113" t="s">
        <v>15</v>
      </c>
      <c r="JC7" s="113"/>
      <c r="JD7" s="113"/>
      <c r="JE7" s="113"/>
      <c r="JF7" s="113"/>
      <c r="JG7" s="113"/>
      <c r="JH7" s="113"/>
      <c r="JI7" s="113"/>
      <c r="JJ7" s="113"/>
      <c r="JK7" s="113"/>
      <c r="JL7" s="113"/>
      <c r="JM7" s="113"/>
      <c r="JN7" s="113"/>
      <c r="JO7" s="113" t="s">
        <v>17</v>
      </c>
      <c r="JP7" s="113"/>
      <c r="JQ7" s="113"/>
      <c r="JR7" s="113"/>
      <c r="JS7" s="113"/>
      <c r="JT7" s="113"/>
      <c r="JU7" s="113"/>
      <c r="JV7" s="113"/>
      <c r="JW7" s="103" t="s">
        <v>11</v>
      </c>
      <c r="JX7" s="103" t="s">
        <v>19</v>
      </c>
      <c r="JY7" s="103" t="s">
        <v>96</v>
      </c>
      <c r="JZ7" s="111" t="s">
        <v>12</v>
      </c>
      <c r="KA7" s="113" t="s">
        <v>14</v>
      </c>
      <c r="KB7" s="113"/>
      <c r="KC7" s="113"/>
      <c r="KD7" s="113"/>
      <c r="KE7" s="113"/>
      <c r="KF7" s="113"/>
      <c r="KG7" s="113"/>
      <c r="KH7" s="113"/>
      <c r="KI7" s="113"/>
      <c r="KJ7" s="113"/>
      <c r="KK7" s="113"/>
      <c r="KL7" s="113"/>
      <c r="KM7" s="113"/>
      <c r="KN7" s="113" t="s">
        <v>15</v>
      </c>
      <c r="KO7" s="113"/>
      <c r="KP7" s="113"/>
      <c r="KQ7" s="113"/>
      <c r="KR7" s="113"/>
      <c r="KS7" s="113"/>
      <c r="KT7" s="113"/>
      <c r="KU7" s="113"/>
      <c r="KV7" s="113"/>
      <c r="KW7" s="113"/>
      <c r="KX7" s="113"/>
      <c r="KY7" s="113"/>
      <c r="KZ7" s="113"/>
      <c r="LA7" s="113" t="s">
        <v>17</v>
      </c>
      <c r="LB7" s="113"/>
      <c r="LC7" s="113"/>
      <c r="LD7" s="113"/>
      <c r="LE7" s="113"/>
      <c r="LF7" s="113"/>
      <c r="LG7" s="113"/>
      <c r="LH7" s="113"/>
      <c r="LI7" s="103" t="s">
        <v>11</v>
      </c>
      <c r="LJ7" s="103" t="s">
        <v>19</v>
      </c>
      <c r="LK7" s="103" t="s">
        <v>96</v>
      </c>
      <c r="LL7" s="111" t="s">
        <v>12</v>
      </c>
      <c r="LM7" s="113" t="s">
        <v>14</v>
      </c>
      <c r="LN7" s="113"/>
      <c r="LO7" s="113"/>
      <c r="LP7" s="113"/>
      <c r="LQ7" s="113"/>
      <c r="LR7" s="113"/>
      <c r="LS7" s="113"/>
      <c r="LT7" s="113"/>
      <c r="LU7" s="113"/>
      <c r="LV7" s="113"/>
      <c r="LW7" s="113"/>
      <c r="LX7" s="113"/>
      <c r="LY7" s="113"/>
      <c r="LZ7" s="113" t="s">
        <v>15</v>
      </c>
      <c r="MA7" s="113"/>
      <c r="MB7" s="113"/>
      <c r="MC7" s="113"/>
      <c r="MD7" s="113"/>
      <c r="ME7" s="113"/>
      <c r="MF7" s="113"/>
      <c r="MG7" s="113"/>
      <c r="MH7" s="113"/>
      <c r="MI7" s="113"/>
      <c r="MJ7" s="113"/>
      <c r="MK7" s="113"/>
      <c r="ML7" s="113"/>
      <c r="MM7" s="113" t="s">
        <v>17</v>
      </c>
      <c r="MN7" s="113"/>
      <c r="MO7" s="113"/>
      <c r="MP7" s="113"/>
      <c r="MQ7" s="113"/>
      <c r="MR7" s="113"/>
      <c r="MS7" s="113"/>
      <c r="MT7" s="113"/>
      <c r="MU7" s="103" t="s">
        <v>11</v>
      </c>
      <c r="MV7" s="103" t="s">
        <v>19</v>
      </c>
      <c r="MW7" s="103" t="s">
        <v>96</v>
      </c>
      <c r="MX7" s="111" t="s">
        <v>12</v>
      </c>
      <c r="MY7" s="113" t="s">
        <v>14</v>
      </c>
      <c r="MZ7" s="113"/>
      <c r="NA7" s="113"/>
      <c r="NB7" s="113"/>
      <c r="NC7" s="113"/>
      <c r="ND7" s="113"/>
      <c r="NE7" s="113"/>
      <c r="NF7" s="113"/>
      <c r="NG7" s="113"/>
      <c r="NH7" s="113"/>
      <c r="NI7" s="113"/>
      <c r="NJ7" s="113"/>
      <c r="NK7" s="113"/>
      <c r="NL7" s="113" t="s">
        <v>15</v>
      </c>
      <c r="NM7" s="113"/>
      <c r="NN7" s="113"/>
      <c r="NO7" s="113"/>
      <c r="NP7" s="113"/>
      <c r="NQ7" s="113"/>
      <c r="NR7" s="113"/>
      <c r="NS7" s="113"/>
      <c r="NT7" s="113"/>
      <c r="NU7" s="113"/>
      <c r="NV7" s="113"/>
      <c r="NW7" s="113"/>
      <c r="NX7" s="113"/>
      <c r="NY7" s="113" t="s">
        <v>17</v>
      </c>
      <c r="NZ7" s="113"/>
      <c r="OA7" s="113"/>
      <c r="OB7" s="113"/>
      <c r="OC7" s="113"/>
      <c r="OD7" s="113"/>
      <c r="OE7" s="113"/>
      <c r="OF7" s="113"/>
      <c r="OG7" s="103" t="s">
        <v>11</v>
      </c>
      <c r="OH7" s="103" t="s">
        <v>19</v>
      </c>
      <c r="OI7" s="103" t="s">
        <v>96</v>
      </c>
      <c r="OJ7" s="111" t="s">
        <v>12</v>
      </c>
      <c r="OK7" s="113" t="s">
        <v>14</v>
      </c>
      <c r="OL7" s="113"/>
      <c r="OM7" s="113"/>
      <c r="ON7" s="113"/>
      <c r="OO7" s="113"/>
      <c r="OP7" s="113"/>
      <c r="OQ7" s="113"/>
      <c r="OR7" s="113"/>
      <c r="OS7" s="113"/>
      <c r="OT7" s="113"/>
      <c r="OU7" s="113"/>
      <c r="OV7" s="113"/>
      <c r="OW7" s="113"/>
      <c r="OX7" s="113" t="s">
        <v>15</v>
      </c>
      <c r="OY7" s="113"/>
      <c r="OZ7" s="113"/>
      <c r="PA7" s="113"/>
      <c r="PB7" s="113"/>
      <c r="PC7" s="113"/>
      <c r="PD7" s="113"/>
      <c r="PE7" s="113"/>
      <c r="PF7" s="113"/>
      <c r="PG7" s="113"/>
      <c r="PH7" s="113"/>
      <c r="PI7" s="113"/>
      <c r="PJ7" s="113"/>
      <c r="PK7" s="113" t="s">
        <v>17</v>
      </c>
      <c r="PL7" s="113"/>
      <c r="PM7" s="113"/>
      <c r="PN7" s="113"/>
      <c r="PO7" s="113"/>
      <c r="PP7" s="113"/>
      <c r="PQ7" s="113"/>
      <c r="PR7" s="113"/>
      <c r="PS7" s="103" t="s">
        <v>11</v>
      </c>
      <c r="PT7" s="103" t="s">
        <v>19</v>
      </c>
      <c r="PU7" s="103" t="s">
        <v>96</v>
      </c>
      <c r="PV7" s="111" t="s">
        <v>12</v>
      </c>
      <c r="PW7" s="113" t="s">
        <v>14</v>
      </c>
      <c r="PX7" s="113"/>
      <c r="PY7" s="113"/>
      <c r="PZ7" s="113"/>
      <c r="QA7" s="113"/>
      <c r="QB7" s="113"/>
      <c r="QC7" s="113"/>
      <c r="QD7" s="113"/>
      <c r="QE7" s="113"/>
      <c r="QF7" s="113"/>
      <c r="QG7" s="113"/>
      <c r="QH7" s="113"/>
      <c r="QI7" s="113"/>
      <c r="QJ7" s="113" t="s">
        <v>15</v>
      </c>
      <c r="QK7" s="113"/>
      <c r="QL7" s="113"/>
      <c r="QM7" s="113"/>
      <c r="QN7" s="113"/>
      <c r="QO7" s="113"/>
      <c r="QP7" s="113"/>
      <c r="QQ7" s="113"/>
      <c r="QR7" s="113"/>
      <c r="QS7" s="113"/>
      <c r="QT7" s="113"/>
      <c r="QU7" s="113"/>
      <c r="QV7" s="113"/>
      <c r="QW7" s="113" t="s">
        <v>17</v>
      </c>
      <c r="QX7" s="113"/>
      <c r="QY7" s="113"/>
      <c r="QZ7" s="113"/>
      <c r="RA7" s="113"/>
      <c r="RB7" s="113"/>
      <c r="RC7" s="113"/>
      <c r="RD7" s="113"/>
      <c r="RE7" s="103" t="s">
        <v>11</v>
      </c>
      <c r="RF7" s="103" t="s">
        <v>19</v>
      </c>
      <c r="RG7" s="103" t="s">
        <v>96</v>
      </c>
      <c r="RH7" s="111" t="s">
        <v>12</v>
      </c>
      <c r="RI7" s="113" t="s">
        <v>14</v>
      </c>
      <c r="RJ7" s="113"/>
      <c r="RK7" s="113"/>
      <c r="RL7" s="113"/>
      <c r="RM7" s="113"/>
      <c r="RN7" s="113"/>
      <c r="RO7" s="113"/>
      <c r="RP7" s="113"/>
      <c r="RQ7" s="113"/>
      <c r="RR7" s="113"/>
      <c r="RS7" s="113"/>
      <c r="RT7" s="113"/>
      <c r="RU7" s="113"/>
      <c r="RV7" s="113" t="s">
        <v>15</v>
      </c>
      <c r="RW7" s="113"/>
      <c r="RX7" s="113"/>
      <c r="RY7" s="113"/>
      <c r="RZ7" s="113"/>
      <c r="SA7" s="113"/>
      <c r="SB7" s="113"/>
      <c r="SC7" s="113"/>
      <c r="SD7" s="113"/>
      <c r="SE7" s="113"/>
      <c r="SF7" s="113"/>
      <c r="SG7" s="113"/>
      <c r="SH7" s="113"/>
      <c r="SI7" s="113" t="s">
        <v>17</v>
      </c>
      <c r="SJ7" s="113"/>
      <c r="SK7" s="113"/>
      <c r="SL7" s="113"/>
      <c r="SM7" s="113"/>
      <c r="SN7" s="113"/>
      <c r="SO7" s="113"/>
      <c r="SP7" s="113"/>
      <c r="SQ7" s="103" t="s">
        <v>11</v>
      </c>
      <c r="SR7" s="103" t="s">
        <v>19</v>
      </c>
      <c r="SS7" s="103" t="s">
        <v>96</v>
      </c>
      <c r="ST7" s="111" t="s">
        <v>12</v>
      </c>
      <c r="SU7" s="113" t="s">
        <v>14</v>
      </c>
      <c r="SV7" s="113"/>
      <c r="SW7" s="113"/>
      <c r="SX7" s="113"/>
      <c r="SY7" s="113"/>
      <c r="SZ7" s="113"/>
      <c r="TA7" s="113"/>
      <c r="TB7" s="113"/>
      <c r="TC7" s="113"/>
      <c r="TD7" s="113"/>
      <c r="TE7" s="113"/>
      <c r="TF7" s="113"/>
      <c r="TG7" s="113"/>
      <c r="TH7" s="113" t="s">
        <v>15</v>
      </c>
      <c r="TI7" s="113"/>
      <c r="TJ7" s="113"/>
      <c r="TK7" s="113"/>
      <c r="TL7" s="113"/>
      <c r="TM7" s="113"/>
      <c r="TN7" s="113"/>
      <c r="TO7" s="113"/>
      <c r="TP7" s="113"/>
      <c r="TQ7" s="113"/>
      <c r="TR7" s="113"/>
      <c r="TS7" s="113"/>
      <c r="TT7" s="113"/>
      <c r="TU7" s="113" t="s">
        <v>17</v>
      </c>
      <c r="TV7" s="113"/>
      <c r="TW7" s="113"/>
      <c r="TX7" s="113"/>
      <c r="TY7" s="113"/>
      <c r="TZ7" s="113"/>
      <c r="UA7" s="113"/>
      <c r="UB7" s="113"/>
      <c r="UC7" s="103" t="s">
        <v>11</v>
      </c>
      <c r="UD7" s="103" t="s">
        <v>19</v>
      </c>
      <c r="UE7" s="103" t="s">
        <v>96</v>
      </c>
      <c r="UF7" s="111" t="s">
        <v>12</v>
      </c>
      <c r="UG7" s="113" t="s">
        <v>14</v>
      </c>
      <c r="UH7" s="113"/>
      <c r="UI7" s="113"/>
      <c r="UJ7" s="113"/>
      <c r="UK7" s="113"/>
      <c r="UL7" s="113"/>
      <c r="UM7" s="113"/>
      <c r="UN7" s="113"/>
      <c r="UO7" s="113"/>
      <c r="UP7" s="113"/>
      <c r="UQ7" s="113"/>
      <c r="UR7" s="113"/>
      <c r="US7" s="113"/>
      <c r="UT7" s="113" t="s">
        <v>15</v>
      </c>
      <c r="UU7" s="113"/>
      <c r="UV7" s="113"/>
      <c r="UW7" s="113"/>
      <c r="UX7" s="113"/>
      <c r="UY7" s="113"/>
      <c r="UZ7" s="113"/>
      <c r="VA7" s="113"/>
      <c r="VB7" s="113"/>
      <c r="VC7" s="113"/>
      <c r="VD7" s="113"/>
      <c r="VE7" s="113"/>
      <c r="VF7" s="113"/>
      <c r="VG7" s="113" t="s">
        <v>17</v>
      </c>
      <c r="VH7" s="113"/>
      <c r="VI7" s="113"/>
      <c r="VJ7" s="113"/>
      <c r="VK7" s="113"/>
      <c r="VL7" s="113"/>
      <c r="VM7" s="113"/>
      <c r="VN7" s="113"/>
      <c r="VO7" s="103" t="s">
        <v>11</v>
      </c>
      <c r="VP7" s="103" t="s">
        <v>19</v>
      </c>
      <c r="VQ7" s="103" t="s">
        <v>96</v>
      </c>
      <c r="VR7" s="111" t="s">
        <v>12</v>
      </c>
      <c r="VS7" s="113" t="s">
        <v>14</v>
      </c>
      <c r="VT7" s="113"/>
      <c r="VU7" s="113"/>
      <c r="VV7" s="113"/>
      <c r="VW7" s="113"/>
      <c r="VX7" s="113"/>
      <c r="VY7" s="113"/>
      <c r="VZ7" s="113"/>
      <c r="WA7" s="113"/>
      <c r="WB7" s="113"/>
      <c r="WC7" s="113"/>
      <c r="WD7" s="113"/>
      <c r="WE7" s="113"/>
      <c r="WF7" s="113" t="s">
        <v>15</v>
      </c>
      <c r="WG7" s="113"/>
      <c r="WH7" s="113"/>
      <c r="WI7" s="113"/>
      <c r="WJ7" s="113"/>
      <c r="WK7" s="113"/>
      <c r="WL7" s="113"/>
      <c r="WM7" s="113"/>
      <c r="WN7" s="113"/>
      <c r="WO7" s="113"/>
      <c r="WP7" s="113"/>
      <c r="WQ7" s="113"/>
      <c r="WR7" s="113"/>
      <c r="WS7" s="113" t="s">
        <v>17</v>
      </c>
      <c r="WT7" s="113"/>
      <c r="WU7" s="113"/>
      <c r="WV7" s="113"/>
      <c r="WW7" s="113"/>
      <c r="WX7" s="113"/>
      <c r="WY7" s="113"/>
      <c r="WZ7" s="113"/>
      <c r="XA7" s="103" t="s">
        <v>11</v>
      </c>
      <c r="XB7" s="103" t="s">
        <v>19</v>
      </c>
      <c r="XC7" s="103" t="s">
        <v>96</v>
      </c>
      <c r="XD7" s="111" t="s">
        <v>12</v>
      </c>
      <c r="XE7" s="113" t="s">
        <v>14</v>
      </c>
      <c r="XF7" s="113"/>
      <c r="XG7" s="113"/>
      <c r="XH7" s="113"/>
      <c r="XI7" s="113"/>
      <c r="XJ7" s="113"/>
      <c r="XK7" s="113"/>
      <c r="XL7" s="113"/>
      <c r="XM7" s="113"/>
      <c r="XN7" s="113"/>
      <c r="XO7" s="113"/>
      <c r="XP7" s="113"/>
      <c r="XQ7" s="113"/>
      <c r="XR7" s="113" t="s">
        <v>15</v>
      </c>
      <c r="XS7" s="113"/>
      <c r="XT7" s="113"/>
      <c r="XU7" s="113"/>
      <c r="XV7" s="113"/>
      <c r="XW7" s="113"/>
      <c r="XX7" s="113"/>
      <c r="XY7" s="113"/>
      <c r="XZ7" s="113"/>
      <c r="YA7" s="113"/>
      <c r="YB7" s="113"/>
      <c r="YC7" s="113"/>
      <c r="YD7" s="113"/>
      <c r="YE7" s="113" t="s">
        <v>17</v>
      </c>
      <c r="YF7" s="113"/>
      <c r="YG7" s="113"/>
      <c r="YH7" s="113"/>
      <c r="YI7" s="113"/>
      <c r="YJ7" s="113"/>
      <c r="YK7" s="113"/>
      <c r="YL7" s="113"/>
      <c r="YM7" s="103" t="s">
        <v>11</v>
      </c>
      <c r="YN7" s="103" t="s">
        <v>19</v>
      </c>
      <c r="YO7" s="103" t="s">
        <v>96</v>
      </c>
      <c r="YP7" s="111" t="s">
        <v>12</v>
      </c>
      <c r="YQ7" s="113" t="s">
        <v>14</v>
      </c>
      <c r="YR7" s="113"/>
      <c r="YS7" s="113"/>
      <c r="YT7" s="113"/>
      <c r="YU7" s="113"/>
      <c r="YV7" s="113"/>
      <c r="YW7" s="113"/>
      <c r="YX7" s="113"/>
      <c r="YY7" s="113"/>
      <c r="YZ7" s="113"/>
      <c r="ZA7" s="113"/>
      <c r="ZB7" s="113"/>
      <c r="ZC7" s="113"/>
      <c r="ZD7" s="113" t="s">
        <v>15</v>
      </c>
      <c r="ZE7" s="113"/>
      <c r="ZF7" s="113"/>
      <c r="ZG7" s="113"/>
      <c r="ZH7" s="113"/>
      <c r="ZI7" s="113"/>
      <c r="ZJ7" s="113"/>
      <c r="ZK7" s="113"/>
      <c r="ZL7" s="113"/>
      <c r="ZM7" s="113"/>
      <c r="ZN7" s="113"/>
      <c r="ZO7" s="113"/>
      <c r="ZP7" s="113"/>
      <c r="ZQ7" s="113" t="s">
        <v>17</v>
      </c>
      <c r="ZR7" s="113"/>
      <c r="ZS7" s="113"/>
      <c r="ZT7" s="113"/>
      <c r="ZU7" s="113"/>
      <c r="ZV7" s="113"/>
      <c r="ZW7" s="113"/>
      <c r="ZX7" s="113"/>
      <c r="ZY7" s="103" t="s">
        <v>11</v>
      </c>
      <c r="ZZ7" s="103" t="s">
        <v>19</v>
      </c>
      <c r="AAA7" s="103" t="s">
        <v>96</v>
      </c>
      <c r="AAB7" s="111" t="s">
        <v>12</v>
      </c>
      <c r="AAC7" s="113" t="s">
        <v>14</v>
      </c>
      <c r="AAD7" s="113"/>
      <c r="AAE7" s="113"/>
      <c r="AAF7" s="113"/>
      <c r="AAG7" s="113"/>
      <c r="AAH7" s="113"/>
      <c r="AAI7" s="113"/>
      <c r="AAJ7" s="113"/>
      <c r="AAK7" s="113"/>
      <c r="AAL7" s="113"/>
      <c r="AAM7" s="113"/>
      <c r="AAN7" s="113"/>
      <c r="AAO7" s="113"/>
      <c r="AAP7" s="113" t="s">
        <v>15</v>
      </c>
      <c r="AAQ7" s="113"/>
      <c r="AAR7" s="113"/>
      <c r="AAS7" s="113"/>
      <c r="AAT7" s="113"/>
      <c r="AAU7" s="113"/>
      <c r="AAV7" s="113"/>
      <c r="AAW7" s="113"/>
      <c r="AAX7" s="113"/>
      <c r="AAY7" s="113"/>
      <c r="AAZ7" s="113"/>
      <c r="ABA7" s="113"/>
      <c r="ABB7" s="113"/>
      <c r="ABC7" s="113" t="s">
        <v>17</v>
      </c>
      <c r="ABD7" s="113"/>
      <c r="ABE7" s="113"/>
      <c r="ABF7" s="113"/>
      <c r="ABG7" s="113"/>
      <c r="ABH7" s="113"/>
      <c r="ABI7" s="113"/>
      <c r="ABJ7" s="113"/>
      <c r="ABK7" s="103" t="s">
        <v>11</v>
      </c>
      <c r="ABL7" s="103" t="s">
        <v>19</v>
      </c>
      <c r="ABM7" s="103" t="s">
        <v>96</v>
      </c>
      <c r="ABN7" s="111" t="s">
        <v>12</v>
      </c>
      <c r="ABO7" s="113" t="s">
        <v>14</v>
      </c>
      <c r="ABP7" s="113"/>
      <c r="ABQ7" s="113"/>
      <c r="ABR7" s="113"/>
      <c r="ABS7" s="113"/>
      <c r="ABT7" s="113"/>
      <c r="ABU7" s="113"/>
      <c r="ABV7" s="113"/>
      <c r="ABW7" s="113"/>
      <c r="ABX7" s="113"/>
      <c r="ABY7" s="113"/>
      <c r="ABZ7" s="113"/>
      <c r="ACA7" s="113"/>
      <c r="ACB7" s="113" t="s">
        <v>15</v>
      </c>
      <c r="ACC7" s="113"/>
      <c r="ACD7" s="113"/>
      <c r="ACE7" s="113"/>
      <c r="ACF7" s="113"/>
      <c r="ACG7" s="113"/>
      <c r="ACH7" s="113"/>
      <c r="ACI7" s="113"/>
      <c r="ACJ7" s="113"/>
      <c r="ACK7" s="113"/>
      <c r="ACL7" s="113"/>
      <c r="ACM7" s="113"/>
      <c r="ACN7" s="113"/>
      <c r="ACO7" s="113" t="s">
        <v>17</v>
      </c>
      <c r="ACP7" s="113"/>
      <c r="ACQ7" s="113"/>
      <c r="ACR7" s="113"/>
      <c r="ACS7" s="113"/>
      <c r="ACT7" s="113"/>
      <c r="ACU7" s="113"/>
      <c r="ACV7" s="113"/>
      <c r="ACW7" s="103" t="s">
        <v>11</v>
      </c>
      <c r="ACX7" s="103" t="s">
        <v>19</v>
      </c>
      <c r="ACY7" s="103" t="s">
        <v>96</v>
      </c>
      <c r="ACZ7" s="111" t="s">
        <v>12</v>
      </c>
      <c r="ADA7" s="113" t="s">
        <v>14</v>
      </c>
      <c r="ADB7" s="113"/>
      <c r="ADC7" s="113"/>
      <c r="ADD7" s="113"/>
      <c r="ADE7" s="113"/>
      <c r="ADF7" s="113"/>
      <c r="ADG7" s="113"/>
      <c r="ADH7" s="113"/>
      <c r="ADI7" s="113"/>
      <c r="ADJ7" s="113"/>
      <c r="ADK7" s="113"/>
      <c r="ADL7" s="113"/>
      <c r="ADM7" s="113"/>
      <c r="ADN7" s="113" t="s">
        <v>15</v>
      </c>
      <c r="ADO7" s="113"/>
      <c r="ADP7" s="113"/>
      <c r="ADQ7" s="113"/>
      <c r="ADR7" s="113"/>
      <c r="ADS7" s="113"/>
      <c r="ADT7" s="113"/>
      <c r="ADU7" s="113"/>
      <c r="ADV7" s="113"/>
      <c r="ADW7" s="113"/>
      <c r="ADX7" s="113"/>
      <c r="ADY7" s="113"/>
      <c r="ADZ7" s="113"/>
      <c r="AEA7" s="113" t="s">
        <v>17</v>
      </c>
      <c r="AEB7" s="113"/>
      <c r="AEC7" s="113"/>
      <c r="AED7" s="113"/>
      <c r="AEE7" s="113"/>
      <c r="AEF7" s="113"/>
      <c r="AEG7" s="113"/>
      <c r="AEH7" s="113"/>
      <c r="AEI7" s="103" t="s">
        <v>11</v>
      </c>
      <c r="AEJ7" s="103" t="s">
        <v>19</v>
      </c>
      <c r="AEK7" s="103" t="s">
        <v>96</v>
      </c>
      <c r="AEL7" s="111" t="s">
        <v>12</v>
      </c>
      <c r="AEM7" s="113" t="s">
        <v>14</v>
      </c>
      <c r="AEN7" s="113"/>
      <c r="AEO7" s="113"/>
      <c r="AEP7" s="113"/>
      <c r="AEQ7" s="113"/>
      <c r="AER7" s="113"/>
      <c r="AES7" s="113"/>
      <c r="AET7" s="113"/>
      <c r="AEU7" s="113"/>
      <c r="AEV7" s="113"/>
      <c r="AEW7" s="113"/>
      <c r="AEX7" s="113"/>
      <c r="AEY7" s="113"/>
      <c r="AEZ7" s="113" t="s">
        <v>15</v>
      </c>
      <c r="AFA7" s="113"/>
      <c r="AFB7" s="113"/>
      <c r="AFC7" s="113"/>
      <c r="AFD7" s="113"/>
      <c r="AFE7" s="113"/>
      <c r="AFF7" s="113"/>
      <c r="AFG7" s="113"/>
      <c r="AFH7" s="113"/>
      <c r="AFI7" s="113"/>
      <c r="AFJ7" s="113"/>
      <c r="AFK7" s="113"/>
      <c r="AFL7" s="113"/>
      <c r="AFM7" s="113" t="s">
        <v>17</v>
      </c>
      <c r="AFN7" s="113"/>
      <c r="AFO7" s="113"/>
      <c r="AFP7" s="113"/>
      <c r="AFQ7" s="113"/>
      <c r="AFR7" s="113"/>
      <c r="AFS7" s="113"/>
      <c r="AFT7" s="113"/>
      <c r="AFU7" s="103" t="s">
        <v>11</v>
      </c>
      <c r="AFV7" s="103" t="s">
        <v>19</v>
      </c>
      <c r="AFW7" s="103" t="s">
        <v>96</v>
      </c>
      <c r="AFX7" s="111" t="s">
        <v>12</v>
      </c>
      <c r="AFY7" s="113" t="s">
        <v>14</v>
      </c>
      <c r="AFZ7" s="113"/>
      <c r="AGA7" s="113"/>
      <c r="AGB7" s="113"/>
      <c r="AGC7" s="113"/>
      <c r="AGD7" s="113"/>
      <c r="AGE7" s="113"/>
      <c r="AGF7" s="113"/>
      <c r="AGG7" s="113"/>
      <c r="AGH7" s="113"/>
      <c r="AGI7" s="113"/>
      <c r="AGJ7" s="113"/>
      <c r="AGK7" s="113"/>
      <c r="AGL7" s="113" t="s">
        <v>15</v>
      </c>
      <c r="AGM7" s="113"/>
      <c r="AGN7" s="113"/>
      <c r="AGO7" s="113"/>
      <c r="AGP7" s="113"/>
      <c r="AGQ7" s="113"/>
      <c r="AGR7" s="113"/>
      <c r="AGS7" s="113"/>
      <c r="AGT7" s="113"/>
      <c r="AGU7" s="113"/>
      <c r="AGV7" s="113"/>
      <c r="AGW7" s="113"/>
      <c r="AGX7" s="113"/>
      <c r="AGY7" s="113" t="s">
        <v>17</v>
      </c>
      <c r="AGZ7" s="113"/>
      <c r="AHA7" s="113"/>
      <c r="AHB7" s="113"/>
      <c r="AHC7" s="113"/>
      <c r="AHD7" s="113"/>
      <c r="AHE7" s="113"/>
      <c r="AHF7" s="113"/>
      <c r="AHG7" s="103" t="s">
        <v>11</v>
      </c>
      <c r="AHH7" s="103" t="s">
        <v>19</v>
      </c>
      <c r="AHI7" s="103" t="s">
        <v>96</v>
      </c>
      <c r="AHJ7" s="111" t="s">
        <v>12</v>
      </c>
      <c r="AHK7" s="113" t="s">
        <v>14</v>
      </c>
      <c r="AHL7" s="113"/>
      <c r="AHM7" s="113"/>
      <c r="AHN7" s="113"/>
      <c r="AHO7" s="113"/>
      <c r="AHP7" s="113"/>
      <c r="AHQ7" s="113"/>
      <c r="AHR7" s="113"/>
      <c r="AHS7" s="113"/>
      <c r="AHT7" s="113"/>
      <c r="AHU7" s="113"/>
      <c r="AHV7" s="113"/>
      <c r="AHW7" s="113"/>
      <c r="AHX7" s="113" t="s">
        <v>15</v>
      </c>
      <c r="AHY7" s="113"/>
      <c r="AHZ7" s="113"/>
      <c r="AIA7" s="113"/>
      <c r="AIB7" s="113"/>
      <c r="AIC7" s="113"/>
      <c r="AID7" s="113"/>
      <c r="AIE7" s="113"/>
      <c r="AIF7" s="113"/>
      <c r="AIG7" s="113"/>
      <c r="AIH7" s="113"/>
      <c r="AII7" s="113"/>
      <c r="AIJ7" s="113"/>
      <c r="AIK7" s="113" t="s">
        <v>17</v>
      </c>
      <c r="AIL7" s="113"/>
      <c r="AIM7" s="113"/>
      <c r="AIN7" s="113"/>
      <c r="AIO7" s="113"/>
      <c r="AIP7" s="113"/>
      <c r="AIQ7" s="113"/>
      <c r="AIR7" s="113"/>
    </row>
    <row r="8" spans="1:928" ht="27" customHeight="1" x14ac:dyDescent="0.25">
      <c r="A8" s="120"/>
      <c r="B8" s="116"/>
      <c r="C8" s="120"/>
      <c r="D8" s="120"/>
      <c r="E8" s="116"/>
      <c r="F8" s="122"/>
      <c r="G8" s="122"/>
      <c r="H8" s="116"/>
      <c r="I8" s="116"/>
      <c r="J8" s="116"/>
      <c r="K8" s="120"/>
      <c r="L8" s="116"/>
      <c r="M8" s="116"/>
      <c r="N8" s="116" t="s">
        <v>94</v>
      </c>
      <c r="O8" s="116" t="s">
        <v>93</v>
      </c>
      <c r="P8" s="116"/>
      <c r="Q8" s="103"/>
      <c r="R8" s="103"/>
      <c r="S8" s="103"/>
      <c r="T8" s="111"/>
      <c r="U8" s="103" t="s">
        <v>13</v>
      </c>
      <c r="V8" s="103"/>
      <c r="W8" s="103"/>
      <c r="X8" s="103"/>
      <c r="Y8" s="103"/>
      <c r="Z8" s="103"/>
      <c r="AA8" s="103"/>
      <c r="AB8" s="103"/>
      <c r="AC8" s="114" t="s">
        <v>33</v>
      </c>
      <c r="AD8" s="103" t="s">
        <v>7</v>
      </c>
      <c r="AE8" s="103"/>
      <c r="AF8" s="107" t="s">
        <v>24</v>
      </c>
      <c r="AG8" s="109" t="s">
        <v>18</v>
      </c>
      <c r="AH8" s="103" t="s">
        <v>13</v>
      </c>
      <c r="AI8" s="103"/>
      <c r="AJ8" s="103"/>
      <c r="AK8" s="103"/>
      <c r="AL8" s="103"/>
      <c r="AM8" s="103"/>
      <c r="AN8" s="103"/>
      <c r="AO8" s="103"/>
      <c r="AP8" s="111" t="s">
        <v>25</v>
      </c>
      <c r="AQ8" s="103" t="s">
        <v>7</v>
      </c>
      <c r="AR8" s="103"/>
      <c r="AS8" s="107" t="s">
        <v>26</v>
      </c>
      <c r="AT8" s="109" t="s">
        <v>18</v>
      </c>
      <c r="AU8" s="103" t="s">
        <v>27</v>
      </c>
      <c r="AV8" s="103" t="s">
        <v>28</v>
      </c>
      <c r="AW8" s="103" t="s">
        <v>8</v>
      </c>
      <c r="AX8" s="103"/>
      <c r="AY8" s="105" t="s">
        <v>16</v>
      </c>
      <c r="AZ8" s="105" t="s">
        <v>29</v>
      </c>
      <c r="BA8" s="107" t="s">
        <v>30</v>
      </c>
      <c r="BB8" s="109" t="s">
        <v>18</v>
      </c>
      <c r="BC8" s="103"/>
      <c r="BD8" s="103"/>
      <c r="BE8" s="103"/>
      <c r="BF8" s="111"/>
      <c r="BG8" s="103" t="s">
        <v>13</v>
      </c>
      <c r="BH8" s="103"/>
      <c r="BI8" s="103"/>
      <c r="BJ8" s="103"/>
      <c r="BK8" s="103"/>
      <c r="BL8" s="103"/>
      <c r="BM8" s="103"/>
      <c r="BN8" s="103"/>
      <c r="BO8" s="114" t="s">
        <v>33</v>
      </c>
      <c r="BP8" s="103" t="s">
        <v>7</v>
      </c>
      <c r="BQ8" s="103"/>
      <c r="BR8" s="107" t="s">
        <v>24</v>
      </c>
      <c r="BS8" s="109" t="s">
        <v>18</v>
      </c>
      <c r="BT8" s="103" t="s">
        <v>13</v>
      </c>
      <c r="BU8" s="103"/>
      <c r="BV8" s="103"/>
      <c r="BW8" s="103"/>
      <c r="BX8" s="103"/>
      <c r="BY8" s="103"/>
      <c r="BZ8" s="103"/>
      <c r="CA8" s="103"/>
      <c r="CB8" s="111" t="s">
        <v>25</v>
      </c>
      <c r="CC8" s="103" t="s">
        <v>7</v>
      </c>
      <c r="CD8" s="103"/>
      <c r="CE8" s="107" t="s">
        <v>26</v>
      </c>
      <c r="CF8" s="109" t="s">
        <v>18</v>
      </c>
      <c r="CG8" s="103" t="s">
        <v>27</v>
      </c>
      <c r="CH8" s="103" t="s">
        <v>28</v>
      </c>
      <c r="CI8" s="103" t="s">
        <v>8</v>
      </c>
      <c r="CJ8" s="103"/>
      <c r="CK8" s="105" t="s">
        <v>16</v>
      </c>
      <c r="CL8" s="105" t="s">
        <v>29</v>
      </c>
      <c r="CM8" s="107" t="s">
        <v>30</v>
      </c>
      <c r="CN8" s="109" t="s">
        <v>18</v>
      </c>
      <c r="CO8" s="103"/>
      <c r="CP8" s="103"/>
      <c r="CQ8" s="103"/>
      <c r="CR8" s="111"/>
      <c r="CS8" s="103" t="s">
        <v>13</v>
      </c>
      <c r="CT8" s="103"/>
      <c r="CU8" s="103"/>
      <c r="CV8" s="103"/>
      <c r="CW8" s="103"/>
      <c r="CX8" s="103"/>
      <c r="CY8" s="103"/>
      <c r="CZ8" s="103"/>
      <c r="DA8" s="114" t="s">
        <v>33</v>
      </c>
      <c r="DB8" s="103" t="s">
        <v>7</v>
      </c>
      <c r="DC8" s="103"/>
      <c r="DD8" s="107" t="s">
        <v>24</v>
      </c>
      <c r="DE8" s="109" t="s">
        <v>18</v>
      </c>
      <c r="DF8" s="103" t="s">
        <v>13</v>
      </c>
      <c r="DG8" s="103"/>
      <c r="DH8" s="103"/>
      <c r="DI8" s="103"/>
      <c r="DJ8" s="103"/>
      <c r="DK8" s="103"/>
      <c r="DL8" s="103"/>
      <c r="DM8" s="103"/>
      <c r="DN8" s="111" t="s">
        <v>25</v>
      </c>
      <c r="DO8" s="103" t="s">
        <v>7</v>
      </c>
      <c r="DP8" s="103"/>
      <c r="DQ8" s="107" t="s">
        <v>26</v>
      </c>
      <c r="DR8" s="109" t="s">
        <v>18</v>
      </c>
      <c r="DS8" s="103" t="s">
        <v>27</v>
      </c>
      <c r="DT8" s="103" t="s">
        <v>28</v>
      </c>
      <c r="DU8" s="103" t="s">
        <v>8</v>
      </c>
      <c r="DV8" s="103"/>
      <c r="DW8" s="105" t="s">
        <v>16</v>
      </c>
      <c r="DX8" s="105" t="s">
        <v>29</v>
      </c>
      <c r="DY8" s="107" t="s">
        <v>30</v>
      </c>
      <c r="DZ8" s="109" t="s">
        <v>18</v>
      </c>
      <c r="EA8" s="103"/>
      <c r="EB8" s="103"/>
      <c r="EC8" s="103"/>
      <c r="ED8" s="111"/>
      <c r="EE8" s="103" t="s">
        <v>13</v>
      </c>
      <c r="EF8" s="103"/>
      <c r="EG8" s="103"/>
      <c r="EH8" s="103"/>
      <c r="EI8" s="103"/>
      <c r="EJ8" s="103"/>
      <c r="EK8" s="103"/>
      <c r="EL8" s="103"/>
      <c r="EM8" s="114" t="s">
        <v>33</v>
      </c>
      <c r="EN8" s="103" t="s">
        <v>7</v>
      </c>
      <c r="EO8" s="103"/>
      <c r="EP8" s="107" t="s">
        <v>24</v>
      </c>
      <c r="EQ8" s="109" t="s">
        <v>18</v>
      </c>
      <c r="ER8" s="103" t="s">
        <v>13</v>
      </c>
      <c r="ES8" s="103"/>
      <c r="ET8" s="103"/>
      <c r="EU8" s="103"/>
      <c r="EV8" s="103"/>
      <c r="EW8" s="103"/>
      <c r="EX8" s="103"/>
      <c r="EY8" s="103"/>
      <c r="EZ8" s="111" t="s">
        <v>25</v>
      </c>
      <c r="FA8" s="103" t="s">
        <v>7</v>
      </c>
      <c r="FB8" s="103"/>
      <c r="FC8" s="107" t="s">
        <v>26</v>
      </c>
      <c r="FD8" s="109" t="s">
        <v>18</v>
      </c>
      <c r="FE8" s="103" t="s">
        <v>27</v>
      </c>
      <c r="FF8" s="103" t="s">
        <v>28</v>
      </c>
      <c r="FG8" s="103" t="s">
        <v>8</v>
      </c>
      <c r="FH8" s="103"/>
      <c r="FI8" s="105" t="s">
        <v>16</v>
      </c>
      <c r="FJ8" s="105" t="s">
        <v>29</v>
      </c>
      <c r="FK8" s="107" t="s">
        <v>30</v>
      </c>
      <c r="FL8" s="109" t="s">
        <v>18</v>
      </c>
      <c r="FM8" s="103"/>
      <c r="FN8" s="103"/>
      <c r="FO8" s="103"/>
      <c r="FP8" s="111"/>
      <c r="FQ8" s="103" t="s">
        <v>13</v>
      </c>
      <c r="FR8" s="103"/>
      <c r="FS8" s="103"/>
      <c r="FT8" s="103"/>
      <c r="FU8" s="103"/>
      <c r="FV8" s="103"/>
      <c r="FW8" s="103"/>
      <c r="FX8" s="103"/>
      <c r="FY8" s="114" t="s">
        <v>33</v>
      </c>
      <c r="FZ8" s="103" t="s">
        <v>7</v>
      </c>
      <c r="GA8" s="103"/>
      <c r="GB8" s="107" t="s">
        <v>24</v>
      </c>
      <c r="GC8" s="109" t="s">
        <v>18</v>
      </c>
      <c r="GD8" s="103" t="s">
        <v>13</v>
      </c>
      <c r="GE8" s="103"/>
      <c r="GF8" s="103"/>
      <c r="GG8" s="103"/>
      <c r="GH8" s="103"/>
      <c r="GI8" s="103"/>
      <c r="GJ8" s="103"/>
      <c r="GK8" s="103"/>
      <c r="GL8" s="111" t="s">
        <v>25</v>
      </c>
      <c r="GM8" s="103" t="s">
        <v>7</v>
      </c>
      <c r="GN8" s="103"/>
      <c r="GO8" s="107" t="s">
        <v>26</v>
      </c>
      <c r="GP8" s="109" t="s">
        <v>18</v>
      </c>
      <c r="GQ8" s="103" t="s">
        <v>27</v>
      </c>
      <c r="GR8" s="103" t="s">
        <v>28</v>
      </c>
      <c r="GS8" s="103" t="s">
        <v>8</v>
      </c>
      <c r="GT8" s="103"/>
      <c r="GU8" s="105" t="s">
        <v>16</v>
      </c>
      <c r="GV8" s="105" t="s">
        <v>29</v>
      </c>
      <c r="GW8" s="107" t="s">
        <v>30</v>
      </c>
      <c r="GX8" s="109" t="s">
        <v>18</v>
      </c>
      <c r="GY8" s="103"/>
      <c r="GZ8" s="103"/>
      <c r="HA8" s="103"/>
      <c r="HB8" s="111"/>
      <c r="HC8" s="103" t="s">
        <v>13</v>
      </c>
      <c r="HD8" s="103"/>
      <c r="HE8" s="103"/>
      <c r="HF8" s="103"/>
      <c r="HG8" s="103"/>
      <c r="HH8" s="103"/>
      <c r="HI8" s="103"/>
      <c r="HJ8" s="103"/>
      <c r="HK8" s="114" t="s">
        <v>33</v>
      </c>
      <c r="HL8" s="103" t="s">
        <v>7</v>
      </c>
      <c r="HM8" s="103"/>
      <c r="HN8" s="107" t="s">
        <v>24</v>
      </c>
      <c r="HO8" s="109" t="s">
        <v>18</v>
      </c>
      <c r="HP8" s="103" t="s">
        <v>13</v>
      </c>
      <c r="HQ8" s="103"/>
      <c r="HR8" s="103"/>
      <c r="HS8" s="103"/>
      <c r="HT8" s="103"/>
      <c r="HU8" s="103"/>
      <c r="HV8" s="103"/>
      <c r="HW8" s="103"/>
      <c r="HX8" s="111" t="s">
        <v>25</v>
      </c>
      <c r="HY8" s="103" t="s">
        <v>7</v>
      </c>
      <c r="HZ8" s="103"/>
      <c r="IA8" s="107" t="s">
        <v>26</v>
      </c>
      <c r="IB8" s="109" t="s">
        <v>18</v>
      </c>
      <c r="IC8" s="103" t="s">
        <v>27</v>
      </c>
      <c r="ID8" s="103" t="s">
        <v>28</v>
      </c>
      <c r="IE8" s="103" t="s">
        <v>8</v>
      </c>
      <c r="IF8" s="103"/>
      <c r="IG8" s="105" t="s">
        <v>16</v>
      </c>
      <c r="IH8" s="105" t="s">
        <v>29</v>
      </c>
      <c r="II8" s="107" t="s">
        <v>30</v>
      </c>
      <c r="IJ8" s="109" t="s">
        <v>18</v>
      </c>
      <c r="IK8" s="103"/>
      <c r="IL8" s="103"/>
      <c r="IM8" s="103"/>
      <c r="IN8" s="111"/>
      <c r="IO8" s="103" t="s">
        <v>13</v>
      </c>
      <c r="IP8" s="103"/>
      <c r="IQ8" s="103"/>
      <c r="IR8" s="103"/>
      <c r="IS8" s="103"/>
      <c r="IT8" s="103"/>
      <c r="IU8" s="103"/>
      <c r="IV8" s="103"/>
      <c r="IW8" s="114" t="s">
        <v>33</v>
      </c>
      <c r="IX8" s="103" t="s">
        <v>7</v>
      </c>
      <c r="IY8" s="103"/>
      <c r="IZ8" s="107" t="s">
        <v>24</v>
      </c>
      <c r="JA8" s="109" t="s">
        <v>18</v>
      </c>
      <c r="JB8" s="103" t="s">
        <v>13</v>
      </c>
      <c r="JC8" s="103"/>
      <c r="JD8" s="103"/>
      <c r="JE8" s="103"/>
      <c r="JF8" s="103"/>
      <c r="JG8" s="103"/>
      <c r="JH8" s="103"/>
      <c r="JI8" s="103"/>
      <c r="JJ8" s="111" t="s">
        <v>25</v>
      </c>
      <c r="JK8" s="103" t="s">
        <v>7</v>
      </c>
      <c r="JL8" s="103"/>
      <c r="JM8" s="107" t="s">
        <v>26</v>
      </c>
      <c r="JN8" s="109" t="s">
        <v>18</v>
      </c>
      <c r="JO8" s="103" t="s">
        <v>27</v>
      </c>
      <c r="JP8" s="103" t="s">
        <v>28</v>
      </c>
      <c r="JQ8" s="103" t="s">
        <v>8</v>
      </c>
      <c r="JR8" s="103"/>
      <c r="JS8" s="105" t="s">
        <v>16</v>
      </c>
      <c r="JT8" s="105" t="s">
        <v>29</v>
      </c>
      <c r="JU8" s="107" t="s">
        <v>30</v>
      </c>
      <c r="JV8" s="109" t="s">
        <v>18</v>
      </c>
      <c r="JW8" s="103"/>
      <c r="JX8" s="103"/>
      <c r="JY8" s="103"/>
      <c r="JZ8" s="111"/>
      <c r="KA8" s="103" t="s">
        <v>13</v>
      </c>
      <c r="KB8" s="103"/>
      <c r="KC8" s="103"/>
      <c r="KD8" s="103"/>
      <c r="KE8" s="103"/>
      <c r="KF8" s="103"/>
      <c r="KG8" s="103"/>
      <c r="KH8" s="103"/>
      <c r="KI8" s="114" t="s">
        <v>33</v>
      </c>
      <c r="KJ8" s="103" t="s">
        <v>7</v>
      </c>
      <c r="KK8" s="103"/>
      <c r="KL8" s="107" t="s">
        <v>24</v>
      </c>
      <c r="KM8" s="109" t="s">
        <v>18</v>
      </c>
      <c r="KN8" s="103" t="s">
        <v>13</v>
      </c>
      <c r="KO8" s="103"/>
      <c r="KP8" s="103"/>
      <c r="KQ8" s="103"/>
      <c r="KR8" s="103"/>
      <c r="KS8" s="103"/>
      <c r="KT8" s="103"/>
      <c r="KU8" s="103"/>
      <c r="KV8" s="111" t="s">
        <v>25</v>
      </c>
      <c r="KW8" s="103" t="s">
        <v>7</v>
      </c>
      <c r="KX8" s="103"/>
      <c r="KY8" s="107" t="s">
        <v>26</v>
      </c>
      <c r="KZ8" s="109" t="s">
        <v>18</v>
      </c>
      <c r="LA8" s="103" t="s">
        <v>27</v>
      </c>
      <c r="LB8" s="103" t="s">
        <v>28</v>
      </c>
      <c r="LC8" s="103" t="s">
        <v>8</v>
      </c>
      <c r="LD8" s="103"/>
      <c r="LE8" s="105" t="s">
        <v>16</v>
      </c>
      <c r="LF8" s="105" t="s">
        <v>29</v>
      </c>
      <c r="LG8" s="107" t="s">
        <v>30</v>
      </c>
      <c r="LH8" s="109" t="s">
        <v>18</v>
      </c>
      <c r="LI8" s="103"/>
      <c r="LJ8" s="103"/>
      <c r="LK8" s="103"/>
      <c r="LL8" s="111"/>
      <c r="LM8" s="103" t="s">
        <v>13</v>
      </c>
      <c r="LN8" s="103"/>
      <c r="LO8" s="103"/>
      <c r="LP8" s="103"/>
      <c r="LQ8" s="103"/>
      <c r="LR8" s="103"/>
      <c r="LS8" s="103"/>
      <c r="LT8" s="103"/>
      <c r="LU8" s="114" t="s">
        <v>33</v>
      </c>
      <c r="LV8" s="103" t="s">
        <v>7</v>
      </c>
      <c r="LW8" s="103"/>
      <c r="LX8" s="107" t="s">
        <v>24</v>
      </c>
      <c r="LY8" s="109" t="s">
        <v>18</v>
      </c>
      <c r="LZ8" s="103" t="s">
        <v>13</v>
      </c>
      <c r="MA8" s="103"/>
      <c r="MB8" s="103"/>
      <c r="MC8" s="103"/>
      <c r="MD8" s="103"/>
      <c r="ME8" s="103"/>
      <c r="MF8" s="103"/>
      <c r="MG8" s="103"/>
      <c r="MH8" s="111" t="s">
        <v>25</v>
      </c>
      <c r="MI8" s="103" t="s">
        <v>7</v>
      </c>
      <c r="MJ8" s="103"/>
      <c r="MK8" s="107" t="s">
        <v>26</v>
      </c>
      <c r="ML8" s="109" t="s">
        <v>18</v>
      </c>
      <c r="MM8" s="103" t="s">
        <v>27</v>
      </c>
      <c r="MN8" s="103" t="s">
        <v>28</v>
      </c>
      <c r="MO8" s="103" t="s">
        <v>8</v>
      </c>
      <c r="MP8" s="103"/>
      <c r="MQ8" s="105" t="s">
        <v>16</v>
      </c>
      <c r="MR8" s="105" t="s">
        <v>29</v>
      </c>
      <c r="MS8" s="107" t="s">
        <v>30</v>
      </c>
      <c r="MT8" s="109" t="s">
        <v>18</v>
      </c>
      <c r="MU8" s="103"/>
      <c r="MV8" s="103"/>
      <c r="MW8" s="103"/>
      <c r="MX8" s="111"/>
      <c r="MY8" s="103" t="s">
        <v>13</v>
      </c>
      <c r="MZ8" s="103"/>
      <c r="NA8" s="103"/>
      <c r="NB8" s="103"/>
      <c r="NC8" s="103"/>
      <c r="ND8" s="103"/>
      <c r="NE8" s="103"/>
      <c r="NF8" s="103"/>
      <c r="NG8" s="114" t="s">
        <v>33</v>
      </c>
      <c r="NH8" s="103" t="s">
        <v>7</v>
      </c>
      <c r="NI8" s="103"/>
      <c r="NJ8" s="107" t="s">
        <v>24</v>
      </c>
      <c r="NK8" s="109" t="s">
        <v>18</v>
      </c>
      <c r="NL8" s="103" t="s">
        <v>13</v>
      </c>
      <c r="NM8" s="103"/>
      <c r="NN8" s="103"/>
      <c r="NO8" s="103"/>
      <c r="NP8" s="103"/>
      <c r="NQ8" s="103"/>
      <c r="NR8" s="103"/>
      <c r="NS8" s="103"/>
      <c r="NT8" s="111" t="s">
        <v>25</v>
      </c>
      <c r="NU8" s="103" t="s">
        <v>7</v>
      </c>
      <c r="NV8" s="103"/>
      <c r="NW8" s="107" t="s">
        <v>26</v>
      </c>
      <c r="NX8" s="109" t="s">
        <v>18</v>
      </c>
      <c r="NY8" s="103" t="s">
        <v>27</v>
      </c>
      <c r="NZ8" s="103" t="s">
        <v>28</v>
      </c>
      <c r="OA8" s="103" t="s">
        <v>8</v>
      </c>
      <c r="OB8" s="103"/>
      <c r="OC8" s="105" t="s">
        <v>16</v>
      </c>
      <c r="OD8" s="105" t="s">
        <v>29</v>
      </c>
      <c r="OE8" s="107" t="s">
        <v>30</v>
      </c>
      <c r="OF8" s="109" t="s">
        <v>18</v>
      </c>
      <c r="OG8" s="103"/>
      <c r="OH8" s="103"/>
      <c r="OI8" s="103"/>
      <c r="OJ8" s="111"/>
      <c r="OK8" s="103" t="s">
        <v>13</v>
      </c>
      <c r="OL8" s="103"/>
      <c r="OM8" s="103"/>
      <c r="ON8" s="103"/>
      <c r="OO8" s="103"/>
      <c r="OP8" s="103"/>
      <c r="OQ8" s="103"/>
      <c r="OR8" s="103"/>
      <c r="OS8" s="114" t="s">
        <v>33</v>
      </c>
      <c r="OT8" s="103" t="s">
        <v>7</v>
      </c>
      <c r="OU8" s="103"/>
      <c r="OV8" s="107" t="s">
        <v>24</v>
      </c>
      <c r="OW8" s="109" t="s">
        <v>18</v>
      </c>
      <c r="OX8" s="103" t="s">
        <v>13</v>
      </c>
      <c r="OY8" s="103"/>
      <c r="OZ8" s="103"/>
      <c r="PA8" s="103"/>
      <c r="PB8" s="103"/>
      <c r="PC8" s="103"/>
      <c r="PD8" s="103"/>
      <c r="PE8" s="103"/>
      <c r="PF8" s="111" t="s">
        <v>25</v>
      </c>
      <c r="PG8" s="103" t="s">
        <v>7</v>
      </c>
      <c r="PH8" s="103"/>
      <c r="PI8" s="107" t="s">
        <v>26</v>
      </c>
      <c r="PJ8" s="109" t="s">
        <v>18</v>
      </c>
      <c r="PK8" s="103" t="s">
        <v>27</v>
      </c>
      <c r="PL8" s="103" t="s">
        <v>28</v>
      </c>
      <c r="PM8" s="103" t="s">
        <v>8</v>
      </c>
      <c r="PN8" s="103"/>
      <c r="PO8" s="105" t="s">
        <v>16</v>
      </c>
      <c r="PP8" s="105" t="s">
        <v>29</v>
      </c>
      <c r="PQ8" s="107" t="s">
        <v>30</v>
      </c>
      <c r="PR8" s="109" t="s">
        <v>18</v>
      </c>
      <c r="PS8" s="103"/>
      <c r="PT8" s="103"/>
      <c r="PU8" s="103"/>
      <c r="PV8" s="111"/>
      <c r="PW8" s="103" t="s">
        <v>13</v>
      </c>
      <c r="PX8" s="103"/>
      <c r="PY8" s="103"/>
      <c r="PZ8" s="103"/>
      <c r="QA8" s="103"/>
      <c r="QB8" s="103"/>
      <c r="QC8" s="103"/>
      <c r="QD8" s="103"/>
      <c r="QE8" s="114" t="s">
        <v>33</v>
      </c>
      <c r="QF8" s="103" t="s">
        <v>7</v>
      </c>
      <c r="QG8" s="103"/>
      <c r="QH8" s="107" t="s">
        <v>24</v>
      </c>
      <c r="QI8" s="109" t="s">
        <v>18</v>
      </c>
      <c r="QJ8" s="103" t="s">
        <v>13</v>
      </c>
      <c r="QK8" s="103"/>
      <c r="QL8" s="103"/>
      <c r="QM8" s="103"/>
      <c r="QN8" s="103"/>
      <c r="QO8" s="103"/>
      <c r="QP8" s="103"/>
      <c r="QQ8" s="103"/>
      <c r="QR8" s="111" t="s">
        <v>25</v>
      </c>
      <c r="QS8" s="103" t="s">
        <v>7</v>
      </c>
      <c r="QT8" s="103"/>
      <c r="QU8" s="107" t="s">
        <v>26</v>
      </c>
      <c r="QV8" s="109" t="s">
        <v>18</v>
      </c>
      <c r="QW8" s="103" t="s">
        <v>27</v>
      </c>
      <c r="QX8" s="103" t="s">
        <v>28</v>
      </c>
      <c r="QY8" s="103" t="s">
        <v>8</v>
      </c>
      <c r="QZ8" s="103"/>
      <c r="RA8" s="105" t="s">
        <v>16</v>
      </c>
      <c r="RB8" s="105" t="s">
        <v>29</v>
      </c>
      <c r="RC8" s="107" t="s">
        <v>30</v>
      </c>
      <c r="RD8" s="109" t="s">
        <v>18</v>
      </c>
      <c r="RE8" s="103"/>
      <c r="RF8" s="103"/>
      <c r="RG8" s="103"/>
      <c r="RH8" s="111"/>
      <c r="RI8" s="103" t="s">
        <v>13</v>
      </c>
      <c r="RJ8" s="103"/>
      <c r="RK8" s="103"/>
      <c r="RL8" s="103"/>
      <c r="RM8" s="103"/>
      <c r="RN8" s="103"/>
      <c r="RO8" s="103"/>
      <c r="RP8" s="103"/>
      <c r="RQ8" s="114" t="s">
        <v>33</v>
      </c>
      <c r="RR8" s="103" t="s">
        <v>7</v>
      </c>
      <c r="RS8" s="103"/>
      <c r="RT8" s="107" t="s">
        <v>24</v>
      </c>
      <c r="RU8" s="109" t="s">
        <v>18</v>
      </c>
      <c r="RV8" s="103" t="s">
        <v>13</v>
      </c>
      <c r="RW8" s="103"/>
      <c r="RX8" s="103"/>
      <c r="RY8" s="103"/>
      <c r="RZ8" s="103"/>
      <c r="SA8" s="103"/>
      <c r="SB8" s="103"/>
      <c r="SC8" s="103"/>
      <c r="SD8" s="111" t="s">
        <v>25</v>
      </c>
      <c r="SE8" s="103" t="s">
        <v>7</v>
      </c>
      <c r="SF8" s="103"/>
      <c r="SG8" s="107" t="s">
        <v>26</v>
      </c>
      <c r="SH8" s="109" t="s">
        <v>18</v>
      </c>
      <c r="SI8" s="103" t="s">
        <v>27</v>
      </c>
      <c r="SJ8" s="103" t="s">
        <v>28</v>
      </c>
      <c r="SK8" s="103" t="s">
        <v>8</v>
      </c>
      <c r="SL8" s="103"/>
      <c r="SM8" s="105" t="s">
        <v>16</v>
      </c>
      <c r="SN8" s="105" t="s">
        <v>29</v>
      </c>
      <c r="SO8" s="107" t="s">
        <v>30</v>
      </c>
      <c r="SP8" s="109" t="s">
        <v>18</v>
      </c>
      <c r="SQ8" s="103"/>
      <c r="SR8" s="103"/>
      <c r="SS8" s="103"/>
      <c r="ST8" s="111"/>
      <c r="SU8" s="103" t="s">
        <v>13</v>
      </c>
      <c r="SV8" s="103"/>
      <c r="SW8" s="103"/>
      <c r="SX8" s="103"/>
      <c r="SY8" s="103"/>
      <c r="SZ8" s="103"/>
      <c r="TA8" s="103"/>
      <c r="TB8" s="103"/>
      <c r="TC8" s="114" t="s">
        <v>33</v>
      </c>
      <c r="TD8" s="103" t="s">
        <v>7</v>
      </c>
      <c r="TE8" s="103"/>
      <c r="TF8" s="107" t="s">
        <v>24</v>
      </c>
      <c r="TG8" s="109" t="s">
        <v>18</v>
      </c>
      <c r="TH8" s="103" t="s">
        <v>13</v>
      </c>
      <c r="TI8" s="103"/>
      <c r="TJ8" s="103"/>
      <c r="TK8" s="103"/>
      <c r="TL8" s="103"/>
      <c r="TM8" s="103"/>
      <c r="TN8" s="103"/>
      <c r="TO8" s="103"/>
      <c r="TP8" s="111" t="s">
        <v>25</v>
      </c>
      <c r="TQ8" s="103" t="s">
        <v>7</v>
      </c>
      <c r="TR8" s="103"/>
      <c r="TS8" s="107" t="s">
        <v>26</v>
      </c>
      <c r="TT8" s="109" t="s">
        <v>18</v>
      </c>
      <c r="TU8" s="103" t="s">
        <v>27</v>
      </c>
      <c r="TV8" s="103" t="s">
        <v>28</v>
      </c>
      <c r="TW8" s="103" t="s">
        <v>8</v>
      </c>
      <c r="TX8" s="103"/>
      <c r="TY8" s="105" t="s">
        <v>16</v>
      </c>
      <c r="TZ8" s="105" t="s">
        <v>29</v>
      </c>
      <c r="UA8" s="107" t="s">
        <v>30</v>
      </c>
      <c r="UB8" s="109" t="s">
        <v>18</v>
      </c>
      <c r="UC8" s="103"/>
      <c r="UD8" s="103"/>
      <c r="UE8" s="103"/>
      <c r="UF8" s="111"/>
      <c r="UG8" s="103" t="s">
        <v>13</v>
      </c>
      <c r="UH8" s="103"/>
      <c r="UI8" s="103"/>
      <c r="UJ8" s="103"/>
      <c r="UK8" s="103"/>
      <c r="UL8" s="103"/>
      <c r="UM8" s="103"/>
      <c r="UN8" s="103"/>
      <c r="UO8" s="114" t="s">
        <v>33</v>
      </c>
      <c r="UP8" s="103" t="s">
        <v>7</v>
      </c>
      <c r="UQ8" s="103"/>
      <c r="UR8" s="107" t="s">
        <v>24</v>
      </c>
      <c r="US8" s="109" t="s">
        <v>18</v>
      </c>
      <c r="UT8" s="103" t="s">
        <v>13</v>
      </c>
      <c r="UU8" s="103"/>
      <c r="UV8" s="103"/>
      <c r="UW8" s="103"/>
      <c r="UX8" s="103"/>
      <c r="UY8" s="103"/>
      <c r="UZ8" s="103"/>
      <c r="VA8" s="103"/>
      <c r="VB8" s="111" t="s">
        <v>25</v>
      </c>
      <c r="VC8" s="103" t="s">
        <v>7</v>
      </c>
      <c r="VD8" s="103"/>
      <c r="VE8" s="107" t="s">
        <v>26</v>
      </c>
      <c r="VF8" s="109" t="s">
        <v>18</v>
      </c>
      <c r="VG8" s="103" t="s">
        <v>27</v>
      </c>
      <c r="VH8" s="103" t="s">
        <v>28</v>
      </c>
      <c r="VI8" s="103" t="s">
        <v>8</v>
      </c>
      <c r="VJ8" s="103"/>
      <c r="VK8" s="105" t="s">
        <v>16</v>
      </c>
      <c r="VL8" s="105" t="s">
        <v>29</v>
      </c>
      <c r="VM8" s="107" t="s">
        <v>30</v>
      </c>
      <c r="VN8" s="109" t="s">
        <v>18</v>
      </c>
      <c r="VO8" s="103"/>
      <c r="VP8" s="103"/>
      <c r="VQ8" s="103"/>
      <c r="VR8" s="111"/>
      <c r="VS8" s="103" t="s">
        <v>13</v>
      </c>
      <c r="VT8" s="103"/>
      <c r="VU8" s="103"/>
      <c r="VV8" s="103"/>
      <c r="VW8" s="103"/>
      <c r="VX8" s="103"/>
      <c r="VY8" s="103"/>
      <c r="VZ8" s="103"/>
      <c r="WA8" s="114" t="s">
        <v>33</v>
      </c>
      <c r="WB8" s="103" t="s">
        <v>7</v>
      </c>
      <c r="WC8" s="103"/>
      <c r="WD8" s="107" t="s">
        <v>24</v>
      </c>
      <c r="WE8" s="109" t="s">
        <v>18</v>
      </c>
      <c r="WF8" s="103" t="s">
        <v>13</v>
      </c>
      <c r="WG8" s="103"/>
      <c r="WH8" s="103"/>
      <c r="WI8" s="103"/>
      <c r="WJ8" s="103"/>
      <c r="WK8" s="103"/>
      <c r="WL8" s="103"/>
      <c r="WM8" s="103"/>
      <c r="WN8" s="111" t="s">
        <v>25</v>
      </c>
      <c r="WO8" s="103" t="s">
        <v>7</v>
      </c>
      <c r="WP8" s="103"/>
      <c r="WQ8" s="107" t="s">
        <v>26</v>
      </c>
      <c r="WR8" s="109" t="s">
        <v>18</v>
      </c>
      <c r="WS8" s="103" t="s">
        <v>27</v>
      </c>
      <c r="WT8" s="103" t="s">
        <v>28</v>
      </c>
      <c r="WU8" s="103" t="s">
        <v>8</v>
      </c>
      <c r="WV8" s="103"/>
      <c r="WW8" s="105" t="s">
        <v>16</v>
      </c>
      <c r="WX8" s="105" t="s">
        <v>29</v>
      </c>
      <c r="WY8" s="107" t="s">
        <v>30</v>
      </c>
      <c r="WZ8" s="109" t="s">
        <v>18</v>
      </c>
      <c r="XA8" s="103"/>
      <c r="XB8" s="103"/>
      <c r="XC8" s="103"/>
      <c r="XD8" s="111"/>
      <c r="XE8" s="103" t="s">
        <v>13</v>
      </c>
      <c r="XF8" s="103"/>
      <c r="XG8" s="103"/>
      <c r="XH8" s="103"/>
      <c r="XI8" s="103"/>
      <c r="XJ8" s="103"/>
      <c r="XK8" s="103"/>
      <c r="XL8" s="103"/>
      <c r="XM8" s="114" t="s">
        <v>33</v>
      </c>
      <c r="XN8" s="103" t="s">
        <v>7</v>
      </c>
      <c r="XO8" s="103"/>
      <c r="XP8" s="107" t="s">
        <v>24</v>
      </c>
      <c r="XQ8" s="109" t="s">
        <v>18</v>
      </c>
      <c r="XR8" s="103" t="s">
        <v>13</v>
      </c>
      <c r="XS8" s="103"/>
      <c r="XT8" s="103"/>
      <c r="XU8" s="103"/>
      <c r="XV8" s="103"/>
      <c r="XW8" s="103"/>
      <c r="XX8" s="103"/>
      <c r="XY8" s="103"/>
      <c r="XZ8" s="111" t="s">
        <v>25</v>
      </c>
      <c r="YA8" s="103" t="s">
        <v>7</v>
      </c>
      <c r="YB8" s="103"/>
      <c r="YC8" s="107" t="s">
        <v>26</v>
      </c>
      <c r="YD8" s="109" t="s">
        <v>18</v>
      </c>
      <c r="YE8" s="103" t="s">
        <v>27</v>
      </c>
      <c r="YF8" s="103" t="s">
        <v>28</v>
      </c>
      <c r="YG8" s="103" t="s">
        <v>8</v>
      </c>
      <c r="YH8" s="103"/>
      <c r="YI8" s="105" t="s">
        <v>16</v>
      </c>
      <c r="YJ8" s="105" t="s">
        <v>29</v>
      </c>
      <c r="YK8" s="107" t="s">
        <v>30</v>
      </c>
      <c r="YL8" s="109" t="s">
        <v>18</v>
      </c>
      <c r="YM8" s="103"/>
      <c r="YN8" s="103"/>
      <c r="YO8" s="103"/>
      <c r="YP8" s="111"/>
      <c r="YQ8" s="103" t="s">
        <v>13</v>
      </c>
      <c r="YR8" s="103"/>
      <c r="YS8" s="103"/>
      <c r="YT8" s="103"/>
      <c r="YU8" s="103"/>
      <c r="YV8" s="103"/>
      <c r="YW8" s="103"/>
      <c r="YX8" s="103"/>
      <c r="YY8" s="114" t="s">
        <v>33</v>
      </c>
      <c r="YZ8" s="103" t="s">
        <v>7</v>
      </c>
      <c r="ZA8" s="103"/>
      <c r="ZB8" s="107" t="s">
        <v>24</v>
      </c>
      <c r="ZC8" s="109" t="s">
        <v>18</v>
      </c>
      <c r="ZD8" s="103" t="s">
        <v>13</v>
      </c>
      <c r="ZE8" s="103"/>
      <c r="ZF8" s="103"/>
      <c r="ZG8" s="103"/>
      <c r="ZH8" s="103"/>
      <c r="ZI8" s="103"/>
      <c r="ZJ8" s="103"/>
      <c r="ZK8" s="103"/>
      <c r="ZL8" s="111" t="s">
        <v>25</v>
      </c>
      <c r="ZM8" s="103" t="s">
        <v>7</v>
      </c>
      <c r="ZN8" s="103"/>
      <c r="ZO8" s="107" t="s">
        <v>26</v>
      </c>
      <c r="ZP8" s="109" t="s">
        <v>18</v>
      </c>
      <c r="ZQ8" s="103" t="s">
        <v>27</v>
      </c>
      <c r="ZR8" s="103" t="s">
        <v>28</v>
      </c>
      <c r="ZS8" s="103" t="s">
        <v>8</v>
      </c>
      <c r="ZT8" s="103"/>
      <c r="ZU8" s="105" t="s">
        <v>16</v>
      </c>
      <c r="ZV8" s="105" t="s">
        <v>29</v>
      </c>
      <c r="ZW8" s="107" t="s">
        <v>30</v>
      </c>
      <c r="ZX8" s="109" t="s">
        <v>18</v>
      </c>
      <c r="ZY8" s="103"/>
      <c r="ZZ8" s="103"/>
      <c r="AAA8" s="103"/>
      <c r="AAB8" s="111"/>
      <c r="AAC8" s="103" t="s">
        <v>13</v>
      </c>
      <c r="AAD8" s="103"/>
      <c r="AAE8" s="103"/>
      <c r="AAF8" s="103"/>
      <c r="AAG8" s="103"/>
      <c r="AAH8" s="103"/>
      <c r="AAI8" s="103"/>
      <c r="AAJ8" s="103"/>
      <c r="AAK8" s="114" t="s">
        <v>33</v>
      </c>
      <c r="AAL8" s="103" t="s">
        <v>7</v>
      </c>
      <c r="AAM8" s="103"/>
      <c r="AAN8" s="107" t="s">
        <v>24</v>
      </c>
      <c r="AAO8" s="109" t="s">
        <v>18</v>
      </c>
      <c r="AAP8" s="103" t="s">
        <v>13</v>
      </c>
      <c r="AAQ8" s="103"/>
      <c r="AAR8" s="103"/>
      <c r="AAS8" s="103"/>
      <c r="AAT8" s="103"/>
      <c r="AAU8" s="103"/>
      <c r="AAV8" s="103"/>
      <c r="AAW8" s="103"/>
      <c r="AAX8" s="111" t="s">
        <v>25</v>
      </c>
      <c r="AAY8" s="103" t="s">
        <v>7</v>
      </c>
      <c r="AAZ8" s="103"/>
      <c r="ABA8" s="107" t="s">
        <v>26</v>
      </c>
      <c r="ABB8" s="109" t="s">
        <v>18</v>
      </c>
      <c r="ABC8" s="103" t="s">
        <v>27</v>
      </c>
      <c r="ABD8" s="103" t="s">
        <v>28</v>
      </c>
      <c r="ABE8" s="103" t="s">
        <v>8</v>
      </c>
      <c r="ABF8" s="103"/>
      <c r="ABG8" s="105" t="s">
        <v>16</v>
      </c>
      <c r="ABH8" s="105" t="s">
        <v>29</v>
      </c>
      <c r="ABI8" s="107" t="s">
        <v>30</v>
      </c>
      <c r="ABJ8" s="109" t="s">
        <v>18</v>
      </c>
      <c r="ABK8" s="103"/>
      <c r="ABL8" s="103"/>
      <c r="ABM8" s="103"/>
      <c r="ABN8" s="111"/>
      <c r="ABO8" s="103" t="s">
        <v>13</v>
      </c>
      <c r="ABP8" s="103"/>
      <c r="ABQ8" s="103"/>
      <c r="ABR8" s="103"/>
      <c r="ABS8" s="103"/>
      <c r="ABT8" s="103"/>
      <c r="ABU8" s="103"/>
      <c r="ABV8" s="103"/>
      <c r="ABW8" s="114" t="s">
        <v>33</v>
      </c>
      <c r="ABX8" s="103" t="s">
        <v>7</v>
      </c>
      <c r="ABY8" s="103"/>
      <c r="ABZ8" s="107" t="s">
        <v>24</v>
      </c>
      <c r="ACA8" s="109" t="s">
        <v>18</v>
      </c>
      <c r="ACB8" s="103" t="s">
        <v>13</v>
      </c>
      <c r="ACC8" s="103"/>
      <c r="ACD8" s="103"/>
      <c r="ACE8" s="103"/>
      <c r="ACF8" s="103"/>
      <c r="ACG8" s="103"/>
      <c r="ACH8" s="103"/>
      <c r="ACI8" s="103"/>
      <c r="ACJ8" s="111" t="s">
        <v>25</v>
      </c>
      <c r="ACK8" s="103" t="s">
        <v>7</v>
      </c>
      <c r="ACL8" s="103"/>
      <c r="ACM8" s="107" t="s">
        <v>26</v>
      </c>
      <c r="ACN8" s="109" t="s">
        <v>18</v>
      </c>
      <c r="ACO8" s="103" t="s">
        <v>27</v>
      </c>
      <c r="ACP8" s="103" t="s">
        <v>28</v>
      </c>
      <c r="ACQ8" s="103" t="s">
        <v>8</v>
      </c>
      <c r="ACR8" s="103"/>
      <c r="ACS8" s="105" t="s">
        <v>16</v>
      </c>
      <c r="ACT8" s="105" t="s">
        <v>29</v>
      </c>
      <c r="ACU8" s="107" t="s">
        <v>30</v>
      </c>
      <c r="ACV8" s="109" t="s">
        <v>18</v>
      </c>
      <c r="ACW8" s="103"/>
      <c r="ACX8" s="103"/>
      <c r="ACY8" s="103"/>
      <c r="ACZ8" s="111"/>
      <c r="ADA8" s="103" t="s">
        <v>13</v>
      </c>
      <c r="ADB8" s="103"/>
      <c r="ADC8" s="103"/>
      <c r="ADD8" s="103"/>
      <c r="ADE8" s="103"/>
      <c r="ADF8" s="103"/>
      <c r="ADG8" s="103"/>
      <c r="ADH8" s="103"/>
      <c r="ADI8" s="114" t="s">
        <v>33</v>
      </c>
      <c r="ADJ8" s="103" t="s">
        <v>7</v>
      </c>
      <c r="ADK8" s="103"/>
      <c r="ADL8" s="107" t="s">
        <v>24</v>
      </c>
      <c r="ADM8" s="109" t="s">
        <v>18</v>
      </c>
      <c r="ADN8" s="103" t="s">
        <v>13</v>
      </c>
      <c r="ADO8" s="103"/>
      <c r="ADP8" s="103"/>
      <c r="ADQ8" s="103"/>
      <c r="ADR8" s="103"/>
      <c r="ADS8" s="103"/>
      <c r="ADT8" s="103"/>
      <c r="ADU8" s="103"/>
      <c r="ADV8" s="111" t="s">
        <v>25</v>
      </c>
      <c r="ADW8" s="103" t="s">
        <v>7</v>
      </c>
      <c r="ADX8" s="103"/>
      <c r="ADY8" s="107" t="s">
        <v>26</v>
      </c>
      <c r="ADZ8" s="109" t="s">
        <v>18</v>
      </c>
      <c r="AEA8" s="103" t="s">
        <v>27</v>
      </c>
      <c r="AEB8" s="103" t="s">
        <v>28</v>
      </c>
      <c r="AEC8" s="103" t="s">
        <v>8</v>
      </c>
      <c r="AED8" s="103"/>
      <c r="AEE8" s="105" t="s">
        <v>16</v>
      </c>
      <c r="AEF8" s="105" t="s">
        <v>29</v>
      </c>
      <c r="AEG8" s="107" t="s">
        <v>30</v>
      </c>
      <c r="AEH8" s="109" t="s">
        <v>18</v>
      </c>
      <c r="AEI8" s="103"/>
      <c r="AEJ8" s="103"/>
      <c r="AEK8" s="103"/>
      <c r="AEL8" s="111"/>
      <c r="AEM8" s="103" t="s">
        <v>13</v>
      </c>
      <c r="AEN8" s="103"/>
      <c r="AEO8" s="103"/>
      <c r="AEP8" s="103"/>
      <c r="AEQ8" s="103"/>
      <c r="AER8" s="103"/>
      <c r="AES8" s="103"/>
      <c r="AET8" s="103"/>
      <c r="AEU8" s="114" t="s">
        <v>33</v>
      </c>
      <c r="AEV8" s="103" t="s">
        <v>7</v>
      </c>
      <c r="AEW8" s="103"/>
      <c r="AEX8" s="107" t="s">
        <v>24</v>
      </c>
      <c r="AEY8" s="109" t="s">
        <v>18</v>
      </c>
      <c r="AEZ8" s="103" t="s">
        <v>13</v>
      </c>
      <c r="AFA8" s="103"/>
      <c r="AFB8" s="103"/>
      <c r="AFC8" s="103"/>
      <c r="AFD8" s="103"/>
      <c r="AFE8" s="103"/>
      <c r="AFF8" s="103"/>
      <c r="AFG8" s="103"/>
      <c r="AFH8" s="111" t="s">
        <v>25</v>
      </c>
      <c r="AFI8" s="103" t="s">
        <v>7</v>
      </c>
      <c r="AFJ8" s="103"/>
      <c r="AFK8" s="107" t="s">
        <v>26</v>
      </c>
      <c r="AFL8" s="109" t="s">
        <v>18</v>
      </c>
      <c r="AFM8" s="103" t="s">
        <v>27</v>
      </c>
      <c r="AFN8" s="103" t="s">
        <v>28</v>
      </c>
      <c r="AFO8" s="103" t="s">
        <v>8</v>
      </c>
      <c r="AFP8" s="103"/>
      <c r="AFQ8" s="105" t="s">
        <v>16</v>
      </c>
      <c r="AFR8" s="105" t="s">
        <v>29</v>
      </c>
      <c r="AFS8" s="107" t="s">
        <v>30</v>
      </c>
      <c r="AFT8" s="109" t="s">
        <v>18</v>
      </c>
      <c r="AFU8" s="103"/>
      <c r="AFV8" s="103"/>
      <c r="AFW8" s="103"/>
      <c r="AFX8" s="111"/>
      <c r="AFY8" s="103" t="s">
        <v>13</v>
      </c>
      <c r="AFZ8" s="103"/>
      <c r="AGA8" s="103"/>
      <c r="AGB8" s="103"/>
      <c r="AGC8" s="103"/>
      <c r="AGD8" s="103"/>
      <c r="AGE8" s="103"/>
      <c r="AGF8" s="103"/>
      <c r="AGG8" s="114" t="s">
        <v>33</v>
      </c>
      <c r="AGH8" s="103" t="s">
        <v>7</v>
      </c>
      <c r="AGI8" s="103"/>
      <c r="AGJ8" s="107" t="s">
        <v>24</v>
      </c>
      <c r="AGK8" s="109" t="s">
        <v>18</v>
      </c>
      <c r="AGL8" s="103" t="s">
        <v>13</v>
      </c>
      <c r="AGM8" s="103"/>
      <c r="AGN8" s="103"/>
      <c r="AGO8" s="103"/>
      <c r="AGP8" s="103"/>
      <c r="AGQ8" s="103"/>
      <c r="AGR8" s="103"/>
      <c r="AGS8" s="103"/>
      <c r="AGT8" s="111" t="s">
        <v>25</v>
      </c>
      <c r="AGU8" s="103" t="s">
        <v>7</v>
      </c>
      <c r="AGV8" s="103"/>
      <c r="AGW8" s="107" t="s">
        <v>26</v>
      </c>
      <c r="AGX8" s="109" t="s">
        <v>18</v>
      </c>
      <c r="AGY8" s="103" t="s">
        <v>27</v>
      </c>
      <c r="AGZ8" s="103" t="s">
        <v>28</v>
      </c>
      <c r="AHA8" s="103" t="s">
        <v>8</v>
      </c>
      <c r="AHB8" s="103"/>
      <c r="AHC8" s="105" t="s">
        <v>16</v>
      </c>
      <c r="AHD8" s="105" t="s">
        <v>29</v>
      </c>
      <c r="AHE8" s="107" t="s">
        <v>30</v>
      </c>
      <c r="AHF8" s="109" t="s">
        <v>18</v>
      </c>
      <c r="AHG8" s="103"/>
      <c r="AHH8" s="103"/>
      <c r="AHI8" s="103"/>
      <c r="AHJ8" s="111"/>
      <c r="AHK8" s="103" t="s">
        <v>13</v>
      </c>
      <c r="AHL8" s="103"/>
      <c r="AHM8" s="103"/>
      <c r="AHN8" s="103"/>
      <c r="AHO8" s="103"/>
      <c r="AHP8" s="103"/>
      <c r="AHQ8" s="103"/>
      <c r="AHR8" s="103"/>
      <c r="AHS8" s="114" t="s">
        <v>33</v>
      </c>
      <c r="AHT8" s="103" t="s">
        <v>7</v>
      </c>
      <c r="AHU8" s="103"/>
      <c r="AHV8" s="107" t="s">
        <v>24</v>
      </c>
      <c r="AHW8" s="109" t="s">
        <v>18</v>
      </c>
      <c r="AHX8" s="103" t="s">
        <v>13</v>
      </c>
      <c r="AHY8" s="103"/>
      <c r="AHZ8" s="103"/>
      <c r="AIA8" s="103"/>
      <c r="AIB8" s="103"/>
      <c r="AIC8" s="103"/>
      <c r="AID8" s="103"/>
      <c r="AIE8" s="103"/>
      <c r="AIF8" s="111" t="s">
        <v>25</v>
      </c>
      <c r="AIG8" s="103" t="s">
        <v>7</v>
      </c>
      <c r="AIH8" s="103"/>
      <c r="AII8" s="107" t="s">
        <v>26</v>
      </c>
      <c r="AIJ8" s="109" t="s">
        <v>18</v>
      </c>
      <c r="AIK8" s="103" t="s">
        <v>27</v>
      </c>
      <c r="AIL8" s="103" t="s">
        <v>28</v>
      </c>
      <c r="AIM8" s="103" t="s">
        <v>8</v>
      </c>
      <c r="AIN8" s="103"/>
      <c r="AIO8" s="105" t="s">
        <v>16</v>
      </c>
      <c r="AIP8" s="105" t="s">
        <v>29</v>
      </c>
      <c r="AIQ8" s="107" t="s">
        <v>30</v>
      </c>
      <c r="AIR8" s="109" t="s">
        <v>18</v>
      </c>
    </row>
    <row r="9" spans="1:928" ht="57.6" customHeight="1" thickBot="1" x14ac:dyDescent="0.3">
      <c r="A9" s="44" t="s">
        <v>147</v>
      </c>
      <c r="B9" s="45" t="s">
        <v>148</v>
      </c>
      <c r="C9" s="44" t="s">
        <v>149</v>
      </c>
      <c r="D9" s="44">
        <v>99</v>
      </c>
      <c r="E9" s="116"/>
      <c r="F9" s="46">
        <v>1</v>
      </c>
      <c r="G9" s="46" t="s">
        <v>150</v>
      </c>
      <c r="H9" s="85" t="s">
        <v>2</v>
      </c>
      <c r="I9" s="85" t="s">
        <v>3</v>
      </c>
      <c r="J9" s="85" t="s">
        <v>1</v>
      </c>
      <c r="K9" s="46" t="s">
        <v>98</v>
      </c>
      <c r="L9" s="116"/>
      <c r="M9" s="116"/>
      <c r="N9" s="116"/>
      <c r="O9" s="116"/>
      <c r="P9" s="47" t="s">
        <v>151</v>
      </c>
      <c r="Q9" s="104"/>
      <c r="R9" s="104"/>
      <c r="S9" s="104"/>
      <c r="T9" s="112"/>
      <c r="U9" s="86" t="s">
        <v>4</v>
      </c>
      <c r="V9" s="86" t="s">
        <v>4</v>
      </c>
      <c r="W9" s="86" t="s">
        <v>4</v>
      </c>
      <c r="X9" s="86" t="s">
        <v>4</v>
      </c>
      <c r="Y9" s="86" t="s">
        <v>4</v>
      </c>
      <c r="Z9" s="86" t="s">
        <v>4</v>
      </c>
      <c r="AA9" s="86" t="s">
        <v>6</v>
      </c>
      <c r="AB9" s="86" t="s">
        <v>5</v>
      </c>
      <c r="AC9" s="115"/>
      <c r="AD9" s="87" t="s">
        <v>20</v>
      </c>
      <c r="AE9" s="87" t="s">
        <v>21</v>
      </c>
      <c r="AF9" s="108"/>
      <c r="AG9" s="110"/>
      <c r="AH9" s="86" t="s">
        <v>4</v>
      </c>
      <c r="AI9" s="86" t="s">
        <v>4</v>
      </c>
      <c r="AJ9" s="86" t="s">
        <v>4</v>
      </c>
      <c r="AK9" s="86" t="s">
        <v>4</v>
      </c>
      <c r="AL9" s="86" t="s">
        <v>4</v>
      </c>
      <c r="AM9" s="86" t="s">
        <v>4</v>
      </c>
      <c r="AN9" s="86" t="s">
        <v>6</v>
      </c>
      <c r="AO9" s="86" t="s">
        <v>5</v>
      </c>
      <c r="AP9" s="112"/>
      <c r="AQ9" s="87" t="s">
        <v>22</v>
      </c>
      <c r="AR9" s="87" t="s">
        <v>23</v>
      </c>
      <c r="AS9" s="108"/>
      <c r="AT9" s="110"/>
      <c r="AU9" s="104"/>
      <c r="AV9" s="104"/>
      <c r="AW9" s="88" t="s">
        <v>31</v>
      </c>
      <c r="AX9" s="88" t="s">
        <v>32</v>
      </c>
      <c r="AY9" s="106"/>
      <c r="AZ9" s="106"/>
      <c r="BA9" s="108"/>
      <c r="BB9" s="110"/>
      <c r="BC9" s="104"/>
      <c r="BD9" s="104"/>
      <c r="BE9" s="104"/>
      <c r="BF9" s="112"/>
      <c r="BG9" s="86" t="s">
        <v>4</v>
      </c>
      <c r="BH9" s="86" t="s">
        <v>4</v>
      </c>
      <c r="BI9" s="86" t="s">
        <v>4</v>
      </c>
      <c r="BJ9" s="86" t="s">
        <v>4</v>
      </c>
      <c r="BK9" s="86" t="s">
        <v>4</v>
      </c>
      <c r="BL9" s="86" t="s">
        <v>4</v>
      </c>
      <c r="BM9" s="86" t="s">
        <v>6</v>
      </c>
      <c r="BN9" s="86" t="s">
        <v>5</v>
      </c>
      <c r="BO9" s="115"/>
      <c r="BP9" s="87" t="s">
        <v>20</v>
      </c>
      <c r="BQ9" s="87" t="s">
        <v>21</v>
      </c>
      <c r="BR9" s="108"/>
      <c r="BS9" s="110"/>
      <c r="BT9" s="86" t="s">
        <v>4</v>
      </c>
      <c r="BU9" s="86" t="s">
        <v>4</v>
      </c>
      <c r="BV9" s="86" t="s">
        <v>4</v>
      </c>
      <c r="BW9" s="86" t="s">
        <v>4</v>
      </c>
      <c r="BX9" s="86" t="s">
        <v>4</v>
      </c>
      <c r="BY9" s="86" t="s">
        <v>4</v>
      </c>
      <c r="BZ9" s="86" t="s">
        <v>6</v>
      </c>
      <c r="CA9" s="86" t="s">
        <v>5</v>
      </c>
      <c r="CB9" s="112"/>
      <c r="CC9" s="87" t="s">
        <v>22</v>
      </c>
      <c r="CD9" s="87" t="s">
        <v>23</v>
      </c>
      <c r="CE9" s="108"/>
      <c r="CF9" s="110"/>
      <c r="CG9" s="104"/>
      <c r="CH9" s="104"/>
      <c r="CI9" s="88" t="s">
        <v>31</v>
      </c>
      <c r="CJ9" s="88" t="s">
        <v>32</v>
      </c>
      <c r="CK9" s="106"/>
      <c r="CL9" s="106"/>
      <c r="CM9" s="108"/>
      <c r="CN9" s="110"/>
      <c r="CO9" s="104"/>
      <c r="CP9" s="104"/>
      <c r="CQ9" s="104"/>
      <c r="CR9" s="112"/>
      <c r="CS9" s="86" t="s">
        <v>4</v>
      </c>
      <c r="CT9" s="86" t="s">
        <v>4</v>
      </c>
      <c r="CU9" s="86" t="s">
        <v>4</v>
      </c>
      <c r="CV9" s="86" t="s">
        <v>4</v>
      </c>
      <c r="CW9" s="86" t="s">
        <v>4</v>
      </c>
      <c r="CX9" s="86" t="s">
        <v>4</v>
      </c>
      <c r="CY9" s="86" t="s">
        <v>6</v>
      </c>
      <c r="CZ9" s="86" t="s">
        <v>5</v>
      </c>
      <c r="DA9" s="115"/>
      <c r="DB9" s="87" t="s">
        <v>20</v>
      </c>
      <c r="DC9" s="87" t="s">
        <v>21</v>
      </c>
      <c r="DD9" s="108"/>
      <c r="DE9" s="110"/>
      <c r="DF9" s="86" t="s">
        <v>4</v>
      </c>
      <c r="DG9" s="86" t="s">
        <v>4</v>
      </c>
      <c r="DH9" s="86" t="s">
        <v>4</v>
      </c>
      <c r="DI9" s="86" t="s">
        <v>4</v>
      </c>
      <c r="DJ9" s="86" t="s">
        <v>4</v>
      </c>
      <c r="DK9" s="86" t="s">
        <v>4</v>
      </c>
      <c r="DL9" s="86" t="s">
        <v>6</v>
      </c>
      <c r="DM9" s="86" t="s">
        <v>5</v>
      </c>
      <c r="DN9" s="112"/>
      <c r="DO9" s="87" t="s">
        <v>22</v>
      </c>
      <c r="DP9" s="87" t="s">
        <v>23</v>
      </c>
      <c r="DQ9" s="108"/>
      <c r="DR9" s="110"/>
      <c r="DS9" s="104"/>
      <c r="DT9" s="104"/>
      <c r="DU9" s="88" t="s">
        <v>31</v>
      </c>
      <c r="DV9" s="88" t="s">
        <v>32</v>
      </c>
      <c r="DW9" s="106"/>
      <c r="DX9" s="106"/>
      <c r="DY9" s="108"/>
      <c r="DZ9" s="110"/>
      <c r="EA9" s="104"/>
      <c r="EB9" s="104"/>
      <c r="EC9" s="104"/>
      <c r="ED9" s="112"/>
      <c r="EE9" s="86" t="s">
        <v>4</v>
      </c>
      <c r="EF9" s="86" t="s">
        <v>4</v>
      </c>
      <c r="EG9" s="86" t="s">
        <v>4</v>
      </c>
      <c r="EH9" s="86" t="s">
        <v>4</v>
      </c>
      <c r="EI9" s="86" t="s">
        <v>4</v>
      </c>
      <c r="EJ9" s="86" t="s">
        <v>4</v>
      </c>
      <c r="EK9" s="86" t="s">
        <v>6</v>
      </c>
      <c r="EL9" s="86" t="s">
        <v>5</v>
      </c>
      <c r="EM9" s="115"/>
      <c r="EN9" s="87" t="s">
        <v>20</v>
      </c>
      <c r="EO9" s="87" t="s">
        <v>21</v>
      </c>
      <c r="EP9" s="108"/>
      <c r="EQ9" s="110"/>
      <c r="ER9" s="86" t="s">
        <v>4</v>
      </c>
      <c r="ES9" s="86" t="s">
        <v>4</v>
      </c>
      <c r="ET9" s="86" t="s">
        <v>4</v>
      </c>
      <c r="EU9" s="86" t="s">
        <v>4</v>
      </c>
      <c r="EV9" s="86" t="s">
        <v>4</v>
      </c>
      <c r="EW9" s="86" t="s">
        <v>4</v>
      </c>
      <c r="EX9" s="86" t="s">
        <v>6</v>
      </c>
      <c r="EY9" s="86" t="s">
        <v>5</v>
      </c>
      <c r="EZ9" s="112"/>
      <c r="FA9" s="87" t="s">
        <v>22</v>
      </c>
      <c r="FB9" s="87" t="s">
        <v>23</v>
      </c>
      <c r="FC9" s="108"/>
      <c r="FD9" s="110"/>
      <c r="FE9" s="104"/>
      <c r="FF9" s="104"/>
      <c r="FG9" s="88" t="s">
        <v>31</v>
      </c>
      <c r="FH9" s="88" t="s">
        <v>32</v>
      </c>
      <c r="FI9" s="106"/>
      <c r="FJ9" s="106"/>
      <c r="FK9" s="108"/>
      <c r="FL9" s="110"/>
      <c r="FM9" s="104"/>
      <c r="FN9" s="104"/>
      <c r="FO9" s="104"/>
      <c r="FP9" s="112"/>
      <c r="FQ9" s="86" t="s">
        <v>4</v>
      </c>
      <c r="FR9" s="86" t="s">
        <v>4</v>
      </c>
      <c r="FS9" s="86" t="s">
        <v>4</v>
      </c>
      <c r="FT9" s="86" t="s">
        <v>4</v>
      </c>
      <c r="FU9" s="86" t="s">
        <v>4</v>
      </c>
      <c r="FV9" s="86" t="s">
        <v>4</v>
      </c>
      <c r="FW9" s="86" t="s">
        <v>6</v>
      </c>
      <c r="FX9" s="86" t="s">
        <v>5</v>
      </c>
      <c r="FY9" s="115"/>
      <c r="FZ9" s="87" t="s">
        <v>20</v>
      </c>
      <c r="GA9" s="87" t="s">
        <v>21</v>
      </c>
      <c r="GB9" s="108"/>
      <c r="GC9" s="110"/>
      <c r="GD9" s="86" t="s">
        <v>4</v>
      </c>
      <c r="GE9" s="86" t="s">
        <v>4</v>
      </c>
      <c r="GF9" s="86" t="s">
        <v>4</v>
      </c>
      <c r="GG9" s="86" t="s">
        <v>4</v>
      </c>
      <c r="GH9" s="86" t="s">
        <v>4</v>
      </c>
      <c r="GI9" s="86" t="s">
        <v>4</v>
      </c>
      <c r="GJ9" s="86" t="s">
        <v>6</v>
      </c>
      <c r="GK9" s="86" t="s">
        <v>5</v>
      </c>
      <c r="GL9" s="112"/>
      <c r="GM9" s="87" t="s">
        <v>22</v>
      </c>
      <c r="GN9" s="87" t="s">
        <v>23</v>
      </c>
      <c r="GO9" s="108"/>
      <c r="GP9" s="110"/>
      <c r="GQ9" s="104"/>
      <c r="GR9" s="104"/>
      <c r="GS9" s="88" t="s">
        <v>31</v>
      </c>
      <c r="GT9" s="88" t="s">
        <v>32</v>
      </c>
      <c r="GU9" s="106"/>
      <c r="GV9" s="106"/>
      <c r="GW9" s="108"/>
      <c r="GX9" s="110"/>
      <c r="GY9" s="104"/>
      <c r="GZ9" s="104"/>
      <c r="HA9" s="104"/>
      <c r="HB9" s="112"/>
      <c r="HC9" s="86" t="s">
        <v>4</v>
      </c>
      <c r="HD9" s="86" t="s">
        <v>4</v>
      </c>
      <c r="HE9" s="86" t="s">
        <v>4</v>
      </c>
      <c r="HF9" s="86" t="s">
        <v>4</v>
      </c>
      <c r="HG9" s="86" t="s">
        <v>4</v>
      </c>
      <c r="HH9" s="86" t="s">
        <v>4</v>
      </c>
      <c r="HI9" s="86" t="s">
        <v>6</v>
      </c>
      <c r="HJ9" s="86" t="s">
        <v>5</v>
      </c>
      <c r="HK9" s="115"/>
      <c r="HL9" s="87" t="s">
        <v>20</v>
      </c>
      <c r="HM9" s="87" t="s">
        <v>21</v>
      </c>
      <c r="HN9" s="108"/>
      <c r="HO9" s="110"/>
      <c r="HP9" s="86" t="s">
        <v>4</v>
      </c>
      <c r="HQ9" s="86" t="s">
        <v>4</v>
      </c>
      <c r="HR9" s="86" t="s">
        <v>4</v>
      </c>
      <c r="HS9" s="86" t="s">
        <v>4</v>
      </c>
      <c r="HT9" s="86" t="s">
        <v>4</v>
      </c>
      <c r="HU9" s="86" t="s">
        <v>4</v>
      </c>
      <c r="HV9" s="86" t="s">
        <v>6</v>
      </c>
      <c r="HW9" s="86" t="s">
        <v>5</v>
      </c>
      <c r="HX9" s="112"/>
      <c r="HY9" s="87" t="s">
        <v>22</v>
      </c>
      <c r="HZ9" s="87" t="s">
        <v>23</v>
      </c>
      <c r="IA9" s="108"/>
      <c r="IB9" s="110"/>
      <c r="IC9" s="104"/>
      <c r="ID9" s="104"/>
      <c r="IE9" s="88" t="s">
        <v>31</v>
      </c>
      <c r="IF9" s="88" t="s">
        <v>32</v>
      </c>
      <c r="IG9" s="106"/>
      <c r="IH9" s="106"/>
      <c r="II9" s="108"/>
      <c r="IJ9" s="110"/>
      <c r="IK9" s="104"/>
      <c r="IL9" s="104"/>
      <c r="IM9" s="104"/>
      <c r="IN9" s="112"/>
      <c r="IO9" s="86" t="s">
        <v>4</v>
      </c>
      <c r="IP9" s="86" t="s">
        <v>4</v>
      </c>
      <c r="IQ9" s="86" t="s">
        <v>4</v>
      </c>
      <c r="IR9" s="86" t="s">
        <v>4</v>
      </c>
      <c r="IS9" s="86" t="s">
        <v>4</v>
      </c>
      <c r="IT9" s="86" t="s">
        <v>4</v>
      </c>
      <c r="IU9" s="86" t="s">
        <v>6</v>
      </c>
      <c r="IV9" s="86" t="s">
        <v>5</v>
      </c>
      <c r="IW9" s="115"/>
      <c r="IX9" s="87" t="s">
        <v>20</v>
      </c>
      <c r="IY9" s="87" t="s">
        <v>21</v>
      </c>
      <c r="IZ9" s="108"/>
      <c r="JA9" s="110"/>
      <c r="JB9" s="86" t="s">
        <v>4</v>
      </c>
      <c r="JC9" s="86" t="s">
        <v>4</v>
      </c>
      <c r="JD9" s="86" t="s">
        <v>4</v>
      </c>
      <c r="JE9" s="86" t="s">
        <v>4</v>
      </c>
      <c r="JF9" s="86" t="s">
        <v>4</v>
      </c>
      <c r="JG9" s="86" t="s">
        <v>4</v>
      </c>
      <c r="JH9" s="86" t="s">
        <v>6</v>
      </c>
      <c r="JI9" s="86" t="s">
        <v>5</v>
      </c>
      <c r="JJ9" s="112"/>
      <c r="JK9" s="87" t="s">
        <v>22</v>
      </c>
      <c r="JL9" s="87" t="s">
        <v>23</v>
      </c>
      <c r="JM9" s="108"/>
      <c r="JN9" s="110"/>
      <c r="JO9" s="104"/>
      <c r="JP9" s="104"/>
      <c r="JQ9" s="88" t="s">
        <v>31</v>
      </c>
      <c r="JR9" s="88" t="s">
        <v>32</v>
      </c>
      <c r="JS9" s="106"/>
      <c r="JT9" s="106"/>
      <c r="JU9" s="108"/>
      <c r="JV9" s="110"/>
      <c r="JW9" s="104"/>
      <c r="JX9" s="104"/>
      <c r="JY9" s="104"/>
      <c r="JZ9" s="112"/>
      <c r="KA9" s="86" t="s">
        <v>4</v>
      </c>
      <c r="KB9" s="86" t="s">
        <v>4</v>
      </c>
      <c r="KC9" s="86" t="s">
        <v>4</v>
      </c>
      <c r="KD9" s="86" t="s">
        <v>4</v>
      </c>
      <c r="KE9" s="86" t="s">
        <v>4</v>
      </c>
      <c r="KF9" s="86" t="s">
        <v>4</v>
      </c>
      <c r="KG9" s="86" t="s">
        <v>6</v>
      </c>
      <c r="KH9" s="86" t="s">
        <v>5</v>
      </c>
      <c r="KI9" s="115"/>
      <c r="KJ9" s="87" t="s">
        <v>20</v>
      </c>
      <c r="KK9" s="87" t="s">
        <v>21</v>
      </c>
      <c r="KL9" s="108"/>
      <c r="KM9" s="110"/>
      <c r="KN9" s="86" t="s">
        <v>4</v>
      </c>
      <c r="KO9" s="86" t="s">
        <v>4</v>
      </c>
      <c r="KP9" s="86" t="s">
        <v>4</v>
      </c>
      <c r="KQ9" s="86" t="s">
        <v>4</v>
      </c>
      <c r="KR9" s="86" t="s">
        <v>4</v>
      </c>
      <c r="KS9" s="86" t="s">
        <v>4</v>
      </c>
      <c r="KT9" s="86" t="s">
        <v>6</v>
      </c>
      <c r="KU9" s="86" t="s">
        <v>5</v>
      </c>
      <c r="KV9" s="112"/>
      <c r="KW9" s="87" t="s">
        <v>22</v>
      </c>
      <c r="KX9" s="87" t="s">
        <v>23</v>
      </c>
      <c r="KY9" s="108"/>
      <c r="KZ9" s="110"/>
      <c r="LA9" s="104"/>
      <c r="LB9" s="104"/>
      <c r="LC9" s="88" t="s">
        <v>31</v>
      </c>
      <c r="LD9" s="88" t="s">
        <v>32</v>
      </c>
      <c r="LE9" s="106"/>
      <c r="LF9" s="106"/>
      <c r="LG9" s="108"/>
      <c r="LH9" s="110"/>
      <c r="LI9" s="104"/>
      <c r="LJ9" s="104"/>
      <c r="LK9" s="104"/>
      <c r="LL9" s="112"/>
      <c r="LM9" s="86" t="s">
        <v>4</v>
      </c>
      <c r="LN9" s="86" t="s">
        <v>4</v>
      </c>
      <c r="LO9" s="86" t="s">
        <v>4</v>
      </c>
      <c r="LP9" s="86" t="s">
        <v>4</v>
      </c>
      <c r="LQ9" s="86" t="s">
        <v>4</v>
      </c>
      <c r="LR9" s="86" t="s">
        <v>4</v>
      </c>
      <c r="LS9" s="86" t="s">
        <v>6</v>
      </c>
      <c r="LT9" s="86" t="s">
        <v>5</v>
      </c>
      <c r="LU9" s="115"/>
      <c r="LV9" s="87" t="s">
        <v>20</v>
      </c>
      <c r="LW9" s="87" t="s">
        <v>21</v>
      </c>
      <c r="LX9" s="108"/>
      <c r="LY9" s="110"/>
      <c r="LZ9" s="86" t="s">
        <v>4</v>
      </c>
      <c r="MA9" s="86" t="s">
        <v>4</v>
      </c>
      <c r="MB9" s="86" t="s">
        <v>4</v>
      </c>
      <c r="MC9" s="86" t="s">
        <v>4</v>
      </c>
      <c r="MD9" s="86" t="s">
        <v>4</v>
      </c>
      <c r="ME9" s="86" t="s">
        <v>4</v>
      </c>
      <c r="MF9" s="86" t="s">
        <v>6</v>
      </c>
      <c r="MG9" s="86" t="s">
        <v>5</v>
      </c>
      <c r="MH9" s="112"/>
      <c r="MI9" s="87" t="s">
        <v>22</v>
      </c>
      <c r="MJ9" s="87" t="s">
        <v>23</v>
      </c>
      <c r="MK9" s="108"/>
      <c r="ML9" s="110"/>
      <c r="MM9" s="104"/>
      <c r="MN9" s="104"/>
      <c r="MO9" s="88" t="s">
        <v>31</v>
      </c>
      <c r="MP9" s="88" t="s">
        <v>32</v>
      </c>
      <c r="MQ9" s="106"/>
      <c r="MR9" s="106"/>
      <c r="MS9" s="108"/>
      <c r="MT9" s="110"/>
      <c r="MU9" s="104"/>
      <c r="MV9" s="104"/>
      <c r="MW9" s="104"/>
      <c r="MX9" s="112"/>
      <c r="MY9" s="86" t="s">
        <v>4</v>
      </c>
      <c r="MZ9" s="86" t="s">
        <v>4</v>
      </c>
      <c r="NA9" s="86" t="s">
        <v>4</v>
      </c>
      <c r="NB9" s="86" t="s">
        <v>4</v>
      </c>
      <c r="NC9" s="86" t="s">
        <v>4</v>
      </c>
      <c r="ND9" s="86" t="s">
        <v>4</v>
      </c>
      <c r="NE9" s="86" t="s">
        <v>6</v>
      </c>
      <c r="NF9" s="86" t="s">
        <v>5</v>
      </c>
      <c r="NG9" s="115"/>
      <c r="NH9" s="87" t="s">
        <v>20</v>
      </c>
      <c r="NI9" s="87" t="s">
        <v>21</v>
      </c>
      <c r="NJ9" s="108"/>
      <c r="NK9" s="110"/>
      <c r="NL9" s="86" t="s">
        <v>4</v>
      </c>
      <c r="NM9" s="86" t="s">
        <v>4</v>
      </c>
      <c r="NN9" s="86" t="s">
        <v>4</v>
      </c>
      <c r="NO9" s="86" t="s">
        <v>4</v>
      </c>
      <c r="NP9" s="86" t="s">
        <v>4</v>
      </c>
      <c r="NQ9" s="86" t="s">
        <v>4</v>
      </c>
      <c r="NR9" s="86" t="s">
        <v>6</v>
      </c>
      <c r="NS9" s="86" t="s">
        <v>5</v>
      </c>
      <c r="NT9" s="112"/>
      <c r="NU9" s="87" t="s">
        <v>22</v>
      </c>
      <c r="NV9" s="87" t="s">
        <v>23</v>
      </c>
      <c r="NW9" s="108"/>
      <c r="NX9" s="110"/>
      <c r="NY9" s="104"/>
      <c r="NZ9" s="104"/>
      <c r="OA9" s="88" t="s">
        <v>31</v>
      </c>
      <c r="OB9" s="88" t="s">
        <v>32</v>
      </c>
      <c r="OC9" s="106"/>
      <c r="OD9" s="106"/>
      <c r="OE9" s="108"/>
      <c r="OF9" s="110"/>
      <c r="OG9" s="104"/>
      <c r="OH9" s="104"/>
      <c r="OI9" s="104"/>
      <c r="OJ9" s="112"/>
      <c r="OK9" s="86" t="s">
        <v>4</v>
      </c>
      <c r="OL9" s="86" t="s">
        <v>4</v>
      </c>
      <c r="OM9" s="86" t="s">
        <v>4</v>
      </c>
      <c r="ON9" s="86" t="s">
        <v>4</v>
      </c>
      <c r="OO9" s="86" t="s">
        <v>4</v>
      </c>
      <c r="OP9" s="86" t="s">
        <v>4</v>
      </c>
      <c r="OQ9" s="86" t="s">
        <v>6</v>
      </c>
      <c r="OR9" s="86" t="s">
        <v>5</v>
      </c>
      <c r="OS9" s="115"/>
      <c r="OT9" s="87" t="s">
        <v>20</v>
      </c>
      <c r="OU9" s="87" t="s">
        <v>21</v>
      </c>
      <c r="OV9" s="108"/>
      <c r="OW9" s="110"/>
      <c r="OX9" s="86" t="s">
        <v>4</v>
      </c>
      <c r="OY9" s="86" t="s">
        <v>4</v>
      </c>
      <c r="OZ9" s="86" t="s">
        <v>4</v>
      </c>
      <c r="PA9" s="86" t="s">
        <v>4</v>
      </c>
      <c r="PB9" s="86" t="s">
        <v>4</v>
      </c>
      <c r="PC9" s="86" t="s">
        <v>4</v>
      </c>
      <c r="PD9" s="86" t="s">
        <v>6</v>
      </c>
      <c r="PE9" s="86" t="s">
        <v>5</v>
      </c>
      <c r="PF9" s="112"/>
      <c r="PG9" s="87" t="s">
        <v>22</v>
      </c>
      <c r="PH9" s="87" t="s">
        <v>23</v>
      </c>
      <c r="PI9" s="108"/>
      <c r="PJ9" s="110"/>
      <c r="PK9" s="104"/>
      <c r="PL9" s="104"/>
      <c r="PM9" s="88" t="s">
        <v>31</v>
      </c>
      <c r="PN9" s="88" t="s">
        <v>32</v>
      </c>
      <c r="PO9" s="106"/>
      <c r="PP9" s="106"/>
      <c r="PQ9" s="108"/>
      <c r="PR9" s="110"/>
      <c r="PS9" s="104"/>
      <c r="PT9" s="104"/>
      <c r="PU9" s="104"/>
      <c r="PV9" s="112"/>
      <c r="PW9" s="86" t="s">
        <v>4</v>
      </c>
      <c r="PX9" s="86" t="s">
        <v>4</v>
      </c>
      <c r="PY9" s="86" t="s">
        <v>4</v>
      </c>
      <c r="PZ9" s="86" t="s">
        <v>4</v>
      </c>
      <c r="QA9" s="86" t="s">
        <v>4</v>
      </c>
      <c r="QB9" s="86" t="s">
        <v>4</v>
      </c>
      <c r="QC9" s="86" t="s">
        <v>6</v>
      </c>
      <c r="QD9" s="86" t="s">
        <v>5</v>
      </c>
      <c r="QE9" s="115"/>
      <c r="QF9" s="87" t="s">
        <v>20</v>
      </c>
      <c r="QG9" s="87" t="s">
        <v>21</v>
      </c>
      <c r="QH9" s="108"/>
      <c r="QI9" s="110"/>
      <c r="QJ9" s="86" t="s">
        <v>4</v>
      </c>
      <c r="QK9" s="86" t="s">
        <v>4</v>
      </c>
      <c r="QL9" s="86" t="s">
        <v>4</v>
      </c>
      <c r="QM9" s="86" t="s">
        <v>4</v>
      </c>
      <c r="QN9" s="86" t="s">
        <v>4</v>
      </c>
      <c r="QO9" s="86" t="s">
        <v>4</v>
      </c>
      <c r="QP9" s="86" t="s">
        <v>6</v>
      </c>
      <c r="QQ9" s="86" t="s">
        <v>5</v>
      </c>
      <c r="QR9" s="112"/>
      <c r="QS9" s="87" t="s">
        <v>22</v>
      </c>
      <c r="QT9" s="87" t="s">
        <v>23</v>
      </c>
      <c r="QU9" s="108"/>
      <c r="QV9" s="110"/>
      <c r="QW9" s="104"/>
      <c r="QX9" s="104"/>
      <c r="QY9" s="88" t="s">
        <v>31</v>
      </c>
      <c r="QZ9" s="88" t="s">
        <v>32</v>
      </c>
      <c r="RA9" s="106"/>
      <c r="RB9" s="106"/>
      <c r="RC9" s="108"/>
      <c r="RD9" s="110"/>
      <c r="RE9" s="104"/>
      <c r="RF9" s="104"/>
      <c r="RG9" s="104"/>
      <c r="RH9" s="112"/>
      <c r="RI9" s="86" t="s">
        <v>4</v>
      </c>
      <c r="RJ9" s="86" t="s">
        <v>4</v>
      </c>
      <c r="RK9" s="86" t="s">
        <v>4</v>
      </c>
      <c r="RL9" s="86" t="s">
        <v>4</v>
      </c>
      <c r="RM9" s="86" t="s">
        <v>4</v>
      </c>
      <c r="RN9" s="86" t="s">
        <v>4</v>
      </c>
      <c r="RO9" s="86" t="s">
        <v>6</v>
      </c>
      <c r="RP9" s="86" t="s">
        <v>5</v>
      </c>
      <c r="RQ9" s="115"/>
      <c r="RR9" s="87" t="s">
        <v>20</v>
      </c>
      <c r="RS9" s="87" t="s">
        <v>21</v>
      </c>
      <c r="RT9" s="108"/>
      <c r="RU9" s="110"/>
      <c r="RV9" s="86" t="s">
        <v>4</v>
      </c>
      <c r="RW9" s="86" t="s">
        <v>4</v>
      </c>
      <c r="RX9" s="86" t="s">
        <v>4</v>
      </c>
      <c r="RY9" s="86" t="s">
        <v>4</v>
      </c>
      <c r="RZ9" s="86" t="s">
        <v>4</v>
      </c>
      <c r="SA9" s="86" t="s">
        <v>4</v>
      </c>
      <c r="SB9" s="86" t="s">
        <v>6</v>
      </c>
      <c r="SC9" s="86" t="s">
        <v>5</v>
      </c>
      <c r="SD9" s="112"/>
      <c r="SE9" s="87" t="s">
        <v>22</v>
      </c>
      <c r="SF9" s="87" t="s">
        <v>23</v>
      </c>
      <c r="SG9" s="108"/>
      <c r="SH9" s="110"/>
      <c r="SI9" s="104"/>
      <c r="SJ9" s="104"/>
      <c r="SK9" s="88" t="s">
        <v>31</v>
      </c>
      <c r="SL9" s="88" t="s">
        <v>32</v>
      </c>
      <c r="SM9" s="106"/>
      <c r="SN9" s="106"/>
      <c r="SO9" s="108"/>
      <c r="SP9" s="110"/>
      <c r="SQ9" s="104"/>
      <c r="SR9" s="104"/>
      <c r="SS9" s="104"/>
      <c r="ST9" s="112"/>
      <c r="SU9" s="86" t="s">
        <v>4</v>
      </c>
      <c r="SV9" s="86" t="s">
        <v>4</v>
      </c>
      <c r="SW9" s="86" t="s">
        <v>4</v>
      </c>
      <c r="SX9" s="86" t="s">
        <v>4</v>
      </c>
      <c r="SY9" s="86" t="s">
        <v>4</v>
      </c>
      <c r="SZ9" s="86" t="s">
        <v>4</v>
      </c>
      <c r="TA9" s="86" t="s">
        <v>6</v>
      </c>
      <c r="TB9" s="86" t="s">
        <v>5</v>
      </c>
      <c r="TC9" s="115"/>
      <c r="TD9" s="87" t="s">
        <v>20</v>
      </c>
      <c r="TE9" s="87" t="s">
        <v>21</v>
      </c>
      <c r="TF9" s="108"/>
      <c r="TG9" s="110"/>
      <c r="TH9" s="86" t="s">
        <v>4</v>
      </c>
      <c r="TI9" s="86" t="s">
        <v>4</v>
      </c>
      <c r="TJ9" s="86" t="s">
        <v>4</v>
      </c>
      <c r="TK9" s="86" t="s">
        <v>4</v>
      </c>
      <c r="TL9" s="86" t="s">
        <v>4</v>
      </c>
      <c r="TM9" s="86" t="s">
        <v>4</v>
      </c>
      <c r="TN9" s="86" t="s">
        <v>6</v>
      </c>
      <c r="TO9" s="86" t="s">
        <v>5</v>
      </c>
      <c r="TP9" s="112"/>
      <c r="TQ9" s="87" t="s">
        <v>22</v>
      </c>
      <c r="TR9" s="87" t="s">
        <v>23</v>
      </c>
      <c r="TS9" s="108"/>
      <c r="TT9" s="110"/>
      <c r="TU9" s="104"/>
      <c r="TV9" s="104"/>
      <c r="TW9" s="88" t="s">
        <v>31</v>
      </c>
      <c r="TX9" s="88" t="s">
        <v>32</v>
      </c>
      <c r="TY9" s="106"/>
      <c r="TZ9" s="106"/>
      <c r="UA9" s="108"/>
      <c r="UB9" s="110"/>
      <c r="UC9" s="104"/>
      <c r="UD9" s="104"/>
      <c r="UE9" s="104"/>
      <c r="UF9" s="112"/>
      <c r="UG9" s="86" t="s">
        <v>4</v>
      </c>
      <c r="UH9" s="86" t="s">
        <v>4</v>
      </c>
      <c r="UI9" s="86" t="s">
        <v>4</v>
      </c>
      <c r="UJ9" s="86" t="s">
        <v>4</v>
      </c>
      <c r="UK9" s="86" t="s">
        <v>4</v>
      </c>
      <c r="UL9" s="86" t="s">
        <v>4</v>
      </c>
      <c r="UM9" s="86" t="s">
        <v>6</v>
      </c>
      <c r="UN9" s="86" t="s">
        <v>5</v>
      </c>
      <c r="UO9" s="115"/>
      <c r="UP9" s="87" t="s">
        <v>20</v>
      </c>
      <c r="UQ9" s="87" t="s">
        <v>21</v>
      </c>
      <c r="UR9" s="108"/>
      <c r="US9" s="110"/>
      <c r="UT9" s="86" t="s">
        <v>4</v>
      </c>
      <c r="UU9" s="86" t="s">
        <v>4</v>
      </c>
      <c r="UV9" s="86" t="s">
        <v>4</v>
      </c>
      <c r="UW9" s="86" t="s">
        <v>4</v>
      </c>
      <c r="UX9" s="86" t="s">
        <v>4</v>
      </c>
      <c r="UY9" s="86" t="s">
        <v>4</v>
      </c>
      <c r="UZ9" s="86" t="s">
        <v>6</v>
      </c>
      <c r="VA9" s="86" t="s">
        <v>5</v>
      </c>
      <c r="VB9" s="112"/>
      <c r="VC9" s="87" t="s">
        <v>22</v>
      </c>
      <c r="VD9" s="87" t="s">
        <v>23</v>
      </c>
      <c r="VE9" s="108"/>
      <c r="VF9" s="110"/>
      <c r="VG9" s="104"/>
      <c r="VH9" s="104"/>
      <c r="VI9" s="88" t="s">
        <v>31</v>
      </c>
      <c r="VJ9" s="88" t="s">
        <v>32</v>
      </c>
      <c r="VK9" s="106"/>
      <c r="VL9" s="106"/>
      <c r="VM9" s="108"/>
      <c r="VN9" s="110"/>
      <c r="VO9" s="104"/>
      <c r="VP9" s="104"/>
      <c r="VQ9" s="104"/>
      <c r="VR9" s="112"/>
      <c r="VS9" s="86" t="s">
        <v>4</v>
      </c>
      <c r="VT9" s="86" t="s">
        <v>4</v>
      </c>
      <c r="VU9" s="86" t="s">
        <v>4</v>
      </c>
      <c r="VV9" s="86" t="s">
        <v>4</v>
      </c>
      <c r="VW9" s="86" t="s">
        <v>4</v>
      </c>
      <c r="VX9" s="86" t="s">
        <v>4</v>
      </c>
      <c r="VY9" s="86" t="s">
        <v>6</v>
      </c>
      <c r="VZ9" s="86" t="s">
        <v>5</v>
      </c>
      <c r="WA9" s="115"/>
      <c r="WB9" s="87" t="s">
        <v>20</v>
      </c>
      <c r="WC9" s="87" t="s">
        <v>21</v>
      </c>
      <c r="WD9" s="108"/>
      <c r="WE9" s="110"/>
      <c r="WF9" s="86" t="s">
        <v>4</v>
      </c>
      <c r="WG9" s="86" t="s">
        <v>4</v>
      </c>
      <c r="WH9" s="86" t="s">
        <v>4</v>
      </c>
      <c r="WI9" s="86" t="s">
        <v>4</v>
      </c>
      <c r="WJ9" s="86" t="s">
        <v>4</v>
      </c>
      <c r="WK9" s="86" t="s">
        <v>4</v>
      </c>
      <c r="WL9" s="86" t="s">
        <v>6</v>
      </c>
      <c r="WM9" s="86" t="s">
        <v>5</v>
      </c>
      <c r="WN9" s="112"/>
      <c r="WO9" s="87" t="s">
        <v>22</v>
      </c>
      <c r="WP9" s="87" t="s">
        <v>23</v>
      </c>
      <c r="WQ9" s="108"/>
      <c r="WR9" s="110"/>
      <c r="WS9" s="104"/>
      <c r="WT9" s="104"/>
      <c r="WU9" s="88" t="s">
        <v>31</v>
      </c>
      <c r="WV9" s="88" t="s">
        <v>32</v>
      </c>
      <c r="WW9" s="106"/>
      <c r="WX9" s="106"/>
      <c r="WY9" s="108"/>
      <c r="WZ9" s="110"/>
      <c r="XA9" s="104"/>
      <c r="XB9" s="104"/>
      <c r="XC9" s="104"/>
      <c r="XD9" s="112"/>
      <c r="XE9" s="86" t="s">
        <v>4</v>
      </c>
      <c r="XF9" s="86" t="s">
        <v>4</v>
      </c>
      <c r="XG9" s="86" t="s">
        <v>4</v>
      </c>
      <c r="XH9" s="86" t="s">
        <v>4</v>
      </c>
      <c r="XI9" s="86" t="s">
        <v>4</v>
      </c>
      <c r="XJ9" s="86" t="s">
        <v>4</v>
      </c>
      <c r="XK9" s="86" t="s">
        <v>6</v>
      </c>
      <c r="XL9" s="86" t="s">
        <v>5</v>
      </c>
      <c r="XM9" s="115"/>
      <c r="XN9" s="87" t="s">
        <v>20</v>
      </c>
      <c r="XO9" s="87" t="s">
        <v>21</v>
      </c>
      <c r="XP9" s="108"/>
      <c r="XQ9" s="110"/>
      <c r="XR9" s="86" t="s">
        <v>4</v>
      </c>
      <c r="XS9" s="86" t="s">
        <v>4</v>
      </c>
      <c r="XT9" s="86" t="s">
        <v>4</v>
      </c>
      <c r="XU9" s="86" t="s">
        <v>4</v>
      </c>
      <c r="XV9" s="86" t="s">
        <v>4</v>
      </c>
      <c r="XW9" s="86" t="s">
        <v>4</v>
      </c>
      <c r="XX9" s="86" t="s">
        <v>6</v>
      </c>
      <c r="XY9" s="86" t="s">
        <v>5</v>
      </c>
      <c r="XZ9" s="112"/>
      <c r="YA9" s="87" t="s">
        <v>22</v>
      </c>
      <c r="YB9" s="87" t="s">
        <v>23</v>
      </c>
      <c r="YC9" s="108"/>
      <c r="YD9" s="110"/>
      <c r="YE9" s="104"/>
      <c r="YF9" s="104"/>
      <c r="YG9" s="88" t="s">
        <v>31</v>
      </c>
      <c r="YH9" s="88" t="s">
        <v>32</v>
      </c>
      <c r="YI9" s="106"/>
      <c r="YJ9" s="106"/>
      <c r="YK9" s="108"/>
      <c r="YL9" s="110"/>
      <c r="YM9" s="104"/>
      <c r="YN9" s="104"/>
      <c r="YO9" s="104"/>
      <c r="YP9" s="112"/>
      <c r="YQ9" s="86" t="s">
        <v>4</v>
      </c>
      <c r="YR9" s="86" t="s">
        <v>4</v>
      </c>
      <c r="YS9" s="86" t="s">
        <v>4</v>
      </c>
      <c r="YT9" s="86" t="s">
        <v>4</v>
      </c>
      <c r="YU9" s="86" t="s">
        <v>4</v>
      </c>
      <c r="YV9" s="86" t="s">
        <v>4</v>
      </c>
      <c r="YW9" s="86" t="s">
        <v>6</v>
      </c>
      <c r="YX9" s="86" t="s">
        <v>5</v>
      </c>
      <c r="YY9" s="115"/>
      <c r="YZ9" s="87" t="s">
        <v>20</v>
      </c>
      <c r="ZA9" s="87" t="s">
        <v>21</v>
      </c>
      <c r="ZB9" s="108"/>
      <c r="ZC9" s="110"/>
      <c r="ZD9" s="86" t="s">
        <v>4</v>
      </c>
      <c r="ZE9" s="86" t="s">
        <v>4</v>
      </c>
      <c r="ZF9" s="86" t="s">
        <v>4</v>
      </c>
      <c r="ZG9" s="86" t="s">
        <v>4</v>
      </c>
      <c r="ZH9" s="86" t="s">
        <v>4</v>
      </c>
      <c r="ZI9" s="86" t="s">
        <v>4</v>
      </c>
      <c r="ZJ9" s="86" t="s">
        <v>6</v>
      </c>
      <c r="ZK9" s="86" t="s">
        <v>5</v>
      </c>
      <c r="ZL9" s="112"/>
      <c r="ZM9" s="87" t="s">
        <v>22</v>
      </c>
      <c r="ZN9" s="87" t="s">
        <v>23</v>
      </c>
      <c r="ZO9" s="108"/>
      <c r="ZP9" s="110"/>
      <c r="ZQ9" s="104"/>
      <c r="ZR9" s="104"/>
      <c r="ZS9" s="88" t="s">
        <v>31</v>
      </c>
      <c r="ZT9" s="88" t="s">
        <v>32</v>
      </c>
      <c r="ZU9" s="106"/>
      <c r="ZV9" s="106"/>
      <c r="ZW9" s="108"/>
      <c r="ZX9" s="110"/>
      <c r="ZY9" s="104"/>
      <c r="ZZ9" s="104"/>
      <c r="AAA9" s="104"/>
      <c r="AAB9" s="112"/>
      <c r="AAC9" s="86" t="s">
        <v>4</v>
      </c>
      <c r="AAD9" s="86" t="s">
        <v>4</v>
      </c>
      <c r="AAE9" s="86" t="s">
        <v>4</v>
      </c>
      <c r="AAF9" s="86" t="s">
        <v>4</v>
      </c>
      <c r="AAG9" s="86" t="s">
        <v>4</v>
      </c>
      <c r="AAH9" s="86" t="s">
        <v>4</v>
      </c>
      <c r="AAI9" s="86" t="s">
        <v>6</v>
      </c>
      <c r="AAJ9" s="86" t="s">
        <v>5</v>
      </c>
      <c r="AAK9" s="115"/>
      <c r="AAL9" s="87" t="s">
        <v>20</v>
      </c>
      <c r="AAM9" s="87" t="s">
        <v>21</v>
      </c>
      <c r="AAN9" s="108"/>
      <c r="AAO9" s="110"/>
      <c r="AAP9" s="86" t="s">
        <v>4</v>
      </c>
      <c r="AAQ9" s="86" t="s">
        <v>4</v>
      </c>
      <c r="AAR9" s="86" t="s">
        <v>4</v>
      </c>
      <c r="AAS9" s="86" t="s">
        <v>4</v>
      </c>
      <c r="AAT9" s="86" t="s">
        <v>4</v>
      </c>
      <c r="AAU9" s="86" t="s">
        <v>4</v>
      </c>
      <c r="AAV9" s="86" t="s">
        <v>6</v>
      </c>
      <c r="AAW9" s="86" t="s">
        <v>5</v>
      </c>
      <c r="AAX9" s="112"/>
      <c r="AAY9" s="87" t="s">
        <v>22</v>
      </c>
      <c r="AAZ9" s="87" t="s">
        <v>23</v>
      </c>
      <c r="ABA9" s="108"/>
      <c r="ABB9" s="110"/>
      <c r="ABC9" s="104"/>
      <c r="ABD9" s="104"/>
      <c r="ABE9" s="88" t="s">
        <v>31</v>
      </c>
      <c r="ABF9" s="88" t="s">
        <v>32</v>
      </c>
      <c r="ABG9" s="106"/>
      <c r="ABH9" s="106"/>
      <c r="ABI9" s="108"/>
      <c r="ABJ9" s="110"/>
      <c r="ABK9" s="104"/>
      <c r="ABL9" s="104"/>
      <c r="ABM9" s="104"/>
      <c r="ABN9" s="112"/>
      <c r="ABO9" s="86" t="s">
        <v>4</v>
      </c>
      <c r="ABP9" s="86" t="s">
        <v>4</v>
      </c>
      <c r="ABQ9" s="86" t="s">
        <v>4</v>
      </c>
      <c r="ABR9" s="86" t="s">
        <v>4</v>
      </c>
      <c r="ABS9" s="86" t="s">
        <v>4</v>
      </c>
      <c r="ABT9" s="86" t="s">
        <v>4</v>
      </c>
      <c r="ABU9" s="86" t="s">
        <v>6</v>
      </c>
      <c r="ABV9" s="86" t="s">
        <v>5</v>
      </c>
      <c r="ABW9" s="115"/>
      <c r="ABX9" s="87" t="s">
        <v>20</v>
      </c>
      <c r="ABY9" s="87" t="s">
        <v>21</v>
      </c>
      <c r="ABZ9" s="108"/>
      <c r="ACA9" s="110"/>
      <c r="ACB9" s="86" t="s">
        <v>4</v>
      </c>
      <c r="ACC9" s="86" t="s">
        <v>4</v>
      </c>
      <c r="ACD9" s="86" t="s">
        <v>4</v>
      </c>
      <c r="ACE9" s="86" t="s">
        <v>4</v>
      </c>
      <c r="ACF9" s="86" t="s">
        <v>4</v>
      </c>
      <c r="ACG9" s="86" t="s">
        <v>4</v>
      </c>
      <c r="ACH9" s="86" t="s">
        <v>6</v>
      </c>
      <c r="ACI9" s="86" t="s">
        <v>5</v>
      </c>
      <c r="ACJ9" s="112"/>
      <c r="ACK9" s="87" t="s">
        <v>22</v>
      </c>
      <c r="ACL9" s="87" t="s">
        <v>23</v>
      </c>
      <c r="ACM9" s="108"/>
      <c r="ACN9" s="110"/>
      <c r="ACO9" s="104"/>
      <c r="ACP9" s="104"/>
      <c r="ACQ9" s="88" t="s">
        <v>31</v>
      </c>
      <c r="ACR9" s="88" t="s">
        <v>32</v>
      </c>
      <c r="ACS9" s="106"/>
      <c r="ACT9" s="106"/>
      <c r="ACU9" s="108"/>
      <c r="ACV9" s="110"/>
      <c r="ACW9" s="104"/>
      <c r="ACX9" s="104"/>
      <c r="ACY9" s="104"/>
      <c r="ACZ9" s="112"/>
      <c r="ADA9" s="86" t="s">
        <v>4</v>
      </c>
      <c r="ADB9" s="86" t="s">
        <v>4</v>
      </c>
      <c r="ADC9" s="86" t="s">
        <v>4</v>
      </c>
      <c r="ADD9" s="86" t="s">
        <v>4</v>
      </c>
      <c r="ADE9" s="86" t="s">
        <v>4</v>
      </c>
      <c r="ADF9" s="86" t="s">
        <v>4</v>
      </c>
      <c r="ADG9" s="86" t="s">
        <v>6</v>
      </c>
      <c r="ADH9" s="86" t="s">
        <v>5</v>
      </c>
      <c r="ADI9" s="115"/>
      <c r="ADJ9" s="87" t="s">
        <v>20</v>
      </c>
      <c r="ADK9" s="87" t="s">
        <v>21</v>
      </c>
      <c r="ADL9" s="108"/>
      <c r="ADM9" s="110"/>
      <c r="ADN9" s="86" t="s">
        <v>4</v>
      </c>
      <c r="ADO9" s="86" t="s">
        <v>4</v>
      </c>
      <c r="ADP9" s="86" t="s">
        <v>4</v>
      </c>
      <c r="ADQ9" s="86" t="s">
        <v>4</v>
      </c>
      <c r="ADR9" s="86" t="s">
        <v>4</v>
      </c>
      <c r="ADS9" s="86" t="s">
        <v>4</v>
      </c>
      <c r="ADT9" s="86" t="s">
        <v>6</v>
      </c>
      <c r="ADU9" s="86" t="s">
        <v>5</v>
      </c>
      <c r="ADV9" s="112"/>
      <c r="ADW9" s="87" t="s">
        <v>22</v>
      </c>
      <c r="ADX9" s="87" t="s">
        <v>23</v>
      </c>
      <c r="ADY9" s="108"/>
      <c r="ADZ9" s="110"/>
      <c r="AEA9" s="104"/>
      <c r="AEB9" s="104"/>
      <c r="AEC9" s="88" t="s">
        <v>31</v>
      </c>
      <c r="AED9" s="88" t="s">
        <v>32</v>
      </c>
      <c r="AEE9" s="106"/>
      <c r="AEF9" s="106"/>
      <c r="AEG9" s="108"/>
      <c r="AEH9" s="110"/>
      <c r="AEI9" s="104"/>
      <c r="AEJ9" s="104"/>
      <c r="AEK9" s="104"/>
      <c r="AEL9" s="112"/>
      <c r="AEM9" s="86" t="s">
        <v>4</v>
      </c>
      <c r="AEN9" s="86" t="s">
        <v>4</v>
      </c>
      <c r="AEO9" s="86" t="s">
        <v>4</v>
      </c>
      <c r="AEP9" s="86" t="s">
        <v>4</v>
      </c>
      <c r="AEQ9" s="86" t="s">
        <v>4</v>
      </c>
      <c r="AER9" s="86" t="s">
        <v>4</v>
      </c>
      <c r="AES9" s="86" t="s">
        <v>6</v>
      </c>
      <c r="AET9" s="86" t="s">
        <v>5</v>
      </c>
      <c r="AEU9" s="115"/>
      <c r="AEV9" s="87" t="s">
        <v>20</v>
      </c>
      <c r="AEW9" s="87" t="s">
        <v>21</v>
      </c>
      <c r="AEX9" s="108"/>
      <c r="AEY9" s="110"/>
      <c r="AEZ9" s="86" t="s">
        <v>4</v>
      </c>
      <c r="AFA9" s="86" t="s">
        <v>4</v>
      </c>
      <c r="AFB9" s="86" t="s">
        <v>4</v>
      </c>
      <c r="AFC9" s="86" t="s">
        <v>4</v>
      </c>
      <c r="AFD9" s="86" t="s">
        <v>4</v>
      </c>
      <c r="AFE9" s="86" t="s">
        <v>4</v>
      </c>
      <c r="AFF9" s="86" t="s">
        <v>6</v>
      </c>
      <c r="AFG9" s="86" t="s">
        <v>5</v>
      </c>
      <c r="AFH9" s="112"/>
      <c r="AFI9" s="87" t="s">
        <v>22</v>
      </c>
      <c r="AFJ9" s="87" t="s">
        <v>23</v>
      </c>
      <c r="AFK9" s="108"/>
      <c r="AFL9" s="110"/>
      <c r="AFM9" s="104"/>
      <c r="AFN9" s="104"/>
      <c r="AFO9" s="88" t="s">
        <v>31</v>
      </c>
      <c r="AFP9" s="88" t="s">
        <v>32</v>
      </c>
      <c r="AFQ9" s="106"/>
      <c r="AFR9" s="106"/>
      <c r="AFS9" s="108"/>
      <c r="AFT9" s="110"/>
      <c r="AFU9" s="104"/>
      <c r="AFV9" s="104"/>
      <c r="AFW9" s="104"/>
      <c r="AFX9" s="112"/>
      <c r="AFY9" s="86" t="s">
        <v>4</v>
      </c>
      <c r="AFZ9" s="86" t="s">
        <v>4</v>
      </c>
      <c r="AGA9" s="86" t="s">
        <v>4</v>
      </c>
      <c r="AGB9" s="86" t="s">
        <v>4</v>
      </c>
      <c r="AGC9" s="86" t="s">
        <v>4</v>
      </c>
      <c r="AGD9" s="86" t="s">
        <v>4</v>
      </c>
      <c r="AGE9" s="86" t="s">
        <v>6</v>
      </c>
      <c r="AGF9" s="86" t="s">
        <v>5</v>
      </c>
      <c r="AGG9" s="115"/>
      <c r="AGH9" s="87" t="s">
        <v>20</v>
      </c>
      <c r="AGI9" s="87" t="s">
        <v>21</v>
      </c>
      <c r="AGJ9" s="108"/>
      <c r="AGK9" s="110"/>
      <c r="AGL9" s="86" t="s">
        <v>4</v>
      </c>
      <c r="AGM9" s="86" t="s">
        <v>4</v>
      </c>
      <c r="AGN9" s="86" t="s">
        <v>4</v>
      </c>
      <c r="AGO9" s="86" t="s">
        <v>4</v>
      </c>
      <c r="AGP9" s="86" t="s">
        <v>4</v>
      </c>
      <c r="AGQ9" s="86" t="s">
        <v>4</v>
      </c>
      <c r="AGR9" s="86" t="s">
        <v>6</v>
      </c>
      <c r="AGS9" s="86" t="s">
        <v>5</v>
      </c>
      <c r="AGT9" s="112"/>
      <c r="AGU9" s="87" t="s">
        <v>22</v>
      </c>
      <c r="AGV9" s="87" t="s">
        <v>23</v>
      </c>
      <c r="AGW9" s="108"/>
      <c r="AGX9" s="110"/>
      <c r="AGY9" s="104"/>
      <c r="AGZ9" s="104"/>
      <c r="AHA9" s="88" t="s">
        <v>31</v>
      </c>
      <c r="AHB9" s="88" t="s">
        <v>32</v>
      </c>
      <c r="AHC9" s="106"/>
      <c r="AHD9" s="106"/>
      <c r="AHE9" s="108"/>
      <c r="AHF9" s="110"/>
      <c r="AHG9" s="104"/>
      <c r="AHH9" s="104"/>
      <c r="AHI9" s="104"/>
      <c r="AHJ9" s="112"/>
      <c r="AHK9" s="86" t="s">
        <v>4</v>
      </c>
      <c r="AHL9" s="86" t="s">
        <v>4</v>
      </c>
      <c r="AHM9" s="86" t="s">
        <v>4</v>
      </c>
      <c r="AHN9" s="86" t="s">
        <v>4</v>
      </c>
      <c r="AHO9" s="86" t="s">
        <v>4</v>
      </c>
      <c r="AHP9" s="86" t="s">
        <v>4</v>
      </c>
      <c r="AHQ9" s="86" t="s">
        <v>6</v>
      </c>
      <c r="AHR9" s="86" t="s">
        <v>5</v>
      </c>
      <c r="AHS9" s="115"/>
      <c r="AHT9" s="87" t="s">
        <v>20</v>
      </c>
      <c r="AHU9" s="87" t="s">
        <v>21</v>
      </c>
      <c r="AHV9" s="108"/>
      <c r="AHW9" s="110"/>
      <c r="AHX9" s="86" t="s">
        <v>4</v>
      </c>
      <c r="AHY9" s="86" t="s">
        <v>4</v>
      </c>
      <c r="AHZ9" s="86" t="s">
        <v>4</v>
      </c>
      <c r="AIA9" s="86" t="s">
        <v>4</v>
      </c>
      <c r="AIB9" s="86" t="s">
        <v>4</v>
      </c>
      <c r="AIC9" s="86" t="s">
        <v>4</v>
      </c>
      <c r="AID9" s="86" t="s">
        <v>6</v>
      </c>
      <c r="AIE9" s="86" t="s">
        <v>5</v>
      </c>
      <c r="AIF9" s="112"/>
      <c r="AIG9" s="87" t="s">
        <v>22</v>
      </c>
      <c r="AIH9" s="87" t="s">
        <v>23</v>
      </c>
      <c r="AII9" s="108"/>
      <c r="AIJ9" s="110"/>
      <c r="AIK9" s="104"/>
      <c r="AIL9" s="104"/>
      <c r="AIM9" s="88" t="s">
        <v>31</v>
      </c>
      <c r="AIN9" s="88" t="s">
        <v>32</v>
      </c>
      <c r="AIO9" s="106"/>
      <c r="AIP9" s="106"/>
      <c r="AIQ9" s="108"/>
      <c r="AIR9" s="110"/>
    </row>
    <row r="10" spans="1:928" ht="18" customHeight="1" x14ac:dyDescent="0.25">
      <c r="A10" s="89" t="str">
        <f>IF(H10="","",$A$9)</f>
        <v>2022-2023</v>
      </c>
      <c r="B10" s="89" t="str">
        <f>IF(H10="","",$B$9)</f>
        <v>Bakı</v>
      </c>
      <c r="C10" s="89" t="str">
        <f>IF(H10="","",$C$9)</f>
        <v>Binəqədi</v>
      </c>
      <c r="D10" s="89">
        <f>IF(H10="","",$D$9)</f>
        <v>99</v>
      </c>
      <c r="E10" s="40">
        <v>4234883</v>
      </c>
      <c r="F10" s="89">
        <f>IF(H10="","",$F$9)</f>
        <v>1</v>
      </c>
      <c r="G10" s="89" t="str">
        <f>IF(H10="","",$G$9)</f>
        <v>Ç</v>
      </c>
      <c r="H10" s="36" t="s">
        <v>152</v>
      </c>
      <c r="I10" s="36" t="s">
        <v>153</v>
      </c>
      <c r="J10" s="40" t="s">
        <v>154</v>
      </c>
      <c r="K10" s="90" t="str">
        <f>IF(H10="","",$K$9)</f>
        <v>A</v>
      </c>
      <c r="L10" s="40" t="s">
        <v>119</v>
      </c>
      <c r="M10" s="92">
        <v>42306</v>
      </c>
      <c r="N10" s="40"/>
      <c r="O10" s="42" t="s">
        <v>221</v>
      </c>
      <c r="P10" s="91" t="str">
        <f>IF(H10="","",$P$9)</f>
        <v>Süleymanova Samirə Həsən</v>
      </c>
      <c r="Q10" s="48">
        <v>1070977</v>
      </c>
      <c r="R10" s="38">
        <v>101</v>
      </c>
      <c r="S10" s="38">
        <v>270</v>
      </c>
      <c r="T10" s="34"/>
      <c r="U10" s="34"/>
      <c r="V10" s="34"/>
      <c r="W10" s="34"/>
      <c r="X10" s="34"/>
      <c r="Y10" s="34"/>
      <c r="Z10" s="34"/>
      <c r="AA10" s="49" t="s">
        <v>244</v>
      </c>
      <c r="AB10" s="34"/>
      <c r="AC10" s="50" t="s">
        <v>244</v>
      </c>
      <c r="AD10" s="34"/>
      <c r="AE10" s="34"/>
      <c r="AF10" s="35">
        <v>0</v>
      </c>
      <c r="AG10" s="49">
        <v>100</v>
      </c>
      <c r="AH10" s="34"/>
      <c r="AI10" s="34"/>
      <c r="AJ10" s="34"/>
      <c r="AK10" s="34"/>
      <c r="AL10" s="34"/>
      <c r="AM10" s="34"/>
      <c r="AN10" s="49" t="s">
        <v>244</v>
      </c>
      <c r="AO10" s="34"/>
      <c r="AP10" s="50" t="s">
        <v>244</v>
      </c>
      <c r="AQ10" s="34"/>
      <c r="AR10" s="34"/>
      <c r="AS10" s="35">
        <v>0</v>
      </c>
      <c r="AT10" s="49">
        <v>100</v>
      </c>
      <c r="AU10" s="49" t="s">
        <v>244</v>
      </c>
      <c r="AV10" s="49" t="s">
        <v>244</v>
      </c>
      <c r="AW10" s="50" t="s">
        <v>244</v>
      </c>
      <c r="AX10" s="51" t="s">
        <v>244</v>
      </c>
      <c r="AY10" s="49" t="s">
        <v>244</v>
      </c>
      <c r="AZ10" s="34"/>
      <c r="BA10" s="52">
        <v>0</v>
      </c>
      <c r="BB10" s="53">
        <v>100</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1269215</v>
      </c>
      <c r="EB10" s="38">
        <v>106</v>
      </c>
      <c r="EC10" s="38">
        <v>36</v>
      </c>
      <c r="ED10" s="34"/>
      <c r="EE10" s="34"/>
      <c r="EF10" s="34"/>
      <c r="EG10" s="34"/>
      <c r="EH10" s="34"/>
      <c r="EI10" s="34"/>
      <c r="EJ10" s="34"/>
      <c r="EK10" s="49" t="s">
        <v>244</v>
      </c>
      <c r="EL10" s="34"/>
      <c r="EM10" s="50" t="s">
        <v>244</v>
      </c>
      <c r="EN10" s="34"/>
      <c r="EO10" s="34"/>
      <c r="EP10" s="35">
        <v>0</v>
      </c>
      <c r="EQ10" s="49">
        <v>100</v>
      </c>
      <c r="ER10" s="34"/>
      <c r="ES10" s="34"/>
      <c r="ET10" s="34"/>
      <c r="EU10" s="34"/>
      <c r="EV10" s="34"/>
      <c r="EW10" s="34"/>
      <c r="EX10" s="49" t="s">
        <v>244</v>
      </c>
      <c r="EY10" s="34"/>
      <c r="EZ10" s="50" t="s">
        <v>244</v>
      </c>
      <c r="FA10" s="34"/>
      <c r="FB10" s="34"/>
      <c r="FC10" s="35">
        <v>0</v>
      </c>
      <c r="FD10" s="49">
        <v>100</v>
      </c>
      <c r="FE10" s="49" t="s">
        <v>244</v>
      </c>
      <c r="FF10" s="49" t="s">
        <v>244</v>
      </c>
      <c r="FG10" s="50" t="s">
        <v>244</v>
      </c>
      <c r="FH10" s="51" t="s">
        <v>244</v>
      </c>
      <c r="FI10" s="49" t="s">
        <v>244</v>
      </c>
      <c r="FJ10" s="34"/>
      <c r="FK10" s="52">
        <v>0</v>
      </c>
      <c r="FL10" s="53">
        <v>100</v>
      </c>
      <c r="FM10" s="48">
        <v>1070977</v>
      </c>
      <c r="FN10" s="38">
        <v>110</v>
      </c>
      <c r="FO10" s="38">
        <v>168</v>
      </c>
      <c r="FP10" s="34"/>
      <c r="FQ10" s="34"/>
      <c r="FR10" s="34"/>
      <c r="FS10" s="34"/>
      <c r="FT10" s="34"/>
      <c r="FU10" s="34"/>
      <c r="FV10" s="34"/>
      <c r="FW10" s="49" t="s">
        <v>244</v>
      </c>
      <c r="FX10" s="34"/>
      <c r="FY10" s="50" t="s">
        <v>244</v>
      </c>
      <c r="FZ10" s="34"/>
      <c r="GA10" s="34"/>
      <c r="GB10" s="35">
        <v>0</v>
      </c>
      <c r="GC10" s="49">
        <v>100</v>
      </c>
      <c r="GD10" s="34"/>
      <c r="GE10" s="34"/>
      <c r="GF10" s="34"/>
      <c r="GG10" s="34"/>
      <c r="GH10" s="34"/>
      <c r="GI10" s="34"/>
      <c r="GJ10" s="49" t="s">
        <v>244</v>
      </c>
      <c r="GK10" s="34"/>
      <c r="GL10" s="50" t="s">
        <v>244</v>
      </c>
      <c r="GM10" s="34"/>
      <c r="GN10" s="34"/>
      <c r="GO10" s="35">
        <v>0</v>
      </c>
      <c r="GP10" s="49">
        <v>100</v>
      </c>
      <c r="GQ10" s="49" t="s">
        <v>244</v>
      </c>
      <c r="GR10" s="49" t="s">
        <v>244</v>
      </c>
      <c r="GS10" s="50" t="s">
        <v>244</v>
      </c>
      <c r="GT10" s="51" t="s">
        <v>244</v>
      </c>
      <c r="GU10" s="49" t="s">
        <v>244</v>
      </c>
      <c r="GV10" s="34"/>
      <c r="GW10" s="52">
        <v>0</v>
      </c>
      <c r="GX10" s="53">
        <v>100</v>
      </c>
      <c r="GY10" s="48">
        <v>1199044</v>
      </c>
      <c r="GZ10" s="38">
        <v>114</v>
      </c>
      <c r="HA10" s="38">
        <v>33</v>
      </c>
      <c r="HB10" s="34"/>
      <c r="HC10" s="34"/>
      <c r="HD10" s="34"/>
      <c r="HE10" s="34"/>
      <c r="HF10" s="34"/>
      <c r="HG10" s="34"/>
      <c r="HH10" s="34"/>
      <c r="HI10" s="49" t="s">
        <v>244</v>
      </c>
      <c r="HJ10" s="34"/>
      <c r="HK10" s="50" t="s">
        <v>244</v>
      </c>
      <c r="HL10" s="34"/>
      <c r="HM10" s="34"/>
      <c r="HN10" s="35">
        <v>0</v>
      </c>
      <c r="HO10" s="49">
        <v>100</v>
      </c>
      <c r="HP10" s="34"/>
      <c r="HQ10" s="34"/>
      <c r="HR10" s="34"/>
      <c r="HS10" s="34"/>
      <c r="HT10" s="34"/>
      <c r="HU10" s="34"/>
      <c r="HV10" s="49" t="s">
        <v>244</v>
      </c>
      <c r="HW10" s="34"/>
      <c r="HX10" s="50" t="s">
        <v>244</v>
      </c>
      <c r="HY10" s="34"/>
      <c r="HZ10" s="34"/>
      <c r="IA10" s="35">
        <v>0</v>
      </c>
      <c r="IB10" s="49">
        <v>100</v>
      </c>
      <c r="IC10" s="49" t="s">
        <v>244</v>
      </c>
      <c r="ID10" s="49" t="s">
        <v>244</v>
      </c>
      <c r="IE10" s="50" t="s">
        <v>244</v>
      </c>
      <c r="IF10" s="51" t="s">
        <v>244</v>
      </c>
      <c r="IG10" s="49" t="s">
        <v>244</v>
      </c>
      <c r="IH10" s="34"/>
      <c r="II10" s="52">
        <v>0</v>
      </c>
      <c r="IJ10" s="53">
        <v>100</v>
      </c>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1070977</v>
      </c>
      <c r="PT10" s="38">
        <v>128</v>
      </c>
      <c r="PU10" s="38">
        <v>33</v>
      </c>
      <c r="PV10" s="34"/>
      <c r="PW10" s="34"/>
      <c r="PX10" s="34"/>
      <c r="PY10" s="34"/>
      <c r="PZ10" s="34"/>
      <c r="QA10" s="34"/>
      <c r="QB10" s="34"/>
      <c r="QC10" s="49" t="s">
        <v>244</v>
      </c>
      <c r="QD10" s="34"/>
      <c r="QE10" s="50" t="s">
        <v>244</v>
      </c>
      <c r="QF10" s="34"/>
      <c r="QG10" s="34"/>
      <c r="QH10" s="35">
        <v>0</v>
      </c>
      <c r="QI10" s="49">
        <v>100</v>
      </c>
      <c r="QJ10" s="34"/>
      <c r="QK10" s="34"/>
      <c r="QL10" s="34"/>
      <c r="QM10" s="34"/>
      <c r="QN10" s="34"/>
      <c r="QO10" s="34"/>
      <c r="QP10" s="49" t="s">
        <v>244</v>
      </c>
      <c r="QQ10" s="34"/>
      <c r="QR10" s="50" t="s">
        <v>244</v>
      </c>
      <c r="QS10" s="34"/>
      <c r="QT10" s="34"/>
      <c r="QU10" s="35">
        <v>0</v>
      </c>
      <c r="QV10" s="49">
        <v>100</v>
      </c>
      <c r="QW10" s="49" t="s">
        <v>244</v>
      </c>
      <c r="QX10" s="49" t="s">
        <v>244</v>
      </c>
      <c r="QY10" s="50" t="s">
        <v>244</v>
      </c>
      <c r="QZ10" s="51" t="s">
        <v>244</v>
      </c>
      <c r="RA10" s="49" t="s">
        <v>244</v>
      </c>
      <c r="RB10" s="34"/>
      <c r="RC10" s="52">
        <v>0</v>
      </c>
      <c r="RD10" s="53">
        <v>100</v>
      </c>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1070977</v>
      </c>
      <c r="UD10" s="38">
        <v>131</v>
      </c>
      <c r="UE10" s="38">
        <v>69</v>
      </c>
      <c r="UF10" s="34"/>
      <c r="UG10" s="34"/>
      <c r="UH10" s="34"/>
      <c r="UI10" s="34"/>
      <c r="UJ10" s="34"/>
      <c r="UK10" s="34"/>
      <c r="UL10" s="34"/>
      <c r="UM10" s="49" t="s">
        <v>244</v>
      </c>
      <c r="UN10" s="34"/>
      <c r="UO10" s="50" t="s">
        <v>244</v>
      </c>
      <c r="UP10" s="34"/>
      <c r="UQ10" s="34"/>
      <c r="UR10" s="35">
        <v>0</v>
      </c>
      <c r="US10" s="49">
        <v>100</v>
      </c>
      <c r="UT10" s="34"/>
      <c r="UU10" s="34"/>
      <c r="UV10" s="34"/>
      <c r="UW10" s="34"/>
      <c r="UX10" s="34"/>
      <c r="UY10" s="34"/>
      <c r="UZ10" s="49" t="s">
        <v>244</v>
      </c>
      <c r="VA10" s="34"/>
      <c r="VB10" s="50" t="s">
        <v>244</v>
      </c>
      <c r="VC10" s="34"/>
      <c r="VD10" s="34"/>
      <c r="VE10" s="35">
        <v>0</v>
      </c>
      <c r="VF10" s="49">
        <v>100</v>
      </c>
      <c r="VG10" s="49" t="s">
        <v>244</v>
      </c>
      <c r="VH10" s="49" t="s">
        <v>244</v>
      </c>
      <c r="VI10" s="50" t="s">
        <v>244</v>
      </c>
      <c r="VJ10" s="51" t="s">
        <v>244</v>
      </c>
      <c r="VK10" s="49" t="s">
        <v>244</v>
      </c>
      <c r="VL10" s="34"/>
      <c r="VM10" s="52">
        <v>0</v>
      </c>
      <c r="VN10" s="53">
        <v>100</v>
      </c>
      <c r="VO10" s="48">
        <v>1070977</v>
      </c>
      <c r="VP10" s="38">
        <v>132</v>
      </c>
      <c r="VQ10" s="38">
        <v>33</v>
      </c>
      <c r="VR10" s="34"/>
      <c r="VS10" s="34"/>
      <c r="VT10" s="34"/>
      <c r="VU10" s="34"/>
      <c r="VV10" s="34"/>
      <c r="VW10" s="34"/>
      <c r="VX10" s="34"/>
      <c r="VY10" s="49" t="s">
        <v>244</v>
      </c>
      <c r="VZ10" s="34"/>
      <c r="WA10" s="50" t="s">
        <v>244</v>
      </c>
      <c r="WB10" s="34"/>
      <c r="WC10" s="34"/>
      <c r="WD10" s="35">
        <v>0</v>
      </c>
      <c r="WE10" s="49">
        <v>100</v>
      </c>
      <c r="WF10" s="34"/>
      <c r="WG10" s="34"/>
      <c r="WH10" s="34"/>
      <c r="WI10" s="34"/>
      <c r="WJ10" s="34"/>
      <c r="WK10" s="34"/>
      <c r="WL10" s="49" t="s">
        <v>244</v>
      </c>
      <c r="WM10" s="34"/>
      <c r="WN10" s="50" t="s">
        <v>244</v>
      </c>
      <c r="WO10" s="34"/>
      <c r="WP10" s="34"/>
      <c r="WQ10" s="35">
        <v>0</v>
      </c>
      <c r="WR10" s="49">
        <v>100</v>
      </c>
      <c r="WS10" s="49" t="s">
        <v>244</v>
      </c>
      <c r="WT10" s="49" t="s">
        <v>244</v>
      </c>
      <c r="WU10" s="50" t="s">
        <v>244</v>
      </c>
      <c r="WV10" s="51" t="s">
        <v>244</v>
      </c>
      <c r="WW10" s="49" t="s">
        <v>244</v>
      </c>
      <c r="WX10" s="34"/>
      <c r="WY10" s="52">
        <v>0</v>
      </c>
      <c r="WZ10" s="53">
        <v>100</v>
      </c>
      <c r="XA10" s="48">
        <v>1070977</v>
      </c>
      <c r="XB10" s="38">
        <v>133</v>
      </c>
      <c r="XC10" s="38">
        <v>33</v>
      </c>
      <c r="XD10" s="34"/>
      <c r="XE10" s="34"/>
      <c r="XF10" s="34"/>
      <c r="XG10" s="34"/>
      <c r="XH10" s="34"/>
      <c r="XI10" s="34"/>
      <c r="XJ10" s="34"/>
      <c r="XK10" s="49" t="s">
        <v>244</v>
      </c>
      <c r="XL10" s="34"/>
      <c r="XM10" s="50" t="s">
        <v>244</v>
      </c>
      <c r="XN10" s="34"/>
      <c r="XO10" s="34"/>
      <c r="XP10" s="35">
        <v>0</v>
      </c>
      <c r="XQ10" s="49">
        <v>100</v>
      </c>
      <c r="XR10" s="34"/>
      <c r="XS10" s="34"/>
      <c r="XT10" s="34"/>
      <c r="XU10" s="34"/>
      <c r="XV10" s="34"/>
      <c r="XW10" s="34"/>
      <c r="XX10" s="49" t="s">
        <v>244</v>
      </c>
      <c r="XY10" s="34"/>
      <c r="XZ10" s="50" t="s">
        <v>244</v>
      </c>
      <c r="YA10" s="34"/>
      <c r="YB10" s="34"/>
      <c r="YC10" s="35">
        <v>0</v>
      </c>
      <c r="YD10" s="49">
        <v>100</v>
      </c>
      <c r="YE10" s="49" t="s">
        <v>244</v>
      </c>
      <c r="YF10" s="49" t="s">
        <v>244</v>
      </c>
      <c r="YG10" s="50" t="s">
        <v>244</v>
      </c>
      <c r="YH10" s="51" t="s">
        <v>244</v>
      </c>
      <c r="YI10" s="49" t="s">
        <v>244</v>
      </c>
      <c r="YJ10" s="34"/>
      <c r="YK10" s="52">
        <v>0</v>
      </c>
      <c r="YL10" s="53">
        <v>100</v>
      </c>
      <c r="YM10" s="48">
        <v>1070977</v>
      </c>
      <c r="YN10" s="38">
        <v>135</v>
      </c>
      <c r="YO10" s="38">
        <v>33</v>
      </c>
      <c r="YP10" s="34"/>
      <c r="YQ10" s="34"/>
      <c r="YR10" s="34"/>
      <c r="YS10" s="34"/>
      <c r="YT10" s="34"/>
      <c r="YU10" s="34"/>
      <c r="YV10" s="34"/>
      <c r="YW10" s="49" t="s">
        <v>244</v>
      </c>
      <c r="YX10" s="34"/>
      <c r="YY10" s="50" t="s">
        <v>244</v>
      </c>
      <c r="YZ10" s="34"/>
      <c r="ZA10" s="34"/>
      <c r="ZB10" s="35">
        <v>0</v>
      </c>
      <c r="ZC10" s="49">
        <v>100</v>
      </c>
      <c r="ZD10" s="34"/>
      <c r="ZE10" s="34"/>
      <c r="ZF10" s="34"/>
      <c r="ZG10" s="34"/>
      <c r="ZH10" s="34"/>
      <c r="ZI10" s="34"/>
      <c r="ZJ10" s="49" t="s">
        <v>244</v>
      </c>
      <c r="ZK10" s="34"/>
      <c r="ZL10" s="50" t="s">
        <v>244</v>
      </c>
      <c r="ZM10" s="34"/>
      <c r="ZN10" s="34"/>
      <c r="ZO10" s="35">
        <v>0</v>
      </c>
      <c r="ZP10" s="49">
        <v>100</v>
      </c>
      <c r="ZQ10" s="49" t="s">
        <v>244</v>
      </c>
      <c r="ZR10" s="49" t="s">
        <v>244</v>
      </c>
      <c r="ZS10" s="50" t="s">
        <v>244</v>
      </c>
      <c r="ZT10" s="51" t="s">
        <v>244</v>
      </c>
      <c r="ZU10" s="49" t="s">
        <v>244</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3984116</v>
      </c>
      <c r="F11" s="89">
        <f t="shared" ref="F11:F59" si="401">IF(H11="","",$F$9)</f>
        <v>1</v>
      </c>
      <c r="G11" s="89" t="str">
        <f t="shared" ref="G11:G59" si="402">IF(H11="","",$G$9)</f>
        <v>Ç</v>
      </c>
      <c r="H11" s="36" t="s">
        <v>155</v>
      </c>
      <c r="I11" s="37" t="s">
        <v>156</v>
      </c>
      <c r="J11" s="41" t="s">
        <v>157</v>
      </c>
      <c r="K11" s="90" t="str">
        <f t="shared" ref="K11:K59" si="403">IF(H11="","",$K$9)</f>
        <v>A</v>
      </c>
      <c r="L11" s="41" t="s">
        <v>117</v>
      </c>
      <c r="M11" s="93">
        <v>42582</v>
      </c>
      <c r="N11" s="41"/>
      <c r="O11" s="43" t="s">
        <v>222</v>
      </c>
      <c r="P11" s="91" t="str">
        <f t="shared" ref="P11:P59" si="404">IF(H11="","",$P$9)</f>
        <v>Süleymanova Samirə Həsən</v>
      </c>
      <c r="Q11" s="4">
        <v>1070977</v>
      </c>
      <c r="R11" s="39">
        <v>101</v>
      </c>
      <c r="S11" s="39">
        <v>270</v>
      </c>
      <c r="T11" s="1"/>
      <c r="U11" s="1"/>
      <c r="V11" s="1"/>
      <c r="W11" s="1"/>
      <c r="X11" s="1"/>
      <c r="Y11" s="1"/>
      <c r="Z11" s="1"/>
      <c r="AA11" s="55" t="s">
        <v>244</v>
      </c>
      <c r="AB11" s="1"/>
      <c r="AC11" s="56" t="s">
        <v>244</v>
      </c>
      <c r="AD11" s="1"/>
      <c r="AE11" s="1"/>
      <c r="AF11" s="2">
        <v>0</v>
      </c>
      <c r="AG11" s="55">
        <v>100</v>
      </c>
      <c r="AH11" s="1"/>
      <c r="AI11" s="1"/>
      <c r="AJ11" s="1"/>
      <c r="AK11" s="1"/>
      <c r="AL11" s="1"/>
      <c r="AM11" s="1"/>
      <c r="AN11" s="55" t="s">
        <v>244</v>
      </c>
      <c r="AO11" s="1"/>
      <c r="AP11" s="56" t="s">
        <v>244</v>
      </c>
      <c r="AQ11" s="1"/>
      <c r="AR11" s="1"/>
      <c r="AS11" s="2">
        <v>0</v>
      </c>
      <c r="AT11" s="55">
        <v>100</v>
      </c>
      <c r="AU11" s="55" t="s">
        <v>244</v>
      </c>
      <c r="AV11" s="55" t="s">
        <v>244</v>
      </c>
      <c r="AW11" s="56" t="s">
        <v>244</v>
      </c>
      <c r="AX11" s="57" t="s">
        <v>244</v>
      </c>
      <c r="AY11" s="55" t="s">
        <v>244</v>
      </c>
      <c r="AZ11" s="1"/>
      <c r="BA11" s="58">
        <v>0</v>
      </c>
      <c r="BB11" s="59">
        <v>100</v>
      </c>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1269215</v>
      </c>
      <c r="EB11" s="39">
        <v>106</v>
      </c>
      <c r="EC11" s="39">
        <v>36</v>
      </c>
      <c r="ED11" s="1"/>
      <c r="EE11" s="1"/>
      <c r="EF11" s="1"/>
      <c r="EG11" s="1"/>
      <c r="EH11" s="1"/>
      <c r="EI11" s="1"/>
      <c r="EJ11" s="1"/>
      <c r="EK11" s="55" t="s">
        <v>244</v>
      </c>
      <c r="EL11" s="1"/>
      <c r="EM11" s="56" t="s">
        <v>244</v>
      </c>
      <c r="EN11" s="1"/>
      <c r="EO11" s="1"/>
      <c r="EP11" s="2">
        <v>0</v>
      </c>
      <c r="EQ11" s="55">
        <v>100</v>
      </c>
      <c r="ER11" s="1"/>
      <c r="ES11" s="1"/>
      <c r="ET11" s="1"/>
      <c r="EU11" s="1"/>
      <c r="EV11" s="1"/>
      <c r="EW11" s="1"/>
      <c r="EX11" s="55" t="s">
        <v>244</v>
      </c>
      <c r="EY11" s="1"/>
      <c r="EZ11" s="56" t="s">
        <v>244</v>
      </c>
      <c r="FA11" s="1"/>
      <c r="FB11" s="1"/>
      <c r="FC11" s="2">
        <v>0</v>
      </c>
      <c r="FD11" s="55">
        <v>100</v>
      </c>
      <c r="FE11" s="55" t="s">
        <v>244</v>
      </c>
      <c r="FF11" s="55" t="s">
        <v>244</v>
      </c>
      <c r="FG11" s="56" t="s">
        <v>244</v>
      </c>
      <c r="FH11" s="57" t="s">
        <v>244</v>
      </c>
      <c r="FI11" s="55" t="s">
        <v>244</v>
      </c>
      <c r="FJ11" s="1"/>
      <c r="FK11" s="58">
        <v>0</v>
      </c>
      <c r="FL11" s="59">
        <v>100</v>
      </c>
      <c r="FM11" s="4">
        <v>1070977</v>
      </c>
      <c r="FN11" s="39">
        <v>110</v>
      </c>
      <c r="FO11" s="39">
        <v>168</v>
      </c>
      <c r="FP11" s="1"/>
      <c r="FQ11" s="1"/>
      <c r="FR11" s="1"/>
      <c r="FS11" s="1"/>
      <c r="FT11" s="1"/>
      <c r="FU11" s="1"/>
      <c r="FV11" s="1"/>
      <c r="FW11" s="55" t="s">
        <v>244</v>
      </c>
      <c r="FX11" s="1"/>
      <c r="FY11" s="56" t="s">
        <v>244</v>
      </c>
      <c r="FZ11" s="1"/>
      <c r="GA11" s="1"/>
      <c r="GB11" s="2">
        <v>0</v>
      </c>
      <c r="GC11" s="55">
        <v>100</v>
      </c>
      <c r="GD11" s="1"/>
      <c r="GE11" s="1"/>
      <c r="GF11" s="1"/>
      <c r="GG11" s="1"/>
      <c r="GH11" s="1"/>
      <c r="GI11" s="1"/>
      <c r="GJ11" s="55" t="s">
        <v>244</v>
      </c>
      <c r="GK11" s="1"/>
      <c r="GL11" s="56" t="s">
        <v>244</v>
      </c>
      <c r="GM11" s="1"/>
      <c r="GN11" s="1"/>
      <c r="GO11" s="2">
        <v>0</v>
      </c>
      <c r="GP11" s="55">
        <v>100</v>
      </c>
      <c r="GQ11" s="55" t="s">
        <v>244</v>
      </c>
      <c r="GR11" s="55" t="s">
        <v>244</v>
      </c>
      <c r="GS11" s="56" t="s">
        <v>244</v>
      </c>
      <c r="GT11" s="57" t="s">
        <v>244</v>
      </c>
      <c r="GU11" s="55" t="s">
        <v>244</v>
      </c>
      <c r="GV11" s="1"/>
      <c r="GW11" s="58">
        <v>0</v>
      </c>
      <c r="GX11" s="59">
        <v>100</v>
      </c>
      <c r="GY11" s="4">
        <v>1199044</v>
      </c>
      <c r="GZ11" s="39">
        <v>114</v>
      </c>
      <c r="HA11" s="39">
        <v>33</v>
      </c>
      <c r="HB11" s="1"/>
      <c r="HC11" s="1"/>
      <c r="HD11" s="1"/>
      <c r="HE11" s="1"/>
      <c r="HF11" s="1"/>
      <c r="HG11" s="1"/>
      <c r="HH11" s="1"/>
      <c r="HI11" s="55" t="s">
        <v>244</v>
      </c>
      <c r="HJ11" s="1"/>
      <c r="HK11" s="56" t="s">
        <v>244</v>
      </c>
      <c r="HL11" s="1"/>
      <c r="HM11" s="1"/>
      <c r="HN11" s="2">
        <v>0</v>
      </c>
      <c r="HO11" s="55">
        <v>100</v>
      </c>
      <c r="HP11" s="1"/>
      <c r="HQ11" s="1"/>
      <c r="HR11" s="1"/>
      <c r="HS11" s="1"/>
      <c r="HT11" s="1"/>
      <c r="HU11" s="1"/>
      <c r="HV11" s="55" t="s">
        <v>244</v>
      </c>
      <c r="HW11" s="1"/>
      <c r="HX11" s="56" t="s">
        <v>244</v>
      </c>
      <c r="HY11" s="1"/>
      <c r="HZ11" s="1"/>
      <c r="IA11" s="2">
        <v>0</v>
      </c>
      <c r="IB11" s="55">
        <v>100</v>
      </c>
      <c r="IC11" s="55" t="s">
        <v>244</v>
      </c>
      <c r="ID11" s="55" t="s">
        <v>244</v>
      </c>
      <c r="IE11" s="56" t="s">
        <v>244</v>
      </c>
      <c r="IF11" s="57" t="s">
        <v>244</v>
      </c>
      <c r="IG11" s="55" t="s">
        <v>244</v>
      </c>
      <c r="IH11" s="1"/>
      <c r="II11" s="58">
        <v>0</v>
      </c>
      <c r="IJ11" s="59">
        <v>100</v>
      </c>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1070977</v>
      </c>
      <c r="PT11" s="39">
        <v>128</v>
      </c>
      <c r="PU11" s="39">
        <v>33</v>
      </c>
      <c r="PV11" s="1"/>
      <c r="PW11" s="1"/>
      <c r="PX11" s="1"/>
      <c r="PY11" s="1"/>
      <c r="PZ11" s="1"/>
      <c r="QA11" s="1"/>
      <c r="QB11" s="1"/>
      <c r="QC11" s="55" t="s">
        <v>244</v>
      </c>
      <c r="QD11" s="1"/>
      <c r="QE11" s="56" t="s">
        <v>244</v>
      </c>
      <c r="QF11" s="1"/>
      <c r="QG11" s="1"/>
      <c r="QH11" s="2">
        <v>0</v>
      </c>
      <c r="QI11" s="55">
        <v>100</v>
      </c>
      <c r="QJ11" s="1"/>
      <c r="QK11" s="1"/>
      <c r="QL11" s="1"/>
      <c r="QM11" s="1"/>
      <c r="QN11" s="1"/>
      <c r="QO11" s="1"/>
      <c r="QP11" s="55" t="s">
        <v>244</v>
      </c>
      <c r="QQ11" s="1"/>
      <c r="QR11" s="56" t="s">
        <v>244</v>
      </c>
      <c r="QS11" s="1"/>
      <c r="QT11" s="1"/>
      <c r="QU11" s="2">
        <v>0</v>
      </c>
      <c r="QV11" s="55">
        <v>100</v>
      </c>
      <c r="QW11" s="55" t="s">
        <v>244</v>
      </c>
      <c r="QX11" s="55" t="s">
        <v>244</v>
      </c>
      <c r="QY11" s="56" t="s">
        <v>244</v>
      </c>
      <c r="QZ11" s="57" t="s">
        <v>244</v>
      </c>
      <c r="RA11" s="55" t="s">
        <v>244</v>
      </c>
      <c r="RB11" s="1"/>
      <c r="RC11" s="58">
        <v>0</v>
      </c>
      <c r="RD11" s="59">
        <v>100</v>
      </c>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1070977</v>
      </c>
      <c r="UD11" s="39">
        <v>131</v>
      </c>
      <c r="UE11" s="39">
        <v>69</v>
      </c>
      <c r="UF11" s="1"/>
      <c r="UG11" s="1"/>
      <c r="UH11" s="1"/>
      <c r="UI11" s="1"/>
      <c r="UJ11" s="1"/>
      <c r="UK11" s="1"/>
      <c r="UL11" s="1"/>
      <c r="UM11" s="55" t="s">
        <v>244</v>
      </c>
      <c r="UN11" s="1"/>
      <c r="UO11" s="56" t="s">
        <v>244</v>
      </c>
      <c r="UP11" s="1"/>
      <c r="UQ11" s="1"/>
      <c r="UR11" s="2">
        <v>0</v>
      </c>
      <c r="US11" s="55">
        <v>100</v>
      </c>
      <c r="UT11" s="1"/>
      <c r="UU11" s="1"/>
      <c r="UV11" s="1"/>
      <c r="UW11" s="1"/>
      <c r="UX11" s="1"/>
      <c r="UY11" s="1"/>
      <c r="UZ11" s="55" t="s">
        <v>244</v>
      </c>
      <c r="VA11" s="1"/>
      <c r="VB11" s="56" t="s">
        <v>244</v>
      </c>
      <c r="VC11" s="1"/>
      <c r="VD11" s="1"/>
      <c r="VE11" s="2">
        <v>0</v>
      </c>
      <c r="VF11" s="55">
        <v>100</v>
      </c>
      <c r="VG11" s="55" t="s">
        <v>244</v>
      </c>
      <c r="VH11" s="55" t="s">
        <v>244</v>
      </c>
      <c r="VI11" s="56" t="s">
        <v>244</v>
      </c>
      <c r="VJ11" s="57" t="s">
        <v>244</v>
      </c>
      <c r="VK11" s="55" t="s">
        <v>244</v>
      </c>
      <c r="VL11" s="1"/>
      <c r="VM11" s="58">
        <v>0</v>
      </c>
      <c r="VN11" s="59">
        <v>100</v>
      </c>
      <c r="VO11" s="4">
        <v>1070977</v>
      </c>
      <c r="VP11" s="39">
        <v>132</v>
      </c>
      <c r="VQ11" s="39">
        <v>33</v>
      </c>
      <c r="VR11" s="1"/>
      <c r="VS11" s="1"/>
      <c r="VT11" s="1"/>
      <c r="VU11" s="1"/>
      <c r="VV11" s="1"/>
      <c r="VW11" s="1"/>
      <c r="VX11" s="1"/>
      <c r="VY11" s="55" t="s">
        <v>244</v>
      </c>
      <c r="VZ11" s="1"/>
      <c r="WA11" s="56" t="s">
        <v>244</v>
      </c>
      <c r="WB11" s="1"/>
      <c r="WC11" s="1"/>
      <c r="WD11" s="2">
        <v>0</v>
      </c>
      <c r="WE11" s="55">
        <v>100</v>
      </c>
      <c r="WF11" s="1"/>
      <c r="WG11" s="1"/>
      <c r="WH11" s="1"/>
      <c r="WI11" s="1"/>
      <c r="WJ11" s="1"/>
      <c r="WK11" s="1"/>
      <c r="WL11" s="55" t="s">
        <v>244</v>
      </c>
      <c r="WM11" s="1"/>
      <c r="WN11" s="56" t="s">
        <v>244</v>
      </c>
      <c r="WO11" s="1"/>
      <c r="WP11" s="1"/>
      <c r="WQ11" s="2">
        <v>0</v>
      </c>
      <c r="WR11" s="55">
        <v>100</v>
      </c>
      <c r="WS11" s="55" t="s">
        <v>244</v>
      </c>
      <c r="WT11" s="55" t="s">
        <v>244</v>
      </c>
      <c r="WU11" s="56" t="s">
        <v>244</v>
      </c>
      <c r="WV11" s="57" t="s">
        <v>244</v>
      </c>
      <c r="WW11" s="55" t="s">
        <v>244</v>
      </c>
      <c r="WX11" s="1"/>
      <c r="WY11" s="58">
        <v>0</v>
      </c>
      <c r="WZ11" s="59">
        <v>100</v>
      </c>
      <c r="XA11" s="4">
        <v>1070977</v>
      </c>
      <c r="XB11" s="39">
        <v>133</v>
      </c>
      <c r="XC11" s="39">
        <v>33</v>
      </c>
      <c r="XD11" s="1"/>
      <c r="XE11" s="1"/>
      <c r="XF11" s="1"/>
      <c r="XG11" s="1"/>
      <c r="XH11" s="1"/>
      <c r="XI11" s="1"/>
      <c r="XJ11" s="1"/>
      <c r="XK11" s="55" t="s">
        <v>244</v>
      </c>
      <c r="XL11" s="1"/>
      <c r="XM11" s="56" t="s">
        <v>244</v>
      </c>
      <c r="XN11" s="1"/>
      <c r="XO11" s="1"/>
      <c r="XP11" s="2">
        <v>0</v>
      </c>
      <c r="XQ11" s="55">
        <v>100</v>
      </c>
      <c r="XR11" s="1"/>
      <c r="XS11" s="1"/>
      <c r="XT11" s="1"/>
      <c r="XU11" s="1"/>
      <c r="XV11" s="1"/>
      <c r="XW11" s="1"/>
      <c r="XX11" s="55" t="s">
        <v>244</v>
      </c>
      <c r="XY11" s="1"/>
      <c r="XZ11" s="56" t="s">
        <v>244</v>
      </c>
      <c r="YA11" s="1"/>
      <c r="YB11" s="1"/>
      <c r="YC11" s="2">
        <v>0</v>
      </c>
      <c r="YD11" s="55">
        <v>100</v>
      </c>
      <c r="YE11" s="55" t="s">
        <v>244</v>
      </c>
      <c r="YF11" s="55" t="s">
        <v>244</v>
      </c>
      <c r="YG11" s="56" t="s">
        <v>244</v>
      </c>
      <c r="YH11" s="57" t="s">
        <v>244</v>
      </c>
      <c r="YI11" s="55" t="s">
        <v>244</v>
      </c>
      <c r="YJ11" s="1"/>
      <c r="YK11" s="58">
        <v>0</v>
      </c>
      <c r="YL11" s="59">
        <v>100</v>
      </c>
      <c r="YM11" s="4">
        <v>1070977</v>
      </c>
      <c r="YN11" s="39">
        <v>135</v>
      </c>
      <c r="YO11" s="39">
        <v>33</v>
      </c>
      <c r="YP11" s="1"/>
      <c r="YQ11" s="1"/>
      <c r="YR11" s="1"/>
      <c r="YS11" s="1"/>
      <c r="YT11" s="1"/>
      <c r="YU11" s="1"/>
      <c r="YV11" s="1"/>
      <c r="YW11" s="55" t="s">
        <v>244</v>
      </c>
      <c r="YX11" s="1"/>
      <c r="YY11" s="56" t="s">
        <v>244</v>
      </c>
      <c r="YZ11" s="1"/>
      <c r="ZA11" s="1"/>
      <c r="ZB11" s="2">
        <v>0</v>
      </c>
      <c r="ZC11" s="55">
        <v>100</v>
      </c>
      <c r="ZD11" s="1"/>
      <c r="ZE11" s="1"/>
      <c r="ZF11" s="1"/>
      <c r="ZG11" s="1"/>
      <c r="ZH11" s="1"/>
      <c r="ZI11" s="1"/>
      <c r="ZJ11" s="55" t="s">
        <v>244</v>
      </c>
      <c r="ZK11" s="1"/>
      <c r="ZL11" s="56" t="s">
        <v>244</v>
      </c>
      <c r="ZM11" s="1"/>
      <c r="ZN11" s="1"/>
      <c r="ZO11" s="2">
        <v>0</v>
      </c>
      <c r="ZP11" s="55">
        <v>100</v>
      </c>
      <c r="ZQ11" s="55" t="s">
        <v>244</v>
      </c>
      <c r="ZR11" s="55" t="s">
        <v>244</v>
      </c>
      <c r="ZS11" s="56" t="s">
        <v>244</v>
      </c>
      <c r="ZT11" s="57" t="s">
        <v>244</v>
      </c>
      <c r="ZU11" s="55" t="s">
        <v>244</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3984139</v>
      </c>
      <c r="F12" s="89">
        <f t="shared" si="401"/>
        <v>1</v>
      </c>
      <c r="G12" s="89" t="str">
        <f t="shared" si="402"/>
        <v>Ç</v>
      </c>
      <c r="H12" s="36" t="s">
        <v>158</v>
      </c>
      <c r="I12" s="37" t="s">
        <v>159</v>
      </c>
      <c r="J12" s="41" t="s">
        <v>160</v>
      </c>
      <c r="K12" s="90" t="str">
        <f t="shared" si="403"/>
        <v>A</v>
      </c>
      <c r="L12" s="41" t="s">
        <v>117</v>
      </c>
      <c r="M12" s="93">
        <v>42398</v>
      </c>
      <c r="N12" s="41"/>
      <c r="O12" s="43" t="s">
        <v>223</v>
      </c>
      <c r="P12" s="91" t="str">
        <f t="shared" si="404"/>
        <v>Süleymanova Samirə Həsən</v>
      </c>
      <c r="Q12" s="4">
        <v>1070977</v>
      </c>
      <c r="R12" s="39">
        <v>101</v>
      </c>
      <c r="S12" s="39">
        <v>270</v>
      </c>
      <c r="T12" s="1"/>
      <c r="U12" s="1"/>
      <c r="V12" s="1"/>
      <c r="W12" s="1"/>
      <c r="X12" s="1"/>
      <c r="Y12" s="1"/>
      <c r="Z12" s="1"/>
      <c r="AA12" s="55" t="s">
        <v>244</v>
      </c>
      <c r="AB12" s="1"/>
      <c r="AC12" s="56" t="s">
        <v>244</v>
      </c>
      <c r="AD12" s="1"/>
      <c r="AE12" s="1"/>
      <c r="AF12" s="2">
        <v>0</v>
      </c>
      <c r="AG12" s="55">
        <v>100</v>
      </c>
      <c r="AH12" s="1"/>
      <c r="AI12" s="1"/>
      <c r="AJ12" s="1"/>
      <c r="AK12" s="1"/>
      <c r="AL12" s="1"/>
      <c r="AM12" s="1"/>
      <c r="AN12" s="55" t="s">
        <v>244</v>
      </c>
      <c r="AO12" s="1"/>
      <c r="AP12" s="56" t="s">
        <v>244</v>
      </c>
      <c r="AQ12" s="1"/>
      <c r="AR12" s="1"/>
      <c r="AS12" s="2">
        <v>0</v>
      </c>
      <c r="AT12" s="55">
        <v>100</v>
      </c>
      <c r="AU12" s="55" t="s">
        <v>244</v>
      </c>
      <c r="AV12" s="55" t="s">
        <v>244</v>
      </c>
      <c r="AW12" s="56" t="s">
        <v>244</v>
      </c>
      <c r="AX12" s="57" t="s">
        <v>244</v>
      </c>
      <c r="AY12" s="55" t="s">
        <v>244</v>
      </c>
      <c r="AZ12" s="1"/>
      <c r="BA12" s="58">
        <v>0</v>
      </c>
      <c r="BB12" s="59">
        <v>100</v>
      </c>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1269215</v>
      </c>
      <c r="EB12" s="39">
        <v>106</v>
      </c>
      <c r="EC12" s="39">
        <v>36</v>
      </c>
      <c r="ED12" s="1"/>
      <c r="EE12" s="1"/>
      <c r="EF12" s="1"/>
      <c r="EG12" s="1"/>
      <c r="EH12" s="1"/>
      <c r="EI12" s="1"/>
      <c r="EJ12" s="1"/>
      <c r="EK12" s="55" t="s">
        <v>244</v>
      </c>
      <c r="EL12" s="1"/>
      <c r="EM12" s="56" t="s">
        <v>244</v>
      </c>
      <c r="EN12" s="1"/>
      <c r="EO12" s="1"/>
      <c r="EP12" s="2">
        <v>0</v>
      </c>
      <c r="EQ12" s="55">
        <v>100</v>
      </c>
      <c r="ER12" s="1"/>
      <c r="ES12" s="1"/>
      <c r="ET12" s="1"/>
      <c r="EU12" s="1"/>
      <c r="EV12" s="1"/>
      <c r="EW12" s="1"/>
      <c r="EX12" s="55" t="s">
        <v>244</v>
      </c>
      <c r="EY12" s="1"/>
      <c r="EZ12" s="56" t="s">
        <v>244</v>
      </c>
      <c r="FA12" s="1"/>
      <c r="FB12" s="1"/>
      <c r="FC12" s="2">
        <v>0</v>
      </c>
      <c r="FD12" s="55">
        <v>100</v>
      </c>
      <c r="FE12" s="55" t="s">
        <v>244</v>
      </c>
      <c r="FF12" s="55" t="s">
        <v>244</v>
      </c>
      <c r="FG12" s="56" t="s">
        <v>244</v>
      </c>
      <c r="FH12" s="57" t="s">
        <v>244</v>
      </c>
      <c r="FI12" s="55" t="s">
        <v>244</v>
      </c>
      <c r="FJ12" s="1"/>
      <c r="FK12" s="58">
        <v>0</v>
      </c>
      <c r="FL12" s="59">
        <v>100</v>
      </c>
      <c r="FM12" s="4">
        <v>1070977</v>
      </c>
      <c r="FN12" s="39">
        <v>110</v>
      </c>
      <c r="FO12" s="39">
        <v>168</v>
      </c>
      <c r="FP12" s="1"/>
      <c r="FQ12" s="1"/>
      <c r="FR12" s="1"/>
      <c r="FS12" s="1"/>
      <c r="FT12" s="1"/>
      <c r="FU12" s="1"/>
      <c r="FV12" s="1"/>
      <c r="FW12" s="55" t="s">
        <v>244</v>
      </c>
      <c r="FX12" s="1"/>
      <c r="FY12" s="56" t="s">
        <v>244</v>
      </c>
      <c r="FZ12" s="1"/>
      <c r="GA12" s="1"/>
      <c r="GB12" s="2">
        <v>0</v>
      </c>
      <c r="GC12" s="55">
        <v>100</v>
      </c>
      <c r="GD12" s="1"/>
      <c r="GE12" s="1"/>
      <c r="GF12" s="1"/>
      <c r="GG12" s="1"/>
      <c r="GH12" s="1"/>
      <c r="GI12" s="1"/>
      <c r="GJ12" s="55" t="s">
        <v>244</v>
      </c>
      <c r="GK12" s="1"/>
      <c r="GL12" s="56" t="s">
        <v>244</v>
      </c>
      <c r="GM12" s="1"/>
      <c r="GN12" s="1"/>
      <c r="GO12" s="2">
        <v>0</v>
      </c>
      <c r="GP12" s="55">
        <v>100</v>
      </c>
      <c r="GQ12" s="55" t="s">
        <v>244</v>
      </c>
      <c r="GR12" s="55" t="s">
        <v>244</v>
      </c>
      <c r="GS12" s="56" t="s">
        <v>244</v>
      </c>
      <c r="GT12" s="57" t="s">
        <v>244</v>
      </c>
      <c r="GU12" s="55" t="s">
        <v>244</v>
      </c>
      <c r="GV12" s="1"/>
      <c r="GW12" s="58">
        <v>0</v>
      </c>
      <c r="GX12" s="59">
        <v>100</v>
      </c>
      <c r="GY12" s="4">
        <v>1199044</v>
      </c>
      <c r="GZ12" s="39">
        <v>114</v>
      </c>
      <c r="HA12" s="39">
        <v>33</v>
      </c>
      <c r="HB12" s="1"/>
      <c r="HC12" s="1"/>
      <c r="HD12" s="1"/>
      <c r="HE12" s="1"/>
      <c r="HF12" s="1"/>
      <c r="HG12" s="1"/>
      <c r="HH12" s="1"/>
      <c r="HI12" s="55" t="s">
        <v>244</v>
      </c>
      <c r="HJ12" s="1"/>
      <c r="HK12" s="56" t="s">
        <v>244</v>
      </c>
      <c r="HL12" s="1"/>
      <c r="HM12" s="1"/>
      <c r="HN12" s="2">
        <v>0</v>
      </c>
      <c r="HO12" s="55">
        <v>100</v>
      </c>
      <c r="HP12" s="1"/>
      <c r="HQ12" s="1"/>
      <c r="HR12" s="1"/>
      <c r="HS12" s="1"/>
      <c r="HT12" s="1"/>
      <c r="HU12" s="1"/>
      <c r="HV12" s="55" t="s">
        <v>244</v>
      </c>
      <c r="HW12" s="1"/>
      <c r="HX12" s="56" t="s">
        <v>244</v>
      </c>
      <c r="HY12" s="1"/>
      <c r="HZ12" s="1"/>
      <c r="IA12" s="2">
        <v>0</v>
      </c>
      <c r="IB12" s="55">
        <v>100</v>
      </c>
      <c r="IC12" s="55" t="s">
        <v>244</v>
      </c>
      <c r="ID12" s="55" t="s">
        <v>244</v>
      </c>
      <c r="IE12" s="56" t="s">
        <v>244</v>
      </c>
      <c r="IF12" s="57" t="s">
        <v>244</v>
      </c>
      <c r="IG12" s="55" t="s">
        <v>244</v>
      </c>
      <c r="IH12" s="1"/>
      <c r="II12" s="58">
        <v>0</v>
      </c>
      <c r="IJ12" s="59">
        <v>100</v>
      </c>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1070977</v>
      </c>
      <c r="PT12" s="39">
        <v>128</v>
      </c>
      <c r="PU12" s="39">
        <v>33</v>
      </c>
      <c r="PV12" s="1"/>
      <c r="PW12" s="1"/>
      <c r="PX12" s="1"/>
      <c r="PY12" s="1"/>
      <c r="PZ12" s="1"/>
      <c r="QA12" s="1"/>
      <c r="QB12" s="1"/>
      <c r="QC12" s="55" t="s">
        <v>244</v>
      </c>
      <c r="QD12" s="1"/>
      <c r="QE12" s="56" t="s">
        <v>244</v>
      </c>
      <c r="QF12" s="1"/>
      <c r="QG12" s="1"/>
      <c r="QH12" s="2">
        <v>0</v>
      </c>
      <c r="QI12" s="55">
        <v>100</v>
      </c>
      <c r="QJ12" s="1"/>
      <c r="QK12" s="1"/>
      <c r="QL12" s="1"/>
      <c r="QM12" s="1"/>
      <c r="QN12" s="1"/>
      <c r="QO12" s="1"/>
      <c r="QP12" s="55" t="s">
        <v>244</v>
      </c>
      <c r="QQ12" s="1"/>
      <c r="QR12" s="56" t="s">
        <v>244</v>
      </c>
      <c r="QS12" s="1"/>
      <c r="QT12" s="1"/>
      <c r="QU12" s="2">
        <v>0</v>
      </c>
      <c r="QV12" s="55">
        <v>100</v>
      </c>
      <c r="QW12" s="55" t="s">
        <v>244</v>
      </c>
      <c r="QX12" s="55" t="s">
        <v>244</v>
      </c>
      <c r="QY12" s="56" t="s">
        <v>244</v>
      </c>
      <c r="QZ12" s="57" t="s">
        <v>244</v>
      </c>
      <c r="RA12" s="55" t="s">
        <v>244</v>
      </c>
      <c r="RB12" s="1"/>
      <c r="RC12" s="58">
        <v>0</v>
      </c>
      <c r="RD12" s="59">
        <v>100</v>
      </c>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1070977</v>
      </c>
      <c r="UD12" s="39">
        <v>131</v>
      </c>
      <c r="UE12" s="39">
        <v>69</v>
      </c>
      <c r="UF12" s="1"/>
      <c r="UG12" s="1"/>
      <c r="UH12" s="1"/>
      <c r="UI12" s="1"/>
      <c r="UJ12" s="1"/>
      <c r="UK12" s="1"/>
      <c r="UL12" s="1"/>
      <c r="UM12" s="55" t="s">
        <v>244</v>
      </c>
      <c r="UN12" s="1"/>
      <c r="UO12" s="56" t="s">
        <v>244</v>
      </c>
      <c r="UP12" s="1"/>
      <c r="UQ12" s="1"/>
      <c r="UR12" s="2">
        <v>0</v>
      </c>
      <c r="US12" s="55">
        <v>100</v>
      </c>
      <c r="UT12" s="1"/>
      <c r="UU12" s="1"/>
      <c r="UV12" s="1"/>
      <c r="UW12" s="1"/>
      <c r="UX12" s="1"/>
      <c r="UY12" s="1"/>
      <c r="UZ12" s="55" t="s">
        <v>244</v>
      </c>
      <c r="VA12" s="1"/>
      <c r="VB12" s="56" t="s">
        <v>244</v>
      </c>
      <c r="VC12" s="1"/>
      <c r="VD12" s="1"/>
      <c r="VE12" s="2">
        <v>0</v>
      </c>
      <c r="VF12" s="55">
        <v>100</v>
      </c>
      <c r="VG12" s="55" t="s">
        <v>244</v>
      </c>
      <c r="VH12" s="55" t="s">
        <v>244</v>
      </c>
      <c r="VI12" s="56" t="s">
        <v>244</v>
      </c>
      <c r="VJ12" s="57" t="s">
        <v>244</v>
      </c>
      <c r="VK12" s="55" t="s">
        <v>244</v>
      </c>
      <c r="VL12" s="1"/>
      <c r="VM12" s="58">
        <v>0</v>
      </c>
      <c r="VN12" s="59">
        <v>100</v>
      </c>
      <c r="VO12" s="4">
        <v>1070977</v>
      </c>
      <c r="VP12" s="39">
        <v>132</v>
      </c>
      <c r="VQ12" s="39">
        <v>33</v>
      </c>
      <c r="VR12" s="1"/>
      <c r="VS12" s="1"/>
      <c r="VT12" s="1"/>
      <c r="VU12" s="1"/>
      <c r="VV12" s="1"/>
      <c r="VW12" s="1"/>
      <c r="VX12" s="1"/>
      <c r="VY12" s="55" t="s">
        <v>244</v>
      </c>
      <c r="VZ12" s="1"/>
      <c r="WA12" s="56" t="s">
        <v>244</v>
      </c>
      <c r="WB12" s="1"/>
      <c r="WC12" s="1"/>
      <c r="WD12" s="2">
        <v>0</v>
      </c>
      <c r="WE12" s="55">
        <v>100</v>
      </c>
      <c r="WF12" s="1"/>
      <c r="WG12" s="1"/>
      <c r="WH12" s="1"/>
      <c r="WI12" s="1"/>
      <c r="WJ12" s="1"/>
      <c r="WK12" s="1"/>
      <c r="WL12" s="55" t="s">
        <v>244</v>
      </c>
      <c r="WM12" s="1"/>
      <c r="WN12" s="56" t="s">
        <v>244</v>
      </c>
      <c r="WO12" s="1"/>
      <c r="WP12" s="1"/>
      <c r="WQ12" s="2">
        <v>0</v>
      </c>
      <c r="WR12" s="55">
        <v>100</v>
      </c>
      <c r="WS12" s="55" t="s">
        <v>244</v>
      </c>
      <c r="WT12" s="55" t="s">
        <v>244</v>
      </c>
      <c r="WU12" s="56" t="s">
        <v>244</v>
      </c>
      <c r="WV12" s="57" t="s">
        <v>244</v>
      </c>
      <c r="WW12" s="55" t="s">
        <v>244</v>
      </c>
      <c r="WX12" s="1"/>
      <c r="WY12" s="58">
        <v>0</v>
      </c>
      <c r="WZ12" s="59">
        <v>100</v>
      </c>
      <c r="XA12" s="4">
        <v>1070977</v>
      </c>
      <c r="XB12" s="39">
        <v>133</v>
      </c>
      <c r="XC12" s="39">
        <v>33</v>
      </c>
      <c r="XD12" s="1"/>
      <c r="XE12" s="1"/>
      <c r="XF12" s="1"/>
      <c r="XG12" s="1"/>
      <c r="XH12" s="1"/>
      <c r="XI12" s="1"/>
      <c r="XJ12" s="1"/>
      <c r="XK12" s="55" t="s">
        <v>244</v>
      </c>
      <c r="XL12" s="1"/>
      <c r="XM12" s="56" t="s">
        <v>244</v>
      </c>
      <c r="XN12" s="1"/>
      <c r="XO12" s="1"/>
      <c r="XP12" s="2">
        <v>0</v>
      </c>
      <c r="XQ12" s="55">
        <v>100</v>
      </c>
      <c r="XR12" s="1"/>
      <c r="XS12" s="1"/>
      <c r="XT12" s="1"/>
      <c r="XU12" s="1"/>
      <c r="XV12" s="1"/>
      <c r="XW12" s="1"/>
      <c r="XX12" s="55" t="s">
        <v>244</v>
      </c>
      <c r="XY12" s="1"/>
      <c r="XZ12" s="56" t="s">
        <v>244</v>
      </c>
      <c r="YA12" s="1"/>
      <c r="YB12" s="1"/>
      <c r="YC12" s="2">
        <v>0</v>
      </c>
      <c r="YD12" s="55">
        <v>100</v>
      </c>
      <c r="YE12" s="55" t="s">
        <v>244</v>
      </c>
      <c r="YF12" s="55" t="s">
        <v>244</v>
      </c>
      <c r="YG12" s="56" t="s">
        <v>244</v>
      </c>
      <c r="YH12" s="57" t="s">
        <v>244</v>
      </c>
      <c r="YI12" s="55" t="s">
        <v>244</v>
      </c>
      <c r="YJ12" s="1"/>
      <c r="YK12" s="58">
        <v>0</v>
      </c>
      <c r="YL12" s="59">
        <v>100</v>
      </c>
      <c r="YM12" s="4">
        <v>1070977</v>
      </c>
      <c r="YN12" s="39">
        <v>135</v>
      </c>
      <c r="YO12" s="39">
        <v>33</v>
      </c>
      <c r="YP12" s="1"/>
      <c r="YQ12" s="1"/>
      <c r="YR12" s="1"/>
      <c r="YS12" s="1"/>
      <c r="YT12" s="1"/>
      <c r="YU12" s="1"/>
      <c r="YV12" s="1"/>
      <c r="YW12" s="55" t="s">
        <v>244</v>
      </c>
      <c r="YX12" s="1"/>
      <c r="YY12" s="56" t="s">
        <v>244</v>
      </c>
      <c r="YZ12" s="1"/>
      <c r="ZA12" s="1"/>
      <c r="ZB12" s="2">
        <v>0</v>
      </c>
      <c r="ZC12" s="55">
        <v>100</v>
      </c>
      <c r="ZD12" s="1"/>
      <c r="ZE12" s="1"/>
      <c r="ZF12" s="1"/>
      <c r="ZG12" s="1"/>
      <c r="ZH12" s="1"/>
      <c r="ZI12" s="1"/>
      <c r="ZJ12" s="55" t="s">
        <v>244</v>
      </c>
      <c r="ZK12" s="1"/>
      <c r="ZL12" s="56" t="s">
        <v>244</v>
      </c>
      <c r="ZM12" s="1"/>
      <c r="ZN12" s="1"/>
      <c r="ZO12" s="2">
        <v>0</v>
      </c>
      <c r="ZP12" s="55">
        <v>100</v>
      </c>
      <c r="ZQ12" s="55" t="s">
        <v>244</v>
      </c>
      <c r="ZR12" s="55" t="s">
        <v>244</v>
      </c>
      <c r="ZS12" s="56" t="s">
        <v>244</v>
      </c>
      <c r="ZT12" s="57" t="s">
        <v>244</v>
      </c>
      <c r="ZU12" s="55" t="s">
        <v>244</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3984163</v>
      </c>
      <c r="F13" s="89">
        <f t="shared" si="401"/>
        <v>1</v>
      </c>
      <c r="G13" s="89" t="str">
        <f t="shared" si="402"/>
        <v>Ç</v>
      </c>
      <c r="H13" s="36" t="s">
        <v>161</v>
      </c>
      <c r="I13" s="37" t="s">
        <v>162</v>
      </c>
      <c r="J13" s="41" t="s">
        <v>163</v>
      </c>
      <c r="K13" s="90" t="str">
        <f t="shared" si="403"/>
        <v>A</v>
      </c>
      <c r="L13" s="41" t="s">
        <v>119</v>
      </c>
      <c r="M13" s="93">
        <v>42423</v>
      </c>
      <c r="N13" s="41"/>
      <c r="O13" s="43" t="s">
        <v>224</v>
      </c>
      <c r="P13" s="91" t="str">
        <f t="shared" si="404"/>
        <v>Süleymanova Samirə Həsən</v>
      </c>
      <c r="Q13" s="4">
        <v>1070977</v>
      </c>
      <c r="R13" s="39">
        <v>101</v>
      </c>
      <c r="S13" s="39">
        <v>270</v>
      </c>
      <c r="T13" s="1"/>
      <c r="U13" s="1"/>
      <c r="V13" s="1"/>
      <c r="W13" s="1"/>
      <c r="X13" s="1"/>
      <c r="Y13" s="1"/>
      <c r="Z13" s="1"/>
      <c r="AA13" s="55" t="s">
        <v>244</v>
      </c>
      <c r="AB13" s="1"/>
      <c r="AC13" s="56" t="s">
        <v>244</v>
      </c>
      <c r="AD13" s="1"/>
      <c r="AE13" s="1"/>
      <c r="AF13" s="2">
        <v>0</v>
      </c>
      <c r="AG13" s="55">
        <v>100</v>
      </c>
      <c r="AH13" s="1"/>
      <c r="AI13" s="1"/>
      <c r="AJ13" s="1"/>
      <c r="AK13" s="1"/>
      <c r="AL13" s="1"/>
      <c r="AM13" s="1"/>
      <c r="AN13" s="55" t="s">
        <v>244</v>
      </c>
      <c r="AO13" s="1"/>
      <c r="AP13" s="56" t="s">
        <v>244</v>
      </c>
      <c r="AQ13" s="1"/>
      <c r="AR13" s="1"/>
      <c r="AS13" s="2">
        <v>0</v>
      </c>
      <c r="AT13" s="55">
        <v>100</v>
      </c>
      <c r="AU13" s="55" t="s">
        <v>244</v>
      </c>
      <c r="AV13" s="55" t="s">
        <v>244</v>
      </c>
      <c r="AW13" s="56" t="s">
        <v>244</v>
      </c>
      <c r="AX13" s="57" t="s">
        <v>244</v>
      </c>
      <c r="AY13" s="55" t="s">
        <v>244</v>
      </c>
      <c r="AZ13" s="1"/>
      <c r="BA13" s="58">
        <v>0</v>
      </c>
      <c r="BB13" s="59">
        <v>100</v>
      </c>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1269215</v>
      </c>
      <c r="EB13" s="39">
        <v>106</v>
      </c>
      <c r="EC13" s="39">
        <v>36</v>
      </c>
      <c r="ED13" s="1"/>
      <c r="EE13" s="1"/>
      <c r="EF13" s="1"/>
      <c r="EG13" s="1"/>
      <c r="EH13" s="1"/>
      <c r="EI13" s="1"/>
      <c r="EJ13" s="1"/>
      <c r="EK13" s="55" t="s">
        <v>244</v>
      </c>
      <c r="EL13" s="1"/>
      <c r="EM13" s="56" t="s">
        <v>244</v>
      </c>
      <c r="EN13" s="1"/>
      <c r="EO13" s="1"/>
      <c r="EP13" s="2">
        <v>0</v>
      </c>
      <c r="EQ13" s="55">
        <v>100</v>
      </c>
      <c r="ER13" s="1"/>
      <c r="ES13" s="1"/>
      <c r="ET13" s="1"/>
      <c r="EU13" s="1"/>
      <c r="EV13" s="1"/>
      <c r="EW13" s="1"/>
      <c r="EX13" s="55" t="s">
        <v>244</v>
      </c>
      <c r="EY13" s="1"/>
      <c r="EZ13" s="56" t="s">
        <v>244</v>
      </c>
      <c r="FA13" s="1"/>
      <c r="FB13" s="1"/>
      <c r="FC13" s="2">
        <v>0</v>
      </c>
      <c r="FD13" s="55">
        <v>100</v>
      </c>
      <c r="FE13" s="55" t="s">
        <v>244</v>
      </c>
      <c r="FF13" s="55" t="s">
        <v>244</v>
      </c>
      <c r="FG13" s="56" t="s">
        <v>244</v>
      </c>
      <c r="FH13" s="57" t="s">
        <v>244</v>
      </c>
      <c r="FI13" s="55" t="s">
        <v>244</v>
      </c>
      <c r="FJ13" s="1"/>
      <c r="FK13" s="58">
        <v>0</v>
      </c>
      <c r="FL13" s="59">
        <v>100</v>
      </c>
      <c r="FM13" s="4">
        <v>1070977</v>
      </c>
      <c r="FN13" s="39">
        <v>110</v>
      </c>
      <c r="FO13" s="39">
        <v>168</v>
      </c>
      <c r="FP13" s="1"/>
      <c r="FQ13" s="1"/>
      <c r="FR13" s="1"/>
      <c r="FS13" s="1"/>
      <c r="FT13" s="1"/>
      <c r="FU13" s="1"/>
      <c r="FV13" s="1"/>
      <c r="FW13" s="55" t="s">
        <v>244</v>
      </c>
      <c r="FX13" s="1"/>
      <c r="FY13" s="56" t="s">
        <v>244</v>
      </c>
      <c r="FZ13" s="1"/>
      <c r="GA13" s="1"/>
      <c r="GB13" s="2">
        <v>0</v>
      </c>
      <c r="GC13" s="55">
        <v>100</v>
      </c>
      <c r="GD13" s="1"/>
      <c r="GE13" s="1"/>
      <c r="GF13" s="1"/>
      <c r="GG13" s="1"/>
      <c r="GH13" s="1"/>
      <c r="GI13" s="1"/>
      <c r="GJ13" s="55" t="s">
        <v>244</v>
      </c>
      <c r="GK13" s="1"/>
      <c r="GL13" s="56" t="s">
        <v>244</v>
      </c>
      <c r="GM13" s="1"/>
      <c r="GN13" s="1"/>
      <c r="GO13" s="2">
        <v>0</v>
      </c>
      <c r="GP13" s="55">
        <v>100</v>
      </c>
      <c r="GQ13" s="55" t="s">
        <v>244</v>
      </c>
      <c r="GR13" s="55" t="s">
        <v>244</v>
      </c>
      <c r="GS13" s="56" t="s">
        <v>244</v>
      </c>
      <c r="GT13" s="57" t="s">
        <v>244</v>
      </c>
      <c r="GU13" s="55" t="s">
        <v>244</v>
      </c>
      <c r="GV13" s="1"/>
      <c r="GW13" s="58">
        <v>0</v>
      </c>
      <c r="GX13" s="59">
        <v>100</v>
      </c>
      <c r="GY13" s="4">
        <v>1199044</v>
      </c>
      <c r="GZ13" s="39">
        <v>114</v>
      </c>
      <c r="HA13" s="39">
        <v>33</v>
      </c>
      <c r="HB13" s="1"/>
      <c r="HC13" s="1"/>
      <c r="HD13" s="1"/>
      <c r="HE13" s="1"/>
      <c r="HF13" s="1"/>
      <c r="HG13" s="1"/>
      <c r="HH13" s="1"/>
      <c r="HI13" s="55" t="s">
        <v>244</v>
      </c>
      <c r="HJ13" s="1"/>
      <c r="HK13" s="56" t="s">
        <v>244</v>
      </c>
      <c r="HL13" s="1"/>
      <c r="HM13" s="1"/>
      <c r="HN13" s="2">
        <v>0</v>
      </c>
      <c r="HO13" s="55">
        <v>100</v>
      </c>
      <c r="HP13" s="1"/>
      <c r="HQ13" s="1"/>
      <c r="HR13" s="1"/>
      <c r="HS13" s="1"/>
      <c r="HT13" s="1"/>
      <c r="HU13" s="1"/>
      <c r="HV13" s="55" t="s">
        <v>244</v>
      </c>
      <c r="HW13" s="1"/>
      <c r="HX13" s="56" t="s">
        <v>244</v>
      </c>
      <c r="HY13" s="1"/>
      <c r="HZ13" s="1"/>
      <c r="IA13" s="2">
        <v>0</v>
      </c>
      <c r="IB13" s="55">
        <v>100</v>
      </c>
      <c r="IC13" s="55" t="s">
        <v>244</v>
      </c>
      <c r="ID13" s="55" t="s">
        <v>244</v>
      </c>
      <c r="IE13" s="56" t="s">
        <v>244</v>
      </c>
      <c r="IF13" s="57" t="s">
        <v>244</v>
      </c>
      <c r="IG13" s="55" t="s">
        <v>244</v>
      </c>
      <c r="IH13" s="1"/>
      <c r="II13" s="58">
        <v>0</v>
      </c>
      <c r="IJ13" s="59">
        <v>100</v>
      </c>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1070977</v>
      </c>
      <c r="PT13" s="39">
        <v>128</v>
      </c>
      <c r="PU13" s="39">
        <v>33</v>
      </c>
      <c r="PV13" s="1"/>
      <c r="PW13" s="1"/>
      <c r="PX13" s="1"/>
      <c r="PY13" s="1"/>
      <c r="PZ13" s="1"/>
      <c r="QA13" s="1"/>
      <c r="QB13" s="1"/>
      <c r="QC13" s="55" t="s">
        <v>244</v>
      </c>
      <c r="QD13" s="1"/>
      <c r="QE13" s="56" t="s">
        <v>244</v>
      </c>
      <c r="QF13" s="1"/>
      <c r="QG13" s="1"/>
      <c r="QH13" s="2">
        <v>0</v>
      </c>
      <c r="QI13" s="55">
        <v>100</v>
      </c>
      <c r="QJ13" s="1"/>
      <c r="QK13" s="1"/>
      <c r="QL13" s="1"/>
      <c r="QM13" s="1"/>
      <c r="QN13" s="1"/>
      <c r="QO13" s="1"/>
      <c r="QP13" s="55" t="s">
        <v>244</v>
      </c>
      <c r="QQ13" s="1"/>
      <c r="QR13" s="56" t="s">
        <v>244</v>
      </c>
      <c r="QS13" s="1"/>
      <c r="QT13" s="1"/>
      <c r="QU13" s="2">
        <v>0</v>
      </c>
      <c r="QV13" s="55">
        <v>100</v>
      </c>
      <c r="QW13" s="55" t="s">
        <v>244</v>
      </c>
      <c r="QX13" s="55" t="s">
        <v>244</v>
      </c>
      <c r="QY13" s="56" t="s">
        <v>244</v>
      </c>
      <c r="QZ13" s="57" t="s">
        <v>244</v>
      </c>
      <c r="RA13" s="55" t="s">
        <v>244</v>
      </c>
      <c r="RB13" s="1"/>
      <c r="RC13" s="58">
        <v>0</v>
      </c>
      <c r="RD13" s="59">
        <v>100</v>
      </c>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1070977</v>
      </c>
      <c r="UD13" s="39">
        <v>131</v>
      </c>
      <c r="UE13" s="39">
        <v>69</v>
      </c>
      <c r="UF13" s="1"/>
      <c r="UG13" s="1"/>
      <c r="UH13" s="1"/>
      <c r="UI13" s="1"/>
      <c r="UJ13" s="1"/>
      <c r="UK13" s="1"/>
      <c r="UL13" s="1"/>
      <c r="UM13" s="55" t="s">
        <v>244</v>
      </c>
      <c r="UN13" s="1"/>
      <c r="UO13" s="56" t="s">
        <v>244</v>
      </c>
      <c r="UP13" s="1"/>
      <c r="UQ13" s="1"/>
      <c r="UR13" s="2">
        <v>0</v>
      </c>
      <c r="US13" s="55">
        <v>100</v>
      </c>
      <c r="UT13" s="1"/>
      <c r="UU13" s="1"/>
      <c r="UV13" s="1"/>
      <c r="UW13" s="1"/>
      <c r="UX13" s="1"/>
      <c r="UY13" s="1"/>
      <c r="UZ13" s="55" t="s">
        <v>244</v>
      </c>
      <c r="VA13" s="1"/>
      <c r="VB13" s="56" t="s">
        <v>244</v>
      </c>
      <c r="VC13" s="1"/>
      <c r="VD13" s="1"/>
      <c r="VE13" s="2">
        <v>0</v>
      </c>
      <c r="VF13" s="55">
        <v>100</v>
      </c>
      <c r="VG13" s="55" t="s">
        <v>244</v>
      </c>
      <c r="VH13" s="55" t="s">
        <v>244</v>
      </c>
      <c r="VI13" s="56" t="s">
        <v>244</v>
      </c>
      <c r="VJ13" s="57" t="s">
        <v>244</v>
      </c>
      <c r="VK13" s="55" t="s">
        <v>244</v>
      </c>
      <c r="VL13" s="1"/>
      <c r="VM13" s="58">
        <v>0</v>
      </c>
      <c r="VN13" s="59">
        <v>100</v>
      </c>
      <c r="VO13" s="4">
        <v>1070977</v>
      </c>
      <c r="VP13" s="39">
        <v>132</v>
      </c>
      <c r="VQ13" s="39">
        <v>33</v>
      </c>
      <c r="VR13" s="1"/>
      <c r="VS13" s="1"/>
      <c r="VT13" s="1"/>
      <c r="VU13" s="1"/>
      <c r="VV13" s="1"/>
      <c r="VW13" s="1"/>
      <c r="VX13" s="1"/>
      <c r="VY13" s="55" t="s">
        <v>244</v>
      </c>
      <c r="VZ13" s="1"/>
      <c r="WA13" s="56" t="s">
        <v>244</v>
      </c>
      <c r="WB13" s="1"/>
      <c r="WC13" s="1"/>
      <c r="WD13" s="2">
        <v>0</v>
      </c>
      <c r="WE13" s="55">
        <v>100</v>
      </c>
      <c r="WF13" s="1"/>
      <c r="WG13" s="1"/>
      <c r="WH13" s="1"/>
      <c r="WI13" s="1"/>
      <c r="WJ13" s="1"/>
      <c r="WK13" s="1"/>
      <c r="WL13" s="55" t="s">
        <v>244</v>
      </c>
      <c r="WM13" s="1"/>
      <c r="WN13" s="56" t="s">
        <v>244</v>
      </c>
      <c r="WO13" s="1"/>
      <c r="WP13" s="1"/>
      <c r="WQ13" s="2">
        <v>0</v>
      </c>
      <c r="WR13" s="55">
        <v>100</v>
      </c>
      <c r="WS13" s="55" t="s">
        <v>244</v>
      </c>
      <c r="WT13" s="55" t="s">
        <v>244</v>
      </c>
      <c r="WU13" s="56" t="s">
        <v>244</v>
      </c>
      <c r="WV13" s="57" t="s">
        <v>244</v>
      </c>
      <c r="WW13" s="55" t="s">
        <v>244</v>
      </c>
      <c r="WX13" s="1"/>
      <c r="WY13" s="58">
        <v>0</v>
      </c>
      <c r="WZ13" s="59">
        <v>100</v>
      </c>
      <c r="XA13" s="4">
        <v>1070977</v>
      </c>
      <c r="XB13" s="39">
        <v>133</v>
      </c>
      <c r="XC13" s="39">
        <v>33</v>
      </c>
      <c r="XD13" s="1"/>
      <c r="XE13" s="1"/>
      <c r="XF13" s="1"/>
      <c r="XG13" s="1"/>
      <c r="XH13" s="1"/>
      <c r="XI13" s="1"/>
      <c r="XJ13" s="1"/>
      <c r="XK13" s="55" t="s">
        <v>244</v>
      </c>
      <c r="XL13" s="1"/>
      <c r="XM13" s="56" t="s">
        <v>244</v>
      </c>
      <c r="XN13" s="1"/>
      <c r="XO13" s="1"/>
      <c r="XP13" s="2">
        <v>0</v>
      </c>
      <c r="XQ13" s="55">
        <v>100</v>
      </c>
      <c r="XR13" s="1"/>
      <c r="XS13" s="1"/>
      <c r="XT13" s="1"/>
      <c r="XU13" s="1"/>
      <c r="XV13" s="1"/>
      <c r="XW13" s="1"/>
      <c r="XX13" s="55" t="s">
        <v>244</v>
      </c>
      <c r="XY13" s="1"/>
      <c r="XZ13" s="56" t="s">
        <v>244</v>
      </c>
      <c r="YA13" s="1"/>
      <c r="YB13" s="1"/>
      <c r="YC13" s="2">
        <v>0</v>
      </c>
      <c r="YD13" s="55">
        <v>100</v>
      </c>
      <c r="YE13" s="55" t="s">
        <v>244</v>
      </c>
      <c r="YF13" s="55" t="s">
        <v>244</v>
      </c>
      <c r="YG13" s="56" t="s">
        <v>244</v>
      </c>
      <c r="YH13" s="57" t="s">
        <v>244</v>
      </c>
      <c r="YI13" s="55" t="s">
        <v>244</v>
      </c>
      <c r="YJ13" s="1"/>
      <c r="YK13" s="58">
        <v>0</v>
      </c>
      <c r="YL13" s="59">
        <v>100</v>
      </c>
      <c r="YM13" s="4">
        <v>1070977</v>
      </c>
      <c r="YN13" s="39">
        <v>135</v>
      </c>
      <c r="YO13" s="39">
        <v>33</v>
      </c>
      <c r="YP13" s="1"/>
      <c r="YQ13" s="1"/>
      <c r="YR13" s="1"/>
      <c r="YS13" s="1"/>
      <c r="YT13" s="1"/>
      <c r="YU13" s="1"/>
      <c r="YV13" s="1"/>
      <c r="YW13" s="55" t="s">
        <v>244</v>
      </c>
      <c r="YX13" s="1"/>
      <c r="YY13" s="56" t="s">
        <v>244</v>
      </c>
      <c r="YZ13" s="1"/>
      <c r="ZA13" s="1"/>
      <c r="ZB13" s="2">
        <v>0</v>
      </c>
      <c r="ZC13" s="55">
        <v>100</v>
      </c>
      <c r="ZD13" s="1"/>
      <c r="ZE13" s="1"/>
      <c r="ZF13" s="1"/>
      <c r="ZG13" s="1"/>
      <c r="ZH13" s="1"/>
      <c r="ZI13" s="1"/>
      <c r="ZJ13" s="55" t="s">
        <v>244</v>
      </c>
      <c r="ZK13" s="1"/>
      <c r="ZL13" s="56" t="s">
        <v>244</v>
      </c>
      <c r="ZM13" s="1"/>
      <c r="ZN13" s="1"/>
      <c r="ZO13" s="2">
        <v>0</v>
      </c>
      <c r="ZP13" s="55">
        <v>100</v>
      </c>
      <c r="ZQ13" s="55" t="s">
        <v>244</v>
      </c>
      <c r="ZR13" s="55" t="s">
        <v>244</v>
      </c>
      <c r="ZS13" s="56" t="s">
        <v>244</v>
      </c>
      <c r="ZT13" s="57" t="s">
        <v>244</v>
      </c>
      <c r="ZU13" s="55" t="s">
        <v>244</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3984183</v>
      </c>
      <c r="F14" s="89">
        <f t="shared" si="401"/>
        <v>1</v>
      </c>
      <c r="G14" s="89" t="str">
        <f t="shared" si="402"/>
        <v>Ç</v>
      </c>
      <c r="H14" s="36" t="s">
        <v>164</v>
      </c>
      <c r="I14" s="37" t="s">
        <v>165</v>
      </c>
      <c r="J14" s="41" t="s">
        <v>166</v>
      </c>
      <c r="K14" s="90" t="str">
        <f t="shared" si="403"/>
        <v>A</v>
      </c>
      <c r="L14" s="41" t="s">
        <v>117</v>
      </c>
      <c r="M14" s="93">
        <v>42387</v>
      </c>
      <c r="N14" s="41"/>
      <c r="O14" s="43" t="s">
        <v>225</v>
      </c>
      <c r="P14" s="91" t="str">
        <f t="shared" si="404"/>
        <v>Süleymanova Samirə Həsən</v>
      </c>
      <c r="Q14" s="4">
        <v>1070977</v>
      </c>
      <c r="R14" s="39">
        <v>101</v>
      </c>
      <c r="S14" s="39">
        <v>270</v>
      </c>
      <c r="T14" s="1"/>
      <c r="U14" s="1"/>
      <c r="V14" s="1"/>
      <c r="W14" s="1"/>
      <c r="X14" s="1"/>
      <c r="Y14" s="1"/>
      <c r="Z14" s="1"/>
      <c r="AA14" s="55" t="s">
        <v>244</v>
      </c>
      <c r="AB14" s="1"/>
      <c r="AC14" s="56" t="s">
        <v>244</v>
      </c>
      <c r="AD14" s="1"/>
      <c r="AE14" s="1"/>
      <c r="AF14" s="2">
        <v>0</v>
      </c>
      <c r="AG14" s="55">
        <v>100</v>
      </c>
      <c r="AH14" s="1"/>
      <c r="AI14" s="1"/>
      <c r="AJ14" s="1"/>
      <c r="AK14" s="1"/>
      <c r="AL14" s="1"/>
      <c r="AM14" s="1"/>
      <c r="AN14" s="55" t="s">
        <v>244</v>
      </c>
      <c r="AO14" s="1"/>
      <c r="AP14" s="56" t="s">
        <v>244</v>
      </c>
      <c r="AQ14" s="1"/>
      <c r="AR14" s="1"/>
      <c r="AS14" s="2">
        <v>0</v>
      </c>
      <c r="AT14" s="55">
        <v>100</v>
      </c>
      <c r="AU14" s="55" t="s">
        <v>244</v>
      </c>
      <c r="AV14" s="55" t="s">
        <v>244</v>
      </c>
      <c r="AW14" s="56" t="s">
        <v>244</v>
      </c>
      <c r="AX14" s="57" t="s">
        <v>244</v>
      </c>
      <c r="AY14" s="55" t="s">
        <v>244</v>
      </c>
      <c r="AZ14" s="1"/>
      <c r="BA14" s="58">
        <v>0</v>
      </c>
      <c r="BB14" s="59">
        <v>100</v>
      </c>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1269215</v>
      </c>
      <c r="EB14" s="39">
        <v>106</v>
      </c>
      <c r="EC14" s="39">
        <v>36</v>
      </c>
      <c r="ED14" s="1"/>
      <c r="EE14" s="1"/>
      <c r="EF14" s="1"/>
      <c r="EG14" s="1"/>
      <c r="EH14" s="1"/>
      <c r="EI14" s="1"/>
      <c r="EJ14" s="1"/>
      <c r="EK14" s="55" t="s">
        <v>244</v>
      </c>
      <c r="EL14" s="1"/>
      <c r="EM14" s="56" t="s">
        <v>244</v>
      </c>
      <c r="EN14" s="1"/>
      <c r="EO14" s="1"/>
      <c r="EP14" s="2">
        <v>0</v>
      </c>
      <c r="EQ14" s="55">
        <v>100</v>
      </c>
      <c r="ER14" s="1"/>
      <c r="ES14" s="1"/>
      <c r="ET14" s="1"/>
      <c r="EU14" s="1"/>
      <c r="EV14" s="1"/>
      <c r="EW14" s="1"/>
      <c r="EX14" s="55" t="s">
        <v>244</v>
      </c>
      <c r="EY14" s="1"/>
      <c r="EZ14" s="56" t="s">
        <v>244</v>
      </c>
      <c r="FA14" s="1"/>
      <c r="FB14" s="1"/>
      <c r="FC14" s="2">
        <v>0</v>
      </c>
      <c r="FD14" s="55">
        <v>100</v>
      </c>
      <c r="FE14" s="55" t="s">
        <v>244</v>
      </c>
      <c r="FF14" s="55" t="s">
        <v>244</v>
      </c>
      <c r="FG14" s="56" t="s">
        <v>244</v>
      </c>
      <c r="FH14" s="57" t="s">
        <v>244</v>
      </c>
      <c r="FI14" s="55" t="s">
        <v>244</v>
      </c>
      <c r="FJ14" s="1"/>
      <c r="FK14" s="58">
        <v>0</v>
      </c>
      <c r="FL14" s="59">
        <v>100</v>
      </c>
      <c r="FM14" s="4">
        <v>1070977</v>
      </c>
      <c r="FN14" s="39">
        <v>110</v>
      </c>
      <c r="FO14" s="39">
        <v>168</v>
      </c>
      <c r="FP14" s="1"/>
      <c r="FQ14" s="1"/>
      <c r="FR14" s="1"/>
      <c r="FS14" s="1"/>
      <c r="FT14" s="1"/>
      <c r="FU14" s="1"/>
      <c r="FV14" s="1"/>
      <c r="FW14" s="55" t="s">
        <v>244</v>
      </c>
      <c r="FX14" s="1"/>
      <c r="FY14" s="56" t="s">
        <v>244</v>
      </c>
      <c r="FZ14" s="1"/>
      <c r="GA14" s="1"/>
      <c r="GB14" s="2">
        <v>0</v>
      </c>
      <c r="GC14" s="55">
        <v>100</v>
      </c>
      <c r="GD14" s="1"/>
      <c r="GE14" s="1"/>
      <c r="GF14" s="1"/>
      <c r="GG14" s="1"/>
      <c r="GH14" s="1"/>
      <c r="GI14" s="1"/>
      <c r="GJ14" s="55" t="s">
        <v>244</v>
      </c>
      <c r="GK14" s="1"/>
      <c r="GL14" s="56" t="s">
        <v>244</v>
      </c>
      <c r="GM14" s="1"/>
      <c r="GN14" s="1"/>
      <c r="GO14" s="2">
        <v>0</v>
      </c>
      <c r="GP14" s="55">
        <v>100</v>
      </c>
      <c r="GQ14" s="55" t="s">
        <v>244</v>
      </c>
      <c r="GR14" s="55" t="s">
        <v>244</v>
      </c>
      <c r="GS14" s="56" t="s">
        <v>244</v>
      </c>
      <c r="GT14" s="57" t="s">
        <v>244</v>
      </c>
      <c r="GU14" s="55" t="s">
        <v>244</v>
      </c>
      <c r="GV14" s="1"/>
      <c r="GW14" s="58">
        <v>0</v>
      </c>
      <c r="GX14" s="59">
        <v>100</v>
      </c>
      <c r="GY14" s="4">
        <v>1199044</v>
      </c>
      <c r="GZ14" s="39">
        <v>114</v>
      </c>
      <c r="HA14" s="39">
        <v>33</v>
      </c>
      <c r="HB14" s="1"/>
      <c r="HC14" s="1"/>
      <c r="HD14" s="1"/>
      <c r="HE14" s="1"/>
      <c r="HF14" s="1"/>
      <c r="HG14" s="1"/>
      <c r="HH14" s="1"/>
      <c r="HI14" s="55" t="s">
        <v>244</v>
      </c>
      <c r="HJ14" s="1"/>
      <c r="HK14" s="56" t="s">
        <v>244</v>
      </c>
      <c r="HL14" s="1"/>
      <c r="HM14" s="1"/>
      <c r="HN14" s="2">
        <v>0</v>
      </c>
      <c r="HO14" s="55">
        <v>100</v>
      </c>
      <c r="HP14" s="1"/>
      <c r="HQ14" s="1"/>
      <c r="HR14" s="1"/>
      <c r="HS14" s="1"/>
      <c r="HT14" s="1"/>
      <c r="HU14" s="1"/>
      <c r="HV14" s="55" t="s">
        <v>244</v>
      </c>
      <c r="HW14" s="1"/>
      <c r="HX14" s="56" t="s">
        <v>244</v>
      </c>
      <c r="HY14" s="1"/>
      <c r="HZ14" s="1"/>
      <c r="IA14" s="2">
        <v>0</v>
      </c>
      <c r="IB14" s="55">
        <v>100</v>
      </c>
      <c r="IC14" s="55" t="s">
        <v>244</v>
      </c>
      <c r="ID14" s="55" t="s">
        <v>244</v>
      </c>
      <c r="IE14" s="56" t="s">
        <v>244</v>
      </c>
      <c r="IF14" s="57" t="s">
        <v>244</v>
      </c>
      <c r="IG14" s="55" t="s">
        <v>244</v>
      </c>
      <c r="IH14" s="1"/>
      <c r="II14" s="58">
        <v>0</v>
      </c>
      <c r="IJ14" s="59">
        <v>100</v>
      </c>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1070977</v>
      </c>
      <c r="PT14" s="39">
        <v>128</v>
      </c>
      <c r="PU14" s="39">
        <v>33</v>
      </c>
      <c r="PV14" s="1"/>
      <c r="PW14" s="1"/>
      <c r="PX14" s="1"/>
      <c r="PY14" s="1"/>
      <c r="PZ14" s="1"/>
      <c r="QA14" s="1"/>
      <c r="QB14" s="1"/>
      <c r="QC14" s="55" t="s">
        <v>244</v>
      </c>
      <c r="QD14" s="1"/>
      <c r="QE14" s="56" t="s">
        <v>244</v>
      </c>
      <c r="QF14" s="1"/>
      <c r="QG14" s="1"/>
      <c r="QH14" s="2">
        <v>0</v>
      </c>
      <c r="QI14" s="55">
        <v>100</v>
      </c>
      <c r="QJ14" s="1"/>
      <c r="QK14" s="1"/>
      <c r="QL14" s="1"/>
      <c r="QM14" s="1"/>
      <c r="QN14" s="1"/>
      <c r="QO14" s="1"/>
      <c r="QP14" s="55" t="s">
        <v>244</v>
      </c>
      <c r="QQ14" s="1"/>
      <c r="QR14" s="56" t="s">
        <v>244</v>
      </c>
      <c r="QS14" s="1"/>
      <c r="QT14" s="1"/>
      <c r="QU14" s="2">
        <v>0</v>
      </c>
      <c r="QV14" s="55">
        <v>100</v>
      </c>
      <c r="QW14" s="55" t="s">
        <v>244</v>
      </c>
      <c r="QX14" s="55" t="s">
        <v>244</v>
      </c>
      <c r="QY14" s="56" t="s">
        <v>244</v>
      </c>
      <c r="QZ14" s="57" t="s">
        <v>244</v>
      </c>
      <c r="RA14" s="55" t="s">
        <v>244</v>
      </c>
      <c r="RB14" s="1"/>
      <c r="RC14" s="58">
        <v>0</v>
      </c>
      <c r="RD14" s="59">
        <v>100</v>
      </c>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1070977</v>
      </c>
      <c r="UD14" s="39">
        <v>131</v>
      </c>
      <c r="UE14" s="39">
        <v>69</v>
      </c>
      <c r="UF14" s="1"/>
      <c r="UG14" s="1"/>
      <c r="UH14" s="1"/>
      <c r="UI14" s="1"/>
      <c r="UJ14" s="1"/>
      <c r="UK14" s="1"/>
      <c r="UL14" s="1"/>
      <c r="UM14" s="55" t="s">
        <v>244</v>
      </c>
      <c r="UN14" s="1"/>
      <c r="UO14" s="56" t="s">
        <v>244</v>
      </c>
      <c r="UP14" s="1"/>
      <c r="UQ14" s="1"/>
      <c r="UR14" s="2">
        <v>0</v>
      </c>
      <c r="US14" s="55">
        <v>100</v>
      </c>
      <c r="UT14" s="1"/>
      <c r="UU14" s="1"/>
      <c r="UV14" s="1"/>
      <c r="UW14" s="1"/>
      <c r="UX14" s="1"/>
      <c r="UY14" s="1"/>
      <c r="UZ14" s="55" t="s">
        <v>244</v>
      </c>
      <c r="VA14" s="1"/>
      <c r="VB14" s="56" t="s">
        <v>244</v>
      </c>
      <c r="VC14" s="1"/>
      <c r="VD14" s="1"/>
      <c r="VE14" s="2">
        <v>0</v>
      </c>
      <c r="VF14" s="55">
        <v>100</v>
      </c>
      <c r="VG14" s="55" t="s">
        <v>244</v>
      </c>
      <c r="VH14" s="55" t="s">
        <v>244</v>
      </c>
      <c r="VI14" s="56" t="s">
        <v>244</v>
      </c>
      <c r="VJ14" s="57" t="s">
        <v>244</v>
      </c>
      <c r="VK14" s="55" t="s">
        <v>244</v>
      </c>
      <c r="VL14" s="1"/>
      <c r="VM14" s="58">
        <v>0</v>
      </c>
      <c r="VN14" s="59">
        <v>100</v>
      </c>
      <c r="VO14" s="4">
        <v>1070977</v>
      </c>
      <c r="VP14" s="39">
        <v>132</v>
      </c>
      <c r="VQ14" s="39">
        <v>33</v>
      </c>
      <c r="VR14" s="1"/>
      <c r="VS14" s="1"/>
      <c r="VT14" s="1"/>
      <c r="VU14" s="1"/>
      <c r="VV14" s="1"/>
      <c r="VW14" s="1"/>
      <c r="VX14" s="1"/>
      <c r="VY14" s="55" t="s">
        <v>244</v>
      </c>
      <c r="VZ14" s="1"/>
      <c r="WA14" s="56" t="s">
        <v>244</v>
      </c>
      <c r="WB14" s="1"/>
      <c r="WC14" s="1"/>
      <c r="WD14" s="2">
        <v>0</v>
      </c>
      <c r="WE14" s="55">
        <v>100</v>
      </c>
      <c r="WF14" s="1"/>
      <c r="WG14" s="1"/>
      <c r="WH14" s="1"/>
      <c r="WI14" s="1"/>
      <c r="WJ14" s="1"/>
      <c r="WK14" s="1"/>
      <c r="WL14" s="55" t="s">
        <v>244</v>
      </c>
      <c r="WM14" s="1"/>
      <c r="WN14" s="56" t="s">
        <v>244</v>
      </c>
      <c r="WO14" s="1"/>
      <c r="WP14" s="1"/>
      <c r="WQ14" s="2">
        <v>0</v>
      </c>
      <c r="WR14" s="55">
        <v>100</v>
      </c>
      <c r="WS14" s="55" t="s">
        <v>244</v>
      </c>
      <c r="WT14" s="55" t="s">
        <v>244</v>
      </c>
      <c r="WU14" s="56" t="s">
        <v>244</v>
      </c>
      <c r="WV14" s="57" t="s">
        <v>244</v>
      </c>
      <c r="WW14" s="55" t="s">
        <v>244</v>
      </c>
      <c r="WX14" s="1"/>
      <c r="WY14" s="58">
        <v>0</v>
      </c>
      <c r="WZ14" s="59">
        <v>100</v>
      </c>
      <c r="XA14" s="4">
        <v>1070977</v>
      </c>
      <c r="XB14" s="39">
        <v>133</v>
      </c>
      <c r="XC14" s="39">
        <v>33</v>
      </c>
      <c r="XD14" s="1"/>
      <c r="XE14" s="1"/>
      <c r="XF14" s="1"/>
      <c r="XG14" s="1"/>
      <c r="XH14" s="1"/>
      <c r="XI14" s="1"/>
      <c r="XJ14" s="1"/>
      <c r="XK14" s="55" t="s">
        <v>244</v>
      </c>
      <c r="XL14" s="1"/>
      <c r="XM14" s="56" t="s">
        <v>244</v>
      </c>
      <c r="XN14" s="1"/>
      <c r="XO14" s="1"/>
      <c r="XP14" s="2">
        <v>0</v>
      </c>
      <c r="XQ14" s="55">
        <v>100</v>
      </c>
      <c r="XR14" s="1"/>
      <c r="XS14" s="1"/>
      <c r="XT14" s="1"/>
      <c r="XU14" s="1"/>
      <c r="XV14" s="1"/>
      <c r="XW14" s="1"/>
      <c r="XX14" s="55" t="s">
        <v>244</v>
      </c>
      <c r="XY14" s="1"/>
      <c r="XZ14" s="56" t="s">
        <v>244</v>
      </c>
      <c r="YA14" s="1"/>
      <c r="YB14" s="1"/>
      <c r="YC14" s="2">
        <v>0</v>
      </c>
      <c r="YD14" s="55">
        <v>100</v>
      </c>
      <c r="YE14" s="55" t="s">
        <v>244</v>
      </c>
      <c r="YF14" s="55" t="s">
        <v>244</v>
      </c>
      <c r="YG14" s="56" t="s">
        <v>244</v>
      </c>
      <c r="YH14" s="57" t="s">
        <v>244</v>
      </c>
      <c r="YI14" s="55" t="s">
        <v>244</v>
      </c>
      <c r="YJ14" s="1"/>
      <c r="YK14" s="58">
        <v>0</v>
      </c>
      <c r="YL14" s="59">
        <v>100</v>
      </c>
      <c r="YM14" s="4">
        <v>1070977</v>
      </c>
      <c r="YN14" s="39">
        <v>135</v>
      </c>
      <c r="YO14" s="39">
        <v>33</v>
      </c>
      <c r="YP14" s="1"/>
      <c r="YQ14" s="1"/>
      <c r="YR14" s="1"/>
      <c r="YS14" s="1"/>
      <c r="YT14" s="1"/>
      <c r="YU14" s="1"/>
      <c r="YV14" s="1"/>
      <c r="YW14" s="55" t="s">
        <v>244</v>
      </c>
      <c r="YX14" s="1"/>
      <c r="YY14" s="56" t="s">
        <v>244</v>
      </c>
      <c r="YZ14" s="1"/>
      <c r="ZA14" s="1"/>
      <c r="ZB14" s="2">
        <v>0</v>
      </c>
      <c r="ZC14" s="55">
        <v>100</v>
      </c>
      <c r="ZD14" s="1"/>
      <c r="ZE14" s="1"/>
      <c r="ZF14" s="1"/>
      <c r="ZG14" s="1"/>
      <c r="ZH14" s="1"/>
      <c r="ZI14" s="1"/>
      <c r="ZJ14" s="55" t="s">
        <v>244</v>
      </c>
      <c r="ZK14" s="1"/>
      <c r="ZL14" s="56" t="s">
        <v>244</v>
      </c>
      <c r="ZM14" s="1"/>
      <c r="ZN14" s="1"/>
      <c r="ZO14" s="2">
        <v>0</v>
      </c>
      <c r="ZP14" s="55">
        <v>100</v>
      </c>
      <c r="ZQ14" s="55" t="s">
        <v>244</v>
      </c>
      <c r="ZR14" s="55" t="s">
        <v>244</v>
      </c>
      <c r="ZS14" s="56" t="s">
        <v>244</v>
      </c>
      <c r="ZT14" s="57" t="s">
        <v>244</v>
      </c>
      <c r="ZU14" s="55" t="s">
        <v>244</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4234529</v>
      </c>
      <c r="F15" s="89">
        <f t="shared" si="401"/>
        <v>1</v>
      </c>
      <c r="G15" s="89" t="str">
        <f t="shared" si="402"/>
        <v>Ç</v>
      </c>
      <c r="H15" s="36" t="s">
        <v>167</v>
      </c>
      <c r="I15" s="37" t="s">
        <v>168</v>
      </c>
      <c r="J15" s="41" t="s">
        <v>169</v>
      </c>
      <c r="K15" s="90" t="str">
        <f t="shared" si="403"/>
        <v>A</v>
      </c>
      <c r="L15" s="41" t="s">
        <v>117</v>
      </c>
      <c r="M15" s="93">
        <v>42285</v>
      </c>
      <c r="N15" s="41"/>
      <c r="O15" s="43" t="s">
        <v>226</v>
      </c>
      <c r="P15" s="91" t="str">
        <f t="shared" si="404"/>
        <v>Süleymanova Samirə Həsən</v>
      </c>
      <c r="Q15" s="4">
        <v>1070977</v>
      </c>
      <c r="R15" s="39">
        <v>101</v>
      </c>
      <c r="S15" s="39">
        <v>270</v>
      </c>
      <c r="T15" s="1"/>
      <c r="U15" s="1"/>
      <c r="V15" s="1"/>
      <c r="W15" s="1"/>
      <c r="X15" s="1"/>
      <c r="Y15" s="1"/>
      <c r="Z15" s="1"/>
      <c r="AA15" s="55" t="s">
        <v>244</v>
      </c>
      <c r="AB15" s="1"/>
      <c r="AC15" s="56" t="s">
        <v>244</v>
      </c>
      <c r="AD15" s="1"/>
      <c r="AE15" s="1"/>
      <c r="AF15" s="2">
        <v>0</v>
      </c>
      <c r="AG15" s="55">
        <v>100</v>
      </c>
      <c r="AH15" s="1"/>
      <c r="AI15" s="1"/>
      <c r="AJ15" s="1"/>
      <c r="AK15" s="1"/>
      <c r="AL15" s="1"/>
      <c r="AM15" s="1"/>
      <c r="AN15" s="55" t="s">
        <v>244</v>
      </c>
      <c r="AO15" s="1"/>
      <c r="AP15" s="56" t="s">
        <v>244</v>
      </c>
      <c r="AQ15" s="1"/>
      <c r="AR15" s="1"/>
      <c r="AS15" s="2">
        <v>0</v>
      </c>
      <c r="AT15" s="55">
        <v>100</v>
      </c>
      <c r="AU15" s="55" t="s">
        <v>244</v>
      </c>
      <c r="AV15" s="55" t="s">
        <v>244</v>
      </c>
      <c r="AW15" s="56" t="s">
        <v>244</v>
      </c>
      <c r="AX15" s="57" t="s">
        <v>244</v>
      </c>
      <c r="AY15" s="55" t="s">
        <v>244</v>
      </c>
      <c r="AZ15" s="1"/>
      <c r="BA15" s="58">
        <v>0</v>
      </c>
      <c r="BB15" s="59">
        <v>100</v>
      </c>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1269215</v>
      </c>
      <c r="EB15" s="39">
        <v>106</v>
      </c>
      <c r="EC15" s="39">
        <v>36</v>
      </c>
      <c r="ED15" s="1"/>
      <c r="EE15" s="1"/>
      <c r="EF15" s="1"/>
      <c r="EG15" s="1"/>
      <c r="EH15" s="1"/>
      <c r="EI15" s="1"/>
      <c r="EJ15" s="1"/>
      <c r="EK15" s="55" t="s">
        <v>244</v>
      </c>
      <c r="EL15" s="1"/>
      <c r="EM15" s="56" t="s">
        <v>244</v>
      </c>
      <c r="EN15" s="1"/>
      <c r="EO15" s="1"/>
      <c r="EP15" s="2">
        <v>0</v>
      </c>
      <c r="EQ15" s="55">
        <v>100</v>
      </c>
      <c r="ER15" s="1"/>
      <c r="ES15" s="1"/>
      <c r="ET15" s="1"/>
      <c r="EU15" s="1"/>
      <c r="EV15" s="1"/>
      <c r="EW15" s="1"/>
      <c r="EX15" s="55" t="s">
        <v>244</v>
      </c>
      <c r="EY15" s="1"/>
      <c r="EZ15" s="56" t="s">
        <v>244</v>
      </c>
      <c r="FA15" s="1"/>
      <c r="FB15" s="1"/>
      <c r="FC15" s="2">
        <v>0</v>
      </c>
      <c r="FD15" s="55">
        <v>100</v>
      </c>
      <c r="FE15" s="55" t="s">
        <v>244</v>
      </c>
      <c r="FF15" s="55" t="s">
        <v>244</v>
      </c>
      <c r="FG15" s="56" t="s">
        <v>244</v>
      </c>
      <c r="FH15" s="57" t="s">
        <v>244</v>
      </c>
      <c r="FI15" s="55" t="s">
        <v>244</v>
      </c>
      <c r="FJ15" s="1"/>
      <c r="FK15" s="58">
        <v>0</v>
      </c>
      <c r="FL15" s="59">
        <v>100</v>
      </c>
      <c r="FM15" s="4">
        <v>1070977</v>
      </c>
      <c r="FN15" s="39">
        <v>110</v>
      </c>
      <c r="FO15" s="39">
        <v>168</v>
      </c>
      <c r="FP15" s="1"/>
      <c r="FQ15" s="1"/>
      <c r="FR15" s="1"/>
      <c r="FS15" s="1"/>
      <c r="FT15" s="1"/>
      <c r="FU15" s="1"/>
      <c r="FV15" s="1"/>
      <c r="FW15" s="55" t="s">
        <v>244</v>
      </c>
      <c r="FX15" s="1"/>
      <c r="FY15" s="56" t="s">
        <v>244</v>
      </c>
      <c r="FZ15" s="1"/>
      <c r="GA15" s="1"/>
      <c r="GB15" s="2">
        <v>0</v>
      </c>
      <c r="GC15" s="55">
        <v>100</v>
      </c>
      <c r="GD15" s="1"/>
      <c r="GE15" s="1"/>
      <c r="GF15" s="1"/>
      <c r="GG15" s="1"/>
      <c r="GH15" s="1"/>
      <c r="GI15" s="1"/>
      <c r="GJ15" s="55" t="s">
        <v>244</v>
      </c>
      <c r="GK15" s="1"/>
      <c r="GL15" s="56" t="s">
        <v>244</v>
      </c>
      <c r="GM15" s="1"/>
      <c r="GN15" s="1"/>
      <c r="GO15" s="2">
        <v>0</v>
      </c>
      <c r="GP15" s="55">
        <v>100</v>
      </c>
      <c r="GQ15" s="55" t="s">
        <v>244</v>
      </c>
      <c r="GR15" s="55" t="s">
        <v>244</v>
      </c>
      <c r="GS15" s="56" t="s">
        <v>244</v>
      </c>
      <c r="GT15" s="57" t="s">
        <v>244</v>
      </c>
      <c r="GU15" s="55" t="s">
        <v>244</v>
      </c>
      <c r="GV15" s="1"/>
      <c r="GW15" s="58">
        <v>0</v>
      </c>
      <c r="GX15" s="59">
        <v>100</v>
      </c>
      <c r="GY15" s="4">
        <v>1199044</v>
      </c>
      <c r="GZ15" s="39">
        <v>114</v>
      </c>
      <c r="HA15" s="39">
        <v>33</v>
      </c>
      <c r="HB15" s="1"/>
      <c r="HC15" s="1"/>
      <c r="HD15" s="1"/>
      <c r="HE15" s="1"/>
      <c r="HF15" s="1"/>
      <c r="HG15" s="1"/>
      <c r="HH15" s="1"/>
      <c r="HI15" s="55" t="s">
        <v>244</v>
      </c>
      <c r="HJ15" s="1"/>
      <c r="HK15" s="56" t="s">
        <v>244</v>
      </c>
      <c r="HL15" s="1"/>
      <c r="HM15" s="1"/>
      <c r="HN15" s="2">
        <v>0</v>
      </c>
      <c r="HO15" s="55">
        <v>100</v>
      </c>
      <c r="HP15" s="1"/>
      <c r="HQ15" s="1"/>
      <c r="HR15" s="1"/>
      <c r="HS15" s="1"/>
      <c r="HT15" s="1"/>
      <c r="HU15" s="1"/>
      <c r="HV15" s="55" t="s">
        <v>244</v>
      </c>
      <c r="HW15" s="1"/>
      <c r="HX15" s="56" t="s">
        <v>244</v>
      </c>
      <c r="HY15" s="1"/>
      <c r="HZ15" s="1"/>
      <c r="IA15" s="2">
        <v>0</v>
      </c>
      <c r="IB15" s="55">
        <v>100</v>
      </c>
      <c r="IC15" s="55" t="s">
        <v>244</v>
      </c>
      <c r="ID15" s="55" t="s">
        <v>244</v>
      </c>
      <c r="IE15" s="56" t="s">
        <v>244</v>
      </c>
      <c r="IF15" s="57" t="s">
        <v>244</v>
      </c>
      <c r="IG15" s="55" t="s">
        <v>244</v>
      </c>
      <c r="IH15" s="1"/>
      <c r="II15" s="58">
        <v>0</v>
      </c>
      <c r="IJ15" s="59">
        <v>100</v>
      </c>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1070977</v>
      </c>
      <c r="PT15" s="39">
        <v>128</v>
      </c>
      <c r="PU15" s="39">
        <v>33</v>
      </c>
      <c r="PV15" s="1"/>
      <c r="PW15" s="1"/>
      <c r="PX15" s="1"/>
      <c r="PY15" s="1"/>
      <c r="PZ15" s="1"/>
      <c r="QA15" s="1"/>
      <c r="QB15" s="1"/>
      <c r="QC15" s="55" t="s">
        <v>244</v>
      </c>
      <c r="QD15" s="1"/>
      <c r="QE15" s="56" t="s">
        <v>244</v>
      </c>
      <c r="QF15" s="1"/>
      <c r="QG15" s="1"/>
      <c r="QH15" s="2">
        <v>0</v>
      </c>
      <c r="QI15" s="55">
        <v>100</v>
      </c>
      <c r="QJ15" s="1"/>
      <c r="QK15" s="1"/>
      <c r="QL15" s="1"/>
      <c r="QM15" s="1"/>
      <c r="QN15" s="1"/>
      <c r="QO15" s="1"/>
      <c r="QP15" s="55" t="s">
        <v>244</v>
      </c>
      <c r="QQ15" s="1"/>
      <c r="QR15" s="56" t="s">
        <v>244</v>
      </c>
      <c r="QS15" s="1"/>
      <c r="QT15" s="1"/>
      <c r="QU15" s="2">
        <v>0</v>
      </c>
      <c r="QV15" s="55">
        <v>100</v>
      </c>
      <c r="QW15" s="55" t="s">
        <v>244</v>
      </c>
      <c r="QX15" s="55" t="s">
        <v>244</v>
      </c>
      <c r="QY15" s="56" t="s">
        <v>244</v>
      </c>
      <c r="QZ15" s="57" t="s">
        <v>244</v>
      </c>
      <c r="RA15" s="55" t="s">
        <v>244</v>
      </c>
      <c r="RB15" s="1"/>
      <c r="RC15" s="58">
        <v>0</v>
      </c>
      <c r="RD15" s="59">
        <v>100</v>
      </c>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1070977</v>
      </c>
      <c r="UD15" s="39">
        <v>131</v>
      </c>
      <c r="UE15" s="39">
        <v>69</v>
      </c>
      <c r="UF15" s="1"/>
      <c r="UG15" s="1"/>
      <c r="UH15" s="1"/>
      <c r="UI15" s="1"/>
      <c r="UJ15" s="1"/>
      <c r="UK15" s="1"/>
      <c r="UL15" s="1"/>
      <c r="UM15" s="55" t="s">
        <v>244</v>
      </c>
      <c r="UN15" s="1"/>
      <c r="UO15" s="56" t="s">
        <v>244</v>
      </c>
      <c r="UP15" s="1"/>
      <c r="UQ15" s="1"/>
      <c r="UR15" s="2">
        <v>0</v>
      </c>
      <c r="US15" s="55">
        <v>100</v>
      </c>
      <c r="UT15" s="1"/>
      <c r="UU15" s="1"/>
      <c r="UV15" s="1"/>
      <c r="UW15" s="1"/>
      <c r="UX15" s="1"/>
      <c r="UY15" s="1"/>
      <c r="UZ15" s="55" t="s">
        <v>244</v>
      </c>
      <c r="VA15" s="1"/>
      <c r="VB15" s="56" t="s">
        <v>244</v>
      </c>
      <c r="VC15" s="1"/>
      <c r="VD15" s="1"/>
      <c r="VE15" s="2">
        <v>0</v>
      </c>
      <c r="VF15" s="55">
        <v>100</v>
      </c>
      <c r="VG15" s="55" t="s">
        <v>244</v>
      </c>
      <c r="VH15" s="55" t="s">
        <v>244</v>
      </c>
      <c r="VI15" s="56" t="s">
        <v>244</v>
      </c>
      <c r="VJ15" s="57" t="s">
        <v>244</v>
      </c>
      <c r="VK15" s="55" t="s">
        <v>244</v>
      </c>
      <c r="VL15" s="1"/>
      <c r="VM15" s="58">
        <v>0</v>
      </c>
      <c r="VN15" s="59">
        <v>100</v>
      </c>
      <c r="VO15" s="4">
        <v>1070977</v>
      </c>
      <c r="VP15" s="39">
        <v>132</v>
      </c>
      <c r="VQ15" s="39">
        <v>33</v>
      </c>
      <c r="VR15" s="1"/>
      <c r="VS15" s="1"/>
      <c r="VT15" s="1"/>
      <c r="VU15" s="1"/>
      <c r="VV15" s="1"/>
      <c r="VW15" s="1"/>
      <c r="VX15" s="1"/>
      <c r="VY15" s="55" t="s">
        <v>244</v>
      </c>
      <c r="VZ15" s="1"/>
      <c r="WA15" s="56" t="s">
        <v>244</v>
      </c>
      <c r="WB15" s="1"/>
      <c r="WC15" s="1"/>
      <c r="WD15" s="2">
        <v>0</v>
      </c>
      <c r="WE15" s="55">
        <v>100</v>
      </c>
      <c r="WF15" s="1"/>
      <c r="WG15" s="1"/>
      <c r="WH15" s="1"/>
      <c r="WI15" s="1"/>
      <c r="WJ15" s="1"/>
      <c r="WK15" s="1"/>
      <c r="WL15" s="55" t="s">
        <v>244</v>
      </c>
      <c r="WM15" s="1"/>
      <c r="WN15" s="56" t="s">
        <v>244</v>
      </c>
      <c r="WO15" s="1"/>
      <c r="WP15" s="1"/>
      <c r="WQ15" s="2">
        <v>0</v>
      </c>
      <c r="WR15" s="55">
        <v>100</v>
      </c>
      <c r="WS15" s="55" t="s">
        <v>244</v>
      </c>
      <c r="WT15" s="55" t="s">
        <v>244</v>
      </c>
      <c r="WU15" s="56" t="s">
        <v>244</v>
      </c>
      <c r="WV15" s="57" t="s">
        <v>244</v>
      </c>
      <c r="WW15" s="55" t="s">
        <v>244</v>
      </c>
      <c r="WX15" s="1"/>
      <c r="WY15" s="58">
        <v>0</v>
      </c>
      <c r="WZ15" s="59">
        <v>100</v>
      </c>
      <c r="XA15" s="4">
        <v>1070977</v>
      </c>
      <c r="XB15" s="39">
        <v>133</v>
      </c>
      <c r="XC15" s="39">
        <v>33</v>
      </c>
      <c r="XD15" s="1"/>
      <c r="XE15" s="1"/>
      <c r="XF15" s="1"/>
      <c r="XG15" s="1"/>
      <c r="XH15" s="1"/>
      <c r="XI15" s="1"/>
      <c r="XJ15" s="1"/>
      <c r="XK15" s="55" t="s">
        <v>244</v>
      </c>
      <c r="XL15" s="1"/>
      <c r="XM15" s="56" t="s">
        <v>244</v>
      </c>
      <c r="XN15" s="1"/>
      <c r="XO15" s="1"/>
      <c r="XP15" s="2">
        <v>0</v>
      </c>
      <c r="XQ15" s="55">
        <v>100</v>
      </c>
      <c r="XR15" s="1"/>
      <c r="XS15" s="1"/>
      <c r="XT15" s="1"/>
      <c r="XU15" s="1"/>
      <c r="XV15" s="1"/>
      <c r="XW15" s="1"/>
      <c r="XX15" s="55" t="s">
        <v>244</v>
      </c>
      <c r="XY15" s="1"/>
      <c r="XZ15" s="56" t="s">
        <v>244</v>
      </c>
      <c r="YA15" s="1"/>
      <c r="YB15" s="1"/>
      <c r="YC15" s="2">
        <v>0</v>
      </c>
      <c r="YD15" s="55">
        <v>100</v>
      </c>
      <c r="YE15" s="55" t="s">
        <v>244</v>
      </c>
      <c r="YF15" s="55" t="s">
        <v>244</v>
      </c>
      <c r="YG15" s="56" t="s">
        <v>244</v>
      </c>
      <c r="YH15" s="57" t="s">
        <v>244</v>
      </c>
      <c r="YI15" s="55" t="s">
        <v>244</v>
      </c>
      <c r="YJ15" s="1"/>
      <c r="YK15" s="58">
        <v>0</v>
      </c>
      <c r="YL15" s="59">
        <v>100</v>
      </c>
      <c r="YM15" s="4">
        <v>1070977</v>
      </c>
      <c r="YN15" s="39">
        <v>135</v>
      </c>
      <c r="YO15" s="39">
        <v>33</v>
      </c>
      <c r="YP15" s="1"/>
      <c r="YQ15" s="1"/>
      <c r="YR15" s="1"/>
      <c r="YS15" s="1"/>
      <c r="YT15" s="1"/>
      <c r="YU15" s="1"/>
      <c r="YV15" s="1"/>
      <c r="YW15" s="55" t="s">
        <v>244</v>
      </c>
      <c r="YX15" s="1"/>
      <c r="YY15" s="56" t="s">
        <v>244</v>
      </c>
      <c r="YZ15" s="1"/>
      <c r="ZA15" s="1"/>
      <c r="ZB15" s="2">
        <v>0</v>
      </c>
      <c r="ZC15" s="55">
        <v>100</v>
      </c>
      <c r="ZD15" s="1"/>
      <c r="ZE15" s="1"/>
      <c r="ZF15" s="1"/>
      <c r="ZG15" s="1"/>
      <c r="ZH15" s="1"/>
      <c r="ZI15" s="1"/>
      <c r="ZJ15" s="55" t="s">
        <v>244</v>
      </c>
      <c r="ZK15" s="1"/>
      <c r="ZL15" s="56" t="s">
        <v>244</v>
      </c>
      <c r="ZM15" s="1"/>
      <c r="ZN15" s="1"/>
      <c r="ZO15" s="2">
        <v>0</v>
      </c>
      <c r="ZP15" s="55">
        <v>100</v>
      </c>
      <c r="ZQ15" s="55" t="s">
        <v>244</v>
      </c>
      <c r="ZR15" s="55" t="s">
        <v>244</v>
      </c>
      <c r="ZS15" s="56" t="s">
        <v>244</v>
      </c>
      <c r="ZT15" s="57" t="s">
        <v>244</v>
      </c>
      <c r="ZU15" s="55" t="s">
        <v>244</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3720414</v>
      </c>
      <c r="F16" s="89">
        <f t="shared" si="401"/>
        <v>1</v>
      </c>
      <c r="G16" s="89" t="str">
        <f t="shared" si="402"/>
        <v>Ç</v>
      </c>
      <c r="H16" s="36" t="s">
        <v>170</v>
      </c>
      <c r="I16" s="37" t="s">
        <v>171</v>
      </c>
      <c r="J16" s="41" t="s">
        <v>215</v>
      </c>
      <c r="K16" s="90" t="str">
        <f t="shared" si="403"/>
        <v>A</v>
      </c>
      <c r="L16" s="41" t="s">
        <v>119</v>
      </c>
      <c r="M16" s="93">
        <v>42267</v>
      </c>
      <c r="N16" s="41"/>
      <c r="O16" s="43" t="s">
        <v>227</v>
      </c>
      <c r="P16" s="91" t="str">
        <f t="shared" si="404"/>
        <v>Süleymanova Samirə Həsən</v>
      </c>
      <c r="Q16" s="4">
        <v>1070977</v>
      </c>
      <c r="R16" s="39">
        <v>101</v>
      </c>
      <c r="S16" s="39">
        <v>270</v>
      </c>
      <c r="T16" s="1"/>
      <c r="U16" s="1"/>
      <c r="V16" s="1"/>
      <c r="W16" s="1"/>
      <c r="X16" s="1"/>
      <c r="Y16" s="1"/>
      <c r="Z16" s="1"/>
      <c r="AA16" s="55" t="s">
        <v>244</v>
      </c>
      <c r="AB16" s="1"/>
      <c r="AC16" s="56" t="s">
        <v>244</v>
      </c>
      <c r="AD16" s="1"/>
      <c r="AE16" s="1"/>
      <c r="AF16" s="2">
        <v>16</v>
      </c>
      <c r="AG16" s="55">
        <v>88.148148148148152</v>
      </c>
      <c r="AH16" s="1"/>
      <c r="AI16" s="1"/>
      <c r="AJ16" s="1"/>
      <c r="AK16" s="1"/>
      <c r="AL16" s="1"/>
      <c r="AM16" s="1"/>
      <c r="AN16" s="55" t="s">
        <v>244</v>
      </c>
      <c r="AO16" s="1"/>
      <c r="AP16" s="56" t="s">
        <v>244</v>
      </c>
      <c r="AQ16" s="1"/>
      <c r="AR16" s="1"/>
      <c r="AS16" s="2">
        <v>0</v>
      </c>
      <c r="AT16" s="55">
        <v>100</v>
      </c>
      <c r="AU16" s="55" t="s">
        <v>244</v>
      </c>
      <c r="AV16" s="55" t="s">
        <v>244</v>
      </c>
      <c r="AW16" s="56" t="s">
        <v>244</v>
      </c>
      <c r="AX16" s="57" t="s">
        <v>244</v>
      </c>
      <c r="AY16" s="55" t="s">
        <v>244</v>
      </c>
      <c r="AZ16" s="1"/>
      <c r="BA16" s="58">
        <v>16</v>
      </c>
      <c r="BB16" s="59">
        <v>94.074074074074076</v>
      </c>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1269215</v>
      </c>
      <c r="EB16" s="39">
        <v>106</v>
      </c>
      <c r="EC16" s="39">
        <v>36</v>
      </c>
      <c r="ED16" s="1"/>
      <c r="EE16" s="1"/>
      <c r="EF16" s="1"/>
      <c r="EG16" s="1"/>
      <c r="EH16" s="1"/>
      <c r="EI16" s="1"/>
      <c r="EJ16" s="1"/>
      <c r="EK16" s="55" t="s">
        <v>244</v>
      </c>
      <c r="EL16" s="1"/>
      <c r="EM16" s="56" t="s">
        <v>244</v>
      </c>
      <c r="EN16" s="1"/>
      <c r="EO16" s="1"/>
      <c r="EP16" s="2">
        <v>0</v>
      </c>
      <c r="EQ16" s="55">
        <v>100</v>
      </c>
      <c r="ER16" s="1"/>
      <c r="ES16" s="1"/>
      <c r="ET16" s="1"/>
      <c r="EU16" s="1"/>
      <c r="EV16" s="1"/>
      <c r="EW16" s="1"/>
      <c r="EX16" s="55" t="s">
        <v>244</v>
      </c>
      <c r="EY16" s="1"/>
      <c r="EZ16" s="56" t="s">
        <v>244</v>
      </c>
      <c r="FA16" s="1"/>
      <c r="FB16" s="1"/>
      <c r="FC16" s="2">
        <v>0</v>
      </c>
      <c r="FD16" s="55">
        <v>100</v>
      </c>
      <c r="FE16" s="55" t="s">
        <v>244</v>
      </c>
      <c r="FF16" s="55" t="s">
        <v>244</v>
      </c>
      <c r="FG16" s="56" t="s">
        <v>244</v>
      </c>
      <c r="FH16" s="57" t="s">
        <v>244</v>
      </c>
      <c r="FI16" s="55" t="s">
        <v>244</v>
      </c>
      <c r="FJ16" s="1"/>
      <c r="FK16" s="58">
        <v>0</v>
      </c>
      <c r="FL16" s="59">
        <v>100</v>
      </c>
      <c r="FM16" s="4">
        <v>1070977</v>
      </c>
      <c r="FN16" s="39">
        <v>110</v>
      </c>
      <c r="FO16" s="39">
        <v>168</v>
      </c>
      <c r="FP16" s="1"/>
      <c r="FQ16" s="1"/>
      <c r="FR16" s="1"/>
      <c r="FS16" s="1"/>
      <c r="FT16" s="1"/>
      <c r="FU16" s="1"/>
      <c r="FV16" s="1"/>
      <c r="FW16" s="55" t="s">
        <v>244</v>
      </c>
      <c r="FX16" s="1"/>
      <c r="FY16" s="56" t="s">
        <v>244</v>
      </c>
      <c r="FZ16" s="1"/>
      <c r="GA16" s="1"/>
      <c r="GB16" s="2">
        <v>10</v>
      </c>
      <c r="GC16" s="55">
        <v>88.095238095238102</v>
      </c>
      <c r="GD16" s="1"/>
      <c r="GE16" s="1"/>
      <c r="GF16" s="1"/>
      <c r="GG16" s="1"/>
      <c r="GH16" s="1"/>
      <c r="GI16" s="1"/>
      <c r="GJ16" s="55" t="s">
        <v>244</v>
      </c>
      <c r="GK16" s="1"/>
      <c r="GL16" s="56" t="s">
        <v>244</v>
      </c>
      <c r="GM16" s="1"/>
      <c r="GN16" s="1"/>
      <c r="GO16" s="2">
        <v>0</v>
      </c>
      <c r="GP16" s="55">
        <v>100</v>
      </c>
      <c r="GQ16" s="55" t="s">
        <v>244</v>
      </c>
      <c r="GR16" s="55" t="s">
        <v>244</v>
      </c>
      <c r="GS16" s="56" t="s">
        <v>244</v>
      </c>
      <c r="GT16" s="57" t="s">
        <v>244</v>
      </c>
      <c r="GU16" s="55" t="s">
        <v>244</v>
      </c>
      <c r="GV16" s="1"/>
      <c r="GW16" s="58">
        <v>10</v>
      </c>
      <c r="GX16" s="59">
        <v>94.047619047619051</v>
      </c>
      <c r="GY16" s="4">
        <v>1199044</v>
      </c>
      <c r="GZ16" s="39">
        <v>114</v>
      </c>
      <c r="HA16" s="39">
        <v>33</v>
      </c>
      <c r="HB16" s="1"/>
      <c r="HC16" s="1"/>
      <c r="HD16" s="1"/>
      <c r="HE16" s="1"/>
      <c r="HF16" s="1"/>
      <c r="HG16" s="1"/>
      <c r="HH16" s="1"/>
      <c r="HI16" s="55" t="s">
        <v>244</v>
      </c>
      <c r="HJ16" s="1"/>
      <c r="HK16" s="56" t="s">
        <v>244</v>
      </c>
      <c r="HL16" s="1"/>
      <c r="HM16" s="1"/>
      <c r="HN16" s="2">
        <v>0</v>
      </c>
      <c r="HO16" s="55">
        <v>100</v>
      </c>
      <c r="HP16" s="1"/>
      <c r="HQ16" s="1"/>
      <c r="HR16" s="1"/>
      <c r="HS16" s="1"/>
      <c r="HT16" s="1"/>
      <c r="HU16" s="1"/>
      <c r="HV16" s="55" t="s">
        <v>244</v>
      </c>
      <c r="HW16" s="1"/>
      <c r="HX16" s="56" t="s">
        <v>244</v>
      </c>
      <c r="HY16" s="1"/>
      <c r="HZ16" s="1"/>
      <c r="IA16" s="2">
        <v>0</v>
      </c>
      <c r="IB16" s="55">
        <v>100</v>
      </c>
      <c r="IC16" s="55" t="s">
        <v>244</v>
      </c>
      <c r="ID16" s="55" t="s">
        <v>244</v>
      </c>
      <c r="IE16" s="56" t="s">
        <v>244</v>
      </c>
      <c r="IF16" s="57" t="s">
        <v>244</v>
      </c>
      <c r="IG16" s="55" t="s">
        <v>244</v>
      </c>
      <c r="IH16" s="1"/>
      <c r="II16" s="58">
        <v>0</v>
      </c>
      <c r="IJ16" s="59">
        <v>100</v>
      </c>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1070977</v>
      </c>
      <c r="PT16" s="39">
        <v>128</v>
      </c>
      <c r="PU16" s="39">
        <v>33</v>
      </c>
      <c r="PV16" s="1"/>
      <c r="PW16" s="1"/>
      <c r="PX16" s="1"/>
      <c r="PY16" s="1"/>
      <c r="PZ16" s="1"/>
      <c r="QA16" s="1"/>
      <c r="QB16" s="1"/>
      <c r="QC16" s="55" t="s">
        <v>244</v>
      </c>
      <c r="QD16" s="1"/>
      <c r="QE16" s="56" t="s">
        <v>244</v>
      </c>
      <c r="QF16" s="1"/>
      <c r="QG16" s="1"/>
      <c r="QH16" s="2">
        <v>2</v>
      </c>
      <c r="QI16" s="55">
        <v>87.878787878787875</v>
      </c>
      <c r="QJ16" s="1"/>
      <c r="QK16" s="1"/>
      <c r="QL16" s="1"/>
      <c r="QM16" s="1"/>
      <c r="QN16" s="1"/>
      <c r="QO16" s="1"/>
      <c r="QP16" s="55" t="s">
        <v>244</v>
      </c>
      <c r="QQ16" s="1"/>
      <c r="QR16" s="56" t="s">
        <v>244</v>
      </c>
      <c r="QS16" s="1"/>
      <c r="QT16" s="1"/>
      <c r="QU16" s="2">
        <v>0</v>
      </c>
      <c r="QV16" s="55">
        <v>100</v>
      </c>
      <c r="QW16" s="55" t="s">
        <v>244</v>
      </c>
      <c r="QX16" s="55" t="s">
        <v>244</v>
      </c>
      <c r="QY16" s="56" t="s">
        <v>244</v>
      </c>
      <c r="QZ16" s="57" t="s">
        <v>244</v>
      </c>
      <c r="RA16" s="55" t="s">
        <v>244</v>
      </c>
      <c r="RB16" s="1"/>
      <c r="RC16" s="58">
        <v>2</v>
      </c>
      <c r="RD16" s="59">
        <v>93.939393939393938</v>
      </c>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1070977</v>
      </c>
      <c r="UD16" s="39">
        <v>131</v>
      </c>
      <c r="UE16" s="39">
        <v>69</v>
      </c>
      <c r="UF16" s="1"/>
      <c r="UG16" s="1"/>
      <c r="UH16" s="1"/>
      <c r="UI16" s="1"/>
      <c r="UJ16" s="1"/>
      <c r="UK16" s="1"/>
      <c r="UL16" s="1"/>
      <c r="UM16" s="55" t="s">
        <v>244</v>
      </c>
      <c r="UN16" s="1"/>
      <c r="UO16" s="56" t="s">
        <v>244</v>
      </c>
      <c r="UP16" s="1"/>
      <c r="UQ16" s="1"/>
      <c r="UR16" s="2">
        <v>4</v>
      </c>
      <c r="US16" s="55">
        <v>88.405797101449281</v>
      </c>
      <c r="UT16" s="1"/>
      <c r="UU16" s="1"/>
      <c r="UV16" s="1"/>
      <c r="UW16" s="1"/>
      <c r="UX16" s="1"/>
      <c r="UY16" s="1"/>
      <c r="UZ16" s="55" t="s">
        <v>244</v>
      </c>
      <c r="VA16" s="1"/>
      <c r="VB16" s="56" t="s">
        <v>244</v>
      </c>
      <c r="VC16" s="1"/>
      <c r="VD16" s="1"/>
      <c r="VE16" s="2">
        <v>0</v>
      </c>
      <c r="VF16" s="55">
        <v>100</v>
      </c>
      <c r="VG16" s="55" t="s">
        <v>244</v>
      </c>
      <c r="VH16" s="55" t="s">
        <v>244</v>
      </c>
      <c r="VI16" s="56" t="s">
        <v>244</v>
      </c>
      <c r="VJ16" s="57" t="s">
        <v>244</v>
      </c>
      <c r="VK16" s="55" t="s">
        <v>244</v>
      </c>
      <c r="VL16" s="1"/>
      <c r="VM16" s="58">
        <v>4</v>
      </c>
      <c r="VN16" s="59">
        <v>94.20289855072464</v>
      </c>
      <c r="VO16" s="4">
        <v>1070977</v>
      </c>
      <c r="VP16" s="39">
        <v>132</v>
      </c>
      <c r="VQ16" s="39">
        <v>33</v>
      </c>
      <c r="VR16" s="1"/>
      <c r="VS16" s="1"/>
      <c r="VT16" s="1"/>
      <c r="VU16" s="1"/>
      <c r="VV16" s="1"/>
      <c r="VW16" s="1"/>
      <c r="VX16" s="1"/>
      <c r="VY16" s="55" t="s">
        <v>244</v>
      </c>
      <c r="VZ16" s="1"/>
      <c r="WA16" s="56" t="s">
        <v>244</v>
      </c>
      <c r="WB16" s="1"/>
      <c r="WC16" s="1"/>
      <c r="WD16" s="2">
        <v>1</v>
      </c>
      <c r="WE16" s="55">
        <v>93.939393939393938</v>
      </c>
      <c r="WF16" s="1"/>
      <c r="WG16" s="1"/>
      <c r="WH16" s="1"/>
      <c r="WI16" s="1"/>
      <c r="WJ16" s="1"/>
      <c r="WK16" s="1"/>
      <c r="WL16" s="55" t="s">
        <v>244</v>
      </c>
      <c r="WM16" s="1"/>
      <c r="WN16" s="56" t="s">
        <v>244</v>
      </c>
      <c r="WO16" s="1"/>
      <c r="WP16" s="1"/>
      <c r="WQ16" s="2">
        <v>0</v>
      </c>
      <c r="WR16" s="55">
        <v>100</v>
      </c>
      <c r="WS16" s="55" t="s">
        <v>244</v>
      </c>
      <c r="WT16" s="55" t="s">
        <v>244</v>
      </c>
      <c r="WU16" s="56" t="s">
        <v>244</v>
      </c>
      <c r="WV16" s="57" t="s">
        <v>244</v>
      </c>
      <c r="WW16" s="55" t="s">
        <v>244</v>
      </c>
      <c r="WX16" s="1"/>
      <c r="WY16" s="58">
        <v>1</v>
      </c>
      <c r="WZ16" s="59">
        <v>96.969696969696969</v>
      </c>
      <c r="XA16" s="4">
        <v>1070977</v>
      </c>
      <c r="XB16" s="39">
        <v>133</v>
      </c>
      <c r="XC16" s="39">
        <v>33</v>
      </c>
      <c r="XD16" s="1"/>
      <c r="XE16" s="1"/>
      <c r="XF16" s="1"/>
      <c r="XG16" s="1"/>
      <c r="XH16" s="1"/>
      <c r="XI16" s="1"/>
      <c r="XJ16" s="1"/>
      <c r="XK16" s="55" t="s">
        <v>244</v>
      </c>
      <c r="XL16" s="1"/>
      <c r="XM16" s="56" t="s">
        <v>244</v>
      </c>
      <c r="XN16" s="1"/>
      <c r="XO16" s="1"/>
      <c r="XP16" s="2">
        <v>2</v>
      </c>
      <c r="XQ16" s="55">
        <v>87.878787878787875</v>
      </c>
      <c r="XR16" s="1"/>
      <c r="XS16" s="1"/>
      <c r="XT16" s="1"/>
      <c r="XU16" s="1"/>
      <c r="XV16" s="1"/>
      <c r="XW16" s="1"/>
      <c r="XX16" s="55" t="s">
        <v>244</v>
      </c>
      <c r="XY16" s="1"/>
      <c r="XZ16" s="56" t="s">
        <v>244</v>
      </c>
      <c r="YA16" s="1"/>
      <c r="YB16" s="1"/>
      <c r="YC16" s="2">
        <v>0</v>
      </c>
      <c r="YD16" s="55">
        <v>100</v>
      </c>
      <c r="YE16" s="55" t="s">
        <v>244</v>
      </c>
      <c r="YF16" s="55" t="s">
        <v>244</v>
      </c>
      <c r="YG16" s="56" t="s">
        <v>244</v>
      </c>
      <c r="YH16" s="57" t="s">
        <v>244</v>
      </c>
      <c r="YI16" s="55" t="s">
        <v>244</v>
      </c>
      <c r="YJ16" s="1"/>
      <c r="YK16" s="58">
        <v>2</v>
      </c>
      <c r="YL16" s="59">
        <v>93.939393939393938</v>
      </c>
      <c r="YM16" s="4">
        <v>1070977</v>
      </c>
      <c r="YN16" s="39">
        <v>135</v>
      </c>
      <c r="YO16" s="39">
        <v>33</v>
      </c>
      <c r="YP16" s="1"/>
      <c r="YQ16" s="1"/>
      <c r="YR16" s="1"/>
      <c r="YS16" s="1"/>
      <c r="YT16" s="1"/>
      <c r="YU16" s="1"/>
      <c r="YV16" s="1"/>
      <c r="YW16" s="55" t="s">
        <v>244</v>
      </c>
      <c r="YX16" s="1"/>
      <c r="YY16" s="56" t="s">
        <v>244</v>
      </c>
      <c r="YZ16" s="1"/>
      <c r="ZA16" s="1"/>
      <c r="ZB16" s="2">
        <v>2</v>
      </c>
      <c r="ZC16" s="55">
        <v>87.878787878787875</v>
      </c>
      <c r="ZD16" s="1"/>
      <c r="ZE16" s="1"/>
      <c r="ZF16" s="1"/>
      <c r="ZG16" s="1"/>
      <c r="ZH16" s="1"/>
      <c r="ZI16" s="1"/>
      <c r="ZJ16" s="55" t="s">
        <v>244</v>
      </c>
      <c r="ZK16" s="1"/>
      <c r="ZL16" s="56" t="s">
        <v>244</v>
      </c>
      <c r="ZM16" s="1"/>
      <c r="ZN16" s="1"/>
      <c r="ZO16" s="2">
        <v>0</v>
      </c>
      <c r="ZP16" s="55">
        <v>100</v>
      </c>
      <c r="ZQ16" s="55" t="s">
        <v>244</v>
      </c>
      <c r="ZR16" s="55" t="s">
        <v>244</v>
      </c>
      <c r="ZS16" s="56" t="s">
        <v>244</v>
      </c>
      <c r="ZT16" s="57" t="s">
        <v>244</v>
      </c>
      <c r="ZU16" s="55" t="s">
        <v>244</v>
      </c>
      <c r="ZV16" s="1"/>
      <c r="ZW16" s="58">
        <v>2</v>
      </c>
      <c r="ZX16" s="59">
        <v>93.939393939393938</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4234857</v>
      </c>
      <c r="F17" s="89">
        <f t="shared" si="401"/>
        <v>1</v>
      </c>
      <c r="G17" s="89" t="str">
        <f t="shared" si="402"/>
        <v>Ç</v>
      </c>
      <c r="H17" s="36" t="s">
        <v>216</v>
      </c>
      <c r="I17" s="37" t="s">
        <v>172</v>
      </c>
      <c r="J17" s="41" t="s">
        <v>173</v>
      </c>
      <c r="K17" s="90" t="str">
        <f t="shared" si="403"/>
        <v>A</v>
      </c>
      <c r="L17" s="41" t="s">
        <v>117</v>
      </c>
      <c r="M17" s="93">
        <v>42509</v>
      </c>
      <c r="N17" s="41"/>
      <c r="O17" s="43" t="s">
        <v>228</v>
      </c>
      <c r="P17" s="91" t="str">
        <f t="shared" si="404"/>
        <v>Süleymanova Samirə Həsən</v>
      </c>
      <c r="Q17" s="4">
        <v>1070977</v>
      </c>
      <c r="R17" s="39">
        <v>101</v>
      </c>
      <c r="S17" s="39">
        <v>270</v>
      </c>
      <c r="T17" s="1"/>
      <c r="U17" s="1"/>
      <c r="V17" s="1"/>
      <c r="W17" s="1"/>
      <c r="X17" s="1"/>
      <c r="Y17" s="1"/>
      <c r="Z17" s="1"/>
      <c r="AA17" s="55" t="s">
        <v>244</v>
      </c>
      <c r="AB17" s="1"/>
      <c r="AC17" s="56" t="s">
        <v>244</v>
      </c>
      <c r="AD17" s="1"/>
      <c r="AE17" s="1"/>
      <c r="AF17" s="2">
        <v>0</v>
      </c>
      <c r="AG17" s="55">
        <v>100</v>
      </c>
      <c r="AH17" s="1"/>
      <c r="AI17" s="1"/>
      <c r="AJ17" s="1"/>
      <c r="AK17" s="1"/>
      <c r="AL17" s="1"/>
      <c r="AM17" s="1"/>
      <c r="AN17" s="55" t="s">
        <v>244</v>
      </c>
      <c r="AO17" s="1"/>
      <c r="AP17" s="56" t="s">
        <v>244</v>
      </c>
      <c r="AQ17" s="1"/>
      <c r="AR17" s="1"/>
      <c r="AS17" s="2">
        <v>0</v>
      </c>
      <c r="AT17" s="55">
        <v>100</v>
      </c>
      <c r="AU17" s="55" t="s">
        <v>244</v>
      </c>
      <c r="AV17" s="55" t="s">
        <v>244</v>
      </c>
      <c r="AW17" s="56" t="s">
        <v>244</v>
      </c>
      <c r="AX17" s="57" t="s">
        <v>244</v>
      </c>
      <c r="AY17" s="55" t="s">
        <v>244</v>
      </c>
      <c r="AZ17" s="1"/>
      <c r="BA17" s="58">
        <v>0</v>
      </c>
      <c r="BB17" s="59">
        <v>100</v>
      </c>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1269215</v>
      </c>
      <c r="EB17" s="39">
        <v>106</v>
      </c>
      <c r="EC17" s="39">
        <v>36</v>
      </c>
      <c r="ED17" s="1"/>
      <c r="EE17" s="1"/>
      <c r="EF17" s="1"/>
      <c r="EG17" s="1"/>
      <c r="EH17" s="1"/>
      <c r="EI17" s="1"/>
      <c r="EJ17" s="1"/>
      <c r="EK17" s="55" t="s">
        <v>244</v>
      </c>
      <c r="EL17" s="1"/>
      <c r="EM17" s="56" t="s">
        <v>244</v>
      </c>
      <c r="EN17" s="1"/>
      <c r="EO17" s="1"/>
      <c r="EP17" s="2">
        <v>0</v>
      </c>
      <c r="EQ17" s="55">
        <v>100</v>
      </c>
      <c r="ER17" s="1"/>
      <c r="ES17" s="1"/>
      <c r="ET17" s="1"/>
      <c r="EU17" s="1"/>
      <c r="EV17" s="1"/>
      <c r="EW17" s="1"/>
      <c r="EX17" s="55" t="s">
        <v>244</v>
      </c>
      <c r="EY17" s="1"/>
      <c r="EZ17" s="56" t="s">
        <v>244</v>
      </c>
      <c r="FA17" s="1"/>
      <c r="FB17" s="1"/>
      <c r="FC17" s="2">
        <v>0</v>
      </c>
      <c r="FD17" s="55">
        <v>100</v>
      </c>
      <c r="FE17" s="55" t="s">
        <v>244</v>
      </c>
      <c r="FF17" s="55" t="s">
        <v>244</v>
      </c>
      <c r="FG17" s="56" t="s">
        <v>244</v>
      </c>
      <c r="FH17" s="57" t="s">
        <v>244</v>
      </c>
      <c r="FI17" s="55" t="s">
        <v>244</v>
      </c>
      <c r="FJ17" s="1"/>
      <c r="FK17" s="58">
        <v>0</v>
      </c>
      <c r="FL17" s="59">
        <v>100</v>
      </c>
      <c r="FM17" s="4">
        <v>1070977</v>
      </c>
      <c r="FN17" s="39">
        <v>110</v>
      </c>
      <c r="FO17" s="39">
        <v>168</v>
      </c>
      <c r="FP17" s="1"/>
      <c r="FQ17" s="1"/>
      <c r="FR17" s="1"/>
      <c r="FS17" s="1"/>
      <c r="FT17" s="1"/>
      <c r="FU17" s="1"/>
      <c r="FV17" s="1"/>
      <c r="FW17" s="55" t="s">
        <v>244</v>
      </c>
      <c r="FX17" s="1"/>
      <c r="FY17" s="56" t="s">
        <v>244</v>
      </c>
      <c r="FZ17" s="1"/>
      <c r="GA17" s="1"/>
      <c r="GB17" s="2">
        <v>0</v>
      </c>
      <c r="GC17" s="55">
        <v>100</v>
      </c>
      <c r="GD17" s="1"/>
      <c r="GE17" s="1"/>
      <c r="GF17" s="1"/>
      <c r="GG17" s="1"/>
      <c r="GH17" s="1"/>
      <c r="GI17" s="1"/>
      <c r="GJ17" s="55" t="s">
        <v>244</v>
      </c>
      <c r="GK17" s="1"/>
      <c r="GL17" s="56" t="s">
        <v>244</v>
      </c>
      <c r="GM17" s="1"/>
      <c r="GN17" s="1"/>
      <c r="GO17" s="2">
        <v>0</v>
      </c>
      <c r="GP17" s="55">
        <v>100</v>
      </c>
      <c r="GQ17" s="55" t="s">
        <v>244</v>
      </c>
      <c r="GR17" s="55" t="s">
        <v>244</v>
      </c>
      <c r="GS17" s="56" t="s">
        <v>244</v>
      </c>
      <c r="GT17" s="57" t="s">
        <v>244</v>
      </c>
      <c r="GU17" s="55" t="s">
        <v>244</v>
      </c>
      <c r="GV17" s="1"/>
      <c r="GW17" s="58">
        <v>0</v>
      </c>
      <c r="GX17" s="59">
        <v>100</v>
      </c>
      <c r="GY17" s="4">
        <v>1199044</v>
      </c>
      <c r="GZ17" s="39">
        <v>114</v>
      </c>
      <c r="HA17" s="39">
        <v>33</v>
      </c>
      <c r="HB17" s="1"/>
      <c r="HC17" s="1"/>
      <c r="HD17" s="1"/>
      <c r="HE17" s="1"/>
      <c r="HF17" s="1"/>
      <c r="HG17" s="1"/>
      <c r="HH17" s="1"/>
      <c r="HI17" s="55" t="s">
        <v>244</v>
      </c>
      <c r="HJ17" s="1"/>
      <c r="HK17" s="56" t="s">
        <v>244</v>
      </c>
      <c r="HL17" s="1"/>
      <c r="HM17" s="1"/>
      <c r="HN17" s="2">
        <v>0</v>
      </c>
      <c r="HO17" s="55">
        <v>100</v>
      </c>
      <c r="HP17" s="1"/>
      <c r="HQ17" s="1"/>
      <c r="HR17" s="1"/>
      <c r="HS17" s="1"/>
      <c r="HT17" s="1"/>
      <c r="HU17" s="1"/>
      <c r="HV17" s="55" t="s">
        <v>244</v>
      </c>
      <c r="HW17" s="1"/>
      <c r="HX17" s="56" t="s">
        <v>244</v>
      </c>
      <c r="HY17" s="1"/>
      <c r="HZ17" s="1"/>
      <c r="IA17" s="2">
        <v>0</v>
      </c>
      <c r="IB17" s="55">
        <v>100</v>
      </c>
      <c r="IC17" s="55" t="s">
        <v>244</v>
      </c>
      <c r="ID17" s="55" t="s">
        <v>244</v>
      </c>
      <c r="IE17" s="56" t="s">
        <v>244</v>
      </c>
      <c r="IF17" s="57" t="s">
        <v>244</v>
      </c>
      <c r="IG17" s="55" t="s">
        <v>244</v>
      </c>
      <c r="IH17" s="1"/>
      <c r="II17" s="58">
        <v>0</v>
      </c>
      <c r="IJ17" s="59">
        <v>100</v>
      </c>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1070977</v>
      </c>
      <c r="PT17" s="39">
        <v>128</v>
      </c>
      <c r="PU17" s="39">
        <v>33</v>
      </c>
      <c r="PV17" s="1"/>
      <c r="PW17" s="1"/>
      <c r="PX17" s="1"/>
      <c r="PY17" s="1"/>
      <c r="PZ17" s="1"/>
      <c r="QA17" s="1"/>
      <c r="QB17" s="1"/>
      <c r="QC17" s="55" t="s">
        <v>244</v>
      </c>
      <c r="QD17" s="1"/>
      <c r="QE17" s="56" t="s">
        <v>244</v>
      </c>
      <c r="QF17" s="1"/>
      <c r="QG17" s="1"/>
      <c r="QH17" s="2">
        <v>0</v>
      </c>
      <c r="QI17" s="55">
        <v>100</v>
      </c>
      <c r="QJ17" s="1"/>
      <c r="QK17" s="1"/>
      <c r="QL17" s="1"/>
      <c r="QM17" s="1"/>
      <c r="QN17" s="1"/>
      <c r="QO17" s="1"/>
      <c r="QP17" s="55" t="s">
        <v>244</v>
      </c>
      <c r="QQ17" s="1"/>
      <c r="QR17" s="56" t="s">
        <v>244</v>
      </c>
      <c r="QS17" s="1"/>
      <c r="QT17" s="1"/>
      <c r="QU17" s="2">
        <v>0</v>
      </c>
      <c r="QV17" s="55">
        <v>100</v>
      </c>
      <c r="QW17" s="55" t="s">
        <v>244</v>
      </c>
      <c r="QX17" s="55" t="s">
        <v>244</v>
      </c>
      <c r="QY17" s="56" t="s">
        <v>244</v>
      </c>
      <c r="QZ17" s="57" t="s">
        <v>244</v>
      </c>
      <c r="RA17" s="55" t="s">
        <v>244</v>
      </c>
      <c r="RB17" s="1"/>
      <c r="RC17" s="58">
        <v>0</v>
      </c>
      <c r="RD17" s="59">
        <v>100</v>
      </c>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1070977</v>
      </c>
      <c r="UD17" s="39">
        <v>131</v>
      </c>
      <c r="UE17" s="39">
        <v>69</v>
      </c>
      <c r="UF17" s="1"/>
      <c r="UG17" s="1"/>
      <c r="UH17" s="1"/>
      <c r="UI17" s="1"/>
      <c r="UJ17" s="1"/>
      <c r="UK17" s="1"/>
      <c r="UL17" s="1"/>
      <c r="UM17" s="55" t="s">
        <v>244</v>
      </c>
      <c r="UN17" s="1"/>
      <c r="UO17" s="56" t="s">
        <v>244</v>
      </c>
      <c r="UP17" s="1"/>
      <c r="UQ17" s="1"/>
      <c r="UR17" s="2">
        <v>0</v>
      </c>
      <c r="US17" s="55">
        <v>100</v>
      </c>
      <c r="UT17" s="1"/>
      <c r="UU17" s="1"/>
      <c r="UV17" s="1"/>
      <c r="UW17" s="1"/>
      <c r="UX17" s="1"/>
      <c r="UY17" s="1"/>
      <c r="UZ17" s="55" t="s">
        <v>244</v>
      </c>
      <c r="VA17" s="1"/>
      <c r="VB17" s="56" t="s">
        <v>244</v>
      </c>
      <c r="VC17" s="1"/>
      <c r="VD17" s="1"/>
      <c r="VE17" s="2">
        <v>0</v>
      </c>
      <c r="VF17" s="55">
        <v>100</v>
      </c>
      <c r="VG17" s="55" t="s">
        <v>244</v>
      </c>
      <c r="VH17" s="55" t="s">
        <v>244</v>
      </c>
      <c r="VI17" s="56" t="s">
        <v>244</v>
      </c>
      <c r="VJ17" s="57" t="s">
        <v>244</v>
      </c>
      <c r="VK17" s="55" t="s">
        <v>244</v>
      </c>
      <c r="VL17" s="1"/>
      <c r="VM17" s="58">
        <v>0</v>
      </c>
      <c r="VN17" s="59">
        <v>100</v>
      </c>
      <c r="VO17" s="4">
        <v>1070977</v>
      </c>
      <c r="VP17" s="39">
        <v>132</v>
      </c>
      <c r="VQ17" s="39">
        <v>33</v>
      </c>
      <c r="VR17" s="1"/>
      <c r="VS17" s="1"/>
      <c r="VT17" s="1"/>
      <c r="VU17" s="1"/>
      <c r="VV17" s="1"/>
      <c r="VW17" s="1"/>
      <c r="VX17" s="1"/>
      <c r="VY17" s="55" t="s">
        <v>244</v>
      </c>
      <c r="VZ17" s="1"/>
      <c r="WA17" s="56" t="s">
        <v>244</v>
      </c>
      <c r="WB17" s="1"/>
      <c r="WC17" s="1"/>
      <c r="WD17" s="2">
        <v>0</v>
      </c>
      <c r="WE17" s="55">
        <v>100</v>
      </c>
      <c r="WF17" s="1"/>
      <c r="WG17" s="1"/>
      <c r="WH17" s="1"/>
      <c r="WI17" s="1"/>
      <c r="WJ17" s="1"/>
      <c r="WK17" s="1"/>
      <c r="WL17" s="55" t="s">
        <v>244</v>
      </c>
      <c r="WM17" s="1"/>
      <c r="WN17" s="56" t="s">
        <v>244</v>
      </c>
      <c r="WO17" s="1"/>
      <c r="WP17" s="1"/>
      <c r="WQ17" s="2">
        <v>0</v>
      </c>
      <c r="WR17" s="55">
        <v>100</v>
      </c>
      <c r="WS17" s="55" t="s">
        <v>244</v>
      </c>
      <c r="WT17" s="55" t="s">
        <v>244</v>
      </c>
      <c r="WU17" s="56" t="s">
        <v>244</v>
      </c>
      <c r="WV17" s="57" t="s">
        <v>244</v>
      </c>
      <c r="WW17" s="55" t="s">
        <v>244</v>
      </c>
      <c r="WX17" s="1"/>
      <c r="WY17" s="58">
        <v>0</v>
      </c>
      <c r="WZ17" s="59">
        <v>100</v>
      </c>
      <c r="XA17" s="4">
        <v>1070977</v>
      </c>
      <c r="XB17" s="39">
        <v>133</v>
      </c>
      <c r="XC17" s="39">
        <v>33</v>
      </c>
      <c r="XD17" s="1"/>
      <c r="XE17" s="1"/>
      <c r="XF17" s="1"/>
      <c r="XG17" s="1"/>
      <c r="XH17" s="1"/>
      <c r="XI17" s="1"/>
      <c r="XJ17" s="1"/>
      <c r="XK17" s="55" t="s">
        <v>244</v>
      </c>
      <c r="XL17" s="1"/>
      <c r="XM17" s="56" t="s">
        <v>244</v>
      </c>
      <c r="XN17" s="1"/>
      <c r="XO17" s="1"/>
      <c r="XP17" s="2">
        <v>0</v>
      </c>
      <c r="XQ17" s="55">
        <v>100</v>
      </c>
      <c r="XR17" s="1"/>
      <c r="XS17" s="1"/>
      <c r="XT17" s="1"/>
      <c r="XU17" s="1"/>
      <c r="XV17" s="1"/>
      <c r="XW17" s="1"/>
      <c r="XX17" s="55" t="s">
        <v>244</v>
      </c>
      <c r="XY17" s="1"/>
      <c r="XZ17" s="56" t="s">
        <v>244</v>
      </c>
      <c r="YA17" s="1"/>
      <c r="YB17" s="1"/>
      <c r="YC17" s="2">
        <v>0</v>
      </c>
      <c r="YD17" s="55">
        <v>100</v>
      </c>
      <c r="YE17" s="55" t="s">
        <v>244</v>
      </c>
      <c r="YF17" s="55" t="s">
        <v>244</v>
      </c>
      <c r="YG17" s="56" t="s">
        <v>244</v>
      </c>
      <c r="YH17" s="57" t="s">
        <v>244</v>
      </c>
      <c r="YI17" s="55" t="s">
        <v>244</v>
      </c>
      <c r="YJ17" s="1"/>
      <c r="YK17" s="58">
        <v>0</v>
      </c>
      <c r="YL17" s="59">
        <v>100</v>
      </c>
      <c r="YM17" s="4">
        <v>1070977</v>
      </c>
      <c r="YN17" s="39">
        <v>135</v>
      </c>
      <c r="YO17" s="39">
        <v>33</v>
      </c>
      <c r="YP17" s="1"/>
      <c r="YQ17" s="1"/>
      <c r="YR17" s="1"/>
      <c r="YS17" s="1"/>
      <c r="YT17" s="1"/>
      <c r="YU17" s="1"/>
      <c r="YV17" s="1"/>
      <c r="YW17" s="55" t="s">
        <v>244</v>
      </c>
      <c r="YX17" s="1"/>
      <c r="YY17" s="56" t="s">
        <v>244</v>
      </c>
      <c r="YZ17" s="1"/>
      <c r="ZA17" s="1"/>
      <c r="ZB17" s="2">
        <v>0</v>
      </c>
      <c r="ZC17" s="55">
        <v>100</v>
      </c>
      <c r="ZD17" s="1"/>
      <c r="ZE17" s="1"/>
      <c r="ZF17" s="1"/>
      <c r="ZG17" s="1"/>
      <c r="ZH17" s="1"/>
      <c r="ZI17" s="1"/>
      <c r="ZJ17" s="55" t="s">
        <v>244</v>
      </c>
      <c r="ZK17" s="1"/>
      <c r="ZL17" s="56" t="s">
        <v>244</v>
      </c>
      <c r="ZM17" s="1"/>
      <c r="ZN17" s="1"/>
      <c r="ZO17" s="2">
        <v>0</v>
      </c>
      <c r="ZP17" s="55">
        <v>100</v>
      </c>
      <c r="ZQ17" s="55" t="s">
        <v>244</v>
      </c>
      <c r="ZR17" s="55" t="s">
        <v>244</v>
      </c>
      <c r="ZS17" s="56" t="s">
        <v>244</v>
      </c>
      <c r="ZT17" s="57" t="s">
        <v>244</v>
      </c>
      <c r="ZU17" s="55" t="s">
        <v>244</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4234951</v>
      </c>
      <c r="F18" s="89">
        <f t="shared" si="401"/>
        <v>1</v>
      </c>
      <c r="G18" s="89" t="str">
        <f t="shared" si="402"/>
        <v>Ç</v>
      </c>
      <c r="H18" s="36" t="s">
        <v>217</v>
      </c>
      <c r="I18" s="37" t="s">
        <v>174</v>
      </c>
      <c r="J18" s="41" t="s">
        <v>175</v>
      </c>
      <c r="K18" s="90" t="str">
        <f t="shared" si="403"/>
        <v>A</v>
      </c>
      <c r="L18" s="41" t="s">
        <v>119</v>
      </c>
      <c r="M18" s="93">
        <v>42323</v>
      </c>
      <c r="N18" s="41"/>
      <c r="O18" s="43" t="s">
        <v>229</v>
      </c>
      <c r="P18" s="91" t="str">
        <f t="shared" si="404"/>
        <v>Süleymanova Samirə Həsən</v>
      </c>
      <c r="Q18" s="4">
        <v>1070977</v>
      </c>
      <c r="R18" s="39">
        <v>101</v>
      </c>
      <c r="S18" s="39">
        <v>270</v>
      </c>
      <c r="T18" s="1"/>
      <c r="U18" s="1"/>
      <c r="V18" s="1"/>
      <c r="W18" s="1"/>
      <c r="X18" s="1"/>
      <c r="Y18" s="1"/>
      <c r="Z18" s="1"/>
      <c r="AA18" s="55" t="s">
        <v>244</v>
      </c>
      <c r="AB18" s="1"/>
      <c r="AC18" s="56" t="s">
        <v>244</v>
      </c>
      <c r="AD18" s="1"/>
      <c r="AE18" s="1"/>
      <c r="AF18" s="2">
        <v>0</v>
      </c>
      <c r="AG18" s="55">
        <v>100</v>
      </c>
      <c r="AH18" s="1"/>
      <c r="AI18" s="1"/>
      <c r="AJ18" s="1"/>
      <c r="AK18" s="1"/>
      <c r="AL18" s="1"/>
      <c r="AM18" s="1"/>
      <c r="AN18" s="55" t="s">
        <v>244</v>
      </c>
      <c r="AO18" s="1"/>
      <c r="AP18" s="56" t="s">
        <v>244</v>
      </c>
      <c r="AQ18" s="1"/>
      <c r="AR18" s="1"/>
      <c r="AS18" s="2">
        <v>0</v>
      </c>
      <c r="AT18" s="55">
        <v>100</v>
      </c>
      <c r="AU18" s="55" t="s">
        <v>244</v>
      </c>
      <c r="AV18" s="55" t="s">
        <v>244</v>
      </c>
      <c r="AW18" s="56" t="s">
        <v>244</v>
      </c>
      <c r="AX18" s="57" t="s">
        <v>244</v>
      </c>
      <c r="AY18" s="55" t="s">
        <v>244</v>
      </c>
      <c r="AZ18" s="1"/>
      <c r="BA18" s="58">
        <v>0</v>
      </c>
      <c r="BB18" s="59">
        <v>100</v>
      </c>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1269215</v>
      </c>
      <c r="EB18" s="39">
        <v>106</v>
      </c>
      <c r="EC18" s="39">
        <v>36</v>
      </c>
      <c r="ED18" s="1"/>
      <c r="EE18" s="1"/>
      <c r="EF18" s="1"/>
      <c r="EG18" s="1"/>
      <c r="EH18" s="1"/>
      <c r="EI18" s="1"/>
      <c r="EJ18" s="1"/>
      <c r="EK18" s="55" t="s">
        <v>244</v>
      </c>
      <c r="EL18" s="1"/>
      <c r="EM18" s="56" t="s">
        <v>244</v>
      </c>
      <c r="EN18" s="1"/>
      <c r="EO18" s="1"/>
      <c r="EP18" s="2">
        <v>0</v>
      </c>
      <c r="EQ18" s="55">
        <v>100</v>
      </c>
      <c r="ER18" s="1"/>
      <c r="ES18" s="1"/>
      <c r="ET18" s="1"/>
      <c r="EU18" s="1"/>
      <c r="EV18" s="1"/>
      <c r="EW18" s="1"/>
      <c r="EX18" s="55" t="s">
        <v>244</v>
      </c>
      <c r="EY18" s="1"/>
      <c r="EZ18" s="56" t="s">
        <v>244</v>
      </c>
      <c r="FA18" s="1"/>
      <c r="FB18" s="1"/>
      <c r="FC18" s="2">
        <v>0</v>
      </c>
      <c r="FD18" s="55">
        <v>100</v>
      </c>
      <c r="FE18" s="55" t="s">
        <v>244</v>
      </c>
      <c r="FF18" s="55" t="s">
        <v>244</v>
      </c>
      <c r="FG18" s="56" t="s">
        <v>244</v>
      </c>
      <c r="FH18" s="57" t="s">
        <v>244</v>
      </c>
      <c r="FI18" s="55" t="s">
        <v>244</v>
      </c>
      <c r="FJ18" s="1"/>
      <c r="FK18" s="58">
        <v>0</v>
      </c>
      <c r="FL18" s="59">
        <v>100</v>
      </c>
      <c r="FM18" s="4">
        <v>1070977</v>
      </c>
      <c r="FN18" s="39">
        <v>110</v>
      </c>
      <c r="FO18" s="39">
        <v>168</v>
      </c>
      <c r="FP18" s="1"/>
      <c r="FQ18" s="1"/>
      <c r="FR18" s="1"/>
      <c r="FS18" s="1"/>
      <c r="FT18" s="1"/>
      <c r="FU18" s="1"/>
      <c r="FV18" s="1"/>
      <c r="FW18" s="55" t="s">
        <v>244</v>
      </c>
      <c r="FX18" s="1"/>
      <c r="FY18" s="56" t="s">
        <v>244</v>
      </c>
      <c r="FZ18" s="1"/>
      <c r="GA18" s="1"/>
      <c r="GB18" s="2">
        <v>0</v>
      </c>
      <c r="GC18" s="55">
        <v>100</v>
      </c>
      <c r="GD18" s="1"/>
      <c r="GE18" s="1"/>
      <c r="GF18" s="1"/>
      <c r="GG18" s="1"/>
      <c r="GH18" s="1"/>
      <c r="GI18" s="1"/>
      <c r="GJ18" s="55" t="s">
        <v>244</v>
      </c>
      <c r="GK18" s="1"/>
      <c r="GL18" s="56" t="s">
        <v>244</v>
      </c>
      <c r="GM18" s="1"/>
      <c r="GN18" s="1"/>
      <c r="GO18" s="2">
        <v>0</v>
      </c>
      <c r="GP18" s="55">
        <v>100</v>
      </c>
      <c r="GQ18" s="55" t="s">
        <v>244</v>
      </c>
      <c r="GR18" s="55" t="s">
        <v>244</v>
      </c>
      <c r="GS18" s="56" t="s">
        <v>244</v>
      </c>
      <c r="GT18" s="57" t="s">
        <v>244</v>
      </c>
      <c r="GU18" s="55" t="s">
        <v>244</v>
      </c>
      <c r="GV18" s="1"/>
      <c r="GW18" s="58">
        <v>0</v>
      </c>
      <c r="GX18" s="59">
        <v>100</v>
      </c>
      <c r="GY18" s="4">
        <v>1199044</v>
      </c>
      <c r="GZ18" s="39">
        <v>114</v>
      </c>
      <c r="HA18" s="39">
        <v>33</v>
      </c>
      <c r="HB18" s="1"/>
      <c r="HC18" s="1"/>
      <c r="HD18" s="1"/>
      <c r="HE18" s="1"/>
      <c r="HF18" s="1"/>
      <c r="HG18" s="1"/>
      <c r="HH18" s="1"/>
      <c r="HI18" s="55" t="s">
        <v>244</v>
      </c>
      <c r="HJ18" s="1"/>
      <c r="HK18" s="56" t="s">
        <v>244</v>
      </c>
      <c r="HL18" s="1"/>
      <c r="HM18" s="1"/>
      <c r="HN18" s="2">
        <v>0</v>
      </c>
      <c r="HO18" s="55">
        <v>100</v>
      </c>
      <c r="HP18" s="1"/>
      <c r="HQ18" s="1"/>
      <c r="HR18" s="1"/>
      <c r="HS18" s="1"/>
      <c r="HT18" s="1"/>
      <c r="HU18" s="1"/>
      <c r="HV18" s="55" t="s">
        <v>244</v>
      </c>
      <c r="HW18" s="1"/>
      <c r="HX18" s="56" t="s">
        <v>244</v>
      </c>
      <c r="HY18" s="1"/>
      <c r="HZ18" s="1"/>
      <c r="IA18" s="2">
        <v>0</v>
      </c>
      <c r="IB18" s="55">
        <v>100</v>
      </c>
      <c r="IC18" s="55" t="s">
        <v>244</v>
      </c>
      <c r="ID18" s="55" t="s">
        <v>244</v>
      </c>
      <c r="IE18" s="56" t="s">
        <v>244</v>
      </c>
      <c r="IF18" s="57" t="s">
        <v>244</v>
      </c>
      <c r="IG18" s="55" t="s">
        <v>244</v>
      </c>
      <c r="IH18" s="1"/>
      <c r="II18" s="58">
        <v>0</v>
      </c>
      <c r="IJ18" s="59">
        <v>100</v>
      </c>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1070977</v>
      </c>
      <c r="PT18" s="39">
        <v>128</v>
      </c>
      <c r="PU18" s="39">
        <v>33</v>
      </c>
      <c r="PV18" s="1"/>
      <c r="PW18" s="1"/>
      <c r="PX18" s="1"/>
      <c r="PY18" s="1"/>
      <c r="PZ18" s="1"/>
      <c r="QA18" s="1"/>
      <c r="QB18" s="1"/>
      <c r="QC18" s="55" t="s">
        <v>244</v>
      </c>
      <c r="QD18" s="1"/>
      <c r="QE18" s="56" t="s">
        <v>244</v>
      </c>
      <c r="QF18" s="1"/>
      <c r="QG18" s="1"/>
      <c r="QH18" s="2">
        <v>0</v>
      </c>
      <c r="QI18" s="55">
        <v>100</v>
      </c>
      <c r="QJ18" s="1"/>
      <c r="QK18" s="1"/>
      <c r="QL18" s="1"/>
      <c r="QM18" s="1"/>
      <c r="QN18" s="1"/>
      <c r="QO18" s="1"/>
      <c r="QP18" s="55" t="s">
        <v>244</v>
      </c>
      <c r="QQ18" s="1"/>
      <c r="QR18" s="56" t="s">
        <v>244</v>
      </c>
      <c r="QS18" s="1"/>
      <c r="QT18" s="1"/>
      <c r="QU18" s="2">
        <v>0</v>
      </c>
      <c r="QV18" s="55">
        <v>100</v>
      </c>
      <c r="QW18" s="55" t="s">
        <v>244</v>
      </c>
      <c r="QX18" s="55" t="s">
        <v>244</v>
      </c>
      <c r="QY18" s="56" t="s">
        <v>244</v>
      </c>
      <c r="QZ18" s="57" t="s">
        <v>244</v>
      </c>
      <c r="RA18" s="55" t="s">
        <v>244</v>
      </c>
      <c r="RB18" s="1"/>
      <c r="RC18" s="58">
        <v>0</v>
      </c>
      <c r="RD18" s="59">
        <v>100</v>
      </c>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1070977</v>
      </c>
      <c r="UD18" s="39">
        <v>131</v>
      </c>
      <c r="UE18" s="39">
        <v>69</v>
      </c>
      <c r="UF18" s="1"/>
      <c r="UG18" s="1"/>
      <c r="UH18" s="1"/>
      <c r="UI18" s="1"/>
      <c r="UJ18" s="1"/>
      <c r="UK18" s="1"/>
      <c r="UL18" s="1"/>
      <c r="UM18" s="55" t="s">
        <v>244</v>
      </c>
      <c r="UN18" s="1"/>
      <c r="UO18" s="56" t="s">
        <v>244</v>
      </c>
      <c r="UP18" s="1"/>
      <c r="UQ18" s="1"/>
      <c r="UR18" s="2">
        <v>0</v>
      </c>
      <c r="US18" s="55">
        <v>100</v>
      </c>
      <c r="UT18" s="1"/>
      <c r="UU18" s="1"/>
      <c r="UV18" s="1"/>
      <c r="UW18" s="1"/>
      <c r="UX18" s="1"/>
      <c r="UY18" s="1"/>
      <c r="UZ18" s="55" t="s">
        <v>244</v>
      </c>
      <c r="VA18" s="1"/>
      <c r="VB18" s="56" t="s">
        <v>244</v>
      </c>
      <c r="VC18" s="1"/>
      <c r="VD18" s="1"/>
      <c r="VE18" s="2">
        <v>0</v>
      </c>
      <c r="VF18" s="55">
        <v>100</v>
      </c>
      <c r="VG18" s="55" t="s">
        <v>244</v>
      </c>
      <c r="VH18" s="55" t="s">
        <v>244</v>
      </c>
      <c r="VI18" s="56" t="s">
        <v>244</v>
      </c>
      <c r="VJ18" s="57" t="s">
        <v>244</v>
      </c>
      <c r="VK18" s="55" t="s">
        <v>244</v>
      </c>
      <c r="VL18" s="1"/>
      <c r="VM18" s="58">
        <v>0</v>
      </c>
      <c r="VN18" s="59">
        <v>100</v>
      </c>
      <c r="VO18" s="4">
        <v>1070977</v>
      </c>
      <c r="VP18" s="39">
        <v>132</v>
      </c>
      <c r="VQ18" s="39">
        <v>33</v>
      </c>
      <c r="VR18" s="1"/>
      <c r="VS18" s="1"/>
      <c r="VT18" s="1"/>
      <c r="VU18" s="1"/>
      <c r="VV18" s="1"/>
      <c r="VW18" s="1"/>
      <c r="VX18" s="1"/>
      <c r="VY18" s="55" t="s">
        <v>244</v>
      </c>
      <c r="VZ18" s="1"/>
      <c r="WA18" s="56" t="s">
        <v>244</v>
      </c>
      <c r="WB18" s="1"/>
      <c r="WC18" s="1"/>
      <c r="WD18" s="2">
        <v>0</v>
      </c>
      <c r="WE18" s="55">
        <v>100</v>
      </c>
      <c r="WF18" s="1"/>
      <c r="WG18" s="1"/>
      <c r="WH18" s="1"/>
      <c r="WI18" s="1"/>
      <c r="WJ18" s="1"/>
      <c r="WK18" s="1"/>
      <c r="WL18" s="55" t="s">
        <v>244</v>
      </c>
      <c r="WM18" s="1"/>
      <c r="WN18" s="56" t="s">
        <v>244</v>
      </c>
      <c r="WO18" s="1"/>
      <c r="WP18" s="1"/>
      <c r="WQ18" s="2">
        <v>0</v>
      </c>
      <c r="WR18" s="55">
        <v>100</v>
      </c>
      <c r="WS18" s="55" t="s">
        <v>244</v>
      </c>
      <c r="WT18" s="55" t="s">
        <v>244</v>
      </c>
      <c r="WU18" s="56" t="s">
        <v>244</v>
      </c>
      <c r="WV18" s="57" t="s">
        <v>244</v>
      </c>
      <c r="WW18" s="55" t="s">
        <v>244</v>
      </c>
      <c r="WX18" s="1"/>
      <c r="WY18" s="58">
        <v>0</v>
      </c>
      <c r="WZ18" s="59">
        <v>100</v>
      </c>
      <c r="XA18" s="4">
        <v>1070977</v>
      </c>
      <c r="XB18" s="39">
        <v>133</v>
      </c>
      <c r="XC18" s="39">
        <v>33</v>
      </c>
      <c r="XD18" s="1"/>
      <c r="XE18" s="1"/>
      <c r="XF18" s="1"/>
      <c r="XG18" s="1"/>
      <c r="XH18" s="1"/>
      <c r="XI18" s="1"/>
      <c r="XJ18" s="1"/>
      <c r="XK18" s="55" t="s">
        <v>244</v>
      </c>
      <c r="XL18" s="1"/>
      <c r="XM18" s="56" t="s">
        <v>244</v>
      </c>
      <c r="XN18" s="1"/>
      <c r="XO18" s="1"/>
      <c r="XP18" s="2">
        <v>0</v>
      </c>
      <c r="XQ18" s="55">
        <v>100</v>
      </c>
      <c r="XR18" s="1"/>
      <c r="XS18" s="1"/>
      <c r="XT18" s="1"/>
      <c r="XU18" s="1"/>
      <c r="XV18" s="1"/>
      <c r="XW18" s="1"/>
      <c r="XX18" s="55" t="s">
        <v>244</v>
      </c>
      <c r="XY18" s="1"/>
      <c r="XZ18" s="56" t="s">
        <v>244</v>
      </c>
      <c r="YA18" s="1"/>
      <c r="YB18" s="1"/>
      <c r="YC18" s="2">
        <v>0</v>
      </c>
      <c r="YD18" s="55">
        <v>100</v>
      </c>
      <c r="YE18" s="55" t="s">
        <v>244</v>
      </c>
      <c r="YF18" s="55" t="s">
        <v>244</v>
      </c>
      <c r="YG18" s="56" t="s">
        <v>244</v>
      </c>
      <c r="YH18" s="57" t="s">
        <v>244</v>
      </c>
      <c r="YI18" s="55" t="s">
        <v>244</v>
      </c>
      <c r="YJ18" s="1"/>
      <c r="YK18" s="58">
        <v>0</v>
      </c>
      <c r="YL18" s="59">
        <v>100</v>
      </c>
      <c r="YM18" s="4">
        <v>1070977</v>
      </c>
      <c r="YN18" s="39">
        <v>135</v>
      </c>
      <c r="YO18" s="39">
        <v>33</v>
      </c>
      <c r="YP18" s="1"/>
      <c r="YQ18" s="1"/>
      <c r="YR18" s="1"/>
      <c r="YS18" s="1"/>
      <c r="YT18" s="1"/>
      <c r="YU18" s="1"/>
      <c r="YV18" s="1"/>
      <c r="YW18" s="55" t="s">
        <v>244</v>
      </c>
      <c r="YX18" s="1"/>
      <c r="YY18" s="56" t="s">
        <v>244</v>
      </c>
      <c r="YZ18" s="1"/>
      <c r="ZA18" s="1"/>
      <c r="ZB18" s="2">
        <v>0</v>
      </c>
      <c r="ZC18" s="55">
        <v>100</v>
      </c>
      <c r="ZD18" s="1"/>
      <c r="ZE18" s="1"/>
      <c r="ZF18" s="1"/>
      <c r="ZG18" s="1"/>
      <c r="ZH18" s="1"/>
      <c r="ZI18" s="1"/>
      <c r="ZJ18" s="55" t="s">
        <v>244</v>
      </c>
      <c r="ZK18" s="1"/>
      <c r="ZL18" s="56" t="s">
        <v>244</v>
      </c>
      <c r="ZM18" s="1"/>
      <c r="ZN18" s="1"/>
      <c r="ZO18" s="2">
        <v>0</v>
      </c>
      <c r="ZP18" s="55">
        <v>100</v>
      </c>
      <c r="ZQ18" s="55" t="s">
        <v>244</v>
      </c>
      <c r="ZR18" s="55" t="s">
        <v>244</v>
      </c>
      <c r="ZS18" s="56" t="s">
        <v>244</v>
      </c>
      <c r="ZT18" s="57" t="s">
        <v>244</v>
      </c>
      <c r="ZU18" s="55" t="s">
        <v>244</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3984302</v>
      </c>
      <c r="F19" s="89">
        <f t="shared" si="401"/>
        <v>1</v>
      </c>
      <c r="G19" s="89" t="str">
        <f t="shared" si="402"/>
        <v>Ç</v>
      </c>
      <c r="H19" s="36" t="s">
        <v>218</v>
      </c>
      <c r="I19" s="37" t="s">
        <v>176</v>
      </c>
      <c r="J19" s="41" t="s">
        <v>177</v>
      </c>
      <c r="K19" s="90" t="str">
        <f t="shared" si="403"/>
        <v>A</v>
      </c>
      <c r="L19" s="41" t="s">
        <v>117</v>
      </c>
      <c r="M19" s="93">
        <v>42704</v>
      </c>
      <c r="N19" s="41"/>
      <c r="O19" s="43" t="s">
        <v>230</v>
      </c>
      <c r="P19" s="91" t="str">
        <f t="shared" si="404"/>
        <v>Süleymanova Samirə Həsən</v>
      </c>
      <c r="Q19" s="4">
        <v>1070977</v>
      </c>
      <c r="R19" s="39">
        <v>101</v>
      </c>
      <c r="S19" s="39">
        <v>270</v>
      </c>
      <c r="T19" s="1"/>
      <c r="U19" s="1"/>
      <c r="V19" s="1"/>
      <c r="W19" s="1"/>
      <c r="X19" s="1"/>
      <c r="Y19" s="1"/>
      <c r="Z19" s="1"/>
      <c r="AA19" s="55" t="s">
        <v>244</v>
      </c>
      <c r="AB19" s="1"/>
      <c r="AC19" s="56" t="s">
        <v>244</v>
      </c>
      <c r="AD19" s="1"/>
      <c r="AE19" s="1"/>
      <c r="AF19" s="2">
        <v>0</v>
      </c>
      <c r="AG19" s="55">
        <v>100</v>
      </c>
      <c r="AH19" s="1"/>
      <c r="AI19" s="1"/>
      <c r="AJ19" s="1"/>
      <c r="AK19" s="1"/>
      <c r="AL19" s="1"/>
      <c r="AM19" s="1"/>
      <c r="AN19" s="55" t="s">
        <v>244</v>
      </c>
      <c r="AO19" s="1"/>
      <c r="AP19" s="56" t="s">
        <v>244</v>
      </c>
      <c r="AQ19" s="1"/>
      <c r="AR19" s="1"/>
      <c r="AS19" s="2">
        <v>0</v>
      </c>
      <c r="AT19" s="55">
        <v>100</v>
      </c>
      <c r="AU19" s="55" t="s">
        <v>244</v>
      </c>
      <c r="AV19" s="55" t="s">
        <v>244</v>
      </c>
      <c r="AW19" s="56" t="s">
        <v>244</v>
      </c>
      <c r="AX19" s="57" t="s">
        <v>244</v>
      </c>
      <c r="AY19" s="55" t="s">
        <v>244</v>
      </c>
      <c r="AZ19" s="1"/>
      <c r="BA19" s="58">
        <v>0</v>
      </c>
      <c r="BB19" s="59">
        <v>100</v>
      </c>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1269215</v>
      </c>
      <c r="EB19" s="39">
        <v>106</v>
      </c>
      <c r="EC19" s="39">
        <v>36</v>
      </c>
      <c r="ED19" s="1"/>
      <c r="EE19" s="1"/>
      <c r="EF19" s="1"/>
      <c r="EG19" s="1"/>
      <c r="EH19" s="1"/>
      <c r="EI19" s="1"/>
      <c r="EJ19" s="1"/>
      <c r="EK19" s="55" t="s">
        <v>244</v>
      </c>
      <c r="EL19" s="1"/>
      <c r="EM19" s="56" t="s">
        <v>244</v>
      </c>
      <c r="EN19" s="1"/>
      <c r="EO19" s="1"/>
      <c r="EP19" s="2">
        <v>0</v>
      </c>
      <c r="EQ19" s="55">
        <v>100</v>
      </c>
      <c r="ER19" s="1"/>
      <c r="ES19" s="1"/>
      <c r="ET19" s="1"/>
      <c r="EU19" s="1"/>
      <c r="EV19" s="1"/>
      <c r="EW19" s="1"/>
      <c r="EX19" s="55" t="s">
        <v>244</v>
      </c>
      <c r="EY19" s="1"/>
      <c r="EZ19" s="56" t="s">
        <v>244</v>
      </c>
      <c r="FA19" s="1"/>
      <c r="FB19" s="1"/>
      <c r="FC19" s="2">
        <v>0</v>
      </c>
      <c r="FD19" s="55">
        <v>100</v>
      </c>
      <c r="FE19" s="55" t="s">
        <v>244</v>
      </c>
      <c r="FF19" s="55" t="s">
        <v>244</v>
      </c>
      <c r="FG19" s="56" t="s">
        <v>244</v>
      </c>
      <c r="FH19" s="57" t="s">
        <v>244</v>
      </c>
      <c r="FI19" s="55" t="s">
        <v>244</v>
      </c>
      <c r="FJ19" s="1"/>
      <c r="FK19" s="58">
        <v>0</v>
      </c>
      <c r="FL19" s="59">
        <v>100</v>
      </c>
      <c r="FM19" s="4">
        <v>1070977</v>
      </c>
      <c r="FN19" s="39">
        <v>110</v>
      </c>
      <c r="FO19" s="39">
        <v>168</v>
      </c>
      <c r="FP19" s="1"/>
      <c r="FQ19" s="1"/>
      <c r="FR19" s="1"/>
      <c r="FS19" s="1"/>
      <c r="FT19" s="1"/>
      <c r="FU19" s="1"/>
      <c r="FV19" s="1"/>
      <c r="FW19" s="55" t="s">
        <v>244</v>
      </c>
      <c r="FX19" s="1"/>
      <c r="FY19" s="56" t="s">
        <v>244</v>
      </c>
      <c r="FZ19" s="1"/>
      <c r="GA19" s="1"/>
      <c r="GB19" s="2">
        <v>0</v>
      </c>
      <c r="GC19" s="55">
        <v>100</v>
      </c>
      <c r="GD19" s="1"/>
      <c r="GE19" s="1"/>
      <c r="GF19" s="1"/>
      <c r="GG19" s="1"/>
      <c r="GH19" s="1"/>
      <c r="GI19" s="1"/>
      <c r="GJ19" s="55" t="s">
        <v>244</v>
      </c>
      <c r="GK19" s="1"/>
      <c r="GL19" s="56" t="s">
        <v>244</v>
      </c>
      <c r="GM19" s="1"/>
      <c r="GN19" s="1"/>
      <c r="GO19" s="2">
        <v>0</v>
      </c>
      <c r="GP19" s="55">
        <v>100</v>
      </c>
      <c r="GQ19" s="55" t="s">
        <v>244</v>
      </c>
      <c r="GR19" s="55" t="s">
        <v>244</v>
      </c>
      <c r="GS19" s="56" t="s">
        <v>244</v>
      </c>
      <c r="GT19" s="57" t="s">
        <v>244</v>
      </c>
      <c r="GU19" s="55" t="s">
        <v>244</v>
      </c>
      <c r="GV19" s="1"/>
      <c r="GW19" s="58">
        <v>0</v>
      </c>
      <c r="GX19" s="59">
        <v>100</v>
      </c>
      <c r="GY19" s="4">
        <v>1199044</v>
      </c>
      <c r="GZ19" s="39">
        <v>114</v>
      </c>
      <c r="HA19" s="39">
        <v>33</v>
      </c>
      <c r="HB19" s="1"/>
      <c r="HC19" s="1"/>
      <c r="HD19" s="1"/>
      <c r="HE19" s="1"/>
      <c r="HF19" s="1"/>
      <c r="HG19" s="1"/>
      <c r="HH19" s="1"/>
      <c r="HI19" s="55" t="s">
        <v>244</v>
      </c>
      <c r="HJ19" s="1"/>
      <c r="HK19" s="56" t="s">
        <v>244</v>
      </c>
      <c r="HL19" s="1"/>
      <c r="HM19" s="1"/>
      <c r="HN19" s="2">
        <v>0</v>
      </c>
      <c r="HO19" s="55">
        <v>100</v>
      </c>
      <c r="HP19" s="1"/>
      <c r="HQ19" s="1"/>
      <c r="HR19" s="1"/>
      <c r="HS19" s="1"/>
      <c r="HT19" s="1"/>
      <c r="HU19" s="1"/>
      <c r="HV19" s="55" t="s">
        <v>244</v>
      </c>
      <c r="HW19" s="1"/>
      <c r="HX19" s="56" t="s">
        <v>244</v>
      </c>
      <c r="HY19" s="1"/>
      <c r="HZ19" s="1"/>
      <c r="IA19" s="2">
        <v>0</v>
      </c>
      <c r="IB19" s="55">
        <v>100</v>
      </c>
      <c r="IC19" s="55" t="s">
        <v>244</v>
      </c>
      <c r="ID19" s="55" t="s">
        <v>244</v>
      </c>
      <c r="IE19" s="56" t="s">
        <v>244</v>
      </c>
      <c r="IF19" s="57" t="s">
        <v>244</v>
      </c>
      <c r="IG19" s="55" t="s">
        <v>244</v>
      </c>
      <c r="IH19" s="1"/>
      <c r="II19" s="58">
        <v>0</v>
      </c>
      <c r="IJ19" s="59">
        <v>100</v>
      </c>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1070977</v>
      </c>
      <c r="PT19" s="39">
        <v>128</v>
      </c>
      <c r="PU19" s="39">
        <v>33</v>
      </c>
      <c r="PV19" s="1"/>
      <c r="PW19" s="1"/>
      <c r="PX19" s="1"/>
      <c r="PY19" s="1"/>
      <c r="PZ19" s="1"/>
      <c r="QA19" s="1"/>
      <c r="QB19" s="1"/>
      <c r="QC19" s="55" t="s">
        <v>244</v>
      </c>
      <c r="QD19" s="1"/>
      <c r="QE19" s="56" t="s">
        <v>244</v>
      </c>
      <c r="QF19" s="1"/>
      <c r="QG19" s="1"/>
      <c r="QH19" s="2">
        <v>0</v>
      </c>
      <c r="QI19" s="55">
        <v>100</v>
      </c>
      <c r="QJ19" s="1"/>
      <c r="QK19" s="1"/>
      <c r="QL19" s="1"/>
      <c r="QM19" s="1"/>
      <c r="QN19" s="1"/>
      <c r="QO19" s="1"/>
      <c r="QP19" s="55" t="s">
        <v>244</v>
      </c>
      <c r="QQ19" s="1"/>
      <c r="QR19" s="56" t="s">
        <v>244</v>
      </c>
      <c r="QS19" s="1"/>
      <c r="QT19" s="1"/>
      <c r="QU19" s="2">
        <v>0</v>
      </c>
      <c r="QV19" s="55">
        <v>100</v>
      </c>
      <c r="QW19" s="55" t="s">
        <v>244</v>
      </c>
      <c r="QX19" s="55" t="s">
        <v>244</v>
      </c>
      <c r="QY19" s="56" t="s">
        <v>244</v>
      </c>
      <c r="QZ19" s="57" t="s">
        <v>244</v>
      </c>
      <c r="RA19" s="55" t="s">
        <v>244</v>
      </c>
      <c r="RB19" s="1"/>
      <c r="RC19" s="58">
        <v>0</v>
      </c>
      <c r="RD19" s="59">
        <v>100</v>
      </c>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1070977</v>
      </c>
      <c r="UD19" s="39">
        <v>131</v>
      </c>
      <c r="UE19" s="39">
        <v>69</v>
      </c>
      <c r="UF19" s="1"/>
      <c r="UG19" s="1"/>
      <c r="UH19" s="1"/>
      <c r="UI19" s="1"/>
      <c r="UJ19" s="1"/>
      <c r="UK19" s="1"/>
      <c r="UL19" s="1"/>
      <c r="UM19" s="55" t="s">
        <v>244</v>
      </c>
      <c r="UN19" s="1"/>
      <c r="UO19" s="56" t="s">
        <v>244</v>
      </c>
      <c r="UP19" s="1"/>
      <c r="UQ19" s="1"/>
      <c r="UR19" s="2">
        <v>0</v>
      </c>
      <c r="US19" s="55">
        <v>100</v>
      </c>
      <c r="UT19" s="1"/>
      <c r="UU19" s="1"/>
      <c r="UV19" s="1"/>
      <c r="UW19" s="1"/>
      <c r="UX19" s="1"/>
      <c r="UY19" s="1"/>
      <c r="UZ19" s="55" t="s">
        <v>244</v>
      </c>
      <c r="VA19" s="1"/>
      <c r="VB19" s="56" t="s">
        <v>244</v>
      </c>
      <c r="VC19" s="1"/>
      <c r="VD19" s="1"/>
      <c r="VE19" s="2">
        <v>0</v>
      </c>
      <c r="VF19" s="55">
        <v>100</v>
      </c>
      <c r="VG19" s="55" t="s">
        <v>244</v>
      </c>
      <c r="VH19" s="55" t="s">
        <v>244</v>
      </c>
      <c r="VI19" s="56" t="s">
        <v>244</v>
      </c>
      <c r="VJ19" s="57" t="s">
        <v>244</v>
      </c>
      <c r="VK19" s="55" t="s">
        <v>244</v>
      </c>
      <c r="VL19" s="1"/>
      <c r="VM19" s="58">
        <v>0</v>
      </c>
      <c r="VN19" s="59">
        <v>100</v>
      </c>
      <c r="VO19" s="4">
        <v>1070977</v>
      </c>
      <c r="VP19" s="39">
        <v>132</v>
      </c>
      <c r="VQ19" s="39">
        <v>33</v>
      </c>
      <c r="VR19" s="1"/>
      <c r="VS19" s="1"/>
      <c r="VT19" s="1"/>
      <c r="VU19" s="1"/>
      <c r="VV19" s="1"/>
      <c r="VW19" s="1"/>
      <c r="VX19" s="1"/>
      <c r="VY19" s="55" t="s">
        <v>244</v>
      </c>
      <c r="VZ19" s="1"/>
      <c r="WA19" s="56" t="s">
        <v>244</v>
      </c>
      <c r="WB19" s="1"/>
      <c r="WC19" s="1"/>
      <c r="WD19" s="2">
        <v>0</v>
      </c>
      <c r="WE19" s="55">
        <v>100</v>
      </c>
      <c r="WF19" s="1"/>
      <c r="WG19" s="1"/>
      <c r="WH19" s="1"/>
      <c r="WI19" s="1"/>
      <c r="WJ19" s="1"/>
      <c r="WK19" s="1"/>
      <c r="WL19" s="55" t="s">
        <v>244</v>
      </c>
      <c r="WM19" s="1"/>
      <c r="WN19" s="56" t="s">
        <v>244</v>
      </c>
      <c r="WO19" s="1"/>
      <c r="WP19" s="1"/>
      <c r="WQ19" s="2">
        <v>0</v>
      </c>
      <c r="WR19" s="55">
        <v>100</v>
      </c>
      <c r="WS19" s="55" t="s">
        <v>244</v>
      </c>
      <c r="WT19" s="55" t="s">
        <v>244</v>
      </c>
      <c r="WU19" s="56" t="s">
        <v>244</v>
      </c>
      <c r="WV19" s="57" t="s">
        <v>244</v>
      </c>
      <c r="WW19" s="55" t="s">
        <v>244</v>
      </c>
      <c r="WX19" s="1"/>
      <c r="WY19" s="58">
        <v>0</v>
      </c>
      <c r="WZ19" s="59">
        <v>100</v>
      </c>
      <c r="XA19" s="4">
        <v>1070977</v>
      </c>
      <c r="XB19" s="39">
        <v>133</v>
      </c>
      <c r="XC19" s="39">
        <v>33</v>
      </c>
      <c r="XD19" s="1"/>
      <c r="XE19" s="1"/>
      <c r="XF19" s="1"/>
      <c r="XG19" s="1"/>
      <c r="XH19" s="1"/>
      <c r="XI19" s="1"/>
      <c r="XJ19" s="1"/>
      <c r="XK19" s="55" t="s">
        <v>244</v>
      </c>
      <c r="XL19" s="1"/>
      <c r="XM19" s="56" t="s">
        <v>244</v>
      </c>
      <c r="XN19" s="1"/>
      <c r="XO19" s="1"/>
      <c r="XP19" s="2">
        <v>0</v>
      </c>
      <c r="XQ19" s="55">
        <v>100</v>
      </c>
      <c r="XR19" s="1"/>
      <c r="XS19" s="1"/>
      <c r="XT19" s="1"/>
      <c r="XU19" s="1"/>
      <c r="XV19" s="1"/>
      <c r="XW19" s="1"/>
      <c r="XX19" s="55" t="s">
        <v>244</v>
      </c>
      <c r="XY19" s="1"/>
      <c r="XZ19" s="56" t="s">
        <v>244</v>
      </c>
      <c r="YA19" s="1"/>
      <c r="YB19" s="1"/>
      <c r="YC19" s="2">
        <v>0</v>
      </c>
      <c r="YD19" s="55">
        <v>100</v>
      </c>
      <c r="YE19" s="55" t="s">
        <v>244</v>
      </c>
      <c r="YF19" s="55" t="s">
        <v>244</v>
      </c>
      <c r="YG19" s="56" t="s">
        <v>244</v>
      </c>
      <c r="YH19" s="57" t="s">
        <v>244</v>
      </c>
      <c r="YI19" s="55" t="s">
        <v>244</v>
      </c>
      <c r="YJ19" s="1"/>
      <c r="YK19" s="58">
        <v>0</v>
      </c>
      <c r="YL19" s="59">
        <v>100</v>
      </c>
      <c r="YM19" s="4">
        <v>1070977</v>
      </c>
      <c r="YN19" s="39">
        <v>135</v>
      </c>
      <c r="YO19" s="39">
        <v>33</v>
      </c>
      <c r="YP19" s="1"/>
      <c r="YQ19" s="1"/>
      <c r="YR19" s="1"/>
      <c r="YS19" s="1"/>
      <c r="YT19" s="1"/>
      <c r="YU19" s="1"/>
      <c r="YV19" s="1"/>
      <c r="YW19" s="55" t="s">
        <v>244</v>
      </c>
      <c r="YX19" s="1"/>
      <c r="YY19" s="56" t="s">
        <v>244</v>
      </c>
      <c r="YZ19" s="1"/>
      <c r="ZA19" s="1"/>
      <c r="ZB19" s="2">
        <v>0</v>
      </c>
      <c r="ZC19" s="55">
        <v>100</v>
      </c>
      <c r="ZD19" s="1"/>
      <c r="ZE19" s="1"/>
      <c r="ZF19" s="1"/>
      <c r="ZG19" s="1"/>
      <c r="ZH19" s="1"/>
      <c r="ZI19" s="1"/>
      <c r="ZJ19" s="55" t="s">
        <v>244</v>
      </c>
      <c r="ZK19" s="1"/>
      <c r="ZL19" s="56" t="s">
        <v>244</v>
      </c>
      <c r="ZM19" s="1"/>
      <c r="ZN19" s="1"/>
      <c r="ZO19" s="2">
        <v>0</v>
      </c>
      <c r="ZP19" s="55">
        <v>100</v>
      </c>
      <c r="ZQ19" s="55" t="s">
        <v>244</v>
      </c>
      <c r="ZR19" s="55" t="s">
        <v>244</v>
      </c>
      <c r="ZS19" s="56" t="s">
        <v>244</v>
      </c>
      <c r="ZT19" s="57" t="s">
        <v>244</v>
      </c>
      <c r="ZU19" s="55" t="s">
        <v>244</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3984349</v>
      </c>
      <c r="F20" s="89">
        <f t="shared" si="401"/>
        <v>1</v>
      </c>
      <c r="G20" s="89" t="str">
        <f t="shared" si="402"/>
        <v>Ç</v>
      </c>
      <c r="H20" s="37" t="s">
        <v>178</v>
      </c>
      <c r="I20" s="37" t="s">
        <v>179</v>
      </c>
      <c r="J20" s="41" t="s">
        <v>180</v>
      </c>
      <c r="K20" s="90" t="str">
        <f t="shared" si="403"/>
        <v>A</v>
      </c>
      <c r="L20" s="41" t="s">
        <v>117</v>
      </c>
      <c r="M20" s="93">
        <v>42500</v>
      </c>
      <c r="N20" s="41"/>
      <c r="O20" s="43" t="s">
        <v>231</v>
      </c>
      <c r="P20" s="91" t="str">
        <f t="shared" si="404"/>
        <v>Süleymanova Samirə Həsən</v>
      </c>
      <c r="Q20" s="4">
        <v>1070977</v>
      </c>
      <c r="R20" s="39">
        <v>101</v>
      </c>
      <c r="S20" s="39">
        <v>270</v>
      </c>
      <c r="T20" s="1"/>
      <c r="U20" s="1"/>
      <c r="V20" s="1"/>
      <c r="W20" s="1"/>
      <c r="X20" s="1"/>
      <c r="Y20" s="1"/>
      <c r="Z20" s="1"/>
      <c r="AA20" s="55" t="s">
        <v>244</v>
      </c>
      <c r="AB20" s="1"/>
      <c r="AC20" s="56" t="s">
        <v>244</v>
      </c>
      <c r="AD20" s="1"/>
      <c r="AE20" s="1"/>
      <c r="AF20" s="2">
        <v>0</v>
      </c>
      <c r="AG20" s="55">
        <v>100</v>
      </c>
      <c r="AH20" s="1"/>
      <c r="AI20" s="1"/>
      <c r="AJ20" s="1"/>
      <c r="AK20" s="1"/>
      <c r="AL20" s="1"/>
      <c r="AM20" s="1"/>
      <c r="AN20" s="55" t="s">
        <v>244</v>
      </c>
      <c r="AO20" s="1"/>
      <c r="AP20" s="56" t="s">
        <v>244</v>
      </c>
      <c r="AQ20" s="1"/>
      <c r="AR20" s="1"/>
      <c r="AS20" s="2">
        <v>0</v>
      </c>
      <c r="AT20" s="55">
        <v>100</v>
      </c>
      <c r="AU20" s="55" t="s">
        <v>244</v>
      </c>
      <c r="AV20" s="55" t="s">
        <v>244</v>
      </c>
      <c r="AW20" s="56" t="s">
        <v>244</v>
      </c>
      <c r="AX20" s="57" t="s">
        <v>244</v>
      </c>
      <c r="AY20" s="55" t="s">
        <v>244</v>
      </c>
      <c r="AZ20" s="1"/>
      <c r="BA20" s="58">
        <v>0</v>
      </c>
      <c r="BB20" s="59">
        <v>100</v>
      </c>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1269215</v>
      </c>
      <c r="EB20" s="39">
        <v>106</v>
      </c>
      <c r="EC20" s="39">
        <v>36</v>
      </c>
      <c r="ED20" s="1"/>
      <c r="EE20" s="1"/>
      <c r="EF20" s="1"/>
      <c r="EG20" s="1"/>
      <c r="EH20" s="1"/>
      <c r="EI20" s="1"/>
      <c r="EJ20" s="1"/>
      <c r="EK20" s="55" t="s">
        <v>244</v>
      </c>
      <c r="EL20" s="1"/>
      <c r="EM20" s="56" t="s">
        <v>244</v>
      </c>
      <c r="EN20" s="1"/>
      <c r="EO20" s="1"/>
      <c r="EP20" s="2">
        <v>0</v>
      </c>
      <c r="EQ20" s="55">
        <v>100</v>
      </c>
      <c r="ER20" s="1"/>
      <c r="ES20" s="1"/>
      <c r="ET20" s="1"/>
      <c r="EU20" s="1"/>
      <c r="EV20" s="1"/>
      <c r="EW20" s="1"/>
      <c r="EX20" s="55" t="s">
        <v>244</v>
      </c>
      <c r="EY20" s="1"/>
      <c r="EZ20" s="56" t="s">
        <v>244</v>
      </c>
      <c r="FA20" s="1"/>
      <c r="FB20" s="1"/>
      <c r="FC20" s="2">
        <v>0</v>
      </c>
      <c r="FD20" s="55">
        <v>100</v>
      </c>
      <c r="FE20" s="55" t="s">
        <v>244</v>
      </c>
      <c r="FF20" s="55" t="s">
        <v>244</v>
      </c>
      <c r="FG20" s="56" t="s">
        <v>244</v>
      </c>
      <c r="FH20" s="57" t="s">
        <v>244</v>
      </c>
      <c r="FI20" s="55" t="s">
        <v>244</v>
      </c>
      <c r="FJ20" s="1"/>
      <c r="FK20" s="58">
        <v>0</v>
      </c>
      <c r="FL20" s="59">
        <v>100</v>
      </c>
      <c r="FM20" s="4">
        <v>1070977</v>
      </c>
      <c r="FN20" s="39">
        <v>110</v>
      </c>
      <c r="FO20" s="39">
        <v>168</v>
      </c>
      <c r="FP20" s="1"/>
      <c r="FQ20" s="1"/>
      <c r="FR20" s="1"/>
      <c r="FS20" s="1"/>
      <c r="FT20" s="1"/>
      <c r="FU20" s="1"/>
      <c r="FV20" s="1"/>
      <c r="FW20" s="55" t="s">
        <v>244</v>
      </c>
      <c r="FX20" s="1"/>
      <c r="FY20" s="56" t="s">
        <v>244</v>
      </c>
      <c r="FZ20" s="1"/>
      <c r="GA20" s="1"/>
      <c r="GB20" s="2">
        <v>0</v>
      </c>
      <c r="GC20" s="55">
        <v>100</v>
      </c>
      <c r="GD20" s="1"/>
      <c r="GE20" s="1"/>
      <c r="GF20" s="1"/>
      <c r="GG20" s="1"/>
      <c r="GH20" s="1"/>
      <c r="GI20" s="1"/>
      <c r="GJ20" s="55" t="s">
        <v>244</v>
      </c>
      <c r="GK20" s="1"/>
      <c r="GL20" s="56" t="s">
        <v>244</v>
      </c>
      <c r="GM20" s="1"/>
      <c r="GN20" s="1"/>
      <c r="GO20" s="2">
        <v>0</v>
      </c>
      <c r="GP20" s="55">
        <v>100</v>
      </c>
      <c r="GQ20" s="55" t="s">
        <v>244</v>
      </c>
      <c r="GR20" s="55" t="s">
        <v>244</v>
      </c>
      <c r="GS20" s="56" t="s">
        <v>244</v>
      </c>
      <c r="GT20" s="57" t="s">
        <v>244</v>
      </c>
      <c r="GU20" s="55" t="s">
        <v>244</v>
      </c>
      <c r="GV20" s="1"/>
      <c r="GW20" s="58">
        <v>0</v>
      </c>
      <c r="GX20" s="59">
        <v>100</v>
      </c>
      <c r="GY20" s="4">
        <v>1199044</v>
      </c>
      <c r="GZ20" s="39">
        <v>114</v>
      </c>
      <c r="HA20" s="39">
        <v>33</v>
      </c>
      <c r="HB20" s="1"/>
      <c r="HC20" s="1"/>
      <c r="HD20" s="1"/>
      <c r="HE20" s="1"/>
      <c r="HF20" s="1"/>
      <c r="HG20" s="1"/>
      <c r="HH20" s="1"/>
      <c r="HI20" s="55" t="s">
        <v>244</v>
      </c>
      <c r="HJ20" s="1"/>
      <c r="HK20" s="56" t="s">
        <v>244</v>
      </c>
      <c r="HL20" s="1"/>
      <c r="HM20" s="1"/>
      <c r="HN20" s="2">
        <v>0</v>
      </c>
      <c r="HO20" s="55">
        <v>100</v>
      </c>
      <c r="HP20" s="1"/>
      <c r="HQ20" s="1"/>
      <c r="HR20" s="1"/>
      <c r="HS20" s="1"/>
      <c r="HT20" s="1"/>
      <c r="HU20" s="1"/>
      <c r="HV20" s="55" t="s">
        <v>244</v>
      </c>
      <c r="HW20" s="1"/>
      <c r="HX20" s="56" t="s">
        <v>244</v>
      </c>
      <c r="HY20" s="1"/>
      <c r="HZ20" s="1"/>
      <c r="IA20" s="2">
        <v>0</v>
      </c>
      <c r="IB20" s="55">
        <v>100</v>
      </c>
      <c r="IC20" s="55" t="s">
        <v>244</v>
      </c>
      <c r="ID20" s="55" t="s">
        <v>244</v>
      </c>
      <c r="IE20" s="56" t="s">
        <v>244</v>
      </c>
      <c r="IF20" s="57" t="s">
        <v>244</v>
      </c>
      <c r="IG20" s="55" t="s">
        <v>244</v>
      </c>
      <c r="IH20" s="1"/>
      <c r="II20" s="58">
        <v>0</v>
      </c>
      <c r="IJ20" s="59">
        <v>100</v>
      </c>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1070977</v>
      </c>
      <c r="PT20" s="39">
        <v>128</v>
      </c>
      <c r="PU20" s="39">
        <v>33</v>
      </c>
      <c r="PV20" s="1"/>
      <c r="PW20" s="1"/>
      <c r="PX20" s="1"/>
      <c r="PY20" s="1"/>
      <c r="PZ20" s="1"/>
      <c r="QA20" s="1"/>
      <c r="QB20" s="1"/>
      <c r="QC20" s="55" t="s">
        <v>244</v>
      </c>
      <c r="QD20" s="1"/>
      <c r="QE20" s="56" t="s">
        <v>244</v>
      </c>
      <c r="QF20" s="1"/>
      <c r="QG20" s="1"/>
      <c r="QH20" s="2">
        <v>0</v>
      </c>
      <c r="QI20" s="55">
        <v>100</v>
      </c>
      <c r="QJ20" s="1"/>
      <c r="QK20" s="1"/>
      <c r="QL20" s="1"/>
      <c r="QM20" s="1"/>
      <c r="QN20" s="1"/>
      <c r="QO20" s="1"/>
      <c r="QP20" s="55" t="s">
        <v>244</v>
      </c>
      <c r="QQ20" s="1"/>
      <c r="QR20" s="56" t="s">
        <v>244</v>
      </c>
      <c r="QS20" s="1"/>
      <c r="QT20" s="1"/>
      <c r="QU20" s="2">
        <v>0</v>
      </c>
      <c r="QV20" s="55">
        <v>100</v>
      </c>
      <c r="QW20" s="55" t="s">
        <v>244</v>
      </c>
      <c r="QX20" s="55" t="s">
        <v>244</v>
      </c>
      <c r="QY20" s="56" t="s">
        <v>244</v>
      </c>
      <c r="QZ20" s="57" t="s">
        <v>244</v>
      </c>
      <c r="RA20" s="55" t="s">
        <v>244</v>
      </c>
      <c r="RB20" s="1"/>
      <c r="RC20" s="58">
        <v>0</v>
      </c>
      <c r="RD20" s="59">
        <v>100</v>
      </c>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1070977</v>
      </c>
      <c r="UD20" s="39">
        <v>131</v>
      </c>
      <c r="UE20" s="39">
        <v>69</v>
      </c>
      <c r="UF20" s="1"/>
      <c r="UG20" s="1"/>
      <c r="UH20" s="1"/>
      <c r="UI20" s="1"/>
      <c r="UJ20" s="1"/>
      <c r="UK20" s="1"/>
      <c r="UL20" s="1"/>
      <c r="UM20" s="55" t="s">
        <v>244</v>
      </c>
      <c r="UN20" s="1"/>
      <c r="UO20" s="56" t="s">
        <v>244</v>
      </c>
      <c r="UP20" s="1"/>
      <c r="UQ20" s="1"/>
      <c r="UR20" s="2">
        <v>0</v>
      </c>
      <c r="US20" s="55">
        <v>100</v>
      </c>
      <c r="UT20" s="1"/>
      <c r="UU20" s="1"/>
      <c r="UV20" s="1"/>
      <c r="UW20" s="1"/>
      <c r="UX20" s="1"/>
      <c r="UY20" s="1"/>
      <c r="UZ20" s="55" t="s">
        <v>244</v>
      </c>
      <c r="VA20" s="1"/>
      <c r="VB20" s="56" t="s">
        <v>244</v>
      </c>
      <c r="VC20" s="1"/>
      <c r="VD20" s="1"/>
      <c r="VE20" s="2">
        <v>0</v>
      </c>
      <c r="VF20" s="55">
        <v>100</v>
      </c>
      <c r="VG20" s="55" t="s">
        <v>244</v>
      </c>
      <c r="VH20" s="55" t="s">
        <v>244</v>
      </c>
      <c r="VI20" s="56" t="s">
        <v>244</v>
      </c>
      <c r="VJ20" s="57" t="s">
        <v>244</v>
      </c>
      <c r="VK20" s="55" t="s">
        <v>244</v>
      </c>
      <c r="VL20" s="1"/>
      <c r="VM20" s="58">
        <v>0</v>
      </c>
      <c r="VN20" s="59">
        <v>100</v>
      </c>
      <c r="VO20" s="4">
        <v>1070977</v>
      </c>
      <c r="VP20" s="39">
        <v>132</v>
      </c>
      <c r="VQ20" s="39">
        <v>33</v>
      </c>
      <c r="VR20" s="1"/>
      <c r="VS20" s="1"/>
      <c r="VT20" s="1"/>
      <c r="VU20" s="1"/>
      <c r="VV20" s="1"/>
      <c r="VW20" s="1"/>
      <c r="VX20" s="1"/>
      <c r="VY20" s="55" t="s">
        <v>244</v>
      </c>
      <c r="VZ20" s="1"/>
      <c r="WA20" s="56" t="s">
        <v>244</v>
      </c>
      <c r="WB20" s="1"/>
      <c r="WC20" s="1"/>
      <c r="WD20" s="2">
        <v>0</v>
      </c>
      <c r="WE20" s="55">
        <v>100</v>
      </c>
      <c r="WF20" s="1"/>
      <c r="WG20" s="1"/>
      <c r="WH20" s="1"/>
      <c r="WI20" s="1"/>
      <c r="WJ20" s="1"/>
      <c r="WK20" s="1"/>
      <c r="WL20" s="55" t="s">
        <v>244</v>
      </c>
      <c r="WM20" s="1"/>
      <c r="WN20" s="56" t="s">
        <v>244</v>
      </c>
      <c r="WO20" s="1"/>
      <c r="WP20" s="1"/>
      <c r="WQ20" s="2">
        <v>0</v>
      </c>
      <c r="WR20" s="55">
        <v>100</v>
      </c>
      <c r="WS20" s="55" t="s">
        <v>244</v>
      </c>
      <c r="WT20" s="55" t="s">
        <v>244</v>
      </c>
      <c r="WU20" s="56" t="s">
        <v>244</v>
      </c>
      <c r="WV20" s="57" t="s">
        <v>244</v>
      </c>
      <c r="WW20" s="55" t="s">
        <v>244</v>
      </c>
      <c r="WX20" s="1"/>
      <c r="WY20" s="58">
        <v>0</v>
      </c>
      <c r="WZ20" s="59">
        <v>100</v>
      </c>
      <c r="XA20" s="4">
        <v>1070977</v>
      </c>
      <c r="XB20" s="39">
        <v>133</v>
      </c>
      <c r="XC20" s="39">
        <v>33</v>
      </c>
      <c r="XD20" s="1"/>
      <c r="XE20" s="1"/>
      <c r="XF20" s="1"/>
      <c r="XG20" s="1"/>
      <c r="XH20" s="1"/>
      <c r="XI20" s="1"/>
      <c r="XJ20" s="1"/>
      <c r="XK20" s="55" t="s">
        <v>244</v>
      </c>
      <c r="XL20" s="1"/>
      <c r="XM20" s="56" t="s">
        <v>244</v>
      </c>
      <c r="XN20" s="1"/>
      <c r="XO20" s="1"/>
      <c r="XP20" s="2">
        <v>0</v>
      </c>
      <c r="XQ20" s="55">
        <v>100</v>
      </c>
      <c r="XR20" s="1"/>
      <c r="XS20" s="1"/>
      <c r="XT20" s="1"/>
      <c r="XU20" s="1"/>
      <c r="XV20" s="1"/>
      <c r="XW20" s="1"/>
      <c r="XX20" s="55" t="s">
        <v>244</v>
      </c>
      <c r="XY20" s="1"/>
      <c r="XZ20" s="56" t="s">
        <v>244</v>
      </c>
      <c r="YA20" s="1"/>
      <c r="YB20" s="1"/>
      <c r="YC20" s="2">
        <v>0</v>
      </c>
      <c r="YD20" s="55">
        <v>100</v>
      </c>
      <c r="YE20" s="55" t="s">
        <v>244</v>
      </c>
      <c r="YF20" s="55" t="s">
        <v>244</v>
      </c>
      <c r="YG20" s="56" t="s">
        <v>244</v>
      </c>
      <c r="YH20" s="57" t="s">
        <v>244</v>
      </c>
      <c r="YI20" s="55" t="s">
        <v>244</v>
      </c>
      <c r="YJ20" s="1"/>
      <c r="YK20" s="58">
        <v>0</v>
      </c>
      <c r="YL20" s="59">
        <v>100</v>
      </c>
      <c r="YM20" s="4">
        <v>1070977</v>
      </c>
      <c r="YN20" s="39">
        <v>135</v>
      </c>
      <c r="YO20" s="39">
        <v>33</v>
      </c>
      <c r="YP20" s="1"/>
      <c r="YQ20" s="1"/>
      <c r="YR20" s="1"/>
      <c r="YS20" s="1"/>
      <c r="YT20" s="1"/>
      <c r="YU20" s="1"/>
      <c r="YV20" s="1"/>
      <c r="YW20" s="55" t="s">
        <v>244</v>
      </c>
      <c r="YX20" s="1"/>
      <c r="YY20" s="56" t="s">
        <v>244</v>
      </c>
      <c r="YZ20" s="1"/>
      <c r="ZA20" s="1"/>
      <c r="ZB20" s="2">
        <v>0</v>
      </c>
      <c r="ZC20" s="55">
        <v>100</v>
      </c>
      <c r="ZD20" s="1"/>
      <c r="ZE20" s="1"/>
      <c r="ZF20" s="1"/>
      <c r="ZG20" s="1"/>
      <c r="ZH20" s="1"/>
      <c r="ZI20" s="1"/>
      <c r="ZJ20" s="55" t="s">
        <v>244</v>
      </c>
      <c r="ZK20" s="1"/>
      <c r="ZL20" s="56" t="s">
        <v>244</v>
      </c>
      <c r="ZM20" s="1"/>
      <c r="ZN20" s="1"/>
      <c r="ZO20" s="2">
        <v>0</v>
      </c>
      <c r="ZP20" s="55">
        <v>100</v>
      </c>
      <c r="ZQ20" s="55" t="s">
        <v>244</v>
      </c>
      <c r="ZR20" s="55" t="s">
        <v>244</v>
      </c>
      <c r="ZS20" s="56" t="s">
        <v>244</v>
      </c>
      <c r="ZT20" s="57" t="s">
        <v>244</v>
      </c>
      <c r="ZU20" s="55" t="s">
        <v>244</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3984402</v>
      </c>
      <c r="F21" s="89">
        <f t="shared" si="401"/>
        <v>1</v>
      </c>
      <c r="G21" s="89" t="str">
        <f t="shared" si="402"/>
        <v>Ç</v>
      </c>
      <c r="H21" s="37" t="s">
        <v>181</v>
      </c>
      <c r="I21" s="37" t="s">
        <v>182</v>
      </c>
      <c r="J21" s="41" t="s">
        <v>183</v>
      </c>
      <c r="K21" s="90" t="str">
        <f t="shared" si="403"/>
        <v>A</v>
      </c>
      <c r="L21" s="41" t="s">
        <v>117</v>
      </c>
      <c r="M21" s="93">
        <v>42390</v>
      </c>
      <c r="N21" s="41"/>
      <c r="O21" s="43" t="s">
        <v>232</v>
      </c>
      <c r="P21" s="91" t="str">
        <f t="shared" si="404"/>
        <v>Süleymanova Samirə Həsən</v>
      </c>
      <c r="Q21" s="4">
        <v>1070977</v>
      </c>
      <c r="R21" s="39">
        <v>101</v>
      </c>
      <c r="S21" s="39">
        <v>270</v>
      </c>
      <c r="T21" s="1"/>
      <c r="U21" s="1"/>
      <c r="V21" s="1"/>
      <c r="W21" s="1"/>
      <c r="X21" s="1"/>
      <c r="Y21" s="1"/>
      <c r="Z21" s="1"/>
      <c r="AA21" s="55" t="s">
        <v>244</v>
      </c>
      <c r="AB21" s="1"/>
      <c r="AC21" s="56" t="s">
        <v>244</v>
      </c>
      <c r="AD21" s="1"/>
      <c r="AE21" s="1"/>
      <c r="AF21" s="2">
        <v>10</v>
      </c>
      <c r="AG21" s="55">
        <v>92.592592592592595</v>
      </c>
      <c r="AH21" s="1"/>
      <c r="AI21" s="1"/>
      <c r="AJ21" s="1"/>
      <c r="AK21" s="1"/>
      <c r="AL21" s="1"/>
      <c r="AM21" s="1"/>
      <c r="AN21" s="55" t="s">
        <v>244</v>
      </c>
      <c r="AO21" s="1"/>
      <c r="AP21" s="56" t="s">
        <v>244</v>
      </c>
      <c r="AQ21" s="1"/>
      <c r="AR21" s="1"/>
      <c r="AS21" s="2">
        <v>0</v>
      </c>
      <c r="AT21" s="55">
        <v>100</v>
      </c>
      <c r="AU21" s="55" t="s">
        <v>244</v>
      </c>
      <c r="AV21" s="55" t="s">
        <v>244</v>
      </c>
      <c r="AW21" s="56" t="s">
        <v>244</v>
      </c>
      <c r="AX21" s="57" t="s">
        <v>244</v>
      </c>
      <c r="AY21" s="55" t="s">
        <v>244</v>
      </c>
      <c r="AZ21" s="1"/>
      <c r="BA21" s="58">
        <v>10</v>
      </c>
      <c r="BB21" s="59">
        <v>96.296296296296291</v>
      </c>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1269215</v>
      </c>
      <c r="EB21" s="39">
        <v>106</v>
      </c>
      <c r="EC21" s="39">
        <v>36</v>
      </c>
      <c r="ED21" s="1"/>
      <c r="EE21" s="1"/>
      <c r="EF21" s="1"/>
      <c r="EG21" s="1"/>
      <c r="EH21" s="1"/>
      <c r="EI21" s="1"/>
      <c r="EJ21" s="1"/>
      <c r="EK21" s="55" t="s">
        <v>244</v>
      </c>
      <c r="EL21" s="1"/>
      <c r="EM21" s="56" t="s">
        <v>244</v>
      </c>
      <c r="EN21" s="1"/>
      <c r="EO21" s="1"/>
      <c r="EP21" s="2">
        <v>0</v>
      </c>
      <c r="EQ21" s="55">
        <v>100</v>
      </c>
      <c r="ER21" s="1"/>
      <c r="ES21" s="1"/>
      <c r="ET21" s="1"/>
      <c r="EU21" s="1"/>
      <c r="EV21" s="1"/>
      <c r="EW21" s="1"/>
      <c r="EX21" s="55" t="s">
        <v>244</v>
      </c>
      <c r="EY21" s="1"/>
      <c r="EZ21" s="56" t="s">
        <v>244</v>
      </c>
      <c r="FA21" s="1"/>
      <c r="FB21" s="1"/>
      <c r="FC21" s="2">
        <v>0</v>
      </c>
      <c r="FD21" s="55">
        <v>100</v>
      </c>
      <c r="FE21" s="55" t="s">
        <v>244</v>
      </c>
      <c r="FF21" s="55" t="s">
        <v>244</v>
      </c>
      <c r="FG21" s="56" t="s">
        <v>244</v>
      </c>
      <c r="FH21" s="57" t="s">
        <v>244</v>
      </c>
      <c r="FI21" s="55" t="s">
        <v>244</v>
      </c>
      <c r="FJ21" s="1"/>
      <c r="FK21" s="58">
        <v>0</v>
      </c>
      <c r="FL21" s="59">
        <v>100</v>
      </c>
      <c r="FM21" s="4">
        <v>1070977</v>
      </c>
      <c r="FN21" s="39">
        <v>110</v>
      </c>
      <c r="FO21" s="39">
        <v>168</v>
      </c>
      <c r="FP21" s="1"/>
      <c r="FQ21" s="1"/>
      <c r="FR21" s="1"/>
      <c r="FS21" s="1"/>
      <c r="FT21" s="1"/>
      <c r="FU21" s="1"/>
      <c r="FV21" s="1"/>
      <c r="FW21" s="55" t="s">
        <v>244</v>
      </c>
      <c r="FX21" s="1"/>
      <c r="FY21" s="56" t="s">
        <v>244</v>
      </c>
      <c r="FZ21" s="1"/>
      <c r="GA21" s="1"/>
      <c r="GB21" s="2">
        <v>7</v>
      </c>
      <c r="GC21" s="55">
        <v>91.666666666666671</v>
      </c>
      <c r="GD21" s="1"/>
      <c r="GE21" s="1"/>
      <c r="GF21" s="1"/>
      <c r="GG21" s="1"/>
      <c r="GH21" s="1"/>
      <c r="GI21" s="1"/>
      <c r="GJ21" s="55" t="s">
        <v>244</v>
      </c>
      <c r="GK21" s="1"/>
      <c r="GL21" s="56" t="s">
        <v>244</v>
      </c>
      <c r="GM21" s="1"/>
      <c r="GN21" s="1"/>
      <c r="GO21" s="2">
        <v>0</v>
      </c>
      <c r="GP21" s="55">
        <v>100</v>
      </c>
      <c r="GQ21" s="55" t="s">
        <v>244</v>
      </c>
      <c r="GR21" s="55" t="s">
        <v>244</v>
      </c>
      <c r="GS21" s="56" t="s">
        <v>244</v>
      </c>
      <c r="GT21" s="57" t="s">
        <v>244</v>
      </c>
      <c r="GU21" s="55" t="s">
        <v>244</v>
      </c>
      <c r="GV21" s="1"/>
      <c r="GW21" s="58">
        <v>7</v>
      </c>
      <c r="GX21" s="59">
        <v>95.833333333333329</v>
      </c>
      <c r="GY21" s="4">
        <v>1199044</v>
      </c>
      <c r="GZ21" s="39">
        <v>114</v>
      </c>
      <c r="HA21" s="39">
        <v>33</v>
      </c>
      <c r="HB21" s="1"/>
      <c r="HC21" s="1"/>
      <c r="HD21" s="1"/>
      <c r="HE21" s="1"/>
      <c r="HF21" s="1"/>
      <c r="HG21" s="1"/>
      <c r="HH21" s="1"/>
      <c r="HI21" s="55" t="s">
        <v>244</v>
      </c>
      <c r="HJ21" s="1"/>
      <c r="HK21" s="56" t="s">
        <v>244</v>
      </c>
      <c r="HL21" s="1"/>
      <c r="HM21" s="1"/>
      <c r="HN21" s="2">
        <v>1</v>
      </c>
      <c r="HO21" s="55">
        <v>93.939393939393938</v>
      </c>
      <c r="HP21" s="1"/>
      <c r="HQ21" s="1"/>
      <c r="HR21" s="1"/>
      <c r="HS21" s="1"/>
      <c r="HT21" s="1"/>
      <c r="HU21" s="1"/>
      <c r="HV21" s="55" t="s">
        <v>244</v>
      </c>
      <c r="HW21" s="1"/>
      <c r="HX21" s="56" t="s">
        <v>244</v>
      </c>
      <c r="HY21" s="1"/>
      <c r="HZ21" s="1"/>
      <c r="IA21" s="2">
        <v>0</v>
      </c>
      <c r="IB21" s="55">
        <v>100</v>
      </c>
      <c r="IC21" s="55" t="s">
        <v>244</v>
      </c>
      <c r="ID21" s="55" t="s">
        <v>244</v>
      </c>
      <c r="IE21" s="56" t="s">
        <v>244</v>
      </c>
      <c r="IF21" s="57" t="s">
        <v>244</v>
      </c>
      <c r="IG21" s="55" t="s">
        <v>244</v>
      </c>
      <c r="IH21" s="1"/>
      <c r="II21" s="58">
        <v>1</v>
      </c>
      <c r="IJ21" s="59">
        <v>96.969696969696969</v>
      </c>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1070977</v>
      </c>
      <c r="PT21" s="39">
        <v>128</v>
      </c>
      <c r="PU21" s="39">
        <v>33</v>
      </c>
      <c r="PV21" s="1"/>
      <c r="PW21" s="1"/>
      <c r="PX21" s="1"/>
      <c r="PY21" s="1"/>
      <c r="PZ21" s="1"/>
      <c r="QA21" s="1"/>
      <c r="QB21" s="1"/>
      <c r="QC21" s="55" t="s">
        <v>244</v>
      </c>
      <c r="QD21" s="1"/>
      <c r="QE21" s="56" t="s">
        <v>244</v>
      </c>
      <c r="QF21" s="1"/>
      <c r="QG21" s="1"/>
      <c r="QH21" s="2">
        <v>2</v>
      </c>
      <c r="QI21" s="55">
        <v>87.878787878787875</v>
      </c>
      <c r="QJ21" s="1"/>
      <c r="QK21" s="1"/>
      <c r="QL21" s="1"/>
      <c r="QM21" s="1"/>
      <c r="QN21" s="1"/>
      <c r="QO21" s="1"/>
      <c r="QP21" s="55" t="s">
        <v>244</v>
      </c>
      <c r="QQ21" s="1"/>
      <c r="QR21" s="56" t="s">
        <v>244</v>
      </c>
      <c r="QS21" s="1"/>
      <c r="QT21" s="1"/>
      <c r="QU21" s="2">
        <v>0</v>
      </c>
      <c r="QV21" s="55">
        <v>100</v>
      </c>
      <c r="QW21" s="55" t="s">
        <v>244</v>
      </c>
      <c r="QX21" s="55" t="s">
        <v>244</v>
      </c>
      <c r="QY21" s="56" t="s">
        <v>244</v>
      </c>
      <c r="QZ21" s="57" t="s">
        <v>244</v>
      </c>
      <c r="RA21" s="55" t="s">
        <v>244</v>
      </c>
      <c r="RB21" s="1"/>
      <c r="RC21" s="58">
        <v>2</v>
      </c>
      <c r="RD21" s="59">
        <v>93.939393939393938</v>
      </c>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1070977</v>
      </c>
      <c r="UD21" s="39">
        <v>131</v>
      </c>
      <c r="UE21" s="39">
        <v>69</v>
      </c>
      <c r="UF21" s="1"/>
      <c r="UG21" s="1"/>
      <c r="UH21" s="1"/>
      <c r="UI21" s="1"/>
      <c r="UJ21" s="1"/>
      <c r="UK21" s="1"/>
      <c r="UL21" s="1"/>
      <c r="UM21" s="55" t="s">
        <v>244</v>
      </c>
      <c r="UN21" s="1"/>
      <c r="UO21" s="56" t="s">
        <v>244</v>
      </c>
      <c r="UP21" s="1"/>
      <c r="UQ21" s="1"/>
      <c r="UR21" s="2">
        <v>4</v>
      </c>
      <c r="US21" s="55">
        <v>88.405797101449281</v>
      </c>
      <c r="UT21" s="1"/>
      <c r="UU21" s="1"/>
      <c r="UV21" s="1"/>
      <c r="UW21" s="1"/>
      <c r="UX21" s="1"/>
      <c r="UY21" s="1"/>
      <c r="UZ21" s="55" t="s">
        <v>244</v>
      </c>
      <c r="VA21" s="1"/>
      <c r="VB21" s="56" t="s">
        <v>244</v>
      </c>
      <c r="VC21" s="1"/>
      <c r="VD21" s="1"/>
      <c r="VE21" s="2">
        <v>0</v>
      </c>
      <c r="VF21" s="55">
        <v>100</v>
      </c>
      <c r="VG21" s="55" t="s">
        <v>244</v>
      </c>
      <c r="VH21" s="55" t="s">
        <v>244</v>
      </c>
      <c r="VI21" s="56" t="s">
        <v>244</v>
      </c>
      <c r="VJ21" s="57" t="s">
        <v>244</v>
      </c>
      <c r="VK21" s="55" t="s">
        <v>244</v>
      </c>
      <c r="VL21" s="1"/>
      <c r="VM21" s="58">
        <v>4</v>
      </c>
      <c r="VN21" s="59">
        <v>94.20289855072464</v>
      </c>
      <c r="VO21" s="4">
        <v>1070977</v>
      </c>
      <c r="VP21" s="39">
        <v>132</v>
      </c>
      <c r="VQ21" s="39">
        <v>33</v>
      </c>
      <c r="VR21" s="1"/>
      <c r="VS21" s="1"/>
      <c r="VT21" s="1"/>
      <c r="VU21" s="1"/>
      <c r="VV21" s="1"/>
      <c r="VW21" s="1"/>
      <c r="VX21" s="1"/>
      <c r="VY21" s="55" t="s">
        <v>244</v>
      </c>
      <c r="VZ21" s="1"/>
      <c r="WA21" s="56" t="s">
        <v>244</v>
      </c>
      <c r="WB21" s="1"/>
      <c r="WC21" s="1"/>
      <c r="WD21" s="2">
        <v>0</v>
      </c>
      <c r="WE21" s="55">
        <v>100</v>
      </c>
      <c r="WF21" s="1"/>
      <c r="WG21" s="1"/>
      <c r="WH21" s="1"/>
      <c r="WI21" s="1"/>
      <c r="WJ21" s="1"/>
      <c r="WK21" s="1"/>
      <c r="WL21" s="55" t="s">
        <v>244</v>
      </c>
      <c r="WM21" s="1"/>
      <c r="WN21" s="56" t="s">
        <v>244</v>
      </c>
      <c r="WO21" s="1"/>
      <c r="WP21" s="1"/>
      <c r="WQ21" s="2">
        <v>0</v>
      </c>
      <c r="WR21" s="55">
        <v>100</v>
      </c>
      <c r="WS21" s="55" t="s">
        <v>244</v>
      </c>
      <c r="WT21" s="55" t="s">
        <v>244</v>
      </c>
      <c r="WU21" s="56" t="s">
        <v>244</v>
      </c>
      <c r="WV21" s="57" t="s">
        <v>244</v>
      </c>
      <c r="WW21" s="55" t="s">
        <v>244</v>
      </c>
      <c r="WX21" s="1"/>
      <c r="WY21" s="58">
        <v>0</v>
      </c>
      <c r="WZ21" s="59">
        <v>100</v>
      </c>
      <c r="XA21" s="4">
        <v>1070977</v>
      </c>
      <c r="XB21" s="39">
        <v>133</v>
      </c>
      <c r="XC21" s="39">
        <v>33</v>
      </c>
      <c r="XD21" s="1"/>
      <c r="XE21" s="1"/>
      <c r="XF21" s="1"/>
      <c r="XG21" s="1"/>
      <c r="XH21" s="1"/>
      <c r="XI21" s="1"/>
      <c r="XJ21" s="1"/>
      <c r="XK21" s="55" t="s">
        <v>244</v>
      </c>
      <c r="XL21" s="1"/>
      <c r="XM21" s="56" t="s">
        <v>244</v>
      </c>
      <c r="XN21" s="1"/>
      <c r="XO21" s="1"/>
      <c r="XP21" s="2">
        <v>1</v>
      </c>
      <c r="XQ21" s="55">
        <v>93.939393939393938</v>
      </c>
      <c r="XR21" s="1"/>
      <c r="XS21" s="1"/>
      <c r="XT21" s="1"/>
      <c r="XU21" s="1"/>
      <c r="XV21" s="1"/>
      <c r="XW21" s="1"/>
      <c r="XX21" s="55" t="s">
        <v>244</v>
      </c>
      <c r="XY21" s="1"/>
      <c r="XZ21" s="56" t="s">
        <v>244</v>
      </c>
      <c r="YA21" s="1"/>
      <c r="YB21" s="1"/>
      <c r="YC21" s="2">
        <v>0</v>
      </c>
      <c r="YD21" s="55">
        <v>100</v>
      </c>
      <c r="YE21" s="55" t="s">
        <v>244</v>
      </c>
      <c r="YF21" s="55" t="s">
        <v>244</v>
      </c>
      <c r="YG21" s="56" t="s">
        <v>244</v>
      </c>
      <c r="YH21" s="57" t="s">
        <v>244</v>
      </c>
      <c r="YI21" s="55" t="s">
        <v>244</v>
      </c>
      <c r="YJ21" s="1"/>
      <c r="YK21" s="58">
        <v>1</v>
      </c>
      <c r="YL21" s="59">
        <v>96.969696969696969</v>
      </c>
      <c r="YM21" s="4">
        <v>1070977</v>
      </c>
      <c r="YN21" s="39">
        <v>135</v>
      </c>
      <c r="YO21" s="39">
        <v>33</v>
      </c>
      <c r="YP21" s="1"/>
      <c r="YQ21" s="1"/>
      <c r="YR21" s="1"/>
      <c r="YS21" s="1"/>
      <c r="YT21" s="1"/>
      <c r="YU21" s="1"/>
      <c r="YV21" s="1"/>
      <c r="YW21" s="55" t="s">
        <v>244</v>
      </c>
      <c r="YX21" s="1"/>
      <c r="YY21" s="56" t="s">
        <v>244</v>
      </c>
      <c r="YZ21" s="1"/>
      <c r="ZA21" s="1"/>
      <c r="ZB21" s="2">
        <v>1</v>
      </c>
      <c r="ZC21" s="55">
        <v>93.939393939393938</v>
      </c>
      <c r="ZD21" s="1"/>
      <c r="ZE21" s="1"/>
      <c r="ZF21" s="1"/>
      <c r="ZG21" s="1"/>
      <c r="ZH21" s="1"/>
      <c r="ZI21" s="1"/>
      <c r="ZJ21" s="55" t="s">
        <v>244</v>
      </c>
      <c r="ZK21" s="1"/>
      <c r="ZL21" s="56" t="s">
        <v>244</v>
      </c>
      <c r="ZM21" s="1"/>
      <c r="ZN21" s="1"/>
      <c r="ZO21" s="2">
        <v>0</v>
      </c>
      <c r="ZP21" s="55">
        <v>100</v>
      </c>
      <c r="ZQ21" s="55" t="s">
        <v>244</v>
      </c>
      <c r="ZR21" s="55" t="s">
        <v>244</v>
      </c>
      <c r="ZS21" s="56" t="s">
        <v>244</v>
      </c>
      <c r="ZT21" s="57" t="s">
        <v>244</v>
      </c>
      <c r="ZU21" s="55" t="s">
        <v>244</v>
      </c>
      <c r="ZV21" s="1"/>
      <c r="ZW21" s="58">
        <v>1</v>
      </c>
      <c r="ZX21" s="59">
        <v>96.969696969696969</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3984419</v>
      </c>
      <c r="F22" s="89">
        <f t="shared" si="401"/>
        <v>1</v>
      </c>
      <c r="G22" s="89" t="str">
        <f t="shared" si="402"/>
        <v>Ç</v>
      </c>
      <c r="H22" s="37" t="s">
        <v>184</v>
      </c>
      <c r="I22" s="37" t="s">
        <v>185</v>
      </c>
      <c r="J22" s="41" t="s">
        <v>186</v>
      </c>
      <c r="K22" s="90" t="str">
        <f t="shared" si="403"/>
        <v>A</v>
      </c>
      <c r="L22" s="41" t="s">
        <v>119</v>
      </c>
      <c r="M22" s="93">
        <v>42391</v>
      </c>
      <c r="N22" s="41"/>
      <c r="O22" s="43" t="s">
        <v>233</v>
      </c>
      <c r="P22" s="91" t="str">
        <f t="shared" si="404"/>
        <v>Süleymanova Samirə Həsən</v>
      </c>
      <c r="Q22" s="4">
        <v>1070977</v>
      </c>
      <c r="R22" s="39">
        <v>101</v>
      </c>
      <c r="S22" s="39">
        <v>270</v>
      </c>
      <c r="T22" s="1"/>
      <c r="U22" s="1"/>
      <c r="V22" s="1"/>
      <c r="W22" s="1"/>
      <c r="X22" s="1"/>
      <c r="Y22" s="1"/>
      <c r="Z22" s="1"/>
      <c r="AA22" s="55" t="s">
        <v>244</v>
      </c>
      <c r="AB22" s="1"/>
      <c r="AC22" s="56" t="s">
        <v>244</v>
      </c>
      <c r="AD22" s="1"/>
      <c r="AE22" s="1"/>
      <c r="AF22" s="2">
        <v>0</v>
      </c>
      <c r="AG22" s="55">
        <v>100</v>
      </c>
      <c r="AH22" s="1"/>
      <c r="AI22" s="1"/>
      <c r="AJ22" s="1"/>
      <c r="AK22" s="1"/>
      <c r="AL22" s="1"/>
      <c r="AM22" s="1"/>
      <c r="AN22" s="55" t="s">
        <v>244</v>
      </c>
      <c r="AO22" s="1"/>
      <c r="AP22" s="56" t="s">
        <v>244</v>
      </c>
      <c r="AQ22" s="1"/>
      <c r="AR22" s="1"/>
      <c r="AS22" s="2">
        <v>2</v>
      </c>
      <c r="AT22" s="55">
        <v>98.518518518518519</v>
      </c>
      <c r="AU22" s="55" t="s">
        <v>244</v>
      </c>
      <c r="AV22" s="55" t="s">
        <v>244</v>
      </c>
      <c r="AW22" s="56" t="s">
        <v>244</v>
      </c>
      <c r="AX22" s="57" t="s">
        <v>244</v>
      </c>
      <c r="AY22" s="55" t="s">
        <v>244</v>
      </c>
      <c r="AZ22" s="1"/>
      <c r="BA22" s="58">
        <v>2</v>
      </c>
      <c r="BB22" s="59">
        <v>99.259259259259252</v>
      </c>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1269215</v>
      </c>
      <c r="EB22" s="39">
        <v>106</v>
      </c>
      <c r="EC22" s="39">
        <v>36</v>
      </c>
      <c r="ED22" s="1"/>
      <c r="EE22" s="1"/>
      <c r="EF22" s="1"/>
      <c r="EG22" s="1"/>
      <c r="EH22" s="1"/>
      <c r="EI22" s="1"/>
      <c r="EJ22" s="1"/>
      <c r="EK22" s="55" t="s">
        <v>244</v>
      </c>
      <c r="EL22" s="1"/>
      <c r="EM22" s="56" t="s">
        <v>244</v>
      </c>
      <c r="EN22" s="1"/>
      <c r="EO22" s="1"/>
      <c r="EP22" s="2">
        <v>0</v>
      </c>
      <c r="EQ22" s="55">
        <v>100</v>
      </c>
      <c r="ER22" s="1"/>
      <c r="ES22" s="1"/>
      <c r="ET22" s="1"/>
      <c r="EU22" s="1"/>
      <c r="EV22" s="1"/>
      <c r="EW22" s="1"/>
      <c r="EX22" s="55" t="s">
        <v>244</v>
      </c>
      <c r="EY22" s="1"/>
      <c r="EZ22" s="56" t="s">
        <v>244</v>
      </c>
      <c r="FA22" s="1"/>
      <c r="FB22" s="1"/>
      <c r="FC22" s="2">
        <v>0</v>
      </c>
      <c r="FD22" s="55">
        <v>100</v>
      </c>
      <c r="FE22" s="55" t="s">
        <v>244</v>
      </c>
      <c r="FF22" s="55" t="s">
        <v>244</v>
      </c>
      <c r="FG22" s="56" t="s">
        <v>244</v>
      </c>
      <c r="FH22" s="57" t="s">
        <v>244</v>
      </c>
      <c r="FI22" s="55" t="s">
        <v>244</v>
      </c>
      <c r="FJ22" s="1"/>
      <c r="FK22" s="58">
        <v>0</v>
      </c>
      <c r="FL22" s="59">
        <v>100</v>
      </c>
      <c r="FM22" s="4">
        <v>1070977</v>
      </c>
      <c r="FN22" s="39">
        <v>110</v>
      </c>
      <c r="FO22" s="39">
        <v>168</v>
      </c>
      <c r="FP22" s="1"/>
      <c r="FQ22" s="1"/>
      <c r="FR22" s="1"/>
      <c r="FS22" s="1"/>
      <c r="FT22" s="1"/>
      <c r="FU22" s="1"/>
      <c r="FV22" s="1"/>
      <c r="FW22" s="55" t="s">
        <v>244</v>
      </c>
      <c r="FX22" s="1"/>
      <c r="FY22" s="56" t="s">
        <v>244</v>
      </c>
      <c r="FZ22" s="1"/>
      <c r="GA22" s="1"/>
      <c r="GB22" s="2">
        <v>0</v>
      </c>
      <c r="GC22" s="55">
        <v>100</v>
      </c>
      <c r="GD22" s="1"/>
      <c r="GE22" s="1"/>
      <c r="GF22" s="1"/>
      <c r="GG22" s="1"/>
      <c r="GH22" s="1"/>
      <c r="GI22" s="1"/>
      <c r="GJ22" s="55" t="s">
        <v>244</v>
      </c>
      <c r="GK22" s="1"/>
      <c r="GL22" s="56" t="s">
        <v>244</v>
      </c>
      <c r="GM22" s="1"/>
      <c r="GN22" s="1"/>
      <c r="GO22" s="2">
        <v>1</v>
      </c>
      <c r="GP22" s="55">
        <v>98.80952380952381</v>
      </c>
      <c r="GQ22" s="55" t="s">
        <v>244</v>
      </c>
      <c r="GR22" s="55" t="s">
        <v>244</v>
      </c>
      <c r="GS22" s="56" t="s">
        <v>244</v>
      </c>
      <c r="GT22" s="57" t="s">
        <v>244</v>
      </c>
      <c r="GU22" s="55" t="s">
        <v>244</v>
      </c>
      <c r="GV22" s="1"/>
      <c r="GW22" s="58">
        <v>1</v>
      </c>
      <c r="GX22" s="59">
        <v>99.404761904761898</v>
      </c>
      <c r="GY22" s="4">
        <v>1199044</v>
      </c>
      <c r="GZ22" s="39">
        <v>114</v>
      </c>
      <c r="HA22" s="39">
        <v>33</v>
      </c>
      <c r="HB22" s="1"/>
      <c r="HC22" s="1"/>
      <c r="HD22" s="1"/>
      <c r="HE22" s="1"/>
      <c r="HF22" s="1"/>
      <c r="HG22" s="1"/>
      <c r="HH22" s="1"/>
      <c r="HI22" s="55" t="s">
        <v>244</v>
      </c>
      <c r="HJ22" s="1"/>
      <c r="HK22" s="56" t="s">
        <v>244</v>
      </c>
      <c r="HL22" s="1"/>
      <c r="HM22" s="1"/>
      <c r="HN22" s="2">
        <v>0</v>
      </c>
      <c r="HO22" s="55">
        <v>100</v>
      </c>
      <c r="HP22" s="1"/>
      <c r="HQ22" s="1"/>
      <c r="HR22" s="1"/>
      <c r="HS22" s="1"/>
      <c r="HT22" s="1"/>
      <c r="HU22" s="1"/>
      <c r="HV22" s="55" t="s">
        <v>244</v>
      </c>
      <c r="HW22" s="1"/>
      <c r="HX22" s="56" t="s">
        <v>244</v>
      </c>
      <c r="HY22" s="1"/>
      <c r="HZ22" s="1"/>
      <c r="IA22" s="2">
        <v>0</v>
      </c>
      <c r="IB22" s="55">
        <v>100</v>
      </c>
      <c r="IC22" s="55" t="s">
        <v>244</v>
      </c>
      <c r="ID22" s="55" t="s">
        <v>244</v>
      </c>
      <c r="IE22" s="56" t="s">
        <v>244</v>
      </c>
      <c r="IF22" s="57" t="s">
        <v>244</v>
      </c>
      <c r="IG22" s="55" t="s">
        <v>244</v>
      </c>
      <c r="IH22" s="1"/>
      <c r="II22" s="58">
        <v>0</v>
      </c>
      <c r="IJ22" s="59">
        <v>100</v>
      </c>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1070977</v>
      </c>
      <c r="PT22" s="39">
        <v>128</v>
      </c>
      <c r="PU22" s="39">
        <v>33</v>
      </c>
      <c r="PV22" s="1"/>
      <c r="PW22" s="1"/>
      <c r="PX22" s="1"/>
      <c r="PY22" s="1"/>
      <c r="PZ22" s="1"/>
      <c r="QA22" s="1"/>
      <c r="QB22" s="1"/>
      <c r="QC22" s="55" t="s">
        <v>244</v>
      </c>
      <c r="QD22" s="1"/>
      <c r="QE22" s="56" t="s">
        <v>244</v>
      </c>
      <c r="QF22" s="1"/>
      <c r="QG22" s="1"/>
      <c r="QH22" s="2">
        <v>0</v>
      </c>
      <c r="QI22" s="55">
        <v>100</v>
      </c>
      <c r="QJ22" s="1"/>
      <c r="QK22" s="1"/>
      <c r="QL22" s="1"/>
      <c r="QM22" s="1"/>
      <c r="QN22" s="1"/>
      <c r="QO22" s="1"/>
      <c r="QP22" s="55" t="s">
        <v>244</v>
      </c>
      <c r="QQ22" s="1"/>
      <c r="QR22" s="56" t="s">
        <v>244</v>
      </c>
      <c r="QS22" s="1"/>
      <c r="QT22" s="1"/>
      <c r="QU22" s="2">
        <v>0</v>
      </c>
      <c r="QV22" s="55">
        <v>100</v>
      </c>
      <c r="QW22" s="55" t="s">
        <v>244</v>
      </c>
      <c r="QX22" s="55" t="s">
        <v>244</v>
      </c>
      <c r="QY22" s="56" t="s">
        <v>244</v>
      </c>
      <c r="QZ22" s="57" t="s">
        <v>244</v>
      </c>
      <c r="RA22" s="55" t="s">
        <v>244</v>
      </c>
      <c r="RB22" s="1"/>
      <c r="RC22" s="58">
        <v>0</v>
      </c>
      <c r="RD22" s="59">
        <v>100</v>
      </c>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1070977</v>
      </c>
      <c r="UD22" s="39">
        <v>131</v>
      </c>
      <c r="UE22" s="39">
        <v>69</v>
      </c>
      <c r="UF22" s="1"/>
      <c r="UG22" s="1"/>
      <c r="UH22" s="1"/>
      <c r="UI22" s="1"/>
      <c r="UJ22" s="1"/>
      <c r="UK22" s="1"/>
      <c r="UL22" s="1"/>
      <c r="UM22" s="55" t="s">
        <v>244</v>
      </c>
      <c r="UN22" s="1"/>
      <c r="UO22" s="56" t="s">
        <v>244</v>
      </c>
      <c r="UP22" s="1"/>
      <c r="UQ22" s="1"/>
      <c r="UR22" s="2">
        <v>0</v>
      </c>
      <c r="US22" s="55">
        <v>100</v>
      </c>
      <c r="UT22" s="1"/>
      <c r="UU22" s="1"/>
      <c r="UV22" s="1"/>
      <c r="UW22" s="1"/>
      <c r="UX22" s="1"/>
      <c r="UY22" s="1"/>
      <c r="UZ22" s="55" t="s">
        <v>244</v>
      </c>
      <c r="VA22" s="1"/>
      <c r="VB22" s="56" t="s">
        <v>244</v>
      </c>
      <c r="VC22" s="1"/>
      <c r="VD22" s="1"/>
      <c r="VE22" s="2">
        <v>0</v>
      </c>
      <c r="VF22" s="55">
        <v>100</v>
      </c>
      <c r="VG22" s="55" t="s">
        <v>244</v>
      </c>
      <c r="VH22" s="55" t="s">
        <v>244</v>
      </c>
      <c r="VI22" s="56" t="s">
        <v>244</v>
      </c>
      <c r="VJ22" s="57" t="s">
        <v>244</v>
      </c>
      <c r="VK22" s="55" t="s">
        <v>244</v>
      </c>
      <c r="VL22" s="1"/>
      <c r="VM22" s="58">
        <v>0</v>
      </c>
      <c r="VN22" s="59">
        <v>100</v>
      </c>
      <c r="VO22" s="4">
        <v>1070977</v>
      </c>
      <c r="VP22" s="39">
        <v>132</v>
      </c>
      <c r="VQ22" s="39">
        <v>33</v>
      </c>
      <c r="VR22" s="1"/>
      <c r="VS22" s="1"/>
      <c r="VT22" s="1"/>
      <c r="VU22" s="1"/>
      <c r="VV22" s="1"/>
      <c r="VW22" s="1"/>
      <c r="VX22" s="1"/>
      <c r="VY22" s="55" t="s">
        <v>244</v>
      </c>
      <c r="VZ22" s="1"/>
      <c r="WA22" s="56" t="s">
        <v>244</v>
      </c>
      <c r="WB22" s="1"/>
      <c r="WC22" s="1"/>
      <c r="WD22" s="2">
        <v>0</v>
      </c>
      <c r="WE22" s="55">
        <v>100</v>
      </c>
      <c r="WF22" s="1"/>
      <c r="WG22" s="1"/>
      <c r="WH22" s="1"/>
      <c r="WI22" s="1"/>
      <c r="WJ22" s="1"/>
      <c r="WK22" s="1"/>
      <c r="WL22" s="55" t="s">
        <v>244</v>
      </c>
      <c r="WM22" s="1"/>
      <c r="WN22" s="56" t="s">
        <v>244</v>
      </c>
      <c r="WO22" s="1"/>
      <c r="WP22" s="1"/>
      <c r="WQ22" s="2">
        <v>0</v>
      </c>
      <c r="WR22" s="55">
        <v>100</v>
      </c>
      <c r="WS22" s="55" t="s">
        <v>244</v>
      </c>
      <c r="WT22" s="55" t="s">
        <v>244</v>
      </c>
      <c r="WU22" s="56" t="s">
        <v>244</v>
      </c>
      <c r="WV22" s="57" t="s">
        <v>244</v>
      </c>
      <c r="WW22" s="55" t="s">
        <v>244</v>
      </c>
      <c r="WX22" s="1"/>
      <c r="WY22" s="58">
        <v>0</v>
      </c>
      <c r="WZ22" s="59">
        <v>100</v>
      </c>
      <c r="XA22" s="4">
        <v>1070977</v>
      </c>
      <c r="XB22" s="39">
        <v>133</v>
      </c>
      <c r="XC22" s="39">
        <v>33</v>
      </c>
      <c r="XD22" s="1"/>
      <c r="XE22" s="1"/>
      <c r="XF22" s="1"/>
      <c r="XG22" s="1"/>
      <c r="XH22" s="1"/>
      <c r="XI22" s="1"/>
      <c r="XJ22" s="1"/>
      <c r="XK22" s="55" t="s">
        <v>244</v>
      </c>
      <c r="XL22" s="1"/>
      <c r="XM22" s="56" t="s">
        <v>244</v>
      </c>
      <c r="XN22" s="1"/>
      <c r="XO22" s="1"/>
      <c r="XP22" s="2">
        <v>0</v>
      </c>
      <c r="XQ22" s="55">
        <v>100</v>
      </c>
      <c r="XR22" s="1"/>
      <c r="XS22" s="1"/>
      <c r="XT22" s="1"/>
      <c r="XU22" s="1"/>
      <c r="XV22" s="1"/>
      <c r="XW22" s="1"/>
      <c r="XX22" s="55" t="s">
        <v>244</v>
      </c>
      <c r="XY22" s="1"/>
      <c r="XZ22" s="56" t="s">
        <v>244</v>
      </c>
      <c r="YA22" s="1"/>
      <c r="YB22" s="1"/>
      <c r="YC22" s="2">
        <v>1</v>
      </c>
      <c r="YD22" s="55">
        <v>93.939393939393938</v>
      </c>
      <c r="YE22" s="55" t="s">
        <v>244</v>
      </c>
      <c r="YF22" s="55" t="s">
        <v>244</v>
      </c>
      <c r="YG22" s="56" t="s">
        <v>244</v>
      </c>
      <c r="YH22" s="57" t="s">
        <v>244</v>
      </c>
      <c r="YI22" s="55" t="s">
        <v>244</v>
      </c>
      <c r="YJ22" s="1"/>
      <c r="YK22" s="58">
        <v>1</v>
      </c>
      <c r="YL22" s="59">
        <v>96.969696969696969</v>
      </c>
      <c r="YM22" s="4">
        <v>1070977</v>
      </c>
      <c r="YN22" s="39">
        <v>135</v>
      </c>
      <c r="YO22" s="39">
        <v>33</v>
      </c>
      <c r="YP22" s="1"/>
      <c r="YQ22" s="1"/>
      <c r="YR22" s="1"/>
      <c r="YS22" s="1"/>
      <c r="YT22" s="1"/>
      <c r="YU22" s="1"/>
      <c r="YV22" s="1"/>
      <c r="YW22" s="55" t="s">
        <v>244</v>
      </c>
      <c r="YX22" s="1"/>
      <c r="YY22" s="56" t="s">
        <v>244</v>
      </c>
      <c r="YZ22" s="1"/>
      <c r="ZA22" s="1"/>
      <c r="ZB22" s="2">
        <v>0</v>
      </c>
      <c r="ZC22" s="55">
        <v>100</v>
      </c>
      <c r="ZD22" s="1"/>
      <c r="ZE22" s="1"/>
      <c r="ZF22" s="1"/>
      <c r="ZG22" s="1"/>
      <c r="ZH22" s="1"/>
      <c r="ZI22" s="1"/>
      <c r="ZJ22" s="55" t="s">
        <v>244</v>
      </c>
      <c r="ZK22" s="1"/>
      <c r="ZL22" s="56" t="s">
        <v>244</v>
      </c>
      <c r="ZM22" s="1"/>
      <c r="ZN22" s="1"/>
      <c r="ZO22" s="2">
        <v>0</v>
      </c>
      <c r="ZP22" s="55">
        <v>100</v>
      </c>
      <c r="ZQ22" s="55" t="s">
        <v>244</v>
      </c>
      <c r="ZR22" s="55" t="s">
        <v>244</v>
      </c>
      <c r="ZS22" s="56" t="s">
        <v>244</v>
      </c>
      <c r="ZT22" s="57" t="s">
        <v>244</v>
      </c>
      <c r="ZU22" s="55" t="s">
        <v>244</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3984486</v>
      </c>
      <c r="F23" s="89">
        <f t="shared" si="401"/>
        <v>1</v>
      </c>
      <c r="G23" s="89" t="str">
        <f t="shared" si="402"/>
        <v>Ç</v>
      </c>
      <c r="H23" s="37" t="s">
        <v>184</v>
      </c>
      <c r="I23" s="37" t="s">
        <v>187</v>
      </c>
      <c r="J23" s="41" t="s">
        <v>186</v>
      </c>
      <c r="K23" s="90" t="str">
        <f t="shared" si="403"/>
        <v>A</v>
      </c>
      <c r="L23" s="41" t="s">
        <v>119</v>
      </c>
      <c r="M23" s="93">
        <v>42391</v>
      </c>
      <c r="N23" s="41"/>
      <c r="O23" s="43" t="s">
        <v>233</v>
      </c>
      <c r="P23" s="91" t="str">
        <f t="shared" si="404"/>
        <v>Süleymanova Samirə Həsən</v>
      </c>
      <c r="Q23" s="4">
        <v>1070977</v>
      </c>
      <c r="R23" s="39">
        <v>101</v>
      </c>
      <c r="S23" s="39">
        <v>270</v>
      </c>
      <c r="T23" s="1"/>
      <c r="U23" s="1"/>
      <c r="V23" s="1"/>
      <c r="W23" s="1"/>
      <c r="X23" s="1"/>
      <c r="Y23" s="1"/>
      <c r="Z23" s="1"/>
      <c r="AA23" s="55" t="s">
        <v>244</v>
      </c>
      <c r="AB23" s="1"/>
      <c r="AC23" s="56" t="s">
        <v>244</v>
      </c>
      <c r="AD23" s="1"/>
      <c r="AE23" s="1"/>
      <c r="AF23" s="2">
        <v>0</v>
      </c>
      <c r="AG23" s="55">
        <v>100</v>
      </c>
      <c r="AH23" s="1"/>
      <c r="AI23" s="1"/>
      <c r="AJ23" s="1"/>
      <c r="AK23" s="1"/>
      <c r="AL23" s="1"/>
      <c r="AM23" s="1"/>
      <c r="AN23" s="55" t="s">
        <v>244</v>
      </c>
      <c r="AO23" s="1"/>
      <c r="AP23" s="56" t="s">
        <v>244</v>
      </c>
      <c r="AQ23" s="1"/>
      <c r="AR23" s="1"/>
      <c r="AS23" s="2">
        <v>2</v>
      </c>
      <c r="AT23" s="55">
        <v>98.518518518518519</v>
      </c>
      <c r="AU23" s="55" t="s">
        <v>244</v>
      </c>
      <c r="AV23" s="55" t="s">
        <v>244</v>
      </c>
      <c r="AW23" s="56" t="s">
        <v>244</v>
      </c>
      <c r="AX23" s="57" t="s">
        <v>244</v>
      </c>
      <c r="AY23" s="55" t="s">
        <v>244</v>
      </c>
      <c r="AZ23" s="1"/>
      <c r="BA23" s="58">
        <v>2</v>
      </c>
      <c r="BB23" s="59">
        <v>99.259259259259252</v>
      </c>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1268638</v>
      </c>
      <c r="EB23" s="39">
        <v>106</v>
      </c>
      <c r="EC23" s="39">
        <v>36</v>
      </c>
      <c r="ED23" s="1"/>
      <c r="EE23" s="1"/>
      <c r="EF23" s="1"/>
      <c r="EG23" s="1"/>
      <c r="EH23" s="1"/>
      <c r="EI23" s="1"/>
      <c r="EJ23" s="1"/>
      <c r="EK23" s="55" t="s">
        <v>244</v>
      </c>
      <c r="EL23" s="1"/>
      <c r="EM23" s="56" t="s">
        <v>244</v>
      </c>
      <c r="EN23" s="1"/>
      <c r="EO23" s="1"/>
      <c r="EP23" s="2">
        <v>0</v>
      </c>
      <c r="EQ23" s="55">
        <v>100</v>
      </c>
      <c r="ER23" s="1"/>
      <c r="ES23" s="1"/>
      <c r="ET23" s="1"/>
      <c r="EU23" s="1"/>
      <c r="EV23" s="1"/>
      <c r="EW23" s="1"/>
      <c r="EX23" s="55" t="s">
        <v>244</v>
      </c>
      <c r="EY23" s="1"/>
      <c r="EZ23" s="56" t="s">
        <v>244</v>
      </c>
      <c r="FA23" s="1"/>
      <c r="FB23" s="1"/>
      <c r="FC23" s="2">
        <v>0</v>
      </c>
      <c r="FD23" s="55">
        <v>100</v>
      </c>
      <c r="FE23" s="55" t="s">
        <v>244</v>
      </c>
      <c r="FF23" s="55" t="s">
        <v>244</v>
      </c>
      <c r="FG23" s="56" t="s">
        <v>244</v>
      </c>
      <c r="FH23" s="57" t="s">
        <v>244</v>
      </c>
      <c r="FI23" s="55" t="s">
        <v>244</v>
      </c>
      <c r="FJ23" s="1"/>
      <c r="FK23" s="58">
        <v>0</v>
      </c>
      <c r="FL23" s="59">
        <v>100</v>
      </c>
      <c r="FM23" s="4">
        <v>1070977</v>
      </c>
      <c r="FN23" s="39">
        <v>110</v>
      </c>
      <c r="FO23" s="39">
        <v>168</v>
      </c>
      <c r="FP23" s="1"/>
      <c r="FQ23" s="1"/>
      <c r="FR23" s="1"/>
      <c r="FS23" s="1"/>
      <c r="FT23" s="1"/>
      <c r="FU23" s="1"/>
      <c r="FV23" s="1"/>
      <c r="FW23" s="55" t="s">
        <v>244</v>
      </c>
      <c r="FX23" s="1"/>
      <c r="FY23" s="56" t="s">
        <v>244</v>
      </c>
      <c r="FZ23" s="1"/>
      <c r="GA23" s="1"/>
      <c r="GB23" s="2">
        <v>0</v>
      </c>
      <c r="GC23" s="55">
        <v>100</v>
      </c>
      <c r="GD23" s="1"/>
      <c r="GE23" s="1"/>
      <c r="GF23" s="1"/>
      <c r="GG23" s="1"/>
      <c r="GH23" s="1"/>
      <c r="GI23" s="1"/>
      <c r="GJ23" s="55" t="s">
        <v>244</v>
      </c>
      <c r="GK23" s="1"/>
      <c r="GL23" s="56" t="s">
        <v>244</v>
      </c>
      <c r="GM23" s="1"/>
      <c r="GN23" s="1"/>
      <c r="GO23" s="2">
        <v>1</v>
      </c>
      <c r="GP23" s="55">
        <v>98.80952380952381</v>
      </c>
      <c r="GQ23" s="55" t="s">
        <v>244</v>
      </c>
      <c r="GR23" s="55" t="s">
        <v>244</v>
      </c>
      <c r="GS23" s="56" t="s">
        <v>244</v>
      </c>
      <c r="GT23" s="57" t="s">
        <v>244</v>
      </c>
      <c r="GU23" s="55" t="s">
        <v>244</v>
      </c>
      <c r="GV23" s="1"/>
      <c r="GW23" s="58">
        <v>1</v>
      </c>
      <c r="GX23" s="59">
        <v>99.404761904761898</v>
      </c>
      <c r="GY23" s="4">
        <v>1199044</v>
      </c>
      <c r="GZ23" s="39">
        <v>114</v>
      </c>
      <c r="HA23" s="39">
        <v>33</v>
      </c>
      <c r="HB23" s="1"/>
      <c r="HC23" s="1"/>
      <c r="HD23" s="1"/>
      <c r="HE23" s="1"/>
      <c r="HF23" s="1"/>
      <c r="HG23" s="1"/>
      <c r="HH23" s="1"/>
      <c r="HI23" s="55" t="s">
        <v>244</v>
      </c>
      <c r="HJ23" s="1"/>
      <c r="HK23" s="56" t="s">
        <v>244</v>
      </c>
      <c r="HL23" s="1"/>
      <c r="HM23" s="1"/>
      <c r="HN23" s="2">
        <v>0</v>
      </c>
      <c r="HO23" s="55">
        <v>100</v>
      </c>
      <c r="HP23" s="1"/>
      <c r="HQ23" s="1"/>
      <c r="HR23" s="1"/>
      <c r="HS23" s="1"/>
      <c r="HT23" s="1"/>
      <c r="HU23" s="1"/>
      <c r="HV23" s="55" t="s">
        <v>244</v>
      </c>
      <c r="HW23" s="1"/>
      <c r="HX23" s="56" t="s">
        <v>244</v>
      </c>
      <c r="HY23" s="1"/>
      <c r="HZ23" s="1"/>
      <c r="IA23" s="2">
        <v>0</v>
      </c>
      <c r="IB23" s="55">
        <v>100</v>
      </c>
      <c r="IC23" s="55" t="s">
        <v>244</v>
      </c>
      <c r="ID23" s="55" t="s">
        <v>244</v>
      </c>
      <c r="IE23" s="56" t="s">
        <v>244</v>
      </c>
      <c r="IF23" s="57" t="s">
        <v>244</v>
      </c>
      <c r="IG23" s="55" t="s">
        <v>244</v>
      </c>
      <c r="IH23" s="1"/>
      <c r="II23" s="58">
        <v>0</v>
      </c>
      <c r="IJ23" s="59">
        <v>100</v>
      </c>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1070977</v>
      </c>
      <c r="PT23" s="39">
        <v>128</v>
      </c>
      <c r="PU23" s="39">
        <v>33</v>
      </c>
      <c r="PV23" s="1"/>
      <c r="PW23" s="1"/>
      <c r="PX23" s="1"/>
      <c r="PY23" s="1"/>
      <c r="PZ23" s="1"/>
      <c r="QA23" s="1"/>
      <c r="QB23" s="1"/>
      <c r="QC23" s="55" t="s">
        <v>244</v>
      </c>
      <c r="QD23" s="1"/>
      <c r="QE23" s="56" t="s">
        <v>244</v>
      </c>
      <c r="QF23" s="1"/>
      <c r="QG23" s="1"/>
      <c r="QH23" s="2">
        <v>0</v>
      </c>
      <c r="QI23" s="55">
        <v>100</v>
      </c>
      <c r="QJ23" s="1"/>
      <c r="QK23" s="1"/>
      <c r="QL23" s="1"/>
      <c r="QM23" s="1"/>
      <c r="QN23" s="1"/>
      <c r="QO23" s="1"/>
      <c r="QP23" s="55" t="s">
        <v>244</v>
      </c>
      <c r="QQ23" s="1"/>
      <c r="QR23" s="56" t="s">
        <v>244</v>
      </c>
      <c r="QS23" s="1"/>
      <c r="QT23" s="1"/>
      <c r="QU23" s="2">
        <v>0</v>
      </c>
      <c r="QV23" s="55">
        <v>100</v>
      </c>
      <c r="QW23" s="55" t="s">
        <v>244</v>
      </c>
      <c r="QX23" s="55" t="s">
        <v>244</v>
      </c>
      <c r="QY23" s="56" t="s">
        <v>244</v>
      </c>
      <c r="QZ23" s="57" t="s">
        <v>244</v>
      </c>
      <c r="RA23" s="55" t="s">
        <v>244</v>
      </c>
      <c r="RB23" s="1"/>
      <c r="RC23" s="58">
        <v>0</v>
      </c>
      <c r="RD23" s="59">
        <v>100</v>
      </c>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1070977</v>
      </c>
      <c r="UD23" s="39">
        <v>131</v>
      </c>
      <c r="UE23" s="39">
        <v>69</v>
      </c>
      <c r="UF23" s="1"/>
      <c r="UG23" s="1"/>
      <c r="UH23" s="1"/>
      <c r="UI23" s="1"/>
      <c r="UJ23" s="1"/>
      <c r="UK23" s="1"/>
      <c r="UL23" s="1"/>
      <c r="UM23" s="55" t="s">
        <v>244</v>
      </c>
      <c r="UN23" s="1"/>
      <c r="UO23" s="56" t="s">
        <v>244</v>
      </c>
      <c r="UP23" s="1"/>
      <c r="UQ23" s="1"/>
      <c r="UR23" s="2">
        <v>0</v>
      </c>
      <c r="US23" s="55">
        <v>100</v>
      </c>
      <c r="UT23" s="1"/>
      <c r="UU23" s="1"/>
      <c r="UV23" s="1"/>
      <c r="UW23" s="1"/>
      <c r="UX23" s="1"/>
      <c r="UY23" s="1"/>
      <c r="UZ23" s="55" t="s">
        <v>244</v>
      </c>
      <c r="VA23" s="1"/>
      <c r="VB23" s="56" t="s">
        <v>244</v>
      </c>
      <c r="VC23" s="1"/>
      <c r="VD23" s="1"/>
      <c r="VE23" s="2">
        <v>0</v>
      </c>
      <c r="VF23" s="55">
        <v>100</v>
      </c>
      <c r="VG23" s="55" t="s">
        <v>244</v>
      </c>
      <c r="VH23" s="55" t="s">
        <v>244</v>
      </c>
      <c r="VI23" s="56" t="s">
        <v>244</v>
      </c>
      <c r="VJ23" s="57" t="s">
        <v>244</v>
      </c>
      <c r="VK23" s="55" t="s">
        <v>244</v>
      </c>
      <c r="VL23" s="1"/>
      <c r="VM23" s="58">
        <v>0</v>
      </c>
      <c r="VN23" s="59">
        <v>100</v>
      </c>
      <c r="VO23" s="4">
        <v>1070977</v>
      </c>
      <c r="VP23" s="39">
        <v>132</v>
      </c>
      <c r="VQ23" s="39">
        <v>33</v>
      </c>
      <c r="VR23" s="1"/>
      <c r="VS23" s="1"/>
      <c r="VT23" s="1"/>
      <c r="VU23" s="1"/>
      <c r="VV23" s="1"/>
      <c r="VW23" s="1"/>
      <c r="VX23" s="1"/>
      <c r="VY23" s="55" t="s">
        <v>244</v>
      </c>
      <c r="VZ23" s="1"/>
      <c r="WA23" s="56" t="s">
        <v>244</v>
      </c>
      <c r="WB23" s="1"/>
      <c r="WC23" s="1"/>
      <c r="WD23" s="2">
        <v>0</v>
      </c>
      <c r="WE23" s="55">
        <v>100</v>
      </c>
      <c r="WF23" s="1"/>
      <c r="WG23" s="1"/>
      <c r="WH23" s="1"/>
      <c r="WI23" s="1"/>
      <c r="WJ23" s="1"/>
      <c r="WK23" s="1"/>
      <c r="WL23" s="55" t="s">
        <v>244</v>
      </c>
      <c r="WM23" s="1"/>
      <c r="WN23" s="56" t="s">
        <v>244</v>
      </c>
      <c r="WO23" s="1"/>
      <c r="WP23" s="1"/>
      <c r="WQ23" s="2">
        <v>0</v>
      </c>
      <c r="WR23" s="55">
        <v>100</v>
      </c>
      <c r="WS23" s="55" t="s">
        <v>244</v>
      </c>
      <c r="WT23" s="55" t="s">
        <v>244</v>
      </c>
      <c r="WU23" s="56" t="s">
        <v>244</v>
      </c>
      <c r="WV23" s="57" t="s">
        <v>244</v>
      </c>
      <c r="WW23" s="55" t="s">
        <v>244</v>
      </c>
      <c r="WX23" s="1"/>
      <c r="WY23" s="58">
        <v>0</v>
      </c>
      <c r="WZ23" s="59">
        <v>100</v>
      </c>
      <c r="XA23" s="4">
        <v>1070977</v>
      </c>
      <c r="XB23" s="39">
        <v>133</v>
      </c>
      <c r="XC23" s="39">
        <v>33</v>
      </c>
      <c r="XD23" s="1"/>
      <c r="XE23" s="1"/>
      <c r="XF23" s="1"/>
      <c r="XG23" s="1"/>
      <c r="XH23" s="1"/>
      <c r="XI23" s="1"/>
      <c r="XJ23" s="1"/>
      <c r="XK23" s="55" t="s">
        <v>244</v>
      </c>
      <c r="XL23" s="1"/>
      <c r="XM23" s="56" t="s">
        <v>244</v>
      </c>
      <c r="XN23" s="1"/>
      <c r="XO23" s="1"/>
      <c r="XP23" s="2">
        <v>0</v>
      </c>
      <c r="XQ23" s="55">
        <v>100</v>
      </c>
      <c r="XR23" s="1"/>
      <c r="XS23" s="1"/>
      <c r="XT23" s="1"/>
      <c r="XU23" s="1"/>
      <c r="XV23" s="1"/>
      <c r="XW23" s="1"/>
      <c r="XX23" s="55" t="s">
        <v>244</v>
      </c>
      <c r="XY23" s="1"/>
      <c r="XZ23" s="56" t="s">
        <v>244</v>
      </c>
      <c r="YA23" s="1"/>
      <c r="YB23" s="1"/>
      <c r="YC23" s="2">
        <v>1</v>
      </c>
      <c r="YD23" s="55">
        <v>93.939393939393938</v>
      </c>
      <c r="YE23" s="55" t="s">
        <v>244</v>
      </c>
      <c r="YF23" s="55" t="s">
        <v>244</v>
      </c>
      <c r="YG23" s="56" t="s">
        <v>244</v>
      </c>
      <c r="YH23" s="57" t="s">
        <v>244</v>
      </c>
      <c r="YI23" s="55" t="s">
        <v>244</v>
      </c>
      <c r="YJ23" s="1"/>
      <c r="YK23" s="58">
        <v>1</v>
      </c>
      <c r="YL23" s="59">
        <v>96.969696969696969</v>
      </c>
      <c r="YM23" s="4">
        <v>1070977</v>
      </c>
      <c r="YN23" s="39">
        <v>135</v>
      </c>
      <c r="YO23" s="39">
        <v>33</v>
      </c>
      <c r="YP23" s="1"/>
      <c r="YQ23" s="1"/>
      <c r="YR23" s="1"/>
      <c r="YS23" s="1"/>
      <c r="YT23" s="1"/>
      <c r="YU23" s="1"/>
      <c r="YV23" s="1"/>
      <c r="YW23" s="55" t="s">
        <v>244</v>
      </c>
      <c r="YX23" s="1"/>
      <c r="YY23" s="56" t="s">
        <v>244</v>
      </c>
      <c r="YZ23" s="1"/>
      <c r="ZA23" s="1"/>
      <c r="ZB23" s="2">
        <v>0</v>
      </c>
      <c r="ZC23" s="55">
        <v>100</v>
      </c>
      <c r="ZD23" s="1"/>
      <c r="ZE23" s="1"/>
      <c r="ZF23" s="1"/>
      <c r="ZG23" s="1"/>
      <c r="ZH23" s="1"/>
      <c r="ZI23" s="1"/>
      <c r="ZJ23" s="55" t="s">
        <v>244</v>
      </c>
      <c r="ZK23" s="1"/>
      <c r="ZL23" s="56" t="s">
        <v>244</v>
      </c>
      <c r="ZM23" s="1"/>
      <c r="ZN23" s="1"/>
      <c r="ZO23" s="2">
        <v>0</v>
      </c>
      <c r="ZP23" s="55">
        <v>100</v>
      </c>
      <c r="ZQ23" s="55" t="s">
        <v>244</v>
      </c>
      <c r="ZR23" s="55" t="s">
        <v>244</v>
      </c>
      <c r="ZS23" s="56" t="s">
        <v>244</v>
      </c>
      <c r="ZT23" s="57" t="s">
        <v>244</v>
      </c>
      <c r="ZU23" s="55" t="s">
        <v>244</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4234909</v>
      </c>
      <c r="F24" s="89">
        <f t="shared" si="401"/>
        <v>1</v>
      </c>
      <c r="G24" s="89" t="str">
        <f t="shared" si="402"/>
        <v>Ç</v>
      </c>
      <c r="H24" s="37" t="s">
        <v>188</v>
      </c>
      <c r="I24" s="37" t="s">
        <v>189</v>
      </c>
      <c r="J24" s="41" t="s">
        <v>190</v>
      </c>
      <c r="K24" s="90" t="str">
        <f t="shared" si="403"/>
        <v>A</v>
      </c>
      <c r="L24" s="41" t="s">
        <v>117</v>
      </c>
      <c r="M24" s="93">
        <v>42240</v>
      </c>
      <c r="N24" s="41"/>
      <c r="O24" s="43" t="s">
        <v>234</v>
      </c>
      <c r="P24" s="91" t="str">
        <f t="shared" si="404"/>
        <v>Süleymanova Samirə Həsən</v>
      </c>
      <c r="Q24" s="4">
        <v>1070977</v>
      </c>
      <c r="R24" s="39">
        <v>101</v>
      </c>
      <c r="S24" s="39">
        <v>270</v>
      </c>
      <c r="T24" s="1"/>
      <c r="U24" s="1"/>
      <c r="V24" s="1"/>
      <c r="W24" s="1"/>
      <c r="X24" s="1"/>
      <c r="Y24" s="1"/>
      <c r="Z24" s="1"/>
      <c r="AA24" s="55" t="s">
        <v>244</v>
      </c>
      <c r="AB24" s="1"/>
      <c r="AC24" s="56" t="s">
        <v>244</v>
      </c>
      <c r="AD24" s="1"/>
      <c r="AE24" s="1"/>
      <c r="AF24" s="2">
        <v>10</v>
      </c>
      <c r="AG24" s="55">
        <v>92.592592592592595</v>
      </c>
      <c r="AH24" s="1"/>
      <c r="AI24" s="1"/>
      <c r="AJ24" s="1"/>
      <c r="AK24" s="1"/>
      <c r="AL24" s="1"/>
      <c r="AM24" s="1"/>
      <c r="AN24" s="55" t="s">
        <v>244</v>
      </c>
      <c r="AO24" s="1"/>
      <c r="AP24" s="56" t="s">
        <v>244</v>
      </c>
      <c r="AQ24" s="1"/>
      <c r="AR24" s="1"/>
      <c r="AS24" s="2">
        <v>0</v>
      </c>
      <c r="AT24" s="55">
        <v>100</v>
      </c>
      <c r="AU24" s="55" t="s">
        <v>244</v>
      </c>
      <c r="AV24" s="55" t="s">
        <v>244</v>
      </c>
      <c r="AW24" s="56" t="s">
        <v>244</v>
      </c>
      <c r="AX24" s="57" t="s">
        <v>244</v>
      </c>
      <c r="AY24" s="55" t="s">
        <v>244</v>
      </c>
      <c r="AZ24" s="1"/>
      <c r="BA24" s="58">
        <v>10</v>
      </c>
      <c r="BB24" s="59">
        <v>96.296296296296291</v>
      </c>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1268638</v>
      </c>
      <c r="EB24" s="39">
        <v>106</v>
      </c>
      <c r="EC24" s="39">
        <v>36</v>
      </c>
      <c r="ED24" s="1"/>
      <c r="EE24" s="1"/>
      <c r="EF24" s="1"/>
      <c r="EG24" s="1"/>
      <c r="EH24" s="1"/>
      <c r="EI24" s="1"/>
      <c r="EJ24" s="1"/>
      <c r="EK24" s="55" t="s">
        <v>244</v>
      </c>
      <c r="EL24" s="1"/>
      <c r="EM24" s="56" t="s">
        <v>244</v>
      </c>
      <c r="EN24" s="1"/>
      <c r="EO24" s="1"/>
      <c r="EP24" s="2">
        <v>0</v>
      </c>
      <c r="EQ24" s="55">
        <v>100</v>
      </c>
      <c r="ER24" s="1"/>
      <c r="ES24" s="1"/>
      <c r="ET24" s="1"/>
      <c r="EU24" s="1"/>
      <c r="EV24" s="1"/>
      <c r="EW24" s="1"/>
      <c r="EX24" s="55" t="s">
        <v>244</v>
      </c>
      <c r="EY24" s="1"/>
      <c r="EZ24" s="56" t="s">
        <v>244</v>
      </c>
      <c r="FA24" s="1"/>
      <c r="FB24" s="1"/>
      <c r="FC24" s="2">
        <v>0</v>
      </c>
      <c r="FD24" s="55">
        <v>100</v>
      </c>
      <c r="FE24" s="55" t="s">
        <v>244</v>
      </c>
      <c r="FF24" s="55" t="s">
        <v>244</v>
      </c>
      <c r="FG24" s="56" t="s">
        <v>244</v>
      </c>
      <c r="FH24" s="57" t="s">
        <v>244</v>
      </c>
      <c r="FI24" s="55" t="s">
        <v>244</v>
      </c>
      <c r="FJ24" s="1"/>
      <c r="FK24" s="58">
        <v>0</v>
      </c>
      <c r="FL24" s="59">
        <v>100</v>
      </c>
      <c r="FM24" s="4">
        <v>1070977</v>
      </c>
      <c r="FN24" s="39">
        <v>110</v>
      </c>
      <c r="FO24" s="39">
        <v>168</v>
      </c>
      <c r="FP24" s="1"/>
      <c r="FQ24" s="1"/>
      <c r="FR24" s="1"/>
      <c r="FS24" s="1"/>
      <c r="FT24" s="1"/>
      <c r="FU24" s="1"/>
      <c r="FV24" s="1"/>
      <c r="FW24" s="55" t="s">
        <v>244</v>
      </c>
      <c r="FX24" s="1"/>
      <c r="FY24" s="56" t="s">
        <v>244</v>
      </c>
      <c r="FZ24" s="1"/>
      <c r="GA24" s="1"/>
      <c r="GB24" s="2">
        <v>7</v>
      </c>
      <c r="GC24" s="55">
        <v>91.666666666666671</v>
      </c>
      <c r="GD24" s="1"/>
      <c r="GE24" s="1"/>
      <c r="GF24" s="1"/>
      <c r="GG24" s="1"/>
      <c r="GH24" s="1"/>
      <c r="GI24" s="1"/>
      <c r="GJ24" s="55" t="s">
        <v>244</v>
      </c>
      <c r="GK24" s="1"/>
      <c r="GL24" s="56" t="s">
        <v>244</v>
      </c>
      <c r="GM24" s="1"/>
      <c r="GN24" s="1"/>
      <c r="GO24" s="2">
        <v>0</v>
      </c>
      <c r="GP24" s="55">
        <v>100</v>
      </c>
      <c r="GQ24" s="55" t="s">
        <v>244</v>
      </c>
      <c r="GR24" s="55" t="s">
        <v>244</v>
      </c>
      <c r="GS24" s="56" t="s">
        <v>244</v>
      </c>
      <c r="GT24" s="57" t="s">
        <v>244</v>
      </c>
      <c r="GU24" s="55" t="s">
        <v>244</v>
      </c>
      <c r="GV24" s="1"/>
      <c r="GW24" s="58">
        <v>7</v>
      </c>
      <c r="GX24" s="59">
        <v>95.833333333333329</v>
      </c>
      <c r="GY24" s="4">
        <v>1199044</v>
      </c>
      <c r="GZ24" s="39">
        <v>114</v>
      </c>
      <c r="HA24" s="39">
        <v>33</v>
      </c>
      <c r="HB24" s="1"/>
      <c r="HC24" s="1"/>
      <c r="HD24" s="1"/>
      <c r="HE24" s="1"/>
      <c r="HF24" s="1"/>
      <c r="HG24" s="1"/>
      <c r="HH24" s="1"/>
      <c r="HI24" s="55" t="s">
        <v>244</v>
      </c>
      <c r="HJ24" s="1"/>
      <c r="HK24" s="56" t="s">
        <v>244</v>
      </c>
      <c r="HL24" s="1"/>
      <c r="HM24" s="1"/>
      <c r="HN24" s="2">
        <v>1</v>
      </c>
      <c r="HO24" s="55">
        <v>93.939393939393938</v>
      </c>
      <c r="HP24" s="1"/>
      <c r="HQ24" s="1"/>
      <c r="HR24" s="1"/>
      <c r="HS24" s="1"/>
      <c r="HT24" s="1"/>
      <c r="HU24" s="1"/>
      <c r="HV24" s="55" t="s">
        <v>244</v>
      </c>
      <c r="HW24" s="1"/>
      <c r="HX24" s="56" t="s">
        <v>244</v>
      </c>
      <c r="HY24" s="1"/>
      <c r="HZ24" s="1"/>
      <c r="IA24" s="2">
        <v>0</v>
      </c>
      <c r="IB24" s="55">
        <v>100</v>
      </c>
      <c r="IC24" s="55" t="s">
        <v>244</v>
      </c>
      <c r="ID24" s="55" t="s">
        <v>244</v>
      </c>
      <c r="IE24" s="56" t="s">
        <v>244</v>
      </c>
      <c r="IF24" s="57" t="s">
        <v>244</v>
      </c>
      <c r="IG24" s="55" t="s">
        <v>244</v>
      </c>
      <c r="IH24" s="1"/>
      <c r="II24" s="58">
        <v>1</v>
      </c>
      <c r="IJ24" s="59">
        <v>96.969696969696969</v>
      </c>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1070977</v>
      </c>
      <c r="PT24" s="39">
        <v>128</v>
      </c>
      <c r="PU24" s="39">
        <v>33</v>
      </c>
      <c r="PV24" s="1"/>
      <c r="PW24" s="1"/>
      <c r="PX24" s="1"/>
      <c r="PY24" s="1"/>
      <c r="PZ24" s="1"/>
      <c r="QA24" s="1"/>
      <c r="QB24" s="1"/>
      <c r="QC24" s="55" t="s">
        <v>244</v>
      </c>
      <c r="QD24" s="1"/>
      <c r="QE24" s="56" t="s">
        <v>244</v>
      </c>
      <c r="QF24" s="1"/>
      <c r="QG24" s="1"/>
      <c r="QH24" s="2">
        <v>2</v>
      </c>
      <c r="QI24" s="55">
        <v>87.878787878787875</v>
      </c>
      <c r="QJ24" s="1"/>
      <c r="QK24" s="1"/>
      <c r="QL24" s="1"/>
      <c r="QM24" s="1"/>
      <c r="QN24" s="1"/>
      <c r="QO24" s="1"/>
      <c r="QP24" s="55" t="s">
        <v>244</v>
      </c>
      <c r="QQ24" s="1"/>
      <c r="QR24" s="56" t="s">
        <v>244</v>
      </c>
      <c r="QS24" s="1"/>
      <c r="QT24" s="1"/>
      <c r="QU24" s="2">
        <v>0</v>
      </c>
      <c r="QV24" s="55">
        <v>100</v>
      </c>
      <c r="QW24" s="55" t="s">
        <v>244</v>
      </c>
      <c r="QX24" s="55" t="s">
        <v>244</v>
      </c>
      <c r="QY24" s="56" t="s">
        <v>244</v>
      </c>
      <c r="QZ24" s="57" t="s">
        <v>244</v>
      </c>
      <c r="RA24" s="55" t="s">
        <v>244</v>
      </c>
      <c r="RB24" s="1"/>
      <c r="RC24" s="58">
        <v>2</v>
      </c>
      <c r="RD24" s="59">
        <v>93.939393939393938</v>
      </c>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1070977</v>
      </c>
      <c r="UD24" s="39">
        <v>131</v>
      </c>
      <c r="UE24" s="39">
        <v>69</v>
      </c>
      <c r="UF24" s="1"/>
      <c r="UG24" s="1"/>
      <c r="UH24" s="1"/>
      <c r="UI24" s="1"/>
      <c r="UJ24" s="1"/>
      <c r="UK24" s="1"/>
      <c r="UL24" s="1"/>
      <c r="UM24" s="55" t="s">
        <v>244</v>
      </c>
      <c r="UN24" s="1"/>
      <c r="UO24" s="56" t="s">
        <v>244</v>
      </c>
      <c r="UP24" s="1"/>
      <c r="UQ24" s="1"/>
      <c r="UR24" s="2">
        <v>4</v>
      </c>
      <c r="US24" s="55">
        <v>88.405797101449281</v>
      </c>
      <c r="UT24" s="1"/>
      <c r="UU24" s="1"/>
      <c r="UV24" s="1"/>
      <c r="UW24" s="1"/>
      <c r="UX24" s="1"/>
      <c r="UY24" s="1"/>
      <c r="UZ24" s="55" t="s">
        <v>244</v>
      </c>
      <c r="VA24" s="1"/>
      <c r="VB24" s="56" t="s">
        <v>244</v>
      </c>
      <c r="VC24" s="1"/>
      <c r="VD24" s="1"/>
      <c r="VE24" s="2">
        <v>0</v>
      </c>
      <c r="VF24" s="55">
        <v>100</v>
      </c>
      <c r="VG24" s="55" t="s">
        <v>244</v>
      </c>
      <c r="VH24" s="55" t="s">
        <v>244</v>
      </c>
      <c r="VI24" s="56" t="s">
        <v>244</v>
      </c>
      <c r="VJ24" s="57" t="s">
        <v>244</v>
      </c>
      <c r="VK24" s="55" t="s">
        <v>244</v>
      </c>
      <c r="VL24" s="1"/>
      <c r="VM24" s="58">
        <v>4</v>
      </c>
      <c r="VN24" s="59">
        <v>94.20289855072464</v>
      </c>
      <c r="VO24" s="4">
        <v>1070977</v>
      </c>
      <c r="VP24" s="39">
        <v>132</v>
      </c>
      <c r="VQ24" s="39">
        <v>33</v>
      </c>
      <c r="VR24" s="1"/>
      <c r="VS24" s="1"/>
      <c r="VT24" s="1"/>
      <c r="VU24" s="1"/>
      <c r="VV24" s="1"/>
      <c r="VW24" s="1"/>
      <c r="VX24" s="1"/>
      <c r="VY24" s="55" t="s">
        <v>244</v>
      </c>
      <c r="VZ24" s="1"/>
      <c r="WA24" s="56" t="s">
        <v>244</v>
      </c>
      <c r="WB24" s="1"/>
      <c r="WC24" s="1"/>
      <c r="WD24" s="2">
        <v>0</v>
      </c>
      <c r="WE24" s="55">
        <v>100</v>
      </c>
      <c r="WF24" s="1"/>
      <c r="WG24" s="1"/>
      <c r="WH24" s="1"/>
      <c r="WI24" s="1"/>
      <c r="WJ24" s="1"/>
      <c r="WK24" s="1"/>
      <c r="WL24" s="55" t="s">
        <v>244</v>
      </c>
      <c r="WM24" s="1"/>
      <c r="WN24" s="56" t="s">
        <v>244</v>
      </c>
      <c r="WO24" s="1"/>
      <c r="WP24" s="1"/>
      <c r="WQ24" s="2">
        <v>0</v>
      </c>
      <c r="WR24" s="55">
        <v>100</v>
      </c>
      <c r="WS24" s="55" t="s">
        <v>244</v>
      </c>
      <c r="WT24" s="55" t="s">
        <v>244</v>
      </c>
      <c r="WU24" s="56" t="s">
        <v>244</v>
      </c>
      <c r="WV24" s="57" t="s">
        <v>244</v>
      </c>
      <c r="WW24" s="55" t="s">
        <v>244</v>
      </c>
      <c r="WX24" s="1"/>
      <c r="WY24" s="58">
        <v>0</v>
      </c>
      <c r="WZ24" s="59">
        <v>100</v>
      </c>
      <c r="XA24" s="4">
        <v>1070977</v>
      </c>
      <c r="XB24" s="39">
        <v>133</v>
      </c>
      <c r="XC24" s="39">
        <v>33</v>
      </c>
      <c r="XD24" s="1"/>
      <c r="XE24" s="1"/>
      <c r="XF24" s="1"/>
      <c r="XG24" s="1"/>
      <c r="XH24" s="1"/>
      <c r="XI24" s="1"/>
      <c r="XJ24" s="1"/>
      <c r="XK24" s="55" t="s">
        <v>244</v>
      </c>
      <c r="XL24" s="1"/>
      <c r="XM24" s="56" t="s">
        <v>244</v>
      </c>
      <c r="XN24" s="1"/>
      <c r="XO24" s="1"/>
      <c r="XP24" s="2">
        <v>1</v>
      </c>
      <c r="XQ24" s="55">
        <v>93.939393939393938</v>
      </c>
      <c r="XR24" s="1"/>
      <c r="XS24" s="1"/>
      <c r="XT24" s="1"/>
      <c r="XU24" s="1"/>
      <c r="XV24" s="1"/>
      <c r="XW24" s="1"/>
      <c r="XX24" s="55" t="s">
        <v>244</v>
      </c>
      <c r="XY24" s="1"/>
      <c r="XZ24" s="56" t="s">
        <v>244</v>
      </c>
      <c r="YA24" s="1"/>
      <c r="YB24" s="1"/>
      <c r="YC24" s="2">
        <v>0</v>
      </c>
      <c r="YD24" s="55">
        <v>100</v>
      </c>
      <c r="YE24" s="55" t="s">
        <v>244</v>
      </c>
      <c r="YF24" s="55" t="s">
        <v>244</v>
      </c>
      <c r="YG24" s="56" t="s">
        <v>244</v>
      </c>
      <c r="YH24" s="57" t="s">
        <v>244</v>
      </c>
      <c r="YI24" s="55" t="s">
        <v>244</v>
      </c>
      <c r="YJ24" s="1"/>
      <c r="YK24" s="58">
        <v>1</v>
      </c>
      <c r="YL24" s="59">
        <v>96.969696969696969</v>
      </c>
      <c r="YM24" s="4">
        <v>1070977</v>
      </c>
      <c r="YN24" s="39">
        <v>135</v>
      </c>
      <c r="YO24" s="39">
        <v>33</v>
      </c>
      <c r="YP24" s="1"/>
      <c r="YQ24" s="1"/>
      <c r="YR24" s="1"/>
      <c r="YS24" s="1"/>
      <c r="YT24" s="1"/>
      <c r="YU24" s="1"/>
      <c r="YV24" s="1"/>
      <c r="YW24" s="55" t="s">
        <v>244</v>
      </c>
      <c r="YX24" s="1"/>
      <c r="YY24" s="56" t="s">
        <v>244</v>
      </c>
      <c r="YZ24" s="1"/>
      <c r="ZA24" s="1"/>
      <c r="ZB24" s="2">
        <v>1</v>
      </c>
      <c r="ZC24" s="55">
        <v>93.939393939393938</v>
      </c>
      <c r="ZD24" s="1"/>
      <c r="ZE24" s="1"/>
      <c r="ZF24" s="1"/>
      <c r="ZG24" s="1"/>
      <c r="ZH24" s="1"/>
      <c r="ZI24" s="1"/>
      <c r="ZJ24" s="55" t="s">
        <v>244</v>
      </c>
      <c r="ZK24" s="1"/>
      <c r="ZL24" s="56" t="s">
        <v>244</v>
      </c>
      <c r="ZM24" s="1"/>
      <c r="ZN24" s="1"/>
      <c r="ZO24" s="2">
        <v>0</v>
      </c>
      <c r="ZP24" s="55">
        <v>100</v>
      </c>
      <c r="ZQ24" s="55" t="s">
        <v>244</v>
      </c>
      <c r="ZR24" s="55" t="s">
        <v>244</v>
      </c>
      <c r="ZS24" s="56" t="s">
        <v>244</v>
      </c>
      <c r="ZT24" s="57" t="s">
        <v>244</v>
      </c>
      <c r="ZU24" s="55" t="s">
        <v>244</v>
      </c>
      <c r="ZV24" s="1"/>
      <c r="ZW24" s="58">
        <v>1</v>
      </c>
      <c r="ZX24" s="59">
        <v>96.969696969696969</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3984587</v>
      </c>
      <c r="F25" s="89">
        <f t="shared" si="401"/>
        <v>1</v>
      </c>
      <c r="G25" s="89" t="str">
        <f t="shared" si="402"/>
        <v>Ç</v>
      </c>
      <c r="H25" s="37" t="s">
        <v>191</v>
      </c>
      <c r="I25" s="37" t="s">
        <v>219</v>
      </c>
      <c r="J25" s="41" t="s">
        <v>192</v>
      </c>
      <c r="K25" s="90" t="str">
        <f t="shared" si="403"/>
        <v>A</v>
      </c>
      <c r="L25" s="41" t="s">
        <v>119</v>
      </c>
      <c r="M25" s="93">
        <v>42495</v>
      </c>
      <c r="N25" s="41"/>
      <c r="O25" s="43" t="s">
        <v>235</v>
      </c>
      <c r="P25" s="91" t="str">
        <f t="shared" si="404"/>
        <v>Süleymanova Samirə Həsən</v>
      </c>
      <c r="Q25" s="4">
        <v>1070977</v>
      </c>
      <c r="R25" s="39">
        <v>101</v>
      </c>
      <c r="S25" s="39">
        <v>270</v>
      </c>
      <c r="T25" s="1"/>
      <c r="U25" s="1"/>
      <c r="V25" s="1"/>
      <c r="W25" s="1"/>
      <c r="X25" s="1"/>
      <c r="Y25" s="1"/>
      <c r="Z25" s="1"/>
      <c r="AA25" s="55" t="s">
        <v>244</v>
      </c>
      <c r="AB25" s="1"/>
      <c r="AC25" s="56" t="s">
        <v>244</v>
      </c>
      <c r="AD25" s="1"/>
      <c r="AE25" s="1"/>
      <c r="AF25" s="2">
        <v>0</v>
      </c>
      <c r="AG25" s="55">
        <v>100</v>
      </c>
      <c r="AH25" s="1"/>
      <c r="AI25" s="1"/>
      <c r="AJ25" s="1"/>
      <c r="AK25" s="1"/>
      <c r="AL25" s="1"/>
      <c r="AM25" s="1"/>
      <c r="AN25" s="55" t="s">
        <v>244</v>
      </c>
      <c r="AO25" s="1"/>
      <c r="AP25" s="56" t="s">
        <v>244</v>
      </c>
      <c r="AQ25" s="1"/>
      <c r="AR25" s="1"/>
      <c r="AS25" s="2">
        <v>0</v>
      </c>
      <c r="AT25" s="55">
        <v>100</v>
      </c>
      <c r="AU25" s="55" t="s">
        <v>244</v>
      </c>
      <c r="AV25" s="55" t="s">
        <v>244</v>
      </c>
      <c r="AW25" s="56" t="s">
        <v>244</v>
      </c>
      <c r="AX25" s="57" t="s">
        <v>244</v>
      </c>
      <c r="AY25" s="55" t="s">
        <v>244</v>
      </c>
      <c r="AZ25" s="1"/>
      <c r="BA25" s="58">
        <v>0</v>
      </c>
      <c r="BB25" s="59">
        <v>100</v>
      </c>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1268638</v>
      </c>
      <c r="EB25" s="39">
        <v>106</v>
      </c>
      <c r="EC25" s="39">
        <v>36</v>
      </c>
      <c r="ED25" s="1"/>
      <c r="EE25" s="1"/>
      <c r="EF25" s="1"/>
      <c r="EG25" s="1"/>
      <c r="EH25" s="1"/>
      <c r="EI25" s="1"/>
      <c r="EJ25" s="1"/>
      <c r="EK25" s="55" t="s">
        <v>244</v>
      </c>
      <c r="EL25" s="1"/>
      <c r="EM25" s="56" t="s">
        <v>244</v>
      </c>
      <c r="EN25" s="1"/>
      <c r="EO25" s="1"/>
      <c r="EP25" s="2">
        <v>0</v>
      </c>
      <c r="EQ25" s="55">
        <v>100</v>
      </c>
      <c r="ER25" s="1"/>
      <c r="ES25" s="1"/>
      <c r="ET25" s="1"/>
      <c r="EU25" s="1"/>
      <c r="EV25" s="1"/>
      <c r="EW25" s="1"/>
      <c r="EX25" s="55" t="s">
        <v>244</v>
      </c>
      <c r="EY25" s="1"/>
      <c r="EZ25" s="56" t="s">
        <v>244</v>
      </c>
      <c r="FA25" s="1"/>
      <c r="FB25" s="1"/>
      <c r="FC25" s="2">
        <v>0</v>
      </c>
      <c r="FD25" s="55">
        <v>100</v>
      </c>
      <c r="FE25" s="55" t="s">
        <v>244</v>
      </c>
      <c r="FF25" s="55" t="s">
        <v>244</v>
      </c>
      <c r="FG25" s="56" t="s">
        <v>244</v>
      </c>
      <c r="FH25" s="57" t="s">
        <v>244</v>
      </c>
      <c r="FI25" s="55" t="s">
        <v>244</v>
      </c>
      <c r="FJ25" s="1"/>
      <c r="FK25" s="58">
        <v>0</v>
      </c>
      <c r="FL25" s="59">
        <v>100</v>
      </c>
      <c r="FM25" s="4">
        <v>1070977</v>
      </c>
      <c r="FN25" s="39">
        <v>110</v>
      </c>
      <c r="FO25" s="39">
        <v>168</v>
      </c>
      <c r="FP25" s="1"/>
      <c r="FQ25" s="1"/>
      <c r="FR25" s="1"/>
      <c r="FS25" s="1"/>
      <c r="FT25" s="1"/>
      <c r="FU25" s="1"/>
      <c r="FV25" s="1"/>
      <c r="FW25" s="55" t="s">
        <v>244</v>
      </c>
      <c r="FX25" s="1"/>
      <c r="FY25" s="56" t="s">
        <v>244</v>
      </c>
      <c r="FZ25" s="1"/>
      <c r="GA25" s="1"/>
      <c r="GB25" s="2">
        <v>0</v>
      </c>
      <c r="GC25" s="55">
        <v>100</v>
      </c>
      <c r="GD25" s="1"/>
      <c r="GE25" s="1"/>
      <c r="GF25" s="1"/>
      <c r="GG25" s="1"/>
      <c r="GH25" s="1"/>
      <c r="GI25" s="1"/>
      <c r="GJ25" s="55" t="s">
        <v>244</v>
      </c>
      <c r="GK25" s="1"/>
      <c r="GL25" s="56" t="s">
        <v>244</v>
      </c>
      <c r="GM25" s="1"/>
      <c r="GN25" s="1"/>
      <c r="GO25" s="2">
        <v>0</v>
      </c>
      <c r="GP25" s="55">
        <v>100</v>
      </c>
      <c r="GQ25" s="55" t="s">
        <v>244</v>
      </c>
      <c r="GR25" s="55" t="s">
        <v>244</v>
      </c>
      <c r="GS25" s="56" t="s">
        <v>244</v>
      </c>
      <c r="GT25" s="57" t="s">
        <v>244</v>
      </c>
      <c r="GU25" s="55" t="s">
        <v>244</v>
      </c>
      <c r="GV25" s="1"/>
      <c r="GW25" s="58">
        <v>0</v>
      </c>
      <c r="GX25" s="59">
        <v>100</v>
      </c>
      <c r="GY25" s="4">
        <v>1199044</v>
      </c>
      <c r="GZ25" s="39">
        <v>114</v>
      </c>
      <c r="HA25" s="39">
        <v>33</v>
      </c>
      <c r="HB25" s="1"/>
      <c r="HC25" s="1"/>
      <c r="HD25" s="1"/>
      <c r="HE25" s="1"/>
      <c r="HF25" s="1"/>
      <c r="HG25" s="1"/>
      <c r="HH25" s="1"/>
      <c r="HI25" s="55" t="s">
        <v>244</v>
      </c>
      <c r="HJ25" s="1"/>
      <c r="HK25" s="56" t="s">
        <v>244</v>
      </c>
      <c r="HL25" s="1"/>
      <c r="HM25" s="1"/>
      <c r="HN25" s="2">
        <v>0</v>
      </c>
      <c r="HO25" s="55">
        <v>100</v>
      </c>
      <c r="HP25" s="1"/>
      <c r="HQ25" s="1"/>
      <c r="HR25" s="1"/>
      <c r="HS25" s="1"/>
      <c r="HT25" s="1"/>
      <c r="HU25" s="1"/>
      <c r="HV25" s="55" t="s">
        <v>244</v>
      </c>
      <c r="HW25" s="1"/>
      <c r="HX25" s="56" t="s">
        <v>244</v>
      </c>
      <c r="HY25" s="1"/>
      <c r="HZ25" s="1"/>
      <c r="IA25" s="2">
        <v>0</v>
      </c>
      <c r="IB25" s="55">
        <v>100</v>
      </c>
      <c r="IC25" s="55" t="s">
        <v>244</v>
      </c>
      <c r="ID25" s="55" t="s">
        <v>244</v>
      </c>
      <c r="IE25" s="56" t="s">
        <v>244</v>
      </c>
      <c r="IF25" s="57" t="s">
        <v>244</v>
      </c>
      <c r="IG25" s="55" t="s">
        <v>244</v>
      </c>
      <c r="IH25" s="1"/>
      <c r="II25" s="58">
        <v>0</v>
      </c>
      <c r="IJ25" s="59">
        <v>100</v>
      </c>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1070977</v>
      </c>
      <c r="PT25" s="39">
        <v>128</v>
      </c>
      <c r="PU25" s="39">
        <v>33</v>
      </c>
      <c r="PV25" s="1"/>
      <c r="PW25" s="1"/>
      <c r="PX25" s="1"/>
      <c r="PY25" s="1"/>
      <c r="PZ25" s="1"/>
      <c r="QA25" s="1"/>
      <c r="QB25" s="1"/>
      <c r="QC25" s="55" t="s">
        <v>244</v>
      </c>
      <c r="QD25" s="1"/>
      <c r="QE25" s="56" t="s">
        <v>244</v>
      </c>
      <c r="QF25" s="1"/>
      <c r="QG25" s="1"/>
      <c r="QH25" s="2">
        <v>0</v>
      </c>
      <c r="QI25" s="55">
        <v>100</v>
      </c>
      <c r="QJ25" s="1"/>
      <c r="QK25" s="1"/>
      <c r="QL25" s="1"/>
      <c r="QM25" s="1"/>
      <c r="QN25" s="1"/>
      <c r="QO25" s="1"/>
      <c r="QP25" s="55" t="s">
        <v>244</v>
      </c>
      <c r="QQ25" s="1"/>
      <c r="QR25" s="56" t="s">
        <v>244</v>
      </c>
      <c r="QS25" s="1"/>
      <c r="QT25" s="1"/>
      <c r="QU25" s="2">
        <v>0</v>
      </c>
      <c r="QV25" s="55">
        <v>100</v>
      </c>
      <c r="QW25" s="55" t="s">
        <v>244</v>
      </c>
      <c r="QX25" s="55" t="s">
        <v>244</v>
      </c>
      <c r="QY25" s="56" t="s">
        <v>244</v>
      </c>
      <c r="QZ25" s="57" t="s">
        <v>244</v>
      </c>
      <c r="RA25" s="55" t="s">
        <v>244</v>
      </c>
      <c r="RB25" s="1"/>
      <c r="RC25" s="58">
        <v>0</v>
      </c>
      <c r="RD25" s="59">
        <v>100</v>
      </c>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1070977</v>
      </c>
      <c r="UD25" s="39">
        <v>131</v>
      </c>
      <c r="UE25" s="39">
        <v>69</v>
      </c>
      <c r="UF25" s="1"/>
      <c r="UG25" s="1"/>
      <c r="UH25" s="1"/>
      <c r="UI25" s="1"/>
      <c r="UJ25" s="1"/>
      <c r="UK25" s="1"/>
      <c r="UL25" s="1"/>
      <c r="UM25" s="55" t="s">
        <v>244</v>
      </c>
      <c r="UN25" s="1"/>
      <c r="UO25" s="56" t="s">
        <v>244</v>
      </c>
      <c r="UP25" s="1"/>
      <c r="UQ25" s="1"/>
      <c r="UR25" s="2">
        <v>0</v>
      </c>
      <c r="US25" s="55">
        <v>100</v>
      </c>
      <c r="UT25" s="1"/>
      <c r="UU25" s="1"/>
      <c r="UV25" s="1"/>
      <c r="UW25" s="1"/>
      <c r="UX25" s="1"/>
      <c r="UY25" s="1"/>
      <c r="UZ25" s="55" t="s">
        <v>244</v>
      </c>
      <c r="VA25" s="1"/>
      <c r="VB25" s="56" t="s">
        <v>244</v>
      </c>
      <c r="VC25" s="1"/>
      <c r="VD25" s="1"/>
      <c r="VE25" s="2">
        <v>0</v>
      </c>
      <c r="VF25" s="55">
        <v>100</v>
      </c>
      <c r="VG25" s="55" t="s">
        <v>244</v>
      </c>
      <c r="VH25" s="55" t="s">
        <v>244</v>
      </c>
      <c r="VI25" s="56" t="s">
        <v>244</v>
      </c>
      <c r="VJ25" s="57" t="s">
        <v>244</v>
      </c>
      <c r="VK25" s="55" t="s">
        <v>244</v>
      </c>
      <c r="VL25" s="1"/>
      <c r="VM25" s="58">
        <v>0</v>
      </c>
      <c r="VN25" s="59">
        <v>100</v>
      </c>
      <c r="VO25" s="4">
        <v>1070977</v>
      </c>
      <c r="VP25" s="39">
        <v>132</v>
      </c>
      <c r="VQ25" s="39">
        <v>33</v>
      </c>
      <c r="VR25" s="1"/>
      <c r="VS25" s="1"/>
      <c r="VT25" s="1"/>
      <c r="VU25" s="1"/>
      <c r="VV25" s="1"/>
      <c r="VW25" s="1"/>
      <c r="VX25" s="1"/>
      <c r="VY25" s="55" t="s">
        <v>244</v>
      </c>
      <c r="VZ25" s="1"/>
      <c r="WA25" s="56" t="s">
        <v>244</v>
      </c>
      <c r="WB25" s="1"/>
      <c r="WC25" s="1"/>
      <c r="WD25" s="2">
        <v>0</v>
      </c>
      <c r="WE25" s="55">
        <v>100</v>
      </c>
      <c r="WF25" s="1"/>
      <c r="WG25" s="1"/>
      <c r="WH25" s="1"/>
      <c r="WI25" s="1"/>
      <c r="WJ25" s="1"/>
      <c r="WK25" s="1"/>
      <c r="WL25" s="55" t="s">
        <v>244</v>
      </c>
      <c r="WM25" s="1"/>
      <c r="WN25" s="56" t="s">
        <v>244</v>
      </c>
      <c r="WO25" s="1"/>
      <c r="WP25" s="1"/>
      <c r="WQ25" s="2">
        <v>0</v>
      </c>
      <c r="WR25" s="55">
        <v>100</v>
      </c>
      <c r="WS25" s="55" t="s">
        <v>244</v>
      </c>
      <c r="WT25" s="55" t="s">
        <v>244</v>
      </c>
      <c r="WU25" s="56" t="s">
        <v>244</v>
      </c>
      <c r="WV25" s="57" t="s">
        <v>244</v>
      </c>
      <c r="WW25" s="55" t="s">
        <v>244</v>
      </c>
      <c r="WX25" s="1"/>
      <c r="WY25" s="58">
        <v>0</v>
      </c>
      <c r="WZ25" s="59">
        <v>100</v>
      </c>
      <c r="XA25" s="4">
        <v>1070977</v>
      </c>
      <c r="XB25" s="39">
        <v>133</v>
      </c>
      <c r="XC25" s="39">
        <v>33</v>
      </c>
      <c r="XD25" s="1"/>
      <c r="XE25" s="1"/>
      <c r="XF25" s="1"/>
      <c r="XG25" s="1"/>
      <c r="XH25" s="1"/>
      <c r="XI25" s="1"/>
      <c r="XJ25" s="1"/>
      <c r="XK25" s="55" t="s">
        <v>244</v>
      </c>
      <c r="XL25" s="1"/>
      <c r="XM25" s="56" t="s">
        <v>244</v>
      </c>
      <c r="XN25" s="1"/>
      <c r="XO25" s="1"/>
      <c r="XP25" s="2">
        <v>0</v>
      </c>
      <c r="XQ25" s="55">
        <v>100</v>
      </c>
      <c r="XR25" s="1"/>
      <c r="XS25" s="1"/>
      <c r="XT25" s="1"/>
      <c r="XU25" s="1"/>
      <c r="XV25" s="1"/>
      <c r="XW25" s="1"/>
      <c r="XX25" s="55" t="s">
        <v>244</v>
      </c>
      <c r="XY25" s="1"/>
      <c r="XZ25" s="56" t="s">
        <v>244</v>
      </c>
      <c r="YA25" s="1"/>
      <c r="YB25" s="1"/>
      <c r="YC25" s="2">
        <v>0</v>
      </c>
      <c r="YD25" s="55">
        <v>100</v>
      </c>
      <c r="YE25" s="55" t="s">
        <v>244</v>
      </c>
      <c r="YF25" s="55" t="s">
        <v>244</v>
      </c>
      <c r="YG25" s="56" t="s">
        <v>244</v>
      </c>
      <c r="YH25" s="57" t="s">
        <v>244</v>
      </c>
      <c r="YI25" s="55" t="s">
        <v>244</v>
      </c>
      <c r="YJ25" s="1"/>
      <c r="YK25" s="58">
        <v>0</v>
      </c>
      <c r="YL25" s="59">
        <v>100</v>
      </c>
      <c r="YM25" s="4">
        <v>1070977</v>
      </c>
      <c r="YN25" s="39">
        <v>135</v>
      </c>
      <c r="YO25" s="39">
        <v>33</v>
      </c>
      <c r="YP25" s="1"/>
      <c r="YQ25" s="1"/>
      <c r="YR25" s="1"/>
      <c r="YS25" s="1"/>
      <c r="YT25" s="1"/>
      <c r="YU25" s="1"/>
      <c r="YV25" s="1"/>
      <c r="YW25" s="55" t="s">
        <v>244</v>
      </c>
      <c r="YX25" s="1"/>
      <c r="YY25" s="56" t="s">
        <v>244</v>
      </c>
      <c r="YZ25" s="1"/>
      <c r="ZA25" s="1"/>
      <c r="ZB25" s="2">
        <v>0</v>
      </c>
      <c r="ZC25" s="55">
        <v>100</v>
      </c>
      <c r="ZD25" s="1"/>
      <c r="ZE25" s="1"/>
      <c r="ZF25" s="1"/>
      <c r="ZG25" s="1"/>
      <c r="ZH25" s="1"/>
      <c r="ZI25" s="1"/>
      <c r="ZJ25" s="55" t="s">
        <v>244</v>
      </c>
      <c r="ZK25" s="1"/>
      <c r="ZL25" s="56" t="s">
        <v>244</v>
      </c>
      <c r="ZM25" s="1"/>
      <c r="ZN25" s="1"/>
      <c r="ZO25" s="2">
        <v>0</v>
      </c>
      <c r="ZP25" s="55">
        <v>100</v>
      </c>
      <c r="ZQ25" s="55" t="s">
        <v>244</v>
      </c>
      <c r="ZR25" s="55" t="s">
        <v>244</v>
      </c>
      <c r="ZS25" s="56" t="s">
        <v>244</v>
      </c>
      <c r="ZT25" s="57" t="s">
        <v>244</v>
      </c>
      <c r="ZU25" s="55" t="s">
        <v>244</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3984607</v>
      </c>
      <c r="F26" s="89">
        <f t="shared" si="401"/>
        <v>1</v>
      </c>
      <c r="G26" s="89" t="str">
        <f t="shared" si="402"/>
        <v>Ç</v>
      </c>
      <c r="H26" s="37" t="s">
        <v>193</v>
      </c>
      <c r="I26" s="37" t="s">
        <v>220</v>
      </c>
      <c r="J26" s="41" t="s">
        <v>194</v>
      </c>
      <c r="K26" s="90" t="str">
        <f t="shared" si="403"/>
        <v>A</v>
      </c>
      <c r="L26" s="41" t="s">
        <v>119</v>
      </c>
      <c r="M26" s="93">
        <v>42383</v>
      </c>
      <c r="N26" s="41"/>
      <c r="O26" s="43" t="s">
        <v>236</v>
      </c>
      <c r="P26" s="91" t="str">
        <f t="shared" si="404"/>
        <v>Süleymanova Samirə Həsən</v>
      </c>
      <c r="Q26" s="4">
        <v>1070977</v>
      </c>
      <c r="R26" s="39">
        <v>101</v>
      </c>
      <c r="S26" s="39">
        <v>270</v>
      </c>
      <c r="T26" s="1"/>
      <c r="U26" s="1"/>
      <c r="V26" s="1"/>
      <c r="W26" s="1"/>
      <c r="X26" s="1"/>
      <c r="Y26" s="1"/>
      <c r="Z26" s="1"/>
      <c r="AA26" s="55" t="s">
        <v>244</v>
      </c>
      <c r="AB26" s="1"/>
      <c r="AC26" s="56" t="s">
        <v>244</v>
      </c>
      <c r="AD26" s="1"/>
      <c r="AE26" s="1"/>
      <c r="AF26" s="2">
        <v>0</v>
      </c>
      <c r="AG26" s="55">
        <v>100</v>
      </c>
      <c r="AH26" s="1"/>
      <c r="AI26" s="1"/>
      <c r="AJ26" s="1"/>
      <c r="AK26" s="1"/>
      <c r="AL26" s="1"/>
      <c r="AM26" s="1"/>
      <c r="AN26" s="55" t="s">
        <v>244</v>
      </c>
      <c r="AO26" s="1"/>
      <c r="AP26" s="56" t="s">
        <v>244</v>
      </c>
      <c r="AQ26" s="1"/>
      <c r="AR26" s="1"/>
      <c r="AS26" s="2">
        <v>0</v>
      </c>
      <c r="AT26" s="55">
        <v>100</v>
      </c>
      <c r="AU26" s="55" t="s">
        <v>244</v>
      </c>
      <c r="AV26" s="55" t="s">
        <v>244</v>
      </c>
      <c r="AW26" s="56" t="s">
        <v>244</v>
      </c>
      <c r="AX26" s="57" t="s">
        <v>244</v>
      </c>
      <c r="AY26" s="55" t="s">
        <v>244</v>
      </c>
      <c r="AZ26" s="1"/>
      <c r="BA26" s="58">
        <v>0</v>
      </c>
      <c r="BB26" s="59">
        <v>100</v>
      </c>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1268638</v>
      </c>
      <c r="EB26" s="39">
        <v>106</v>
      </c>
      <c r="EC26" s="39">
        <v>36</v>
      </c>
      <c r="ED26" s="1"/>
      <c r="EE26" s="1"/>
      <c r="EF26" s="1"/>
      <c r="EG26" s="1"/>
      <c r="EH26" s="1"/>
      <c r="EI26" s="1"/>
      <c r="EJ26" s="1"/>
      <c r="EK26" s="55" t="s">
        <v>244</v>
      </c>
      <c r="EL26" s="1"/>
      <c r="EM26" s="56" t="s">
        <v>244</v>
      </c>
      <c r="EN26" s="1"/>
      <c r="EO26" s="1"/>
      <c r="EP26" s="2">
        <v>1</v>
      </c>
      <c r="EQ26" s="55">
        <v>94.444444444444443</v>
      </c>
      <c r="ER26" s="1"/>
      <c r="ES26" s="1"/>
      <c r="ET26" s="1"/>
      <c r="EU26" s="1"/>
      <c r="EV26" s="1"/>
      <c r="EW26" s="1"/>
      <c r="EX26" s="55" t="s">
        <v>244</v>
      </c>
      <c r="EY26" s="1"/>
      <c r="EZ26" s="56" t="s">
        <v>244</v>
      </c>
      <c r="FA26" s="1"/>
      <c r="FB26" s="1"/>
      <c r="FC26" s="2">
        <v>0</v>
      </c>
      <c r="FD26" s="55">
        <v>100</v>
      </c>
      <c r="FE26" s="55" t="s">
        <v>244</v>
      </c>
      <c r="FF26" s="55" t="s">
        <v>244</v>
      </c>
      <c r="FG26" s="56" t="s">
        <v>244</v>
      </c>
      <c r="FH26" s="57" t="s">
        <v>244</v>
      </c>
      <c r="FI26" s="55" t="s">
        <v>244</v>
      </c>
      <c r="FJ26" s="1"/>
      <c r="FK26" s="58">
        <v>1</v>
      </c>
      <c r="FL26" s="59">
        <v>97.222222222222229</v>
      </c>
      <c r="FM26" s="4">
        <v>1070977</v>
      </c>
      <c r="FN26" s="39">
        <v>110</v>
      </c>
      <c r="FO26" s="39">
        <v>168</v>
      </c>
      <c r="FP26" s="1"/>
      <c r="FQ26" s="1"/>
      <c r="FR26" s="1"/>
      <c r="FS26" s="1"/>
      <c r="FT26" s="1"/>
      <c r="FU26" s="1"/>
      <c r="FV26" s="1"/>
      <c r="FW26" s="55" t="s">
        <v>244</v>
      </c>
      <c r="FX26" s="1"/>
      <c r="FY26" s="56" t="s">
        <v>244</v>
      </c>
      <c r="FZ26" s="1"/>
      <c r="GA26" s="1"/>
      <c r="GB26" s="2">
        <v>0</v>
      </c>
      <c r="GC26" s="55">
        <v>100</v>
      </c>
      <c r="GD26" s="1"/>
      <c r="GE26" s="1"/>
      <c r="GF26" s="1"/>
      <c r="GG26" s="1"/>
      <c r="GH26" s="1"/>
      <c r="GI26" s="1"/>
      <c r="GJ26" s="55" t="s">
        <v>244</v>
      </c>
      <c r="GK26" s="1"/>
      <c r="GL26" s="56" t="s">
        <v>244</v>
      </c>
      <c r="GM26" s="1"/>
      <c r="GN26" s="1"/>
      <c r="GO26" s="2">
        <v>0</v>
      </c>
      <c r="GP26" s="55">
        <v>100</v>
      </c>
      <c r="GQ26" s="55" t="s">
        <v>244</v>
      </c>
      <c r="GR26" s="55" t="s">
        <v>244</v>
      </c>
      <c r="GS26" s="56" t="s">
        <v>244</v>
      </c>
      <c r="GT26" s="57" t="s">
        <v>244</v>
      </c>
      <c r="GU26" s="55" t="s">
        <v>244</v>
      </c>
      <c r="GV26" s="1"/>
      <c r="GW26" s="58">
        <v>0</v>
      </c>
      <c r="GX26" s="59">
        <v>100</v>
      </c>
      <c r="GY26" s="4">
        <v>1199044</v>
      </c>
      <c r="GZ26" s="39">
        <v>114</v>
      </c>
      <c r="HA26" s="39">
        <v>33</v>
      </c>
      <c r="HB26" s="1"/>
      <c r="HC26" s="1"/>
      <c r="HD26" s="1"/>
      <c r="HE26" s="1"/>
      <c r="HF26" s="1"/>
      <c r="HG26" s="1"/>
      <c r="HH26" s="1"/>
      <c r="HI26" s="55" t="s">
        <v>244</v>
      </c>
      <c r="HJ26" s="1"/>
      <c r="HK26" s="56" t="s">
        <v>244</v>
      </c>
      <c r="HL26" s="1"/>
      <c r="HM26" s="1"/>
      <c r="HN26" s="2">
        <v>0</v>
      </c>
      <c r="HO26" s="55">
        <v>100</v>
      </c>
      <c r="HP26" s="1"/>
      <c r="HQ26" s="1"/>
      <c r="HR26" s="1"/>
      <c r="HS26" s="1"/>
      <c r="HT26" s="1"/>
      <c r="HU26" s="1"/>
      <c r="HV26" s="55" t="s">
        <v>244</v>
      </c>
      <c r="HW26" s="1"/>
      <c r="HX26" s="56" t="s">
        <v>244</v>
      </c>
      <c r="HY26" s="1"/>
      <c r="HZ26" s="1"/>
      <c r="IA26" s="2">
        <v>0</v>
      </c>
      <c r="IB26" s="55">
        <v>100</v>
      </c>
      <c r="IC26" s="55" t="s">
        <v>244</v>
      </c>
      <c r="ID26" s="55" t="s">
        <v>244</v>
      </c>
      <c r="IE26" s="56" t="s">
        <v>244</v>
      </c>
      <c r="IF26" s="57" t="s">
        <v>244</v>
      </c>
      <c r="IG26" s="55" t="s">
        <v>244</v>
      </c>
      <c r="IH26" s="1"/>
      <c r="II26" s="58">
        <v>0</v>
      </c>
      <c r="IJ26" s="59">
        <v>100</v>
      </c>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1070977</v>
      </c>
      <c r="PT26" s="39">
        <v>128</v>
      </c>
      <c r="PU26" s="39">
        <v>33</v>
      </c>
      <c r="PV26" s="1"/>
      <c r="PW26" s="1"/>
      <c r="PX26" s="1"/>
      <c r="PY26" s="1"/>
      <c r="PZ26" s="1"/>
      <c r="QA26" s="1"/>
      <c r="QB26" s="1"/>
      <c r="QC26" s="55" t="s">
        <v>244</v>
      </c>
      <c r="QD26" s="1"/>
      <c r="QE26" s="56" t="s">
        <v>244</v>
      </c>
      <c r="QF26" s="1"/>
      <c r="QG26" s="1"/>
      <c r="QH26" s="2">
        <v>0</v>
      </c>
      <c r="QI26" s="55">
        <v>100</v>
      </c>
      <c r="QJ26" s="1"/>
      <c r="QK26" s="1"/>
      <c r="QL26" s="1"/>
      <c r="QM26" s="1"/>
      <c r="QN26" s="1"/>
      <c r="QO26" s="1"/>
      <c r="QP26" s="55" t="s">
        <v>244</v>
      </c>
      <c r="QQ26" s="1"/>
      <c r="QR26" s="56" t="s">
        <v>244</v>
      </c>
      <c r="QS26" s="1"/>
      <c r="QT26" s="1"/>
      <c r="QU26" s="2">
        <v>0</v>
      </c>
      <c r="QV26" s="55">
        <v>100</v>
      </c>
      <c r="QW26" s="55" t="s">
        <v>244</v>
      </c>
      <c r="QX26" s="55" t="s">
        <v>244</v>
      </c>
      <c r="QY26" s="56" t="s">
        <v>244</v>
      </c>
      <c r="QZ26" s="57" t="s">
        <v>244</v>
      </c>
      <c r="RA26" s="55" t="s">
        <v>244</v>
      </c>
      <c r="RB26" s="1"/>
      <c r="RC26" s="58">
        <v>0</v>
      </c>
      <c r="RD26" s="59">
        <v>100</v>
      </c>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1070977</v>
      </c>
      <c r="UD26" s="39">
        <v>131</v>
      </c>
      <c r="UE26" s="39">
        <v>69</v>
      </c>
      <c r="UF26" s="1"/>
      <c r="UG26" s="1"/>
      <c r="UH26" s="1"/>
      <c r="UI26" s="1"/>
      <c r="UJ26" s="1"/>
      <c r="UK26" s="1"/>
      <c r="UL26" s="1"/>
      <c r="UM26" s="55" t="s">
        <v>244</v>
      </c>
      <c r="UN26" s="1"/>
      <c r="UO26" s="56" t="s">
        <v>244</v>
      </c>
      <c r="UP26" s="1"/>
      <c r="UQ26" s="1"/>
      <c r="UR26" s="2">
        <v>0</v>
      </c>
      <c r="US26" s="55">
        <v>100</v>
      </c>
      <c r="UT26" s="1"/>
      <c r="UU26" s="1"/>
      <c r="UV26" s="1"/>
      <c r="UW26" s="1"/>
      <c r="UX26" s="1"/>
      <c r="UY26" s="1"/>
      <c r="UZ26" s="55" t="s">
        <v>244</v>
      </c>
      <c r="VA26" s="1"/>
      <c r="VB26" s="56" t="s">
        <v>244</v>
      </c>
      <c r="VC26" s="1"/>
      <c r="VD26" s="1"/>
      <c r="VE26" s="2">
        <v>0</v>
      </c>
      <c r="VF26" s="55">
        <v>100</v>
      </c>
      <c r="VG26" s="55" t="s">
        <v>244</v>
      </c>
      <c r="VH26" s="55" t="s">
        <v>244</v>
      </c>
      <c r="VI26" s="56" t="s">
        <v>244</v>
      </c>
      <c r="VJ26" s="57" t="s">
        <v>244</v>
      </c>
      <c r="VK26" s="55" t="s">
        <v>244</v>
      </c>
      <c r="VL26" s="1"/>
      <c r="VM26" s="58">
        <v>0</v>
      </c>
      <c r="VN26" s="59">
        <v>100</v>
      </c>
      <c r="VO26" s="4">
        <v>1070977</v>
      </c>
      <c r="VP26" s="39">
        <v>132</v>
      </c>
      <c r="VQ26" s="39">
        <v>33</v>
      </c>
      <c r="VR26" s="1"/>
      <c r="VS26" s="1"/>
      <c r="VT26" s="1"/>
      <c r="VU26" s="1"/>
      <c r="VV26" s="1"/>
      <c r="VW26" s="1"/>
      <c r="VX26" s="1"/>
      <c r="VY26" s="55" t="s">
        <v>244</v>
      </c>
      <c r="VZ26" s="1"/>
      <c r="WA26" s="56" t="s">
        <v>244</v>
      </c>
      <c r="WB26" s="1"/>
      <c r="WC26" s="1"/>
      <c r="WD26" s="2">
        <v>0</v>
      </c>
      <c r="WE26" s="55">
        <v>100</v>
      </c>
      <c r="WF26" s="1"/>
      <c r="WG26" s="1"/>
      <c r="WH26" s="1"/>
      <c r="WI26" s="1"/>
      <c r="WJ26" s="1"/>
      <c r="WK26" s="1"/>
      <c r="WL26" s="55" t="s">
        <v>244</v>
      </c>
      <c r="WM26" s="1"/>
      <c r="WN26" s="56" t="s">
        <v>244</v>
      </c>
      <c r="WO26" s="1"/>
      <c r="WP26" s="1"/>
      <c r="WQ26" s="2">
        <v>0</v>
      </c>
      <c r="WR26" s="55">
        <v>100</v>
      </c>
      <c r="WS26" s="55" t="s">
        <v>244</v>
      </c>
      <c r="WT26" s="55" t="s">
        <v>244</v>
      </c>
      <c r="WU26" s="56" t="s">
        <v>244</v>
      </c>
      <c r="WV26" s="57" t="s">
        <v>244</v>
      </c>
      <c r="WW26" s="55" t="s">
        <v>244</v>
      </c>
      <c r="WX26" s="1"/>
      <c r="WY26" s="58">
        <v>0</v>
      </c>
      <c r="WZ26" s="59">
        <v>100</v>
      </c>
      <c r="XA26" s="4">
        <v>1070977</v>
      </c>
      <c r="XB26" s="39">
        <v>133</v>
      </c>
      <c r="XC26" s="39">
        <v>33</v>
      </c>
      <c r="XD26" s="1"/>
      <c r="XE26" s="1"/>
      <c r="XF26" s="1"/>
      <c r="XG26" s="1"/>
      <c r="XH26" s="1"/>
      <c r="XI26" s="1"/>
      <c r="XJ26" s="1"/>
      <c r="XK26" s="55" t="s">
        <v>244</v>
      </c>
      <c r="XL26" s="1"/>
      <c r="XM26" s="56" t="s">
        <v>244</v>
      </c>
      <c r="XN26" s="1"/>
      <c r="XO26" s="1"/>
      <c r="XP26" s="2">
        <v>0</v>
      </c>
      <c r="XQ26" s="55">
        <v>100</v>
      </c>
      <c r="XR26" s="1"/>
      <c r="XS26" s="1"/>
      <c r="XT26" s="1"/>
      <c r="XU26" s="1"/>
      <c r="XV26" s="1"/>
      <c r="XW26" s="1"/>
      <c r="XX26" s="55" t="s">
        <v>244</v>
      </c>
      <c r="XY26" s="1"/>
      <c r="XZ26" s="56" t="s">
        <v>244</v>
      </c>
      <c r="YA26" s="1"/>
      <c r="YB26" s="1"/>
      <c r="YC26" s="2">
        <v>0</v>
      </c>
      <c r="YD26" s="55">
        <v>100</v>
      </c>
      <c r="YE26" s="55" t="s">
        <v>244</v>
      </c>
      <c r="YF26" s="55" t="s">
        <v>244</v>
      </c>
      <c r="YG26" s="56" t="s">
        <v>244</v>
      </c>
      <c r="YH26" s="57" t="s">
        <v>244</v>
      </c>
      <c r="YI26" s="55" t="s">
        <v>244</v>
      </c>
      <c r="YJ26" s="1"/>
      <c r="YK26" s="58">
        <v>0</v>
      </c>
      <c r="YL26" s="59">
        <v>100</v>
      </c>
      <c r="YM26" s="4">
        <v>1070977</v>
      </c>
      <c r="YN26" s="39">
        <v>135</v>
      </c>
      <c r="YO26" s="39">
        <v>33</v>
      </c>
      <c r="YP26" s="1"/>
      <c r="YQ26" s="1"/>
      <c r="YR26" s="1"/>
      <c r="YS26" s="1"/>
      <c r="YT26" s="1"/>
      <c r="YU26" s="1"/>
      <c r="YV26" s="1"/>
      <c r="YW26" s="55" t="s">
        <v>244</v>
      </c>
      <c r="YX26" s="1"/>
      <c r="YY26" s="56" t="s">
        <v>244</v>
      </c>
      <c r="YZ26" s="1"/>
      <c r="ZA26" s="1"/>
      <c r="ZB26" s="2">
        <v>0</v>
      </c>
      <c r="ZC26" s="55">
        <v>100</v>
      </c>
      <c r="ZD26" s="1"/>
      <c r="ZE26" s="1"/>
      <c r="ZF26" s="1"/>
      <c r="ZG26" s="1"/>
      <c r="ZH26" s="1"/>
      <c r="ZI26" s="1"/>
      <c r="ZJ26" s="55" t="s">
        <v>244</v>
      </c>
      <c r="ZK26" s="1"/>
      <c r="ZL26" s="56" t="s">
        <v>244</v>
      </c>
      <c r="ZM26" s="1"/>
      <c r="ZN26" s="1"/>
      <c r="ZO26" s="2">
        <v>0</v>
      </c>
      <c r="ZP26" s="55">
        <v>100</v>
      </c>
      <c r="ZQ26" s="55" t="s">
        <v>244</v>
      </c>
      <c r="ZR26" s="55" t="s">
        <v>244</v>
      </c>
      <c r="ZS26" s="56" t="s">
        <v>244</v>
      </c>
      <c r="ZT26" s="57" t="s">
        <v>244</v>
      </c>
      <c r="ZU26" s="55" t="s">
        <v>244</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3984769</v>
      </c>
      <c r="F27" s="89">
        <f t="shared" si="401"/>
        <v>1</v>
      </c>
      <c r="G27" s="89" t="str">
        <f t="shared" si="402"/>
        <v>Ç</v>
      </c>
      <c r="H27" s="37" t="s">
        <v>195</v>
      </c>
      <c r="I27" s="37" t="s">
        <v>196</v>
      </c>
      <c r="J27" s="41" t="s">
        <v>197</v>
      </c>
      <c r="K27" s="90" t="str">
        <f t="shared" si="403"/>
        <v>A</v>
      </c>
      <c r="L27" s="41" t="s">
        <v>117</v>
      </c>
      <c r="M27" s="93">
        <v>42723</v>
      </c>
      <c r="N27" s="41"/>
      <c r="O27" s="43" t="s">
        <v>237</v>
      </c>
      <c r="P27" s="91" t="str">
        <f t="shared" si="404"/>
        <v>Süleymanova Samirə Həsən</v>
      </c>
      <c r="Q27" s="4">
        <v>1070977</v>
      </c>
      <c r="R27" s="39">
        <v>101</v>
      </c>
      <c r="S27" s="39">
        <v>270</v>
      </c>
      <c r="T27" s="1"/>
      <c r="U27" s="1"/>
      <c r="V27" s="1"/>
      <c r="W27" s="1"/>
      <c r="X27" s="1"/>
      <c r="Y27" s="1"/>
      <c r="Z27" s="1"/>
      <c r="AA27" s="55" t="s">
        <v>244</v>
      </c>
      <c r="AB27" s="1"/>
      <c r="AC27" s="56" t="s">
        <v>244</v>
      </c>
      <c r="AD27" s="1"/>
      <c r="AE27" s="1"/>
      <c r="AF27" s="2">
        <v>0</v>
      </c>
      <c r="AG27" s="55">
        <v>100</v>
      </c>
      <c r="AH27" s="1"/>
      <c r="AI27" s="1"/>
      <c r="AJ27" s="1"/>
      <c r="AK27" s="1"/>
      <c r="AL27" s="1"/>
      <c r="AM27" s="1"/>
      <c r="AN27" s="55" t="s">
        <v>244</v>
      </c>
      <c r="AO27" s="1"/>
      <c r="AP27" s="56" t="s">
        <v>244</v>
      </c>
      <c r="AQ27" s="1"/>
      <c r="AR27" s="1"/>
      <c r="AS27" s="2">
        <v>2</v>
      </c>
      <c r="AT27" s="55">
        <v>98.518518518518519</v>
      </c>
      <c r="AU27" s="55" t="s">
        <v>244</v>
      </c>
      <c r="AV27" s="55" t="s">
        <v>244</v>
      </c>
      <c r="AW27" s="56" t="s">
        <v>244</v>
      </c>
      <c r="AX27" s="57" t="s">
        <v>244</v>
      </c>
      <c r="AY27" s="55" t="s">
        <v>244</v>
      </c>
      <c r="AZ27" s="1"/>
      <c r="BA27" s="58">
        <v>2</v>
      </c>
      <c r="BB27" s="59">
        <v>99.259259259259252</v>
      </c>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1268638</v>
      </c>
      <c r="EB27" s="39">
        <v>106</v>
      </c>
      <c r="EC27" s="39">
        <v>36</v>
      </c>
      <c r="ED27" s="1"/>
      <c r="EE27" s="1"/>
      <c r="EF27" s="1"/>
      <c r="EG27" s="1"/>
      <c r="EH27" s="1"/>
      <c r="EI27" s="1"/>
      <c r="EJ27" s="1"/>
      <c r="EK27" s="55" t="s">
        <v>244</v>
      </c>
      <c r="EL27" s="1"/>
      <c r="EM27" s="56" t="s">
        <v>244</v>
      </c>
      <c r="EN27" s="1"/>
      <c r="EO27" s="1"/>
      <c r="EP27" s="2">
        <v>0</v>
      </c>
      <c r="EQ27" s="55">
        <v>100</v>
      </c>
      <c r="ER27" s="1"/>
      <c r="ES27" s="1"/>
      <c r="ET27" s="1"/>
      <c r="EU27" s="1"/>
      <c r="EV27" s="1"/>
      <c r="EW27" s="1"/>
      <c r="EX27" s="55" t="s">
        <v>244</v>
      </c>
      <c r="EY27" s="1"/>
      <c r="EZ27" s="56" t="s">
        <v>244</v>
      </c>
      <c r="FA27" s="1"/>
      <c r="FB27" s="1"/>
      <c r="FC27" s="2">
        <v>0</v>
      </c>
      <c r="FD27" s="55">
        <v>100</v>
      </c>
      <c r="FE27" s="55" t="s">
        <v>244</v>
      </c>
      <c r="FF27" s="55" t="s">
        <v>244</v>
      </c>
      <c r="FG27" s="56" t="s">
        <v>244</v>
      </c>
      <c r="FH27" s="57" t="s">
        <v>244</v>
      </c>
      <c r="FI27" s="55" t="s">
        <v>244</v>
      </c>
      <c r="FJ27" s="1"/>
      <c r="FK27" s="58">
        <v>0</v>
      </c>
      <c r="FL27" s="59">
        <v>100</v>
      </c>
      <c r="FM27" s="4">
        <v>1070977</v>
      </c>
      <c r="FN27" s="39">
        <v>110</v>
      </c>
      <c r="FO27" s="39">
        <v>168</v>
      </c>
      <c r="FP27" s="1"/>
      <c r="FQ27" s="1"/>
      <c r="FR27" s="1"/>
      <c r="FS27" s="1"/>
      <c r="FT27" s="1"/>
      <c r="FU27" s="1"/>
      <c r="FV27" s="1"/>
      <c r="FW27" s="55" t="s">
        <v>244</v>
      </c>
      <c r="FX27" s="1"/>
      <c r="FY27" s="56" t="s">
        <v>244</v>
      </c>
      <c r="FZ27" s="1"/>
      <c r="GA27" s="1"/>
      <c r="GB27" s="2">
        <v>0</v>
      </c>
      <c r="GC27" s="55">
        <v>100</v>
      </c>
      <c r="GD27" s="1"/>
      <c r="GE27" s="1"/>
      <c r="GF27" s="1"/>
      <c r="GG27" s="1"/>
      <c r="GH27" s="1"/>
      <c r="GI27" s="1"/>
      <c r="GJ27" s="55" t="s">
        <v>244</v>
      </c>
      <c r="GK27" s="1"/>
      <c r="GL27" s="56" t="s">
        <v>244</v>
      </c>
      <c r="GM27" s="1"/>
      <c r="GN27" s="1"/>
      <c r="GO27" s="2">
        <v>2</v>
      </c>
      <c r="GP27" s="55">
        <v>97.61904761904762</v>
      </c>
      <c r="GQ27" s="55" t="s">
        <v>244</v>
      </c>
      <c r="GR27" s="55" t="s">
        <v>244</v>
      </c>
      <c r="GS27" s="56" t="s">
        <v>244</v>
      </c>
      <c r="GT27" s="57" t="s">
        <v>244</v>
      </c>
      <c r="GU27" s="55" t="s">
        <v>244</v>
      </c>
      <c r="GV27" s="1"/>
      <c r="GW27" s="58">
        <v>2</v>
      </c>
      <c r="GX27" s="59">
        <v>98.80952380952381</v>
      </c>
      <c r="GY27" s="4">
        <v>1199044</v>
      </c>
      <c r="GZ27" s="39">
        <v>114</v>
      </c>
      <c r="HA27" s="39">
        <v>33</v>
      </c>
      <c r="HB27" s="1"/>
      <c r="HC27" s="1"/>
      <c r="HD27" s="1"/>
      <c r="HE27" s="1"/>
      <c r="HF27" s="1"/>
      <c r="HG27" s="1"/>
      <c r="HH27" s="1"/>
      <c r="HI27" s="55" t="s">
        <v>244</v>
      </c>
      <c r="HJ27" s="1"/>
      <c r="HK27" s="56" t="s">
        <v>244</v>
      </c>
      <c r="HL27" s="1"/>
      <c r="HM27" s="1"/>
      <c r="HN27" s="2">
        <v>0</v>
      </c>
      <c r="HO27" s="55">
        <v>100</v>
      </c>
      <c r="HP27" s="1"/>
      <c r="HQ27" s="1"/>
      <c r="HR27" s="1"/>
      <c r="HS27" s="1"/>
      <c r="HT27" s="1"/>
      <c r="HU27" s="1"/>
      <c r="HV27" s="55" t="s">
        <v>244</v>
      </c>
      <c r="HW27" s="1"/>
      <c r="HX27" s="56" t="s">
        <v>244</v>
      </c>
      <c r="HY27" s="1"/>
      <c r="HZ27" s="1"/>
      <c r="IA27" s="2">
        <v>0</v>
      </c>
      <c r="IB27" s="55">
        <v>100</v>
      </c>
      <c r="IC27" s="55" t="s">
        <v>244</v>
      </c>
      <c r="ID27" s="55" t="s">
        <v>244</v>
      </c>
      <c r="IE27" s="56" t="s">
        <v>244</v>
      </c>
      <c r="IF27" s="57" t="s">
        <v>244</v>
      </c>
      <c r="IG27" s="55" t="s">
        <v>244</v>
      </c>
      <c r="IH27" s="1"/>
      <c r="II27" s="58">
        <v>0</v>
      </c>
      <c r="IJ27" s="59">
        <v>100</v>
      </c>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1070977</v>
      </c>
      <c r="PT27" s="39">
        <v>128</v>
      </c>
      <c r="PU27" s="39">
        <v>33</v>
      </c>
      <c r="PV27" s="1"/>
      <c r="PW27" s="1"/>
      <c r="PX27" s="1"/>
      <c r="PY27" s="1"/>
      <c r="PZ27" s="1"/>
      <c r="QA27" s="1"/>
      <c r="QB27" s="1"/>
      <c r="QC27" s="55" t="s">
        <v>244</v>
      </c>
      <c r="QD27" s="1"/>
      <c r="QE27" s="56" t="s">
        <v>244</v>
      </c>
      <c r="QF27" s="1"/>
      <c r="QG27" s="1"/>
      <c r="QH27" s="2">
        <v>0</v>
      </c>
      <c r="QI27" s="55">
        <v>100</v>
      </c>
      <c r="QJ27" s="1"/>
      <c r="QK27" s="1"/>
      <c r="QL27" s="1"/>
      <c r="QM27" s="1"/>
      <c r="QN27" s="1"/>
      <c r="QO27" s="1"/>
      <c r="QP27" s="55" t="s">
        <v>244</v>
      </c>
      <c r="QQ27" s="1"/>
      <c r="QR27" s="56" t="s">
        <v>244</v>
      </c>
      <c r="QS27" s="1"/>
      <c r="QT27" s="1"/>
      <c r="QU27" s="2">
        <v>1</v>
      </c>
      <c r="QV27" s="55">
        <v>93.939393939393938</v>
      </c>
      <c r="QW27" s="55" t="s">
        <v>244</v>
      </c>
      <c r="QX27" s="55" t="s">
        <v>244</v>
      </c>
      <c r="QY27" s="56" t="s">
        <v>244</v>
      </c>
      <c r="QZ27" s="57" t="s">
        <v>244</v>
      </c>
      <c r="RA27" s="55" t="s">
        <v>244</v>
      </c>
      <c r="RB27" s="1"/>
      <c r="RC27" s="58">
        <v>1</v>
      </c>
      <c r="RD27" s="59">
        <v>96.969696969696969</v>
      </c>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1070977</v>
      </c>
      <c r="UD27" s="39">
        <v>131</v>
      </c>
      <c r="UE27" s="39">
        <v>69</v>
      </c>
      <c r="UF27" s="1"/>
      <c r="UG27" s="1"/>
      <c r="UH27" s="1"/>
      <c r="UI27" s="1"/>
      <c r="UJ27" s="1"/>
      <c r="UK27" s="1"/>
      <c r="UL27" s="1"/>
      <c r="UM27" s="55" t="s">
        <v>244</v>
      </c>
      <c r="UN27" s="1"/>
      <c r="UO27" s="56" t="s">
        <v>244</v>
      </c>
      <c r="UP27" s="1"/>
      <c r="UQ27" s="1"/>
      <c r="UR27" s="2">
        <v>0</v>
      </c>
      <c r="US27" s="55">
        <v>100</v>
      </c>
      <c r="UT27" s="1"/>
      <c r="UU27" s="1"/>
      <c r="UV27" s="1"/>
      <c r="UW27" s="1"/>
      <c r="UX27" s="1"/>
      <c r="UY27" s="1"/>
      <c r="UZ27" s="55" t="s">
        <v>244</v>
      </c>
      <c r="VA27" s="1"/>
      <c r="VB27" s="56" t="s">
        <v>244</v>
      </c>
      <c r="VC27" s="1"/>
      <c r="VD27" s="1"/>
      <c r="VE27" s="2">
        <v>1</v>
      </c>
      <c r="VF27" s="55">
        <v>97.101449275362313</v>
      </c>
      <c r="VG27" s="55" t="s">
        <v>244</v>
      </c>
      <c r="VH27" s="55" t="s">
        <v>244</v>
      </c>
      <c r="VI27" s="56" t="s">
        <v>244</v>
      </c>
      <c r="VJ27" s="57" t="s">
        <v>244</v>
      </c>
      <c r="VK27" s="55" t="s">
        <v>244</v>
      </c>
      <c r="VL27" s="1"/>
      <c r="VM27" s="58">
        <v>1</v>
      </c>
      <c r="VN27" s="59">
        <v>98.550724637681157</v>
      </c>
      <c r="VO27" s="4">
        <v>1070977</v>
      </c>
      <c r="VP27" s="39">
        <v>132</v>
      </c>
      <c r="VQ27" s="39">
        <v>33</v>
      </c>
      <c r="VR27" s="1"/>
      <c r="VS27" s="1"/>
      <c r="VT27" s="1"/>
      <c r="VU27" s="1"/>
      <c r="VV27" s="1"/>
      <c r="VW27" s="1"/>
      <c r="VX27" s="1"/>
      <c r="VY27" s="55" t="s">
        <v>244</v>
      </c>
      <c r="VZ27" s="1"/>
      <c r="WA27" s="56" t="s">
        <v>244</v>
      </c>
      <c r="WB27" s="1"/>
      <c r="WC27" s="1"/>
      <c r="WD27" s="2">
        <v>0</v>
      </c>
      <c r="WE27" s="55">
        <v>100</v>
      </c>
      <c r="WF27" s="1"/>
      <c r="WG27" s="1"/>
      <c r="WH27" s="1"/>
      <c r="WI27" s="1"/>
      <c r="WJ27" s="1"/>
      <c r="WK27" s="1"/>
      <c r="WL27" s="55" t="s">
        <v>244</v>
      </c>
      <c r="WM27" s="1"/>
      <c r="WN27" s="56" t="s">
        <v>244</v>
      </c>
      <c r="WO27" s="1"/>
      <c r="WP27" s="1"/>
      <c r="WQ27" s="2">
        <v>1</v>
      </c>
      <c r="WR27" s="55">
        <v>93.939393939393938</v>
      </c>
      <c r="WS27" s="55" t="s">
        <v>244</v>
      </c>
      <c r="WT27" s="55" t="s">
        <v>244</v>
      </c>
      <c r="WU27" s="56" t="s">
        <v>244</v>
      </c>
      <c r="WV27" s="57" t="s">
        <v>244</v>
      </c>
      <c r="WW27" s="55" t="s">
        <v>244</v>
      </c>
      <c r="WX27" s="1"/>
      <c r="WY27" s="58">
        <v>1</v>
      </c>
      <c r="WZ27" s="59">
        <v>96.969696969696969</v>
      </c>
      <c r="XA27" s="4">
        <v>1070977</v>
      </c>
      <c r="XB27" s="39">
        <v>133</v>
      </c>
      <c r="XC27" s="39">
        <v>33</v>
      </c>
      <c r="XD27" s="1"/>
      <c r="XE27" s="1"/>
      <c r="XF27" s="1"/>
      <c r="XG27" s="1"/>
      <c r="XH27" s="1"/>
      <c r="XI27" s="1"/>
      <c r="XJ27" s="1"/>
      <c r="XK27" s="55" t="s">
        <v>244</v>
      </c>
      <c r="XL27" s="1"/>
      <c r="XM27" s="56" t="s">
        <v>244</v>
      </c>
      <c r="XN27" s="1"/>
      <c r="XO27" s="1"/>
      <c r="XP27" s="2">
        <v>0</v>
      </c>
      <c r="XQ27" s="55">
        <v>100</v>
      </c>
      <c r="XR27" s="1"/>
      <c r="XS27" s="1"/>
      <c r="XT27" s="1"/>
      <c r="XU27" s="1"/>
      <c r="XV27" s="1"/>
      <c r="XW27" s="1"/>
      <c r="XX27" s="55" t="s">
        <v>244</v>
      </c>
      <c r="XY27" s="1"/>
      <c r="XZ27" s="56" t="s">
        <v>244</v>
      </c>
      <c r="YA27" s="1"/>
      <c r="YB27" s="1"/>
      <c r="YC27" s="2">
        <v>0</v>
      </c>
      <c r="YD27" s="55">
        <v>100</v>
      </c>
      <c r="YE27" s="55" t="s">
        <v>244</v>
      </c>
      <c r="YF27" s="55" t="s">
        <v>244</v>
      </c>
      <c r="YG27" s="56" t="s">
        <v>244</v>
      </c>
      <c r="YH27" s="57" t="s">
        <v>244</v>
      </c>
      <c r="YI27" s="55" t="s">
        <v>244</v>
      </c>
      <c r="YJ27" s="1"/>
      <c r="YK27" s="58">
        <v>0</v>
      </c>
      <c r="YL27" s="59">
        <v>100</v>
      </c>
      <c r="YM27" s="4">
        <v>1070977</v>
      </c>
      <c r="YN27" s="39">
        <v>135</v>
      </c>
      <c r="YO27" s="39">
        <v>33</v>
      </c>
      <c r="YP27" s="1"/>
      <c r="YQ27" s="1"/>
      <c r="YR27" s="1"/>
      <c r="YS27" s="1"/>
      <c r="YT27" s="1"/>
      <c r="YU27" s="1"/>
      <c r="YV27" s="1"/>
      <c r="YW27" s="55" t="s">
        <v>244</v>
      </c>
      <c r="YX27" s="1"/>
      <c r="YY27" s="56" t="s">
        <v>244</v>
      </c>
      <c r="YZ27" s="1"/>
      <c r="ZA27" s="1"/>
      <c r="ZB27" s="2">
        <v>0</v>
      </c>
      <c r="ZC27" s="55">
        <v>100</v>
      </c>
      <c r="ZD27" s="1"/>
      <c r="ZE27" s="1"/>
      <c r="ZF27" s="1"/>
      <c r="ZG27" s="1"/>
      <c r="ZH27" s="1"/>
      <c r="ZI27" s="1"/>
      <c r="ZJ27" s="55" t="s">
        <v>244</v>
      </c>
      <c r="ZK27" s="1"/>
      <c r="ZL27" s="56" t="s">
        <v>244</v>
      </c>
      <c r="ZM27" s="1"/>
      <c r="ZN27" s="1"/>
      <c r="ZO27" s="2">
        <v>1</v>
      </c>
      <c r="ZP27" s="55">
        <v>93.939393939393938</v>
      </c>
      <c r="ZQ27" s="55" t="s">
        <v>244</v>
      </c>
      <c r="ZR27" s="55" t="s">
        <v>244</v>
      </c>
      <c r="ZS27" s="56" t="s">
        <v>244</v>
      </c>
      <c r="ZT27" s="57" t="s">
        <v>244</v>
      </c>
      <c r="ZU27" s="55" t="s">
        <v>244</v>
      </c>
      <c r="ZV27" s="1"/>
      <c r="ZW27" s="58">
        <v>1</v>
      </c>
      <c r="ZX27" s="59">
        <v>96.969696969696969</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4148907</v>
      </c>
      <c r="F28" s="89">
        <f t="shared" si="401"/>
        <v>1</v>
      </c>
      <c r="G28" s="89" t="str">
        <f t="shared" si="402"/>
        <v>Ç</v>
      </c>
      <c r="H28" s="37" t="s">
        <v>198</v>
      </c>
      <c r="I28" s="37" t="s">
        <v>199</v>
      </c>
      <c r="J28" s="41" t="s">
        <v>200</v>
      </c>
      <c r="K28" s="90" t="str">
        <f t="shared" si="403"/>
        <v>A</v>
      </c>
      <c r="L28" s="41" t="s">
        <v>119</v>
      </c>
      <c r="M28" s="93">
        <v>42623</v>
      </c>
      <c r="N28" s="41"/>
      <c r="O28" s="43" t="s">
        <v>238</v>
      </c>
      <c r="P28" s="91" t="str">
        <f t="shared" si="404"/>
        <v>Süleymanova Samirə Həsən</v>
      </c>
      <c r="Q28" s="4">
        <v>1070977</v>
      </c>
      <c r="R28" s="39">
        <v>101</v>
      </c>
      <c r="S28" s="39">
        <v>270</v>
      </c>
      <c r="T28" s="1"/>
      <c r="U28" s="1"/>
      <c r="V28" s="1"/>
      <c r="W28" s="1"/>
      <c r="X28" s="1"/>
      <c r="Y28" s="1"/>
      <c r="Z28" s="1"/>
      <c r="AA28" s="55" t="s">
        <v>244</v>
      </c>
      <c r="AB28" s="1"/>
      <c r="AC28" s="56" t="s">
        <v>244</v>
      </c>
      <c r="AD28" s="1"/>
      <c r="AE28" s="1"/>
      <c r="AF28" s="2">
        <v>0</v>
      </c>
      <c r="AG28" s="55">
        <v>100</v>
      </c>
      <c r="AH28" s="1"/>
      <c r="AI28" s="1"/>
      <c r="AJ28" s="1"/>
      <c r="AK28" s="1"/>
      <c r="AL28" s="1"/>
      <c r="AM28" s="1"/>
      <c r="AN28" s="55" t="s">
        <v>244</v>
      </c>
      <c r="AO28" s="1"/>
      <c r="AP28" s="56" t="s">
        <v>244</v>
      </c>
      <c r="AQ28" s="1"/>
      <c r="AR28" s="1"/>
      <c r="AS28" s="2">
        <v>8</v>
      </c>
      <c r="AT28" s="55">
        <v>94.074074074074076</v>
      </c>
      <c r="AU28" s="55" t="s">
        <v>244</v>
      </c>
      <c r="AV28" s="55" t="s">
        <v>244</v>
      </c>
      <c r="AW28" s="56" t="s">
        <v>244</v>
      </c>
      <c r="AX28" s="57" t="s">
        <v>244</v>
      </c>
      <c r="AY28" s="55" t="s">
        <v>244</v>
      </c>
      <c r="AZ28" s="1"/>
      <c r="BA28" s="58">
        <v>8</v>
      </c>
      <c r="BB28" s="59">
        <v>97.037037037037038</v>
      </c>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1268638</v>
      </c>
      <c r="EB28" s="39">
        <v>106</v>
      </c>
      <c r="EC28" s="39">
        <v>36</v>
      </c>
      <c r="ED28" s="1"/>
      <c r="EE28" s="1"/>
      <c r="EF28" s="1"/>
      <c r="EG28" s="1"/>
      <c r="EH28" s="1"/>
      <c r="EI28" s="1"/>
      <c r="EJ28" s="1"/>
      <c r="EK28" s="55" t="s">
        <v>244</v>
      </c>
      <c r="EL28" s="1"/>
      <c r="EM28" s="56" t="s">
        <v>244</v>
      </c>
      <c r="EN28" s="1"/>
      <c r="EO28" s="1"/>
      <c r="EP28" s="2">
        <v>0</v>
      </c>
      <c r="EQ28" s="55">
        <v>100</v>
      </c>
      <c r="ER28" s="1"/>
      <c r="ES28" s="1"/>
      <c r="ET28" s="1"/>
      <c r="EU28" s="1"/>
      <c r="EV28" s="1"/>
      <c r="EW28" s="1"/>
      <c r="EX28" s="55" t="s">
        <v>244</v>
      </c>
      <c r="EY28" s="1"/>
      <c r="EZ28" s="56" t="s">
        <v>244</v>
      </c>
      <c r="FA28" s="1"/>
      <c r="FB28" s="1"/>
      <c r="FC28" s="2">
        <v>0</v>
      </c>
      <c r="FD28" s="55">
        <v>100</v>
      </c>
      <c r="FE28" s="55" t="s">
        <v>244</v>
      </c>
      <c r="FF28" s="55" t="s">
        <v>244</v>
      </c>
      <c r="FG28" s="56" t="s">
        <v>244</v>
      </c>
      <c r="FH28" s="57" t="s">
        <v>244</v>
      </c>
      <c r="FI28" s="55" t="s">
        <v>244</v>
      </c>
      <c r="FJ28" s="1"/>
      <c r="FK28" s="58">
        <v>0</v>
      </c>
      <c r="FL28" s="59">
        <v>100</v>
      </c>
      <c r="FM28" s="4">
        <v>1070977</v>
      </c>
      <c r="FN28" s="39">
        <v>110</v>
      </c>
      <c r="FO28" s="39">
        <v>168</v>
      </c>
      <c r="FP28" s="1"/>
      <c r="FQ28" s="1"/>
      <c r="FR28" s="1"/>
      <c r="FS28" s="1"/>
      <c r="FT28" s="1"/>
      <c r="FU28" s="1"/>
      <c r="FV28" s="1"/>
      <c r="FW28" s="55" t="s">
        <v>244</v>
      </c>
      <c r="FX28" s="1"/>
      <c r="FY28" s="56" t="s">
        <v>244</v>
      </c>
      <c r="FZ28" s="1"/>
      <c r="GA28" s="1"/>
      <c r="GB28" s="2">
        <v>0</v>
      </c>
      <c r="GC28" s="55">
        <v>100</v>
      </c>
      <c r="GD28" s="1"/>
      <c r="GE28" s="1"/>
      <c r="GF28" s="1"/>
      <c r="GG28" s="1"/>
      <c r="GH28" s="1"/>
      <c r="GI28" s="1"/>
      <c r="GJ28" s="55" t="s">
        <v>244</v>
      </c>
      <c r="GK28" s="1"/>
      <c r="GL28" s="56" t="s">
        <v>244</v>
      </c>
      <c r="GM28" s="1"/>
      <c r="GN28" s="1"/>
      <c r="GO28" s="2">
        <v>7</v>
      </c>
      <c r="GP28" s="55">
        <v>91.666666666666671</v>
      </c>
      <c r="GQ28" s="55" t="s">
        <v>244</v>
      </c>
      <c r="GR28" s="55" t="s">
        <v>244</v>
      </c>
      <c r="GS28" s="56" t="s">
        <v>244</v>
      </c>
      <c r="GT28" s="57" t="s">
        <v>244</v>
      </c>
      <c r="GU28" s="55" t="s">
        <v>244</v>
      </c>
      <c r="GV28" s="1"/>
      <c r="GW28" s="58">
        <v>7</v>
      </c>
      <c r="GX28" s="59">
        <v>95.833333333333329</v>
      </c>
      <c r="GY28" s="4">
        <v>1199044</v>
      </c>
      <c r="GZ28" s="39">
        <v>114</v>
      </c>
      <c r="HA28" s="39">
        <v>33</v>
      </c>
      <c r="HB28" s="1"/>
      <c r="HC28" s="1"/>
      <c r="HD28" s="1"/>
      <c r="HE28" s="1"/>
      <c r="HF28" s="1"/>
      <c r="HG28" s="1"/>
      <c r="HH28" s="1"/>
      <c r="HI28" s="55" t="s">
        <v>244</v>
      </c>
      <c r="HJ28" s="1"/>
      <c r="HK28" s="56" t="s">
        <v>244</v>
      </c>
      <c r="HL28" s="1"/>
      <c r="HM28" s="1"/>
      <c r="HN28" s="2">
        <v>0</v>
      </c>
      <c r="HO28" s="55">
        <v>100</v>
      </c>
      <c r="HP28" s="1"/>
      <c r="HQ28" s="1"/>
      <c r="HR28" s="1"/>
      <c r="HS28" s="1"/>
      <c r="HT28" s="1"/>
      <c r="HU28" s="1"/>
      <c r="HV28" s="55" t="s">
        <v>244</v>
      </c>
      <c r="HW28" s="1"/>
      <c r="HX28" s="56" t="s">
        <v>244</v>
      </c>
      <c r="HY28" s="1"/>
      <c r="HZ28" s="1"/>
      <c r="IA28" s="2">
        <v>0</v>
      </c>
      <c r="IB28" s="55">
        <v>100</v>
      </c>
      <c r="IC28" s="55" t="s">
        <v>244</v>
      </c>
      <c r="ID28" s="55" t="s">
        <v>244</v>
      </c>
      <c r="IE28" s="56" t="s">
        <v>244</v>
      </c>
      <c r="IF28" s="57" t="s">
        <v>244</v>
      </c>
      <c r="IG28" s="55" t="s">
        <v>244</v>
      </c>
      <c r="IH28" s="1"/>
      <c r="II28" s="58">
        <v>0</v>
      </c>
      <c r="IJ28" s="59">
        <v>100</v>
      </c>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1070977</v>
      </c>
      <c r="PT28" s="39">
        <v>128</v>
      </c>
      <c r="PU28" s="39">
        <v>33</v>
      </c>
      <c r="PV28" s="1"/>
      <c r="PW28" s="1"/>
      <c r="PX28" s="1"/>
      <c r="PY28" s="1"/>
      <c r="PZ28" s="1"/>
      <c r="QA28" s="1"/>
      <c r="QB28" s="1"/>
      <c r="QC28" s="55" t="s">
        <v>244</v>
      </c>
      <c r="QD28" s="1"/>
      <c r="QE28" s="56" t="s">
        <v>244</v>
      </c>
      <c r="QF28" s="1"/>
      <c r="QG28" s="1"/>
      <c r="QH28" s="2">
        <v>0</v>
      </c>
      <c r="QI28" s="55">
        <v>100</v>
      </c>
      <c r="QJ28" s="1"/>
      <c r="QK28" s="1"/>
      <c r="QL28" s="1"/>
      <c r="QM28" s="1"/>
      <c r="QN28" s="1"/>
      <c r="QO28" s="1"/>
      <c r="QP28" s="55" t="s">
        <v>244</v>
      </c>
      <c r="QQ28" s="1"/>
      <c r="QR28" s="56" t="s">
        <v>244</v>
      </c>
      <c r="QS28" s="1"/>
      <c r="QT28" s="1"/>
      <c r="QU28" s="2">
        <v>2</v>
      </c>
      <c r="QV28" s="55">
        <v>87.878787878787875</v>
      </c>
      <c r="QW28" s="55" t="s">
        <v>244</v>
      </c>
      <c r="QX28" s="55" t="s">
        <v>244</v>
      </c>
      <c r="QY28" s="56" t="s">
        <v>244</v>
      </c>
      <c r="QZ28" s="57" t="s">
        <v>244</v>
      </c>
      <c r="RA28" s="55" t="s">
        <v>244</v>
      </c>
      <c r="RB28" s="1"/>
      <c r="RC28" s="58">
        <v>2</v>
      </c>
      <c r="RD28" s="59">
        <v>93.939393939393938</v>
      </c>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1070977</v>
      </c>
      <c r="UD28" s="39">
        <v>131</v>
      </c>
      <c r="UE28" s="39">
        <v>69</v>
      </c>
      <c r="UF28" s="1"/>
      <c r="UG28" s="1"/>
      <c r="UH28" s="1"/>
      <c r="UI28" s="1"/>
      <c r="UJ28" s="1"/>
      <c r="UK28" s="1"/>
      <c r="UL28" s="1"/>
      <c r="UM28" s="55" t="s">
        <v>244</v>
      </c>
      <c r="UN28" s="1"/>
      <c r="UO28" s="56" t="s">
        <v>244</v>
      </c>
      <c r="UP28" s="1"/>
      <c r="UQ28" s="1"/>
      <c r="UR28" s="2">
        <v>0</v>
      </c>
      <c r="US28" s="55">
        <v>100</v>
      </c>
      <c r="UT28" s="1"/>
      <c r="UU28" s="1"/>
      <c r="UV28" s="1"/>
      <c r="UW28" s="1"/>
      <c r="UX28" s="1"/>
      <c r="UY28" s="1"/>
      <c r="UZ28" s="55" t="s">
        <v>244</v>
      </c>
      <c r="VA28" s="1"/>
      <c r="VB28" s="56" t="s">
        <v>244</v>
      </c>
      <c r="VC28" s="1"/>
      <c r="VD28" s="1"/>
      <c r="VE28" s="2">
        <v>4</v>
      </c>
      <c r="VF28" s="55">
        <v>88.405797101449281</v>
      </c>
      <c r="VG28" s="55" t="s">
        <v>244</v>
      </c>
      <c r="VH28" s="55" t="s">
        <v>244</v>
      </c>
      <c r="VI28" s="56" t="s">
        <v>244</v>
      </c>
      <c r="VJ28" s="57" t="s">
        <v>244</v>
      </c>
      <c r="VK28" s="55" t="s">
        <v>244</v>
      </c>
      <c r="VL28" s="1"/>
      <c r="VM28" s="58">
        <v>4</v>
      </c>
      <c r="VN28" s="59">
        <v>94.20289855072464</v>
      </c>
      <c r="VO28" s="4">
        <v>1070977</v>
      </c>
      <c r="VP28" s="39">
        <v>132</v>
      </c>
      <c r="VQ28" s="39">
        <v>33</v>
      </c>
      <c r="VR28" s="1"/>
      <c r="VS28" s="1"/>
      <c r="VT28" s="1"/>
      <c r="VU28" s="1"/>
      <c r="VV28" s="1"/>
      <c r="VW28" s="1"/>
      <c r="VX28" s="1"/>
      <c r="VY28" s="55" t="s">
        <v>244</v>
      </c>
      <c r="VZ28" s="1"/>
      <c r="WA28" s="56" t="s">
        <v>244</v>
      </c>
      <c r="WB28" s="1"/>
      <c r="WC28" s="1"/>
      <c r="WD28" s="2">
        <v>0</v>
      </c>
      <c r="WE28" s="55">
        <v>100</v>
      </c>
      <c r="WF28" s="1"/>
      <c r="WG28" s="1"/>
      <c r="WH28" s="1"/>
      <c r="WI28" s="1"/>
      <c r="WJ28" s="1"/>
      <c r="WK28" s="1"/>
      <c r="WL28" s="55" t="s">
        <v>244</v>
      </c>
      <c r="WM28" s="1"/>
      <c r="WN28" s="56" t="s">
        <v>244</v>
      </c>
      <c r="WO28" s="1"/>
      <c r="WP28" s="1"/>
      <c r="WQ28" s="2">
        <v>3</v>
      </c>
      <c r="WR28" s="55">
        <v>81.818181818181813</v>
      </c>
      <c r="WS28" s="55" t="s">
        <v>244</v>
      </c>
      <c r="WT28" s="55" t="s">
        <v>244</v>
      </c>
      <c r="WU28" s="56" t="s">
        <v>244</v>
      </c>
      <c r="WV28" s="57" t="s">
        <v>244</v>
      </c>
      <c r="WW28" s="55" t="s">
        <v>244</v>
      </c>
      <c r="WX28" s="1"/>
      <c r="WY28" s="58">
        <v>3</v>
      </c>
      <c r="WZ28" s="59">
        <v>90.909090909090907</v>
      </c>
      <c r="XA28" s="4">
        <v>1070977</v>
      </c>
      <c r="XB28" s="39">
        <v>133</v>
      </c>
      <c r="XC28" s="39">
        <v>33</v>
      </c>
      <c r="XD28" s="1"/>
      <c r="XE28" s="1"/>
      <c r="XF28" s="1"/>
      <c r="XG28" s="1"/>
      <c r="XH28" s="1"/>
      <c r="XI28" s="1"/>
      <c r="XJ28" s="1"/>
      <c r="XK28" s="55" t="s">
        <v>244</v>
      </c>
      <c r="XL28" s="1"/>
      <c r="XM28" s="56" t="s">
        <v>244</v>
      </c>
      <c r="XN28" s="1"/>
      <c r="XO28" s="1"/>
      <c r="XP28" s="2">
        <v>0</v>
      </c>
      <c r="XQ28" s="55">
        <v>100</v>
      </c>
      <c r="XR28" s="1"/>
      <c r="XS28" s="1"/>
      <c r="XT28" s="1"/>
      <c r="XU28" s="1"/>
      <c r="XV28" s="1"/>
      <c r="XW28" s="1"/>
      <c r="XX28" s="55" t="s">
        <v>244</v>
      </c>
      <c r="XY28" s="1"/>
      <c r="XZ28" s="56" t="s">
        <v>244</v>
      </c>
      <c r="YA28" s="1"/>
      <c r="YB28" s="1"/>
      <c r="YC28" s="2">
        <v>2</v>
      </c>
      <c r="YD28" s="55">
        <v>87.878787878787875</v>
      </c>
      <c r="YE28" s="55" t="s">
        <v>244</v>
      </c>
      <c r="YF28" s="55" t="s">
        <v>244</v>
      </c>
      <c r="YG28" s="56" t="s">
        <v>244</v>
      </c>
      <c r="YH28" s="57" t="s">
        <v>244</v>
      </c>
      <c r="YI28" s="55" t="s">
        <v>244</v>
      </c>
      <c r="YJ28" s="1"/>
      <c r="YK28" s="58">
        <v>2</v>
      </c>
      <c r="YL28" s="59">
        <v>93.939393939393938</v>
      </c>
      <c r="YM28" s="4">
        <v>1070977</v>
      </c>
      <c r="YN28" s="39">
        <v>135</v>
      </c>
      <c r="YO28" s="39">
        <v>33</v>
      </c>
      <c r="YP28" s="1"/>
      <c r="YQ28" s="1"/>
      <c r="YR28" s="1"/>
      <c r="YS28" s="1"/>
      <c r="YT28" s="1"/>
      <c r="YU28" s="1"/>
      <c r="YV28" s="1"/>
      <c r="YW28" s="55" t="s">
        <v>244</v>
      </c>
      <c r="YX28" s="1"/>
      <c r="YY28" s="56" t="s">
        <v>244</v>
      </c>
      <c r="YZ28" s="1"/>
      <c r="ZA28" s="1"/>
      <c r="ZB28" s="2">
        <v>0</v>
      </c>
      <c r="ZC28" s="55">
        <v>100</v>
      </c>
      <c r="ZD28" s="1"/>
      <c r="ZE28" s="1"/>
      <c r="ZF28" s="1"/>
      <c r="ZG28" s="1"/>
      <c r="ZH28" s="1"/>
      <c r="ZI28" s="1"/>
      <c r="ZJ28" s="55" t="s">
        <v>244</v>
      </c>
      <c r="ZK28" s="1"/>
      <c r="ZL28" s="56" t="s">
        <v>244</v>
      </c>
      <c r="ZM28" s="1"/>
      <c r="ZN28" s="1"/>
      <c r="ZO28" s="2">
        <v>0</v>
      </c>
      <c r="ZP28" s="55">
        <v>100</v>
      </c>
      <c r="ZQ28" s="55" t="s">
        <v>244</v>
      </c>
      <c r="ZR28" s="55" t="s">
        <v>244</v>
      </c>
      <c r="ZS28" s="56" t="s">
        <v>244</v>
      </c>
      <c r="ZT28" s="57" t="s">
        <v>244</v>
      </c>
      <c r="ZU28" s="55" t="s">
        <v>244</v>
      </c>
      <c r="ZV28" s="1"/>
      <c r="ZW28" s="58">
        <v>0</v>
      </c>
      <c r="ZX28" s="59">
        <v>100</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3720590</v>
      </c>
      <c r="F29" s="89">
        <f t="shared" si="401"/>
        <v>1</v>
      </c>
      <c r="G29" s="89" t="str">
        <f t="shared" si="402"/>
        <v>Ç</v>
      </c>
      <c r="H29" s="37" t="s">
        <v>201</v>
      </c>
      <c r="I29" s="37" t="s">
        <v>202</v>
      </c>
      <c r="J29" s="41" t="s">
        <v>160</v>
      </c>
      <c r="K29" s="90" t="str">
        <f t="shared" si="403"/>
        <v>A</v>
      </c>
      <c r="L29" s="41" t="s">
        <v>119</v>
      </c>
      <c r="M29" s="93">
        <v>42198</v>
      </c>
      <c r="N29" s="41"/>
      <c r="O29" s="43" t="s">
        <v>239</v>
      </c>
      <c r="P29" s="91" t="str">
        <f t="shared" si="404"/>
        <v>Süleymanova Samirə Həsən</v>
      </c>
      <c r="Q29" s="4">
        <v>1070977</v>
      </c>
      <c r="R29" s="39">
        <v>101</v>
      </c>
      <c r="S29" s="39">
        <v>270</v>
      </c>
      <c r="T29" s="1"/>
      <c r="U29" s="1"/>
      <c r="V29" s="1"/>
      <c r="W29" s="1"/>
      <c r="X29" s="1"/>
      <c r="Y29" s="1"/>
      <c r="Z29" s="1"/>
      <c r="AA29" s="55" t="s">
        <v>244</v>
      </c>
      <c r="AB29" s="1"/>
      <c r="AC29" s="56" t="s">
        <v>244</v>
      </c>
      <c r="AD29" s="1"/>
      <c r="AE29" s="1"/>
      <c r="AF29" s="2">
        <v>0</v>
      </c>
      <c r="AG29" s="55">
        <v>100</v>
      </c>
      <c r="AH29" s="1"/>
      <c r="AI29" s="1"/>
      <c r="AJ29" s="1"/>
      <c r="AK29" s="1"/>
      <c r="AL29" s="1"/>
      <c r="AM29" s="1"/>
      <c r="AN29" s="55" t="s">
        <v>244</v>
      </c>
      <c r="AO29" s="1"/>
      <c r="AP29" s="56" t="s">
        <v>244</v>
      </c>
      <c r="AQ29" s="1"/>
      <c r="AR29" s="1"/>
      <c r="AS29" s="2">
        <v>18</v>
      </c>
      <c r="AT29" s="55">
        <v>86.666666666666671</v>
      </c>
      <c r="AU29" s="55" t="s">
        <v>244</v>
      </c>
      <c r="AV29" s="55" t="s">
        <v>244</v>
      </c>
      <c r="AW29" s="56" t="s">
        <v>244</v>
      </c>
      <c r="AX29" s="57" t="s">
        <v>244</v>
      </c>
      <c r="AY29" s="55" t="s">
        <v>244</v>
      </c>
      <c r="AZ29" s="1"/>
      <c r="BA29" s="58">
        <v>18</v>
      </c>
      <c r="BB29" s="59">
        <v>93.333333333333329</v>
      </c>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1268638</v>
      </c>
      <c r="EB29" s="39">
        <v>106</v>
      </c>
      <c r="EC29" s="39">
        <v>36</v>
      </c>
      <c r="ED29" s="1"/>
      <c r="EE29" s="1"/>
      <c r="EF29" s="1"/>
      <c r="EG29" s="1"/>
      <c r="EH29" s="1"/>
      <c r="EI29" s="1"/>
      <c r="EJ29" s="1"/>
      <c r="EK29" s="55" t="s">
        <v>244</v>
      </c>
      <c r="EL29" s="1"/>
      <c r="EM29" s="56" t="s">
        <v>244</v>
      </c>
      <c r="EN29" s="1"/>
      <c r="EO29" s="1"/>
      <c r="EP29" s="2">
        <v>0</v>
      </c>
      <c r="EQ29" s="55">
        <v>100</v>
      </c>
      <c r="ER29" s="1"/>
      <c r="ES29" s="1"/>
      <c r="ET29" s="1"/>
      <c r="EU29" s="1"/>
      <c r="EV29" s="1"/>
      <c r="EW29" s="1"/>
      <c r="EX29" s="55" t="s">
        <v>244</v>
      </c>
      <c r="EY29" s="1"/>
      <c r="EZ29" s="56" t="s">
        <v>244</v>
      </c>
      <c r="FA29" s="1"/>
      <c r="FB29" s="1"/>
      <c r="FC29" s="2">
        <v>1</v>
      </c>
      <c r="FD29" s="55">
        <v>94.444444444444443</v>
      </c>
      <c r="FE29" s="55" t="s">
        <v>244</v>
      </c>
      <c r="FF29" s="55" t="s">
        <v>244</v>
      </c>
      <c r="FG29" s="56" t="s">
        <v>244</v>
      </c>
      <c r="FH29" s="57" t="s">
        <v>244</v>
      </c>
      <c r="FI29" s="55" t="s">
        <v>244</v>
      </c>
      <c r="FJ29" s="1"/>
      <c r="FK29" s="58">
        <v>1</v>
      </c>
      <c r="FL29" s="59">
        <v>97.222222222222229</v>
      </c>
      <c r="FM29" s="4">
        <v>1070977</v>
      </c>
      <c r="FN29" s="39">
        <v>110</v>
      </c>
      <c r="FO29" s="39">
        <v>168</v>
      </c>
      <c r="FP29" s="1"/>
      <c r="FQ29" s="1"/>
      <c r="FR29" s="1"/>
      <c r="FS29" s="1"/>
      <c r="FT29" s="1"/>
      <c r="FU29" s="1"/>
      <c r="FV29" s="1"/>
      <c r="FW29" s="55" t="s">
        <v>244</v>
      </c>
      <c r="FX29" s="1"/>
      <c r="FY29" s="56" t="s">
        <v>244</v>
      </c>
      <c r="FZ29" s="1"/>
      <c r="GA29" s="1"/>
      <c r="GB29" s="2">
        <v>0</v>
      </c>
      <c r="GC29" s="55">
        <v>100</v>
      </c>
      <c r="GD29" s="1"/>
      <c r="GE29" s="1"/>
      <c r="GF29" s="1"/>
      <c r="GG29" s="1"/>
      <c r="GH29" s="1"/>
      <c r="GI29" s="1"/>
      <c r="GJ29" s="55" t="s">
        <v>244</v>
      </c>
      <c r="GK29" s="1"/>
      <c r="GL29" s="56" t="s">
        <v>244</v>
      </c>
      <c r="GM29" s="1"/>
      <c r="GN29" s="1"/>
      <c r="GO29" s="2">
        <v>10</v>
      </c>
      <c r="GP29" s="55">
        <v>88.095238095238102</v>
      </c>
      <c r="GQ29" s="55" t="s">
        <v>244</v>
      </c>
      <c r="GR29" s="55" t="s">
        <v>244</v>
      </c>
      <c r="GS29" s="56" t="s">
        <v>244</v>
      </c>
      <c r="GT29" s="57" t="s">
        <v>244</v>
      </c>
      <c r="GU29" s="55" t="s">
        <v>244</v>
      </c>
      <c r="GV29" s="1"/>
      <c r="GW29" s="58">
        <v>10</v>
      </c>
      <c r="GX29" s="59">
        <v>94.047619047619051</v>
      </c>
      <c r="GY29" s="4">
        <v>1199044</v>
      </c>
      <c r="GZ29" s="39">
        <v>114</v>
      </c>
      <c r="HA29" s="39">
        <v>33</v>
      </c>
      <c r="HB29" s="1"/>
      <c r="HC29" s="1"/>
      <c r="HD29" s="1"/>
      <c r="HE29" s="1"/>
      <c r="HF29" s="1"/>
      <c r="HG29" s="1"/>
      <c r="HH29" s="1"/>
      <c r="HI29" s="55" t="s">
        <v>244</v>
      </c>
      <c r="HJ29" s="1"/>
      <c r="HK29" s="56" t="s">
        <v>244</v>
      </c>
      <c r="HL29" s="1"/>
      <c r="HM29" s="1"/>
      <c r="HN29" s="2">
        <v>0</v>
      </c>
      <c r="HO29" s="55">
        <v>100</v>
      </c>
      <c r="HP29" s="1"/>
      <c r="HQ29" s="1"/>
      <c r="HR29" s="1"/>
      <c r="HS29" s="1"/>
      <c r="HT29" s="1"/>
      <c r="HU29" s="1"/>
      <c r="HV29" s="55" t="s">
        <v>244</v>
      </c>
      <c r="HW29" s="1"/>
      <c r="HX29" s="56" t="s">
        <v>244</v>
      </c>
      <c r="HY29" s="1"/>
      <c r="HZ29" s="1"/>
      <c r="IA29" s="2">
        <v>0</v>
      </c>
      <c r="IB29" s="55">
        <v>100</v>
      </c>
      <c r="IC29" s="55" t="s">
        <v>244</v>
      </c>
      <c r="ID29" s="55" t="s">
        <v>244</v>
      </c>
      <c r="IE29" s="56" t="s">
        <v>244</v>
      </c>
      <c r="IF29" s="57" t="s">
        <v>244</v>
      </c>
      <c r="IG29" s="55" t="s">
        <v>244</v>
      </c>
      <c r="IH29" s="1"/>
      <c r="II29" s="58">
        <v>0</v>
      </c>
      <c r="IJ29" s="59">
        <v>100</v>
      </c>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1070977</v>
      </c>
      <c r="PT29" s="39">
        <v>128</v>
      </c>
      <c r="PU29" s="39">
        <v>33</v>
      </c>
      <c r="PV29" s="1"/>
      <c r="PW29" s="1"/>
      <c r="PX29" s="1"/>
      <c r="PY29" s="1"/>
      <c r="PZ29" s="1"/>
      <c r="QA29" s="1"/>
      <c r="QB29" s="1"/>
      <c r="QC29" s="55" t="s">
        <v>244</v>
      </c>
      <c r="QD29" s="1"/>
      <c r="QE29" s="56" t="s">
        <v>244</v>
      </c>
      <c r="QF29" s="1"/>
      <c r="QG29" s="1"/>
      <c r="QH29" s="2">
        <v>0</v>
      </c>
      <c r="QI29" s="55">
        <v>100</v>
      </c>
      <c r="QJ29" s="1"/>
      <c r="QK29" s="1"/>
      <c r="QL29" s="1"/>
      <c r="QM29" s="1"/>
      <c r="QN29" s="1"/>
      <c r="QO29" s="1"/>
      <c r="QP29" s="55" t="s">
        <v>244</v>
      </c>
      <c r="QQ29" s="1"/>
      <c r="QR29" s="56" t="s">
        <v>244</v>
      </c>
      <c r="QS29" s="1"/>
      <c r="QT29" s="1"/>
      <c r="QU29" s="2">
        <v>1</v>
      </c>
      <c r="QV29" s="55">
        <v>93.939393939393938</v>
      </c>
      <c r="QW29" s="55" t="s">
        <v>244</v>
      </c>
      <c r="QX29" s="55" t="s">
        <v>244</v>
      </c>
      <c r="QY29" s="56" t="s">
        <v>244</v>
      </c>
      <c r="QZ29" s="57" t="s">
        <v>244</v>
      </c>
      <c r="RA29" s="55" t="s">
        <v>244</v>
      </c>
      <c r="RB29" s="1"/>
      <c r="RC29" s="58">
        <v>1</v>
      </c>
      <c r="RD29" s="59">
        <v>96.969696969696969</v>
      </c>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1070977</v>
      </c>
      <c r="UD29" s="39">
        <v>131</v>
      </c>
      <c r="UE29" s="39">
        <v>69</v>
      </c>
      <c r="UF29" s="1"/>
      <c r="UG29" s="1"/>
      <c r="UH29" s="1"/>
      <c r="UI29" s="1"/>
      <c r="UJ29" s="1"/>
      <c r="UK29" s="1"/>
      <c r="UL29" s="1"/>
      <c r="UM29" s="55" t="s">
        <v>244</v>
      </c>
      <c r="UN29" s="1"/>
      <c r="UO29" s="56" t="s">
        <v>244</v>
      </c>
      <c r="UP29" s="1"/>
      <c r="UQ29" s="1"/>
      <c r="UR29" s="2">
        <v>0</v>
      </c>
      <c r="US29" s="55">
        <v>100</v>
      </c>
      <c r="UT29" s="1"/>
      <c r="UU29" s="1"/>
      <c r="UV29" s="1"/>
      <c r="UW29" s="1"/>
      <c r="UX29" s="1"/>
      <c r="UY29" s="1"/>
      <c r="UZ29" s="55" t="s">
        <v>244</v>
      </c>
      <c r="VA29" s="1"/>
      <c r="VB29" s="56" t="s">
        <v>244</v>
      </c>
      <c r="VC29" s="1"/>
      <c r="VD29" s="1"/>
      <c r="VE29" s="2">
        <v>2</v>
      </c>
      <c r="VF29" s="55">
        <v>94.20289855072464</v>
      </c>
      <c r="VG29" s="55" t="s">
        <v>244</v>
      </c>
      <c r="VH29" s="55" t="s">
        <v>244</v>
      </c>
      <c r="VI29" s="56" t="s">
        <v>244</v>
      </c>
      <c r="VJ29" s="57" t="s">
        <v>244</v>
      </c>
      <c r="VK29" s="55" t="s">
        <v>244</v>
      </c>
      <c r="VL29" s="1"/>
      <c r="VM29" s="58">
        <v>2</v>
      </c>
      <c r="VN29" s="59">
        <v>97.101449275362313</v>
      </c>
      <c r="VO29" s="4">
        <v>1070977</v>
      </c>
      <c r="VP29" s="39">
        <v>132</v>
      </c>
      <c r="VQ29" s="39">
        <v>33</v>
      </c>
      <c r="VR29" s="1"/>
      <c r="VS29" s="1"/>
      <c r="VT29" s="1"/>
      <c r="VU29" s="1"/>
      <c r="VV29" s="1"/>
      <c r="VW29" s="1"/>
      <c r="VX29" s="1"/>
      <c r="VY29" s="55" t="s">
        <v>244</v>
      </c>
      <c r="VZ29" s="1"/>
      <c r="WA29" s="56" t="s">
        <v>244</v>
      </c>
      <c r="WB29" s="1"/>
      <c r="WC29" s="1"/>
      <c r="WD29" s="2">
        <v>0</v>
      </c>
      <c r="WE29" s="55">
        <v>100</v>
      </c>
      <c r="WF29" s="1"/>
      <c r="WG29" s="1"/>
      <c r="WH29" s="1"/>
      <c r="WI29" s="1"/>
      <c r="WJ29" s="1"/>
      <c r="WK29" s="1"/>
      <c r="WL29" s="55" t="s">
        <v>244</v>
      </c>
      <c r="WM29" s="1"/>
      <c r="WN29" s="56" t="s">
        <v>244</v>
      </c>
      <c r="WO29" s="1"/>
      <c r="WP29" s="1"/>
      <c r="WQ29" s="2">
        <v>1</v>
      </c>
      <c r="WR29" s="55">
        <v>93.939393939393938</v>
      </c>
      <c r="WS29" s="55" t="s">
        <v>244</v>
      </c>
      <c r="WT29" s="55" t="s">
        <v>244</v>
      </c>
      <c r="WU29" s="56" t="s">
        <v>244</v>
      </c>
      <c r="WV29" s="57" t="s">
        <v>244</v>
      </c>
      <c r="WW29" s="55" t="s">
        <v>244</v>
      </c>
      <c r="WX29" s="1"/>
      <c r="WY29" s="58">
        <v>1</v>
      </c>
      <c r="WZ29" s="59">
        <v>96.969696969696969</v>
      </c>
      <c r="XA29" s="4">
        <v>1070977</v>
      </c>
      <c r="XB29" s="39">
        <v>133</v>
      </c>
      <c r="XC29" s="39">
        <v>33</v>
      </c>
      <c r="XD29" s="1"/>
      <c r="XE29" s="1"/>
      <c r="XF29" s="1"/>
      <c r="XG29" s="1"/>
      <c r="XH29" s="1"/>
      <c r="XI29" s="1"/>
      <c r="XJ29" s="1"/>
      <c r="XK29" s="55" t="s">
        <v>244</v>
      </c>
      <c r="XL29" s="1"/>
      <c r="XM29" s="56" t="s">
        <v>244</v>
      </c>
      <c r="XN29" s="1"/>
      <c r="XO29" s="1"/>
      <c r="XP29" s="2">
        <v>0</v>
      </c>
      <c r="XQ29" s="55">
        <v>100</v>
      </c>
      <c r="XR29" s="1"/>
      <c r="XS29" s="1"/>
      <c r="XT29" s="1"/>
      <c r="XU29" s="1"/>
      <c r="XV29" s="1"/>
      <c r="XW29" s="1"/>
      <c r="XX29" s="55" t="s">
        <v>244</v>
      </c>
      <c r="XY29" s="1"/>
      <c r="XZ29" s="56" t="s">
        <v>244</v>
      </c>
      <c r="YA29" s="1"/>
      <c r="YB29" s="1"/>
      <c r="YC29" s="2">
        <v>1</v>
      </c>
      <c r="YD29" s="55">
        <v>93.939393939393938</v>
      </c>
      <c r="YE29" s="55" t="s">
        <v>244</v>
      </c>
      <c r="YF29" s="55" t="s">
        <v>244</v>
      </c>
      <c r="YG29" s="56" t="s">
        <v>244</v>
      </c>
      <c r="YH29" s="57" t="s">
        <v>244</v>
      </c>
      <c r="YI29" s="55" t="s">
        <v>244</v>
      </c>
      <c r="YJ29" s="1"/>
      <c r="YK29" s="58">
        <v>1</v>
      </c>
      <c r="YL29" s="59">
        <v>96.969696969696969</v>
      </c>
      <c r="YM29" s="4">
        <v>1070977</v>
      </c>
      <c r="YN29" s="39">
        <v>135</v>
      </c>
      <c r="YO29" s="39">
        <v>33</v>
      </c>
      <c r="YP29" s="1"/>
      <c r="YQ29" s="1"/>
      <c r="YR29" s="1"/>
      <c r="YS29" s="1"/>
      <c r="YT29" s="1"/>
      <c r="YU29" s="1"/>
      <c r="YV29" s="1"/>
      <c r="YW29" s="55" t="s">
        <v>244</v>
      </c>
      <c r="YX29" s="1"/>
      <c r="YY29" s="56" t="s">
        <v>244</v>
      </c>
      <c r="YZ29" s="1"/>
      <c r="ZA29" s="1"/>
      <c r="ZB29" s="2">
        <v>0</v>
      </c>
      <c r="ZC29" s="55">
        <v>100</v>
      </c>
      <c r="ZD29" s="1"/>
      <c r="ZE29" s="1"/>
      <c r="ZF29" s="1"/>
      <c r="ZG29" s="1"/>
      <c r="ZH29" s="1"/>
      <c r="ZI29" s="1"/>
      <c r="ZJ29" s="55" t="s">
        <v>244</v>
      </c>
      <c r="ZK29" s="1"/>
      <c r="ZL29" s="56" t="s">
        <v>244</v>
      </c>
      <c r="ZM29" s="1"/>
      <c r="ZN29" s="1"/>
      <c r="ZO29" s="2">
        <v>2</v>
      </c>
      <c r="ZP29" s="55">
        <v>87.878787878787875</v>
      </c>
      <c r="ZQ29" s="55" t="s">
        <v>244</v>
      </c>
      <c r="ZR29" s="55" t="s">
        <v>244</v>
      </c>
      <c r="ZS29" s="56" t="s">
        <v>244</v>
      </c>
      <c r="ZT29" s="57" t="s">
        <v>244</v>
      </c>
      <c r="ZU29" s="55" t="s">
        <v>244</v>
      </c>
      <c r="ZV29" s="1"/>
      <c r="ZW29" s="58">
        <v>2</v>
      </c>
      <c r="ZX29" s="59">
        <v>93.939393939393938</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3984847</v>
      </c>
      <c r="F30" s="89">
        <f t="shared" si="401"/>
        <v>1</v>
      </c>
      <c r="G30" s="89" t="str">
        <f t="shared" si="402"/>
        <v>Ç</v>
      </c>
      <c r="H30" s="37" t="s">
        <v>201</v>
      </c>
      <c r="I30" s="37" t="s">
        <v>203</v>
      </c>
      <c r="J30" s="41" t="s">
        <v>204</v>
      </c>
      <c r="K30" s="90" t="str">
        <f t="shared" si="403"/>
        <v>A</v>
      </c>
      <c r="L30" s="41" t="s">
        <v>119</v>
      </c>
      <c r="M30" s="93">
        <v>42644</v>
      </c>
      <c r="N30" s="41"/>
      <c r="O30" s="43" t="s">
        <v>240</v>
      </c>
      <c r="P30" s="91" t="str">
        <f t="shared" si="404"/>
        <v>Süleymanova Samirə Həsən</v>
      </c>
      <c r="Q30" s="4">
        <v>1070977</v>
      </c>
      <c r="R30" s="39">
        <v>101</v>
      </c>
      <c r="S30" s="39">
        <v>270</v>
      </c>
      <c r="T30" s="1"/>
      <c r="U30" s="1"/>
      <c r="V30" s="1"/>
      <c r="W30" s="1"/>
      <c r="X30" s="1"/>
      <c r="Y30" s="1"/>
      <c r="Z30" s="1"/>
      <c r="AA30" s="55" t="s">
        <v>244</v>
      </c>
      <c r="AB30" s="1"/>
      <c r="AC30" s="56" t="s">
        <v>244</v>
      </c>
      <c r="AD30" s="1"/>
      <c r="AE30" s="1"/>
      <c r="AF30" s="2">
        <v>10</v>
      </c>
      <c r="AG30" s="55">
        <v>92.592592592592595</v>
      </c>
      <c r="AH30" s="1"/>
      <c r="AI30" s="1"/>
      <c r="AJ30" s="1"/>
      <c r="AK30" s="1"/>
      <c r="AL30" s="1"/>
      <c r="AM30" s="1"/>
      <c r="AN30" s="55" t="s">
        <v>244</v>
      </c>
      <c r="AO30" s="1"/>
      <c r="AP30" s="56" t="s">
        <v>244</v>
      </c>
      <c r="AQ30" s="1"/>
      <c r="AR30" s="1"/>
      <c r="AS30" s="2">
        <v>0</v>
      </c>
      <c r="AT30" s="55">
        <v>100</v>
      </c>
      <c r="AU30" s="55" t="s">
        <v>244</v>
      </c>
      <c r="AV30" s="55" t="s">
        <v>244</v>
      </c>
      <c r="AW30" s="56" t="s">
        <v>244</v>
      </c>
      <c r="AX30" s="57" t="s">
        <v>244</v>
      </c>
      <c r="AY30" s="55" t="s">
        <v>244</v>
      </c>
      <c r="AZ30" s="1"/>
      <c r="BA30" s="58">
        <v>10</v>
      </c>
      <c r="BB30" s="59">
        <v>96.296296296296291</v>
      </c>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1268638</v>
      </c>
      <c r="EB30" s="39">
        <v>106</v>
      </c>
      <c r="EC30" s="39">
        <v>36</v>
      </c>
      <c r="ED30" s="1"/>
      <c r="EE30" s="1"/>
      <c r="EF30" s="1"/>
      <c r="EG30" s="1"/>
      <c r="EH30" s="1"/>
      <c r="EI30" s="1"/>
      <c r="EJ30" s="1"/>
      <c r="EK30" s="55" t="s">
        <v>244</v>
      </c>
      <c r="EL30" s="1"/>
      <c r="EM30" s="56" t="s">
        <v>244</v>
      </c>
      <c r="EN30" s="1"/>
      <c r="EO30" s="1"/>
      <c r="EP30" s="2">
        <v>1</v>
      </c>
      <c r="EQ30" s="55">
        <v>94.444444444444443</v>
      </c>
      <c r="ER30" s="1"/>
      <c r="ES30" s="1"/>
      <c r="ET30" s="1"/>
      <c r="EU30" s="1"/>
      <c r="EV30" s="1"/>
      <c r="EW30" s="1"/>
      <c r="EX30" s="55" t="s">
        <v>244</v>
      </c>
      <c r="EY30" s="1"/>
      <c r="EZ30" s="56" t="s">
        <v>244</v>
      </c>
      <c r="FA30" s="1"/>
      <c r="FB30" s="1"/>
      <c r="FC30" s="2">
        <v>0</v>
      </c>
      <c r="FD30" s="55">
        <v>100</v>
      </c>
      <c r="FE30" s="55" t="s">
        <v>244</v>
      </c>
      <c r="FF30" s="55" t="s">
        <v>244</v>
      </c>
      <c r="FG30" s="56" t="s">
        <v>244</v>
      </c>
      <c r="FH30" s="57" t="s">
        <v>244</v>
      </c>
      <c r="FI30" s="55" t="s">
        <v>244</v>
      </c>
      <c r="FJ30" s="1"/>
      <c r="FK30" s="58">
        <v>1</v>
      </c>
      <c r="FL30" s="59">
        <v>97.222222222222229</v>
      </c>
      <c r="FM30" s="4">
        <v>1070977</v>
      </c>
      <c r="FN30" s="39">
        <v>110</v>
      </c>
      <c r="FO30" s="39">
        <v>168</v>
      </c>
      <c r="FP30" s="1"/>
      <c r="FQ30" s="1"/>
      <c r="FR30" s="1"/>
      <c r="FS30" s="1"/>
      <c r="FT30" s="1"/>
      <c r="FU30" s="1"/>
      <c r="FV30" s="1"/>
      <c r="FW30" s="55" t="s">
        <v>244</v>
      </c>
      <c r="FX30" s="1"/>
      <c r="FY30" s="56" t="s">
        <v>244</v>
      </c>
      <c r="FZ30" s="1"/>
      <c r="GA30" s="1"/>
      <c r="GB30" s="2">
        <v>8</v>
      </c>
      <c r="GC30" s="55">
        <v>90.476190476190482</v>
      </c>
      <c r="GD30" s="1"/>
      <c r="GE30" s="1"/>
      <c r="GF30" s="1"/>
      <c r="GG30" s="1"/>
      <c r="GH30" s="1"/>
      <c r="GI30" s="1"/>
      <c r="GJ30" s="55" t="s">
        <v>244</v>
      </c>
      <c r="GK30" s="1"/>
      <c r="GL30" s="56" t="s">
        <v>244</v>
      </c>
      <c r="GM30" s="1"/>
      <c r="GN30" s="1"/>
      <c r="GO30" s="2">
        <v>0</v>
      </c>
      <c r="GP30" s="55">
        <v>100</v>
      </c>
      <c r="GQ30" s="55" t="s">
        <v>244</v>
      </c>
      <c r="GR30" s="55" t="s">
        <v>244</v>
      </c>
      <c r="GS30" s="56" t="s">
        <v>244</v>
      </c>
      <c r="GT30" s="57" t="s">
        <v>244</v>
      </c>
      <c r="GU30" s="55" t="s">
        <v>244</v>
      </c>
      <c r="GV30" s="1"/>
      <c r="GW30" s="58">
        <v>8</v>
      </c>
      <c r="GX30" s="59">
        <v>95.238095238095241</v>
      </c>
      <c r="GY30" s="4">
        <v>1199044</v>
      </c>
      <c r="GZ30" s="39">
        <v>114</v>
      </c>
      <c r="HA30" s="39">
        <v>33</v>
      </c>
      <c r="HB30" s="1"/>
      <c r="HC30" s="1"/>
      <c r="HD30" s="1"/>
      <c r="HE30" s="1"/>
      <c r="HF30" s="1"/>
      <c r="HG30" s="1"/>
      <c r="HH30" s="1"/>
      <c r="HI30" s="55" t="s">
        <v>244</v>
      </c>
      <c r="HJ30" s="1"/>
      <c r="HK30" s="56" t="s">
        <v>244</v>
      </c>
      <c r="HL30" s="1"/>
      <c r="HM30" s="1"/>
      <c r="HN30" s="2">
        <v>0</v>
      </c>
      <c r="HO30" s="55">
        <v>100</v>
      </c>
      <c r="HP30" s="1"/>
      <c r="HQ30" s="1"/>
      <c r="HR30" s="1"/>
      <c r="HS30" s="1"/>
      <c r="HT30" s="1"/>
      <c r="HU30" s="1"/>
      <c r="HV30" s="55" t="s">
        <v>244</v>
      </c>
      <c r="HW30" s="1"/>
      <c r="HX30" s="56" t="s">
        <v>244</v>
      </c>
      <c r="HY30" s="1"/>
      <c r="HZ30" s="1"/>
      <c r="IA30" s="2">
        <v>0</v>
      </c>
      <c r="IB30" s="55">
        <v>100</v>
      </c>
      <c r="IC30" s="55" t="s">
        <v>244</v>
      </c>
      <c r="ID30" s="55" t="s">
        <v>244</v>
      </c>
      <c r="IE30" s="56" t="s">
        <v>244</v>
      </c>
      <c r="IF30" s="57" t="s">
        <v>244</v>
      </c>
      <c r="IG30" s="55" t="s">
        <v>244</v>
      </c>
      <c r="IH30" s="1"/>
      <c r="II30" s="58">
        <v>0</v>
      </c>
      <c r="IJ30" s="59">
        <v>100</v>
      </c>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1070977</v>
      </c>
      <c r="PT30" s="39">
        <v>128</v>
      </c>
      <c r="PU30" s="39">
        <v>33</v>
      </c>
      <c r="PV30" s="1"/>
      <c r="PW30" s="1"/>
      <c r="PX30" s="1"/>
      <c r="PY30" s="1"/>
      <c r="PZ30" s="1"/>
      <c r="QA30" s="1"/>
      <c r="QB30" s="1"/>
      <c r="QC30" s="55" t="s">
        <v>244</v>
      </c>
      <c r="QD30" s="1"/>
      <c r="QE30" s="56" t="s">
        <v>244</v>
      </c>
      <c r="QF30" s="1"/>
      <c r="QG30" s="1"/>
      <c r="QH30" s="2">
        <v>0</v>
      </c>
      <c r="QI30" s="55">
        <v>100</v>
      </c>
      <c r="QJ30" s="1"/>
      <c r="QK30" s="1"/>
      <c r="QL30" s="1"/>
      <c r="QM30" s="1"/>
      <c r="QN30" s="1"/>
      <c r="QO30" s="1"/>
      <c r="QP30" s="55" t="s">
        <v>244</v>
      </c>
      <c r="QQ30" s="1"/>
      <c r="QR30" s="56" t="s">
        <v>244</v>
      </c>
      <c r="QS30" s="1"/>
      <c r="QT30" s="1"/>
      <c r="QU30" s="2">
        <v>0</v>
      </c>
      <c r="QV30" s="55">
        <v>100</v>
      </c>
      <c r="QW30" s="55" t="s">
        <v>244</v>
      </c>
      <c r="QX30" s="55" t="s">
        <v>244</v>
      </c>
      <c r="QY30" s="56" t="s">
        <v>244</v>
      </c>
      <c r="QZ30" s="57" t="s">
        <v>244</v>
      </c>
      <c r="RA30" s="55" t="s">
        <v>244</v>
      </c>
      <c r="RB30" s="1"/>
      <c r="RC30" s="58">
        <v>0</v>
      </c>
      <c r="RD30" s="59">
        <v>100</v>
      </c>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1070977</v>
      </c>
      <c r="UD30" s="39">
        <v>131</v>
      </c>
      <c r="UE30" s="39">
        <v>69</v>
      </c>
      <c r="UF30" s="1"/>
      <c r="UG30" s="1"/>
      <c r="UH30" s="1"/>
      <c r="UI30" s="1"/>
      <c r="UJ30" s="1"/>
      <c r="UK30" s="1"/>
      <c r="UL30" s="1"/>
      <c r="UM30" s="55" t="s">
        <v>244</v>
      </c>
      <c r="UN30" s="1"/>
      <c r="UO30" s="56" t="s">
        <v>244</v>
      </c>
      <c r="UP30" s="1"/>
      <c r="UQ30" s="1"/>
      <c r="UR30" s="2">
        <v>2</v>
      </c>
      <c r="US30" s="55">
        <v>94.20289855072464</v>
      </c>
      <c r="UT30" s="1"/>
      <c r="UU30" s="1"/>
      <c r="UV30" s="1"/>
      <c r="UW30" s="1"/>
      <c r="UX30" s="1"/>
      <c r="UY30" s="1"/>
      <c r="UZ30" s="55" t="s">
        <v>244</v>
      </c>
      <c r="VA30" s="1"/>
      <c r="VB30" s="56" t="s">
        <v>244</v>
      </c>
      <c r="VC30" s="1"/>
      <c r="VD30" s="1"/>
      <c r="VE30" s="2">
        <v>0</v>
      </c>
      <c r="VF30" s="55">
        <v>100</v>
      </c>
      <c r="VG30" s="55" t="s">
        <v>244</v>
      </c>
      <c r="VH30" s="55" t="s">
        <v>244</v>
      </c>
      <c r="VI30" s="56" t="s">
        <v>244</v>
      </c>
      <c r="VJ30" s="57" t="s">
        <v>244</v>
      </c>
      <c r="VK30" s="55" t="s">
        <v>244</v>
      </c>
      <c r="VL30" s="1"/>
      <c r="VM30" s="58">
        <v>2</v>
      </c>
      <c r="VN30" s="59">
        <v>97.101449275362313</v>
      </c>
      <c r="VO30" s="4">
        <v>1070977</v>
      </c>
      <c r="VP30" s="39">
        <v>132</v>
      </c>
      <c r="VQ30" s="39">
        <v>33</v>
      </c>
      <c r="VR30" s="1"/>
      <c r="VS30" s="1"/>
      <c r="VT30" s="1"/>
      <c r="VU30" s="1"/>
      <c r="VV30" s="1"/>
      <c r="VW30" s="1"/>
      <c r="VX30" s="1"/>
      <c r="VY30" s="55" t="s">
        <v>244</v>
      </c>
      <c r="VZ30" s="1"/>
      <c r="WA30" s="56" t="s">
        <v>244</v>
      </c>
      <c r="WB30" s="1"/>
      <c r="WC30" s="1"/>
      <c r="WD30" s="2">
        <v>0</v>
      </c>
      <c r="WE30" s="55">
        <v>100</v>
      </c>
      <c r="WF30" s="1"/>
      <c r="WG30" s="1"/>
      <c r="WH30" s="1"/>
      <c r="WI30" s="1"/>
      <c r="WJ30" s="1"/>
      <c r="WK30" s="1"/>
      <c r="WL30" s="55" t="s">
        <v>244</v>
      </c>
      <c r="WM30" s="1"/>
      <c r="WN30" s="56" t="s">
        <v>244</v>
      </c>
      <c r="WO30" s="1"/>
      <c r="WP30" s="1"/>
      <c r="WQ30" s="2">
        <v>0</v>
      </c>
      <c r="WR30" s="55">
        <v>100</v>
      </c>
      <c r="WS30" s="55" t="s">
        <v>244</v>
      </c>
      <c r="WT30" s="55" t="s">
        <v>244</v>
      </c>
      <c r="WU30" s="56" t="s">
        <v>244</v>
      </c>
      <c r="WV30" s="57" t="s">
        <v>244</v>
      </c>
      <c r="WW30" s="55" t="s">
        <v>244</v>
      </c>
      <c r="WX30" s="1"/>
      <c r="WY30" s="58">
        <v>0</v>
      </c>
      <c r="WZ30" s="59">
        <v>100</v>
      </c>
      <c r="XA30" s="4">
        <v>1070977</v>
      </c>
      <c r="XB30" s="39">
        <v>133</v>
      </c>
      <c r="XC30" s="39">
        <v>33</v>
      </c>
      <c r="XD30" s="1"/>
      <c r="XE30" s="1"/>
      <c r="XF30" s="1"/>
      <c r="XG30" s="1"/>
      <c r="XH30" s="1"/>
      <c r="XI30" s="1"/>
      <c r="XJ30" s="1"/>
      <c r="XK30" s="55" t="s">
        <v>244</v>
      </c>
      <c r="XL30" s="1"/>
      <c r="XM30" s="56" t="s">
        <v>244</v>
      </c>
      <c r="XN30" s="1"/>
      <c r="XO30" s="1"/>
      <c r="XP30" s="2">
        <v>1</v>
      </c>
      <c r="XQ30" s="55">
        <v>93.939393939393938</v>
      </c>
      <c r="XR30" s="1"/>
      <c r="XS30" s="1"/>
      <c r="XT30" s="1"/>
      <c r="XU30" s="1"/>
      <c r="XV30" s="1"/>
      <c r="XW30" s="1"/>
      <c r="XX30" s="55" t="s">
        <v>244</v>
      </c>
      <c r="XY30" s="1"/>
      <c r="XZ30" s="56" t="s">
        <v>244</v>
      </c>
      <c r="YA30" s="1"/>
      <c r="YB30" s="1"/>
      <c r="YC30" s="2">
        <v>0</v>
      </c>
      <c r="YD30" s="55">
        <v>100</v>
      </c>
      <c r="YE30" s="55" t="s">
        <v>244</v>
      </c>
      <c r="YF30" s="55" t="s">
        <v>244</v>
      </c>
      <c r="YG30" s="56" t="s">
        <v>244</v>
      </c>
      <c r="YH30" s="57" t="s">
        <v>244</v>
      </c>
      <c r="YI30" s="55" t="s">
        <v>244</v>
      </c>
      <c r="YJ30" s="1"/>
      <c r="YK30" s="58">
        <v>1</v>
      </c>
      <c r="YL30" s="59">
        <v>96.969696969696969</v>
      </c>
      <c r="YM30" s="4">
        <v>1070977</v>
      </c>
      <c r="YN30" s="39">
        <v>135</v>
      </c>
      <c r="YO30" s="39">
        <v>33</v>
      </c>
      <c r="YP30" s="1"/>
      <c r="YQ30" s="1"/>
      <c r="YR30" s="1"/>
      <c r="YS30" s="1"/>
      <c r="YT30" s="1"/>
      <c r="YU30" s="1"/>
      <c r="YV30" s="1"/>
      <c r="YW30" s="55" t="s">
        <v>244</v>
      </c>
      <c r="YX30" s="1"/>
      <c r="YY30" s="56" t="s">
        <v>244</v>
      </c>
      <c r="YZ30" s="1"/>
      <c r="ZA30" s="1"/>
      <c r="ZB30" s="2">
        <v>1</v>
      </c>
      <c r="ZC30" s="55">
        <v>93.939393939393938</v>
      </c>
      <c r="ZD30" s="1"/>
      <c r="ZE30" s="1"/>
      <c r="ZF30" s="1"/>
      <c r="ZG30" s="1"/>
      <c r="ZH30" s="1"/>
      <c r="ZI30" s="1"/>
      <c r="ZJ30" s="55" t="s">
        <v>244</v>
      </c>
      <c r="ZK30" s="1"/>
      <c r="ZL30" s="56" t="s">
        <v>244</v>
      </c>
      <c r="ZM30" s="1"/>
      <c r="ZN30" s="1"/>
      <c r="ZO30" s="2">
        <v>0</v>
      </c>
      <c r="ZP30" s="55">
        <v>100</v>
      </c>
      <c r="ZQ30" s="55" t="s">
        <v>244</v>
      </c>
      <c r="ZR30" s="55" t="s">
        <v>244</v>
      </c>
      <c r="ZS30" s="56" t="s">
        <v>244</v>
      </c>
      <c r="ZT30" s="57" t="s">
        <v>244</v>
      </c>
      <c r="ZU30" s="55" t="s">
        <v>244</v>
      </c>
      <c r="ZV30" s="1"/>
      <c r="ZW30" s="58">
        <v>1</v>
      </c>
      <c r="ZX30" s="59">
        <v>96.969696969696969</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3984869</v>
      </c>
      <c r="F31" s="89">
        <f t="shared" si="401"/>
        <v>1</v>
      </c>
      <c r="G31" s="89" t="str">
        <f t="shared" si="402"/>
        <v>Ç</v>
      </c>
      <c r="H31" s="37" t="s">
        <v>205</v>
      </c>
      <c r="I31" s="37" t="s">
        <v>206</v>
      </c>
      <c r="J31" s="41" t="s">
        <v>207</v>
      </c>
      <c r="K31" s="90" t="str">
        <f t="shared" si="403"/>
        <v>A</v>
      </c>
      <c r="L31" s="41" t="s">
        <v>117</v>
      </c>
      <c r="M31" s="93">
        <v>42413</v>
      </c>
      <c r="N31" s="41"/>
      <c r="O31" s="43" t="s">
        <v>241</v>
      </c>
      <c r="P31" s="91" t="str">
        <f t="shared" si="404"/>
        <v>Süleymanova Samirə Həsən</v>
      </c>
      <c r="Q31" s="4">
        <v>1070977</v>
      </c>
      <c r="R31" s="39">
        <v>101</v>
      </c>
      <c r="S31" s="39">
        <v>270</v>
      </c>
      <c r="T31" s="1"/>
      <c r="U31" s="1"/>
      <c r="V31" s="1"/>
      <c r="W31" s="1"/>
      <c r="X31" s="1"/>
      <c r="Y31" s="1"/>
      <c r="Z31" s="1"/>
      <c r="AA31" s="55" t="s">
        <v>244</v>
      </c>
      <c r="AB31" s="1"/>
      <c r="AC31" s="56" t="s">
        <v>244</v>
      </c>
      <c r="AD31" s="1"/>
      <c r="AE31" s="1"/>
      <c r="AF31" s="2">
        <v>0</v>
      </c>
      <c r="AG31" s="55">
        <v>100</v>
      </c>
      <c r="AH31" s="1"/>
      <c r="AI31" s="1"/>
      <c r="AJ31" s="1"/>
      <c r="AK31" s="1"/>
      <c r="AL31" s="1"/>
      <c r="AM31" s="1"/>
      <c r="AN31" s="55" t="s">
        <v>244</v>
      </c>
      <c r="AO31" s="1"/>
      <c r="AP31" s="56" t="s">
        <v>244</v>
      </c>
      <c r="AQ31" s="1"/>
      <c r="AR31" s="1"/>
      <c r="AS31" s="2">
        <v>2</v>
      </c>
      <c r="AT31" s="55">
        <v>98.518518518518519</v>
      </c>
      <c r="AU31" s="55" t="s">
        <v>244</v>
      </c>
      <c r="AV31" s="55" t="s">
        <v>244</v>
      </c>
      <c r="AW31" s="56" t="s">
        <v>244</v>
      </c>
      <c r="AX31" s="57" t="s">
        <v>244</v>
      </c>
      <c r="AY31" s="55" t="s">
        <v>244</v>
      </c>
      <c r="AZ31" s="1"/>
      <c r="BA31" s="58">
        <v>2</v>
      </c>
      <c r="BB31" s="59">
        <v>99.259259259259252</v>
      </c>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v>1268638</v>
      </c>
      <c r="EB31" s="39">
        <v>106</v>
      </c>
      <c r="EC31" s="39">
        <v>36</v>
      </c>
      <c r="ED31" s="1"/>
      <c r="EE31" s="1"/>
      <c r="EF31" s="1"/>
      <c r="EG31" s="1"/>
      <c r="EH31" s="1"/>
      <c r="EI31" s="1"/>
      <c r="EJ31" s="1"/>
      <c r="EK31" s="55" t="s">
        <v>244</v>
      </c>
      <c r="EL31" s="1"/>
      <c r="EM31" s="56" t="s">
        <v>244</v>
      </c>
      <c r="EN31" s="1"/>
      <c r="EO31" s="1"/>
      <c r="EP31" s="2">
        <v>1</v>
      </c>
      <c r="EQ31" s="55">
        <v>94.444444444444443</v>
      </c>
      <c r="ER31" s="1"/>
      <c r="ES31" s="1"/>
      <c r="ET31" s="1"/>
      <c r="EU31" s="1"/>
      <c r="EV31" s="1"/>
      <c r="EW31" s="1"/>
      <c r="EX31" s="55" t="s">
        <v>244</v>
      </c>
      <c r="EY31" s="1"/>
      <c r="EZ31" s="56" t="s">
        <v>244</v>
      </c>
      <c r="FA31" s="1"/>
      <c r="FB31" s="1"/>
      <c r="FC31" s="2">
        <v>0</v>
      </c>
      <c r="FD31" s="55">
        <v>100</v>
      </c>
      <c r="FE31" s="55" t="s">
        <v>244</v>
      </c>
      <c r="FF31" s="55" t="s">
        <v>244</v>
      </c>
      <c r="FG31" s="56" t="s">
        <v>244</v>
      </c>
      <c r="FH31" s="57" t="s">
        <v>244</v>
      </c>
      <c r="FI31" s="55" t="s">
        <v>244</v>
      </c>
      <c r="FJ31" s="1"/>
      <c r="FK31" s="58">
        <v>1</v>
      </c>
      <c r="FL31" s="59">
        <v>97.222222222222229</v>
      </c>
      <c r="FM31" s="4">
        <v>1070977</v>
      </c>
      <c r="FN31" s="39">
        <v>110</v>
      </c>
      <c r="FO31" s="39">
        <v>168</v>
      </c>
      <c r="FP31" s="1"/>
      <c r="FQ31" s="1"/>
      <c r="FR31" s="1"/>
      <c r="FS31" s="1"/>
      <c r="FT31" s="1"/>
      <c r="FU31" s="1"/>
      <c r="FV31" s="1"/>
      <c r="FW31" s="55" t="s">
        <v>244</v>
      </c>
      <c r="FX31" s="1"/>
      <c r="FY31" s="56" t="s">
        <v>244</v>
      </c>
      <c r="FZ31" s="1"/>
      <c r="GA31" s="1"/>
      <c r="GB31" s="2">
        <v>0</v>
      </c>
      <c r="GC31" s="55">
        <v>100</v>
      </c>
      <c r="GD31" s="1"/>
      <c r="GE31" s="1"/>
      <c r="GF31" s="1"/>
      <c r="GG31" s="1"/>
      <c r="GH31" s="1"/>
      <c r="GI31" s="1"/>
      <c r="GJ31" s="55" t="s">
        <v>244</v>
      </c>
      <c r="GK31" s="1"/>
      <c r="GL31" s="56" t="s">
        <v>244</v>
      </c>
      <c r="GM31" s="1"/>
      <c r="GN31" s="1"/>
      <c r="GO31" s="2">
        <v>1</v>
      </c>
      <c r="GP31" s="55">
        <v>98.80952380952381</v>
      </c>
      <c r="GQ31" s="55" t="s">
        <v>244</v>
      </c>
      <c r="GR31" s="55" t="s">
        <v>244</v>
      </c>
      <c r="GS31" s="56" t="s">
        <v>244</v>
      </c>
      <c r="GT31" s="57" t="s">
        <v>244</v>
      </c>
      <c r="GU31" s="55" t="s">
        <v>244</v>
      </c>
      <c r="GV31" s="1"/>
      <c r="GW31" s="58">
        <v>1</v>
      </c>
      <c r="GX31" s="59">
        <v>99.404761904761898</v>
      </c>
      <c r="GY31" s="4">
        <v>1199044</v>
      </c>
      <c r="GZ31" s="39">
        <v>114</v>
      </c>
      <c r="HA31" s="39">
        <v>33</v>
      </c>
      <c r="HB31" s="1"/>
      <c r="HC31" s="1"/>
      <c r="HD31" s="1"/>
      <c r="HE31" s="1"/>
      <c r="HF31" s="1"/>
      <c r="HG31" s="1"/>
      <c r="HH31" s="1"/>
      <c r="HI31" s="55" t="s">
        <v>244</v>
      </c>
      <c r="HJ31" s="1"/>
      <c r="HK31" s="56" t="s">
        <v>244</v>
      </c>
      <c r="HL31" s="1"/>
      <c r="HM31" s="1"/>
      <c r="HN31" s="2">
        <v>0</v>
      </c>
      <c r="HO31" s="55">
        <v>100</v>
      </c>
      <c r="HP31" s="1"/>
      <c r="HQ31" s="1"/>
      <c r="HR31" s="1"/>
      <c r="HS31" s="1"/>
      <c r="HT31" s="1"/>
      <c r="HU31" s="1"/>
      <c r="HV31" s="55" t="s">
        <v>244</v>
      </c>
      <c r="HW31" s="1"/>
      <c r="HX31" s="56" t="s">
        <v>244</v>
      </c>
      <c r="HY31" s="1"/>
      <c r="HZ31" s="1"/>
      <c r="IA31" s="2">
        <v>0</v>
      </c>
      <c r="IB31" s="55">
        <v>100</v>
      </c>
      <c r="IC31" s="55" t="s">
        <v>244</v>
      </c>
      <c r="ID31" s="55" t="s">
        <v>244</v>
      </c>
      <c r="IE31" s="56" t="s">
        <v>244</v>
      </c>
      <c r="IF31" s="57" t="s">
        <v>244</v>
      </c>
      <c r="IG31" s="55" t="s">
        <v>244</v>
      </c>
      <c r="IH31" s="1"/>
      <c r="II31" s="58">
        <v>0</v>
      </c>
      <c r="IJ31" s="59">
        <v>100</v>
      </c>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v>1070977</v>
      </c>
      <c r="PT31" s="39">
        <v>128</v>
      </c>
      <c r="PU31" s="39">
        <v>33</v>
      </c>
      <c r="PV31" s="1"/>
      <c r="PW31" s="1"/>
      <c r="PX31" s="1"/>
      <c r="PY31" s="1"/>
      <c r="PZ31" s="1"/>
      <c r="QA31" s="1"/>
      <c r="QB31" s="1"/>
      <c r="QC31" s="55" t="s">
        <v>244</v>
      </c>
      <c r="QD31" s="1"/>
      <c r="QE31" s="56" t="s">
        <v>244</v>
      </c>
      <c r="QF31" s="1"/>
      <c r="QG31" s="1"/>
      <c r="QH31" s="2">
        <v>0</v>
      </c>
      <c r="QI31" s="55">
        <v>100</v>
      </c>
      <c r="QJ31" s="1"/>
      <c r="QK31" s="1"/>
      <c r="QL31" s="1"/>
      <c r="QM31" s="1"/>
      <c r="QN31" s="1"/>
      <c r="QO31" s="1"/>
      <c r="QP31" s="55" t="s">
        <v>244</v>
      </c>
      <c r="QQ31" s="1"/>
      <c r="QR31" s="56" t="s">
        <v>244</v>
      </c>
      <c r="QS31" s="1"/>
      <c r="QT31" s="1"/>
      <c r="QU31" s="2">
        <v>0</v>
      </c>
      <c r="QV31" s="55">
        <v>100</v>
      </c>
      <c r="QW31" s="55" t="s">
        <v>244</v>
      </c>
      <c r="QX31" s="55" t="s">
        <v>244</v>
      </c>
      <c r="QY31" s="56" t="s">
        <v>244</v>
      </c>
      <c r="QZ31" s="57" t="s">
        <v>244</v>
      </c>
      <c r="RA31" s="55" t="s">
        <v>244</v>
      </c>
      <c r="RB31" s="1"/>
      <c r="RC31" s="58">
        <v>0</v>
      </c>
      <c r="RD31" s="59">
        <v>100</v>
      </c>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1070977</v>
      </c>
      <c r="UD31" s="39">
        <v>131</v>
      </c>
      <c r="UE31" s="39">
        <v>69</v>
      </c>
      <c r="UF31" s="1"/>
      <c r="UG31" s="1"/>
      <c r="UH31" s="1"/>
      <c r="UI31" s="1"/>
      <c r="UJ31" s="1"/>
      <c r="UK31" s="1"/>
      <c r="UL31" s="1"/>
      <c r="UM31" s="55" t="s">
        <v>244</v>
      </c>
      <c r="UN31" s="1"/>
      <c r="UO31" s="56" t="s">
        <v>244</v>
      </c>
      <c r="UP31" s="1"/>
      <c r="UQ31" s="1"/>
      <c r="UR31" s="2">
        <v>0</v>
      </c>
      <c r="US31" s="55">
        <v>100</v>
      </c>
      <c r="UT31" s="1"/>
      <c r="UU31" s="1"/>
      <c r="UV31" s="1"/>
      <c r="UW31" s="1"/>
      <c r="UX31" s="1"/>
      <c r="UY31" s="1"/>
      <c r="UZ31" s="55" t="s">
        <v>244</v>
      </c>
      <c r="VA31" s="1"/>
      <c r="VB31" s="56" t="s">
        <v>244</v>
      </c>
      <c r="VC31" s="1"/>
      <c r="VD31" s="1"/>
      <c r="VE31" s="2">
        <v>1</v>
      </c>
      <c r="VF31" s="55">
        <v>97.101449275362313</v>
      </c>
      <c r="VG31" s="55" t="s">
        <v>244</v>
      </c>
      <c r="VH31" s="55" t="s">
        <v>244</v>
      </c>
      <c r="VI31" s="56" t="s">
        <v>244</v>
      </c>
      <c r="VJ31" s="57" t="s">
        <v>244</v>
      </c>
      <c r="VK31" s="55" t="s">
        <v>244</v>
      </c>
      <c r="VL31" s="1"/>
      <c r="VM31" s="58">
        <v>1</v>
      </c>
      <c r="VN31" s="59">
        <v>98.550724637681157</v>
      </c>
      <c r="VO31" s="4">
        <v>1070977</v>
      </c>
      <c r="VP31" s="39">
        <v>132</v>
      </c>
      <c r="VQ31" s="39">
        <v>33</v>
      </c>
      <c r="VR31" s="1"/>
      <c r="VS31" s="1"/>
      <c r="VT31" s="1"/>
      <c r="VU31" s="1"/>
      <c r="VV31" s="1"/>
      <c r="VW31" s="1"/>
      <c r="VX31" s="1"/>
      <c r="VY31" s="55" t="s">
        <v>244</v>
      </c>
      <c r="VZ31" s="1"/>
      <c r="WA31" s="56" t="s">
        <v>244</v>
      </c>
      <c r="WB31" s="1"/>
      <c r="WC31" s="1"/>
      <c r="WD31" s="2">
        <v>0</v>
      </c>
      <c r="WE31" s="55">
        <v>100</v>
      </c>
      <c r="WF31" s="1"/>
      <c r="WG31" s="1"/>
      <c r="WH31" s="1"/>
      <c r="WI31" s="1"/>
      <c r="WJ31" s="1"/>
      <c r="WK31" s="1"/>
      <c r="WL31" s="55" t="s">
        <v>244</v>
      </c>
      <c r="WM31" s="1"/>
      <c r="WN31" s="56" t="s">
        <v>244</v>
      </c>
      <c r="WO31" s="1"/>
      <c r="WP31" s="1"/>
      <c r="WQ31" s="2">
        <v>0</v>
      </c>
      <c r="WR31" s="55">
        <v>100</v>
      </c>
      <c r="WS31" s="55" t="s">
        <v>244</v>
      </c>
      <c r="WT31" s="55" t="s">
        <v>244</v>
      </c>
      <c r="WU31" s="56" t="s">
        <v>244</v>
      </c>
      <c r="WV31" s="57" t="s">
        <v>244</v>
      </c>
      <c r="WW31" s="55" t="s">
        <v>244</v>
      </c>
      <c r="WX31" s="1"/>
      <c r="WY31" s="58">
        <v>0</v>
      </c>
      <c r="WZ31" s="59">
        <v>100</v>
      </c>
      <c r="XA31" s="4">
        <v>1070977</v>
      </c>
      <c r="XB31" s="39">
        <v>133</v>
      </c>
      <c r="XC31" s="39">
        <v>33</v>
      </c>
      <c r="XD31" s="1"/>
      <c r="XE31" s="1"/>
      <c r="XF31" s="1"/>
      <c r="XG31" s="1"/>
      <c r="XH31" s="1"/>
      <c r="XI31" s="1"/>
      <c r="XJ31" s="1"/>
      <c r="XK31" s="55" t="s">
        <v>244</v>
      </c>
      <c r="XL31" s="1"/>
      <c r="XM31" s="56" t="s">
        <v>244</v>
      </c>
      <c r="XN31" s="1"/>
      <c r="XO31" s="1"/>
      <c r="XP31" s="2">
        <v>0</v>
      </c>
      <c r="XQ31" s="55">
        <v>100</v>
      </c>
      <c r="XR31" s="1"/>
      <c r="XS31" s="1"/>
      <c r="XT31" s="1"/>
      <c r="XU31" s="1"/>
      <c r="XV31" s="1"/>
      <c r="XW31" s="1"/>
      <c r="XX31" s="55" t="s">
        <v>244</v>
      </c>
      <c r="XY31" s="1"/>
      <c r="XZ31" s="56" t="s">
        <v>244</v>
      </c>
      <c r="YA31" s="1"/>
      <c r="YB31" s="1"/>
      <c r="YC31" s="2">
        <v>0</v>
      </c>
      <c r="YD31" s="55">
        <v>100</v>
      </c>
      <c r="YE31" s="55" t="s">
        <v>244</v>
      </c>
      <c r="YF31" s="55" t="s">
        <v>244</v>
      </c>
      <c r="YG31" s="56" t="s">
        <v>244</v>
      </c>
      <c r="YH31" s="57" t="s">
        <v>244</v>
      </c>
      <c r="YI31" s="55" t="s">
        <v>244</v>
      </c>
      <c r="YJ31" s="1"/>
      <c r="YK31" s="58">
        <v>0</v>
      </c>
      <c r="YL31" s="59">
        <v>100</v>
      </c>
      <c r="YM31" s="4">
        <v>1070977</v>
      </c>
      <c r="YN31" s="39">
        <v>135</v>
      </c>
      <c r="YO31" s="39">
        <v>33</v>
      </c>
      <c r="YP31" s="1"/>
      <c r="YQ31" s="1"/>
      <c r="YR31" s="1"/>
      <c r="YS31" s="1"/>
      <c r="YT31" s="1"/>
      <c r="YU31" s="1"/>
      <c r="YV31" s="1"/>
      <c r="YW31" s="55" t="s">
        <v>244</v>
      </c>
      <c r="YX31" s="1"/>
      <c r="YY31" s="56" t="s">
        <v>244</v>
      </c>
      <c r="YZ31" s="1"/>
      <c r="ZA31" s="1"/>
      <c r="ZB31" s="2">
        <v>0</v>
      </c>
      <c r="ZC31" s="55">
        <v>100</v>
      </c>
      <c r="ZD31" s="1"/>
      <c r="ZE31" s="1"/>
      <c r="ZF31" s="1"/>
      <c r="ZG31" s="1"/>
      <c r="ZH31" s="1"/>
      <c r="ZI31" s="1"/>
      <c r="ZJ31" s="55" t="s">
        <v>244</v>
      </c>
      <c r="ZK31" s="1"/>
      <c r="ZL31" s="56" t="s">
        <v>244</v>
      </c>
      <c r="ZM31" s="1"/>
      <c r="ZN31" s="1"/>
      <c r="ZO31" s="2">
        <v>0</v>
      </c>
      <c r="ZP31" s="55">
        <v>100</v>
      </c>
      <c r="ZQ31" s="55" t="s">
        <v>244</v>
      </c>
      <c r="ZR31" s="55" t="s">
        <v>244</v>
      </c>
      <c r="ZS31" s="56" t="s">
        <v>244</v>
      </c>
      <c r="ZT31" s="57" t="s">
        <v>244</v>
      </c>
      <c r="ZU31" s="55" t="s">
        <v>244</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3984970</v>
      </c>
      <c r="F32" s="89">
        <f t="shared" si="401"/>
        <v>1</v>
      </c>
      <c r="G32" s="89" t="str">
        <f t="shared" si="402"/>
        <v>Ç</v>
      </c>
      <c r="H32" s="37" t="s">
        <v>208</v>
      </c>
      <c r="I32" s="37" t="s">
        <v>209</v>
      </c>
      <c r="J32" s="41" t="s">
        <v>210</v>
      </c>
      <c r="K32" s="90" t="str">
        <f t="shared" si="403"/>
        <v>A</v>
      </c>
      <c r="L32" s="41" t="s">
        <v>117</v>
      </c>
      <c r="M32" s="93">
        <v>42566</v>
      </c>
      <c r="N32" s="41"/>
      <c r="O32" s="43" t="s">
        <v>242</v>
      </c>
      <c r="P32" s="91" t="str">
        <f t="shared" si="404"/>
        <v>Süleymanova Samirə Həsən</v>
      </c>
      <c r="Q32" s="4">
        <v>1070977</v>
      </c>
      <c r="R32" s="39">
        <v>101</v>
      </c>
      <c r="S32" s="39">
        <v>270</v>
      </c>
      <c r="T32" s="1"/>
      <c r="U32" s="1"/>
      <c r="V32" s="1"/>
      <c r="W32" s="1"/>
      <c r="X32" s="1"/>
      <c r="Y32" s="1"/>
      <c r="Z32" s="1"/>
      <c r="AA32" s="55" t="s">
        <v>244</v>
      </c>
      <c r="AB32" s="1"/>
      <c r="AC32" s="56" t="s">
        <v>244</v>
      </c>
      <c r="AD32" s="1"/>
      <c r="AE32" s="1"/>
      <c r="AF32" s="2">
        <v>16</v>
      </c>
      <c r="AG32" s="55">
        <v>88.148148148148152</v>
      </c>
      <c r="AH32" s="1"/>
      <c r="AI32" s="1"/>
      <c r="AJ32" s="1"/>
      <c r="AK32" s="1"/>
      <c r="AL32" s="1"/>
      <c r="AM32" s="1"/>
      <c r="AN32" s="55" t="s">
        <v>244</v>
      </c>
      <c r="AO32" s="1"/>
      <c r="AP32" s="56" t="s">
        <v>244</v>
      </c>
      <c r="AQ32" s="1"/>
      <c r="AR32" s="1"/>
      <c r="AS32" s="2">
        <v>14</v>
      </c>
      <c r="AT32" s="55">
        <v>89.629629629629633</v>
      </c>
      <c r="AU32" s="55" t="s">
        <v>244</v>
      </c>
      <c r="AV32" s="55" t="s">
        <v>244</v>
      </c>
      <c r="AW32" s="56" t="s">
        <v>244</v>
      </c>
      <c r="AX32" s="57" t="s">
        <v>244</v>
      </c>
      <c r="AY32" s="55" t="s">
        <v>244</v>
      </c>
      <c r="AZ32" s="1"/>
      <c r="BA32" s="58">
        <v>30</v>
      </c>
      <c r="BB32" s="59">
        <v>88.888888888888886</v>
      </c>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v>1268638</v>
      </c>
      <c r="EB32" s="39">
        <v>106</v>
      </c>
      <c r="EC32" s="39">
        <v>36</v>
      </c>
      <c r="ED32" s="1"/>
      <c r="EE32" s="1"/>
      <c r="EF32" s="1"/>
      <c r="EG32" s="1"/>
      <c r="EH32" s="1"/>
      <c r="EI32" s="1"/>
      <c r="EJ32" s="1"/>
      <c r="EK32" s="55" t="s">
        <v>244</v>
      </c>
      <c r="EL32" s="1"/>
      <c r="EM32" s="56" t="s">
        <v>244</v>
      </c>
      <c r="EN32" s="1"/>
      <c r="EO32" s="1"/>
      <c r="EP32" s="2">
        <v>2</v>
      </c>
      <c r="EQ32" s="55">
        <v>88.888888888888886</v>
      </c>
      <c r="ER32" s="1"/>
      <c r="ES32" s="1"/>
      <c r="ET32" s="1"/>
      <c r="EU32" s="1"/>
      <c r="EV32" s="1"/>
      <c r="EW32" s="1"/>
      <c r="EX32" s="55" t="s">
        <v>244</v>
      </c>
      <c r="EY32" s="1"/>
      <c r="EZ32" s="56" t="s">
        <v>244</v>
      </c>
      <c r="FA32" s="1"/>
      <c r="FB32" s="1"/>
      <c r="FC32" s="2">
        <v>1</v>
      </c>
      <c r="FD32" s="55">
        <v>94.444444444444443</v>
      </c>
      <c r="FE32" s="55" t="s">
        <v>244</v>
      </c>
      <c r="FF32" s="55" t="s">
        <v>244</v>
      </c>
      <c r="FG32" s="56" t="s">
        <v>244</v>
      </c>
      <c r="FH32" s="57" t="s">
        <v>244</v>
      </c>
      <c r="FI32" s="55" t="s">
        <v>244</v>
      </c>
      <c r="FJ32" s="1"/>
      <c r="FK32" s="58">
        <v>3</v>
      </c>
      <c r="FL32" s="59">
        <v>91.666666666666671</v>
      </c>
      <c r="FM32" s="4">
        <v>1070977</v>
      </c>
      <c r="FN32" s="39">
        <v>110</v>
      </c>
      <c r="FO32" s="39">
        <v>168</v>
      </c>
      <c r="FP32" s="1"/>
      <c r="FQ32" s="1"/>
      <c r="FR32" s="1"/>
      <c r="FS32" s="1"/>
      <c r="FT32" s="1"/>
      <c r="FU32" s="1"/>
      <c r="FV32" s="1"/>
      <c r="FW32" s="55" t="s">
        <v>244</v>
      </c>
      <c r="FX32" s="1"/>
      <c r="FY32" s="56" t="s">
        <v>244</v>
      </c>
      <c r="FZ32" s="1"/>
      <c r="GA32" s="1"/>
      <c r="GB32" s="2">
        <v>11</v>
      </c>
      <c r="GC32" s="55">
        <v>86.904761904761898</v>
      </c>
      <c r="GD32" s="1"/>
      <c r="GE32" s="1"/>
      <c r="GF32" s="1"/>
      <c r="GG32" s="1"/>
      <c r="GH32" s="1"/>
      <c r="GI32" s="1"/>
      <c r="GJ32" s="55" t="s">
        <v>244</v>
      </c>
      <c r="GK32" s="1"/>
      <c r="GL32" s="56" t="s">
        <v>244</v>
      </c>
      <c r="GM32" s="1"/>
      <c r="GN32" s="1"/>
      <c r="GO32" s="2">
        <v>8</v>
      </c>
      <c r="GP32" s="55">
        <v>90.476190476190482</v>
      </c>
      <c r="GQ32" s="55" t="s">
        <v>244</v>
      </c>
      <c r="GR32" s="55" t="s">
        <v>244</v>
      </c>
      <c r="GS32" s="56" t="s">
        <v>244</v>
      </c>
      <c r="GT32" s="57" t="s">
        <v>244</v>
      </c>
      <c r="GU32" s="55" t="s">
        <v>244</v>
      </c>
      <c r="GV32" s="1"/>
      <c r="GW32" s="58">
        <v>19</v>
      </c>
      <c r="GX32" s="59">
        <v>88.69047619047619</v>
      </c>
      <c r="GY32" s="4">
        <v>1199044</v>
      </c>
      <c r="GZ32" s="39">
        <v>114</v>
      </c>
      <c r="HA32" s="39">
        <v>33</v>
      </c>
      <c r="HB32" s="1"/>
      <c r="HC32" s="1"/>
      <c r="HD32" s="1"/>
      <c r="HE32" s="1"/>
      <c r="HF32" s="1"/>
      <c r="HG32" s="1"/>
      <c r="HH32" s="1"/>
      <c r="HI32" s="55" t="s">
        <v>244</v>
      </c>
      <c r="HJ32" s="1"/>
      <c r="HK32" s="56" t="s">
        <v>244</v>
      </c>
      <c r="HL32" s="1"/>
      <c r="HM32" s="1"/>
      <c r="HN32" s="2">
        <v>0</v>
      </c>
      <c r="HO32" s="55">
        <v>100</v>
      </c>
      <c r="HP32" s="1"/>
      <c r="HQ32" s="1"/>
      <c r="HR32" s="1"/>
      <c r="HS32" s="1"/>
      <c r="HT32" s="1"/>
      <c r="HU32" s="1"/>
      <c r="HV32" s="55" t="s">
        <v>244</v>
      </c>
      <c r="HW32" s="1"/>
      <c r="HX32" s="56" t="s">
        <v>244</v>
      </c>
      <c r="HY32" s="1"/>
      <c r="HZ32" s="1"/>
      <c r="IA32" s="2">
        <v>2</v>
      </c>
      <c r="IB32" s="55">
        <v>87.878787878787875</v>
      </c>
      <c r="IC32" s="55" t="s">
        <v>244</v>
      </c>
      <c r="ID32" s="55" t="s">
        <v>244</v>
      </c>
      <c r="IE32" s="56" t="s">
        <v>244</v>
      </c>
      <c r="IF32" s="57" t="s">
        <v>244</v>
      </c>
      <c r="IG32" s="55" t="s">
        <v>244</v>
      </c>
      <c r="IH32" s="1"/>
      <c r="II32" s="58">
        <v>2</v>
      </c>
      <c r="IJ32" s="59">
        <v>93.939393939393938</v>
      </c>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v>1070977</v>
      </c>
      <c r="PT32" s="39">
        <v>128</v>
      </c>
      <c r="PU32" s="39">
        <v>33</v>
      </c>
      <c r="PV32" s="1"/>
      <c r="PW32" s="1"/>
      <c r="PX32" s="1"/>
      <c r="PY32" s="1"/>
      <c r="PZ32" s="1"/>
      <c r="QA32" s="1"/>
      <c r="QB32" s="1"/>
      <c r="QC32" s="55" t="s">
        <v>244</v>
      </c>
      <c r="QD32" s="1"/>
      <c r="QE32" s="56" t="s">
        <v>244</v>
      </c>
      <c r="QF32" s="1"/>
      <c r="QG32" s="1"/>
      <c r="QH32" s="2">
        <v>2</v>
      </c>
      <c r="QI32" s="55">
        <v>87.878787878787875</v>
      </c>
      <c r="QJ32" s="1"/>
      <c r="QK32" s="1"/>
      <c r="QL32" s="1"/>
      <c r="QM32" s="1"/>
      <c r="QN32" s="1"/>
      <c r="QO32" s="1"/>
      <c r="QP32" s="55" t="s">
        <v>244</v>
      </c>
      <c r="QQ32" s="1"/>
      <c r="QR32" s="56" t="s">
        <v>244</v>
      </c>
      <c r="QS32" s="1"/>
      <c r="QT32" s="1"/>
      <c r="QU32" s="2">
        <v>1</v>
      </c>
      <c r="QV32" s="55">
        <v>93.939393939393938</v>
      </c>
      <c r="QW32" s="55" t="s">
        <v>244</v>
      </c>
      <c r="QX32" s="55" t="s">
        <v>244</v>
      </c>
      <c r="QY32" s="56" t="s">
        <v>244</v>
      </c>
      <c r="QZ32" s="57" t="s">
        <v>244</v>
      </c>
      <c r="RA32" s="55" t="s">
        <v>244</v>
      </c>
      <c r="RB32" s="1"/>
      <c r="RC32" s="58">
        <v>3</v>
      </c>
      <c r="RD32" s="59">
        <v>90.909090909090907</v>
      </c>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1070977</v>
      </c>
      <c r="UD32" s="39">
        <v>131</v>
      </c>
      <c r="UE32" s="39">
        <v>69</v>
      </c>
      <c r="UF32" s="1"/>
      <c r="UG32" s="1"/>
      <c r="UH32" s="1"/>
      <c r="UI32" s="1"/>
      <c r="UJ32" s="1"/>
      <c r="UK32" s="1"/>
      <c r="UL32" s="1"/>
      <c r="UM32" s="55" t="s">
        <v>244</v>
      </c>
      <c r="UN32" s="1"/>
      <c r="UO32" s="56" t="s">
        <v>244</v>
      </c>
      <c r="UP32" s="1"/>
      <c r="UQ32" s="1"/>
      <c r="UR32" s="2">
        <v>4</v>
      </c>
      <c r="US32" s="55">
        <v>88.405797101449281</v>
      </c>
      <c r="UT32" s="1"/>
      <c r="UU32" s="1"/>
      <c r="UV32" s="1"/>
      <c r="UW32" s="1"/>
      <c r="UX32" s="1"/>
      <c r="UY32" s="1"/>
      <c r="UZ32" s="55" t="s">
        <v>244</v>
      </c>
      <c r="VA32" s="1"/>
      <c r="VB32" s="56" t="s">
        <v>244</v>
      </c>
      <c r="VC32" s="1"/>
      <c r="VD32" s="1"/>
      <c r="VE32" s="2">
        <v>2</v>
      </c>
      <c r="VF32" s="55">
        <v>94.20289855072464</v>
      </c>
      <c r="VG32" s="55" t="s">
        <v>244</v>
      </c>
      <c r="VH32" s="55" t="s">
        <v>244</v>
      </c>
      <c r="VI32" s="56" t="s">
        <v>244</v>
      </c>
      <c r="VJ32" s="57" t="s">
        <v>244</v>
      </c>
      <c r="VK32" s="55" t="s">
        <v>244</v>
      </c>
      <c r="VL32" s="1"/>
      <c r="VM32" s="58">
        <v>6</v>
      </c>
      <c r="VN32" s="59">
        <v>91.304347826086953</v>
      </c>
      <c r="VO32" s="4">
        <v>1070977</v>
      </c>
      <c r="VP32" s="39">
        <v>132</v>
      </c>
      <c r="VQ32" s="39">
        <v>33</v>
      </c>
      <c r="VR32" s="1"/>
      <c r="VS32" s="1"/>
      <c r="VT32" s="1"/>
      <c r="VU32" s="1"/>
      <c r="VV32" s="1"/>
      <c r="VW32" s="1"/>
      <c r="VX32" s="1"/>
      <c r="VY32" s="55" t="s">
        <v>244</v>
      </c>
      <c r="VZ32" s="1"/>
      <c r="WA32" s="56" t="s">
        <v>244</v>
      </c>
      <c r="WB32" s="1"/>
      <c r="WC32" s="1"/>
      <c r="WD32" s="2">
        <v>2</v>
      </c>
      <c r="WE32" s="55">
        <v>87.878787878787875</v>
      </c>
      <c r="WF32" s="1"/>
      <c r="WG32" s="1"/>
      <c r="WH32" s="1"/>
      <c r="WI32" s="1"/>
      <c r="WJ32" s="1"/>
      <c r="WK32" s="1"/>
      <c r="WL32" s="55" t="s">
        <v>244</v>
      </c>
      <c r="WM32" s="1"/>
      <c r="WN32" s="56" t="s">
        <v>244</v>
      </c>
      <c r="WO32" s="1"/>
      <c r="WP32" s="1"/>
      <c r="WQ32" s="2">
        <v>1</v>
      </c>
      <c r="WR32" s="55">
        <v>93.939393939393938</v>
      </c>
      <c r="WS32" s="55" t="s">
        <v>244</v>
      </c>
      <c r="WT32" s="55" t="s">
        <v>244</v>
      </c>
      <c r="WU32" s="56" t="s">
        <v>244</v>
      </c>
      <c r="WV32" s="57" t="s">
        <v>244</v>
      </c>
      <c r="WW32" s="55" t="s">
        <v>244</v>
      </c>
      <c r="WX32" s="1"/>
      <c r="WY32" s="58">
        <v>3</v>
      </c>
      <c r="WZ32" s="59">
        <v>90.909090909090907</v>
      </c>
      <c r="XA32" s="4">
        <v>1070977</v>
      </c>
      <c r="XB32" s="39">
        <v>133</v>
      </c>
      <c r="XC32" s="39">
        <v>33</v>
      </c>
      <c r="XD32" s="1"/>
      <c r="XE32" s="1"/>
      <c r="XF32" s="1"/>
      <c r="XG32" s="1"/>
      <c r="XH32" s="1"/>
      <c r="XI32" s="1"/>
      <c r="XJ32" s="1"/>
      <c r="XK32" s="55" t="s">
        <v>244</v>
      </c>
      <c r="XL32" s="1"/>
      <c r="XM32" s="56" t="s">
        <v>244</v>
      </c>
      <c r="XN32" s="1"/>
      <c r="XO32" s="1"/>
      <c r="XP32" s="2">
        <v>2</v>
      </c>
      <c r="XQ32" s="55">
        <v>87.878787878787875</v>
      </c>
      <c r="XR32" s="1"/>
      <c r="XS32" s="1"/>
      <c r="XT32" s="1"/>
      <c r="XU32" s="1"/>
      <c r="XV32" s="1"/>
      <c r="XW32" s="1"/>
      <c r="XX32" s="55" t="s">
        <v>244</v>
      </c>
      <c r="XY32" s="1"/>
      <c r="XZ32" s="56" t="s">
        <v>244</v>
      </c>
      <c r="YA32" s="1"/>
      <c r="YB32" s="1"/>
      <c r="YC32" s="2">
        <v>2</v>
      </c>
      <c r="YD32" s="55">
        <v>87.878787878787875</v>
      </c>
      <c r="YE32" s="55" t="s">
        <v>244</v>
      </c>
      <c r="YF32" s="55" t="s">
        <v>244</v>
      </c>
      <c r="YG32" s="56" t="s">
        <v>244</v>
      </c>
      <c r="YH32" s="57" t="s">
        <v>244</v>
      </c>
      <c r="YI32" s="55" t="s">
        <v>244</v>
      </c>
      <c r="YJ32" s="1"/>
      <c r="YK32" s="58">
        <v>4</v>
      </c>
      <c r="YL32" s="59">
        <v>87.878787878787875</v>
      </c>
      <c r="YM32" s="4">
        <v>1070977</v>
      </c>
      <c r="YN32" s="39">
        <v>135</v>
      </c>
      <c r="YO32" s="39">
        <v>33</v>
      </c>
      <c r="YP32" s="1"/>
      <c r="YQ32" s="1"/>
      <c r="YR32" s="1"/>
      <c r="YS32" s="1"/>
      <c r="YT32" s="1"/>
      <c r="YU32" s="1"/>
      <c r="YV32" s="1"/>
      <c r="YW32" s="55" t="s">
        <v>244</v>
      </c>
      <c r="YX32" s="1"/>
      <c r="YY32" s="56" t="s">
        <v>244</v>
      </c>
      <c r="YZ32" s="1"/>
      <c r="ZA32" s="1"/>
      <c r="ZB32" s="2">
        <v>2</v>
      </c>
      <c r="ZC32" s="55">
        <v>87.878787878787875</v>
      </c>
      <c r="ZD32" s="1"/>
      <c r="ZE32" s="1"/>
      <c r="ZF32" s="1"/>
      <c r="ZG32" s="1"/>
      <c r="ZH32" s="1"/>
      <c r="ZI32" s="1"/>
      <c r="ZJ32" s="55" t="s">
        <v>244</v>
      </c>
      <c r="ZK32" s="1"/>
      <c r="ZL32" s="56" t="s">
        <v>244</v>
      </c>
      <c r="ZM32" s="1"/>
      <c r="ZN32" s="1"/>
      <c r="ZO32" s="2">
        <v>2</v>
      </c>
      <c r="ZP32" s="55">
        <v>87.878787878787875</v>
      </c>
      <c r="ZQ32" s="55" t="s">
        <v>244</v>
      </c>
      <c r="ZR32" s="55" t="s">
        <v>244</v>
      </c>
      <c r="ZS32" s="56" t="s">
        <v>244</v>
      </c>
      <c r="ZT32" s="57" t="s">
        <v>244</v>
      </c>
      <c r="ZU32" s="55" t="s">
        <v>244</v>
      </c>
      <c r="ZV32" s="1"/>
      <c r="ZW32" s="58">
        <v>4</v>
      </c>
      <c r="ZX32" s="59">
        <v>87.878787878787875</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3985147</v>
      </c>
      <c r="F33" s="89">
        <f t="shared" si="401"/>
        <v>1</v>
      </c>
      <c r="G33" s="89" t="str">
        <f t="shared" si="402"/>
        <v>Ç</v>
      </c>
      <c r="H33" s="37" t="s">
        <v>211</v>
      </c>
      <c r="I33" s="37" t="s">
        <v>212</v>
      </c>
      <c r="J33" s="41" t="s">
        <v>213</v>
      </c>
      <c r="K33" s="90" t="str">
        <f t="shared" si="403"/>
        <v>A</v>
      </c>
      <c r="L33" s="41" t="s">
        <v>119</v>
      </c>
      <c r="M33" s="93">
        <v>42462</v>
      </c>
      <c r="N33" s="41"/>
      <c r="O33" s="43" t="s">
        <v>243</v>
      </c>
      <c r="P33" s="91" t="str">
        <f t="shared" si="404"/>
        <v>Süleymanova Samirə Həsən</v>
      </c>
      <c r="Q33" s="4">
        <v>1070977</v>
      </c>
      <c r="R33" s="39">
        <v>101</v>
      </c>
      <c r="S33" s="39">
        <v>270</v>
      </c>
      <c r="T33" s="1"/>
      <c r="U33" s="1"/>
      <c r="V33" s="1"/>
      <c r="W33" s="1"/>
      <c r="X33" s="1"/>
      <c r="Y33" s="1"/>
      <c r="Z33" s="1"/>
      <c r="AA33" s="55" t="s">
        <v>244</v>
      </c>
      <c r="AB33" s="1"/>
      <c r="AC33" s="56" t="s">
        <v>244</v>
      </c>
      <c r="AD33" s="1"/>
      <c r="AE33" s="1"/>
      <c r="AF33" s="2">
        <v>0</v>
      </c>
      <c r="AG33" s="55">
        <v>100</v>
      </c>
      <c r="AH33" s="1"/>
      <c r="AI33" s="1"/>
      <c r="AJ33" s="1"/>
      <c r="AK33" s="1"/>
      <c r="AL33" s="1"/>
      <c r="AM33" s="1"/>
      <c r="AN33" s="55" t="s">
        <v>244</v>
      </c>
      <c r="AO33" s="1"/>
      <c r="AP33" s="56" t="s">
        <v>244</v>
      </c>
      <c r="AQ33" s="1"/>
      <c r="AR33" s="1"/>
      <c r="AS33" s="2">
        <v>0</v>
      </c>
      <c r="AT33" s="55">
        <v>100</v>
      </c>
      <c r="AU33" s="55" t="s">
        <v>244</v>
      </c>
      <c r="AV33" s="55" t="s">
        <v>244</v>
      </c>
      <c r="AW33" s="56" t="s">
        <v>244</v>
      </c>
      <c r="AX33" s="57" t="s">
        <v>244</v>
      </c>
      <c r="AY33" s="55" t="s">
        <v>244</v>
      </c>
      <c r="AZ33" s="1"/>
      <c r="BA33" s="58">
        <v>0</v>
      </c>
      <c r="BB33" s="59">
        <v>100</v>
      </c>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v>1268638</v>
      </c>
      <c r="EB33" s="39">
        <v>106</v>
      </c>
      <c r="EC33" s="39">
        <v>36</v>
      </c>
      <c r="ED33" s="1"/>
      <c r="EE33" s="1"/>
      <c r="EF33" s="1"/>
      <c r="EG33" s="1"/>
      <c r="EH33" s="1"/>
      <c r="EI33" s="1"/>
      <c r="EJ33" s="1"/>
      <c r="EK33" s="55" t="s">
        <v>244</v>
      </c>
      <c r="EL33" s="1"/>
      <c r="EM33" s="56" t="s">
        <v>244</v>
      </c>
      <c r="EN33" s="1"/>
      <c r="EO33" s="1"/>
      <c r="EP33" s="2">
        <v>1</v>
      </c>
      <c r="EQ33" s="55">
        <v>94.444444444444443</v>
      </c>
      <c r="ER33" s="1"/>
      <c r="ES33" s="1"/>
      <c r="ET33" s="1"/>
      <c r="EU33" s="1"/>
      <c r="EV33" s="1"/>
      <c r="EW33" s="1"/>
      <c r="EX33" s="55" t="s">
        <v>244</v>
      </c>
      <c r="EY33" s="1"/>
      <c r="EZ33" s="56" t="s">
        <v>244</v>
      </c>
      <c r="FA33" s="1"/>
      <c r="FB33" s="1"/>
      <c r="FC33" s="2">
        <v>0</v>
      </c>
      <c r="FD33" s="55">
        <v>100</v>
      </c>
      <c r="FE33" s="55" t="s">
        <v>244</v>
      </c>
      <c r="FF33" s="55" t="s">
        <v>244</v>
      </c>
      <c r="FG33" s="56" t="s">
        <v>244</v>
      </c>
      <c r="FH33" s="57" t="s">
        <v>244</v>
      </c>
      <c r="FI33" s="55" t="s">
        <v>244</v>
      </c>
      <c r="FJ33" s="1"/>
      <c r="FK33" s="58">
        <v>1</v>
      </c>
      <c r="FL33" s="59">
        <v>97.222222222222229</v>
      </c>
      <c r="FM33" s="4">
        <v>1070977</v>
      </c>
      <c r="FN33" s="39">
        <v>110</v>
      </c>
      <c r="FO33" s="39">
        <v>168</v>
      </c>
      <c r="FP33" s="1"/>
      <c r="FQ33" s="1"/>
      <c r="FR33" s="1"/>
      <c r="FS33" s="1"/>
      <c r="FT33" s="1"/>
      <c r="FU33" s="1"/>
      <c r="FV33" s="1"/>
      <c r="FW33" s="55" t="s">
        <v>244</v>
      </c>
      <c r="FX33" s="1"/>
      <c r="FY33" s="56" t="s">
        <v>244</v>
      </c>
      <c r="FZ33" s="1"/>
      <c r="GA33" s="1"/>
      <c r="GB33" s="2">
        <v>0</v>
      </c>
      <c r="GC33" s="55">
        <v>100</v>
      </c>
      <c r="GD33" s="1"/>
      <c r="GE33" s="1"/>
      <c r="GF33" s="1"/>
      <c r="GG33" s="1"/>
      <c r="GH33" s="1"/>
      <c r="GI33" s="1"/>
      <c r="GJ33" s="55" t="s">
        <v>244</v>
      </c>
      <c r="GK33" s="1"/>
      <c r="GL33" s="56" t="s">
        <v>244</v>
      </c>
      <c r="GM33" s="1"/>
      <c r="GN33" s="1"/>
      <c r="GO33" s="2">
        <v>0</v>
      </c>
      <c r="GP33" s="55">
        <v>100</v>
      </c>
      <c r="GQ33" s="55" t="s">
        <v>244</v>
      </c>
      <c r="GR33" s="55" t="s">
        <v>244</v>
      </c>
      <c r="GS33" s="56" t="s">
        <v>244</v>
      </c>
      <c r="GT33" s="57" t="s">
        <v>244</v>
      </c>
      <c r="GU33" s="55" t="s">
        <v>244</v>
      </c>
      <c r="GV33" s="1"/>
      <c r="GW33" s="58">
        <v>0</v>
      </c>
      <c r="GX33" s="59">
        <v>100</v>
      </c>
      <c r="GY33" s="4">
        <v>1199044</v>
      </c>
      <c r="GZ33" s="39">
        <v>114</v>
      </c>
      <c r="HA33" s="39">
        <v>33</v>
      </c>
      <c r="HB33" s="1"/>
      <c r="HC33" s="1"/>
      <c r="HD33" s="1"/>
      <c r="HE33" s="1"/>
      <c r="HF33" s="1"/>
      <c r="HG33" s="1"/>
      <c r="HH33" s="1"/>
      <c r="HI33" s="55" t="s">
        <v>244</v>
      </c>
      <c r="HJ33" s="1"/>
      <c r="HK33" s="56" t="s">
        <v>244</v>
      </c>
      <c r="HL33" s="1"/>
      <c r="HM33" s="1"/>
      <c r="HN33" s="2">
        <v>0</v>
      </c>
      <c r="HO33" s="55">
        <v>100</v>
      </c>
      <c r="HP33" s="1"/>
      <c r="HQ33" s="1"/>
      <c r="HR33" s="1"/>
      <c r="HS33" s="1"/>
      <c r="HT33" s="1"/>
      <c r="HU33" s="1"/>
      <c r="HV33" s="55" t="s">
        <v>244</v>
      </c>
      <c r="HW33" s="1"/>
      <c r="HX33" s="56" t="s">
        <v>244</v>
      </c>
      <c r="HY33" s="1"/>
      <c r="HZ33" s="1"/>
      <c r="IA33" s="2">
        <v>0</v>
      </c>
      <c r="IB33" s="55">
        <v>100</v>
      </c>
      <c r="IC33" s="55" t="s">
        <v>244</v>
      </c>
      <c r="ID33" s="55" t="s">
        <v>244</v>
      </c>
      <c r="IE33" s="56" t="s">
        <v>244</v>
      </c>
      <c r="IF33" s="57" t="s">
        <v>244</v>
      </c>
      <c r="IG33" s="55" t="s">
        <v>244</v>
      </c>
      <c r="IH33" s="1"/>
      <c r="II33" s="58">
        <v>0</v>
      </c>
      <c r="IJ33" s="59">
        <v>100</v>
      </c>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v>1070977</v>
      </c>
      <c r="PT33" s="39">
        <v>128</v>
      </c>
      <c r="PU33" s="39">
        <v>33</v>
      </c>
      <c r="PV33" s="1"/>
      <c r="PW33" s="1"/>
      <c r="PX33" s="1"/>
      <c r="PY33" s="1"/>
      <c r="PZ33" s="1"/>
      <c r="QA33" s="1"/>
      <c r="QB33" s="1"/>
      <c r="QC33" s="55" t="s">
        <v>244</v>
      </c>
      <c r="QD33" s="1"/>
      <c r="QE33" s="56" t="s">
        <v>244</v>
      </c>
      <c r="QF33" s="1"/>
      <c r="QG33" s="1"/>
      <c r="QH33" s="2">
        <v>0</v>
      </c>
      <c r="QI33" s="55">
        <v>100</v>
      </c>
      <c r="QJ33" s="1"/>
      <c r="QK33" s="1"/>
      <c r="QL33" s="1"/>
      <c r="QM33" s="1"/>
      <c r="QN33" s="1"/>
      <c r="QO33" s="1"/>
      <c r="QP33" s="55" t="s">
        <v>244</v>
      </c>
      <c r="QQ33" s="1"/>
      <c r="QR33" s="56" t="s">
        <v>244</v>
      </c>
      <c r="QS33" s="1"/>
      <c r="QT33" s="1"/>
      <c r="QU33" s="2">
        <v>0</v>
      </c>
      <c r="QV33" s="55">
        <v>100</v>
      </c>
      <c r="QW33" s="55" t="s">
        <v>244</v>
      </c>
      <c r="QX33" s="55" t="s">
        <v>244</v>
      </c>
      <c r="QY33" s="56" t="s">
        <v>244</v>
      </c>
      <c r="QZ33" s="57" t="s">
        <v>244</v>
      </c>
      <c r="RA33" s="55" t="s">
        <v>244</v>
      </c>
      <c r="RB33" s="1"/>
      <c r="RC33" s="58">
        <v>0</v>
      </c>
      <c r="RD33" s="59">
        <v>100</v>
      </c>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1070977</v>
      </c>
      <c r="UD33" s="39">
        <v>131</v>
      </c>
      <c r="UE33" s="39">
        <v>69</v>
      </c>
      <c r="UF33" s="1"/>
      <c r="UG33" s="1"/>
      <c r="UH33" s="1"/>
      <c r="UI33" s="1"/>
      <c r="UJ33" s="1"/>
      <c r="UK33" s="1"/>
      <c r="UL33" s="1"/>
      <c r="UM33" s="55" t="s">
        <v>244</v>
      </c>
      <c r="UN33" s="1"/>
      <c r="UO33" s="56" t="s">
        <v>244</v>
      </c>
      <c r="UP33" s="1"/>
      <c r="UQ33" s="1"/>
      <c r="UR33" s="2">
        <v>0</v>
      </c>
      <c r="US33" s="55">
        <v>100</v>
      </c>
      <c r="UT33" s="1"/>
      <c r="UU33" s="1"/>
      <c r="UV33" s="1"/>
      <c r="UW33" s="1"/>
      <c r="UX33" s="1"/>
      <c r="UY33" s="1"/>
      <c r="UZ33" s="55" t="s">
        <v>244</v>
      </c>
      <c r="VA33" s="1"/>
      <c r="VB33" s="56" t="s">
        <v>244</v>
      </c>
      <c r="VC33" s="1"/>
      <c r="VD33" s="1"/>
      <c r="VE33" s="2">
        <v>0</v>
      </c>
      <c r="VF33" s="55">
        <v>100</v>
      </c>
      <c r="VG33" s="55" t="s">
        <v>244</v>
      </c>
      <c r="VH33" s="55" t="s">
        <v>244</v>
      </c>
      <c r="VI33" s="56" t="s">
        <v>244</v>
      </c>
      <c r="VJ33" s="57" t="s">
        <v>244</v>
      </c>
      <c r="VK33" s="55" t="s">
        <v>244</v>
      </c>
      <c r="VL33" s="1"/>
      <c r="VM33" s="58">
        <v>0</v>
      </c>
      <c r="VN33" s="59">
        <v>100</v>
      </c>
      <c r="VO33" s="4">
        <v>1070977</v>
      </c>
      <c r="VP33" s="39">
        <v>132</v>
      </c>
      <c r="VQ33" s="39">
        <v>33</v>
      </c>
      <c r="VR33" s="1"/>
      <c r="VS33" s="1"/>
      <c r="VT33" s="1"/>
      <c r="VU33" s="1"/>
      <c r="VV33" s="1"/>
      <c r="VW33" s="1"/>
      <c r="VX33" s="1"/>
      <c r="VY33" s="55" t="s">
        <v>244</v>
      </c>
      <c r="VZ33" s="1"/>
      <c r="WA33" s="56" t="s">
        <v>244</v>
      </c>
      <c r="WB33" s="1"/>
      <c r="WC33" s="1"/>
      <c r="WD33" s="2">
        <v>0</v>
      </c>
      <c r="WE33" s="55">
        <v>100</v>
      </c>
      <c r="WF33" s="1"/>
      <c r="WG33" s="1"/>
      <c r="WH33" s="1"/>
      <c r="WI33" s="1"/>
      <c r="WJ33" s="1"/>
      <c r="WK33" s="1"/>
      <c r="WL33" s="55" t="s">
        <v>244</v>
      </c>
      <c r="WM33" s="1"/>
      <c r="WN33" s="56" t="s">
        <v>244</v>
      </c>
      <c r="WO33" s="1"/>
      <c r="WP33" s="1"/>
      <c r="WQ33" s="2">
        <v>0</v>
      </c>
      <c r="WR33" s="55">
        <v>100</v>
      </c>
      <c r="WS33" s="55" t="s">
        <v>244</v>
      </c>
      <c r="WT33" s="55" t="s">
        <v>244</v>
      </c>
      <c r="WU33" s="56" t="s">
        <v>244</v>
      </c>
      <c r="WV33" s="57" t="s">
        <v>244</v>
      </c>
      <c r="WW33" s="55" t="s">
        <v>244</v>
      </c>
      <c r="WX33" s="1"/>
      <c r="WY33" s="58">
        <v>0</v>
      </c>
      <c r="WZ33" s="59">
        <v>100</v>
      </c>
      <c r="XA33" s="4">
        <v>1070977</v>
      </c>
      <c r="XB33" s="39">
        <v>133</v>
      </c>
      <c r="XC33" s="39">
        <v>33</v>
      </c>
      <c r="XD33" s="1"/>
      <c r="XE33" s="1"/>
      <c r="XF33" s="1"/>
      <c r="XG33" s="1"/>
      <c r="XH33" s="1"/>
      <c r="XI33" s="1"/>
      <c r="XJ33" s="1"/>
      <c r="XK33" s="55" t="s">
        <v>244</v>
      </c>
      <c r="XL33" s="1"/>
      <c r="XM33" s="56" t="s">
        <v>244</v>
      </c>
      <c r="XN33" s="1"/>
      <c r="XO33" s="1"/>
      <c r="XP33" s="2">
        <v>0</v>
      </c>
      <c r="XQ33" s="55">
        <v>100</v>
      </c>
      <c r="XR33" s="1"/>
      <c r="XS33" s="1"/>
      <c r="XT33" s="1"/>
      <c r="XU33" s="1"/>
      <c r="XV33" s="1"/>
      <c r="XW33" s="1"/>
      <c r="XX33" s="55" t="s">
        <v>244</v>
      </c>
      <c r="XY33" s="1"/>
      <c r="XZ33" s="56" t="s">
        <v>244</v>
      </c>
      <c r="YA33" s="1"/>
      <c r="YB33" s="1"/>
      <c r="YC33" s="2">
        <v>0</v>
      </c>
      <c r="YD33" s="55">
        <v>100</v>
      </c>
      <c r="YE33" s="55" t="s">
        <v>244</v>
      </c>
      <c r="YF33" s="55" t="s">
        <v>244</v>
      </c>
      <c r="YG33" s="56" t="s">
        <v>244</v>
      </c>
      <c r="YH33" s="57" t="s">
        <v>244</v>
      </c>
      <c r="YI33" s="55" t="s">
        <v>244</v>
      </c>
      <c r="YJ33" s="1"/>
      <c r="YK33" s="58">
        <v>0</v>
      </c>
      <c r="YL33" s="59">
        <v>100</v>
      </c>
      <c r="YM33" s="4">
        <v>1070977</v>
      </c>
      <c r="YN33" s="39">
        <v>135</v>
      </c>
      <c r="YO33" s="39">
        <v>33</v>
      </c>
      <c r="YP33" s="1"/>
      <c r="YQ33" s="1"/>
      <c r="YR33" s="1"/>
      <c r="YS33" s="1"/>
      <c r="YT33" s="1"/>
      <c r="YU33" s="1"/>
      <c r="YV33" s="1"/>
      <c r="YW33" s="55" t="s">
        <v>244</v>
      </c>
      <c r="YX33" s="1"/>
      <c r="YY33" s="56" t="s">
        <v>244</v>
      </c>
      <c r="YZ33" s="1"/>
      <c r="ZA33" s="1"/>
      <c r="ZB33" s="2">
        <v>0</v>
      </c>
      <c r="ZC33" s="55">
        <v>100</v>
      </c>
      <c r="ZD33" s="1"/>
      <c r="ZE33" s="1"/>
      <c r="ZF33" s="1"/>
      <c r="ZG33" s="1"/>
      <c r="ZH33" s="1"/>
      <c r="ZI33" s="1"/>
      <c r="ZJ33" s="55" t="s">
        <v>244</v>
      </c>
      <c r="ZK33" s="1"/>
      <c r="ZL33" s="56" t="s">
        <v>244</v>
      </c>
      <c r="ZM33" s="1"/>
      <c r="ZN33" s="1"/>
      <c r="ZO33" s="2">
        <v>0</v>
      </c>
      <c r="ZP33" s="55">
        <v>100</v>
      </c>
      <c r="ZQ33" s="55" t="s">
        <v>244</v>
      </c>
      <c r="ZR33" s="55" t="s">
        <v>244</v>
      </c>
      <c r="ZS33" s="56" t="s">
        <v>244</v>
      </c>
      <c r="ZT33" s="57" t="s">
        <v>244</v>
      </c>
      <c r="ZU33" s="55" t="s">
        <v>244</v>
      </c>
      <c r="ZV33" s="1"/>
      <c r="ZW33" s="58">
        <v>0</v>
      </c>
      <c r="ZX33" s="59">
        <v>100</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2022-2023</v>
      </c>
      <c r="B34" s="89" t="str">
        <f t="shared" si="398"/>
        <v>Bakı</v>
      </c>
      <c r="C34" s="89" t="str">
        <f t="shared" si="399"/>
        <v>Binəqədi</v>
      </c>
      <c r="D34" s="89">
        <f t="shared" si="400"/>
        <v>99</v>
      </c>
      <c r="E34" s="40">
        <v>4234641</v>
      </c>
      <c r="F34" s="89">
        <f t="shared" si="401"/>
        <v>1</v>
      </c>
      <c r="G34" s="89" t="str">
        <f t="shared" si="402"/>
        <v>Ç</v>
      </c>
      <c r="H34" s="37" t="s">
        <v>211</v>
      </c>
      <c r="I34" s="37" t="s">
        <v>214</v>
      </c>
      <c r="J34" s="41" t="s">
        <v>213</v>
      </c>
      <c r="K34" s="90" t="str">
        <f t="shared" si="403"/>
        <v>A</v>
      </c>
      <c r="L34" s="41" t="s">
        <v>119</v>
      </c>
      <c r="M34" s="93">
        <v>42066</v>
      </c>
      <c r="N34" s="41"/>
      <c r="O34" s="43" t="s">
        <v>243</v>
      </c>
      <c r="P34" s="91" t="str">
        <f t="shared" si="404"/>
        <v>Süleymanova Samirə Həsən</v>
      </c>
      <c r="Q34" s="4">
        <v>1070977</v>
      </c>
      <c r="R34" s="39">
        <v>101</v>
      </c>
      <c r="S34" s="39">
        <v>270</v>
      </c>
      <c r="T34" s="1"/>
      <c r="U34" s="1"/>
      <c r="V34" s="1"/>
      <c r="W34" s="1"/>
      <c r="X34" s="1"/>
      <c r="Y34" s="1"/>
      <c r="Z34" s="1"/>
      <c r="AA34" s="55" t="s">
        <v>244</v>
      </c>
      <c r="AB34" s="1"/>
      <c r="AC34" s="56" t="s">
        <v>244</v>
      </c>
      <c r="AD34" s="1"/>
      <c r="AE34" s="1"/>
      <c r="AF34" s="2">
        <v>0</v>
      </c>
      <c r="AG34" s="55">
        <v>100</v>
      </c>
      <c r="AH34" s="1"/>
      <c r="AI34" s="1"/>
      <c r="AJ34" s="1"/>
      <c r="AK34" s="1"/>
      <c r="AL34" s="1"/>
      <c r="AM34" s="1"/>
      <c r="AN34" s="55" t="s">
        <v>244</v>
      </c>
      <c r="AO34" s="1"/>
      <c r="AP34" s="56" t="s">
        <v>244</v>
      </c>
      <c r="AQ34" s="1"/>
      <c r="AR34" s="1"/>
      <c r="AS34" s="2">
        <v>0</v>
      </c>
      <c r="AT34" s="55">
        <v>100</v>
      </c>
      <c r="AU34" s="55" t="s">
        <v>244</v>
      </c>
      <c r="AV34" s="55" t="s">
        <v>244</v>
      </c>
      <c r="AW34" s="56" t="s">
        <v>244</v>
      </c>
      <c r="AX34" s="57" t="s">
        <v>244</v>
      </c>
      <c r="AY34" s="55" t="s">
        <v>244</v>
      </c>
      <c r="AZ34" s="1"/>
      <c r="BA34" s="58">
        <v>0</v>
      </c>
      <c r="BB34" s="59">
        <v>100</v>
      </c>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v>1268638</v>
      </c>
      <c r="EB34" s="39">
        <v>106</v>
      </c>
      <c r="EC34" s="39">
        <v>36</v>
      </c>
      <c r="ED34" s="1"/>
      <c r="EE34" s="1"/>
      <c r="EF34" s="1"/>
      <c r="EG34" s="1"/>
      <c r="EH34" s="1"/>
      <c r="EI34" s="1"/>
      <c r="EJ34" s="1"/>
      <c r="EK34" s="55" t="s">
        <v>244</v>
      </c>
      <c r="EL34" s="1"/>
      <c r="EM34" s="56" t="s">
        <v>244</v>
      </c>
      <c r="EN34" s="1"/>
      <c r="EO34" s="1"/>
      <c r="EP34" s="2">
        <v>0</v>
      </c>
      <c r="EQ34" s="55">
        <v>100</v>
      </c>
      <c r="ER34" s="1"/>
      <c r="ES34" s="1"/>
      <c r="ET34" s="1"/>
      <c r="EU34" s="1"/>
      <c r="EV34" s="1"/>
      <c r="EW34" s="1"/>
      <c r="EX34" s="55" t="s">
        <v>244</v>
      </c>
      <c r="EY34" s="1"/>
      <c r="EZ34" s="56" t="s">
        <v>244</v>
      </c>
      <c r="FA34" s="1"/>
      <c r="FB34" s="1"/>
      <c r="FC34" s="2">
        <v>0</v>
      </c>
      <c r="FD34" s="55">
        <v>100</v>
      </c>
      <c r="FE34" s="55" t="s">
        <v>244</v>
      </c>
      <c r="FF34" s="55" t="s">
        <v>244</v>
      </c>
      <c r="FG34" s="56" t="s">
        <v>244</v>
      </c>
      <c r="FH34" s="57" t="s">
        <v>244</v>
      </c>
      <c r="FI34" s="55" t="s">
        <v>244</v>
      </c>
      <c r="FJ34" s="1"/>
      <c r="FK34" s="58">
        <v>0</v>
      </c>
      <c r="FL34" s="59">
        <v>100</v>
      </c>
      <c r="FM34" s="4">
        <v>1070977</v>
      </c>
      <c r="FN34" s="39">
        <v>110</v>
      </c>
      <c r="FO34" s="39">
        <v>168</v>
      </c>
      <c r="FP34" s="1"/>
      <c r="FQ34" s="1"/>
      <c r="FR34" s="1"/>
      <c r="FS34" s="1"/>
      <c r="FT34" s="1"/>
      <c r="FU34" s="1"/>
      <c r="FV34" s="1"/>
      <c r="FW34" s="55" t="s">
        <v>244</v>
      </c>
      <c r="FX34" s="1"/>
      <c r="FY34" s="56" t="s">
        <v>244</v>
      </c>
      <c r="FZ34" s="1"/>
      <c r="GA34" s="1"/>
      <c r="GB34" s="2">
        <v>0</v>
      </c>
      <c r="GC34" s="55">
        <v>100</v>
      </c>
      <c r="GD34" s="1"/>
      <c r="GE34" s="1"/>
      <c r="GF34" s="1"/>
      <c r="GG34" s="1"/>
      <c r="GH34" s="1"/>
      <c r="GI34" s="1"/>
      <c r="GJ34" s="55" t="s">
        <v>244</v>
      </c>
      <c r="GK34" s="1"/>
      <c r="GL34" s="56" t="s">
        <v>244</v>
      </c>
      <c r="GM34" s="1"/>
      <c r="GN34" s="1"/>
      <c r="GO34" s="2">
        <v>0</v>
      </c>
      <c r="GP34" s="55">
        <v>100</v>
      </c>
      <c r="GQ34" s="55" t="s">
        <v>244</v>
      </c>
      <c r="GR34" s="55" t="s">
        <v>244</v>
      </c>
      <c r="GS34" s="56" t="s">
        <v>244</v>
      </c>
      <c r="GT34" s="57" t="s">
        <v>244</v>
      </c>
      <c r="GU34" s="55" t="s">
        <v>244</v>
      </c>
      <c r="GV34" s="1"/>
      <c r="GW34" s="58">
        <v>0</v>
      </c>
      <c r="GX34" s="59">
        <v>100</v>
      </c>
      <c r="GY34" s="4">
        <v>1199044</v>
      </c>
      <c r="GZ34" s="39">
        <v>114</v>
      </c>
      <c r="HA34" s="39">
        <v>33</v>
      </c>
      <c r="HB34" s="1"/>
      <c r="HC34" s="1"/>
      <c r="HD34" s="1"/>
      <c r="HE34" s="1"/>
      <c r="HF34" s="1"/>
      <c r="HG34" s="1"/>
      <c r="HH34" s="1"/>
      <c r="HI34" s="55" t="s">
        <v>244</v>
      </c>
      <c r="HJ34" s="1"/>
      <c r="HK34" s="56" t="s">
        <v>244</v>
      </c>
      <c r="HL34" s="1"/>
      <c r="HM34" s="1"/>
      <c r="HN34" s="2">
        <v>0</v>
      </c>
      <c r="HO34" s="55">
        <v>100</v>
      </c>
      <c r="HP34" s="1"/>
      <c r="HQ34" s="1"/>
      <c r="HR34" s="1"/>
      <c r="HS34" s="1"/>
      <c r="HT34" s="1"/>
      <c r="HU34" s="1"/>
      <c r="HV34" s="55" t="s">
        <v>244</v>
      </c>
      <c r="HW34" s="1"/>
      <c r="HX34" s="56" t="s">
        <v>244</v>
      </c>
      <c r="HY34" s="1"/>
      <c r="HZ34" s="1"/>
      <c r="IA34" s="2">
        <v>0</v>
      </c>
      <c r="IB34" s="55">
        <v>100</v>
      </c>
      <c r="IC34" s="55" t="s">
        <v>244</v>
      </c>
      <c r="ID34" s="55" t="s">
        <v>244</v>
      </c>
      <c r="IE34" s="56" t="s">
        <v>244</v>
      </c>
      <c r="IF34" s="57" t="s">
        <v>244</v>
      </c>
      <c r="IG34" s="55" t="s">
        <v>244</v>
      </c>
      <c r="IH34" s="1"/>
      <c r="II34" s="58">
        <v>0</v>
      </c>
      <c r="IJ34" s="59">
        <v>100</v>
      </c>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v>1070977</v>
      </c>
      <c r="PT34" s="39">
        <v>128</v>
      </c>
      <c r="PU34" s="39">
        <v>33</v>
      </c>
      <c r="PV34" s="1"/>
      <c r="PW34" s="1"/>
      <c r="PX34" s="1"/>
      <c r="PY34" s="1"/>
      <c r="PZ34" s="1"/>
      <c r="QA34" s="1"/>
      <c r="QB34" s="1"/>
      <c r="QC34" s="55" t="s">
        <v>244</v>
      </c>
      <c r="QD34" s="1"/>
      <c r="QE34" s="56" t="s">
        <v>244</v>
      </c>
      <c r="QF34" s="1"/>
      <c r="QG34" s="1"/>
      <c r="QH34" s="2">
        <v>0</v>
      </c>
      <c r="QI34" s="55">
        <v>100</v>
      </c>
      <c r="QJ34" s="1"/>
      <c r="QK34" s="1"/>
      <c r="QL34" s="1"/>
      <c r="QM34" s="1"/>
      <c r="QN34" s="1"/>
      <c r="QO34" s="1"/>
      <c r="QP34" s="55" t="s">
        <v>244</v>
      </c>
      <c r="QQ34" s="1"/>
      <c r="QR34" s="56" t="s">
        <v>244</v>
      </c>
      <c r="QS34" s="1"/>
      <c r="QT34" s="1"/>
      <c r="QU34" s="2">
        <v>0</v>
      </c>
      <c r="QV34" s="55">
        <v>100</v>
      </c>
      <c r="QW34" s="55" t="s">
        <v>244</v>
      </c>
      <c r="QX34" s="55" t="s">
        <v>244</v>
      </c>
      <c r="QY34" s="56" t="s">
        <v>244</v>
      </c>
      <c r="QZ34" s="57" t="s">
        <v>244</v>
      </c>
      <c r="RA34" s="55" t="s">
        <v>244</v>
      </c>
      <c r="RB34" s="1"/>
      <c r="RC34" s="58">
        <v>0</v>
      </c>
      <c r="RD34" s="59">
        <v>100</v>
      </c>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1070977</v>
      </c>
      <c r="UD34" s="39">
        <v>131</v>
      </c>
      <c r="UE34" s="39">
        <v>69</v>
      </c>
      <c r="UF34" s="1"/>
      <c r="UG34" s="1"/>
      <c r="UH34" s="1"/>
      <c r="UI34" s="1"/>
      <c r="UJ34" s="1"/>
      <c r="UK34" s="1"/>
      <c r="UL34" s="1"/>
      <c r="UM34" s="55" t="s">
        <v>244</v>
      </c>
      <c r="UN34" s="1"/>
      <c r="UO34" s="56" t="s">
        <v>244</v>
      </c>
      <c r="UP34" s="1"/>
      <c r="UQ34" s="1"/>
      <c r="UR34" s="2">
        <v>0</v>
      </c>
      <c r="US34" s="55">
        <v>100</v>
      </c>
      <c r="UT34" s="1"/>
      <c r="UU34" s="1"/>
      <c r="UV34" s="1"/>
      <c r="UW34" s="1"/>
      <c r="UX34" s="1"/>
      <c r="UY34" s="1"/>
      <c r="UZ34" s="55" t="s">
        <v>244</v>
      </c>
      <c r="VA34" s="1"/>
      <c r="VB34" s="56" t="s">
        <v>244</v>
      </c>
      <c r="VC34" s="1"/>
      <c r="VD34" s="1"/>
      <c r="VE34" s="2">
        <v>0</v>
      </c>
      <c r="VF34" s="55">
        <v>100</v>
      </c>
      <c r="VG34" s="55" t="s">
        <v>244</v>
      </c>
      <c r="VH34" s="55" t="s">
        <v>244</v>
      </c>
      <c r="VI34" s="56" t="s">
        <v>244</v>
      </c>
      <c r="VJ34" s="57" t="s">
        <v>244</v>
      </c>
      <c r="VK34" s="55" t="s">
        <v>244</v>
      </c>
      <c r="VL34" s="1"/>
      <c r="VM34" s="58">
        <v>0</v>
      </c>
      <c r="VN34" s="59">
        <v>100</v>
      </c>
      <c r="VO34" s="4">
        <v>1070977</v>
      </c>
      <c r="VP34" s="39">
        <v>132</v>
      </c>
      <c r="VQ34" s="39">
        <v>33</v>
      </c>
      <c r="VR34" s="1"/>
      <c r="VS34" s="1"/>
      <c r="VT34" s="1"/>
      <c r="VU34" s="1"/>
      <c r="VV34" s="1"/>
      <c r="VW34" s="1"/>
      <c r="VX34" s="1"/>
      <c r="VY34" s="55" t="s">
        <v>244</v>
      </c>
      <c r="VZ34" s="1"/>
      <c r="WA34" s="56" t="s">
        <v>244</v>
      </c>
      <c r="WB34" s="1"/>
      <c r="WC34" s="1"/>
      <c r="WD34" s="2">
        <v>0</v>
      </c>
      <c r="WE34" s="55">
        <v>100</v>
      </c>
      <c r="WF34" s="1"/>
      <c r="WG34" s="1"/>
      <c r="WH34" s="1"/>
      <c r="WI34" s="1"/>
      <c r="WJ34" s="1"/>
      <c r="WK34" s="1"/>
      <c r="WL34" s="55" t="s">
        <v>244</v>
      </c>
      <c r="WM34" s="1"/>
      <c r="WN34" s="56" t="s">
        <v>244</v>
      </c>
      <c r="WO34" s="1"/>
      <c r="WP34" s="1"/>
      <c r="WQ34" s="2">
        <v>0</v>
      </c>
      <c r="WR34" s="55">
        <v>100</v>
      </c>
      <c r="WS34" s="55" t="s">
        <v>244</v>
      </c>
      <c r="WT34" s="55" t="s">
        <v>244</v>
      </c>
      <c r="WU34" s="56" t="s">
        <v>244</v>
      </c>
      <c r="WV34" s="57" t="s">
        <v>244</v>
      </c>
      <c r="WW34" s="55" t="s">
        <v>244</v>
      </c>
      <c r="WX34" s="1"/>
      <c r="WY34" s="58">
        <v>0</v>
      </c>
      <c r="WZ34" s="59">
        <v>100</v>
      </c>
      <c r="XA34" s="4">
        <v>1070977</v>
      </c>
      <c r="XB34" s="39">
        <v>133</v>
      </c>
      <c r="XC34" s="39">
        <v>33</v>
      </c>
      <c r="XD34" s="1"/>
      <c r="XE34" s="1"/>
      <c r="XF34" s="1"/>
      <c r="XG34" s="1"/>
      <c r="XH34" s="1"/>
      <c r="XI34" s="1"/>
      <c r="XJ34" s="1"/>
      <c r="XK34" s="55" t="s">
        <v>244</v>
      </c>
      <c r="XL34" s="1"/>
      <c r="XM34" s="56" t="s">
        <v>244</v>
      </c>
      <c r="XN34" s="1"/>
      <c r="XO34" s="1"/>
      <c r="XP34" s="2">
        <v>0</v>
      </c>
      <c r="XQ34" s="55">
        <v>100</v>
      </c>
      <c r="XR34" s="1"/>
      <c r="XS34" s="1"/>
      <c r="XT34" s="1"/>
      <c r="XU34" s="1"/>
      <c r="XV34" s="1"/>
      <c r="XW34" s="1"/>
      <c r="XX34" s="55" t="s">
        <v>244</v>
      </c>
      <c r="XY34" s="1"/>
      <c r="XZ34" s="56" t="s">
        <v>244</v>
      </c>
      <c r="YA34" s="1"/>
      <c r="YB34" s="1"/>
      <c r="YC34" s="2">
        <v>0</v>
      </c>
      <c r="YD34" s="55">
        <v>100</v>
      </c>
      <c r="YE34" s="55" t="s">
        <v>244</v>
      </c>
      <c r="YF34" s="55" t="s">
        <v>244</v>
      </c>
      <c r="YG34" s="56" t="s">
        <v>244</v>
      </c>
      <c r="YH34" s="57" t="s">
        <v>244</v>
      </c>
      <c r="YI34" s="55" t="s">
        <v>244</v>
      </c>
      <c r="YJ34" s="1"/>
      <c r="YK34" s="58">
        <v>0</v>
      </c>
      <c r="YL34" s="59">
        <v>100</v>
      </c>
      <c r="YM34" s="4">
        <v>1070977</v>
      </c>
      <c r="YN34" s="39">
        <v>135</v>
      </c>
      <c r="YO34" s="39">
        <v>33</v>
      </c>
      <c r="YP34" s="1"/>
      <c r="YQ34" s="1"/>
      <c r="YR34" s="1"/>
      <c r="YS34" s="1"/>
      <c r="YT34" s="1"/>
      <c r="YU34" s="1"/>
      <c r="YV34" s="1"/>
      <c r="YW34" s="55" t="s">
        <v>244</v>
      </c>
      <c r="YX34" s="1"/>
      <c r="YY34" s="56" t="s">
        <v>244</v>
      </c>
      <c r="YZ34" s="1"/>
      <c r="ZA34" s="1"/>
      <c r="ZB34" s="2">
        <v>0</v>
      </c>
      <c r="ZC34" s="55">
        <v>100</v>
      </c>
      <c r="ZD34" s="1"/>
      <c r="ZE34" s="1"/>
      <c r="ZF34" s="1"/>
      <c r="ZG34" s="1"/>
      <c r="ZH34" s="1"/>
      <c r="ZI34" s="1"/>
      <c r="ZJ34" s="55" t="s">
        <v>244</v>
      </c>
      <c r="ZK34" s="1"/>
      <c r="ZL34" s="56" t="s">
        <v>244</v>
      </c>
      <c r="ZM34" s="1"/>
      <c r="ZN34" s="1"/>
      <c r="ZO34" s="2">
        <v>0</v>
      </c>
      <c r="ZP34" s="55">
        <v>100</v>
      </c>
      <c r="ZQ34" s="55" t="s">
        <v>244</v>
      </c>
      <c r="ZR34" s="55" t="s">
        <v>244</v>
      </c>
      <c r="ZS34" s="56" t="s">
        <v>244</v>
      </c>
      <c r="ZT34" s="57" t="s">
        <v>244</v>
      </c>
      <c r="ZU34" s="55" t="s">
        <v>244</v>
      </c>
      <c r="ZV34" s="1"/>
      <c r="ZW34" s="58">
        <v>0</v>
      </c>
      <c r="ZX34" s="59">
        <v>100</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4"/>
      <c r="AG1" s="174"/>
      <c r="AH1" s="174"/>
      <c r="AI1" s="28" t="str">
        <f>IF(AF2="Şagird sayı","Qız","")</f>
        <v/>
      </c>
      <c r="AJ1" s="28" t="str">
        <f>IF(AF2="Şagird sayı","Oğlan","")</f>
        <v/>
      </c>
      <c r="AK1" s="177" t="str">
        <f>IF(AF2="Şagird sayı","Ümumi","")</f>
        <v/>
      </c>
      <c r="AL1" s="177"/>
      <c r="AM1" s="177"/>
    </row>
    <row r="2" spans="1:41" ht="33" customHeight="1" x14ac:dyDescent="0.25">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5" t="str">
        <f>IF(B3="Sinif","Şagird sayı","")</f>
        <v/>
      </c>
      <c r="AG2" s="175"/>
      <c r="AH2" s="175"/>
      <c r="AI2" s="24" t="str">
        <f>IF(AF2="","",Baza!L4)</f>
        <v/>
      </c>
      <c r="AJ2" s="24" t="str">
        <f>IF(AF2="","",Baza!L6)</f>
        <v/>
      </c>
      <c r="AK2" s="178" t="str">
        <f>IF(AF2="","",Baza!L2)</f>
        <v/>
      </c>
      <c r="AL2" s="178"/>
      <c r="AM2" s="178"/>
    </row>
    <row r="3" spans="1:41" ht="30.6" customHeight="1" thickBot="1" x14ac:dyDescent="0.3">
      <c r="A3" s="26" t="s">
        <v>101</v>
      </c>
      <c r="B3" s="183"/>
      <c r="C3" s="183"/>
      <c r="D3" s="25"/>
      <c r="E3" s="184" t="s">
        <v>103</v>
      </c>
      <c r="F3" s="185"/>
      <c r="G3" s="186"/>
      <c r="H3" s="152" t="str">
        <f>IF(Baza!B2="","",Baza!B2)</f>
        <v>Bakı</v>
      </c>
      <c r="I3" s="152"/>
      <c r="J3" s="152"/>
      <c r="K3" s="152"/>
      <c r="L3" s="152"/>
      <c r="N3" s="187" t="s">
        <v>90</v>
      </c>
      <c r="O3" s="187"/>
      <c r="P3" s="187"/>
      <c r="Q3" s="152" t="str">
        <f>IF(Baza!C2="","",Baza!C2)</f>
        <v>Binəqədi</v>
      </c>
      <c r="R3" s="152"/>
      <c r="S3" s="152"/>
      <c r="T3" s="152"/>
      <c r="U3" s="152"/>
      <c r="W3" s="187" t="s">
        <v>116</v>
      </c>
      <c r="X3" s="187"/>
      <c r="Y3" s="187"/>
      <c r="Z3" s="152">
        <f>IF(Baza!D2="","",Baza!D2)</f>
        <v>99</v>
      </c>
      <c r="AA3" s="152"/>
      <c r="AB3" s="152"/>
      <c r="AC3" s="152"/>
      <c r="AD3" s="152"/>
      <c r="AE3" s="23"/>
      <c r="AF3" s="153" t="s">
        <v>102</v>
      </c>
      <c r="AG3" s="153"/>
      <c r="AH3" s="153"/>
      <c r="AI3" s="154" t="str">
        <f>IF(Baza!A2="","",Baza!A2)</f>
        <v>2022-2023</v>
      </c>
      <c r="AJ3" s="155"/>
      <c r="AK3" s="155"/>
      <c r="AL3" s="155"/>
      <c r="AM3" s="156"/>
    </row>
    <row r="4" spans="1:41" ht="36.6" customHeight="1" thickTop="1" x14ac:dyDescent="0.25">
      <c r="A4" s="15" t="str">
        <f>IF(B3="sinif","Sinif","Soyad")</f>
        <v>Soyad</v>
      </c>
      <c r="B4" s="182" t="e">
        <f>VLOOKUP(B3,Baza!E2:J59,4,0)</f>
        <v>#N/A</v>
      </c>
      <c r="C4" s="182"/>
      <c r="D4" s="148" t="s">
        <v>96</v>
      </c>
      <c r="E4" s="194" t="s">
        <v>12</v>
      </c>
      <c r="F4" s="173" t="s">
        <v>14</v>
      </c>
      <c r="G4" s="173"/>
      <c r="H4" s="173"/>
      <c r="I4" s="173"/>
      <c r="J4" s="173"/>
      <c r="K4" s="173"/>
      <c r="L4" s="173"/>
      <c r="M4" s="173"/>
      <c r="N4" s="173"/>
      <c r="O4" s="173"/>
      <c r="P4" s="173"/>
      <c r="Q4" s="173"/>
      <c r="R4" s="173"/>
      <c r="S4" s="173" t="s">
        <v>15</v>
      </c>
      <c r="T4" s="173"/>
      <c r="U4" s="173"/>
      <c r="V4" s="173"/>
      <c r="W4" s="173"/>
      <c r="X4" s="173"/>
      <c r="Y4" s="173"/>
      <c r="Z4" s="173"/>
      <c r="AA4" s="173"/>
      <c r="AB4" s="173"/>
      <c r="AC4" s="173"/>
      <c r="AD4" s="173"/>
      <c r="AE4" s="173"/>
      <c r="AF4" s="160" t="s">
        <v>17</v>
      </c>
      <c r="AG4" s="161"/>
      <c r="AH4" s="161"/>
      <c r="AI4" s="161"/>
      <c r="AJ4" s="161"/>
      <c r="AK4" s="161"/>
      <c r="AL4" s="161"/>
      <c r="AM4" s="161"/>
    </row>
    <row r="5" spans="1:41" ht="33" customHeight="1" x14ac:dyDescent="0.25">
      <c r="A5" s="14" t="str">
        <f>IF(B3="sinif","Bölmə","Ad")</f>
        <v>Ad</v>
      </c>
      <c r="B5" s="181" t="e">
        <f>VLOOKUP(B3,Baza!E2:J59,5,0)</f>
        <v>#N/A</v>
      </c>
      <c r="C5" s="181"/>
      <c r="D5" s="111"/>
      <c r="E5" s="195"/>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93" t="s">
        <v>25</v>
      </c>
      <c r="AB5" s="166" t="s">
        <v>7</v>
      </c>
      <c r="AC5" s="166"/>
      <c r="AD5" s="167" t="s">
        <v>26</v>
      </c>
      <c r="AE5" s="169" t="s">
        <v>18</v>
      </c>
      <c r="AF5" s="171" t="s">
        <v>27</v>
      </c>
      <c r="AG5" s="171" t="s">
        <v>28</v>
      </c>
      <c r="AH5" s="171" t="s">
        <v>8</v>
      </c>
      <c r="AI5" s="171"/>
      <c r="AJ5" s="188" t="s">
        <v>16</v>
      </c>
      <c r="AK5" s="188" t="s">
        <v>29</v>
      </c>
      <c r="AL5" s="190" t="s">
        <v>30</v>
      </c>
      <c r="AM5" s="192" t="s">
        <v>18</v>
      </c>
    </row>
    <row r="6" spans="1:41" ht="48.6" customHeight="1" x14ac:dyDescent="0.25">
      <c r="A6" s="17" t="s">
        <v>19</v>
      </c>
      <c r="B6" s="179" t="s">
        <v>100</v>
      </c>
      <c r="C6" s="180"/>
      <c r="D6" s="111"/>
      <c r="E6" s="195"/>
      <c r="F6" s="21" t="s">
        <v>4</v>
      </c>
      <c r="G6" s="21" t="s">
        <v>4</v>
      </c>
      <c r="H6" s="21" t="s">
        <v>4</v>
      </c>
      <c r="I6" s="21" t="s">
        <v>4</v>
      </c>
      <c r="J6" s="21" t="s">
        <v>4</v>
      </c>
      <c r="K6" s="21" t="s">
        <v>4</v>
      </c>
      <c r="L6" s="21" t="s">
        <v>6</v>
      </c>
      <c r="M6" s="21" t="s">
        <v>5</v>
      </c>
      <c r="N6" s="165"/>
      <c r="O6" s="3" t="s">
        <v>20</v>
      </c>
      <c r="P6" s="3" t="s">
        <v>21</v>
      </c>
      <c r="Q6" s="168"/>
      <c r="R6" s="170"/>
      <c r="S6" s="21" t="s">
        <v>4</v>
      </c>
      <c r="T6" s="21" t="s">
        <v>4</v>
      </c>
      <c r="U6" s="21" t="s">
        <v>4</v>
      </c>
      <c r="V6" s="21" t="s">
        <v>4</v>
      </c>
      <c r="W6" s="21" t="s">
        <v>4</v>
      </c>
      <c r="X6" s="21" t="s">
        <v>4</v>
      </c>
      <c r="Y6" s="21" t="s">
        <v>6</v>
      </c>
      <c r="Z6" s="21" t="s">
        <v>5</v>
      </c>
      <c r="AA6" s="193"/>
      <c r="AB6" s="3" t="s">
        <v>22</v>
      </c>
      <c r="AC6" s="3" t="s">
        <v>23</v>
      </c>
      <c r="AD6" s="168"/>
      <c r="AE6" s="170"/>
      <c r="AF6" s="172"/>
      <c r="AG6" s="172"/>
      <c r="AH6" s="22" t="s">
        <v>31</v>
      </c>
      <c r="AI6" s="22" t="s">
        <v>32</v>
      </c>
      <c r="AJ6" s="189"/>
      <c r="AK6" s="189"/>
      <c r="AL6" s="191"/>
      <c r="AM6" s="170"/>
    </row>
    <row r="7" spans="1:41" ht="19.899999999999999" customHeight="1" x14ac:dyDescent="0.25">
      <c r="A7" s="146" t="s">
        <v>44</v>
      </c>
      <c r="B7" s="146" t="s">
        <v>45</v>
      </c>
      <c r="C7" s="29" t="s">
        <v>31</v>
      </c>
      <c r="D7" s="149"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7" t="e">
        <f>IF(VLOOKUP($B$3,Baza!$E$2:$AIR$59,$AN7+13,0)="","",VLOOKUP($B$3,Baza!$E$2:$AIR$59,$AN7+13,0))</f>
        <v>#N/A</v>
      </c>
      <c r="R7" s="124"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7" t="e">
        <f>IF(VLOOKUP($B$3,Baza!$E$2:$AIR$59,$AN7+26,0)="","",VLOOKUP($B$3,Baza!$E$2:$AIR$59,$AN7+26,0))</f>
        <v>#N/A</v>
      </c>
      <c r="AE7" s="124"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3" t="e">
        <f>IF(VLOOKUP($B$3,Baza!$E$2:$AIR$59,$AN7+31,0)="","",VLOOKUP($B$3,Baza!$E$2:$AIR$59,$AN7+31,0))</f>
        <v>#N/A</v>
      </c>
      <c r="AJ7" s="13" t="e">
        <f>IF(VLOOKUP($B$3,Baza!$E$2:$AIR$59,$AN7+32,0)="","",VLOOKUP($B$3,Baza!$E$2:$AIR$59,$AN7+32,0))</f>
        <v>#N/A</v>
      </c>
      <c r="AK7" s="13" t="e">
        <f>IF(VLOOKUP($B$3,Baza!$E$2:$AIR$59,$AN7+33,0)="","",VLOOKUP($B$3,Baza!$E$2:$AIR$59,$AN7+33,0))</f>
        <v>#N/A</v>
      </c>
      <c r="AL7" s="127" t="e">
        <f>IF(VLOOKUP($B$3,Baza!$E$2:$AIR$59,$AN7+34,0)="","",VLOOKUP($B$3,Baza!$E$2:$AIR$59,$AN7+34,0))</f>
        <v>#N/A</v>
      </c>
      <c r="AM7" s="130" t="e">
        <f>IF(VLOOKUP($B$3,Baza!$E$2:$AIR$59,$AN7+35,0)="","",VLOOKUP($B$3,Baza!$E$2:$AIR$59,$AN7+35,0))</f>
        <v>#N/A</v>
      </c>
      <c r="AN7" s="71">
        <v>15</v>
      </c>
      <c r="AO7" s="71" t="str">
        <f>IF(B3="Sinif","Dördüncü","")</f>
        <v/>
      </c>
    </row>
    <row r="8" spans="1:41" ht="19.899999999999999" customHeight="1" x14ac:dyDescent="0.25">
      <c r="A8" s="147"/>
      <c r="B8" s="147"/>
      <c r="C8" s="18" t="s">
        <v>106</v>
      </c>
      <c r="D8" s="149"/>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8"/>
      <c r="R8" s="125"/>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8"/>
      <c r="AE8" s="125"/>
      <c r="AF8" s="20" t="str">
        <f>IF($AO$7="","",IF(VLOOKUP($AO$7,Baza!$E$2:$AIR$59,$AN7+28,0)="","",VLOOKUP($AO$7,Baza!$E$2:$AIR$59,$AN7+28,0)))</f>
        <v/>
      </c>
      <c r="AG8" s="20" t="str">
        <f>IF($AO$7="","",IF(VLOOKUP($AO$7,Baza!$E$2:$AIR$59,$AN7+29,0)="","",VLOOKUP($AO$7,Baza!$E$2:$AIR$59,$AN7+29,0)))</f>
        <v/>
      </c>
      <c r="AH8" s="32" t="str">
        <f>IF($AO$7="","",IF(VLOOKUP($AO$7,Baza!$E$2:$AIR$59,$AN7+30,0)="","",VLOOKUP($AO$7,Baza!$E$2:$AIR$59,$AN7+30,0)))</f>
        <v/>
      </c>
      <c r="AI8" s="134"/>
      <c r="AJ8" s="20" t="str">
        <f>IF($AO$7="","",IF(VLOOKUP($AO$7,Baza!$E$2:$AIR$59,$AN7+32,0)="","",VLOOKUP($AO$7,Baza!$E$2:$AIR$59,$AN7+32,0)))</f>
        <v/>
      </c>
      <c r="AK8" s="20" t="str">
        <f>IF($AO$7="","",IF(VLOOKUP($AO$7,Baza!$E$2:$AIR$59,$AN7+33,0)="","",VLOOKUP($AO$7,Baza!$E$2:$AIR$59,$AN7+33,0)))</f>
        <v/>
      </c>
      <c r="AL8" s="128"/>
      <c r="AM8" s="131"/>
      <c r="AN8" s="71">
        <v>15</v>
      </c>
      <c r="AO8" s="71" t="str">
        <f>IF(B3="Sinif","Üçüncü","")</f>
        <v/>
      </c>
    </row>
    <row r="9" spans="1:41" ht="19.899999999999999" customHeight="1" x14ac:dyDescent="0.25">
      <c r="A9" s="147"/>
      <c r="B9" s="147"/>
      <c r="C9" s="18" t="s">
        <v>107</v>
      </c>
      <c r="D9" s="149"/>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8"/>
      <c r="R9" s="125"/>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8"/>
      <c r="AE9" s="125"/>
      <c r="AF9" s="20" t="str">
        <f>IF($AO$8="","",IF(VLOOKUP($AO$8,Baza!$E$2:$AIR$59,$AN8+28,0)="","",VLOOKUP($AO$8,Baza!$E$2:$AIR$59,$AN8+28,0)))</f>
        <v/>
      </c>
      <c r="AG9" s="20" t="str">
        <f>IF($AO$8="","",IF(VLOOKUP($AO$8,Baza!$E$2:$AIR$59,$AN8+29,0)="","",VLOOKUP($AO$8,Baza!$E$2:$AIR$59,$AN8+29,0)))</f>
        <v/>
      </c>
      <c r="AH9" s="32" t="str">
        <f>IF($AO$8="","",IF(VLOOKUP($AO$8,Baza!$E$2:$AIR$59,$AN8+30,0)="","",VLOOKUP($AO$8,Baza!$E$2:$AIR$59,$AN8+30,0)))</f>
        <v/>
      </c>
      <c r="AI9" s="134"/>
      <c r="AJ9" s="20" t="str">
        <f>IF($AO$8="","",IF(VLOOKUP($AO$8,Baza!$E$2:$AIR$59,$AN8+32,0)="","",VLOOKUP($AO$8,Baza!$E$2:$AIR$59,$AN8+32,0)))</f>
        <v/>
      </c>
      <c r="AK9" s="20" t="str">
        <f>IF($AO$8="","",IF(VLOOKUP($AO$8,Baza!$E$2:$AIR$59,$AN8+33,0)="","",VLOOKUP($AO$8,Baza!$E$2:$AIR$59,$AN8+33,0)))</f>
        <v/>
      </c>
      <c r="AL9" s="128"/>
      <c r="AM9" s="131"/>
      <c r="AN9" s="71">
        <v>15</v>
      </c>
      <c r="AO9" s="71" t="str">
        <f>IF(B3="Sinif","İkinci","")</f>
        <v/>
      </c>
    </row>
    <row r="10" spans="1:41" ht="19.899999999999999" customHeight="1" x14ac:dyDescent="0.25">
      <c r="A10" s="147"/>
      <c r="B10" s="147"/>
      <c r="C10" s="18" t="s">
        <v>108</v>
      </c>
      <c r="D10" s="149"/>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8"/>
      <c r="R10" s="125"/>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8"/>
      <c r="AE10" s="125"/>
      <c r="AF10" s="20" t="str">
        <f>IF($AO$9="","",IF(VLOOKUP($AO$9,Baza!$E$2:$AIR$59,$AN9+28,0)="","",VLOOKUP($AO$9,Baza!$E$2:$AIR$59,$AN9+28,0)))</f>
        <v/>
      </c>
      <c r="AG10" s="20" t="str">
        <f>IF($AO$9="","",IF(VLOOKUP($AO$9,Baza!$E$2:$AIR$59,$AN9+29,0)="","",VLOOKUP($AO$9,Baza!$E$2:$AIR$59,$AN9+29,0)))</f>
        <v/>
      </c>
      <c r="AH10" s="32" t="str">
        <f>IF($AO$9="","",IF(VLOOKUP($AO$9,Baza!$E$2:$AIR$59,$AN9+30,0)="","",VLOOKUP($AO$9,Baza!$E$2:$AIR$59,$AN9+30,0)))</f>
        <v/>
      </c>
      <c r="AI10" s="134"/>
      <c r="AJ10" s="20" t="str">
        <f>IF($AO$9="","",IF(VLOOKUP($AO$9,Baza!$E$2:$AIR$59,$AN9+32,0)="","",VLOOKUP($AO$9,Baza!$E$2:$AIR$59,$AN9+32,0)))</f>
        <v/>
      </c>
      <c r="AK10" s="20" t="str">
        <f>IF($AO$9="","",IF(VLOOKUP($AO$9,Baza!$E$2:$AIR$59,$AN9+33,0)="","",VLOOKUP($AO$9,Baza!$E$2:$AIR$59,$AN9+33,0)))</f>
        <v/>
      </c>
      <c r="AL10" s="128"/>
      <c r="AM10" s="131"/>
      <c r="AN10" s="71">
        <v>15</v>
      </c>
      <c r="AO10" s="71" t="str">
        <f>IF(B3="Sinif","Birinci","")</f>
        <v/>
      </c>
    </row>
    <row r="11" spans="1:41" ht="19.899999999999999" customHeight="1" x14ac:dyDescent="0.25">
      <c r="A11" s="148"/>
      <c r="B11" s="148"/>
      <c r="C11" s="18" t="s">
        <v>109</v>
      </c>
      <c r="D11" s="149"/>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9"/>
      <c r="R11" s="126"/>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9"/>
      <c r="AE11" s="126"/>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5"/>
      <c r="AJ11" s="20" t="str">
        <f>IF($AO$10="","",IF(VLOOKUP($AO$10,Baza!$E$2:$AIR$59,$AN10+32,0)="","",VLOOKUP($AO$10,Baza!$E$2:$AIR$59,$AN10+32,0)))</f>
        <v/>
      </c>
      <c r="AK11" s="20" t="str">
        <f>IF($AO$10="","",IF(VLOOKUP($AO$10,Baza!$E$2:$AIR$59,$AN10+33,0)="","",VLOOKUP($AO$10,Baza!$E$2:$AIR$59,$AN10+33,0)))</f>
        <v/>
      </c>
      <c r="AL11" s="129"/>
      <c r="AM11" s="132"/>
      <c r="AN11" s="71">
        <v>15</v>
      </c>
    </row>
    <row r="12" spans="1:41" ht="19.899999999999999" customHeight="1" x14ac:dyDescent="0.25">
      <c r="A12" s="146">
        <v>102</v>
      </c>
      <c r="B12" s="146" t="s">
        <v>47</v>
      </c>
      <c r="C12" s="29" t="s">
        <v>31</v>
      </c>
      <c r="D12" s="149"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7" t="e">
        <f>IF(VLOOKUP($B$3,Baza!$E$2:$AIR$59,$AN12+13,0)="","",VLOOKUP($B$3,Baza!$E$2:$AIR$59,$AN12+13,0))</f>
        <v>#N/A</v>
      </c>
      <c r="R12" s="124"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7" t="e">
        <f>IF(VLOOKUP($B$3,Baza!$E$2:$AIR$59,$AN12+26,0)="","",VLOOKUP($B$3,Baza!$E$2:$AIR$59,$AN12+26,0))</f>
        <v>#N/A</v>
      </c>
      <c r="AE12" s="124"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3" t="e">
        <f>IF(VLOOKUP($B$3,Baza!$E$2:$AIR$59,$AN12+31,0)="","",VLOOKUP($B$3,Baza!$E$2:$AIR$59,$AN12+31,0))</f>
        <v>#N/A</v>
      </c>
      <c r="AJ12" s="13" t="e">
        <f>IF(VLOOKUP($B$3,Baza!$E$2:$AIR$59,$AN12+32,0)="","",VLOOKUP($B$3,Baza!$E$2:$AIR$59,$AN12+32,0))</f>
        <v>#N/A</v>
      </c>
      <c r="AK12" s="13" t="e">
        <f>IF(VLOOKUP($B$3,Baza!$E$2:$AIR$59,$AN12+33,0)="","",VLOOKUP($B$3,Baza!$E$2:$AIR$59,$AN12+33,0))</f>
        <v>#N/A</v>
      </c>
      <c r="AL12" s="127" t="e">
        <f>IF(VLOOKUP($B$3,Baza!$E$2:$AIR$59,$AN12+34,0)="","",VLOOKUP($B$3,Baza!$E$2:$AIR$59,$AN12+34,0))</f>
        <v>#N/A</v>
      </c>
      <c r="AM12" s="130" t="e">
        <f>IF(VLOOKUP($B$3,Baza!$E$2:$AIR$59,$AN12+35,0)="","",VLOOKUP($B$3,Baza!$E$2:$AIR$59,$AN12+35,0))</f>
        <v>#N/A</v>
      </c>
      <c r="AN12" s="71">
        <f>AN7+38</f>
        <v>53</v>
      </c>
    </row>
    <row r="13" spans="1:41" ht="19.899999999999999" customHeight="1" x14ac:dyDescent="0.25">
      <c r="A13" s="147"/>
      <c r="B13" s="147"/>
      <c r="C13" s="18" t="s">
        <v>106</v>
      </c>
      <c r="D13" s="149"/>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8"/>
      <c r="R13" s="125"/>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8"/>
      <c r="AE13" s="125"/>
      <c r="AF13" s="20" t="str">
        <f>IF($AO$7="","",IF(VLOOKUP($AO$7,Baza!$E$2:$AIR$59,$AN12+28,0)="","",VLOOKUP($AO$7,Baza!$E$2:$AIR$59,$AN12+28,0)))</f>
        <v/>
      </c>
      <c r="AG13" s="20" t="str">
        <f>IF($AO$7="","",IF(VLOOKUP($AO$7,Baza!$E$2:$AIR$59,$AN12+29,0)="","",VLOOKUP($AO$7,Baza!$E$2:$AIR$59,$AN12+29,0)))</f>
        <v/>
      </c>
      <c r="AH13" s="32" t="str">
        <f>IF($AO$7="","",IF(VLOOKUP($AO$7,Baza!$E$2:$AIR$59,$AN12+30,0)="","",VLOOKUP($AO$7,Baza!$E$2:$AIR$59,$AN12+30,0)))</f>
        <v/>
      </c>
      <c r="AI13" s="134"/>
      <c r="AJ13" s="20" t="str">
        <f>IF($AO$7="","",IF(VLOOKUP($AO$7,Baza!$E$2:$AIR$59,$AN12+32,0)="","",VLOOKUP($AO$7,Baza!$E$2:$AIR$59,$AN12+32,0)))</f>
        <v/>
      </c>
      <c r="AK13" s="20" t="str">
        <f>IF($AO$7="","",IF(VLOOKUP($AO$7,Baza!$E$2:$AIR$59,$AN12+33,0)="","",VLOOKUP($AO$7,Baza!$E$2:$AIR$59,$AN12+33,0)))</f>
        <v/>
      </c>
      <c r="AL13" s="128"/>
      <c r="AM13" s="131"/>
      <c r="AN13" s="71">
        <f>AN8+38</f>
        <v>53</v>
      </c>
    </row>
    <row r="14" spans="1:41" ht="19.899999999999999" customHeight="1" x14ac:dyDescent="0.25">
      <c r="A14" s="147"/>
      <c r="B14" s="147"/>
      <c r="C14" s="18" t="s">
        <v>107</v>
      </c>
      <c r="D14" s="149"/>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8"/>
      <c r="R14" s="125"/>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8"/>
      <c r="AE14" s="125"/>
      <c r="AF14" s="20" t="str">
        <f>IF($AO$8="","",IF(VLOOKUP($AO$8,Baza!$E$2:$AIR$59,$AN13+28,0)="","",VLOOKUP($AO$8,Baza!$E$2:$AIR$59,$AN13+28,0)))</f>
        <v/>
      </c>
      <c r="AG14" s="20" t="str">
        <f>IF($AO$8="","",IF(VLOOKUP($AO$8,Baza!$E$2:$AIR$59,$AN13+29,0)="","",VLOOKUP($AO$8,Baza!$E$2:$AIR$59,$AN13+29,0)))</f>
        <v/>
      </c>
      <c r="AH14" s="32" t="str">
        <f>IF($AO$8="","",IF(VLOOKUP($AO$8,Baza!$E$2:$AIR$59,$AN13+30,0)="","",VLOOKUP($AO$8,Baza!$E$2:$AIR$59,$AN13+30,0)))</f>
        <v/>
      </c>
      <c r="AI14" s="134"/>
      <c r="AJ14" s="20" t="str">
        <f>IF($AO$8="","",IF(VLOOKUP($AO$8,Baza!$E$2:$AIR$59,$AN13+32,0)="","",VLOOKUP($AO$8,Baza!$E$2:$AIR$59,$AN13+32,0)))</f>
        <v/>
      </c>
      <c r="AK14" s="20" t="str">
        <f>IF($AO$8="","",IF(VLOOKUP($AO$8,Baza!$E$2:$AIR$59,$AN13+33,0)="","",VLOOKUP($AO$8,Baza!$E$2:$AIR$59,$AN13+33,0)))</f>
        <v/>
      </c>
      <c r="AL14" s="128"/>
      <c r="AM14" s="131"/>
      <c r="AN14" s="71">
        <f t="shared" ref="AN14:AN16" si="0">AN9+38</f>
        <v>53</v>
      </c>
    </row>
    <row r="15" spans="1:41" ht="19.899999999999999" customHeight="1" x14ac:dyDescent="0.25">
      <c r="A15" s="147"/>
      <c r="B15" s="147"/>
      <c r="C15" s="18" t="s">
        <v>108</v>
      </c>
      <c r="D15" s="149"/>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8"/>
      <c r="R15" s="125"/>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8"/>
      <c r="AE15" s="125"/>
      <c r="AF15" s="20" t="str">
        <f>IF($AO$9="","",IF(VLOOKUP($AO$9,Baza!$E$2:$AIR$59,$AN14+28,0)="","",VLOOKUP($AO$9,Baza!$E$2:$AIR$59,$AN14+28,0)))</f>
        <v/>
      </c>
      <c r="AG15" s="20" t="str">
        <f>IF($AO$9="","",IF(VLOOKUP($AO$9,Baza!$E$2:$AIR$59,$AN14+29,0)="","",VLOOKUP($AO$9,Baza!$E$2:$AIR$59,$AN14+29,0)))</f>
        <v/>
      </c>
      <c r="AH15" s="32" t="str">
        <f>IF($AO$9="","",IF(VLOOKUP($AO$9,Baza!$E$2:$AIR$59,$AN14+30,0)="","",VLOOKUP($AO$9,Baza!$E$2:$AIR$59,$AN14+30,0)))</f>
        <v/>
      </c>
      <c r="AI15" s="134"/>
      <c r="AJ15" s="20" t="str">
        <f>IF($AO$9="","",IF(VLOOKUP($AO$9,Baza!$E$2:$AIR$59,$AN14+32,0)="","",VLOOKUP($AO$9,Baza!$E$2:$AIR$59,$AN14+32,0)))</f>
        <v/>
      </c>
      <c r="AK15" s="20" t="str">
        <f>IF($AO$9="","",IF(VLOOKUP($AO$9,Baza!$E$2:$AIR$59,$AN14+33,0)="","",VLOOKUP($AO$9,Baza!$E$2:$AIR$59,$AN14+33,0)))</f>
        <v/>
      </c>
      <c r="AL15" s="128"/>
      <c r="AM15" s="131"/>
      <c r="AN15" s="71">
        <f t="shared" si="0"/>
        <v>53</v>
      </c>
    </row>
    <row r="16" spans="1:41" ht="19.899999999999999" customHeight="1" x14ac:dyDescent="0.25">
      <c r="A16" s="148"/>
      <c r="B16" s="148"/>
      <c r="C16" s="18" t="s">
        <v>109</v>
      </c>
      <c r="D16" s="149"/>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9"/>
      <c r="R16" s="126"/>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9"/>
      <c r="AE16" s="126"/>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5"/>
      <c r="AJ16" s="20" t="str">
        <f>IF($AO$10="","",IF(VLOOKUP($AO$10,Baza!$E$2:$AIR$59,$AN15+32,0)="","",VLOOKUP($AO$10,Baza!$E$2:$AIR$59,$AN15+32,0)))</f>
        <v/>
      </c>
      <c r="AK16" s="20" t="str">
        <f>IF($AO$10="","",IF(VLOOKUP($AO$10,Baza!$E$2:$AIR$59,$AN15+33,0)="","",VLOOKUP($AO$10,Baza!$E$2:$AIR$59,$AN15+33,0)))</f>
        <v/>
      </c>
      <c r="AL16" s="129"/>
      <c r="AM16" s="132"/>
      <c r="AN16" s="71">
        <f t="shared" si="0"/>
        <v>53</v>
      </c>
    </row>
    <row r="17" spans="1:40" ht="19.899999999999999" customHeight="1" x14ac:dyDescent="0.25">
      <c r="A17" s="146">
        <v>104</v>
      </c>
      <c r="B17" s="146" t="s">
        <v>49</v>
      </c>
      <c r="C17" s="29" t="s">
        <v>31</v>
      </c>
      <c r="D17" s="149"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7" t="e">
        <f>IF(VLOOKUP($B$3,Baza!$E$2:$AIR$59,$AN17+13,0)="","",VLOOKUP($B$3,Baza!$E$2:$AIR$59,$AN17+13,0))</f>
        <v>#N/A</v>
      </c>
      <c r="R17" s="124"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7" t="e">
        <f>IF(VLOOKUP($B$3,Baza!$E$2:$AIR$59,$AN17+26,0)="","",VLOOKUP($B$3,Baza!$E$2:$AIR$59,$AN17+26,0))</f>
        <v>#N/A</v>
      </c>
      <c r="AE17" s="124"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3" t="e">
        <f>IF(VLOOKUP($B$3,Baza!$E$2:$AIR$59,$AN17+31,0)="","",VLOOKUP($B$3,Baza!$E$2:$AIR$59,$AN17+31,0))</f>
        <v>#N/A</v>
      </c>
      <c r="AJ17" s="13" t="e">
        <f>IF(VLOOKUP($B$3,Baza!$E$2:$AIR$59,$AN17+32,0)="","",VLOOKUP($B$3,Baza!$E$2:$AIR$59,$AN17+32,0))</f>
        <v>#N/A</v>
      </c>
      <c r="AK17" s="13" t="e">
        <f>IF(VLOOKUP($B$3,Baza!$E$2:$AIR$59,$AN17+33,0)="","",VLOOKUP($B$3,Baza!$E$2:$AIR$59,$AN17+33,0))</f>
        <v>#N/A</v>
      </c>
      <c r="AL17" s="127" t="e">
        <f>IF(VLOOKUP($B$3,Baza!$E$2:$AIR$59,$AN17+34,0)="","",VLOOKUP($B$3,Baza!$E$2:$AIR$59,$AN17+34,0))</f>
        <v>#N/A</v>
      </c>
      <c r="AM17" s="130" t="e">
        <f>IF(VLOOKUP($B$3,Baza!$E$2:$AIR$59,$AN17+35,0)="","",VLOOKUP($B$3,Baza!$E$2:$AIR$59,$AN17+35,0))</f>
        <v>#N/A</v>
      </c>
      <c r="AN17" s="71">
        <f>AN12+38</f>
        <v>91</v>
      </c>
    </row>
    <row r="18" spans="1:40" ht="19.899999999999999" customHeight="1" x14ac:dyDescent="0.25">
      <c r="A18" s="147"/>
      <c r="B18" s="147"/>
      <c r="C18" s="18" t="s">
        <v>106</v>
      </c>
      <c r="D18" s="149"/>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8"/>
      <c r="R18" s="125"/>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8"/>
      <c r="AE18" s="125"/>
      <c r="AF18" s="20" t="str">
        <f>IF($AO$7="","",IF(VLOOKUP($AO$7,Baza!$E$2:$AIR$59,$AN17+28,0)="","",VLOOKUP($AO$7,Baza!$E$2:$AIR$59,$AN17+28,0)))</f>
        <v/>
      </c>
      <c r="AG18" s="20" t="str">
        <f>IF($AO$7="","",IF(VLOOKUP($AO$7,Baza!$E$2:$AIR$59,$AN17+29,0)="","",VLOOKUP($AO$7,Baza!$E$2:$AIR$59,$AN17+29,0)))</f>
        <v/>
      </c>
      <c r="AH18" s="32" t="str">
        <f>IF($AO$7="","",IF(VLOOKUP($AO$7,Baza!$E$2:$AIR$59,$AN17+30,0)="","",VLOOKUP($AO$7,Baza!$E$2:$AIR$59,$AN17+30,0)))</f>
        <v/>
      </c>
      <c r="AI18" s="134"/>
      <c r="AJ18" s="20" t="str">
        <f>IF($AO$7="","",IF(VLOOKUP($AO$7,Baza!$E$2:$AIR$59,$AN17+32,0)="","",VLOOKUP($AO$7,Baza!$E$2:$AIR$59,$AN17+32,0)))</f>
        <v/>
      </c>
      <c r="AK18" s="20" t="str">
        <f>IF($AO$7="","",IF(VLOOKUP($AO$7,Baza!$E$2:$AIR$59,$AN17+33,0)="","",VLOOKUP($AO$7,Baza!$E$2:$AIR$59,$AN17+33,0)))</f>
        <v/>
      </c>
      <c r="AL18" s="128"/>
      <c r="AM18" s="131"/>
      <c r="AN18" s="71">
        <f>AN13+38</f>
        <v>91</v>
      </c>
    </row>
    <row r="19" spans="1:40" ht="19.899999999999999" customHeight="1" x14ac:dyDescent="0.25">
      <c r="A19" s="147"/>
      <c r="B19" s="147"/>
      <c r="C19" s="18" t="s">
        <v>107</v>
      </c>
      <c r="D19" s="149"/>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8"/>
      <c r="R19" s="125"/>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8"/>
      <c r="AE19" s="125"/>
      <c r="AF19" s="20" t="str">
        <f>IF($AO$8="","",IF(VLOOKUP($AO$8,Baza!$E$2:$AIR$59,$AN18+28,0)="","",VLOOKUP($AO$8,Baza!$E$2:$AIR$59,$AN18+28,0)))</f>
        <v/>
      </c>
      <c r="AG19" s="20" t="str">
        <f>IF($AO$8="","",IF(VLOOKUP($AO$8,Baza!$E$2:$AIR$59,$AN18+29,0)="","",VLOOKUP($AO$8,Baza!$E$2:$AIR$59,$AN18+29,0)))</f>
        <v/>
      </c>
      <c r="AH19" s="32" t="str">
        <f>IF($AO$8="","",IF(VLOOKUP($AO$8,Baza!$E$2:$AIR$59,$AN18+30,0)="","",VLOOKUP($AO$8,Baza!$E$2:$AIR$59,$AN18+30,0)))</f>
        <v/>
      </c>
      <c r="AI19" s="134"/>
      <c r="AJ19" s="20" t="str">
        <f>IF($AO$8="","",IF(VLOOKUP($AO$8,Baza!$E$2:$AIR$59,$AN18+32,0)="","",VLOOKUP($AO$8,Baza!$E$2:$AIR$59,$AN18+32,0)))</f>
        <v/>
      </c>
      <c r="AK19" s="20" t="str">
        <f>IF($AO$8="","",IF(VLOOKUP($AO$8,Baza!$E$2:$AIR$59,$AN18+33,0)="","",VLOOKUP($AO$8,Baza!$E$2:$AIR$59,$AN18+33,0)))</f>
        <v/>
      </c>
      <c r="AL19" s="128"/>
      <c r="AM19" s="131"/>
      <c r="AN19" s="71">
        <f t="shared" ref="AN19:AN82" si="1">AN14+38</f>
        <v>91</v>
      </c>
    </row>
    <row r="20" spans="1:40" ht="19.899999999999999" customHeight="1" x14ac:dyDescent="0.25">
      <c r="A20" s="147"/>
      <c r="B20" s="147"/>
      <c r="C20" s="18" t="s">
        <v>108</v>
      </c>
      <c r="D20" s="149"/>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8"/>
      <c r="R20" s="125"/>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8"/>
      <c r="AE20" s="125"/>
      <c r="AF20" s="20" t="str">
        <f>IF($AO$9="","",IF(VLOOKUP($AO$9,Baza!$E$2:$AIR$59,$AN19+28,0)="","",VLOOKUP($AO$9,Baza!$E$2:$AIR$59,$AN19+28,0)))</f>
        <v/>
      </c>
      <c r="AG20" s="20" t="str">
        <f>IF($AO$9="","",IF(VLOOKUP($AO$9,Baza!$E$2:$AIR$59,$AN19+29,0)="","",VLOOKUP($AO$9,Baza!$E$2:$AIR$59,$AN19+29,0)))</f>
        <v/>
      </c>
      <c r="AH20" s="32" t="str">
        <f>IF($AO$9="","",IF(VLOOKUP($AO$9,Baza!$E$2:$AIR$59,$AN19+30,0)="","",VLOOKUP($AO$9,Baza!$E$2:$AIR$59,$AN19+30,0)))</f>
        <v/>
      </c>
      <c r="AI20" s="134"/>
      <c r="AJ20" s="20" t="str">
        <f>IF($AO$9="","",IF(VLOOKUP($AO$9,Baza!$E$2:$AIR$59,$AN19+32,0)="","",VLOOKUP($AO$9,Baza!$E$2:$AIR$59,$AN19+32,0)))</f>
        <v/>
      </c>
      <c r="AK20" s="20" t="str">
        <f>IF($AO$9="","",IF(VLOOKUP($AO$9,Baza!$E$2:$AIR$59,$AN19+33,0)="","",VLOOKUP($AO$9,Baza!$E$2:$AIR$59,$AN19+33,0)))</f>
        <v/>
      </c>
      <c r="AL20" s="128"/>
      <c r="AM20" s="131"/>
      <c r="AN20" s="71">
        <f t="shared" si="1"/>
        <v>91</v>
      </c>
    </row>
    <row r="21" spans="1:40" ht="19.899999999999999" customHeight="1" x14ac:dyDescent="0.25">
      <c r="A21" s="148"/>
      <c r="B21" s="148"/>
      <c r="C21" s="18" t="s">
        <v>109</v>
      </c>
      <c r="D21" s="149"/>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9"/>
      <c r="R21" s="126"/>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9"/>
      <c r="AE21" s="126"/>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5"/>
      <c r="AJ21" s="20" t="str">
        <f>IF($AO$10="","",IF(VLOOKUP($AO$10,Baza!$E$2:$AIR$59,$AN20+32,0)="","",VLOOKUP($AO$10,Baza!$E$2:$AIR$59,$AN20+32,0)))</f>
        <v/>
      </c>
      <c r="AK21" s="20" t="str">
        <f>IF($AO$10="","",IF(VLOOKUP($AO$10,Baza!$E$2:$AIR$59,$AN20+33,0)="","",VLOOKUP($AO$10,Baza!$E$2:$AIR$59,$AN20+33,0)))</f>
        <v/>
      </c>
      <c r="AL21" s="129"/>
      <c r="AM21" s="132"/>
      <c r="AN21" s="71">
        <f t="shared" si="1"/>
        <v>91</v>
      </c>
    </row>
    <row r="22" spans="1:40" ht="19.899999999999999" customHeight="1" x14ac:dyDescent="0.25">
      <c r="A22" s="146">
        <v>106</v>
      </c>
      <c r="B22" s="146" t="s">
        <v>51</v>
      </c>
      <c r="C22" s="29" t="s">
        <v>31</v>
      </c>
      <c r="D22" s="149"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7" t="e">
        <f>IF(VLOOKUP($B$3,Baza!$E$2:$AIR$59,$AN22+13,0)="","",VLOOKUP($B$3,Baza!$E$2:$AIR$59,$AN22+13,0))</f>
        <v>#N/A</v>
      </c>
      <c r="R22" s="124"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7" t="e">
        <f>IF(VLOOKUP($B$3,Baza!$E$2:$AIR$59,$AN22+26,0)="","",VLOOKUP($B$3,Baza!$E$2:$AIR$59,$AN22+26,0))</f>
        <v>#N/A</v>
      </c>
      <c r="AE22" s="124"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3" t="e">
        <f>IF(VLOOKUP($B$3,Baza!$E$2:$AIR$59,$AN22+31,0)="","",VLOOKUP($B$3,Baza!$E$2:$AIR$59,$AN22+31,0))</f>
        <v>#N/A</v>
      </c>
      <c r="AJ22" s="13" t="e">
        <f>IF(VLOOKUP($B$3,Baza!$E$2:$AIR$59,$AN22+32,0)="","",VLOOKUP($B$3,Baza!$E$2:$AIR$59,$AN22+32,0))</f>
        <v>#N/A</v>
      </c>
      <c r="AK22" s="13" t="e">
        <f>IF(VLOOKUP($B$3,Baza!$E$2:$AIR$59,$AN22+33,0)="","",VLOOKUP($B$3,Baza!$E$2:$AIR$59,$AN22+33,0))</f>
        <v>#N/A</v>
      </c>
      <c r="AL22" s="127" t="e">
        <f>IF(VLOOKUP($B$3,Baza!$E$2:$AIR$59,$AN22+34,0)="","",VLOOKUP($B$3,Baza!$E$2:$AIR$59,$AN22+34,0))</f>
        <v>#N/A</v>
      </c>
      <c r="AM22" s="130" t="e">
        <f>IF(VLOOKUP($B$3,Baza!$E$2:$AIR$59,$AN22+35,0)="","",VLOOKUP($B$3,Baza!$E$2:$AIR$59,$AN22+35,0))</f>
        <v>#N/A</v>
      </c>
      <c r="AN22" s="71">
        <f t="shared" si="1"/>
        <v>129</v>
      </c>
    </row>
    <row r="23" spans="1:40" ht="19.899999999999999" customHeight="1" x14ac:dyDescent="0.25">
      <c r="A23" s="147"/>
      <c r="B23" s="147"/>
      <c r="C23" s="18" t="s">
        <v>106</v>
      </c>
      <c r="D23" s="149"/>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8"/>
      <c r="R23" s="125"/>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8"/>
      <c r="AE23" s="125"/>
      <c r="AF23" s="20" t="str">
        <f>IF($AO$7="","",IF(VLOOKUP($AO$7,Baza!$E$2:$AIR$59,$AN22+28,0)="","",VLOOKUP($AO$7,Baza!$E$2:$AIR$59,$AN22+28,0)))</f>
        <v/>
      </c>
      <c r="AG23" s="20" t="str">
        <f>IF($AO$7="","",IF(VLOOKUP($AO$7,Baza!$E$2:$AIR$59,$AN22+29,0)="","",VLOOKUP($AO$7,Baza!$E$2:$AIR$59,$AN22+29,0)))</f>
        <v/>
      </c>
      <c r="AH23" s="32" t="str">
        <f>IF($AO$7="","",IF(VLOOKUP($AO$7,Baza!$E$2:$AIR$59,$AN22+30,0)="","",VLOOKUP($AO$7,Baza!$E$2:$AIR$59,$AN22+30,0)))</f>
        <v/>
      </c>
      <c r="AI23" s="134"/>
      <c r="AJ23" s="20" t="str">
        <f>IF($AO$7="","",IF(VLOOKUP($AO$7,Baza!$E$2:$AIR$59,$AN22+32,0)="","",VLOOKUP($AO$7,Baza!$E$2:$AIR$59,$AN22+32,0)))</f>
        <v/>
      </c>
      <c r="AK23" s="20" t="str">
        <f>IF($AO$7="","",IF(VLOOKUP($AO$7,Baza!$E$2:$AIR$59,$AN22+33,0)="","",VLOOKUP($AO$7,Baza!$E$2:$AIR$59,$AN22+33,0)))</f>
        <v/>
      </c>
      <c r="AL23" s="128"/>
      <c r="AM23" s="131"/>
      <c r="AN23" s="71">
        <f t="shared" si="1"/>
        <v>129</v>
      </c>
    </row>
    <row r="24" spans="1:40" ht="19.899999999999999" customHeight="1" x14ac:dyDescent="0.25">
      <c r="A24" s="147"/>
      <c r="B24" s="147"/>
      <c r="C24" s="18" t="s">
        <v>107</v>
      </c>
      <c r="D24" s="149"/>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8"/>
      <c r="R24" s="125"/>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8"/>
      <c r="AE24" s="125"/>
      <c r="AF24" s="20" t="str">
        <f>IF($AO$8="","",IF(VLOOKUP($AO$8,Baza!$E$2:$AIR$59,$AN23+28,0)="","",VLOOKUP($AO$8,Baza!$E$2:$AIR$59,$AN23+28,0)))</f>
        <v/>
      </c>
      <c r="AG24" s="20" t="str">
        <f>IF($AO$8="","",IF(VLOOKUP($AO$8,Baza!$E$2:$AIR$59,$AN23+29,0)="","",VLOOKUP($AO$8,Baza!$E$2:$AIR$59,$AN23+29,0)))</f>
        <v/>
      </c>
      <c r="AH24" s="32" t="str">
        <f>IF($AO$8="","",IF(VLOOKUP($AO$8,Baza!$E$2:$AIR$59,$AN23+30,0)="","",VLOOKUP($AO$8,Baza!$E$2:$AIR$59,$AN23+30,0)))</f>
        <v/>
      </c>
      <c r="AI24" s="134"/>
      <c r="AJ24" s="20" t="str">
        <f>IF($AO$8="","",IF(VLOOKUP($AO$8,Baza!$E$2:$AIR$59,$AN23+32,0)="","",VLOOKUP($AO$8,Baza!$E$2:$AIR$59,$AN23+32,0)))</f>
        <v/>
      </c>
      <c r="AK24" s="20" t="str">
        <f>IF($AO$8="","",IF(VLOOKUP($AO$8,Baza!$E$2:$AIR$59,$AN23+33,0)="","",VLOOKUP($AO$8,Baza!$E$2:$AIR$59,$AN23+33,0)))</f>
        <v/>
      </c>
      <c r="AL24" s="128"/>
      <c r="AM24" s="131"/>
      <c r="AN24" s="71">
        <f t="shared" si="1"/>
        <v>129</v>
      </c>
    </row>
    <row r="25" spans="1:40" ht="19.899999999999999" customHeight="1" x14ac:dyDescent="0.25">
      <c r="A25" s="147"/>
      <c r="B25" s="147"/>
      <c r="C25" s="18" t="s">
        <v>108</v>
      </c>
      <c r="D25" s="149"/>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8"/>
      <c r="R25" s="125"/>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8"/>
      <c r="AE25" s="125"/>
      <c r="AF25" s="20" t="str">
        <f>IF($AO$9="","",IF(VLOOKUP($AO$9,Baza!$E$2:$AIR$59,$AN24+28,0)="","",VLOOKUP($AO$9,Baza!$E$2:$AIR$59,$AN24+28,0)))</f>
        <v/>
      </c>
      <c r="AG25" s="20" t="str">
        <f>IF($AO$9="","",IF(VLOOKUP($AO$9,Baza!$E$2:$AIR$59,$AN24+29,0)="","",VLOOKUP($AO$9,Baza!$E$2:$AIR$59,$AN24+29,0)))</f>
        <v/>
      </c>
      <c r="AH25" s="32" t="str">
        <f>IF($AO$9="","",IF(VLOOKUP($AO$9,Baza!$E$2:$AIR$59,$AN24+30,0)="","",VLOOKUP($AO$9,Baza!$E$2:$AIR$59,$AN24+30,0)))</f>
        <v/>
      </c>
      <c r="AI25" s="134"/>
      <c r="AJ25" s="20" t="str">
        <f>IF($AO$9="","",IF(VLOOKUP($AO$9,Baza!$E$2:$AIR$59,$AN24+32,0)="","",VLOOKUP($AO$9,Baza!$E$2:$AIR$59,$AN24+32,0)))</f>
        <v/>
      </c>
      <c r="AK25" s="20" t="str">
        <f>IF($AO$9="","",IF(VLOOKUP($AO$9,Baza!$E$2:$AIR$59,$AN24+33,0)="","",VLOOKUP($AO$9,Baza!$E$2:$AIR$59,$AN24+33,0)))</f>
        <v/>
      </c>
      <c r="AL25" s="128"/>
      <c r="AM25" s="131"/>
      <c r="AN25" s="71">
        <f t="shared" si="1"/>
        <v>129</v>
      </c>
    </row>
    <row r="26" spans="1:40" ht="19.899999999999999" customHeight="1" x14ac:dyDescent="0.25">
      <c r="A26" s="148"/>
      <c r="B26" s="148"/>
      <c r="C26" s="18" t="s">
        <v>109</v>
      </c>
      <c r="D26" s="149"/>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9"/>
      <c r="R26" s="126"/>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9"/>
      <c r="AE26" s="126"/>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5"/>
      <c r="AJ26" s="20" t="str">
        <f>IF($AO$10="","",IF(VLOOKUP($AO$10,Baza!$E$2:$AIR$59,$AN25+32,0)="","",VLOOKUP($AO$10,Baza!$E$2:$AIR$59,$AN25+32,0)))</f>
        <v/>
      </c>
      <c r="AK26" s="20" t="str">
        <f>IF($AO$10="","",IF(VLOOKUP($AO$10,Baza!$E$2:$AIR$59,$AN25+33,0)="","",VLOOKUP($AO$10,Baza!$E$2:$AIR$59,$AN25+33,0)))</f>
        <v/>
      </c>
      <c r="AL26" s="129"/>
      <c r="AM26" s="132"/>
      <c r="AN26" s="71">
        <f t="shared" si="1"/>
        <v>129</v>
      </c>
    </row>
    <row r="27" spans="1:40" ht="19.899999999999999" customHeight="1" x14ac:dyDescent="0.25">
      <c r="A27" s="146">
        <v>110</v>
      </c>
      <c r="B27" s="146" t="s">
        <v>53</v>
      </c>
      <c r="C27" s="29" t="s">
        <v>31</v>
      </c>
      <c r="D27" s="149"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7" t="e">
        <f>IF(VLOOKUP($B$3,Baza!$E$2:$AIR$59,$AN27+13,0)="","",VLOOKUP($B$3,Baza!$E$2:$AIR$59,$AN27+13,0))</f>
        <v>#N/A</v>
      </c>
      <c r="R27" s="124"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7" t="e">
        <f>IF(VLOOKUP($B$3,Baza!$E$2:$AIR$59,$AN27+26,0)="","",VLOOKUP($B$3,Baza!$E$2:$AIR$59,$AN27+26,0))</f>
        <v>#N/A</v>
      </c>
      <c r="AE27" s="124"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3" t="e">
        <f>IF(VLOOKUP($B$3,Baza!$E$2:$AIR$59,$AN27+31,0)="","",VLOOKUP($B$3,Baza!$E$2:$AIR$59,$AN27+31,0))</f>
        <v>#N/A</v>
      </c>
      <c r="AJ27" s="13" t="e">
        <f>IF(VLOOKUP($B$3,Baza!$E$2:$AIR$59,$AN27+32,0)="","",VLOOKUP($B$3,Baza!$E$2:$AIR$59,$AN27+32,0))</f>
        <v>#N/A</v>
      </c>
      <c r="AK27" s="13" t="e">
        <f>IF(VLOOKUP($B$3,Baza!$E$2:$AIR$59,$AN27+33,0)="","",VLOOKUP($B$3,Baza!$E$2:$AIR$59,$AN27+33,0))</f>
        <v>#N/A</v>
      </c>
      <c r="AL27" s="127" t="e">
        <f>IF(VLOOKUP($B$3,Baza!$E$2:$AIR$59,$AN27+34,0)="","",VLOOKUP($B$3,Baza!$E$2:$AIR$59,$AN27+34,0))</f>
        <v>#N/A</v>
      </c>
      <c r="AM27" s="130" t="e">
        <f>IF(VLOOKUP($B$3,Baza!$E$2:$AIR$59,$AN27+35,0)="","",VLOOKUP($B$3,Baza!$E$2:$AIR$59,$AN27+35,0))</f>
        <v>#N/A</v>
      </c>
      <c r="AN27" s="71">
        <f t="shared" si="1"/>
        <v>167</v>
      </c>
    </row>
    <row r="28" spans="1:40" ht="19.899999999999999" customHeight="1" x14ac:dyDescent="0.25">
      <c r="A28" s="147"/>
      <c r="B28" s="147"/>
      <c r="C28" s="18" t="s">
        <v>106</v>
      </c>
      <c r="D28" s="149"/>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8"/>
      <c r="R28" s="125"/>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8"/>
      <c r="AE28" s="125"/>
      <c r="AF28" s="20" t="str">
        <f>IF($AO$7="","",IF(VLOOKUP($AO$7,Baza!$E$2:$AIR$59,$AN27+28,0)="","",VLOOKUP($AO$7,Baza!$E$2:$AIR$59,$AN27+28,0)))</f>
        <v/>
      </c>
      <c r="AG28" s="20" t="str">
        <f>IF($AO$7="","",IF(VLOOKUP($AO$7,Baza!$E$2:$AIR$59,$AN27+29,0)="","",VLOOKUP($AO$7,Baza!$E$2:$AIR$59,$AN27+29,0)))</f>
        <v/>
      </c>
      <c r="AH28" s="32" t="str">
        <f>IF($AO$7="","",IF(VLOOKUP($AO$7,Baza!$E$2:$AIR$59,$AN27+30,0)="","",VLOOKUP($AO$7,Baza!$E$2:$AIR$59,$AN27+30,0)))</f>
        <v/>
      </c>
      <c r="AI28" s="134"/>
      <c r="AJ28" s="20" t="str">
        <f>IF($AO$7="","",IF(VLOOKUP($AO$7,Baza!$E$2:$AIR$59,$AN27+32,0)="","",VLOOKUP($AO$7,Baza!$E$2:$AIR$59,$AN27+32,0)))</f>
        <v/>
      </c>
      <c r="AK28" s="20" t="str">
        <f>IF($AO$7="","",IF(VLOOKUP($AO$7,Baza!$E$2:$AIR$59,$AN27+33,0)="","",VLOOKUP($AO$7,Baza!$E$2:$AIR$59,$AN27+33,0)))</f>
        <v/>
      </c>
      <c r="AL28" s="128"/>
      <c r="AM28" s="131"/>
      <c r="AN28" s="71">
        <f t="shared" si="1"/>
        <v>167</v>
      </c>
    </row>
    <row r="29" spans="1:40" ht="19.899999999999999" customHeight="1" x14ac:dyDescent="0.25">
      <c r="A29" s="147"/>
      <c r="B29" s="147"/>
      <c r="C29" s="18" t="s">
        <v>107</v>
      </c>
      <c r="D29" s="149"/>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8"/>
      <c r="R29" s="125"/>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8"/>
      <c r="AE29" s="125"/>
      <c r="AF29" s="20" t="str">
        <f>IF($AO$8="","",IF(VLOOKUP($AO$8,Baza!$E$2:$AIR$59,$AN28+28,0)="","",VLOOKUP($AO$8,Baza!$E$2:$AIR$59,$AN28+28,0)))</f>
        <v/>
      </c>
      <c r="AG29" s="20" t="str">
        <f>IF($AO$8="","",IF(VLOOKUP($AO$8,Baza!$E$2:$AIR$59,$AN28+29,0)="","",VLOOKUP($AO$8,Baza!$E$2:$AIR$59,$AN28+29,0)))</f>
        <v/>
      </c>
      <c r="AH29" s="32" t="str">
        <f>IF($AO$8="","",IF(VLOOKUP($AO$8,Baza!$E$2:$AIR$59,$AN28+30,0)="","",VLOOKUP($AO$8,Baza!$E$2:$AIR$59,$AN28+30,0)))</f>
        <v/>
      </c>
      <c r="AI29" s="134"/>
      <c r="AJ29" s="20" t="str">
        <f>IF($AO$8="","",IF(VLOOKUP($AO$8,Baza!$E$2:$AIR$59,$AN28+32,0)="","",VLOOKUP($AO$8,Baza!$E$2:$AIR$59,$AN28+32,0)))</f>
        <v/>
      </c>
      <c r="AK29" s="20" t="str">
        <f>IF($AO$8="","",IF(VLOOKUP($AO$8,Baza!$E$2:$AIR$59,$AN28+33,0)="","",VLOOKUP($AO$8,Baza!$E$2:$AIR$59,$AN28+33,0)))</f>
        <v/>
      </c>
      <c r="AL29" s="128"/>
      <c r="AM29" s="131"/>
      <c r="AN29" s="71">
        <f t="shared" si="1"/>
        <v>167</v>
      </c>
    </row>
    <row r="30" spans="1:40" ht="19.899999999999999" customHeight="1" x14ac:dyDescent="0.25">
      <c r="A30" s="147"/>
      <c r="B30" s="147"/>
      <c r="C30" s="18" t="s">
        <v>108</v>
      </c>
      <c r="D30" s="149"/>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8"/>
      <c r="R30" s="125"/>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8"/>
      <c r="AE30" s="125"/>
      <c r="AF30" s="20" t="str">
        <f>IF($AO$9="","",IF(VLOOKUP($AO$9,Baza!$E$2:$AIR$59,$AN29+28,0)="","",VLOOKUP($AO$9,Baza!$E$2:$AIR$59,$AN29+28,0)))</f>
        <v/>
      </c>
      <c r="AG30" s="20" t="str">
        <f>IF($AO$9="","",IF(VLOOKUP($AO$9,Baza!$E$2:$AIR$59,$AN29+29,0)="","",VLOOKUP($AO$9,Baza!$E$2:$AIR$59,$AN29+29,0)))</f>
        <v/>
      </c>
      <c r="AH30" s="32" t="str">
        <f>IF($AO$9="","",IF(VLOOKUP($AO$9,Baza!$E$2:$AIR$59,$AN29+30,0)="","",VLOOKUP($AO$9,Baza!$E$2:$AIR$59,$AN29+30,0)))</f>
        <v/>
      </c>
      <c r="AI30" s="134"/>
      <c r="AJ30" s="20" t="str">
        <f>IF($AO$9="","",IF(VLOOKUP($AO$9,Baza!$E$2:$AIR$59,$AN29+32,0)="","",VLOOKUP($AO$9,Baza!$E$2:$AIR$59,$AN29+32,0)))</f>
        <v/>
      </c>
      <c r="AK30" s="20" t="str">
        <f>IF($AO$9="","",IF(VLOOKUP($AO$9,Baza!$E$2:$AIR$59,$AN29+33,0)="","",VLOOKUP($AO$9,Baza!$E$2:$AIR$59,$AN29+33,0)))</f>
        <v/>
      </c>
      <c r="AL30" s="128"/>
      <c r="AM30" s="131"/>
      <c r="AN30" s="71">
        <f t="shared" si="1"/>
        <v>167</v>
      </c>
    </row>
    <row r="31" spans="1:40" ht="19.899999999999999" customHeight="1" x14ac:dyDescent="0.25">
      <c r="A31" s="148"/>
      <c r="B31" s="148"/>
      <c r="C31" s="18" t="s">
        <v>109</v>
      </c>
      <c r="D31" s="149"/>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9"/>
      <c r="R31" s="126"/>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9"/>
      <c r="AE31" s="126"/>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5"/>
      <c r="AJ31" s="20" t="str">
        <f>IF($AO$10="","",IF(VLOOKUP($AO$10,Baza!$E$2:$AIR$59,$AN30+32,0)="","",VLOOKUP($AO$10,Baza!$E$2:$AIR$59,$AN30+32,0)))</f>
        <v/>
      </c>
      <c r="AK31" s="20" t="str">
        <f>IF($AO$10="","",IF(VLOOKUP($AO$10,Baza!$E$2:$AIR$59,$AN30+33,0)="","",VLOOKUP($AO$10,Baza!$E$2:$AIR$59,$AN30+33,0)))</f>
        <v/>
      </c>
      <c r="AL31" s="129"/>
      <c r="AM31" s="132"/>
      <c r="AN31" s="71">
        <f t="shared" si="1"/>
        <v>167</v>
      </c>
    </row>
    <row r="32" spans="1:40" ht="19.899999999999999" customHeight="1" x14ac:dyDescent="0.25">
      <c r="A32" s="146">
        <v>114</v>
      </c>
      <c r="B32" s="146" t="s">
        <v>55</v>
      </c>
      <c r="C32" s="29" t="s">
        <v>31</v>
      </c>
      <c r="D32" s="149"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7" t="e">
        <f>IF(VLOOKUP($B$3,Baza!$E$2:$AIR$59,$AN32+13,0)="","",VLOOKUP($B$3,Baza!$E$2:$AIR$59,$AN32+13,0))</f>
        <v>#N/A</v>
      </c>
      <c r="R32" s="124"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7" t="e">
        <f>IF(VLOOKUP($B$3,Baza!$E$2:$AIR$59,$AN32+26,0)="","",VLOOKUP($B$3,Baza!$E$2:$AIR$59,$AN32+26,0))</f>
        <v>#N/A</v>
      </c>
      <c r="AE32" s="124"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3" t="e">
        <f>IF(VLOOKUP($B$3,Baza!$E$2:$AIR$59,$AN32+31,0)="","",VLOOKUP($B$3,Baza!$E$2:$AIR$59,$AN32+31,0))</f>
        <v>#N/A</v>
      </c>
      <c r="AJ32" s="13" t="e">
        <f>IF(VLOOKUP($B$3,Baza!$E$2:$AIR$59,$AN32+32,0)="","",VLOOKUP($B$3,Baza!$E$2:$AIR$59,$AN32+32,0))</f>
        <v>#N/A</v>
      </c>
      <c r="AK32" s="13" t="e">
        <f>IF(VLOOKUP($B$3,Baza!$E$2:$AIR$59,$AN32+33,0)="","",VLOOKUP($B$3,Baza!$E$2:$AIR$59,$AN32+33,0))</f>
        <v>#N/A</v>
      </c>
      <c r="AL32" s="127" t="e">
        <f>IF(VLOOKUP($B$3,Baza!$E$2:$AIR$59,$AN32+34,0)="","",VLOOKUP($B$3,Baza!$E$2:$AIR$59,$AN32+34,0))</f>
        <v>#N/A</v>
      </c>
      <c r="AM32" s="130" t="e">
        <f>IF(VLOOKUP($B$3,Baza!$E$2:$AIR$59,$AN32+35,0)="","",VLOOKUP($B$3,Baza!$E$2:$AIR$59,$AN32+35,0))</f>
        <v>#N/A</v>
      </c>
      <c r="AN32" s="71">
        <f t="shared" si="1"/>
        <v>205</v>
      </c>
    </row>
    <row r="33" spans="1:40" ht="19.899999999999999" customHeight="1" x14ac:dyDescent="0.25">
      <c r="A33" s="147"/>
      <c r="B33" s="147"/>
      <c r="C33" s="18" t="s">
        <v>106</v>
      </c>
      <c r="D33" s="149"/>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8"/>
      <c r="R33" s="125"/>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8"/>
      <c r="AE33" s="125"/>
      <c r="AF33" s="20" t="str">
        <f>IF($AO$7="","",IF(VLOOKUP($AO$7,Baza!$E$2:$AIR$59,$AN32+28,0)="","",VLOOKUP($AO$7,Baza!$E$2:$AIR$59,$AN32+28,0)))</f>
        <v/>
      </c>
      <c r="AG33" s="20" t="str">
        <f>IF($AO$7="","",IF(VLOOKUP($AO$7,Baza!$E$2:$AIR$59,$AN32+29,0)="","",VLOOKUP($AO$7,Baza!$E$2:$AIR$59,$AN32+29,0)))</f>
        <v/>
      </c>
      <c r="AH33" s="32" t="str">
        <f>IF($AO$7="","",IF(VLOOKUP($AO$7,Baza!$E$2:$AIR$59,$AN32+30,0)="","",VLOOKUP($AO$7,Baza!$E$2:$AIR$59,$AN32+30,0)))</f>
        <v/>
      </c>
      <c r="AI33" s="134"/>
      <c r="AJ33" s="20" t="str">
        <f>IF($AO$7="","",IF(VLOOKUP($AO$7,Baza!$E$2:$AIR$59,$AN32+32,0)="","",VLOOKUP($AO$7,Baza!$E$2:$AIR$59,$AN32+32,0)))</f>
        <v/>
      </c>
      <c r="AK33" s="20" t="str">
        <f>IF($AO$7="","",IF(VLOOKUP($AO$7,Baza!$E$2:$AIR$59,$AN32+33,0)="","",VLOOKUP($AO$7,Baza!$E$2:$AIR$59,$AN32+33,0)))</f>
        <v/>
      </c>
      <c r="AL33" s="128"/>
      <c r="AM33" s="131"/>
      <c r="AN33" s="71">
        <f t="shared" si="1"/>
        <v>205</v>
      </c>
    </row>
    <row r="34" spans="1:40" ht="19.899999999999999" customHeight="1" x14ac:dyDescent="0.25">
      <c r="A34" s="147"/>
      <c r="B34" s="147"/>
      <c r="C34" s="18" t="s">
        <v>107</v>
      </c>
      <c r="D34" s="149"/>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8"/>
      <c r="R34" s="125"/>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8"/>
      <c r="AE34" s="125"/>
      <c r="AF34" s="20" t="str">
        <f>IF($AO$8="","",IF(VLOOKUP($AO$8,Baza!$E$2:$AIR$59,$AN33+28,0)="","",VLOOKUP($AO$8,Baza!$E$2:$AIR$59,$AN33+28,0)))</f>
        <v/>
      </c>
      <c r="AG34" s="20" t="str">
        <f>IF($AO$8="","",IF(VLOOKUP($AO$8,Baza!$E$2:$AIR$59,$AN33+29,0)="","",VLOOKUP($AO$8,Baza!$E$2:$AIR$59,$AN33+29,0)))</f>
        <v/>
      </c>
      <c r="AH34" s="32" t="str">
        <f>IF($AO$8="","",IF(VLOOKUP($AO$8,Baza!$E$2:$AIR$59,$AN33+30,0)="","",VLOOKUP($AO$8,Baza!$E$2:$AIR$59,$AN33+30,0)))</f>
        <v/>
      </c>
      <c r="AI34" s="134"/>
      <c r="AJ34" s="20" t="str">
        <f>IF($AO$8="","",IF(VLOOKUP($AO$8,Baza!$E$2:$AIR$59,$AN33+32,0)="","",VLOOKUP($AO$8,Baza!$E$2:$AIR$59,$AN33+32,0)))</f>
        <v/>
      </c>
      <c r="AK34" s="20" t="str">
        <f>IF($AO$8="","",IF(VLOOKUP($AO$8,Baza!$E$2:$AIR$59,$AN33+33,0)="","",VLOOKUP($AO$8,Baza!$E$2:$AIR$59,$AN33+33,0)))</f>
        <v/>
      </c>
      <c r="AL34" s="128"/>
      <c r="AM34" s="131"/>
      <c r="AN34" s="71">
        <f t="shared" si="1"/>
        <v>205</v>
      </c>
    </row>
    <row r="35" spans="1:40" ht="19.899999999999999" customHeight="1" x14ac:dyDescent="0.25">
      <c r="A35" s="147"/>
      <c r="B35" s="147"/>
      <c r="C35" s="18" t="s">
        <v>108</v>
      </c>
      <c r="D35" s="149"/>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8"/>
      <c r="R35" s="125"/>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8"/>
      <c r="AE35" s="125"/>
      <c r="AF35" s="20" t="str">
        <f>IF($AO$9="","",IF(VLOOKUP($AO$9,Baza!$E$2:$AIR$59,$AN34+28,0)="","",VLOOKUP($AO$9,Baza!$E$2:$AIR$59,$AN34+28,0)))</f>
        <v/>
      </c>
      <c r="AG35" s="20" t="str">
        <f>IF($AO$9="","",IF(VLOOKUP($AO$9,Baza!$E$2:$AIR$59,$AN34+29,0)="","",VLOOKUP($AO$9,Baza!$E$2:$AIR$59,$AN34+29,0)))</f>
        <v/>
      </c>
      <c r="AH35" s="32" t="str">
        <f>IF($AO$9="","",IF(VLOOKUP($AO$9,Baza!$E$2:$AIR$59,$AN34+30,0)="","",VLOOKUP($AO$9,Baza!$E$2:$AIR$59,$AN34+30,0)))</f>
        <v/>
      </c>
      <c r="AI35" s="134"/>
      <c r="AJ35" s="20" t="str">
        <f>IF($AO$9="","",IF(VLOOKUP($AO$9,Baza!$E$2:$AIR$59,$AN34+32,0)="","",VLOOKUP($AO$9,Baza!$E$2:$AIR$59,$AN34+32,0)))</f>
        <v/>
      </c>
      <c r="AK35" s="20" t="str">
        <f>IF($AO$9="","",IF(VLOOKUP($AO$9,Baza!$E$2:$AIR$59,$AN34+33,0)="","",VLOOKUP($AO$9,Baza!$E$2:$AIR$59,$AN34+33,0)))</f>
        <v/>
      </c>
      <c r="AL35" s="128"/>
      <c r="AM35" s="131"/>
      <c r="AN35" s="71">
        <f t="shared" si="1"/>
        <v>205</v>
      </c>
    </row>
    <row r="36" spans="1:40" ht="19.899999999999999" customHeight="1" x14ac:dyDescent="0.25">
      <c r="A36" s="148"/>
      <c r="B36" s="148"/>
      <c r="C36" s="18" t="s">
        <v>109</v>
      </c>
      <c r="D36" s="149"/>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9"/>
      <c r="R36" s="126"/>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9"/>
      <c r="AE36" s="126"/>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5"/>
      <c r="AJ36" s="20" t="str">
        <f>IF($AO$10="","",IF(VLOOKUP($AO$10,Baza!$E$2:$AIR$59,$AN35+32,0)="","",VLOOKUP($AO$10,Baza!$E$2:$AIR$59,$AN35+32,0)))</f>
        <v/>
      </c>
      <c r="AK36" s="20" t="str">
        <f>IF($AO$10="","",IF(VLOOKUP($AO$10,Baza!$E$2:$AIR$59,$AN35+33,0)="","",VLOOKUP($AO$10,Baza!$E$2:$AIR$59,$AN35+33,0)))</f>
        <v/>
      </c>
      <c r="AL36" s="129"/>
      <c r="AM36" s="132"/>
      <c r="AN36" s="71">
        <f t="shared" si="1"/>
        <v>205</v>
      </c>
    </row>
    <row r="37" spans="1:40" ht="19.899999999999999" customHeight="1" x14ac:dyDescent="0.25">
      <c r="A37" s="146">
        <v>115</v>
      </c>
      <c r="B37" s="146" t="s">
        <v>43</v>
      </c>
      <c r="C37" s="29" t="s">
        <v>31</v>
      </c>
      <c r="D37" s="149"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7" t="e">
        <f>IF(VLOOKUP($B$3,Baza!$E$2:$AIR$59,$AN37+13,0)="","",VLOOKUP($B$3,Baza!$E$2:$AIR$59,$AN37+13,0))</f>
        <v>#N/A</v>
      </c>
      <c r="R37" s="124"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7" t="e">
        <f>IF(VLOOKUP($B$3,Baza!$E$2:$AIR$59,$AN37+26,0)="","",VLOOKUP($B$3,Baza!$E$2:$AIR$59,$AN37+26,0))</f>
        <v>#N/A</v>
      </c>
      <c r="AE37" s="124"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3" t="e">
        <f>IF(VLOOKUP($B$3,Baza!$E$2:$AIR$59,$AN37+31,0)="","",VLOOKUP($B$3,Baza!$E$2:$AIR$59,$AN37+31,0))</f>
        <v>#N/A</v>
      </c>
      <c r="AJ37" s="13" t="e">
        <f>IF(VLOOKUP($B$3,Baza!$E$2:$AIR$59,$AN37+32,0)="","",VLOOKUP($B$3,Baza!$E$2:$AIR$59,$AN37+32,0))</f>
        <v>#N/A</v>
      </c>
      <c r="AK37" s="13" t="e">
        <f>IF(VLOOKUP($B$3,Baza!$E$2:$AIR$59,$AN37+33,0)="","",VLOOKUP($B$3,Baza!$E$2:$AIR$59,$AN37+33,0))</f>
        <v>#N/A</v>
      </c>
      <c r="AL37" s="127" t="e">
        <f>IF(VLOOKUP($B$3,Baza!$E$2:$AIR$59,$AN37+34,0)="","",VLOOKUP($B$3,Baza!$E$2:$AIR$59,$AN37+34,0))</f>
        <v>#N/A</v>
      </c>
      <c r="AM37" s="130" t="e">
        <f>IF(VLOOKUP($B$3,Baza!$E$2:$AIR$59,$AN37+35,0)="","",VLOOKUP($B$3,Baza!$E$2:$AIR$59,$AN37+35,0))</f>
        <v>#N/A</v>
      </c>
      <c r="AN37" s="71">
        <f t="shared" si="1"/>
        <v>243</v>
      </c>
    </row>
    <row r="38" spans="1:40" ht="19.899999999999999" customHeight="1" x14ac:dyDescent="0.25">
      <c r="A38" s="147"/>
      <c r="B38" s="147"/>
      <c r="C38" s="18" t="s">
        <v>106</v>
      </c>
      <c r="D38" s="149"/>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8"/>
      <c r="R38" s="125"/>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8"/>
      <c r="AE38" s="125"/>
      <c r="AF38" s="20" t="str">
        <f>IF($AO$7="","",IF(VLOOKUP($AO$7,Baza!$E$2:$AIR$59,$AN37+28,0)="","",VLOOKUP($AO$7,Baza!$E$2:$AIR$59,$AN37+28,0)))</f>
        <v/>
      </c>
      <c r="AG38" s="20" t="str">
        <f>IF($AO$7="","",IF(VLOOKUP($AO$7,Baza!$E$2:$AIR$59,$AN37+29,0)="","",VLOOKUP($AO$7,Baza!$E$2:$AIR$59,$AN37+29,0)))</f>
        <v/>
      </c>
      <c r="AH38" s="32" t="str">
        <f>IF($AO$7="","",IF(VLOOKUP($AO$7,Baza!$E$2:$AIR$59,$AN37+30,0)="","",VLOOKUP($AO$7,Baza!$E$2:$AIR$59,$AN37+30,0)))</f>
        <v/>
      </c>
      <c r="AI38" s="134"/>
      <c r="AJ38" s="20" t="str">
        <f>IF($AO$7="","",IF(VLOOKUP($AO$7,Baza!$E$2:$AIR$59,$AN37+32,0)="","",VLOOKUP($AO$7,Baza!$E$2:$AIR$59,$AN37+32,0)))</f>
        <v/>
      </c>
      <c r="AK38" s="20" t="str">
        <f>IF($AO$7="","",IF(VLOOKUP($AO$7,Baza!$E$2:$AIR$59,$AN37+33,0)="","",VLOOKUP($AO$7,Baza!$E$2:$AIR$59,$AN37+33,0)))</f>
        <v/>
      </c>
      <c r="AL38" s="128"/>
      <c r="AM38" s="131"/>
      <c r="AN38" s="71">
        <f t="shared" si="1"/>
        <v>243</v>
      </c>
    </row>
    <row r="39" spans="1:40" ht="19.899999999999999" customHeight="1" x14ac:dyDescent="0.25">
      <c r="A39" s="147"/>
      <c r="B39" s="147"/>
      <c r="C39" s="18" t="s">
        <v>107</v>
      </c>
      <c r="D39" s="149"/>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8"/>
      <c r="R39" s="125"/>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8"/>
      <c r="AE39" s="125"/>
      <c r="AF39" s="20" t="str">
        <f>IF($AO$8="","",IF(VLOOKUP($AO$8,Baza!$E$2:$AIR$59,$AN38+28,0)="","",VLOOKUP($AO$8,Baza!$E$2:$AIR$59,$AN38+28,0)))</f>
        <v/>
      </c>
      <c r="AG39" s="20" t="str">
        <f>IF($AO$8="","",IF(VLOOKUP($AO$8,Baza!$E$2:$AIR$59,$AN38+29,0)="","",VLOOKUP($AO$8,Baza!$E$2:$AIR$59,$AN38+29,0)))</f>
        <v/>
      </c>
      <c r="AH39" s="32" t="str">
        <f>IF($AO$8="","",IF(VLOOKUP($AO$8,Baza!$E$2:$AIR$59,$AN38+30,0)="","",VLOOKUP($AO$8,Baza!$E$2:$AIR$59,$AN38+30,0)))</f>
        <v/>
      </c>
      <c r="AI39" s="134"/>
      <c r="AJ39" s="20" t="str">
        <f>IF($AO$8="","",IF(VLOOKUP($AO$8,Baza!$E$2:$AIR$59,$AN38+32,0)="","",VLOOKUP($AO$8,Baza!$E$2:$AIR$59,$AN38+32,0)))</f>
        <v/>
      </c>
      <c r="AK39" s="20" t="str">
        <f>IF($AO$8="","",IF(VLOOKUP($AO$8,Baza!$E$2:$AIR$59,$AN38+33,0)="","",VLOOKUP($AO$8,Baza!$E$2:$AIR$59,$AN38+33,0)))</f>
        <v/>
      </c>
      <c r="AL39" s="128"/>
      <c r="AM39" s="131"/>
      <c r="AN39" s="71">
        <f t="shared" si="1"/>
        <v>243</v>
      </c>
    </row>
    <row r="40" spans="1:40" ht="19.899999999999999" customHeight="1" x14ac:dyDescent="0.25">
      <c r="A40" s="147"/>
      <c r="B40" s="147"/>
      <c r="C40" s="18" t="s">
        <v>108</v>
      </c>
      <c r="D40" s="149"/>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8"/>
      <c r="R40" s="125"/>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8"/>
      <c r="AE40" s="125"/>
      <c r="AF40" s="20" t="str">
        <f>IF($AO$9="","",IF(VLOOKUP($AO$9,Baza!$E$2:$AIR$59,$AN39+28,0)="","",VLOOKUP($AO$9,Baza!$E$2:$AIR$59,$AN39+28,0)))</f>
        <v/>
      </c>
      <c r="AG40" s="20" t="str">
        <f>IF($AO$9="","",IF(VLOOKUP($AO$9,Baza!$E$2:$AIR$59,$AN39+29,0)="","",VLOOKUP($AO$9,Baza!$E$2:$AIR$59,$AN39+29,0)))</f>
        <v/>
      </c>
      <c r="AH40" s="32" t="str">
        <f>IF($AO$9="","",IF(VLOOKUP($AO$9,Baza!$E$2:$AIR$59,$AN39+30,0)="","",VLOOKUP($AO$9,Baza!$E$2:$AIR$59,$AN39+30,0)))</f>
        <v/>
      </c>
      <c r="AI40" s="134"/>
      <c r="AJ40" s="20" t="str">
        <f>IF($AO$9="","",IF(VLOOKUP($AO$9,Baza!$E$2:$AIR$59,$AN39+32,0)="","",VLOOKUP($AO$9,Baza!$E$2:$AIR$59,$AN39+32,0)))</f>
        <v/>
      </c>
      <c r="AK40" s="20" t="str">
        <f>IF($AO$9="","",IF(VLOOKUP($AO$9,Baza!$E$2:$AIR$59,$AN39+33,0)="","",VLOOKUP($AO$9,Baza!$E$2:$AIR$59,$AN39+33,0)))</f>
        <v/>
      </c>
      <c r="AL40" s="128"/>
      <c r="AM40" s="131"/>
      <c r="AN40" s="71">
        <f t="shared" si="1"/>
        <v>243</v>
      </c>
    </row>
    <row r="41" spans="1:40" ht="19.899999999999999" customHeight="1" x14ac:dyDescent="0.25">
      <c r="A41" s="148"/>
      <c r="B41" s="148"/>
      <c r="C41" s="18" t="s">
        <v>109</v>
      </c>
      <c r="D41" s="149"/>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9"/>
      <c r="R41" s="126"/>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9"/>
      <c r="AE41" s="126"/>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5"/>
      <c r="AJ41" s="20" t="str">
        <f>IF($AO$10="","",IF(VLOOKUP($AO$10,Baza!$E$2:$AIR$59,$AN40+32,0)="","",VLOOKUP($AO$10,Baza!$E$2:$AIR$59,$AN40+32,0)))</f>
        <v/>
      </c>
      <c r="AK41" s="20" t="str">
        <f>IF($AO$10="","",IF(VLOOKUP($AO$10,Baza!$E$2:$AIR$59,$AN40+33,0)="","",VLOOKUP($AO$10,Baza!$E$2:$AIR$59,$AN40+33,0)))</f>
        <v/>
      </c>
      <c r="AL41" s="129"/>
      <c r="AM41" s="132"/>
      <c r="AN41" s="71">
        <f t="shared" si="1"/>
        <v>243</v>
      </c>
    </row>
    <row r="42" spans="1:40" ht="19.899999999999999" customHeight="1" x14ac:dyDescent="0.25">
      <c r="A42" s="146">
        <v>117</v>
      </c>
      <c r="B42" s="146" t="s">
        <v>57</v>
      </c>
      <c r="C42" s="29" t="s">
        <v>31</v>
      </c>
      <c r="D42" s="149"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7" t="e">
        <f>IF(VLOOKUP($B$3,Baza!$E$2:$AIR$59,$AN42+13,0)="","",VLOOKUP($B$3,Baza!$E$2:$AIR$59,$AN42+13,0))</f>
        <v>#N/A</v>
      </c>
      <c r="R42" s="124"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7" t="e">
        <f>IF(VLOOKUP($B$3,Baza!$E$2:$AIR$59,$AN42+26,0)="","",VLOOKUP($B$3,Baza!$E$2:$AIR$59,$AN42+26,0))</f>
        <v>#N/A</v>
      </c>
      <c r="AE42" s="124"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3" t="e">
        <f>IF(VLOOKUP($B$3,Baza!$E$2:$AIR$59,$AN42+31,0)="","",VLOOKUP($B$3,Baza!$E$2:$AIR$59,$AN42+31,0))</f>
        <v>#N/A</v>
      </c>
      <c r="AJ42" s="13" t="e">
        <f>IF(VLOOKUP($B$3,Baza!$E$2:$AIR$59,$AN42+32,0)="","",VLOOKUP($B$3,Baza!$E$2:$AIR$59,$AN42+32,0))</f>
        <v>#N/A</v>
      </c>
      <c r="AK42" s="13" t="e">
        <f>IF(VLOOKUP($B$3,Baza!$E$2:$AIR$59,$AN42+33,0)="","",VLOOKUP($B$3,Baza!$E$2:$AIR$59,$AN42+33,0))</f>
        <v>#N/A</v>
      </c>
      <c r="AL42" s="127" t="e">
        <f>IF(VLOOKUP($B$3,Baza!$E$2:$AIR$59,$AN42+34,0)="","",VLOOKUP($B$3,Baza!$E$2:$AIR$59,$AN42+34,0))</f>
        <v>#N/A</v>
      </c>
      <c r="AM42" s="130" t="e">
        <f>IF(VLOOKUP($B$3,Baza!$E$2:$AIR$59,$AN42+35,0)="","",VLOOKUP($B$3,Baza!$E$2:$AIR$59,$AN42+35,0))</f>
        <v>#N/A</v>
      </c>
      <c r="AN42" s="71">
        <f t="shared" si="1"/>
        <v>281</v>
      </c>
    </row>
    <row r="43" spans="1:40" ht="19.899999999999999" customHeight="1" x14ac:dyDescent="0.25">
      <c r="A43" s="147"/>
      <c r="B43" s="147"/>
      <c r="C43" s="18" t="s">
        <v>106</v>
      </c>
      <c r="D43" s="149"/>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8"/>
      <c r="R43" s="125"/>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8"/>
      <c r="AE43" s="125"/>
      <c r="AF43" s="20" t="str">
        <f>IF($AO$7="","",IF(VLOOKUP($AO$7,Baza!$E$2:$AIR$59,$AN42+28,0)="","",VLOOKUP($AO$7,Baza!$E$2:$AIR$59,$AN42+28,0)))</f>
        <v/>
      </c>
      <c r="AG43" s="20" t="str">
        <f>IF($AO$7="","",IF(VLOOKUP($AO$7,Baza!$E$2:$AIR$59,$AN42+29,0)="","",VLOOKUP($AO$7,Baza!$E$2:$AIR$59,$AN42+29,0)))</f>
        <v/>
      </c>
      <c r="AH43" s="32" t="str">
        <f>IF($AO$7="","",IF(VLOOKUP($AO$7,Baza!$E$2:$AIR$59,$AN42+30,0)="","",VLOOKUP($AO$7,Baza!$E$2:$AIR$59,$AN42+30,0)))</f>
        <v/>
      </c>
      <c r="AI43" s="134"/>
      <c r="AJ43" s="20" t="str">
        <f>IF($AO$7="","",IF(VLOOKUP($AO$7,Baza!$E$2:$AIR$59,$AN42+32,0)="","",VLOOKUP($AO$7,Baza!$E$2:$AIR$59,$AN42+32,0)))</f>
        <v/>
      </c>
      <c r="AK43" s="20" t="str">
        <f>IF($AO$7="","",IF(VLOOKUP($AO$7,Baza!$E$2:$AIR$59,$AN42+33,0)="","",VLOOKUP($AO$7,Baza!$E$2:$AIR$59,$AN42+33,0)))</f>
        <v/>
      </c>
      <c r="AL43" s="128"/>
      <c r="AM43" s="131"/>
      <c r="AN43" s="71">
        <f t="shared" si="1"/>
        <v>281</v>
      </c>
    </row>
    <row r="44" spans="1:40" ht="19.899999999999999" customHeight="1" x14ac:dyDescent="0.25">
      <c r="A44" s="147"/>
      <c r="B44" s="147"/>
      <c r="C44" s="18" t="s">
        <v>107</v>
      </c>
      <c r="D44" s="149"/>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8"/>
      <c r="R44" s="125"/>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8"/>
      <c r="AE44" s="125"/>
      <c r="AF44" s="20" t="str">
        <f>IF($AO$8="","",IF(VLOOKUP($AO$8,Baza!$E$2:$AIR$59,$AN43+28,0)="","",VLOOKUP($AO$8,Baza!$E$2:$AIR$59,$AN43+28,0)))</f>
        <v/>
      </c>
      <c r="AG44" s="20" t="str">
        <f>IF($AO$8="","",IF(VLOOKUP($AO$8,Baza!$E$2:$AIR$59,$AN43+29,0)="","",VLOOKUP($AO$8,Baza!$E$2:$AIR$59,$AN43+29,0)))</f>
        <v/>
      </c>
      <c r="AH44" s="32" t="str">
        <f>IF($AO$8="","",IF(VLOOKUP($AO$8,Baza!$E$2:$AIR$59,$AN43+30,0)="","",VLOOKUP($AO$8,Baza!$E$2:$AIR$59,$AN43+30,0)))</f>
        <v/>
      </c>
      <c r="AI44" s="134"/>
      <c r="AJ44" s="20" t="str">
        <f>IF($AO$8="","",IF(VLOOKUP($AO$8,Baza!$E$2:$AIR$59,$AN43+32,0)="","",VLOOKUP($AO$8,Baza!$E$2:$AIR$59,$AN43+32,0)))</f>
        <v/>
      </c>
      <c r="AK44" s="20" t="str">
        <f>IF($AO$8="","",IF(VLOOKUP($AO$8,Baza!$E$2:$AIR$59,$AN43+33,0)="","",VLOOKUP($AO$8,Baza!$E$2:$AIR$59,$AN43+33,0)))</f>
        <v/>
      </c>
      <c r="AL44" s="128"/>
      <c r="AM44" s="131"/>
      <c r="AN44" s="71">
        <f t="shared" si="1"/>
        <v>281</v>
      </c>
    </row>
    <row r="45" spans="1:40" ht="19.899999999999999" customHeight="1" x14ac:dyDescent="0.25">
      <c r="A45" s="147"/>
      <c r="B45" s="147"/>
      <c r="C45" s="18" t="s">
        <v>108</v>
      </c>
      <c r="D45" s="149"/>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8"/>
      <c r="R45" s="125"/>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8"/>
      <c r="AE45" s="125"/>
      <c r="AF45" s="20" t="str">
        <f>IF($AO$9="","",IF(VLOOKUP($AO$9,Baza!$E$2:$AIR$59,$AN44+28,0)="","",VLOOKUP($AO$9,Baza!$E$2:$AIR$59,$AN44+28,0)))</f>
        <v/>
      </c>
      <c r="AG45" s="20" t="str">
        <f>IF($AO$9="","",IF(VLOOKUP($AO$9,Baza!$E$2:$AIR$59,$AN44+29,0)="","",VLOOKUP($AO$9,Baza!$E$2:$AIR$59,$AN44+29,0)))</f>
        <v/>
      </c>
      <c r="AH45" s="32" t="str">
        <f>IF($AO$9="","",IF(VLOOKUP($AO$9,Baza!$E$2:$AIR$59,$AN44+30,0)="","",VLOOKUP($AO$9,Baza!$E$2:$AIR$59,$AN44+30,0)))</f>
        <v/>
      </c>
      <c r="AI45" s="134"/>
      <c r="AJ45" s="20" t="str">
        <f>IF($AO$9="","",IF(VLOOKUP($AO$9,Baza!$E$2:$AIR$59,$AN44+32,0)="","",VLOOKUP($AO$9,Baza!$E$2:$AIR$59,$AN44+32,0)))</f>
        <v/>
      </c>
      <c r="AK45" s="20" t="str">
        <f>IF($AO$9="","",IF(VLOOKUP($AO$9,Baza!$E$2:$AIR$59,$AN44+33,0)="","",VLOOKUP($AO$9,Baza!$E$2:$AIR$59,$AN44+33,0)))</f>
        <v/>
      </c>
      <c r="AL45" s="128"/>
      <c r="AM45" s="131"/>
      <c r="AN45" s="71">
        <f t="shared" si="1"/>
        <v>281</v>
      </c>
    </row>
    <row r="46" spans="1:40" ht="19.899999999999999" customHeight="1" x14ac:dyDescent="0.25">
      <c r="A46" s="148"/>
      <c r="B46" s="148"/>
      <c r="C46" s="18" t="s">
        <v>109</v>
      </c>
      <c r="D46" s="149"/>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9"/>
      <c r="R46" s="126"/>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9"/>
      <c r="AE46" s="126"/>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5"/>
      <c r="AJ46" s="20" t="str">
        <f>IF($AO$10="","",IF(VLOOKUP($AO$10,Baza!$E$2:$AIR$59,$AN45+32,0)="","",VLOOKUP($AO$10,Baza!$E$2:$AIR$59,$AN45+32,0)))</f>
        <v/>
      </c>
      <c r="AK46" s="20" t="str">
        <f>IF($AO$10="","",IF(VLOOKUP($AO$10,Baza!$E$2:$AIR$59,$AN45+33,0)="","",VLOOKUP($AO$10,Baza!$E$2:$AIR$59,$AN45+33,0)))</f>
        <v/>
      </c>
      <c r="AL46" s="129"/>
      <c r="AM46" s="132"/>
      <c r="AN46" s="71">
        <f t="shared" si="1"/>
        <v>281</v>
      </c>
    </row>
    <row r="47" spans="1:40" ht="19.899999999999999" customHeight="1" x14ac:dyDescent="0.25">
      <c r="A47" s="146">
        <v>120</v>
      </c>
      <c r="B47" s="146" t="s">
        <v>59</v>
      </c>
      <c r="C47" s="29" t="s">
        <v>31</v>
      </c>
      <c r="D47" s="149"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7" t="e">
        <f>IF(VLOOKUP($B$3,Baza!$E$2:$AIR$59,$AN47+13,0)="","",VLOOKUP($B$3,Baza!$E$2:$AIR$59,$AN47+13,0))</f>
        <v>#N/A</v>
      </c>
      <c r="R47" s="124"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7" t="e">
        <f>IF(VLOOKUP($B$3,Baza!$E$2:$AIR$59,$AN47+26,0)="","",VLOOKUP($B$3,Baza!$E$2:$AIR$59,$AN47+26,0))</f>
        <v>#N/A</v>
      </c>
      <c r="AE47" s="124"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3" t="e">
        <f>IF(VLOOKUP($B$3,Baza!$E$2:$AIR$59,$AN47+31,0)="","",VLOOKUP($B$3,Baza!$E$2:$AIR$59,$AN47+31,0))</f>
        <v>#N/A</v>
      </c>
      <c r="AJ47" s="13" t="e">
        <f>IF(VLOOKUP($B$3,Baza!$E$2:$AIR$59,$AN47+32,0)="","",VLOOKUP($B$3,Baza!$E$2:$AIR$59,$AN47+32,0))</f>
        <v>#N/A</v>
      </c>
      <c r="AK47" s="13" t="e">
        <f>IF(VLOOKUP($B$3,Baza!$E$2:$AIR$59,$AN47+33,0)="","",VLOOKUP($B$3,Baza!$E$2:$AIR$59,$AN47+33,0))</f>
        <v>#N/A</v>
      </c>
      <c r="AL47" s="127" t="e">
        <f>IF(VLOOKUP($B$3,Baza!$E$2:$AIR$59,$AN47+34,0)="","",VLOOKUP($B$3,Baza!$E$2:$AIR$59,$AN47+34,0))</f>
        <v>#N/A</v>
      </c>
      <c r="AM47" s="130" t="e">
        <f>IF(VLOOKUP($B$3,Baza!$E$2:$AIR$59,$AN47+35,0)="","",VLOOKUP($B$3,Baza!$E$2:$AIR$59,$AN47+35,0))</f>
        <v>#N/A</v>
      </c>
      <c r="AN47" s="71">
        <f t="shared" si="1"/>
        <v>319</v>
      </c>
    </row>
    <row r="48" spans="1:40" ht="19.899999999999999" customHeight="1" x14ac:dyDescent="0.25">
      <c r="A48" s="147"/>
      <c r="B48" s="147"/>
      <c r="C48" s="18" t="s">
        <v>106</v>
      </c>
      <c r="D48" s="149"/>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8"/>
      <c r="R48" s="125"/>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8"/>
      <c r="AE48" s="125"/>
      <c r="AF48" s="20" t="str">
        <f>IF($AO$7="","",IF(VLOOKUP($AO$7,Baza!$E$2:$AIR$59,$AN47+28,0)="","",VLOOKUP($AO$7,Baza!$E$2:$AIR$59,$AN47+28,0)))</f>
        <v/>
      </c>
      <c r="AG48" s="20" t="str">
        <f>IF($AO$7="","",IF(VLOOKUP($AO$7,Baza!$E$2:$AIR$59,$AN47+29,0)="","",VLOOKUP($AO$7,Baza!$E$2:$AIR$59,$AN47+29,0)))</f>
        <v/>
      </c>
      <c r="AH48" s="32" t="str">
        <f>IF($AO$7="","",IF(VLOOKUP($AO$7,Baza!$E$2:$AIR$59,$AN47+30,0)="","",VLOOKUP($AO$7,Baza!$E$2:$AIR$59,$AN47+30,0)))</f>
        <v/>
      </c>
      <c r="AI48" s="134"/>
      <c r="AJ48" s="20" t="str">
        <f>IF($AO$7="","",IF(VLOOKUP($AO$7,Baza!$E$2:$AIR$59,$AN47+32,0)="","",VLOOKUP($AO$7,Baza!$E$2:$AIR$59,$AN47+32,0)))</f>
        <v/>
      </c>
      <c r="AK48" s="20" t="str">
        <f>IF($AO$7="","",IF(VLOOKUP($AO$7,Baza!$E$2:$AIR$59,$AN47+33,0)="","",VLOOKUP($AO$7,Baza!$E$2:$AIR$59,$AN47+33,0)))</f>
        <v/>
      </c>
      <c r="AL48" s="128"/>
      <c r="AM48" s="131"/>
      <c r="AN48" s="71">
        <f t="shared" si="1"/>
        <v>319</v>
      </c>
    </row>
    <row r="49" spans="1:40" ht="19.899999999999999" customHeight="1" x14ac:dyDescent="0.25">
      <c r="A49" s="147"/>
      <c r="B49" s="147"/>
      <c r="C49" s="18" t="s">
        <v>107</v>
      </c>
      <c r="D49" s="149"/>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8"/>
      <c r="R49" s="125"/>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8"/>
      <c r="AE49" s="125"/>
      <c r="AF49" s="20" t="str">
        <f>IF($AO$8="","",IF(VLOOKUP($AO$8,Baza!$E$2:$AIR$59,$AN48+28,0)="","",VLOOKUP($AO$8,Baza!$E$2:$AIR$59,$AN48+28,0)))</f>
        <v/>
      </c>
      <c r="AG49" s="20" t="str">
        <f>IF($AO$8="","",IF(VLOOKUP($AO$8,Baza!$E$2:$AIR$59,$AN48+29,0)="","",VLOOKUP($AO$8,Baza!$E$2:$AIR$59,$AN48+29,0)))</f>
        <v/>
      </c>
      <c r="AH49" s="32" t="str">
        <f>IF($AO$8="","",IF(VLOOKUP($AO$8,Baza!$E$2:$AIR$59,$AN48+30,0)="","",VLOOKUP($AO$8,Baza!$E$2:$AIR$59,$AN48+30,0)))</f>
        <v/>
      </c>
      <c r="AI49" s="134"/>
      <c r="AJ49" s="20" t="str">
        <f>IF($AO$8="","",IF(VLOOKUP($AO$8,Baza!$E$2:$AIR$59,$AN48+32,0)="","",VLOOKUP($AO$8,Baza!$E$2:$AIR$59,$AN48+32,0)))</f>
        <v/>
      </c>
      <c r="AK49" s="20" t="str">
        <f>IF($AO$8="","",IF(VLOOKUP($AO$8,Baza!$E$2:$AIR$59,$AN48+33,0)="","",VLOOKUP($AO$8,Baza!$E$2:$AIR$59,$AN48+33,0)))</f>
        <v/>
      </c>
      <c r="AL49" s="128"/>
      <c r="AM49" s="131"/>
      <c r="AN49" s="71">
        <f t="shared" si="1"/>
        <v>319</v>
      </c>
    </row>
    <row r="50" spans="1:40" ht="19.899999999999999" customHeight="1" x14ac:dyDescent="0.25">
      <c r="A50" s="147"/>
      <c r="B50" s="147"/>
      <c r="C50" s="18" t="s">
        <v>108</v>
      </c>
      <c r="D50" s="149"/>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8"/>
      <c r="R50" s="125"/>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8"/>
      <c r="AE50" s="125"/>
      <c r="AF50" s="20" t="str">
        <f>IF($AO$9="","",IF(VLOOKUP($AO$9,Baza!$E$2:$AIR$59,$AN49+28,0)="","",VLOOKUP($AO$9,Baza!$E$2:$AIR$59,$AN49+28,0)))</f>
        <v/>
      </c>
      <c r="AG50" s="20" t="str">
        <f>IF($AO$9="","",IF(VLOOKUP($AO$9,Baza!$E$2:$AIR$59,$AN49+29,0)="","",VLOOKUP($AO$9,Baza!$E$2:$AIR$59,$AN49+29,0)))</f>
        <v/>
      </c>
      <c r="AH50" s="32" t="str">
        <f>IF($AO$9="","",IF(VLOOKUP($AO$9,Baza!$E$2:$AIR$59,$AN49+30,0)="","",VLOOKUP($AO$9,Baza!$E$2:$AIR$59,$AN49+30,0)))</f>
        <v/>
      </c>
      <c r="AI50" s="134"/>
      <c r="AJ50" s="20" t="str">
        <f>IF($AO$9="","",IF(VLOOKUP($AO$9,Baza!$E$2:$AIR$59,$AN49+32,0)="","",VLOOKUP($AO$9,Baza!$E$2:$AIR$59,$AN49+32,0)))</f>
        <v/>
      </c>
      <c r="AK50" s="20" t="str">
        <f>IF($AO$9="","",IF(VLOOKUP($AO$9,Baza!$E$2:$AIR$59,$AN49+33,0)="","",VLOOKUP($AO$9,Baza!$E$2:$AIR$59,$AN49+33,0)))</f>
        <v/>
      </c>
      <c r="AL50" s="128"/>
      <c r="AM50" s="131"/>
      <c r="AN50" s="71">
        <f t="shared" si="1"/>
        <v>319</v>
      </c>
    </row>
    <row r="51" spans="1:40" ht="19.899999999999999" customHeight="1" x14ac:dyDescent="0.25">
      <c r="A51" s="148"/>
      <c r="B51" s="148"/>
      <c r="C51" s="18" t="s">
        <v>109</v>
      </c>
      <c r="D51" s="149"/>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9"/>
      <c r="R51" s="126"/>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9"/>
      <c r="AE51" s="126"/>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5"/>
      <c r="AJ51" s="20" t="str">
        <f>IF($AO$10="","",IF(VLOOKUP($AO$10,Baza!$E$2:$AIR$59,$AN50+32,0)="","",VLOOKUP($AO$10,Baza!$E$2:$AIR$59,$AN50+32,0)))</f>
        <v/>
      </c>
      <c r="AK51" s="20" t="str">
        <f>IF($AO$10="","",IF(VLOOKUP($AO$10,Baza!$E$2:$AIR$59,$AN50+33,0)="","",VLOOKUP($AO$10,Baza!$E$2:$AIR$59,$AN50+33,0)))</f>
        <v/>
      </c>
      <c r="AL51" s="129"/>
      <c r="AM51" s="132"/>
      <c r="AN51" s="71">
        <f t="shared" si="1"/>
        <v>319</v>
      </c>
    </row>
    <row r="52" spans="1:40" ht="19.899999999999999" customHeight="1" x14ac:dyDescent="0.25">
      <c r="A52" s="146">
        <v>125</v>
      </c>
      <c r="B52" s="146" t="s">
        <v>61</v>
      </c>
      <c r="C52" s="29" t="s">
        <v>31</v>
      </c>
      <c r="D52" s="149"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7" t="e">
        <f>IF(VLOOKUP($B$3,Baza!$E$2:$AIR$59,$AN52+13,0)="","",VLOOKUP($B$3,Baza!$E$2:$AIR$59,$AN52+13,0))</f>
        <v>#N/A</v>
      </c>
      <c r="R52" s="124"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7" t="e">
        <f>IF(VLOOKUP($B$3,Baza!$E$2:$AIR$59,$AN52+26,0)="","",VLOOKUP($B$3,Baza!$E$2:$AIR$59,$AN52+26,0))</f>
        <v>#N/A</v>
      </c>
      <c r="AE52" s="124"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3" t="e">
        <f>IF(VLOOKUP($B$3,Baza!$E$2:$AIR$59,$AN52+31,0)="","",VLOOKUP($B$3,Baza!$E$2:$AIR$59,$AN52+31,0))</f>
        <v>#N/A</v>
      </c>
      <c r="AJ52" s="13" t="e">
        <f>IF(VLOOKUP($B$3,Baza!$E$2:$AIR$59,$AN52+32,0)="","",VLOOKUP($B$3,Baza!$E$2:$AIR$59,$AN52+32,0))</f>
        <v>#N/A</v>
      </c>
      <c r="AK52" s="13" t="e">
        <f>IF(VLOOKUP($B$3,Baza!$E$2:$AIR$59,$AN52+33,0)="","",VLOOKUP($B$3,Baza!$E$2:$AIR$59,$AN52+33,0))</f>
        <v>#N/A</v>
      </c>
      <c r="AL52" s="127" t="e">
        <f>IF(VLOOKUP($B$3,Baza!$E$2:$AIR$59,$AN52+34,0)="","",VLOOKUP($B$3,Baza!$E$2:$AIR$59,$AN52+34,0))</f>
        <v>#N/A</v>
      </c>
      <c r="AM52" s="130" t="e">
        <f>IF(VLOOKUP($B$3,Baza!$E$2:$AIR$59,$AN52+35,0)="","",VLOOKUP($B$3,Baza!$E$2:$AIR$59,$AN52+35,0))</f>
        <v>#N/A</v>
      </c>
      <c r="AN52" s="71">
        <f t="shared" si="1"/>
        <v>357</v>
      </c>
    </row>
    <row r="53" spans="1:40" ht="19.899999999999999" customHeight="1" x14ac:dyDescent="0.25">
      <c r="A53" s="147"/>
      <c r="B53" s="147"/>
      <c r="C53" s="18" t="s">
        <v>106</v>
      </c>
      <c r="D53" s="149"/>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8"/>
      <c r="R53" s="125"/>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8"/>
      <c r="AE53" s="125"/>
      <c r="AF53" s="20" t="str">
        <f>IF($AO$7="","",IF(VLOOKUP($AO$7,Baza!$E$2:$AIR$59,$AN52+28,0)="","",VLOOKUP($AO$7,Baza!$E$2:$AIR$59,$AN52+28,0)))</f>
        <v/>
      </c>
      <c r="AG53" s="20" t="str">
        <f>IF($AO$7="","",IF(VLOOKUP($AO$7,Baza!$E$2:$AIR$59,$AN52+29,0)="","",VLOOKUP($AO$7,Baza!$E$2:$AIR$59,$AN52+29,0)))</f>
        <v/>
      </c>
      <c r="AH53" s="32" t="str">
        <f>IF($AO$7="","",IF(VLOOKUP($AO$7,Baza!$E$2:$AIR$59,$AN52+30,0)="","",VLOOKUP($AO$7,Baza!$E$2:$AIR$59,$AN52+30,0)))</f>
        <v/>
      </c>
      <c r="AI53" s="134"/>
      <c r="AJ53" s="20" t="str">
        <f>IF($AO$7="","",IF(VLOOKUP($AO$7,Baza!$E$2:$AIR$59,$AN52+32,0)="","",VLOOKUP($AO$7,Baza!$E$2:$AIR$59,$AN52+32,0)))</f>
        <v/>
      </c>
      <c r="AK53" s="20" t="str">
        <f>IF($AO$7="","",IF(VLOOKUP($AO$7,Baza!$E$2:$AIR$59,$AN52+33,0)="","",VLOOKUP($AO$7,Baza!$E$2:$AIR$59,$AN52+33,0)))</f>
        <v/>
      </c>
      <c r="AL53" s="128"/>
      <c r="AM53" s="131"/>
      <c r="AN53" s="71">
        <f t="shared" si="1"/>
        <v>357</v>
      </c>
    </row>
    <row r="54" spans="1:40" ht="19.899999999999999" customHeight="1" x14ac:dyDescent="0.25">
      <c r="A54" s="147"/>
      <c r="B54" s="147"/>
      <c r="C54" s="18" t="s">
        <v>107</v>
      </c>
      <c r="D54" s="149"/>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8"/>
      <c r="R54" s="125"/>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8"/>
      <c r="AE54" s="125"/>
      <c r="AF54" s="20" t="str">
        <f>IF($AO$8="","",IF(VLOOKUP($AO$8,Baza!$E$2:$AIR$59,$AN53+28,0)="","",VLOOKUP($AO$8,Baza!$E$2:$AIR$59,$AN53+28,0)))</f>
        <v/>
      </c>
      <c r="AG54" s="20" t="str">
        <f>IF($AO$8="","",IF(VLOOKUP($AO$8,Baza!$E$2:$AIR$59,$AN53+29,0)="","",VLOOKUP($AO$8,Baza!$E$2:$AIR$59,$AN53+29,0)))</f>
        <v/>
      </c>
      <c r="AH54" s="32" t="str">
        <f>IF($AO$8="","",IF(VLOOKUP($AO$8,Baza!$E$2:$AIR$59,$AN53+30,0)="","",VLOOKUP($AO$8,Baza!$E$2:$AIR$59,$AN53+30,0)))</f>
        <v/>
      </c>
      <c r="AI54" s="134"/>
      <c r="AJ54" s="20" t="str">
        <f>IF($AO$8="","",IF(VLOOKUP($AO$8,Baza!$E$2:$AIR$59,$AN53+32,0)="","",VLOOKUP($AO$8,Baza!$E$2:$AIR$59,$AN53+32,0)))</f>
        <v/>
      </c>
      <c r="AK54" s="20" t="str">
        <f>IF($AO$8="","",IF(VLOOKUP($AO$8,Baza!$E$2:$AIR$59,$AN53+33,0)="","",VLOOKUP($AO$8,Baza!$E$2:$AIR$59,$AN53+33,0)))</f>
        <v/>
      </c>
      <c r="AL54" s="128"/>
      <c r="AM54" s="131"/>
      <c r="AN54" s="71">
        <f t="shared" si="1"/>
        <v>357</v>
      </c>
    </row>
    <row r="55" spans="1:40" ht="19.899999999999999" customHeight="1" x14ac:dyDescent="0.25">
      <c r="A55" s="147"/>
      <c r="B55" s="147"/>
      <c r="C55" s="18" t="s">
        <v>108</v>
      </c>
      <c r="D55" s="149"/>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8"/>
      <c r="R55" s="125"/>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8"/>
      <c r="AE55" s="125"/>
      <c r="AF55" s="20" t="str">
        <f>IF($AO$9="","",IF(VLOOKUP($AO$9,Baza!$E$2:$AIR$59,$AN54+28,0)="","",VLOOKUP($AO$9,Baza!$E$2:$AIR$59,$AN54+28,0)))</f>
        <v/>
      </c>
      <c r="AG55" s="20" t="str">
        <f>IF($AO$9="","",IF(VLOOKUP($AO$9,Baza!$E$2:$AIR$59,$AN54+29,0)="","",VLOOKUP($AO$9,Baza!$E$2:$AIR$59,$AN54+29,0)))</f>
        <v/>
      </c>
      <c r="AH55" s="32" t="str">
        <f>IF($AO$9="","",IF(VLOOKUP($AO$9,Baza!$E$2:$AIR$59,$AN54+30,0)="","",VLOOKUP($AO$9,Baza!$E$2:$AIR$59,$AN54+30,0)))</f>
        <v/>
      </c>
      <c r="AI55" s="134"/>
      <c r="AJ55" s="20" t="str">
        <f>IF($AO$9="","",IF(VLOOKUP($AO$9,Baza!$E$2:$AIR$59,$AN54+32,0)="","",VLOOKUP($AO$9,Baza!$E$2:$AIR$59,$AN54+32,0)))</f>
        <v/>
      </c>
      <c r="AK55" s="20" t="str">
        <f>IF($AO$9="","",IF(VLOOKUP($AO$9,Baza!$E$2:$AIR$59,$AN54+33,0)="","",VLOOKUP($AO$9,Baza!$E$2:$AIR$59,$AN54+33,0)))</f>
        <v/>
      </c>
      <c r="AL55" s="128"/>
      <c r="AM55" s="131"/>
      <c r="AN55" s="71">
        <f t="shared" si="1"/>
        <v>357</v>
      </c>
    </row>
    <row r="56" spans="1:40" ht="19.899999999999999" customHeight="1" x14ac:dyDescent="0.25">
      <c r="A56" s="148"/>
      <c r="B56" s="148"/>
      <c r="C56" s="18" t="s">
        <v>109</v>
      </c>
      <c r="D56" s="149"/>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9"/>
      <c r="R56" s="126"/>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9"/>
      <c r="AE56" s="126"/>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5"/>
      <c r="AJ56" s="20" t="str">
        <f>IF($AO$10="","",IF(VLOOKUP($AO$10,Baza!$E$2:$AIR$59,$AN55+32,0)="","",VLOOKUP($AO$10,Baza!$E$2:$AIR$59,$AN55+32,0)))</f>
        <v/>
      </c>
      <c r="AK56" s="20" t="str">
        <f>IF($AO$10="","",IF(VLOOKUP($AO$10,Baza!$E$2:$AIR$59,$AN55+33,0)="","",VLOOKUP($AO$10,Baza!$E$2:$AIR$59,$AN55+33,0)))</f>
        <v/>
      </c>
      <c r="AL56" s="129"/>
      <c r="AM56" s="132"/>
      <c r="AN56" s="71">
        <f t="shared" si="1"/>
        <v>357</v>
      </c>
    </row>
    <row r="57" spans="1:40" ht="19.899999999999999" customHeight="1" x14ac:dyDescent="0.25">
      <c r="A57" s="146">
        <v>127</v>
      </c>
      <c r="B57" s="146" t="s">
        <v>63</v>
      </c>
      <c r="C57" s="29" t="s">
        <v>31</v>
      </c>
      <c r="D57" s="149"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7" t="e">
        <f>IF(VLOOKUP($B$3,Baza!$E$2:$AIR$59,$AN57+13,0)="","",VLOOKUP($B$3,Baza!$E$2:$AIR$59,$AN57+13,0))</f>
        <v>#N/A</v>
      </c>
      <c r="R57" s="124"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7" t="e">
        <f>IF(VLOOKUP($B$3,Baza!$E$2:$AIR$59,$AN57+26,0)="","",VLOOKUP($B$3,Baza!$E$2:$AIR$59,$AN57+26,0))</f>
        <v>#N/A</v>
      </c>
      <c r="AE57" s="124"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3" t="e">
        <f>IF(VLOOKUP($B$3,Baza!$E$2:$AIR$59,$AN57+31,0)="","",VLOOKUP($B$3,Baza!$E$2:$AIR$59,$AN57+31,0))</f>
        <v>#N/A</v>
      </c>
      <c r="AJ57" s="13" t="e">
        <f>IF(VLOOKUP($B$3,Baza!$E$2:$AIR$59,$AN57+32,0)="","",VLOOKUP($B$3,Baza!$E$2:$AIR$59,$AN57+32,0))</f>
        <v>#N/A</v>
      </c>
      <c r="AK57" s="13" t="e">
        <f>IF(VLOOKUP($B$3,Baza!$E$2:$AIR$59,$AN57+33,0)="","",VLOOKUP($B$3,Baza!$E$2:$AIR$59,$AN57+33,0))</f>
        <v>#N/A</v>
      </c>
      <c r="AL57" s="127" t="e">
        <f>IF(VLOOKUP($B$3,Baza!$E$2:$AIR$59,$AN57+34,0)="","",VLOOKUP($B$3,Baza!$E$2:$AIR$59,$AN57+34,0))</f>
        <v>#N/A</v>
      </c>
      <c r="AM57" s="130" t="e">
        <f>IF(VLOOKUP($B$3,Baza!$E$2:$AIR$59,$AN57+35,0)="","",VLOOKUP($B$3,Baza!$E$2:$AIR$59,$AN57+35,0))</f>
        <v>#N/A</v>
      </c>
      <c r="AN57" s="71">
        <f t="shared" si="1"/>
        <v>395</v>
      </c>
    </row>
    <row r="58" spans="1:40" ht="19.899999999999999" customHeight="1" x14ac:dyDescent="0.25">
      <c r="A58" s="147"/>
      <c r="B58" s="147"/>
      <c r="C58" s="18" t="s">
        <v>106</v>
      </c>
      <c r="D58" s="149"/>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8"/>
      <c r="R58" s="125"/>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8"/>
      <c r="AE58" s="125"/>
      <c r="AF58" s="20" t="str">
        <f>IF($AO$7="","",IF(VLOOKUP($AO$7,Baza!$E$2:$AIR$59,$AN57+28,0)="","",VLOOKUP($AO$7,Baza!$E$2:$AIR$59,$AN57+28,0)))</f>
        <v/>
      </c>
      <c r="AG58" s="20" t="str">
        <f>IF($AO$7="","",IF(VLOOKUP($AO$7,Baza!$E$2:$AIR$59,$AN57+29,0)="","",VLOOKUP($AO$7,Baza!$E$2:$AIR$59,$AN57+29,0)))</f>
        <v/>
      </c>
      <c r="AH58" s="32" t="str">
        <f>IF($AO$7="","",IF(VLOOKUP($AO$7,Baza!$E$2:$AIR$59,$AN57+30,0)="","",VLOOKUP($AO$7,Baza!$E$2:$AIR$59,$AN57+30,0)))</f>
        <v/>
      </c>
      <c r="AI58" s="134"/>
      <c r="AJ58" s="20" t="str">
        <f>IF($AO$7="","",IF(VLOOKUP($AO$7,Baza!$E$2:$AIR$59,$AN57+32,0)="","",VLOOKUP($AO$7,Baza!$E$2:$AIR$59,$AN57+32,0)))</f>
        <v/>
      </c>
      <c r="AK58" s="20" t="str">
        <f>IF($AO$7="","",IF(VLOOKUP($AO$7,Baza!$E$2:$AIR$59,$AN57+33,0)="","",VLOOKUP($AO$7,Baza!$E$2:$AIR$59,$AN57+33,0)))</f>
        <v/>
      </c>
      <c r="AL58" s="128"/>
      <c r="AM58" s="131"/>
      <c r="AN58" s="71">
        <f t="shared" si="1"/>
        <v>395</v>
      </c>
    </row>
    <row r="59" spans="1:40" ht="19.899999999999999" customHeight="1" x14ac:dyDescent="0.25">
      <c r="A59" s="147"/>
      <c r="B59" s="147"/>
      <c r="C59" s="18" t="s">
        <v>107</v>
      </c>
      <c r="D59" s="149"/>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8"/>
      <c r="R59" s="125"/>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8"/>
      <c r="AE59" s="125"/>
      <c r="AF59" s="20" t="str">
        <f>IF($AO$8="","",IF(VLOOKUP($AO$8,Baza!$E$2:$AIR$59,$AN58+28,0)="","",VLOOKUP($AO$8,Baza!$E$2:$AIR$59,$AN58+28,0)))</f>
        <v/>
      </c>
      <c r="AG59" s="20" t="str">
        <f>IF($AO$8="","",IF(VLOOKUP($AO$8,Baza!$E$2:$AIR$59,$AN58+29,0)="","",VLOOKUP($AO$8,Baza!$E$2:$AIR$59,$AN58+29,0)))</f>
        <v/>
      </c>
      <c r="AH59" s="32" t="str">
        <f>IF($AO$8="","",IF(VLOOKUP($AO$8,Baza!$E$2:$AIR$59,$AN58+30,0)="","",VLOOKUP($AO$8,Baza!$E$2:$AIR$59,$AN58+30,0)))</f>
        <v/>
      </c>
      <c r="AI59" s="134"/>
      <c r="AJ59" s="20" t="str">
        <f>IF($AO$8="","",IF(VLOOKUP($AO$8,Baza!$E$2:$AIR$59,$AN58+32,0)="","",VLOOKUP($AO$8,Baza!$E$2:$AIR$59,$AN58+32,0)))</f>
        <v/>
      </c>
      <c r="AK59" s="20" t="str">
        <f>IF($AO$8="","",IF(VLOOKUP($AO$8,Baza!$E$2:$AIR$59,$AN58+33,0)="","",VLOOKUP($AO$8,Baza!$E$2:$AIR$59,$AN58+33,0)))</f>
        <v/>
      </c>
      <c r="AL59" s="128"/>
      <c r="AM59" s="131"/>
      <c r="AN59" s="71">
        <f t="shared" si="1"/>
        <v>395</v>
      </c>
    </row>
    <row r="60" spans="1:40" ht="19.899999999999999" customHeight="1" x14ac:dyDescent="0.25">
      <c r="A60" s="147"/>
      <c r="B60" s="147"/>
      <c r="C60" s="18" t="s">
        <v>108</v>
      </c>
      <c r="D60" s="149"/>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8"/>
      <c r="R60" s="125"/>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8"/>
      <c r="AE60" s="125"/>
      <c r="AF60" s="20" t="str">
        <f>IF($AO$9="","",IF(VLOOKUP($AO$9,Baza!$E$2:$AIR$59,$AN59+28,0)="","",VLOOKUP($AO$9,Baza!$E$2:$AIR$59,$AN59+28,0)))</f>
        <v/>
      </c>
      <c r="AG60" s="20" t="str">
        <f>IF($AO$9="","",IF(VLOOKUP($AO$9,Baza!$E$2:$AIR$59,$AN59+29,0)="","",VLOOKUP($AO$9,Baza!$E$2:$AIR$59,$AN59+29,0)))</f>
        <v/>
      </c>
      <c r="AH60" s="32" t="str">
        <f>IF($AO$9="","",IF(VLOOKUP($AO$9,Baza!$E$2:$AIR$59,$AN59+30,0)="","",VLOOKUP($AO$9,Baza!$E$2:$AIR$59,$AN59+30,0)))</f>
        <v/>
      </c>
      <c r="AI60" s="134"/>
      <c r="AJ60" s="20" t="str">
        <f>IF($AO$9="","",IF(VLOOKUP($AO$9,Baza!$E$2:$AIR$59,$AN59+32,0)="","",VLOOKUP($AO$9,Baza!$E$2:$AIR$59,$AN59+32,0)))</f>
        <v/>
      </c>
      <c r="AK60" s="20" t="str">
        <f>IF($AO$9="","",IF(VLOOKUP($AO$9,Baza!$E$2:$AIR$59,$AN59+33,0)="","",VLOOKUP($AO$9,Baza!$E$2:$AIR$59,$AN59+33,0)))</f>
        <v/>
      </c>
      <c r="AL60" s="128"/>
      <c r="AM60" s="131"/>
      <c r="AN60" s="71">
        <f t="shared" si="1"/>
        <v>395</v>
      </c>
    </row>
    <row r="61" spans="1:40" ht="19.899999999999999" customHeight="1" x14ac:dyDescent="0.25">
      <c r="A61" s="148"/>
      <c r="B61" s="148"/>
      <c r="C61" s="18" t="s">
        <v>109</v>
      </c>
      <c r="D61" s="149"/>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9"/>
      <c r="R61" s="126"/>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9"/>
      <c r="AE61" s="126"/>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5"/>
      <c r="AJ61" s="20" t="str">
        <f>IF($AO$10="","",IF(VLOOKUP($AO$10,Baza!$E$2:$AIR$59,$AN60+32,0)="","",VLOOKUP($AO$10,Baza!$E$2:$AIR$59,$AN60+32,0)))</f>
        <v/>
      </c>
      <c r="AK61" s="20" t="str">
        <f>IF($AO$10="","",IF(VLOOKUP($AO$10,Baza!$E$2:$AIR$59,$AN60+33,0)="","",VLOOKUP($AO$10,Baza!$E$2:$AIR$59,$AN60+33,0)))</f>
        <v/>
      </c>
      <c r="AL61" s="129"/>
      <c r="AM61" s="132"/>
      <c r="AN61" s="71">
        <f t="shared" si="1"/>
        <v>395</v>
      </c>
    </row>
    <row r="62" spans="1:40" ht="19.899999999999999" customHeight="1" x14ac:dyDescent="0.25">
      <c r="A62" s="146">
        <v>128</v>
      </c>
      <c r="B62" s="146" t="s">
        <v>65</v>
      </c>
      <c r="C62" s="29" t="s">
        <v>31</v>
      </c>
      <c r="D62" s="149"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7" t="e">
        <f>IF(VLOOKUP($B$3,Baza!$E$2:$AIR$59,$AN62+13,0)="","",VLOOKUP($B$3,Baza!$E$2:$AIR$59,$AN62+13,0))</f>
        <v>#N/A</v>
      </c>
      <c r="R62" s="124"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7" t="e">
        <f>IF(VLOOKUP($B$3,Baza!$E$2:$AIR$59,$AN62+26,0)="","",VLOOKUP($B$3,Baza!$E$2:$AIR$59,$AN62+26,0))</f>
        <v>#N/A</v>
      </c>
      <c r="AE62" s="124"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3" t="e">
        <f>IF(VLOOKUP($B$3,Baza!$E$2:$AIR$59,$AN62+31,0)="","",VLOOKUP($B$3,Baza!$E$2:$AIR$59,$AN62+31,0))</f>
        <v>#N/A</v>
      </c>
      <c r="AJ62" s="13" t="e">
        <f>IF(VLOOKUP($B$3,Baza!$E$2:$AIR$59,$AN62+32,0)="","",VLOOKUP($B$3,Baza!$E$2:$AIR$59,$AN62+32,0))</f>
        <v>#N/A</v>
      </c>
      <c r="AK62" s="13" t="e">
        <f>IF(VLOOKUP($B$3,Baza!$E$2:$AIR$59,$AN62+33,0)="","",VLOOKUP($B$3,Baza!$E$2:$AIR$59,$AN62+33,0))</f>
        <v>#N/A</v>
      </c>
      <c r="AL62" s="127" t="e">
        <f>IF(VLOOKUP($B$3,Baza!$E$2:$AIR$59,$AN62+34,0)="","",VLOOKUP($B$3,Baza!$E$2:$AIR$59,$AN62+34,0))</f>
        <v>#N/A</v>
      </c>
      <c r="AM62" s="130" t="e">
        <f>IF(VLOOKUP($B$3,Baza!$E$2:$AIR$59,$AN62+35,0)="","",VLOOKUP($B$3,Baza!$E$2:$AIR$59,$AN62+35,0))</f>
        <v>#N/A</v>
      </c>
      <c r="AN62" s="71">
        <f t="shared" si="1"/>
        <v>433</v>
      </c>
    </row>
    <row r="63" spans="1:40" ht="19.899999999999999" customHeight="1" x14ac:dyDescent="0.25">
      <c r="A63" s="147"/>
      <c r="B63" s="147"/>
      <c r="C63" s="18" t="s">
        <v>106</v>
      </c>
      <c r="D63" s="149"/>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8"/>
      <c r="R63" s="125"/>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8"/>
      <c r="AE63" s="125"/>
      <c r="AF63" s="20" t="str">
        <f>IF($AO$7="","",IF(VLOOKUP($AO$7,Baza!$E$2:$AIR$59,$AN62+28,0)="","",VLOOKUP($AO$7,Baza!$E$2:$AIR$59,$AN62+28,0)))</f>
        <v/>
      </c>
      <c r="AG63" s="20" t="str">
        <f>IF($AO$7="","",IF(VLOOKUP($AO$7,Baza!$E$2:$AIR$59,$AN62+29,0)="","",VLOOKUP($AO$7,Baza!$E$2:$AIR$59,$AN62+29,0)))</f>
        <v/>
      </c>
      <c r="AH63" s="32" t="str">
        <f>IF($AO$7="","",IF(VLOOKUP($AO$7,Baza!$E$2:$AIR$59,$AN62+30,0)="","",VLOOKUP($AO$7,Baza!$E$2:$AIR$59,$AN62+30,0)))</f>
        <v/>
      </c>
      <c r="AI63" s="134"/>
      <c r="AJ63" s="20" t="str">
        <f>IF($AO$7="","",IF(VLOOKUP($AO$7,Baza!$E$2:$AIR$59,$AN62+32,0)="","",VLOOKUP($AO$7,Baza!$E$2:$AIR$59,$AN62+32,0)))</f>
        <v/>
      </c>
      <c r="AK63" s="20" t="str">
        <f>IF($AO$7="","",IF(VLOOKUP($AO$7,Baza!$E$2:$AIR$59,$AN62+33,0)="","",VLOOKUP($AO$7,Baza!$E$2:$AIR$59,$AN62+33,0)))</f>
        <v/>
      </c>
      <c r="AL63" s="128"/>
      <c r="AM63" s="131"/>
      <c r="AN63" s="71">
        <f t="shared" si="1"/>
        <v>433</v>
      </c>
    </row>
    <row r="64" spans="1:40" ht="19.899999999999999" customHeight="1" x14ac:dyDescent="0.25">
      <c r="A64" s="147"/>
      <c r="B64" s="147"/>
      <c r="C64" s="18" t="s">
        <v>107</v>
      </c>
      <c r="D64" s="149"/>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8"/>
      <c r="R64" s="125"/>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8"/>
      <c r="AE64" s="125"/>
      <c r="AF64" s="20" t="str">
        <f>IF($AO$8="","",IF(VLOOKUP($AO$8,Baza!$E$2:$AIR$59,$AN63+28,0)="","",VLOOKUP($AO$8,Baza!$E$2:$AIR$59,$AN63+28,0)))</f>
        <v/>
      </c>
      <c r="AG64" s="20" t="str">
        <f>IF($AO$8="","",IF(VLOOKUP($AO$8,Baza!$E$2:$AIR$59,$AN63+29,0)="","",VLOOKUP($AO$8,Baza!$E$2:$AIR$59,$AN63+29,0)))</f>
        <v/>
      </c>
      <c r="AH64" s="32" t="str">
        <f>IF($AO$8="","",IF(VLOOKUP($AO$8,Baza!$E$2:$AIR$59,$AN63+30,0)="","",VLOOKUP($AO$8,Baza!$E$2:$AIR$59,$AN63+30,0)))</f>
        <v/>
      </c>
      <c r="AI64" s="134"/>
      <c r="AJ64" s="20" t="str">
        <f>IF($AO$8="","",IF(VLOOKUP($AO$8,Baza!$E$2:$AIR$59,$AN63+32,0)="","",VLOOKUP($AO$8,Baza!$E$2:$AIR$59,$AN63+32,0)))</f>
        <v/>
      </c>
      <c r="AK64" s="20" t="str">
        <f>IF($AO$8="","",IF(VLOOKUP($AO$8,Baza!$E$2:$AIR$59,$AN63+33,0)="","",VLOOKUP($AO$8,Baza!$E$2:$AIR$59,$AN63+33,0)))</f>
        <v/>
      </c>
      <c r="AL64" s="128"/>
      <c r="AM64" s="131"/>
      <c r="AN64" s="71">
        <f t="shared" si="1"/>
        <v>433</v>
      </c>
    </row>
    <row r="65" spans="1:40" ht="19.899999999999999" customHeight="1" x14ac:dyDescent="0.25">
      <c r="A65" s="147"/>
      <c r="B65" s="147"/>
      <c r="C65" s="18" t="s">
        <v>108</v>
      </c>
      <c r="D65" s="149"/>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8"/>
      <c r="R65" s="125"/>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8"/>
      <c r="AE65" s="125"/>
      <c r="AF65" s="20" t="str">
        <f>IF($AO$9="","",IF(VLOOKUP($AO$9,Baza!$E$2:$AIR$59,$AN64+28,0)="","",VLOOKUP($AO$9,Baza!$E$2:$AIR$59,$AN64+28,0)))</f>
        <v/>
      </c>
      <c r="AG65" s="20" t="str">
        <f>IF($AO$9="","",IF(VLOOKUP($AO$9,Baza!$E$2:$AIR$59,$AN64+29,0)="","",VLOOKUP($AO$9,Baza!$E$2:$AIR$59,$AN64+29,0)))</f>
        <v/>
      </c>
      <c r="AH65" s="32" t="str">
        <f>IF($AO$9="","",IF(VLOOKUP($AO$9,Baza!$E$2:$AIR$59,$AN64+30,0)="","",VLOOKUP($AO$9,Baza!$E$2:$AIR$59,$AN64+30,0)))</f>
        <v/>
      </c>
      <c r="AI65" s="134"/>
      <c r="AJ65" s="20" t="str">
        <f>IF($AO$9="","",IF(VLOOKUP($AO$9,Baza!$E$2:$AIR$59,$AN64+32,0)="","",VLOOKUP($AO$9,Baza!$E$2:$AIR$59,$AN64+32,0)))</f>
        <v/>
      </c>
      <c r="AK65" s="20" t="str">
        <f>IF($AO$9="","",IF(VLOOKUP($AO$9,Baza!$E$2:$AIR$59,$AN64+33,0)="","",VLOOKUP($AO$9,Baza!$E$2:$AIR$59,$AN64+33,0)))</f>
        <v/>
      </c>
      <c r="AL65" s="128"/>
      <c r="AM65" s="131"/>
      <c r="AN65" s="71">
        <f t="shared" si="1"/>
        <v>433</v>
      </c>
    </row>
    <row r="66" spans="1:40" ht="19.899999999999999" customHeight="1" x14ac:dyDescent="0.25">
      <c r="A66" s="148"/>
      <c r="B66" s="148"/>
      <c r="C66" s="18" t="s">
        <v>109</v>
      </c>
      <c r="D66" s="149"/>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9"/>
      <c r="R66" s="126"/>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9"/>
      <c r="AE66" s="126"/>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5"/>
      <c r="AJ66" s="20" t="str">
        <f>IF($AO$10="","",IF(VLOOKUP($AO$10,Baza!$E$2:$AIR$59,$AN65+32,0)="","",VLOOKUP($AO$10,Baza!$E$2:$AIR$59,$AN65+32,0)))</f>
        <v/>
      </c>
      <c r="AK66" s="20" t="str">
        <f>IF($AO$10="","",IF(VLOOKUP($AO$10,Baza!$E$2:$AIR$59,$AN65+33,0)="","",VLOOKUP($AO$10,Baza!$E$2:$AIR$59,$AN65+33,0)))</f>
        <v/>
      </c>
      <c r="AL66" s="129"/>
      <c r="AM66" s="132"/>
      <c r="AN66" s="71">
        <f t="shared" si="1"/>
        <v>433</v>
      </c>
    </row>
    <row r="67" spans="1:40" ht="19.899999999999999" customHeight="1" x14ac:dyDescent="0.25">
      <c r="A67" s="146">
        <v>129</v>
      </c>
      <c r="B67" s="146" t="s">
        <v>67</v>
      </c>
      <c r="C67" s="29" t="s">
        <v>31</v>
      </c>
      <c r="D67" s="149"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7" t="e">
        <f>IF(VLOOKUP($B$3,Baza!$E$2:$AIR$59,$AN67+13,0)="","",VLOOKUP($B$3,Baza!$E$2:$AIR$59,$AN67+13,0))</f>
        <v>#N/A</v>
      </c>
      <c r="R67" s="124"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7" t="e">
        <f>IF(VLOOKUP($B$3,Baza!$E$2:$AIR$59,$AN67+26,0)="","",VLOOKUP($B$3,Baza!$E$2:$AIR$59,$AN67+26,0))</f>
        <v>#N/A</v>
      </c>
      <c r="AE67" s="124"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3" t="e">
        <f>IF(VLOOKUP($B$3,Baza!$E$2:$AIR$59,$AN67+31,0)="","",VLOOKUP($B$3,Baza!$E$2:$AIR$59,$AN67+31,0))</f>
        <v>#N/A</v>
      </c>
      <c r="AJ67" s="13" t="e">
        <f>IF(VLOOKUP($B$3,Baza!$E$2:$AIR$59,$AN67+32,0)="","",VLOOKUP($B$3,Baza!$E$2:$AIR$59,$AN67+32,0))</f>
        <v>#N/A</v>
      </c>
      <c r="AK67" s="13" t="e">
        <f>IF(VLOOKUP($B$3,Baza!$E$2:$AIR$59,$AN67+33,0)="","",VLOOKUP($B$3,Baza!$E$2:$AIR$59,$AN67+33,0))</f>
        <v>#N/A</v>
      </c>
      <c r="AL67" s="127" t="e">
        <f>IF(VLOOKUP($B$3,Baza!$E$2:$AIR$59,$AN67+34,0)="","",VLOOKUP($B$3,Baza!$E$2:$AIR$59,$AN67+34,0))</f>
        <v>#N/A</v>
      </c>
      <c r="AM67" s="130" t="e">
        <f>IF(VLOOKUP($B$3,Baza!$E$2:$AIR$59,$AN67+35,0)="","",VLOOKUP($B$3,Baza!$E$2:$AIR$59,$AN67+35,0))</f>
        <v>#N/A</v>
      </c>
      <c r="AN67" s="71">
        <f t="shared" si="1"/>
        <v>471</v>
      </c>
    </row>
    <row r="68" spans="1:40" ht="19.899999999999999" customHeight="1" x14ac:dyDescent="0.25">
      <c r="A68" s="147"/>
      <c r="B68" s="147"/>
      <c r="C68" s="18" t="s">
        <v>106</v>
      </c>
      <c r="D68" s="149"/>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8"/>
      <c r="R68" s="125"/>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8"/>
      <c r="AE68" s="125"/>
      <c r="AF68" s="20" t="str">
        <f>IF($AO$7="","",IF(VLOOKUP($AO$7,Baza!$E$2:$AIR$59,$AN67+28,0)="","",VLOOKUP($AO$7,Baza!$E$2:$AIR$59,$AN67+28,0)))</f>
        <v/>
      </c>
      <c r="AG68" s="20" t="str">
        <f>IF($AO$7="","",IF(VLOOKUP($AO$7,Baza!$E$2:$AIR$59,$AN67+29,0)="","",VLOOKUP($AO$7,Baza!$E$2:$AIR$59,$AN67+29,0)))</f>
        <v/>
      </c>
      <c r="AH68" s="32" t="str">
        <f>IF($AO$7="","",IF(VLOOKUP($AO$7,Baza!$E$2:$AIR$59,$AN67+30,0)="","",VLOOKUP($AO$7,Baza!$E$2:$AIR$59,$AN67+30,0)))</f>
        <v/>
      </c>
      <c r="AI68" s="134"/>
      <c r="AJ68" s="20" t="str">
        <f>IF($AO$7="","",IF(VLOOKUP($AO$7,Baza!$E$2:$AIR$59,$AN67+32,0)="","",VLOOKUP($AO$7,Baza!$E$2:$AIR$59,$AN67+32,0)))</f>
        <v/>
      </c>
      <c r="AK68" s="20" t="str">
        <f>IF($AO$7="","",IF(VLOOKUP($AO$7,Baza!$E$2:$AIR$59,$AN67+33,0)="","",VLOOKUP($AO$7,Baza!$E$2:$AIR$59,$AN67+33,0)))</f>
        <v/>
      </c>
      <c r="AL68" s="128"/>
      <c r="AM68" s="131"/>
      <c r="AN68" s="71">
        <f t="shared" si="1"/>
        <v>471</v>
      </c>
    </row>
    <row r="69" spans="1:40" ht="19.899999999999999" customHeight="1" x14ac:dyDescent="0.25">
      <c r="A69" s="147"/>
      <c r="B69" s="147"/>
      <c r="C69" s="18" t="s">
        <v>107</v>
      </c>
      <c r="D69" s="149"/>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8"/>
      <c r="R69" s="125"/>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8"/>
      <c r="AE69" s="125"/>
      <c r="AF69" s="20" t="str">
        <f>IF($AO$8="","",IF(VLOOKUP($AO$8,Baza!$E$2:$AIR$59,$AN68+28,0)="","",VLOOKUP($AO$8,Baza!$E$2:$AIR$59,$AN68+28,0)))</f>
        <v/>
      </c>
      <c r="AG69" s="20" t="str">
        <f>IF($AO$8="","",IF(VLOOKUP($AO$8,Baza!$E$2:$AIR$59,$AN68+29,0)="","",VLOOKUP($AO$8,Baza!$E$2:$AIR$59,$AN68+29,0)))</f>
        <v/>
      </c>
      <c r="AH69" s="32" t="str">
        <f>IF($AO$8="","",IF(VLOOKUP($AO$8,Baza!$E$2:$AIR$59,$AN68+30,0)="","",VLOOKUP($AO$8,Baza!$E$2:$AIR$59,$AN68+30,0)))</f>
        <v/>
      </c>
      <c r="AI69" s="134"/>
      <c r="AJ69" s="20" t="str">
        <f>IF($AO$8="","",IF(VLOOKUP($AO$8,Baza!$E$2:$AIR$59,$AN68+32,0)="","",VLOOKUP($AO$8,Baza!$E$2:$AIR$59,$AN68+32,0)))</f>
        <v/>
      </c>
      <c r="AK69" s="20" t="str">
        <f>IF($AO$8="","",IF(VLOOKUP($AO$8,Baza!$E$2:$AIR$59,$AN68+33,0)="","",VLOOKUP($AO$8,Baza!$E$2:$AIR$59,$AN68+33,0)))</f>
        <v/>
      </c>
      <c r="AL69" s="128"/>
      <c r="AM69" s="131"/>
      <c r="AN69" s="71">
        <f t="shared" si="1"/>
        <v>471</v>
      </c>
    </row>
    <row r="70" spans="1:40" ht="19.899999999999999" customHeight="1" x14ac:dyDescent="0.25">
      <c r="A70" s="147"/>
      <c r="B70" s="147"/>
      <c r="C70" s="18" t="s">
        <v>108</v>
      </c>
      <c r="D70" s="149"/>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8"/>
      <c r="R70" s="125"/>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8"/>
      <c r="AE70" s="125"/>
      <c r="AF70" s="20" t="str">
        <f>IF($AO$9="","",IF(VLOOKUP($AO$9,Baza!$E$2:$AIR$59,$AN69+28,0)="","",VLOOKUP($AO$9,Baza!$E$2:$AIR$59,$AN69+28,0)))</f>
        <v/>
      </c>
      <c r="AG70" s="20" t="str">
        <f>IF($AO$9="","",IF(VLOOKUP($AO$9,Baza!$E$2:$AIR$59,$AN69+29,0)="","",VLOOKUP($AO$9,Baza!$E$2:$AIR$59,$AN69+29,0)))</f>
        <v/>
      </c>
      <c r="AH70" s="32" t="str">
        <f>IF($AO$9="","",IF(VLOOKUP($AO$9,Baza!$E$2:$AIR$59,$AN69+30,0)="","",VLOOKUP($AO$9,Baza!$E$2:$AIR$59,$AN69+30,0)))</f>
        <v/>
      </c>
      <c r="AI70" s="134"/>
      <c r="AJ70" s="20" t="str">
        <f>IF($AO$9="","",IF(VLOOKUP($AO$9,Baza!$E$2:$AIR$59,$AN69+32,0)="","",VLOOKUP($AO$9,Baza!$E$2:$AIR$59,$AN69+32,0)))</f>
        <v/>
      </c>
      <c r="AK70" s="20" t="str">
        <f>IF($AO$9="","",IF(VLOOKUP($AO$9,Baza!$E$2:$AIR$59,$AN69+33,0)="","",VLOOKUP($AO$9,Baza!$E$2:$AIR$59,$AN69+33,0)))</f>
        <v/>
      </c>
      <c r="AL70" s="128"/>
      <c r="AM70" s="131"/>
      <c r="AN70" s="71">
        <f t="shared" si="1"/>
        <v>471</v>
      </c>
    </row>
    <row r="71" spans="1:40" ht="19.899999999999999" customHeight="1" x14ac:dyDescent="0.25">
      <c r="A71" s="148"/>
      <c r="B71" s="148"/>
      <c r="C71" s="18" t="s">
        <v>109</v>
      </c>
      <c r="D71" s="149"/>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9"/>
      <c r="R71" s="126"/>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9"/>
      <c r="AE71" s="126"/>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5"/>
      <c r="AJ71" s="20" t="str">
        <f>IF($AO$10="","",IF(VLOOKUP($AO$10,Baza!$E$2:$AIR$59,$AN70+32,0)="","",VLOOKUP($AO$10,Baza!$E$2:$AIR$59,$AN70+32,0)))</f>
        <v/>
      </c>
      <c r="AK71" s="20" t="str">
        <f>IF($AO$10="","",IF(VLOOKUP($AO$10,Baza!$E$2:$AIR$59,$AN70+33,0)="","",VLOOKUP($AO$10,Baza!$E$2:$AIR$59,$AN70+33,0)))</f>
        <v/>
      </c>
      <c r="AL71" s="129"/>
      <c r="AM71" s="132"/>
      <c r="AN71" s="71">
        <f t="shared" si="1"/>
        <v>471</v>
      </c>
    </row>
    <row r="72" spans="1:40" ht="19.899999999999999" customHeight="1" x14ac:dyDescent="0.25">
      <c r="A72" s="146">
        <v>130</v>
      </c>
      <c r="B72" s="146" t="s">
        <v>69</v>
      </c>
      <c r="C72" s="29" t="s">
        <v>31</v>
      </c>
      <c r="D72" s="149"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7" t="e">
        <f>IF(VLOOKUP($B$3,Baza!$E$2:$AIR$59,$AN72+13,0)="","",VLOOKUP($B$3,Baza!$E$2:$AIR$59,$AN72+13,0))</f>
        <v>#N/A</v>
      </c>
      <c r="R72" s="124"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7" t="e">
        <f>IF(VLOOKUP($B$3,Baza!$E$2:$AIR$59,$AN72+26,0)="","",VLOOKUP($B$3,Baza!$E$2:$AIR$59,$AN72+26,0))</f>
        <v>#N/A</v>
      </c>
      <c r="AE72" s="124"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3" t="e">
        <f>IF(VLOOKUP($B$3,Baza!$E$2:$AIR$59,$AN72+31,0)="","",VLOOKUP($B$3,Baza!$E$2:$AIR$59,$AN72+31,0))</f>
        <v>#N/A</v>
      </c>
      <c r="AJ72" s="13" t="e">
        <f>IF(VLOOKUP($B$3,Baza!$E$2:$AIR$59,$AN72+32,0)="","",VLOOKUP($B$3,Baza!$E$2:$AIR$59,$AN72+32,0))</f>
        <v>#N/A</v>
      </c>
      <c r="AK72" s="13" t="e">
        <f>IF(VLOOKUP($B$3,Baza!$E$2:$AIR$59,$AN72+33,0)="","",VLOOKUP($B$3,Baza!$E$2:$AIR$59,$AN72+33,0))</f>
        <v>#N/A</v>
      </c>
      <c r="AL72" s="127" t="e">
        <f>IF(VLOOKUP($B$3,Baza!$E$2:$AIR$59,$AN72+34,0)="","",VLOOKUP($B$3,Baza!$E$2:$AIR$59,$AN72+34,0))</f>
        <v>#N/A</v>
      </c>
      <c r="AM72" s="130" t="e">
        <f>IF(VLOOKUP($B$3,Baza!$E$2:$AIR$59,$AN72+35,0)="","",VLOOKUP($B$3,Baza!$E$2:$AIR$59,$AN72+35,0))</f>
        <v>#N/A</v>
      </c>
      <c r="AN72" s="71">
        <f t="shared" si="1"/>
        <v>509</v>
      </c>
    </row>
    <row r="73" spans="1:40" ht="19.899999999999999" customHeight="1" x14ac:dyDescent="0.25">
      <c r="A73" s="147"/>
      <c r="B73" s="147"/>
      <c r="C73" s="18" t="s">
        <v>106</v>
      </c>
      <c r="D73" s="149"/>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8"/>
      <c r="R73" s="125"/>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8"/>
      <c r="AE73" s="125"/>
      <c r="AF73" s="20" t="str">
        <f>IF($AO$7="","",IF(VLOOKUP($AO$7,Baza!$E$2:$AIR$59,$AN72+28,0)="","",VLOOKUP($AO$7,Baza!$E$2:$AIR$59,$AN72+28,0)))</f>
        <v/>
      </c>
      <c r="AG73" s="20" t="str">
        <f>IF($AO$7="","",IF(VLOOKUP($AO$7,Baza!$E$2:$AIR$59,$AN72+29,0)="","",VLOOKUP($AO$7,Baza!$E$2:$AIR$59,$AN72+29,0)))</f>
        <v/>
      </c>
      <c r="AH73" s="32" t="str">
        <f>IF($AO$7="","",IF(VLOOKUP($AO$7,Baza!$E$2:$AIR$59,$AN72+30,0)="","",VLOOKUP($AO$7,Baza!$E$2:$AIR$59,$AN72+30,0)))</f>
        <v/>
      </c>
      <c r="AI73" s="134"/>
      <c r="AJ73" s="20" t="str">
        <f>IF($AO$7="","",IF(VLOOKUP($AO$7,Baza!$E$2:$AIR$59,$AN72+32,0)="","",VLOOKUP($AO$7,Baza!$E$2:$AIR$59,$AN72+32,0)))</f>
        <v/>
      </c>
      <c r="AK73" s="20" t="str">
        <f>IF($AO$7="","",IF(VLOOKUP($AO$7,Baza!$E$2:$AIR$59,$AN72+33,0)="","",VLOOKUP($AO$7,Baza!$E$2:$AIR$59,$AN72+33,0)))</f>
        <v/>
      </c>
      <c r="AL73" s="128"/>
      <c r="AM73" s="131"/>
      <c r="AN73" s="71">
        <f t="shared" si="1"/>
        <v>509</v>
      </c>
    </row>
    <row r="74" spans="1:40" ht="19.899999999999999" customHeight="1" x14ac:dyDescent="0.25">
      <c r="A74" s="147"/>
      <c r="B74" s="147"/>
      <c r="C74" s="18" t="s">
        <v>107</v>
      </c>
      <c r="D74" s="149"/>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8"/>
      <c r="R74" s="125"/>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8"/>
      <c r="AE74" s="125"/>
      <c r="AF74" s="20" t="str">
        <f>IF($AO$8="","",IF(VLOOKUP($AO$8,Baza!$E$2:$AIR$59,$AN73+28,0)="","",VLOOKUP($AO$8,Baza!$E$2:$AIR$59,$AN73+28,0)))</f>
        <v/>
      </c>
      <c r="AG74" s="20" t="str">
        <f>IF($AO$8="","",IF(VLOOKUP($AO$8,Baza!$E$2:$AIR$59,$AN73+29,0)="","",VLOOKUP($AO$8,Baza!$E$2:$AIR$59,$AN73+29,0)))</f>
        <v/>
      </c>
      <c r="AH74" s="32" t="str">
        <f>IF($AO$8="","",IF(VLOOKUP($AO$8,Baza!$E$2:$AIR$59,$AN73+30,0)="","",VLOOKUP($AO$8,Baza!$E$2:$AIR$59,$AN73+30,0)))</f>
        <v/>
      </c>
      <c r="AI74" s="134"/>
      <c r="AJ74" s="20" t="str">
        <f>IF($AO$8="","",IF(VLOOKUP($AO$8,Baza!$E$2:$AIR$59,$AN73+32,0)="","",VLOOKUP($AO$8,Baza!$E$2:$AIR$59,$AN73+32,0)))</f>
        <v/>
      </c>
      <c r="AK74" s="20" t="str">
        <f>IF($AO$8="","",IF(VLOOKUP($AO$8,Baza!$E$2:$AIR$59,$AN73+33,0)="","",VLOOKUP($AO$8,Baza!$E$2:$AIR$59,$AN73+33,0)))</f>
        <v/>
      </c>
      <c r="AL74" s="128"/>
      <c r="AM74" s="131"/>
      <c r="AN74" s="71">
        <f t="shared" si="1"/>
        <v>509</v>
      </c>
    </row>
    <row r="75" spans="1:40" ht="19.899999999999999" customHeight="1" x14ac:dyDescent="0.25">
      <c r="A75" s="147"/>
      <c r="B75" s="147"/>
      <c r="C75" s="18" t="s">
        <v>108</v>
      </c>
      <c r="D75" s="149"/>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8"/>
      <c r="R75" s="125"/>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8"/>
      <c r="AE75" s="125"/>
      <c r="AF75" s="20" t="str">
        <f>IF($AO$9="","",IF(VLOOKUP($AO$9,Baza!$E$2:$AIR$59,$AN74+28,0)="","",VLOOKUP($AO$9,Baza!$E$2:$AIR$59,$AN74+28,0)))</f>
        <v/>
      </c>
      <c r="AG75" s="20" t="str">
        <f>IF($AO$9="","",IF(VLOOKUP($AO$9,Baza!$E$2:$AIR$59,$AN74+29,0)="","",VLOOKUP($AO$9,Baza!$E$2:$AIR$59,$AN74+29,0)))</f>
        <v/>
      </c>
      <c r="AH75" s="32" t="str">
        <f>IF($AO$9="","",IF(VLOOKUP($AO$9,Baza!$E$2:$AIR$59,$AN74+30,0)="","",VLOOKUP($AO$9,Baza!$E$2:$AIR$59,$AN74+30,0)))</f>
        <v/>
      </c>
      <c r="AI75" s="134"/>
      <c r="AJ75" s="20" t="str">
        <f>IF($AO$9="","",IF(VLOOKUP($AO$9,Baza!$E$2:$AIR$59,$AN74+32,0)="","",VLOOKUP($AO$9,Baza!$E$2:$AIR$59,$AN74+32,0)))</f>
        <v/>
      </c>
      <c r="AK75" s="20" t="str">
        <f>IF($AO$9="","",IF(VLOOKUP($AO$9,Baza!$E$2:$AIR$59,$AN74+33,0)="","",VLOOKUP($AO$9,Baza!$E$2:$AIR$59,$AN74+33,0)))</f>
        <v/>
      </c>
      <c r="AL75" s="128"/>
      <c r="AM75" s="131"/>
      <c r="AN75" s="71">
        <f t="shared" si="1"/>
        <v>509</v>
      </c>
    </row>
    <row r="76" spans="1:40" ht="19.899999999999999" customHeight="1" x14ac:dyDescent="0.25">
      <c r="A76" s="148"/>
      <c r="B76" s="148"/>
      <c r="C76" s="18" t="s">
        <v>109</v>
      </c>
      <c r="D76" s="149"/>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9"/>
      <c r="R76" s="126"/>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9"/>
      <c r="AE76" s="126"/>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5"/>
      <c r="AJ76" s="20" t="str">
        <f>IF($AO$10="","",IF(VLOOKUP($AO$10,Baza!$E$2:$AIR$59,$AN75+32,0)="","",VLOOKUP($AO$10,Baza!$E$2:$AIR$59,$AN75+32,0)))</f>
        <v/>
      </c>
      <c r="AK76" s="20" t="str">
        <f>IF($AO$10="","",IF(VLOOKUP($AO$10,Baza!$E$2:$AIR$59,$AN75+33,0)="","",VLOOKUP($AO$10,Baza!$E$2:$AIR$59,$AN75+33,0)))</f>
        <v/>
      </c>
      <c r="AL76" s="129"/>
      <c r="AM76" s="132"/>
      <c r="AN76" s="71">
        <f t="shared" si="1"/>
        <v>509</v>
      </c>
    </row>
    <row r="77" spans="1:40" ht="19.899999999999999" customHeight="1" x14ac:dyDescent="0.25">
      <c r="A77" s="146">
        <v>131</v>
      </c>
      <c r="B77" s="146" t="s">
        <v>71</v>
      </c>
      <c r="C77" s="29" t="s">
        <v>31</v>
      </c>
      <c r="D77" s="149"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7" t="e">
        <f>IF(VLOOKUP($B$3,Baza!$E$2:$AIR$59,$AN77+13,0)="","",VLOOKUP($B$3,Baza!$E$2:$AIR$59,$AN77+13,0))</f>
        <v>#N/A</v>
      </c>
      <c r="R77" s="124"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7" t="e">
        <f>IF(VLOOKUP($B$3,Baza!$E$2:$AIR$59,$AN77+26,0)="","",VLOOKUP($B$3,Baza!$E$2:$AIR$59,$AN77+26,0))</f>
        <v>#N/A</v>
      </c>
      <c r="AE77" s="124"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3" t="e">
        <f>IF(VLOOKUP($B$3,Baza!$E$2:$AIR$59,$AN77+31,0)="","",VLOOKUP($B$3,Baza!$E$2:$AIR$59,$AN77+31,0))</f>
        <v>#N/A</v>
      </c>
      <c r="AJ77" s="13" t="e">
        <f>IF(VLOOKUP($B$3,Baza!$E$2:$AIR$59,$AN77+32,0)="","",VLOOKUP($B$3,Baza!$E$2:$AIR$59,$AN77+32,0))</f>
        <v>#N/A</v>
      </c>
      <c r="AK77" s="13" t="e">
        <f>IF(VLOOKUP($B$3,Baza!$E$2:$AIR$59,$AN77+33,0)="","",VLOOKUP($B$3,Baza!$E$2:$AIR$59,$AN77+33,0))</f>
        <v>#N/A</v>
      </c>
      <c r="AL77" s="127" t="e">
        <f>IF(VLOOKUP($B$3,Baza!$E$2:$AIR$59,$AN77+34,0)="","",VLOOKUP($B$3,Baza!$E$2:$AIR$59,$AN77+34,0))</f>
        <v>#N/A</v>
      </c>
      <c r="AM77" s="130" t="e">
        <f>IF(VLOOKUP($B$3,Baza!$E$2:$AIR$59,$AN77+35,0)="","",VLOOKUP($B$3,Baza!$E$2:$AIR$59,$AN77+35,0))</f>
        <v>#N/A</v>
      </c>
      <c r="AN77" s="71">
        <f t="shared" si="1"/>
        <v>547</v>
      </c>
    </row>
    <row r="78" spans="1:40" ht="19.899999999999999" customHeight="1" x14ac:dyDescent="0.25">
      <c r="A78" s="147"/>
      <c r="B78" s="147"/>
      <c r="C78" s="18" t="s">
        <v>106</v>
      </c>
      <c r="D78" s="149"/>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8"/>
      <c r="R78" s="125"/>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8"/>
      <c r="AE78" s="125"/>
      <c r="AF78" s="20" t="str">
        <f>IF($AO$7="","",IF(VLOOKUP($AO$7,Baza!$E$2:$AIR$59,$AN77+28,0)="","",VLOOKUP($AO$7,Baza!$E$2:$AIR$59,$AN77+28,0)))</f>
        <v/>
      </c>
      <c r="AG78" s="20" t="str">
        <f>IF($AO$7="","",IF(VLOOKUP($AO$7,Baza!$E$2:$AIR$59,$AN77+29,0)="","",VLOOKUP($AO$7,Baza!$E$2:$AIR$59,$AN77+29,0)))</f>
        <v/>
      </c>
      <c r="AH78" s="32" t="str">
        <f>IF($AO$7="","",IF(VLOOKUP($AO$7,Baza!$E$2:$AIR$59,$AN77+30,0)="","",VLOOKUP($AO$7,Baza!$E$2:$AIR$59,$AN77+30,0)))</f>
        <v/>
      </c>
      <c r="AI78" s="134"/>
      <c r="AJ78" s="20" t="str">
        <f>IF($AO$7="","",IF(VLOOKUP($AO$7,Baza!$E$2:$AIR$59,$AN77+32,0)="","",VLOOKUP($AO$7,Baza!$E$2:$AIR$59,$AN77+32,0)))</f>
        <v/>
      </c>
      <c r="AK78" s="20" t="str">
        <f>IF($AO$7="","",IF(VLOOKUP($AO$7,Baza!$E$2:$AIR$59,$AN77+33,0)="","",VLOOKUP($AO$7,Baza!$E$2:$AIR$59,$AN77+33,0)))</f>
        <v/>
      </c>
      <c r="AL78" s="128"/>
      <c r="AM78" s="131"/>
      <c r="AN78" s="71">
        <f t="shared" si="1"/>
        <v>547</v>
      </c>
    </row>
    <row r="79" spans="1:40" ht="19.899999999999999" customHeight="1" x14ac:dyDescent="0.25">
      <c r="A79" s="147"/>
      <c r="B79" s="147"/>
      <c r="C79" s="18" t="s">
        <v>107</v>
      </c>
      <c r="D79" s="149"/>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8"/>
      <c r="R79" s="125"/>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8"/>
      <c r="AE79" s="125"/>
      <c r="AF79" s="20" t="str">
        <f>IF($AO$8="","",IF(VLOOKUP($AO$8,Baza!$E$2:$AIR$59,$AN78+28,0)="","",VLOOKUP($AO$8,Baza!$E$2:$AIR$59,$AN78+28,0)))</f>
        <v/>
      </c>
      <c r="AG79" s="20" t="str">
        <f>IF($AO$8="","",IF(VLOOKUP($AO$8,Baza!$E$2:$AIR$59,$AN78+29,0)="","",VLOOKUP($AO$8,Baza!$E$2:$AIR$59,$AN78+29,0)))</f>
        <v/>
      </c>
      <c r="AH79" s="32" t="str">
        <f>IF($AO$8="","",IF(VLOOKUP($AO$8,Baza!$E$2:$AIR$59,$AN78+30,0)="","",VLOOKUP($AO$8,Baza!$E$2:$AIR$59,$AN78+30,0)))</f>
        <v/>
      </c>
      <c r="AI79" s="134"/>
      <c r="AJ79" s="20" t="str">
        <f>IF($AO$8="","",IF(VLOOKUP($AO$8,Baza!$E$2:$AIR$59,$AN78+32,0)="","",VLOOKUP($AO$8,Baza!$E$2:$AIR$59,$AN78+32,0)))</f>
        <v/>
      </c>
      <c r="AK79" s="20" t="str">
        <f>IF($AO$8="","",IF(VLOOKUP($AO$8,Baza!$E$2:$AIR$59,$AN78+33,0)="","",VLOOKUP($AO$8,Baza!$E$2:$AIR$59,$AN78+33,0)))</f>
        <v/>
      </c>
      <c r="AL79" s="128"/>
      <c r="AM79" s="131"/>
      <c r="AN79" s="71">
        <f t="shared" si="1"/>
        <v>547</v>
      </c>
    </row>
    <row r="80" spans="1:40" ht="19.899999999999999" customHeight="1" x14ac:dyDescent="0.25">
      <c r="A80" s="147"/>
      <c r="B80" s="147"/>
      <c r="C80" s="18" t="s">
        <v>108</v>
      </c>
      <c r="D80" s="149"/>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8"/>
      <c r="R80" s="125"/>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8"/>
      <c r="AE80" s="125"/>
      <c r="AF80" s="20" t="str">
        <f>IF($AO$9="","",IF(VLOOKUP($AO$9,Baza!$E$2:$AIR$59,$AN79+28,0)="","",VLOOKUP($AO$9,Baza!$E$2:$AIR$59,$AN79+28,0)))</f>
        <v/>
      </c>
      <c r="AG80" s="20" t="str">
        <f>IF($AO$9="","",IF(VLOOKUP($AO$9,Baza!$E$2:$AIR$59,$AN79+29,0)="","",VLOOKUP($AO$9,Baza!$E$2:$AIR$59,$AN79+29,0)))</f>
        <v/>
      </c>
      <c r="AH80" s="32" t="str">
        <f>IF($AO$9="","",IF(VLOOKUP($AO$9,Baza!$E$2:$AIR$59,$AN79+30,0)="","",VLOOKUP($AO$9,Baza!$E$2:$AIR$59,$AN79+30,0)))</f>
        <v/>
      </c>
      <c r="AI80" s="134"/>
      <c r="AJ80" s="20" t="str">
        <f>IF($AO$9="","",IF(VLOOKUP($AO$9,Baza!$E$2:$AIR$59,$AN79+32,0)="","",VLOOKUP($AO$9,Baza!$E$2:$AIR$59,$AN79+32,0)))</f>
        <v/>
      </c>
      <c r="AK80" s="20" t="str">
        <f>IF($AO$9="","",IF(VLOOKUP($AO$9,Baza!$E$2:$AIR$59,$AN79+33,0)="","",VLOOKUP($AO$9,Baza!$E$2:$AIR$59,$AN79+33,0)))</f>
        <v/>
      </c>
      <c r="AL80" s="128"/>
      <c r="AM80" s="131"/>
      <c r="AN80" s="71">
        <f t="shared" si="1"/>
        <v>547</v>
      </c>
    </row>
    <row r="81" spans="1:40" ht="19.899999999999999" customHeight="1" x14ac:dyDescent="0.25">
      <c r="A81" s="148"/>
      <c r="B81" s="148"/>
      <c r="C81" s="18" t="s">
        <v>109</v>
      </c>
      <c r="D81" s="149"/>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9"/>
      <c r="R81" s="126"/>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9"/>
      <c r="AE81" s="126"/>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5"/>
      <c r="AJ81" s="20" t="str">
        <f>IF($AO$10="","",IF(VLOOKUP($AO$10,Baza!$E$2:$AIR$59,$AN80+32,0)="","",VLOOKUP($AO$10,Baza!$E$2:$AIR$59,$AN80+32,0)))</f>
        <v/>
      </c>
      <c r="AK81" s="20" t="str">
        <f>IF($AO$10="","",IF(VLOOKUP($AO$10,Baza!$E$2:$AIR$59,$AN80+33,0)="","",VLOOKUP($AO$10,Baza!$E$2:$AIR$59,$AN80+33,0)))</f>
        <v/>
      </c>
      <c r="AL81" s="129"/>
      <c r="AM81" s="132"/>
      <c r="AN81" s="71">
        <f t="shared" si="1"/>
        <v>547</v>
      </c>
    </row>
    <row r="82" spans="1:40" ht="19.899999999999999" customHeight="1" x14ac:dyDescent="0.25">
      <c r="A82" s="146">
        <v>132</v>
      </c>
      <c r="B82" s="146" t="s">
        <v>73</v>
      </c>
      <c r="C82" s="29" t="s">
        <v>31</v>
      </c>
      <c r="D82" s="149"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7" t="e">
        <f>IF(VLOOKUP($B$3,Baza!$E$2:$AIR$59,$AN82+13,0)="","",VLOOKUP($B$3,Baza!$E$2:$AIR$59,$AN82+13,0))</f>
        <v>#N/A</v>
      </c>
      <c r="R82" s="124"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7" t="e">
        <f>IF(VLOOKUP($B$3,Baza!$E$2:$AIR$59,$AN82+26,0)="","",VLOOKUP($B$3,Baza!$E$2:$AIR$59,$AN82+26,0))</f>
        <v>#N/A</v>
      </c>
      <c r="AE82" s="124"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3" t="e">
        <f>IF(VLOOKUP($B$3,Baza!$E$2:$AIR$59,$AN82+31,0)="","",VLOOKUP($B$3,Baza!$E$2:$AIR$59,$AN82+31,0))</f>
        <v>#N/A</v>
      </c>
      <c r="AJ82" s="13" t="e">
        <f>IF(VLOOKUP($B$3,Baza!$E$2:$AIR$59,$AN82+32,0)="","",VLOOKUP($B$3,Baza!$E$2:$AIR$59,$AN82+32,0))</f>
        <v>#N/A</v>
      </c>
      <c r="AK82" s="13" t="e">
        <f>IF(VLOOKUP($B$3,Baza!$E$2:$AIR$59,$AN82+33,0)="","",VLOOKUP($B$3,Baza!$E$2:$AIR$59,$AN82+33,0))</f>
        <v>#N/A</v>
      </c>
      <c r="AL82" s="127" t="e">
        <f>IF(VLOOKUP($B$3,Baza!$E$2:$AIR$59,$AN82+34,0)="","",VLOOKUP($B$3,Baza!$E$2:$AIR$59,$AN82+34,0))</f>
        <v>#N/A</v>
      </c>
      <c r="AM82" s="130" t="e">
        <f>IF(VLOOKUP($B$3,Baza!$E$2:$AIR$59,$AN82+35,0)="","",VLOOKUP($B$3,Baza!$E$2:$AIR$59,$AN82+35,0))</f>
        <v>#N/A</v>
      </c>
      <c r="AN82" s="71">
        <f t="shared" si="1"/>
        <v>585</v>
      </c>
    </row>
    <row r="83" spans="1:40" ht="19.899999999999999" customHeight="1" x14ac:dyDescent="0.25">
      <c r="A83" s="147"/>
      <c r="B83" s="147"/>
      <c r="C83" s="18" t="s">
        <v>106</v>
      </c>
      <c r="D83" s="149"/>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8"/>
      <c r="R83" s="125"/>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8"/>
      <c r="AE83" s="125"/>
      <c r="AF83" s="20" t="str">
        <f>IF($AO$7="","",IF(VLOOKUP($AO$7,Baza!$E$2:$AIR$59,$AN82+28,0)="","",VLOOKUP($AO$7,Baza!$E$2:$AIR$59,$AN82+28,0)))</f>
        <v/>
      </c>
      <c r="AG83" s="20" t="str">
        <f>IF($AO$7="","",IF(VLOOKUP($AO$7,Baza!$E$2:$AIR$59,$AN82+29,0)="","",VLOOKUP($AO$7,Baza!$E$2:$AIR$59,$AN82+29,0)))</f>
        <v/>
      </c>
      <c r="AH83" s="32" t="str">
        <f>IF($AO$7="","",IF(VLOOKUP($AO$7,Baza!$E$2:$AIR$59,$AN82+30,0)="","",VLOOKUP($AO$7,Baza!$E$2:$AIR$59,$AN82+30,0)))</f>
        <v/>
      </c>
      <c r="AI83" s="134"/>
      <c r="AJ83" s="20" t="str">
        <f>IF($AO$7="","",IF(VLOOKUP($AO$7,Baza!$E$2:$AIR$59,$AN82+32,0)="","",VLOOKUP($AO$7,Baza!$E$2:$AIR$59,$AN82+32,0)))</f>
        <v/>
      </c>
      <c r="AK83" s="20" t="str">
        <f>IF($AO$7="","",IF(VLOOKUP($AO$7,Baza!$E$2:$AIR$59,$AN82+33,0)="","",VLOOKUP($AO$7,Baza!$E$2:$AIR$59,$AN82+33,0)))</f>
        <v/>
      </c>
      <c r="AL83" s="128"/>
      <c r="AM83" s="131"/>
      <c r="AN83" s="71">
        <f t="shared" ref="AN83:AN131" si="2">AN78+38</f>
        <v>585</v>
      </c>
    </row>
    <row r="84" spans="1:40" ht="19.899999999999999" customHeight="1" x14ac:dyDescent="0.25">
      <c r="A84" s="147"/>
      <c r="B84" s="147"/>
      <c r="C84" s="18" t="s">
        <v>107</v>
      </c>
      <c r="D84" s="149"/>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8"/>
      <c r="R84" s="125"/>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8"/>
      <c r="AE84" s="125"/>
      <c r="AF84" s="20" t="str">
        <f>IF($AO$8="","",IF(VLOOKUP($AO$8,Baza!$E$2:$AIR$59,$AN83+28,0)="","",VLOOKUP($AO$8,Baza!$E$2:$AIR$59,$AN83+28,0)))</f>
        <v/>
      </c>
      <c r="AG84" s="20" t="str">
        <f>IF($AO$8="","",IF(VLOOKUP($AO$8,Baza!$E$2:$AIR$59,$AN83+29,0)="","",VLOOKUP($AO$8,Baza!$E$2:$AIR$59,$AN83+29,0)))</f>
        <v/>
      </c>
      <c r="AH84" s="32" t="str">
        <f>IF($AO$8="","",IF(VLOOKUP($AO$8,Baza!$E$2:$AIR$59,$AN83+30,0)="","",VLOOKUP($AO$8,Baza!$E$2:$AIR$59,$AN83+30,0)))</f>
        <v/>
      </c>
      <c r="AI84" s="134"/>
      <c r="AJ84" s="20" t="str">
        <f>IF($AO$8="","",IF(VLOOKUP($AO$8,Baza!$E$2:$AIR$59,$AN83+32,0)="","",VLOOKUP($AO$8,Baza!$E$2:$AIR$59,$AN83+32,0)))</f>
        <v/>
      </c>
      <c r="AK84" s="20" t="str">
        <f>IF($AO$8="","",IF(VLOOKUP($AO$8,Baza!$E$2:$AIR$59,$AN83+33,0)="","",VLOOKUP($AO$8,Baza!$E$2:$AIR$59,$AN83+33,0)))</f>
        <v/>
      </c>
      <c r="AL84" s="128"/>
      <c r="AM84" s="131"/>
      <c r="AN84" s="71">
        <f t="shared" si="2"/>
        <v>585</v>
      </c>
    </row>
    <row r="85" spans="1:40" ht="19.899999999999999" customHeight="1" x14ac:dyDescent="0.25">
      <c r="A85" s="147"/>
      <c r="B85" s="147"/>
      <c r="C85" s="18" t="s">
        <v>108</v>
      </c>
      <c r="D85" s="149"/>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8"/>
      <c r="R85" s="125"/>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8"/>
      <c r="AE85" s="125"/>
      <c r="AF85" s="20" t="str">
        <f>IF($AO$9="","",IF(VLOOKUP($AO$9,Baza!$E$2:$AIR$59,$AN84+28,0)="","",VLOOKUP($AO$9,Baza!$E$2:$AIR$59,$AN84+28,0)))</f>
        <v/>
      </c>
      <c r="AG85" s="20" t="str">
        <f>IF($AO$9="","",IF(VLOOKUP($AO$9,Baza!$E$2:$AIR$59,$AN84+29,0)="","",VLOOKUP($AO$9,Baza!$E$2:$AIR$59,$AN84+29,0)))</f>
        <v/>
      </c>
      <c r="AH85" s="32" t="str">
        <f>IF($AO$9="","",IF(VLOOKUP($AO$9,Baza!$E$2:$AIR$59,$AN84+30,0)="","",VLOOKUP($AO$9,Baza!$E$2:$AIR$59,$AN84+30,0)))</f>
        <v/>
      </c>
      <c r="AI85" s="134"/>
      <c r="AJ85" s="20" t="str">
        <f>IF($AO$9="","",IF(VLOOKUP($AO$9,Baza!$E$2:$AIR$59,$AN84+32,0)="","",VLOOKUP($AO$9,Baza!$E$2:$AIR$59,$AN84+32,0)))</f>
        <v/>
      </c>
      <c r="AK85" s="20" t="str">
        <f>IF($AO$9="","",IF(VLOOKUP($AO$9,Baza!$E$2:$AIR$59,$AN84+33,0)="","",VLOOKUP($AO$9,Baza!$E$2:$AIR$59,$AN84+33,0)))</f>
        <v/>
      </c>
      <c r="AL85" s="128"/>
      <c r="AM85" s="131"/>
      <c r="AN85" s="71">
        <f t="shared" si="2"/>
        <v>585</v>
      </c>
    </row>
    <row r="86" spans="1:40" ht="19.899999999999999" customHeight="1" x14ac:dyDescent="0.25">
      <c r="A86" s="148"/>
      <c r="B86" s="148"/>
      <c r="C86" s="18" t="s">
        <v>109</v>
      </c>
      <c r="D86" s="149"/>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9"/>
      <c r="R86" s="126"/>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9"/>
      <c r="AE86" s="126"/>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5"/>
      <c r="AJ86" s="20" t="str">
        <f>IF($AO$10="","",IF(VLOOKUP($AO$10,Baza!$E$2:$AIR$59,$AN85+32,0)="","",VLOOKUP($AO$10,Baza!$E$2:$AIR$59,$AN85+32,0)))</f>
        <v/>
      </c>
      <c r="AK86" s="20" t="str">
        <f>IF($AO$10="","",IF(VLOOKUP($AO$10,Baza!$E$2:$AIR$59,$AN85+33,0)="","",VLOOKUP($AO$10,Baza!$E$2:$AIR$59,$AN85+33,0)))</f>
        <v/>
      </c>
      <c r="AL86" s="129"/>
      <c r="AM86" s="132"/>
      <c r="AN86" s="71">
        <f t="shared" si="2"/>
        <v>585</v>
      </c>
    </row>
    <row r="87" spans="1:40" ht="19.899999999999999" customHeight="1" x14ac:dyDescent="0.25">
      <c r="A87" s="146">
        <v>133</v>
      </c>
      <c r="B87" s="146" t="s">
        <v>75</v>
      </c>
      <c r="C87" s="29" t="s">
        <v>31</v>
      </c>
      <c r="D87" s="149"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7" t="e">
        <f>IF(VLOOKUP($B$3,Baza!$E$2:$AIR$59,$AN87+13,0)="","",VLOOKUP($B$3,Baza!$E$2:$AIR$59,$AN87+13,0))</f>
        <v>#N/A</v>
      </c>
      <c r="R87" s="124"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7" t="e">
        <f>IF(VLOOKUP($B$3,Baza!$E$2:$AIR$59,$AN87+26,0)="","",VLOOKUP($B$3,Baza!$E$2:$AIR$59,$AN87+26,0))</f>
        <v>#N/A</v>
      </c>
      <c r="AE87" s="124"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3" t="e">
        <f>IF(VLOOKUP($B$3,Baza!$E$2:$AIR$59,$AN87+31,0)="","",VLOOKUP($B$3,Baza!$E$2:$AIR$59,$AN87+31,0))</f>
        <v>#N/A</v>
      </c>
      <c r="AJ87" s="13" t="e">
        <f>IF(VLOOKUP($B$3,Baza!$E$2:$AIR$59,$AN87+32,0)="","",VLOOKUP($B$3,Baza!$E$2:$AIR$59,$AN87+32,0))</f>
        <v>#N/A</v>
      </c>
      <c r="AK87" s="13" t="e">
        <f>IF(VLOOKUP($B$3,Baza!$E$2:$AIR$59,$AN87+33,0)="","",VLOOKUP($B$3,Baza!$E$2:$AIR$59,$AN87+33,0))</f>
        <v>#N/A</v>
      </c>
      <c r="AL87" s="127" t="e">
        <f>IF(VLOOKUP($B$3,Baza!$E$2:$AIR$59,$AN87+34,0)="","",VLOOKUP($B$3,Baza!$E$2:$AIR$59,$AN87+34,0))</f>
        <v>#N/A</v>
      </c>
      <c r="AM87" s="130" t="e">
        <f>IF(VLOOKUP($B$3,Baza!$E$2:$AIR$59,$AN87+35,0)="","",VLOOKUP($B$3,Baza!$E$2:$AIR$59,$AN87+35,0))</f>
        <v>#N/A</v>
      </c>
      <c r="AN87" s="71">
        <f t="shared" si="2"/>
        <v>623</v>
      </c>
    </row>
    <row r="88" spans="1:40" ht="19.899999999999999" customHeight="1" x14ac:dyDescent="0.25">
      <c r="A88" s="147"/>
      <c r="B88" s="147"/>
      <c r="C88" s="18" t="s">
        <v>106</v>
      </c>
      <c r="D88" s="149"/>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8"/>
      <c r="R88" s="125"/>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8"/>
      <c r="AE88" s="125"/>
      <c r="AF88" s="20" t="str">
        <f>IF($AO$7="","",IF(VLOOKUP($AO$7,Baza!$E$2:$AIR$59,$AN87+28,0)="","",VLOOKUP($AO$7,Baza!$E$2:$AIR$59,$AN87+28,0)))</f>
        <v/>
      </c>
      <c r="AG88" s="20" t="str">
        <f>IF($AO$7="","",IF(VLOOKUP($AO$7,Baza!$E$2:$AIR$59,$AN87+29,0)="","",VLOOKUP($AO$7,Baza!$E$2:$AIR$59,$AN87+29,0)))</f>
        <v/>
      </c>
      <c r="AH88" s="32" t="str">
        <f>IF($AO$7="","",IF(VLOOKUP($AO$7,Baza!$E$2:$AIR$59,$AN87+30,0)="","",VLOOKUP($AO$7,Baza!$E$2:$AIR$59,$AN87+30,0)))</f>
        <v/>
      </c>
      <c r="AI88" s="134"/>
      <c r="AJ88" s="20" t="str">
        <f>IF($AO$7="","",IF(VLOOKUP($AO$7,Baza!$E$2:$AIR$59,$AN87+32,0)="","",VLOOKUP($AO$7,Baza!$E$2:$AIR$59,$AN87+32,0)))</f>
        <v/>
      </c>
      <c r="AK88" s="20" t="str">
        <f>IF($AO$7="","",IF(VLOOKUP($AO$7,Baza!$E$2:$AIR$59,$AN87+33,0)="","",VLOOKUP($AO$7,Baza!$E$2:$AIR$59,$AN87+33,0)))</f>
        <v/>
      </c>
      <c r="AL88" s="128"/>
      <c r="AM88" s="131"/>
      <c r="AN88" s="71">
        <f t="shared" si="2"/>
        <v>623</v>
      </c>
    </row>
    <row r="89" spans="1:40" ht="19.899999999999999" customHeight="1" x14ac:dyDescent="0.25">
      <c r="A89" s="147"/>
      <c r="B89" s="147"/>
      <c r="C89" s="18" t="s">
        <v>107</v>
      </c>
      <c r="D89" s="149"/>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8"/>
      <c r="R89" s="125"/>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8"/>
      <c r="AE89" s="125"/>
      <c r="AF89" s="20" t="str">
        <f>IF($AO$8="","",IF(VLOOKUP($AO$8,Baza!$E$2:$AIR$59,$AN88+28,0)="","",VLOOKUP($AO$8,Baza!$E$2:$AIR$59,$AN88+28,0)))</f>
        <v/>
      </c>
      <c r="AG89" s="20" t="str">
        <f>IF($AO$8="","",IF(VLOOKUP($AO$8,Baza!$E$2:$AIR$59,$AN88+29,0)="","",VLOOKUP($AO$8,Baza!$E$2:$AIR$59,$AN88+29,0)))</f>
        <v/>
      </c>
      <c r="AH89" s="32" t="str">
        <f>IF($AO$8="","",IF(VLOOKUP($AO$8,Baza!$E$2:$AIR$59,$AN88+30,0)="","",VLOOKUP($AO$8,Baza!$E$2:$AIR$59,$AN88+30,0)))</f>
        <v/>
      </c>
      <c r="AI89" s="134"/>
      <c r="AJ89" s="20" t="str">
        <f>IF($AO$8="","",IF(VLOOKUP($AO$8,Baza!$E$2:$AIR$59,$AN88+32,0)="","",VLOOKUP($AO$8,Baza!$E$2:$AIR$59,$AN88+32,0)))</f>
        <v/>
      </c>
      <c r="AK89" s="20" t="str">
        <f>IF($AO$8="","",IF(VLOOKUP($AO$8,Baza!$E$2:$AIR$59,$AN88+33,0)="","",VLOOKUP($AO$8,Baza!$E$2:$AIR$59,$AN88+33,0)))</f>
        <v/>
      </c>
      <c r="AL89" s="128"/>
      <c r="AM89" s="131"/>
      <c r="AN89" s="71">
        <f t="shared" si="2"/>
        <v>623</v>
      </c>
    </row>
    <row r="90" spans="1:40" ht="19.899999999999999" customHeight="1" x14ac:dyDescent="0.25">
      <c r="A90" s="147"/>
      <c r="B90" s="147"/>
      <c r="C90" s="18" t="s">
        <v>108</v>
      </c>
      <c r="D90" s="149"/>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8"/>
      <c r="R90" s="125"/>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8"/>
      <c r="AE90" s="125"/>
      <c r="AF90" s="20" t="str">
        <f>IF($AO$9="","",IF(VLOOKUP($AO$9,Baza!$E$2:$AIR$59,$AN89+28,0)="","",VLOOKUP($AO$9,Baza!$E$2:$AIR$59,$AN89+28,0)))</f>
        <v/>
      </c>
      <c r="AG90" s="20" t="str">
        <f>IF($AO$9="","",IF(VLOOKUP($AO$9,Baza!$E$2:$AIR$59,$AN89+29,0)="","",VLOOKUP($AO$9,Baza!$E$2:$AIR$59,$AN89+29,0)))</f>
        <v/>
      </c>
      <c r="AH90" s="32" t="str">
        <f>IF($AO$9="","",IF(VLOOKUP($AO$9,Baza!$E$2:$AIR$59,$AN89+30,0)="","",VLOOKUP($AO$9,Baza!$E$2:$AIR$59,$AN89+30,0)))</f>
        <v/>
      </c>
      <c r="AI90" s="134"/>
      <c r="AJ90" s="20" t="str">
        <f>IF($AO$9="","",IF(VLOOKUP($AO$9,Baza!$E$2:$AIR$59,$AN89+32,0)="","",VLOOKUP($AO$9,Baza!$E$2:$AIR$59,$AN89+32,0)))</f>
        <v/>
      </c>
      <c r="AK90" s="20" t="str">
        <f>IF($AO$9="","",IF(VLOOKUP($AO$9,Baza!$E$2:$AIR$59,$AN89+33,0)="","",VLOOKUP($AO$9,Baza!$E$2:$AIR$59,$AN89+33,0)))</f>
        <v/>
      </c>
      <c r="AL90" s="128"/>
      <c r="AM90" s="131"/>
      <c r="AN90" s="71">
        <f t="shared" si="2"/>
        <v>623</v>
      </c>
    </row>
    <row r="91" spans="1:40" ht="19.899999999999999" customHeight="1" x14ac:dyDescent="0.25">
      <c r="A91" s="148"/>
      <c r="B91" s="148"/>
      <c r="C91" s="18" t="s">
        <v>109</v>
      </c>
      <c r="D91" s="149"/>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9"/>
      <c r="R91" s="126"/>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9"/>
      <c r="AE91" s="126"/>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5"/>
      <c r="AJ91" s="20" t="str">
        <f>IF($AO$10="","",IF(VLOOKUP($AO$10,Baza!$E$2:$AIR$59,$AN90+32,0)="","",VLOOKUP($AO$10,Baza!$E$2:$AIR$59,$AN90+32,0)))</f>
        <v/>
      </c>
      <c r="AK91" s="20" t="str">
        <f>IF($AO$10="","",IF(VLOOKUP($AO$10,Baza!$E$2:$AIR$59,$AN90+33,0)="","",VLOOKUP($AO$10,Baza!$E$2:$AIR$59,$AN90+33,0)))</f>
        <v/>
      </c>
      <c r="AL91" s="129"/>
      <c r="AM91" s="132"/>
      <c r="AN91" s="71">
        <f t="shared" si="2"/>
        <v>623</v>
      </c>
    </row>
    <row r="92" spans="1:40" ht="19.899999999999999" customHeight="1" x14ac:dyDescent="0.25">
      <c r="A92" s="146">
        <v>135</v>
      </c>
      <c r="B92" s="146" t="s">
        <v>77</v>
      </c>
      <c r="C92" s="29" t="s">
        <v>31</v>
      </c>
      <c r="D92" s="149"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7" t="e">
        <f>IF(VLOOKUP($B$3,Baza!$E$2:$AIR$59,$AN92+13,0)="","",VLOOKUP($B$3,Baza!$E$2:$AIR$59,$AN92+13,0))</f>
        <v>#N/A</v>
      </c>
      <c r="R92" s="124"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7" t="e">
        <f>IF(VLOOKUP($B$3,Baza!$E$2:$AIR$59,$AN92+26,0)="","",VLOOKUP($B$3,Baza!$E$2:$AIR$59,$AN92+26,0))</f>
        <v>#N/A</v>
      </c>
      <c r="AE92" s="124"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3" t="e">
        <f>IF(VLOOKUP($B$3,Baza!$E$2:$AIR$59,$AN92+31,0)="","",VLOOKUP($B$3,Baza!$E$2:$AIR$59,$AN92+31,0))</f>
        <v>#N/A</v>
      </c>
      <c r="AJ92" s="13" t="e">
        <f>IF(VLOOKUP($B$3,Baza!$E$2:$AIR$59,$AN92+32,0)="","",VLOOKUP($B$3,Baza!$E$2:$AIR$59,$AN92+32,0))</f>
        <v>#N/A</v>
      </c>
      <c r="AK92" s="13" t="e">
        <f>IF(VLOOKUP($B$3,Baza!$E$2:$AIR$59,$AN92+33,0)="","",VLOOKUP($B$3,Baza!$E$2:$AIR$59,$AN92+33,0))</f>
        <v>#N/A</v>
      </c>
      <c r="AL92" s="127" t="e">
        <f>IF(VLOOKUP($B$3,Baza!$E$2:$AIR$59,$AN92+34,0)="","",VLOOKUP($B$3,Baza!$E$2:$AIR$59,$AN92+34,0))</f>
        <v>#N/A</v>
      </c>
      <c r="AM92" s="130" t="e">
        <f>IF(VLOOKUP($B$3,Baza!$E$2:$AIR$59,$AN92+35,0)="","",VLOOKUP($B$3,Baza!$E$2:$AIR$59,$AN92+35,0))</f>
        <v>#N/A</v>
      </c>
      <c r="AN92" s="71">
        <f t="shared" si="2"/>
        <v>661</v>
      </c>
    </row>
    <row r="93" spans="1:40" ht="19.899999999999999" customHeight="1" x14ac:dyDescent="0.25">
      <c r="A93" s="147"/>
      <c r="B93" s="147"/>
      <c r="C93" s="18" t="s">
        <v>106</v>
      </c>
      <c r="D93" s="149"/>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8"/>
      <c r="R93" s="125"/>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8"/>
      <c r="AE93" s="125"/>
      <c r="AF93" s="20" t="str">
        <f>IF($AO$7="","",IF(VLOOKUP($AO$7,Baza!$E$2:$AIR$59,$AN92+28,0)="","",VLOOKUP($AO$7,Baza!$E$2:$AIR$59,$AN92+28,0)))</f>
        <v/>
      </c>
      <c r="AG93" s="20" t="str">
        <f>IF($AO$7="","",IF(VLOOKUP($AO$7,Baza!$E$2:$AIR$59,$AN92+29,0)="","",VLOOKUP($AO$7,Baza!$E$2:$AIR$59,$AN92+29,0)))</f>
        <v/>
      </c>
      <c r="AH93" s="32" t="str">
        <f>IF($AO$7="","",IF(VLOOKUP($AO$7,Baza!$E$2:$AIR$59,$AN92+30,0)="","",VLOOKUP($AO$7,Baza!$E$2:$AIR$59,$AN92+30,0)))</f>
        <v/>
      </c>
      <c r="AI93" s="134"/>
      <c r="AJ93" s="20" t="str">
        <f>IF($AO$7="","",IF(VLOOKUP($AO$7,Baza!$E$2:$AIR$59,$AN92+32,0)="","",VLOOKUP($AO$7,Baza!$E$2:$AIR$59,$AN92+32,0)))</f>
        <v/>
      </c>
      <c r="AK93" s="20" t="str">
        <f>IF($AO$7="","",IF(VLOOKUP($AO$7,Baza!$E$2:$AIR$59,$AN92+33,0)="","",VLOOKUP($AO$7,Baza!$E$2:$AIR$59,$AN92+33,0)))</f>
        <v/>
      </c>
      <c r="AL93" s="128"/>
      <c r="AM93" s="131"/>
      <c r="AN93" s="71">
        <f t="shared" si="2"/>
        <v>661</v>
      </c>
    </row>
    <row r="94" spans="1:40" ht="19.899999999999999" customHeight="1" x14ac:dyDescent="0.25">
      <c r="A94" s="147"/>
      <c r="B94" s="147"/>
      <c r="C94" s="18" t="s">
        <v>107</v>
      </c>
      <c r="D94" s="149"/>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8"/>
      <c r="R94" s="125"/>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8"/>
      <c r="AE94" s="125"/>
      <c r="AF94" s="20" t="str">
        <f>IF($AO$8="","",IF(VLOOKUP($AO$8,Baza!$E$2:$AIR$59,$AN93+28,0)="","",VLOOKUP($AO$8,Baza!$E$2:$AIR$59,$AN93+28,0)))</f>
        <v/>
      </c>
      <c r="AG94" s="20" t="str">
        <f>IF($AO$8="","",IF(VLOOKUP($AO$8,Baza!$E$2:$AIR$59,$AN93+29,0)="","",VLOOKUP($AO$8,Baza!$E$2:$AIR$59,$AN93+29,0)))</f>
        <v/>
      </c>
      <c r="AH94" s="32" t="str">
        <f>IF($AO$8="","",IF(VLOOKUP($AO$8,Baza!$E$2:$AIR$59,$AN93+30,0)="","",VLOOKUP($AO$8,Baza!$E$2:$AIR$59,$AN93+30,0)))</f>
        <v/>
      </c>
      <c r="AI94" s="134"/>
      <c r="AJ94" s="20" t="str">
        <f>IF($AO$8="","",IF(VLOOKUP($AO$8,Baza!$E$2:$AIR$59,$AN93+32,0)="","",VLOOKUP($AO$8,Baza!$E$2:$AIR$59,$AN93+32,0)))</f>
        <v/>
      </c>
      <c r="AK94" s="20" t="str">
        <f>IF($AO$8="","",IF(VLOOKUP($AO$8,Baza!$E$2:$AIR$59,$AN93+33,0)="","",VLOOKUP($AO$8,Baza!$E$2:$AIR$59,$AN93+33,0)))</f>
        <v/>
      </c>
      <c r="AL94" s="128"/>
      <c r="AM94" s="131"/>
      <c r="AN94" s="71">
        <f t="shared" si="2"/>
        <v>661</v>
      </c>
    </row>
    <row r="95" spans="1:40" ht="19.899999999999999" customHeight="1" x14ac:dyDescent="0.25">
      <c r="A95" s="147"/>
      <c r="B95" s="147"/>
      <c r="C95" s="18" t="s">
        <v>108</v>
      </c>
      <c r="D95" s="149"/>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8"/>
      <c r="R95" s="125"/>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8"/>
      <c r="AE95" s="125"/>
      <c r="AF95" s="20" t="str">
        <f>IF($AO$9="","",IF(VLOOKUP($AO$9,Baza!$E$2:$AIR$59,$AN94+28,0)="","",VLOOKUP($AO$9,Baza!$E$2:$AIR$59,$AN94+28,0)))</f>
        <v/>
      </c>
      <c r="AG95" s="20" t="str">
        <f>IF($AO$9="","",IF(VLOOKUP($AO$9,Baza!$E$2:$AIR$59,$AN94+29,0)="","",VLOOKUP($AO$9,Baza!$E$2:$AIR$59,$AN94+29,0)))</f>
        <v/>
      </c>
      <c r="AH95" s="32" t="str">
        <f>IF($AO$9="","",IF(VLOOKUP($AO$9,Baza!$E$2:$AIR$59,$AN94+30,0)="","",VLOOKUP($AO$9,Baza!$E$2:$AIR$59,$AN94+30,0)))</f>
        <v/>
      </c>
      <c r="AI95" s="134"/>
      <c r="AJ95" s="20" t="str">
        <f>IF($AO$9="","",IF(VLOOKUP($AO$9,Baza!$E$2:$AIR$59,$AN94+32,0)="","",VLOOKUP($AO$9,Baza!$E$2:$AIR$59,$AN94+32,0)))</f>
        <v/>
      </c>
      <c r="AK95" s="20" t="str">
        <f>IF($AO$9="","",IF(VLOOKUP($AO$9,Baza!$E$2:$AIR$59,$AN94+33,0)="","",VLOOKUP($AO$9,Baza!$E$2:$AIR$59,$AN94+33,0)))</f>
        <v/>
      </c>
      <c r="AL95" s="128"/>
      <c r="AM95" s="131"/>
      <c r="AN95" s="71">
        <f t="shared" si="2"/>
        <v>661</v>
      </c>
    </row>
    <row r="96" spans="1:40" ht="19.899999999999999" customHeight="1" x14ac:dyDescent="0.25">
      <c r="A96" s="148"/>
      <c r="B96" s="148"/>
      <c r="C96" s="18" t="s">
        <v>109</v>
      </c>
      <c r="D96" s="149"/>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9"/>
      <c r="R96" s="126"/>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9"/>
      <c r="AE96" s="126"/>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5"/>
      <c r="AJ96" s="20" t="str">
        <f>IF($AO$10="","",IF(VLOOKUP($AO$10,Baza!$E$2:$AIR$59,$AN95+32,0)="","",VLOOKUP($AO$10,Baza!$E$2:$AIR$59,$AN95+32,0)))</f>
        <v/>
      </c>
      <c r="AK96" s="20" t="str">
        <f>IF($AO$10="","",IF(VLOOKUP($AO$10,Baza!$E$2:$AIR$59,$AN95+33,0)="","",VLOOKUP($AO$10,Baza!$E$2:$AIR$59,$AN95+33,0)))</f>
        <v/>
      </c>
      <c r="AL96" s="129"/>
      <c r="AM96" s="132"/>
      <c r="AN96" s="71">
        <f t="shared" si="2"/>
        <v>661</v>
      </c>
    </row>
    <row r="97" spans="1:40" ht="19.899999999999999" customHeight="1" x14ac:dyDescent="0.25">
      <c r="A97" s="146">
        <v>181</v>
      </c>
      <c r="B97" s="146" t="s">
        <v>79</v>
      </c>
      <c r="C97" s="29" t="s">
        <v>31</v>
      </c>
      <c r="D97" s="149"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7" t="e">
        <f>IF(VLOOKUP($B$3,Baza!$E$2:$AIR$59,$AN97+13,0)="","",VLOOKUP($B$3,Baza!$E$2:$AIR$59,$AN97+13,0))</f>
        <v>#N/A</v>
      </c>
      <c r="R97" s="124"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7" t="e">
        <f>IF(VLOOKUP($B$3,Baza!$E$2:$AIR$59,$AN97+26,0)="","",VLOOKUP($B$3,Baza!$E$2:$AIR$59,$AN97+26,0))</f>
        <v>#N/A</v>
      </c>
      <c r="AE97" s="124"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3" t="e">
        <f>IF(VLOOKUP($B$3,Baza!$E$2:$AIR$59,$AN97+31,0)="","",VLOOKUP($B$3,Baza!$E$2:$AIR$59,$AN97+31,0))</f>
        <v>#N/A</v>
      </c>
      <c r="AJ97" s="13" t="e">
        <f>IF(VLOOKUP($B$3,Baza!$E$2:$AIR$59,$AN97+32,0)="","",VLOOKUP($B$3,Baza!$E$2:$AIR$59,$AN97+32,0))</f>
        <v>#N/A</v>
      </c>
      <c r="AK97" s="13" t="e">
        <f>IF(VLOOKUP($B$3,Baza!$E$2:$AIR$59,$AN97+33,0)="","",VLOOKUP($B$3,Baza!$E$2:$AIR$59,$AN97+33,0))</f>
        <v>#N/A</v>
      </c>
      <c r="AL97" s="127" t="e">
        <f>IF(VLOOKUP($B$3,Baza!$E$2:$AIR$59,$AN97+34,0)="","",VLOOKUP($B$3,Baza!$E$2:$AIR$59,$AN97+34,0))</f>
        <v>#N/A</v>
      </c>
      <c r="AM97" s="130" t="e">
        <f>IF(VLOOKUP($B$3,Baza!$E$2:$AIR$59,$AN97+35,0)="","",VLOOKUP($B$3,Baza!$E$2:$AIR$59,$AN97+35,0))</f>
        <v>#N/A</v>
      </c>
      <c r="AN97" s="71">
        <f t="shared" si="2"/>
        <v>699</v>
      </c>
    </row>
    <row r="98" spans="1:40" ht="19.899999999999999" customHeight="1" x14ac:dyDescent="0.25">
      <c r="A98" s="147"/>
      <c r="B98" s="147"/>
      <c r="C98" s="18" t="s">
        <v>106</v>
      </c>
      <c r="D98" s="149"/>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8"/>
      <c r="R98" s="125"/>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8"/>
      <c r="AE98" s="125"/>
      <c r="AF98" s="20" t="str">
        <f>IF($AO$7="","",IF(VLOOKUP($AO$7,Baza!$E$2:$AIR$59,$AN97+28,0)="","",VLOOKUP($AO$7,Baza!$E$2:$AIR$59,$AN97+28,0)))</f>
        <v/>
      </c>
      <c r="AG98" s="20" t="str">
        <f>IF($AO$7="","",IF(VLOOKUP($AO$7,Baza!$E$2:$AIR$59,$AN97+29,0)="","",VLOOKUP($AO$7,Baza!$E$2:$AIR$59,$AN97+29,0)))</f>
        <v/>
      </c>
      <c r="AH98" s="32" t="str">
        <f>IF($AO$7="","",IF(VLOOKUP($AO$7,Baza!$E$2:$AIR$59,$AN97+30,0)="","",VLOOKUP($AO$7,Baza!$E$2:$AIR$59,$AN97+30,0)))</f>
        <v/>
      </c>
      <c r="AI98" s="134"/>
      <c r="AJ98" s="20" t="str">
        <f>IF($AO$7="","",IF(VLOOKUP($AO$7,Baza!$E$2:$AIR$59,$AN97+32,0)="","",VLOOKUP($AO$7,Baza!$E$2:$AIR$59,$AN97+32,0)))</f>
        <v/>
      </c>
      <c r="AK98" s="20" t="str">
        <f>IF($AO$7="","",IF(VLOOKUP($AO$7,Baza!$E$2:$AIR$59,$AN97+33,0)="","",VLOOKUP($AO$7,Baza!$E$2:$AIR$59,$AN97+33,0)))</f>
        <v/>
      </c>
      <c r="AL98" s="128"/>
      <c r="AM98" s="131"/>
      <c r="AN98" s="71">
        <f t="shared" si="2"/>
        <v>699</v>
      </c>
    </row>
    <row r="99" spans="1:40" ht="19.899999999999999" customHeight="1" x14ac:dyDescent="0.25">
      <c r="A99" s="147"/>
      <c r="B99" s="147"/>
      <c r="C99" s="18" t="s">
        <v>107</v>
      </c>
      <c r="D99" s="149"/>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8"/>
      <c r="R99" s="125"/>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8"/>
      <c r="AE99" s="125"/>
      <c r="AF99" s="20" t="str">
        <f>IF($AO$8="","",IF(VLOOKUP($AO$8,Baza!$E$2:$AIR$59,$AN98+28,0)="","",VLOOKUP($AO$8,Baza!$E$2:$AIR$59,$AN98+28,0)))</f>
        <v/>
      </c>
      <c r="AG99" s="20" t="str">
        <f>IF($AO$8="","",IF(VLOOKUP($AO$8,Baza!$E$2:$AIR$59,$AN98+29,0)="","",VLOOKUP($AO$8,Baza!$E$2:$AIR$59,$AN98+29,0)))</f>
        <v/>
      </c>
      <c r="AH99" s="32" t="str">
        <f>IF($AO$8="","",IF(VLOOKUP($AO$8,Baza!$E$2:$AIR$59,$AN98+30,0)="","",VLOOKUP($AO$8,Baza!$E$2:$AIR$59,$AN98+30,0)))</f>
        <v/>
      </c>
      <c r="AI99" s="134"/>
      <c r="AJ99" s="20" t="str">
        <f>IF($AO$8="","",IF(VLOOKUP($AO$8,Baza!$E$2:$AIR$59,$AN98+32,0)="","",VLOOKUP($AO$8,Baza!$E$2:$AIR$59,$AN98+32,0)))</f>
        <v/>
      </c>
      <c r="AK99" s="20" t="str">
        <f>IF($AO$8="","",IF(VLOOKUP($AO$8,Baza!$E$2:$AIR$59,$AN98+33,0)="","",VLOOKUP($AO$8,Baza!$E$2:$AIR$59,$AN98+33,0)))</f>
        <v/>
      </c>
      <c r="AL99" s="128"/>
      <c r="AM99" s="131"/>
      <c r="AN99" s="71">
        <f t="shared" si="2"/>
        <v>699</v>
      </c>
    </row>
    <row r="100" spans="1:40" ht="19.899999999999999" customHeight="1" x14ac:dyDescent="0.25">
      <c r="A100" s="147"/>
      <c r="B100" s="147"/>
      <c r="C100" s="18" t="s">
        <v>108</v>
      </c>
      <c r="D100" s="149"/>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8"/>
      <c r="R100" s="125"/>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8"/>
      <c r="AE100" s="125"/>
      <c r="AF100" s="20" t="str">
        <f>IF($AO$9="","",IF(VLOOKUP($AO$9,Baza!$E$2:$AIR$59,$AN99+28,0)="","",VLOOKUP($AO$9,Baza!$E$2:$AIR$59,$AN99+28,0)))</f>
        <v/>
      </c>
      <c r="AG100" s="20" t="str">
        <f>IF($AO$9="","",IF(VLOOKUP($AO$9,Baza!$E$2:$AIR$59,$AN99+29,0)="","",VLOOKUP($AO$9,Baza!$E$2:$AIR$59,$AN99+29,0)))</f>
        <v/>
      </c>
      <c r="AH100" s="32" t="str">
        <f>IF($AO$9="","",IF(VLOOKUP($AO$9,Baza!$E$2:$AIR$59,$AN99+30,0)="","",VLOOKUP($AO$9,Baza!$E$2:$AIR$59,$AN99+30,0)))</f>
        <v/>
      </c>
      <c r="AI100" s="134"/>
      <c r="AJ100" s="20" t="str">
        <f>IF($AO$9="","",IF(VLOOKUP($AO$9,Baza!$E$2:$AIR$59,$AN99+32,0)="","",VLOOKUP($AO$9,Baza!$E$2:$AIR$59,$AN99+32,0)))</f>
        <v/>
      </c>
      <c r="AK100" s="20" t="str">
        <f>IF($AO$9="","",IF(VLOOKUP($AO$9,Baza!$E$2:$AIR$59,$AN99+33,0)="","",VLOOKUP($AO$9,Baza!$E$2:$AIR$59,$AN99+33,0)))</f>
        <v/>
      </c>
      <c r="AL100" s="128"/>
      <c r="AM100" s="131"/>
      <c r="AN100" s="71">
        <f t="shared" si="2"/>
        <v>699</v>
      </c>
    </row>
    <row r="101" spans="1:40" ht="19.899999999999999" customHeight="1" x14ac:dyDescent="0.25">
      <c r="A101" s="148"/>
      <c r="B101" s="148"/>
      <c r="C101" s="18" t="s">
        <v>109</v>
      </c>
      <c r="D101" s="149"/>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9"/>
      <c r="R101" s="126"/>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9"/>
      <c r="AE101" s="126"/>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5"/>
      <c r="AJ101" s="20" t="str">
        <f>IF($AO$10="","",IF(VLOOKUP($AO$10,Baza!$E$2:$AIR$59,$AN100+32,0)="","",VLOOKUP($AO$10,Baza!$E$2:$AIR$59,$AN100+32,0)))</f>
        <v/>
      </c>
      <c r="AK101" s="20" t="str">
        <f>IF($AO$10="","",IF(VLOOKUP($AO$10,Baza!$E$2:$AIR$59,$AN100+33,0)="","",VLOOKUP($AO$10,Baza!$E$2:$AIR$59,$AN100+33,0)))</f>
        <v/>
      </c>
      <c r="AL101" s="129"/>
      <c r="AM101" s="132"/>
      <c r="AN101" s="71">
        <f t="shared" si="2"/>
        <v>699</v>
      </c>
    </row>
    <row r="102" spans="1:40" ht="19.899999999999999" customHeight="1" x14ac:dyDescent="0.25">
      <c r="A102" s="146">
        <v>182</v>
      </c>
      <c r="B102" s="146" t="s">
        <v>81</v>
      </c>
      <c r="C102" s="29" t="s">
        <v>31</v>
      </c>
      <c r="D102" s="149"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7" t="e">
        <f>IF(VLOOKUP($B$3,Baza!$E$2:$AIR$59,$AN102+13,0)="","",VLOOKUP($B$3,Baza!$E$2:$AIR$59,$AN102+13,0))</f>
        <v>#N/A</v>
      </c>
      <c r="R102" s="124"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7" t="e">
        <f>IF(VLOOKUP($B$3,Baza!$E$2:$AIR$59,$AN102+26,0)="","",VLOOKUP($B$3,Baza!$E$2:$AIR$59,$AN102+26,0))</f>
        <v>#N/A</v>
      </c>
      <c r="AE102" s="124"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3" t="e">
        <f>IF(VLOOKUP($B$3,Baza!$E$2:$AIR$59,$AN102+31,0)="","",VLOOKUP($B$3,Baza!$E$2:$AIR$59,$AN102+31,0))</f>
        <v>#N/A</v>
      </c>
      <c r="AJ102" s="13" t="e">
        <f>IF(VLOOKUP($B$3,Baza!$E$2:$AIR$59,$AN102+32,0)="","",VLOOKUP($B$3,Baza!$E$2:$AIR$59,$AN102+32,0))</f>
        <v>#N/A</v>
      </c>
      <c r="AK102" s="13" t="e">
        <f>IF(VLOOKUP($B$3,Baza!$E$2:$AIR$59,$AN102+33,0)="","",VLOOKUP($B$3,Baza!$E$2:$AIR$59,$AN102+33,0))</f>
        <v>#N/A</v>
      </c>
      <c r="AL102" s="127" t="e">
        <f>IF(VLOOKUP($B$3,Baza!$E$2:$AIR$59,$AN102+34,0)="","",VLOOKUP($B$3,Baza!$E$2:$AIR$59,$AN102+34,0))</f>
        <v>#N/A</v>
      </c>
      <c r="AM102" s="130" t="e">
        <f>IF(VLOOKUP($B$3,Baza!$E$2:$AIR$59,$AN102+35,0)="","",VLOOKUP($B$3,Baza!$E$2:$AIR$59,$AN102+35,0))</f>
        <v>#N/A</v>
      </c>
      <c r="AN102" s="71">
        <f t="shared" si="2"/>
        <v>737</v>
      </c>
    </row>
    <row r="103" spans="1:40" ht="19.899999999999999" customHeight="1" x14ac:dyDescent="0.25">
      <c r="A103" s="147"/>
      <c r="B103" s="147"/>
      <c r="C103" s="18" t="s">
        <v>106</v>
      </c>
      <c r="D103" s="149"/>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8"/>
      <c r="R103" s="125"/>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8"/>
      <c r="AE103" s="125"/>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4"/>
      <c r="AJ103" s="20" t="str">
        <f>IF($AO$7="","",IF(VLOOKUP($AO$7,Baza!$E$2:$AIR$59,$AN102+32,0)="","",VLOOKUP($AO$7,Baza!$E$2:$AIR$59,$AN102+32,0)))</f>
        <v/>
      </c>
      <c r="AK103" s="20" t="str">
        <f>IF($AO$7="","",IF(VLOOKUP($AO$7,Baza!$E$2:$AIR$59,$AN102+33,0)="","",VLOOKUP($AO$7,Baza!$E$2:$AIR$59,$AN102+33,0)))</f>
        <v/>
      </c>
      <c r="AL103" s="128"/>
      <c r="AM103" s="131"/>
      <c r="AN103" s="71">
        <f t="shared" si="2"/>
        <v>737</v>
      </c>
    </row>
    <row r="104" spans="1:40" ht="19.899999999999999" customHeight="1" x14ac:dyDescent="0.25">
      <c r="A104" s="147"/>
      <c r="B104" s="147"/>
      <c r="C104" s="18" t="s">
        <v>107</v>
      </c>
      <c r="D104" s="149"/>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8"/>
      <c r="R104" s="125"/>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8"/>
      <c r="AE104" s="125"/>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4"/>
      <c r="AJ104" s="20" t="str">
        <f>IF($AO$8="","",IF(VLOOKUP($AO$8,Baza!$E$2:$AIR$59,$AN103+32,0)="","",VLOOKUP($AO$8,Baza!$E$2:$AIR$59,$AN103+32,0)))</f>
        <v/>
      </c>
      <c r="AK104" s="20" t="str">
        <f>IF($AO$8="","",IF(VLOOKUP($AO$8,Baza!$E$2:$AIR$59,$AN103+33,0)="","",VLOOKUP($AO$8,Baza!$E$2:$AIR$59,$AN103+33,0)))</f>
        <v/>
      </c>
      <c r="AL104" s="128"/>
      <c r="AM104" s="131"/>
      <c r="AN104" s="71">
        <f t="shared" si="2"/>
        <v>737</v>
      </c>
    </row>
    <row r="105" spans="1:40" ht="19.899999999999999" customHeight="1" x14ac:dyDescent="0.25">
      <c r="A105" s="147"/>
      <c r="B105" s="147"/>
      <c r="C105" s="18" t="s">
        <v>108</v>
      </c>
      <c r="D105" s="149"/>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8"/>
      <c r="R105" s="125"/>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8"/>
      <c r="AE105" s="125"/>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4"/>
      <c r="AJ105" s="20" t="str">
        <f>IF($AO$9="","",IF(VLOOKUP($AO$9,Baza!$E$2:$AIR$59,$AN104+32,0)="","",VLOOKUP($AO$9,Baza!$E$2:$AIR$59,$AN104+32,0)))</f>
        <v/>
      </c>
      <c r="AK105" s="20" t="str">
        <f>IF($AO$9="","",IF(VLOOKUP($AO$9,Baza!$E$2:$AIR$59,$AN104+33,0)="","",VLOOKUP($AO$9,Baza!$E$2:$AIR$59,$AN104+33,0)))</f>
        <v/>
      </c>
      <c r="AL105" s="128"/>
      <c r="AM105" s="131"/>
      <c r="AN105" s="71">
        <f t="shared" si="2"/>
        <v>737</v>
      </c>
    </row>
    <row r="106" spans="1:40" ht="19.899999999999999" customHeight="1" x14ac:dyDescent="0.25">
      <c r="A106" s="148"/>
      <c r="B106" s="148"/>
      <c r="C106" s="18" t="s">
        <v>109</v>
      </c>
      <c r="D106" s="149"/>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9"/>
      <c r="R106" s="126"/>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9"/>
      <c r="AE106" s="126"/>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5"/>
      <c r="AJ106" s="20" t="str">
        <f>IF($AO$10="","",IF(VLOOKUP($AO$10,Baza!$E$2:$AIR$59,$AN105+32,0)="","",VLOOKUP($AO$10,Baza!$E$2:$AIR$59,$AN105+32,0)))</f>
        <v/>
      </c>
      <c r="AK106" s="20" t="str">
        <f>IF($AO$10="","",IF(VLOOKUP($AO$10,Baza!$E$2:$AIR$59,$AN105+33,0)="","",VLOOKUP($AO$10,Baza!$E$2:$AIR$59,$AN105+33,0)))</f>
        <v/>
      </c>
      <c r="AL106" s="129"/>
      <c r="AM106" s="132"/>
      <c r="AN106" s="71">
        <f t="shared" si="2"/>
        <v>737</v>
      </c>
    </row>
    <row r="107" spans="1:40" ht="19.899999999999999" customHeight="1" x14ac:dyDescent="0.25">
      <c r="A107" s="146">
        <v>281</v>
      </c>
      <c r="B107" s="146" t="s">
        <v>83</v>
      </c>
      <c r="C107" s="29" t="s">
        <v>31</v>
      </c>
      <c r="D107" s="149"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7" t="e">
        <f>IF(VLOOKUP($B$3,Baza!$E$2:$AIR$59,$AN107+13,0)="","",VLOOKUP($B$3,Baza!$E$2:$AIR$59,$AN107+13,0))</f>
        <v>#N/A</v>
      </c>
      <c r="R107" s="124"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7" t="e">
        <f>IF(VLOOKUP($B$3,Baza!$E$2:$AIR$59,$AN107+26,0)="","",VLOOKUP($B$3,Baza!$E$2:$AIR$59,$AN107+26,0))</f>
        <v>#N/A</v>
      </c>
      <c r="AE107" s="124"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3" t="e">
        <f>IF(VLOOKUP($B$3,Baza!$E$2:$AIR$59,$AN107+31,0)="","",VLOOKUP($B$3,Baza!$E$2:$AIR$59,$AN107+31,0))</f>
        <v>#N/A</v>
      </c>
      <c r="AJ107" s="13" t="e">
        <f>IF(VLOOKUP($B$3,Baza!$E$2:$AIR$59,$AN107+32,0)="","",VLOOKUP($B$3,Baza!$E$2:$AIR$59,$AN107+32,0))</f>
        <v>#N/A</v>
      </c>
      <c r="AK107" s="13" t="e">
        <f>IF(VLOOKUP($B$3,Baza!$E$2:$AIR$59,$AN107+33,0)="","",VLOOKUP($B$3,Baza!$E$2:$AIR$59,$AN107+33,0))</f>
        <v>#N/A</v>
      </c>
      <c r="AL107" s="127" t="e">
        <f>IF(VLOOKUP($B$3,Baza!$E$2:$AIR$59,$AN107+34,0)="","",VLOOKUP($B$3,Baza!$E$2:$AIR$59,$AN107+34,0))</f>
        <v>#N/A</v>
      </c>
      <c r="AM107" s="130" t="e">
        <f>IF(VLOOKUP($B$3,Baza!$E$2:$AIR$59,$AN107+35,0)="","",VLOOKUP($B$3,Baza!$E$2:$AIR$59,$AN107+35,0))</f>
        <v>#N/A</v>
      </c>
      <c r="AN107" s="71">
        <f t="shared" si="2"/>
        <v>775</v>
      </c>
    </row>
    <row r="108" spans="1:40" ht="19.899999999999999" customHeight="1" x14ac:dyDescent="0.25">
      <c r="A108" s="147"/>
      <c r="B108" s="147"/>
      <c r="C108" s="18" t="s">
        <v>106</v>
      </c>
      <c r="D108" s="149"/>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8"/>
      <c r="R108" s="125"/>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8"/>
      <c r="AE108" s="125"/>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4"/>
      <c r="AJ108" s="20" t="str">
        <f>IF($AO$7="","",IF(VLOOKUP($AO$7,Baza!$E$2:$AIR$59,$AN107+32,0)="","",VLOOKUP($AO$7,Baza!$E$2:$AIR$59,$AN107+32,0)))</f>
        <v/>
      </c>
      <c r="AK108" s="20" t="str">
        <f>IF($AO$7="","",IF(VLOOKUP($AO$7,Baza!$E$2:$AIR$59,$AN107+33,0)="","",VLOOKUP($AO$7,Baza!$E$2:$AIR$59,$AN107+33,0)))</f>
        <v/>
      </c>
      <c r="AL108" s="128"/>
      <c r="AM108" s="131"/>
      <c r="AN108" s="71">
        <f t="shared" si="2"/>
        <v>775</v>
      </c>
    </row>
    <row r="109" spans="1:40" ht="19.899999999999999" customHeight="1" x14ac:dyDescent="0.25">
      <c r="A109" s="147"/>
      <c r="B109" s="147"/>
      <c r="C109" s="18" t="s">
        <v>107</v>
      </c>
      <c r="D109" s="149"/>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8"/>
      <c r="R109" s="125"/>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8"/>
      <c r="AE109" s="125"/>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4"/>
      <c r="AJ109" s="20" t="str">
        <f>IF($AO$8="","",IF(VLOOKUP($AO$8,Baza!$E$2:$AIR$59,$AN108+32,0)="","",VLOOKUP($AO$8,Baza!$E$2:$AIR$59,$AN108+32,0)))</f>
        <v/>
      </c>
      <c r="AK109" s="20" t="str">
        <f>IF($AO$8="","",IF(VLOOKUP($AO$8,Baza!$E$2:$AIR$59,$AN108+33,0)="","",VLOOKUP($AO$8,Baza!$E$2:$AIR$59,$AN108+33,0)))</f>
        <v/>
      </c>
      <c r="AL109" s="128"/>
      <c r="AM109" s="131"/>
      <c r="AN109" s="71">
        <f t="shared" si="2"/>
        <v>775</v>
      </c>
    </row>
    <row r="110" spans="1:40" ht="19.899999999999999" customHeight="1" x14ac:dyDescent="0.25">
      <c r="A110" s="147"/>
      <c r="B110" s="147"/>
      <c r="C110" s="18" t="s">
        <v>108</v>
      </c>
      <c r="D110" s="149"/>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8"/>
      <c r="R110" s="125"/>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8"/>
      <c r="AE110" s="125"/>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4"/>
      <c r="AJ110" s="20" t="str">
        <f>IF($AO$9="","",IF(VLOOKUP($AO$9,Baza!$E$2:$AIR$59,$AN109+32,0)="","",VLOOKUP($AO$9,Baza!$E$2:$AIR$59,$AN109+32,0)))</f>
        <v/>
      </c>
      <c r="AK110" s="20" t="str">
        <f>IF($AO$9="","",IF(VLOOKUP($AO$9,Baza!$E$2:$AIR$59,$AN109+33,0)="","",VLOOKUP($AO$9,Baza!$E$2:$AIR$59,$AN109+33,0)))</f>
        <v/>
      </c>
      <c r="AL110" s="128"/>
      <c r="AM110" s="131"/>
      <c r="AN110" s="71">
        <f t="shared" si="2"/>
        <v>775</v>
      </c>
    </row>
    <row r="111" spans="1:40" ht="19.899999999999999" customHeight="1" x14ac:dyDescent="0.25">
      <c r="A111" s="148"/>
      <c r="B111" s="148"/>
      <c r="C111" s="18" t="s">
        <v>109</v>
      </c>
      <c r="D111" s="149"/>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9"/>
      <c r="R111" s="126"/>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9"/>
      <c r="AE111" s="126"/>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5"/>
      <c r="AJ111" s="20" t="str">
        <f>IF($AO$10="","",IF(VLOOKUP($AO$10,Baza!$E$2:$AIR$59,$AN110+32,0)="","",VLOOKUP($AO$10,Baza!$E$2:$AIR$59,$AN110+32,0)))</f>
        <v/>
      </c>
      <c r="AK111" s="20" t="str">
        <f>IF($AO$10="","",IF(VLOOKUP($AO$10,Baza!$E$2:$AIR$59,$AN110+33,0)="","",VLOOKUP($AO$10,Baza!$E$2:$AIR$59,$AN110+33,0)))</f>
        <v/>
      </c>
      <c r="AL111" s="129"/>
      <c r="AM111" s="132"/>
      <c r="AN111" s="71">
        <f t="shared" si="2"/>
        <v>775</v>
      </c>
    </row>
    <row r="112" spans="1:40" ht="19.899999999999999" customHeight="1" x14ac:dyDescent="0.25">
      <c r="A112" s="146">
        <v>771</v>
      </c>
      <c r="B112" s="146" t="s">
        <v>89</v>
      </c>
      <c r="C112" s="29" t="s">
        <v>31</v>
      </c>
      <c r="D112" s="149"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7" t="e">
        <f>IF(VLOOKUP($B$3,Baza!$E$2:$AIR$59,$AN112+13,0)="","",VLOOKUP($B$3,Baza!$E$2:$AIR$59,$AN112+13,0))</f>
        <v>#N/A</v>
      </c>
      <c r="R112" s="124"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7" t="e">
        <f>IF(VLOOKUP($B$3,Baza!$E$2:$AIR$59,$AN112+26,0)="","",VLOOKUP($B$3,Baza!$E$2:$AIR$59,$AN112+26,0))</f>
        <v>#N/A</v>
      </c>
      <c r="AE112" s="124"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3" t="e">
        <f>IF(VLOOKUP($B$3,Baza!$E$2:$AIR$59,$AN112+31,0)="","",VLOOKUP($B$3,Baza!$E$2:$AIR$59,$AN112+31,0))</f>
        <v>#N/A</v>
      </c>
      <c r="AJ112" s="13" t="e">
        <f>IF(VLOOKUP($B$3,Baza!$E$2:$AIR$59,$AN112+32,0)="","",VLOOKUP($B$3,Baza!$E$2:$AIR$59,$AN112+32,0))</f>
        <v>#N/A</v>
      </c>
      <c r="AK112" s="13" t="e">
        <f>IF(VLOOKUP($B$3,Baza!$E$2:$AIR$59,$AN112+33,0)="","",VLOOKUP($B$3,Baza!$E$2:$AIR$59,$AN112+33,0))</f>
        <v>#N/A</v>
      </c>
      <c r="AL112" s="127" t="e">
        <f>IF(VLOOKUP($B$3,Baza!$E$2:$AIR$59,$AN112+34,0)="","",VLOOKUP($B$3,Baza!$E$2:$AIR$59,$AN112+34,0))</f>
        <v>#N/A</v>
      </c>
      <c r="AM112" s="130" t="e">
        <f>IF(VLOOKUP($B$3,Baza!$E$2:$AIR$59,$AN112+35,0)="","",VLOOKUP($B$3,Baza!$E$2:$AIR$59,$AN112+35,0))</f>
        <v>#N/A</v>
      </c>
      <c r="AN112" s="71">
        <f t="shared" si="2"/>
        <v>813</v>
      </c>
    </row>
    <row r="113" spans="1:40" ht="19.899999999999999" customHeight="1" x14ac:dyDescent="0.25">
      <c r="A113" s="147"/>
      <c r="B113" s="147"/>
      <c r="C113" s="18" t="s">
        <v>106</v>
      </c>
      <c r="D113" s="149"/>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8"/>
      <c r="R113" s="125"/>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8"/>
      <c r="AE113" s="125"/>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4"/>
      <c r="AJ113" s="20" t="str">
        <f>IF($AO$7="","",IF(VLOOKUP($AO$7,Baza!$E$2:$AIR$59,$AN112+32,0)="","",VLOOKUP($AO$7,Baza!$E$2:$AIR$59,$AN112+32,0)))</f>
        <v/>
      </c>
      <c r="AK113" s="20" t="str">
        <f>IF($AO$7="","",IF(VLOOKUP($AO$7,Baza!$E$2:$AIR$59,$AN112+33,0)="","",VLOOKUP($AO$7,Baza!$E$2:$AIR$59,$AN112+33,0)))</f>
        <v/>
      </c>
      <c r="AL113" s="128"/>
      <c r="AM113" s="131"/>
      <c r="AN113" s="71">
        <f t="shared" si="2"/>
        <v>813</v>
      </c>
    </row>
    <row r="114" spans="1:40" ht="19.899999999999999" customHeight="1" x14ac:dyDescent="0.25">
      <c r="A114" s="147"/>
      <c r="B114" s="147"/>
      <c r="C114" s="18" t="s">
        <v>107</v>
      </c>
      <c r="D114" s="149"/>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8"/>
      <c r="R114" s="125"/>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8"/>
      <c r="AE114" s="125"/>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4"/>
      <c r="AJ114" s="20" t="str">
        <f>IF($AO$8="","",IF(VLOOKUP($AO$8,Baza!$E$2:$AIR$59,$AN113+32,0)="","",VLOOKUP($AO$8,Baza!$E$2:$AIR$59,$AN113+32,0)))</f>
        <v/>
      </c>
      <c r="AK114" s="20" t="str">
        <f>IF($AO$8="","",IF(VLOOKUP($AO$8,Baza!$E$2:$AIR$59,$AN113+33,0)="","",VLOOKUP($AO$8,Baza!$E$2:$AIR$59,$AN113+33,0)))</f>
        <v/>
      </c>
      <c r="AL114" s="128"/>
      <c r="AM114" s="131"/>
      <c r="AN114" s="71">
        <f t="shared" si="2"/>
        <v>813</v>
      </c>
    </row>
    <row r="115" spans="1:40" ht="19.899999999999999" customHeight="1" x14ac:dyDescent="0.25">
      <c r="A115" s="147"/>
      <c r="B115" s="147"/>
      <c r="C115" s="18" t="s">
        <v>108</v>
      </c>
      <c r="D115" s="149"/>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8"/>
      <c r="R115" s="125"/>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8"/>
      <c r="AE115" s="125"/>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4"/>
      <c r="AJ115" s="20" t="str">
        <f>IF($AO$9="","",IF(VLOOKUP($AO$9,Baza!$E$2:$AIR$59,$AN114+32,0)="","",VLOOKUP($AO$9,Baza!$E$2:$AIR$59,$AN114+32,0)))</f>
        <v/>
      </c>
      <c r="AK115" s="20" t="str">
        <f>IF($AO$9="","",IF(VLOOKUP($AO$9,Baza!$E$2:$AIR$59,$AN114+33,0)="","",VLOOKUP($AO$9,Baza!$E$2:$AIR$59,$AN114+33,0)))</f>
        <v/>
      </c>
      <c r="AL115" s="128"/>
      <c r="AM115" s="131"/>
      <c r="AN115" s="71">
        <f t="shared" si="2"/>
        <v>813</v>
      </c>
    </row>
    <row r="116" spans="1:40" ht="19.899999999999999" customHeight="1" x14ac:dyDescent="0.25">
      <c r="A116" s="148"/>
      <c r="B116" s="148"/>
      <c r="C116" s="18" t="s">
        <v>109</v>
      </c>
      <c r="D116" s="149"/>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9"/>
      <c r="R116" s="126"/>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9"/>
      <c r="AE116" s="126"/>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5"/>
      <c r="AJ116" s="20" t="str">
        <f>IF($AO$10="","",IF(VLOOKUP($AO$10,Baza!$E$2:$AIR$59,$AN115+32,0)="","",VLOOKUP($AO$10,Baza!$E$2:$AIR$59,$AN115+32,0)))</f>
        <v/>
      </c>
      <c r="AK116" s="20" t="str">
        <f>IF($AO$10="","",IF(VLOOKUP($AO$10,Baza!$E$2:$AIR$59,$AN115+33,0)="","",VLOOKUP($AO$10,Baza!$E$2:$AIR$59,$AN115+33,0)))</f>
        <v/>
      </c>
      <c r="AL116" s="129"/>
      <c r="AM116" s="132"/>
      <c r="AN116" s="71">
        <f t="shared" si="2"/>
        <v>813</v>
      </c>
    </row>
    <row r="117" spans="1:40" ht="19.899999999999999" customHeight="1" x14ac:dyDescent="0.25">
      <c r="A117" s="146">
        <v>926</v>
      </c>
      <c r="B117" s="146" t="s">
        <v>86</v>
      </c>
      <c r="C117" s="29" t="s">
        <v>31</v>
      </c>
      <c r="D117" s="149"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7" t="e">
        <f>IF(VLOOKUP($B$3,Baza!$E$2:$AIR$59,$AN117+13,0)="","",VLOOKUP($B$3,Baza!$E$2:$AIR$59,$AN117+13,0))</f>
        <v>#N/A</v>
      </c>
      <c r="R117" s="124"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7" t="e">
        <f>IF(VLOOKUP($B$3,Baza!$E$2:$AIR$59,$AN117+26,0)="","",VLOOKUP($B$3,Baza!$E$2:$AIR$59,$AN117+26,0))</f>
        <v>#N/A</v>
      </c>
      <c r="AE117" s="124"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3" t="e">
        <f>IF(VLOOKUP($B$3,Baza!$E$2:$AIR$59,$AN117+31,0)="","",VLOOKUP($B$3,Baza!$E$2:$AIR$59,$AN117+31,0))</f>
        <v>#N/A</v>
      </c>
      <c r="AJ117" s="13" t="e">
        <f>IF(VLOOKUP($B$3,Baza!$E$2:$AIR$59,$AN117+32,0)="","",VLOOKUP($B$3,Baza!$E$2:$AIR$59,$AN117+32,0))</f>
        <v>#N/A</v>
      </c>
      <c r="AK117" s="13" t="e">
        <f>IF(VLOOKUP($B$3,Baza!$E$2:$AIR$59,$AN117+33,0)="","",VLOOKUP($B$3,Baza!$E$2:$AIR$59,$AN117+33,0))</f>
        <v>#N/A</v>
      </c>
      <c r="AL117" s="127" t="e">
        <f>IF(VLOOKUP($B$3,Baza!$E$2:$AIR$59,$AN117+34,0)="","",VLOOKUP($B$3,Baza!$E$2:$AIR$59,$AN117+34,0))</f>
        <v>#N/A</v>
      </c>
      <c r="AM117" s="130" t="e">
        <f>IF(VLOOKUP($B$3,Baza!$E$2:$AIR$59,$AN117+35,0)="","",VLOOKUP($B$3,Baza!$E$2:$AIR$59,$AN117+35,0))</f>
        <v>#N/A</v>
      </c>
      <c r="AN117" s="71">
        <f t="shared" si="2"/>
        <v>851</v>
      </c>
    </row>
    <row r="118" spans="1:40" ht="19.899999999999999" customHeight="1" x14ac:dyDescent="0.25">
      <c r="A118" s="147"/>
      <c r="B118" s="147"/>
      <c r="C118" s="18" t="s">
        <v>106</v>
      </c>
      <c r="D118" s="149"/>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8"/>
      <c r="R118" s="125"/>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8"/>
      <c r="AE118" s="125"/>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4"/>
      <c r="AJ118" s="20" t="str">
        <f>IF($AO$7="","",IF(VLOOKUP($AO$7,Baza!$E$2:$AIR$59,$AN117+32,0)="","",VLOOKUP($AO$7,Baza!$E$2:$AIR$59,$AN117+32,0)))</f>
        <v/>
      </c>
      <c r="AK118" s="20" t="str">
        <f>IF($AO$7="","",IF(VLOOKUP($AO$7,Baza!$E$2:$AIR$59,$AN117+33,0)="","",VLOOKUP($AO$7,Baza!$E$2:$AIR$59,$AN117+33,0)))</f>
        <v/>
      </c>
      <c r="AL118" s="128"/>
      <c r="AM118" s="131"/>
      <c r="AN118" s="71">
        <f t="shared" si="2"/>
        <v>851</v>
      </c>
    </row>
    <row r="119" spans="1:40" ht="19.899999999999999" customHeight="1" x14ac:dyDescent="0.25">
      <c r="A119" s="147"/>
      <c r="B119" s="147"/>
      <c r="C119" s="18" t="s">
        <v>107</v>
      </c>
      <c r="D119" s="149"/>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8"/>
      <c r="R119" s="125"/>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8"/>
      <c r="AE119" s="125"/>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4"/>
      <c r="AJ119" s="20" t="str">
        <f>IF($AO$8="","",IF(VLOOKUP($AO$8,Baza!$E$2:$AIR$59,$AN118+32,0)="","",VLOOKUP($AO$8,Baza!$E$2:$AIR$59,$AN118+32,0)))</f>
        <v/>
      </c>
      <c r="AK119" s="20" t="str">
        <f>IF($AO$8="","",IF(VLOOKUP($AO$8,Baza!$E$2:$AIR$59,$AN118+33,0)="","",VLOOKUP($AO$8,Baza!$E$2:$AIR$59,$AN118+33,0)))</f>
        <v/>
      </c>
      <c r="AL119" s="128"/>
      <c r="AM119" s="131"/>
      <c r="AN119" s="71">
        <f t="shared" si="2"/>
        <v>851</v>
      </c>
    </row>
    <row r="120" spans="1:40" ht="19.899999999999999" customHeight="1" x14ac:dyDescent="0.25">
      <c r="A120" s="147"/>
      <c r="B120" s="147"/>
      <c r="C120" s="18" t="s">
        <v>108</v>
      </c>
      <c r="D120" s="149"/>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8"/>
      <c r="R120" s="125"/>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8"/>
      <c r="AE120" s="125"/>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4"/>
      <c r="AJ120" s="20" t="str">
        <f>IF($AO$9="","",IF(VLOOKUP($AO$9,Baza!$E$2:$AIR$59,$AN119+32,0)="","",VLOOKUP($AO$9,Baza!$E$2:$AIR$59,$AN119+32,0)))</f>
        <v/>
      </c>
      <c r="AK120" s="20" t="str">
        <f>IF($AO$9="","",IF(VLOOKUP($AO$9,Baza!$E$2:$AIR$59,$AN119+33,0)="","",VLOOKUP($AO$9,Baza!$E$2:$AIR$59,$AN119+33,0)))</f>
        <v/>
      </c>
      <c r="AL120" s="128"/>
      <c r="AM120" s="131"/>
      <c r="AN120" s="71">
        <f t="shared" si="2"/>
        <v>851</v>
      </c>
    </row>
    <row r="121" spans="1:40" ht="19.899999999999999" customHeight="1" x14ac:dyDescent="0.25">
      <c r="A121" s="148"/>
      <c r="B121" s="148"/>
      <c r="C121" s="18" t="s">
        <v>109</v>
      </c>
      <c r="D121" s="149"/>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9"/>
      <c r="R121" s="126"/>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9"/>
      <c r="AE121" s="126"/>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5"/>
      <c r="AJ121" s="20" t="str">
        <f>IF($AO$10="","",IF(VLOOKUP($AO$10,Baza!$E$2:$AIR$59,$AN120+32,0)="","",VLOOKUP($AO$10,Baza!$E$2:$AIR$59,$AN120+32,0)))</f>
        <v/>
      </c>
      <c r="AK121" s="20" t="str">
        <f>IF($AO$10="","",IF(VLOOKUP($AO$10,Baza!$E$2:$AIR$59,$AN120+33,0)="","",VLOOKUP($AO$10,Baza!$E$2:$AIR$59,$AN120+33,0)))</f>
        <v/>
      </c>
      <c r="AL121" s="129"/>
      <c r="AM121" s="132"/>
      <c r="AN121" s="71">
        <f t="shared" si="2"/>
        <v>851</v>
      </c>
    </row>
    <row r="122" spans="1:40" ht="19.899999999999999" customHeight="1" x14ac:dyDescent="0.25">
      <c r="A122" s="146">
        <v>927</v>
      </c>
      <c r="B122" s="146" t="s">
        <v>88</v>
      </c>
      <c r="C122" s="29" t="s">
        <v>31</v>
      </c>
      <c r="D122" s="149"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7" t="e">
        <f>IF(VLOOKUP($B$3,Baza!$E$2:$AIR$59,$AN122+13,0)="","",VLOOKUP($B$3,Baza!$E$2:$AIR$59,$AN122+13,0))</f>
        <v>#N/A</v>
      </c>
      <c r="R122" s="124"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7" t="e">
        <f>IF(VLOOKUP($B$3,Baza!$E$2:$AIR$59,$AN122+26,0)="","",VLOOKUP($B$3,Baza!$E$2:$AIR$59,$AN122+26,0))</f>
        <v>#N/A</v>
      </c>
      <c r="AE122" s="124"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3" t="e">
        <f>IF(VLOOKUP($B$3,Baza!$E$2:$AIR$59,$AN122+31,0)="","",VLOOKUP($B$3,Baza!$E$2:$AIR$59,$AN122+31,0))</f>
        <v>#N/A</v>
      </c>
      <c r="AJ122" s="13" t="e">
        <f>IF(VLOOKUP($B$3,Baza!$E$2:$AIR$59,$AN122+32,0)="","",VLOOKUP($B$3,Baza!$E$2:$AIR$59,$AN122+32,0))</f>
        <v>#N/A</v>
      </c>
      <c r="AK122" s="13" t="e">
        <f>IF(VLOOKUP($B$3,Baza!$E$2:$AIR$59,$AN122+33,0)="","",VLOOKUP($B$3,Baza!$E$2:$AIR$59,$AN122+33,0))</f>
        <v>#N/A</v>
      </c>
      <c r="AL122" s="127" t="e">
        <f>IF(VLOOKUP($B$3,Baza!$E$2:$AIR$59,$AN122+34,0)="","",VLOOKUP($B$3,Baza!$E$2:$AIR$59,$AN122+34,0))</f>
        <v>#N/A</v>
      </c>
      <c r="AM122" s="130" t="e">
        <f>IF(VLOOKUP($B$3,Baza!$E$2:$AIR$59,$AN122+35,0)="","",VLOOKUP($B$3,Baza!$E$2:$AIR$59,$AN122+35,0))</f>
        <v>#N/A</v>
      </c>
      <c r="AN122" s="71">
        <f t="shared" si="2"/>
        <v>889</v>
      </c>
    </row>
    <row r="123" spans="1:40" ht="19.899999999999999" customHeight="1" x14ac:dyDescent="0.25">
      <c r="A123" s="147"/>
      <c r="B123" s="147"/>
      <c r="C123" s="18" t="s">
        <v>106</v>
      </c>
      <c r="D123" s="149"/>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8"/>
      <c r="R123" s="125"/>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8"/>
      <c r="AE123" s="125"/>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4"/>
      <c r="AJ123" s="20" t="str">
        <f>IF($AO$7="","",IF(VLOOKUP($AO$7,Baza!$E$2:$AIR$59,$AN122+32,0)="","",VLOOKUP($AO$7,Baza!$E$2:$AIR$59,$AN122+32,0)))</f>
        <v/>
      </c>
      <c r="AK123" s="20" t="str">
        <f>IF($AO$7="","",IF(VLOOKUP($AO$7,Baza!$E$2:$AIR$59,$AN122+33,0)="","",VLOOKUP($AO$7,Baza!$E$2:$AIR$59,$AN122+33,0)))</f>
        <v/>
      </c>
      <c r="AL123" s="128"/>
      <c r="AM123" s="131"/>
      <c r="AN123" s="71">
        <f t="shared" si="2"/>
        <v>889</v>
      </c>
    </row>
    <row r="124" spans="1:40" ht="19.899999999999999" customHeight="1" x14ac:dyDescent="0.25">
      <c r="A124" s="147"/>
      <c r="B124" s="147"/>
      <c r="C124" s="18" t="s">
        <v>107</v>
      </c>
      <c r="D124" s="149"/>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8"/>
      <c r="R124" s="125"/>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8"/>
      <c r="AE124" s="125"/>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4"/>
      <c r="AJ124" s="20" t="str">
        <f>IF($AO$8="","",IF(VLOOKUP($AO$8,Baza!$E$2:$AIR$59,$AN123+32,0)="","",VLOOKUP($AO$8,Baza!$E$2:$AIR$59,$AN123+32,0)))</f>
        <v/>
      </c>
      <c r="AK124" s="20" t="str">
        <f>IF($AO$8="","",IF(VLOOKUP($AO$8,Baza!$E$2:$AIR$59,$AN123+33,0)="","",VLOOKUP($AO$8,Baza!$E$2:$AIR$59,$AN123+33,0)))</f>
        <v/>
      </c>
      <c r="AL124" s="128"/>
      <c r="AM124" s="131"/>
      <c r="AN124" s="71">
        <f t="shared" si="2"/>
        <v>889</v>
      </c>
    </row>
    <row r="125" spans="1:40" ht="19.899999999999999" customHeight="1" x14ac:dyDescent="0.25">
      <c r="A125" s="147"/>
      <c r="B125" s="147"/>
      <c r="C125" s="18" t="s">
        <v>108</v>
      </c>
      <c r="D125" s="149"/>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8"/>
      <c r="R125" s="125"/>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8"/>
      <c r="AE125" s="125"/>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4"/>
      <c r="AJ125" s="20" t="str">
        <f>IF($AO$9="","",IF(VLOOKUP($AO$9,Baza!$E$2:$AIR$59,$AN124+32,0)="","",VLOOKUP($AO$9,Baza!$E$2:$AIR$59,$AN124+32,0)))</f>
        <v/>
      </c>
      <c r="AK125" s="20" t="str">
        <f>IF($AO$9="","",IF(VLOOKUP($AO$9,Baza!$E$2:$AIR$59,$AN124+33,0)="","",VLOOKUP($AO$9,Baza!$E$2:$AIR$59,$AN124+33,0)))</f>
        <v/>
      </c>
      <c r="AL125" s="128"/>
      <c r="AM125" s="131"/>
      <c r="AN125" s="71">
        <f t="shared" si="2"/>
        <v>889</v>
      </c>
    </row>
    <row r="126" spans="1:40" ht="19.899999999999999" customHeight="1" x14ac:dyDescent="0.25">
      <c r="A126" s="148"/>
      <c r="B126" s="148"/>
      <c r="C126" s="18" t="s">
        <v>109</v>
      </c>
      <c r="D126" s="149"/>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9"/>
      <c r="R126" s="126"/>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9"/>
      <c r="AE126" s="126"/>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5"/>
      <c r="AJ126" s="20" t="str">
        <f>IF($AO$10="","",IF(VLOOKUP($AO$10,Baza!$E$2:$AIR$59,$AN125+32,0)="","",VLOOKUP($AO$10,Baza!$E$2:$AIR$59,$AN125+32,0)))</f>
        <v/>
      </c>
      <c r="AK126" s="20" t="str">
        <f>IF($AO$10="","",IF(VLOOKUP($AO$10,Baza!$E$2:$AIR$59,$AN125+33,0)="","",VLOOKUP($AO$10,Baza!$E$2:$AIR$59,$AN125+33,0)))</f>
        <v/>
      </c>
      <c r="AL126" s="129"/>
      <c r="AM126" s="132"/>
      <c r="AN126" s="71">
        <f t="shared" si="2"/>
        <v>889</v>
      </c>
    </row>
    <row r="127" spans="1:40" ht="19.899999999999999" customHeight="1" x14ac:dyDescent="0.25">
      <c r="A127" s="140" t="s">
        <v>110</v>
      </c>
      <c r="B127" s="141"/>
      <c r="C127" s="16" t="s">
        <v>31</v>
      </c>
      <c r="D127" s="13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6" t="str">
        <f>IFERROR(SUM(Q7:Q126),"")</f>
        <v/>
      </c>
      <c r="R127" s="13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6" t="str">
        <f>IFERROR(SUM(AD7:AD126),"")</f>
        <v/>
      </c>
      <c r="AE127" s="13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36" t="str">
        <f>IFERROR(SUM(AL7:AL126),"")</f>
        <v/>
      </c>
      <c r="AM127" s="137" t="str">
        <f>IFERROR(AVERAGE(AM7:AM126),"")</f>
        <v/>
      </c>
      <c r="AN127" s="71">
        <f t="shared" si="2"/>
        <v>927</v>
      </c>
    </row>
    <row r="128" spans="1:40" ht="19.899999999999999" customHeight="1" x14ac:dyDescent="0.25">
      <c r="A128" s="142"/>
      <c r="B128" s="143"/>
      <c r="C128" s="19" t="s">
        <v>106</v>
      </c>
      <c r="D128" s="13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6"/>
      <c r="R128" s="13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6"/>
      <c r="AE128" s="13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36"/>
      <c r="AM128" s="138"/>
      <c r="AN128" s="71">
        <f t="shared" si="2"/>
        <v>927</v>
      </c>
    </row>
    <row r="129" spans="1:40" ht="19.899999999999999" customHeight="1" x14ac:dyDescent="0.25">
      <c r="A129" s="142"/>
      <c r="B129" s="143"/>
      <c r="C129" s="19" t="s">
        <v>107</v>
      </c>
      <c r="D129" s="13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6"/>
      <c r="R129" s="13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6"/>
      <c r="AE129" s="138"/>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36"/>
      <c r="AM129" s="138"/>
      <c r="AN129" s="71">
        <f t="shared" si="2"/>
        <v>927</v>
      </c>
    </row>
    <row r="130" spans="1:40" ht="19.899999999999999" customHeight="1" x14ac:dyDescent="0.25">
      <c r="A130" s="142"/>
      <c r="B130" s="143"/>
      <c r="C130" s="19" t="s">
        <v>108</v>
      </c>
      <c r="D130" s="13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6"/>
      <c r="R130" s="13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6"/>
      <c r="AE130" s="138"/>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36"/>
      <c r="AM130" s="138"/>
      <c r="AN130" s="71">
        <f t="shared" si="2"/>
        <v>927</v>
      </c>
    </row>
    <row r="131" spans="1:40" ht="19.899999999999999" customHeight="1" x14ac:dyDescent="0.25">
      <c r="A131" s="144"/>
      <c r="B131" s="145"/>
      <c r="C131" s="19" t="s">
        <v>109</v>
      </c>
      <c r="D131" s="13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6"/>
      <c r="R131" s="13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6"/>
      <c r="AE131" s="139"/>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36"/>
      <c r="AM131" s="139"/>
      <c r="AN131" s="71">
        <f t="shared" si="2"/>
        <v>927</v>
      </c>
    </row>
    <row r="132" spans="1:40" ht="19.899999999999999" customHeight="1" x14ac:dyDescent="0.25"/>
    <row r="133" spans="1:40" ht="40.15" customHeight="1" x14ac:dyDescent="0.25">
      <c r="AC133" s="150" t="str">
        <f>IF(B3="","","Sinif rəhbəri:")</f>
        <v/>
      </c>
      <c r="AD133" s="150"/>
      <c r="AE133" s="150"/>
      <c r="AF133" s="151" t="str">
        <f>IF(AC133="","",Baza!P2)</f>
        <v/>
      </c>
      <c r="AG133" s="151"/>
      <c r="AH133" s="151"/>
      <c r="AI133" s="151"/>
      <c r="AJ133" s="151"/>
      <c r="AK133" s="151"/>
      <c r="AL133" s="151"/>
      <c r="AM133" s="151"/>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2023-06-27T05:19:43Z</dcterms:modified>
</cp:coreProperties>
</file>