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1"/>
  <bookViews>
    <workbookView xWindow="0" yWindow="0" windowWidth="23040" windowHeight="9384" tabRatio="512" activeTab="1"/>
  </bookViews>
  <sheets>
    <sheet name="Təlimat" sheetId="2" r:id="rId1"/>
    <sheet name="Fənn üzrə nailiyyətlər cədvəli" sheetId="1" r:id="rId2"/>
  </sheets>
  <calcPr calcId="15251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H55" i="1" l="1"/>
  <c r="G55" i="1"/>
  <c r="AP5" i="1" l="1"/>
  <c r="AN6" i="1" l="1"/>
  <c r="AN7" i="1"/>
  <c r="AN8" i="1"/>
  <c r="AN9" i="1"/>
  <c r="AN10" i="1"/>
  <c r="AN11" i="1"/>
  <c r="AN12" i="1"/>
  <c r="AN13" i="1"/>
  <c r="AN14" i="1"/>
  <c r="AN15" i="1"/>
  <c r="AN16" i="1"/>
  <c r="AN17" i="1"/>
  <c r="AN18" i="1"/>
  <c r="AN19" i="1"/>
  <c r="AN20" i="1"/>
  <c r="AN21" i="1"/>
  <c r="AN22" i="1"/>
  <c r="AN23" i="1"/>
  <c r="AN24" i="1"/>
  <c r="AN25" i="1"/>
  <c r="AN26" i="1"/>
  <c r="AN27" i="1"/>
  <c r="AN28" i="1"/>
  <c r="AN29" i="1"/>
  <c r="AN30" i="1"/>
  <c r="AN31" i="1"/>
  <c r="AN32" i="1"/>
  <c r="AN33" i="1"/>
  <c r="AN34" i="1"/>
  <c r="AN35" i="1"/>
  <c r="AN36" i="1"/>
  <c r="AN37" i="1"/>
  <c r="AN38" i="1"/>
  <c r="AN39" i="1"/>
  <c r="AN40" i="1"/>
  <c r="AN41" i="1"/>
  <c r="AN42" i="1"/>
  <c r="AN43" i="1"/>
  <c r="AN44" i="1"/>
  <c r="AN45" i="1"/>
  <c r="AN46" i="1"/>
  <c r="AN47" i="1"/>
  <c r="AN48" i="1"/>
  <c r="AN49" i="1"/>
  <c r="AN50" i="1"/>
  <c r="AN51" i="1"/>
  <c r="AN52" i="1"/>
  <c r="AN53" i="1"/>
  <c r="AN54" i="1"/>
  <c r="AN5" i="1"/>
  <c r="AO55" i="1"/>
  <c r="AN55" i="1" l="1"/>
  <c r="I57" i="1"/>
  <c r="AN57" i="1"/>
  <c r="AO57" i="1"/>
  <c r="AN58" i="1"/>
  <c r="AO58" i="1"/>
  <c r="AN59" i="1"/>
  <c r="AO59" i="1"/>
  <c r="AN60" i="1"/>
  <c r="AO60" i="1"/>
  <c r="AO61" i="1" l="1"/>
  <c r="AO62" i="1" s="1"/>
  <c r="AN61" i="1"/>
  <c r="AN64" i="1" s="1"/>
  <c r="AO65" i="1" l="1"/>
  <c r="AO64" i="1"/>
  <c r="AO63" i="1"/>
  <c r="AN65" i="1"/>
  <c r="AN63" i="1"/>
  <c r="AN62" i="1"/>
  <c r="AK5" i="1" l="1"/>
  <c r="AK6" i="1"/>
  <c r="AK7" i="1"/>
  <c r="AK8" i="1"/>
  <c r="AK9" i="1"/>
  <c r="AK10" i="1"/>
  <c r="AK11" i="1"/>
  <c r="AK12" i="1"/>
  <c r="AK13" i="1"/>
  <c r="AK14" i="1"/>
  <c r="AK15" i="1"/>
  <c r="AK16" i="1"/>
  <c r="AK17" i="1"/>
  <c r="AK18" i="1"/>
  <c r="AK19" i="1"/>
  <c r="AK20" i="1"/>
  <c r="AK21" i="1"/>
  <c r="AK22" i="1"/>
  <c r="AK23" i="1"/>
  <c r="AK24" i="1"/>
  <c r="AK25" i="1"/>
  <c r="AK26" i="1"/>
  <c r="AK27" i="1"/>
  <c r="AK28" i="1"/>
  <c r="AK29" i="1"/>
  <c r="AK30" i="1"/>
  <c r="AK31" i="1"/>
  <c r="AK32" i="1"/>
  <c r="AK33" i="1"/>
  <c r="AK34" i="1"/>
  <c r="AK35" i="1"/>
  <c r="AK36" i="1"/>
  <c r="AK37" i="1"/>
  <c r="AK38" i="1"/>
  <c r="AK39" i="1"/>
  <c r="AK40" i="1"/>
  <c r="AK41" i="1"/>
  <c r="AK42" i="1"/>
  <c r="AK43" i="1"/>
  <c r="AK44" i="1"/>
  <c r="AK45" i="1"/>
  <c r="AK46" i="1"/>
  <c r="AK47" i="1"/>
  <c r="AK48" i="1"/>
  <c r="AK49" i="1"/>
  <c r="AK50" i="1"/>
  <c r="AK51" i="1"/>
  <c r="AK52" i="1"/>
  <c r="AK53" i="1"/>
  <c r="AK54" i="1"/>
  <c r="AP6" i="1"/>
  <c r="AP7" i="1"/>
  <c r="AP8" i="1"/>
  <c r="AP9" i="1"/>
  <c r="AP10" i="1"/>
  <c r="AP11" i="1"/>
  <c r="AP12" i="1"/>
  <c r="AP13" i="1"/>
  <c r="AP14" i="1"/>
  <c r="AP15" i="1"/>
  <c r="AP16" i="1"/>
  <c r="AP17" i="1"/>
  <c r="AP18" i="1"/>
  <c r="AP19" i="1"/>
  <c r="AP20" i="1"/>
  <c r="AP21" i="1"/>
  <c r="AP22" i="1"/>
  <c r="AP23" i="1"/>
  <c r="AP24" i="1"/>
  <c r="AP25" i="1"/>
  <c r="AP26" i="1"/>
  <c r="AP27" i="1"/>
  <c r="AP28" i="1"/>
  <c r="AP29" i="1"/>
  <c r="AP30" i="1"/>
  <c r="AP31" i="1"/>
  <c r="AP32" i="1"/>
  <c r="AP33" i="1"/>
  <c r="AQ33" i="1" s="1"/>
  <c r="AP34" i="1"/>
  <c r="AP35" i="1"/>
  <c r="AP36" i="1"/>
  <c r="AP37" i="1"/>
  <c r="AP38" i="1"/>
  <c r="AP39" i="1"/>
  <c r="AP40" i="1"/>
  <c r="AP41" i="1"/>
  <c r="AQ41" i="1" s="1"/>
  <c r="AP42" i="1"/>
  <c r="AP43" i="1"/>
  <c r="AP44" i="1"/>
  <c r="AP45" i="1"/>
  <c r="AP46" i="1"/>
  <c r="AP47" i="1"/>
  <c r="AP48" i="1"/>
  <c r="AP49" i="1"/>
  <c r="AP50" i="1"/>
  <c r="AP51" i="1"/>
  <c r="AP52" i="1"/>
  <c r="AP53" i="1"/>
  <c r="AP54" i="1"/>
  <c r="AG60" i="1"/>
  <c r="AF60" i="1"/>
  <c r="AD60" i="1"/>
  <c r="AB60" i="1"/>
  <c r="AA60" i="1"/>
  <c r="Z60" i="1"/>
  <c r="Y60" i="1"/>
  <c r="X60" i="1"/>
  <c r="W60" i="1"/>
  <c r="AG59" i="1"/>
  <c r="AF59" i="1"/>
  <c r="AD59" i="1"/>
  <c r="AB59" i="1"/>
  <c r="AA59" i="1"/>
  <c r="Z59" i="1"/>
  <c r="Y59" i="1"/>
  <c r="X59" i="1"/>
  <c r="W59" i="1"/>
  <c r="AG58" i="1"/>
  <c r="AF58" i="1"/>
  <c r="AD58" i="1"/>
  <c r="AB58" i="1"/>
  <c r="AA58" i="1"/>
  <c r="Z58" i="1"/>
  <c r="Y58" i="1"/>
  <c r="X58" i="1"/>
  <c r="W58" i="1"/>
  <c r="AG57" i="1"/>
  <c r="AF57" i="1"/>
  <c r="AD57" i="1"/>
  <c r="AB57" i="1"/>
  <c r="AA57" i="1"/>
  <c r="Z57" i="1"/>
  <c r="Y57" i="1"/>
  <c r="X57" i="1"/>
  <c r="W57" i="1"/>
  <c r="AH55" i="1"/>
  <c r="AG55" i="1"/>
  <c r="AF55" i="1"/>
  <c r="AD55" i="1"/>
  <c r="AB55" i="1"/>
  <c r="AA55" i="1"/>
  <c r="Z55" i="1"/>
  <c r="Y55" i="1"/>
  <c r="X55" i="1"/>
  <c r="W55" i="1"/>
  <c r="AC54" i="1"/>
  <c r="AE54" i="1" s="1"/>
  <c r="AC53" i="1"/>
  <c r="AE53" i="1" s="1"/>
  <c r="AC52" i="1"/>
  <c r="AE52" i="1" s="1"/>
  <c r="AC51" i="1"/>
  <c r="AE51" i="1" s="1"/>
  <c r="AC50" i="1"/>
  <c r="AE50" i="1" s="1"/>
  <c r="AC49" i="1"/>
  <c r="AE49" i="1" s="1"/>
  <c r="AC48" i="1"/>
  <c r="AE48" i="1" s="1"/>
  <c r="AC47" i="1"/>
  <c r="AE47" i="1" s="1"/>
  <c r="AC46" i="1"/>
  <c r="AE46" i="1" s="1"/>
  <c r="AC45" i="1"/>
  <c r="AE45" i="1" s="1"/>
  <c r="AC44" i="1"/>
  <c r="AE44" i="1" s="1"/>
  <c r="AC43" i="1"/>
  <c r="AE43" i="1" s="1"/>
  <c r="AC42" i="1"/>
  <c r="AE42" i="1" s="1"/>
  <c r="AC41" i="1"/>
  <c r="AE41" i="1" s="1"/>
  <c r="AC40" i="1"/>
  <c r="AE40" i="1" s="1"/>
  <c r="AC39" i="1"/>
  <c r="AE39" i="1" s="1"/>
  <c r="AC38" i="1"/>
  <c r="AE38" i="1" s="1"/>
  <c r="AC37" i="1"/>
  <c r="AE37" i="1" s="1"/>
  <c r="AC36" i="1"/>
  <c r="AE36" i="1" s="1"/>
  <c r="AC35" i="1"/>
  <c r="AE35" i="1" s="1"/>
  <c r="AC34" i="1"/>
  <c r="AE34" i="1" s="1"/>
  <c r="AC33" i="1"/>
  <c r="AE33" i="1" s="1"/>
  <c r="AC32" i="1"/>
  <c r="AE32" i="1" s="1"/>
  <c r="AC31" i="1"/>
  <c r="AE31" i="1" s="1"/>
  <c r="AC30" i="1"/>
  <c r="AE30" i="1" s="1"/>
  <c r="AC29" i="1"/>
  <c r="AE29" i="1" s="1"/>
  <c r="AC28" i="1"/>
  <c r="AE28" i="1" s="1"/>
  <c r="AC27" i="1"/>
  <c r="AE27" i="1" s="1"/>
  <c r="AC26" i="1"/>
  <c r="AE26" i="1" s="1"/>
  <c r="AC25" i="1"/>
  <c r="AE25" i="1" s="1"/>
  <c r="AC24" i="1"/>
  <c r="AE24" i="1" s="1"/>
  <c r="AC23" i="1"/>
  <c r="AC22" i="1"/>
  <c r="AE22" i="1" s="1"/>
  <c r="AC21" i="1"/>
  <c r="AE21" i="1" s="1"/>
  <c r="AC20" i="1"/>
  <c r="AE20" i="1" s="1"/>
  <c r="AC19" i="1"/>
  <c r="AE19" i="1" s="1"/>
  <c r="AC18" i="1"/>
  <c r="AE18" i="1" s="1"/>
  <c r="AC17" i="1"/>
  <c r="AE17" i="1" s="1"/>
  <c r="AC16" i="1"/>
  <c r="AE16" i="1" s="1"/>
  <c r="AC15" i="1"/>
  <c r="AE15" i="1" s="1"/>
  <c r="AC14" i="1"/>
  <c r="AE14" i="1" s="1"/>
  <c r="AC13" i="1"/>
  <c r="AE13" i="1" s="1"/>
  <c r="AC12" i="1"/>
  <c r="AE12" i="1" s="1"/>
  <c r="AC11" i="1"/>
  <c r="AE11" i="1" s="1"/>
  <c r="AC10" i="1"/>
  <c r="AE10" i="1" s="1"/>
  <c r="AC9" i="1"/>
  <c r="AE9" i="1" s="1"/>
  <c r="AC8" i="1"/>
  <c r="AE8" i="1" s="1"/>
  <c r="AC7" i="1"/>
  <c r="AE7" i="1" s="1"/>
  <c r="AC6" i="1"/>
  <c r="AE6" i="1" s="1"/>
  <c r="AC5" i="1"/>
  <c r="H10" i="1"/>
  <c r="H11" i="1"/>
  <c r="H18" i="1"/>
  <c r="H19" i="1"/>
  <c r="H26" i="1"/>
  <c r="H27" i="1"/>
  <c r="V27" i="1" s="1"/>
  <c r="H34" i="1"/>
  <c r="H35" i="1"/>
  <c r="H42" i="1"/>
  <c r="H43" i="1"/>
  <c r="H50" i="1"/>
  <c r="H51" i="1"/>
  <c r="G8" i="1"/>
  <c r="G9" i="1"/>
  <c r="G11" i="1"/>
  <c r="G16" i="1"/>
  <c r="G17" i="1"/>
  <c r="G19" i="1"/>
  <c r="G24" i="1"/>
  <c r="G25" i="1"/>
  <c r="G27" i="1"/>
  <c r="G32" i="1"/>
  <c r="G33" i="1"/>
  <c r="G35" i="1"/>
  <c r="G40" i="1"/>
  <c r="G41" i="1"/>
  <c r="G43" i="1"/>
  <c r="G48" i="1"/>
  <c r="G49" i="1"/>
  <c r="G51" i="1"/>
  <c r="H6" i="1"/>
  <c r="AI6" i="1" s="1"/>
  <c r="G7" i="1"/>
  <c r="H8" i="1"/>
  <c r="H9" i="1"/>
  <c r="AI9" i="1" s="1"/>
  <c r="G10" i="1"/>
  <c r="G12" i="1"/>
  <c r="H13" i="1"/>
  <c r="H14" i="1"/>
  <c r="H15" i="1"/>
  <c r="H16" i="1"/>
  <c r="H17" i="1"/>
  <c r="G18" i="1"/>
  <c r="G20" i="1"/>
  <c r="H21" i="1"/>
  <c r="H22" i="1"/>
  <c r="G23" i="1"/>
  <c r="H24" i="1"/>
  <c r="H25" i="1"/>
  <c r="G26" i="1"/>
  <c r="G28" i="1"/>
  <c r="H29" i="1"/>
  <c r="H30" i="1"/>
  <c r="G31" i="1"/>
  <c r="H32" i="1"/>
  <c r="H33" i="1"/>
  <c r="G34" i="1"/>
  <c r="G36" i="1"/>
  <c r="H37" i="1"/>
  <c r="H38" i="1"/>
  <c r="H39" i="1"/>
  <c r="H40" i="1"/>
  <c r="H41" i="1"/>
  <c r="G42" i="1"/>
  <c r="G44" i="1"/>
  <c r="H45" i="1"/>
  <c r="H46" i="1"/>
  <c r="H47" i="1"/>
  <c r="H48" i="1"/>
  <c r="H49" i="1"/>
  <c r="G50" i="1"/>
  <c r="G52" i="1"/>
  <c r="H53" i="1"/>
  <c r="H54" i="1"/>
  <c r="G5" i="1"/>
  <c r="V50" i="1" l="1"/>
  <c r="AI50" i="1"/>
  <c r="AI43" i="1"/>
  <c r="V43" i="1"/>
  <c r="AI37" i="1"/>
  <c r="V37" i="1"/>
  <c r="V45" i="1"/>
  <c r="AI45" i="1"/>
  <c r="V42" i="1"/>
  <c r="AI42" i="1"/>
  <c r="AI38" i="1"/>
  <c r="V38" i="1"/>
  <c r="AI46" i="1"/>
  <c r="V46" i="1"/>
  <c r="V54" i="1"/>
  <c r="AI54" i="1"/>
  <c r="AI53" i="1"/>
  <c r="V53" i="1"/>
  <c r="AI47" i="1"/>
  <c r="V47" i="1"/>
  <c r="V49" i="1"/>
  <c r="AI49" i="1"/>
  <c r="V40" i="1"/>
  <c r="AI40" i="1"/>
  <c r="V41" i="1"/>
  <c r="AI41" i="1"/>
  <c r="AI48" i="1"/>
  <c r="V48" i="1"/>
  <c r="V39" i="1"/>
  <c r="AI39" i="1"/>
  <c r="V51" i="1"/>
  <c r="AI51" i="1"/>
  <c r="AQ49" i="1"/>
  <c r="AQ54" i="1"/>
  <c r="AQ48" i="1"/>
  <c r="AQ40" i="1"/>
  <c r="AQ32" i="1"/>
  <c r="AQ47" i="1"/>
  <c r="AQ39" i="1"/>
  <c r="AQ46" i="1"/>
  <c r="AQ38" i="1"/>
  <c r="AQ53" i="1"/>
  <c r="AQ45" i="1"/>
  <c r="AQ37" i="1"/>
  <c r="AQ51" i="1"/>
  <c r="AQ43" i="1"/>
  <c r="AQ35" i="1"/>
  <c r="AQ50" i="1"/>
  <c r="AQ42" i="1"/>
  <c r="AQ34" i="1"/>
  <c r="V11" i="1"/>
  <c r="AI11" i="1"/>
  <c r="V18" i="1"/>
  <c r="AI18" i="1"/>
  <c r="AI17" i="1"/>
  <c r="V17" i="1"/>
  <c r="V8" i="1"/>
  <c r="AI8" i="1"/>
  <c r="AI10" i="1"/>
  <c r="V10" i="1"/>
  <c r="AI25" i="1"/>
  <c r="V25" i="1"/>
  <c r="AI16" i="1"/>
  <c r="V16" i="1"/>
  <c r="V35" i="1"/>
  <c r="AI35" i="1"/>
  <c r="V34" i="1"/>
  <c r="AI34" i="1"/>
  <c r="AI24" i="1"/>
  <c r="V24" i="1"/>
  <c r="V32" i="1"/>
  <c r="AI32" i="1"/>
  <c r="AI14" i="1"/>
  <c r="V14" i="1"/>
  <c r="AI22" i="1"/>
  <c r="V22" i="1"/>
  <c r="V13" i="1"/>
  <c r="AI13" i="1"/>
  <c r="AI26" i="1"/>
  <c r="V26" i="1"/>
  <c r="AI29" i="1"/>
  <c r="V29" i="1"/>
  <c r="V33" i="1"/>
  <c r="AI33" i="1"/>
  <c r="V15" i="1"/>
  <c r="AI15" i="1"/>
  <c r="AI30" i="1"/>
  <c r="V30" i="1"/>
  <c r="AI21" i="1"/>
  <c r="V21" i="1"/>
  <c r="AI19" i="1"/>
  <c r="V19" i="1"/>
  <c r="AQ27" i="1"/>
  <c r="AI27" i="1"/>
  <c r="V9" i="1"/>
  <c r="V6" i="1"/>
  <c r="AB61" i="1"/>
  <c r="AB65" i="1" s="1"/>
  <c r="AE23" i="1"/>
  <c r="AQ25" i="1"/>
  <c r="AQ24" i="1"/>
  <c r="AQ22" i="1"/>
  <c r="AQ17" i="1"/>
  <c r="AQ14" i="1"/>
  <c r="AQ6" i="1"/>
  <c r="AQ16" i="1"/>
  <c r="AQ29" i="1"/>
  <c r="AQ13" i="1"/>
  <c r="AQ15" i="1"/>
  <c r="AQ11" i="1"/>
  <c r="AQ30" i="1"/>
  <c r="AQ21" i="1"/>
  <c r="AQ10" i="1"/>
  <c r="AQ9" i="1"/>
  <c r="AQ19" i="1"/>
  <c r="AQ8" i="1"/>
  <c r="AQ26" i="1"/>
  <c r="AQ18" i="1"/>
  <c r="AP55" i="1"/>
  <c r="AA61" i="1"/>
  <c r="AA65" i="1" s="1"/>
  <c r="AC58" i="1"/>
  <c r="W61" i="1"/>
  <c r="W64" i="1" s="1"/>
  <c r="AD61" i="1"/>
  <c r="AD64" i="1" s="1"/>
  <c r="X61" i="1"/>
  <c r="X62" i="1" s="1"/>
  <c r="AF61" i="1"/>
  <c r="AF64" i="1" s="1"/>
  <c r="AE5" i="1"/>
  <c r="AC57" i="1"/>
  <c r="Y61" i="1"/>
  <c r="Y63" i="1" s="1"/>
  <c r="AG61" i="1"/>
  <c r="AG63" i="1" s="1"/>
  <c r="AC60" i="1"/>
  <c r="Z61" i="1"/>
  <c r="Z64" i="1" s="1"/>
  <c r="AC59" i="1"/>
  <c r="AC55" i="1"/>
  <c r="H52" i="1"/>
  <c r="H44" i="1"/>
  <c r="H36" i="1"/>
  <c r="H28" i="1"/>
  <c r="H20" i="1"/>
  <c r="H12" i="1"/>
  <c r="G39" i="1"/>
  <c r="G15" i="1"/>
  <c r="G54" i="1"/>
  <c r="G46" i="1"/>
  <c r="G38" i="1"/>
  <c r="G30" i="1"/>
  <c r="G22" i="1"/>
  <c r="G14" i="1"/>
  <c r="G6" i="1"/>
  <c r="G47" i="1"/>
  <c r="G53" i="1"/>
  <c r="G45" i="1"/>
  <c r="G37" i="1"/>
  <c r="G29" i="1"/>
  <c r="G21" i="1"/>
  <c r="G13" i="1"/>
  <c r="H5" i="1"/>
  <c r="AI5" i="1" s="1"/>
  <c r="H31" i="1"/>
  <c r="H23" i="1"/>
  <c r="H7" i="1"/>
  <c r="U55" i="1"/>
  <c r="V36" i="1" l="1"/>
  <c r="AI36" i="1"/>
  <c r="AQ52" i="1"/>
  <c r="AI52" i="1"/>
  <c r="V52" i="1"/>
  <c r="AQ44" i="1"/>
  <c r="AI44" i="1"/>
  <c r="V44" i="1"/>
  <c r="AQ36" i="1"/>
  <c r="V12" i="1"/>
  <c r="AI12" i="1"/>
  <c r="AI20" i="1"/>
  <c r="V20" i="1"/>
  <c r="V7" i="1"/>
  <c r="AI7" i="1"/>
  <c r="AI28" i="1"/>
  <c r="V28" i="1"/>
  <c r="AI23" i="1"/>
  <c r="V23" i="1"/>
  <c r="V31" i="1"/>
  <c r="AI31" i="1"/>
  <c r="V5" i="1"/>
  <c r="AB64" i="1"/>
  <c r="AB63" i="1"/>
  <c r="AB62" i="1"/>
  <c r="AG64" i="1"/>
  <c r="AA64" i="1"/>
  <c r="AQ31" i="1"/>
  <c r="AQ20" i="1"/>
  <c r="AQ12" i="1"/>
  <c r="AQ28" i="1"/>
  <c r="AQ23" i="1"/>
  <c r="AQ7" i="1"/>
  <c r="AQ5" i="1"/>
  <c r="AA62" i="1"/>
  <c r="AD63" i="1"/>
  <c r="AA63" i="1"/>
  <c r="AG65" i="1"/>
  <c r="W65" i="1"/>
  <c r="W63" i="1"/>
  <c r="X63" i="1"/>
  <c r="Z63" i="1"/>
  <c r="Y62" i="1"/>
  <c r="W62" i="1"/>
  <c r="AC61" i="1"/>
  <c r="AC63" i="1" s="1"/>
  <c r="AF65" i="1"/>
  <c r="AF63" i="1"/>
  <c r="AE60" i="1"/>
  <c r="AE57" i="1"/>
  <c r="AE59" i="1"/>
  <c r="AE58" i="1"/>
  <c r="AE55" i="1"/>
  <c r="AG62" i="1"/>
  <c r="X64" i="1"/>
  <c r="Z65" i="1"/>
  <c r="AF62" i="1"/>
  <c r="Z62" i="1"/>
  <c r="AD65" i="1"/>
  <c r="AD62" i="1"/>
  <c r="X65" i="1"/>
  <c r="Y65" i="1"/>
  <c r="Y64" i="1"/>
  <c r="Q55" i="1"/>
  <c r="Q57" i="1"/>
  <c r="Q58" i="1"/>
  <c r="Q59" i="1"/>
  <c r="Q60" i="1"/>
  <c r="AI55" i="1" l="1"/>
  <c r="V55" i="1"/>
  <c r="AC65" i="1"/>
  <c r="AC64" i="1"/>
  <c r="AC62" i="1"/>
  <c r="AE61" i="1"/>
  <c r="AE64" i="1" s="1"/>
  <c r="Q61" i="1"/>
  <c r="Q64" i="1" s="1"/>
  <c r="T60" i="1"/>
  <c r="S60" i="1"/>
  <c r="O60" i="1"/>
  <c r="N60" i="1"/>
  <c r="M60" i="1"/>
  <c r="L60" i="1"/>
  <c r="K60" i="1"/>
  <c r="J60" i="1"/>
  <c r="I60" i="1"/>
  <c r="G62" i="1"/>
  <c r="G63" i="1"/>
  <c r="G64" i="1"/>
  <c r="G65" i="1"/>
  <c r="T59" i="1"/>
  <c r="S59" i="1"/>
  <c r="O59" i="1"/>
  <c r="N59" i="1"/>
  <c r="M59" i="1"/>
  <c r="L59" i="1"/>
  <c r="K59" i="1"/>
  <c r="J59" i="1"/>
  <c r="I59" i="1"/>
  <c r="T58" i="1"/>
  <c r="S58" i="1"/>
  <c r="O58" i="1"/>
  <c r="N58" i="1"/>
  <c r="M58" i="1"/>
  <c r="L58" i="1"/>
  <c r="K58" i="1"/>
  <c r="J58" i="1"/>
  <c r="I58" i="1"/>
  <c r="T57" i="1"/>
  <c r="S57" i="1"/>
  <c r="O57" i="1"/>
  <c r="N57" i="1"/>
  <c r="M57" i="1"/>
  <c r="L57" i="1"/>
  <c r="K57" i="1"/>
  <c r="J57" i="1"/>
  <c r="AE63" i="1" l="1"/>
  <c r="AE62" i="1"/>
  <c r="AE65" i="1"/>
  <c r="Q62" i="1"/>
  <c r="Q63" i="1"/>
  <c r="Q65" i="1"/>
  <c r="P5" i="1"/>
  <c r="AJ5" i="1" s="1"/>
  <c r="R5" i="1" l="1"/>
  <c r="AL5" i="1" s="1"/>
  <c r="AM5" i="1" l="1"/>
  <c r="AK58" i="1"/>
  <c r="AK57" i="1"/>
  <c r="AK60" i="1"/>
  <c r="AK59" i="1"/>
  <c r="AK55" i="1"/>
  <c r="J61" i="1" l="1"/>
  <c r="J62" i="1" s="1"/>
  <c r="I61" i="1"/>
  <c r="I62" i="1" s="1"/>
  <c r="N61" i="1"/>
  <c r="N62" i="1" s="1"/>
  <c r="S61" i="1"/>
  <c r="S65" i="1" s="1"/>
  <c r="M61" i="1"/>
  <c r="M62" i="1" s="1"/>
  <c r="L61" i="1"/>
  <c r="L65" i="1" s="1"/>
  <c r="T61" i="1"/>
  <c r="T65" i="1" s="1"/>
  <c r="K61" i="1"/>
  <c r="K64" i="1" s="1"/>
  <c r="O61" i="1"/>
  <c r="O62" i="1" s="1"/>
  <c r="J55" i="1"/>
  <c r="K55" i="1"/>
  <c r="L55" i="1"/>
  <c r="M55" i="1"/>
  <c r="N55" i="1"/>
  <c r="O55" i="1"/>
  <c r="S55" i="1"/>
  <c r="T55" i="1"/>
  <c r="I55" i="1"/>
  <c r="P49" i="1"/>
  <c r="P50" i="1"/>
  <c r="P51" i="1"/>
  <c r="P52" i="1"/>
  <c r="P53" i="1"/>
  <c r="P54" i="1"/>
  <c r="P6" i="1"/>
  <c r="AJ6" i="1" s="1"/>
  <c r="P7" i="1"/>
  <c r="AJ7" i="1" s="1"/>
  <c r="P8" i="1"/>
  <c r="AJ8" i="1" s="1"/>
  <c r="P9" i="1"/>
  <c r="AJ9" i="1" s="1"/>
  <c r="P10" i="1"/>
  <c r="AJ10" i="1" s="1"/>
  <c r="P11" i="1"/>
  <c r="AJ11" i="1" s="1"/>
  <c r="P12" i="1"/>
  <c r="AJ12" i="1" s="1"/>
  <c r="P13" i="1"/>
  <c r="AJ13" i="1" s="1"/>
  <c r="P14" i="1"/>
  <c r="AJ14" i="1" s="1"/>
  <c r="P15" i="1"/>
  <c r="AJ15" i="1" s="1"/>
  <c r="P16" i="1"/>
  <c r="AJ16" i="1" s="1"/>
  <c r="P17" i="1"/>
  <c r="AJ17" i="1" s="1"/>
  <c r="P18" i="1"/>
  <c r="AJ18" i="1" s="1"/>
  <c r="P19" i="1"/>
  <c r="AJ19" i="1" s="1"/>
  <c r="P20" i="1"/>
  <c r="AJ20" i="1" s="1"/>
  <c r="P21" i="1"/>
  <c r="AJ21" i="1" s="1"/>
  <c r="P22" i="1"/>
  <c r="AJ22" i="1" s="1"/>
  <c r="P23" i="1"/>
  <c r="AJ23" i="1" s="1"/>
  <c r="P24" i="1"/>
  <c r="AJ24" i="1" s="1"/>
  <c r="P25" i="1"/>
  <c r="AJ25" i="1" s="1"/>
  <c r="P26" i="1"/>
  <c r="AJ26" i="1" s="1"/>
  <c r="P27" i="1"/>
  <c r="AJ27" i="1" s="1"/>
  <c r="P28" i="1"/>
  <c r="AJ28" i="1" s="1"/>
  <c r="P29" i="1"/>
  <c r="AJ29" i="1" s="1"/>
  <c r="P30" i="1"/>
  <c r="AJ30" i="1" s="1"/>
  <c r="P31" i="1"/>
  <c r="AJ31" i="1" s="1"/>
  <c r="P32" i="1"/>
  <c r="P33" i="1"/>
  <c r="P34" i="1"/>
  <c r="P35" i="1"/>
  <c r="P36" i="1"/>
  <c r="P37" i="1"/>
  <c r="P38" i="1"/>
  <c r="P39" i="1"/>
  <c r="P40" i="1"/>
  <c r="P41" i="1"/>
  <c r="P42" i="1"/>
  <c r="P43" i="1"/>
  <c r="P44" i="1"/>
  <c r="P45" i="1"/>
  <c r="P46" i="1"/>
  <c r="P47" i="1"/>
  <c r="P48" i="1"/>
  <c r="R45" i="1" l="1"/>
  <c r="AL45" i="1" s="1"/>
  <c r="AM45" i="1" s="1"/>
  <c r="AJ45" i="1"/>
  <c r="R54" i="1"/>
  <c r="AL54" i="1" s="1"/>
  <c r="AM54" i="1" s="1"/>
  <c r="AJ54" i="1"/>
  <c r="R53" i="1"/>
  <c r="AL53" i="1" s="1"/>
  <c r="AM53" i="1" s="1"/>
  <c r="AJ53" i="1"/>
  <c r="R52" i="1"/>
  <c r="AL52" i="1" s="1"/>
  <c r="AM52" i="1" s="1"/>
  <c r="AJ52" i="1"/>
  <c r="R42" i="1"/>
  <c r="AL42" i="1" s="1"/>
  <c r="AM42" i="1" s="1"/>
  <c r="AJ42" i="1"/>
  <c r="R34" i="1"/>
  <c r="AL34" i="1" s="1"/>
  <c r="AM34" i="1" s="1"/>
  <c r="AJ34" i="1"/>
  <c r="R51" i="1"/>
  <c r="AL51" i="1" s="1"/>
  <c r="AM51" i="1" s="1"/>
  <c r="AJ51" i="1"/>
  <c r="R37" i="1"/>
  <c r="AL37" i="1" s="1"/>
  <c r="AM37" i="1" s="1"/>
  <c r="AJ37" i="1"/>
  <c r="R44" i="1"/>
  <c r="AL44" i="1" s="1"/>
  <c r="AM44" i="1" s="1"/>
  <c r="AJ44" i="1"/>
  <c r="R50" i="1"/>
  <c r="AL50" i="1" s="1"/>
  <c r="AM50" i="1" s="1"/>
  <c r="AJ50" i="1"/>
  <c r="R35" i="1"/>
  <c r="AL35" i="1" s="1"/>
  <c r="AM35" i="1" s="1"/>
  <c r="AJ35" i="1"/>
  <c r="R48" i="1"/>
  <c r="AL48" i="1" s="1"/>
  <c r="AM48" i="1" s="1"/>
  <c r="AJ48" i="1"/>
  <c r="R32" i="1"/>
  <c r="AL32" i="1" s="1"/>
  <c r="AM32" i="1" s="1"/>
  <c r="AJ32" i="1"/>
  <c r="R49" i="1"/>
  <c r="AL49" i="1" s="1"/>
  <c r="AM49" i="1" s="1"/>
  <c r="AJ49" i="1"/>
  <c r="R43" i="1"/>
  <c r="AL43" i="1" s="1"/>
  <c r="AM43" i="1" s="1"/>
  <c r="AJ43" i="1"/>
  <c r="R41" i="1"/>
  <c r="AL41" i="1" s="1"/>
  <c r="AM41" i="1" s="1"/>
  <c r="AJ41" i="1"/>
  <c r="R40" i="1"/>
  <c r="AL40" i="1" s="1"/>
  <c r="AM40" i="1" s="1"/>
  <c r="AJ40" i="1"/>
  <c r="R47" i="1"/>
  <c r="AL47" i="1" s="1"/>
  <c r="AM47" i="1" s="1"/>
  <c r="AJ47" i="1"/>
  <c r="R39" i="1"/>
  <c r="AL39" i="1" s="1"/>
  <c r="AM39" i="1" s="1"/>
  <c r="AJ39" i="1"/>
  <c r="R33" i="1"/>
  <c r="AL33" i="1" s="1"/>
  <c r="AM33" i="1" s="1"/>
  <c r="AJ33" i="1"/>
  <c r="R46" i="1"/>
  <c r="AL46" i="1" s="1"/>
  <c r="AM46" i="1" s="1"/>
  <c r="AJ46" i="1"/>
  <c r="R38" i="1"/>
  <c r="AL38" i="1" s="1"/>
  <c r="AM38" i="1" s="1"/>
  <c r="AJ38" i="1"/>
  <c r="R36" i="1"/>
  <c r="AL36" i="1" s="1"/>
  <c r="AM36" i="1" s="1"/>
  <c r="AJ36" i="1"/>
  <c r="R28" i="1"/>
  <c r="AL28" i="1" s="1"/>
  <c r="AM28" i="1" s="1"/>
  <c r="R20" i="1"/>
  <c r="AL20" i="1" s="1"/>
  <c r="AM20" i="1" s="1"/>
  <c r="R12" i="1"/>
  <c r="AL12" i="1" s="1"/>
  <c r="AM12" i="1" s="1"/>
  <c r="R27" i="1"/>
  <c r="AL27" i="1" s="1"/>
  <c r="AM27" i="1" s="1"/>
  <c r="R19" i="1"/>
  <c r="AL19" i="1" s="1"/>
  <c r="AM19" i="1" s="1"/>
  <c r="R11" i="1"/>
  <c r="AL11" i="1" s="1"/>
  <c r="AM11" i="1" s="1"/>
  <c r="R26" i="1"/>
  <c r="AL26" i="1" s="1"/>
  <c r="AM26" i="1" s="1"/>
  <c r="R18" i="1"/>
  <c r="AL18" i="1" s="1"/>
  <c r="AM18" i="1" s="1"/>
  <c r="R10" i="1"/>
  <c r="AL10" i="1" s="1"/>
  <c r="AM10" i="1" s="1"/>
  <c r="R25" i="1"/>
  <c r="AL25" i="1" s="1"/>
  <c r="AM25" i="1" s="1"/>
  <c r="R9" i="1"/>
  <c r="AL9" i="1" s="1"/>
  <c r="AM9" i="1" s="1"/>
  <c r="R21" i="1"/>
  <c r="AL21" i="1" s="1"/>
  <c r="AM21" i="1" s="1"/>
  <c r="R24" i="1"/>
  <c r="AL24" i="1" s="1"/>
  <c r="AM24" i="1" s="1"/>
  <c r="R16" i="1"/>
  <c r="AL16" i="1" s="1"/>
  <c r="AM16" i="1" s="1"/>
  <c r="R29" i="1"/>
  <c r="AL29" i="1" s="1"/>
  <c r="AM29" i="1" s="1"/>
  <c r="R31" i="1"/>
  <c r="AL31" i="1" s="1"/>
  <c r="AM31" i="1" s="1"/>
  <c r="R23" i="1"/>
  <c r="AL23" i="1" s="1"/>
  <c r="AM23" i="1" s="1"/>
  <c r="R15" i="1"/>
  <c r="AL15" i="1" s="1"/>
  <c r="AM15" i="1" s="1"/>
  <c r="R7" i="1"/>
  <c r="AL7" i="1" s="1"/>
  <c r="AM7" i="1" s="1"/>
  <c r="R13" i="1"/>
  <c r="AL13" i="1" s="1"/>
  <c r="AM13" i="1" s="1"/>
  <c r="R30" i="1"/>
  <c r="AL30" i="1" s="1"/>
  <c r="AM30" i="1" s="1"/>
  <c r="R22" i="1"/>
  <c r="AL22" i="1" s="1"/>
  <c r="AM22" i="1" s="1"/>
  <c r="R14" i="1"/>
  <c r="AL14" i="1" s="1"/>
  <c r="AM14" i="1" s="1"/>
  <c r="I65" i="1"/>
  <c r="I64" i="1"/>
  <c r="I63" i="1"/>
  <c r="R6" i="1"/>
  <c r="AL6" i="1" s="1"/>
  <c r="P60" i="1"/>
  <c r="P58" i="1"/>
  <c r="P57" i="1"/>
  <c r="P59" i="1"/>
  <c r="R17" i="1"/>
  <c r="AL17" i="1" s="1"/>
  <c r="AM17" i="1" s="1"/>
  <c r="R8" i="1"/>
  <c r="AL8" i="1" s="1"/>
  <c r="AM8" i="1" s="1"/>
  <c r="J63" i="1"/>
  <c r="J64" i="1"/>
  <c r="S63" i="1"/>
  <c r="L62" i="1"/>
  <c r="N64" i="1"/>
  <c r="L63" i="1"/>
  <c r="T63" i="1"/>
  <c r="T64" i="1"/>
  <c r="M63" i="1"/>
  <c r="L64" i="1"/>
  <c r="O63" i="1"/>
  <c r="O64" i="1"/>
  <c r="T62" i="1"/>
  <c r="O65" i="1"/>
  <c r="N65" i="1"/>
  <c r="S64" i="1"/>
  <c r="N63" i="1"/>
  <c r="K65" i="1"/>
  <c r="S62" i="1"/>
  <c r="K62" i="1"/>
  <c r="K63" i="1"/>
  <c r="J65" i="1"/>
  <c r="M64" i="1"/>
  <c r="M65" i="1"/>
  <c r="P55" i="1"/>
  <c r="AM6" i="1" l="1"/>
  <c r="AL57" i="1"/>
  <c r="AQ55" i="1"/>
  <c r="R59" i="1"/>
  <c r="R58" i="1"/>
  <c r="R57" i="1"/>
  <c r="R60" i="1"/>
  <c r="AJ58" i="1"/>
  <c r="AJ57" i="1"/>
  <c r="AJ60" i="1"/>
  <c r="AJ59" i="1"/>
  <c r="AJ55" i="1"/>
  <c r="R55" i="1"/>
  <c r="P61" i="1"/>
  <c r="P63" i="1" s="1"/>
  <c r="AL60" i="1" l="1"/>
  <c r="AL59" i="1"/>
  <c r="AL58" i="1"/>
  <c r="AJ61" i="1"/>
  <c r="AJ65" i="1" s="1"/>
  <c r="AL55" i="1"/>
  <c r="AM55" i="1" s="1"/>
  <c r="P65" i="1"/>
  <c r="P62" i="1"/>
  <c r="P64" i="1"/>
  <c r="R61" i="1"/>
  <c r="R65" i="1" s="1"/>
  <c r="AJ64" i="1" l="1"/>
  <c r="AJ62" i="1"/>
  <c r="AJ63" i="1"/>
  <c r="AL61" i="1"/>
  <c r="AL63" i="1" s="1"/>
  <c r="R64" i="1"/>
  <c r="R62" i="1"/>
  <c r="R63" i="1"/>
  <c r="AK61" i="1"/>
  <c r="AK64" i="1" s="1"/>
  <c r="AL65" i="1" l="1"/>
  <c r="AL64" i="1"/>
  <c r="AL62" i="1"/>
  <c r="AK63" i="1"/>
  <c r="AK62" i="1"/>
  <c r="AK65" i="1"/>
</calcChain>
</file>

<file path=xl/sharedStrings.xml><?xml version="1.0" encoding="utf-8"?>
<sst xmlns="http://schemas.openxmlformats.org/spreadsheetml/2006/main" count="243" uniqueCount="177">
  <si>
    <t>Şagird</t>
  </si>
  <si>
    <t>ata adı</t>
  </si>
  <si>
    <t>soyadı</t>
  </si>
  <si>
    <t>adı</t>
  </si>
  <si>
    <t>KSQ</t>
  </si>
  <si>
    <t>BSQ</t>
  </si>
  <si>
    <t>KSQ orta</t>
  </si>
  <si>
    <t>Monitorinq</t>
  </si>
  <si>
    <t>İllik</t>
  </si>
  <si>
    <t>Fənn üzrə nailiyyətlər cədvəli</t>
  </si>
  <si>
    <t>Cəmi</t>
  </si>
  <si>
    <t>Səviyyələr üzrə paylanma (%-lə)</t>
  </si>
  <si>
    <t>Sinif</t>
  </si>
  <si>
    <t>Səviyyələr üzrə paylanma (şagird sayı ilə)</t>
  </si>
  <si>
    <t>İndeks</t>
  </si>
  <si>
    <t>[0-30]</t>
  </si>
  <si>
    <t>(30-60]</t>
  </si>
  <si>
    <t>Müəllimin UTİS kodu</t>
  </si>
  <si>
    <t>Ötən tədris ili üzrə illik nəticə (balla)</t>
  </si>
  <si>
    <t>Ümumi illik dərs saatlarının miqdarı</t>
  </si>
  <si>
    <t>Summativ qiymətlər (balla)</t>
  </si>
  <si>
    <t>I yarımil üzrə nəticələr</t>
  </si>
  <si>
    <t>II yarımil üzrə nəticələr</t>
  </si>
  <si>
    <t>Monitorinq orta  illik</t>
  </si>
  <si>
    <t>İllik nəticələr</t>
  </si>
  <si>
    <r>
      <rPr>
        <sz val="10"/>
        <color theme="1"/>
        <rFont val="Calibri"/>
        <family val="2"/>
      </rPr>
      <t>(80</t>
    </r>
    <r>
      <rPr>
        <sz val="10"/>
        <color theme="1"/>
        <rFont val="Book Antiqua"/>
        <family val="1"/>
      </rPr>
      <t>-100</t>
    </r>
    <r>
      <rPr>
        <sz val="10"/>
        <color theme="1"/>
        <rFont val="Calibri"/>
        <family val="2"/>
      </rPr>
      <t>]</t>
    </r>
  </si>
  <si>
    <r>
      <rPr>
        <sz val="10"/>
        <color theme="1"/>
        <rFont val="Calibri"/>
        <family val="2"/>
      </rPr>
      <t>(60</t>
    </r>
    <r>
      <rPr>
        <sz val="10"/>
        <color theme="1"/>
        <rFont val="Book Antiqua"/>
        <family val="1"/>
      </rPr>
      <t>-80</t>
    </r>
    <r>
      <rPr>
        <sz val="10"/>
        <color theme="1"/>
        <rFont val="Calibri"/>
        <family val="2"/>
      </rPr>
      <t>]</t>
    </r>
  </si>
  <si>
    <t>İştirak faizi</t>
  </si>
  <si>
    <t>Fənnin kodu</t>
  </si>
  <si>
    <t>I</t>
  </si>
  <si>
    <t>II</t>
  </si>
  <si>
    <t>III</t>
  </si>
  <si>
    <t>IV</t>
  </si>
  <si>
    <t>I yarımildə ümumi qaiblərin sayı</t>
  </si>
  <si>
    <r>
      <rPr>
        <b/>
        <sz val="14"/>
        <color theme="1"/>
        <rFont val="Book Antiqua"/>
        <family val="1"/>
      </rPr>
      <t xml:space="preserve">II </t>
    </r>
    <r>
      <rPr>
        <sz val="11"/>
        <color theme="1"/>
        <rFont val="Book Antiqua"/>
        <family val="1"/>
      </rPr>
      <t xml:space="preserve">
Yİ</t>
    </r>
  </si>
  <si>
    <t>II yarımildə ümumi qaiblərin sayı</t>
  </si>
  <si>
    <t>KSQ orta illik</t>
  </si>
  <si>
    <t>BSQ orta illik</t>
  </si>
  <si>
    <t>Buraxılış imtahanı</t>
  </si>
  <si>
    <t>İllik qaiblərin cəmi</t>
  </si>
  <si>
    <t>Bal</t>
  </si>
  <si>
    <t>Qiymət</t>
  </si>
  <si>
    <t>Fənn üzrə yekun nəticələr</t>
  </si>
  <si>
    <r>
      <rPr>
        <b/>
        <sz val="14"/>
        <color theme="1"/>
        <rFont val="Book Antiqua"/>
        <family val="1"/>
      </rPr>
      <t xml:space="preserve">I </t>
    </r>
    <r>
      <rPr>
        <b/>
        <sz val="11"/>
        <color theme="1"/>
        <rFont val="Book Antiqua"/>
        <family val="1"/>
      </rPr>
      <t xml:space="preserve">
Yİ</t>
    </r>
  </si>
  <si>
    <t>Nailiyyətlərin qiymətləndirmə səviyyələri üzrə təsviri</t>
  </si>
  <si>
    <t>Nailiyyətlərin orta bal üzrə təsviri</t>
  </si>
  <si>
    <t>№</t>
  </si>
  <si>
    <t>Sütunlarda və sətirlərdə verilən məlumatların doldurulması üçün qaydalar</t>
  </si>
  <si>
    <t>Sütun və ya sətirlərin adı</t>
  </si>
  <si>
    <t>Doldurulma qaydası</t>
  </si>
  <si>
    <t>Məlumatı daxil edən şəxs</t>
  </si>
  <si>
    <t>Sinif rəhbəri</t>
  </si>
  <si>
    <t>Siniflər rəqəmlərlə qeyd edilir: 1, 2, 3, 4, 5, ..... 11 və s.</t>
  </si>
  <si>
    <t xml:space="preserve">Siniflərin indeksi qeyd olunur: A,B,C,D,E və s. Tək siniflərə A qeyd olunur. </t>
  </si>
  <si>
    <t>Şagird (Soyad, ad, ata adı)</t>
  </si>
  <si>
    <t>Soyad, ad və ata adı ayrı-ayrı xanalara daxil edilir.</t>
  </si>
  <si>
    <t>Fənn müəllimi</t>
  </si>
  <si>
    <t>Hər bir fənnin özünəməxsus 3 rəqəmli kodu vardır ki, həmin kod ağ xanaya daxil edilir. Ağ xanaya yazmaqla digər xanalar mexaniki şəkildə doldurulur.</t>
  </si>
  <si>
    <t xml:space="preserve">Fənn müəlliminin il ərzində sinif jurnalına yazacağı və illik planda nəzərdə tutduğu illik saatların ümumi miqdarı yazılır. Bu xanada həftəlik saatların miqdarı yazılmır. Ağ xanaya yazmaqla digər xanalar mexaniki şəkildə doldurulur. </t>
  </si>
  <si>
    <t>Şagirdin ötən tədris ilindəki nəticəsi qeyd olunur. Əgər fənn həmin sinifdə ilk dəfə tədris olunursa xana boş saxlanılır.</t>
  </si>
  <si>
    <t>KSQ nəticələri</t>
  </si>
  <si>
    <t>Hər yarımildə keçirilən kiçik summativ qiymətləndirmə nəticələri müvafiq olaraq qeyd olunur.</t>
  </si>
  <si>
    <t>Mexaniki</t>
  </si>
  <si>
    <t>Mexaniki olaraq doldurulur.</t>
  </si>
  <si>
    <t>Hər yarımildə keçirilən böyük summativ qiymətləndirmə nəticələri müvafiq olaraq qeyd olunur. Əgər böyük summativ qiymətləndirmə yoxdursa qeydlər aparılmır.</t>
  </si>
  <si>
    <t>I və ya II Yİ</t>
  </si>
  <si>
    <t xml:space="preserve">Burada yalnız Elm və Təhsil Nazirliyi və Bakı Şəhəri üzrə Təhsil İdarəsi tərəfindən həyata keçirilən monitorinqlərin nəticələri qeyd olunur. </t>
  </si>
  <si>
    <t>I və ya II yarımildə ümumi qaiblərin sayı</t>
  </si>
  <si>
    <t>Fənnlərin kodları</t>
  </si>
  <si>
    <t>Ümumi tarix</t>
  </si>
  <si>
    <t>101</t>
  </si>
  <si>
    <t>Azərbaycan dili</t>
  </si>
  <si>
    <t>102</t>
  </si>
  <si>
    <t>Ədəbiyyat</t>
  </si>
  <si>
    <t>104</t>
  </si>
  <si>
    <t>Rus dili</t>
  </si>
  <si>
    <t>106</t>
  </si>
  <si>
    <t>İngilis dili</t>
  </si>
  <si>
    <t>110</t>
  </si>
  <si>
    <t>Riyaziyyat</t>
  </si>
  <si>
    <t>114</t>
  </si>
  <si>
    <t>İnformatika</t>
  </si>
  <si>
    <t>117</t>
  </si>
  <si>
    <t>Azərbaycan tarixi</t>
  </si>
  <si>
    <t>120</t>
  </si>
  <si>
    <t>Coğrafiya</t>
  </si>
  <si>
    <t>125</t>
  </si>
  <si>
    <t>Fizika</t>
  </si>
  <si>
    <t>127</t>
  </si>
  <si>
    <t>Kimya</t>
  </si>
  <si>
    <t>128</t>
  </si>
  <si>
    <t>Həyat bilgisi</t>
  </si>
  <si>
    <t>129</t>
  </si>
  <si>
    <t>Biologiya</t>
  </si>
  <si>
    <t>130</t>
  </si>
  <si>
    <t>Çağırışaqədərki hazırlıq</t>
  </si>
  <si>
    <t>131</t>
  </si>
  <si>
    <t>Fiziki tərbiyə</t>
  </si>
  <si>
    <t>132</t>
  </si>
  <si>
    <t>Təsviri incəsənət</t>
  </si>
  <si>
    <t>133</t>
  </si>
  <si>
    <t>Musiqi</t>
  </si>
  <si>
    <t>135</t>
  </si>
  <si>
    <t>Texnologiya</t>
  </si>
  <si>
    <t>181</t>
  </si>
  <si>
    <t>Alman dili</t>
  </si>
  <si>
    <t>182</t>
  </si>
  <si>
    <t>Fransız dili</t>
  </si>
  <si>
    <t>281</t>
  </si>
  <si>
    <t>Rəqəmsal bacarıqlar</t>
  </si>
  <si>
    <t>771</t>
  </si>
  <si>
    <t>926</t>
  </si>
  <si>
    <t>Zəfər tarixi</t>
  </si>
  <si>
    <t>927</t>
  </si>
  <si>
    <t>Təbiət</t>
  </si>
  <si>
    <t>STEAM</t>
  </si>
  <si>
    <t xml:space="preserve">IX və XI siniflərin buraxılış imtahanı fənləri üzrə şagirdlərin nəticələri qeyd olunur. </t>
  </si>
  <si>
    <t xml:space="preserve">Fənn müəllimin UTİS kodu fənn müəllimi tərəfindən doldurulur. İki qrupa bölünərək tədris olunan fənlərin müəllimləri cədvəli birlikdə doldururlar. Bu zaman hər bir müəllim qrupunda olan şagirdin qarşısında öz UTİS kodunu daxil etməlidir. Əgər xarici dil fənnindən şagirdlər fərqli dillər üzrə qruplara bölünürsə fərqli səhifələr doldurulur. Lakin şagirdlərin siyahısını silmək və düzəliş etmək olmaz. </t>
  </si>
  <si>
    <r>
      <rPr>
        <b/>
        <sz val="11"/>
        <color theme="1"/>
        <rFont val="Palatino Linotype"/>
        <family val="1"/>
      </rPr>
      <t>DİQQƏT!</t>
    </r>
    <r>
      <rPr>
        <sz val="11"/>
        <color theme="1"/>
        <rFont val="Palatino Linotype"/>
        <family val="1"/>
      </rPr>
      <t xml:space="preserve">
- Sətirləri və sütunları silmək olmaz.
- Sinif rəhbəri yalnız sarı xanaları doldurur.
- Fənn müəllimi yalnız ağ xanaları doldurur.
- Yaşıl xanalar mexaniki doldurulur.
- Şifrəyə müdaxilə etmək olmaz.
- Şagirdlərin siyahısı yalnız sinif rəhbərinin verdiyi ardıcıllıqda olmalıdır. Siyahını dəyişdirmək qətiyyən olmaz. </t>
    </r>
  </si>
  <si>
    <t>Şagirdin birinci yarımildə üzrlü və üzrsüz buraxdığı dərs saatlarının və ya qaiblərin sayı qeyd olunur. Əgər şagirdin qaibi yoxdursa 0 yazılır. 0 yazılmazsa faiz doğru hesablanmır. Bu da nəticələrə təsir edir.</t>
  </si>
  <si>
    <r>
      <t xml:space="preserve">Dəyərli fənn müəllimləri, bildiyiniz kimi müəllimlərin təhsil müəssisələrində şagird nailiyyətlərinin artırılması üzrə fəaliyyəti üç funksiya üzərində təşkil olunur. Təhsilləndirici, tərbiyəedici və inkişafetdirici funksiyalar kompleks icra olunmaqla şagirdin tam formalaşması prosesi baş verir. Bir çox hallarda təhsil müəssisələrində təhsilləndirici və tərbiyəedici funksiyaların yerinə yetirməsində o qədər də ciddi problemlər olmur. İnkişafetdirici funksiyanın həyata keçirilməsi digərləri ilə müqayisədə olduqca çətin və peşəkar inkişafı şərtləndirən fəaliyyətləri özündə əks etdirir. Eyni zamanda bu funksiyanın icrası digər iki funksiyanın daha səmərəli həyata keçirilməsinə də geniş şərait yaradır. İnkişafetdiricilik üçün hesabatlılıq və nailiyyətlərin müntəzəm izlənilməsi vacib olduğundan Bakı Şəhəri üzrə Təhsil İdarəsinin Təhsilin keyfiyyətinə nəzarət sektoru bu hesabat modelini sizin üçün hazırlamışdır. Hesabat modelinin yaradılmasında əsas məqsədlər müəllimlərin İKT biliklərinin səmərəli tətbiqini təşviq etmək, informasiyalar üzərində təhliletmə və pedaqoji fəaliyyətlərin rəqəmsal və qrafik-vizual görüntülərini yaratmaq səriştələrini formalaşdırmaqdır. Hesabat modeli sizə aşağıdakı imkanları təqdim edir:
</t>
    </r>
    <r>
      <rPr>
        <b/>
        <sz val="11"/>
        <color theme="1"/>
        <rFont val="Palatino Linotype"/>
        <family val="1"/>
      </rPr>
      <t>1.</t>
    </r>
    <r>
      <rPr>
        <sz val="11"/>
        <color theme="1"/>
        <rFont val="Palatino Linotype"/>
        <family val="1"/>
      </rPr>
      <t xml:space="preserve"> Şagirdlərin nailiyyətlərini (uğurlarının və uğursuzluqlarının səbəblərini) ümümi şəkildə təhlil etmək;
</t>
    </r>
    <r>
      <rPr>
        <b/>
        <sz val="11"/>
        <color theme="1"/>
        <rFont val="Palatino Linotype"/>
        <family val="1"/>
      </rPr>
      <t>2.</t>
    </r>
    <r>
      <rPr>
        <sz val="11"/>
        <color theme="1"/>
        <rFont val="Palatino Linotype"/>
        <family val="1"/>
      </rPr>
      <t xml:space="preserve"> Qiymətləndirmə səviyyələri üzrə dəqiq statistik və qrafik-vizual məlumatlar əldə etmək bu məlumatlar əsasında qiymətləndirmələr arasındakı fərqləri, güclü və zəif tərəfləri aşkara çıxarmaq;
</t>
    </r>
    <r>
      <rPr>
        <b/>
        <sz val="11"/>
        <color theme="1"/>
        <rFont val="Palatino Linotype"/>
        <family val="1"/>
      </rPr>
      <t>3.</t>
    </r>
    <r>
      <rPr>
        <sz val="11"/>
        <color theme="1"/>
        <rFont val="Palatino Linotype"/>
        <family val="1"/>
      </rPr>
      <t xml:space="preserve"> Sinfin orta bal göstəriciləri üzrə dinamikasını müəyyən etmək;
</t>
    </r>
    <r>
      <rPr>
        <b/>
        <sz val="11"/>
        <color theme="1"/>
        <rFont val="Palatino Linotype"/>
        <family val="1"/>
      </rPr>
      <t>4.</t>
    </r>
    <r>
      <rPr>
        <sz val="11"/>
        <color theme="1"/>
        <rFont val="Palatino Linotype"/>
        <family val="1"/>
      </rPr>
      <t xml:space="preserve"> Şagirdlərin inkişafı üzrə dinamikanı və inkişafa təsir edən amillər arasında əlaqələri müəyyən etmək;
</t>
    </r>
    <r>
      <rPr>
        <b/>
        <sz val="11"/>
        <color theme="1"/>
        <rFont val="Palatino Linotype"/>
        <family val="1"/>
      </rPr>
      <t xml:space="preserve">5. </t>
    </r>
    <r>
      <rPr>
        <sz val="11"/>
        <color theme="1"/>
        <rFont val="Palatino Linotype"/>
        <family val="1"/>
      </rPr>
      <t xml:space="preserve">Fənn müəllimi, məktəb rəhbərliyi və təhsil idarəetmə orqanları tərəfindən aparılmış qiymətləndirmə və ya monitorinqlər arasındakı fərqləri müəyyən etmək;
</t>
    </r>
    <r>
      <rPr>
        <b/>
        <sz val="11"/>
        <color theme="1"/>
        <rFont val="Palatino Linotype"/>
        <family val="1"/>
      </rPr>
      <t xml:space="preserve">6. </t>
    </r>
    <r>
      <rPr>
        <sz val="11"/>
        <color theme="1"/>
        <rFont val="Palatino Linotype"/>
        <family val="1"/>
      </rPr>
      <t xml:space="preserve">Riskləri qabaqcadan müəyyən etməklə inkişafa dəstək olmaq üçün kompleks fəaliyyətləri tənzimləmək.
</t>
    </r>
    <r>
      <rPr>
        <b/>
        <sz val="11"/>
        <color theme="1"/>
        <rFont val="Palatino Linotype"/>
        <family val="1"/>
      </rPr>
      <t>7.</t>
    </r>
    <r>
      <rPr>
        <sz val="11"/>
        <color theme="1"/>
        <rFont val="Palatino Linotype"/>
        <family val="1"/>
      </rPr>
      <t xml:space="preserve"> Bəzi xanaların mexaniki doldurulması ilə iş yükünü və hesablama işini azaltmaq. </t>
    </r>
  </si>
  <si>
    <t>C</t>
  </si>
  <si>
    <t>Abbasov</t>
  </si>
  <si>
    <t>Namaz</t>
  </si>
  <si>
    <t xml:space="preserve">Eldar </t>
  </si>
  <si>
    <t>Ağayev</t>
  </si>
  <si>
    <t>Cavidan</t>
  </si>
  <si>
    <t xml:space="preserve">Amid </t>
  </si>
  <si>
    <t>Allahverdiyev</t>
  </si>
  <si>
    <t>Kənan</t>
  </si>
  <si>
    <t xml:space="preserve">Ramin </t>
  </si>
  <si>
    <t>Bəbişov</t>
  </si>
  <si>
    <t>Ayhan</t>
  </si>
  <si>
    <t xml:space="preserve">Fuad </t>
  </si>
  <si>
    <t>Bəhmənli</t>
  </si>
  <si>
    <t>Şəfa</t>
  </si>
  <si>
    <t xml:space="preserve">Heydər </t>
  </si>
  <si>
    <t>Bəşirli</t>
  </si>
  <si>
    <t>Hüseyn</t>
  </si>
  <si>
    <t xml:space="preserve">Cəlil </t>
  </si>
  <si>
    <t>Cumayev</t>
  </si>
  <si>
    <t>Tunar</t>
  </si>
  <si>
    <t xml:space="preserve">İftixar </t>
  </si>
  <si>
    <t>Fərzəlili</t>
  </si>
  <si>
    <t xml:space="preserve">Tural </t>
  </si>
  <si>
    <t>Hacıyev</t>
  </si>
  <si>
    <t>Yusif</t>
  </si>
  <si>
    <t xml:space="preserve">Məhəmmədəli </t>
  </si>
  <si>
    <t>İsmayıllı</t>
  </si>
  <si>
    <t>Məhəmməd</t>
  </si>
  <si>
    <t xml:space="preserve">Xəyal </t>
  </si>
  <si>
    <t>Quluzadə</t>
  </si>
  <si>
    <t>Mehrac</t>
  </si>
  <si>
    <t xml:space="preserve">Rəşad </t>
  </si>
  <si>
    <t>Məmmədli</t>
  </si>
  <si>
    <t>Narınc</t>
  </si>
  <si>
    <t xml:space="preserve">İxtiyar </t>
  </si>
  <si>
    <t>Mirxaslı</t>
  </si>
  <si>
    <t>Mirnicat</t>
  </si>
  <si>
    <t xml:space="preserve">Rasət </t>
  </si>
  <si>
    <t>Muradlı</t>
  </si>
  <si>
    <t>Səbran</t>
  </si>
  <si>
    <t xml:space="preserve">Emin </t>
  </si>
  <si>
    <t>Rizvanova</t>
  </si>
  <si>
    <t>Rəna</t>
  </si>
  <si>
    <t xml:space="preserve">Taleh </t>
  </si>
  <si>
    <t>Rüstəmzadə</t>
  </si>
  <si>
    <t>Yusifəli</t>
  </si>
  <si>
    <t>Şahbazov</t>
  </si>
  <si>
    <t>Talışinski</t>
  </si>
  <si>
    <t>Mirnurəddin</t>
  </si>
  <si>
    <t xml:space="preserve">Rövşən </t>
  </si>
  <si>
    <t>Yadigarova</t>
  </si>
  <si>
    <t>Ruzigar</t>
  </si>
  <si>
    <t>Zutov</t>
  </si>
  <si>
    <t>Şaban</t>
  </si>
  <si>
    <t>Veysəl</t>
  </si>
</sst>
</file>

<file path=xl/styles.xml><?xml version="1.0" encoding="utf-8"?>
<styleSheet xmlns="http://schemas.openxmlformats.org/spreadsheetml/2006/main" xmlns:mc="http://schemas.openxmlformats.org/markup-compatibility/2006" xmlns:x14ac="http://schemas.microsoft.com/office/spreadsheetml/2009/9/ac" mc:Ignorable="x14ac">
  <fonts count="18">
    <font>
      <sz val="11"/>
      <color theme="1"/>
      <name val="Calibri"/>
      <family val="2"/>
      <scheme val="minor"/>
    </font>
    <font>
      <sz val="11"/>
      <color theme="1"/>
      <name val="Book Antiqua"/>
      <family val="1"/>
    </font>
    <font>
      <b/>
      <sz val="11"/>
      <color theme="1"/>
      <name val="Book Antiqua"/>
      <family val="1"/>
    </font>
    <font>
      <b/>
      <sz val="16"/>
      <color theme="1"/>
      <name val="Book Antiqua"/>
      <family val="1"/>
    </font>
    <font>
      <b/>
      <sz val="20"/>
      <color theme="1"/>
      <name val="Book Antiqua"/>
      <family val="1"/>
    </font>
    <font>
      <sz val="12"/>
      <color theme="1"/>
      <name val="Book Antiqua"/>
      <family val="1"/>
    </font>
    <font>
      <sz val="14"/>
      <color theme="1"/>
      <name val="Book Antiqua"/>
      <family val="1"/>
    </font>
    <font>
      <sz val="16"/>
      <color theme="1"/>
      <name val="Book Antiqua"/>
      <family val="1"/>
    </font>
    <font>
      <sz val="10"/>
      <color theme="1"/>
      <name val="Book Antiqua"/>
      <family val="1"/>
    </font>
    <font>
      <sz val="10"/>
      <color theme="1"/>
      <name val="Calibri"/>
      <family val="2"/>
    </font>
    <font>
      <sz val="9"/>
      <color theme="1"/>
      <name val="Book Antiqua"/>
      <family val="1"/>
    </font>
    <font>
      <b/>
      <sz val="12"/>
      <color theme="1"/>
      <name val="Book Antiqua"/>
      <family val="1"/>
    </font>
    <font>
      <b/>
      <sz val="14"/>
      <color theme="1"/>
      <name val="Book Antiqua"/>
      <family val="1"/>
    </font>
    <font>
      <b/>
      <sz val="24"/>
      <color theme="1"/>
      <name val="Book Antiqua"/>
      <family val="1"/>
    </font>
    <font>
      <sz val="11"/>
      <color theme="1"/>
      <name val="Palatino Linotype"/>
      <family val="1"/>
    </font>
    <font>
      <b/>
      <sz val="11"/>
      <color theme="1"/>
      <name val="Palatino Linotype"/>
      <family val="1"/>
    </font>
    <font>
      <b/>
      <sz val="12"/>
      <color theme="1"/>
      <name val="Palatino Linotype"/>
      <family val="1"/>
    </font>
    <font>
      <b/>
      <sz val="14"/>
      <color theme="1"/>
      <name val="Palatino Linotype"/>
      <family val="1"/>
    </font>
  </fonts>
  <fills count="10">
    <fill>
      <patternFill patternType="none"/>
    </fill>
    <fill>
      <patternFill patternType="gray125"/>
    </fill>
    <fill>
      <patternFill patternType="solid">
        <fgColor rgb="FF33CCCC"/>
        <bgColor indexed="64"/>
      </patternFill>
    </fill>
    <fill>
      <patternFill patternType="solid">
        <fgColor rgb="FFCDF3F2"/>
        <bgColor indexed="64"/>
      </patternFill>
    </fill>
    <fill>
      <patternFill patternType="solid">
        <fgColor theme="0" tint="-4.9989318521683403E-2"/>
        <bgColor indexed="64"/>
      </patternFill>
    </fill>
    <fill>
      <patternFill patternType="solid">
        <fgColor theme="0" tint="-0.14999847407452621"/>
        <bgColor indexed="64"/>
      </patternFill>
    </fill>
    <fill>
      <patternFill patternType="solid">
        <fgColor theme="4" tint="0.79998168889431442"/>
        <bgColor indexed="64"/>
      </patternFill>
    </fill>
    <fill>
      <patternFill patternType="solid">
        <fgColor rgb="FFFFFF99"/>
        <bgColor indexed="64"/>
      </patternFill>
    </fill>
    <fill>
      <patternFill patternType="solid">
        <fgColor rgb="FFFF7C80"/>
        <bgColor indexed="64"/>
      </patternFill>
    </fill>
    <fill>
      <patternFill patternType="solid">
        <fgColor rgb="FF99FFCC"/>
        <bgColor indexed="64"/>
      </patternFill>
    </fill>
  </fills>
  <borders count="38">
    <border>
      <left/>
      <right/>
      <top/>
      <bottom/>
      <diagonal/>
    </border>
    <border>
      <left style="thin">
        <color theme="6" tint="0.39997558519241921"/>
      </left>
      <right style="thin">
        <color theme="6" tint="0.39997558519241921"/>
      </right>
      <top style="thin">
        <color theme="6" tint="0.39997558519241921"/>
      </top>
      <bottom style="thin">
        <color theme="6" tint="0.39997558519241921"/>
      </bottom>
      <diagonal/>
    </border>
    <border>
      <left/>
      <right/>
      <top style="thin">
        <color theme="6" tint="0.39997558519241921"/>
      </top>
      <bottom/>
      <diagonal/>
    </border>
    <border>
      <left style="thin">
        <color theme="0" tint="-0.499984740745262"/>
      </left>
      <right style="thin">
        <color theme="0" tint="-0.499984740745262"/>
      </right>
      <top style="thin">
        <color theme="0" tint="-0.499984740745262"/>
      </top>
      <bottom style="thin">
        <color theme="0" tint="-0.499984740745262"/>
      </bottom>
      <diagonal/>
    </border>
    <border>
      <left style="thin">
        <color theme="0" tint="-0.499984740745262"/>
      </left>
      <right style="thin">
        <color theme="0" tint="-0.499984740745262"/>
      </right>
      <top style="thin">
        <color theme="0" tint="-0.499984740745262"/>
      </top>
      <bottom/>
      <diagonal/>
    </border>
    <border>
      <left style="thin">
        <color theme="0" tint="-0.499984740745262"/>
      </left>
      <right style="thin">
        <color theme="0" tint="-0.499984740745262"/>
      </right>
      <top/>
      <bottom style="thin">
        <color theme="0" tint="-0.499984740745262"/>
      </bottom>
      <diagonal/>
    </border>
    <border>
      <left style="thin">
        <color theme="0" tint="-0.499984740745262"/>
      </left>
      <right/>
      <top style="thin">
        <color theme="0" tint="-0.499984740745262"/>
      </top>
      <bottom style="thin">
        <color theme="0" tint="-0.499984740745262"/>
      </bottom>
      <diagonal/>
    </border>
    <border>
      <left/>
      <right/>
      <top style="thin">
        <color theme="0" tint="-0.499984740745262"/>
      </top>
      <bottom style="thin">
        <color theme="0" tint="-0.499984740745262"/>
      </bottom>
      <diagonal/>
    </border>
    <border>
      <left/>
      <right style="thin">
        <color theme="0" tint="-0.499984740745262"/>
      </right>
      <top style="thin">
        <color theme="0" tint="-0.499984740745262"/>
      </top>
      <bottom style="thin">
        <color theme="0" tint="-0.499984740745262"/>
      </bottom>
      <diagonal/>
    </border>
    <border>
      <left style="thin">
        <color theme="0" tint="-0.499984740745262"/>
      </left>
      <right style="thin">
        <color theme="0" tint="-0.499984740745262"/>
      </right>
      <top/>
      <bottom/>
      <diagonal/>
    </border>
    <border>
      <left style="thin">
        <color theme="0" tint="-0.499984740745262"/>
      </left>
      <right style="medium">
        <color indexed="64"/>
      </right>
      <top style="thin">
        <color theme="0" tint="-0.499984740745262"/>
      </top>
      <bottom style="thin">
        <color theme="0" tint="-0.499984740745262"/>
      </bottom>
      <diagonal/>
    </border>
    <border>
      <left style="medium">
        <color indexed="64"/>
      </left>
      <right style="thin">
        <color theme="0" tint="-0.499984740745262"/>
      </right>
      <top style="medium">
        <color indexed="64"/>
      </top>
      <bottom style="thin">
        <color theme="0" tint="-0.499984740745262"/>
      </bottom>
      <diagonal/>
    </border>
    <border>
      <left style="thin">
        <color theme="0" tint="-0.499984740745262"/>
      </left>
      <right style="thin">
        <color theme="0" tint="-0.499984740745262"/>
      </right>
      <top style="medium">
        <color indexed="64"/>
      </top>
      <bottom style="thin">
        <color theme="0" tint="-0.499984740745262"/>
      </bottom>
      <diagonal/>
    </border>
    <border>
      <left style="thin">
        <color theme="0" tint="-0.499984740745262"/>
      </left>
      <right style="medium">
        <color indexed="64"/>
      </right>
      <top style="medium">
        <color indexed="64"/>
      </top>
      <bottom style="thin">
        <color theme="0" tint="-0.499984740745262"/>
      </bottom>
      <diagonal/>
    </border>
    <border>
      <left style="medium">
        <color indexed="64"/>
      </left>
      <right style="thin">
        <color theme="0" tint="-0.499984740745262"/>
      </right>
      <top style="thin">
        <color theme="0" tint="-0.499984740745262"/>
      </top>
      <bottom style="medium">
        <color indexed="64"/>
      </bottom>
      <diagonal/>
    </border>
    <border>
      <left style="thin">
        <color theme="0" tint="-0.499984740745262"/>
      </left>
      <right style="thin">
        <color theme="0" tint="-0.499984740745262"/>
      </right>
      <top style="thin">
        <color theme="0" tint="-0.499984740745262"/>
      </top>
      <bottom style="medium">
        <color indexed="64"/>
      </bottom>
      <diagonal/>
    </border>
    <border>
      <left style="thin">
        <color theme="0" tint="-0.499984740745262"/>
      </left>
      <right style="medium">
        <color indexed="64"/>
      </right>
      <top style="thin">
        <color theme="0" tint="-0.499984740745262"/>
      </top>
      <bottom style="medium">
        <color indexed="64"/>
      </bottom>
      <diagonal/>
    </border>
    <border>
      <left style="medium">
        <color indexed="64"/>
      </left>
      <right style="thin">
        <color theme="0" tint="-0.499984740745262"/>
      </right>
      <top style="thin">
        <color theme="0" tint="-0.499984740745262"/>
      </top>
      <bottom style="thin">
        <color theme="0" tint="-0.499984740745262"/>
      </bottom>
      <diagonal/>
    </border>
    <border>
      <left style="thin">
        <color indexed="64"/>
      </left>
      <right style="thin">
        <color indexed="64"/>
      </right>
      <top style="thin">
        <color indexed="64"/>
      </top>
      <bottom style="thin">
        <color indexed="64"/>
      </bottom>
      <diagonal/>
    </border>
    <border>
      <left style="thin">
        <color theme="6" tint="0.39997558519241921"/>
      </left>
      <right/>
      <top style="thin">
        <color theme="6" tint="0.39997558519241921"/>
      </top>
      <bottom style="thin">
        <color theme="6" tint="0.39997558519241921"/>
      </bottom>
      <diagonal/>
    </border>
    <border>
      <left/>
      <right style="thin">
        <color theme="6" tint="0.39997558519241921"/>
      </right>
      <top style="thin">
        <color theme="6" tint="0.39997558519241921"/>
      </top>
      <bottom style="thin">
        <color theme="6" tint="0.39997558519241921"/>
      </bottom>
      <diagonal/>
    </border>
    <border>
      <left style="thin">
        <color theme="6" tint="0.39997558519241921"/>
      </left>
      <right/>
      <top style="thin">
        <color theme="6" tint="0.39997558519241921"/>
      </top>
      <bottom/>
      <diagonal/>
    </border>
    <border>
      <left/>
      <right style="thin">
        <color theme="6" tint="0.39997558519241921"/>
      </right>
      <top style="thin">
        <color theme="6" tint="0.39997558519241921"/>
      </top>
      <bottom/>
      <diagonal/>
    </border>
    <border>
      <left style="thin">
        <color theme="6" tint="0.39997558519241921"/>
      </left>
      <right/>
      <top/>
      <bottom/>
      <diagonal/>
    </border>
    <border>
      <left/>
      <right style="thin">
        <color theme="6" tint="0.39997558519241921"/>
      </right>
      <top/>
      <bottom/>
      <diagonal/>
    </border>
    <border>
      <left style="thin">
        <color theme="6" tint="0.39997558519241921"/>
      </left>
      <right/>
      <top/>
      <bottom style="thin">
        <color theme="6" tint="0.39997558519241921"/>
      </bottom>
      <diagonal/>
    </border>
    <border>
      <left/>
      <right/>
      <top/>
      <bottom style="thin">
        <color theme="6" tint="0.39997558519241921"/>
      </bottom>
      <diagonal/>
    </border>
    <border>
      <left/>
      <right style="thin">
        <color theme="6" tint="0.39997558519241921"/>
      </right>
      <top/>
      <bottom style="thin">
        <color theme="6" tint="0.39997558519241921"/>
      </bottom>
      <diagonal/>
    </border>
    <border>
      <left style="thin">
        <color theme="1" tint="0.499984740745262"/>
      </left>
      <right style="thin">
        <color theme="1" tint="0.499984740745262"/>
      </right>
      <top style="thin">
        <color theme="1" tint="0.499984740745262"/>
      </top>
      <bottom style="thin">
        <color theme="1" tint="0.499984740745262"/>
      </bottom>
      <diagonal/>
    </border>
    <border>
      <left style="thin">
        <color theme="0" tint="-0.499984740745262"/>
      </left>
      <right style="thin">
        <color theme="0" tint="-0.499984740745262"/>
      </right>
      <top style="medium">
        <color indexed="64"/>
      </top>
      <bottom/>
      <diagonal/>
    </border>
    <border>
      <left style="thin">
        <color theme="0" tint="-0.499984740745262"/>
      </left>
      <right style="thin">
        <color theme="0" tint="-0.499984740745262"/>
      </right>
      <top style="thin">
        <color theme="1" tint="0.499984740745262"/>
      </top>
      <bottom style="medium">
        <color indexed="64"/>
      </bottom>
      <diagonal/>
    </border>
    <border>
      <left style="thin">
        <color theme="0" tint="-0.499984740745262"/>
      </left>
      <right/>
      <top style="medium">
        <color indexed="64"/>
      </top>
      <bottom style="thin">
        <color theme="0" tint="-0.499984740745262"/>
      </bottom>
      <diagonal/>
    </border>
    <border>
      <left style="thin">
        <color theme="0" tint="-0.499984740745262"/>
      </left>
      <right/>
      <top style="thin">
        <color theme="0" tint="-0.499984740745262"/>
      </top>
      <bottom style="medium">
        <color indexed="64"/>
      </bottom>
      <diagonal/>
    </border>
    <border>
      <left/>
      <right style="thin">
        <color theme="0" tint="-0.499984740745262"/>
      </right>
      <top style="medium">
        <color indexed="64"/>
      </top>
      <bottom style="thin">
        <color theme="0" tint="-0.499984740745262"/>
      </bottom>
      <diagonal/>
    </border>
    <border>
      <left/>
      <right style="thin">
        <color theme="0" tint="-0.499984740745262"/>
      </right>
      <top style="thin">
        <color theme="0" tint="-0.499984740745262"/>
      </top>
      <bottom style="medium">
        <color indexed="64"/>
      </bottom>
      <diagonal/>
    </border>
    <border>
      <left style="thin">
        <color theme="1" tint="0.499984740745262"/>
      </left>
      <right style="thin">
        <color theme="1" tint="0.499984740745262"/>
      </right>
      <top style="thin">
        <color theme="1" tint="0.499984740745262"/>
      </top>
      <bottom style="medium">
        <color indexed="64"/>
      </bottom>
      <diagonal/>
    </border>
    <border>
      <left style="thin">
        <color theme="1" tint="0.499984740745262"/>
      </left>
      <right style="thin">
        <color theme="1" tint="0.499984740745262"/>
      </right>
      <top style="medium">
        <color indexed="64"/>
      </top>
      <bottom style="thin">
        <color theme="1" tint="0.499984740745262"/>
      </bottom>
      <diagonal/>
    </border>
    <border>
      <left/>
      <right/>
      <top/>
      <bottom style="thin">
        <color theme="0" tint="-0.499984740745262"/>
      </bottom>
      <diagonal/>
    </border>
  </borders>
  <cellStyleXfs count="1">
    <xf numFmtId="0" fontId="0" fillId="0" borderId="0"/>
  </cellStyleXfs>
  <cellXfs count="120">
    <xf numFmtId="0" fontId="0" fillId="0" borderId="0" xfId="0"/>
    <xf numFmtId="0" fontId="1" fillId="3" borderId="3" xfId="0" applyFont="1" applyFill="1" applyBorder="1" applyAlignment="1" applyProtection="1">
      <alignment horizontal="center" vertical="center" wrapText="1"/>
      <protection hidden="1"/>
    </xf>
    <xf numFmtId="2" fontId="1" fillId="3" borderId="3" xfId="0" applyNumberFormat="1" applyFont="1" applyFill="1" applyBorder="1" applyAlignment="1" applyProtection="1">
      <alignment horizontal="center" vertical="center" wrapText="1"/>
      <protection hidden="1"/>
    </xf>
    <xf numFmtId="2" fontId="2" fillId="3" borderId="3" xfId="0" applyNumberFormat="1" applyFont="1" applyFill="1" applyBorder="1" applyAlignment="1" applyProtection="1">
      <alignment horizontal="center" vertical="center" wrapText="1"/>
      <protection hidden="1"/>
    </xf>
    <xf numFmtId="1" fontId="2" fillId="3" borderId="3" xfId="0" applyNumberFormat="1" applyFont="1" applyFill="1" applyBorder="1" applyAlignment="1" applyProtection="1">
      <alignment horizontal="center" vertical="center" wrapText="1"/>
      <protection hidden="1"/>
    </xf>
    <xf numFmtId="1" fontId="1" fillId="3" borderId="3" xfId="0" applyNumberFormat="1" applyFont="1" applyFill="1" applyBorder="1" applyAlignment="1" applyProtection="1">
      <alignment horizontal="center" vertical="center" wrapText="1"/>
      <protection hidden="1"/>
    </xf>
    <xf numFmtId="1" fontId="1" fillId="4" borderId="1" xfId="0" applyNumberFormat="1" applyFont="1" applyFill="1" applyBorder="1" applyAlignment="1" applyProtection="1">
      <alignment horizontal="center" vertical="center" wrapText="1"/>
      <protection hidden="1"/>
    </xf>
    <xf numFmtId="1" fontId="1" fillId="5" borderId="1" xfId="0" applyNumberFormat="1" applyFont="1" applyFill="1" applyBorder="1" applyAlignment="1" applyProtection="1">
      <alignment horizontal="center" vertical="center" wrapText="1"/>
      <protection hidden="1"/>
    </xf>
    <xf numFmtId="1" fontId="1" fillId="6" borderId="1" xfId="0" applyNumberFormat="1" applyFont="1" applyFill="1" applyBorder="1" applyAlignment="1" applyProtection="1">
      <alignment horizontal="center" vertical="center" wrapText="1"/>
      <protection hidden="1"/>
    </xf>
    <xf numFmtId="0" fontId="4" fillId="0" borderId="0" xfId="0" applyFont="1" applyAlignment="1" applyProtection="1">
      <alignment vertical="center" wrapText="1"/>
      <protection hidden="1"/>
    </xf>
    <xf numFmtId="2" fontId="1" fillId="0" borderId="0" xfId="0" applyNumberFormat="1" applyFont="1" applyAlignment="1" applyProtection="1">
      <alignment horizontal="center" vertical="center" wrapText="1"/>
      <protection hidden="1"/>
    </xf>
    <xf numFmtId="0" fontId="0" fillId="0" borderId="0" xfId="0" applyProtection="1">
      <protection hidden="1"/>
    </xf>
    <xf numFmtId="2" fontId="1" fillId="0" borderId="3" xfId="0" applyNumberFormat="1" applyFont="1" applyBorder="1" applyAlignment="1" applyProtection="1">
      <alignment horizontal="center" vertical="center" wrapText="1"/>
      <protection locked="0"/>
    </xf>
    <xf numFmtId="0" fontId="3" fillId="0" borderId="4" xfId="0" applyFont="1" applyBorder="1" applyAlignment="1" applyProtection="1">
      <alignment horizontal="center" vertical="center" wrapText="1"/>
      <protection locked="0"/>
    </xf>
    <xf numFmtId="0" fontId="11" fillId="3" borderId="4" xfId="0" applyFont="1" applyFill="1" applyBorder="1" applyAlignment="1" applyProtection="1">
      <alignment horizontal="center" vertical="center" wrapText="1"/>
      <protection hidden="1"/>
    </xf>
    <xf numFmtId="0" fontId="1" fillId="0" borderId="11" xfId="0" applyFont="1" applyBorder="1" applyAlignment="1" applyProtection="1">
      <alignment horizontal="center" vertical="center" wrapText="1"/>
      <protection locked="0"/>
    </xf>
    <xf numFmtId="0" fontId="1" fillId="3" borderId="12" xfId="0" applyFont="1" applyFill="1" applyBorder="1" applyAlignment="1" applyProtection="1">
      <alignment horizontal="center" vertical="center" wrapText="1"/>
      <protection hidden="1"/>
    </xf>
    <xf numFmtId="2" fontId="1" fillId="0" borderId="12" xfId="0" applyNumberFormat="1" applyFont="1" applyBorder="1" applyAlignment="1" applyProtection="1">
      <alignment horizontal="center" vertical="center" wrapText="1"/>
      <protection locked="0"/>
    </xf>
    <xf numFmtId="2" fontId="1" fillId="3" borderId="12" xfId="0" applyNumberFormat="1" applyFont="1" applyFill="1" applyBorder="1" applyAlignment="1" applyProtection="1">
      <alignment horizontal="center" vertical="center" wrapText="1"/>
      <protection hidden="1"/>
    </xf>
    <xf numFmtId="2" fontId="2" fillId="3" borderId="12" xfId="0" applyNumberFormat="1" applyFont="1" applyFill="1" applyBorder="1" applyAlignment="1" applyProtection="1">
      <alignment horizontal="center" vertical="center" wrapText="1"/>
      <protection hidden="1"/>
    </xf>
    <xf numFmtId="1" fontId="1" fillId="0" borderId="12" xfId="0" applyNumberFormat="1" applyFont="1" applyBorder="1" applyAlignment="1" applyProtection="1">
      <alignment horizontal="center" vertical="center" wrapText="1"/>
      <protection locked="0"/>
    </xf>
    <xf numFmtId="1" fontId="2" fillId="3" borderId="12" xfId="0" applyNumberFormat="1" applyFont="1" applyFill="1" applyBorder="1" applyAlignment="1" applyProtection="1">
      <alignment horizontal="center" vertical="center" wrapText="1"/>
      <protection hidden="1"/>
    </xf>
    <xf numFmtId="0" fontId="2" fillId="2" borderId="5" xfId="0" applyFont="1" applyFill="1" applyBorder="1" applyAlignment="1" applyProtection="1">
      <alignment horizontal="center" vertical="center" wrapText="1"/>
      <protection hidden="1"/>
    </xf>
    <xf numFmtId="2" fontId="2" fillId="2" borderId="5" xfId="0" applyNumberFormat="1" applyFont="1" applyFill="1" applyBorder="1" applyAlignment="1" applyProtection="1">
      <alignment horizontal="center" vertical="center" wrapText="1"/>
      <protection hidden="1"/>
    </xf>
    <xf numFmtId="1" fontId="2" fillId="2" borderId="5" xfId="0" applyNumberFormat="1" applyFont="1" applyFill="1" applyBorder="1" applyAlignment="1" applyProtection="1">
      <alignment horizontal="center" vertical="center" wrapText="1"/>
      <protection hidden="1"/>
    </xf>
    <xf numFmtId="1" fontId="1" fillId="3" borderId="12" xfId="0" applyNumberFormat="1" applyFont="1" applyFill="1" applyBorder="1" applyAlignment="1" applyProtection="1">
      <alignment horizontal="center" vertical="center" wrapText="1"/>
      <protection hidden="1"/>
    </xf>
    <xf numFmtId="2" fontId="1" fillId="3" borderId="13" xfId="0" applyNumberFormat="1" applyFont="1" applyFill="1" applyBorder="1" applyAlignment="1" applyProtection="1">
      <alignment horizontal="center" vertical="center" wrapText="1"/>
      <protection hidden="1"/>
    </xf>
    <xf numFmtId="0" fontId="1" fillId="0" borderId="17" xfId="0" applyFont="1" applyBorder="1" applyAlignment="1" applyProtection="1">
      <alignment horizontal="center" vertical="center" wrapText="1"/>
      <protection locked="0"/>
    </xf>
    <xf numFmtId="2" fontId="1" fillId="3" borderId="10" xfId="0" applyNumberFormat="1" applyFont="1" applyFill="1" applyBorder="1" applyAlignment="1" applyProtection="1">
      <alignment horizontal="center" vertical="center" wrapText="1"/>
      <protection hidden="1"/>
    </xf>
    <xf numFmtId="0" fontId="1" fillId="0" borderId="14" xfId="0" applyFont="1" applyBorder="1" applyAlignment="1" applyProtection="1">
      <alignment horizontal="center" vertical="center" wrapText="1"/>
      <protection locked="0"/>
    </xf>
    <xf numFmtId="0" fontId="1" fillId="3" borderId="15" xfId="0" applyFont="1" applyFill="1" applyBorder="1" applyAlignment="1" applyProtection="1">
      <alignment horizontal="center" vertical="center" wrapText="1"/>
      <protection hidden="1"/>
    </xf>
    <xf numFmtId="2" fontId="1" fillId="0" borderId="15" xfId="0" applyNumberFormat="1" applyFont="1" applyBorder="1" applyAlignment="1" applyProtection="1">
      <alignment horizontal="center" vertical="center" wrapText="1"/>
      <protection locked="0"/>
    </xf>
    <xf numFmtId="2" fontId="1" fillId="3" borderId="15" xfId="0" applyNumberFormat="1" applyFont="1" applyFill="1" applyBorder="1" applyAlignment="1" applyProtection="1">
      <alignment horizontal="center" vertical="center" wrapText="1"/>
      <protection hidden="1"/>
    </xf>
    <xf numFmtId="2" fontId="2" fillId="3" borderId="15" xfId="0" applyNumberFormat="1" applyFont="1" applyFill="1" applyBorder="1" applyAlignment="1" applyProtection="1">
      <alignment horizontal="center" vertical="center" wrapText="1"/>
      <protection hidden="1"/>
    </xf>
    <xf numFmtId="1" fontId="1" fillId="0" borderId="15" xfId="0" applyNumberFormat="1" applyFont="1" applyBorder="1" applyAlignment="1" applyProtection="1">
      <alignment horizontal="center" vertical="center" wrapText="1"/>
      <protection locked="0"/>
    </xf>
    <xf numFmtId="1" fontId="2" fillId="3" borderId="15" xfId="0" applyNumberFormat="1" applyFont="1" applyFill="1" applyBorder="1" applyAlignment="1" applyProtection="1">
      <alignment horizontal="center" vertical="center" wrapText="1"/>
      <protection hidden="1"/>
    </xf>
    <xf numFmtId="1" fontId="1" fillId="3" borderId="15" xfId="0" applyNumberFormat="1" applyFont="1" applyFill="1" applyBorder="1" applyAlignment="1" applyProtection="1">
      <alignment horizontal="center" vertical="center" wrapText="1"/>
      <protection hidden="1"/>
    </xf>
    <xf numFmtId="2" fontId="1" fillId="3" borderId="16" xfId="0" applyNumberFormat="1" applyFont="1" applyFill="1" applyBorder="1" applyAlignment="1" applyProtection="1">
      <alignment horizontal="center" vertical="center" wrapText="1"/>
      <protection hidden="1"/>
    </xf>
    <xf numFmtId="0" fontId="14" fillId="0" borderId="0" xfId="0" applyFont="1" applyAlignment="1" applyProtection="1">
      <alignment horizontal="center" vertical="center"/>
      <protection hidden="1"/>
    </xf>
    <xf numFmtId="0" fontId="15" fillId="6" borderId="18" xfId="0" applyFont="1" applyFill="1" applyBorder="1" applyAlignment="1" applyProtection="1">
      <alignment horizontal="center" vertical="center"/>
      <protection hidden="1"/>
    </xf>
    <xf numFmtId="0" fontId="15" fillId="6" borderId="18" xfId="0" applyFont="1" applyFill="1" applyBorder="1" applyAlignment="1" applyProtection="1">
      <alignment horizontal="center" vertical="center" wrapText="1"/>
      <protection hidden="1"/>
    </xf>
    <xf numFmtId="0" fontId="15" fillId="0" borderId="18" xfId="0" applyFont="1" applyBorder="1" applyAlignment="1" applyProtection="1">
      <alignment horizontal="center" vertical="center"/>
      <protection hidden="1"/>
    </xf>
    <xf numFmtId="0" fontId="14" fillId="0" borderId="18" xfId="0" applyFont="1" applyBorder="1" applyAlignment="1" applyProtection="1">
      <alignment horizontal="center" vertical="center" wrapText="1"/>
      <protection hidden="1"/>
    </xf>
    <xf numFmtId="0" fontId="14" fillId="0" borderId="18" xfId="0" applyFont="1" applyBorder="1" applyAlignment="1" applyProtection="1">
      <alignment horizontal="left" vertical="center" wrapText="1"/>
      <protection hidden="1"/>
    </xf>
    <xf numFmtId="0" fontId="14" fillId="0" borderId="18" xfId="0" applyFont="1" applyBorder="1" applyAlignment="1" applyProtection="1">
      <alignment horizontal="center" vertical="center"/>
      <protection hidden="1"/>
    </xf>
    <xf numFmtId="0" fontId="14" fillId="0" borderId="18" xfId="0" applyFont="1" applyBorder="1" applyAlignment="1" applyProtection="1">
      <alignment horizontal="left" vertical="center"/>
      <protection hidden="1"/>
    </xf>
    <xf numFmtId="0" fontId="14" fillId="0" borderId="0" xfId="0" applyFont="1" applyAlignment="1" applyProtection="1">
      <alignment horizontal="left" vertical="center"/>
      <protection hidden="1"/>
    </xf>
    <xf numFmtId="0" fontId="14" fillId="6" borderId="18" xfId="0" applyFont="1" applyFill="1" applyBorder="1" applyAlignment="1" applyProtection="1">
      <alignment horizontal="left" vertical="center"/>
      <protection hidden="1"/>
    </xf>
    <xf numFmtId="0" fontId="14" fillId="6" borderId="18" xfId="0" applyFont="1" applyFill="1" applyBorder="1" applyAlignment="1" applyProtection="1">
      <alignment horizontal="left" vertical="center" wrapText="1"/>
      <protection hidden="1"/>
    </xf>
    <xf numFmtId="0" fontId="1" fillId="7" borderId="3" xfId="0" applyFont="1" applyFill="1" applyBorder="1" applyAlignment="1" applyProtection="1">
      <alignment horizontal="center" vertical="center" wrapText="1"/>
      <protection locked="0"/>
    </xf>
    <xf numFmtId="0" fontId="1" fillId="7" borderId="10" xfId="0" applyFont="1" applyFill="1" applyBorder="1" applyAlignment="1" applyProtection="1">
      <alignment horizontal="center" vertical="center" wrapText="1"/>
      <protection locked="0"/>
    </xf>
    <xf numFmtId="0" fontId="5" fillId="3" borderId="4" xfId="0" applyFont="1" applyFill="1" applyBorder="1" applyAlignment="1" applyProtection="1">
      <alignment horizontal="center" vertical="center" textRotation="90" wrapText="1"/>
      <protection hidden="1"/>
    </xf>
    <xf numFmtId="0" fontId="1" fillId="0" borderId="0" xfId="0" applyFont="1" applyAlignment="1" applyProtection="1">
      <alignment horizontal="center" vertical="center" wrapText="1"/>
      <protection hidden="1"/>
    </xf>
    <xf numFmtId="0" fontId="6" fillId="3" borderId="3" xfId="0" applyFont="1" applyFill="1" applyBorder="1" applyAlignment="1" applyProtection="1">
      <alignment horizontal="center" vertical="center" wrapText="1"/>
      <protection hidden="1"/>
    </xf>
    <xf numFmtId="0" fontId="1" fillId="3" borderId="4" xfId="0" applyFont="1" applyFill="1" applyBorder="1" applyAlignment="1" applyProtection="1">
      <alignment horizontal="center" vertical="center" wrapText="1"/>
      <protection hidden="1"/>
    </xf>
    <xf numFmtId="1" fontId="1" fillId="0" borderId="6" xfId="0" applyNumberFormat="1" applyFont="1" applyBorder="1" applyAlignment="1" applyProtection="1">
      <alignment horizontal="center" vertical="center" wrapText="1"/>
      <protection locked="0"/>
    </xf>
    <xf numFmtId="2" fontId="1" fillId="0" borderId="8" xfId="0" applyNumberFormat="1" applyFont="1" applyBorder="1" applyAlignment="1" applyProtection="1">
      <alignment horizontal="center" vertical="center" wrapText="1"/>
      <protection locked="0"/>
    </xf>
    <xf numFmtId="2" fontId="1" fillId="3" borderId="29" xfId="0" applyNumberFormat="1" applyFont="1" applyFill="1" applyBorder="1" applyAlignment="1" applyProtection="1">
      <alignment horizontal="center" vertical="center" wrapText="1"/>
      <protection hidden="1"/>
    </xf>
    <xf numFmtId="2" fontId="1" fillId="3" borderId="28" xfId="0" applyNumberFormat="1" applyFont="1" applyFill="1" applyBorder="1" applyAlignment="1" applyProtection="1">
      <alignment horizontal="center" vertical="center" wrapText="1"/>
      <protection hidden="1"/>
    </xf>
    <xf numFmtId="2" fontId="1" fillId="3" borderId="30" xfId="0" applyNumberFormat="1" applyFont="1" applyFill="1" applyBorder="1" applyAlignment="1" applyProtection="1">
      <alignment horizontal="center" vertical="center" wrapText="1"/>
      <protection hidden="1"/>
    </xf>
    <xf numFmtId="1" fontId="1" fillId="0" borderId="31" xfId="0" applyNumberFormat="1" applyFont="1" applyBorder="1" applyAlignment="1" applyProtection="1">
      <alignment horizontal="center" vertical="center" wrapText="1"/>
      <protection locked="0"/>
    </xf>
    <xf numFmtId="1" fontId="1" fillId="0" borderId="32" xfId="0" applyNumberFormat="1" applyFont="1" applyBorder="1" applyAlignment="1" applyProtection="1">
      <alignment horizontal="center" vertical="center" wrapText="1"/>
      <protection locked="0"/>
    </xf>
    <xf numFmtId="2" fontId="1" fillId="3" borderId="33" xfId="0" applyNumberFormat="1" applyFont="1" applyFill="1" applyBorder="1" applyAlignment="1" applyProtection="1">
      <alignment horizontal="center" vertical="center" wrapText="1"/>
      <protection hidden="1"/>
    </xf>
    <xf numFmtId="2" fontId="1" fillId="3" borderId="8" xfId="0" applyNumberFormat="1" applyFont="1" applyFill="1" applyBorder="1" applyAlignment="1" applyProtection="1">
      <alignment horizontal="center" vertical="center" wrapText="1"/>
      <protection hidden="1"/>
    </xf>
    <xf numFmtId="2" fontId="1" fillId="3" borderId="34" xfId="0" applyNumberFormat="1" applyFont="1" applyFill="1" applyBorder="1" applyAlignment="1" applyProtection="1">
      <alignment horizontal="center" vertical="center" wrapText="1"/>
      <protection hidden="1"/>
    </xf>
    <xf numFmtId="2" fontId="1" fillId="3" borderId="35" xfId="0" applyNumberFormat="1" applyFont="1" applyFill="1" applyBorder="1" applyAlignment="1" applyProtection="1">
      <alignment horizontal="center" vertical="center" wrapText="1"/>
      <protection hidden="1"/>
    </xf>
    <xf numFmtId="2" fontId="1" fillId="3" borderId="36" xfId="0" applyNumberFormat="1" applyFont="1" applyFill="1" applyBorder="1" applyAlignment="1" applyProtection="1">
      <alignment horizontal="center" vertical="center" wrapText="1"/>
      <protection hidden="1"/>
    </xf>
    <xf numFmtId="0" fontId="14" fillId="9" borderId="18" xfId="0" applyFont="1" applyFill="1" applyBorder="1" applyAlignment="1" applyProtection="1">
      <alignment horizontal="left" vertical="center" wrapText="1"/>
      <protection hidden="1"/>
    </xf>
    <xf numFmtId="0" fontId="16" fillId="6" borderId="18" xfId="0" applyFont="1" applyFill="1" applyBorder="1" applyAlignment="1" applyProtection="1">
      <alignment horizontal="center" vertical="center"/>
      <protection hidden="1"/>
    </xf>
    <xf numFmtId="0" fontId="14" fillId="8" borderId="18" xfId="0" applyFont="1" applyFill="1" applyBorder="1" applyAlignment="1" applyProtection="1">
      <alignment horizontal="left" vertical="center" wrapText="1"/>
      <protection hidden="1"/>
    </xf>
    <xf numFmtId="0" fontId="17" fillId="6" borderId="18" xfId="0" applyFont="1" applyFill="1" applyBorder="1" applyAlignment="1" applyProtection="1">
      <alignment horizontal="center" vertical="center"/>
      <protection hidden="1"/>
    </xf>
    <xf numFmtId="1" fontId="1" fillId="0" borderId="2" xfId="0" applyNumberFormat="1" applyFont="1" applyBorder="1" applyAlignment="1" applyProtection="1">
      <alignment horizontal="center" vertical="center" wrapText="1"/>
      <protection hidden="1"/>
    </xf>
    <xf numFmtId="1" fontId="1" fillId="0" borderId="0" xfId="0" applyNumberFormat="1" applyFont="1" applyAlignment="1" applyProtection="1">
      <alignment horizontal="center" vertical="center" wrapText="1"/>
      <protection hidden="1"/>
    </xf>
    <xf numFmtId="0" fontId="3" fillId="3" borderId="3" xfId="0" applyFont="1" applyFill="1" applyBorder="1" applyAlignment="1" applyProtection="1">
      <alignment horizontal="center" vertical="center" wrapText="1"/>
      <protection hidden="1"/>
    </xf>
    <xf numFmtId="0" fontId="5" fillId="3" borderId="3" xfId="0" applyFont="1" applyFill="1" applyBorder="1" applyAlignment="1" applyProtection="1">
      <alignment horizontal="center" vertical="center" wrapText="1"/>
      <protection hidden="1"/>
    </xf>
    <xf numFmtId="0" fontId="5" fillId="3" borderId="4" xfId="0" applyFont="1" applyFill="1" applyBorder="1" applyAlignment="1" applyProtection="1">
      <alignment horizontal="center" vertical="center" wrapText="1"/>
      <protection hidden="1"/>
    </xf>
    <xf numFmtId="0" fontId="10" fillId="3" borderId="3" xfId="0" applyFont="1" applyFill="1" applyBorder="1" applyAlignment="1" applyProtection="1">
      <alignment horizontal="center" vertical="center" wrapText="1"/>
      <protection hidden="1"/>
    </xf>
    <xf numFmtId="0" fontId="8" fillId="6" borderId="19" xfId="0" applyFont="1" applyFill="1" applyBorder="1" applyAlignment="1" applyProtection="1">
      <alignment horizontal="center" vertical="center" wrapText="1"/>
      <protection hidden="1"/>
    </xf>
    <xf numFmtId="0" fontId="8" fillId="6" borderId="20" xfId="0" applyFont="1" applyFill="1" applyBorder="1" applyAlignment="1" applyProtection="1">
      <alignment horizontal="center" vertical="center" wrapText="1"/>
      <protection hidden="1"/>
    </xf>
    <xf numFmtId="0" fontId="7" fillId="4" borderId="21" xfId="0" applyFont="1" applyFill="1" applyBorder="1" applyAlignment="1" applyProtection="1">
      <alignment horizontal="center" vertical="center" wrapText="1"/>
      <protection hidden="1"/>
    </xf>
    <xf numFmtId="0" fontId="7" fillId="4" borderId="2" xfId="0" applyFont="1" applyFill="1" applyBorder="1" applyAlignment="1" applyProtection="1">
      <alignment horizontal="center" vertical="center" wrapText="1"/>
      <protection hidden="1"/>
    </xf>
    <xf numFmtId="0" fontId="7" fillId="4" borderId="22" xfId="0" applyFont="1" applyFill="1" applyBorder="1" applyAlignment="1" applyProtection="1">
      <alignment horizontal="center" vertical="center" wrapText="1"/>
      <protection hidden="1"/>
    </xf>
    <xf numFmtId="0" fontId="7" fillId="4" borderId="23" xfId="0" applyFont="1" applyFill="1" applyBorder="1" applyAlignment="1" applyProtection="1">
      <alignment horizontal="center" vertical="center" wrapText="1"/>
      <protection hidden="1"/>
    </xf>
    <xf numFmtId="0" fontId="7" fillId="4" borderId="0" xfId="0" applyFont="1" applyFill="1" applyAlignment="1" applyProtection="1">
      <alignment horizontal="center" vertical="center" wrapText="1"/>
      <protection hidden="1"/>
    </xf>
    <xf numFmtId="0" fontId="7" fillId="4" borderId="24" xfId="0" applyFont="1" applyFill="1" applyBorder="1" applyAlignment="1" applyProtection="1">
      <alignment horizontal="center" vertical="center" wrapText="1"/>
      <protection hidden="1"/>
    </xf>
    <xf numFmtId="0" fontId="7" fillId="4" borderId="25" xfId="0" applyFont="1" applyFill="1" applyBorder="1" applyAlignment="1" applyProtection="1">
      <alignment horizontal="center" vertical="center" wrapText="1"/>
      <protection hidden="1"/>
    </xf>
    <xf numFmtId="0" fontId="7" fillId="4" borderId="26" xfId="0" applyFont="1" applyFill="1" applyBorder="1" applyAlignment="1" applyProtection="1">
      <alignment horizontal="center" vertical="center" wrapText="1"/>
      <protection hidden="1"/>
    </xf>
    <xf numFmtId="0" fontId="7" fillId="4" borderId="27" xfId="0" applyFont="1" applyFill="1" applyBorder="1" applyAlignment="1" applyProtection="1">
      <alignment horizontal="center" vertical="center" wrapText="1"/>
      <protection hidden="1"/>
    </xf>
    <xf numFmtId="0" fontId="7" fillId="6" borderId="21" xfId="0" applyFont="1" applyFill="1" applyBorder="1" applyAlignment="1" applyProtection="1">
      <alignment horizontal="center" vertical="center" wrapText="1"/>
      <protection hidden="1"/>
    </xf>
    <xf numFmtId="0" fontId="7" fillId="6" borderId="2" xfId="0" applyFont="1" applyFill="1" applyBorder="1" applyAlignment="1" applyProtection="1">
      <alignment horizontal="center" vertical="center" wrapText="1"/>
      <protection hidden="1"/>
    </xf>
    <xf numFmtId="0" fontId="7" fillId="6" borderId="22" xfId="0" applyFont="1" applyFill="1" applyBorder="1" applyAlignment="1" applyProtection="1">
      <alignment horizontal="center" vertical="center" wrapText="1"/>
      <protection hidden="1"/>
    </xf>
    <xf numFmtId="0" fontId="7" fillId="6" borderId="23" xfId="0" applyFont="1" applyFill="1" applyBorder="1" applyAlignment="1" applyProtection="1">
      <alignment horizontal="center" vertical="center" wrapText="1"/>
      <protection hidden="1"/>
    </xf>
    <xf numFmtId="0" fontId="7" fillId="6" borderId="0" xfId="0" applyFont="1" applyFill="1" applyAlignment="1" applyProtection="1">
      <alignment horizontal="center" vertical="center" wrapText="1"/>
      <protection hidden="1"/>
    </xf>
    <xf numFmtId="0" fontId="7" fillId="6" borderId="24" xfId="0" applyFont="1" applyFill="1" applyBorder="1" applyAlignment="1" applyProtection="1">
      <alignment horizontal="center" vertical="center" wrapText="1"/>
      <protection hidden="1"/>
    </xf>
    <xf numFmtId="0" fontId="7" fillId="6" borderId="25" xfId="0" applyFont="1" applyFill="1" applyBorder="1" applyAlignment="1" applyProtection="1">
      <alignment horizontal="center" vertical="center" wrapText="1"/>
      <protection hidden="1"/>
    </xf>
    <xf numFmtId="0" fontId="7" fillId="6" borderId="26" xfId="0" applyFont="1" applyFill="1" applyBorder="1" applyAlignment="1" applyProtection="1">
      <alignment horizontal="center" vertical="center" wrapText="1"/>
      <protection hidden="1"/>
    </xf>
    <xf numFmtId="0" fontId="7" fillId="6" borderId="27" xfId="0" applyFont="1" applyFill="1" applyBorder="1" applyAlignment="1" applyProtection="1">
      <alignment horizontal="center" vertical="center" wrapText="1"/>
      <protection hidden="1"/>
    </xf>
    <xf numFmtId="0" fontId="8" fillId="4" borderId="19" xfId="0" applyFont="1" applyFill="1" applyBorder="1" applyAlignment="1" applyProtection="1">
      <alignment horizontal="center" vertical="center" wrapText="1"/>
      <protection hidden="1"/>
    </xf>
    <xf numFmtId="0" fontId="8" fillId="4" borderId="20" xfId="0" applyFont="1" applyFill="1" applyBorder="1" applyAlignment="1" applyProtection="1">
      <alignment horizontal="center" vertical="center" wrapText="1"/>
      <protection hidden="1"/>
    </xf>
    <xf numFmtId="0" fontId="8" fillId="5" borderId="19" xfId="0" applyFont="1" applyFill="1" applyBorder="1" applyAlignment="1" applyProtection="1">
      <alignment horizontal="center" vertical="center" wrapText="1"/>
      <protection hidden="1"/>
    </xf>
    <xf numFmtId="0" fontId="8" fillId="5" borderId="20" xfId="0" applyFont="1" applyFill="1" applyBorder="1" applyAlignment="1" applyProtection="1">
      <alignment horizontal="center" vertical="center" wrapText="1"/>
      <protection hidden="1"/>
    </xf>
    <xf numFmtId="0" fontId="13" fillId="0" borderId="0" xfId="0" applyFont="1" applyAlignment="1" applyProtection="1">
      <alignment horizontal="center" vertical="center" wrapText="1"/>
      <protection hidden="1"/>
    </xf>
    <xf numFmtId="0" fontId="10" fillId="3" borderId="4" xfId="0" applyFont="1" applyFill="1" applyBorder="1" applyAlignment="1" applyProtection="1">
      <alignment horizontal="center" vertical="center" wrapText="1"/>
      <protection hidden="1"/>
    </xf>
    <xf numFmtId="0" fontId="8" fillId="3" borderId="3" xfId="0" applyFont="1" applyFill="1" applyBorder="1" applyAlignment="1" applyProtection="1">
      <alignment horizontal="center" vertical="center" wrapText="1"/>
      <protection hidden="1"/>
    </xf>
    <xf numFmtId="0" fontId="8" fillId="3" borderId="4" xfId="0" applyFont="1" applyFill="1" applyBorder="1" applyAlignment="1" applyProtection="1">
      <alignment horizontal="center" vertical="center" wrapText="1"/>
      <protection hidden="1"/>
    </xf>
    <xf numFmtId="0" fontId="5" fillId="3" borderId="3" xfId="0" applyFont="1" applyFill="1" applyBorder="1" applyAlignment="1" applyProtection="1">
      <alignment horizontal="center" vertical="center" textRotation="90" wrapText="1"/>
      <protection hidden="1"/>
    </xf>
    <xf numFmtId="0" fontId="5" fillId="3" borderId="4" xfId="0" applyFont="1" applyFill="1" applyBorder="1" applyAlignment="1" applyProtection="1">
      <alignment horizontal="center" vertical="center" textRotation="90" wrapText="1"/>
      <protection hidden="1"/>
    </xf>
    <xf numFmtId="0" fontId="13" fillId="0" borderId="37" xfId="0" applyFont="1" applyBorder="1" applyAlignment="1" applyProtection="1">
      <alignment horizontal="center" vertical="center" wrapText="1"/>
      <protection hidden="1"/>
    </xf>
    <xf numFmtId="0" fontId="1" fillId="0" borderId="0" xfId="0" applyFont="1" applyAlignment="1" applyProtection="1">
      <alignment horizontal="center" vertical="center" wrapText="1"/>
      <protection hidden="1"/>
    </xf>
    <xf numFmtId="0" fontId="6" fillId="3" borderId="3" xfId="0" applyFont="1" applyFill="1" applyBorder="1" applyAlignment="1" applyProtection="1">
      <alignment horizontal="center" vertical="center" textRotation="90" wrapText="1"/>
      <protection hidden="1"/>
    </xf>
    <xf numFmtId="0" fontId="6" fillId="3" borderId="3" xfId="0" applyFont="1" applyFill="1" applyBorder="1" applyAlignment="1" applyProtection="1">
      <alignment horizontal="center" vertical="center" wrapText="1"/>
      <protection hidden="1"/>
    </xf>
    <xf numFmtId="0" fontId="11" fillId="2" borderId="3" xfId="0" applyFont="1" applyFill="1" applyBorder="1" applyAlignment="1" applyProtection="1">
      <alignment horizontal="center" vertical="center" wrapText="1"/>
      <protection hidden="1"/>
    </xf>
    <xf numFmtId="0" fontId="11" fillId="2" borderId="5" xfId="0" applyFont="1" applyFill="1" applyBorder="1" applyAlignment="1" applyProtection="1">
      <alignment horizontal="center" vertical="center" wrapText="1"/>
      <protection hidden="1"/>
    </xf>
    <xf numFmtId="0" fontId="2" fillId="3" borderId="4" xfId="0" applyFont="1" applyFill="1" applyBorder="1" applyAlignment="1" applyProtection="1">
      <alignment horizontal="center" vertical="center" wrapText="1"/>
      <protection hidden="1"/>
    </xf>
    <xf numFmtId="0" fontId="2" fillId="3" borderId="9" xfId="0" applyFont="1" applyFill="1" applyBorder="1" applyAlignment="1" applyProtection="1">
      <alignment horizontal="center" vertical="center" wrapText="1"/>
      <protection hidden="1"/>
    </xf>
    <xf numFmtId="0" fontId="5" fillId="3" borderId="6" xfId="0" applyFont="1" applyFill="1" applyBorder="1" applyAlignment="1" applyProtection="1">
      <alignment horizontal="center" vertical="center" wrapText="1"/>
      <protection hidden="1"/>
    </xf>
    <xf numFmtId="0" fontId="5" fillId="3" borderId="7" xfId="0" applyFont="1" applyFill="1" applyBorder="1" applyAlignment="1" applyProtection="1">
      <alignment horizontal="center" vertical="center" wrapText="1"/>
      <protection hidden="1"/>
    </xf>
    <xf numFmtId="0" fontId="5" fillId="3" borderId="8" xfId="0" applyFont="1" applyFill="1" applyBorder="1" applyAlignment="1" applyProtection="1">
      <alignment horizontal="center" vertical="center" wrapText="1"/>
      <protection hidden="1"/>
    </xf>
    <xf numFmtId="0" fontId="1" fillId="3" borderId="4" xfId="0" applyFont="1" applyFill="1" applyBorder="1" applyAlignment="1" applyProtection="1">
      <alignment horizontal="center" vertical="center" wrapText="1"/>
      <protection hidden="1"/>
    </xf>
    <xf numFmtId="0" fontId="1" fillId="3" borderId="9" xfId="0" applyFont="1" applyFill="1" applyBorder="1" applyAlignment="1" applyProtection="1">
      <alignment horizontal="center" vertical="center" wrapText="1"/>
      <protection hidden="1"/>
    </xf>
  </cellXfs>
  <cellStyles count="1">
    <cellStyle name="Обычный" xfId="0" builtinId="0"/>
  </cellStyles>
  <dxfs count="0"/>
  <tableStyles count="0" defaultTableStyle="TableStyleMedium2" defaultPivotStyle="PivotStyleLight16"/>
  <colors>
    <mruColors>
      <color rgb="FF99FFCC"/>
      <color rgb="FFFFFF99"/>
      <color rgb="FFFF7C80"/>
      <color rgb="FF99CCFF"/>
      <color rgb="FF0066FF"/>
      <color rgb="FF66FF66"/>
      <color rgb="FFFF0066"/>
      <color rgb="FF33CCCC"/>
      <color rgb="FFCDF3F2"/>
      <color rgb="FFB5EEED"/>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stacked"/>
        <c:varyColors val="0"/>
        <c:ser>
          <c:idx val="0"/>
          <c:order val="0"/>
          <c:tx>
            <c:strRef>
              <c:f>'Fənn üzrə nailiyyətlər cədvəli'!$G$65</c:f>
              <c:strCache>
                <c:ptCount val="1"/>
                <c:pt idx="0">
                  <c:v>[0-30]</c:v>
                </c:pt>
              </c:strCache>
            </c:strRef>
          </c:tx>
          <c:spPr>
            <a:gradFill flip="none" rotWithShape="1">
              <a:gsLst>
                <a:gs pos="0">
                  <a:srgbClr val="FF7C80">
                    <a:shade val="30000"/>
                    <a:satMod val="115000"/>
                  </a:srgbClr>
                </a:gs>
                <a:gs pos="50000">
                  <a:srgbClr val="FF7C80">
                    <a:shade val="67500"/>
                    <a:satMod val="115000"/>
                  </a:srgbClr>
                </a:gs>
                <a:gs pos="100000">
                  <a:srgbClr val="FF7C80">
                    <a:shade val="100000"/>
                    <a:satMod val="115000"/>
                  </a:srgbClr>
                </a:gs>
              </a:gsLst>
              <a:lin ang="0" scaled="1"/>
              <a:tileRect/>
            </a:gradFill>
            <a:ln>
              <a:solidFill>
                <a:schemeClr val="bg1"/>
              </a:solid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cədvəli'!$I$65:$AO$65</c15:sqref>
                  </c15:fullRef>
                </c:ext>
              </c:extLst>
              <c:f>('Fənn üzrə nailiyyətlər cədvəli'!$I$65,'Fənn üzrə nailiyyətlər cədvəli'!$P$65:$T$65,'Fənn üzrə nailiyyətlər cədvəli'!$AC$65:$AG$65,'Fənn üzrə nailiyyətlər cədvəli'!$AJ$65:$AL$65,'Fənn üzrə nailiyyətlər cədvəli'!$AN$65:$AO$65)</c:f>
              <c:numCache>
                <c:formatCode>0</c:formatCode>
                <c:ptCount val="16"/>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numCache>
            </c:numRef>
          </c:val>
          <c:extLst xmlns:c16r2="http://schemas.microsoft.com/office/drawing/2015/06/chart">
            <c:ext xmlns:c16="http://schemas.microsoft.com/office/drawing/2014/chart" uri="{C3380CC4-5D6E-409C-BE32-E72D297353CC}">
              <c16:uniqueId val="{00000000-4F07-4BB0-9C9F-BB9FD90873E0}"/>
            </c:ext>
          </c:extLst>
        </c:ser>
        <c:ser>
          <c:idx val="1"/>
          <c:order val="1"/>
          <c:tx>
            <c:strRef>
              <c:f>'Fənn üzrə nailiyyətlər cədvəli'!$G$64</c:f>
              <c:strCache>
                <c:ptCount val="1"/>
                <c:pt idx="0">
                  <c:v>(30-60]</c:v>
                </c:pt>
              </c:strCache>
            </c:strRef>
          </c:tx>
          <c:spPr>
            <a:gradFill flip="none" rotWithShape="1">
              <a:gsLst>
                <a:gs pos="0">
                  <a:srgbClr val="FFFF99">
                    <a:shade val="30000"/>
                    <a:satMod val="115000"/>
                  </a:srgbClr>
                </a:gs>
                <a:gs pos="50000">
                  <a:srgbClr val="FFFF99">
                    <a:shade val="67500"/>
                    <a:satMod val="115000"/>
                  </a:srgbClr>
                </a:gs>
                <a:gs pos="100000">
                  <a:srgbClr val="FFFF99">
                    <a:shade val="100000"/>
                    <a:satMod val="115000"/>
                  </a:srgbClr>
                </a:gs>
              </a:gsLst>
              <a:lin ang="0" scaled="1"/>
              <a:tileRect/>
            </a:gradFill>
            <a:ln>
              <a:solidFill>
                <a:schemeClr val="bg1"/>
              </a:solid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cədvəli'!$I$64:$AO$64</c15:sqref>
                  </c15:fullRef>
                </c:ext>
              </c:extLst>
              <c:f>('Fənn üzrə nailiyyətlər cədvəli'!$I$64,'Fənn üzrə nailiyyətlər cədvəli'!$P$64:$T$64,'Fənn üzrə nailiyyətlər cədvəli'!$AC$64:$AG$64,'Fənn üzrə nailiyyətlər cədvəli'!$AJ$64:$AL$64,'Fənn üzrə nailiyyətlər cədvəli'!$AN$64:$AO$64)</c:f>
              <c:numCache>
                <c:formatCode>0</c:formatCode>
                <c:ptCount val="16"/>
                <c:pt idx="0">
                  <c:v>0</c:v>
                </c:pt>
                <c:pt idx="1">
                  <c:v>35</c:v>
                </c:pt>
                <c:pt idx="2">
                  <c:v>0</c:v>
                </c:pt>
                <c:pt idx="3">
                  <c:v>35</c:v>
                </c:pt>
                <c:pt idx="4">
                  <c:v>0</c:v>
                </c:pt>
                <c:pt idx="5">
                  <c:v>0</c:v>
                </c:pt>
                <c:pt idx="6">
                  <c:v>0</c:v>
                </c:pt>
                <c:pt idx="7">
                  <c:v>0</c:v>
                </c:pt>
                <c:pt idx="8">
                  <c:v>0</c:v>
                </c:pt>
                <c:pt idx="9">
                  <c:v>0</c:v>
                </c:pt>
                <c:pt idx="10">
                  <c:v>0</c:v>
                </c:pt>
                <c:pt idx="11">
                  <c:v>35</c:v>
                </c:pt>
                <c:pt idx="12">
                  <c:v>0</c:v>
                </c:pt>
                <c:pt idx="13">
                  <c:v>35</c:v>
                </c:pt>
                <c:pt idx="14">
                  <c:v>0</c:v>
                </c:pt>
                <c:pt idx="15">
                  <c:v>0</c:v>
                </c:pt>
              </c:numCache>
            </c:numRef>
          </c:val>
          <c:extLst xmlns:c16r2="http://schemas.microsoft.com/office/drawing/2015/06/chart">
            <c:ext xmlns:c16="http://schemas.microsoft.com/office/drawing/2014/chart" uri="{C3380CC4-5D6E-409C-BE32-E72D297353CC}">
              <c16:uniqueId val="{00000001-4F07-4BB0-9C9F-BB9FD90873E0}"/>
            </c:ext>
          </c:extLst>
        </c:ser>
        <c:ser>
          <c:idx val="2"/>
          <c:order val="2"/>
          <c:tx>
            <c:strRef>
              <c:f>'Fənn üzrə nailiyyətlər cədvəli'!$G$63</c:f>
              <c:strCache>
                <c:ptCount val="1"/>
                <c:pt idx="0">
                  <c:v>(60-80]</c:v>
                </c:pt>
              </c:strCache>
            </c:strRef>
          </c:tx>
          <c:spPr>
            <a:gradFill flip="none" rotWithShape="1">
              <a:gsLst>
                <a:gs pos="0">
                  <a:srgbClr val="99FFCC">
                    <a:shade val="30000"/>
                    <a:satMod val="115000"/>
                  </a:srgbClr>
                </a:gs>
                <a:gs pos="50000">
                  <a:srgbClr val="99FFCC">
                    <a:shade val="67500"/>
                    <a:satMod val="115000"/>
                  </a:srgbClr>
                </a:gs>
                <a:gs pos="100000">
                  <a:srgbClr val="99FFCC">
                    <a:shade val="100000"/>
                    <a:satMod val="115000"/>
                  </a:srgbClr>
                </a:gs>
              </a:gsLst>
              <a:lin ang="0" scaled="1"/>
              <a:tileRect/>
            </a:gradFill>
            <a:ln>
              <a:solidFill>
                <a:schemeClr val="bg1"/>
              </a:solidFill>
            </a:ln>
            <a:effectLst/>
            <a:scene3d>
              <a:camera prst="orthographicFront"/>
              <a:lightRig rig="balanced" dir="t">
                <a:rot lat="0" lon="0" rev="8700000"/>
              </a:lightRig>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cədvəli'!$I$63:$AO$63</c15:sqref>
                  </c15:fullRef>
                </c:ext>
              </c:extLst>
              <c:f>('Fənn üzrə nailiyyətlər cədvəli'!$I$63,'Fənn üzrə nailiyyətlər cədvəli'!$P$63:$T$63,'Fənn üzrə nailiyyətlər cədvəli'!$AC$63:$AG$63,'Fənn üzrə nailiyyətlər cədvəli'!$AJ$63:$AL$63,'Fənn üzrə nailiyyətlər cədvəli'!$AN$63:$AO$63)</c:f>
              <c:numCache>
                <c:formatCode>0</c:formatCode>
                <c:ptCount val="16"/>
                <c:pt idx="0">
                  <c:v>0</c:v>
                </c:pt>
                <c:pt idx="1">
                  <c:v>30</c:v>
                </c:pt>
                <c:pt idx="2">
                  <c:v>0</c:v>
                </c:pt>
                <c:pt idx="3">
                  <c:v>30</c:v>
                </c:pt>
                <c:pt idx="4">
                  <c:v>0</c:v>
                </c:pt>
                <c:pt idx="5">
                  <c:v>0</c:v>
                </c:pt>
                <c:pt idx="6">
                  <c:v>0</c:v>
                </c:pt>
                <c:pt idx="7">
                  <c:v>0</c:v>
                </c:pt>
                <c:pt idx="8">
                  <c:v>0</c:v>
                </c:pt>
                <c:pt idx="9">
                  <c:v>0</c:v>
                </c:pt>
                <c:pt idx="10">
                  <c:v>0</c:v>
                </c:pt>
                <c:pt idx="11">
                  <c:v>30</c:v>
                </c:pt>
                <c:pt idx="12">
                  <c:v>0</c:v>
                </c:pt>
                <c:pt idx="13">
                  <c:v>30</c:v>
                </c:pt>
                <c:pt idx="14">
                  <c:v>0</c:v>
                </c:pt>
                <c:pt idx="15">
                  <c:v>0</c:v>
                </c:pt>
              </c:numCache>
            </c:numRef>
          </c:val>
          <c:extLst xmlns:c16r2="http://schemas.microsoft.com/office/drawing/2015/06/chart">
            <c:ext xmlns:c16="http://schemas.microsoft.com/office/drawing/2014/chart" uri="{C3380CC4-5D6E-409C-BE32-E72D297353CC}">
              <c16:uniqueId val="{00000002-4F07-4BB0-9C9F-BB9FD90873E0}"/>
            </c:ext>
          </c:extLst>
        </c:ser>
        <c:ser>
          <c:idx val="3"/>
          <c:order val="3"/>
          <c:tx>
            <c:strRef>
              <c:f>'Fənn üzrə nailiyyətlər cədvəli'!$G$62</c:f>
              <c:strCache>
                <c:ptCount val="1"/>
                <c:pt idx="0">
                  <c:v>(80-100]</c:v>
                </c:pt>
              </c:strCache>
            </c:strRef>
          </c:tx>
          <c:spPr>
            <a:gradFill flip="none" rotWithShape="1">
              <a:gsLst>
                <a:gs pos="0">
                  <a:srgbClr val="99CCFF">
                    <a:shade val="30000"/>
                    <a:satMod val="115000"/>
                  </a:srgbClr>
                </a:gs>
                <a:gs pos="50000">
                  <a:srgbClr val="99CCFF">
                    <a:shade val="67500"/>
                    <a:satMod val="115000"/>
                  </a:srgbClr>
                </a:gs>
                <a:gs pos="100000">
                  <a:srgbClr val="99CCFF">
                    <a:shade val="100000"/>
                    <a:satMod val="115000"/>
                  </a:srgbClr>
                </a:gs>
              </a:gsLst>
              <a:lin ang="0" scaled="1"/>
              <a:tileRect/>
            </a:gradFill>
            <a:ln>
              <a:solidFill>
                <a:schemeClr val="bg1"/>
              </a:solid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cədvəli'!$I$62:$AO$62</c15:sqref>
                  </c15:fullRef>
                </c:ext>
              </c:extLst>
              <c:f>('Fənn üzrə nailiyyətlər cədvəli'!$I$62,'Fənn üzrə nailiyyətlər cədvəli'!$P$62:$T$62,'Fənn üzrə nailiyyətlər cədvəli'!$AC$62:$AG$62,'Fənn üzrə nailiyyətlər cədvəli'!$AJ$62:$AL$62,'Fənn üzrə nailiyyətlər cədvəli'!$AN$62:$AO$62)</c:f>
              <c:numCache>
                <c:formatCode>0</c:formatCode>
                <c:ptCount val="16"/>
                <c:pt idx="0">
                  <c:v>0</c:v>
                </c:pt>
                <c:pt idx="1">
                  <c:v>35</c:v>
                </c:pt>
                <c:pt idx="2">
                  <c:v>0</c:v>
                </c:pt>
                <c:pt idx="3">
                  <c:v>35</c:v>
                </c:pt>
                <c:pt idx="4">
                  <c:v>0</c:v>
                </c:pt>
                <c:pt idx="5">
                  <c:v>0</c:v>
                </c:pt>
                <c:pt idx="6">
                  <c:v>0</c:v>
                </c:pt>
                <c:pt idx="7">
                  <c:v>0</c:v>
                </c:pt>
                <c:pt idx="8">
                  <c:v>0</c:v>
                </c:pt>
                <c:pt idx="9">
                  <c:v>0</c:v>
                </c:pt>
                <c:pt idx="10">
                  <c:v>0</c:v>
                </c:pt>
                <c:pt idx="11">
                  <c:v>35</c:v>
                </c:pt>
                <c:pt idx="12">
                  <c:v>0</c:v>
                </c:pt>
                <c:pt idx="13">
                  <c:v>35</c:v>
                </c:pt>
                <c:pt idx="14">
                  <c:v>0</c:v>
                </c:pt>
                <c:pt idx="15">
                  <c:v>0</c:v>
                </c:pt>
              </c:numCache>
            </c:numRef>
          </c:val>
          <c:extLst xmlns:c16r2="http://schemas.microsoft.com/office/drawing/2015/06/chart">
            <c:ext xmlns:c16="http://schemas.microsoft.com/office/drawing/2014/chart" uri="{C3380CC4-5D6E-409C-BE32-E72D297353CC}">
              <c16:uniqueId val="{00000003-4F07-4BB0-9C9F-BB9FD90873E0}"/>
            </c:ext>
          </c:extLst>
        </c:ser>
        <c:dLbls>
          <c:showLegendKey val="0"/>
          <c:showVal val="1"/>
          <c:showCatName val="0"/>
          <c:showSerName val="0"/>
          <c:showPercent val="0"/>
          <c:showBubbleSize val="0"/>
        </c:dLbls>
        <c:gapWidth val="21"/>
        <c:overlap val="100"/>
        <c:axId val="306622624"/>
        <c:axId val="306623008"/>
      </c:barChart>
      <c:catAx>
        <c:axId val="30662262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tx1"/>
                </a:solidFill>
                <a:latin typeface="Palatino Linotype" panose="02040502050505030304" pitchFamily="18" charset="0"/>
                <a:ea typeface="+mn-ea"/>
                <a:cs typeface="+mn-cs"/>
              </a:defRPr>
            </a:pPr>
            <a:endParaRPr lang="en-US"/>
          </a:p>
        </c:txPr>
        <c:crossAx val="306623008"/>
        <c:crosses val="autoZero"/>
        <c:auto val="1"/>
        <c:lblAlgn val="ctr"/>
        <c:lblOffset val="100"/>
        <c:noMultiLvlLbl val="0"/>
      </c:catAx>
      <c:valAx>
        <c:axId val="306623008"/>
        <c:scaling>
          <c:orientation val="minMax"/>
          <c:max val="100"/>
        </c:scaling>
        <c:delete val="1"/>
        <c:axPos val="l"/>
        <c:numFmt formatCode="0" sourceLinked="1"/>
        <c:majorTickMark val="none"/>
        <c:minorTickMark val="none"/>
        <c:tickLblPos val="nextTo"/>
        <c:crossAx val="306622624"/>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1600" b="0" i="0" u="none" strike="noStrike" kern="1200" baseline="0">
              <a:solidFill>
                <a:schemeClr val="tx1">
                  <a:lumMod val="65000"/>
                  <a:lumOff val="35000"/>
                </a:schemeClr>
              </a:solidFill>
              <a:latin typeface="Palatino Linotype" panose="02040502050505030304" pitchFamily="18" charset="0"/>
              <a:ea typeface="+mn-ea"/>
              <a:cs typeface="+mn-cs"/>
            </a:defRPr>
          </a:pPr>
          <a:endParaRPr lang="en-US"/>
        </a:p>
      </c:txPr>
    </c:legend>
    <c:plotVisOnly val="1"/>
    <c:dispBlanksAs val="gap"/>
    <c:showDLblsOverMax val="0"/>
  </c:chart>
  <c:spPr>
    <a:noFill/>
    <a:ln w="9525" cap="flat" cmpd="sng" algn="ctr">
      <a:solidFill>
        <a:schemeClr val="tx1">
          <a:lumMod val="15000"/>
          <a:lumOff val="85000"/>
        </a:schemeClr>
      </a:solidFill>
      <a:round/>
    </a:ln>
    <a:effectLst/>
  </c:spPr>
  <c:txPr>
    <a:bodyPr/>
    <a:lstStyle/>
    <a:p>
      <a:pPr>
        <a:defRPr sz="1400">
          <a:latin typeface="Palatino Linotype" panose="02040502050505030304" pitchFamily="18" charset="0"/>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'Fənn üzrə nailiyyətlər cədvəli'!$A$55:$F$55</c:f>
              <c:strCache>
                <c:ptCount val="6"/>
                <c:pt idx="0">
                  <c:v>Fənn üzrə yekun nəticələr</c:v>
                </c:pt>
              </c:strCache>
            </c:strRef>
          </c:tx>
          <c:spPr>
            <a:gradFill flip="none" rotWithShape="1">
              <a:gsLst>
                <a:gs pos="0">
                  <a:schemeClr val="bg2">
                    <a:lumMod val="90000"/>
                    <a:shade val="30000"/>
                    <a:satMod val="115000"/>
                  </a:schemeClr>
                </a:gs>
                <a:gs pos="50000">
                  <a:schemeClr val="bg2">
                    <a:lumMod val="90000"/>
                    <a:shade val="67500"/>
                    <a:satMod val="115000"/>
                  </a:schemeClr>
                </a:gs>
                <a:gs pos="100000">
                  <a:schemeClr val="bg2">
                    <a:lumMod val="90000"/>
                    <a:shade val="100000"/>
                    <a:satMod val="115000"/>
                  </a:schemeClr>
                </a:gs>
              </a:gsLst>
              <a:lin ang="0" scaled="1"/>
              <a:tileRect/>
            </a:gradFill>
            <a:ln>
              <a:no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chemeClr val="tx1">
                        <a:lumMod val="75000"/>
                        <a:lumOff val="25000"/>
                      </a:schemeClr>
                    </a:solidFill>
                    <a:latin typeface="Palatino Linotype" panose="02040502050505030304" pitchFamily="18" charset="0"/>
                    <a:ea typeface="+mn-ea"/>
                    <a:cs typeface="+mn-cs"/>
                  </a:defRPr>
                </a:pPr>
                <a:endParaRPr lang="en-US"/>
              </a:p>
            </c:txPr>
            <c:dLblPos val="outEnd"/>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cədvəli'!$I$2:$AQ$4</c15:sqref>
                  </c15:fullRef>
                </c:ext>
              </c:extLst>
              <c:f>('Fənn üzrə nailiyyətlər cədvəli'!$I$2:$I$4,'Fənn üzrə nailiyyətlər cədvəli'!$P$2:$AQ$4)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cədvəli'!$I$55:$AQ$55</c15:sqref>
                  </c15:fullRef>
                </c:ext>
              </c:extLst>
              <c:f>('Fənn üzrə nailiyyətlər cədvəli'!$I$55,'Fənn üzrə nailiyyətlər cədvəli'!$P$55:$T$55,'Fənn üzrə nailiyyətlər cədvəli'!$AC$55:$AG$55,'Fənn üzrə nailiyyətlər cədvəli'!$AJ$55:$AL$55,'Fənn üzrə nailiyyətlər cədvəli'!$AN$55:$AO$55)</c:f>
              <c:numCache>
                <c:formatCode>0.00</c:formatCode>
                <c:ptCount val="16"/>
                <c:pt idx="0">
                  <c:v>0</c:v>
                </c:pt>
                <c:pt idx="1">
                  <c:v>68.516666666666652</c:v>
                </c:pt>
                <c:pt idx="2">
                  <c:v>0</c:v>
                </c:pt>
                <c:pt idx="3">
                  <c:v>68.516666666666652</c:v>
                </c:pt>
                <c:pt idx="4">
                  <c:v>0</c:v>
                </c:pt>
                <c:pt idx="5">
                  <c:v>0</c:v>
                </c:pt>
                <c:pt idx="6">
                  <c:v>0</c:v>
                </c:pt>
                <c:pt idx="7">
                  <c:v>0</c:v>
                </c:pt>
                <c:pt idx="8">
                  <c:v>0</c:v>
                </c:pt>
                <c:pt idx="9">
                  <c:v>0</c:v>
                </c:pt>
                <c:pt idx="10">
                  <c:v>0</c:v>
                </c:pt>
                <c:pt idx="11">
                  <c:v>68.516666666666652</c:v>
                </c:pt>
                <c:pt idx="12">
                  <c:v>0</c:v>
                </c:pt>
                <c:pt idx="13">
                  <c:v>68.516666666666652</c:v>
                </c:pt>
                <c:pt idx="14">
                  <c:v>0</c:v>
                </c:pt>
                <c:pt idx="15">
                  <c:v>0</c:v>
                </c:pt>
              </c:numCache>
            </c:numRef>
          </c:val>
          <c:extLst xmlns:c16r2="http://schemas.microsoft.com/office/drawing/2015/06/chart">
            <c:ext xmlns:c16="http://schemas.microsoft.com/office/drawing/2014/chart" uri="{C3380CC4-5D6E-409C-BE32-E72D297353CC}">
              <c16:uniqueId val="{00000004-B8D4-4A85-99A3-BF76F02A29AC}"/>
            </c:ext>
          </c:extLst>
        </c:ser>
        <c:dLbls>
          <c:showLegendKey val="0"/>
          <c:showVal val="1"/>
          <c:showCatName val="0"/>
          <c:showSerName val="0"/>
          <c:showPercent val="0"/>
          <c:showBubbleSize val="0"/>
        </c:dLbls>
        <c:gapWidth val="21"/>
        <c:axId val="306664480"/>
        <c:axId val="306685400"/>
      </c:barChart>
      <c:catAx>
        <c:axId val="30666448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tx1"/>
                </a:solidFill>
                <a:latin typeface="Palatino Linotype" panose="02040502050505030304" pitchFamily="18" charset="0"/>
                <a:ea typeface="+mn-ea"/>
                <a:cs typeface="+mn-cs"/>
              </a:defRPr>
            </a:pPr>
            <a:endParaRPr lang="en-US"/>
          </a:p>
        </c:txPr>
        <c:crossAx val="306685400"/>
        <c:crosses val="autoZero"/>
        <c:auto val="1"/>
        <c:lblAlgn val="ctr"/>
        <c:lblOffset val="100"/>
        <c:noMultiLvlLbl val="0"/>
      </c:catAx>
      <c:valAx>
        <c:axId val="306685400"/>
        <c:scaling>
          <c:orientation val="minMax"/>
          <c:max val="110"/>
          <c:min val="0"/>
        </c:scaling>
        <c:delete val="1"/>
        <c:axPos val="l"/>
        <c:numFmt formatCode="0.00" sourceLinked="1"/>
        <c:majorTickMark val="out"/>
        <c:minorTickMark val="none"/>
        <c:tickLblPos val="nextTo"/>
        <c:crossAx val="306664480"/>
        <c:crosses val="autoZero"/>
        <c:crossBetween val="between"/>
        <c:majorUnit val="10"/>
      </c:valAx>
      <c:spPr>
        <a:noFill/>
        <a:ln>
          <a:noFill/>
        </a:ln>
        <a:effectLst/>
      </c:spPr>
    </c:plotArea>
    <c:plotVisOnly val="1"/>
    <c:dispBlanksAs val="gap"/>
    <c:showDLblsOverMax val="0"/>
  </c:chart>
  <c:spPr>
    <a:noFill/>
    <a:ln w="9525" cap="flat" cmpd="sng" algn="ctr">
      <a:solidFill>
        <a:schemeClr val="tx1">
          <a:lumMod val="15000"/>
          <a:lumOff val="85000"/>
        </a:schemeClr>
      </a:solidFill>
      <a:round/>
    </a:ln>
    <a:effectLst/>
  </c:spPr>
  <c:txPr>
    <a:bodyPr/>
    <a:lstStyle/>
    <a:p>
      <a:pPr>
        <a:defRPr sz="1400">
          <a:latin typeface="Palatino Linotype" panose="02040502050505030304" pitchFamily="18" charset="0"/>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image" Target="../media/image1.png"/><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oneCell">
    <xdr:from>
      <xdr:col>2</xdr:col>
      <xdr:colOff>87923</xdr:colOff>
      <xdr:row>19</xdr:row>
      <xdr:rowOff>64477</xdr:rowOff>
    </xdr:from>
    <xdr:to>
      <xdr:col>2</xdr:col>
      <xdr:colOff>2947195</xdr:colOff>
      <xdr:row>43</xdr:row>
      <xdr:rowOff>93738</xdr:rowOff>
    </xdr:to>
    <xdr:pic>
      <xdr:nvPicPr>
        <xdr:cNvPr id="4" name="Picture 3">
          <a:extLst>
            <a:ext uri="{FF2B5EF4-FFF2-40B4-BE49-F238E27FC236}">
              <a16:creationId xmlns:a16="http://schemas.microsoft.com/office/drawing/2014/main" xmlns="" id="{00000000-0008-0000-0000-000004000000}"/>
            </a:ext>
          </a:extLst>
        </xdr:cNvPr>
        <xdr:cNvPicPr>
          <a:picLocks noChangeAspect="1"/>
        </xdr:cNvPicPr>
      </xdr:nvPicPr>
      <xdr:blipFill>
        <a:blip xmlns:r="http://schemas.openxmlformats.org/officeDocument/2006/relationships" r:embed="rId1"/>
        <a:stretch>
          <a:fillRect/>
        </a:stretch>
      </xdr:blipFill>
      <xdr:spPr>
        <a:xfrm>
          <a:off x="2502877" y="10990385"/>
          <a:ext cx="2859272" cy="4865030"/>
        </a:xfrm>
        <a:prstGeom prst="rect">
          <a:avLst/>
        </a:prstGeom>
      </xdr:spPr>
    </xdr:pic>
    <xdr:clientData/>
  </xdr:twoCellAnchor>
  <xdr:twoCellAnchor editAs="oneCell">
    <xdr:from>
      <xdr:col>2</xdr:col>
      <xdr:colOff>4709918</xdr:colOff>
      <xdr:row>0</xdr:row>
      <xdr:rowOff>3130805</xdr:rowOff>
    </xdr:from>
    <xdr:to>
      <xdr:col>3</xdr:col>
      <xdr:colOff>1689717</xdr:colOff>
      <xdr:row>0</xdr:row>
      <xdr:rowOff>3702678</xdr:rowOff>
    </xdr:to>
    <xdr:pic>
      <xdr:nvPicPr>
        <xdr:cNvPr id="8" name="Picture 7">
          <a:extLst>
            <a:ext uri="{FF2B5EF4-FFF2-40B4-BE49-F238E27FC236}">
              <a16:creationId xmlns:a16="http://schemas.microsoft.com/office/drawing/2014/main" xmlns="" id="{00000000-0008-0000-0000-000008000000}"/>
            </a:ext>
          </a:extLst>
        </xdr:cNvPr>
        <xdr:cNvPicPr>
          <a:picLocks noChangeAspect="1"/>
        </xdr:cNvPicPr>
      </xdr:nvPicPr>
      <xdr:blipFill>
        <a:blip xmlns:r="http://schemas.openxmlformats.org/officeDocument/2006/relationships" r:embed="rId2"/>
        <a:stretch>
          <a:fillRect/>
        </a:stretch>
      </xdr:blipFill>
      <xdr:spPr>
        <a:xfrm>
          <a:off x="7124872" y="3130805"/>
          <a:ext cx="1745230" cy="571873"/>
        </a:xfrm>
        <a:prstGeom prst="rect">
          <a:avLst/>
        </a:prstGeom>
      </xdr:spPr>
    </xdr:pic>
    <xdr:clientData/>
  </xdr:twoCellAnchor>
  <xdr:twoCellAnchor editAs="oneCell">
    <xdr:from>
      <xdr:col>2</xdr:col>
      <xdr:colOff>4715780</xdr:colOff>
      <xdr:row>18</xdr:row>
      <xdr:rowOff>917503</xdr:rowOff>
    </xdr:from>
    <xdr:to>
      <xdr:col>3</xdr:col>
      <xdr:colOff>1699128</xdr:colOff>
      <xdr:row>18</xdr:row>
      <xdr:rowOff>1490577</xdr:rowOff>
    </xdr:to>
    <xdr:pic>
      <xdr:nvPicPr>
        <xdr:cNvPr id="11" name="Picture 10">
          <a:extLst>
            <a:ext uri="{FF2B5EF4-FFF2-40B4-BE49-F238E27FC236}">
              <a16:creationId xmlns:a16="http://schemas.microsoft.com/office/drawing/2014/main" xmlns="" id="{00000000-0008-0000-0000-00000B000000}"/>
            </a:ext>
          </a:extLst>
        </xdr:cNvPr>
        <xdr:cNvPicPr>
          <a:picLocks noChangeAspect="1"/>
        </xdr:cNvPicPr>
      </xdr:nvPicPr>
      <xdr:blipFill>
        <a:blip xmlns:r="http://schemas.openxmlformats.org/officeDocument/2006/relationships" r:embed="rId3"/>
        <a:stretch>
          <a:fillRect/>
        </a:stretch>
      </xdr:blipFill>
      <xdr:spPr>
        <a:xfrm>
          <a:off x="7130734" y="11661703"/>
          <a:ext cx="1748779" cy="573074"/>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6</xdr:col>
      <xdr:colOff>0</xdr:colOff>
      <xdr:row>66</xdr:row>
      <xdr:rowOff>0</xdr:rowOff>
    </xdr:from>
    <xdr:to>
      <xdr:col>43</xdr:col>
      <xdr:colOff>0</xdr:colOff>
      <xdr:row>93</xdr:row>
      <xdr:rowOff>13854</xdr:rowOff>
    </xdr:to>
    <xdr:graphicFrame macro="">
      <xdr:nvGraphicFramePr>
        <xdr:cNvPr id="9" name="Chart 8">
          <a:extLst>
            <a:ext uri="{FF2B5EF4-FFF2-40B4-BE49-F238E27FC236}">
              <a16:creationId xmlns:a16="http://schemas.microsoft.com/office/drawing/2014/main" xmlns="" id="{00000000-0008-0000-0100-000009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94</xdr:row>
      <xdr:rowOff>0</xdr:rowOff>
    </xdr:from>
    <xdr:to>
      <xdr:col>43</xdr:col>
      <xdr:colOff>0</xdr:colOff>
      <xdr:row>121</xdr:row>
      <xdr:rowOff>13855</xdr:rowOff>
    </xdr:to>
    <xdr:graphicFrame macro="">
      <xdr:nvGraphicFramePr>
        <xdr:cNvPr id="12" name="Chart 11">
          <a:extLst>
            <a:ext uri="{FF2B5EF4-FFF2-40B4-BE49-F238E27FC236}">
              <a16:creationId xmlns:a16="http://schemas.microsoft.com/office/drawing/2014/main" xmlns="" id="{00000000-0008-0000-0100-00000C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0</xdr:col>
      <xdr:colOff>110835</xdr:colOff>
      <xdr:row>66</xdr:row>
      <xdr:rowOff>69272</xdr:rowOff>
    </xdr:from>
    <xdr:to>
      <xdr:col>5</xdr:col>
      <xdr:colOff>643748</xdr:colOff>
      <xdr:row>117</xdr:row>
      <xdr:rowOff>69272</xdr:rowOff>
    </xdr:to>
    <xdr:pic>
      <xdr:nvPicPr>
        <xdr:cNvPr id="2" name="Picture 1">
          <a:extLst>
            <a:ext uri="{FF2B5EF4-FFF2-40B4-BE49-F238E27FC236}">
              <a16:creationId xmlns:a16="http://schemas.microsoft.com/office/drawing/2014/main" xmlns="" id="{00000000-0008-0000-0100-000002000000}"/>
            </a:ext>
          </a:extLst>
        </xdr:cNvPr>
        <xdr:cNvPicPr>
          <a:picLocks noChangeAspect="1"/>
        </xdr:cNvPicPr>
      </xdr:nvPicPr>
      <xdr:blipFill>
        <a:blip xmlns:r="http://schemas.openxmlformats.org/officeDocument/2006/relationships" r:embed="rId3"/>
        <a:stretch>
          <a:fillRect/>
        </a:stretch>
      </xdr:blipFill>
      <xdr:spPr>
        <a:xfrm>
          <a:off x="110835" y="17068799"/>
          <a:ext cx="5659095" cy="9628909"/>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D59"/>
  <sheetViews>
    <sheetView showGridLines="0" zoomScale="130" zoomScaleNormal="130" workbookViewId="0">
      <selection sqref="A1:D1"/>
    </sheetView>
  </sheetViews>
  <sheetFormatPr defaultColWidth="8.88671875" defaultRowHeight="15.6"/>
  <cols>
    <col min="1" max="1" width="8.88671875" style="38"/>
    <col min="2" max="2" width="26.33203125" style="38" customWidth="1"/>
    <col min="3" max="3" width="69.44140625" style="38" customWidth="1"/>
    <col min="4" max="4" width="25.5546875" style="38" customWidth="1"/>
    <col min="5" max="16384" width="8.88671875" style="38"/>
  </cols>
  <sheetData>
    <row r="1" spans="1:4" ht="297" customHeight="1">
      <c r="A1" s="67" t="s">
        <v>120</v>
      </c>
      <c r="B1" s="67"/>
      <c r="C1" s="67"/>
      <c r="D1" s="67"/>
    </row>
    <row r="2" spans="1:4" ht="17.399999999999999">
      <c r="A2" s="68" t="s">
        <v>47</v>
      </c>
      <c r="B2" s="68"/>
      <c r="C2" s="68"/>
      <c r="D2" s="68"/>
    </row>
    <row r="3" spans="1:4">
      <c r="A3" s="39" t="s">
        <v>46</v>
      </c>
      <c r="B3" s="40" t="s">
        <v>48</v>
      </c>
      <c r="C3" s="39" t="s">
        <v>49</v>
      </c>
      <c r="D3" s="39" t="s">
        <v>50</v>
      </c>
    </row>
    <row r="4" spans="1:4">
      <c r="A4" s="41">
        <v>1</v>
      </c>
      <c r="B4" s="42" t="s">
        <v>12</v>
      </c>
      <c r="C4" s="43" t="s">
        <v>52</v>
      </c>
      <c r="D4" s="44" t="s">
        <v>51</v>
      </c>
    </row>
    <row r="5" spans="1:4">
      <c r="A5" s="41">
        <v>2</v>
      </c>
      <c r="B5" s="42" t="s">
        <v>14</v>
      </c>
      <c r="C5" s="43" t="s">
        <v>53</v>
      </c>
      <c r="D5" s="44" t="s">
        <v>51</v>
      </c>
    </row>
    <row r="6" spans="1:4">
      <c r="A6" s="41">
        <v>3</v>
      </c>
      <c r="B6" s="42" t="s">
        <v>54</v>
      </c>
      <c r="C6" s="43" t="s">
        <v>55</v>
      </c>
      <c r="D6" s="44" t="s">
        <v>51</v>
      </c>
    </row>
    <row r="7" spans="1:4" ht="93.6">
      <c r="A7" s="41">
        <v>4</v>
      </c>
      <c r="B7" s="42" t="s">
        <v>17</v>
      </c>
      <c r="C7" s="43" t="s">
        <v>117</v>
      </c>
      <c r="D7" s="44" t="s">
        <v>56</v>
      </c>
    </row>
    <row r="8" spans="1:4" ht="46.8">
      <c r="A8" s="41">
        <v>5</v>
      </c>
      <c r="B8" s="42" t="s">
        <v>28</v>
      </c>
      <c r="C8" s="43" t="s">
        <v>57</v>
      </c>
      <c r="D8" s="44" t="s">
        <v>56</v>
      </c>
    </row>
    <row r="9" spans="1:4" ht="62.4">
      <c r="A9" s="41">
        <v>6</v>
      </c>
      <c r="B9" s="42" t="s">
        <v>19</v>
      </c>
      <c r="C9" s="43" t="s">
        <v>58</v>
      </c>
      <c r="D9" s="44" t="s">
        <v>56</v>
      </c>
    </row>
    <row r="10" spans="1:4" ht="31.2">
      <c r="A10" s="41">
        <v>7</v>
      </c>
      <c r="B10" s="42" t="s">
        <v>18</v>
      </c>
      <c r="C10" s="43" t="s">
        <v>59</v>
      </c>
      <c r="D10" s="44" t="s">
        <v>56</v>
      </c>
    </row>
    <row r="11" spans="1:4" ht="31.2">
      <c r="A11" s="41">
        <v>8</v>
      </c>
      <c r="B11" s="42" t="s">
        <v>60</v>
      </c>
      <c r="C11" s="43" t="s">
        <v>61</v>
      </c>
      <c r="D11" s="44" t="s">
        <v>56</v>
      </c>
    </row>
    <row r="12" spans="1:4">
      <c r="A12" s="41">
        <v>9</v>
      </c>
      <c r="B12" s="42" t="s">
        <v>6</v>
      </c>
      <c r="C12" s="43" t="s">
        <v>63</v>
      </c>
      <c r="D12" s="44" t="s">
        <v>62</v>
      </c>
    </row>
    <row r="13" spans="1:4" ht="46.8">
      <c r="A13" s="41">
        <v>10</v>
      </c>
      <c r="B13" s="42" t="s">
        <v>5</v>
      </c>
      <c r="C13" s="43" t="s">
        <v>64</v>
      </c>
      <c r="D13" s="44" t="s">
        <v>56</v>
      </c>
    </row>
    <row r="14" spans="1:4">
      <c r="A14" s="41">
        <v>11</v>
      </c>
      <c r="B14" s="42" t="s">
        <v>65</v>
      </c>
      <c r="C14" s="43" t="s">
        <v>63</v>
      </c>
      <c r="D14" s="44" t="s">
        <v>62</v>
      </c>
    </row>
    <row r="15" spans="1:4" ht="31.2">
      <c r="A15" s="41">
        <v>12</v>
      </c>
      <c r="B15" s="42" t="s">
        <v>7</v>
      </c>
      <c r="C15" s="43" t="s">
        <v>66</v>
      </c>
      <c r="D15" s="44" t="s">
        <v>56</v>
      </c>
    </row>
    <row r="16" spans="1:4" ht="46.8">
      <c r="A16" s="41">
        <v>13</v>
      </c>
      <c r="B16" s="42" t="s">
        <v>67</v>
      </c>
      <c r="C16" s="43" t="s">
        <v>119</v>
      </c>
      <c r="D16" s="44" t="s">
        <v>56</v>
      </c>
    </row>
    <row r="17" spans="1:4">
      <c r="A17" s="41">
        <v>14</v>
      </c>
      <c r="B17" s="42" t="s">
        <v>27</v>
      </c>
      <c r="C17" s="45" t="s">
        <v>63</v>
      </c>
      <c r="D17" s="44" t="s">
        <v>62</v>
      </c>
    </row>
    <row r="18" spans="1:4" ht="31.2">
      <c r="A18" s="41">
        <v>15</v>
      </c>
      <c r="B18" s="42" t="s">
        <v>38</v>
      </c>
      <c r="C18" s="43" t="s">
        <v>116</v>
      </c>
      <c r="D18" s="44" t="s">
        <v>56</v>
      </c>
    </row>
    <row r="19" spans="1:4" ht="121.8" customHeight="1">
      <c r="A19" s="69" t="s">
        <v>118</v>
      </c>
      <c r="B19" s="69"/>
      <c r="C19" s="69"/>
      <c r="D19" s="69"/>
    </row>
    <row r="20" spans="1:4" ht="19.8">
      <c r="A20" s="70" t="s">
        <v>68</v>
      </c>
      <c r="B20" s="70"/>
      <c r="C20" s="46"/>
    </row>
    <row r="21" spans="1:4">
      <c r="A21" s="39" t="s">
        <v>70</v>
      </c>
      <c r="B21" s="47" t="s">
        <v>71</v>
      </c>
      <c r="C21" s="46"/>
    </row>
    <row r="22" spans="1:4">
      <c r="A22" s="39" t="s">
        <v>72</v>
      </c>
      <c r="B22" s="47" t="s">
        <v>73</v>
      </c>
      <c r="C22" s="46"/>
    </row>
    <row r="23" spans="1:4">
      <c r="A23" s="39" t="s">
        <v>74</v>
      </c>
      <c r="B23" s="47" t="s">
        <v>75</v>
      </c>
      <c r="C23" s="46"/>
    </row>
    <row r="24" spans="1:4">
      <c r="A24" s="39" t="s">
        <v>76</v>
      </c>
      <c r="B24" s="47" t="s">
        <v>77</v>
      </c>
      <c r="C24" s="46"/>
    </row>
    <row r="25" spans="1:4">
      <c r="A25" s="39" t="s">
        <v>78</v>
      </c>
      <c r="B25" s="47" t="s">
        <v>79</v>
      </c>
      <c r="C25" s="46"/>
    </row>
    <row r="26" spans="1:4">
      <c r="A26" s="39" t="s">
        <v>80</v>
      </c>
      <c r="B26" s="47" t="s">
        <v>81</v>
      </c>
      <c r="C26" s="46"/>
    </row>
    <row r="27" spans="1:4">
      <c r="A27" s="39">
        <v>115</v>
      </c>
      <c r="B27" s="48" t="s">
        <v>69</v>
      </c>
      <c r="C27" s="46"/>
    </row>
    <row r="28" spans="1:4">
      <c r="A28" s="39" t="s">
        <v>82</v>
      </c>
      <c r="B28" s="47" t="s">
        <v>83</v>
      </c>
      <c r="C28" s="46"/>
    </row>
    <row r="29" spans="1:4">
      <c r="A29" s="39" t="s">
        <v>84</v>
      </c>
      <c r="B29" s="47" t="s">
        <v>85</v>
      </c>
      <c r="C29" s="46"/>
    </row>
    <row r="30" spans="1:4">
      <c r="A30" s="39" t="s">
        <v>86</v>
      </c>
      <c r="B30" s="47" t="s">
        <v>87</v>
      </c>
      <c r="C30" s="46"/>
    </row>
    <row r="31" spans="1:4">
      <c r="A31" s="39" t="s">
        <v>88</v>
      </c>
      <c r="B31" s="47" t="s">
        <v>89</v>
      </c>
      <c r="C31" s="46"/>
    </row>
    <row r="32" spans="1:4">
      <c r="A32" s="39" t="s">
        <v>90</v>
      </c>
      <c r="B32" s="47" t="s">
        <v>91</v>
      </c>
      <c r="C32" s="46"/>
    </row>
    <row r="33" spans="1:3">
      <c r="A33" s="39" t="s">
        <v>92</v>
      </c>
      <c r="B33" s="47" t="s">
        <v>93</v>
      </c>
      <c r="C33" s="46"/>
    </row>
    <row r="34" spans="1:3">
      <c r="A34" s="39" t="s">
        <v>94</v>
      </c>
      <c r="B34" s="47" t="s">
        <v>95</v>
      </c>
      <c r="C34" s="46"/>
    </row>
    <row r="35" spans="1:3">
      <c r="A35" s="39" t="s">
        <v>96</v>
      </c>
      <c r="B35" s="47" t="s">
        <v>97</v>
      </c>
      <c r="C35" s="46"/>
    </row>
    <row r="36" spans="1:3">
      <c r="A36" s="39" t="s">
        <v>98</v>
      </c>
      <c r="B36" s="47" t="s">
        <v>99</v>
      </c>
      <c r="C36" s="46"/>
    </row>
    <row r="37" spans="1:3">
      <c r="A37" s="39" t="s">
        <v>100</v>
      </c>
      <c r="B37" s="47" t="s">
        <v>101</v>
      </c>
      <c r="C37" s="46"/>
    </row>
    <row r="38" spans="1:3">
      <c r="A38" s="39" t="s">
        <v>102</v>
      </c>
      <c r="B38" s="47" t="s">
        <v>103</v>
      </c>
      <c r="C38" s="46"/>
    </row>
    <row r="39" spans="1:3">
      <c r="A39" s="39" t="s">
        <v>104</v>
      </c>
      <c r="B39" s="47" t="s">
        <v>105</v>
      </c>
      <c r="C39" s="46"/>
    </row>
    <row r="40" spans="1:3">
      <c r="A40" s="39" t="s">
        <v>106</v>
      </c>
      <c r="B40" s="47" t="s">
        <v>107</v>
      </c>
      <c r="C40" s="46"/>
    </row>
    <row r="41" spans="1:3">
      <c r="A41" s="39" t="s">
        <v>108</v>
      </c>
      <c r="B41" s="47" t="s">
        <v>109</v>
      </c>
      <c r="C41" s="46"/>
    </row>
    <row r="42" spans="1:3">
      <c r="A42" s="39" t="s">
        <v>110</v>
      </c>
      <c r="B42" s="47" t="s">
        <v>115</v>
      </c>
      <c r="C42" s="46"/>
    </row>
    <row r="43" spans="1:3">
      <c r="A43" s="39" t="s">
        <v>111</v>
      </c>
      <c r="B43" s="47" t="s">
        <v>112</v>
      </c>
      <c r="C43" s="46"/>
    </row>
    <row r="44" spans="1:3">
      <c r="A44" s="39" t="s">
        <v>113</v>
      </c>
      <c r="B44" s="47" t="s">
        <v>114</v>
      </c>
      <c r="C44" s="46"/>
    </row>
    <row r="45" spans="1:3">
      <c r="C45" s="46"/>
    </row>
    <row r="46" spans="1:3">
      <c r="C46" s="46"/>
    </row>
    <row r="47" spans="1:3">
      <c r="C47" s="46"/>
    </row>
    <row r="48" spans="1:3">
      <c r="C48" s="46"/>
    </row>
    <row r="49" spans="3:3">
      <c r="C49" s="46"/>
    </row>
    <row r="50" spans="3:3">
      <c r="C50" s="46"/>
    </row>
    <row r="51" spans="3:3">
      <c r="C51" s="46"/>
    </row>
    <row r="52" spans="3:3">
      <c r="C52" s="46"/>
    </row>
    <row r="53" spans="3:3">
      <c r="C53" s="46"/>
    </row>
    <row r="54" spans="3:3">
      <c r="C54" s="46"/>
    </row>
    <row r="55" spans="3:3">
      <c r="C55" s="46"/>
    </row>
    <row r="56" spans="3:3">
      <c r="C56" s="46"/>
    </row>
    <row r="57" spans="3:3">
      <c r="C57" s="46"/>
    </row>
    <row r="58" spans="3:3">
      <c r="C58" s="46"/>
    </row>
    <row r="59" spans="3:3">
      <c r="C59" s="46"/>
    </row>
  </sheetData>
  <sheetProtection algorithmName="SHA-512" hashValue="mDz9OJo1Q8iqViwKxQwR497kEhpauwB8lScWQs3YHv/y5qz3mMFUD7+xfZGvn6zc2GJPXEb59swccRsehxtXWw==" saltValue="/6+HHqR0dgI2m5si3URVlA==" spinCount="100000" sheet="1" objects="1" scenarios="1"/>
  <sortState ref="A20:B43">
    <sortCondition ref="A20:A43"/>
  </sortState>
  <mergeCells count="4">
    <mergeCell ref="A1:D1"/>
    <mergeCell ref="A2:D2"/>
    <mergeCell ref="A19:D19"/>
    <mergeCell ref="A20:B20"/>
  </mergeCells>
  <pageMargins left="0.23622047244094488" right="0.23622047244094488" top="0.23622047244094488" bottom="0.23622047244094488" header="0" footer="0"/>
  <pageSetup paperSize="9" scale="62"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Q101"/>
  <sheetViews>
    <sheetView showGridLines="0" tabSelected="1" zoomScale="88" zoomScaleNormal="88" workbookViewId="0">
      <pane xSplit="6" ySplit="4" topLeftCell="G7" activePane="bottomRight" state="frozen"/>
      <selection pane="topRight" activeCell="G1" sqref="G1"/>
      <selection pane="bottomLeft" activeCell="A5" sqref="A5"/>
      <selection pane="bottomRight" activeCell="L25" sqref="L25"/>
    </sheetView>
  </sheetViews>
  <sheetFormatPr defaultColWidth="8.88671875" defaultRowHeight="14.4"/>
  <cols>
    <col min="1" max="1" width="6.33203125" style="52" customWidth="1"/>
    <col min="2" max="2" width="6" style="52" customWidth="1"/>
    <col min="3" max="5" width="20.77734375" style="52" customWidth="1"/>
    <col min="6" max="6" width="12.6640625" style="52" customWidth="1"/>
    <col min="7" max="7" width="8.44140625" style="52" customWidth="1"/>
    <col min="8" max="8" width="8.77734375" style="52" customWidth="1"/>
    <col min="9" max="38" width="7.77734375" style="52" customWidth="1"/>
    <col min="39" max="39" width="5.33203125" style="52" customWidth="1"/>
    <col min="40" max="41" width="7.77734375" style="52" customWidth="1"/>
    <col min="42" max="42" width="8.109375" style="52" customWidth="1"/>
    <col min="43" max="43" width="7.77734375" style="52" customWidth="1"/>
    <col min="44" max="16384" width="8.88671875" style="52"/>
  </cols>
  <sheetData>
    <row r="1" spans="1:43" ht="41.4" customHeight="1">
      <c r="A1" s="107" t="s">
        <v>9</v>
      </c>
      <c r="B1" s="107"/>
      <c r="C1" s="107"/>
      <c r="D1" s="107"/>
      <c r="E1" s="107"/>
      <c r="F1" s="107"/>
      <c r="G1" s="107"/>
      <c r="H1" s="107"/>
      <c r="I1" s="107"/>
      <c r="J1" s="107"/>
      <c r="K1" s="107"/>
      <c r="L1" s="107"/>
      <c r="M1" s="107"/>
      <c r="N1" s="107"/>
      <c r="O1" s="107"/>
      <c r="P1" s="107"/>
      <c r="Q1" s="107"/>
      <c r="R1" s="107"/>
      <c r="S1" s="107"/>
      <c r="T1" s="107"/>
      <c r="U1" s="107"/>
      <c r="V1" s="107"/>
      <c r="W1" s="107"/>
      <c r="X1" s="107"/>
      <c r="Y1" s="107"/>
      <c r="Z1" s="107"/>
      <c r="AA1" s="107"/>
      <c r="AB1" s="107"/>
      <c r="AC1" s="107"/>
      <c r="AD1" s="107"/>
      <c r="AE1" s="107"/>
      <c r="AF1" s="107"/>
      <c r="AG1" s="107"/>
      <c r="AH1" s="107"/>
      <c r="AI1" s="107"/>
      <c r="AJ1" s="107"/>
      <c r="AK1" s="107"/>
      <c r="AL1" s="107"/>
      <c r="AM1" s="107"/>
      <c r="AN1" s="107"/>
      <c r="AO1" s="107"/>
      <c r="AP1" s="107"/>
      <c r="AQ1" s="107"/>
    </row>
    <row r="2" spans="1:43" ht="36.6" customHeight="1">
      <c r="A2" s="109" t="s">
        <v>12</v>
      </c>
      <c r="B2" s="109" t="s">
        <v>14</v>
      </c>
      <c r="C2" s="110" t="s">
        <v>0</v>
      </c>
      <c r="D2" s="110"/>
      <c r="E2" s="110"/>
      <c r="F2" s="74" t="s">
        <v>17</v>
      </c>
      <c r="G2" s="74" t="s">
        <v>28</v>
      </c>
      <c r="H2" s="76" t="s">
        <v>19</v>
      </c>
      <c r="I2" s="118" t="s">
        <v>18</v>
      </c>
      <c r="J2" s="73" t="s">
        <v>21</v>
      </c>
      <c r="K2" s="73"/>
      <c r="L2" s="73"/>
      <c r="M2" s="73"/>
      <c r="N2" s="73"/>
      <c r="O2" s="73"/>
      <c r="P2" s="73"/>
      <c r="Q2" s="73"/>
      <c r="R2" s="73"/>
      <c r="S2" s="73"/>
      <c r="T2" s="73"/>
      <c r="U2" s="73"/>
      <c r="V2" s="73"/>
      <c r="W2" s="73" t="s">
        <v>22</v>
      </c>
      <c r="X2" s="73"/>
      <c r="Y2" s="73"/>
      <c r="Z2" s="73"/>
      <c r="AA2" s="73"/>
      <c r="AB2" s="73"/>
      <c r="AC2" s="73"/>
      <c r="AD2" s="73"/>
      <c r="AE2" s="73"/>
      <c r="AF2" s="73"/>
      <c r="AG2" s="73"/>
      <c r="AH2" s="73"/>
      <c r="AI2" s="73"/>
      <c r="AJ2" s="73" t="s">
        <v>24</v>
      </c>
      <c r="AK2" s="73"/>
      <c r="AL2" s="73"/>
      <c r="AM2" s="73"/>
      <c r="AN2" s="73"/>
      <c r="AO2" s="73"/>
      <c r="AP2" s="73"/>
      <c r="AQ2" s="73"/>
    </row>
    <row r="3" spans="1:43" ht="27" customHeight="1">
      <c r="A3" s="109"/>
      <c r="B3" s="109"/>
      <c r="C3" s="110"/>
      <c r="D3" s="110"/>
      <c r="E3" s="110"/>
      <c r="F3" s="74"/>
      <c r="G3" s="74"/>
      <c r="H3" s="76"/>
      <c r="I3" s="119"/>
      <c r="J3" s="115" t="s">
        <v>20</v>
      </c>
      <c r="K3" s="116"/>
      <c r="L3" s="116"/>
      <c r="M3" s="116"/>
      <c r="N3" s="116"/>
      <c r="O3" s="116"/>
      <c r="P3" s="116"/>
      <c r="Q3" s="117"/>
      <c r="R3" s="113" t="s">
        <v>43</v>
      </c>
      <c r="S3" s="74" t="s">
        <v>7</v>
      </c>
      <c r="T3" s="74"/>
      <c r="U3" s="76" t="s">
        <v>33</v>
      </c>
      <c r="V3" s="103" t="s">
        <v>27</v>
      </c>
      <c r="W3" s="115" t="s">
        <v>20</v>
      </c>
      <c r="X3" s="116"/>
      <c r="Y3" s="116"/>
      <c r="Z3" s="116"/>
      <c r="AA3" s="116"/>
      <c r="AB3" s="116"/>
      <c r="AC3" s="116"/>
      <c r="AD3" s="117"/>
      <c r="AE3" s="118" t="s">
        <v>34</v>
      </c>
      <c r="AF3" s="74" t="s">
        <v>7</v>
      </c>
      <c r="AG3" s="74"/>
      <c r="AH3" s="76" t="s">
        <v>35</v>
      </c>
      <c r="AI3" s="103" t="s">
        <v>27</v>
      </c>
      <c r="AJ3" s="74" t="s">
        <v>36</v>
      </c>
      <c r="AK3" s="74" t="s">
        <v>37</v>
      </c>
      <c r="AL3" s="74" t="s">
        <v>8</v>
      </c>
      <c r="AM3" s="74"/>
      <c r="AN3" s="105" t="s">
        <v>23</v>
      </c>
      <c r="AO3" s="105" t="s">
        <v>38</v>
      </c>
      <c r="AP3" s="76" t="s">
        <v>39</v>
      </c>
      <c r="AQ3" s="103" t="s">
        <v>27</v>
      </c>
    </row>
    <row r="4" spans="1:43" ht="52.8" customHeight="1" thickBot="1">
      <c r="A4" s="109"/>
      <c r="B4" s="109"/>
      <c r="C4" s="53" t="s">
        <v>2</v>
      </c>
      <c r="D4" s="53" t="s">
        <v>3</v>
      </c>
      <c r="E4" s="53" t="s">
        <v>1</v>
      </c>
      <c r="F4" s="75"/>
      <c r="G4" s="13">
        <v>135</v>
      </c>
      <c r="H4" s="13">
        <v>17</v>
      </c>
      <c r="I4" s="119"/>
      <c r="J4" s="54" t="s">
        <v>4</v>
      </c>
      <c r="K4" s="54" t="s">
        <v>4</v>
      </c>
      <c r="L4" s="54" t="s">
        <v>4</v>
      </c>
      <c r="M4" s="54" t="s">
        <v>4</v>
      </c>
      <c r="N4" s="54" t="s">
        <v>4</v>
      </c>
      <c r="O4" s="54" t="s">
        <v>4</v>
      </c>
      <c r="P4" s="54" t="s">
        <v>6</v>
      </c>
      <c r="Q4" s="54" t="s">
        <v>5</v>
      </c>
      <c r="R4" s="114"/>
      <c r="S4" s="14" t="s">
        <v>29</v>
      </c>
      <c r="T4" s="14" t="s">
        <v>30</v>
      </c>
      <c r="U4" s="102"/>
      <c r="V4" s="104"/>
      <c r="W4" s="54" t="s">
        <v>4</v>
      </c>
      <c r="X4" s="54" t="s">
        <v>4</v>
      </c>
      <c r="Y4" s="54" t="s">
        <v>4</v>
      </c>
      <c r="Z4" s="54" t="s">
        <v>4</v>
      </c>
      <c r="AA4" s="54" t="s">
        <v>4</v>
      </c>
      <c r="AB4" s="54" t="s">
        <v>4</v>
      </c>
      <c r="AC4" s="54" t="s">
        <v>6</v>
      </c>
      <c r="AD4" s="54" t="s">
        <v>5</v>
      </c>
      <c r="AE4" s="119"/>
      <c r="AF4" s="14" t="s">
        <v>31</v>
      </c>
      <c r="AG4" s="14" t="s">
        <v>32</v>
      </c>
      <c r="AH4" s="102"/>
      <c r="AI4" s="104"/>
      <c r="AJ4" s="75"/>
      <c r="AK4" s="75"/>
      <c r="AL4" s="51" t="s">
        <v>40</v>
      </c>
      <c r="AM4" s="51" t="s">
        <v>41</v>
      </c>
      <c r="AN4" s="106"/>
      <c r="AO4" s="106"/>
      <c r="AP4" s="102"/>
      <c r="AQ4" s="104"/>
    </row>
    <row r="5" spans="1:43" ht="18.149999999999999" customHeight="1" thickBot="1">
      <c r="A5" s="49">
        <v>7</v>
      </c>
      <c r="B5" s="49" t="s">
        <v>121</v>
      </c>
      <c r="C5" s="49" t="s">
        <v>122</v>
      </c>
      <c r="D5" s="49" t="s">
        <v>123</v>
      </c>
      <c r="E5" s="50" t="s">
        <v>124</v>
      </c>
      <c r="F5" s="15">
        <v>1783910</v>
      </c>
      <c r="G5" s="16">
        <f>IF(F5="","",$G$4)</f>
        <v>135</v>
      </c>
      <c r="H5" s="16">
        <f>IF(F5="","",$H$4)</f>
        <v>17</v>
      </c>
      <c r="I5" s="17"/>
      <c r="J5" s="17">
        <v>40</v>
      </c>
      <c r="K5" s="17">
        <v>45</v>
      </c>
      <c r="L5" s="17">
        <v>50</v>
      </c>
      <c r="M5" s="17"/>
      <c r="N5" s="17"/>
      <c r="O5" s="17"/>
      <c r="P5" s="18">
        <f t="shared" ref="P5:P36" si="0">IFERROR(AVERAGE(J5:O5),"")</f>
        <v>45</v>
      </c>
      <c r="Q5" s="17"/>
      <c r="R5" s="19">
        <f t="shared" ref="R5:R36" si="1">IF(Q5="",P5,IF(P5="",Q5,P5*40/100+Q5*60/100))</f>
        <v>45</v>
      </c>
      <c r="S5" s="17"/>
      <c r="T5" s="17"/>
      <c r="U5" s="20">
        <v>0</v>
      </c>
      <c r="V5" s="57">
        <f>IF(U5="","",((H5/2)-U5)*100/(H5/2))</f>
        <v>100</v>
      </c>
      <c r="W5" s="17"/>
      <c r="X5" s="17"/>
      <c r="Y5" s="17"/>
      <c r="Z5" s="17"/>
      <c r="AA5" s="17"/>
      <c r="AB5" s="17"/>
      <c r="AC5" s="18" t="str">
        <f t="shared" ref="AC5:AC54" si="2">IFERROR(AVERAGE(W5:AB5),"")</f>
        <v/>
      </c>
      <c r="AD5" s="17"/>
      <c r="AE5" s="19" t="str">
        <f t="shared" ref="AE5:AE54" si="3">IF(AD5="",AC5,IF(AC5="",AD5,AC5*40/100+AD5*60/100))</f>
        <v/>
      </c>
      <c r="AF5" s="17"/>
      <c r="AG5" s="17"/>
      <c r="AH5" s="60"/>
      <c r="AI5" s="66" t="str">
        <f>IF(AH5="","",((H5/2)-AH5)*100/(H5/2))</f>
        <v/>
      </c>
      <c r="AJ5" s="62">
        <f>IFERROR(AVERAGE(P5,AC5),"")</f>
        <v>45</v>
      </c>
      <c r="AK5" s="18" t="str">
        <f>IFERROR(AVERAGE(Q5,AD5),"")</f>
        <v/>
      </c>
      <c r="AL5" s="19">
        <f>IFERROR(AVERAGE(R5,AE5),"")</f>
        <v>45</v>
      </c>
      <c r="AM5" s="21">
        <f>IF(AL5&lt;=30,2,IF(AL5&lt;=60,3,IF(AL5&lt;=80,4,IF(AL5&lt;=100,5,""))))</f>
        <v>3</v>
      </c>
      <c r="AN5" s="18" t="str">
        <f>IFERROR(AVERAGE(S5,T5,AF5,AG5),"")</f>
        <v/>
      </c>
      <c r="AO5" s="17"/>
      <c r="AP5" s="25">
        <f>IF(C5="","",(U5+AH5))</f>
        <v>0</v>
      </c>
      <c r="AQ5" s="26">
        <f>IF(AP5="","",(H5-AP5)*100/H5)</f>
        <v>100</v>
      </c>
    </row>
    <row r="6" spans="1:43" ht="18.149999999999999" customHeight="1" thickBot="1">
      <c r="A6" s="49">
        <v>7</v>
      </c>
      <c r="B6" s="49" t="s">
        <v>121</v>
      </c>
      <c r="C6" s="49" t="s">
        <v>125</v>
      </c>
      <c r="D6" s="49" t="s">
        <v>126</v>
      </c>
      <c r="E6" s="50" t="s">
        <v>127</v>
      </c>
      <c r="F6" s="15">
        <v>1783910</v>
      </c>
      <c r="G6" s="1">
        <f t="shared" ref="G6:G54" si="4">IF(F6="","",$G$4)</f>
        <v>135</v>
      </c>
      <c r="H6" s="1">
        <f t="shared" ref="H6:H54" si="5">IF(F6="","",$H$4)</f>
        <v>17</v>
      </c>
      <c r="I6" s="12"/>
      <c r="J6" s="12">
        <v>65</v>
      </c>
      <c r="K6" s="12">
        <v>70</v>
      </c>
      <c r="L6" s="12">
        <v>65</v>
      </c>
      <c r="M6" s="12"/>
      <c r="N6" s="12"/>
      <c r="O6" s="12"/>
      <c r="P6" s="2">
        <f t="shared" si="0"/>
        <v>66.666666666666671</v>
      </c>
      <c r="Q6" s="12"/>
      <c r="R6" s="3">
        <f t="shared" si="1"/>
        <v>66.666666666666671</v>
      </c>
      <c r="S6" s="12"/>
      <c r="T6" s="12"/>
      <c r="U6" s="55">
        <v>0</v>
      </c>
      <c r="V6" s="58">
        <f>IF(U6="","",((H6/2)-U6)*100/(H6/2))</f>
        <v>100</v>
      </c>
      <c r="W6" s="56"/>
      <c r="X6" s="12"/>
      <c r="Y6" s="12"/>
      <c r="Z6" s="12"/>
      <c r="AA6" s="12"/>
      <c r="AB6" s="12"/>
      <c r="AC6" s="2" t="str">
        <f t="shared" si="2"/>
        <v/>
      </c>
      <c r="AD6" s="12"/>
      <c r="AE6" s="3" t="str">
        <f t="shared" si="3"/>
        <v/>
      </c>
      <c r="AF6" s="12"/>
      <c r="AG6" s="12"/>
      <c r="AH6" s="55"/>
      <c r="AI6" s="58" t="str">
        <f t="shared" ref="AI6:AI54" si="6">IF(AH6="","",((H6/2)-AH6)*100/(H6/2))</f>
        <v/>
      </c>
      <c r="AJ6" s="63">
        <f t="shared" ref="AJ6:AJ54" si="7">IFERROR(AVERAGE(P6,AC6),"")</f>
        <v>66.666666666666671</v>
      </c>
      <c r="AK6" s="2" t="str">
        <f t="shared" ref="AK6:AK54" si="8">IFERROR(AVERAGE(Q6,AD6),"")</f>
        <v/>
      </c>
      <c r="AL6" s="3">
        <f t="shared" ref="AL6:AL54" si="9">IFERROR(AVERAGE(R6,AE6),"")</f>
        <v>66.666666666666671</v>
      </c>
      <c r="AM6" s="4">
        <f t="shared" ref="AM6:AM54" si="10">IF(AL6&lt;=30,2,IF(AL6&lt;=60,3,IF(AL6&lt;=80,4,IF(AL6&lt;=100,5,""))))</f>
        <v>4</v>
      </c>
      <c r="AN6" s="2" t="str">
        <f t="shared" ref="AN6:AN54" si="11">IFERROR(AVERAGE(S6,T6,AF6,AG6),"")</f>
        <v/>
      </c>
      <c r="AO6" s="12"/>
      <c r="AP6" s="5">
        <f t="shared" ref="AP6:AP54" si="12">IF(C6="","",(U6+AH6))</f>
        <v>0</v>
      </c>
      <c r="AQ6" s="28">
        <f t="shared" ref="AQ6:AQ54" si="13">IF(AP6="","",(H6-AP6)*100/H6)</f>
        <v>100</v>
      </c>
    </row>
    <row r="7" spans="1:43" ht="18.149999999999999" customHeight="1" thickBot="1">
      <c r="A7" s="49">
        <v>7</v>
      </c>
      <c r="B7" s="49" t="s">
        <v>121</v>
      </c>
      <c r="C7" s="49" t="s">
        <v>128</v>
      </c>
      <c r="D7" s="49" t="s">
        <v>129</v>
      </c>
      <c r="E7" s="50" t="s">
        <v>130</v>
      </c>
      <c r="F7" s="15">
        <v>1783910</v>
      </c>
      <c r="G7" s="1">
        <f t="shared" si="4"/>
        <v>135</v>
      </c>
      <c r="H7" s="1">
        <f t="shared" si="5"/>
        <v>17</v>
      </c>
      <c r="I7" s="12"/>
      <c r="J7" s="12">
        <v>65</v>
      </c>
      <c r="K7" s="12">
        <v>75</v>
      </c>
      <c r="L7" s="12">
        <v>70</v>
      </c>
      <c r="M7" s="12"/>
      <c r="N7" s="12"/>
      <c r="O7" s="12"/>
      <c r="P7" s="2">
        <f t="shared" si="0"/>
        <v>70</v>
      </c>
      <c r="Q7" s="12"/>
      <c r="R7" s="3">
        <f t="shared" si="1"/>
        <v>70</v>
      </c>
      <c r="S7" s="12"/>
      <c r="T7" s="12"/>
      <c r="U7" s="55">
        <v>0</v>
      </c>
      <c r="V7" s="58">
        <f t="shared" ref="V7:V54" si="14">IF(U7="","",((H7/2)-U7)*100/(H7/2))</f>
        <v>100</v>
      </c>
      <c r="W7" s="56"/>
      <c r="X7" s="12"/>
      <c r="Y7" s="12"/>
      <c r="Z7" s="12"/>
      <c r="AA7" s="12"/>
      <c r="AB7" s="12"/>
      <c r="AC7" s="2" t="str">
        <f t="shared" si="2"/>
        <v/>
      </c>
      <c r="AD7" s="12"/>
      <c r="AE7" s="3" t="str">
        <f t="shared" si="3"/>
        <v/>
      </c>
      <c r="AF7" s="12"/>
      <c r="AG7" s="12"/>
      <c r="AH7" s="55"/>
      <c r="AI7" s="58" t="str">
        <f t="shared" si="6"/>
        <v/>
      </c>
      <c r="AJ7" s="63">
        <f>IFERROR(AVERAGE(P7,AC7),"")</f>
        <v>70</v>
      </c>
      <c r="AK7" s="2" t="str">
        <f t="shared" si="8"/>
        <v/>
      </c>
      <c r="AL7" s="3">
        <f t="shared" si="9"/>
        <v>70</v>
      </c>
      <c r="AM7" s="4">
        <f t="shared" si="10"/>
        <v>4</v>
      </c>
      <c r="AN7" s="2" t="str">
        <f t="shared" si="11"/>
        <v/>
      </c>
      <c r="AO7" s="12"/>
      <c r="AP7" s="5">
        <f t="shared" si="12"/>
        <v>0</v>
      </c>
      <c r="AQ7" s="28">
        <f t="shared" si="13"/>
        <v>100</v>
      </c>
    </row>
    <row r="8" spans="1:43" ht="18.149999999999999" customHeight="1" thickBot="1">
      <c r="A8" s="49">
        <v>7</v>
      </c>
      <c r="B8" s="49" t="s">
        <v>121</v>
      </c>
      <c r="C8" s="49" t="s">
        <v>131</v>
      </c>
      <c r="D8" s="49" t="s">
        <v>132</v>
      </c>
      <c r="E8" s="50" t="s">
        <v>133</v>
      </c>
      <c r="F8" s="15">
        <v>1783910</v>
      </c>
      <c r="G8" s="1">
        <f t="shared" si="4"/>
        <v>135</v>
      </c>
      <c r="H8" s="1">
        <f t="shared" si="5"/>
        <v>17</v>
      </c>
      <c r="I8" s="12"/>
      <c r="J8" s="12">
        <v>90</v>
      </c>
      <c r="K8" s="12">
        <v>95</v>
      </c>
      <c r="L8" s="12">
        <v>90</v>
      </c>
      <c r="M8" s="12"/>
      <c r="N8" s="12"/>
      <c r="O8" s="12"/>
      <c r="P8" s="2">
        <f t="shared" si="0"/>
        <v>91.666666666666671</v>
      </c>
      <c r="Q8" s="12"/>
      <c r="R8" s="3">
        <f t="shared" si="1"/>
        <v>91.666666666666671</v>
      </c>
      <c r="S8" s="12"/>
      <c r="T8" s="12"/>
      <c r="U8" s="55">
        <v>0</v>
      </c>
      <c r="V8" s="58">
        <f t="shared" si="14"/>
        <v>100</v>
      </c>
      <c r="W8" s="56"/>
      <c r="X8" s="12"/>
      <c r="Y8" s="12"/>
      <c r="Z8" s="12"/>
      <c r="AA8" s="12"/>
      <c r="AB8" s="12"/>
      <c r="AC8" s="2" t="str">
        <f t="shared" si="2"/>
        <v/>
      </c>
      <c r="AD8" s="12"/>
      <c r="AE8" s="3" t="str">
        <f t="shared" si="3"/>
        <v/>
      </c>
      <c r="AF8" s="12"/>
      <c r="AG8" s="12"/>
      <c r="AH8" s="55"/>
      <c r="AI8" s="58" t="str">
        <f t="shared" si="6"/>
        <v/>
      </c>
      <c r="AJ8" s="63">
        <f t="shared" si="7"/>
        <v>91.666666666666671</v>
      </c>
      <c r="AK8" s="2" t="str">
        <f t="shared" si="8"/>
        <v/>
      </c>
      <c r="AL8" s="3">
        <f t="shared" si="9"/>
        <v>91.666666666666671</v>
      </c>
      <c r="AM8" s="4">
        <f t="shared" si="10"/>
        <v>5</v>
      </c>
      <c r="AN8" s="2" t="str">
        <f t="shared" si="11"/>
        <v/>
      </c>
      <c r="AO8" s="12"/>
      <c r="AP8" s="5">
        <f t="shared" si="12"/>
        <v>0</v>
      </c>
      <c r="AQ8" s="28">
        <f t="shared" si="13"/>
        <v>100</v>
      </c>
    </row>
    <row r="9" spans="1:43" ht="18.149999999999999" customHeight="1" thickBot="1">
      <c r="A9" s="49">
        <v>7</v>
      </c>
      <c r="B9" s="49" t="s">
        <v>121</v>
      </c>
      <c r="C9" s="49" t="s">
        <v>134</v>
      </c>
      <c r="D9" s="49" t="s">
        <v>135</v>
      </c>
      <c r="E9" s="50" t="s">
        <v>136</v>
      </c>
      <c r="F9" s="15">
        <v>1783910</v>
      </c>
      <c r="G9" s="1">
        <f t="shared" si="4"/>
        <v>135</v>
      </c>
      <c r="H9" s="1">
        <f t="shared" si="5"/>
        <v>17</v>
      </c>
      <c r="I9" s="12"/>
      <c r="J9" s="12">
        <v>85</v>
      </c>
      <c r="K9" s="12">
        <v>90</v>
      </c>
      <c r="L9" s="12">
        <v>85</v>
      </c>
      <c r="M9" s="12"/>
      <c r="N9" s="12"/>
      <c r="O9" s="12"/>
      <c r="P9" s="2">
        <f t="shared" si="0"/>
        <v>86.666666666666671</v>
      </c>
      <c r="Q9" s="12"/>
      <c r="R9" s="3">
        <f t="shared" si="1"/>
        <v>86.666666666666671</v>
      </c>
      <c r="S9" s="12"/>
      <c r="T9" s="12"/>
      <c r="U9" s="55">
        <v>0</v>
      </c>
      <c r="V9" s="58">
        <f t="shared" si="14"/>
        <v>100</v>
      </c>
      <c r="W9" s="56"/>
      <c r="X9" s="12"/>
      <c r="Y9" s="12"/>
      <c r="Z9" s="12"/>
      <c r="AA9" s="12"/>
      <c r="AB9" s="12"/>
      <c r="AC9" s="2" t="str">
        <f t="shared" si="2"/>
        <v/>
      </c>
      <c r="AD9" s="12"/>
      <c r="AE9" s="3" t="str">
        <f t="shared" si="3"/>
        <v/>
      </c>
      <c r="AF9" s="12"/>
      <c r="AG9" s="12"/>
      <c r="AH9" s="55"/>
      <c r="AI9" s="58" t="str">
        <f t="shared" si="6"/>
        <v/>
      </c>
      <c r="AJ9" s="63">
        <f t="shared" si="7"/>
        <v>86.666666666666671</v>
      </c>
      <c r="AK9" s="2" t="str">
        <f t="shared" si="8"/>
        <v/>
      </c>
      <c r="AL9" s="3">
        <f t="shared" si="9"/>
        <v>86.666666666666671</v>
      </c>
      <c r="AM9" s="4">
        <f t="shared" si="10"/>
        <v>5</v>
      </c>
      <c r="AN9" s="2" t="str">
        <f t="shared" si="11"/>
        <v/>
      </c>
      <c r="AO9" s="12"/>
      <c r="AP9" s="5">
        <f t="shared" si="12"/>
        <v>0</v>
      </c>
      <c r="AQ9" s="28">
        <f t="shared" si="13"/>
        <v>100</v>
      </c>
    </row>
    <row r="10" spans="1:43" ht="18.149999999999999" customHeight="1" thickBot="1">
      <c r="A10" s="49">
        <v>7</v>
      </c>
      <c r="B10" s="49" t="s">
        <v>121</v>
      </c>
      <c r="C10" s="49" t="s">
        <v>137</v>
      </c>
      <c r="D10" s="49" t="s">
        <v>138</v>
      </c>
      <c r="E10" s="50" t="s">
        <v>139</v>
      </c>
      <c r="F10" s="15">
        <v>1783910</v>
      </c>
      <c r="G10" s="1">
        <f t="shared" si="4"/>
        <v>135</v>
      </c>
      <c r="H10" s="1">
        <f t="shared" si="5"/>
        <v>17</v>
      </c>
      <c r="I10" s="12"/>
      <c r="J10" s="12">
        <v>95</v>
      </c>
      <c r="K10" s="12">
        <v>100</v>
      </c>
      <c r="L10" s="12">
        <v>95</v>
      </c>
      <c r="M10" s="12"/>
      <c r="N10" s="12"/>
      <c r="O10" s="12"/>
      <c r="P10" s="2">
        <f t="shared" si="0"/>
        <v>96.666666666666671</v>
      </c>
      <c r="Q10" s="12"/>
      <c r="R10" s="3">
        <f t="shared" si="1"/>
        <v>96.666666666666671</v>
      </c>
      <c r="S10" s="12"/>
      <c r="T10" s="12"/>
      <c r="U10" s="55">
        <v>0</v>
      </c>
      <c r="V10" s="58">
        <f t="shared" si="14"/>
        <v>100</v>
      </c>
      <c r="W10" s="56"/>
      <c r="X10" s="12"/>
      <c r="Y10" s="12"/>
      <c r="Z10" s="12"/>
      <c r="AA10" s="12"/>
      <c r="AB10" s="12"/>
      <c r="AC10" s="2" t="str">
        <f t="shared" si="2"/>
        <v/>
      </c>
      <c r="AD10" s="12"/>
      <c r="AE10" s="3" t="str">
        <f t="shared" si="3"/>
        <v/>
      </c>
      <c r="AF10" s="12"/>
      <c r="AG10" s="12"/>
      <c r="AH10" s="55"/>
      <c r="AI10" s="58" t="str">
        <f t="shared" si="6"/>
        <v/>
      </c>
      <c r="AJ10" s="63">
        <f t="shared" si="7"/>
        <v>96.666666666666671</v>
      </c>
      <c r="AK10" s="2" t="str">
        <f t="shared" si="8"/>
        <v/>
      </c>
      <c r="AL10" s="3">
        <f t="shared" si="9"/>
        <v>96.666666666666671</v>
      </c>
      <c r="AM10" s="4">
        <f t="shared" si="10"/>
        <v>5</v>
      </c>
      <c r="AN10" s="2" t="str">
        <f t="shared" si="11"/>
        <v/>
      </c>
      <c r="AO10" s="12"/>
      <c r="AP10" s="5">
        <f t="shared" si="12"/>
        <v>0</v>
      </c>
      <c r="AQ10" s="28">
        <f t="shared" si="13"/>
        <v>100</v>
      </c>
    </row>
    <row r="11" spans="1:43" ht="18.149999999999999" customHeight="1" thickBot="1">
      <c r="A11" s="49">
        <v>7</v>
      </c>
      <c r="B11" s="49" t="s">
        <v>121</v>
      </c>
      <c r="C11" s="49" t="s">
        <v>140</v>
      </c>
      <c r="D11" s="49" t="s">
        <v>141</v>
      </c>
      <c r="E11" s="50" t="s">
        <v>142</v>
      </c>
      <c r="F11" s="15">
        <v>1783910</v>
      </c>
      <c r="G11" s="1">
        <f t="shared" si="4"/>
        <v>135</v>
      </c>
      <c r="H11" s="1">
        <f t="shared" si="5"/>
        <v>17</v>
      </c>
      <c r="I11" s="12"/>
      <c r="J11" s="12">
        <v>65</v>
      </c>
      <c r="K11" s="12">
        <v>70</v>
      </c>
      <c r="L11" s="12">
        <v>65</v>
      </c>
      <c r="M11" s="12"/>
      <c r="N11" s="12"/>
      <c r="O11" s="12"/>
      <c r="P11" s="2">
        <f t="shared" si="0"/>
        <v>66.666666666666671</v>
      </c>
      <c r="Q11" s="12"/>
      <c r="R11" s="3">
        <f t="shared" si="1"/>
        <v>66.666666666666671</v>
      </c>
      <c r="S11" s="12"/>
      <c r="T11" s="12"/>
      <c r="U11" s="55">
        <v>0</v>
      </c>
      <c r="V11" s="58">
        <f t="shared" si="14"/>
        <v>100</v>
      </c>
      <c r="W11" s="56"/>
      <c r="X11" s="12"/>
      <c r="Y11" s="12"/>
      <c r="Z11" s="12"/>
      <c r="AA11" s="12"/>
      <c r="AB11" s="12"/>
      <c r="AC11" s="2" t="str">
        <f t="shared" si="2"/>
        <v/>
      </c>
      <c r="AD11" s="12"/>
      <c r="AE11" s="3" t="str">
        <f t="shared" si="3"/>
        <v/>
      </c>
      <c r="AF11" s="12"/>
      <c r="AG11" s="12"/>
      <c r="AH11" s="55"/>
      <c r="AI11" s="58" t="str">
        <f t="shared" si="6"/>
        <v/>
      </c>
      <c r="AJ11" s="63">
        <f t="shared" si="7"/>
        <v>66.666666666666671</v>
      </c>
      <c r="AK11" s="2" t="str">
        <f t="shared" si="8"/>
        <v/>
      </c>
      <c r="AL11" s="3">
        <f t="shared" si="9"/>
        <v>66.666666666666671</v>
      </c>
      <c r="AM11" s="4">
        <f t="shared" si="10"/>
        <v>4</v>
      </c>
      <c r="AN11" s="2" t="str">
        <f t="shared" si="11"/>
        <v/>
      </c>
      <c r="AO11" s="12"/>
      <c r="AP11" s="5">
        <f t="shared" si="12"/>
        <v>0</v>
      </c>
      <c r="AQ11" s="28">
        <f t="shared" si="13"/>
        <v>100</v>
      </c>
    </row>
    <row r="12" spans="1:43" ht="18.149999999999999" customHeight="1" thickBot="1">
      <c r="A12" s="49">
        <v>7</v>
      </c>
      <c r="B12" s="49" t="s">
        <v>121</v>
      </c>
      <c r="C12" s="49" t="s">
        <v>143</v>
      </c>
      <c r="D12" s="49" t="s">
        <v>141</v>
      </c>
      <c r="E12" s="50" t="s">
        <v>144</v>
      </c>
      <c r="F12" s="15">
        <v>1783910</v>
      </c>
      <c r="G12" s="1">
        <f t="shared" si="4"/>
        <v>135</v>
      </c>
      <c r="H12" s="1">
        <f t="shared" si="5"/>
        <v>17</v>
      </c>
      <c r="I12" s="12"/>
      <c r="J12" s="12">
        <v>70</v>
      </c>
      <c r="K12" s="12">
        <v>75</v>
      </c>
      <c r="L12" s="12">
        <v>65</v>
      </c>
      <c r="M12" s="12"/>
      <c r="N12" s="12"/>
      <c r="O12" s="12"/>
      <c r="P12" s="2">
        <f t="shared" si="0"/>
        <v>70</v>
      </c>
      <c r="Q12" s="12"/>
      <c r="R12" s="3">
        <f t="shared" si="1"/>
        <v>70</v>
      </c>
      <c r="S12" s="12"/>
      <c r="T12" s="12"/>
      <c r="U12" s="55">
        <v>0</v>
      </c>
      <c r="V12" s="58">
        <f t="shared" si="14"/>
        <v>100</v>
      </c>
      <c r="W12" s="56"/>
      <c r="X12" s="12"/>
      <c r="Y12" s="12"/>
      <c r="Z12" s="12"/>
      <c r="AA12" s="12"/>
      <c r="AB12" s="12"/>
      <c r="AC12" s="2" t="str">
        <f t="shared" si="2"/>
        <v/>
      </c>
      <c r="AD12" s="12"/>
      <c r="AE12" s="3" t="str">
        <f t="shared" si="3"/>
        <v/>
      </c>
      <c r="AF12" s="12"/>
      <c r="AG12" s="12"/>
      <c r="AH12" s="55"/>
      <c r="AI12" s="58" t="str">
        <f t="shared" si="6"/>
        <v/>
      </c>
      <c r="AJ12" s="63">
        <f t="shared" si="7"/>
        <v>70</v>
      </c>
      <c r="AK12" s="2" t="str">
        <f t="shared" si="8"/>
        <v/>
      </c>
      <c r="AL12" s="3">
        <f t="shared" si="9"/>
        <v>70</v>
      </c>
      <c r="AM12" s="4">
        <f t="shared" si="10"/>
        <v>4</v>
      </c>
      <c r="AN12" s="2" t="str">
        <f t="shared" si="11"/>
        <v/>
      </c>
      <c r="AO12" s="12"/>
      <c r="AP12" s="5">
        <f t="shared" si="12"/>
        <v>0</v>
      </c>
      <c r="AQ12" s="28">
        <f t="shared" si="13"/>
        <v>100</v>
      </c>
    </row>
    <row r="13" spans="1:43" ht="18.149999999999999" customHeight="1" thickBot="1">
      <c r="A13" s="49">
        <v>7</v>
      </c>
      <c r="B13" s="49" t="s">
        <v>121</v>
      </c>
      <c r="C13" s="49" t="s">
        <v>145</v>
      </c>
      <c r="D13" s="49" t="s">
        <v>146</v>
      </c>
      <c r="E13" s="50" t="s">
        <v>147</v>
      </c>
      <c r="F13" s="15">
        <v>1783910</v>
      </c>
      <c r="G13" s="1">
        <f t="shared" si="4"/>
        <v>135</v>
      </c>
      <c r="H13" s="1">
        <f t="shared" si="5"/>
        <v>17</v>
      </c>
      <c r="I13" s="12"/>
      <c r="J13" s="12">
        <v>60</v>
      </c>
      <c r="K13" s="12">
        <v>55</v>
      </c>
      <c r="L13" s="12">
        <v>60</v>
      </c>
      <c r="M13" s="12"/>
      <c r="N13" s="12"/>
      <c r="O13" s="12"/>
      <c r="P13" s="2">
        <f t="shared" si="0"/>
        <v>58.333333333333336</v>
      </c>
      <c r="Q13" s="12"/>
      <c r="R13" s="3">
        <f t="shared" si="1"/>
        <v>58.333333333333336</v>
      </c>
      <c r="S13" s="12"/>
      <c r="T13" s="12"/>
      <c r="U13" s="55">
        <v>0</v>
      </c>
      <c r="V13" s="58">
        <f t="shared" si="14"/>
        <v>100</v>
      </c>
      <c r="W13" s="56"/>
      <c r="X13" s="12"/>
      <c r="Y13" s="12"/>
      <c r="Z13" s="12"/>
      <c r="AA13" s="12"/>
      <c r="AB13" s="12"/>
      <c r="AC13" s="2" t="str">
        <f t="shared" si="2"/>
        <v/>
      </c>
      <c r="AD13" s="12"/>
      <c r="AE13" s="3" t="str">
        <f t="shared" si="3"/>
        <v/>
      </c>
      <c r="AF13" s="12"/>
      <c r="AG13" s="12"/>
      <c r="AH13" s="55"/>
      <c r="AI13" s="58" t="str">
        <f t="shared" si="6"/>
        <v/>
      </c>
      <c r="AJ13" s="63">
        <f t="shared" si="7"/>
        <v>58.333333333333336</v>
      </c>
      <c r="AK13" s="2" t="str">
        <f t="shared" si="8"/>
        <v/>
      </c>
      <c r="AL13" s="3">
        <f t="shared" si="9"/>
        <v>58.333333333333336</v>
      </c>
      <c r="AM13" s="4">
        <f t="shared" si="10"/>
        <v>3</v>
      </c>
      <c r="AN13" s="2" t="str">
        <f t="shared" si="11"/>
        <v/>
      </c>
      <c r="AO13" s="12"/>
      <c r="AP13" s="5">
        <f t="shared" si="12"/>
        <v>0</v>
      </c>
      <c r="AQ13" s="28">
        <f t="shared" si="13"/>
        <v>100</v>
      </c>
    </row>
    <row r="14" spans="1:43" ht="18.149999999999999" customHeight="1">
      <c r="A14" s="49">
        <v>7</v>
      </c>
      <c r="B14" s="49" t="s">
        <v>121</v>
      </c>
      <c r="C14" s="49" t="s">
        <v>148</v>
      </c>
      <c r="D14" s="49" t="s">
        <v>149</v>
      </c>
      <c r="E14" s="50" t="s">
        <v>150</v>
      </c>
      <c r="F14" s="15">
        <v>1783910</v>
      </c>
      <c r="G14" s="1">
        <f t="shared" si="4"/>
        <v>135</v>
      </c>
      <c r="H14" s="1">
        <f t="shared" si="5"/>
        <v>17</v>
      </c>
      <c r="I14" s="12"/>
      <c r="J14" s="12">
        <v>86</v>
      </c>
      <c r="K14" s="12">
        <v>81</v>
      </c>
      <c r="L14" s="12">
        <v>90</v>
      </c>
      <c r="M14" s="12"/>
      <c r="N14" s="12"/>
      <c r="O14" s="12"/>
      <c r="P14" s="2">
        <f t="shared" si="0"/>
        <v>85.666666666666671</v>
      </c>
      <c r="Q14" s="12"/>
      <c r="R14" s="3">
        <f t="shared" si="1"/>
        <v>85.666666666666671</v>
      </c>
      <c r="S14" s="12"/>
      <c r="T14" s="12"/>
      <c r="U14" s="55">
        <v>0</v>
      </c>
      <c r="V14" s="58">
        <f t="shared" si="14"/>
        <v>100</v>
      </c>
      <c r="W14" s="56"/>
      <c r="X14" s="12"/>
      <c r="Y14" s="12"/>
      <c r="Z14" s="12"/>
      <c r="AA14" s="12"/>
      <c r="AB14" s="12"/>
      <c r="AC14" s="2" t="str">
        <f t="shared" si="2"/>
        <v/>
      </c>
      <c r="AD14" s="12"/>
      <c r="AE14" s="3" t="str">
        <f t="shared" si="3"/>
        <v/>
      </c>
      <c r="AF14" s="12"/>
      <c r="AG14" s="12"/>
      <c r="AH14" s="55"/>
      <c r="AI14" s="58" t="str">
        <f t="shared" si="6"/>
        <v/>
      </c>
      <c r="AJ14" s="63">
        <f t="shared" si="7"/>
        <v>85.666666666666671</v>
      </c>
      <c r="AK14" s="2" t="str">
        <f t="shared" si="8"/>
        <v/>
      </c>
      <c r="AL14" s="3">
        <f t="shared" si="9"/>
        <v>85.666666666666671</v>
      </c>
      <c r="AM14" s="4">
        <f t="shared" si="10"/>
        <v>5</v>
      </c>
      <c r="AN14" s="2" t="str">
        <f t="shared" si="11"/>
        <v/>
      </c>
      <c r="AO14" s="12"/>
      <c r="AP14" s="5">
        <f t="shared" si="12"/>
        <v>0</v>
      </c>
      <c r="AQ14" s="28">
        <f t="shared" si="13"/>
        <v>100</v>
      </c>
    </row>
    <row r="15" spans="1:43" ht="18.149999999999999" customHeight="1">
      <c r="A15" s="49">
        <v>7</v>
      </c>
      <c r="B15" s="49" t="s">
        <v>121</v>
      </c>
      <c r="C15" s="49" t="s">
        <v>151</v>
      </c>
      <c r="D15" s="49" t="s">
        <v>152</v>
      </c>
      <c r="E15" s="50" t="s">
        <v>153</v>
      </c>
      <c r="F15" s="27">
        <v>1783068</v>
      </c>
      <c r="G15" s="1">
        <f t="shared" si="4"/>
        <v>135</v>
      </c>
      <c r="H15" s="1">
        <f t="shared" si="5"/>
        <v>17</v>
      </c>
      <c r="I15" s="12"/>
      <c r="J15" s="12">
        <v>85</v>
      </c>
      <c r="K15" s="12">
        <v>87</v>
      </c>
      <c r="L15" s="12">
        <v>84</v>
      </c>
      <c r="M15" s="12"/>
      <c r="N15" s="12"/>
      <c r="O15" s="12"/>
      <c r="P15" s="2">
        <f t="shared" si="0"/>
        <v>85.333333333333329</v>
      </c>
      <c r="Q15" s="12"/>
      <c r="R15" s="3">
        <f t="shared" si="1"/>
        <v>85.333333333333329</v>
      </c>
      <c r="S15" s="12"/>
      <c r="T15" s="12"/>
      <c r="U15" s="55">
        <v>0</v>
      </c>
      <c r="V15" s="58">
        <f t="shared" si="14"/>
        <v>100</v>
      </c>
      <c r="W15" s="56"/>
      <c r="X15" s="12"/>
      <c r="Y15" s="12"/>
      <c r="Z15" s="12"/>
      <c r="AA15" s="12"/>
      <c r="AB15" s="12"/>
      <c r="AC15" s="2" t="str">
        <f t="shared" si="2"/>
        <v/>
      </c>
      <c r="AD15" s="12"/>
      <c r="AE15" s="3" t="str">
        <f t="shared" si="3"/>
        <v/>
      </c>
      <c r="AF15" s="12"/>
      <c r="AG15" s="12"/>
      <c r="AH15" s="55"/>
      <c r="AI15" s="58" t="str">
        <f t="shared" si="6"/>
        <v/>
      </c>
      <c r="AJ15" s="63">
        <f t="shared" si="7"/>
        <v>85.333333333333329</v>
      </c>
      <c r="AK15" s="2" t="str">
        <f t="shared" si="8"/>
        <v/>
      </c>
      <c r="AL15" s="3">
        <f t="shared" si="9"/>
        <v>85.333333333333329</v>
      </c>
      <c r="AM15" s="4">
        <f t="shared" si="10"/>
        <v>5</v>
      </c>
      <c r="AN15" s="2" t="str">
        <f t="shared" si="11"/>
        <v/>
      </c>
      <c r="AO15" s="12"/>
      <c r="AP15" s="5">
        <f t="shared" si="12"/>
        <v>0</v>
      </c>
      <c r="AQ15" s="28">
        <f t="shared" si="13"/>
        <v>100</v>
      </c>
    </row>
    <row r="16" spans="1:43" ht="18.149999999999999" customHeight="1">
      <c r="A16" s="49">
        <v>7</v>
      </c>
      <c r="B16" s="49" t="s">
        <v>121</v>
      </c>
      <c r="C16" s="49" t="s">
        <v>154</v>
      </c>
      <c r="D16" s="49" t="s">
        <v>155</v>
      </c>
      <c r="E16" s="50" t="s">
        <v>156</v>
      </c>
      <c r="F16" s="27">
        <v>1783068</v>
      </c>
      <c r="G16" s="1">
        <f t="shared" si="4"/>
        <v>135</v>
      </c>
      <c r="H16" s="1">
        <f t="shared" si="5"/>
        <v>17</v>
      </c>
      <c r="I16" s="12"/>
      <c r="J16" s="12">
        <v>57</v>
      </c>
      <c r="K16" s="12">
        <v>43</v>
      </c>
      <c r="L16" s="12">
        <v>45</v>
      </c>
      <c r="M16" s="12"/>
      <c r="N16" s="12"/>
      <c r="O16" s="12"/>
      <c r="P16" s="2">
        <f t="shared" si="0"/>
        <v>48.333333333333336</v>
      </c>
      <c r="Q16" s="12"/>
      <c r="R16" s="3">
        <f t="shared" si="1"/>
        <v>48.333333333333336</v>
      </c>
      <c r="S16" s="12"/>
      <c r="T16" s="12"/>
      <c r="U16" s="55">
        <v>0</v>
      </c>
      <c r="V16" s="58">
        <f t="shared" si="14"/>
        <v>100</v>
      </c>
      <c r="W16" s="56"/>
      <c r="X16" s="12"/>
      <c r="Y16" s="12"/>
      <c r="Z16" s="12"/>
      <c r="AA16" s="12"/>
      <c r="AB16" s="12"/>
      <c r="AC16" s="2" t="str">
        <f t="shared" si="2"/>
        <v/>
      </c>
      <c r="AD16" s="12"/>
      <c r="AE16" s="3" t="str">
        <f t="shared" si="3"/>
        <v/>
      </c>
      <c r="AF16" s="12"/>
      <c r="AG16" s="12"/>
      <c r="AH16" s="55"/>
      <c r="AI16" s="58" t="str">
        <f t="shared" si="6"/>
        <v/>
      </c>
      <c r="AJ16" s="63">
        <f t="shared" si="7"/>
        <v>48.333333333333336</v>
      </c>
      <c r="AK16" s="2" t="str">
        <f t="shared" si="8"/>
        <v/>
      </c>
      <c r="AL16" s="3">
        <f t="shared" si="9"/>
        <v>48.333333333333336</v>
      </c>
      <c r="AM16" s="4">
        <f t="shared" si="10"/>
        <v>3</v>
      </c>
      <c r="AN16" s="2" t="str">
        <f t="shared" si="11"/>
        <v/>
      </c>
      <c r="AO16" s="12"/>
      <c r="AP16" s="5">
        <f t="shared" si="12"/>
        <v>0</v>
      </c>
      <c r="AQ16" s="28">
        <f t="shared" si="13"/>
        <v>100</v>
      </c>
    </row>
    <row r="17" spans="1:43" ht="18.149999999999999" customHeight="1">
      <c r="A17" s="49">
        <v>7</v>
      </c>
      <c r="B17" s="49" t="s">
        <v>121</v>
      </c>
      <c r="C17" s="49" t="s">
        <v>157</v>
      </c>
      <c r="D17" s="49" t="s">
        <v>158</v>
      </c>
      <c r="E17" s="50" t="s">
        <v>159</v>
      </c>
      <c r="F17" s="27">
        <v>1783068</v>
      </c>
      <c r="G17" s="1">
        <f t="shared" si="4"/>
        <v>135</v>
      </c>
      <c r="H17" s="1">
        <f t="shared" si="5"/>
        <v>17</v>
      </c>
      <c r="I17" s="12"/>
      <c r="J17" s="12">
        <v>47</v>
      </c>
      <c r="K17" s="12">
        <v>45</v>
      </c>
      <c r="L17" s="12">
        <v>43</v>
      </c>
      <c r="M17" s="12"/>
      <c r="N17" s="12"/>
      <c r="O17" s="12"/>
      <c r="P17" s="2">
        <f t="shared" si="0"/>
        <v>45</v>
      </c>
      <c r="Q17" s="12"/>
      <c r="R17" s="3">
        <f t="shared" si="1"/>
        <v>45</v>
      </c>
      <c r="S17" s="12"/>
      <c r="T17" s="12"/>
      <c r="U17" s="55">
        <v>0</v>
      </c>
      <c r="V17" s="58">
        <f t="shared" si="14"/>
        <v>100</v>
      </c>
      <c r="W17" s="56"/>
      <c r="X17" s="12"/>
      <c r="Y17" s="12"/>
      <c r="Z17" s="12"/>
      <c r="AA17" s="12"/>
      <c r="AB17" s="12"/>
      <c r="AC17" s="2" t="str">
        <f t="shared" si="2"/>
        <v/>
      </c>
      <c r="AD17" s="12"/>
      <c r="AE17" s="3" t="str">
        <f t="shared" si="3"/>
        <v/>
      </c>
      <c r="AF17" s="12"/>
      <c r="AG17" s="12"/>
      <c r="AH17" s="55"/>
      <c r="AI17" s="58" t="str">
        <f t="shared" si="6"/>
        <v/>
      </c>
      <c r="AJ17" s="63">
        <f t="shared" si="7"/>
        <v>45</v>
      </c>
      <c r="AK17" s="2" t="str">
        <f t="shared" si="8"/>
        <v/>
      </c>
      <c r="AL17" s="3">
        <f t="shared" si="9"/>
        <v>45</v>
      </c>
      <c r="AM17" s="4">
        <f t="shared" si="10"/>
        <v>3</v>
      </c>
      <c r="AN17" s="2" t="str">
        <f t="shared" si="11"/>
        <v/>
      </c>
      <c r="AO17" s="12"/>
      <c r="AP17" s="5">
        <f t="shared" si="12"/>
        <v>0</v>
      </c>
      <c r="AQ17" s="28">
        <f t="shared" si="13"/>
        <v>100</v>
      </c>
    </row>
    <row r="18" spans="1:43" ht="18.149999999999999" customHeight="1">
      <c r="A18" s="49">
        <v>7</v>
      </c>
      <c r="B18" s="49" t="s">
        <v>121</v>
      </c>
      <c r="C18" s="49" t="s">
        <v>160</v>
      </c>
      <c r="D18" s="49" t="s">
        <v>161</v>
      </c>
      <c r="E18" s="50" t="s">
        <v>162</v>
      </c>
      <c r="F18" s="27">
        <v>1783068</v>
      </c>
      <c r="G18" s="1">
        <f t="shared" si="4"/>
        <v>135</v>
      </c>
      <c r="H18" s="1">
        <f t="shared" si="5"/>
        <v>17</v>
      </c>
      <c r="I18" s="12"/>
      <c r="J18" s="12">
        <v>83</v>
      </c>
      <c r="K18" s="12">
        <v>78</v>
      </c>
      <c r="L18" s="12">
        <v>79</v>
      </c>
      <c r="M18" s="12"/>
      <c r="N18" s="12"/>
      <c r="O18" s="12"/>
      <c r="P18" s="2">
        <f t="shared" si="0"/>
        <v>80</v>
      </c>
      <c r="Q18" s="12"/>
      <c r="R18" s="3">
        <f t="shared" si="1"/>
        <v>80</v>
      </c>
      <c r="S18" s="12"/>
      <c r="T18" s="12"/>
      <c r="U18" s="55">
        <v>0</v>
      </c>
      <c r="V18" s="58">
        <f t="shared" si="14"/>
        <v>100</v>
      </c>
      <c r="W18" s="56"/>
      <c r="X18" s="12"/>
      <c r="Y18" s="12"/>
      <c r="Z18" s="12"/>
      <c r="AA18" s="12"/>
      <c r="AB18" s="12"/>
      <c r="AC18" s="2" t="str">
        <f t="shared" si="2"/>
        <v/>
      </c>
      <c r="AD18" s="12"/>
      <c r="AE18" s="3" t="str">
        <f t="shared" si="3"/>
        <v/>
      </c>
      <c r="AF18" s="12"/>
      <c r="AG18" s="12"/>
      <c r="AH18" s="55"/>
      <c r="AI18" s="58" t="str">
        <f t="shared" si="6"/>
        <v/>
      </c>
      <c r="AJ18" s="63">
        <f t="shared" si="7"/>
        <v>80</v>
      </c>
      <c r="AK18" s="2" t="str">
        <f t="shared" si="8"/>
        <v/>
      </c>
      <c r="AL18" s="3">
        <f t="shared" si="9"/>
        <v>80</v>
      </c>
      <c r="AM18" s="4">
        <f t="shared" si="10"/>
        <v>4</v>
      </c>
      <c r="AN18" s="2" t="str">
        <f t="shared" si="11"/>
        <v/>
      </c>
      <c r="AO18" s="12"/>
      <c r="AP18" s="5">
        <f t="shared" si="12"/>
        <v>0</v>
      </c>
      <c r="AQ18" s="28">
        <f t="shared" si="13"/>
        <v>100</v>
      </c>
    </row>
    <row r="19" spans="1:43" ht="18.149999999999999" customHeight="1">
      <c r="A19" s="49">
        <v>7</v>
      </c>
      <c r="B19" s="49" t="s">
        <v>121</v>
      </c>
      <c r="C19" s="49" t="s">
        <v>163</v>
      </c>
      <c r="D19" s="49" t="s">
        <v>164</v>
      </c>
      <c r="E19" s="50" t="s">
        <v>165</v>
      </c>
      <c r="F19" s="27">
        <v>1783068</v>
      </c>
      <c r="G19" s="1">
        <f t="shared" si="4"/>
        <v>135</v>
      </c>
      <c r="H19" s="1">
        <f t="shared" si="5"/>
        <v>17</v>
      </c>
      <c r="I19" s="12"/>
      <c r="J19" s="12">
        <v>75</v>
      </c>
      <c r="K19" s="12">
        <v>73</v>
      </c>
      <c r="L19" s="12">
        <v>74</v>
      </c>
      <c r="M19" s="12"/>
      <c r="N19" s="12"/>
      <c r="O19" s="12"/>
      <c r="P19" s="2">
        <f t="shared" si="0"/>
        <v>74</v>
      </c>
      <c r="Q19" s="12"/>
      <c r="R19" s="3">
        <f t="shared" si="1"/>
        <v>74</v>
      </c>
      <c r="S19" s="12"/>
      <c r="T19" s="12"/>
      <c r="U19" s="55">
        <v>0</v>
      </c>
      <c r="V19" s="58">
        <f t="shared" si="14"/>
        <v>100</v>
      </c>
      <c r="W19" s="56"/>
      <c r="X19" s="12"/>
      <c r="Y19" s="12"/>
      <c r="Z19" s="12"/>
      <c r="AA19" s="12"/>
      <c r="AB19" s="12"/>
      <c r="AC19" s="2" t="str">
        <f t="shared" si="2"/>
        <v/>
      </c>
      <c r="AD19" s="12"/>
      <c r="AE19" s="3" t="str">
        <f t="shared" si="3"/>
        <v/>
      </c>
      <c r="AF19" s="12"/>
      <c r="AG19" s="12"/>
      <c r="AH19" s="55"/>
      <c r="AI19" s="58" t="str">
        <f t="shared" si="6"/>
        <v/>
      </c>
      <c r="AJ19" s="63">
        <f t="shared" si="7"/>
        <v>74</v>
      </c>
      <c r="AK19" s="2" t="str">
        <f t="shared" si="8"/>
        <v/>
      </c>
      <c r="AL19" s="3">
        <f t="shared" si="9"/>
        <v>74</v>
      </c>
      <c r="AM19" s="4">
        <f t="shared" si="10"/>
        <v>4</v>
      </c>
      <c r="AN19" s="2" t="str">
        <f t="shared" si="11"/>
        <v/>
      </c>
      <c r="AO19" s="12"/>
      <c r="AP19" s="5">
        <f t="shared" si="12"/>
        <v>0</v>
      </c>
      <c r="AQ19" s="28">
        <f t="shared" si="13"/>
        <v>100</v>
      </c>
    </row>
    <row r="20" spans="1:43" ht="18.149999999999999" customHeight="1">
      <c r="A20" s="49">
        <v>7</v>
      </c>
      <c r="B20" s="49" t="s">
        <v>121</v>
      </c>
      <c r="C20" s="49" t="s">
        <v>166</v>
      </c>
      <c r="D20" s="49" t="s">
        <v>167</v>
      </c>
      <c r="E20" s="50" t="s">
        <v>153</v>
      </c>
      <c r="F20" s="27">
        <v>1783068</v>
      </c>
      <c r="G20" s="1">
        <f t="shared" si="4"/>
        <v>135</v>
      </c>
      <c r="H20" s="1">
        <f t="shared" si="5"/>
        <v>17</v>
      </c>
      <c r="I20" s="12"/>
      <c r="J20" s="12">
        <v>61</v>
      </c>
      <c r="K20" s="12">
        <v>57</v>
      </c>
      <c r="L20" s="12">
        <v>54</v>
      </c>
      <c r="M20" s="12"/>
      <c r="N20" s="12"/>
      <c r="O20" s="12"/>
      <c r="P20" s="2">
        <f t="shared" si="0"/>
        <v>57.333333333333336</v>
      </c>
      <c r="Q20" s="12"/>
      <c r="R20" s="3">
        <f t="shared" si="1"/>
        <v>57.333333333333336</v>
      </c>
      <c r="S20" s="12"/>
      <c r="T20" s="12"/>
      <c r="U20" s="55">
        <v>0</v>
      </c>
      <c r="V20" s="58">
        <f t="shared" si="14"/>
        <v>100</v>
      </c>
      <c r="W20" s="56"/>
      <c r="X20" s="12"/>
      <c r="Y20" s="12"/>
      <c r="Z20" s="12"/>
      <c r="AA20" s="12"/>
      <c r="AB20" s="12"/>
      <c r="AC20" s="2" t="str">
        <f t="shared" si="2"/>
        <v/>
      </c>
      <c r="AD20" s="12"/>
      <c r="AE20" s="3" t="str">
        <f t="shared" si="3"/>
        <v/>
      </c>
      <c r="AF20" s="12"/>
      <c r="AG20" s="12"/>
      <c r="AH20" s="55"/>
      <c r="AI20" s="58" t="str">
        <f t="shared" si="6"/>
        <v/>
      </c>
      <c r="AJ20" s="63">
        <f t="shared" si="7"/>
        <v>57.333333333333336</v>
      </c>
      <c r="AK20" s="2" t="str">
        <f t="shared" si="8"/>
        <v/>
      </c>
      <c r="AL20" s="3">
        <f t="shared" si="9"/>
        <v>57.333333333333336</v>
      </c>
      <c r="AM20" s="4">
        <f t="shared" si="10"/>
        <v>3</v>
      </c>
      <c r="AN20" s="2" t="str">
        <f t="shared" si="11"/>
        <v/>
      </c>
      <c r="AO20" s="12"/>
      <c r="AP20" s="5">
        <f t="shared" si="12"/>
        <v>0</v>
      </c>
      <c r="AQ20" s="28">
        <f t="shared" si="13"/>
        <v>100</v>
      </c>
    </row>
    <row r="21" spans="1:43" ht="18.149999999999999" customHeight="1">
      <c r="A21" s="49">
        <v>7</v>
      </c>
      <c r="B21" s="49" t="s">
        <v>121</v>
      </c>
      <c r="C21" s="49" t="s">
        <v>168</v>
      </c>
      <c r="D21" s="49" t="s">
        <v>149</v>
      </c>
      <c r="E21" s="50" t="s">
        <v>144</v>
      </c>
      <c r="F21" s="27">
        <v>1783068</v>
      </c>
      <c r="G21" s="1">
        <f t="shared" si="4"/>
        <v>135</v>
      </c>
      <c r="H21" s="1">
        <f t="shared" si="5"/>
        <v>17</v>
      </c>
      <c r="I21" s="12"/>
      <c r="J21" s="12">
        <v>84</v>
      </c>
      <c r="K21" s="12">
        <v>79</v>
      </c>
      <c r="L21" s="12">
        <v>78</v>
      </c>
      <c r="M21" s="12"/>
      <c r="N21" s="12"/>
      <c r="O21" s="12"/>
      <c r="P21" s="2">
        <f t="shared" si="0"/>
        <v>80.333333333333329</v>
      </c>
      <c r="Q21" s="12"/>
      <c r="R21" s="3">
        <f t="shared" si="1"/>
        <v>80.333333333333329</v>
      </c>
      <c r="S21" s="12"/>
      <c r="T21" s="12"/>
      <c r="U21" s="55">
        <v>0</v>
      </c>
      <c r="V21" s="58">
        <f t="shared" si="14"/>
        <v>100</v>
      </c>
      <c r="W21" s="56"/>
      <c r="X21" s="12"/>
      <c r="Y21" s="12"/>
      <c r="Z21" s="12"/>
      <c r="AA21" s="12"/>
      <c r="AB21" s="12"/>
      <c r="AC21" s="2" t="str">
        <f t="shared" si="2"/>
        <v/>
      </c>
      <c r="AD21" s="12"/>
      <c r="AE21" s="3" t="str">
        <f t="shared" si="3"/>
        <v/>
      </c>
      <c r="AF21" s="12"/>
      <c r="AG21" s="12"/>
      <c r="AH21" s="55"/>
      <c r="AI21" s="58" t="str">
        <f t="shared" si="6"/>
        <v/>
      </c>
      <c r="AJ21" s="63">
        <f t="shared" si="7"/>
        <v>80.333333333333329</v>
      </c>
      <c r="AK21" s="2" t="str">
        <f t="shared" si="8"/>
        <v/>
      </c>
      <c r="AL21" s="3">
        <f t="shared" si="9"/>
        <v>80.333333333333329</v>
      </c>
      <c r="AM21" s="4">
        <f t="shared" si="10"/>
        <v>5</v>
      </c>
      <c r="AN21" s="2" t="str">
        <f t="shared" si="11"/>
        <v/>
      </c>
      <c r="AO21" s="12"/>
      <c r="AP21" s="5">
        <f t="shared" si="12"/>
        <v>0</v>
      </c>
      <c r="AQ21" s="28">
        <f t="shared" si="13"/>
        <v>100</v>
      </c>
    </row>
    <row r="22" spans="1:43" ht="18.149999999999999" customHeight="1">
      <c r="A22" s="49">
        <v>7</v>
      </c>
      <c r="B22" s="49" t="s">
        <v>121</v>
      </c>
      <c r="C22" s="49" t="s">
        <v>169</v>
      </c>
      <c r="D22" s="49" t="s">
        <v>170</v>
      </c>
      <c r="E22" s="50" t="s">
        <v>171</v>
      </c>
      <c r="F22" s="27">
        <v>1783068</v>
      </c>
      <c r="G22" s="1">
        <f t="shared" si="4"/>
        <v>135</v>
      </c>
      <c r="H22" s="1">
        <f t="shared" si="5"/>
        <v>17</v>
      </c>
      <c r="I22" s="12"/>
      <c r="J22" s="12">
        <v>87</v>
      </c>
      <c r="K22" s="12">
        <v>84</v>
      </c>
      <c r="L22" s="12">
        <v>85</v>
      </c>
      <c r="M22" s="12"/>
      <c r="N22" s="12"/>
      <c r="O22" s="12"/>
      <c r="P22" s="2">
        <f t="shared" si="0"/>
        <v>85.333333333333329</v>
      </c>
      <c r="Q22" s="12"/>
      <c r="R22" s="3">
        <f t="shared" si="1"/>
        <v>85.333333333333329</v>
      </c>
      <c r="S22" s="12"/>
      <c r="T22" s="12"/>
      <c r="U22" s="55">
        <v>0</v>
      </c>
      <c r="V22" s="58">
        <f t="shared" si="14"/>
        <v>100</v>
      </c>
      <c r="W22" s="56"/>
      <c r="X22" s="12"/>
      <c r="Y22" s="12"/>
      <c r="Z22" s="12"/>
      <c r="AA22" s="12"/>
      <c r="AB22" s="12"/>
      <c r="AC22" s="2" t="str">
        <f t="shared" si="2"/>
        <v/>
      </c>
      <c r="AD22" s="12"/>
      <c r="AE22" s="3" t="str">
        <f t="shared" si="3"/>
        <v/>
      </c>
      <c r="AF22" s="12"/>
      <c r="AG22" s="12"/>
      <c r="AH22" s="55"/>
      <c r="AI22" s="58" t="str">
        <f t="shared" si="6"/>
        <v/>
      </c>
      <c r="AJ22" s="63">
        <f t="shared" si="7"/>
        <v>85.333333333333329</v>
      </c>
      <c r="AK22" s="2" t="str">
        <f t="shared" si="8"/>
        <v/>
      </c>
      <c r="AL22" s="3">
        <f t="shared" si="9"/>
        <v>85.333333333333329</v>
      </c>
      <c r="AM22" s="4">
        <f t="shared" si="10"/>
        <v>5</v>
      </c>
      <c r="AN22" s="2" t="str">
        <f t="shared" si="11"/>
        <v/>
      </c>
      <c r="AO22" s="12"/>
      <c r="AP22" s="5">
        <f t="shared" si="12"/>
        <v>0</v>
      </c>
      <c r="AQ22" s="28">
        <f t="shared" si="13"/>
        <v>100</v>
      </c>
    </row>
    <row r="23" spans="1:43" ht="18.149999999999999" customHeight="1">
      <c r="A23" s="49">
        <v>7</v>
      </c>
      <c r="B23" s="49" t="s">
        <v>121</v>
      </c>
      <c r="C23" s="49" t="s">
        <v>172</v>
      </c>
      <c r="D23" s="49" t="s">
        <v>173</v>
      </c>
      <c r="E23" s="50" t="s">
        <v>165</v>
      </c>
      <c r="F23" s="27">
        <v>1783068</v>
      </c>
      <c r="G23" s="1">
        <f t="shared" si="4"/>
        <v>135</v>
      </c>
      <c r="H23" s="1">
        <f t="shared" si="5"/>
        <v>17</v>
      </c>
      <c r="I23" s="12"/>
      <c r="J23" s="12">
        <v>45</v>
      </c>
      <c r="K23" s="12">
        <v>37</v>
      </c>
      <c r="L23" s="12">
        <v>35</v>
      </c>
      <c r="M23" s="12"/>
      <c r="N23" s="12"/>
      <c r="O23" s="12"/>
      <c r="P23" s="2">
        <f t="shared" si="0"/>
        <v>39</v>
      </c>
      <c r="Q23" s="12"/>
      <c r="R23" s="3">
        <f t="shared" si="1"/>
        <v>39</v>
      </c>
      <c r="S23" s="12"/>
      <c r="T23" s="12"/>
      <c r="U23" s="55">
        <v>0</v>
      </c>
      <c r="V23" s="58">
        <f t="shared" si="14"/>
        <v>100</v>
      </c>
      <c r="W23" s="56"/>
      <c r="X23" s="12"/>
      <c r="Y23" s="12"/>
      <c r="Z23" s="12"/>
      <c r="AA23" s="12"/>
      <c r="AB23" s="12"/>
      <c r="AC23" s="2" t="str">
        <f t="shared" si="2"/>
        <v/>
      </c>
      <c r="AD23" s="12"/>
      <c r="AE23" s="3" t="str">
        <f t="shared" si="3"/>
        <v/>
      </c>
      <c r="AF23" s="12"/>
      <c r="AG23" s="12"/>
      <c r="AH23" s="55"/>
      <c r="AI23" s="58" t="str">
        <f t="shared" si="6"/>
        <v/>
      </c>
      <c r="AJ23" s="63">
        <f t="shared" si="7"/>
        <v>39</v>
      </c>
      <c r="AK23" s="2" t="str">
        <f t="shared" si="8"/>
        <v/>
      </c>
      <c r="AL23" s="3">
        <f t="shared" si="9"/>
        <v>39</v>
      </c>
      <c r="AM23" s="4">
        <f t="shared" si="10"/>
        <v>3</v>
      </c>
      <c r="AN23" s="2" t="str">
        <f t="shared" si="11"/>
        <v/>
      </c>
      <c r="AO23" s="12"/>
      <c r="AP23" s="5">
        <f t="shared" si="12"/>
        <v>0</v>
      </c>
      <c r="AQ23" s="28">
        <f t="shared" si="13"/>
        <v>100</v>
      </c>
    </row>
    <row r="24" spans="1:43" ht="18.149999999999999" customHeight="1">
      <c r="A24" s="49">
        <v>7</v>
      </c>
      <c r="B24" s="49" t="s">
        <v>121</v>
      </c>
      <c r="C24" s="49" t="s">
        <v>174</v>
      </c>
      <c r="D24" s="49" t="s">
        <v>175</v>
      </c>
      <c r="E24" s="50" t="s">
        <v>176</v>
      </c>
      <c r="F24" s="27">
        <v>1783068</v>
      </c>
      <c r="G24" s="1">
        <f t="shared" si="4"/>
        <v>135</v>
      </c>
      <c r="H24" s="1">
        <f t="shared" si="5"/>
        <v>17</v>
      </c>
      <c r="I24" s="12"/>
      <c r="J24" s="12">
        <v>43</v>
      </c>
      <c r="K24" s="12">
        <v>35</v>
      </c>
      <c r="L24" s="12">
        <v>37</v>
      </c>
      <c r="M24" s="12"/>
      <c r="N24" s="12"/>
      <c r="O24" s="12"/>
      <c r="P24" s="2">
        <f t="shared" si="0"/>
        <v>38.333333333333336</v>
      </c>
      <c r="Q24" s="12"/>
      <c r="R24" s="3">
        <f t="shared" si="1"/>
        <v>38.333333333333336</v>
      </c>
      <c r="S24" s="12"/>
      <c r="T24" s="12"/>
      <c r="U24" s="55">
        <v>0</v>
      </c>
      <c r="V24" s="58">
        <f t="shared" si="14"/>
        <v>100</v>
      </c>
      <c r="W24" s="56"/>
      <c r="X24" s="12"/>
      <c r="Y24" s="12"/>
      <c r="Z24" s="12"/>
      <c r="AA24" s="12"/>
      <c r="AB24" s="12"/>
      <c r="AC24" s="2" t="str">
        <f t="shared" si="2"/>
        <v/>
      </c>
      <c r="AD24" s="12"/>
      <c r="AE24" s="3" t="str">
        <f t="shared" si="3"/>
        <v/>
      </c>
      <c r="AF24" s="12"/>
      <c r="AG24" s="12"/>
      <c r="AH24" s="55"/>
      <c r="AI24" s="58" t="str">
        <f t="shared" si="6"/>
        <v/>
      </c>
      <c r="AJ24" s="63">
        <f t="shared" si="7"/>
        <v>38.333333333333336</v>
      </c>
      <c r="AK24" s="2" t="str">
        <f t="shared" si="8"/>
        <v/>
      </c>
      <c r="AL24" s="3">
        <f t="shared" si="9"/>
        <v>38.333333333333336</v>
      </c>
      <c r="AM24" s="4">
        <f t="shared" si="10"/>
        <v>3</v>
      </c>
      <c r="AN24" s="2" t="str">
        <f t="shared" si="11"/>
        <v/>
      </c>
      <c r="AO24" s="12"/>
      <c r="AP24" s="5">
        <f t="shared" si="12"/>
        <v>0</v>
      </c>
      <c r="AQ24" s="28">
        <f t="shared" si="13"/>
        <v>100</v>
      </c>
    </row>
    <row r="25" spans="1:43" ht="18.149999999999999" customHeight="1">
      <c r="A25" s="49"/>
      <c r="B25" s="49"/>
      <c r="C25" s="49"/>
      <c r="D25" s="49"/>
      <c r="E25" s="50"/>
      <c r="F25" s="27"/>
      <c r="G25" s="1" t="str">
        <f t="shared" si="4"/>
        <v/>
      </c>
      <c r="H25" s="1" t="str">
        <f t="shared" si="5"/>
        <v/>
      </c>
      <c r="I25" s="12"/>
      <c r="J25" s="12"/>
      <c r="K25" s="12"/>
      <c r="L25" s="12"/>
      <c r="M25" s="12"/>
      <c r="N25" s="12"/>
      <c r="O25" s="12"/>
      <c r="P25" s="2" t="str">
        <f t="shared" si="0"/>
        <v/>
      </c>
      <c r="Q25" s="12"/>
      <c r="R25" s="3" t="str">
        <f t="shared" si="1"/>
        <v/>
      </c>
      <c r="S25" s="12"/>
      <c r="T25" s="12"/>
      <c r="U25" s="55"/>
      <c r="V25" s="58" t="str">
        <f t="shared" si="14"/>
        <v/>
      </c>
      <c r="W25" s="56"/>
      <c r="X25" s="12"/>
      <c r="Y25" s="12"/>
      <c r="Z25" s="12"/>
      <c r="AA25" s="12"/>
      <c r="AB25" s="12"/>
      <c r="AC25" s="2" t="str">
        <f t="shared" si="2"/>
        <v/>
      </c>
      <c r="AD25" s="12"/>
      <c r="AE25" s="3" t="str">
        <f t="shared" si="3"/>
        <v/>
      </c>
      <c r="AF25" s="12"/>
      <c r="AG25" s="12"/>
      <c r="AH25" s="55"/>
      <c r="AI25" s="58" t="str">
        <f t="shared" si="6"/>
        <v/>
      </c>
      <c r="AJ25" s="63" t="str">
        <f t="shared" si="7"/>
        <v/>
      </c>
      <c r="AK25" s="2" t="str">
        <f t="shared" si="8"/>
        <v/>
      </c>
      <c r="AL25" s="3" t="str">
        <f t="shared" si="9"/>
        <v/>
      </c>
      <c r="AM25" s="4" t="str">
        <f t="shared" si="10"/>
        <v/>
      </c>
      <c r="AN25" s="2" t="str">
        <f t="shared" si="11"/>
        <v/>
      </c>
      <c r="AO25" s="12"/>
      <c r="AP25" s="5" t="str">
        <f t="shared" si="12"/>
        <v/>
      </c>
      <c r="AQ25" s="28" t="str">
        <f t="shared" si="13"/>
        <v/>
      </c>
    </row>
    <row r="26" spans="1:43" ht="18.149999999999999" customHeight="1">
      <c r="A26" s="49"/>
      <c r="B26" s="49"/>
      <c r="C26" s="49"/>
      <c r="D26" s="49"/>
      <c r="E26" s="50"/>
      <c r="F26" s="27"/>
      <c r="G26" s="1" t="str">
        <f t="shared" si="4"/>
        <v/>
      </c>
      <c r="H26" s="1" t="str">
        <f t="shared" si="5"/>
        <v/>
      </c>
      <c r="I26" s="12"/>
      <c r="J26" s="12"/>
      <c r="K26" s="12"/>
      <c r="L26" s="12"/>
      <c r="M26" s="12"/>
      <c r="N26" s="12"/>
      <c r="O26" s="12"/>
      <c r="P26" s="2" t="str">
        <f t="shared" si="0"/>
        <v/>
      </c>
      <c r="Q26" s="12"/>
      <c r="R26" s="3" t="str">
        <f t="shared" si="1"/>
        <v/>
      </c>
      <c r="S26" s="12"/>
      <c r="T26" s="12"/>
      <c r="U26" s="55"/>
      <c r="V26" s="58" t="str">
        <f t="shared" si="14"/>
        <v/>
      </c>
      <c r="W26" s="56"/>
      <c r="X26" s="12"/>
      <c r="Y26" s="12"/>
      <c r="Z26" s="12"/>
      <c r="AA26" s="12"/>
      <c r="AB26" s="12"/>
      <c r="AC26" s="2" t="str">
        <f t="shared" si="2"/>
        <v/>
      </c>
      <c r="AD26" s="12"/>
      <c r="AE26" s="3" t="str">
        <f t="shared" si="3"/>
        <v/>
      </c>
      <c r="AF26" s="12"/>
      <c r="AG26" s="12"/>
      <c r="AH26" s="55"/>
      <c r="AI26" s="58" t="str">
        <f t="shared" si="6"/>
        <v/>
      </c>
      <c r="AJ26" s="63" t="str">
        <f t="shared" si="7"/>
        <v/>
      </c>
      <c r="AK26" s="2" t="str">
        <f t="shared" si="8"/>
        <v/>
      </c>
      <c r="AL26" s="3" t="str">
        <f t="shared" si="9"/>
        <v/>
      </c>
      <c r="AM26" s="4" t="str">
        <f t="shared" si="10"/>
        <v/>
      </c>
      <c r="AN26" s="2" t="str">
        <f t="shared" si="11"/>
        <v/>
      </c>
      <c r="AO26" s="12"/>
      <c r="AP26" s="5" t="str">
        <f t="shared" si="12"/>
        <v/>
      </c>
      <c r="AQ26" s="28" t="str">
        <f t="shared" si="13"/>
        <v/>
      </c>
    </row>
    <row r="27" spans="1:43" ht="18.149999999999999" customHeight="1">
      <c r="A27" s="49"/>
      <c r="B27" s="49"/>
      <c r="C27" s="49"/>
      <c r="D27" s="49"/>
      <c r="E27" s="50"/>
      <c r="F27" s="27"/>
      <c r="G27" s="1" t="str">
        <f t="shared" si="4"/>
        <v/>
      </c>
      <c r="H27" s="1" t="str">
        <f t="shared" si="5"/>
        <v/>
      </c>
      <c r="I27" s="12"/>
      <c r="J27" s="12"/>
      <c r="K27" s="12"/>
      <c r="L27" s="12"/>
      <c r="M27" s="12"/>
      <c r="N27" s="12"/>
      <c r="O27" s="12"/>
      <c r="P27" s="2" t="str">
        <f t="shared" si="0"/>
        <v/>
      </c>
      <c r="Q27" s="12"/>
      <c r="R27" s="3" t="str">
        <f t="shared" si="1"/>
        <v/>
      </c>
      <c r="S27" s="12"/>
      <c r="T27" s="12"/>
      <c r="U27" s="55"/>
      <c r="V27" s="58" t="str">
        <f t="shared" si="14"/>
        <v/>
      </c>
      <c r="W27" s="56"/>
      <c r="X27" s="12"/>
      <c r="Y27" s="12"/>
      <c r="Z27" s="12"/>
      <c r="AA27" s="12"/>
      <c r="AB27" s="12"/>
      <c r="AC27" s="2" t="str">
        <f t="shared" si="2"/>
        <v/>
      </c>
      <c r="AD27" s="12"/>
      <c r="AE27" s="3" t="str">
        <f t="shared" si="3"/>
        <v/>
      </c>
      <c r="AF27" s="12"/>
      <c r="AG27" s="12"/>
      <c r="AH27" s="55"/>
      <c r="AI27" s="58" t="str">
        <f t="shared" si="6"/>
        <v/>
      </c>
      <c r="AJ27" s="63" t="str">
        <f t="shared" si="7"/>
        <v/>
      </c>
      <c r="AK27" s="2" t="str">
        <f t="shared" si="8"/>
        <v/>
      </c>
      <c r="AL27" s="3" t="str">
        <f t="shared" si="9"/>
        <v/>
      </c>
      <c r="AM27" s="4" t="str">
        <f t="shared" si="10"/>
        <v/>
      </c>
      <c r="AN27" s="2" t="str">
        <f t="shared" si="11"/>
        <v/>
      </c>
      <c r="AO27" s="12"/>
      <c r="AP27" s="5" t="str">
        <f t="shared" si="12"/>
        <v/>
      </c>
      <c r="AQ27" s="28" t="str">
        <f t="shared" si="13"/>
        <v/>
      </c>
    </row>
    <row r="28" spans="1:43" ht="18.149999999999999" customHeight="1">
      <c r="A28" s="49"/>
      <c r="B28" s="49"/>
      <c r="C28" s="49"/>
      <c r="D28" s="49"/>
      <c r="E28" s="50"/>
      <c r="F28" s="27"/>
      <c r="G28" s="1" t="str">
        <f t="shared" si="4"/>
        <v/>
      </c>
      <c r="H28" s="1" t="str">
        <f t="shared" si="5"/>
        <v/>
      </c>
      <c r="I28" s="12"/>
      <c r="J28" s="12"/>
      <c r="K28" s="12"/>
      <c r="L28" s="12"/>
      <c r="M28" s="12"/>
      <c r="N28" s="12"/>
      <c r="O28" s="12"/>
      <c r="P28" s="2" t="str">
        <f t="shared" si="0"/>
        <v/>
      </c>
      <c r="Q28" s="12"/>
      <c r="R28" s="3" t="str">
        <f t="shared" si="1"/>
        <v/>
      </c>
      <c r="S28" s="12"/>
      <c r="T28" s="12"/>
      <c r="U28" s="55"/>
      <c r="V28" s="58" t="str">
        <f t="shared" si="14"/>
        <v/>
      </c>
      <c r="W28" s="56"/>
      <c r="X28" s="12"/>
      <c r="Y28" s="12"/>
      <c r="Z28" s="12"/>
      <c r="AA28" s="12"/>
      <c r="AB28" s="12"/>
      <c r="AC28" s="2" t="str">
        <f t="shared" si="2"/>
        <v/>
      </c>
      <c r="AD28" s="12"/>
      <c r="AE28" s="3" t="str">
        <f t="shared" si="3"/>
        <v/>
      </c>
      <c r="AF28" s="12"/>
      <c r="AG28" s="12"/>
      <c r="AH28" s="55"/>
      <c r="AI28" s="58" t="str">
        <f t="shared" si="6"/>
        <v/>
      </c>
      <c r="AJ28" s="63" t="str">
        <f t="shared" si="7"/>
        <v/>
      </c>
      <c r="AK28" s="2" t="str">
        <f t="shared" si="8"/>
        <v/>
      </c>
      <c r="AL28" s="3" t="str">
        <f t="shared" si="9"/>
        <v/>
      </c>
      <c r="AM28" s="4" t="str">
        <f t="shared" si="10"/>
        <v/>
      </c>
      <c r="AN28" s="2" t="str">
        <f t="shared" si="11"/>
        <v/>
      </c>
      <c r="AO28" s="12"/>
      <c r="AP28" s="5" t="str">
        <f t="shared" si="12"/>
        <v/>
      </c>
      <c r="AQ28" s="28" t="str">
        <f t="shared" si="13"/>
        <v/>
      </c>
    </row>
    <row r="29" spans="1:43" ht="18.149999999999999" customHeight="1">
      <c r="A29" s="49"/>
      <c r="B29" s="49"/>
      <c r="C29" s="49"/>
      <c r="D29" s="49"/>
      <c r="E29" s="50"/>
      <c r="F29" s="27"/>
      <c r="G29" s="1" t="str">
        <f t="shared" si="4"/>
        <v/>
      </c>
      <c r="H29" s="1" t="str">
        <f t="shared" si="5"/>
        <v/>
      </c>
      <c r="I29" s="12"/>
      <c r="J29" s="12"/>
      <c r="K29" s="12"/>
      <c r="L29" s="12"/>
      <c r="M29" s="12"/>
      <c r="N29" s="12"/>
      <c r="O29" s="12"/>
      <c r="P29" s="2" t="str">
        <f t="shared" si="0"/>
        <v/>
      </c>
      <c r="Q29" s="12"/>
      <c r="R29" s="3" t="str">
        <f t="shared" si="1"/>
        <v/>
      </c>
      <c r="S29" s="12"/>
      <c r="T29" s="12"/>
      <c r="U29" s="55"/>
      <c r="V29" s="58" t="str">
        <f t="shared" si="14"/>
        <v/>
      </c>
      <c r="W29" s="56"/>
      <c r="X29" s="12"/>
      <c r="Y29" s="12"/>
      <c r="Z29" s="12"/>
      <c r="AA29" s="12"/>
      <c r="AB29" s="12"/>
      <c r="AC29" s="2" t="str">
        <f t="shared" si="2"/>
        <v/>
      </c>
      <c r="AD29" s="12"/>
      <c r="AE29" s="3" t="str">
        <f t="shared" si="3"/>
        <v/>
      </c>
      <c r="AF29" s="12"/>
      <c r="AG29" s="12"/>
      <c r="AH29" s="55"/>
      <c r="AI29" s="58" t="str">
        <f t="shared" si="6"/>
        <v/>
      </c>
      <c r="AJ29" s="63" t="str">
        <f t="shared" si="7"/>
        <v/>
      </c>
      <c r="AK29" s="2" t="str">
        <f t="shared" si="8"/>
        <v/>
      </c>
      <c r="AL29" s="3" t="str">
        <f t="shared" si="9"/>
        <v/>
      </c>
      <c r="AM29" s="4" t="str">
        <f t="shared" si="10"/>
        <v/>
      </c>
      <c r="AN29" s="2" t="str">
        <f t="shared" si="11"/>
        <v/>
      </c>
      <c r="AO29" s="12"/>
      <c r="AP29" s="5" t="str">
        <f t="shared" si="12"/>
        <v/>
      </c>
      <c r="AQ29" s="28" t="str">
        <f t="shared" si="13"/>
        <v/>
      </c>
    </row>
    <row r="30" spans="1:43" ht="18.149999999999999" customHeight="1">
      <c r="A30" s="49"/>
      <c r="B30" s="49"/>
      <c r="C30" s="49"/>
      <c r="D30" s="49"/>
      <c r="E30" s="50"/>
      <c r="F30" s="27"/>
      <c r="G30" s="1" t="str">
        <f t="shared" si="4"/>
        <v/>
      </c>
      <c r="H30" s="1" t="str">
        <f t="shared" si="5"/>
        <v/>
      </c>
      <c r="I30" s="12"/>
      <c r="J30" s="12"/>
      <c r="K30" s="12"/>
      <c r="L30" s="12"/>
      <c r="M30" s="12"/>
      <c r="N30" s="12"/>
      <c r="O30" s="12"/>
      <c r="P30" s="2" t="str">
        <f t="shared" si="0"/>
        <v/>
      </c>
      <c r="Q30" s="12"/>
      <c r="R30" s="3" t="str">
        <f t="shared" si="1"/>
        <v/>
      </c>
      <c r="S30" s="12"/>
      <c r="T30" s="12"/>
      <c r="U30" s="55"/>
      <c r="V30" s="58" t="str">
        <f t="shared" si="14"/>
        <v/>
      </c>
      <c r="W30" s="56"/>
      <c r="X30" s="12"/>
      <c r="Y30" s="12"/>
      <c r="Z30" s="12"/>
      <c r="AA30" s="12"/>
      <c r="AB30" s="12"/>
      <c r="AC30" s="2" t="str">
        <f t="shared" si="2"/>
        <v/>
      </c>
      <c r="AD30" s="12"/>
      <c r="AE30" s="3" t="str">
        <f t="shared" si="3"/>
        <v/>
      </c>
      <c r="AF30" s="12"/>
      <c r="AG30" s="12"/>
      <c r="AH30" s="55"/>
      <c r="AI30" s="58" t="str">
        <f t="shared" si="6"/>
        <v/>
      </c>
      <c r="AJ30" s="63" t="str">
        <f t="shared" si="7"/>
        <v/>
      </c>
      <c r="AK30" s="2" t="str">
        <f t="shared" si="8"/>
        <v/>
      </c>
      <c r="AL30" s="3" t="str">
        <f t="shared" si="9"/>
        <v/>
      </c>
      <c r="AM30" s="4" t="str">
        <f t="shared" si="10"/>
        <v/>
      </c>
      <c r="AN30" s="2" t="str">
        <f t="shared" si="11"/>
        <v/>
      </c>
      <c r="AO30" s="12"/>
      <c r="AP30" s="5" t="str">
        <f t="shared" si="12"/>
        <v/>
      </c>
      <c r="AQ30" s="28" t="str">
        <f t="shared" si="13"/>
        <v/>
      </c>
    </row>
    <row r="31" spans="1:43" ht="18.149999999999999" customHeight="1">
      <c r="A31" s="49"/>
      <c r="B31" s="49"/>
      <c r="C31" s="49"/>
      <c r="D31" s="49"/>
      <c r="E31" s="50"/>
      <c r="F31" s="27"/>
      <c r="G31" s="1" t="str">
        <f t="shared" si="4"/>
        <v/>
      </c>
      <c r="H31" s="1" t="str">
        <f t="shared" si="5"/>
        <v/>
      </c>
      <c r="I31" s="12"/>
      <c r="J31" s="12"/>
      <c r="K31" s="12"/>
      <c r="L31" s="12"/>
      <c r="M31" s="12"/>
      <c r="N31" s="12"/>
      <c r="O31" s="12"/>
      <c r="P31" s="2" t="str">
        <f t="shared" si="0"/>
        <v/>
      </c>
      <c r="Q31" s="12"/>
      <c r="R31" s="3" t="str">
        <f t="shared" si="1"/>
        <v/>
      </c>
      <c r="S31" s="12"/>
      <c r="T31" s="12"/>
      <c r="U31" s="55"/>
      <c r="V31" s="58" t="str">
        <f t="shared" si="14"/>
        <v/>
      </c>
      <c r="W31" s="56"/>
      <c r="X31" s="12"/>
      <c r="Y31" s="12"/>
      <c r="Z31" s="12"/>
      <c r="AA31" s="12"/>
      <c r="AB31" s="12"/>
      <c r="AC31" s="2" t="str">
        <f t="shared" si="2"/>
        <v/>
      </c>
      <c r="AD31" s="12"/>
      <c r="AE31" s="3" t="str">
        <f t="shared" si="3"/>
        <v/>
      </c>
      <c r="AF31" s="12"/>
      <c r="AG31" s="12"/>
      <c r="AH31" s="55"/>
      <c r="AI31" s="58" t="str">
        <f t="shared" si="6"/>
        <v/>
      </c>
      <c r="AJ31" s="63" t="str">
        <f t="shared" si="7"/>
        <v/>
      </c>
      <c r="AK31" s="2" t="str">
        <f t="shared" si="8"/>
        <v/>
      </c>
      <c r="AL31" s="3" t="str">
        <f t="shared" si="9"/>
        <v/>
      </c>
      <c r="AM31" s="4" t="str">
        <f t="shared" si="10"/>
        <v/>
      </c>
      <c r="AN31" s="2" t="str">
        <f t="shared" si="11"/>
        <v/>
      </c>
      <c r="AO31" s="12"/>
      <c r="AP31" s="5" t="str">
        <f t="shared" si="12"/>
        <v/>
      </c>
      <c r="AQ31" s="28" t="str">
        <f t="shared" si="13"/>
        <v/>
      </c>
    </row>
    <row r="32" spans="1:43" ht="18.149999999999999" customHeight="1">
      <c r="A32" s="49"/>
      <c r="B32" s="49"/>
      <c r="C32" s="49"/>
      <c r="D32" s="49"/>
      <c r="E32" s="50"/>
      <c r="F32" s="27"/>
      <c r="G32" s="1" t="str">
        <f t="shared" si="4"/>
        <v/>
      </c>
      <c r="H32" s="1" t="str">
        <f t="shared" si="5"/>
        <v/>
      </c>
      <c r="I32" s="12"/>
      <c r="J32" s="12"/>
      <c r="K32" s="12"/>
      <c r="L32" s="12"/>
      <c r="M32" s="12"/>
      <c r="N32" s="12"/>
      <c r="O32" s="12"/>
      <c r="P32" s="2" t="str">
        <f t="shared" si="0"/>
        <v/>
      </c>
      <c r="Q32" s="12"/>
      <c r="R32" s="3" t="str">
        <f t="shared" si="1"/>
        <v/>
      </c>
      <c r="S32" s="12"/>
      <c r="T32" s="12"/>
      <c r="U32" s="55"/>
      <c r="V32" s="58" t="str">
        <f t="shared" si="14"/>
        <v/>
      </c>
      <c r="W32" s="56"/>
      <c r="X32" s="12"/>
      <c r="Y32" s="12"/>
      <c r="Z32" s="12"/>
      <c r="AA32" s="12"/>
      <c r="AB32" s="12"/>
      <c r="AC32" s="2" t="str">
        <f t="shared" si="2"/>
        <v/>
      </c>
      <c r="AD32" s="12"/>
      <c r="AE32" s="3" t="str">
        <f t="shared" si="3"/>
        <v/>
      </c>
      <c r="AF32" s="12"/>
      <c r="AG32" s="12"/>
      <c r="AH32" s="55"/>
      <c r="AI32" s="58" t="str">
        <f t="shared" si="6"/>
        <v/>
      </c>
      <c r="AJ32" s="63" t="str">
        <f t="shared" si="7"/>
        <v/>
      </c>
      <c r="AK32" s="2" t="str">
        <f t="shared" si="8"/>
        <v/>
      </c>
      <c r="AL32" s="3" t="str">
        <f t="shared" si="9"/>
        <v/>
      </c>
      <c r="AM32" s="4" t="str">
        <f t="shared" si="10"/>
        <v/>
      </c>
      <c r="AN32" s="2" t="str">
        <f t="shared" si="11"/>
        <v/>
      </c>
      <c r="AO32" s="12"/>
      <c r="AP32" s="5" t="str">
        <f t="shared" si="12"/>
        <v/>
      </c>
      <c r="AQ32" s="28" t="str">
        <f t="shared" si="13"/>
        <v/>
      </c>
    </row>
    <row r="33" spans="1:43" ht="18.149999999999999" customHeight="1">
      <c r="A33" s="49"/>
      <c r="B33" s="49"/>
      <c r="C33" s="49"/>
      <c r="D33" s="49"/>
      <c r="E33" s="50"/>
      <c r="F33" s="27"/>
      <c r="G33" s="1" t="str">
        <f t="shared" si="4"/>
        <v/>
      </c>
      <c r="H33" s="1" t="str">
        <f t="shared" si="5"/>
        <v/>
      </c>
      <c r="I33" s="12"/>
      <c r="J33" s="12"/>
      <c r="K33" s="12"/>
      <c r="L33" s="12"/>
      <c r="M33" s="12"/>
      <c r="N33" s="12"/>
      <c r="O33" s="12"/>
      <c r="P33" s="2" t="str">
        <f t="shared" si="0"/>
        <v/>
      </c>
      <c r="Q33" s="12"/>
      <c r="R33" s="3" t="str">
        <f t="shared" si="1"/>
        <v/>
      </c>
      <c r="S33" s="12"/>
      <c r="T33" s="12"/>
      <c r="U33" s="55"/>
      <c r="V33" s="58" t="str">
        <f t="shared" si="14"/>
        <v/>
      </c>
      <c r="W33" s="56"/>
      <c r="X33" s="12"/>
      <c r="Y33" s="12"/>
      <c r="Z33" s="12"/>
      <c r="AA33" s="12"/>
      <c r="AB33" s="12"/>
      <c r="AC33" s="2" t="str">
        <f t="shared" si="2"/>
        <v/>
      </c>
      <c r="AD33" s="12"/>
      <c r="AE33" s="3" t="str">
        <f t="shared" si="3"/>
        <v/>
      </c>
      <c r="AF33" s="12"/>
      <c r="AG33" s="12"/>
      <c r="AH33" s="55"/>
      <c r="AI33" s="58" t="str">
        <f t="shared" si="6"/>
        <v/>
      </c>
      <c r="AJ33" s="63" t="str">
        <f t="shared" si="7"/>
        <v/>
      </c>
      <c r="AK33" s="2" t="str">
        <f t="shared" si="8"/>
        <v/>
      </c>
      <c r="AL33" s="3" t="str">
        <f t="shared" si="9"/>
        <v/>
      </c>
      <c r="AM33" s="4" t="str">
        <f t="shared" si="10"/>
        <v/>
      </c>
      <c r="AN33" s="2" t="str">
        <f t="shared" si="11"/>
        <v/>
      </c>
      <c r="AO33" s="12"/>
      <c r="AP33" s="5" t="str">
        <f t="shared" si="12"/>
        <v/>
      </c>
      <c r="AQ33" s="28" t="str">
        <f t="shared" si="13"/>
        <v/>
      </c>
    </row>
    <row r="34" spans="1:43" ht="18.149999999999999" customHeight="1">
      <c r="A34" s="49"/>
      <c r="B34" s="49"/>
      <c r="C34" s="49"/>
      <c r="D34" s="49"/>
      <c r="E34" s="50"/>
      <c r="F34" s="27"/>
      <c r="G34" s="1" t="str">
        <f t="shared" si="4"/>
        <v/>
      </c>
      <c r="H34" s="1" t="str">
        <f t="shared" si="5"/>
        <v/>
      </c>
      <c r="I34" s="12"/>
      <c r="J34" s="12"/>
      <c r="K34" s="12"/>
      <c r="L34" s="12"/>
      <c r="M34" s="12"/>
      <c r="N34" s="12"/>
      <c r="O34" s="12"/>
      <c r="P34" s="2" t="str">
        <f t="shared" si="0"/>
        <v/>
      </c>
      <c r="Q34" s="12"/>
      <c r="R34" s="3" t="str">
        <f t="shared" si="1"/>
        <v/>
      </c>
      <c r="S34" s="12"/>
      <c r="T34" s="12"/>
      <c r="U34" s="55"/>
      <c r="V34" s="58" t="str">
        <f t="shared" si="14"/>
        <v/>
      </c>
      <c r="W34" s="56"/>
      <c r="X34" s="12"/>
      <c r="Y34" s="12"/>
      <c r="Z34" s="12"/>
      <c r="AA34" s="12"/>
      <c r="AB34" s="12"/>
      <c r="AC34" s="2" t="str">
        <f t="shared" si="2"/>
        <v/>
      </c>
      <c r="AD34" s="12"/>
      <c r="AE34" s="3" t="str">
        <f t="shared" si="3"/>
        <v/>
      </c>
      <c r="AF34" s="12"/>
      <c r="AG34" s="12"/>
      <c r="AH34" s="55"/>
      <c r="AI34" s="58" t="str">
        <f t="shared" si="6"/>
        <v/>
      </c>
      <c r="AJ34" s="63" t="str">
        <f t="shared" si="7"/>
        <v/>
      </c>
      <c r="AK34" s="2" t="str">
        <f t="shared" si="8"/>
        <v/>
      </c>
      <c r="AL34" s="3" t="str">
        <f t="shared" si="9"/>
        <v/>
      </c>
      <c r="AM34" s="4" t="str">
        <f t="shared" si="10"/>
        <v/>
      </c>
      <c r="AN34" s="2" t="str">
        <f t="shared" si="11"/>
        <v/>
      </c>
      <c r="AO34" s="12"/>
      <c r="AP34" s="5" t="str">
        <f t="shared" si="12"/>
        <v/>
      </c>
      <c r="AQ34" s="28" t="str">
        <f t="shared" si="13"/>
        <v/>
      </c>
    </row>
    <row r="35" spans="1:43" ht="18.149999999999999" customHeight="1">
      <c r="A35" s="49"/>
      <c r="B35" s="49"/>
      <c r="C35" s="49"/>
      <c r="D35" s="49"/>
      <c r="E35" s="50"/>
      <c r="F35" s="27"/>
      <c r="G35" s="1" t="str">
        <f t="shared" si="4"/>
        <v/>
      </c>
      <c r="H35" s="1" t="str">
        <f t="shared" si="5"/>
        <v/>
      </c>
      <c r="I35" s="12"/>
      <c r="J35" s="12"/>
      <c r="K35" s="12"/>
      <c r="L35" s="12"/>
      <c r="M35" s="12"/>
      <c r="N35" s="12"/>
      <c r="O35" s="12"/>
      <c r="P35" s="2" t="str">
        <f t="shared" si="0"/>
        <v/>
      </c>
      <c r="Q35" s="12"/>
      <c r="R35" s="3" t="str">
        <f t="shared" si="1"/>
        <v/>
      </c>
      <c r="S35" s="12"/>
      <c r="T35" s="12"/>
      <c r="U35" s="55"/>
      <c r="V35" s="58" t="str">
        <f t="shared" si="14"/>
        <v/>
      </c>
      <c r="W35" s="56"/>
      <c r="X35" s="12"/>
      <c r="Y35" s="12"/>
      <c r="Z35" s="12"/>
      <c r="AA35" s="12"/>
      <c r="AB35" s="12"/>
      <c r="AC35" s="2" t="str">
        <f t="shared" si="2"/>
        <v/>
      </c>
      <c r="AD35" s="12"/>
      <c r="AE35" s="3" t="str">
        <f t="shared" si="3"/>
        <v/>
      </c>
      <c r="AF35" s="12"/>
      <c r="AG35" s="12"/>
      <c r="AH35" s="55"/>
      <c r="AI35" s="58" t="str">
        <f t="shared" si="6"/>
        <v/>
      </c>
      <c r="AJ35" s="63" t="str">
        <f t="shared" si="7"/>
        <v/>
      </c>
      <c r="AK35" s="2" t="str">
        <f t="shared" si="8"/>
        <v/>
      </c>
      <c r="AL35" s="3" t="str">
        <f t="shared" si="9"/>
        <v/>
      </c>
      <c r="AM35" s="4" t="str">
        <f t="shared" si="10"/>
        <v/>
      </c>
      <c r="AN35" s="2" t="str">
        <f t="shared" si="11"/>
        <v/>
      </c>
      <c r="AO35" s="12"/>
      <c r="AP35" s="5" t="str">
        <f t="shared" si="12"/>
        <v/>
      </c>
      <c r="AQ35" s="28" t="str">
        <f t="shared" si="13"/>
        <v/>
      </c>
    </row>
    <row r="36" spans="1:43" ht="18.149999999999999" customHeight="1">
      <c r="A36" s="49"/>
      <c r="B36" s="49"/>
      <c r="C36" s="49"/>
      <c r="D36" s="49"/>
      <c r="E36" s="50"/>
      <c r="F36" s="27"/>
      <c r="G36" s="1" t="str">
        <f t="shared" si="4"/>
        <v/>
      </c>
      <c r="H36" s="1" t="str">
        <f t="shared" si="5"/>
        <v/>
      </c>
      <c r="I36" s="12"/>
      <c r="J36" s="12"/>
      <c r="K36" s="12"/>
      <c r="L36" s="12"/>
      <c r="M36" s="12"/>
      <c r="N36" s="12"/>
      <c r="O36" s="12"/>
      <c r="P36" s="2" t="str">
        <f t="shared" si="0"/>
        <v/>
      </c>
      <c r="Q36" s="12"/>
      <c r="R36" s="3" t="str">
        <f t="shared" si="1"/>
        <v/>
      </c>
      <c r="S36" s="12"/>
      <c r="T36" s="12"/>
      <c r="U36" s="55"/>
      <c r="V36" s="58" t="str">
        <f t="shared" si="14"/>
        <v/>
      </c>
      <c r="W36" s="56"/>
      <c r="X36" s="12"/>
      <c r="Y36" s="12"/>
      <c r="Z36" s="12"/>
      <c r="AA36" s="12"/>
      <c r="AB36" s="12"/>
      <c r="AC36" s="2" t="str">
        <f t="shared" si="2"/>
        <v/>
      </c>
      <c r="AD36" s="12"/>
      <c r="AE36" s="3" t="str">
        <f t="shared" si="3"/>
        <v/>
      </c>
      <c r="AF36" s="12"/>
      <c r="AG36" s="12"/>
      <c r="AH36" s="55"/>
      <c r="AI36" s="58" t="str">
        <f t="shared" si="6"/>
        <v/>
      </c>
      <c r="AJ36" s="63" t="str">
        <f t="shared" si="7"/>
        <v/>
      </c>
      <c r="AK36" s="2" t="str">
        <f t="shared" si="8"/>
        <v/>
      </c>
      <c r="AL36" s="3" t="str">
        <f t="shared" si="9"/>
        <v/>
      </c>
      <c r="AM36" s="4" t="str">
        <f t="shared" si="10"/>
        <v/>
      </c>
      <c r="AN36" s="2" t="str">
        <f t="shared" si="11"/>
        <v/>
      </c>
      <c r="AO36" s="12"/>
      <c r="AP36" s="5" t="str">
        <f t="shared" si="12"/>
        <v/>
      </c>
      <c r="AQ36" s="28" t="str">
        <f t="shared" si="13"/>
        <v/>
      </c>
    </row>
    <row r="37" spans="1:43" ht="18.149999999999999" customHeight="1">
      <c r="A37" s="49"/>
      <c r="B37" s="49"/>
      <c r="C37" s="49"/>
      <c r="D37" s="49"/>
      <c r="E37" s="50"/>
      <c r="F37" s="27"/>
      <c r="G37" s="1" t="str">
        <f t="shared" si="4"/>
        <v/>
      </c>
      <c r="H37" s="1" t="str">
        <f t="shared" si="5"/>
        <v/>
      </c>
      <c r="I37" s="12"/>
      <c r="J37" s="12"/>
      <c r="K37" s="12"/>
      <c r="L37" s="12"/>
      <c r="M37" s="12"/>
      <c r="N37" s="12"/>
      <c r="O37" s="12"/>
      <c r="P37" s="2" t="str">
        <f t="shared" ref="P37:P54" si="15">IFERROR(AVERAGE(J37:O37),"")</f>
        <v/>
      </c>
      <c r="Q37" s="12"/>
      <c r="R37" s="3" t="str">
        <f t="shared" ref="R37:R54" si="16">IF(Q37="",P37,IF(P37="",Q37,P37*40/100+Q37*60/100))</f>
        <v/>
      </c>
      <c r="S37" s="12"/>
      <c r="T37" s="12"/>
      <c r="U37" s="55"/>
      <c r="V37" s="58" t="str">
        <f t="shared" si="14"/>
        <v/>
      </c>
      <c r="W37" s="56"/>
      <c r="X37" s="12"/>
      <c r="Y37" s="12"/>
      <c r="Z37" s="12"/>
      <c r="AA37" s="12"/>
      <c r="AB37" s="12"/>
      <c r="AC37" s="2" t="str">
        <f t="shared" si="2"/>
        <v/>
      </c>
      <c r="AD37" s="12"/>
      <c r="AE37" s="3" t="str">
        <f t="shared" si="3"/>
        <v/>
      </c>
      <c r="AF37" s="12"/>
      <c r="AG37" s="12"/>
      <c r="AH37" s="55"/>
      <c r="AI37" s="58" t="str">
        <f t="shared" si="6"/>
        <v/>
      </c>
      <c r="AJ37" s="63" t="str">
        <f t="shared" si="7"/>
        <v/>
      </c>
      <c r="AK37" s="2" t="str">
        <f t="shared" si="8"/>
        <v/>
      </c>
      <c r="AL37" s="3" t="str">
        <f t="shared" si="9"/>
        <v/>
      </c>
      <c r="AM37" s="4" t="str">
        <f t="shared" si="10"/>
        <v/>
      </c>
      <c r="AN37" s="2" t="str">
        <f t="shared" si="11"/>
        <v/>
      </c>
      <c r="AO37" s="12"/>
      <c r="AP37" s="5" t="str">
        <f t="shared" si="12"/>
        <v/>
      </c>
      <c r="AQ37" s="28" t="str">
        <f t="shared" si="13"/>
        <v/>
      </c>
    </row>
    <row r="38" spans="1:43" ht="18.149999999999999" customHeight="1">
      <c r="A38" s="49"/>
      <c r="B38" s="49"/>
      <c r="C38" s="49"/>
      <c r="D38" s="49"/>
      <c r="E38" s="50"/>
      <c r="F38" s="27"/>
      <c r="G38" s="1" t="str">
        <f t="shared" si="4"/>
        <v/>
      </c>
      <c r="H38" s="1" t="str">
        <f t="shared" si="5"/>
        <v/>
      </c>
      <c r="I38" s="12"/>
      <c r="J38" s="12"/>
      <c r="K38" s="12"/>
      <c r="L38" s="12"/>
      <c r="M38" s="12"/>
      <c r="N38" s="12"/>
      <c r="O38" s="12"/>
      <c r="P38" s="2" t="str">
        <f t="shared" si="15"/>
        <v/>
      </c>
      <c r="Q38" s="12"/>
      <c r="R38" s="3" t="str">
        <f t="shared" si="16"/>
        <v/>
      </c>
      <c r="S38" s="12"/>
      <c r="T38" s="12"/>
      <c r="U38" s="55"/>
      <c r="V38" s="58" t="str">
        <f t="shared" si="14"/>
        <v/>
      </c>
      <c r="W38" s="56"/>
      <c r="X38" s="12"/>
      <c r="Y38" s="12"/>
      <c r="Z38" s="12"/>
      <c r="AA38" s="12"/>
      <c r="AB38" s="12"/>
      <c r="AC38" s="2" t="str">
        <f t="shared" si="2"/>
        <v/>
      </c>
      <c r="AD38" s="12"/>
      <c r="AE38" s="3" t="str">
        <f t="shared" si="3"/>
        <v/>
      </c>
      <c r="AF38" s="12"/>
      <c r="AG38" s="12"/>
      <c r="AH38" s="55"/>
      <c r="AI38" s="58" t="str">
        <f t="shared" si="6"/>
        <v/>
      </c>
      <c r="AJ38" s="63" t="str">
        <f t="shared" si="7"/>
        <v/>
      </c>
      <c r="AK38" s="2" t="str">
        <f t="shared" si="8"/>
        <v/>
      </c>
      <c r="AL38" s="3" t="str">
        <f t="shared" si="9"/>
        <v/>
      </c>
      <c r="AM38" s="4" t="str">
        <f t="shared" si="10"/>
        <v/>
      </c>
      <c r="AN38" s="2" t="str">
        <f t="shared" si="11"/>
        <v/>
      </c>
      <c r="AO38" s="12"/>
      <c r="AP38" s="5" t="str">
        <f t="shared" si="12"/>
        <v/>
      </c>
      <c r="AQ38" s="28" t="str">
        <f t="shared" si="13"/>
        <v/>
      </c>
    </row>
    <row r="39" spans="1:43" ht="18.149999999999999" customHeight="1">
      <c r="A39" s="49"/>
      <c r="B39" s="49"/>
      <c r="C39" s="49"/>
      <c r="D39" s="49"/>
      <c r="E39" s="50"/>
      <c r="F39" s="27"/>
      <c r="G39" s="1" t="str">
        <f t="shared" si="4"/>
        <v/>
      </c>
      <c r="H39" s="1" t="str">
        <f t="shared" si="5"/>
        <v/>
      </c>
      <c r="I39" s="12"/>
      <c r="J39" s="12"/>
      <c r="K39" s="12"/>
      <c r="L39" s="12"/>
      <c r="M39" s="12"/>
      <c r="N39" s="12"/>
      <c r="O39" s="12"/>
      <c r="P39" s="2" t="str">
        <f t="shared" si="15"/>
        <v/>
      </c>
      <c r="Q39" s="12"/>
      <c r="R39" s="3" t="str">
        <f t="shared" si="16"/>
        <v/>
      </c>
      <c r="S39" s="12"/>
      <c r="T39" s="12"/>
      <c r="U39" s="55"/>
      <c r="V39" s="58" t="str">
        <f t="shared" si="14"/>
        <v/>
      </c>
      <c r="W39" s="56"/>
      <c r="X39" s="12"/>
      <c r="Y39" s="12"/>
      <c r="Z39" s="12"/>
      <c r="AA39" s="12"/>
      <c r="AB39" s="12"/>
      <c r="AC39" s="2" t="str">
        <f t="shared" si="2"/>
        <v/>
      </c>
      <c r="AD39" s="12"/>
      <c r="AE39" s="3" t="str">
        <f t="shared" si="3"/>
        <v/>
      </c>
      <c r="AF39" s="12"/>
      <c r="AG39" s="12"/>
      <c r="AH39" s="55"/>
      <c r="AI39" s="58" t="str">
        <f t="shared" si="6"/>
        <v/>
      </c>
      <c r="AJ39" s="63" t="str">
        <f t="shared" si="7"/>
        <v/>
      </c>
      <c r="AK39" s="2" t="str">
        <f t="shared" si="8"/>
        <v/>
      </c>
      <c r="AL39" s="3" t="str">
        <f t="shared" si="9"/>
        <v/>
      </c>
      <c r="AM39" s="4" t="str">
        <f t="shared" si="10"/>
        <v/>
      </c>
      <c r="AN39" s="2" t="str">
        <f t="shared" si="11"/>
        <v/>
      </c>
      <c r="AO39" s="12"/>
      <c r="AP39" s="5" t="str">
        <f t="shared" si="12"/>
        <v/>
      </c>
      <c r="AQ39" s="28" t="str">
        <f t="shared" si="13"/>
        <v/>
      </c>
    </row>
    <row r="40" spans="1:43" ht="18.149999999999999" customHeight="1">
      <c r="A40" s="49"/>
      <c r="B40" s="49"/>
      <c r="C40" s="49"/>
      <c r="D40" s="49"/>
      <c r="E40" s="50"/>
      <c r="F40" s="27"/>
      <c r="G40" s="1" t="str">
        <f t="shared" si="4"/>
        <v/>
      </c>
      <c r="H40" s="1" t="str">
        <f t="shared" si="5"/>
        <v/>
      </c>
      <c r="I40" s="12"/>
      <c r="J40" s="12"/>
      <c r="K40" s="12"/>
      <c r="L40" s="12"/>
      <c r="M40" s="12"/>
      <c r="N40" s="12"/>
      <c r="O40" s="12"/>
      <c r="P40" s="2" t="str">
        <f t="shared" si="15"/>
        <v/>
      </c>
      <c r="Q40" s="12"/>
      <c r="R40" s="3" t="str">
        <f t="shared" si="16"/>
        <v/>
      </c>
      <c r="S40" s="12"/>
      <c r="T40" s="12"/>
      <c r="U40" s="55"/>
      <c r="V40" s="58" t="str">
        <f t="shared" si="14"/>
        <v/>
      </c>
      <c r="W40" s="56"/>
      <c r="X40" s="12"/>
      <c r="Y40" s="12"/>
      <c r="Z40" s="12"/>
      <c r="AA40" s="12"/>
      <c r="AB40" s="12"/>
      <c r="AC40" s="2" t="str">
        <f t="shared" si="2"/>
        <v/>
      </c>
      <c r="AD40" s="12"/>
      <c r="AE40" s="3" t="str">
        <f t="shared" si="3"/>
        <v/>
      </c>
      <c r="AF40" s="12"/>
      <c r="AG40" s="12"/>
      <c r="AH40" s="55"/>
      <c r="AI40" s="58" t="str">
        <f t="shared" si="6"/>
        <v/>
      </c>
      <c r="AJ40" s="63" t="str">
        <f t="shared" si="7"/>
        <v/>
      </c>
      <c r="AK40" s="2" t="str">
        <f t="shared" si="8"/>
        <v/>
      </c>
      <c r="AL40" s="3" t="str">
        <f t="shared" si="9"/>
        <v/>
      </c>
      <c r="AM40" s="4" t="str">
        <f t="shared" si="10"/>
        <v/>
      </c>
      <c r="AN40" s="2" t="str">
        <f t="shared" si="11"/>
        <v/>
      </c>
      <c r="AO40" s="12"/>
      <c r="AP40" s="5" t="str">
        <f t="shared" si="12"/>
        <v/>
      </c>
      <c r="AQ40" s="28" t="str">
        <f t="shared" si="13"/>
        <v/>
      </c>
    </row>
    <row r="41" spans="1:43" ht="18.149999999999999" customHeight="1">
      <c r="A41" s="49"/>
      <c r="B41" s="49"/>
      <c r="C41" s="49"/>
      <c r="D41" s="49"/>
      <c r="E41" s="50"/>
      <c r="F41" s="27"/>
      <c r="G41" s="1" t="str">
        <f t="shared" si="4"/>
        <v/>
      </c>
      <c r="H41" s="1" t="str">
        <f t="shared" si="5"/>
        <v/>
      </c>
      <c r="I41" s="12"/>
      <c r="J41" s="12"/>
      <c r="K41" s="12"/>
      <c r="L41" s="12"/>
      <c r="M41" s="12"/>
      <c r="N41" s="12"/>
      <c r="O41" s="12"/>
      <c r="P41" s="2" t="str">
        <f t="shared" si="15"/>
        <v/>
      </c>
      <c r="Q41" s="12"/>
      <c r="R41" s="3" t="str">
        <f t="shared" si="16"/>
        <v/>
      </c>
      <c r="S41" s="12"/>
      <c r="T41" s="12"/>
      <c r="U41" s="55"/>
      <c r="V41" s="58" t="str">
        <f t="shared" si="14"/>
        <v/>
      </c>
      <c r="W41" s="56"/>
      <c r="X41" s="12"/>
      <c r="Y41" s="12"/>
      <c r="Z41" s="12"/>
      <c r="AA41" s="12"/>
      <c r="AB41" s="12"/>
      <c r="AC41" s="2" t="str">
        <f t="shared" si="2"/>
        <v/>
      </c>
      <c r="AD41" s="12"/>
      <c r="AE41" s="3" t="str">
        <f t="shared" si="3"/>
        <v/>
      </c>
      <c r="AF41" s="12"/>
      <c r="AG41" s="12"/>
      <c r="AH41" s="55"/>
      <c r="AI41" s="58" t="str">
        <f t="shared" si="6"/>
        <v/>
      </c>
      <c r="AJ41" s="63" t="str">
        <f t="shared" si="7"/>
        <v/>
      </c>
      <c r="AK41" s="2" t="str">
        <f t="shared" si="8"/>
        <v/>
      </c>
      <c r="AL41" s="3" t="str">
        <f t="shared" si="9"/>
        <v/>
      </c>
      <c r="AM41" s="4" t="str">
        <f t="shared" si="10"/>
        <v/>
      </c>
      <c r="AN41" s="2" t="str">
        <f t="shared" si="11"/>
        <v/>
      </c>
      <c r="AO41" s="12"/>
      <c r="AP41" s="5" t="str">
        <f t="shared" si="12"/>
        <v/>
      </c>
      <c r="AQ41" s="28" t="str">
        <f t="shared" si="13"/>
        <v/>
      </c>
    </row>
    <row r="42" spans="1:43" ht="18.149999999999999" customHeight="1">
      <c r="A42" s="49"/>
      <c r="B42" s="49"/>
      <c r="C42" s="49"/>
      <c r="D42" s="49"/>
      <c r="E42" s="50"/>
      <c r="F42" s="27"/>
      <c r="G42" s="1" t="str">
        <f t="shared" si="4"/>
        <v/>
      </c>
      <c r="H42" s="1" t="str">
        <f t="shared" si="5"/>
        <v/>
      </c>
      <c r="I42" s="12"/>
      <c r="J42" s="12"/>
      <c r="K42" s="12"/>
      <c r="L42" s="12"/>
      <c r="M42" s="12"/>
      <c r="N42" s="12"/>
      <c r="O42" s="12"/>
      <c r="P42" s="2" t="str">
        <f t="shared" si="15"/>
        <v/>
      </c>
      <c r="Q42" s="12"/>
      <c r="R42" s="3" t="str">
        <f t="shared" si="16"/>
        <v/>
      </c>
      <c r="S42" s="12"/>
      <c r="T42" s="12"/>
      <c r="U42" s="55"/>
      <c r="V42" s="58" t="str">
        <f t="shared" si="14"/>
        <v/>
      </c>
      <c r="W42" s="56"/>
      <c r="X42" s="12"/>
      <c r="Y42" s="12"/>
      <c r="Z42" s="12"/>
      <c r="AA42" s="12"/>
      <c r="AB42" s="12"/>
      <c r="AC42" s="2" t="str">
        <f t="shared" si="2"/>
        <v/>
      </c>
      <c r="AD42" s="12"/>
      <c r="AE42" s="3" t="str">
        <f t="shared" si="3"/>
        <v/>
      </c>
      <c r="AF42" s="12"/>
      <c r="AG42" s="12"/>
      <c r="AH42" s="55"/>
      <c r="AI42" s="58" t="str">
        <f t="shared" si="6"/>
        <v/>
      </c>
      <c r="AJ42" s="63" t="str">
        <f t="shared" si="7"/>
        <v/>
      </c>
      <c r="AK42" s="2" t="str">
        <f t="shared" si="8"/>
        <v/>
      </c>
      <c r="AL42" s="3" t="str">
        <f t="shared" si="9"/>
        <v/>
      </c>
      <c r="AM42" s="4" t="str">
        <f t="shared" si="10"/>
        <v/>
      </c>
      <c r="AN42" s="2" t="str">
        <f t="shared" si="11"/>
        <v/>
      </c>
      <c r="AO42" s="12"/>
      <c r="AP42" s="5" t="str">
        <f t="shared" si="12"/>
        <v/>
      </c>
      <c r="AQ42" s="28" t="str">
        <f t="shared" si="13"/>
        <v/>
      </c>
    </row>
    <row r="43" spans="1:43" ht="18.149999999999999" customHeight="1">
      <c r="A43" s="49"/>
      <c r="B43" s="49"/>
      <c r="C43" s="49"/>
      <c r="D43" s="49"/>
      <c r="E43" s="50"/>
      <c r="F43" s="27"/>
      <c r="G43" s="1" t="str">
        <f t="shared" si="4"/>
        <v/>
      </c>
      <c r="H43" s="1" t="str">
        <f t="shared" si="5"/>
        <v/>
      </c>
      <c r="I43" s="12"/>
      <c r="J43" s="12"/>
      <c r="K43" s="12"/>
      <c r="L43" s="12"/>
      <c r="M43" s="12"/>
      <c r="N43" s="12"/>
      <c r="O43" s="12"/>
      <c r="P43" s="2" t="str">
        <f t="shared" si="15"/>
        <v/>
      </c>
      <c r="Q43" s="12"/>
      <c r="R43" s="3" t="str">
        <f t="shared" si="16"/>
        <v/>
      </c>
      <c r="S43" s="12"/>
      <c r="T43" s="12"/>
      <c r="U43" s="55"/>
      <c r="V43" s="58" t="str">
        <f t="shared" si="14"/>
        <v/>
      </c>
      <c r="W43" s="56"/>
      <c r="X43" s="12"/>
      <c r="Y43" s="12"/>
      <c r="Z43" s="12"/>
      <c r="AA43" s="12"/>
      <c r="AB43" s="12"/>
      <c r="AC43" s="2" t="str">
        <f t="shared" si="2"/>
        <v/>
      </c>
      <c r="AD43" s="12"/>
      <c r="AE43" s="3" t="str">
        <f t="shared" si="3"/>
        <v/>
      </c>
      <c r="AF43" s="12"/>
      <c r="AG43" s="12"/>
      <c r="AH43" s="55"/>
      <c r="AI43" s="58" t="str">
        <f t="shared" si="6"/>
        <v/>
      </c>
      <c r="AJ43" s="63" t="str">
        <f t="shared" si="7"/>
        <v/>
      </c>
      <c r="AK43" s="2" t="str">
        <f t="shared" si="8"/>
        <v/>
      </c>
      <c r="AL43" s="3" t="str">
        <f t="shared" si="9"/>
        <v/>
      </c>
      <c r="AM43" s="4" t="str">
        <f t="shared" si="10"/>
        <v/>
      </c>
      <c r="AN43" s="2" t="str">
        <f t="shared" si="11"/>
        <v/>
      </c>
      <c r="AO43" s="12"/>
      <c r="AP43" s="5" t="str">
        <f t="shared" si="12"/>
        <v/>
      </c>
      <c r="AQ43" s="28" t="str">
        <f t="shared" si="13"/>
        <v/>
      </c>
    </row>
    <row r="44" spans="1:43" ht="18.149999999999999" customHeight="1">
      <c r="A44" s="49"/>
      <c r="B44" s="49"/>
      <c r="C44" s="49"/>
      <c r="D44" s="49"/>
      <c r="E44" s="50"/>
      <c r="F44" s="27"/>
      <c r="G44" s="1" t="str">
        <f t="shared" si="4"/>
        <v/>
      </c>
      <c r="H44" s="1" t="str">
        <f t="shared" si="5"/>
        <v/>
      </c>
      <c r="I44" s="12"/>
      <c r="J44" s="12"/>
      <c r="K44" s="12"/>
      <c r="L44" s="12"/>
      <c r="M44" s="12"/>
      <c r="N44" s="12"/>
      <c r="O44" s="12"/>
      <c r="P44" s="2" t="str">
        <f t="shared" si="15"/>
        <v/>
      </c>
      <c r="Q44" s="12"/>
      <c r="R44" s="3" t="str">
        <f t="shared" si="16"/>
        <v/>
      </c>
      <c r="S44" s="12"/>
      <c r="T44" s="12"/>
      <c r="U44" s="55"/>
      <c r="V44" s="58" t="str">
        <f t="shared" si="14"/>
        <v/>
      </c>
      <c r="W44" s="56"/>
      <c r="X44" s="12"/>
      <c r="Y44" s="12"/>
      <c r="Z44" s="12"/>
      <c r="AA44" s="12"/>
      <c r="AB44" s="12"/>
      <c r="AC44" s="2" t="str">
        <f t="shared" si="2"/>
        <v/>
      </c>
      <c r="AD44" s="12"/>
      <c r="AE44" s="3" t="str">
        <f t="shared" si="3"/>
        <v/>
      </c>
      <c r="AF44" s="12"/>
      <c r="AG44" s="12"/>
      <c r="AH44" s="55"/>
      <c r="AI44" s="58" t="str">
        <f t="shared" si="6"/>
        <v/>
      </c>
      <c r="AJ44" s="63" t="str">
        <f t="shared" si="7"/>
        <v/>
      </c>
      <c r="AK44" s="2" t="str">
        <f t="shared" si="8"/>
        <v/>
      </c>
      <c r="AL44" s="3" t="str">
        <f t="shared" si="9"/>
        <v/>
      </c>
      <c r="AM44" s="4" t="str">
        <f t="shared" si="10"/>
        <v/>
      </c>
      <c r="AN44" s="2" t="str">
        <f t="shared" si="11"/>
        <v/>
      </c>
      <c r="AO44" s="12"/>
      <c r="AP44" s="5" t="str">
        <f t="shared" si="12"/>
        <v/>
      </c>
      <c r="AQ44" s="28" t="str">
        <f t="shared" si="13"/>
        <v/>
      </c>
    </row>
    <row r="45" spans="1:43" ht="18.149999999999999" customHeight="1">
      <c r="A45" s="49"/>
      <c r="B45" s="49"/>
      <c r="C45" s="49"/>
      <c r="D45" s="49"/>
      <c r="E45" s="50"/>
      <c r="F45" s="27"/>
      <c r="G45" s="1" t="str">
        <f t="shared" si="4"/>
        <v/>
      </c>
      <c r="H45" s="1" t="str">
        <f t="shared" si="5"/>
        <v/>
      </c>
      <c r="I45" s="12"/>
      <c r="J45" s="12"/>
      <c r="K45" s="12"/>
      <c r="L45" s="12"/>
      <c r="M45" s="12"/>
      <c r="N45" s="12"/>
      <c r="O45" s="12"/>
      <c r="P45" s="2" t="str">
        <f t="shared" si="15"/>
        <v/>
      </c>
      <c r="Q45" s="12"/>
      <c r="R45" s="3" t="str">
        <f t="shared" si="16"/>
        <v/>
      </c>
      <c r="S45" s="12"/>
      <c r="T45" s="12"/>
      <c r="U45" s="55"/>
      <c r="V45" s="58" t="str">
        <f t="shared" si="14"/>
        <v/>
      </c>
      <c r="W45" s="56"/>
      <c r="X45" s="12"/>
      <c r="Y45" s="12"/>
      <c r="Z45" s="12"/>
      <c r="AA45" s="12"/>
      <c r="AB45" s="12"/>
      <c r="AC45" s="2" t="str">
        <f t="shared" si="2"/>
        <v/>
      </c>
      <c r="AD45" s="12"/>
      <c r="AE45" s="3" t="str">
        <f t="shared" si="3"/>
        <v/>
      </c>
      <c r="AF45" s="12"/>
      <c r="AG45" s="12"/>
      <c r="AH45" s="55"/>
      <c r="AI45" s="58" t="str">
        <f t="shared" si="6"/>
        <v/>
      </c>
      <c r="AJ45" s="63" t="str">
        <f t="shared" si="7"/>
        <v/>
      </c>
      <c r="AK45" s="2" t="str">
        <f t="shared" si="8"/>
        <v/>
      </c>
      <c r="AL45" s="3" t="str">
        <f t="shared" si="9"/>
        <v/>
      </c>
      <c r="AM45" s="4" t="str">
        <f t="shared" si="10"/>
        <v/>
      </c>
      <c r="AN45" s="2" t="str">
        <f t="shared" si="11"/>
        <v/>
      </c>
      <c r="AO45" s="12"/>
      <c r="AP45" s="5" t="str">
        <f t="shared" si="12"/>
        <v/>
      </c>
      <c r="AQ45" s="28" t="str">
        <f t="shared" si="13"/>
        <v/>
      </c>
    </row>
    <row r="46" spans="1:43" ht="18.149999999999999" customHeight="1">
      <c r="A46" s="49"/>
      <c r="B46" s="49"/>
      <c r="C46" s="49"/>
      <c r="D46" s="49"/>
      <c r="E46" s="50"/>
      <c r="F46" s="27"/>
      <c r="G46" s="1" t="str">
        <f t="shared" si="4"/>
        <v/>
      </c>
      <c r="H46" s="1" t="str">
        <f t="shared" si="5"/>
        <v/>
      </c>
      <c r="I46" s="12"/>
      <c r="J46" s="12"/>
      <c r="K46" s="12"/>
      <c r="L46" s="12"/>
      <c r="M46" s="12"/>
      <c r="N46" s="12"/>
      <c r="O46" s="12"/>
      <c r="P46" s="2" t="str">
        <f t="shared" si="15"/>
        <v/>
      </c>
      <c r="Q46" s="12"/>
      <c r="R46" s="3" t="str">
        <f t="shared" si="16"/>
        <v/>
      </c>
      <c r="S46" s="12"/>
      <c r="T46" s="12"/>
      <c r="U46" s="55"/>
      <c r="V46" s="58" t="str">
        <f t="shared" si="14"/>
        <v/>
      </c>
      <c r="W46" s="56"/>
      <c r="X46" s="12"/>
      <c r="Y46" s="12"/>
      <c r="Z46" s="12"/>
      <c r="AA46" s="12"/>
      <c r="AB46" s="12"/>
      <c r="AC46" s="2" t="str">
        <f t="shared" si="2"/>
        <v/>
      </c>
      <c r="AD46" s="12"/>
      <c r="AE46" s="3" t="str">
        <f t="shared" si="3"/>
        <v/>
      </c>
      <c r="AF46" s="12"/>
      <c r="AG46" s="12"/>
      <c r="AH46" s="55"/>
      <c r="AI46" s="58" t="str">
        <f t="shared" si="6"/>
        <v/>
      </c>
      <c r="AJ46" s="63" t="str">
        <f t="shared" si="7"/>
        <v/>
      </c>
      <c r="AK46" s="2" t="str">
        <f t="shared" si="8"/>
        <v/>
      </c>
      <c r="AL46" s="3" t="str">
        <f t="shared" si="9"/>
        <v/>
      </c>
      <c r="AM46" s="4" t="str">
        <f t="shared" si="10"/>
        <v/>
      </c>
      <c r="AN46" s="2" t="str">
        <f t="shared" si="11"/>
        <v/>
      </c>
      <c r="AO46" s="12"/>
      <c r="AP46" s="5" t="str">
        <f t="shared" si="12"/>
        <v/>
      </c>
      <c r="AQ46" s="28" t="str">
        <f t="shared" si="13"/>
        <v/>
      </c>
    </row>
    <row r="47" spans="1:43" ht="18.149999999999999" customHeight="1">
      <c r="A47" s="49"/>
      <c r="B47" s="49"/>
      <c r="C47" s="49"/>
      <c r="D47" s="49"/>
      <c r="E47" s="50"/>
      <c r="F47" s="27"/>
      <c r="G47" s="1" t="str">
        <f t="shared" si="4"/>
        <v/>
      </c>
      <c r="H47" s="1" t="str">
        <f t="shared" si="5"/>
        <v/>
      </c>
      <c r="I47" s="12"/>
      <c r="J47" s="12"/>
      <c r="K47" s="12"/>
      <c r="L47" s="12"/>
      <c r="M47" s="12"/>
      <c r="N47" s="12"/>
      <c r="O47" s="12"/>
      <c r="P47" s="2" t="str">
        <f t="shared" si="15"/>
        <v/>
      </c>
      <c r="Q47" s="12"/>
      <c r="R47" s="3" t="str">
        <f t="shared" si="16"/>
        <v/>
      </c>
      <c r="S47" s="12"/>
      <c r="T47" s="12"/>
      <c r="U47" s="55"/>
      <c r="V47" s="58" t="str">
        <f t="shared" si="14"/>
        <v/>
      </c>
      <c r="W47" s="56"/>
      <c r="X47" s="12"/>
      <c r="Y47" s="12"/>
      <c r="Z47" s="12"/>
      <c r="AA47" s="12"/>
      <c r="AB47" s="12"/>
      <c r="AC47" s="2" t="str">
        <f t="shared" si="2"/>
        <v/>
      </c>
      <c r="AD47" s="12"/>
      <c r="AE47" s="3" t="str">
        <f t="shared" si="3"/>
        <v/>
      </c>
      <c r="AF47" s="12"/>
      <c r="AG47" s="12"/>
      <c r="AH47" s="55"/>
      <c r="AI47" s="58" t="str">
        <f t="shared" si="6"/>
        <v/>
      </c>
      <c r="AJ47" s="63" t="str">
        <f t="shared" si="7"/>
        <v/>
      </c>
      <c r="AK47" s="2" t="str">
        <f t="shared" si="8"/>
        <v/>
      </c>
      <c r="AL47" s="3" t="str">
        <f t="shared" si="9"/>
        <v/>
      </c>
      <c r="AM47" s="4" t="str">
        <f t="shared" si="10"/>
        <v/>
      </c>
      <c r="AN47" s="2" t="str">
        <f t="shared" si="11"/>
        <v/>
      </c>
      <c r="AO47" s="12"/>
      <c r="AP47" s="5" t="str">
        <f t="shared" si="12"/>
        <v/>
      </c>
      <c r="AQ47" s="28" t="str">
        <f t="shared" si="13"/>
        <v/>
      </c>
    </row>
    <row r="48" spans="1:43" ht="18.149999999999999" customHeight="1">
      <c r="A48" s="49"/>
      <c r="B48" s="49"/>
      <c r="C48" s="49"/>
      <c r="D48" s="49"/>
      <c r="E48" s="50"/>
      <c r="F48" s="27"/>
      <c r="G48" s="1" t="str">
        <f t="shared" si="4"/>
        <v/>
      </c>
      <c r="H48" s="1" t="str">
        <f t="shared" si="5"/>
        <v/>
      </c>
      <c r="I48" s="12"/>
      <c r="J48" s="12"/>
      <c r="K48" s="12"/>
      <c r="L48" s="12"/>
      <c r="M48" s="12"/>
      <c r="N48" s="12"/>
      <c r="O48" s="12"/>
      <c r="P48" s="2" t="str">
        <f t="shared" si="15"/>
        <v/>
      </c>
      <c r="Q48" s="12"/>
      <c r="R48" s="3" t="str">
        <f t="shared" si="16"/>
        <v/>
      </c>
      <c r="S48" s="12"/>
      <c r="T48" s="12"/>
      <c r="U48" s="55"/>
      <c r="V48" s="58" t="str">
        <f t="shared" si="14"/>
        <v/>
      </c>
      <c r="W48" s="56"/>
      <c r="X48" s="12"/>
      <c r="Y48" s="12"/>
      <c r="Z48" s="12"/>
      <c r="AA48" s="12"/>
      <c r="AB48" s="12"/>
      <c r="AC48" s="2" t="str">
        <f t="shared" si="2"/>
        <v/>
      </c>
      <c r="AD48" s="12"/>
      <c r="AE48" s="3" t="str">
        <f t="shared" si="3"/>
        <v/>
      </c>
      <c r="AF48" s="12"/>
      <c r="AG48" s="12"/>
      <c r="AH48" s="55"/>
      <c r="AI48" s="58" t="str">
        <f t="shared" si="6"/>
        <v/>
      </c>
      <c r="AJ48" s="63" t="str">
        <f t="shared" si="7"/>
        <v/>
      </c>
      <c r="AK48" s="2" t="str">
        <f t="shared" si="8"/>
        <v/>
      </c>
      <c r="AL48" s="3" t="str">
        <f t="shared" si="9"/>
        <v/>
      </c>
      <c r="AM48" s="4" t="str">
        <f t="shared" si="10"/>
        <v/>
      </c>
      <c r="AN48" s="2" t="str">
        <f t="shared" si="11"/>
        <v/>
      </c>
      <c r="AO48" s="12"/>
      <c r="AP48" s="5" t="str">
        <f t="shared" si="12"/>
        <v/>
      </c>
      <c r="AQ48" s="28" t="str">
        <f t="shared" si="13"/>
        <v/>
      </c>
    </row>
    <row r="49" spans="1:43" ht="18.149999999999999" customHeight="1">
      <c r="A49" s="49"/>
      <c r="B49" s="49"/>
      <c r="C49" s="49"/>
      <c r="D49" s="49"/>
      <c r="E49" s="50"/>
      <c r="F49" s="27"/>
      <c r="G49" s="1" t="str">
        <f t="shared" si="4"/>
        <v/>
      </c>
      <c r="H49" s="1" t="str">
        <f t="shared" si="5"/>
        <v/>
      </c>
      <c r="I49" s="12"/>
      <c r="J49" s="12"/>
      <c r="K49" s="12"/>
      <c r="L49" s="12"/>
      <c r="M49" s="12"/>
      <c r="N49" s="12"/>
      <c r="O49" s="12"/>
      <c r="P49" s="2" t="str">
        <f t="shared" si="15"/>
        <v/>
      </c>
      <c r="Q49" s="12"/>
      <c r="R49" s="3" t="str">
        <f t="shared" si="16"/>
        <v/>
      </c>
      <c r="S49" s="12"/>
      <c r="T49" s="12"/>
      <c r="U49" s="55"/>
      <c r="V49" s="58" t="str">
        <f t="shared" si="14"/>
        <v/>
      </c>
      <c r="W49" s="56"/>
      <c r="X49" s="12"/>
      <c r="Y49" s="12"/>
      <c r="Z49" s="12"/>
      <c r="AA49" s="12"/>
      <c r="AB49" s="12"/>
      <c r="AC49" s="2" t="str">
        <f t="shared" si="2"/>
        <v/>
      </c>
      <c r="AD49" s="12"/>
      <c r="AE49" s="3" t="str">
        <f t="shared" si="3"/>
        <v/>
      </c>
      <c r="AF49" s="12"/>
      <c r="AG49" s="12"/>
      <c r="AH49" s="55"/>
      <c r="AI49" s="58" t="str">
        <f t="shared" si="6"/>
        <v/>
      </c>
      <c r="AJ49" s="63" t="str">
        <f t="shared" si="7"/>
        <v/>
      </c>
      <c r="AK49" s="2" t="str">
        <f t="shared" si="8"/>
        <v/>
      </c>
      <c r="AL49" s="3" t="str">
        <f t="shared" si="9"/>
        <v/>
      </c>
      <c r="AM49" s="4" t="str">
        <f t="shared" si="10"/>
        <v/>
      </c>
      <c r="AN49" s="2" t="str">
        <f t="shared" si="11"/>
        <v/>
      </c>
      <c r="AO49" s="12"/>
      <c r="AP49" s="5" t="str">
        <f t="shared" si="12"/>
        <v/>
      </c>
      <c r="AQ49" s="28" t="str">
        <f t="shared" si="13"/>
        <v/>
      </c>
    </row>
    <row r="50" spans="1:43" ht="18.149999999999999" customHeight="1">
      <c r="A50" s="49"/>
      <c r="B50" s="49"/>
      <c r="C50" s="49"/>
      <c r="D50" s="49"/>
      <c r="E50" s="50"/>
      <c r="F50" s="27"/>
      <c r="G50" s="1" t="str">
        <f t="shared" si="4"/>
        <v/>
      </c>
      <c r="H50" s="1" t="str">
        <f t="shared" si="5"/>
        <v/>
      </c>
      <c r="I50" s="12"/>
      <c r="J50" s="12"/>
      <c r="K50" s="12"/>
      <c r="L50" s="12"/>
      <c r="M50" s="12"/>
      <c r="N50" s="12"/>
      <c r="O50" s="12"/>
      <c r="P50" s="2" t="str">
        <f t="shared" si="15"/>
        <v/>
      </c>
      <c r="Q50" s="12"/>
      <c r="R50" s="3" t="str">
        <f t="shared" si="16"/>
        <v/>
      </c>
      <c r="S50" s="12"/>
      <c r="T50" s="12"/>
      <c r="U50" s="55"/>
      <c r="V50" s="58" t="str">
        <f t="shared" si="14"/>
        <v/>
      </c>
      <c r="W50" s="56"/>
      <c r="X50" s="12"/>
      <c r="Y50" s="12"/>
      <c r="Z50" s="12"/>
      <c r="AA50" s="12"/>
      <c r="AB50" s="12"/>
      <c r="AC50" s="2" t="str">
        <f t="shared" si="2"/>
        <v/>
      </c>
      <c r="AD50" s="12"/>
      <c r="AE50" s="3" t="str">
        <f t="shared" si="3"/>
        <v/>
      </c>
      <c r="AF50" s="12"/>
      <c r="AG50" s="12"/>
      <c r="AH50" s="55"/>
      <c r="AI50" s="58" t="str">
        <f t="shared" si="6"/>
        <v/>
      </c>
      <c r="AJ50" s="63" t="str">
        <f t="shared" si="7"/>
        <v/>
      </c>
      <c r="AK50" s="2" t="str">
        <f t="shared" si="8"/>
        <v/>
      </c>
      <c r="AL50" s="3" t="str">
        <f t="shared" si="9"/>
        <v/>
      </c>
      <c r="AM50" s="4" t="str">
        <f t="shared" si="10"/>
        <v/>
      </c>
      <c r="AN50" s="2" t="str">
        <f t="shared" si="11"/>
        <v/>
      </c>
      <c r="AO50" s="12"/>
      <c r="AP50" s="5" t="str">
        <f t="shared" si="12"/>
        <v/>
      </c>
      <c r="AQ50" s="28" t="str">
        <f t="shared" si="13"/>
        <v/>
      </c>
    </row>
    <row r="51" spans="1:43" ht="18.149999999999999" customHeight="1">
      <c r="A51" s="49"/>
      <c r="B51" s="49"/>
      <c r="C51" s="49"/>
      <c r="D51" s="49"/>
      <c r="E51" s="50"/>
      <c r="F51" s="27"/>
      <c r="G51" s="1" t="str">
        <f t="shared" si="4"/>
        <v/>
      </c>
      <c r="H51" s="1" t="str">
        <f t="shared" si="5"/>
        <v/>
      </c>
      <c r="I51" s="12"/>
      <c r="J51" s="12"/>
      <c r="K51" s="12"/>
      <c r="L51" s="12"/>
      <c r="M51" s="12"/>
      <c r="N51" s="12"/>
      <c r="O51" s="12"/>
      <c r="P51" s="2" t="str">
        <f t="shared" si="15"/>
        <v/>
      </c>
      <c r="Q51" s="12"/>
      <c r="R51" s="3" t="str">
        <f t="shared" si="16"/>
        <v/>
      </c>
      <c r="S51" s="12"/>
      <c r="T51" s="12"/>
      <c r="U51" s="55"/>
      <c r="V51" s="58" t="str">
        <f t="shared" si="14"/>
        <v/>
      </c>
      <c r="W51" s="56"/>
      <c r="X51" s="12"/>
      <c r="Y51" s="12"/>
      <c r="Z51" s="12"/>
      <c r="AA51" s="12"/>
      <c r="AB51" s="12"/>
      <c r="AC51" s="2" t="str">
        <f t="shared" si="2"/>
        <v/>
      </c>
      <c r="AD51" s="12"/>
      <c r="AE51" s="3" t="str">
        <f t="shared" si="3"/>
        <v/>
      </c>
      <c r="AF51" s="12"/>
      <c r="AG51" s="12"/>
      <c r="AH51" s="55"/>
      <c r="AI51" s="58" t="str">
        <f t="shared" si="6"/>
        <v/>
      </c>
      <c r="AJ51" s="63" t="str">
        <f t="shared" si="7"/>
        <v/>
      </c>
      <c r="AK51" s="2" t="str">
        <f t="shared" si="8"/>
        <v/>
      </c>
      <c r="AL51" s="3" t="str">
        <f t="shared" si="9"/>
        <v/>
      </c>
      <c r="AM51" s="4" t="str">
        <f t="shared" si="10"/>
        <v/>
      </c>
      <c r="AN51" s="2" t="str">
        <f t="shared" si="11"/>
        <v/>
      </c>
      <c r="AO51" s="12"/>
      <c r="AP51" s="5" t="str">
        <f t="shared" si="12"/>
        <v/>
      </c>
      <c r="AQ51" s="28" t="str">
        <f t="shared" si="13"/>
        <v/>
      </c>
    </row>
    <row r="52" spans="1:43" ht="18.149999999999999" customHeight="1">
      <c r="A52" s="49"/>
      <c r="B52" s="49"/>
      <c r="C52" s="49"/>
      <c r="D52" s="49"/>
      <c r="E52" s="50"/>
      <c r="F52" s="27"/>
      <c r="G52" s="1" t="str">
        <f t="shared" si="4"/>
        <v/>
      </c>
      <c r="H52" s="1" t="str">
        <f t="shared" si="5"/>
        <v/>
      </c>
      <c r="I52" s="12"/>
      <c r="J52" s="12"/>
      <c r="K52" s="12"/>
      <c r="L52" s="12"/>
      <c r="M52" s="12"/>
      <c r="N52" s="12"/>
      <c r="O52" s="12"/>
      <c r="P52" s="2" t="str">
        <f t="shared" si="15"/>
        <v/>
      </c>
      <c r="Q52" s="12"/>
      <c r="R52" s="3" t="str">
        <f t="shared" si="16"/>
        <v/>
      </c>
      <c r="S52" s="12"/>
      <c r="T52" s="12"/>
      <c r="U52" s="55"/>
      <c r="V52" s="58" t="str">
        <f t="shared" si="14"/>
        <v/>
      </c>
      <c r="W52" s="56"/>
      <c r="X52" s="12"/>
      <c r="Y52" s="12"/>
      <c r="Z52" s="12"/>
      <c r="AA52" s="12"/>
      <c r="AB52" s="12"/>
      <c r="AC52" s="2" t="str">
        <f t="shared" si="2"/>
        <v/>
      </c>
      <c r="AD52" s="12"/>
      <c r="AE52" s="3" t="str">
        <f t="shared" si="3"/>
        <v/>
      </c>
      <c r="AF52" s="12"/>
      <c r="AG52" s="12"/>
      <c r="AH52" s="55"/>
      <c r="AI52" s="58" t="str">
        <f t="shared" si="6"/>
        <v/>
      </c>
      <c r="AJ52" s="63" t="str">
        <f t="shared" si="7"/>
        <v/>
      </c>
      <c r="AK52" s="2" t="str">
        <f t="shared" si="8"/>
        <v/>
      </c>
      <c r="AL52" s="3" t="str">
        <f t="shared" si="9"/>
        <v/>
      </c>
      <c r="AM52" s="4" t="str">
        <f t="shared" si="10"/>
        <v/>
      </c>
      <c r="AN52" s="2" t="str">
        <f t="shared" si="11"/>
        <v/>
      </c>
      <c r="AO52" s="12"/>
      <c r="AP52" s="5" t="str">
        <f t="shared" si="12"/>
        <v/>
      </c>
      <c r="AQ52" s="28" t="str">
        <f t="shared" si="13"/>
        <v/>
      </c>
    </row>
    <row r="53" spans="1:43" ht="18.149999999999999" customHeight="1">
      <c r="A53" s="49"/>
      <c r="B53" s="49"/>
      <c r="C53" s="49"/>
      <c r="D53" s="49"/>
      <c r="E53" s="50"/>
      <c r="F53" s="27"/>
      <c r="G53" s="1" t="str">
        <f t="shared" si="4"/>
        <v/>
      </c>
      <c r="H53" s="1" t="str">
        <f t="shared" si="5"/>
        <v/>
      </c>
      <c r="I53" s="12"/>
      <c r="J53" s="12"/>
      <c r="K53" s="12"/>
      <c r="L53" s="12"/>
      <c r="M53" s="12"/>
      <c r="N53" s="12"/>
      <c r="O53" s="12"/>
      <c r="P53" s="2" t="str">
        <f t="shared" si="15"/>
        <v/>
      </c>
      <c r="Q53" s="12"/>
      <c r="R53" s="3" t="str">
        <f t="shared" si="16"/>
        <v/>
      </c>
      <c r="S53" s="12"/>
      <c r="T53" s="12"/>
      <c r="U53" s="55"/>
      <c r="V53" s="58" t="str">
        <f t="shared" si="14"/>
        <v/>
      </c>
      <c r="W53" s="56"/>
      <c r="X53" s="12"/>
      <c r="Y53" s="12"/>
      <c r="Z53" s="12"/>
      <c r="AA53" s="12"/>
      <c r="AB53" s="12"/>
      <c r="AC53" s="2" t="str">
        <f t="shared" si="2"/>
        <v/>
      </c>
      <c r="AD53" s="12"/>
      <c r="AE53" s="3" t="str">
        <f t="shared" si="3"/>
        <v/>
      </c>
      <c r="AF53" s="12"/>
      <c r="AG53" s="12"/>
      <c r="AH53" s="55"/>
      <c r="AI53" s="58" t="str">
        <f t="shared" si="6"/>
        <v/>
      </c>
      <c r="AJ53" s="63" t="str">
        <f t="shared" si="7"/>
        <v/>
      </c>
      <c r="AK53" s="2" t="str">
        <f t="shared" si="8"/>
        <v/>
      </c>
      <c r="AL53" s="3" t="str">
        <f t="shared" si="9"/>
        <v/>
      </c>
      <c r="AM53" s="4" t="str">
        <f t="shared" si="10"/>
        <v/>
      </c>
      <c r="AN53" s="2" t="str">
        <f t="shared" si="11"/>
        <v/>
      </c>
      <c r="AO53" s="12"/>
      <c r="AP53" s="5" t="str">
        <f t="shared" si="12"/>
        <v/>
      </c>
      <c r="AQ53" s="28" t="str">
        <f t="shared" si="13"/>
        <v/>
      </c>
    </row>
    <row r="54" spans="1:43" ht="18.149999999999999" customHeight="1" thickBot="1">
      <c r="A54" s="49"/>
      <c r="B54" s="49"/>
      <c r="C54" s="49"/>
      <c r="D54" s="49"/>
      <c r="E54" s="50"/>
      <c r="F54" s="29"/>
      <c r="G54" s="30" t="str">
        <f t="shared" si="4"/>
        <v/>
      </c>
      <c r="H54" s="30" t="str">
        <f t="shared" si="5"/>
        <v/>
      </c>
      <c r="I54" s="31"/>
      <c r="J54" s="31"/>
      <c r="K54" s="31"/>
      <c r="L54" s="31"/>
      <c r="M54" s="31"/>
      <c r="N54" s="31"/>
      <c r="O54" s="31"/>
      <c r="P54" s="32" t="str">
        <f t="shared" si="15"/>
        <v/>
      </c>
      <c r="Q54" s="31"/>
      <c r="R54" s="33" t="str">
        <f t="shared" si="16"/>
        <v/>
      </c>
      <c r="S54" s="31"/>
      <c r="T54" s="31"/>
      <c r="U54" s="34"/>
      <c r="V54" s="59" t="str">
        <f t="shared" si="14"/>
        <v/>
      </c>
      <c r="W54" s="31"/>
      <c r="X54" s="31"/>
      <c r="Y54" s="31"/>
      <c r="Z54" s="31"/>
      <c r="AA54" s="31"/>
      <c r="AB54" s="31"/>
      <c r="AC54" s="32" t="str">
        <f t="shared" si="2"/>
        <v/>
      </c>
      <c r="AD54" s="31"/>
      <c r="AE54" s="33" t="str">
        <f t="shared" si="3"/>
        <v/>
      </c>
      <c r="AF54" s="31"/>
      <c r="AG54" s="31"/>
      <c r="AH54" s="61"/>
      <c r="AI54" s="65" t="str">
        <f t="shared" si="6"/>
        <v/>
      </c>
      <c r="AJ54" s="64" t="str">
        <f t="shared" si="7"/>
        <v/>
      </c>
      <c r="AK54" s="32" t="str">
        <f t="shared" si="8"/>
        <v/>
      </c>
      <c r="AL54" s="33" t="str">
        <f t="shared" si="9"/>
        <v/>
      </c>
      <c r="AM54" s="35" t="str">
        <f t="shared" si="10"/>
        <v/>
      </c>
      <c r="AN54" s="32" t="str">
        <f t="shared" si="11"/>
        <v/>
      </c>
      <c r="AO54" s="31"/>
      <c r="AP54" s="36" t="str">
        <f t="shared" si="12"/>
        <v/>
      </c>
      <c r="AQ54" s="37" t="str">
        <f t="shared" si="13"/>
        <v/>
      </c>
    </row>
    <row r="55" spans="1:43" ht="18.149999999999999" customHeight="1">
      <c r="A55" s="111" t="s">
        <v>42</v>
      </c>
      <c r="B55" s="111"/>
      <c r="C55" s="111"/>
      <c r="D55" s="111"/>
      <c r="E55" s="111"/>
      <c r="F55" s="112"/>
      <c r="G55" s="22">
        <f>IF(G4="","",$G$4)</f>
        <v>135</v>
      </c>
      <c r="H55" s="22">
        <f>IF(H4="","",$H$4)</f>
        <v>17</v>
      </c>
      <c r="I55" s="23" t="str">
        <f t="shared" ref="I55:V55" si="17">IFERROR(AVERAGE(I5:I54),"")</f>
        <v/>
      </c>
      <c r="J55" s="23">
        <f t="shared" si="17"/>
        <v>69.400000000000006</v>
      </c>
      <c r="K55" s="23">
        <f t="shared" si="17"/>
        <v>68.7</v>
      </c>
      <c r="L55" s="23">
        <f t="shared" si="17"/>
        <v>67.45</v>
      </c>
      <c r="M55" s="23" t="str">
        <f t="shared" si="17"/>
        <v/>
      </c>
      <c r="N55" s="23" t="str">
        <f t="shared" si="17"/>
        <v/>
      </c>
      <c r="O55" s="23" t="str">
        <f t="shared" si="17"/>
        <v/>
      </c>
      <c r="P55" s="23">
        <f t="shared" si="17"/>
        <v>68.516666666666652</v>
      </c>
      <c r="Q55" s="23" t="str">
        <f t="shared" si="17"/>
        <v/>
      </c>
      <c r="R55" s="23">
        <f t="shared" si="17"/>
        <v>68.516666666666652</v>
      </c>
      <c r="S55" s="23" t="str">
        <f t="shared" si="17"/>
        <v/>
      </c>
      <c r="T55" s="23" t="str">
        <f t="shared" si="17"/>
        <v/>
      </c>
      <c r="U55" s="24">
        <f>IFERROR(SUM(U5:U54),"")</f>
        <v>0</v>
      </c>
      <c r="V55" s="23">
        <f t="shared" si="17"/>
        <v>100</v>
      </c>
      <c r="W55" s="23" t="str">
        <f t="shared" ref="W55:AG55" si="18">IFERROR(AVERAGE(W5:W54),"")</f>
        <v/>
      </c>
      <c r="X55" s="23" t="str">
        <f t="shared" si="18"/>
        <v/>
      </c>
      <c r="Y55" s="23" t="str">
        <f t="shared" si="18"/>
        <v/>
      </c>
      <c r="Z55" s="23" t="str">
        <f t="shared" si="18"/>
        <v/>
      </c>
      <c r="AA55" s="23" t="str">
        <f t="shared" si="18"/>
        <v/>
      </c>
      <c r="AB55" s="23" t="str">
        <f t="shared" si="18"/>
        <v/>
      </c>
      <c r="AC55" s="23" t="str">
        <f t="shared" si="18"/>
        <v/>
      </c>
      <c r="AD55" s="23" t="str">
        <f t="shared" si="18"/>
        <v/>
      </c>
      <c r="AE55" s="23" t="str">
        <f t="shared" si="18"/>
        <v/>
      </c>
      <c r="AF55" s="23" t="str">
        <f t="shared" si="18"/>
        <v/>
      </c>
      <c r="AG55" s="23" t="str">
        <f t="shared" si="18"/>
        <v/>
      </c>
      <c r="AH55" s="24">
        <f>IFERROR(SUM(AH5:AH54),"")</f>
        <v>0</v>
      </c>
      <c r="AI55" s="23" t="str">
        <f t="shared" ref="AI55" si="19">IFERROR(AVERAGE(AI5:AI54),"")</f>
        <v/>
      </c>
      <c r="AJ55" s="23">
        <f t="shared" ref="AJ55" si="20">IFERROR(AVERAGE(AJ5:AJ54),"")</f>
        <v>68.516666666666652</v>
      </c>
      <c r="AK55" s="23" t="str">
        <f t="shared" ref="AK55" si="21">IFERROR(AVERAGE(AK5:AK54),"")</f>
        <v/>
      </c>
      <c r="AL55" s="23">
        <f t="shared" ref="AL55" si="22">IFERROR(AVERAGE(AL5:AL54),"")</f>
        <v>68.516666666666652</v>
      </c>
      <c r="AM55" s="24">
        <f>IF(AL55&lt;=30,2,IF(AL55&lt;=60,3,IF(AL55&lt;=80,4,IF(AL55&lt;=100,5,""))))</f>
        <v>4</v>
      </c>
      <c r="AN55" s="23" t="str">
        <f>IFERROR(AVERAGE(AN5:AN54),"")</f>
        <v/>
      </c>
      <c r="AO55" s="23" t="str">
        <f>IFERROR(AVERAGE(AO5:AO54),"")</f>
        <v/>
      </c>
      <c r="AP55" s="24">
        <f>IFERROR(SUM(AP5:AP54),"")</f>
        <v>0</v>
      </c>
      <c r="AQ55" s="23">
        <f t="shared" ref="AQ55" si="23">IFERROR(AVERAGE(AQ5:AQ54),"")</f>
        <v>100</v>
      </c>
    </row>
    <row r="56" spans="1:43" ht="18.149999999999999" customHeight="1">
      <c r="A56" s="108"/>
      <c r="B56" s="108"/>
      <c r="C56" s="108"/>
      <c r="D56" s="108"/>
      <c r="E56" s="108"/>
      <c r="F56" s="108"/>
      <c r="G56" s="108"/>
      <c r="H56" s="108"/>
      <c r="I56" s="108"/>
      <c r="J56" s="108"/>
      <c r="K56" s="108"/>
      <c r="L56" s="108"/>
      <c r="M56" s="108"/>
      <c r="N56" s="108"/>
      <c r="O56" s="108"/>
      <c r="P56" s="108"/>
      <c r="Q56" s="108"/>
      <c r="R56" s="108"/>
      <c r="S56" s="108"/>
      <c r="T56" s="108"/>
      <c r="U56" s="108"/>
      <c r="V56" s="108"/>
      <c r="W56" s="108"/>
      <c r="X56" s="108"/>
      <c r="Y56" s="108"/>
      <c r="Z56" s="108"/>
      <c r="AA56" s="108"/>
      <c r="AB56" s="108"/>
      <c r="AC56" s="108"/>
      <c r="AD56" s="108"/>
      <c r="AE56" s="108"/>
      <c r="AF56" s="108"/>
      <c r="AG56" s="108"/>
      <c r="AH56" s="108"/>
      <c r="AI56" s="108"/>
      <c r="AJ56" s="108"/>
      <c r="AK56" s="108"/>
      <c r="AL56" s="108"/>
      <c r="AM56" s="108"/>
      <c r="AN56" s="108"/>
      <c r="AO56" s="108"/>
    </row>
    <row r="57" spans="1:43" ht="18.149999999999999" customHeight="1">
      <c r="A57" s="79" t="s">
        <v>13</v>
      </c>
      <c r="B57" s="80"/>
      <c r="C57" s="80"/>
      <c r="D57" s="80"/>
      <c r="E57" s="80"/>
      <c r="F57" s="81"/>
      <c r="G57" s="97" t="s">
        <v>25</v>
      </c>
      <c r="H57" s="98"/>
      <c r="I57" s="6">
        <f>COUNTIFS(I5:I54,"&gt;80",I5:I54,"&lt;=100")</f>
        <v>0</v>
      </c>
      <c r="J57" s="6">
        <f t="shared" ref="J57:AK57" si="24">COUNTIFS(J5:J54,"&gt;80",J5:J54,"&lt;=100")</f>
        <v>8</v>
      </c>
      <c r="K57" s="6">
        <f t="shared" si="24"/>
        <v>6</v>
      </c>
      <c r="L57" s="6">
        <f t="shared" si="24"/>
        <v>6</v>
      </c>
      <c r="M57" s="6">
        <f t="shared" si="24"/>
        <v>0</v>
      </c>
      <c r="N57" s="6">
        <f t="shared" si="24"/>
        <v>0</v>
      </c>
      <c r="O57" s="6">
        <f t="shared" si="24"/>
        <v>0</v>
      </c>
      <c r="P57" s="6">
        <f t="shared" si="24"/>
        <v>7</v>
      </c>
      <c r="Q57" s="6">
        <f t="shared" si="24"/>
        <v>0</v>
      </c>
      <c r="R57" s="6">
        <f t="shared" si="24"/>
        <v>7</v>
      </c>
      <c r="S57" s="6">
        <f t="shared" si="24"/>
        <v>0</v>
      </c>
      <c r="T57" s="6">
        <f t="shared" si="24"/>
        <v>0</v>
      </c>
      <c r="U57" s="71"/>
      <c r="V57" s="71"/>
      <c r="W57" s="6">
        <f t="shared" ref="W57:AG57" si="25">COUNTIFS(W5:W54,"&gt;80",W5:W54,"&lt;=100")</f>
        <v>0</v>
      </c>
      <c r="X57" s="6">
        <f t="shared" si="25"/>
        <v>0</v>
      </c>
      <c r="Y57" s="6">
        <f t="shared" si="25"/>
        <v>0</v>
      </c>
      <c r="Z57" s="6">
        <f t="shared" si="25"/>
        <v>0</v>
      </c>
      <c r="AA57" s="6">
        <f t="shared" si="25"/>
        <v>0</v>
      </c>
      <c r="AB57" s="6">
        <f t="shared" si="25"/>
        <v>0</v>
      </c>
      <c r="AC57" s="6">
        <f t="shared" si="25"/>
        <v>0</v>
      </c>
      <c r="AD57" s="6">
        <f t="shared" si="25"/>
        <v>0</v>
      </c>
      <c r="AE57" s="6">
        <f t="shared" si="25"/>
        <v>0</v>
      </c>
      <c r="AF57" s="6">
        <f t="shared" si="25"/>
        <v>0</v>
      </c>
      <c r="AG57" s="6">
        <f t="shared" si="25"/>
        <v>0</v>
      </c>
      <c r="AH57" s="71"/>
      <c r="AI57" s="71"/>
      <c r="AJ57" s="6">
        <f t="shared" si="24"/>
        <v>7</v>
      </c>
      <c r="AK57" s="6">
        <f t="shared" si="24"/>
        <v>0</v>
      </c>
      <c r="AL57" s="6">
        <f>COUNTIFS(AL5:AL54,"&gt;80",AL5:AL54,"&lt;=100")</f>
        <v>7</v>
      </c>
      <c r="AM57" s="6"/>
      <c r="AN57" s="6">
        <f t="shared" ref="AN57:AO57" si="26">COUNTIFS(AN5:AN54,"&gt;80",AN5:AN54,"&lt;=100")</f>
        <v>0</v>
      </c>
      <c r="AO57" s="6">
        <f t="shared" si="26"/>
        <v>0</v>
      </c>
      <c r="AP57" s="71"/>
      <c r="AQ57" s="71"/>
    </row>
    <row r="58" spans="1:43" ht="18.149999999999999" customHeight="1">
      <c r="A58" s="82"/>
      <c r="B58" s="83"/>
      <c r="C58" s="83"/>
      <c r="D58" s="83"/>
      <c r="E58" s="83"/>
      <c r="F58" s="84"/>
      <c r="G58" s="97" t="s">
        <v>26</v>
      </c>
      <c r="H58" s="98"/>
      <c r="I58" s="6">
        <f t="shared" ref="I58:AL58" si="27">COUNTIFS(I5:I54,"&gt;60",I5:I54,"&lt;=80")</f>
        <v>0</v>
      </c>
      <c r="J58" s="6">
        <f t="shared" si="27"/>
        <v>6</v>
      </c>
      <c r="K58" s="6">
        <f t="shared" si="27"/>
        <v>7</v>
      </c>
      <c r="L58" s="6">
        <f t="shared" si="27"/>
        <v>7</v>
      </c>
      <c r="M58" s="6">
        <f t="shared" si="27"/>
        <v>0</v>
      </c>
      <c r="N58" s="6">
        <f t="shared" si="27"/>
        <v>0</v>
      </c>
      <c r="O58" s="6">
        <f t="shared" si="27"/>
        <v>0</v>
      </c>
      <c r="P58" s="6">
        <f t="shared" si="27"/>
        <v>6</v>
      </c>
      <c r="Q58" s="6">
        <f t="shared" si="27"/>
        <v>0</v>
      </c>
      <c r="R58" s="6">
        <f t="shared" si="27"/>
        <v>6</v>
      </c>
      <c r="S58" s="6">
        <f t="shared" si="27"/>
        <v>0</v>
      </c>
      <c r="T58" s="6">
        <f t="shared" si="27"/>
        <v>0</v>
      </c>
      <c r="U58" s="72"/>
      <c r="V58" s="72"/>
      <c r="W58" s="6">
        <f t="shared" ref="W58:AG58" si="28">COUNTIFS(W5:W54,"&gt;60",W5:W54,"&lt;=80")</f>
        <v>0</v>
      </c>
      <c r="X58" s="6">
        <f t="shared" si="28"/>
        <v>0</v>
      </c>
      <c r="Y58" s="6">
        <f t="shared" si="28"/>
        <v>0</v>
      </c>
      <c r="Z58" s="6">
        <f t="shared" si="28"/>
        <v>0</v>
      </c>
      <c r="AA58" s="6">
        <f t="shared" si="28"/>
        <v>0</v>
      </c>
      <c r="AB58" s="6">
        <f t="shared" si="28"/>
        <v>0</v>
      </c>
      <c r="AC58" s="6">
        <f t="shared" si="28"/>
        <v>0</v>
      </c>
      <c r="AD58" s="6">
        <f t="shared" si="28"/>
        <v>0</v>
      </c>
      <c r="AE58" s="6">
        <f t="shared" si="28"/>
        <v>0</v>
      </c>
      <c r="AF58" s="6">
        <f t="shared" si="28"/>
        <v>0</v>
      </c>
      <c r="AG58" s="6">
        <f t="shared" si="28"/>
        <v>0</v>
      </c>
      <c r="AH58" s="72"/>
      <c r="AI58" s="72"/>
      <c r="AJ58" s="6">
        <f t="shared" si="27"/>
        <v>6</v>
      </c>
      <c r="AK58" s="6">
        <f t="shared" si="27"/>
        <v>0</v>
      </c>
      <c r="AL58" s="6">
        <f t="shared" si="27"/>
        <v>6</v>
      </c>
      <c r="AM58" s="6"/>
      <c r="AN58" s="6">
        <f t="shared" ref="AN58:AO58" si="29">COUNTIFS(AN5:AN54,"&gt;60",AN5:AN54,"&lt;=80")</f>
        <v>0</v>
      </c>
      <c r="AO58" s="6">
        <f t="shared" si="29"/>
        <v>0</v>
      </c>
      <c r="AP58" s="72"/>
      <c r="AQ58" s="72"/>
    </row>
    <row r="59" spans="1:43" ht="18.149999999999999" customHeight="1">
      <c r="A59" s="82"/>
      <c r="B59" s="83"/>
      <c r="C59" s="83"/>
      <c r="D59" s="83"/>
      <c r="E59" s="83"/>
      <c r="F59" s="84"/>
      <c r="G59" s="97" t="s">
        <v>16</v>
      </c>
      <c r="H59" s="98"/>
      <c r="I59" s="6">
        <f t="shared" ref="I59:AL59" si="30">COUNTIFS(I5:I54,"&gt;30",I5:I54,"&lt;=60")</f>
        <v>0</v>
      </c>
      <c r="J59" s="6">
        <f t="shared" si="30"/>
        <v>6</v>
      </c>
      <c r="K59" s="6">
        <f t="shared" si="30"/>
        <v>7</v>
      </c>
      <c r="L59" s="6">
        <f t="shared" si="30"/>
        <v>7</v>
      </c>
      <c r="M59" s="6">
        <f t="shared" si="30"/>
        <v>0</v>
      </c>
      <c r="N59" s="6">
        <f t="shared" si="30"/>
        <v>0</v>
      </c>
      <c r="O59" s="6">
        <f t="shared" si="30"/>
        <v>0</v>
      </c>
      <c r="P59" s="6">
        <f t="shared" si="30"/>
        <v>7</v>
      </c>
      <c r="Q59" s="6">
        <f t="shared" si="30"/>
        <v>0</v>
      </c>
      <c r="R59" s="6">
        <f t="shared" si="30"/>
        <v>7</v>
      </c>
      <c r="S59" s="6">
        <f t="shared" si="30"/>
        <v>0</v>
      </c>
      <c r="T59" s="6">
        <f t="shared" si="30"/>
        <v>0</v>
      </c>
      <c r="U59" s="72"/>
      <c r="V59" s="72"/>
      <c r="W59" s="6">
        <f t="shared" ref="W59:AG59" si="31">COUNTIFS(W5:W54,"&gt;30",W5:W54,"&lt;=60")</f>
        <v>0</v>
      </c>
      <c r="X59" s="6">
        <f t="shared" si="31"/>
        <v>0</v>
      </c>
      <c r="Y59" s="6">
        <f t="shared" si="31"/>
        <v>0</v>
      </c>
      <c r="Z59" s="6">
        <f t="shared" si="31"/>
        <v>0</v>
      </c>
      <c r="AA59" s="6">
        <f t="shared" si="31"/>
        <v>0</v>
      </c>
      <c r="AB59" s="6">
        <f t="shared" si="31"/>
        <v>0</v>
      </c>
      <c r="AC59" s="6">
        <f t="shared" si="31"/>
        <v>0</v>
      </c>
      <c r="AD59" s="6">
        <f t="shared" si="31"/>
        <v>0</v>
      </c>
      <c r="AE59" s="6">
        <f t="shared" si="31"/>
        <v>0</v>
      </c>
      <c r="AF59" s="6">
        <f t="shared" si="31"/>
        <v>0</v>
      </c>
      <c r="AG59" s="6">
        <f t="shared" si="31"/>
        <v>0</v>
      </c>
      <c r="AH59" s="72"/>
      <c r="AI59" s="72"/>
      <c r="AJ59" s="6">
        <f t="shared" si="30"/>
        <v>7</v>
      </c>
      <c r="AK59" s="6">
        <f t="shared" si="30"/>
        <v>0</v>
      </c>
      <c r="AL59" s="6">
        <f t="shared" si="30"/>
        <v>7</v>
      </c>
      <c r="AM59" s="6"/>
      <c r="AN59" s="6">
        <f t="shared" ref="AN59:AO59" si="32">COUNTIFS(AN5:AN54,"&gt;30",AN5:AN54,"&lt;=60")</f>
        <v>0</v>
      </c>
      <c r="AO59" s="6">
        <f t="shared" si="32"/>
        <v>0</v>
      </c>
      <c r="AP59" s="72"/>
      <c r="AQ59" s="72"/>
    </row>
    <row r="60" spans="1:43" ht="18.149999999999999" customHeight="1">
      <c r="A60" s="82"/>
      <c r="B60" s="83"/>
      <c r="C60" s="83"/>
      <c r="D60" s="83"/>
      <c r="E60" s="83"/>
      <c r="F60" s="84"/>
      <c r="G60" s="97" t="s">
        <v>15</v>
      </c>
      <c r="H60" s="98"/>
      <c r="I60" s="6">
        <f t="shared" ref="I60:AL60" si="33">COUNTIFS(I5:I54,"&gt;=0",I5:I54,"&lt;=30")</f>
        <v>0</v>
      </c>
      <c r="J60" s="6">
        <f t="shared" si="33"/>
        <v>0</v>
      </c>
      <c r="K60" s="6">
        <f t="shared" si="33"/>
        <v>0</v>
      </c>
      <c r="L60" s="6">
        <f t="shared" si="33"/>
        <v>0</v>
      </c>
      <c r="M60" s="6">
        <f t="shared" si="33"/>
        <v>0</v>
      </c>
      <c r="N60" s="6">
        <f t="shared" si="33"/>
        <v>0</v>
      </c>
      <c r="O60" s="6">
        <f t="shared" si="33"/>
        <v>0</v>
      </c>
      <c r="P60" s="6">
        <f t="shared" si="33"/>
        <v>0</v>
      </c>
      <c r="Q60" s="6">
        <f t="shared" si="33"/>
        <v>0</v>
      </c>
      <c r="R60" s="6">
        <f t="shared" si="33"/>
        <v>0</v>
      </c>
      <c r="S60" s="6">
        <f t="shared" si="33"/>
        <v>0</v>
      </c>
      <c r="T60" s="6">
        <f t="shared" si="33"/>
        <v>0</v>
      </c>
      <c r="U60" s="72"/>
      <c r="V60" s="72"/>
      <c r="W60" s="6">
        <f t="shared" ref="W60:AG60" si="34">COUNTIFS(W5:W54,"&gt;=0",W5:W54,"&lt;=30")</f>
        <v>0</v>
      </c>
      <c r="X60" s="6">
        <f t="shared" si="34"/>
        <v>0</v>
      </c>
      <c r="Y60" s="6">
        <f t="shared" si="34"/>
        <v>0</v>
      </c>
      <c r="Z60" s="6">
        <f t="shared" si="34"/>
        <v>0</v>
      </c>
      <c r="AA60" s="6">
        <f t="shared" si="34"/>
        <v>0</v>
      </c>
      <c r="AB60" s="6">
        <f t="shared" si="34"/>
        <v>0</v>
      </c>
      <c r="AC60" s="6">
        <f t="shared" si="34"/>
        <v>0</v>
      </c>
      <c r="AD60" s="6">
        <f t="shared" si="34"/>
        <v>0</v>
      </c>
      <c r="AE60" s="6">
        <f t="shared" si="34"/>
        <v>0</v>
      </c>
      <c r="AF60" s="6">
        <f t="shared" si="34"/>
        <v>0</v>
      </c>
      <c r="AG60" s="6">
        <f t="shared" si="34"/>
        <v>0</v>
      </c>
      <c r="AH60" s="72"/>
      <c r="AI60" s="72"/>
      <c r="AJ60" s="6">
        <f t="shared" si="33"/>
        <v>0</v>
      </c>
      <c r="AK60" s="6">
        <f t="shared" si="33"/>
        <v>0</v>
      </c>
      <c r="AL60" s="6">
        <f t="shared" si="33"/>
        <v>0</v>
      </c>
      <c r="AM60" s="6"/>
      <c r="AN60" s="6">
        <f t="shared" ref="AN60:AO60" si="35">COUNTIFS(AN5:AN54,"&gt;=0",AN5:AN54,"&lt;=30")</f>
        <v>0</v>
      </c>
      <c r="AO60" s="6">
        <f t="shared" si="35"/>
        <v>0</v>
      </c>
      <c r="AP60" s="72"/>
      <c r="AQ60" s="72"/>
    </row>
    <row r="61" spans="1:43" ht="18.149999999999999" customHeight="1">
      <c r="A61" s="85"/>
      <c r="B61" s="86"/>
      <c r="C61" s="86"/>
      <c r="D61" s="86"/>
      <c r="E61" s="86"/>
      <c r="F61" s="87"/>
      <c r="G61" s="99" t="s">
        <v>10</v>
      </c>
      <c r="H61" s="100"/>
      <c r="I61" s="7">
        <f>SUM(I57:I60)</f>
        <v>0</v>
      </c>
      <c r="J61" s="7">
        <f t="shared" ref="J61:AL61" si="36">SUM(J57:J60)</f>
        <v>20</v>
      </c>
      <c r="K61" s="7">
        <f t="shared" si="36"/>
        <v>20</v>
      </c>
      <c r="L61" s="7">
        <f t="shared" si="36"/>
        <v>20</v>
      </c>
      <c r="M61" s="7">
        <f t="shared" si="36"/>
        <v>0</v>
      </c>
      <c r="N61" s="7">
        <f t="shared" si="36"/>
        <v>0</v>
      </c>
      <c r="O61" s="7">
        <f t="shared" si="36"/>
        <v>0</v>
      </c>
      <c r="P61" s="7">
        <f t="shared" si="36"/>
        <v>20</v>
      </c>
      <c r="Q61" s="7">
        <f t="shared" si="36"/>
        <v>0</v>
      </c>
      <c r="R61" s="7">
        <f t="shared" si="36"/>
        <v>20</v>
      </c>
      <c r="S61" s="7">
        <f t="shared" si="36"/>
        <v>0</v>
      </c>
      <c r="T61" s="7">
        <f t="shared" si="36"/>
        <v>0</v>
      </c>
      <c r="U61" s="72"/>
      <c r="V61" s="72"/>
      <c r="W61" s="7">
        <f t="shared" ref="W61:AG61" si="37">SUM(W57:W60)</f>
        <v>0</v>
      </c>
      <c r="X61" s="7">
        <f t="shared" si="37"/>
        <v>0</v>
      </c>
      <c r="Y61" s="7">
        <f t="shared" si="37"/>
        <v>0</v>
      </c>
      <c r="Z61" s="7">
        <f t="shared" si="37"/>
        <v>0</v>
      </c>
      <c r="AA61" s="7">
        <f t="shared" si="37"/>
        <v>0</v>
      </c>
      <c r="AB61" s="7">
        <f t="shared" si="37"/>
        <v>0</v>
      </c>
      <c r="AC61" s="7">
        <f t="shared" si="37"/>
        <v>0</v>
      </c>
      <c r="AD61" s="7">
        <f t="shared" si="37"/>
        <v>0</v>
      </c>
      <c r="AE61" s="7">
        <f t="shared" si="37"/>
        <v>0</v>
      </c>
      <c r="AF61" s="7">
        <f t="shared" si="37"/>
        <v>0</v>
      </c>
      <c r="AG61" s="7">
        <f t="shared" si="37"/>
        <v>0</v>
      </c>
      <c r="AH61" s="72"/>
      <c r="AI61" s="72"/>
      <c r="AJ61" s="7">
        <f t="shared" si="36"/>
        <v>20</v>
      </c>
      <c r="AK61" s="7">
        <f t="shared" si="36"/>
        <v>0</v>
      </c>
      <c r="AL61" s="7">
        <f t="shared" si="36"/>
        <v>20</v>
      </c>
      <c r="AM61" s="7"/>
      <c r="AN61" s="7">
        <f t="shared" ref="AN61:AO61" si="38">SUM(AN57:AN60)</f>
        <v>0</v>
      </c>
      <c r="AO61" s="7">
        <f t="shared" si="38"/>
        <v>0</v>
      </c>
      <c r="AP61" s="72"/>
      <c r="AQ61" s="72"/>
    </row>
    <row r="62" spans="1:43" ht="18.149999999999999" customHeight="1">
      <c r="A62" s="88" t="s">
        <v>11</v>
      </c>
      <c r="B62" s="89"/>
      <c r="C62" s="89"/>
      <c r="D62" s="89"/>
      <c r="E62" s="89"/>
      <c r="F62" s="90"/>
      <c r="G62" s="77" t="str">
        <f>G57</f>
        <v>(80-100]</v>
      </c>
      <c r="H62" s="78"/>
      <c r="I62" s="8" t="str">
        <f>IFERROR(I57*100/I61,"")</f>
        <v/>
      </c>
      <c r="J62" s="8">
        <f t="shared" ref="J62:AL62" si="39">IFERROR(J57*100/J61,"")</f>
        <v>40</v>
      </c>
      <c r="K62" s="8">
        <f t="shared" si="39"/>
        <v>30</v>
      </c>
      <c r="L62" s="8">
        <f t="shared" si="39"/>
        <v>30</v>
      </c>
      <c r="M62" s="8" t="str">
        <f t="shared" si="39"/>
        <v/>
      </c>
      <c r="N62" s="8" t="str">
        <f t="shared" si="39"/>
        <v/>
      </c>
      <c r="O62" s="8" t="str">
        <f t="shared" si="39"/>
        <v/>
      </c>
      <c r="P62" s="8">
        <f t="shared" si="39"/>
        <v>35</v>
      </c>
      <c r="Q62" s="8" t="str">
        <f t="shared" si="39"/>
        <v/>
      </c>
      <c r="R62" s="8">
        <f t="shared" si="39"/>
        <v>35</v>
      </c>
      <c r="S62" s="8" t="str">
        <f t="shared" si="39"/>
        <v/>
      </c>
      <c r="T62" s="8" t="str">
        <f t="shared" si="39"/>
        <v/>
      </c>
      <c r="U62" s="72"/>
      <c r="V62" s="72"/>
      <c r="W62" s="8" t="str">
        <f t="shared" ref="W62:AG62" si="40">IFERROR(W57*100/W61,"")</f>
        <v/>
      </c>
      <c r="X62" s="8" t="str">
        <f t="shared" si="40"/>
        <v/>
      </c>
      <c r="Y62" s="8" t="str">
        <f t="shared" si="40"/>
        <v/>
      </c>
      <c r="Z62" s="8" t="str">
        <f t="shared" si="40"/>
        <v/>
      </c>
      <c r="AA62" s="8" t="str">
        <f t="shared" si="40"/>
        <v/>
      </c>
      <c r="AB62" s="8" t="str">
        <f t="shared" si="40"/>
        <v/>
      </c>
      <c r="AC62" s="8" t="str">
        <f t="shared" si="40"/>
        <v/>
      </c>
      <c r="AD62" s="8" t="str">
        <f t="shared" si="40"/>
        <v/>
      </c>
      <c r="AE62" s="8" t="str">
        <f t="shared" si="40"/>
        <v/>
      </c>
      <c r="AF62" s="8" t="str">
        <f t="shared" si="40"/>
        <v/>
      </c>
      <c r="AG62" s="8" t="str">
        <f t="shared" si="40"/>
        <v/>
      </c>
      <c r="AH62" s="72"/>
      <c r="AI62" s="72"/>
      <c r="AJ62" s="8">
        <f t="shared" si="39"/>
        <v>35</v>
      </c>
      <c r="AK62" s="8" t="str">
        <f t="shared" si="39"/>
        <v/>
      </c>
      <c r="AL62" s="8">
        <f t="shared" si="39"/>
        <v>35</v>
      </c>
      <c r="AM62" s="8"/>
      <c r="AN62" s="8" t="str">
        <f t="shared" ref="AN62:AO62" si="41">IFERROR(AN57*100/AN61,"")</f>
        <v/>
      </c>
      <c r="AO62" s="8" t="str">
        <f t="shared" si="41"/>
        <v/>
      </c>
      <c r="AP62" s="72"/>
      <c r="AQ62" s="72"/>
    </row>
    <row r="63" spans="1:43" ht="18.149999999999999" customHeight="1">
      <c r="A63" s="91"/>
      <c r="B63" s="92"/>
      <c r="C63" s="92"/>
      <c r="D63" s="92"/>
      <c r="E63" s="92"/>
      <c r="F63" s="93"/>
      <c r="G63" s="77" t="str">
        <f>G58</f>
        <v>(60-80]</v>
      </c>
      <c r="H63" s="78"/>
      <c r="I63" s="8" t="str">
        <f>IFERROR(I58*100/I61,"")</f>
        <v/>
      </c>
      <c r="J63" s="8">
        <f t="shared" ref="J63:AL63" si="42">IFERROR(J58*100/J61,"")</f>
        <v>30</v>
      </c>
      <c r="K63" s="8">
        <f t="shared" si="42"/>
        <v>35</v>
      </c>
      <c r="L63" s="8">
        <f t="shared" si="42"/>
        <v>35</v>
      </c>
      <c r="M63" s="8" t="str">
        <f t="shared" si="42"/>
        <v/>
      </c>
      <c r="N63" s="8" t="str">
        <f t="shared" si="42"/>
        <v/>
      </c>
      <c r="O63" s="8" t="str">
        <f t="shared" si="42"/>
        <v/>
      </c>
      <c r="P63" s="8">
        <f t="shared" si="42"/>
        <v>30</v>
      </c>
      <c r="Q63" s="8" t="str">
        <f t="shared" si="42"/>
        <v/>
      </c>
      <c r="R63" s="8">
        <f t="shared" si="42"/>
        <v>30</v>
      </c>
      <c r="S63" s="8" t="str">
        <f t="shared" si="42"/>
        <v/>
      </c>
      <c r="T63" s="8" t="str">
        <f t="shared" si="42"/>
        <v/>
      </c>
      <c r="U63" s="72"/>
      <c r="V63" s="72"/>
      <c r="W63" s="8" t="str">
        <f t="shared" ref="W63:AG63" si="43">IFERROR(W58*100/W61,"")</f>
        <v/>
      </c>
      <c r="X63" s="8" t="str">
        <f t="shared" si="43"/>
        <v/>
      </c>
      <c r="Y63" s="8" t="str">
        <f t="shared" si="43"/>
        <v/>
      </c>
      <c r="Z63" s="8" t="str">
        <f t="shared" si="43"/>
        <v/>
      </c>
      <c r="AA63" s="8" t="str">
        <f t="shared" si="43"/>
        <v/>
      </c>
      <c r="AB63" s="8" t="str">
        <f t="shared" si="43"/>
        <v/>
      </c>
      <c r="AC63" s="8" t="str">
        <f t="shared" si="43"/>
        <v/>
      </c>
      <c r="AD63" s="8" t="str">
        <f t="shared" si="43"/>
        <v/>
      </c>
      <c r="AE63" s="8" t="str">
        <f t="shared" si="43"/>
        <v/>
      </c>
      <c r="AF63" s="8" t="str">
        <f t="shared" si="43"/>
        <v/>
      </c>
      <c r="AG63" s="8" t="str">
        <f t="shared" si="43"/>
        <v/>
      </c>
      <c r="AH63" s="72"/>
      <c r="AI63" s="72"/>
      <c r="AJ63" s="8">
        <f t="shared" si="42"/>
        <v>30</v>
      </c>
      <c r="AK63" s="8" t="str">
        <f t="shared" si="42"/>
        <v/>
      </c>
      <c r="AL63" s="8">
        <f t="shared" si="42"/>
        <v>30</v>
      </c>
      <c r="AM63" s="8"/>
      <c r="AN63" s="8" t="str">
        <f t="shared" ref="AN63:AO63" si="44">IFERROR(AN58*100/AN61,"")</f>
        <v/>
      </c>
      <c r="AO63" s="8" t="str">
        <f t="shared" si="44"/>
        <v/>
      </c>
      <c r="AP63" s="72"/>
      <c r="AQ63" s="72"/>
    </row>
    <row r="64" spans="1:43" ht="18.149999999999999" customHeight="1">
      <c r="A64" s="91"/>
      <c r="B64" s="92"/>
      <c r="C64" s="92"/>
      <c r="D64" s="92"/>
      <c r="E64" s="92"/>
      <c r="F64" s="93"/>
      <c r="G64" s="77" t="str">
        <f>G59</f>
        <v>(30-60]</v>
      </c>
      <c r="H64" s="78"/>
      <c r="I64" s="8" t="str">
        <f>IFERROR(I59*100/I61,"")</f>
        <v/>
      </c>
      <c r="J64" s="8">
        <f t="shared" ref="J64:AL64" si="45">IFERROR(J59*100/J61,"")</f>
        <v>30</v>
      </c>
      <c r="K64" s="8">
        <f t="shared" si="45"/>
        <v>35</v>
      </c>
      <c r="L64" s="8">
        <f t="shared" si="45"/>
        <v>35</v>
      </c>
      <c r="M64" s="8" t="str">
        <f t="shared" si="45"/>
        <v/>
      </c>
      <c r="N64" s="8" t="str">
        <f t="shared" si="45"/>
        <v/>
      </c>
      <c r="O64" s="8" t="str">
        <f t="shared" si="45"/>
        <v/>
      </c>
      <c r="P64" s="8">
        <f t="shared" si="45"/>
        <v>35</v>
      </c>
      <c r="Q64" s="8" t="str">
        <f t="shared" si="45"/>
        <v/>
      </c>
      <c r="R64" s="8">
        <f t="shared" si="45"/>
        <v>35</v>
      </c>
      <c r="S64" s="8" t="str">
        <f t="shared" si="45"/>
        <v/>
      </c>
      <c r="T64" s="8" t="str">
        <f t="shared" si="45"/>
        <v/>
      </c>
      <c r="U64" s="72"/>
      <c r="V64" s="72"/>
      <c r="W64" s="8" t="str">
        <f t="shared" ref="W64:AG64" si="46">IFERROR(W59*100/W61,"")</f>
        <v/>
      </c>
      <c r="X64" s="8" t="str">
        <f t="shared" si="46"/>
        <v/>
      </c>
      <c r="Y64" s="8" t="str">
        <f t="shared" si="46"/>
        <v/>
      </c>
      <c r="Z64" s="8" t="str">
        <f t="shared" si="46"/>
        <v/>
      </c>
      <c r="AA64" s="8" t="str">
        <f t="shared" si="46"/>
        <v/>
      </c>
      <c r="AB64" s="8" t="str">
        <f t="shared" si="46"/>
        <v/>
      </c>
      <c r="AC64" s="8" t="str">
        <f t="shared" si="46"/>
        <v/>
      </c>
      <c r="AD64" s="8" t="str">
        <f t="shared" si="46"/>
        <v/>
      </c>
      <c r="AE64" s="8" t="str">
        <f t="shared" si="46"/>
        <v/>
      </c>
      <c r="AF64" s="8" t="str">
        <f t="shared" si="46"/>
        <v/>
      </c>
      <c r="AG64" s="8" t="str">
        <f t="shared" si="46"/>
        <v/>
      </c>
      <c r="AH64" s="72"/>
      <c r="AI64" s="72"/>
      <c r="AJ64" s="8">
        <f t="shared" si="45"/>
        <v>35</v>
      </c>
      <c r="AK64" s="8" t="str">
        <f t="shared" si="45"/>
        <v/>
      </c>
      <c r="AL64" s="8">
        <f t="shared" si="45"/>
        <v>35</v>
      </c>
      <c r="AM64" s="8"/>
      <c r="AN64" s="8" t="str">
        <f t="shared" ref="AN64:AO64" si="47">IFERROR(AN59*100/AN61,"")</f>
        <v/>
      </c>
      <c r="AO64" s="8" t="str">
        <f t="shared" si="47"/>
        <v/>
      </c>
      <c r="AP64" s="72"/>
      <c r="AQ64" s="72"/>
    </row>
    <row r="65" spans="1:43" ht="18.149999999999999" customHeight="1">
      <c r="A65" s="94"/>
      <c r="B65" s="95"/>
      <c r="C65" s="95"/>
      <c r="D65" s="95"/>
      <c r="E65" s="95"/>
      <c r="F65" s="96"/>
      <c r="G65" s="77" t="str">
        <f>G60</f>
        <v>[0-30]</v>
      </c>
      <c r="H65" s="78"/>
      <c r="I65" s="8" t="str">
        <f>IFERROR(I60*100/I61,"")</f>
        <v/>
      </c>
      <c r="J65" s="8">
        <f t="shared" ref="J65:AL65" si="48">IFERROR(J60*100/J61,"")</f>
        <v>0</v>
      </c>
      <c r="K65" s="8">
        <f t="shared" si="48"/>
        <v>0</v>
      </c>
      <c r="L65" s="8">
        <f t="shared" si="48"/>
        <v>0</v>
      </c>
      <c r="M65" s="8" t="str">
        <f t="shared" si="48"/>
        <v/>
      </c>
      <c r="N65" s="8" t="str">
        <f t="shared" si="48"/>
        <v/>
      </c>
      <c r="O65" s="8" t="str">
        <f t="shared" si="48"/>
        <v/>
      </c>
      <c r="P65" s="8">
        <f t="shared" si="48"/>
        <v>0</v>
      </c>
      <c r="Q65" s="8" t="str">
        <f t="shared" si="48"/>
        <v/>
      </c>
      <c r="R65" s="8">
        <f t="shared" si="48"/>
        <v>0</v>
      </c>
      <c r="S65" s="8" t="str">
        <f t="shared" si="48"/>
        <v/>
      </c>
      <c r="T65" s="8" t="str">
        <f t="shared" si="48"/>
        <v/>
      </c>
      <c r="U65" s="72"/>
      <c r="V65" s="72"/>
      <c r="W65" s="8" t="str">
        <f t="shared" ref="W65:AG65" si="49">IFERROR(W60*100/W61,"")</f>
        <v/>
      </c>
      <c r="X65" s="8" t="str">
        <f t="shared" si="49"/>
        <v/>
      </c>
      <c r="Y65" s="8" t="str">
        <f t="shared" si="49"/>
        <v/>
      </c>
      <c r="Z65" s="8" t="str">
        <f t="shared" si="49"/>
        <v/>
      </c>
      <c r="AA65" s="8" t="str">
        <f t="shared" si="49"/>
        <v/>
      </c>
      <c r="AB65" s="8" t="str">
        <f t="shared" si="49"/>
        <v/>
      </c>
      <c r="AC65" s="8" t="str">
        <f t="shared" si="49"/>
        <v/>
      </c>
      <c r="AD65" s="8" t="str">
        <f t="shared" si="49"/>
        <v/>
      </c>
      <c r="AE65" s="8" t="str">
        <f t="shared" si="49"/>
        <v/>
      </c>
      <c r="AF65" s="8" t="str">
        <f t="shared" si="49"/>
        <v/>
      </c>
      <c r="AG65" s="8" t="str">
        <f t="shared" si="49"/>
        <v/>
      </c>
      <c r="AH65" s="72"/>
      <c r="AI65" s="72"/>
      <c r="AJ65" s="8">
        <f t="shared" si="48"/>
        <v>0</v>
      </c>
      <c r="AK65" s="8" t="str">
        <f t="shared" si="48"/>
        <v/>
      </c>
      <c r="AL65" s="8">
        <f t="shared" si="48"/>
        <v>0</v>
      </c>
      <c r="AM65" s="8"/>
      <c r="AN65" s="8" t="str">
        <f t="shared" ref="AN65:AO65" si="50">IFERROR(AN60*100/AN61,"")</f>
        <v/>
      </c>
      <c r="AO65" s="8" t="str">
        <f t="shared" si="50"/>
        <v/>
      </c>
      <c r="AP65" s="72"/>
      <c r="AQ65" s="72"/>
    </row>
    <row r="66" spans="1:43" ht="49.2" customHeight="1">
      <c r="A66" s="9"/>
      <c r="B66" s="9"/>
      <c r="C66" s="9"/>
      <c r="D66" s="9"/>
      <c r="E66" s="9"/>
      <c r="F66" s="9"/>
      <c r="G66" s="101" t="s">
        <v>44</v>
      </c>
      <c r="H66" s="101"/>
      <c r="I66" s="101"/>
      <c r="J66" s="101"/>
      <c r="K66" s="101"/>
      <c r="L66" s="101"/>
      <c r="M66" s="101"/>
      <c r="N66" s="101"/>
      <c r="O66" s="101"/>
      <c r="P66" s="101"/>
      <c r="Q66" s="101"/>
      <c r="R66" s="101"/>
      <c r="S66" s="101"/>
      <c r="T66" s="101"/>
      <c r="U66" s="101"/>
      <c r="V66" s="101"/>
      <c r="W66" s="101"/>
      <c r="X66" s="101"/>
      <c r="Y66" s="101"/>
      <c r="Z66" s="101"/>
      <c r="AA66" s="101"/>
      <c r="AB66" s="101"/>
      <c r="AC66" s="101"/>
      <c r="AD66" s="101"/>
      <c r="AE66" s="101"/>
      <c r="AF66" s="101"/>
      <c r="AG66" s="101"/>
      <c r="AH66" s="101"/>
      <c r="AI66" s="101"/>
      <c r="AJ66" s="101"/>
      <c r="AK66" s="101"/>
      <c r="AL66" s="101"/>
      <c r="AM66" s="101"/>
      <c r="AN66" s="101"/>
      <c r="AO66" s="101"/>
      <c r="AP66" s="101"/>
      <c r="AQ66" s="101"/>
    </row>
    <row r="67" spans="1:43">
      <c r="I67" s="10"/>
      <c r="J67" s="10"/>
      <c r="K67" s="10"/>
      <c r="L67" s="10"/>
      <c r="M67" s="10"/>
      <c r="N67" s="10"/>
      <c r="O67" s="10"/>
      <c r="P67" s="10"/>
      <c r="Q67" s="10"/>
      <c r="R67" s="10"/>
      <c r="S67" s="10"/>
      <c r="T67" s="10"/>
      <c r="U67" s="10"/>
      <c r="V67" s="10"/>
      <c r="W67" s="10"/>
      <c r="X67" s="10"/>
      <c r="Y67" s="10"/>
      <c r="Z67" s="10"/>
      <c r="AA67" s="10"/>
      <c r="AB67" s="10"/>
      <c r="AC67" s="10"/>
      <c r="AD67" s="10"/>
      <c r="AE67" s="10"/>
      <c r="AF67" s="10"/>
      <c r="AG67" s="10"/>
      <c r="AH67" s="10"/>
      <c r="AI67" s="10"/>
      <c r="AJ67" s="10"/>
      <c r="AK67" s="10"/>
      <c r="AL67" s="10"/>
      <c r="AM67" s="10"/>
      <c r="AN67" s="10"/>
      <c r="AO67" s="10"/>
      <c r="AP67" s="10"/>
      <c r="AQ67" s="10"/>
    </row>
    <row r="68" spans="1:43">
      <c r="I68" s="10"/>
      <c r="J68" s="10"/>
      <c r="K68" s="10"/>
      <c r="L68" s="10"/>
      <c r="M68" s="10"/>
      <c r="N68" s="10"/>
      <c r="O68" s="10"/>
      <c r="P68" s="10"/>
      <c r="Q68" s="10"/>
      <c r="R68" s="10"/>
      <c r="S68" s="10"/>
      <c r="T68" s="10"/>
      <c r="U68" s="10"/>
      <c r="V68" s="10"/>
      <c r="W68" s="10"/>
      <c r="X68" s="10"/>
      <c r="Y68" s="10"/>
      <c r="Z68" s="10"/>
      <c r="AA68" s="10"/>
      <c r="AB68" s="10"/>
      <c r="AC68" s="10"/>
      <c r="AD68" s="10"/>
      <c r="AE68" s="10"/>
      <c r="AF68" s="10"/>
      <c r="AG68" s="10"/>
      <c r="AH68" s="10"/>
      <c r="AI68" s="10"/>
      <c r="AJ68" s="10"/>
      <c r="AK68" s="10"/>
      <c r="AL68" s="10"/>
      <c r="AM68" s="10"/>
      <c r="AN68" s="10"/>
      <c r="AO68" s="10"/>
      <c r="AP68" s="10"/>
      <c r="AQ68" s="10"/>
    </row>
    <row r="69" spans="1:43">
      <c r="I69" s="10"/>
      <c r="J69" s="10"/>
      <c r="K69" s="10"/>
      <c r="L69" s="10"/>
      <c r="M69" s="10"/>
      <c r="N69" s="10"/>
      <c r="O69" s="10"/>
      <c r="P69" s="10"/>
      <c r="Q69" s="10"/>
      <c r="R69" s="10"/>
      <c r="S69" s="10"/>
      <c r="T69" s="10"/>
      <c r="U69" s="10"/>
      <c r="V69" s="10"/>
      <c r="W69" s="10"/>
      <c r="X69" s="10"/>
      <c r="Y69" s="10"/>
      <c r="Z69" s="10"/>
      <c r="AA69" s="10"/>
      <c r="AB69" s="10"/>
      <c r="AC69" s="10"/>
      <c r="AD69" s="10"/>
      <c r="AE69" s="10"/>
      <c r="AF69" s="10"/>
      <c r="AG69" s="10"/>
      <c r="AH69" s="10"/>
      <c r="AI69" s="10"/>
      <c r="AJ69" s="10"/>
      <c r="AK69" s="10"/>
      <c r="AL69" s="10"/>
      <c r="AM69" s="10"/>
      <c r="AN69" s="10"/>
      <c r="AO69" s="10"/>
      <c r="AP69" s="10"/>
      <c r="AQ69" s="10"/>
    </row>
    <row r="70" spans="1:43">
      <c r="I70" s="10"/>
      <c r="J70" s="10"/>
      <c r="K70" s="10"/>
      <c r="L70" s="10"/>
      <c r="M70" s="10"/>
      <c r="N70" s="10"/>
      <c r="O70" s="10"/>
      <c r="P70" s="10"/>
      <c r="Q70" s="10"/>
      <c r="R70" s="10"/>
      <c r="S70" s="10"/>
      <c r="T70" s="10"/>
      <c r="U70" s="10"/>
      <c r="V70" s="10"/>
      <c r="W70" s="10"/>
      <c r="X70" s="10"/>
      <c r="Y70" s="10"/>
      <c r="Z70" s="10"/>
      <c r="AA70" s="10"/>
      <c r="AB70" s="10"/>
      <c r="AC70" s="10"/>
      <c r="AD70" s="10"/>
      <c r="AE70" s="10"/>
      <c r="AF70" s="10"/>
      <c r="AG70" s="10"/>
      <c r="AH70" s="10"/>
      <c r="AI70" s="10"/>
      <c r="AJ70" s="10"/>
      <c r="AK70" s="10"/>
      <c r="AL70" s="10"/>
      <c r="AM70" s="10"/>
      <c r="AN70" s="10"/>
      <c r="AO70" s="10"/>
      <c r="AP70" s="10"/>
      <c r="AQ70" s="10"/>
    </row>
    <row r="71" spans="1:43">
      <c r="I71" s="10"/>
      <c r="J71" s="10"/>
      <c r="K71" s="10"/>
      <c r="L71" s="10"/>
      <c r="M71" s="10"/>
      <c r="N71" s="10"/>
      <c r="O71" s="10"/>
      <c r="P71" s="10"/>
      <c r="Q71" s="10"/>
      <c r="R71" s="10"/>
      <c r="S71" s="10"/>
      <c r="T71" s="10"/>
      <c r="U71" s="10"/>
      <c r="V71" s="10"/>
      <c r="W71" s="10"/>
      <c r="X71" s="10"/>
      <c r="Y71" s="10"/>
      <c r="Z71" s="10"/>
      <c r="AA71" s="10"/>
      <c r="AB71" s="10"/>
      <c r="AC71" s="10"/>
      <c r="AD71" s="10"/>
      <c r="AE71" s="10"/>
      <c r="AF71" s="10"/>
      <c r="AG71" s="10"/>
      <c r="AH71" s="10"/>
      <c r="AI71" s="10"/>
      <c r="AJ71" s="10"/>
      <c r="AK71" s="10"/>
      <c r="AL71" s="10"/>
      <c r="AM71" s="10"/>
      <c r="AN71" s="10"/>
      <c r="AO71" s="10"/>
      <c r="AP71" s="10"/>
      <c r="AQ71" s="10"/>
    </row>
    <row r="72" spans="1:43">
      <c r="I72" s="10"/>
      <c r="J72" s="10"/>
      <c r="K72" s="10"/>
      <c r="L72" s="10"/>
      <c r="M72" s="10"/>
      <c r="N72" s="10"/>
      <c r="O72" s="10"/>
      <c r="P72" s="10"/>
      <c r="Q72" s="10"/>
      <c r="R72" s="10"/>
      <c r="S72" s="10"/>
      <c r="T72" s="10"/>
      <c r="U72" s="10"/>
      <c r="V72" s="10"/>
      <c r="W72" s="10"/>
      <c r="X72" s="10"/>
      <c r="Y72" s="10"/>
      <c r="Z72" s="10"/>
      <c r="AA72" s="10"/>
      <c r="AB72" s="10"/>
      <c r="AC72" s="10"/>
      <c r="AD72" s="10"/>
      <c r="AE72" s="10"/>
      <c r="AF72" s="10"/>
      <c r="AG72" s="10"/>
      <c r="AH72" s="10"/>
      <c r="AI72" s="10"/>
      <c r="AJ72" s="10"/>
      <c r="AK72" s="10"/>
      <c r="AL72" s="10"/>
      <c r="AM72" s="10"/>
      <c r="AN72" s="10"/>
      <c r="AO72" s="10"/>
      <c r="AP72" s="10"/>
      <c r="AQ72" s="10"/>
    </row>
    <row r="73" spans="1:43">
      <c r="I73" s="10"/>
      <c r="J73" s="10"/>
      <c r="K73" s="10"/>
      <c r="L73" s="10"/>
      <c r="M73" s="10"/>
      <c r="N73" s="10"/>
      <c r="O73" s="10"/>
      <c r="P73" s="10"/>
      <c r="Q73" s="10"/>
      <c r="R73" s="10"/>
      <c r="S73" s="10"/>
      <c r="T73" s="10"/>
      <c r="U73" s="10"/>
      <c r="V73" s="10"/>
      <c r="W73" s="10"/>
      <c r="X73" s="10"/>
      <c r="Y73" s="10"/>
      <c r="Z73" s="10"/>
      <c r="AA73" s="10"/>
      <c r="AB73" s="10"/>
      <c r="AC73" s="10"/>
      <c r="AD73" s="10"/>
      <c r="AE73" s="10"/>
      <c r="AF73" s="10"/>
      <c r="AG73" s="10"/>
      <c r="AH73" s="10"/>
      <c r="AI73" s="10"/>
      <c r="AJ73" s="10"/>
      <c r="AK73" s="10"/>
      <c r="AL73" s="10"/>
      <c r="AM73" s="10"/>
      <c r="AN73" s="10"/>
      <c r="AO73" s="10"/>
      <c r="AP73" s="10"/>
      <c r="AQ73" s="10"/>
    </row>
    <row r="74" spans="1:43">
      <c r="I74" s="10"/>
      <c r="J74" s="10"/>
      <c r="K74" s="10"/>
      <c r="L74" s="10"/>
      <c r="M74" s="10"/>
      <c r="N74" s="10"/>
      <c r="O74" s="10"/>
      <c r="P74" s="10"/>
      <c r="Q74" s="10"/>
      <c r="R74" s="10"/>
      <c r="S74" s="10"/>
      <c r="T74" s="10"/>
      <c r="U74" s="10"/>
      <c r="V74" s="10"/>
      <c r="W74" s="10"/>
      <c r="X74" s="10"/>
      <c r="Y74" s="10"/>
      <c r="Z74" s="10"/>
      <c r="AA74" s="10"/>
      <c r="AB74" s="10"/>
      <c r="AC74" s="10"/>
      <c r="AD74" s="10"/>
      <c r="AE74" s="10"/>
      <c r="AF74" s="10"/>
      <c r="AG74" s="10"/>
      <c r="AH74" s="10"/>
      <c r="AI74" s="10"/>
      <c r="AJ74" s="10"/>
      <c r="AK74" s="10"/>
      <c r="AL74" s="10"/>
      <c r="AM74" s="10"/>
      <c r="AN74" s="10"/>
      <c r="AO74" s="10"/>
      <c r="AP74" s="10"/>
      <c r="AQ74" s="10"/>
    </row>
    <row r="75" spans="1:43">
      <c r="I75" s="10"/>
      <c r="J75" s="10"/>
      <c r="K75" s="10"/>
      <c r="L75" s="10"/>
      <c r="M75" s="10"/>
      <c r="N75" s="10"/>
      <c r="O75" s="10"/>
      <c r="P75" s="10"/>
      <c r="Q75" s="10"/>
      <c r="R75" s="10"/>
      <c r="S75" s="10"/>
      <c r="T75" s="10"/>
      <c r="U75" s="10"/>
      <c r="V75" s="10"/>
      <c r="W75" s="10"/>
      <c r="X75" s="10"/>
      <c r="Y75" s="10"/>
      <c r="Z75" s="10"/>
      <c r="AA75" s="10"/>
      <c r="AB75" s="10"/>
      <c r="AC75" s="10"/>
      <c r="AD75" s="10"/>
      <c r="AE75" s="10"/>
      <c r="AF75" s="10"/>
      <c r="AG75" s="10"/>
      <c r="AH75" s="10"/>
      <c r="AI75" s="10"/>
      <c r="AJ75" s="10"/>
      <c r="AK75" s="10"/>
      <c r="AL75" s="10"/>
      <c r="AM75" s="10"/>
      <c r="AN75" s="10"/>
      <c r="AO75" s="10"/>
      <c r="AP75" s="10"/>
      <c r="AQ75" s="10"/>
    </row>
    <row r="76" spans="1:43">
      <c r="I76" s="10"/>
      <c r="J76" s="10"/>
      <c r="K76" s="10"/>
      <c r="L76" s="10"/>
      <c r="M76" s="10"/>
      <c r="N76" s="10"/>
      <c r="O76" s="10"/>
      <c r="P76" s="10"/>
      <c r="Q76" s="10"/>
      <c r="R76" s="10"/>
      <c r="S76" s="10"/>
      <c r="T76" s="10"/>
      <c r="U76" s="10"/>
      <c r="V76" s="10"/>
      <c r="W76" s="10"/>
      <c r="X76" s="10"/>
      <c r="Y76" s="10"/>
      <c r="Z76" s="10"/>
      <c r="AA76" s="10"/>
      <c r="AB76" s="10"/>
      <c r="AC76" s="10"/>
      <c r="AD76" s="10"/>
      <c r="AE76" s="10"/>
      <c r="AF76" s="10"/>
      <c r="AG76" s="10"/>
      <c r="AH76" s="10"/>
      <c r="AI76" s="10"/>
      <c r="AJ76" s="10"/>
      <c r="AK76" s="10"/>
      <c r="AL76" s="10"/>
      <c r="AM76" s="10"/>
      <c r="AN76" s="10"/>
      <c r="AO76" s="10"/>
      <c r="AP76" s="10"/>
      <c r="AQ76" s="10"/>
    </row>
    <row r="77" spans="1:43">
      <c r="I77" s="10"/>
      <c r="J77" s="10"/>
      <c r="K77" s="10"/>
      <c r="L77" s="10"/>
      <c r="M77" s="10"/>
      <c r="N77" s="10"/>
      <c r="O77" s="10"/>
      <c r="P77" s="10"/>
      <c r="Q77" s="10"/>
      <c r="R77" s="10"/>
      <c r="S77" s="10"/>
      <c r="T77" s="10"/>
      <c r="U77" s="10"/>
      <c r="V77" s="10"/>
      <c r="W77" s="10"/>
      <c r="X77" s="10"/>
      <c r="Y77" s="10"/>
      <c r="Z77" s="10"/>
      <c r="AA77" s="10"/>
      <c r="AB77" s="10"/>
      <c r="AC77" s="10"/>
      <c r="AD77" s="10"/>
      <c r="AE77" s="10"/>
      <c r="AF77" s="10"/>
      <c r="AG77" s="10"/>
      <c r="AH77" s="10"/>
      <c r="AI77" s="10"/>
      <c r="AJ77" s="10"/>
      <c r="AK77" s="10"/>
      <c r="AL77" s="10"/>
      <c r="AM77" s="10"/>
      <c r="AN77" s="10"/>
      <c r="AO77" s="10"/>
      <c r="AP77" s="10"/>
      <c r="AQ77" s="10"/>
    </row>
    <row r="78" spans="1:43">
      <c r="I78" s="10"/>
      <c r="J78" s="10"/>
      <c r="K78" s="10"/>
      <c r="L78" s="10"/>
      <c r="M78" s="10"/>
      <c r="N78" s="10"/>
      <c r="O78" s="10"/>
      <c r="P78" s="10"/>
      <c r="Q78" s="10"/>
      <c r="R78" s="10"/>
      <c r="S78" s="10"/>
      <c r="T78" s="10"/>
      <c r="U78" s="10"/>
      <c r="V78" s="10"/>
      <c r="W78" s="10"/>
      <c r="X78" s="10"/>
      <c r="Y78" s="10"/>
      <c r="Z78" s="10"/>
      <c r="AA78" s="10"/>
      <c r="AB78" s="10"/>
      <c r="AC78" s="10"/>
      <c r="AD78" s="10"/>
      <c r="AE78" s="10"/>
      <c r="AF78" s="10"/>
      <c r="AG78" s="10"/>
      <c r="AH78" s="10"/>
      <c r="AI78" s="10"/>
      <c r="AJ78" s="10"/>
      <c r="AK78" s="10"/>
      <c r="AL78" s="10"/>
      <c r="AM78" s="10"/>
      <c r="AN78" s="10"/>
      <c r="AO78" s="10"/>
      <c r="AP78" s="10"/>
      <c r="AQ78" s="10"/>
    </row>
    <row r="79" spans="1:43">
      <c r="I79" s="10"/>
      <c r="J79" s="10"/>
      <c r="K79" s="10"/>
      <c r="L79" s="10"/>
      <c r="M79" s="10"/>
      <c r="N79" s="10"/>
      <c r="O79" s="10"/>
      <c r="P79" s="10"/>
      <c r="Q79" s="10"/>
      <c r="R79" s="10"/>
      <c r="S79" s="10"/>
      <c r="T79" s="10"/>
      <c r="U79" s="10"/>
      <c r="V79" s="10"/>
      <c r="W79" s="10"/>
      <c r="X79" s="10"/>
      <c r="Y79" s="10"/>
      <c r="Z79" s="10"/>
      <c r="AA79" s="10"/>
      <c r="AB79" s="10"/>
      <c r="AC79" s="10"/>
      <c r="AD79" s="10"/>
      <c r="AE79" s="10"/>
      <c r="AF79" s="10"/>
      <c r="AG79" s="10"/>
      <c r="AH79" s="10"/>
      <c r="AI79" s="10"/>
      <c r="AJ79" s="10"/>
      <c r="AK79" s="10"/>
      <c r="AL79" s="10"/>
      <c r="AM79" s="10"/>
      <c r="AN79" s="10"/>
      <c r="AO79" s="10"/>
      <c r="AP79" s="10"/>
      <c r="AQ79" s="10"/>
    </row>
    <row r="80" spans="1:43">
      <c r="I80" s="10"/>
      <c r="J80" s="10"/>
      <c r="K80" s="10"/>
      <c r="L80" s="10"/>
      <c r="M80" s="10"/>
      <c r="N80" s="10"/>
      <c r="O80" s="10"/>
      <c r="P80" s="10"/>
      <c r="Q80" s="10"/>
      <c r="R80" s="10"/>
      <c r="S80" s="10"/>
      <c r="T80" s="10"/>
      <c r="U80" s="10"/>
      <c r="V80" s="10"/>
      <c r="W80" s="10"/>
      <c r="X80" s="10"/>
      <c r="Y80" s="10"/>
      <c r="Z80" s="10"/>
      <c r="AA80" s="10"/>
      <c r="AB80" s="10"/>
      <c r="AC80" s="10"/>
      <c r="AD80" s="10"/>
      <c r="AE80" s="10"/>
      <c r="AF80" s="10"/>
      <c r="AG80" s="10"/>
      <c r="AH80" s="10"/>
      <c r="AI80" s="10"/>
      <c r="AJ80" s="10"/>
      <c r="AK80" s="10"/>
      <c r="AL80" s="10"/>
      <c r="AM80" s="10"/>
      <c r="AN80" s="10"/>
      <c r="AO80" s="10"/>
      <c r="AP80" s="10"/>
      <c r="AQ80" s="10"/>
    </row>
    <row r="81" spans="7:43">
      <c r="I81" s="10"/>
      <c r="J81" s="10"/>
      <c r="K81" s="10"/>
      <c r="L81" s="10"/>
      <c r="M81" s="10"/>
      <c r="N81" s="10"/>
      <c r="O81" s="10"/>
      <c r="P81" s="10"/>
      <c r="Q81" s="10"/>
      <c r="R81" s="10"/>
      <c r="S81" s="10"/>
      <c r="T81" s="10"/>
      <c r="U81" s="10"/>
      <c r="V81" s="10"/>
      <c r="W81" s="10"/>
      <c r="X81" s="10"/>
      <c r="Y81" s="10"/>
      <c r="Z81" s="10"/>
      <c r="AA81" s="10"/>
      <c r="AB81" s="10"/>
      <c r="AC81" s="10"/>
      <c r="AD81" s="10"/>
      <c r="AE81" s="10"/>
      <c r="AF81" s="10"/>
      <c r="AG81" s="10"/>
      <c r="AH81" s="10"/>
      <c r="AI81" s="10"/>
      <c r="AJ81" s="10"/>
      <c r="AK81" s="10"/>
      <c r="AL81" s="10"/>
      <c r="AM81" s="10"/>
      <c r="AN81" s="10"/>
      <c r="AO81" s="10"/>
      <c r="AP81" s="10"/>
      <c r="AQ81" s="10"/>
    </row>
    <row r="82" spans="7:43">
      <c r="I82" s="10"/>
      <c r="J82" s="10"/>
      <c r="K82" s="10"/>
      <c r="L82" s="10"/>
      <c r="M82" s="10"/>
      <c r="N82" s="10"/>
      <c r="O82" s="10"/>
      <c r="P82" s="10"/>
      <c r="Q82" s="10"/>
      <c r="R82" s="10"/>
      <c r="S82" s="10"/>
      <c r="T82" s="10"/>
      <c r="U82" s="10"/>
      <c r="V82" s="10"/>
      <c r="W82" s="10"/>
      <c r="X82" s="10"/>
      <c r="Y82" s="10"/>
      <c r="Z82" s="10"/>
      <c r="AA82" s="10"/>
      <c r="AB82" s="10"/>
      <c r="AC82" s="10"/>
      <c r="AD82" s="10"/>
      <c r="AE82" s="10"/>
      <c r="AF82" s="10"/>
      <c r="AG82" s="10"/>
      <c r="AH82" s="10"/>
      <c r="AI82" s="10"/>
      <c r="AJ82" s="10"/>
      <c r="AK82" s="10"/>
      <c r="AL82" s="10"/>
      <c r="AM82" s="10"/>
      <c r="AN82" s="10"/>
      <c r="AO82" s="10"/>
      <c r="AP82" s="10"/>
      <c r="AQ82" s="10"/>
    </row>
    <row r="83" spans="7:43">
      <c r="I83" s="10"/>
      <c r="J83" s="10"/>
      <c r="K83" s="10"/>
      <c r="L83" s="10"/>
      <c r="M83" s="10"/>
      <c r="N83" s="10"/>
      <c r="O83" s="10"/>
      <c r="P83" s="10"/>
      <c r="Q83" s="10"/>
      <c r="R83" s="10"/>
      <c r="S83" s="10"/>
      <c r="T83" s="10"/>
      <c r="U83" s="10"/>
      <c r="V83" s="10"/>
      <c r="W83" s="10"/>
      <c r="X83" s="10"/>
      <c r="Y83" s="10"/>
      <c r="Z83" s="10"/>
      <c r="AA83" s="10"/>
      <c r="AB83" s="10"/>
      <c r="AC83" s="10"/>
      <c r="AD83" s="10"/>
      <c r="AE83" s="10"/>
      <c r="AF83" s="10"/>
      <c r="AG83" s="10"/>
      <c r="AH83" s="10"/>
      <c r="AI83" s="10"/>
      <c r="AJ83" s="10"/>
      <c r="AK83" s="10"/>
      <c r="AL83" s="10"/>
      <c r="AM83" s="10"/>
      <c r="AN83" s="10"/>
      <c r="AO83" s="10"/>
      <c r="AP83" s="10"/>
      <c r="AQ83" s="10"/>
    </row>
    <row r="84" spans="7:43">
      <c r="I84" s="10"/>
      <c r="J84" s="10"/>
      <c r="K84" s="10"/>
      <c r="L84" s="10"/>
      <c r="M84" s="10"/>
      <c r="N84" s="10"/>
      <c r="O84" s="10"/>
      <c r="P84" s="10"/>
      <c r="Q84" s="10"/>
      <c r="R84" s="10"/>
      <c r="S84" s="10"/>
      <c r="T84" s="10"/>
      <c r="U84" s="10"/>
      <c r="V84" s="10"/>
      <c r="W84" s="10"/>
      <c r="X84" s="10"/>
      <c r="Y84" s="10"/>
      <c r="Z84" s="10"/>
      <c r="AA84" s="10"/>
      <c r="AB84" s="10"/>
      <c r="AC84" s="10"/>
      <c r="AD84" s="10"/>
      <c r="AE84" s="10"/>
      <c r="AF84" s="10"/>
      <c r="AG84" s="10"/>
      <c r="AH84" s="10"/>
      <c r="AI84" s="10"/>
      <c r="AJ84" s="10"/>
      <c r="AK84" s="10"/>
      <c r="AL84" s="10"/>
      <c r="AM84" s="10"/>
      <c r="AN84" s="10"/>
      <c r="AO84" s="10"/>
      <c r="AP84" s="10"/>
      <c r="AQ84" s="10"/>
    </row>
    <row r="85" spans="7:43">
      <c r="I85" s="10"/>
      <c r="J85" s="10"/>
      <c r="K85" s="10"/>
      <c r="L85" s="10"/>
      <c r="M85" s="10"/>
      <c r="N85" s="10"/>
      <c r="O85" s="10"/>
      <c r="P85" s="10"/>
      <c r="Q85" s="10"/>
      <c r="R85" s="10"/>
      <c r="S85" s="10"/>
      <c r="T85" s="10"/>
      <c r="U85" s="10"/>
      <c r="V85" s="10"/>
      <c r="W85" s="10"/>
      <c r="X85" s="10"/>
      <c r="Y85" s="10"/>
      <c r="Z85" s="10"/>
      <c r="AA85" s="10"/>
      <c r="AB85" s="10"/>
      <c r="AC85" s="10"/>
      <c r="AD85" s="10"/>
      <c r="AE85" s="10"/>
      <c r="AF85" s="10"/>
      <c r="AG85" s="10"/>
      <c r="AH85" s="10"/>
      <c r="AI85" s="10"/>
      <c r="AJ85" s="10"/>
      <c r="AK85" s="10"/>
      <c r="AL85" s="10"/>
      <c r="AM85" s="10"/>
      <c r="AN85" s="10"/>
      <c r="AO85" s="10"/>
      <c r="AP85" s="10"/>
      <c r="AQ85" s="10"/>
    </row>
    <row r="86" spans="7:43">
      <c r="I86" s="10"/>
      <c r="J86" s="10"/>
      <c r="K86" s="10"/>
      <c r="L86" s="10"/>
      <c r="M86" s="10"/>
      <c r="N86" s="10"/>
      <c r="O86" s="10"/>
      <c r="P86" s="10"/>
      <c r="Q86" s="10"/>
      <c r="R86" s="10"/>
      <c r="S86" s="10"/>
      <c r="T86" s="10"/>
      <c r="U86" s="10"/>
      <c r="V86" s="10"/>
      <c r="W86" s="10"/>
      <c r="X86" s="10"/>
      <c r="Y86" s="10"/>
      <c r="Z86" s="10"/>
      <c r="AA86" s="10"/>
      <c r="AB86" s="10"/>
      <c r="AC86" s="10"/>
      <c r="AD86" s="10"/>
      <c r="AE86" s="10"/>
      <c r="AF86" s="10"/>
      <c r="AG86" s="10"/>
      <c r="AH86" s="10"/>
      <c r="AI86" s="10"/>
      <c r="AJ86" s="10"/>
      <c r="AK86" s="10"/>
      <c r="AL86" s="10"/>
      <c r="AM86" s="10"/>
      <c r="AN86" s="10"/>
      <c r="AO86" s="10"/>
      <c r="AP86" s="10"/>
      <c r="AQ86" s="10"/>
    </row>
    <row r="87" spans="7:43">
      <c r="I87" s="10"/>
      <c r="J87" s="10"/>
      <c r="K87" s="10"/>
      <c r="L87" s="10"/>
      <c r="M87" s="10"/>
      <c r="N87" s="10"/>
      <c r="O87" s="10"/>
      <c r="P87" s="10"/>
      <c r="Q87" s="10"/>
      <c r="R87" s="10"/>
      <c r="S87" s="10"/>
      <c r="T87" s="10"/>
      <c r="U87" s="10"/>
      <c r="V87" s="10"/>
      <c r="W87" s="10"/>
      <c r="X87" s="10"/>
      <c r="Y87" s="10"/>
      <c r="Z87" s="10"/>
      <c r="AA87" s="10"/>
      <c r="AB87" s="10"/>
      <c r="AC87" s="10"/>
      <c r="AD87" s="10"/>
      <c r="AE87" s="10"/>
      <c r="AF87" s="10"/>
      <c r="AG87" s="10"/>
      <c r="AH87" s="10"/>
      <c r="AI87" s="10"/>
      <c r="AJ87" s="10"/>
      <c r="AK87" s="10"/>
      <c r="AL87" s="10"/>
      <c r="AM87" s="10"/>
      <c r="AN87" s="10"/>
      <c r="AO87" s="10"/>
      <c r="AP87" s="10"/>
      <c r="AQ87" s="10"/>
    </row>
    <row r="88" spans="7:43">
      <c r="I88" s="10"/>
      <c r="J88" s="10"/>
      <c r="K88" s="10"/>
      <c r="L88" s="10"/>
      <c r="M88" s="10"/>
      <c r="N88" s="10"/>
      <c r="O88" s="10"/>
      <c r="P88" s="10"/>
      <c r="Q88" s="10"/>
      <c r="R88" s="10"/>
      <c r="S88" s="10"/>
      <c r="T88" s="10"/>
      <c r="U88" s="10"/>
      <c r="V88" s="10"/>
      <c r="W88" s="10"/>
      <c r="X88" s="10"/>
      <c r="Y88" s="10"/>
      <c r="Z88" s="10"/>
      <c r="AA88" s="10"/>
      <c r="AB88" s="10"/>
      <c r="AC88" s="10"/>
      <c r="AD88" s="10"/>
      <c r="AE88" s="10"/>
      <c r="AF88" s="10"/>
      <c r="AG88" s="10"/>
      <c r="AH88" s="10"/>
      <c r="AI88" s="10"/>
      <c r="AJ88" s="10"/>
      <c r="AK88" s="10"/>
      <c r="AL88" s="10"/>
      <c r="AM88" s="10"/>
      <c r="AN88" s="10"/>
      <c r="AO88" s="10"/>
      <c r="AP88" s="10"/>
      <c r="AQ88" s="10"/>
    </row>
    <row r="89" spans="7:43">
      <c r="I89" s="10"/>
      <c r="J89" s="10"/>
      <c r="K89" s="10"/>
      <c r="L89" s="10"/>
      <c r="M89" s="10"/>
      <c r="N89" s="10"/>
      <c r="O89" s="10"/>
      <c r="P89" s="10"/>
      <c r="Q89" s="10"/>
      <c r="R89" s="10"/>
      <c r="S89" s="10"/>
      <c r="T89" s="10"/>
      <c r="U89" s="10"/>
      <c r="V89" s="10"/>
      <c r="W89" s="10"/>
      <c r="X89" s="10"/>
      <c r="Y89" s="10"/>
      <c r="Z89" s="10"/>
      <c r="AA89" s="10"/>
      <c r="AB89" s="10"/>
      <c r="AC89" s="10"/>
      <c r="AD89" s="10"/>
      <c r="AE89" s="10"/>
      <c r="AF89" s="10"/>
      <c r="AG89" s="10"/>
      <c r="AH89" s="10"/>
      <c r="AI89" s="10"/>
      <c r="AJ89" s="10"/>
      <c r="AK89" s="10"/>
      <c r="AL89" s="10"/>
      <c r="AM89" s="10"/>
      <c r="AN89" s="10"/>
      <c r="AO89" s="10"/>
      <c r="AP89" s="10"/>
      <c r="AQ89" s="10"/>
    </row>
    <row r="94" spans="7:43" ht="49.2" customHeight="1">
      <c r="G94" s="101" t="s">
        <v>45</v>
      </c>
      <c r="H94" s="101"/>
      <c r="I94" s="101"/>
      <c r="J94" s="101"/>
      <c r="K94" s="101"/>
      <c r="L94" s="101"/>
      <c r="M94" s="101"/>
      <c r="N94" s="101"/>
      <c r="O94" s="101"/>
      <c r="P94" s="101"/>
      <c r="Q94" s="101"/>
      <c r="R94" s="101"/>
      <c r="S94" s="101"/>
      <c r="T94" s="101"/>
      <c r="U94" s="101"/>
      <c r="V94" s="101"/>
      <c r="W94" s="101"/>
      <c r="X94" s="101"/>
      <c r="Y94" s="101"/>
      <c r="Z94" s="101"/>
      <c r="AA94" s="101"/>
      <c r="AB94" s="101"/>
      <c r="AC94" s="101"/>
      <c r="AD94" s="101"/>
      <c r="AE94" s="101"/>
      <c r="AF94" s="101"/>
      <c r="AG94" s="101"/>
      <c r="AH94" s="101"/>
      <c r="AI94" s="101"/>
      <c r="AJ94" s="101"/>
      <c r="AK94" s="101"/>
      <c r="AL94" s="101"/>
      <c r="AM94" s="101"/>
      <c r="AN94" s="101"/>
      <c r="AO94" s="101"/>
      <c r="AP94" s="101"/>
      <c r="AQ94" s="101"/>
    </row>
    <row r="101" spans="4:4">
      <c r="D101" s="11"/>
    </row>
  </sheetData>
  <sheetProtection algorithmName="SHA-512" hashValue="p8E+vyHVZsiMoE99Ig4yJo4dovP/GrPxjUKxWy/kvPyR6rbVU4Kj0B+zsx1eBt7yFBnA1WZKRPg37xv37YK+iw==" saltValue="MWwVjL75IU1Z+96brOGmgw==" spinCount="100000" sheet="1" objects="1" scenarios="1"/>
  <mergeCells count="46">
    <mergeCell ref="A1:AQ1"/>
    <mergeCell ref="A56:AO56"/>
    <mergeCell ref="A2:A4"/>
    <mergeCell ref="S3:T3"/>
    <mergeCell ref="C2:E3"/>
    <mergeCell ref="W2:AI2"/>
    <mergeCell ref="AF3:AG3"/>
    <mergeCell ref="AH3:AH4"/>
    <mergeCell ref="AI3:AI4"/>
    <mergeCell ref="A55:F55"/>
    <mergeCell ref="R3:R4"/>
    <mergeCell ref="J3:Q3"/>
    <mergeCell ref="AE3:AE4"/>
    <mergeCell ref="W3:AD3"/>
    <mergeCell ref="B2:B4"/>
    <mergeCell ref="I2:I4"/>
    <mergeCell ref="G66:AQ66"/>
    <mergeCell ref="G94:AQ94"/>
    <mergeCell ref="AP57:AQ65"/>
    <mergeCell ref="AJ2:AQ2"/>
    <mergeCell ref="AL3:AM3"/>
    <mergeCell ref="AP3:AP4"/>
    <mergeCell ref="AQ3:AQ4"/>
    <mergeCell ref="AJ3:AJ4"/>
    <mergeCell ref="AK3:AK4"/>
    <mergeCell ref="AN3:AN4"/>
    <mergeCell ref="AO3:AO4"/>
    <mergeCell ref="U3:U4"/>
    <mergeCell ref="V3:V4"/>
    <mergeCell ref="G62:H62"/>
    <mergeCell ref="G63:H63"/>
    <mergeCell ref="G64:H64"/>
    <mergeCell ref="U57:V65"/>
    <mergeCell ref="AH57:AI65"/>
    <mergeCell ref="J2:V2"/>
    <mergeCell ref="F2:F4"/>
    <mergeCell ref="G2:G3"/>
    <mergeCell ref="H2:H3"/>
    <mergeCell ref="G65:H65"/>
    <mergeCell ref="A57:F61"/>
    <mergeCell ref="A62:F65"/>
    <mergeCell ref="G57:H57"/>
    <mergeCell ref="G58:H58"/>
    <mergeCell ref="G59:H59"/>
    <mergeCell ref="G60:H60"/>
    <mergeCell ref="G61:H61"/>
  </mergeCells>
  <printOptions horizontalCentered="1"/>
  <pageMargins left="0" right="0" top="0" bottom="0" header="0" footer="0"/>
  <pageSetup paperSize="9" scale="26" fitToHeight="0" orientation="portrait" r:id="rId1"/>
  <headerFooter scaleWithDoc="0" alignWithMargins="0"/>
  <ignoredErrors>
    <ignoredError sqref="P14:P16 R17 P5:P8 R5:R8 P18:P25 I55:T55 I61:T61 AJ61:AL61 AJ55:AL55 P9 R9 P10 R10 P11 R11 P12 R12 P13 R13 P54 P26 R26 R14:R16 R18:R25 P27:P31 R27:R31 P32:P34 R34 R32:R33 P35:P53 R35:R53 R54" emptyCellReference="1"/>
    <ignoredError sqref="P17" formulaRange="1" emptyCellReference="1"/>
  </ignoredErrors>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2</vt:i4>
      </vt:variant>
    </vt:vector>
  </HeadingPairs>
  <TitlesOfParts>
    <vt:vector size="2" baseType="lpstr">
      <vt:lpstr>Təlimat</vt:lpstr>
      <vt:lpstr>Fənn üzrə nailiyyətlər cədvəli</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2015-06-05T18:17:20Z</dcterms:created>
  <dcterms:modified xsi:type="dcterms:W3CDTF">2024-02-11T15:21:59Z</dcterms:modified>
</cp:coreProperties>
</file>