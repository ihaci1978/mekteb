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5" tabRatio="891"/>
  </bookViews>
  <sheets>
    <sheet name="Müqayisəli təhlil" sheetId="31" r:id="rId1"/>
    <sheet name="İndekslər" sheetId="3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9" i="30" l="1"/>
  <c r="L39" i="30"/>
  <c r="L328" i="30" l="1"/>
  <c r="K328" i="30"/>
  <c r="L327" i="30"/>
  <c r="K327" i="30"/>
  <c r="L326" i="30"/>
  <c r="K326" i="30"/>
  <c r="L325" i="30"/>
  <c r="K325" i="30"/>
  <c r="L324" i="30"/>
  <c r="K324" i="30"/>
  <c r="L323" i="30"/>
  <c r="K323" i="30"/>
  <c r="L322" i="30"/>
  <c r="K322" i="30"/>
  <c r="L321" i="30"/>
  <c r="K321" i="30"/>
  <c r="L320" i="30"/>
  <c r="K320" i="30"/>
  <c r="L319" i="30"/>
  <c r="K319" i="30"/>
  <c r="L318" i="30"/>
  <c r="K318" i="30"/>
  <c r="L317" i="30"/>
  <c r="K317" i="30"/>
  <c r="L316" i="30"/>
  <c r="K316" i="30"/>
  <c r="L315" i="30"/>
  <c r="K315" i="30"/>
  <c r="L314" i="30"/>
  <c r="K314" i="30"/>
  <c r="L313" i="30"/>
  <c r="K313" i="30"/>
  <c r="L312" i="30"/>
  <c r="K312" i="30"/>
  <c r="L311" i="30"/>
  <c r="K311" i="30"/>
  <c r="L310" i="30"/>
  <c r="K310" i="30"/>
  <c r="L309" i="30"/>
  <c r="K309" i="30"/>
  <c r="L308" i="30"/>
  <c r="K308" i="30"/>
  <c r="L307" i="30"/>
  <c r="K307" i="30"/>
  <c r="L306" i="30"/>
  <c r="K306" i="30"/>
  <c r="L305" i="30"/>
  <c r="K305" i="30"/>
  <c r="L304" i="30"/>
  <c r="K304" i="30"/>
  <c r="L303" i="30"/>
  <c r="K303" i="30"/>
  <c r="L302" i="30"/>
  <c r="K302" i="30"/>
  <c r="L301" i="30"/>
  <c r="K301" i="30"/>
  <c r="L300" i="30"/>
  <c r="K300" i="30"/>
  <c r="L299" i="30"/>
  <c r="K299" i="30"/>
  <c r="L298" i="30"/>
  <c r="K298" i="30"/>
  <c r="L297" i="30"/>
  <c r="K297" i="30"/>
  <c r="L296" i="30"/>
  <c r="K296" i="30"/>
  <c r="L295" i="30"/>
  <c r="K295" i="30"/>
  <c r="L294" i="30"/>
  <c r="K294" i="30"/>
  <c r="L293" i="30"/>
  <c r="K293" i="30"/>
  <c r="L292" i="30"/>
  <c r="K292" i="30"/>
  <c r="L291" i="30"/>
  <c r="K291" i="30"/>
  <c r="L290" i="30"/>
  <c r="K290" i="30"/>
  <c r="L289" i="30"/>
  <c r="K289" i="30"/>
  <c r="L288" i="30"/>
  <c r="K288" i="30"/>
  <c r="L287" i="30"/>
  <c r="K287" i="30"/>
  <c r="L286" i="30"/>
  <c r="K286" i="30"/>
  <c r="L285" i="30"/>
  <c r="K285" i="30"/>
  <c r="L284" i="30"/>
  <c r="K284" i="30"/>
  <c r="L283" i="30"/>
  <c r="K283" i="30"/>
  <c r="L282" i="30"/>
  <c r="K282" i="30"/>
  <c r="L281" i="30"/>
  <c r="K281" i="30"/>
  <c r="L280" i="30"/>
  <c r="K280" i="30"/>
  <c r="L279" i="30"/>
  <c r="K279" i="30"/>
  <c r="L278" i="30"/>
  <c r="K278" i="30"/>
  <c r="L277" i="30"/>
  <c r="K277" i="30"/>
  <c r="L276" i="30"/>
  <c r="K276" i="30"/>
  <c r="L275" i="30"/>
  <c r="K275" i="30"/>
  <c r="L274" i="30"/>
  <c r="K274" i="30"/>
  <c r="L273" i="30"/>
  <c r="K273" i="30"/>
  <c r="L272" i="30"/>
  <c r="K272" i="30"/>
  <c r="L271" i="30"/>
  <c r="K271" i="30"/>
  <c r="L270" i="30"/>
  <c r="K270" i="30"/>
  <c r="L269" i="30"/>
  <c r="K269" i="30"/>
  <c r="L268" i="30"/>
  <c r="K268" i="30"/>
  <c r="L267" i="30"/>
  <c r="K267" i="30"/>
  <c r="L266" i="30"/>
  <c r="K266" i="30"/>
  <c r="L265" i="30"/>
  <c r="K265" i="30"/>
  <c r="L264" i="30"/>
  <c r="K264" i="30"/>
  <c r="L263" i="30"/>
  <c r="K263" i="30"/>
  <c r="L262" i="30"/>
  <c r="K262" i="30"/>
  <c r="L261" i="30"/>
  <c r="K261" i="30"/>
  <c r="L260" i="30"/>
  <c r="K260" i="30"/>
  <c r="L259" i="30"/>
  <c r="K259" i="30"/>
  <c r="L258" i="30"/>
  <c r="K258" i="30"/>
  <c r="L257" i="30"/>
  <c r="K257" i="30"/>
  <c r="L256" i="30"/>
  <c r="K256" i="30"/>
  <c r="L255" i="30"/>
  <c r="K255" i="30"/>
  <c r="L254" i="30"/>
  <c r="K254" i="30"/>
  <c r="L253" i="30"/>
  <c r="K253" i="30"/>
  <c r="L252" i="30"/>
  <c r="K252" i="30"/>
  <c r="L251" i="30"/>
  <c r="K251" i="30"/>
  <c r="L250" i="30"/>
  <c r="K250" i="30"/>
  <c r="L249" i="30"/>
  <c r="K249" i="30"/>
  <c r="L248" i="30"/>
  <c r="K248" i="30"/>
  <c r="L247" i="30"/>
  <c r="K247" i="30"/>
  <c r="L246" i="30"/>
  <c r="K246" i="30"/>
  <c r="L245" i="30"/>
  <c r="K245" i="30"/>
  <c r="L244" i="30"/>
  <c r="K244" i="30"/>
  <c r="L243" i="30"/>
  <c r="K243" i="30"/>
  <c r="L242" i="30"/>
  <c r="K242" i="30"/>
  <c r="L241" i="30"/>
  <c r="K241" i="30"/>
  <c r="L240" i="30"/>
  <c r="K240" i="30"/>
  <c r="L239" i="30"/>
  <c r="K239" i="30"/>
  <c r="L238" i="30"/>
  <c r="K238" i="30"/>
  <c r="L237" i="30"/>
  <c r="K237" i="30"/>
  <c r="L236" i="30"/>
  <c r="K236" i="30"/>
  <c r="L235" i="30"/>
  <c r="K235" i="30"/>
  <c r="L234" i="30"/>
  <c r="K234" i="30"/>
  <c r="L233" i="30"/>
  <c r="K233" i="30"/>
  <c r="L232" i="30"/>
  <c r="K232" i="30"/>
  <c r="L231" i="30"/>
  <c r="K231" i="30"/>
  <c r="L230" i="30"/>
  <c r="K230" i="30"/>
  <c r="L229" i="30"/>
  <c r="K229" i="30"/>
  <c r="L228" i="30"/>
  <c r="K228" i="30"/>
  <c r="L227" i="30"/>
  <c r="K227" i="30"/>
  <c r="L226" i="30"/>
  <c r="K226" i="30"/>
  <c r="L225" i="30"/>
  <c r="K225" i="30"/>
  <c r="L224" i="30"/>
  <c r="K224" i="30"/>
  <c r="L223" i="30"/>
  <c r="K223" i="30"/>
  <c r="L222" i="30"/>
  <c r="K222" i="30"/>
  <c r="L221" i="30"/>
  <c r="K221" i="30"/>
  <c r="L220" i="30"/>
  <c r="K220" i="30"/>
  <c r="L219" i="30"/>
  <c r="K219" i="30"/>
  <c r="L218" i="30"/>
  <c r="K218" i="30"/>
  <c r="L217" i="30"/>
  <c r="K217" i="30"/>
  <c r="L216" i="30"/>
  <c r="K216" i="30"/>
  <c r="L215" i="30"/>
  <c r="K215" i="30"/>
  <c r="L214" i="30"/>
  <c r="K214" i="30"/>
  <c r="L213" i="30"/>
  <c r="K213" i="30"/>
  <c r="L212" i="30"/>
  <c r="K212" i="30"/>
  <c r="L211" i="30"/>
  <c r="K211" i="30"/>
  <c r="L210" i="30"/>
  <c r="K210" i="30"/>
  <c r="L209" i="30"/>
  <c r="K209" i="30"/>
  <c r="L208" i="30"/>
  <c r="K208" i="30"/>
  <c r="L207" i="30"/>
  <c r="K207" i="30"/>
  <c r="L206" i="30"/>
  <c r="K206" i="30"/>
  <c r="L205" i="30"/>
  <c r="K205" i="30"/>
  <c r="L204" i="30"/>
  <c r="K204" i="30"/>
  <c r="L203" i="30"/>
  <c r="K203" i="30"/>
  <c r="L202" i="30"/>
  <c r="K202" i="30"/>
  <c r="L201" i="30"/>
  <c r="K201" i="30"/>
  <c r="L200" i="30"/>
  <c r="K200" i="30"/>
  <c r="L199" i="30"/>
  <c r="K199" i="30"/>
  <c r="L198" i="30"/>
  <c r="K198" i="30"/>
  <c r="L197" i="30"/>
  <c r="K197" i="30"/>
  <c r="L196" i="30"/>
  <c r="K196" i="30"/>
  <c r="L195" i="30"/>
  <c r="K195" i="30"/>
  <c r="L194" i="30"/>
  <c r="K194" i="30"/>
  <c r="L193" i="30"/>
  <c r="K193" i="30"/>
  <c r="L192" i="30"/>
  <c r="K192" i="30"/>
  <c r="L191" i="30"/>
  <c r="K191" i="30"/>
  <c r="L190" i="30"/>
  <c r="K190" i="30"/>
  <c r="L189" i="30"/>
  <c r="K189" i="30"/>
  <c r="L188" i="30"/>
  <c r="K188" i="30"/>
  <c r="L187" i="30"/>
  <c r="K187" i="30"/>
  <c r="L186" i="30"/>
  <c r="K186" i="30"/>
  <c r="L185" i="30"/>
  <c r="K185" i="30"/>
  <c r="L184" i="30"/>
  <c r="K184" i="30"/>
  <c r="L183" i="30"/>
  <c r="K183" i="30"/>
  <c r="L182" i="30"/>
  <c r="K182" i="30"/>
  <c r="L181" i="30"/>
  <c r="K181" i="30"/>
  <c r="L180" i="30"/>
  <c r="K180" i="30"/>
  <c r="L179" i="30"/>
  <c r="K179" i="30"/>
  <c r="L178" i="30"/>
  <c r="K178" i="30"/>
  <c r="L177" i="30"/>
  <c r="K177" i="30"/>
  <c r="L176" i="30"/>
  <c r="K176" i="30"/>
  <c r="L175" i="30"/>
  <c r="K175" i="30"/>
  <c r="L174" i="30"/>
  <c r="K174" i="30"/>
  <c r="L173" i="30"/>
  <c r="K173" i="30"/>
  <c r="L172" i="30"/>
  <c r="K172" i="30"/>
  <c r="L171" i="30"/>
  <c r="K171" i="30"/>
  <c r="L170" i="30"/>
  <c r="K170" i="30"/>
  <c r="L169" i="30"/>
  <c r="K169" i="30"/>
  <c r="L168" i="30"/>
  <c r="K168" i="30"/>
  <c r="L167" i="30"/>
  <c r="K167" i="30"/>
  <c r="L166" i="30"/>
  <c r="K166" i="30"/>
  <c r="L165" i="30"/>
  <c r="K165" i="30"/>
  <c r="L164" i="30"/>
  <c r="K164" i="30"/>
  <c r="L163" i="30"/>
  <c r="K163" i="30"/>
  <c r="L162" i="30"/>
  <c r="K162" i="30"/>
  <c r="L161" i="30"/>
  <c r="K161" i="30"/>
  <c r="L160" i="30"/>
  <c r="K160" i="30"/>
  <c r="L159" i="30"/>
  <c r="K159" i="30"/>
  <c r="L158" i="30"/>
  <c r="K158" i="30"/>
  <c r="L157" i="30"/>
  <c r="K157" i="30"/>
  <c r="L156" i="30"/>
  <c r="K156" i="30"/>
  <c r="L155" i="30"/>
  <c r="K155" i="30"/>
  <c r="L154" i="30"/>
  <c r="K154" i="30"/>
  <c r="L153" i="30"/>
  <c r="K153" i="30"/>
  <c r="L152" i="30"/>
  <c r="K152" i="30"/>
  <c r="L151" i="30"/>
  <c r="K151" i="30"/>
  <c r="L150" i="30"/>
  <c r="K150" i="30"/>
  <c r="L149" i="30"/>
  <c r="K149" i="30"/>
  <c r="L148" i="30"/>
  <c r="K148" i="30"/>
  <c r="L147" i="30"/>
  <c r="K147" i="30"/>
  <c r="L146" i="30"/>
  <c r="K146" i="30"/>
  <c r="L145" i="30"/>
  <c r="K145" i="30"/>
  <c r="L144" i="30"/>
  <c r="K144" i="30"/>
  <c r="L143" i="30"/>
  <c r="K143" i="30"/>
  <c r="L142" i="30"/>
  <c r="K142" i="30"/>
  <c r="L141" i="30"/>
  <c r="K141" i="30"/>
  <c r="L140" i="30"/>
  <c r="K140" i="30"/>
  <c r="L139" i="30"/>
  <c r="K139" i="30"/>
  <c r="L138" i="30"/>
  <c r="K138" i="30"/>
  <c r="L137" i="30"/>
  <c r="K137" i="30"/>
  <c r="L136" i="30"/>
  <c r="K136" i="30"/>
  <c r="L135" i="30"/>
  <c r="K135" i="30"/>
  <c r="L134" i="30"/>
  <c r="K134" i="30"/>
  <c r="L133" i="30"/>
  <c r="K133" i="30"/>
  <c r="L132" i="30"/>
  <c r="K132" i="30"/>
  <c r="L131" i="30"/>
  <c r="K131" i="30"/>
  <c r="L130" i="30"/>
  <c r="K130" i="30"/>
  <c r="L129" i="30"/>
  <c r="K129" i="30"/>
  <c r="L128" i="30"/>
  <c r="K128" i="30"/>
  <c r="L127" i="30"/>
  <c r="K127" i="30"/>
  <c r="L126" i="30"/>
  <c r="K126" i="30"/>
  <c r="L125" i="30"/>
  <c r="K125" i="30"/>
  <c r="L124" i="30"/>
  <c r="K124" i="30"/>
  <c r="L123" i="30"/>
  <c r="K123" i="30"/>
  <c r="L122" i="30"/>
  <c r="K122" i="30"/>
  <c r="L121" i="30"/>
  <c r="K121" i="30"/>
  <c r="L120" i="30"/>
  <c r="K120" i="30"/>
  <c r="L119" i="30"/>
  <c r="K119" i="30"/>
  <c r="L118" i="30"/>
  <c r="K118" i="30"/>
  <c r="L117" i="30"/>
  <c r="K117" i="30"/>
  <c r="L116" i="30"/>
  <c r="K116" i="30"/>
  <c r="L115" i="30"/>
  <c r="K115" i="30"/>
  <c r="L114" i="30"/>
  <c r="K114" i="30"/>
  <c r="L113" i="30"/>
  <c r="K113" i="30"/>
  <c r="L112" i="30"/>
  <c r="K112" i="30"/>
  <c r="L111" i="30"/>
  <c r="K111" i="30"/>
  <c r="L110" i="30"/>
  <c r="K110" i="30"/>
  <c r="L109" i="30"/>
  <c r="K109" i="30"/>
  <c r="L108" i="30"/>
  <c r="K108" i="30"/>
  <c r="L107" i="30"/>
  <c r="K107" i="30"/>
  <c r="L106" i="30"/>
  <c r="K106" i="30"/>
  <c r="L105" i="30"/>
  <c r="K105" i="30"/>
  <c r="L104" i="30"/>
  <c r="K104" i="30"/>
  <c r="L103" i="30"/>
  <c r="K103" i="30"/>
  <c r="L102" i="30"/>
  <c r="K102" i="30"/>
  <c r="L101" i="30"/>
  <c r="K101" i="30"/>
  <c r="L100" i="30"/>
  <c r="K100" i="30"/>
  <c r="L99" i="30"/>
  <c r="K99" i="30"/>
  <c r="L98" i="30"/>
  <c r="K98" i="30"/>
  <c r="L97" i="30"/>
  <c r="K97" i="30"/>
  <c r="L96" i="30"/>
  <c r="K96" i="30"/>
  <c r="L95" i="30"/>
  <c r="K95" i="30"/>
  <c r="L94" i="30"/>
  <c r="K94" i="30"/>
  <c r="L93" i="30"/>
  <c r="K93" i="30"/>
  <c r="L92" i="30"/>
  <c r="K92" i="30"/>
  <c r="L91" i="30"/>
  <c r="K91" i="30"/>
  <c r="L90" i="30"/>
  <c r="K90" i="30"/>
  <c r="L89" i="30"/>
  <c r="K89" i="30"/>
  <c r="L88" i="30"/>
  <c r="K88" i="30"/>
  <c r="L87" i="30"/>
  <c r="K87" i="30"/>
  <c r="L86" i="30"/>
  <c r="K86" i="30"/>
  <c r="L85" i="30"/>
  <c r="K85" i="30"/>
  <c r="L84" i="30"/>
  <c r="K84" i="30"/>
  <c r="L83" i="30"/>
  <c r="K83" i="30"/>
  <c r="L82" i="30"/>
  <c r="K82" i="30"/>
  <c r="L81" i="30"/>
  <c r="K81" i="30"/>
  <c r="L80" i="30"/>
  <c r="K80" i="30"/>
  <c r="L79" i="30"/>
  <c r="K79" i="30"/>
  <c r="L78" i="30"/>
  <c r="K78" i="30"/>
  <c r="L77" i="30"/>
  <c r="K77" i="30"/>
  <c r="L76" i="30"/>
  <c r="K76" i="30"/>
  <c r="L75" i="30"/>
  <c r="K75" i="30"/>
  <c r="L74" i="30"/>
  <c r="K74" i="30"/>
  <c r="L73" i="30"/>
  <c r="K73" i="30"/>
  <c r="L72" i="30"/>
  <c r="K72" i="30"/>
  <c r="L71" i="30"/>
  <c r="K71" i="30"/>
  <c r="L70" i="30"/>
  <c r="K70" i="30"/>
  <c r="L69" i="30"/>
  <c r="K69" i="30"/>
  <c r="L68" i="30"/>
  <c r="K68" i="30"/>
  <c r="L67" i="30"/>
  <c r="K67" i="30"/>
  <c r="L66" i="30"/>
  <c r="K66" i="30"/>
  <c r="L65" i="30"/>
  <c r="K65" i="30"/>
  <c r="L64" i="30"/>
  <c r="K64" i="30"/>
  <c r="L63" i="30"/>
  <c r="K63" i="30"/>
  <c r="L62" i="30"/>
  <c r="K62" i="30"/>
  <c r="L61" i="30"/>
  <c r="K61" i="30"/>
  <c r="L60" i="30"/>
  <c r="K60" i="30"/>
  <c r="L59" i="30"/>
  <c r="K59" i="30"/>
  <c r="L58" i="30"/>
  <c r="K58" i="30"/>
  <c r="L57" i="30"/>
  <c r="K57" i="30"/>
  <c r="L56" i="30"/>
  <c r="K56" i="30"/>
  <c r="L55" i="30"/>
  <c r="K55" i="30"/>
  <c r="L54" i="30"/>
  <c r="K54" i="30"/>
  <c r="L53" i="30"/>
  <c r="K53" i="30"/>
  <c r="L52" i="30"/>
  <c r="K52" i="30"/>
  <c r="L51" i="30"/>
  <c r="K51" i="30"/>
  <c r="L50" i="30"/>
  <c r="K50" i="30"/>
  <c r="L49" i="30"/>
  <c r="K49" i="30"/>
  <c r="L48" i="30"/>
  <c r="K48" i="30"/>
  <c r="L47" i="30"/>
  <c r="K47" i="30"/>
  <c r="L46" i="30"/>
  <c r="K46" i="30"/>
  <c r="L45" i="30"/>
  <c r="K45" i="30"/>
  <c r="L44" i="30"/>
  <c r="K44" i="30"/>
  <c r="L43" i="30"/>
  <c r="K43" i="30"/>
  <c r="L42" i="30"/>
  <c r="K42" i="30"/>
  <c r="L41" i="30"/>
  <c r="K41" i="30"/>
  <c r="L40" i="30"/>
  <c r="K40" i="30"/>
  <c r="L38" i="30"/>
  <c r="K38" i="30"/>
  <c r="L37" i="30"/>
  <c r="K37" i="30"/>
  <c r="L36" i="30"/>
  <c r="K36" i="30"/>
  <c r="L35" i="30"/>
  <c r="K35" i="30"/>
  <c r="L34" i="30"/>
  <c r="K34" i="30"/>
  <c r="L33" i="30"/>
  <c r="K33" i="30"/>
  <c r="L32" i="30"/>
  <c r="K32" i="30"/>
  <c r="L31" i="30"/>
  <c r="K31" i="30"/>
  <c r="L30" i="30"/>
  <c r="K30" i="30"/>
  <c r="L29" i="30"/>
  <c r="K29" i="30"/>
  <c r="L28" i="30"/>
  <c r="K28" i="30"/>
  <c r="L27" i="30"/>
  <c r="K27" i="30"/>
  <c r="L26" i="30"/>
  <c r="K26" i="30"/>
  <c r="L25" i="30"/>
  <c r="K25" i="30"/>
  <c r="L24" i="30"/>
  <c r="K24" i="30"/>
  <c r="L23" i="30"/>
  <c r="K23" i="30"/>
  <c r="L22" i="30"/>
  <c r="K22" i="30"/>
  <c r="L21" i="30"/>
  <c r="K21" i="30"/>
  <c r="L20" i="30"/>
  <c r="K20" i="30"/>
  <c r="L19" i="30"/>
  <c r="K19" i="30"/>
  <c r="L18" i="30"/>
  <c r="K18" i="30"/>
  <c r="L17" i="30"/>
  <c r="K17" i="30"/>
  <c r="L16" i="30"/>
  <c r="K16" i="30"/>
  <c r="L15" i="30"/>
  <c r="K15" i="30"/>
  <c r="L14" i="30"/>
  <c r="K14" i="30"/>
  <c r="L13" i="30"/>
  <c r="K13" i="30"/>
  <c r="L12" i="30"/>
  <c r="K12" i="30"/>
  <c r="L11" i="30"/>
  <c r="K11" i="30"/>
  <c r="L10" i="30"/>
  <c r="K10" i="30"/>
  <c r="L9" i="30"/>
  <c r="K9" i="30"/>
  <c r="L8" i="30"/>
  <c r="K8" i="30"/>
  <c r="L7" i="30"/>
  <c r="K7" i="30"/>
  <c r="L6" i="30"/>
  <c r="K6" i="30"/>
  <c r="I7" i="30"/>
  <c r="J7" i="30"/>
  <c r="I8" i="30"/>
  <c r="J8" i="30"/>
  <c r="I9" i="30"/>
  <c r="J9" i="30"/>
  <c r="I10" i="30"/>
  <c r="J10" i="30"/>
  <c r="I11" i="30"/>
  <c r="J11" i="30"/>
  <c r="I12" i="30"/>
  <c r="J12" i="30"/>
  <c r="I13" i="30"/>
  <c r="J13" i="30"/>
  <c r="I14" i="30"/>
  <c r="J14" i="30"/>
  <c r="I15" i="30"/>
  <c r="J15" i="30"/>
  <c r="I16" i="30"/>
  <c r="J16" i="30"/>
  <c r="I17" i="30"/>
  <c r="J17" i="30"/>
  <c r="I18" i="30"/>
  <c r="J18" i="30"/>
  <c r="I19" i="30"/>
  <c r="J19" i="30"/>
  <c r="I20" i="30"/>
  <c r="J20" i="30"/>
  <c r="I21" i="30"/>
  <c r="J21" i="30"/>
  <c r="I22" i="30"/>
  <c r="J22" i="30"/>
  <c r="I23" i="30"/>
  <c r="J23" i="30"/>
  <c r="I24" i="30"/>
  <c r="J24" i="30"/>
  <c r="I25" i="30"/>
  <c r="J25" i="30"/>
  <c r="I26" i="30"/>
  <c r="J26" i="30"/>
  <c r="I27" i="30"/>
  <c r="J27" i="30"/>
  <c r="I28" i="30"/>
  <c r="J28" i="30"/>
  <c r="I29" i="30"/>
  <c r="J29" i="30"/>
  <c r="I30" i="30"/>
  <c r="J30" i="30"/>
  <c r="I31" i="30"/>
  <c r="J31" i="30"/>
  <c r="I32" i="30"/>
  <c r="J32" i="30"/>
  <c r="I33" i="30"/>
  <c r="J33" i="30"/>
  <c r="I34" i="30"/>
  <c r="J34" i="30"/>
  <c r="I35" i="30"/>
  <c r="J35" i="30"/>
  <c r="I36" i="30"/>
  <c r="J36" i="30"/>
  <c r="I37" i="30"/>
  <c r="J37" i="30"/>
  <c r="I38" i="30"/>
  <c r="J38" i="30"/>
  <c r="I39" i="30"/>
  <c r="J39" i="30"/>
  <c r="I40" i="30"/>
  <c r="J40" i="30"/>
  <c r="I41" i="30"/>
  <c r="J41" i="30"/>
  <c r="I42" i="30"/>
  <c r="J42" i="30"/>
  <c r="I43" i="30"/>
  <c r="J43" i="30"/>
  <c r="I44" i="30"/>
  <c r="J44" i="30"/>
  <c r="I45" i="30"/>
  <c r="J45" i="30"/>
  <c r="I46" i="30"/>
  <c r="J46" i="30"/>
  <c r="I47" i="30"/>
  <c r="J47" i="30"/>
  <c r="I48" i="30"/>
  <c r="J48" i="30"/>
  <c r="I49" i="30"/>
  <c r="J49" i="30"/>
  <c r="I50" i="30"/>
  <c r="J50" i="30"/>
  <c r="I51" i="30"/>
  <c r="J51" i="30"/>
  <c r="I52" i="30"/>
  <c r="J52" i="30"/>
  <c r="I53" i="30"/>
  <c r="J53" i="30"/>
  <c r="I54" i="30"/>
  <c r="J54" i="30"/>
  <c r="I55" i="30"/>
  <c r="J55" i="30"/>
  <c r="I56" i="30"/>
  <c r="J56" i="30"/>
  <c r="I57" i="30"/>
  <c r="J57" i="30"/>
  <c r="I58" i="30"/>
  <c r="J58" i="30"/>
  <c r="I59" i="30"/>
  <c r="J59" i="30"/>
  <c r="I60" i="30"/>
  <c r="J60" i="30"/>
  <c r="I61" i="30"/>
  <c r="J61" i="30"/>
  <c r="I62" i="30"/>
  <c r="J62" i="30"/>
  <c r="I63" i="30"/>
  <c r="J63" i="30"/>
  <c r="I64" i="30"/>
  <c r="J64" i="30"/>
  <c r="I65" i="30"/>
  <c r="J65" i="30"/>
  <c r="I66" i="30"/>
  <c r="J66" i="30"/>
  <c r="I67" i="30"/>
  <c r="J67" i="30"/>
  <c r="I68" i="30"/>
  <c r="J68" i="30"/>
  <c r="I69" i="30"/>
  <c r="J69" i="30"/>
  <c r="I70" i="30"/>
  <c r="J70" i="30"/>
  <c r="I71" i="30"/>
  <c r="J71" i="30"/>
  <c r="I72" i="30"/>
  <c r="J72" i="30"/>
  <c r="I73" i="30"/>
  <c r="J73" i="30"/>
  <c r="I74" i="30"/>
  <c r="J74" i="30"/>
  <c r="I75" i="30"/>
  <c r="J75" i="30"/>
  <c r="I76" i="30"/>
  <c r="J76" i="30"/>
  <c r="I77" i="30"/>
  <c r="J77" i="30"/>
  <c r="I78" i="30"/>
  <c r="J78" i="30"/>
  <c r="I79" i="30"/>
  <c r="J79" i="30"/>
  <c r="I80" i="30"/>
  <c r="J80" i="30"/>
  <c r="I81" i="30"/>
  <c r="J81" i="30"/>
  <c r="I82" i="30"/>
  <c r="J82" i="30"/>
  <c r="I83" i="30"/>
  <c r="J83" i="30"/>
  <c r="I84" i="30"/>
  <c r="J84" i="30"/>
  <c r="I85" i="30"/>
  <c r="J85" i="30"/>
  <c r="I86" i="30"/>
  <c r="J86" i="30"/>
  <c r="I87" i="30"/>
  <c r="J87" i="30"/>
  <c r="I88" i="30"/>
  <c r="J88" i="30"/>
  <c r="I89" i="30"/>
  <c r="J89" i="30"/>
  <c r="I90" i="30"/>
  <c r="J90" i="30"/>
  <c r="I91" i="30"/>
  <c r="J91" i="30"/>
  <c r="I92" i="30"/>
  <c r="J92" i="30"/>
  <c r="I93" i="30"/>
  <c r="J93" i="30"/>
  <c r="I94" i="30"/>
  <c r="J94" i="30"/>
  <c r="I95" i="30"/>
  <c r="J95" i="30"/>
  <c r="I96" i="30"/>
  <c r="J96" i="30"/>
  <c r="I97" i="30"/>
  <c r="J97" i="30"/>
  <c r="I98" i="30"/>
  <c r="J98" i="30"/>
  <c r="I99" i="30"/>
  <c r="J99" i="30"/>
  <c r="I100" i="30"/>
  <c r="J100" i="30"/>
  <c r="I101" i="30"/>
  <c r="J101" i="30"/>
  <c r="I102" i="30"/>
  <c r="J102" i="30"/>
  <c r="I103" i="30"/>
  <c r="J103" i="30"/>
  <c r="I104" i="30"/>
  <c r="J104" i="30"/>
  <c r="I105" i="30"/>
  <c r="J105" i="30"/>
  <c r="I106" i="30"/>
  <c r="J106" i="30"/>
  <c r="I107" i="30"/>
  <c r="J107" i="30"/>
  <c r="I108" i="30"/>
  <c r="J108" i="30"/>
  <c r="I109" i="30"/>
  <c r="J109" i="30"/>
  <c r="I110" i="30"/>
  <c r="J110" i="30"/>
  <c r="I111" i="30"/>
  <c r="J111" i="30"/>
  <c r="I112" i="30"/>
  <c r="J112" i="30"/>
  <c r="I113" i="30"/>
  <c r="J113" i="30"/>
  <c r="I114" i="30"/>
  <c r="J114" i="30"/>
  <c r="I115" i="30"/>
  <c r="J115" i="30"/>
  <c r="I116" i="30"/>
  <c r="J116" i="30"/>
  <c r="I117" i="30"/>
  <c r="J117" i="30"/>
  <c r="I118" i="30"/>
  <c r="J118" i="30"/>
  <c r="I119" i="30"/>
  <c r="J119" i="30"/>
  <c r="I120" i="30"/>
  <c r="J120" i="30"/>
  <c r="I121" i="30"/>
  <c r="J121" i="30"/>
  <c r="I122" i="30"/>
  <c r="J122" i="30"/>
  <c r="I123" i="30"/>
  <c r="J123" i="30"/>
  <c r="I124" i="30"/>
  <c r="J124" i="30"/>
  <c r="I125" i="30"/>
  <c r="J125" i="30"/>
  <c r="I126" i="30"/>
  <c r="J126" i="30"/>
  <c r="I127" i="30"/>
  <c r="J127" i="30"/>
  <c r="I128" i="30"/>
  <c r="J128" i="30"/>
  <c r="I129" i="30"/>
  <c r="J129" i="30"/>
  <c r="I130" i="30"/>
  <c r="J130" i="30"/>
  <c r="I131" i="30"/>
  <c r="J131" i="30"/>
  <c r="I132" i="30"/>
  <c r="J132" i="30"/>
  <c r="I133" i="30"/>
  <c r="J133" i="30"/>
  <c r="I134" i="30"/>
  <c r="J134" i="30"/>
  <c r="I135" i="30"/>
  <c r="J135" i="30"/>
  <c r="I136" i="30"/>
  <c r="J136" i="30"/>
  <c r="I137" i="30"/>
  <c r="J137" i="30"/>
  <c r="I138" i="30"/>
  <c r="J138" i="30"/>
  <c r="I139" i="30"/>
  <c r="J139" i="30"/>
  <c r="I140" i="30"/>
  <c r="J140" i="30"/>
  <c r="I141" i="30"/>
  <c r="J141" i="30"/>
  <c r="I142" i="30"/>
  <c r="J142" i="30"/>
  <c r="I143" i="30"/>
  <c r="J143" i="30"/>
  <c r="I144" i="30"/>
  <c r="J144" i="30"/>
  <c r="I145" i="30"/>
  <c r="J145" i="30"/>
  <c r="I146" i="30"/>
  <c r="J146" i="30"/>
  <c r="I147" i="30"/>
  <c r="J147" i="30"/>
  <c r="I148" i="30"/>
  <c r="J148" i="30"/>
  <c r="I149" i="30"/>
  <c r="J149" i="30"/>
  <c r="I150" i="30"/>
  <c r="J150" i="30"/>
  <c r="I151" i="30"/>
  <c r="J151" i="30"/>
  <c r="I152" i="30"/>
  <c r="J152" i="30"/>
  <c r="I153" i="30"/>
  <c r="J153" i="30"/>
  <c r="I154" i="30"/>
  <c r="J154" i="30"/>
  <c r="I155" i="30"/>
  <c r="J155" i="30"/>
  <c r="I156" i="30"/>
  <c r="J156" i="30"/>
  <c r="I157" i="30"/>
  <c r="J157" i="30"/>
  <c r="I158" i="30"/>
  <c r="J158" i="30"/>
  <c r="I159" i="30"/>
  <c r="J159" i="30"/>
  <c r="I160" i="30"/>
  <c r="J160" i="30"/>
  <c r="I161" i="30"/>
  <c r="J161" i="30"/>
  <c r="I162" i="30"/>
  <c r="J162" i="30"/>
  <c r="I163" i="30"/>
  <c r="J163" i="30"/>
  <c r="I164" i="30"/>
  <c r="J164" i="30"/>
  <c r="I165" i="30"/>
  <c r="J165" i="30"/>
  <c r="I166" i="30"/>
  <c r="J166" i="30"/>
  <c r="I167" i="30"/>
  <c r="J167" i="30"/>
  <c r="I168" i="30"/>
  <c r="J168" i="30"/>
  <c r="I169" i="30"/>
  <c r="J169" i="30"/>
  <c r="I170" i="30"/>
  <c r="J170" i="30"/>
  <c r="I171" i="30"/>
  <c r="J171" i="30"/>
  <c r="I172" i="30"/>
  <c r="J172" i="30"/>
  <c r="I173" i="30"/>
  <c r="J173" i="30"/>
  <c r="I174" i="30"/>
  <c r="J174" i="30"/>
  <c r="I175" i="30"/>
  <c r="J175" i="30"/>
  <c r="I176" i="30"/>
  <c r="J176" i="30"/>
  <c r="I177" i="30"/>
  <c r="J177" i="30"/>
  <c r="I178" i="30"/>
  <c r="J178" i="30"/>
  <c r="I179" i="30"/>
  <c r="J179" i="30"/>
  <c r="I180" i="30"/>
  <c r="J180" i="30"/>
  <c r="I181" i="30"/>
  <c r="J181" i="30"/>
  <c r="I182" i="30"/>
  <c r="J182" i="30"/>
  <c r="I183" i="30"/>
  <c r="J183" i="30"/>
  <c r="I184" i="30"/>
  <c r="J184" i="30"/>
  <c r="I185" i="30"/>
  <c r="J185" i="30"/>
  <c r="I186" i="30"/>
  <c r="J186" i="30"/>
  <c r="I187" i="30"/>
  <c r="J187" i="30"/>
  <c r="I188" i="30"/>
  <c r="J188" i="30"/>
  <c r="I189" i="30"/>
  <c r="J189" i="30"/>
  <c r="I190" i="30"/>
  <c r="J190" i="30"/>
  <c r="I191" i="30"/>
  <c r="J191" i="30"/>
  <c r="I192" i="30"/>
  <c r="J192" i="30"/>
  <c r="I193" i="30"/>
  <c r="J193" i="30"/>
  <c r="I194" i="30"/>
  <c r="J194" i="30"/>
  <c r="I195" i="30"/>
  <c r="J195" i="30"/>
  <c r="I196" i="30"/>
  <c r="J196" i="30"/>
  <c r="I197" i="30"/>
  <c r="J197" i="30"/>
  <c r="I198" i="30"/>
  <c r="J198" i="30"/>
  <c r="I199" i="30"/>
  <c r="J199" i="30"/>
  <c r="I200" i="30"/>
  <c r="J200" i="30"/>
  <c r="I201" i="30"/>
  <c r="J201" i="30"/>
  <c r="I202" i="30"/>
  <c r="J202" i="30"/>
  <c r="I203" i="30"/>
  <c r="J203" i="30"/>
  <c r="I204" i="30"/>
  <c r="J204" i="30"/>
  <c r="I205" i="30"/>
  <c r="J205" i="30"/>
  <c r="I206" i="30"/>
  <c r="J206" i="30"/>
  <c r="I207" i="30"/>
  <c r="J207" i="30"/>
  <c r="I208" i="30"/>
  <c r="J208" i="30"/>
  <c r="I209" i="30"/>
  <c r="J209" i="30"/>
  <c r="I210" i="30"/>
  <c r="J210" i="30"/>
  <c r="I211" i="30"/>
  <c r="J211" i="30"/>
  <c r="I212" i="30"/>
  <c r="J212" i="30"/>
  <c r="I213" i="30"/>
  <c r="J213" i="30"/>
  <c r="I214" i="30"/>
  <c r="J214" i="30"/>
  <c r="I215" i="30"/>
  <c r="J215" i="30"/>
  <c r="I216" i="30"/>
  <c r="J216" i="30"/>
  <c r="I217" i="30"/>
  <c r="J217" i="30"/>
  <c r="I218" i="30"/>
  <c r="J218" i="30"/>
  <c r="I219" i="30"/>
  <c r="J219" i="30"/>
  <c r="I220" i="30"/>
  <c r="J220" i="30"/>
  <c r="I221" i="30"/>
  <c r="J221" i="30"/>
  <c r="I222" i="30"/>
  <c r="J222" i="30"/>
  <c r="I223" i="30"/>
  <c r="J223" i="30"/>
  <c r="I224" i="30"/>
  <c r="J224" i="30"/>
  <c r="I225" i="30"/>
  <c r="J225" i="30"/>
  <c r="I226" i="30"/>
  <c r="J226" i="30"/>
  <c r="I227" i="30"/>
  <c r="J227" i="30"/>
  <c r="I228" i="30"/>
  <c r="J228" i="30"/>
  <c r="I229" i="30"/>
  <c r="J229" i="30"/>
  <c r="I230" i="30"/>
  <c r="J230" i="30"/>
  <c r="I231" i="30"/>
  <c r="J231" i="30"/>
  <c r="I232" i="30"/>
  <c r="J232" i="30"/>
  <c r="I233" i="30"/>
  <c r="J233" i="30"/>
  <c r="I234" i="30"/>
  <c r="J234" i="30"/>
  <c r="I235" i="30"/>
  <c r="J235" i="30"/>
  <c r="I236" i="30"/>
  <c r="J236" i="30"/>
  <c r="I237" i="30"/>
  <c r="J237" i="30"/>
  <c r="I238" i="30"/>
  <c r="J238" i="30"/>
  <c r="I239" i="30"/>
  <c r="J239" i="30"/>
  <c r="I240" i="30"/>
  <c r="J240" i="30"/>
  <c r="I241" i="30"/>
  <c r="J241" i="30"/>
  <c r="I242" i="30"/>
  <c r="J242" i="30"/>
  <c r="I243" i="30"/>
  <c r="J243" i="30"/>
  <c r="I244" i="30"/>
  <c r="J244" i="30"/>
  <c r="I245" i="30"/>
  <c r="J245" i="30"/>
  <c r="I246" i="30"/>
  <c r="J246" i="30"/>
  <c r="I247" i="30"/>
  <c r="J247" i="30"/>
  <c r="I248" i="30"/>
  <c r="J248" i="30"/>
  <c r="I249" i="30"/>
  <c r="J249" i="30"/>
  <c r="I250" i="30"/>
  <c r="J250" i="30"/>
  <c r="I251" i="30"/>
  <c r="J251" i="30"/>
  <c r="I252" i="30"/>
  <c r="J252" i="30"/>
  <c r="I253" i="30"/>
  <c r="J253" i="30"/>
  <c r="I254" i="30"/>
  <c r="J254" i="30"/>
  <c r="I255" i="30"/>
  <c r="J255" i="30"/>
  <c r="I256" i="30"/>
  <c r="J256" i="30"/>
  <c r="I257" i="30"/>
  <c r="J257" i="30"/>
  <c r="I258" i="30"/>
  <c r="J258" i="30"/>
  <c r="I259" i="30"/>
  <c r="J259" i="30"/>
  <c r="I260" i="30"/>
  <c r="J260" i="30"/>
  <c r="I261" i="30"/>
  <c r="J261" i="30"/>
  <c r="I262" i="30"/>
  <c r="J262" i="30"/>
  <c r="I263" i="30"/>
  <c r="J263" i="30"/>
  <c r="I264" i="30"/>
  <c r="J264" i="30"/>
  <c r="I265" i="30"/>
  <c r="J265" i="30"/>
  <c r="I266" i="30"/>
  <c r="J266" i="30"/>
  <c r="I267" i="30"/>
  <c r="J267" i="30"/>
  <c r="I268" i="30"/>
  <c r="J268" i="30"/>
  <c r="I269" i="30"/>
  <c r="J269" i="30"/>
  <c r="I270" i="30"/>
  <c r="J270" i="30"/>
  <c r="I271" i="30"/>
  <c r="J271" i="30"/>
  <c r="I272" i="30"/>
  <c r="J272" i="30"/>
  <c r="I273" i="30"/>
  <c r="J273" i="30"/>
  <c r="I274" i="30"/>
  <c r="J274" i="30"/>
  <c r="I275" i="30"/>
  <c r="J275" i="30"/>
  <c r="I276" i="30"/>
  <c r="J276" i="30"/>
  <c r="I277" i="30"/>
  <c r="J277" i="30"/>
  <c r="I278" i="30"/>
  <c r="J278" i="30"/>
  <c r="I279" i="30"/>
  <c r="J279" i="30"/>
  <c r="I280" i="30"/>
  <c r="J280" i="30"/>
  <c r="I281" i="30"/>
  <c r="J281" i="30"/>
  <c r="I282" i="30"/>
  <c r="J282" i="30"/>
  <c r="I283" i="30"/>
  <c r="J283" i="30"/>
  <c r="I284" i="30"/>
  <c r="J284" i="30"/>
  <c r="I285" i="30"/>
  <c r="J285" i="30"/>
  <c r="I286" i="30"/>
  <c r="J286" i="30"/>
  <c r="I287" i="30"/>
  <c r="J287" i="30"/>
  <c r="I288" i="30"/>
  <c r="J288" i="30"/>
  <c r="I289" i="30"/>
  <c r="J289" i="30"/>
  <c r="I290" i="30"/>
  <c r="J290" i="30"/>
  <c r="I291" i="30"/>
  <c r="J291" i="30"/>
  <c r="I292" i="30"/>
  <c r="J292" i="30"/>
  <c r="I293" i="30"/>
  <c r="J293" i="30"/>
  <c r="I294" i="30"/>
  <c r="J294" i="30"/>
  <c r="I295" i="30"/>
  <c r="J295" i="30"/>
  <c r="I296" i="30"/>
  <c r="J296" i="30"/>
  <c r="I297" i="30"/>
  <c r="J297" i="30"/>
  <c r="I298" i="30"/>
  <c r="J298" i="30"/>
  <c r="I299" i="30"/>
  <c r="J299" i="30"/>
  <c r="I300" i="30"/>
  <c r="J300" i="30"/>
  <c r="I301" i="30"/>
  <c r="J301" i="30"/>
  <c r="I302" i="30"/>
  <c r="J302" i="30"/>
  <c r="I303" i="30"/>
  <c r="J303" i="30"/>
  <c r="I304" i="30"/>
  <c r="J304" i="30"/>
  <c r="I305" i="30"/>
  <c r="J305" i="30"/>
  <c r="I306" i="30"/>
  <c r="J306" i="30"/>
  <c r="I307" i="30"/>
  <c r="J307" i="30"/>
  <c r="I308" i="30"/>
  <c r="J308" i="30"/>
  <c r="I309" i="30"/>
  <c r="J309" i="30"/>
  <c r="I310" i="30"/>
  <c r="J310" i="30"/>
  <c r="I311" i="30"/>
  <c r="J311" i="30"/>
  <c r="I312" i="30"/>
  <c r="J312" i="30"/>
  <c r="I313" i="30"/>
  <c r="J313" i="30"/>
  <c r="I314" i="30"/>
  <c r="J314" i="30"/>
  <c r="I315" i="30"/>
  <c r="J315" i="30"/>
  <c r="I316" i="30"/>
  <c r="J316" i="30"/>
  <c r="I317" i="30"/>
  <c r="J317" i="30"/>
  <c r="I318" i="30"/>
  <c r="J318" i="30"/>
  <c r="I319" i="30"/>
  <c r="J319" i="30"/>
  <c r="I320" i="30"/>
  <c r="J320" i="30"/>
  <c r="I321" i="30"/>
  <c r="J321" i="30"/>
  <c r="I322" i="30"/>
  <c r="J322" i="30"/>
  <c r="I323" i="30"/>
  <c r="J323" i="30"/>
  <c r="I324" i="30"/>
  <c r="J324" i="30"/>
  <c r="I325" i="30"/>
  <c r="J325" i="30"/>
  <c r="I326" i="30"/>
  <c r="J326" i="30"/>
  <c r="I327" i="30"/>
  <c r="J327" i="30"/>
  <c r="I328" i="30"/>
  <c r="J328" i="30"/>
  <c r="I329" i="30"/>
  <c r="J329" i="30"/>
  <c r="J6" i="30"/>
  <c r="I6" i="30"/>
  <c r="J5" i="30" l="1"/>
  <c r="BR6" i="31" l="1"/>
  <c r="BQ6" i="31"/>
  <c r="BP6" i="31"/>
  <c r="BO6" i="31"/>
  <c r="BN6" i="31"/>
  <c r="BM6" i="31"/>
  <c r="BL6" i="31"/>
  <c r="BK6" i="31"/>
  <c r="BJ6" i="31" l="1"/>
  <c r="BI6" i="31"/>
  <c r="BH6" i="31"/>
  <c r="BG6" i="31"/>
  <c r="BC6" i="31"/>
  <c r="BB6" i="31"/>
  <c r="BA6" i="31"/>
  <c r="AZ6" i="31"/>
  <c r="AY6" i="31"/>
  <c r="AX6" i="31"/>
  <c r="AW6" i="31"/>
  <c r="AU6" i="31"/>
  <c r="AT6" i="31"/>
  <c r="AS6" i="31"/>
  <c r="AR6" i="31"/>
  <c r="AQ6" i="31"/>
  <c r="AP6" i="31"/>
  <c r="AO6" i="31"/>
  <c r="AN6" i="31"/>
  <c r="AM6" i="31"/>
  <c r="AL6" i="31"/>
  <c r="AK6" i="31"/>
  <c r="AJ6" i="31" l="1"/>
  <c r="AI6" i="31"/>
  <c r="AH6" i="31"/>
  <c r="AG6" i="31"/>
  <c r="AF6" i="31"/>
  <c r="AE6" i="31"/>
  <c r="AD6" i="31"/>
  <c r="AC6" i="31"/>
  <c r="AB6" i="31"/>
  <c r="AA6" i="31"/>
  <c r="Z6" i="31"/>
  <c r="D6" i="31"/>
  <c r="AZ6" i="30"/>
  <c r="AY6" i="30"/>
  <c r="AX6" i="30"/>
  <c r="AW6" i="30"/>
  <c r="BC40" i="30"/>
  <c r="AW8" i="30"/>
  <c r="AX8" i="30"/>
  <c r="AY8" i="30"/>
  <c r="AZ8" i="30"/>
  <c r="BA8" i="30"/>
  <c r="BB8" i="30"/>
  <c r="AW9" i="30"/>
  <c r="AX9" i="30"/>
  <c r="AY9" i="30"/>
  <c r="AZ9" i="30"/>
  <c r="BA9" i="30"/>
  <c r="BB9" i="30"/>
  <c r="AW10" i="30"/>
  <c r="AX10" i="30"/>
  <c r="AY10" i="30"/>
  <c r="AZ10" i="30"/>
  <c r="BA10" i="30"/>
  <c r="BB10" i="30"/>
  <c r="AW11" i="30"/>
  <c r="AX11" i="30"/>
  <c r="AY11" i="30"/>
  <c r="AZ11" i="30"/>
  <c r="BA11" i="30"/>
  <c r="BB11" i="30"/>
  <c r="AW12" i="30"/>
  <c r="AX12" i="30"/>
  <c r="AY12" i="30"/>
  <c r="AZ12" i="30"/>
  <c r="BA12" i="30"/>
  <c r="BB12" i="30"/>
  <c r="AW13" i="30"/>
  <c r="AX13" i="30"/>
  <c r="AY13" i="30"/>
  <c r="AZ13" i="30"/>
  <c r="BA13" i="30"/>
  <c r="BB13" i="30"/>
  <c r="AW15" i="30"/>
  <c r="AX15" i="30"/>
  <c r="AY15" i="30"/>
  <c r="AZ15" i="30"/>
  <c r="BA15" i="30"/>
  <c r="BB15" i="30"/>
  <c r="AW16" i="30"/>
  <c r="AX16" i="30"/>
  <c r="AY16" i="30"/>
  <c r="AZ16" i="30"/>
  <c r="BA16" i="30"/>
  <c r="BB16" i="30"/>
  <c r="AW17" i="30"/>
  <c r="AX17" i="30"/>
  <c r="AY17" i="30"/>
  <c r="AZ17" i="30"/>
  <c r="BA17" i="30"/>
  <c r="BB17" i="30"/>
  <c r="AW18" i="30"/>
  <c r="AX18" i="30"/>
  <c r="AY18" i="30"/>
  <c r="AZ18" i="30"/>
  <c r="BA18" i="30"/>
  <c r="BB18" i="30"/>
  <c r="AW19" i="30"/>
  <c r="AX19" i="30"/>
  <c r="AY19" i="30"/>
  <c r="AZ19" i="30"/>
  <c r="BA19" i="30"/>
  <c r="BB19" i="30"/>
  <c r="AW20" i="30"/>
  <c r="AX20" i="30"/>
  <c r="AY20" i="30"/>
  <c r="AZ20" i="30"/>
  <c r="BA20" i="30"/>
  <c r="BB20" i="30"/>
  <c r="AW21" i="30"/>
  <c r="AX21" i="30"/>
  <c r="AY21" i="30"/>
  <c r="AZ21" i="30"/>
  <c r="BA21" i="30"/>
  <c r="BB21" i="30"/>
  <c r="AW22" i="30"/>
  <c r="AX22" i="30"/>
  <c r="AY22" i="30"/>
  <c r="AZ22" i="30"/>
  <c r="BA22" i="30"/>
  <c r="BB22" i="30"/>
  <c r="AW23" i="30"/>
  <c r="AX23" i="30"/>
  <c r="AY23" i="30"/>
  <c r="AZ23" i="30"/>
  <c r="BA23" i="30"/>
  <c r="BB23" i="30"/>
  <c r="AW24" i="30"/>
  <c r="AX24" i="30"/>
  <c r="AY24" i="30"/>
  <c r="AZ24" i="30"/>
  <c r="BA24" i="30"/>
  <c r="BB24" i="30"/>
  <c r="AW25" i="30"/>
  <c r="AX25" i="30"/>
  <c r="AY25" i="30"/>
  <c r="AZ25" i="30"/>
  <c r="BA25" i="30"/>
  <c r="BB25" i="30"/>
  <c r="AW26" i="30"/>
  <c r="AX26" i="30"/>
  <c r="AY26" i="30"/>
  <c r="AZ26" i="30"/>
  <c r="BA26" i="30"/>
  <c r="BB26" i="30"/>
  <c r="AW27" i="30"/>
  <c r="AX27" i="30"/>
  <c r="AY27" i="30"/>
  <c r="AZ27" i="30"/>
  <c r="BA27" i="30"/>
  <c r="BB27" i="30"/>
  <c r="AW28" i="30"/>
  <c r="AX28" i="30"/>
  <c r="AY28" i="30"/>
  <c r="AZ28" i="30"/>
  <c r="BA28" i="30"/>
  <c r="BB28" i="30"/>
  <c r="AW29" i="30"/>
  <c r="AX29" i="30"/>
  <c r="AY29" i="30"/>
  <c r="AZ29" i="30"/>
  <c r="BA29" i="30"/>
  <c r="BB29" i="30"/>
  <c r="AW30" i="30"/>
  <c r="AX30" i="30"/>
  <c r="AY30" i="30"/>
  <c r="AZ30" i="30"/>
  <c r="BA30" i="30"/>
  <c r="BB30" i="30"/>
  <c r="AW31" i="30"/>
  <c r="AX31" i="30"/>
  <c r="AY31" i="30"/>
  <c r="AZ31" i="30"/>
  <c r="BA31" i="30"/>
  <c r="BB31" i="30"/>
  <c r="AW32" i="30"/>
  <c r="AX32" i="30"/>
  <c r="AY32" i="30"/>
  <c r="AZ32" i="30"/>
  <c r="BA32" i="30"/>
  <c r="BB32" i="30"/>
  <c r="AW33" i="30"/>
  <c r="AX33" i="30"/>
  <c r="AY33" i="30"/>
  <c r="AZ33" i="30"/>
  <c r="BA33" i="30"/>
  <c r="BB33" i="30"/>
  <c r="AW34" i="30"/>
  <c r="AX34" i="30"/>
  <c r="AY34" i="30"/>
  <c r="AZ34" i="30"/>
  <c r="BA34" i="30"/>
  <c r="BB34" i="30"/>
  <c r="AW35" i="30"/>
  <c r="AX35" i="30"/>
  <c r="AY35" i="30"/>
  <c r="AZ35" i="30"/>
  <c r="BA35" i="30"/>
  <c r="BB35" i="30"/>
  <c r="AW36" i="30"/>
  <c r="AX36" i="30"/>
  <c r="AY36" i="30"/>
  <c r="AZ36" i="30"/>
  <c r="BA36" i="30"/>
  <c r="BB36" i="30"/>
  <c r="AW37" i="30"/>
  <c r="AX37" i="30"/>
  <c r="AY37" i="30"/>
  <c r="AZ37" i="30"/>
  <c r="BA37" i="30"/>
  <c r="BB37" i="30"/>
  <c r="AW38" i="30"/>
  <c r="AX38" i="30"/>
  <c r="AY38" i="30"/>
  <c r="AZ38" i="30"/>
  <c r="BA38" i="30"/>
  <c r="BB38" i="30"/>
  <c r="AW39" i="30"/>
  <c r="AX39" i="30"/>
  <c r="AY39" i="30"/>
  <c r="AZ39" i="30"/>
  <c r="BA39" i="30"/>
  <c r="BB39" i="30"/>
  <c r="AW41" i="30"/>
  <c r="AX41" i="30"/>
  <c r="AY41" i="30"/>
  <c r="AZ41" i="30"/>
  <c r="BA41" i="30"/>
  <c r="BB41" i="30"/>
  <c r="AW42" i="30"/>
  <c r="AX42" i="30"/>
  <c r="AY42" i="30"/>
  <c r="AZ42" i="30"/>
  <c r="BA42" i="30"/>
  <c r="BB42" i="30"/>
  <c r="AW43" i="30"/>
  <c r="AX43" i="30"/>
  <c r="AY43" i="30"/>
  <c r="AZ43" i="30"/>
  <c r="BA43" i="30"/>
  <c r="BB43" i="30"/>
  <c r="AW44" i="30"/>
  <c r="AX44" i="30"/>
  <c r="AY44" i="30"/>
  <c r="AZ44" i="30"/>
  <c r="BA44" i="30"/>
  <c r="BB44" i="30"/>
  <c r="AW45" i="30"/>
  <c r="AX45" i="30"/>
  <c r="AY45" i="30"/>
  <c r="AZ45" i="30"/>
  <c r="BA45" i="30"/>
  <c r="BB45" i="30"/>
  <c r="AW46" i="30"/>
  <c r="AX46" i="30"/>
  <c r="AY46" i="30"/>
  <c r="AZ46" i="30"/>
  <c r="BA46" i="30"/>
  <c r="BB46" i="30"/>
  <c r="AW47" i="30"/>
  <c r="AX47" i="30"/>
  <c r="AY47" i="30"/>
  <c r="AZ47" i="30"/>
  <c r="BA47" i="30"/>
  <c r="BB47" i="30"/>
  <c r="AW48" i="30"/>
  <c r="AX48" i="30"/>
  <c r="AY48" i="30"/>
  <c r="AZ48" i="30"/>
  <c r="BA48" i="30"/>
  <c r="BB48" i="30"/>
  <c r="AW49" i="30"/>
  <c r="AX49" i="30"/>
  <c r="AY49" i="30"/>
  <c r="AZ49" i="30"/>
  <c r="BA49" i="30"/>
  <c r="BB49" i="30"/>
  <c r="AW51" i="30"/>
  <c r="AX51" i="30"/>
  <c r="AY51" i="30"/>
  <c r="AZ51" i="30"/>
  <c r="BA51" i="30"/>
  <c r="BB51" i="30"/>
  <c r="AW52" i="30"/>
  <c r="AX52" i="30"/>
  <c r="AY52" i="30"/>
  <c r="AZ52" i="30"/>
  <c r="BA52" i="30"/>
  <c r="BB52" i="30"/>
  <c r="AW53" i="30"/>
  <c r="AX53" i="30"/>
  <c r="AY53" i="30"/>
  <c r="AZ53" i="30"/>
  <c r="BA53" i="30"/>
  <c r="BB53" i="30"/>
  <c r="AW54" i="30"/>
  <c r="AX54" i="30"/>
  <c r="AY54" i="30"/>
  <c r="AZ54" i="30"/>
  <c r="BA54" i="30"/>
  <c r="BB54" i="30"/>
  <c r="AW55" i="30"/>
  <c r="AX55" i="30"/>
  <c r="AY55" i="30"/>
  <c r="AZ55" i="30"/>
  <c r="BA55" i="30"/>
  <c r="BB55" i="30"/>
  <c r="AW56" i="30"/>
  <c r="AX56" i="30"/>
  <c r="AY56" i="30"/>
  <c r="AZ56" i="30"/>
  <c r="BA56" i="30"/>
  <c r="BB56" i="30"/>
  <c r="AW57" i="30"/>
  <c r="AX57" i="30"/>
  <c r="AY57" i="30"/>
  <c r="AZ57" i="30"/>
  <c r="BA57" i="30"/>
  <c r="BB57" i="30"/>
  <c r="AW58" i="30"/>
  <c r="AX58" i="30"/>
  <c r="AY58" i="30"/>
  <c r="AZ58" i="30"/>
  <c r="BA58" i="30"/>
  <c r="BB58" i="30"/>
  <c r="AW59" i="30"/>
  <c r="AX59" i="30"/>
  <c r="AY59" i="30"/>
  <c r="AZ59" i="30"/>
  <c r="BA59" i="30"/>
  <c r="BB59" i="30"/>
  <c r="AW60" i="30"/>
  <c r="AX60" i="30"/>
  <c r="AY60" i="30"/>
  <c r="AZ60" i="30"/>
  <c r="BA60" i="30"/>
  <c r="BB60" i="30"/>
  <c r="AW61" i="30"/>
  <c r="AX61" i="30"/>
  <c r="AY61" i="30"/>
  <c r="AZ61" i="30"/>
  <c r="BA61" i="30"/>
  <c r="BB61" i="30"/>
  <c r="AW62" i="30"/>
  <c r="AX62" i="30"/>
  <c r="AY62" i="30"/>
  <c r="AZ62" i="30"/>
  <c r="BA62" i="30"/>
  <c r="BB62" i="30"/>
  <c r="AW64" i="30"/>
  <c r="AX64" i="30"/>
  <c r="AY64" i="30"/>
  <c r="AZ64" i="30"/>
  <c r="BA64" i="30"/>
  <c r="BB64" i="30"/>
  <c r="AW65" i="30"/>
  <c r="AX65" i="30"/>
  <c r="AY65" i="30"/>
  <c r="AZ65" i="30"/>
  <c r="BA65" i="30"/>
  <c r="BB65" i="30"/>
  <c r="AW66" i="30"/>
  <c r="AX66" i="30"/>
  <c r="AY66" i="30"/>
  <c r="AZ66" i="30"/>
  <c r="BA66" i="30"/>
  <c r="BB66" i="30"/>
  <c r="AW67" i="30"/>
  <c r="AX67" i="30"/>
  <c r="AY67" i="30"/>
  <c r="AZ67" i="30"/>
  <c r="BA67" i="30"/>
  <c r="BB67" i="30"/>
  <c r="AW68" i="30"/>
  <c r="AX68" i="30"/>
  <c r="AY68" i="30"/>
  <c r="AZ68" i="30"/>
  <c r="BA68" i="30"/>
  <c r="BB68" i="30"/>
  <c r="AW69" i="30"/>
  <c r="AX69" i="30"/>
  <c r="AY69" i="30"/>
  <c r="AZ69" i="30"/>
  <c r="BA69" i="30"/>
  <c r="BB69" i="30"/>
  <c r="AW70" i="30"/>
  <c r="AX70" i="30"/>
  <c r="AY70" i="30"/>
  <c r="AZ70" i="30"/>
  <c r="BA70" i="30"/>
  <c r="BB70" i="30"/>
  <c r="AW71" i="30"/>
  <c r="AX71" i="30"/>
  <c r="AY71" i="30"/>
  <c r="AZ71" i="30"/>
  <c r="BA71" i="30"/>
  <c r="BB71" i="30"/>
  <c r="AW72" i="30"/>
  <c r="AX72" i="30"/>
  <c r="AY72" i="30"/>
  <c r="AZ72" i="30"/>
  <c r="BA72" i="30"/>
  <c r="BB72" i="30"/>
  <c r="AW73" i="30"/>
  <c r="AX73" i="30"/>
  <c r="AY73" i="30"/>
  <c r="AZ73" i="30"/>
  <c r="BA73" i="30"/>
  <c r="BB73" i="30"/>
  <c r="AW74" i="30"/>
  <c r="AX74" i="30"/>
  <c r="AY74" i="30"/>
  <c r="AZ74" i="30"/>
  <c r="BA74" i="30"/>
  <c r="BB74" i="30"/>
  <c r="AW75" i="30"/>
  <c r="AX75" i="30"/>
  <c r="AY75" i="30"/>
  <c r="AZ75" i="30"/>
  <c r="BA75" i="30"/>
  <c r="BB75" i="30"/>
  <c r="AW76" i="30"/>
  <c r="AX76" i="30"/>
  <c r="AY76" i="30"/>
  <c r="AZ76" i="30"/>
  <c r="BA76" i="30"/>
  <c r="BB76" i="30"/>
  <c r="AW77" i="30"/>
  <c r="AX77" i="30"/>
  <c r="AY77" i="30"/>
  <c r="AZ77" i="30"/>
  <c r="BA77" i="30"/>
  <c r="BB77" i="30"/>
  <c r="AW78" i="30"/>
  <c r="AX78" i="30"/>
  <c r="AY78" i="30"/>
  <c r="AZ78" i="30"/>
  <c r="BA78" i="30"/>
  <c r="BB78" i="30"/>
  <c r="AW79" i="30"/>
  <c r="AX79" i="30"/>
  <c r="AY79" i="30"/>
  <c r="AZ79" i="30"/>
  <c r="BA79" i="30"/>
  <c r="BB79" i="30"/>
  <c r="AW80" i="30"/>
  <c r="AX80" i="30"/>
  <c r="AY80" i="30"/>
  <c r="AZ80" i="30"/>
  <c r="BA80" i="30"/>
  <c r="BB80" i="30"/>
  <c r="AW81" i="30"/>
  <c r="AX81" i="30"/>
  <c r="AY81" i="30"/>
  <c r="AZ81" i="30"/>
  <c r="BA81" i="30"/>
  <c r="BB81" i="30"/>
  <c r="AW83" i="30"/>
  <c r="AX83" i="30"/>
  <c r="AY83" i="30"/>
  <c r="AZ83" i="30"/>
  <c r="BA83" i="30"/>
  <c r="BB83" i="30"/>
  <c r="AW87" i="30"/>
  <c r="AX87" i="30"/>
  <c r="AY87" i="30"/>
  <c r="AZ87" i="30"/>
  <c r="BA87" i="30"/>
  <c r="BB87" i="30"/>
  <c r="AW88" i="30"/>
  <c r="AX88" i="30"/>
  <c r="AY88" i="30"/>
  <c r="AZ88" i="30"/>
  <c r="BA88" i="30"/>
  <c r="BB88" i="30"/>
  <c r="AW89" i="30"/>
  <c r="AX89" i="30"/>
  <c r="AY89" i="30"/>
  <c r="AZ89" i="30"/>
  <c r="BA89" i="30"/>
  <c r="BB89" i="30"/>
  <c r="AW90" i="30"/>
  <c r="AX90" i="30"/>
  <c r="AY90" i="30"/>
  <c r="AZ90" i="30"/>
  <c r="BA90" i="30"/>
  <c r="BB90" i="30"/>
  <c r="AW91" i="30"/>
  <c r="AX91" i="30"/>
  <c r="AY91" i="30"/>
  <c r="AZ91" i="30"/>
  <c r="BA91" i="30"/>
  <c r="BB91" i="30"/>
  <c r="AW92" i="30"/>
  <c r="AX92" i="30"/>
  <c r="AY92" i="30"/>
  <c r="AZ92" i="30"/>
  <c r="BA92" i="30"/>
  <c r="BB92" i="30"/>
  <c r="AW93" i="30"/>
  <c r="AX93" i="30"/>
  <c r="AY93" i="30"/>
  <c r="AZ93" i="30"/>
  <c r="BA93" i="30"/>
  <c r="BB93" i="30"/>
  <c r="AW94" i="30"/>
  <c r="AX94" i="30"/>
  <c r="AY94" i="30"/>
  <c r="AZ94" i="30"/>
  <c r="BA94" i="30"/>
  <c r="BB94" i="30"/>
  <c r="AW95" i="30"/>
  <c r="AX95" i="30"/>
  <c r="AY95" i="30"/>
  <c r="AZ95" i="30"/>
  <c r="BA95" i="30"/>
  <c r="BB95" i="30"/>
  <c r="AW96" i="30"/>
  <c r="AX96" i="30"/>
  <c r="AY96" i="30"/>
  <c r="AZ96" i="30"/>
  <c r="BA96" i="30"/>
  <c r="BB96" i="30"/>
  <c r="AW97" i="30"/>
  <c r="AX97" i="30"/>
  <c r="AY97" i="30"/>
  <c r="AZ97" i="30"/>
  <c r="BA97" i="30"/>
  <c r="BB97" i="30"/>
  <c r="AW98" i="30"/>
  <c r="AX98" i="30"/>
  <c r="AY98" i="30"/>
  <c r="AZ98" i="30"/>
  <c r="BA98" i="30"/>
  <c r="BB98" i="30"/>
  <c r="AW99" i="30"/>
  <c r="AX99" i="30"/>
  <c r="AY99" i="30"/>
  <c r="AZ99" i="30"/>
  <c r="BA99" i="30"/>
  <c r="BB99" i="30"/>
  <c r="AW100" i="30"/>
  <c r="AX100" i="30"/>
  <c r="AY100" i="30"/>
  <c r="AZ100" i="30"/>
  <c r="BA100" i="30"/>
  <c r="BB100" i="30"/>
  <c r="AW101" i="30"/>
  <c r="AX101" i="30"/>
  <c r="AY101" i="30"/>
  <c r="AZ101" i="30"/>
  <c r="BA101" i="30"/>
  <c r="BB101" i="30"/>
  <c r="AW102" i="30"/>
  <c r="AX102" i="30"/>
  <c r="AY102" i="30"/>
  <c r="AZ102" i="30"/>
  <c r="BA102" i="30"/>
  <c r="BB102" i="30"/>
  <c r="AW103" i="30"/>
  <c r="AX103" i="30"/>
  <c r="AY103" i="30"/>
  <c r="AZ103" i="30"/>
  <c r="BA103" i="30"/>
  <c r="BB103" i="30"/>
  <c r="AW104" i="30"/>
  <c r="AX104" i="30"/>
  <c r="AY104" i="30"/>
  <c r="AZ104" i="30"/>
  <c r="BA104" i="30"/>
  <c r="BB104" i="30"/>
  <c r="AW105" i="30"/>
  <c r="AX105" i="30"/>
  <c r="AY105" i="30"/>
  <c r="AZ105" i="30"/>
  <c r="BA105" i="30"/>
  <c r="BB105" i="30"/>
  <c r="AW106" i="30"/>
  <c r="AX106" i="30"/>
  <c r="AY106" i="30"/>
  <c r="AZ106" i="30"/>
  <c r="BA106" i="30"/>
  <c r="BB106" i="30"/>
  <c r="AW107" i="30"/>
  <c r="AX107" i="30"/>
  <c r="AY107" i="30"/>
  <c r="AZ107" i="30"/>
  <c r="BA107" i="30"/>
  <c r="BB107" i="30"/>
  <c r="AW108" i="30"/>
  <c r="AX108" i="30"/>
  <c r="AY108" i="30"/>
  <c r="AZ108" i="30"/>
  <c r="BA108" i="30"/>
  <c r="BB108" i="30"/>
  <c r="AW109" i="30"/>
  <c r="AX109" i="30"/>
  <c r="AY109" i="30"/>
  <c r="AZ109" i="30"/>
  <c r="BA109" i="30"/>
  <c r="BB109" i="30"/>
  <c r="AW110" i="30"/>
  <c r="AX110" i="30"/>
  <c r="AY110" i="30"/>
  <c r="AZ110" i="30"/>
  <c r="BA110" i="30"/>
  <c r="BB110" i="30"/>
  <c r="AW111" i="30"/>
  <c r="AX111" i="30"/>
  <c r="AY111" i="30"/>
  <c r="AZ111" i="30"/>
  <c r="BA111" i="30"/>
  <c r="BB111" i="30"/>
  <c r="AW112" i="30"/>
  <c r="AX112" i="30"/>
  <c r="AY112" i="30"/>
  <c r="AZ112" i="30"/>
  <c r="BA112" i="30"/>
  <c r="BB112" i="30"/>
  <c r="AW113" i="30"/>
  <c r="AX113" i="30"/>
  <c r="AY113" i="30"/>
  <c r="AZ113" i="30"/>
  <c r="BA113" i="30"/>
  <c r="BB113" i="30"/>
  <c r="AW114" i="30"/>
  <c r="AX114" i="30"/>
  <c r="AY114" i="30"/>
  <c r="AZ114" i="30"/>
  <c r="BA114" i="30"/>
  <c r="BB114" i="30"/>
  <c r="AW115" i="30"/>
  <c r="AX115" i="30"/>
  <c r="AY115" i="30"/>
  <c r="AZ115" i="30"/>
  <c r="BA115" i="30"/>
  <c r="BB115" i="30"/>
  <c r="AW117" i="30"/>
  <c r="AX117" i="30"/>
  <c r="AY117" i="30"/>
  <c r="AZ117" i="30"/>
  <c r="BA117" i="30"/>
  <c r="BB117" i="30"/>
  <c r="AW118" i="30"/>
  <c r="AX118" i="30"/>
  <c r="AY118" i="30"/>
  <c r="AZ118" i="30"/>
  <c r="BA118" i="30"/>
  <c r="BB118" i="30"/>
  <c r="AW119" i="30"/>
  <c r="AX119" i="30"/>
  <c r="AY119" i="30"/>
  <c r="AZ119" i="30"/>
  <c r="BA119" i="30"/>
  <c r="BB119" i="30"/>
  <c r="AW120" i="30"/>
  <c r="AX120" i="30"/>
  <c r="AY120" i="30"/>
  <c r="AZ120" i="30"/>
  <c r="BA120" i="30"/>
  <c r="BB120" i="30"/>
  <c r="AW121" i="30"/>
  <c r="AX121" i="30"/>
  <c r="AY121" i="30"/>
  <c r="AZ121" i="30"/>
  <c r="BA121" i="30"/>
  <c r="BB121" i="30"/>
  <c r="AW122" i="30"/>
  <c r="AX122" i="30"/>
  <c r="AY122" i="30"/>
  <c r="AZ122" i="30"/>
  <c r="BA122" i="30"/>
  <c r="BB122" i="30"/>
  <c r="AW123" i="30"/>
  <c r="AX123" i="30"/>
  <c r="AY123" i="30"/>
  <c r="AZ123" i="30"/>
  <c r="BA123" i="30"/>
  <c r="BB123" i="30"/>
  <c r="AW124" i="30"/>
  <c r="AX124" i="30"/>
  <c r="AY124" i="30"/>
  <c r="AZ124" i="30"/>
  <c r="BA124" i="30"/>
  <c r="BB124" i="30"/>
  <c r="AW125" i="30"/>
  <c r="AX125" i="30"/>
  <c r="AY125" i="30"/>
  <c r="AZ125" i="30"/>
  <c r="BA125" i="30"/>
  <c r="BB125" i="30"/>
  <c r="AW126" i="30"/>
  <c r="AX126" i="30"/>
  <c r="AY126" i="30"/>
  <c r="AZ126" i="30"/>
  <c r="BA126" i="30"/>
  <c r="BB126" i="30"/>
  <c r="AW127" i="30"/>
  <c r="AX127" i="30"/>
  <c r="AY127" i="30"/>
  <c r="AZ127" i="30"/>
  <c r="BA127" i="30"/>
  <c r="BB127" i="30"/>
  <c r="AW128" i="30"/>
  <c r="AX128" i="30"/>
  <c r="AY128" i="30"/>
  <c r="AZ128" i="30"/>
  <c r="BA128" i="30"/>
  <c r="BB128" i="30"/>
  <c r="AW129" i="30"/>
  <c r="AX129" i="30"/>
  <c r="AY129" i="30"/>
  <c r="AZ129" i="30"/>
  <c r="BA129" i="30"/>
  <c r="BB129" i="30"/>
  <c r="AW130" i="30"/>
  <c r="AX130" i="30"/>
  <c r="AY130" i="30"/>
  <c r="AZ130" i="30"/>
  <c r="BA130" i="30"/>
  <c r="BB130" i="30"/>
  <c r="AW131" i="30"/>
  <c r="AX131" i="30"/>
  <c r="AY131" i="30"/>
  <c r="AZ131" i="30"/>
  <c r="BA131" i="30"/>
  <c r="BB131" i="30"/>
  <c r="AW132" i="30"/>
  <c r="AX132" i="30"/>
  <c r="AY132" i="30"/>
  <c r="AZ132" i="30"/>
  <c r="BA132" i="30"/>
  <c r="BB132" i="30"/>
  <c r="AW133" i="30"/>
  <c r="AX133" i="30"/>
  <c r="AY133" i="30"/>
  <c r="AZ133" i="30"/>
  <c r="BA133" i="30"/>
  <c r="BB133" i="30"/>
  <c r="AW134" i="30"/>
  <c r="AX134" i="30"/>
  <c r="AY134" i="30"/>
  <c r="AZ134" i="30"/>
  <c r="BA134" i="30"/>
  <c r="BB134" i="30"/>
  <c r="AW135" i="30"/>
  <c r="AX135" i="30"/>
  <c r="AY135" i="30"/>
  <c r="AZ135" i="30"/>
  <c r="BA135" i="30"/>
  <c r="BB135" i="30"/>
  <c r="AW136" i="30"/>
  <c r="AX136" i="30"/>
  <c r="AY136" i="30"/>
  <c r="AZ136" i="30"/>
  <c r="BA136" i="30"/>
  <c r="BB136" i="30"/>
  <c r="AW137" i="30"/>
  <c r="AX137" i="30"/>
  <c r="AY137" i="30"/>
  <c r="AZ137" i="30"/>
  <c r="BA137" i="30"/>
  <c r="BB137" i="30"/>
  <c r="AW138" i="30"/>
  <c r="AX138" i="30"/>
  <c r="AY138" i="30"/>
  <c r="AZ138" i="30"/>
  <c r="BA138" i="30"/>
  <c r="BB138" i="30"/>
  <c r="AW139" i="30"/>
  <c r="AX139" i="30"/>
  <c r="AY139" i="30"/>
  <c r="AZ139" i="30"/>
  <c r="BA139" i="30"/>
  <c r="BB139" i="30"/>
  <c r="AW140" i="30"/>
  <c r="AX140" i="30"/>
  <c r="AY140" i="30"/>
  <c r="AZ140" i="30"/>
  <c r="BA140" i="30"/>
  <c r="BB140" i="30"/>
  <c r="AW141" i="30"/>
  <c r="AX141" i="30"/>
  <c r="AY141" i="30"/>
  <c r="AZ141" i="30"/>
  <c r="BA141" i="30"/>
  <c r="BB141" i="30"/>
  <c r="AW142" i="30"/>
  <c r="AX142" i="30"/>
  <c r="AY142" i="30"/>
  <c r="AZ142" i="30"/>
  <c r="BA142" i="30"/>
  <c r="BB142" i="30"/>
  <c r="AW143" i="30"/>
  <c r="AX143" i="30"/>
  <c r="AY143" i="30"/>
  <c r="AZ143" i="30"/>
  <c r="BA143" i="30"/>
  <c r="BB143" i="30"/>
  <c r="AW144" i="30"/>
  <c r="AX144" i="30"/>
  <c r="AY144" i="30"/>
  <c r="AZ144" i="30"/>
  <c r="BA144" i="30"/>
  <c r="BB144" i="30"/>
  <c r="AW145" i="30"/>
  <c r="AX145" i="30"/>
  <c r="AY145" i="30"/>
  <c r="AZ145" i="30"/>
  <c r="BA145" i="30"/>
  <c r="BB145" i="30"/>
  <c r="AW146" i="30"/>
  <c r="AX146" i="30"/>
  <c r="AY146" i="30"/>
  <c r="AZ146" i="30"/>
  <c r="BA146" i="30"/>
  <c r="BB146" i="30"/>
  <c r="AW147" i="30"/>
  <c r="AX147" i="30"/>
  <c r="AY147" i="30"/>
  <c r="AZ147" i="30"/>
  <c r="BA147" i="30"/>
  <c r="BB147" i="30"/>
  <c r="AW148" i="30"/>
  <c r="AX148" i="30"/>
  <c r="AY148" i="30"/>
  <c r="AZ148" i="30"/>
  <c r="BA148" i="30"/>
  <c r="BB148" i="30"/>
  <c r="AW149" i="30"/>
  <c r="AX149" i="30"/>
  <c r="AY149" i="30"/>
  <c r="AZ149" i="30"/>
  <c r="BA149" i="30"/>
  <c r="BB149" i="30"/>
  <c r="AW150" i="30"/>
  <c r="AX150" i="30"/>
  <c r="AY150" i="30"/>
  <c r="AZ150" i="30"/>
  <c r="BA150" i="30"/>
  <c r="BB150" i="30"/>
  <c r="AW151" i="30"/>
  <c r="AX151" i="30"/>
  <c r="AY151" i="30"/>
  <c r="AZ151" i="30"/>
  <c r="BA151" i="30"/>
  <c r="BB151" i="30"/>
  <c r="AW152" i="30"/>
  <c r="AX152" i="30"/>
  <c r="AY152" i="30"/>
  <c r="AZ152" i="30"/>
  <c r="BA152" i="30"/>
  <c r="BB152" i="30"/>
  <c r="AW153" i="30"/>
  <c r="AX153" i="30"/>
  <c r="AY153" i="30"/>
  <c r="AZ153" i="30"/>
  <c r="BA153" i="30"/>
  <c r="BB153" i="30"/>
  <c r="AW154" i="30"/>
  <c r="AX154" i="30"/>
  <c r="AY154" i="30"/>
  <c r="AZ154" i="30"/>
  <c r="BA154" i="30"/>
  <c r="BB154" i="30"/>
  <c r="AW155" i="30"/>
  <c r="AX155" i="30"/>
  <c r="AY155" i="30"/>
  <c r="AZ155" i="30"/>
  <c r="BA155" i="30"/>
  <c r="BB155" i="30"/>
  <c r="AW156" i="30"/>
  <c r="AX156" i="30"/>
  <c r="AY156" i="30"/>
  <c r="AZ156" i="30"/>
  <c r="BA156" i="30"/>
  <c r="BB156" i="30"/>
  <c r="AW157" i="30"/>
  <c r="AX157" i="30"/>
  <c r="AY157" i="30"/>
  <c r="AZ157" i="30"/>
  <c r="BA157" i="30"/>
  <c r="BB157" i="30"/>
  <c r="AW158" i="30"/>
  <c r="AX158" i="30"/>
  <c r="AY158" i="30"/>
  <c r="AZ158" i="30"/>
  <c r="BA158" i="30"/>
  <c r="BB158" i="30"/>
  <c r="AW159" i="30"/>
  <c r="AX159" i="30"/>
  <c r="AY159" i="30"/>
  <c r="AZ159" i="30"/>
  <c r="BA159" i="30"/>
  <c r="BB159" i="30"/>
  <c r="AW160" i="30"/>
  <c r="AX160" i="30"/>
  <c r="AY160" i="30"/>
  <c r="AZ160" i="30"/>
  <c r="BA160" i="30"/>
  <c r="BB160" i="30"/>
  <c r="AW161" i="30"/>
  <c r="AX161" i="30"/>
  <c r="AY161" i="30"/>
  <c r="AZ161" i="30"/>
  <c r="BA161" i="30"/>
  <c r="BB161" i="30"/>
  <c r="AW162" i="30"/>
  <c r="AX162" i="30"/>
  <c r="AY162" i="30"/>
  <c r="AZ162" i="30"/>
  <c r="BA162" i="30"/>
  <c r="BB162" i="30"/>
  <c r="AW163" i="30"/>
  <c r="AX163" i="30"/>
  <c r="AY163" i="30"/>
  <c r="AZ163" i="30"/>
  <c r="BA163" i="30"/>
  <c r="BB163" i="30"/>
  <c r="AW164" i="30"/>
  <c r="AX164" i="30"/>
  <c r="AY164" i="30"/>
  <c r="AZ164" i="30"/>
  <c r="BA164" i="30"/>
  <c r="BB164" i="30"/>
  <c r="AW165" i="30"/>
  <c r="AX165" i="30"/>
  <c r="AY165" i="30"/>
  <c r="AZ165" i="30"/>
  <c r="BA165" i="30"/>
  <c r="BB165" i="30"/>
  <c r="AW166" i="30"/>
  <c r="AX166" i="30"/>
  <c r="AY166" i="30"/>
  <c r="AZ166" i="30"/>
  <c r="BA166" i="30"/>
  <c r="BB166" i="30"/>
  <c r="AW167" i="30"/>
  <c r="AX167" i="30"/>
  <c r="AY167" i="30"/>
  <c r="AZ167" i="30"/>
  <c r="BA167" i="30"/>
  <c r="BB167" i="30"/>
  <c r="AW168" i="30"/>
  <c r="AX168" i="30"/>
  <c r="AY168" i="30"/>
  <c r="AZ168" i="30"/>
  <c r="BA168" i="30"/>
  <c r="BB168" i="30"/>
  <c r="AW169" i="30"/>
  <c r="AX169" i="30"/>
  <c r="AY169" i="30"/>
  <c r="AZ169" i="30"/>
  <c r="BA169" i="30"/>
  <c r="BB169" i="30"/>
  <c r="AW170" i="30"/>
  <c r="AX170" i="30"/>
  <c r="AY170" i="30"/>
  <c r="AZ170" i="30"/>
  <c r="BA170" i="30"/>
  <c r="BB170" i="30"/>
  <c r="AW171" i="30"/>
  <c r="AX171" i="30"/>
  <c r="AY171" i="30"/>
  <c r="AZ171" i="30"/>
  <c r="BA171" i="30"/>
  <c r="BB171" i="30"/>
  <c r="AW172" i="30"/>
  <c r="AX172" i="30"/>
  <c r="AY172" i="30"/>
  <c r="AZ172" i="30"/>
  <c r="BA172" i="30"/>
  <c r="BB172" i="30"/>
  <c r="AW173" i="30"/>
  <c r="AX173" i="30"/>
  <c r="AY173" i="30"/>
  <c r="AZ173" i="30"/>
  <c r="BA173" i="30"/>
  <c r="BB173" i="30"/>
  <c r="AW174" i="30"/>
  <c r="AX174" i="30"/>
  <c r="AY174" i="30"/>
  <c r="AZ174" i="30"/>
  <c r="BA174" i="30"/>
  <c r="BB174" i="30"/>
  <c r="AW175" i="30"/>
  <c r="AX175" i="30"/>
  <c r="AY175" i="30"/>
  <c r="AZ175" i="30"/>
  <c r="BA175" i="30"/>
  <c r="BB175" i="30"/>
  <c r="AW176" i="30"/>
  <c r="AX176" i="30"/>
  <c r="AY176" i="30"/>
  <c r="AZ176" i="30"/>
  <c r="BA176" i="30"/>
  <c r="BB176" i="30"/>
  <c r="AW177" i="30"/>
  <c r="AX177" i="30"/>
  <c r="AY177" i="30"/>
  <c r="AZ177" i="30"/>
  <c r="BA177" i="30"/>
  <c r="BB177" i="30"/>
  <c r="AW178" i="30"/>
  <c r="AX178" i="30"/>
  <c r="AY178" i="30"/>
  <c r="AZ178" i="30"/>
  <c r="BA178" i="30"/>
  <c r="BB178" i="30"/>
  <c r="AW179" i="30"/>
  <c r="AX179" i="30"/>
  <c r="AY179" i="30"/>
  <c r="AZ179" i="30"/>
  <c r="BA179" i="30"/>
  <c r="BB179" i="30"/>
  <c r="AW180" i="30"/>
  <c r="AX180" i="30"/>
  <c r="AY180" i="30"/>
  <c r="AZ180" i="30"/>
  <c r="BA180" i="30"/>
  <c r="BB180" i="30"/>
  <c r="AW181" i="30"/>
  <c r="AX181" i="30"/>
  <c r="AY181" i="30"/>
  <c r="AZ181" i="30"/>
  <c r="BA181" i="30"/>
  <c r="BB181" i="30"/>
  <c r="AW182" i="30"/>
  <c r="AX182" i="30"/>
  <c r="AY182" i="30"/>
  <c r="AZ182" i="30"/>
  <c r="BA182" i="30"/>
  <c r="BB182" i="30"/>
  <c r="AW183" i="30"/>
  <c r="AX183" i="30"/>
  <c r="AY183" i="30"/>
  <c r="AZ183" i="30"/>
  <c r="BA183" i="30"/>
  <c r="BB183" i="30"/>
  <c r="AW184" i="30"/>
  <c r="AX184" i="30"/>
  <c r="AY184" i="30"/>
  <c r="AZ184" i="30"/>
  <c r="BA184" i="30"/>
  <c r="BB184" i="30"/>
  <c r="AW185" i="30"/>
  <c r="AX185" i="30"/>
  <c r="AY185" i="30"/>
  <c r="AZ185" i="30"/>
  <c r="BA185" i="30"/>
  <c r="BB185" i="30"/>
  <c r="AW186" i="30"/>
  <c r="AX186" i="30"/>
  <c r="AY186" i="30"/>
  <c r="AZ186" i="30"/>
  <c r="BA186" i="30"/>
  <c r="BB186" i="30"/>
  <c r="AW187" i="30"/>
  <c r="AX187" i="30"/>
  <c r="AY187" i="30"/>
  <c r="AZ187" i="30"/>
  <c r="BA187" i="30"/>
  <c r="BB187" i="30"/>
  <c r="AW188" i="30"/>
  <c r="AX188" i="30"/>
  <c r="AY188" i="30"/>
  <c r="AZ188" i="30"/>
  <c r="BA188" i="30"/>
  <c r="BB188" i="30"/>
  <c r="AW189" i="30"/>
  <c r="AX189" i="30"/>
  <c r="AY189" i="30"/>
  <c r="AZ189" i="30"/>
  <c r="BA189" i="30"/>
  <c r="BB189" i="30"/>
  <c r="AW190" i="30"/>
  <c r="AX190" i="30"/>
  <c r="AY190" i="30"/>
  <c r="AZ190" i="30"/>
  <c r="BA190" i="30"/>
  <c r="BB190" i="30"/>
  <c r="AW191" i="30"/>
  <c r="AX191" i="30"/>
  <c r="AY191" i="30"/>
  <c r="AZ191" i="30"/>
  <c r="BA191" i="30"/>
  <c r="BB191" i="30"/>
  <c r="AW192" i="30"/>
  <c r="AX192" i="30"/>
  <c r="AY192" i="30"/>
  <c r="AZ192" i="30"/>
  <c r="BA192" i="30"/>
  <c r="BB192" i="30"/>
  <c r="AW193" i="30"/>
  <c r="AX193" i="30"/>
  <c r="AY193" i="30"/>
  <c r="AZ193" i="30"/>
  <c r="BA193" i="30"/>
  <c r="BB193" i="30"/>
  <c r="AW194" i="30"/>
  <c r="AX194" i="30"/>
  <c r="AY194" i="30"/>
  <c r="AZ194" i="30"/>
  <c r="BA194" i="30"/>
  <c r="BB194" i="30"/>
  <c r="AW195" i="30"/>
  <c r="AX195" i="30"/>
  <c r="AY195" i="30"/>
  <c r="AZ195" i="30"/>
  <c r="BA195" i="30"/>
  <c r="BB195" i="30"/>
  <c r="AW196" i="30"/>
  <c r="AX196" i="30"/>
  <c r="AY196" i="30"/>
  <c r="AZ196" i="30"/>
  <c r="BA196" i="30"/>
  <c r="BB196" i="30"/>
  <c r="AW197" i="30"/>
  <c r="AX197" i="30"/>
  <c r="AY197" i="30"/>
  <c r="AZ197" i="30"/>
  <c r="BA197" i="30"/>
  <c r="BB197" i="30"/>
  <c r="AW198" i="30"/>
  <c r="AX198" i="30"/>
  <c r="AY198" i="30"/>
  <c r="AZ198" i="30"/>
  <c r="BA198" i="30"/>
  <c r="BB198" i="30"/>
  <c r="AW199" i="30"/>
  <c r="AX199" i="30"/>
  <c r="AY199" i="30"/>
  <c r="AZ199" i="30"/>
  <c r="BA199" i="30"/>
  <c r="BB199" i="30"/>
  <c r="AW201" i="30"/>
  <c r="AX201" i="30"/>
  <c r="AY201" i="30"/>
  <c r="AZ201" i="30"/>
  <c r="BA201" i="30"/>
  <c r="BB201" i="30"/>
  <c r="AW202" i="30"/>
  <c r="AX202" i="30"/>
  <c r="AY202" i="30"/>
  <c r="AZ202" i="30"/>
  <c r="BA202" i="30"/>
  <c r="BB202" i="30"/>
  <c r="AW203" i="30"/>
  <c r="AX203" i="30"/>
  <c r="AY203" i="30"/>
  <c r="AZ203" i="30"/>
  <c r="BA203" i="30"/>
  <c r="BB203" i="30"/>
  <c r="AW204" i="30"/>
  <c r="AX204" i="30"/>
  <c r="AY204" i="30"/>
  <c r="AZ204" i="30"/>
  <c r="BA204" i="30"/>
  <c r="BB204" i="30"/>
  <c r="AW205" i="30"/>
  <c r="AX205" i="30"/>
  <c r="AY205" i="30"/>
  <c r="AZ205" i="30"/>
  <c r="BA205" i="30"/>
  <c r="BB205" i="30"/>
  <c r="AW206" i="30"/>
  <c r="AX206" i="30"/>
  <c r="AY206" i="30"/>
  <c r="AZ206" i="30"/>
  <c r="BA206" i="30"/>
  <c r="BB206" i="30"/>
  <c r="AW207" i="30"/>
  <c r="AX207" i="30"/>
  <c r="AY207" i="30"/>
  <c r="AZ207" i="30"/>
  <c r="BA207" i="30"/>
  <c r="BB207" i="30"/>
  <c r="AW208" i="30"/>
  <c r="AX208" i="30"/>
  <c r="AY208" i="30"/>
  <c r="AZ208" i="30"/>
  <c r="BA208" i="30"/>
  <c r="BB208" i="30"/>
  <c r="AW209" i="30"/>
  <c r="AX209" i="30"/>
  <c r="AY209" i="30"/>
  <c r="AZ209" i="30"/>
  <c r="BA209" i="30"/>
  <c r="BB209" i="30"/>
  <c r="AW210" i="30"/>
  <c r="AX210" i="30"/>
  <c r="AY210" i="30"/>
  <c r="AZ210" i="30"/>
  <c r="BA210" i="30"/>
  <c r="BB210" i="30"/>
  <c r="AW211" i="30"/>
  <c r="AX211" i="30"/>
  <c r="AY211" i="30"/>
  <c r="AZ211" i="30"/>
  <c r="BA211" i="30"/>
  <c r="BB211" i="30"/>
  <c r="AW212" i="30"/>
  <c r="AX212" i="30"/>
  <c r="AY212" i="30"/>
  <c r="AZ212" i="30"/>
  <c r="BA212" i="30"/>
  <c r="BB212" i="30"/>
  <c r="AW213" i="30"/>
  <c r="AX213" i="30"/>
  <c r="AY213" i="30"/>
  <c r="AZ213" i="30"/>
  <c r="BA213" i="30"/>
  <c r="BB213" i="30"/>
  <c r="AW214" i="30"/>
  <c r="AX214" i="30"/>
  <c r="AY214" i="30"/>
  <c r="AZ214" i="30"/>
  <c r="BA214" i="30"/>
  <c r="BB214" i="30"/>
  <c r="AW215" i="30"/>
  <c r="AX215" i="30"/>
  <c r="AY215" i="30"/>
  <c r="AZ215" i="30"/>
  <c r="BA215" i="30"/>
  <c r="BB215" i="30"/>
  <c r="AW216" i="30"/>
  <c r="AX216" i="30"/>
  <c r="AY216" i="30"/>
  <c r="AZ216" i="30"/>
  <c r="BA216" i="30"/>
  <c r="BB216" i="30"/>
  <c r="AW217" i="30"/>
  <c r="AX217" i="30"/>
  <c r="AY217" i="30"/>
  <c r="AZ217" i="30"/>
  <c r="BA217" i="30"/>
  <c r="BB217" i="30"/>
  <c r="AW218" i="30"/>
  <c r="AX218" i="30"/>
  <c r="AY218" i="30"/>
  <c r="AZ218" i="30"/>
  <c r="BA218" i="30"/>
  <c r="BB218" i="30"/>
  <c r="AW219" i="30"/>
  <c r="AX219" i="30"/>
  <c r="AY219" i="30"/>
  <c r="AZ219" i="30"/>
  <c r="BA219" i="30"/>
  <c r="BB219" i="30"/>
  <c r="AW220" i="30"/>
  <c r="AX220" i="30"/>
  <c r="AY220" i="30"/>
  <c r="AZ220" i="30"/>
  <c r="BA220" i="30"/>
  <c r="BB220" i="30"/>
  <c r="AW221" i="30"/>
  <c r="AX221" i="30"/>
  <c r="AY221" i="30"/>
  <c r="AZ221" i="30"/>
  <c r="BA221" i="30"/>
  <c r="BB221" i="30"/>
  <c r="AW222" i="30"/>
  <c r="AX222" i="30"/>
  <c r="AY222" i="30"/>
  <c r="AZ222" i="30"/>
  <c r="BA222" i="30"/>
  <c r="BB222" i="30"/>
  <c r="AW223" i="30"/>
  <c r="AX223" i="30"/>
  <c r="AY223" i="30"/>
  <c r="AZ223" i="30"/>
  <c r="BA223" i="30"/>
  <c r="BB223" i="30"/>
  <c r="AW224" i="30"/>
  <c r="AX224" i="30"/>
  <c r="AY224" i="30"/>
  <c r="AZ224" i="30"/>
  <c r="BA224" i="30"/>
  <c r="BB224" i="30"/>
  <c r="AW225" i="30"/>
  <c r="AX225" i="30"/>
  <c r="AY225" i="30"/>
  <c r="AZ225" i="30"/>
  <c r="BA225" i="30"/>
  <c r="BB225" i="30"/>
  <c r="AW226" i="30"/>
  <c r="AX226" i="30"/>
  <c r="AY226" i="30"/>
  <c r="AZ226" i="30"/>
  <c r="BA226" i="30"/>
  <c r="BB226" i="30"/>
  <c r="AW227" i="30"/>
  <c r="AX227" i="30"/>
  <c r="AY227" i="30"/>
  <c r="AZ227" i="30"/>
  <c r="BA227" i="30"/>
  <c r="BB227" i="30"/>
  <c r="AW228" i="30"/>
  <c r="AX228" i="30"/>
  <c r="AY228" i="30"/>
  <c r="AZ228" i="30"/>
  <c r="BA228" i="30"/>
  <c r="BB228" i="30"/>
  <c r="AW229" i="30"/>
  <c r="AX229" i="30"/>
  <c r="AY229" i="30"/>
  <c r="AZ229" i="30"/>
  <c r="BA229" i="30"/>
  <c r="BB229" i="30"/>
  <c r="AW230" i="30"/>
  <c r="AX230" i="30"/>
  <c r="AY230" i="30"/>
  <c r="AZ230" i="30"/>
  <c r="BA230" i="30"/>
  <c r="BB230" i="30"/>
  <c r="AW231" i="30"/>
  <c r="AX231" i="30"/>
  <c r="AY231" i="30"/>
  <c r="AZ231" i="30"/>
  <c r="BA231" i="30"/>
  <c r="BB231" i="30"/>
  <c r="AW232" i="30"/>
  <c r="AX232" i="30"/>
  <c r="AY232" i="30"/>
  <c r="AZ232" i="30"/>
  <c r="BA232" i="30"/>
  <c r="BB232" i="30"/>
  <c r="AW233" i="30"/>
  <c r="AX233" i="30"/>
  <c r="AY233" i="30"/>
  <c r="AZ233" i="30"/>
  <c r="BA233" i="30"/>
  <c r="BB233" i="30"/>
  <c r="AW234" i="30"/>
  <c r="AX234" i="30"/>
  <c r="AY234" i="30"/>
  <c r="AZ234" i="30"/>
  <c r="BA234" i="30"/>
  <c r="BB234" i="30"/>
  <c r="AW235" i="30"/>
  <c r="AX235" i="30"/>
  <c r="AY235" i="30"/>
  <c r="AZ235" i="30"/>
  <c r="BA235" i="30"/>
  <c r="BB235" i="30"/>
  <c r="AW236" i="30"/>
  <c r="AX236" i="30"/>
  <c r="AY236" i="30"/>
  <c r="AZ236" i="30"/>
  <c r="BA236" i="30"/>
  <c r="BB236" i="30"/>
  <c r="AW237" i="30"/>
  <c r="AX237" i="30"/>
  <c r="AY237" i="30"/>
  <c r="AZ237" i="30"/>
  <c r="BA237" i="30"/>
  <c r="BB237" i="30"/>
  <c r="AW238" i="30"/>
  <c r="AX238" i="30"/>
  <c r="AY238" i="30"/>
  <c r="AZ238" i="30"/>
  <c r="BA238" i="30"/>
  <c r="BB238" i="30"/>
  <c r="AW239" i="30"/>
  <c r="AX239" i="30"/>
  <c r="AY239" i="30"/>
  <c r="AZ239" i="30"/>
  <c r="BA239" i="30"/>
  <c r="BB239" i="30"/>
  <c r="AW240" i="30"/>
  <c r="AX240" i="30"/>
  <c r="AY240" i="30"/>
  <c r="AZ240" i="30"/>
  <c r="BA240" i="30"/>
  <c r="BB240" i="30"/>
  <c r="AW241" i="30"/>
  <c r="AX241" i="30"/>
  <c r="AY241" i="30"/>
  <c r="AZ241" i="30"/>
  <c r="BA241" i="30"/>
  <c r="BB241" i="30"/>
  <c r="AW242" i="30"/>
  <c r="AX242" i="30"/>
  <c r="AY242" i="30"/>
  <c r="AZ242" i="30"/>
  <c r="BA242" i="30"/>
  <c r="BB242" i="30"/>
  <c r="AW243" i="30"/>
  <c r="AX243" i="30"/>
  <c r="AY243" i="30"/>
  <c r="AZ243" i="30"/>
  <c r="BA243" i="30"/>
  <c r="BB243" i="30"/>
  <c r="AW244" i="30"/>
  <c r="AX244" i="30"/>
  <c r="AY244" i="30"/>
  <c r="AZ244" i="30"/>
  <c r="BA244" i="30"/>
  <c r="BB244" i="30"/>
  <c r="AW245" i="30"/>
  <c r="AX245" i="30"/>
  <c r="AY245" i="30"/>
  <c r="AZ245" i="30"/>
  <c r="BA245" i="30"/>
  <c r="BB245" i="30"/>
  <c r="AW246" i="30"/>
  <c r="AX246" i="30"/>
  <c r="AY246" i="30"/>
  <c r="AZ246" i="30"/>
  <c r="BA246" i="30"/>
  <c r="BB246" i="30"/>
  <c r="AW247" i="30"/>
  <c r="AX247" i="30"/>
  <c r="AY247" i="30"/>
  <c r="AZ247" i="30"/>
  <c r="BA247" i="30"/>
  <c r="BB247" i="30"/>
  <c r="AW248" i="30"/>
  <c r="AX248" i="30"/>
  <c r="AY248" i="30"/>
  <c r="AZ248" i="30"/>
  <c r="BA248" i="30"/>
  <c r="BB248" i="30"/>
  <c r="AW249" i="30"/>
  <c r="AX249" i="30"/>
  <c r="AY249" i="30"/>
  <c r="AZ249" i="30"/>
  <c r="BA249" i="30"/>
  <c r="BB249" i="30"/>
  <c r="AW250" i="30"/>
  <c r="AX250" i="30"/>
  <c r="AY250" i="30"/>
  <c r="AZ250" i="30"/>
  <c r="BA250" i="30"/>
  <c r="BB250" i="30"/>
  <c r="AW251" i="30"/>
  <c r="AX251" i="30"/>
  <c r="AY251" i="30"/>
  <c r="AZ251" i="30"/>
  <c r="BA251" i="30"/>
  <c r="BB251" i="30"/>
  <c r="AW252" i="30"/>
  <c r="AX252" i="30"/>
  <c r="AY252" i="30"/>
  <c r="AZ252" i="30"/>
  <c r="BA252" i="30"/>
  <c r="BB252" i="30"/>
  <c r="AW253" i="30"/>
  <c r="AX253" i="30"/>
  <c r="AY253" i="30"/>
  <c r="AZ253" i="30"/>
  <c r="BA253" i="30"/>
  <c r="BB253" i="30"/>
  <c r="AW254" i="30"/>
  <c r="AX254" i="30"/>
  <c r="AY254" i="30"/>
  <c r="AZ254" i="30"/>
  <c r="BA254" i="30"/>
  <c r="BB254" i="30"/>
  <c r="AW256" i="30"/>
  <c r="AX256" i="30"/>
  <c r="AY256" i="30"/>
  <c r="AZ256" i="30"/>
  <c r="BA256" i="30"/>
  <c r="BB256" i="30"/>
  <c r="AW257" i="30"/>
  <c r="AX257" i="30"/>
  <c r="AY257" i="30"/>
  <c r="AZ257" i="30"/>
  <c r="BA257" i="30"/>
  <c r="BB257" i="30"/>
  <c r="AW258" i="30"/>
  <c r="AX258" i="30"/>
  <c r="AY258" i="30"/>
  <c r="AZ258" i="30"/>
  <c r="BA258" i="30"/>
  <c r="BB258" i="30"/>
  <c r="AW259" i="30"/>
  <c r="AX259" i="30"/>
  <c r="AY259" i="30"/>
  <c r="AZ259" i="30"/>
  <c r="BA259" i="30"/>
  <c r="BB259" i="30"/>
  <c r="AW260" i="30"/>
  <c r="AX260" i="30"/>
  <c r="AY260" i="30"/>
  <c r="AZ260" i="30"/>
  <c r="BA260" i="30"/>
  <c r="BB260" i="30"/>
  <c r="AW261" i="30"/>
  <c r="AX261" i="30"/>
  <c r="AY261" i="30"/>
  <c r="AZ261" i="30"/>
  <c r="BA261" i="30"/>
  <c r="BB261" i="30"/>
  <c r="AW262" i="30"/>
  <c r="AX262" i="30"/>
  <c r="AY262" i="30"/>
  <c r="AZ262" i="30"/>
  <c r="BA262" i="30"/>
  <c r="BB262" i="30"/>
  <c r="AW263" i="30"/>
  <c r="AX263" i="30"/>
  <c r="AY263" i="30"/>
  <c r="AZ263" i="30"/>
  <c r="BA263" i="30"/>
  <c r="BB263" i="30"/>
  <c r="AW264" i="30"/>
  <c r="AX264" i="30"/>
  <c r="AY264" i="30"/>
  <c r="AZ264" i="30"/>
  <c r="BA264" i="30"/>
  <c r="BB264" i="30"/>
  <c r="AW265" i="30"/>
  <c r="AX265" i="30"/>
  <c r="AY265" i="30"/>
  <c r="AZ265" i="30"/>
  <c r="BA265" i="30"/>
  <c r="BB265" i="30"/>
  <c r="AW266" i="30"/>
  <c r="AX266" i="30"/>
  <c r="AY266" i="30"/>
  <c r="AZ266" i="30"/>
  <c r="BA266" i="30"/>
  <c r="BB266" i="30"/>
  <c r="AW267" i="30"/>
  <c r="AX267" i="30"/>
  <c r="AY267" i="30"/>
  <c r="AZ267" i="30"/>
  <c r="BA267" i="30"/>
  <c r="BB267" i="30"/>
  <c r="AW268" i="30"/>
  <c r="AX268" i="30"/>
  <c r="AY268" i="30"/>
  <c r="AZ268" i="30"/>
  <c r="BA268" i="30"/>
  <c r="BB268" i="30"/>
  <c r="AW269" i="30"/>
  <c r="AX269" i="30"/>
  <c r="AY269" i="30"/>
  <c r="AZ269" i="30"/>
  <c r="BA269" i="30"/>
  <c r="BB269" i="30"/>
  <c r="AW270" i="30"/>
  <c r="AX270" i="30"/>
  <c r="AY270" i="30"/>
  <c r="AZ270" i="30"/>
  <c r="BA270" i="30"/>
  <c r="BB270" i="30"/>
  <c r="AW271" i="30"/>
  <c r="AX271" i="30"/>
  <c r="AY271" i="30"/>
  <c r="AZ271" i="30"/>
  <c r="BA271" i="30"/>
  <c r="BB271" i="30"/>
  <c r="AW272" i="30"/>
  <c r="AX272" i="30"/>
  <c r="AY272" i="30"/>
  <c r="AZ272" i="30"/>
  <c r="BA272" i="30"/>
  <c r="BB272" i="30"/>
  <c r="AW273" i="30"/>
  <c r="AX273" i="30"/>
  <c r="AY273" i="30"/>
  <c r="AZ273" i="30"/>
  <c r="BA273" i="30"/>
  <c r="BB273" i="30"/>
  <c r="AW274" i="30"/>
  <c r="AX274" i="30"/>
  <c r="AY274" i="30"/>
  <c r="AZ274" i="30"/>
  <c r="BA274" i="30"/>
  <c r="BB274" i="30"/>
  <c r="AW275" i="30"/>
  <c r="AX275" i="30"/>
  <c r="AY275" i="30"/>
  <c r="AZ275" i="30"/>
  <c r="BA275" i="30"/>
  <c r="BB275" i="30"/>
  <c r="AW276" i="30"/>
  <c r="AX276" i="30"/>
  <c r="AY276" i="30"/>
  <c r="AZ276" i="30"/>
  <c r="BA276" i="30"/>
  <c r="BB276" i="30"/>
  <c r="AW278" i="30"/>
  <c r="AX278" i="30"/>
  <c r="AY278" i="30"/>
  <c r="AZ278" i="30"/>
  <c r="BA278" i="30"/>
  <c r="BB278" i="30"/>
  <c r="AW279" i="30"/>
  <c r="AX279" i="30"/>
  <c r="AY279" i="30"/>
  <c r="AZ279" i="30"/>
  <c r="BA279" i="30"/>
  <c r="BB279" i="30"/>
  <c r="AW280" i="30"/>
  <c r="AX280" i="30"/>
  <c r="AY280" i="30"/>
  <c r="AZ280" i="30"/>
  <c r="BA280" i="30"/>
  <c r="BB280" i="30"/>
  <c r="AW281" i="30"/>
  <c r="AX281" i="30"/>
  <c r="AY281" i="30"/>
  <c r="AZ281" i="30"/>
  <c r="BA281" i="30"/>
  <c r="BB281" i="30"/>
  <c r="AW282" i="30"/>
  <c r="AX282" i="30"/>
  <c r="AY282" i="30"/>
  <c r="AZ282" i="30"/>
  <c r="BA282" i="30"/>
  <c r="BB282" i="30"/>
  <c r="AW283" i="30"/>
  <c r="AX283" i="30"/>
  <c r="AY283" i="30"/>
  <c r="AZ283" i="30"/>
  <c r="BA283" i="30"/>
  <c r="BB283" i="30"/>
  <c r="AW284" i="30"/>
  <c r="AX284" i="30"/>
  <c r="AY284" i="30"/>
  <c r="AZ284" i="30"/>
  <c r="BA284" i="30"/>
  <c r="BB284" i="30"/>
  <c r="AW286" i="30"/>
  <c r="AX286" i="30"/>
  <c r="AY286" i="30"/>
  <c r="AZ286" i="30"/>
  <c r="BA286" i="30"/>
  <c r="BB286" i="30"/>
  <c r="AW287" i="30"/>
  <c r="AX287" i="30"/>
  <c r="AY287" i="30"/>
  <c r="AZ287" i="30"/>
  <c r="BA287" i="30"/>
  <c r="BB287" i="30"/>
  <c r="AW288" i="30"/>
  <c r="AX288" i="30"/>
  <c r="AY288" i="30"/>
  <c r="AZ288" i="30"/>
  <c r="BA288" i="30"/>
  <c r="BB288" i="30"/>
  <c r="AW289" i="30"/>
  <c r="AX289" i="30"/>
  <c r="AY289" i="30"/>
  <c r="AZ289" i="30"/>
  <c r="BA289" i="30"/>
  <c r="BB289" i="30"/>
  <c r="AW290" i="30"/>
  <c r="AX290" i="30"/>
  <c r="AY290" i="30"/>
  <c r="AZ290" i="30"/>
  <c r="BA290" i="30"/>
  <c r="BB290" i="30"/>
  <c r="AW291" i="30"/>
  <c r="AX291" i="30"/>
  <c r="AY291" i="30"/>
  <c r="AZ291" i="30"/>
  <c r="BA291" i="30"/>
  <c r="BB291" i="30"/>
  <c r="AW292" i="30"/>
  <c r="AX292" i="30"/>
  <c r="AY292" i="30"/>
  <c r="AZ292" i="30"/>
  <c r="BA292" i="30"/>
  <c r="BB292" i="30"/>
  <c r="AW293" i="30"/>
  <c r="AX293" i="30"/>
  <c r="AY293" i="30"/>
  <c r="AZ293" i="30"/>
  <c r="BA293" i="30"/>
  <c r="BB293" i="30"/>
  <c r="AW294" i="30"/>
  <c r="AX294" i="30"/>
  <c r="AY294" i="30"/>
  <c r="AZ294" i="30"/>
  <c r="BA294" i="30"/>
  <c r="BB294" i="30"/>
  <c r="AW295" i="30"/>
  <c r="AX295" i="30"/>
  <c r="AY295" i="30"/>
  <c r="AZ295" i="30"/>
  <c r="BA295" i="30"/>
  <c r="BB295" i="30"/>
  <c r="AW296" i="30"/>
  <c r="AX296" i="30"/>
  <c r="AY296" i="30"/>
  <c r="AZ296" i="30"/>
  <c r="BA296" i="30"/>
  <c r="BB296" i="30"/>
  <c r="AW297" i="30"/>
  <c r="AX297" i="30"/>
  <c r="AY297" i="30"/>
  <c r="AZ297" i="30"/>
  <c r="BA297" i="30"/>
  <c r="BB297" i="30"/>
  <c r="AW298" i="30"/>
  <c r="AX298" i="30"/>
  <c r="AY298" i="30"/>
  <c r="AZ298" i="30"/>
  <c r="BA298" i="30"/>
  <c r="BB298" i="30"/>
  <c r="AW299" i="30"/>
  <c r="AX299" i="30"/>
  <c r="AY299" i="30"/>
  <c r="AZ299" i="30"/>
  <c r="BA299" i="30"/>
  <c r="BB299" i="30"/>
  <c r="AW300" i="30"/>
  <c r="AX300" i="30"/>
  <c r="AY300" i="30"/>
  <c r="AZ300" i="30"/>
  <c r="BA300" i="30"/>
  <c r="BB300" i="30"/>
  <c r="AW301" i="30"/>
  <c r="AX301" i="30"/>
  <c r="AY301" i="30"/>
  <c r="AZ301" i="30"/>
  <c r="BA301" i="30"/>
  <c r="BB301" i="30"/>
  <c r="AW302" i="30"/>
  <c r="AX302" i="30"/>
  <c r="AY302" i="30"/>
  <c r="AZ302" i="30"/>
  <c r="BA302" i="30"/>
  <c r="BB302" i="30"/>
  <c r="AW303" i="30"/>
  <c r="AX303" i="30"/>
  <c r="AY303" i="30"/>
  <c r="AZ303" i="30"/>
  <c r="BA303" i="30"/>
  <c r="BB303" i="30"/>
  <c r="AW304" i="30"/>
  <c r="AX304" i="30"/>
  <c r="AY304" i="30"/>
  <c r="AZ304" i="30"/>
  <c r="BA304" i="30"/>
  <c r="BB304" i="30"/>
  <c r="AW305" i="30"/>
  <c r="AX305" i="30"/>
  <c r="AY305" i="30"/>
  <c r="AZ305" i="30"/>
  <c r="BA305" i="30"/>
  <c r="BB305" i="30"/>
  <c r="AW306" i="30"/>
  <c r="AX306" i="30"/>
  <c r="AY306" i="30"/>
  <c r="AZ306" i="30"/>
  <c r="BA306" i="30"/>
  <c r="BB306" i="30"/>
  <c r="AW307" i="30"/>
  <c r="AX307" i="30"/>
  <c r="AY307" i="30"/>
  <c r="AZ307" i="30"/>
  <c r="BA307" i="30"/>
  <c r="BB307" i="30"/>
  <c r="AW309" i="30"/>
  <c r="AX309" i="30"/>
  <c r="AY309" i="30"/>
  <c r="AZ309" i="30"/>
  <c r="BA309" i="30"/>
  <c r="BB309" i="30"/>
  <c r="AW310" i="30"/>
  <c r="AX310" i="30"/>
  <c r="AY310" i="30"/>
  <c r="AZ310" i="30"/>
  <c r="BA310" i="30"/>
  <c r="BB310" i="30"/>
  <c r="AW311" i="30"/>
  <c r="AX311" i="30"/>
  <c r="AY311" i="30"/>
  <c r="AZ311" i="30"/>
  <c r="BA311" i="30"/>
  <c r="BB311" i="30"/>
  <c r="AW312" i="30"/>
  <c r="AX312" i="30"/>
  <c r="AY312" i="30"/>
  <c r="AZ312" i="30"/>
  <c r="BA312" i="30"/>
  <c r="BB312" i="30"/>
  <c r="AW313" i="30"/>
  <c r="AX313" i="30"/>
  <c r="AY313" i="30"/>
  <c r="AZ313" i="30"/>
  <c r="BA313" i="30"/>
  <c r="BB313" i="30"/>
  <c r="AW314" i="30"/>
  <c r="AX314" i="30"/>
  <c r="AY314" i="30"/>
  <c r="AZ314" i="30"/>
  <c r="BA314" i="30"/>
  <c r="BB314" i="30"/>
  <c r="AW315" i="30"/>
  <c r="AX315" i="30"/>
  <c r="AY315" i="30"/>
  <c r="AZ315" i="30"/>
  <c r="BA315" i="30"/>
  <c r="BB315" i="30"/>
  <c r="AW316" i="30"/>
  <c r="AX316" i="30"/>
  <c r="AY316" i="30"/>
  <c r="AZ316" i="30"/>
  <c r="BA316" i="30"/>
  <c r="BB316" i="30"/>
  <c r="AW317" i="30"/>
  <c r="AX317" i="30"/>
  <c r="AY317" i="30"/>
  <c r="AZ317" i="30"/>
  <c r="BA317" i="30"/>
  <c r="BB317" i="30"/>
  <c r="AW318" i="30"/>
  <c r="AX318" i="30"/>
  <c r="AY318" i="30"/>
  <c r="AZ318" i="30"/>
  <c r="BA318" i="30"/>
  <c r="BB318" i="30"/>
  <c r="AW319" i="30"/>
  <c r="AX319" i="30"/>
  <c r="AY319" i="30"/>
  <c r="AZ319" i="30"/>
  <c r="BA319" i="30"/>
  <c r="BB319" i="30"/>
  <c r="AW320" i="30"/>
  <c r="AX320" i="30"/>
  <c r="AY320" i="30"/>
  <c r="AZ320" i="30"/>
  <c r="BA320" i="30"/>
  <c r="BB320" i="30"/>
  <c r="AW321" i="30"/>
  <c r="AX321" i="30"/>
  <c r="AY321" i="30"/>
  <c r="AZ321" i="30"/>
  <c r="BA321" i="30"/>
  <c r="BB321" i="30"/>
  <c r="AW322" i="30"/>
  <c r="AX322" i="30"/>
  <c r="AY322" i="30"/>
  <c r="AZ322" i="30"/>
  <c r="BA322" i="30"/>
  <c r="BB322" i="30"/>
  <c r="AW323" i="30"/>
  <c r="AX323" i="30"/>
  <c r="AY323" i="30"/>
  <c r="AZ323" i="30"/>
  <c r="BA323" i="30"/>
  <c r="BB323" i="30"/>
  <c r="AW324" i="30"/>
  <c r="AX324" i="30"/>
  <c r="AY324" i="30"/>
  <c r="AZ324" i="30"/>
  <c r="BA324" i="30"/>
  <c r="BB324" i="30"/>
  <c r="AW325" i="30"/>
  <c r="AX325" i="30"/>
  <c r="AY325" i="30"/>
  <c r="AZ325" i="30"/>
  <c r="BA325" i="30"/>
  <c r="BB325" i="30"/>
  <c r="AW326" i="30"/>
  <c r="AX326" i="30"/>
  <c r="AY326" i="30"/>
  <c r="AZ326" i="30"/>
  <c r="BA326" i="30"/>
  <c r="BB326" i="30"/>
  <c r="AW327" i="30"/>
  <c r="AX327" i="30"/>
  <c r="AY327" i="30"/>
  <c r="AZ327" i="30"/>
  <c r="BA327" i="30"/>
  <c r="BB327" i="30"/>
  <c r="AW328" i="30"/>
  <c r="AX328" i="30"/>
  <c r="AY328" i="30"/>
  <c r="AZ328" i="30"/>
  <c r="BA328" i="30"/>
  <c r="BB328" i="30"/>
  <c r="BA6" i="30"/>
  <c r="BB6" i="30"/>
  <c r="Y6" i="31"/>
  <c r="X6" i="31"/>
  <c r="W6" i="31"/>
  <c r="V6" i="31"/>
  <c r="U6" i="31"/>
  <c r="T6" i="31"/>
  <c r="S6" i="31"/>
  <c r="R6" i="31"/>
  <c r="Q6" i="31"/>
  <c r="P6" i="31"/>
  <c r="O6" i="31"/>
  <c r="U5" i="30"/>
  <c r="T5" i="30"/>
  <c r="S5" i="30"/>
  <c r="R5" i="30"/>
  <c r="Q5" i="30"/>
  <c r="P5" i="30"/>
  <c r="C6" i="31" l="1"/>
  <c r="N6" i="31" l="1"/>
  <c r="M6" i="31"/>
  <c r="L6" i="31"/>
  <c r="K6" i="31"/>
  <c r="J6" i="31"/>
  <c r="I6" i="31"/>
  <c r="H6" i="31"/>
  <c r="G6" i="31"/>
  <c r="F6" i="31"/>
  <c r="E6" i="31"/>
  <c r="BC308" i="30" l="1"/>
  <c r="BC285" i="30"/>
  <c r="BC277" i="30"/>
  <c r="BC255" i="30"/>
  <c r="BC200" i="30"/>
  <c r="BC116" i="30"/>
  <c r="BC85" i="30"/>
  <c r="BC86" i="30"/>
  <c r="BC84" i="30"/>
  <c r="BC63" i="30"/>
  <c r="BC82" i="30"/>
  <c r="BC50" i="30"/>
  <c r="BD7" i="30"/>
  <c r="BD14" i="30"/>
  <c r="BD40" i="30"/>
  <c r="BD50" i="30"/>
  <c r="BD63" i="30"/>
  <c r="BD82" i="30"/>
  <c r="BD84" i="30"/>
  <c r="BD85" i="30"/>
  <c r="BD86" i="30"/>
  <c r="BD116" i="30"/>
  <c r="BD200" i="30"/>
  <c r="BD255" i="30"/>
  <c r="BD277" i="30"/>
  <c r="BD285" i="30"/>
  <c r="BD308" i="30"/>
  <c r="BC7" i="30"/>
  <c r="BC14" i="30"/>
  <c r="BD330" i="30"/>
  <c r="BC330" i="30"/>
  <c r="BD329" i="30"/>
  <c r="BC329" i="30"/>
  <c r="BE5" i="30"/>
  <c r="BF5" i="30"/>
  <c r="BG5" i="30"/>
  <c r="BE6" i="30"/>
  <c r="BF6" i="30"/>
  <c r="BG6" i="30"/>
  <c r="BE234" i="30"/>
  <c r="BF234" i="30"/>
  <c r="BG234" i="30"/>
  <c r="BE235" i="30"/>
  <c r="BF235" i="30"/>
  <c r="BG235" i="30"/>
  <c r="BE236" i="30"/>
  <c r="BF236" i="30"/>
  <c r="BG236" i="30"/>
  <c r="BE237" i="30"/>
  <c r="BF237" i="30"/>
  <c r="BG237" i="30"/>
  <c r="BE238" i="30"/>
  <c r="BF238" i="30"/>
  <c r="BG238" i="30"/>
  <c r="BE239" i="30"/>
  <c r="BF239" i="30"/>
  <c r="BG239" i="30"/>
  <c r="BE240" i="30"/>
  <c r="BF240" i="30"/>
  <c r="BG240" i="30"/>
  <c r="BE241" i="30"/>
  <c r="BF241" i="30"/>
  <c r="BG241" i="30"/>
  <c r="BE242" i="30"/>
  <c r="BF242" i="30"/>
  <c r="BG242" i="30"/>
  <c r="BE243" i="30"/>
  <c r="BF243" i="30"/>
  <c r="BG243" i="30"/>
  <c r="BE244" i="30"/>
  <c r="BF244" i="30"/>
  <c r="BG244" i="30"/>
  <c r="BE245" i="30"/>
  <c r="BF245" i="30"/>
  <c r="BG245" i="30"/>
  <c r="BE246" i="30"/>
  <c r="BF246" i="30"/>
  <c r="BG246" i="30"/>
  <c r="BE247" i="30"/>
  <c r="BF247" i="30"/>
  <c r="BG247" i="30"/>
  <c r="BE248" i="30"/>
  <c r="BF248" i="30"/>
  <c r="BG248" i="30"/>
  <c r="BE249" i="30"/>
  <c r="BF249" i="30"/>
  <c r="BG249" i="30"/>
  <c r="BE250" i="30"/>
  <c r="BF250" i="30"/>
  <c r="BG250" i="30"/>
  <c r="BE251" i="30"/>
  <c r="BF251" i="30"/>
  <c r="BG251" i="30"/>
  <c r="BE252" i="30"/>
  <c r="BF252" i="30"/>
  <c r="BG252" i="30"/>
  <c r="BE253" i="30"/>
  <c r="BF253" i="30"/>
  <c r="BG253" i="30"/>
  <c r="BE254" i="30"/>
  <c r="BF254" i="30"/>
  <c r="BG254" i="30"/>
  <c r="BE256" i="30"/>
  <c r="BF256" i="30"/>
  <c r="BG256" i="30"/>
  <c r="BD257" i="30"/>
  <c r="BE257" i="30"/>
  <c r="BF257" i="30"/>
  <c r="BG257" i="30"/>
  <c r="BE258" i="30"/>
  <c r="BF258" i="30"/>
  <c r="BG258" i="30"/>
  <c r="BE259" i="30"/>
  <c r="BF259" i="30"/>
  <c r="BG259" i="30"/>
  <c r="BE260" i="30"/>
  <c r="BF260" i="30"/>
  <c r="BG260" i="30"/>
  <c r="BE261" i="30"/>
  <c r="BF261" i="30"/>
  <c r="BG261" i="30"/>
  <c r="BE262" i="30"/>
  <c r="BF262" i="30"/>
  <c r="BG262" i="30"/>
  <c r="BE263" i="30"/>
  <c r="BF263" i="30"/>
  <c r="BG263" i="30"/>
  <c r="BE264" i="30"/>
  <c r="BF264" i="30"/>
  <c r="BG264" i="30"/>
  <c r="BD265" i="30"/>
  <c r="BE265" i="30"/>
  <c r="BF265" i="30"/>
  <c r="BG265" i="30"/>
  <c r="BE266" i="30"/>
  <c r="BF266" i="30"/>
  <c r="BG266" i="30"/>
  <c r="BE267" i="30"/>
  <c r="BF267" i="30"/>
  <c r="BG267" i="30"/>
  <c r="BE268" i="30"/>
  <c r="BF268" i="30"/>
  <c r="BG268" i="30"/>
  <c r="BE269" i="30"/>
  <c r="BF269" i="30"/>
  <c r="BG269" i="30"/>
  <c r="BE270" i="30"/>
  <c r="BF270" i="30"/>
  <c r="BG270" i="30"/>
  <c r="BE271" i="30"/>
  <c r="BF271" i="30"/>
  <c r="BG271" i="30"/>
  <c r="BE272" i="30"/>
  <c r="BF272" i="30"/>
  <c r="BG272" i="30"/>
  <c r="BC273" i="30"/>
  <c r="BE273" i="30"/>
  <c r="BF273" i="30"/>
  <c r="BG273" i="30"/>
  <c r="BE274" i="30"/>
  <c r="BF274" i="30"/>
  <c r="BG274" i="30"/>
  <c r="BE275" i="30"/>
  <c r="BF275" i="30"/>
  <c r="BG275" i="30"/>
  <c r="BE276" i="30"/>
  <c r="BF276" i="30"/>
  <c r="BG276" i="30"/>
  <c r="BE278" i="30"/>
  <c r="BF278" i="30"/>
  <c r="BG278" i="30"/>
  <c r="BE279" i="30"/>
  <c r="BF279" i="30"/>
  <c r="BG279" i="30"/>
  <c r="BE280" i="30"/>
  <c r="BF280" i="30"/>
  <c r="BG280" i="30"/>
  <c r="BE281" i="30"/>
  <c r="BF281" i="30"/>
  <c r="BG281" i="30"/>
  <c r="BE282" i="30"/>
  <c r="BF282" i="30"/>
  <c r="BG282" i="30"/>
  <c r="BE283" i="30"/>
  <c r="BF283" i="30"/>
  <c r="BG283" i="30"/>
  <c r="BE284" i="30"/>
  <c r="BF284" i="30"/>
  <c r="BG284" i="30"/>
  <c r="BE286" i="30"/>
  <c r="BF286" i="30"/>
  <c r="BG286" i="30"/>
  <c r="BE287" i="30"/>
  <c r="BF287" i="30"/>
  <c r="BG287" i="30"/>
  <c r="BE288" i="30"/>
  <c r="BF288" i="30"/>
  <c r="BG288" i="30"/>
  <c r="BE289" i="30"/>
  <c r="BF289" i="30"/>
  <c r="BG289" i="30"/>
  <c r="BE290" i="30"/>
  <c r="BF290" i="30"/>
  <c r="BG290" i="30"/>
  <c r="BE291" i="30"/>
  <c r="BF291" i="30"/>
  <c r="BG291" i="30"/>
  <c r="BE292" i="30"/>
  <c r="BF292" i="30"/>
  <c r="BG292" i="30"/>
  <c r="BE293" i="30"/>
  <c r="BF293" i="30"/>
  <c r="BG293" i="30"/>
  <c r="BE294" i="30"/>
  <c r="BF294" i="30"/>
  <c r="BG294" i="30"/>
  <c r="BE295" i="30"/>
  <c r="BF295" i="30"/>
  <c r="BG295" i="30"/>
  <c r="BE296" i="30"/>
  <c r="BF296" i="30"/>
  <c r="BG296" i="30"/>
  <c r="BE297" i="30"/>
  <c r="BF297" i="30"/>
  <c r="BG297" i="30"/>
  <c r="BE298" i="30"/>
  <c r="BF298" i="30"/>
  <c r="BG298" i="30"/>
  <c r="BE299" i="30"/>
  <c r="BF299" i="30"/>
  <c r="BG299" i="30"/>
  <c r="BE300" i="30"/>
  <c r="BF300" i="30"/>
  <c r="BG300" i="30"/>
  <c r="BE301" i="30"/>
  <c r="BF301" i="30"/>
  <c r="BG301" i="30"/>
  <c r="BE302" i="30"/>
  <c r="BF302" i="30"/>
  <c r="BG302" i="30"/>
  <c r="BE303" i="30"/>
  <c r="BF303" i="30"/>
  <c r="BG303" i="30"/>
  <c r="BE304" i="30"/>
  <c r="BF304" i="30"/>
  <c r="BG304" i="30"/>
  <c r="BE305" i="30"/>
  <c r="BF305" i="30"/>
  <c r="BG305" i="30"/>
  <c r="BE306" i="30"/>
  <c r="BF306" i="30"/>
  <c r="BG306" i="30"/>
  <c r="BE307" i="30"/>
  <c r="BF307" i="30"/>
  <c r="BG307" i="30"/>
  <c r="BE309" i="30"/>
  <c r="BF309" i="30"/>
  <c r="BG309" i="30"/>
  <c r="BE310" i="30"/>
  <c r="BF310" i="30"/>
  <c r="BG310" i="30"/>
  <c r="BE311" i="30"/>
  <c r="BF311" i="30"/>
  <c r="BG311" i="30"/>
  <c r="BE312" i="30"/>
  <c r="BF312" i="30"/>
  <c r="BG312" i="30"/>
  <c r="BE313" i="30"/>
  <c r="BF313" i="30"/>
  <c r="BG313" i="30"/>
  <c r="BE314" i="30"/>
  <c r="BF314" i="30"/>
  <c r="BG314" i="30"/>
  <c r="BE315" i="30"/>
  <c r="BF315" i="30"/>
  <c r="BG315" i="30"/>
  <c r="BE316" i="30"/>
  <c r="BF316" i="30"/>
  <c r="BG316" i="30"/>
  <c r="BE317" i="30"/>
  <c r="BF317" i="30"/>
  <c r="BG317" i="30"/>
  <c r="BE318" i="30"/>
  <c r="BF318" i="30"/>
  <c r="BG318" i="30"/>
  <c r="BE319" i="30"/>
  <c r="BF319" i="30"/>
  <c r="BG319" i="30"/>
  <c r="BE320" i="30"/>
  <c r="BF320" i="30"/>
  <c r="BG320" i="30"/>
  <c r="BE321" i="30"/>
  <c r="BF321" i="30"/>
  <c r="BG321" i="30"/>
  <c r="BE322" i="30"/>
  <c r="BF322" i="30"/>
  <c r="BG322" i="30"/>
  <c r="BE323" i="30"/>
  <c r="BF323" i="30"/>
  <c r="BG323" i="30"/>
  <c r="BE324" i="30"/>
  <c r="BF324" i="30"/>
  <c r="BG324" i="30"/>
  <c r="BE325" i="30"/>
  <c r="BF325" i="30"/>
  <c r="BG325" i="30"/>
  <c r="BE326" i="30"/>
  <c r="BF326" i="30"/>
  <c r="BG326" i="30"/>
  <c r="BE327" i="30"/>
  <c r="BF327" i="30"/>
  <c r="BG327" i="30"/>
  <c r="BE328" i="30"/>
  <c r="BF328" i="30"/>
  <c r="BG328" i="30"/>
  <c r="BE25" i="30"/>
  <c r="BF25" i="30"/>
  <c r="BG25" i="30"/>
  <c r="BE26" i="30"/>
  <c r="BF26" i="30"/>
  <c r="BG26" i="30"/>
  <c r="BE27" i="30"/>
  <c r="BF27" i="30"/>
  <c r="BG27" i="30"/>
  <c r="BE28" i="30"/>
  <c r="BF28" i="30"/>
  <c r="BG28" i="30"/>
  <c r="BE29" i="30"/>
  <c r="BF29" i="30"/>
  <c r="BG29" i="30"/>
  <c r="BE30" i="30"/>
  <c r="BF30" i="30"/>
  <c r="BG30" i="30"/>
  <c r="BE31" i="30"/>
  <c r="BF31" i="30"/>
  <c r="BG31" i="30"/>
  <c r="BE32" i="30"/>
  <c r="BF32" i="30"/>
  <c r="BG32" i="30"/>
  <c r="BE33" i="30"/>
  <c r="BF33" i="30"/>
  <c r="BG33" i="30"/>
  <c r="BE34" i="30"/>
  <c r="BF34" i="30"/>
  <c r="BG34" i="30"/>
  <c r="BE35" i="30"/>
  <c r="BF35" i="30"/>
  <c r="BG35" i="30"/>
  <c r="BE36" i="30"/>
  <c r="BF36" i="30"/>
  <c r="BG36" i="30"/>
  <c r="BE37" i="30"/>
  <c r="BF37" i="30"/>
  <c r="BG37" i="30"/>
  <c r="BE38" i="30"/>
  <c r="BF38" i="30"/>
  <c r="BG38" i="30"/>
  <c r="BE39" i="30"/>
  <c r="BF39" i="30"/>
  <c r="BG39" i="30"/>
  <c r="BE41" i="30"/>
  <c r="BF41" i="30"/>
  <c r="BG41" i="30"/>
  <c r="BE42" i="30"/>
  <c r="BF42" i="30"/>
  <c r="BG42" i="30"/>
  <c r="BE43" i="30"/>
  <c r="BF43" i="30"/>
  <c r="BG43" i="30"/>
  <c r="BE44" i="30"/>
  <c r="BF44" i="30"/>
  <c r="BG44" i="30"/>
  <c r="BC44" i="30"/>
  <c r="BE45" i="30"/>
  <c r="BF45" i="30"/>
  <c r="BG45" i="30"/>
  <c r="BE46" i="30"/>
  <c r="BF46" i="30"/>
  <c r="BG46" i="30"/>
  <c r="BE47" i="30"/>
  <c r="BF47" i="30"/>
  <c r="BG47" i="30"/>
  <c r="BE48" i="30"/>
  <c r="BF48" i="30"/>
  <c r="BG48" i="30"/>
  <c r="BE49" i="30"/>
  <c r="BF49" i="30"/>
  <c r="BG49" i="30"/>
  <c r="BE51" i="30"/>
  <c r="BF51" i="30"/>
  <c r="BG51" i="30"/>
  <c r="BE52" i="30"/>
  <c r="BF52" i="30"/>
  <c r="BG52" i="30"/>
  <c r="BE53" i="30"/>
  <c r="BF53" i="30"/>
  <c r="BG53" i="30"/>
  <c r="BE54" i="30"/>
  <c r="BF54" i="30"/>
  <c r="BG54" i="30"/>
  <c r="BE55" i="30"/>
  <c r="BF55" i="30"/>
  <c r="BG55" i="30"/>
  <c r="BE56" i="30"/>
  <c r="BF56" i="30"/>
  <c r="BG56" i="30"/>
  <c r="BE57" i="30"/>
  <c r="BF57" i="30"/>
  <c r="BG57" i="30"/>
  <c r="BE58" i="30"/>
  <c r="BF58" i="30"/>
  <c r="BG58" i="30"/>
  <c r="BE59" i="30"/>
  <c r="BF59" i="30"/>
  <c r="BG59" i="30"/>
  <c r="BE60" i="30"/>
  <c r="BF60" i="30"/>
  <c r="BG60" i="30"/>
  <c r="BE61" i="30"/>
  <c r="BF61" i="30"/>
  <c r="BG61" i="30"/>
  <c r="BC61" i="30"/>
  <c r="BE62" i="30"/>
  <c r="BF62" i="30"/>
  <c r="BG62" i="30"/>
  <c r="BE64" i="30"/>
  <c r="BF64" i="30"/>
  <c r="BG64" i="30"/>
  <c r="BE65" i="30"/>
  <c r="BF65" i="30"/>
  <c r="BG65" i="30"/>
  <c r="BE66" i="30"/>
  <c r="BF66" i="30"/>
  <c r="BG66" i="30"/>
  <c r="BE67" i="30"/>
  <c r="BF67" i="30"/>
  <c r="BG67" i="30"/>
  <c r="BE68" i="30"/>
  <c r="BF68" i="30"/>
  <c r="BG68" i="30"/>
  <c r="BE69" i="30"/>
  <c r="BF69" i="30"/>
  <c r="BG69" i="30"/>
  <c r="BE70" i="30"/>
  <c r="BF70" i="30"/>
  <c r="BG70" i="30"/>
  <c r="BE71" i="30"/>
  <c r="BF71" i="30"/>
  <c r="BG71" i="30"/>
  <c r="BE72" i="30"/>
  <c r="BF72" i="30"/>
  <c r="BG72" i="30"/>
  <c r="BE73" i="30"/>
  <c r="BF73" i="30"/>
  <c r="BG73" i="30"/>
  <c r="BE74" i="30"/>
  <c r="BF74" i="30"/>
  <c r="BG74" i="30"/>
  <c r="BE75" i="30"/>
  <c r="BF75" i="30"/>
  <c r="BG75" i="30"/>
  <c r="BE76" i="30"/>
  <c r="BF76" i="30"/>
  <c r="BG76" i="30"/>
  <c r="BE77" i="30"/>
  <c r="BF77" i="30"/>
  <c r="BG77" i="30"/>
  <c r="BE78" i="30"/>
  <c r="BF78" i="30"/>
  <c r="BG78" i="30"/>
  <c r="BE79" i="30"/>
  <c r="BF79" i="30"/>
  <c r="BG79" i="30"/>
  <c r="BE80" i="30"/>
  <c r="BF80" i="30"/>
  <c r="BG80" i="30"/>
  <c r="BE81" i="30"/>
  <c r="BF81" i="30"/>
  <c r="BG81" i="30"/>
  <c r="BE83" i="30"/>
  <c r="BF83" i="30"/>
  <c r="BG83" i="30"/>
  <c r="BE87" i="30"/>
  <c r="BF87" i="30"/>
  <c r="BG87" i="30"/>
  <c r="BE88" i="30"/>
  <c r="BF88" i="30"/>
  <c r="BG88" i="30"/>
  <c r="BE89" i="30"/>
  <c r="BF89" i="30"/>
  <c r="BG89" i="30"/>
  <c r="BE90" i="30"/>
  <c r="BF90" i="30"/>
  <c r="BG90" i="30"/>
  <c r="BC93" i="30"/>
  <c r="BE91" i="30"/>
  <c r="BF91" i="30"/>
  <c r="BG91" i="30"/>
  <c r="BE92" i="30"/>
  <c r="BF92" i="30"/>
  <c r="BG92" i="30"/>
  <c r="BE93" i="30"/>
  <c r="BF93" i="30"/>
  <c r="BG93" i="30"/>
  <c r="BE94" i="30"/>
  <c r="BF94" i="30"/>
  <c r="BG94" i="30"/>
  <c r="BE95" i="30"/>
  <c r="BF95" i="30"/>
  <c r="BG95" i="30"/>
  <c r="BE96" i="30"/>
  <c r="BF96" i="30"/>
  <c r="BG96" i="30"/>
  <c r="BE97" i="30"/>
  <c r="BF97" i="30"/>
  <c r="BG97" i="30"/>
  <c r="BE98" i="30"/>
  <c r="BF98" i="30"/>
  <c r="BG98" i="30"/>
  <c r="BE99" i="30"/>
  <c r="BF99" i="30"/>
  <c r="BG99" i="30"/>
  <c r="BE100" i="30"/>
  <c r="BF100" i="30"/>
  <c r="BG100" i="30"/>
  <c r="BE101" i="30"/>
  <c r="BF101" i="30"/>
  <c r="BG101" i="30"/>
  <c r="BE102" i="30"/>
  <c r="BF102" i="30"/>
  <c r="BG102" i="30"/>
  <c r="BE103" i="30"/>
  <c r="BF103" i="30"/>
  <c r="BG103" i="30"/>
  <c r="BE104" i="30"/>
  <c r="BF104" i="30"/>
  <c r="BG104" i="30"/>
  <c r="BE105" i="30"/>
  <c r="BF105" i="30"/>
  <c r="BG105" i="30"/>
  <c r="BE106" i="30"/>
  <c r="BF106" i="30"/>
  <c r="BG106" i="30"/>
  <c r="BE107" i="30"/>
  <c r="BF107" i="30"/>
  <c r="BG107" i="30"/>
  <c r="BE108" i="30"/>
  <c r="BF108" i="30"/>
  <c r="BG108" i="30"/>
  <c r="BE109" i="30"/>
  <c r="BF109" i="30"/>
  <c r="BG109" i="30"/>
  <c r="BE110" i="30"/>
  <c r="BF110" i="30"/>
  <c r="BG110" i="30"/>
  <c r="BE111" i="30"/>
  <c r="BF111" i="30"/>
  <c r="BG111" i="30"/>
  <c r="BE112" i="30"/>
  <c r="BF112" i="30"/>
  <c r="BG112" i="30"/>
  <c r="BE113" i="30"/>
  <c r="BF113" i="30"/>
  <c r="BG113" i="30"/>
  <c r="BE114" i="30"/>
  <c r="BF114" i="30"/>
  <c r="BG114" i="30"/>
  <c r="BE115" i="30"/>
  <c r="BF115" i="30"/>
  <c r="BG115" i="30"/>
  <c r="BE117" i="30"/>
  <c r="BF117" i="30"/>
  <c r="BG117" i="30"/>
  <c r="BE118" i="30"/>
  <c r="BF118" i="30"/>
  <c r="BG118" i="30"/>
  <c r="BC118" i="30"/>
  <c r="BE119" i="30"/>
  <c r="BF119" i="30"/>
  <c r="BG119" i="30"/>
  <c r="BE120" i="30"/>
  <c r="BF120" i="30"/>
  <c r="BG120" i="30"/>
  <c r="BE121" i="30"/>
  <c r="BF121" i="30"/>
  <c r="BG121" i="30"/>
  <c r="BE122" i="30"/>
  <c r="BF122" i="30"/>
  <c r="BG122" i="30"/>
  <c r="BE123" i="30"/>
  <c r="BF123" i="30"/>
  <c r="BG123" i="30"/>
  <c r="BE124" i="30"/>
  <c r="BF124" i="30"/>
  <c r="BG124" i="30"/>
  <c r="BE125" i="30"/>
  <c r="BF125" i="30"/>
  <c r="BG125" i="30"/>
  <c r="BE126" i="30"/>
  <c r="BF126" i="30"/>
  <c r="BG126" i="30"/>
  <c r="BE127" i="30"/>
  <c r="BF127" i="30"/>
  <c r="BG127" i="30"/>
  <c r="BE128" i="30"/>
  <c r="BF128" i="30"/>
  <c r="BG128" i="30"/>
  <c r="BE129" i="30"/>
  <c r="BF129" i="30"/>
  <c r="BG129" i="30"/>
  <c r="BE130" i="30"/>
  <c r="BF130" i="30"/>
  <c r="BG130" i="30"/>
  <c r="BE131" i="30"/>
  <c r="BF131" i="30"/>
  <c r="BG131" i="30"/>
  <c r="BE132" i="30"/>
  <c r="BF132" i="30"/>
  <c r="BG132" i="30"/>
  <c r="BE133" i="30"/>
  <c r="BF133" i="30"/>
  <c r="BG133" i="30"/>
  <c r="BE134" i="30"/>
  <c r="BF134" i="30"/>
  <c r="BG134" i="30"/>
  <c r="BE135" i="30"/>
  <c r="BF135" i="30"/>
  <c r="BG135" i="30"/>
  <c r="BE136" i="30"/>
  <c r="BF136" i="30"/>
  <c r="BG136" i="30"/>
  <c r="BE137" i="30"/>
  <c r="BF137" i="30"/>
  <c r="BG137" i="30"/>
  <c r="BE138" i="30"/>
  <c r="BF138" i="30"/>
  <c r="BG138" i="30"/>
  <c r="BE139" i="30"/>
  <c r="BF139" i="30"/>
  <c r="BG139" i="30"/>
  <c r="BE140" i="30"/>
  <c r="BF140" i="30"/>
  <c r="BG140" i="30"/>
  <c r="BE141" i="30"/>
  <c r="BF141" i="30"/>
  <c r="BG141" i="30"/>
  <c r="BE142" i="30"/>
  <c r="BF142" i="30"/>
  <c r="BG142" i="30"/>
  <c r="BC184" i="30"/>
  <c r="BE143" i="30"/>
  <c r="BF143" i="30"/>
  <c r="BG143" i="30"/>
  <c r="BE144" i="30"/>
  <c r="BF144" i="30"/>
  <c r="BG144" i="30"/>
  <c r="BE145" i="30"/>
  <c r="BF145" i="30"/>
  <c r="BG145" i="30"/>
  <c r="BE146" i="30"/>
  <c r="BF146" i="30"/>
  <c r="BG146" i="30"/>
  <c r="BE147" i="30"/>
  <c r="BF147" i="30"/>
  <c r="BG147" i="30"/>
  <c r="BE148" i="30"/>
  <c r="BF148" i="30"/>
  <c r="BG148" i="30"/>
  <c r="BE149" i="30"/>
  <c r="BF149" i="30"/>
  <c r="BG149" i="30"/>
  <c r="BE150" i="30"/>
  <c r="BF150" i="30"/>
  <c r="BG150" i="30"/>
  <c r="BE151" i="30"/>
  <c r="BF151" i="30"/>
  <c r="BE6" i="31" s="1"/>
  <c r="BG151" i="30"/>
  <c r="BF6" i="31" s="1"/>
  <c r="BE152" i="30"/>
  <c r="BF152" i="30"/>
  <c r="BG152" i="30"/>
  <c r="BE153" i="30"/>
  <c r="BF153" i="30"/>
  <c r="BG153" i="30"/>
  <c r="BE154" i="30"/>
  <c r="BF154" i="30"/>
  <c r="BG154" i="30"/>
  <c r="BE155" i="30"/>
  <c r="BF155" i="30"/>
  <c r="BG155" i="30"/>
  <c r="BE156" i="30"/>
  <c r="BF156" i="30"/>
  <c r="BG156" i="30"/>
  <c r="BE157" i="30"/>
  <c r="BF157" i="30"/>
  <c r="BG157" i="30"/>
  <c r="BE158" i="30"/>
  <c r="BF158" i="30"/>
  <c r="BG158" i="30"/>
  <c r="BE159" i="30"/>
  <c r="BF159" i="30"/>
  <c r="BG159" i="30"/>
  <c r="BE160" i="30"/>
  <c r="BF160" i="30"/>
  <c r="BG160" i="30"/>
  <c r="BE161" i="30"/>
  <c r="BF161" i="30"/>
  <c r="BG161" i="30"/>
  <c r="BE162" i="30"/>
  <c r="BF162" i="30"/>
  <c r="BG162" i="30"/>
  <c r="BE163" i="30"/>
  <c r="BF163" i="30"/>
  <c r="BG163" i="30"/>
  <c r="BE164" i="30"/>
  <c r="BF164" i="30"/>
  <c r="BG164" i="30"/>
  <c r="BE165" i="30"/>
  <c r="BF165" i="30"/>
  <c r="BG165" i="30"/>
  <c r="BE166" i="30"/>
  <c r="BF166" i="30"/>
  <c r="BG166" i="30"/>
  <c r="BE167" i="30"/>
  <c r="BF167" i="30"/>
  <c r="BG167" i="30"/>
  <c r="BE168" i="30"/>
  <c r="BF168" i="30"/>
  <c r="BG168" i="30"/>
  <c r="BE169" i="30"/>
  <c r="BF169" i="30"/>
  <c r="BG169" i="30"/>
  <c r="BE170" i="30"/>
  <c r="BF170" i="30"/>
  <c r="BG170" i="30"/>
  <c r="BE171" i="30"/>
  <c r="BF171" i="30"/>
  <c r="BG171" i="30"/>
  <c r="BE172" i="30"/>
  <c r="BF172" i="30"/>
  <c r="BG172" i="30"/>
  <c r="BE173" i="30"/>
  <c r="BF173" i="30"/>
  <c r="BG173" i="30"/>
  <c r="BE174" i="30"/>
  <c r="BF174" i="30"/>
  <c r="BG174" i="30"/>
  <c r="BE175" i="30"/>
  <c r="BF175" i="30"/>
  <c r="BG175" i="30"/>
  <c r="BE176" i="30"/>
  <c r="BF176" i="30"/>
  <c r="BG176" i="30"/>
  <c r="BE177" i="30"/>
  <c r="BF177" i="30"/>
  <c r="BG177" i="30"/>
  <c r="BE178" i="30"/>
  <c r="BF178" i="30"/>
  <c r="BG178" i="30"/>
  <c r="BE179" i="30"/>
  <c r="BF179" i="30"/>
  <c r="BG179" i="30"/>
  <c r="BE180" i="30"/>
  <c r="BF180" i="30"/>
  <c r="BG180" i="30"/>
  <c r="BE181" i="30"/>
  <c r="BF181" i="30"/>
  <c r="BG181" i="30"/>
  <c r="BE182" i="30"/>
  <c r="BF182" i="30"/>
  <c r="BG182" i="30"/>
  <c r="BE183" i="30"/>
  <c r="BF183" i="30"/>
  <c r="BG183" i="30"/>
  <c r="BE184" i="30"/>
  <c r="BF184" i="30"/>
  <c r="BG184" i="30"/>
  <c r="BE185" i="30"/>
  <c r="BF185" i="30"/>
  <c r="BG185" i="30"/>
  <c r="BE186" i="30"/>
  <c r="BF186" i="30"/>
  <c r="BG186" i="30"/>
  <c r="BE187" i="30"/>
  <c r="BF187" i="30"/>
  <c r="BG187" i="30"/>
  <c r="BE188" i="30"/>
  <c r="BF188" i="30"/>
  <c r="BG188" i="30"/>
  <c r="BE189" i="30"/>
  <c r="BF189" i="30"/>
  <c r="BG189" i="30"/>
  <c r="BE190" i="30"/>
  <c r="BF190" i="30"/>
  <c r="BG190" i="30"/>
  <c r="BE191" i="30"/>
  <c r="BF191" i="30"/>
  <c r="BG191" i="30"/>
  <c r="BE192" i="30"/>
  <c r="BF192" i="30"/>
  <c r="BG192" i="30"/>
  <c r="BE193" i="30"/>
  <c r="BF193" i="30"/>
  <c r="BG193" i="30"/>
  <c r="BE194" i="30"/>
  <c r="BF194" i="30"/>
  <c r="BG194" i="30"/>
  <c r="BE195" i="30"/>
  <c r="BF195" i="30"/>
  <c r="BG195" i="30"/>
  <c r="BE196" i="30"/>
  <c r="BF196" i="30"/>
  <c r="BG196" i="30"/>
  <c r="BE197" i="30"/>
  <c r="BF197" i="30"/>
  <c r="BG197" i="30"/>
  <c r="BE198" i="30"/>
  <c r="BF198" i="30"/>
  <c r="BG198" i="30"/>
  <c r="BE199" i="30"/>
  <c r="BF199" i="30"/>
  <c r="BG199" i="30"/>
  <c r="BE201" i="30"/>
  <c r="BF201" i="30"/>
  <c r="BG201" i="30"/>
  <c r="BE202" i="30"/>
  <c r="BF202" i="30"/>
  <c r="BG202" i="30"/>
  <c r="BE203" i="30"/>
  <c r="BF203" i="30"/>
  <c r="BG203" i="30"/>
  <c r="BE204" i="30"/>
  <c r="BF204" i="30"/>
  <c r="BG204" i="30"/>
  <c r="BE205" i="30"/>
  <c r="BF205" i="30"/>
  <c r="BG205" i="30"/>
  <c r="BE206" i="30"/>
  <c r="BF206" i="30"/>
  <c r="BG206" i="30"/>
  <c r="BE207" i="30"/>
  <c r="BF207" i="30"/>
  <c r="BG207" i="30"/>
  <c r="BE208" i="30"/>
  <c r="BF208" i="30"/>
  <c r="BG208" i="30"/>
  <c r="BE209" i="30"/>
  <c r="BF209" i="30"/>
  <c r="BG209" i="30"/>
  <c r="BE210" i="30"/>
  <c r="BF210" i="30"/>
  <c r="BG210" i="30"/>
  <c r="BE211" i="30"/>
  <c r="BF211" i="30"/>
  <c r="BG211" i="30"/>
  <c r="BE212" i="30"/>
  <c r="BF212" i="30"/>
  <c r="BG212" i="30"/>
  <c r="BE213" i="30"/>
  <c r="BF213" i="30"/>
  <c r="BG213" i="30"/>
  <c r="BE214" i="30"/>
  <c r="BF214" i="30"/>
  <c r="BG214" i="30"/>
  <c r="BE215" i="30"/>
  <c r="BF215" i="30"/>
  <c r="BG215" i="30"/>
  <c r="BE216" i="30"/>
  <c r="BF216" i="30"/>
  <c r="BG216" i="30"/>
  <c r="BE217" i="30"/>
  <c r="BF217" i="30"/>
  <c r="BG217" i="30"/>
  <c r="BE218" i="30"/>
  <c r="BF218" i="30"/>
  <c r="BG218" i="30"/>
  <c r="BE219" i="30"/>
  <c r="BF219" i="30"/>
  <c r="BG219" i="30"/>
  <c r="BE220" i="30"/>
  <c r="BF220" i="30"/>
  <c r="BG220" i="30"/>
  <c r="BE221" i="30"/>
  <c r="BF221" i="30"/>
  <c r="BG221" i="30"/>
  <c r="BE222" i="30"/>
  <c r="BF222" i="30"/>
  <c r="BG222" i="30"/>
  <c r="BE223" i="30"/>
  <c r="BF223" i="30"/>
  <c r="BG223" i="30"/>
  <c r="BE224" i="30"/>
  <c r="BF224" i="30"/>
  <c r="BG224" i="30"/>
  <c r="BE225" i="30"/>
  <c r="BF225" i="30"/>
  <c r="BG225" i="30"/>
  <c r="BE226" i="30"/>
  <c r="BF226" i="30"/>
  <c r="BG226" i="30"/>
  <c r="BE227" i="30"/>
  <c r="BF227" i="30"/>
  <c r="BG227" i="30"/>
  <c r="BE228" i="30"/>
  <c r="BF228" i="30"/>
  <c r="BG228" i="30"/>
  <c r="BE229" i="30"/>
  <c r="BF229" i="30"/>
  <c r="BG229" i="30"/>
  <c r="BE230" i="30"/>
  <c r="BF230" i="30"/>
  <c r="BG230" i="30"/>
  <c r="BE231" i="30"/>
  <c r="BF231" i="30"/>
  <c r="BG231" i="30"/>
  <c r="BE232" i="30"/>
  <c r="BF232" i="30"/>
  <c r="BG232" i="30"/>
  <c r="BE233" i="30"/>
  <c r="BF233" i="30"/>
  <c r="BG233" i="30"/>
  <c r="BD81" i="30"/>
  <c r="BE8" i="30"/>
  <c r="BF8" i="30"/>
  <c r="BG8" i="30"/>
  <c r="BE9" i="30"/>
  <c r="BF9" i="30"/>
  <c r="BG9" i="30"/>
  <c r="BE10" i="30"/>
  <c r="BF10" i="30"/>
  <c r="BG10" i="30"/>
  <c r="BE11" i="30"/>
  <c r="BF11" i="30"/>
  <c r="BG11" i="30"/>
  <c r="BE12" i="30"/>
  <c r="BF12" i="30"/>
  <c r="BG12" i="30"/>
  <c r="BE13" i="30"/>
  <c r="BF13" i="30"/>
  <c r="BG13" i="30"/>
  <c r="BE15" i="30"/>
  <c r="BF15" i="30"/>
  <c r="BG15" i="30"/>
  <c r="BE16" i="30"/>
  <c r="BF16" i="30"/>
  <c r="BG16" i="30"/>
  <c r="BE17" i="30"/>
  <c r="BF17" i="30"/>
  <c r="BG17" i="30"/>
  <c r="BE18" i="30"/>
  <c r="BF18" i="30"/>
  <c r="BG18" i="30"/>
  <c r="BE19" i="30"/>
  <c r="BF19" i="30"/>
  <c r="BG19" i="30"/>
  <c r="BE20" i="30"/>
  <c r="BF20" i="30"/>
  <c r="BG20" i="30"/>
  <c r="BE21" i="30"/>
  <c r="BF21" i="30"/>
  <c r="BG21" i="30"/>
  <c r="BD22" i="30"/>
  <c r="BE22" i="30"/>
  <c r="BF22" i="30"/>
  <c r="BG22" i="30"/>
  <c r="BE23" i="30"/>
  <c r="BF23" i="30"/>
  <c r="BG23" i="30"/>
  <c r="BE24" i="30"/>
  <c r="BF24" i="30"/>
  <c r="BG24" i="30"/>
  <c r="BD6" i="31" l="1"/>
  <c r="BD174" i="30"/>
  <c r="BD166" i="30"/>
  <c r="BD158" i="30"/>
  <c r="BD150" i="30"/>
  <c r="BD142" i="30"/>
  <c r="BD134" i="30"/>
  <c r="BD126" i="30"/>
  <c r="BD118" i="30"/>
  <c r="BD109" i="30"/>
  <c r="BD101" i="30"/>
  <c r="BD93" i="30"/>
  <c r="BC81" i="30"/>
  <c r="BC73" i="30"/>
  <c r="BC65" i="30"/>
  <c r="BD56" i="30"/>
  <c r="BD47" i="30"/>
  <c r="BD38" i="30"/>
  <c r="BD30" i="30"/>
  <c r="BD326" i="30"/>
  <c r="BD318" i="30"/>
  <c r="BD310" i="30"/>
  <c r="BC301" i="30"/>
  <c r="BC293" i="30"/>
  <c r="BD275" i="30"/>
  <c r="BD267" i="30"/>
  <c r="BD259" i="30"/>
  <c r="BD250" i="30"/>
  <c r="BD242" i="30"/>
  <c r="BD234" i="30"/>
  <c r="BC38" i="30"/>
  <c r="BD209" i="30"/>
  <c r="BD153" i="30"/>
  <c r="BD97" i="30"/>
  <c r="BD65" i="30"/>
  <c r="BD25" i="30"/>
  <c r="BC101" i="30"/>
  <c r="BC229" i="30"/>
  <c r="BD229" i="30"/>
  <c r="BC132" i="30"/>
  <c r="BD132" i="30"/>
  <c r="BD18" i="30"/>
  <c r="BC225" i="30"/>
  <c r="BC17" i="30"/>
  <c r="BC232" i="30"/>
  <c r="BD232" i="30"/>
  <c r="BC216" i="30"/>
  <c r="BD216" i="30"/>
  <c r="BC208" i="30"/>
  <c r="BD208" i="30"/>
  <c r="BD199" i="30"/>
  <c r="BC199" i="30"/>
  <c r="BC198" i="30"/>
  <c r="BD191" i="30"/>
  <c r="BC191" i="30"/>
  <c r="BD175" i="30"/>
  <c r="BC175" i="30"/>
  <c r="BD167" i="30"/>
  <c r="BC167" i="30"/>
  <c r="BD151" i="30"/>
  <c r="BC151" i="30"/>
  <c r="BD24" i="30"/>
  <c r="BD16" i="30"/>
  <c r="BD231" i="30"/>
  <c r="BD223" i="30"/>
  <c r="BD215" i="30"/>
  <c r="BD207" i="30"/>
  <c r="BD198" i="30"/>
  <c r="BD190" i="30"/>
  <c r="BD182" i="30"/>
  <c r="BD23" i="30"/>
  <c r="BD15" i="30"/>
  <c r="BD230" i="30"/>
  <c r="BD222" i="30"/>
  <c r="BD214" i="30"/>
  <c r="BD206" i="30"/>
  <c r="BC197" i="30"/>
  <c r="BC189" i="30"/>
  <c r="BC181" i="30"/>
  <c r="BC173" i="30"/>
  <c r="BC165" i="30"/>
  <c r="BC157" i="30"/>
  <c r="BC149" i="30"/>
  <c r="BC141" i="30"/>
  <c r="BC133" i="30"/>
  <c r="BC125" i="30"/>
  <c r="BC117" i="30"/>
  <c r="BC108" i="30"/>
  <c r="BC100" i="30"/>
  <c r="BC92" i="30"/>
  <c r="BD80" i="30"/>
  <c r="BD72" i="30"/>
  <c r="BD64" i="30"/>
  <c r="BD55" i="30"/>
  <c r="BD46" i="30"/>
  <c r="BC37" i="30"/>
  <c r="BC29" i="30"/>
  <c r="BC325" i="30"/>
  <c r="BC317" i="30"/>
  <c r="BC309" i="30"/>
  <c r="BC283" i="30"/>
  <c r="BD274" i="30"/>
  <c r="BD266" i="30"/>
  <c r="BD258" i="30"/>
  <c r="BC249" i="30"/>
  <c r="BC241" i="30"/>
  <c r="BC30" i="30"/>
  <c r="BD305" i="30"/>
  <c r="BD201" i="30"/>
  <c r="BD145" i="30"/>
  <c r="BD89" i="30"/>
  <c r="BD17" i="30"/>
  <c r="BC221" i="30"/>
  <c r="BD221" i="30"/>
  <c r="BC140" i="30"/>
  <c r="BD140" i="30"/>
  <c r="BD71" i="30"/>
  <c r="BC71" i="30"/>
  <c r="BD54" i="30"/>
  <c r="BC54" i="30"/>
  <c r="BC36" i="30"/>
  <c r="BD36" i="30"/>
  <c r="BC28" i="30"/>
  <c r="BD28" i="30"/>
  <c r="BC299" i="30"/>
  <c r="BD299" i="30"/>
  <c r="BC282" i="30"/>
  <c r="BC300" i="30"/>
  <c r="BC284" i="30"/>
  <c r="BD282" i="30"/>
  <c r="BC257" i="30"/>
  <c r="BC248" i="30"/>
  <c r="BD248" i="30"/>
  <c r="BC240" i="30"/>
  <c r="BC264" i="30"/>
  <c r="BC256" i="30"/>
  <c r="BD240" i="30"/>
  <c r="BC272" i="30"/>
  <c r="BC22" i="30"/>
  <c r="BD297" i="30"/>
  <c r="BD137" i="30"/>
  <c r="BD57" i="30"/>
  <c r="BC99" i="30"/>
  <c r="BD99" i="30"/>
  <c r="BD62" i="30"/>
  <c r="BC62" i="30"/>
  <c r="BC45" i="30"/>
  <c r="BC47" i="30"/>
  <c r="BC55" i="30"/>
  <c r="BD45" i="30"/>
  <c r="BD324" i="30"/>
  <c r="BC324" i="30"/>
  <c r="BC320" i="30"/>
  <c r="BC328" i="30"/>
  <c r="BD316" i="30"/>
  <c r="BC316" i="30"/>
  <c r="BC307" i="30"/>
  <c r="BD307" i="30"/>
  <c r="BC291" i="30"/>
  <c r="BD291" i="30"/>
  <c r="BC265" i="30"/>
  <c r="BC21" i="30"/>
  <c r="BC12" i="30"/>
  <c r="BD228" i="30"/>
  <c r="BD220" i="30"/>
  <c r="BD212" i="30"/>
  <c r="BC204" i="30"/>
  <c r="BC195" i="30"/>
  <c r="BD187" i="30"/>
  <c r="BD179" i="30"/>
  <c r="BD171" i="30"/>
  <c r="BD163" i="30"/>
  <c r="BD155" i="30"/>
  <c r="BD147" i="30"/>
  <c r="BC139" i="30"/>
  <c r="BC131" i="30"/>
  <c r="BC123" i="30"/>
  <c r="BC114" i="30"/>
  <c r="BC106" i="30"/>
  <c r="BC98" i="30"/>
  <c r="BC90" i="30"/>
  <c r="BD78" i="30"/>
  <c r="BD70" i="30"/>
  <c r="BD61" i="30"/>
  <c r="BC53" i="30"/>
  <c r="BC35" i="30"/>
  <c r="BC27" i="30"/>
  <c r="BD323" i="30"/>
  <c r="BD315" i="30"/>
  <c r="BC306" i="30"/>
  <c r="BC298" i="30"/>
  <c r="BC290" i="30"/>
  <c r="BC281" i="30"/>
  <c r="BD272" i="30"/>
  <c r="BD264" i="30"/>
  <c r="BD256" i="30"/>
  <c r="BD247" i="30"/>
  <c r="BD239" i="30"/>
  <c r="BD289" i="30"/>
  <c r="BD249" i="30"/>
  <c r="BD193" i="30"/>
  <c r="BD129" i="30"/>
  <c r="BD9" i="30"/>
  <c r="BC76" i="30"/>
  <c r="BC13" i="30"/>
  <c r="BD13" i="30"/>
  <c r="BC205" i="30"/>
  <c r="BD205" i="30"/>
  <c r="BD148" i="30"/>
  <c r="BC148" i="30"/>
  <c r="BC124" i="30"/>
  <c r="BD124" i="30"/>
  <c r="BC20" i="30"/>
  <c r="BC11" i="30"/>
  <c r="BD227" i="30"/>
  <c r="BD219" i="30"/>
  <c r="BD211" i="30"/>
  <c r="BC203" i="30"/>
  <c r="BD194" i="30"/>
  <c r="BD186" i="30"/>
  <c r="BD178" i="30"/>
  <c r="BD170" i="30"/>
  <c r="BD162" i="30"/>
  <c r="BD154" i="30"/>
  <c r="BD146" i="30"/>
  <c r="BD138" i="30"/>
  <c r="BD130" i="30"/>
  <c r="BD122" i="30"/>
  <c r="BC113" i="30"/>
  <c r="BC105" i="30"/>
  <c r="BC97" i="30"/>
  <c r="BC89" i="30"/>
  <c r="BC77" i="30"/>
  <c r="BC69" i="30"/>
  <c r="BC60" i="30"/>
  <c r="BC43" i="30"/>
  <c r="BD34" i="30"/>
  <c r="BD26" i="30"/>
  <c r="BD322" i="30"/>
  <c r="BD314" i="30"/>
  <c r="BC305" i="30"/>
  <c r="BC297" i="30"/>
  <c r="BC289" i="30"/>
  <c r="BD280" i="30"/>
  <c r="BD271" i="30"/>
  <c r="BD263" i="30"/>
  <c r="BD254" i="30"/>
  <c r="BD246" i="30"/>
  <c r="BD238" i="30"/>
  <c r="BD241" i="30"/>
  <c r="BD185" i="30"/>
  <c r="BD121" i="30"/>
  <c r="BD49" i="30"/>
  <c r="BC68" i="30"/>
  <c r="BC213" i="30"/>
  <c r="BD213" i="30"/>
  <c r="BD188" i="30"/>
  <c r="BC188" i="30"/>
  <c r="BD172" i="30"/>
  <c r="BC172" i="30"/>
  <c r="BC91" i="30"/>
  <c r="BD91" i="30"/>
  <c r="BC19" i="30"/>
  <c r="BD10" i="30"/>
  <c r="BC6" i="30"/>
  <c r="BD226" i="30"/>
  <c r="BD218" i="30"/>
  <c r="BD210" i="30"/>
  <c r="BD202" i="30"/>
  <c r="BC193" i="30"/>
  <c r="BC185" i="30"/>
  <c r="BC177" i="30"/>
  <c r="BC169" i="30"/>
  <c r="BC161" i="30"/>
  <c r="BC153" i="30"/>
  <c r="BC145" i="30"/>
  <c r="BC137" i="30"/>
  <c r="BC129" i="30"/>
  <c r="BC121" i="30"/>
  <c r="BD112" i="30"/>
  <c r="BD104" i="30"/>
  <c r="BD96" i="30"/>
  <c r="BD88" i="30"/>
  <c r="BC59" i="30"/>
  <c r="BC51" i="30"/>
  <c r="BC42" i="30"/>
  <c r="BC321" i="30"/>
  <c r="BC313" i="30"/>
  <c r="BD304" i="30"/>
  <c r="BD296" i="30"/>
  <c r="BD288" i="30"/>
  <c r="BD279" i="30"/>
  <c r="BD270" i="30"/>
  <c r="BD262" i="30"/>
  <c r="BC253" i="30"/>
  <c r="BC245" i="30"/>
  <c r="BC237" i="30"/>
  <c r="BD6" i="30"/>
  <c r="BD281" i="30"/>
  <c r="BD233" i="30"/>
  <c r="BD177" i="30"/>
  <c r="BD41" i="30"/>
  <c r="BC142" i="30"/>
  <c r="BC292" i="30"/>
  <c r="BD180" i="30"/>
  <c r="BC180" i="30"/>
  <c r="BC115" i="30"/>
  <c r="BD115" i="30"/>
  <c r="BD79" i="30"/>
  <c r="BC79" i="30"/>
  <c r="BC9" i="30"/>
  <c r="BC217" i="30"/>
  <c r="BC209" i="30"/>
  <c r="BC201" i="30"/>
  <c r="BD192" i="30"/>
  <c r="BD184" i="30"/>
  <c r="BD176" i="30"/>
  <c r="BD168" i="30"/>
  <c r="BD160" i="30"/>
  <c r="BD152" i="30"/>
  <c r="BD144" i="30"/>
  <c r="BD136" i="30"/>
  <c r="BD128" i="30"/>
  <c r="BD120" i="30"/>
  <c r="BD111" i="30"/>
  <c r="BD103" i="30"/>
  <c r="BD95" i="30"/>
  <c r="BD87" i="30"/>
  <c r="BC75" i="30"/>
  <c r="BC67" i="30"/>
  <c r="BD58" i="30"/>
  <c r="BC49" i="30"/>
  <c r="BC41" i="30"/>
  <c r="BD32" i="30"/>
  <c r="BD328" i="30"/>
  <c r="BD320" i="30"/>
  <c r="BD312" i="30"/>
  <c r="BD303" i="30"/>
  <c r="BD295" i="30"/>
  <c r="BD287" i="30"/>
  <c r="BD278" i="30"/>
  <c r="BC269" i="30"/>
  <c r="BC261" i="30"/>
  <c r="BC252" i="30"/>
  <c r="BC244" i="30"/>
  <c r="BC236" i="30"/>
  <c r="BD321" i="30"/>
  <c r="BD225" i="30"/>
  <c r="BD169" i="30"/>
  <c r="BD113" i="30"/>
  <c r="BC52" i="30"/>
  <c r="BC134" i="30"/>
  <c r="BC196" i="30"/>
  <c r="BD196" i="30"/>
  <c r="BD164" i="30"/>
  <c r="BC164" i="30"/>
  <c r="BD156" i="30"/>
  <c r="BC156" i="30"/>
  <c r="BC107" i="30"/>
  <c r="BD107" i="30"/>
  <c r="BC233" i="30"/>
  <c r="BD8" i="30"/>
  <c r="BC8" i="30"/>
  <c r="BC224" i="30"/>
  <c r="BD224" i="30"/>
  <c r="BD183" i="30"/>
  <c r="BC183" i="30"/>
  <c r="BD159" i="30"/>
  <c r="BC159" i="30"/>
  <c r="BC160" i="30"/>
  <c r="BC143" i="30"/>
  <c r="BD143" i="30"/>
  <c r="BC144" i="30"/>
  <c r="BC168" i="30"/>
  <c r="BC152" i="30"/>
  <c r="BC176" i="30"/>
  <c r="BD135" i="30"/>
  <c r="BC135" i="30"/>
  <c r="BD127" i="30"/>
  <c r="BC127" i="30"/>
  <c r="BD119" i="30"/>
  <c r="BC119" i="30"/>
  <c r="BD110" i="30"/>
  <c r="BC110" i="30"/>
  <c r="BD102" i="30"/>
  <c r="BC102" i="30"/>
  <c r="BD94" i="30"/>
  <c r="BC83" i="30"/>
  <c r="BC74" i="30"/>
  <c r="BC66" i="30"/>
  <c r="BC57" i="30"/>
  <c r="BD48" i="30"/>
  <c r="BD39" i="30"/>
  <c r="BD31" i="30"/>
  <c r="BD327" i="30"/>
  <c r="BD319" i="30"/>
  <c r="BD311" i="30"/>
  <c r="BD302" i="30"/>
  <c r="BD294" i="30"/>
  <c r="BD286" i="30"/>
  <c r="BD276" i="30"/>
  <c r="BD268" i="30"/>
  <c r="BD260" i="30"/>
  <c r="BD251" i="30"/>
  <c r="BD243" i="30"/>
  <c r="BD235" i="30"/>
  <c r="BD313" i="30"/>
  <c r="BD273" i="30"/>
  <c r="BD217" i="30"/>
  <c r="BD161" i="30"/>
  <c r="BD105" i="30"/>
  <c r="BD73" i="30"/>
  <c r="BD33" i="30"/>
  <c r="BC109" i="30"/>
  <c r="BC126" i="30"/>
  <c r="BC34" i="30"/>
  <c r="BC26" i="30"/>
  <c r="BC18" i="30"/>
  <c r="BC10" i="30"/>
  <c r="BD325" i="30"/>
  <c r="BD317" i="30"/>
  <c r="BD309" i="30"/>
  <c r="BD301" i="30"/>
  <c r="BD293" i="30"/>
  <c r="BD269" i="30"/>
  <c r="BD261" i="30"/>
  <c r="BD253" i="30"/>
  <c r="BD245" i="30"/>
  <c r="BD237" i="30"/>
  <c r="BD197" i="30"/>
  <c r="BD189" i="30"/>
  <c r="BD181" i="30"/>
  <c r="BD173" i="30"/>
  <c r="BD165" i="30"/>
  <c r="BD157" i="30"/>
  <c r="BD149" i="30"/>
  <c r="BD141" i="30"/>
  <c r="BD133" i="30"/>
  <c r="BD125" i="30"/>
  <c r="BD117" i="30"/>
  <c r="BD77" i="30"/>
  <c r="BD69" i="30"/>
  <c r="BD53" i="30"/>
  <c r="BD37" i="30"/>
  <c r="BD29" i="30"/>
  <c r="BD21" i="30"/>
  <c r="BC56" i="30"/>
  <c r="BC48" i="30"/>
  <c r="BC58" i="30"/>
  <c r="BC80" i="30"/>
  <c r="BC72" i="30"/>
  <c r="BC64" i="30"/>
  <c r="BC138" i="30"/>
  <c r="BC130" i="30"/>
  <c r="BC122" i="30"/>
  <c r="BC202" i="30"/>
  <c r="BC194" i="30"/>
  <c r="BC228" i="30"/>
  <c r="BC220" i="30"/>
  <c r="BC212" i="30"/>
  <c r="BC276" i="30"/>
  <c r="BC268" i="30"/>
  <c r="BC260" i="30"/>
  <c r="BC304" i="30"/>
  <c r="BC296" i="30"/>
  <c r="BC288" i="30"/>
  <c r="BC280" i="30"/>
  <c r="BC33" i="30"/>
  <c r="BC25" i="30"/>
  <c r="BD300" i="30"/>
  <c r="BD292" i="30"/>
  <c r="BD284" i="30"/>
  <c r="BD252" i="30"/>
  <c r="BD244" i="30"/>
  <c r="BD236" i="30"/>
  <c r="BD204" i="30"/>
  <c r="BD108" i="30"/>
  <c r="BD100" i="30"/>
  <c r="BD92" i="30"/>
  <c r="BD76" i="30"/>
  <c r="BD68" i="30"/>
  <c r="BD60" i="30"/>
  <c r="BD52" i="30"/>
  <c r="BD44" i="30"/>
  <c r="BD20" i="30"/>
  <c r="BD12" i="30"/>
  <c r="BC104" i="30"/>
  <c r="BC96" i="30"/>
  <c r="BC88" i="30"/>
  <c r="BC112" i="30"/>
  <c r="BC187" i="30"/>
  <c r="BC179" i="30"/>
  <c r="BC171" i="30"/>
  <c r="BC163" i="30"/>
  <c r="BC155" i="30"/>
  <c r="BC147" i="30"/>
  <c r="BC235" i="30"/>
  <c r="BC227" i="30"/>
  <c r="BC219" i="30"/>
  <c r="BC211" i="30"/>
  <c r="BC275" i="30"/>
  <c r="BC267" i="30"/>
  <c r="BC259" i="30"/>
  <c r="BC251" i="30"/>
  <c r="BC243" i="30"/>
  <c r="BC303" i="30"/>
  <c r="BC295" i="30"/>
  <c r="BC287" i="30"/>
  <c r="BC279" i="30"/>
  <c r="BC323" i="30"/>
  <c r="BC315" i="30"/>
  <c r="BC32" i="30"/>
  <c r="BC24" i="30"/>
  <c r="BC16" i="30"/>
  <c r="BD283" i="30"/>
  <c r="BD203" i="30"/>
  <c r="BD195" i="30"/>
  <c r="BD139" i="30"/>
  <c r="BD131" i="30"/>
  <c r="BD123" i="30"/>
  <c r="BD83" i="30"/>
  <c r="BD75" i="30"/>
  <c r="BD67" i="30"/>
  <c r="BD59" i="30"/>
  <c r="BD51" i="30"/>
  <c r="BD43" i="30"/>
  <c r="BD35" i="30"/>
  <c r="BD27" i="30"/>
  <c r="BD19" i="30"/>
  <c r="BD11" i="30"/>
  <c r="BC46" i="30"/>
  <c r="BC78" i="30"/>
  <c r="BC70" i="30"/>
  <c r="BC103" i="30"/>
  <c r="BC95" i="30"/>
  <c r="BC87" i="30"/>
  <c r="BC111" i="30"/>
  <c r="BC136" i="30"/>
  <c r="BC128" i="30"/>
  <c r="BC120" i="30"/>
  <c r="BC186" i="30"/>
  <c r="BC178" i="30"/>
  <c r="BC170" i="30"/>
  <c r="BC162" i="30"/>
  <c r="BC154" i="30"/>
  <c r="BC146" i="30"/>
  <c r="BC192" i="30"/>
  <c r="BC234" i="30"/>
  <c r="BC226" i="30"/>
  <c r="BC218" i="30"/>
  <c r="BC210" i="30"/>
  <c r="BC274" i="30"/>
  <c r="BC266" i="30"/>
  <c r="BC258" i="30"/>
  <c r="BC250" i="30"/>
  <c r="BC242" i="30"/>
  <c r="BC302" i="30"/>
  <c r="BC294" i="30"/>
  <c r="BC286" i="30"/>
  <c r="BC278" i="30"/>
  <c r="BC322" i="30"/>
  <c r="BC314" i="30"/>
  <c r="BC39" i="30"/>
  <c r="BC31" i="30"/>
  <c r="BC23" i="30"/>
  <c r="BC15" i="30"/>
  <c r="BD306" i="30"/>
  <c r="BD298" i="30"/>
  <c r="BD290" i="30"/>
  <c r="BD114" i="30"/>
  <c r="BD106" i="30"/>
  <c r="BD98" i="30"/>
  <c r="BD90" i="30"/>
  <c r="BD74" i="30"/>
  <c r="BD66" i="30"/>
  <c r="BD42" i="30"/>
  <c r="BC94" i="30"/>
  <c r="BC312" i="30"/>
  <c r="BC190" i="30"/>
  <c r="BC239" i="30"/>
  <c r="BC231" i="30"/>
  <c r="BC223" i="30"/>
  <c r="BC215" i="30"/>
  <c r="BC207" i="30"/>
  <c r="BC271" i="30"/>
  <c r="BC263" i="30"/>
  <c r="BC247" i="30"/>
  <c r="BC327" i="30"/>
  <c r="BC319" i="30"/>
  <c r="BC311" i="30"/>
  <c r="BC182" i="30"/>
  <c r="BC174" i="30"/>
  <c r="BC166" i="30"/>
  <c r="BC158" i="30"/>
  <c r="BC150" i="30"/>
  <c r="BC238" i="30"/>
  <c r="BC230" i="30"/>
  <c r="BC222" i="30"/>
  <c r="BC214" i="30"/>
  <c r="BC206" i="30"/>
  <c r="BC270" i="30"/>
  <c r="BC262" i="30"/>
  <c r="BC254" i="30"/>
  <c r="BC246" i="30"/>
  <c r="BC326" i="30"/>
  <c r="BC318" i="30"/>
  <c r="BC310" i="30"/>
  <c r="I5" i="30"/>
  <c r="BA5" i="30" s="1"/>
  <c r="H5" i="30"/>
  <c r="AZ5" i="30" s="1"/>
  <c r="G5" i="30"/>
  <c r="AY5" i="30" s="1"/>
  <c r="F5" i="30"/>
  <c r="AW5" i="30"/>
  <c r="AV6" i="31" s="1"/>
  <c r="AX5" i="30" l="1"/>
  <c r="BB5" i="30"/>
</calcChain>
</file>

<file path=xl/sharedStrings.xml><?xml version="1.0" encoding="utf-8"?>
<sst xmlns="http://schemas.openxmlformats.org/spreadsheetml/2006/main" count="3394" uniqueCount="74">
  <si>
    <t>№</t>
  </si>
  <si>
    <t>Tədris dili</t>
  </si>
  <si>
    <t>Riyaziyyat</t>
  </si>
  <si>
    <t>Yekun bal</t>
  </si>
  <si>
    <t>Şagird sayı</t>
  </si>
  <si>
    <t xml:space="preserve">Rayon </t>
  </si>
  <si>
    <t>Xarici dil</t>
  </si>
  <si>
    <t>Orta faiz 
3 fənn üzrə</t>
  </si>
  <si>
    <t>Binəqədi</t>
  </si>
  <si>
    <t>tam orta məktəb</t>
  </si>
  <si>
    <t>UGİM</t>
  </si>
  <si>
    <t>məktəb-lisey</t>
  </si>
  <si>
    <t>XƏQTOM</t>
  </si>
  <si>
    <t>TN</t>
  </si>
  <si>
    <t>Nərimanov</t>
  </si>
  <si>
    <t>XTM</t>
  </si>
  <si>
    <t>lisey</t>
  </si>
  <si>
    <t>MLK</t>
  </si>
  <si>
    <t>Nəsimi</t>
  </si>
  <si>
    <t>THL</t>
  </si>
  <si>
    <t>Nizami</t>
  </si>
  <si>
    <t>Pirallahı</t>
  </si>
  <si>
    <t>Qaradağ</t>
  </si>
  <si>
    <t>ümumi orta məktəb</t>
  </si>
  <si>
    <t>Sabunçu</t>
  </si>
  <si>
    <t>Səbail</t>
  </si>
  <si>
    <t>klassik gimnaziya</t>
  </si>
  <si>
    <t>ETTOM</t>
  </si>
  <si>
    <t>189-190</t>
  </si>
  <si>
    <t>Suraxanı</t>
  </si>
  <si>
    <t>Xətai</t>
  </si>
  <si>
    <t>Xəzər</t>
  </si>
  <si>
    <t>Yasamal</t>
  </si>
  <si>
    <t>Təhsil müəssisəsinin indeksi</t>
  </si>
  <si>
    <t>Növ</t>
  </si>
  <si>
    <t/>
  </si>
  <si>
    <t>0-30 bal aralığı faizlə</t>
  </si>
  <si>
    <t>BŞTİ üzrə reytinq</t>
  </si>
  <si>
    <t>Rayon üzrə reytinq</t>
  </si>
  <si>
    <t>Bakı</t>
  </si>
  <si>
    <t>BŞTİ</t>
  </si>
  <si>
    <t>Ümumi</t>
  </si>
  <si>
    <t>10 dekabr 2021-ci il tarixli monitorinq</t>
  </si>
  <si>
    <t>Bakı Şəhəri üzrə Təhsil İdarəsinin tabeliyində olan təhsil müəssisələrində IX siniflərin buraxılış imtahanı monitorinqinin və buraxılış imtahanlarının müqayisəli səciyyəsi</t>
  </si>
  <si>
    <t>15 fevral 2022-ci il tarixli monitorinq</t>
  </si>
  <si>
    <t>16 mart 2022-ci il tarixli monitorinq</t>
  </si>
  <si>
    <t>Buraxılış imtahanı</t>
  </si>
  <si>
    <t>Monitorinqlər üzrə orta nəticələr</t>
  </si>
  <si>
    <t>115x</t>
  </si>
  <si>
    <t>6u</t>
  </si>
  <si>
    <t>11x</t>
  </si>
  <si>
    <t>82x</t>
  </si>
  <si>
    <t>5u</t>
  </si>
  <si>
    <t>268x</t>
  </si>
  <si>
    <t>2x</t>
  </si>
  <si>
    <t>3x</t>
  </si>
  <si>
    <t>8u</t>
  </si>
  <si>
    <t>7u</t>
  </si>
  <si>
    <t>219x</t>
  </si>
  <si>
    <t>103x</t>
  </si>
  <si>
    <t>20x</t>
  </si>
  <si>
    <t>4u</t>
  </si>
  <si>
    <t>Hörmətli Həmkarlar, siz qırmızı rəngli hissədə İndekslər səhifəsində qeyd olunmuş təhsil müəssisəsinin indeksini yazmaqla məlumatları daxil edə bilərsiniz.</t>
  </si>
  <si>
    <t>14 fevral 2022-ci il tarixli monitorinq</t>
  </si>
  <si>
    <t>15 mart 2022-ci il tarixli monitorinq</t>
  </si>
  <si>
    <t>Monitorinq orta</t>
  </si>
  <si>
    <t>Buraxılış</t>
  </si>
  <si>
    <t>Monitorinq 1</t>
  </si>
  <si>
    <t>Monitorinq 2</t>
  </si>
  <si>
    <t>Monitorinq 3</t>
  </si>
  <si>
    <t>Ölkə üzrə reytinq</t>
  </si>
  <si>
    <t>8-ci sinif monitorinq</t>
  </si>
  <si>
    <t>Monitorinq VIII</t>
  </si>
  <si>
    <t>VIII sinif monitorinq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</si>
</sst>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8"/>
      <color theme="1"/>
      <name val="Palatino Linotype"/>
      <family val="1"/>
    </font>
    <font>
      <sz val="11"/>
      <color theme="1"/>
      <name val="Calibri"/>
      <family val="2"/>
      <scheme val="minor"/>
    </font>
    <font>
      <b/>
      <sz val="16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2" fontId="1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1" fontId="1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5" xfId="0" applyFont="1" applyFill="1" applyBorder="1" applyAlignment="1" applyProtection="1">
      <alignment horizontal="center" vertical="center" wrapText="1"/>
      <protection hidden="1"/>
    </xf>
    <xf numFmtId="1" fontId="1" fillId="0" borderId="1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1" xfId="0" applyFont="1" applyFill="1" applyBorder="1" applyAlignment="1" applyProtection="1">
      <alignment horizontal="center" vertical="center" wrapText="1"/>
      <protection hidden="1"/>
    </xf>
    <xf numFmtId="2" fontId="1" fillId="0" borderId="5" xfId="0" applyNumberFormat="1" applyFont="1" applyFill="1" applyBorder="1" applyAlignment="1" applyProtection="1">
      <alignment horizontal="center" vertical="center" wrapText="1"/>
      <protection hidden="1"/>
    </xf>
    <xf numFmtId="1" fontId="1" fillId="0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21" xfId="0" applyFont="1" applyFill="1" applyBorder="1" applyAlignment="1" applyProtection="1">
      <alignment horizontal="center" vertical="center" wrapText="1"/>
      <protection hidden="1"/>
    </xf>
    <xf numFmtId="0" fontId="1" fillId="0" borderId="20" xfId="0" applyFont="1" applyFill="1" applyBorder="1" applyAlignment="1" applyProtection="1">
      <alignment horizontal="center" vertical="center" wrapText="1"/>
      <protection hidden="1"/>
    </xf>
    <xf numFmtId="2" fontId="1" fillId="0" borderId="23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23" xfId="0" applyFont="1" applyFill="1" applyBorder="1" applyAlignment="1" applyProtection="1">
      <alignment horizontal="center" vertical="center" wrapText="1"/>
      <protection hidden="1"/>
    </xf>
    <xf numFmtId="1" fontId="1" fillId="0" borderId="23" xfId="0" applyNumberFormat="1" applyFont="1" applyFill="1" applyBorder="1" applyAlignment="1" applyProtection="1">
      <alignment horizontal="center" vertical="center" wrapText="1"/>
      <protection hidden="1"/>
    </xf>
    <xf numFmtId="1" fontId="1" fillId="0" borderId="21" xfId="0" applyNumberFormat="1" applyFont="1" applyFill="1" applyBorder="1" applyAlignment="1" applyProtection="1">
      <alignment horizontal="center" vertical="center" wrapText="1"/>
      <protection hidden="1"/>
    </xf>
    <xf numFmtId="1" fontId="1" fillId="0" borderId="20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19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hidden="1"/>
    </xf>
    <xf numFmtId="0" fontId="4" fillId="4" borderId="23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19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16" xfId="0" applyFont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 wrapText="1"/>
      <protection hidden="1"/>
    </xf>
    <xf numFmtId="0" fontId="1" fillId="0" borderId="25" xfId="0" applyFont="1" applyBorder="1" applyAlignment="1" applyProtection="1">
      <alignment horizontal="center" vertical="center" wrapText="1"/>
      <protection hidden="1"/>
    </xf>
    <xf numFmtId="0" fontId="1" fillId="3" borderId="16" xfId="0" applyFont="1" applyFill="1" applyBorder="1" applyAlignment="1" applyProtection="1">
      <alignment horizontal="center" vertical="center" wrapText="1"/>
      <protection hidden="1"/>
    </xf>
    <xf numFmtId="0" fontId="1" fillId="3" borderId="18" xfId="0" applyFont="1" applyFill="1" applyBorder="1" applyAlignment="1" applyProtection="1">
      <alignment horizontal="center" vertical="center" wrapText="1"/>
      <protection hidden="1"/>
    </xf>
    <xf numFmtId="0" fontId="1" fillId="3" borderId="20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18" xfId="0" applyFont="1" applyFill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 wrapText="1"/>
      <protection hidden="1"/>
    </xf>
    <xf numFmtId="0" fontId="1" fillId="0" borderId="26" xfId="0" applyFont="1" applyBorder="1" applyAlignment="1" applyProtection="1">
      <alignment horizontal="center" vertical="center" wrapText="1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1" fillId="0" borderId="15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Обычный 2" xfId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  <color rgb="FF28D7D7"/>
      <color rgb="FF0067BC"/>
      <color rgb="FF0072CE"/>
      <color rgb="FF9BE5E0"/>
      <color rgb="FF33CCCC"/>
      <color rgb="FFFF7A5B"/>
      <color rgb="FF813DB9"/>
      <color rgb="FFD6009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Tədris dili üzrə orta nəticələr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2857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D5A1-4C9F-A0CA-10959EB637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təhlil'!$E$3:$E$5,'Müqayisəli təhlil'!$P$3:$P$5,'Müqayisəli təhlil'!$AA$3:$AA$5,'Müqayisəli təhlil'!$AL$3:$AL$5,'Müqayisəli təhlil'!$AW$3:$AW$5,'Müqayisəli təhlil'!$BH$3:$BH$5)</c:f>
              <c:multiLvlStrCache>
                <c:ptCount val="6"/>
                <c:lvl/>
                <c:lvl>
                  <c:pt idx="0">
                    <c:v>Tədris dili</c:v>
                  </c:pt>
                  <c:pt idx="1">
                    <c:v>Tədris dili</c:v>
                  </c:pt>
                  <c:pt idx="2">
                    <c:v>Tədris dili</c:v>
                  </c:pt>
                  <c:pt idx="3">
                    <c:v>Tədris dili</c:v>
                  </c:pt>
                  <c:pt idx="4">
                    <c:v>Tədris dili</c:v>
                  </c:pt>
                  <c:pt idx="5">
                    <c:v>Tədris dili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təhlil'!$E$6,'Müqayisəli təhlil'!$P$6,'Müqayisəli təhlil'!$AA$6,'Müqayisəli təhlil'!$AL$6,'Müqayisəli təhlil'!$AW$6,'Müqayisəli təhlil'!$BH$6)</c:f>
              <c:numCache>
                <c:formatCode>0.00</c:formatCode>
                <c:ptCount val="6"/>
                <c:pt idx="0">
                  <c:v>58.666666666666671</c:v>
                </c:pt>
                <c:pt idx="1">
                  <c:v>46.272965879265101</c:v>
                </c:pt>
                <c:pt idx="2">
                  <c:v>57.924161400097269</c:v>
                </c:pt>
                <c:pt idx="3">
                  <c:v>65.943043884220373</c:v>
                </c:pt>
                <c:pt idx="4">
                  <c:v>56.713390387860919</c:v>
                </c:pt>
                <c:pt idx="5">
                  <c:v>54.82109375000001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9-4D76-B361-B6D5EA65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Riyaziyyat üzrə orta nəticələr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72CE">
                    <a:shade val="30000"/>
                    <a:satMod val="115000"/>
                  </a:srgbClr>
                </a:gs>
                <a:gs pos="50000">
                  <a:srgbClr val="0072CE">
                    <a:shade val="67500"/>
                    <a:satMod val="115000"/>
                  </a:srgbClr>
                </a:gs>
                <a:gs pos="100000">
                  <a:srgbClr val="0072CE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0072CE">
                      <a:shade val="30000"/>
                      <a:satMod val="115000"/>
                    </a:srgbClr>
                  </a:gs>
                  <a:gs pos="50000">
                    <a:srgbClr val="0072CE">
                      <a:shade val="67500"/>
                      <a:satMod val="115000"/>
                    </a:srgbClr>
                  </a:gs>
                  <a:gs pos="100000">
                    <a:srgbClr val="0072CE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 w="2857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3B9-4D90-994C-5D91352C8F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təhlil'!$F$3:$F$5,'Müqayisəli təhlil'!$Q$3:$Q$5,'Müqayisəli təhlil'!$AB$3:$AB$5,'Müqayisəli təhlil'!$AM$3:$AM$5,'Müqayisəli təhlil'!$AX$3:$AX$5,'Müqayisəli təhlil'!$BI$3:$BI$5)</c:f>
              <c:multiLvlStrCache>
                <c:ptCount val="6"/>
                <c:lvl/>
                <c:lvl>
                  <c:pt idx="0">
                    <c:v>Riyaziyyat</c:v>
                  </c:pt>
                  <c:pt idx="1">
                    <c:v>Riyaziyyat</c:v>
                  </c:pt>
                  <c:pt idx="2">
                    <c:v>Riyaziyyat</c:v>
                  </c:pt>
                  <c:pt idx="3">
                    <c:v>Riyaziyyat</c:v>
                  </c:pt>
                  <c:pt idx="4">
                    <c:v>Riyaziyyat</c:v>
                  </c:pt>
                  <c:pt idx="5">
                    <c:v>Riyaziyyat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təhlil'!$F$6,'Müqayisəli təhlil'!$Q$6,'Müqayisəli təhlil'!$AB$6,'Müqayisəli təhlil'!$AM$6,'Müqayisəli təhlil'!$AX$6,'Müqayisəli təhlil'!$BI$6)</c:f>
              <c:numCache>
                <c:formatCode>0.00</c:formatCode>
                <c:ptCount val="6"/>
                <c:pt idx="0">
                  <c:v>47.6</c:v>
                </c:pt>
                <c:pt idx="1">
                  <c:v>45.574803149606296</c:v>
                </c:pt>
                <c:pt idx="2">
                  <c:v>70.049586776859499</c:v>
                </c:pt>
                <c:pt idx="3">
                  <c:v>59.591836734693892</c:v>
                </c:pt>
                <c:pt idx="4">
                  <c:v>58.405408887053227</c:v>
                </c:pt>
                <c:pt idx="5">
                  <c:v>32.07500000000001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1-4E29-807D-3578010C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Xarici</a:t>
            </a:r>
            <a:r>
              <a:rPr lang="az-Latn-AZ" sz="1600" b="1" baseline="0"/>
              <a:t> dil</a:t>
            </a:r>
            <a:r>
              <a:rPr lang="az-Latn-AZ" sz="1600" b="1"/>
              <a:t> üzrə orta nəticələr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28D7D7">
                    <a:shade val="30000"/>
                    <a:satMod val="115000"/>
                  </a:srgbClr>
                </a:gs>
                <a:gs pos="50000">
                  <a:srgbClr val="28D7D7">
                    <a:shade val="67500"/>
                    <a:satMod val="115000"/>
                  </a:srgbClr>
                </a:gs>
                <a:gs pos="100000">
                  <a:srgbClr val="28D7D7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28D7D7">
                      <a:shade val="30000"/>
                      <a:satMod val="115000"/>
                    </a:srgbClr>
                  </a:gs>
                  <a:gs pos="50000">
                    <a:srgbClr val="28D7D7">
                      <a:shade val="67500"/>
                      <a:satMod val="115000"/>
                    </a:srgbClr>
                  </a:gs>
                  <a:gs pos="100000">
                    <a:srgbClr val="28D7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 w="2857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AE1-4B0C-95AF-1560CCA728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təhlil'!$G$3:$G$5,'Müqayisəli təhlil'!$R$3:$R$5,'Müqayisəli təhlil'!$AC$3:$AC$5,'Müqayisəli təhlil'!$AN$3:$AN$5,'Müqayisəli təhlil'!$AY$3:$AY$5,'Müqayisəli təhlil'!$BJ$3:$BJ$5)</c:f>
              <c:multiLvlStrCache>
                <c:ptCount val="6"/>
                <c:lvl/>
                <c:lvl>
                  <c:pt idx="0">
                    <c:v>Xarici dil</c:v>
                  </c:pt>
                  <c:pt idx="1">
                    <c:v>Xarici dil</c:v>
                  </c:pt>
                  <c:pt idx="2">
                    <c:v>Xarici dil</c:v>
                  </c:pt>
                  <c:pt idx="3">
                    <c:v>Xarici dil</c:v>
                  </c:pt>
                  <c:pt idx="4">
                    <c:v>Xarici dil</c:v>
                  </c:pt>
                  <c:pt idx="5">
                    <c:v>Xarici dil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təhlil'!$G$6,'Müqayisəli təhlil'!$R$6,'Müqayisəli təhlil'!$AC$6,'Müqayisəli təhlil'!$AN$6,'Müqayisəli təhlil'!$AY$6,'Müqayisəli təhlil'!$BJ$6)</c:f>
              <c:numCache>
                <c:formatCode>0.00</c:formatCode>
                <c:ptCount val="6"/>
                <c:pt idx="0">
                  <c:v>40</c:v>
                </c:pt>
                <c:pt idx="1">
                  <c:v>44.803149606299222</c:v>
                </c:pt>
                <c:pt idx="2">
                  <c:v>59.0032556974706</c:v>
                </c:pt>
                <c:pt idx="3">
                  <c:v>59.593837535013996</c:v>
                </c:pt>
                <c:pt idx="4">
                  <c:v>54.466747612927939</c:v>
                </c:pt>
                <c:pt idx="5">
                  <c:v>36.485937499999991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7-4BE0-8E31-20B4ECF8C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Üç</a:t>
            </a:r>
            <a:r>
              <a:rPr lang="az-Latn-AZ" sz="1600" b="1" baseline="0"/>
              <a:t> fənnin</a:t>
            </a:r>
            <a:r>
              <a:rPr lang="az-Latn-AZ" sz="1600" b="1"/>
              <a:t> orta faizi üzrə nəticələr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FFC000">
                    <a:shade val="30000"/>
                    <a:satMod val="115000"/>
                  </a:srgbClr>
                </a:gs>
                <a:gs pos="50000">
                  <a:srgbClr val="FFC000">
                    <a:shade val="67500"/>
                    <a:satMod val="115000"/>
                  </a:srgbClr>
                </a:gs>
                <a:gs pos="100000">
                  <a:srgbClr val="FFC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 w="2857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365-4A96-B537-700B98BE82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təhlil'!$H$3:$H$5,'Müqayisəli təhlil'!$S$3:$S$5,'Müqayisəli təhlil'!$AD$3:$AD$5,'Müqayisəli təhlil'!$AO$3:$AO$5,'Müqayisəli təhlil'!$AZ$3:$AZ$5,'Müqayisəli təhlil'!$BK$3:$BK$5)</c:f>
              <c:multiLvlStrCache>
                <c:ptCount val="6"/>
                <c:lvl/>
                <c:lvl>
                  <c:pt idx="0">
                    <c:v>Orta faiz 
3 fənn üzrə</c:v>
                  </c:pt>
                  <c:pt idx="1">
                    <c:v>Orta faiz 
3 fənn üzrə</c:v>
                  </c:pt>
                  <c:pt idx="2">
                    <c:v>Orta faiz 
3 fənn üzrə</c:v>
                  </c:pt>
                  <c:pt idx="3">
                    <c:v>Orta faiz 
3 fənn üzrə</c:v>
                  </c:pt>
                  <c:pt idx="4">
                    <c:v>Orta faiz 
3 fənn üzrə</c:v>
                  </c:pt>
                  <c:pt idx="5">
                    <c:v>Orta faiz 
3 fənn üzrə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təhlil'!$H$6,'Müqayisəli təhlil'!$S$6,'Müqayisəli təhlil'!$AD$6,'Müqayisəli təhlil'!$AO$6,'Müqayisəli təhlil'!$AZ$6,'Müqayisəli təhlil'!$BK$6)</c:f>
              <c:numCache>
                <c:formatCode>0.00</c:formatCode>
                <c:ptCount val="6"/>
                <c:pt idx="0">
                  <c:v>48.75555555555556</c:v>
                </c:pt>
                <c:pt idx="1">
                  <c:v>45.550306211723566</c:v>
                </c:pt>
                <c:pt idx="2">
                  <c:v>62.325667958142418</c:v>
                </c:pt>
                <c:pt idx="3">
                  <c:v>61.709572717976073</c:v>
                </c:pt>
                <c:pt idx="4">
                  <c:v>56.528515629280683</c:v>
                </c:pt>
                <c:pt idx="5">
                  <c:v>41.127343750000016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C-483F-AAD3-7B03002E3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Yekun</a:t>
            </a:r>
            <a:r>
              <a:rPr lang="az-Latn-AZ" sz="1600" b="1" baseline="0"/>
              <a:t> bal </a:t>
            </a:r>
            <a:r>
              <a:rPr lang="az-Latn-AZ" sz="1600" b="1"/>
              <a:t>üzrə orta nəticələr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6">
                    <a:lumMod val="40000"/>
                    <a:lumOff val="60000"/>
                    <a:shade val="30000"/>
                    <a:satMod val="115000"/>
                  </a:schemeClr>
                </a:gs>
                <a:gs pos="50000">
                  <a:schemeClr val="accent6">
                    <a:lumMod val="40000"/>
                    <a:lumOff val="60000"/>
                    <a:shade val="67500"/>
                    <a:satMod val="115000"/>
                  </a:schemeClr>
                </a:gs>
                <a:gs pos="100000">
                  <a:schemeClr val="accent6">
                    <a:lumMod val="40000"/>
                    <a:lumOff val="6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40000"/>
                      <a:lumOff val="60000"/>
                      <a:shade val="30000"/>
                      <a:satMod val="115000"/>
                    </a:schemeClr>
                  </a:gs>
                  <a:gs pos="50000">
                    <a:schemeClr val="accent6">
                      <a:lumMod val="40000"/>
                      <a:lumOff val="60000"/>
                      <a:shade val="67500"/>
                      <a:satMod val="115000"/>
                    </a:schemeClr>
                  </a:gs>
                  <a:gs pos="100000">
                    <a:schemeClr val="accent6">
                      <a:lumMod val="40000"/>
                      <a:lumOff val="6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2857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58EE-4A3C-9220-759AB57183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təhlil'!$I$3:$I$5,'Müqayisəli təhlil'!$T$3:$T$5,'Müqayisəli təhlil'!$AE$3:$AE$5,'Müqayisəli təhlil'!$AP$3:$AP$5,'Müqayisəli təhlil'!$BA$3:$BA$5,'Müqayisəli təhlil'!$BL$3:$BL$5)</c:f>
              <c:multiLvlStrCache>
                <c:ptCount val="6"/>
                <c:lvl/>
                <c:lvl>
                  <c:pt idx="0">
                    <c:v>Yekun bal</c:v>
                  </c:pt>
                  <c:pt idx="1">
                    <c:v>Yekun bal</c:v>
                  </c:pt>
                  <c:pt idx="2">
                    <c:v>Yekun bal</c:v>
                  </c:pt>
                  <c:pt idx="3">
                    <c:v>Yekun bal</c:v>
                  </c:pt>
                  <c:pt idx="4">
                    <c:v>Yekun bal</c:v>
                  </c:pt>
                  <c:pt idx="5">
                    <c:v>Yekun bal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təhlil'!$I$6,'Müqayisəli təhlil'!$T$6,'Müqayisəli təhlil'!$AE$6,'Müqayisəli təhlil'!$AP$6,'Müqayisəli təhlil'!$BA$6,'Müqayisəli təhlil'!$BL$6)</c:f>
              <c:numCache>
                <c:formatCode>0.00</c:formatCode>
                <c:ptCount val="6"/>
                <c:pt idx="0">
                  <c:v>146.26666666666668</c:v>
                </c:pt>
                <c:pt idx="1">
                  <c:v>136.65091863517063</c:v>
                </c:pt>
                <c:pt idx="2">
                  <c:v>186.97700387442737</c:v>
                </c:pt>
                <c:pt idx="3">
                  <c:v>185.12871815392825</c:v>
                </c:pt>
                <c:pt idx="4">
                  <c:v>169.58554688784207</c:v>
                </c:pt>
                <c:pt idx="5">
                  <c:v>123.38203125000001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1-4A34-B0E2-6003692E8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300"/>
        </c:scaling>
        <c:delete val="1"/>
        <c:axPos val="l"/>
        <c:numFmt formatCode="General" sourceLinked="1"/>
        <c:majorTickMark val="out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Tədris dili üzrə 0-30 bal nəticəli</a:t>
            </a:r>
            <a:r>
              <a:rPr lang="az-Latn-AZ" sz="1600" b="1" baseline="0"/>
              <a:t> şagirdlərin faizləri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E07-4C3A-BB74-F58666BFF0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təhlil'!$L$3:$L$5,'Müqayisəli təhlil'!$W$3:$W$5,'Müqayisəli təhlil'!$AH$3:$AH$5,'Müqayisəli təhlil'!$AS$3:$AS$5,'Müqayisəli təhlil'!$BD$3:$BD$5,'Müqayisəli təhlil'!$BO$3:$BO$5)</c:f>
              <c:multiLvlStrCache>
                <c:ptCount val="6"/>
                <c:lvl>
                  <c:pt idx="0">
                    <c:v>Tədris dili</c:v>
                  </c:pt>
                  <c:pt idx="1">
                    <c:v>Tədris dili</c:v>
                  </c:pt>
                  <c:pt idx="2">
                    <c:v>Tədris dili</c:v>
                  </c:pt>
                  <c:pt idx="3">
                    <c:v>Tədris dili</c:v>
                  </c:pt>
                  <c:pt idx="4">
                    <c:v>Tədris dili</c:v>
                  </c:pt>
                  <c:pt idx="5">
                    <c:v>Tədris dili</c:v>
                  </c:pt>
                </c:lvl>
                <c:lvl>
                  <c:pt idx="0">
                    <c:v>0-30 bal aralığı faizlə</c:v>
                  </c:pt>
                  <c:pt idx="1">
                    <c:v>0-30 bal aralığı faizlə</c:v>
                  </c:pt>
                  <c:pt idx="2">
                    <c:v>0-30 bal aralığı faizlə</c:v>
                  </c:pt>
                  <c:pt idx="3">
                    <c:v>0-30 bal aralığı faizlə</c:v>
                  </c:pt>
                  <c:pt idx="4">
                    <c:v>0-30 bal aralığı faizlə</c:v>
                  </c:pt>
                  <c:pt idx="5">
                    <c:v>0-30 bal aralığı faizlə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təhlil'!$L$6,'Müqayisəli təhlil'!$W$6,'Müqayisəli təhlil'!$AH$6,'Müqayisəli təhlil'!$AS$6,'Müqayisəli təhlil'!$BD$6,'Müqayisəli təhlil'!$BO$6)</c:f>
              <c:numCache>
                <c:formatCode>0.00</c:formatCode>
                <c:ptCount val="6"/>
                <c:pt idx="0" formatCode="0">
                  <c:v>0</c:v>
                </c:pt>
                <c:pt idx="1" formatCode="0">
                  <c:v>31.496062992125985</c:v>
                </c:pt>
                <c:pt idx="2" formatCode="0">
                  <c:v>0.82644628099173556</c:v>
                </c:pt>
                <c:pt idx="3" formatCode="0">
                  <c:v>1.5873015873015872</c:v>
                </c:pt>
                <c:pt idx="4" formatCode="0">
                  <c:v>1.2068739341466614</c:v>
                </c:pt>
                <c:pt idx="5" formatCode="0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4C9-9185-4443A3A0C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Riyaziyyat üzrə 0-30 bal nəticəli şagirdlərin faizləri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72CE">
                    <a:shade val="30000"/>
                    <a:satMod val="115000"/>
                  </a:srgbClr>
                </a:gs>
                <a:gs pos="50000">
                  <a:srgbClr val="0072CE">
                    <a:shade val="67500"/>
                    <a:satMod val="115000"/>
                  </a:srgbClr>
                </a:gs>
                <a:gs pos="100000">
                  <a:srgbClr val="0072CE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0072CE">
                      <a:shade val="30000"/>
                      <a:satMod val="115000"/>
                    </a:srgbClr>
                  </a:gs>
                  <a:gs pos="50000">
                    <a:srgbClr val="0072CE">
                      <a:shade val="67500"/>
                      <a:satMod val="115000"/>
                    </a:srgbClr>
                  </a:gs>
                  <a:gs pos="100000">
                    <a:srgbClr val="0072CE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1E18-4256-8E73-D7754E5C24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təhlil'!$M$3:$M$5,'Müqayisəli təhlil'!$W$3:$W$5,'Müqayisəli təhlil'!$AI$3:$AI$5,'Müqayisəli təhlil'!$AT$3:$AT$5,'Müqayisəli təhlil'!$BE$3:$BE$5,'Müqayisəli təhlil'!$BP$3:$BP$5)</c:f>
              <c:multiLvlStrCache>
                <c:ptCount val="6"/>
                <c:lvl>
                  <c:pt idx="0">
                    <c:v>Riyaziyyat</c:v>
                  </c:pt>
                  <c:pt idx="1">
                    <c:v>Tədris dili</c:v>
                  </c:pt>
                  <c:pt idx="2">
                    <c:v>Riyaziyyat</c:v>
                  </c:pt>
                  <c:pt idx="3">
                    <c:v>Riyaziyyat</c:v>
                  </c:pt>
                  <c:pt idx="4">
                    <c:v>Riyaziyyat</c:v>
                  </c:pt>
                  <c:pt idx="5">
                    <c:v>Riyaziyyat</c:v>
                  </c:pt>
                </c:lvl>
                <c:lvl>
                  <c:pt idx="1">
                    <c:v>0-30 bal aralığı faizlə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təhlil'!$M$6,'Müqayisəli təhlil'!$W$6,'Müqayisəli təhlil'!$AI$6,'Müqayisəli təhlil'!$AT$6,'Müqayisəli təhlil'!$BE$6,'Müqayisəli təhlil'!$BP$6)</c:f>
              <c:numCache>
                <c:formatCode>0.00</c:formatCode>
                <c:ptCount val="6"/>
                <c:pt idx="0" formatCode="0">
                  <c:v>0</c:v>
                </c:pt>
                <c:pt idx="1" formatCode="0">
                  <c:v>31.496062992125985</c:v>
                </c:pt>
                <c:pt idx="2" formatCode="0">
                  <c:v>1.6528925619834711</c:v>
                </c:pt>
                <c:pt idx="3" formatCode="0">
                  <c:v>0.79365079365079361</c:v>
                </c:pt>
                <c:pt idx="4" formatCode="0">
                  <c:v>1.2232716778171324</c:v>
                </c:pt>
                <c:pt idx="5" formatCode="0">
                  <c:v>60.9375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F-4FA9-8B35-A5E258A1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Xarici</a:t>
            </a:r>
            <a:r>
              <a:rPr lang="az-Latn-AZ" sz="1600" b="1" baseline="0"/>
              <a:t> dil</a:t>
            </a:r>
            <a:r>
              <a:rPr lang="az-Latn-AZ" sz="1600" b="1"/>
              <a:t> üzrə 0-30</a:t>
            </a:r>
            <a:r>
              <a:rPr lang="az-Latn-AZ" sz="1600" b="1" baseline="0"/>
              <a:t> bal nəticəli şagirdlərin faizləri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28D7D7">
                    <a:shade val="30000"/>
                    <a:satMod val="115000"/>
                  </a:srgbClr>
                </a:gs>
                <a:gs pos="50000">
                  <a:srgbClr val="28D7D7">
                    <a:shade val="67500"/>
                    <a:satMod val="115000"/>
                  </a:srgbClr>
                </a:gs>
                <a:gs pos="100000">
                  <a:srgbClr val="28D7D7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28D7D7">
                      <a:shade val="30000"/>
                      <a:satMod val="115000"/>
                    </a:srgbClr>
                  </a:gs>
                  <a:gs pos="50000">
                    <a:srgbClr val="28D7D7">
                      <a:shade val="67500"/>
                      <a:satMod val="115000"/>
                    </a:srgbClr>
                  </a:gs>
                  <a:gs pos="100000">
                    <a:srgbClr val="28D7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6A4-45C4-AEA6-36CC311C80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təhlil'!$L$3:$L$5,'Müqayisəli təhlil'!$W$3:$W$5,'Müqayisəli təhlil'!$AJ$3:$AJ$5,'Müqayisəli təhlil'!$AU$3:$AU$5,'Müqayisəli təhlil'!$BF$3:$BF$5,'Müqayisəli təhlil'!$BQ$3:$BQ$5)</c:f>
              <c:multiLvlStrCache>
                <c:ptCount val="6"/>
                <c:lvl>
                  <c:pt idx="0">
                    <c:v>Tədris dili</c:v>
                  </c:pt>
                  <c:pt idx="1">
                    <c:v>Tədris dili</c:v>
                  </c:pt>
                  <c:pt idx="2">
                    <c:v>Xarici dil</c:v>
                  </c:pt>
                  <c:pt idx="3">
                    <c:v>Xarici dil</c:v>
                  </c:pt>
                  <c:pt idx="4">
                    <c:v>Xarici dil</c:v>
                  </c:pt>
                  <c:pt idx="5">
                    <c:v>Xarici dil</c:v>
                  </c:pt>
                </c:lvl>
                <c:lvl>
                  <c:pt idx="0">
                    <c:v>0-30 bal aralığı faizlə</c:v>
                  </c:pt>
                  <c:pt idx="1">
                    <c:v>0-30 bal aralığı faizlə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təhlil'!$L$6,'Müqayisəli təhlil'!$W$6,'Müqayisəli təhlil'!$AJ$6,'Müqayisəli təhlil'!$AU$6,'Müqayisəli təhlil'!$BF$6,'Müqayisəli təhlil'!$BQ$6)</c:f>
              <c:numCache>
                <c:formatCode>0.00</c:formatCode>
                <c:ptCount val="6"/>
                <c:pt idx="0" formatCode="0">
                  <c:v>0</c:v>
                </c:pt>
                <c:pt idx="1" formatCode="0">
                  <c:v>31.496062992125985</c:v>
                </c:pt>
                <c:pt idx="2" formatCode="0">
                  <c:v>0.82644628099173556</c:v>
                </c:pt>
                <c:pt idx="3" formatCode="0">
                  <c:v>1.5873015873015872</c:v>
                </c:pt>
                <c:pt idx="4" formatCode="0">
                  <c:v>1.2068739341466614</c:v>
                </c:pt>
                <c:pt idx="5" formatCode="0">
                  <c:v>50.78125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D-4212-AFC6-1F731DE51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90867961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/>
              <a:t>Reytinq göstəriciləri</a:t>
            </a:r>
            <a:endParaRPr lang="en-US" sz="2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FFC000">
                    <a:shade val="30000"/>
                    <a:satMod val="115000"/>
                  </a:srgbClr>
                </a:gs>
                <a:gs pos="50000">
                  <a:srgbClr val="FFC000">
                    <a:shade val="67500"/>
                    <a:satMod val="115000"/>
                  </a:srgbClr>
                </a:gs>
                <a:gs pos="100000">
                  <a:srgbClr val="FFC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7C80">
                      <a:shade val="30000"/>
                      <a:satMod val="115000"/>
                    </a:srgbClr>
                  </a:gs>
                  <a:gs pos="50000">
                    <a:srgbClr val="FF7C80">
                      <a:shade val="67500"/>
                      <a:satMod val="115000"/>
                    </a:srgbClr>
                  </a:gs>
                  <a:gs pos="100000">
                    <a:srgbClr val="FF7C8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1E0E-4EFD-8670-066415959153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40000"/>
                      <a:lumOff val="60000"/>
                      <a:shade val="30000"/>
                      <a:satMod val="115000"/>
                    </a:schemeClr>
                  </a:gs>
                  <a:gs pos="50000">
                    <a:schemeClr val="tx2">
                      <a:lumMod val="40000"/>
                      <a:lumOff val="6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40000"/>
                      <a:lumOff val="6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1E0E-4EFD-8670-066415959153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7C80">
                      <a:shade val="30000"/>
                      <a:satMod val="115000"/>
                    </a:srgbClr>
                  </a:gs>
                  <a:gs pos="50000">
                    <a:srgbClr val="FF7C80">
                      <a:shade val="67500"/>
                      <a:satMod val="115000"/>
                    </a:srgbClr>
                  </a:gs>
                  <a:gs pos="100000">
                    <a:srgbClr val="FF7C8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A-1E0E-4EFD-8670-066415959153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40000"/>
                      <a:lumOff val="60000"/>
                      <a:shade val="30000"/>
                      <a:satMod val="115000"/>
                    </a:schemeClr>
                  </a:gs>
                  <a:gs pos="50000">
                    <a:schemeClr val="tx2">
                      <a:lumMod val="40000"/>
                      <a:lumOff val="6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40000"/>
                      <a:lumOff val="6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2-1E0E-4EFD-8670-066415959153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FF7C80">
                      <a:shade val="30000"/>
                      <a:satMod val="115000"/>
                    </a:srgbClr>
                  </a:gs>
                  <a:gs pos="50000">
                    <a:srgbClr val="FF7C80">
                      <a:shade val="67500"/>
                      <a:satMod val="115000"/>
                    </a:srgbClr>
                  </a:gs>
                  <a:gs pos="100000">
                    <a:srgbClr val="FF7C8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1E0E-4EFD-8670-066415959153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40000"/>
                      <a:lumOff val="60000"/>
                      <a:shade val="30000"/>
                      <a:satMod val="115000"/>
                    </a:schemeClr>
                  </a:gs>
                  <a:gs pos="50000">
                    <a:schemeClr val="tx2">
                      <a:lumMod val="40000"/>
                      <a:lumOff val="6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40000"/>
                      <a:lumOff val="6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1E0E-4EFD-8670-066415959153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FF7C80">
                      <a:shade val="30000"/>
                      <a:satMod val="115000"/>
                    </a:srgbClr>
                  </a:gs>
                  <a:gs pos="50000">
                    <a:srgbClr val="FF7C80">
                      <a:shade val="67500"/>
                      <a:satMod val="115000"/>
                    </a:srgbClr>
                  </a:gs>
                  <a:gs pos="100000">
                    <a:srgbClr val="FF7C8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C-1E0E-4EFD-8670-066415959153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40000"/>
                      <a:lumOff val="60000"/>
                      <a:shade val="30000"/>
                      <a:satMod val="115000"/>
                    </a:schemeClr>
                  </a:gs>
                  <a:gs pos="50000">
                    <a:schemeClr val="tx2">
                      <a:lumMod val="40000"/>
                      <a:lumOff val="6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40000"/>
                      <a:lumOff val="6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4-1E0E-4EFD-8670-066415959153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7C80">
                      <a:shade val="30000"/>
                      <a:satMod val="115000"/>
                    </a:srgbClr>
                  </a:gs>
                  <a:gs pos="50000">
                    <a:srgbClr val="FF7C80">
                      <a:shade val="67500"/>
                      <a:satMod val="115000"/>
                    </a:srgbClr>
                  </a:gs>
                  <a:gs pos="100000">
                    <a:srgbClr val="FF7C8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1E0E-4EFD-8670-066415959153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40000"/>
                      <a:lumOff val="60000"/>
                      <a:shade val="30000"/>
                      <a:satMod val="115000"/>
                    </a:schemeClr>
                  </a:gs>
                  <a:gs pos="50000">
                    <a:schemeClr val="tx2">
                      <a:lumMod val="40000"/>
                      <a:lumOff val="6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40000"/>
                      <a:lumOff val="6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1E0E-4EFD-8670-066415959153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7C80">
                      <a:shade val="30000"/>
                      <a:satMod val="115000"/>
                    </a:srgbClr>
                  </a:gs>
                  <a:gs pos="50000">
                    <a:srgbClr val="FF7C80">
                      <a:shade val="67500"/>
                      <a:satMod val="115000"/>
                    </a:srgbClr>
                  </a:gs>
                  <a:gs pos="100000">
                    <a:srgbClr val="FF7C8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B9CD-46CD-B4BE-843FA6F14411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40000"/>
                      <a:lumOff val="60000"/>
                      <a:shade val="30000"/>
                      <a:satMod val="115000"/>
                    </a:schemeClr>
                  </a:gs>
                  <a:gs pos="50000">
                    <a:schemeClr val="tx2">
                      <a:lumMod val="40000"/>
                      <a:lumOff val="6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40000"/>
                      <a:lumOff val="6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B9CD-46CD-B4BE-843FA6F14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'Müqayisəli təhlil'!$D$3:$BQ$5</c15:sqref>
                  </c15:fullRef>
                </c:ext>
              </c:extLst>
              <c:f>('Müqayisəli təhlil'!$J$3:$K$5,'Müqayisəli təhlil'!$U$3:$V$5,'Müqayisəli təhlil'!$AF$3:$AG$5,'Müqayisəli təhlil'!$AQ$3:$AR$5,'Müqayisəli təhlil'!$BB$3:$BC$5,'Müqayisəli təhlil'!$BM$3:$BN$5)</c:f>
              <c:multiLvlStrCache>
                <c:ptCount val="12"/>
                <c:lvl/>
                <c:lvl>
                  <c:pt idx="0">
                    <c:v>Rayon üzrə reytinq</c:v>
                  </c:pt>
                  <c:pt idx="1">
                    <c:v>BŞTİ üzrə reytinq</c:v>
                  </c:pt>
                  <c:pt idx="2">
                    <c:v>Rayon üzrə reytinq</c:v>
                  </c:pt>
                  <c:pt idx="3">
                    <c:v>BŞTİ üzrə reytinq</c:v>
                  </c:pt>
                  <c:pt idx="4">
                    <c:v>Rayon üzrə reytinq</c:v>
                  </c:pt>
                  <c:pt idx="5">
                    <c:v>BŞTİ üzrə reytinq</c:v>
                  </c:pt>
                  <c:pt idx="6">
                    <c:v>Rayon üzrə reytinq</c:v>
                  </c:pt>
                  <c:pt idx="7">
                    <c:v>BŞTİ üzrə reytinq</c:v>
                  </c:pt>
                  <c:pt idx="8">
                    <c:v>Rayon üzrə reytinq</c:v>
                  </c:pt>
                  <c:pt idx="9">
                    <c:v>BŞTİ üzrə reytinq</c:v>
                  </c:pt>
                  <c:pt idx="10">
                    <c:v>Rayon üzrə reytinq</c:v>
                  </c:pt>
                  <c:pt idx="11">
                    <c:v>BŞTİ üzrə reytinq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'Müqayisəli təhlil'!$D$6:$BQ$6</c15:sqref>
                  </c15:fullRef>
                </c:ext>
              </c:extLst>
              <c:f>('Müqayisəli təhlil'!$J$6:$K$6,'Müqayisəli təhlil'!$U$6:$V$6,'Müqayisəli təhlil'!$AF$6:$AG$6,'Müqayisəli təhlil'!$AQ$6:$AR$6,'Müqayisəli təhlil'!$BB$6:$BC$6,'Müqayisəli təhlil'!$BM$6:$BN$6)</c:f>
              <c:numCache>
                <c:formatCode>0.00</c:formatCode>
                <c:ptCount val="12"/>
                <c:pt idx="0" formatCode="General">
                  <c:v>14</c:v>
                </c:pt>
                <c:pt idx="1" formatCode="General">
                  <c:v>94</c:v>
                </c:pt>
                <c:pt idx="2" formatCode="General">
                  <c:v>24</c:v>
                </c:pt>
                <c:pt idx="3" formatCode="General">
                  <c:v>200</c:v>
                </c:pt>
                <c:pt idx="4" formatCode="General">
                  <c:v>3</c:v>
                </c:pt>
                <c:pt idx="5" formatCode="General">
                  <c:v>16</c:v>
                </c:pt>
                <c:pt idx="6" formatCode="General">
                  <c:v>7</c:v>
                </c:pt>
                <c:pt idx="7" formatCode="General">
                  <c:v>33</c:v>
                </c:pt>
                <c:pt idx="8" formatCode="General">
                  <c:v>10</c:v>
                </c:pt>
                <c:pt idx="9" formatCode="General">
                  <c:v>59</c:v>
                </c:pt>
                <c:pt idx="10" formatCode="General">
                  <c:v>20</c:v>
                </c:pt>
                <c:pt idx="11" formatCode="General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E-4EFD-8670-066415959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3"/>
        <c:axId val="908679616"/>
        <c:axId val="908681696"/>
      </c:barChart>
      <c:catAx>
        <c:axId val="908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681696"/>
        <c:crosses val="autoZero"/>
        <c:auto val="1"/>
        <c:lblAlgn val="ctr"/>
        <c:lblOffset val="100"/>
        <c:noMultiLvlLbl val="0"/>
      </c:catAx>
      <c:valAx>
        <c:axId val="908681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867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</xdr:colOff>
      <xdr:row>8</xdr:row>
      <xdr:rowOff>0</xdr:rowOff>
    </xdr:from>
    <xdr:to>
      <xdr:col>11</xdr:col>
      <xdr:colOff>21771</xdr:colOff>
      <xdr:row>30</xdr:row>
      <xdr:rowOff>48987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8</xdr:row>
      <xdr:rowOff>0</xdr:rowOff>
    </xdr:from>
    <xdr:to>
      <xdr:col>20</xdr:col>
      <xdr:colOff>21768</xdr:colOff>
      <xdr:row>30</xdr:row>
      <xdr:rowOff>48987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8</xdr:row>
      <xdr:rowOff>0</xdr:rowOff>
    </xdr:from>
    <xdr:to>
      <xdr:col>29</xdr:col>
      <xdr:colOff>21768</xdr:colOff>
      <xdr:row>30</xdr:row>
      <xdr:rowOff>48987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8</xdr:row>
      <xdr:rowOff>0</xdr:rowOff>
    </xdr:from>
    <xdr:to>
      <xdr:col>38</xdr:col>
      <xdr:colOff>21768</xdr:colOff>
      <xdr:row>30</xdr:row>
      <xdr:rowOff>48987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8</xdr:row>
      <xdr:rowOff>0</xdr:rowOff>
    </xdr:from>
    <xdr:to>
      <xdr:col>47</xdr:col>
      <xdr:colOff>21768</xdr:colOff>
      <xdr:row>30</xdr:row>
      <xdr:rowOff>48987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31</xdr:row>
      <xdr:rowOff>0</xdr:rowOff>
    </xdr:from>
    <xdr:to>
      <xdr:col>11</xdr:col>
      <xdr:colOff>32657</xdr:colOff>
      <xdr:row>53</xdr:row>
      <xdr:rowOff>48987</xdr:rowOff>
    </xdr:to>
    <xdr:grpSp>
      <xdr:nvGrpSpPr>
        <xdr:cNvPr id="38" name="Group 37"/>
        <xdr:cNvGrpSpPr/>
      </xdr:nvGrpSpPr>
      <xdr:grpSpPr>
        <a:xfrm>
          <a:off x="3352800" y="7181850"/>
          <a:ext cx="4757057" cy="4659087"/>
          <a:chOff x="4136571" y="6662057"/>
          <a:chExt cx="4822372" cy="4359730"/>
        </a:xfrm>
      </xdr:grpSpPr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4136571" y="6662057"/>
          <a:ext cx="4811482" cy="43597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1" name="Rectangle 30"/>
          <xdr:cNvSpPr/>
        </xdr:nvSpPr>
        <xdr:spPr>
          <a:xfrm>
            <a:off x="4136571" y="9413967"/>
            <a:ext cx="4822372" cy="45719"/>
          </a:xfrm>
          <a:prstGeom prst="rect">
            <a:avLst/>
          </a:prstGeom>
          <a:solidFill>
            <a:srgbClr val="FF0000">
              <a:alpha val="48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587829</xdr:colOff>
      <xdr:row>31</xdr:row>
      <xdr:rowOff>0</xdr:rowOff>
    </xdr:from>
    <xdr:to>
      <xdr:col>20</xdr:col>
      <xdr:colOff>21773</xdr:colOff>
      <xdr:row>53</xdr:row>
      <xdr:rowOff>48987</xdr:rowOff>
    </xdr:to>
    <xdr:grpSp>
      <xdr:nvGrpSpPr>
        <xdr:cNvPr id="37" name="Group 36"/>
        <xdr:cNvGrpSpPr/>
      </xdr:nvGrpSpPr>
      <xdr:grpSpPr>
        <a:xfrm>
          <a:off x="8655504" y="7181850"/>
          <a:ext cx="4758419" cy="4659087"/>
          <a:chOff x="9514115" y="6662057"/>
          <a:chExt cx="4822372" cy="4359730"/>
        </a:xfrm>
      </xdr:grpSpPr>
      <xdr:graphicFrame macro="">
        <xdr:nvGraphicFramePr>
          <xdr:cNvPr id="26" name="Chart 25"/>
          <xdr:cNvGraphicFramePr>
            <a:graphicFrameLocks/>
          </xdr:cNvGraphicFramePr>
        </xdr:nvGraphicFramePr>
        <xdr:xfrm>
          <a:off x="9517376" y="6662057"/>
          <a:ext cx="4819102" cy="43597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3" name="Rectangle 32"/>
          <xdr:cNvSpPr/>
        </xdr:nvSpPr>
        <xdr:spPr>
          <a:xfrm>
            <a:off x="9514115" y="9416143"/>
            <a:ext cx="4822372" cy="45719"/>
          </a:xfrm>
          <a:prstGeom prst="rect">
            <a:avLst/>
          </a:prstGeom>
          <a:solidFill>
            <a:srgbClr val="FF0000">
              <a:alpha val="48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587829</xdr:colOff>
      <xdr:row>31</xdr:row>
      <xdr:rowOff>0</xdr:rowOff>
    </xdr:from>
    <xdr:to>
      <xdr:col>29</xdr:col>
      <xdr:colOff>21772</xdr:colOff>
      <xdr:row>53</xdr:row>
      <xdr:rowOff>48987</xdr:rowOff>
    </xdr:to>
    <xdr:grpSp>
      <xdr:nvGrpSpPr>
        <xdr:cNvPr id="36" name="Group 35"/>
        <xdr:cNvGrpSpPr/>
      </xdr:nvGrpSpPr>
      <xdr:grpSpPr>
        <a:xfrm>
          <a:off x="13970454" y="7181850"/>
          <a:ext cx="4758418" cy="4659087"/>
          <a:chOff x="14902543" y="6662057"/>
          <a:chExt cx="4822372" cy="4359730"/>
        </a:xfrm>
      </xdr:grpSpPr>
      <xdr:graphicFrame macro="">
        <xdr:nvGraphicFramePr>
          <xdr:cNvPr id="27" name="Chart 26"/>
          <xdr:cNvGraphicFramePr>
            <a:graphicFrameLocks/>
          </xdr:cNvGraphicFramePr>
        </xdr:nvGraphicFramePr>
        <xdr:xfrm>
          <a:off x="14905805" y="6662057"/>
          <a:ext cx="4819102" cy="43597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5" name="Rectangle 34"/>
          <xdr:cNvSpPr/>
        </xdr:nvSpPr>
        <xdr:spPr>
          <a:xfrm>
            <a:off x="14902543" y="9416142"/>
            <a:ext cx="4822372" cy="45719"/>
          </a:xfrm>
          <a:prstGeom prst="rect">
            <a:avLst/>
          </a:prstGeom>
          <a:solidFill>
            <a:srgbClr val="FF0000">
              <a:alpha val="48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30</xdr:col>
      <xdr:colOff>543</xdr:colOff>
      <xdr:row>31</xdr:row>
      <xdr:rowOff>0</xdr:rowOff>
    </xdr:from>
    <xdr:to>
      <xdr:col>47</xdr:col>
      <xdr:colOff>10886</xdr:colOff>
      <xdr:row>53</xdr:row>
      <xdr:rowOff>48987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190501</xdr:colOff>
      <xdr:row>9</xdr:row>
      <xdr:rowOff>38101</xdr:rowOff>
    </xdr:from>
    <xdr:to>
      <xdr:col>2</xdr:col>
      <xdr:colOff>459619</xdr:colOff>
      <xdr:row>28</xdr:row>
      <xdr:rowOff>152401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1" y="2552701"/>
          <a:ext cx="2974218" cy="373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0"/>
  <sheetViews>
    <sheetView showGridLines="0" tabSelected="1" zoomScale="50" zoomScaleNormal="50" workbookViewId="0">
      <selection activeCell="B6" sqref="B6"/>
    </sheetView>
  </sheetViews>
  <sheetFormatPr defaultColWidth="8.7109375" defaultRowHeight="16.5" x14ac:dyDescent="0.25"/>
  <cols>
    <col min="1" max="1" width="22.42578125" style="23" customWidth="1"/>
    <col min="2" max="2" width="17" style="23" customWidth="1"/>
    <col min="3" max="3" width="10.5703125" style="23" customWidth="1"/>
    <col min="4" max="4" width="8.7109375" style="23"/>
    <col min="5" max="14" width="8.7109375" style="23" customWidth="1"/>
    <col min="15" max="15" width="8.7109375" style="23"/>
    <col min="16" max="25" width="8.7109375" style="23" customWidth="1"/>
    <col min="26" max="26" width="8.7109375" style="23"/>
    <col min="27" max="36" width="8.7109375" style="23" customWidth="1"/>
    <col min="37" max="37" width="8.7109375" style="23"/>
    <col min="38" max="58" width="8.7109375" style="23" customWidth="1"/>
    <col min="59" max="61" width="8.7109375" style="23"/>
    <col min="62" max="69" width="8.7109375" style="23" customWidth="1"/>
    <col min="70" max="16384" width="8.7109375" style="23"/>
  </cols>
  <sheetData>
    <row r="1" spans="1:70" ht="15.6" customHeight="1" thickBot="1" x14ac:dyDescent="0.3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</row>
    <row r="2" spans="1:70" ht="15.6" customHeight="1" x14ac:dyDescent="0.25">
      <c r="A2" s="37" t="s">
        <v>62</v>
      </c>
      <c r="B2" s="33" t="s">
        <v>33</v>
      </c>
      <c r="C2" s="34" t="s">
        <v>34</v>
      </c>
      <c r="D2" s="32" t="s">
        <v>73</v>
      </c>
      <c r="E2" s="33"/>
      <c r="F2" s="33"/>
      <c r="G2" s="33"/>
      <c r="H2" s="33"/>
      <c r="I2" s="33"/>
      <c r="J2" s="33"/>
      <c r="K2" s="33"/>
      <c r="L2" s="33"/>
      <c r="M2" s="33"/>
      <c r="N2" s="34"/>
      <c r="O2" s="32" t="s">
        <v>63</v>
      </c>
      <c r="P2" s="33"/>
      <c r="Q2" s="33"/>
      <c r="R2" s="33"/>
      <c r="S2" s="33"/>
      <c r="T2" s="33"/>
      <c r="U2" s="33"/>
      <c r="V2" s="33"/>
      <c r="W2" s="33"/>
      <c r="X2" s="33"/>
      <c r="Y2" s="34"/>
      <c r="Z2" s="32" t="s">
        <v>63</v>
      </c>
      <c r="AA2" s="33"/>
      <c r="AB2" s="33"/>
      <c r="AC2" s="33"/>
      <c r="AD2" s="33"/>
      <c r="AE2" s="33"/>
      <c r="AF2" s="33"/>
      <c r="AG2" s="33"/>
      <c r="AH2" s="33"/>
      <c r="AI2" s="33"/>
      <c r="AJ2" s="34"/>
      <c r="AK2" s="32" t="s">
        <v>64</v>
      </c>
      <c r="AL2" s="33"/>
      <c r="AM2" s="33"/>
      <c r="AN2" s="33"/>
      <c r="AO2" s="33"/>
      <c r="AP2" s="33"/>
      <c r="AQ2" s="33"/>
      <c r="AR2" s="33"/>
      <c r="AS2" s="33"/>
      <c r="AT2" s="33"/>
      <c r="AU2" s="34"/>
      <c r="AV2" s="32" t="s">
        <v>47</v>
      </c>
      <c r="AW2" s="33"/>
      <c r="AX2" s="33"/>
      <c r="AY2" s="33"/>
      <c r="AZ2" s="33"/>
      <c r="BA2" s="33"/>
      <c r="BB2" s="33"/>
      <c r="BC2" s="33"/>
      <c r="BD2" s="33"/>
      <c r="BE2" s="33"/>
      <c r="BF2" s="34"/>
      <c r="BG2" s="32" t="s">
        <v>46</v>
      </c>
      <c r="BH2" s="33"/>
      <c r="BI2" s="33"/>
      <c r="BJ2" s="33"/>
      <c r="BK2" s="33"/>
      <c r="BL2" s="33"/>
      <c r="BM2" s="33"/>
      <c r="BN2" s="33"/>
      <c r="BO2" s="33"/>
      <c r="BP2" s="33"/>
      <c r="BQ2" s="34"/>
      <c r="BR2" s="35" t="s">
        <v>70</v>
      </c>
    </row>
    <row r="3" spans="1:70" ht="15.6" customHeight="1" x14ac:dyDescent="0.25">
      <c r="A3" s="38"/>
      <c r="B3" s="29"/>
      <c r="C3" s="30"/>
      <c r="D3" s="42" t="s">
        <v>72</v>
      </c>
      <c r="E3" s="29"/>
      <c r="F3" s="29"/>
      <c r="G3" s="29"/>
      <c r="H3" s="29"/>
      <c r="I3" s="29"/>
      <c r="J3" s="29"/>
      <c r="K3" s="29"/>
      <c r="L3" s="29"/>
      <c r="M3" s="29"/>
      <c r="N3" s="30"/>
      <c r="O3" s="42" t="s">
        <v>67</v>
      </c>
      <c r="P3" s="29"/>
      <c r="Q3" s="29"/>
      <c r="R3" s="29"/>
      <c r="S3" s="29"/>
      <c r="T3" s="29"/>
      <c r="U3" s="29"/>
      <c r="V3" s="29"/>
      <c r="W3" s="29"/>
      <c r="X3" s="29"/>
      <c r="Y3" s="30"/>
      <c r="Z3" s="42" t="s">
        <v>68</v>
      </c>
      <c r="AA3" s="29"/>
      <c r="AB3" s="29"/>
      <c r="AC3" s="29"/>
      <c r="AD3" s="29"/>
      <c r="AE3" s="29"/>
      <c r="AF3" s="29"/>
      <c r="AG3" s="29"/>
      <c r="AH3" s="29"/>
      <c r="AI3" s="29"/>
      <c r="AJ3" s="30"/>
      <c r="AK3" s="42" t="s">
        <v>69</v>
      </c>
      <c r="AL3" s="29"/>
      <c r="AM3" s="29"/>
      <c r="AN3" s="29"/>
      <c r="AO3" s="29"/>
      <c r="AP3" s="29"/>
      <c r="AQ3" s="29"/>
      <c r="AR3" s="29"/>
      <c r="AS3" s="29"/>
      <c r="AT3" s="29"/>
      <c r="AU3" s="30"/>
      <c r="AV3" s="42" t="s">
        <v>65</v>
      </c>
      <c r="AW3" s="29"/>
      <c r="AX3" s="29"/>
      <c r="AY3" s="29"/>
      <c r="AZ3" s="29"/>
      <c r="BA3" s="29"/>
      <c r="BB3" s="29"/>
      <c r="BC3" s="29"/>
      <c r="BD3" s="29"/>
      <c r="BE3" s="29"/>
      <c r="BF3" s="30"/>
      <c r="BG3" s="42" t="s">
        <v>66</v>
      </c>
      <c r="BH3" s="29"/>
      <c r="BI3" s="29"/>
      <c r="BJ3" s="29"/>
      <c r="BK3" s="29"/>
      <c r="BL3" s="29"/>
      <c r="BM3" s="29"/>
      <c r="BN3" s="29"/>
      <c r="BO3" s="29"/>
      <c r="BP3" s="29"/>
      <c r="BQ3" s="30"/>
      <c r="BR3" s="36"/>
    </row>
    <row r="4" spans="1:70" ht="15.6" customHeight="1" x14ac:dyDescent="0.25">
      <c r="A4" s="38"/>
      <c r="B4" s="29"/>
      <c r="C4" s="30"/>
      <c r="D4" s="41" t="s">
        <v>4</v>
      </c>
      <c r="E4" s="40" t="s">
        <v>1</v>
      </c>
      <c r="F4" s="40" t="s">
        <v>2</v>
      </c>
      <c r="G4" s="40" t="s">
        <v>6</v>
      </c>
      <c r="H4" s="40" t="s">
        <v>7</v>
      </c>
      <c r="I4" s="29" t="s">
        <v>3</v>
      </c>
      <c r="J4" s="29" t="s">
        <v>38</v>
      </c>
      <c r="K4" s="29" t="s">
        <v>37</v>
      </c>
      <c r="L4" s="29" t="s">
        <v>36</v>
      </c>
      <c r="M4" s="29"/>
      <c r="N4" s="30"/>
      <c r="O4" s="41" t="s">
        <v>4</v>
      </c>
      <c r="P4" s="40" t="s">
        <v>1</v>
      </c>
      <c r="Q4" s="40" t="s">
        <v>2</v>
      </c>
      <c r="R4" s="40" t="s">
        <v>6</v>
      </c>
      <c r="S4" s="40" t="s">
        <v>7</v>
      </c>
      <c r="T4" s="29" t="s">
        <v>3</v>
      </c>
      <c r="U4" s="29" t="s">
        <v>38</v>
      </c>
      <c r="V4" s="29" t="s">
        <v>37</v>
      </c>
      <c r="W4" s="29" t="s">
        <v>36</v>
      </c>
      <c r="X4" s="29"/>
      <c r="Y4" s="30"/>
      <c r="Z4" s="41" t="s">
        <v>4</v>
      </c>
      <c r="AA4" s="40" t="s">
        <v>1</v>
      </c>
      <c r="AB4" s="40" t="s">
        <v>2</v>
      </c>
      <c r="AC4" s="40" t="s">
        <v>6</v>
      </c>
      <c r="AD4" s="40" t="s">
        <v>7</v>
      </c>
      <c r="AE4" s="29" t="s">
        <v>3</v>
      </c>
      <c r="AF4" s="29" t="s">
        <v>38</v>
      </c>
      <c r="AG4" s="29" t="s">
        <v>37</v>
      </c>
      <c r="AH4" s="29" t="s">
        <v>36</v>
      </c>
      <c r="AI4" s="29"/>
      <c r="AJ4" s="30"/>
      <c r="AK4" s="41" t="s">
        <v>4</v>
      </c>
      <c r="AL4" s="40" t="s">
        <v>1</v>
      </c>
      <c r="AM4" s="40" t="s">
        <v>2</v>
      </c>
      <c r="AN4" s="40" t="s">
        <v>6</v>
      </c>
      <c r="AO4" s="40" t="s">
        <v>7</v>
      </c>
      <c r="AP4" s="29" t="s">
        <v>3</v>
      </c>
      <c r="AQ4" s="29" t="s">
        <v>38</v>
      </c>
      <c r="AR4" s="29" t="s">
        <v>37</v>
      </c>
      <c r="AS4" s="29" t="s">
        <v>36</v>
      </c>
      <c r="AT4" s="29"/>
      <c r="AU4" s="30"/>
      <c r="AV4" s="41" t="s">
        <v>4</v>
      </c>
      <c r="AW4" s="40" t="s">
        <v>1</v>
      </c>
      <c r="AX4" s="40" t="s">
        <v>2</v>
      </c>
      <c r="AY4" s="40" t="s">
        <v>6</v>
      </c>
      <c r="AZ4" s="40" t="s">
        <v>7</v>
      </c>
      <c r="BA4" s="29" t="s">
        <v>3</v>
      </c>
      <c r="BB4" s="29" t="s">
        <v>38</v>
      </c>
      <c r="BC4" s="29" t="s">
        <v>37</v>
      </c>
      <c r="BD4" s="29" t="s">
        <v>36</v>
      </c>
      <c r="BE4" s="29"/>
      <c r="BF4" s="30"/>
      <c r="BG4" s="41" t="s">
        <v>4</v>
      </c>
      <c r="BH4" s="40" t="s">
        <v>1</v>
      </c>
      <c r="BI4" s="40" t="s">
        <v>2</v>
      </c>
      <c r="BJ4" s="40" t="s">
        <v>6</v>
      </c>
      <c r="BK4" s="40" t="s">
        <v>7</v>
      </c>
      <c r="BL4" s="29" t="s">
        <v>3</v>
      </c>
      <c r="BM4" s="29" t="s">
        <v>38</v>
      </c>
      <c r="BN4" s="29" t="s">
        <v>37</v>
      </c>
      <c r="BO4" s="29" t="s">
        <v>36</v>
      </c>
      <c r="BP4" s="29"/>
      <c r="BQ4" s="30"/>
      <c r="BR4" s="36"/>
    </row>
    <row r="5" spans="1:70" ht="57" customHeight="1" x14ac:dyDescent="0.25">
      <c r="A5" s="38"/>
      <c r="B5" s="29"/>
      <c r="C5" s="30"/>
      <c r="D5" s="41"/>
      <c r="E5" s="40"/>
      <c r="F5" s="40"/>
      <c r="G5" s="40"/>
      <c r="H5" s="40"/>
      <c r="I5" s="29"/>
      <c r="J5" s="29"/>
      <c r="K5" s="29"/>
      <c r="L5" s="18" t="s">
        <v>1</v>
      </c>
      <c r="M5" s="18" t="s">
        <v>2</v>
      </c>
      <c r="N5" s="19" t="s">
        <v>6</v>
      </c>
      <c r="O5" s="41"/>
      <c r="P5" s="40"/>
      <c r="Q5" s="40"/>
      <c r="R5" s="40"/>
      <c r="S5" s="40"/>
      <c r="T5" s="29"/>
      <c r="U5" s="29"/>
      <c r="V5" s="29"/>
      <c r="W5" s="18" t="s">
        <v>1</v>
      </c>
      <c r="X5" s="18" t="s">
        <v>2</v>
      </c>
      <c r="Y5" s="19" t="s">
        <v>6</v>
      </c>
      <c r="Z5" s="41"/>
      <c r="AA5" s="40"/>
      <c r="AB5" s="40"/>
      <c r="AC5" s="40"/>
      <c r="AD5" s="40"/>
      <c r="AE5" s="29"/>
      <c r="AF5" s="29"/>
      <c r="AG5" s="29"/>
      <c r="AH5" s="18" t="s">
        <v>1</v>
      </c>
      <c r="AI5" s="18" t="s">
        <v>2</v>
      </c>
      <c r="AJ5" s="19" t="s">
        <v>6</v>
      </c>
      <c r="AK5" s="41"/>
      <c r="AL5" s="40"/>
      <c r="AM5" s="40"/>
      <c r="AN5" s="40"/>
      <c r="AO5" s="40"/>
      <c r="AP5" s="29"/>
      <c r="AQ5" s="29"/>
      <c r="AR5" s="29"/>
      <c r="AS5" s="18" t="s">
        <v>1</v>
      </c>
      <c r="AT5" s="18" t="s">
        <v>2</v>
      </c>
      <c r="AU5" s="19" t="s">
        <v>6</v>
      </c>
      <c r="AV5" s="41"/>
      <c r="AW5" s="40"/>
      <c r="AX5" s="40"/>
      <c r="AY5" s="40"/>
      <c r="AZ5" s="40"/>
      <c r="BA5" s="29"/>
      <c r="BB5" s="29"/>
      <c r="BC5" s="29"/>
      <c r="BD5" s="18" t="s">
        <v>1</v>
      </c>
      <c r="BE5" s="18" t="s">
        <v>2</v>
      </c>
      <c r="BF5" s="19" t="s">
        <v>6</v>
      </c>
      <c r="BG5" s="41"/>
      <c r="BH5" s="40"/>
      <c r="BI5" s="40"/>
      <c r="BJ5" s="40"/>
      <c r="BK5" s="40"/>
      <c r="BL5" s="29"/>
      <c r="BM5" s="29"/>
      <c r="BN5" s="29"/>
      <c r="BO5" s="18" t="s">
        <v>1</v>
      </c>
      <c r="BP5" s="18" t="s">
        <v>2</v>
      </c>
      <c r="BQ5" s="19" t="s">
        <v>6</v>
      </c>
      <c r="BR5" s="36"/>
    </row>
    <row r="6" spans="1:70" ht="35.450000000000003" customHeight="1" thickBot="1" x14ac:dyDescent="0.3">
      <c r="A6" s="39"/>
      <c r="B6" s="28">
        <v>99</v>
      </c>
      <c r="C6" s="11" t="str">
        <f>IF(VLOOKUP($B$6,İndekslər!$C$5:$BR$535,2,0)="","",VLOOKUP($B$6,İndekslər!$C$5:$BR$535,2,0))</f>
        <v>tam orta məktəb</v>
      </c>
      <c r="D6" s="12" t="str">
        <f>IF(VLOOKUP($B$6,İndekslər!$C$5:$BR$535,3,0)="","",VLOOKUP($B$6,İndekslər!$C$5:$BR$535,3,0))</f>
        <v/>
      </c>
      <c r="E6" s="13">
        <f>IF(VLOOKUP($B$6,İndekslər!$C$5:$BR$535,4,0)="","",VLOOKUP($B$6,İndekslər!$C$5:$BR$535,4,0))</f>
        <v>58.666666666666671</v>
      </c>
      <c r="F6" s="13">
        <f>IF(VLOOKUP($B$6,İndekslər!$C$5:$BR$535,5,0)="","",VLOOKUP($B$6,İndekslər!$C$5:$BR$535,5,0))</f>
        <v>47.6</v>
      </c>
      <c r="G6" s="13">
        <f>IF(VLOOKUP($B$6,İndekslər!$C$5:$BR$535,6,0)="","",VLOOKUP($B$6,İndekslər!$C$5:$BR$535,6,0))</f>
        <v>40</v>
      </c>
      <c r="H6" s="13">
        <f>IF(VLOOKUP($B$6,İndekslər!$C$5:$BR$535,7,0)="","",VLOOKUP($B$6,İndekslər!$C$5:$BR$535,7,0))</f>
        <v>48.75555555555556</v>
      </c>
      <c r="I6" s="13">
        <f>IF(VLOOKUP($B$6,İndekslər!$C$5:$BR$535,8,0)="","",VLOOKUP($B$6,İndekslər!$C$5:$BR$535,8,0))</f>
        <v>146.26666666666668</v>
      </c>
      <c r="J6" s="14">
        <f>IF(VLOOKUP($B$6,İndekslər!$C$5:$BR$535,9,0)="","",VLOOKUP($B$6,İndekslər!$C$5:$BR$535,9,0))</f>
        <v>14</v>
      </c>
      <c r="K6" s="14">
        <f>IF(VLOOKUP($B$6,İndekslər!$C$5:$BR$535,10,0)="","",VLOOKUP($B$6,İndekslər!$C$5:$BR$535,10,0))</f>
        <v>94</v>
      </c>
      <c r="L6" s="15" t="str">
        <f>IF(VLOOKUP($B$6,İndekslər!$C$5:$BR$535,11,0)="","",VLOOKUP($B$6,İndekslər!$C$5:$BR$535,11,0))</f>
        <v/>
      </c>
      <c r="M6" s="15" t="str">
        <f>IF(VLOOKUP($B$6,İndekslər!$C$5:$BR$535,12,0)="","",VLOOKUP($B$6,İndekslər!$C$5:$BR$535,12,0))</f>
        <v/>
      </c>
      <c r="N6" s="16" t="str">
        <f>IF(VLOOKUP($B$6,İndekslər!$C$5:$BR$535,13,0)="","",VLOOKUP($B$6,İndekslər!$C$5:$BR$535,13,0))</f>
        <v/>
      </c>
      <c r="O6" s="12">
        <f>IF(VLOOKUP($B$6,İndekslər!$C$5:$BR$535,14,0)="","",VLOOKUP($B$6,İndekslər!$C$5:$BR$535,14,0))</f>
        <v>127</v>
      </c>
      <c r="P6" s="13">
        <f>IF(VLOOKUP($B$6,İndekslər!$C$5:$BR$535,15,0)="","",VLOOKUP($B$6,İndekslər!$C$5:$BR$535,15,0))</f>
        <v>46.272965879265101</v>
      </c>
      <c r="Q6" s="13">
        <f>IF(VLOOKUP($B$6,İndekslər!$C$5:$BR$535,16,0)="","",VLOOKUP($B$6,İndekslər!$C$5:$BR$535,16,0))</f>
        <v>45.574803149606296</v>
      </c>
      <c r="R6" s="13">
        <f>IF(VLOOKUP($B$6,İndekslər!$C$5:$BR$535,17,0)="","",VLOOKUP($B$6,İndekslər!$C$5:$BR$535,17,0))</f>
        <v>44.803149606299222</v>
      </c>
      <c r="S6" s="13">
        <f>IF(VLOOKUP($B$6,İndekslər!$C$5:$BR$535,18,0)="","",VLOOKUP($B$6,İndekslər!$C$5:$BR$535,18,0))</f>
        <v>45.550306211723566</v>
      </c>
      <c r="T6" s="13">
        <f>IF(VLOOKUP($B$6,İndekslər!$C$5:$BR$535,19,0)="","",VLOOKUP($B$6,İndekslər!$C$5:$BR$535,19,0))</f>
        <v>136.65091863517063</v>
      </c>
      <c r="U6" s="14">
        <f>IF(VLOOKUP($B$6,İndekslər!$C$5:$BR$535,20,0)="","",VLOOKUP($B$6,İndekslər!$C$5:$BR$535,20,0))</f>
        <v>24</v>
      </c>
      <c r="V6" s="14">
        <f>IF(VLOOKUP($B$6,İndekslər!$C$5:$BR$535,21,0)="","",VLOOKUP($B$6,İndekslər!$C$5:$BR$535,21,0))</f>
        <v>200</v>
      </c>
      <c r="W6" s="15">
        <f>IF(VLOOKUP($B$6,İndekslər!$C$5:$BR$535,22,0)="","",VLOOKUP($B$6,İndekslər!$C$5:$BR$535,22,0))</f>
        <v>31.496062992125985</v>
      </c>
      <c r="X6" s="15">
        <f>IF(VLOOKUP($B$6,İndekslər!$C$5:$BR$535,23,0)="","",VLOOKUP($B$6,İndekslər!$C$5:$BR$535,23,0))</f>
        <v>37.795275590551178</v>
      </c>
      <c r="Y6" s="16">
        <f>IF(VLOOKUP($B$6,İndekslər!$C$5:$BR$535,24,0)="","",VLOOKUP($B$6,İndekslər!$C$5:$BR$535,24,0))</f>
        <v>40.15748031496063</v>
      </c>
      <c r="Z6" s="12">
        <f>IF(VLOOKUP($B$6,İndekslər!$C$5:$BR$535,25,0)="","",VLOOKUP($B$6,İndekslər!$C$5:$BR$535,25,0))</f>
        <v>130</v>
      </c>
      <c r="AA6" s="13">
        <f>IF(VLOOKUP($B$6,İndekslər!$C$5:$BR$535,26,0)="","",VLOOKUP($B$6,İndekslər!$C$5:$BR$535,26,0))</f>
        <v>57.924161400097269</v>
      </c>
      <c r="AB6" s="13">
        <f>IF(VLOOKUP($B$6,İndekslər!$C$5:$BR$535,27,0)="","",VLOOKUP($B$6,İndekslər!$C$5:$BR$535,27,0))</f>
        <v>70.049586776859499</v>
      </c>
      <c r="AC6" s="13">
        <f>IF(VLOOKUP($B$6,İndekslər!$C$5:$BR$535,28,0)="","",VLOOKUP($B$6,İndekslər!$C$5:$BR$535,28,0))</f>
        <v>59.0032556974706</v>
      </c>
      <c r="AD6" s="13">
        <f>IF(VLOOKUP($B$6,İndekslər!$C$5:$BR$535,29,0)="","",VLOOKUP($B$6,İndekslər!$C$5:$BR$535,29,0))</f>
        <v>62.325667958142418</v>
      </c>
      <c r="AE6" s="13">
        <f>IF(VLOOKUP($B$6,İndekslər!$C$5:$BR$535,30,0)="","",VLOOKUP($B$6,İndekslər!$C$5:$BR$535,30,0))</f>
        <v>186.97700387442737</v>
      </c>
      <c r="AF6" s="14">
        <f>IF(VLOOKUP($B$6,İndekslər!$C$5:$BR$535,31,0)="","",VLOOKUP($B$6,İndekslər!$C$5:$BR$535,31,0))</f>
        <v>3</v>
      </c>
      <c r="AG6" s="14">
        <f>IF(VLOOKUP($B$6,İndekslər!$C$5:$BR$535,32,0)="","",VLOOKUP($B$6,İndekslər!$C$5:$BR$535,32,0))</f>
        <v>16</v>
      </c>
      <c r="AH6" s="15">
        <f>IF(VLOOKUP($B$6,İndekslər!$C$5:$BR$535,33,0)="","",VLOOKUP($B$6,İndekslər!$C$5:$BR$535,33,0))</f>
        <v>0.82644628099173556</v>
      </c>
      <c r="AI6" s="15">
        <f>IF(VLOOKUP($B$6,İndekslər!$C$5:$BR$535,34,0)="","",VLOOKUP($B$6,İndekslər!$C$5:$BR$535,34,0))</f>
        <v>1.6528925619834711</v>
      </c>
      <c r="AJ6" s="16">
        <f>IF(VLOOKUP($B$6,İndekslər!$C$5:$BR$535,35,0)="","",VLOOKUP($B$6,İndekslər!$C$5:$BR$535,35,0))</f>
        <v>0.82644628099173556</v>
      </c>
      <c r="AK6" s="12">
        <f>IF(VLOOKUP($B$6,İndekslər!$C$5:$BR$535,36,0)="","",VLOOKUP($B$6,İndekslər!$C$5:$BR$535,36,0))</f>
        <v>130</v>
      </c>
      <c r="AL6" s="13">
        <f>IF(VLOOKUP($B$6,İndekslər!$C$5:$BR$535,37,0)="","",VLOOKUP($B$6,İndekslər!$C$5:$BR$535,37,0))</f>
        <v>65.943043884220373</v>
      </c>
      <c r="AM6" s="13">
        <f>IF(VLOOKUP($B$6,İndekslər!$C$5:$BR$535,38,0)="","",VLOOKUP($B$6,İndekslər!$C$5:$BR$535,38,0))</f>
        <v>59.591836734693892</v>
      </c>
      <c r="AN6" s="13">
        <f>IF(VLOOKUP($B$6,İndekslər!$C$5:$BR$535,39,0)="","",VLOOKUP($B$6,İndekslər!$C$5:$BR$535,39,0))</f>
        <v>59.593837535013996</v>
      </c>
      <c r="AO6" s="13">
        <f>IF(VLOOKUP($B$6,İndekslər!$C$5:$BR$535,40,0)="","",VLOOKUP($B$6,İndekslər!$C$5:$BR$535,40,0))</f>
        <v>61.709572717976073</v>
      </c>
      <c r="AP6" s="13">
        <f>IF(VLOOKUP($B$6,İndekslər!$C$5:$BR$535,41,0)="","",VLOOKUP($B$6,İndekslər!$C$5:$BR$535,41,0))</f>
        <v>185.12871815392825</v>
      </c>
      <c r="AQ6" s="14">
        <f>IF(VLOOKUP($B$6,İndekslər!$C$5:$BR$535,42,0)="","",VLOOKUP($B$6,İndekslər!$C$5:$BR$535,42,0))</f>
        <v>7</v>
      </c>
      <c r="AR6" s="14">
        <f>IF(VLOOKUP($B$6,İndekslər!$C$5:$BR$535,43,0)="","",VLOOKUP($B$6,İndekslər!$C$5:$BR$535,43,0))</f>
        <v>33</v>
      </c>
      <c r="AS6" s="15">
        <f>IF(VLOOKUP($B$6,İndekslər!$C$5:$BR$535,44,0)="","",VLOOKUP($B$6,İndekslər!$C$5:$BR$535,44,0))</f>
        <v>1.5873015873015872</v>
      </c>
      <c r="AT6" s="15">
        <f>IF(VLOOKUP($B$6,İndekslər!$C$5:$BR$535,45,0)="","",VLOOKUP($B$6,İndekslər!$C$5:$BR$535,45,0))</f>
        <v>0.79365079365079361</v>
      </c>
      <c r="AU6" s="16">
        <f>IF(VLOOKUP($B$6,İndekslər!$C$5:$BR$535,46,0)="","",VLOOKUP($B$6,İndekslər!$C$5:$BR$535,46,0))</f>
        <v>1.5873015873015872</v>
      </c>
      <c r="AV6" s="17">
        <f>IF(VLOOKUP($B$6,İndekslər!$C$5:$BR$535,47,0)="","",VLOOKUP($B$6,İndekslər!$C$5:$BR$535,47,0))</f>
        <v>129</v>
      </c>
      <c r="AW6" s="13">
        <f>IF(VLOOKUP($B$6,İndekslər!$C$5:$BR$535,48,0)="","",VLOOKUP($B$6,İndekslər!$C$5:$BR$535,48,0))</f>
        <v>56.713390387860919</v>
      </c>
      <c r="AX6" s="13">
        <f>IF(VLOOKUP($B$6,İndekslər!$C$5:$BR$535,49,0)="","",VLOOKUP($B$6,İndekslər!$C$5:$BR$535,49,0))</f>
        <v>58.405408887053227</v>
      </c>
      <c r="AY6" s="13">
        <f>IF(VLOOKUP($B$6,İndekslər!$C$5:$BR$535,50,0)="","",VLOOKUP($B$6,İndekslər!$C$5:$BR$535,50,0))</f>
        <v>54.466747612927939</v>
      </c>
      <c r="AZ6" s="13">
        <f>IF(VLOOKUP($B$6,İndekslər!$C$5:$BR$535,51,0)="","",VLOOKUP($B$6,İndekslər!$C$5:$BR$535,51,0))</f>
        <v>56.528515629280683</v>
      </c>
      <c r="BA6" s="13">
        <f>IF(VLOOKUP($B$6,İndekslər!$C$5:$BR$535,52,0)="","",VLOOKUP($B$6,İndekslər!$C$5:$BR$535,52,0))</f>
        <v>169.58554688784207</v>
      </c>
      <c r="BB6" s="14">
        <f>IF(VLOOKUP($B$6,İndekslər!$C$5:$BR$535,53,0)="","",VLOOKUP($B$6,İndekslər!$C$5:$BR$535,53,0))</f>
        <v>10</v>
      </c>
      <c r="BC6" s="14">
        <f>IF(VLOOKUP($B$6,İndekslər!$C$5:$BR$535,54,0)="","",VLOOKUP($B$6,İndekslər!$C$5:$BR$535,54,0))</f>
        <v>59</v>
      </c>
      <c r="BD6" s="15">
        <f>IF(VLOOKUP($B$6,İndekslər!$C$5:$BR$535,55,0)="","",VLOOKUP($B$6,İndekslər!$C$5:$BR$535,55,0))</f>
        <v>1.2068739341466614</v>
      </c>
      <c r="BE6" s="15">
        <f>IF(VLOOKUP($B$6,İndekslər!$C$5:$BR$535,56,0)="","",VLOOKUP($B$6,İndekslər!$C$5:$BR$535,56,0))</f>
        <v>1.2232716778171324</v>
      </c>
      <c r="BF6" s="16">
        <f>IF(VLOOKUP($B$6,İndekslər!$C$5:$BR$535,57,0)="","",VLOOKUP($B$6,İndekslər!$C$5:$BR$535,57,0))</f>
        <v>1.2068739341466614</v>
      </c>
      <c r="BG6" s="12">
        <f>IF(VLOOKUP($B$6,İndekslər!$C$5:$BR$535,58,0)="","",VLOOKUP($B$6,İndekslər!$C$5:$BR$535,58,0))</f>
        <v>135</v>
      </c>
      <c r="BH6" s="13">
        <f>IF(VLOOKUP($B$6,İndekslər!$C$5:$BR$535,59,0)="","",VLOOKUP($B$6,İndekslər!$C$5:$BR$535,59,0))</f>
        <v>54.82109375000001</v>
      </c>
      <c r="BI6" s="13">
        <f>IF(VLOOKUP($B$6,İndekslər!$C$5:$BR$535,60,0)="","",VLOOKUP($B$6,İndekslər!$C$5:$BR$535,60,0))</f>
        <v>32.07500000000001</v>
      </c>
      <c r="BJ6" s="13">
        <f>IF(VLOOKUP($B$6,İndekslər!$C$5:$BR$535,61,0)="","",VLOOKUP($B$6,İndekslər!$C$5:$BR$535,61,0))</f>
        <v>36.485937499999991</v>
      </c>
      <c r="BK6" s="13">
        <f>IF(VLOOKUP($B$6,İndekslər!$C$5:$BR$535,62,0)="","",VLOOKUP($B$6,İndekslər!$C$5:$BR$535,62,0))</f>
        <v>41.127343750000016</v>
      </c>
      <c r="BL6" s="13">
        <f>IF(VLOOKUP($B$6,İndekslər!$C$5:$BR$535,63,0)="","",VLOOKUP($B$6,İndekslər!$C$5:$BR$535,63,0))</f>
        <v>123.38203125000001</v>
      </c>
      <c r="BM6" s="14">
        <f>IF(VLOOKUP($B$6,İndekslər!$C$5:$BR$535,64,0)="","",VLOOKUP($B$6,İndekslər!$C$5:$BR$535,64,0))</f>
        <v>20</v>
      </c>
      <c r="BN6" s="14">
        <f>IF(VLOOKUP($B$6,İndekslər!$C$5:$BR$535,65,0)="","",VLOOKUP($B$6,İndekslər!$C$5:$BR$535,65,0))</f>
        <v>146</v>
      </c>
      <c r="BO6" s="15">
        <f>IF(VLOOKUP($B$6,İndekslər!$C$5:$BR$535,66,0)="","",VLOOKUP($B$6,İndekslər!$C$5:$BR$535,66,0))</f>
        <v>18.75</v>
      </c>
      <c r="BP6" s="15">
        <f>IF(VLOOKUP($B$6,İndekslər!$C$5:$BR$535,67,0)="","",VLOOKUP($B$6,İndekslər!$C$5:$BR$535,67,0))</f>
        <v>60.9375</v>
      </c>
      <c r="BQ6" s="16">
        <f>IF(VLOOKUP($B$6,İndekslər!$C$5:$BR$535,68,0)="","",VLOOKUP($B$6,İndekslər!$C$5:$BR$535,68,0))</f>
        <v>50.78125</v>
      </c>
      <c r="BR6" s="16" t="str">
        <f>IF(VLOOKUP($B$6,İndekslər!$C$5:$BS$535,69,0)="","",VLOOKUP($B$6,İndekslər!$C$5:$BS$535,69,0))</f>
        <v/>
      </c>
    </row>
    <row r="8" spans="1:70" x14ac:dyDescent="0.25">
      <c r="A8" s="31"/>
      <c r="B8" s="31"/>
      <c r="C8" s="31"/>
    </row>
    <row r="9" spans="1:70" x14ac:dyDescent="0.25">
      <c r="A9" s="31"/>
      <c r="B9" s="31"/>
      <c r="C9" s="31"/>
    </row>
    <row r="10" spans="1:70" x14ac:dyDescent="0.25">
      <c r="A10" s="31"/>
      <c r="B10" s="31"/>
      <c r="C10" s="31"/>
    </row>
    <row r="11" spans="1:70" x14ac:dyDescent="0.25">
      <c r="A11" s="31"/>
      <c r="B11" s="31"/>
      <c r="C11" s="31"/>
    </row>
    <row r="12" spans="1:70" x14ac:dyDescent="0.25">
      <c r="A12" s="31"/>
      <c r="B12" s="31"/>
      <c r="C12" s="31"/>
    </row>
    <row r="13" spans="1:70" x14ac:dyDescent="0.25">
      <c r="A13" s="31"/>
      <c r="B13" s="31"/>
      <c r="C13" s="31"/>
    </row>
    <row r="14" spans="1:70" x14ac:dyDescent="0.25">
      <c r="A14" s="31"/>
      <c r="B14" s="31"/>
      <c r="C14" s="31"/>
    </row>
    <row r="15" spans="1:70" x14ac:dyDescent="0.25">
      <c r="A15" s="31"/>
      <c r="B15" s="31"/>
      <c r="C15" s="31"/>
    </row>
    <row r="16" spans="1:70" x14ac:dyDescent="0.25">
      <c r="A16" s="31"/>
      <c r="B16" s="31"/>
      <c r="C16" s="31"/>
    </row>
    <row r="17" spans="1:3" x14ac:dyDescent="0.25">
      <c r="A17" s="31"/>
      <c r="B17" s="31"/>
      <c r="C17" s="31"/>
    </row>
    <row r="18" spans="1:3" x14ac:dyDescent="0.25">
      <c r="A18" s="31"/>
      <c r="B18" s="31"/>
      <c r="C18" s="31"/>
    </row>
    <row r="19" spans="1:3" x14ac:dyDescent="0.25">
      <c r="A19" s="31"/>
      <c r="B19" s="31"/>
      <c r="C19" s="31"/>
    </row>
    <row r="20" spans="1:3" x14ac:dyDescent="0.25">
      <c r="A20" s="31"/>
      <c r="B20" s="31"/>
      <c r="C20" s="31"/>
    </row>
    <row r="21" spans="1:3" x14ac:dyDescent="0.25">
      <c r="A21" s="31"/>
      <c r="B21" s="31"/>
      <c r="C21" s="31"/>
    </row>
    <row r="22" spans="1:3" x14ac:dyDescent="0.25">
      <c r="A22" s="31"/>
      <c r="B22" s="31"/>
      <c r="C22" s="31"/>
    </row>
    <row r="23" spans="1:3" x14ac:dyDescent="0.25">
      <c r="A23" s="31"/>
      <c r="B23" s="31"/>
      <c r="C23" s="31"/>
    </row>
    <row r="24" spans="1:3" x14ac:dyDescent="0.25">
      <c r="A24" s="31"/>
      <c r="B24" s="31"/>
      <c r="C24" s="31"/>
    </row>
    <row r="25" spans="1:3" x14ac:dyDescent="0.25">
      <c r="A25" s="31"/>
      <c r="B25" s="31"/>
      <c r="C25" s="31"/>
    </row>
    <row r="26" spans="1:3" x14ac:dyDescent="0.25">
      <c r="A26" s="31"/>
      <c r="B26" s="31"/>
      <c r="C26" s="31"/>
    </row>
    <row r="27" spans="1:3" x14ac:dyDescent="0.25">
      <c r="A27" s="31"/>
      <c r="B27" s="31"/>
      <c r="C27" s="31"/>
    </row>
    <row r="28" spans="1:3" x14ac:dyDescent="0.25">
      <c r="A28" s="31"/>
      <c r="B28" s="31"/>
      <c r="C28" s="31"/>
    </row>
    <row r="29" spans="1:3" x14ac:dyDescent="0.25">
      <c r="A29" s="31"/>
      <c r="B29" s="31"/>
      <c r="C29" s="31"/>
    </row>
    <row r="30" spans="1:3" x14ac:dyDescent="0.25">
      <c r="A30" s="31"/>
      <c r="B30" s="31"/>
      <c r="C30" s="31"/>
    </row>
  </sheetData>
  <sheetProtection algorithmName="SHA-512" hashValue="Vy3QJirU1DeKTPgMOKcKhfry7zuU7VCgoCp3E7XQLH5NrA6Fv2fUmTmxOic26+WYvKP7R8RCdhIFU80GtDkibA==" saltValue="YCd7IDi//SS0j8r3BxZNPw==" spinCount="100000" sheet="1" objects="1" scenarios="1"/>
  <mergeCells count="72">
    <mergeCell ref="B1:AJ1"/>
    <mergeCell ref="D3:N3"/>
    <mergeCell ref="Z3:AJ3"/>
    <mergeCell ref="K4:K5"/>
    <mergeCell ref="L4:N4"/>
    <mergeCell ref="Z4:Z5"/>
    <mergeCell ref="AF4:AF5"/>
    <mergeCell ref="AG4:AG5"/>
    <mergeCell ref="AH4:AJ4"/>
    <mergeCell ref="O2:Y2"/>
    <mergeCell ref="O3:Y3"/>
    <mergeCell ref="O4:O5"/>
    <mergeCell ref="P4:P5"/>
    <mergeCell ref="Q4:Q5"/>
    <mergeCell ref="R4:R5"/>
    <mergeCell ref="S4:S5"/>
    <mergeCell ref="AK3:AU3"/>
    <mergeCell ref="AV3:BF3"/>
    <mergeCell ref="BG3:BQ3"/>
    <mergeCell ref="D4:D5"/>
    <mergeCell ref="E4:E5"/>
    <mergeCell ref="F4:F5"/>
    <mergeCell ref="G4:G5"/>
    <mergeCell ref="H4:H5"/>
    <mergeCell ref="I4:I5"/>
    <mergeCell ref="J4:J5"/>
    <mergeCell ref="AA4:AA5"/>
    <mergeCell ref="AB4:AB5"/>
    <mergeCell ref="AC4:AC5"/>
    <mergeCell ref="AD4:AD5"/>
    <mergeCell ref="AE4:AE5"/>
    <mergeCell ref="AV4:AV5"/>
    <mergeCell ref="AK4:AK5"/>
    <mergeCell ref="AL4:AL5"/>
    <mergeCell ref="AM4:AM5"/>
    <mergeCell ref="AN4:AN5"/>
    <mergeCell ref="AO4:AO5"/>
    <mergeCell ref="AP4:AP5"/>
    <mergeCell ref="AQ4:AQ5"/>
    <mergeCell ref="AR4:AR5"/>
    <mergeCell ref="AS4:AU4"/>
    <mergeCell ref="BG4:BG5"/>
    <mergeCell ref="BH4:BH5"/>
    <mergeCell ref="BI4:BI5"/>
    <mergeCell ref="BJ4:BJ5"/>
    <mergeCell ref="AW4:AW5"/>
    <mergeCell ref="AX4:AX5"/>
    <mergeCell ref="AY4:AY5"/>
    <mergeCell ref="AZ4:AZ5"/>
    <mergeCell ref="BA4:BA5"/>
    <mergeCell ref="BB4:BB5"/>
    <mergeCell ref="AV2:BF2"/>
    <mergeCell ref="BG2:BQ2"/>
    <mergeCell ref="BR2:BR5"/>
    <mergeCell ref="D2:N2"/>
    <mergeCell ref="A2:A6"/>
    <mergeCell ref="B2:B5"/>
    <mergeCell ref="C2:C5"/>
    <mergeCell ref="Z2:AJ2"/>
    <mergeCell ref="AK2:AU2"/>
    <mergeCell ref="BK4:BK5"/>
    <mergeCell ref="BL4:BL5"/>
    <mergeCell ref="BM4:BM5"/>
    <mergeCell ref="BN4:BN5"/>
    <mergeCell ref="BO4:BQ4"/>
    <mergeCell ref="BC4:BC5"/>
    <mergeCell ref="BD4:BF4"/>
    <mergeCell ref="T4:T5"/>
    <mergeCell ref="U4:U5"/>
    <mergeCell ref="V4:V5"/>
    <mergeCell ref="W4:Y4"/>
    <mergeCell ref="A8:C30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35"/>
  <sheetViews>
    <sheetView zoomScale="30" zoomScaleNormal="30" workbookViewId="0">
      <selection sqref="A1:XFD1048576"/>
    </sheetView>
  </sheetViews>
  <sheetFormatPr defaultColWidth="8.7109375" defaultRowHeight="16.5" x14ac:dyDescent="0.25"/>
  <cols>
    <col min="1" max="1" width="5" style="23" customWidth="1"/>
    <col min="2" max="2" width="14.140625" style="23" customWidth="1"/>
    <col min="3" max="3" width="11.7109375" style="23" customWidth="1"/>
    <col min="4" max="4" width="22.28515625" style="23" customWidth="1"/>
    <col min="5" max="7" width="0" style="23" hidden="1" customWidth="1"/>
    <col min="8" max="10" width="8.7109375" style="23" hidden="1" customWidth="1"/>
    <col min="11" max="12" width="9.5703125" style="23" hidden="1" customWidth="1"/>
    <col min="13" max="15" width="8.7109375" style="23" hidden="1" customWidth="1"/>
    <col min="16" max="18" width="0" style="23" hidden="1" customWidth="1"/>
    <col min="19" max="21" width="8.7109375" style="23" hidden="1" customWidth="1"/>
    <col min="22" max="23" width="9.5703125" style="23" hidden="1" customWidth="1"/>
    <col min="24" max="26" width="8.7109375" style="23" hidden="1" customWidth="1"/>
    <col min="27" max="29" width="0" style="23" hidden="1" customWidth="1"/>
    <col min="30" max="32" width="8.7109375" style="23" hidden="1" customWidth="1"/>
    <col min="33" max="34" width="9.5703125" style="23" hidden="1" customWidth="1"/>
    <col min="35" max="37" width="8.7109375" style="23" hidden="1" customWidth="1"/>
    <col min="38" max="40" width="0" style="23" hidden="1" customWidth="1"/>
    <col min="41" max="43" width="8.7109375" style="23" hidden="1" customWidth="1"/>
    <col min="44" max="45" width="9.5703125" style="23" hidden="1" customWidth="1"/>
    <col min="46" max="49" width="8.7109375" style="23" hidden="1" customWidth="1"/>
    <col min="50" max="51" width="0" style="23" hidden="1" customWidth="1"/>
    <col min="52" max="54" width="8.7109375" style="23" hidden="1" customWidth="1"/>
    <col min="55" max="56" width="9.5703125" style="23" hidden="1" customWidth="1"/>
    <col min="57" max="59" width="8.7109375" style="23" hidden="1" customWidth="1"/>
    <col min="60" max="62" width="0" style="23" hidden="1" customWidth="1"/>
    <col min="63" max="65" width="8.7109375" style="23" hidden="1" customWidth="1"/>
    <col min="66" max="67" width="9.5703125" style="23" hidden="1" customWidth="1"/>
    <col min="68" max="70" width="8.7109375" style="23" hidden="1" customWidth="1"/>
    <col min="71" max="71" width="9.5703125" style="23" hidden="1" customWidth="1"/>
    <col min="72" max="72" width="0" style="23" hidden="1" customWidth="1"/>
    <col min="73" max="16384" width="8.7109375" style="23"/>
  </cols>
  <sheetData>
    <row r="1" spans="1:72" ht="15.6" customHeight="1" x14ac:dyDescent="0.25">
      <c r="A1" s="60" t="s">
        <v>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2"/>
    </row>
    <row r="2" spans="1:72" ht="15.6" customHeight="1" x14ac:dyDescent="0.25">
      <c r="A2" s="50" t="s">
        <v>0</v>
      </c>
      <c r="B2" s="50" t="s">
        <v>5</v>
      </c>
      <c r="C2" s="50" t="s">
        <v>33</v>
      </c>
      <c r="D2" s="57" t="s">
        <v>34</v>
      </c>
      <c r="E2" s="48" t="s">
        <v>71</v>
      </c>
      <c r="F2" s="48"/>
      <c r="G2" s="48"/>
      <c r="H2" s="48"/>
      <c r="I2" s="48"/>
      <c r="J2" s="48"/>
      <c r="K2" s="48"/>
      <c r="L2" s="48"/>
      <c r="M2" s="48"/>
      <c r="N2" s="48"/>
      <c r="O2" s="49"/>
      <c r="P2" s="48" t="s">
        <v>42</v>
      </c>
      <c r="Q2" s="48"/>
      <c r="R2" s="48"/>
      <c r="S2" s="48"/>
      <c r="T2" s="48"/>
      <c r="U2" s="48"/>
      <c r="V2" s="48"/>
      <c r="W2" s="48"/>
      <c r="X2" s="48"/>
      <c r="Y2" s="48"/>
      <c r="Z2" s="49"/>
      <c r="AA2" s="48" t="s">
        <v>44</v>
      </c>
      <c r="AB2" s="48"/>
      <c r="AC2" s="48"/>
      <c r="AD2" s="48"/>
      <c r="AE2" s="48"/>
      <c r="AF2" s="48"/>
      <c r="AG2" s="48"/>
      <c r="AH2" s="48"/>
      <c r="AI2" s="48"/>
      <c r="AJ2" s="48"/>
      <c r="AK2" s="49"/>
      <c r="AL2" s="48" t="s">
        <v>45</v>
      </c>
      <c r="AM2" s="48"/>
      <c r="AN2" s="48"/>
      <c r="AO2" s="48"/>
      <c r="AP2" s="48"/>
      <c r="AQ2" s="48"/>
      <c r="AR2" s="48"/>
      <c r="AS2" s="48"/>
      <c r="AT2" s="48"/>
      <c r="AU2" s="48"/>
      <c r="AV2" s="49"/>
      <c r="AW2" s="48" t="s">
        <v>47</v>
      </c>
      <c r="AX2" s="48"/>
      <c r="AY2" s="48"/>
      <c r="AZ2" s="48"/>
      <c r="BA2" s="48"/>
      <c r="BB2" s="48"/>
      <c r="BC2" s="48"/>
      <c r="BD2" s="48"/>
      <c r="BE2" s="48"/>
      <c r="BF2" s="48"/>
      <c r="BG2" s="49"/>
      <c r="BH2" s="48" t="s">
        <v>46</v>
      </c>
      <c r="BI2" s="48"/>
      <c r="BJ2" s="48"/>
      <c r="BK2" s="48"/>
      <c r="BL2" s="48"/>
      <c r="BM2" s="48"/>
      <c r="BN2" s="48"/>
      <c r="BO2" s="48"/>
      <c r="BP2" s="48"/>
      <c r="BQ2" s="48"/>
      <c r="BR2" s="49"/>
      <c r="BS2" s="44" t="s">
        <v>70</v>
      </c>
    </row>
    <row r="3" spans="1:72" ht="15.6" customHeight="1" x14ac:dyDescent="0.25">
      <c r="A3" s="56"/>
      <c r="B3" s="56"/>
      <c r="C3" s="56"/>
      <c r="D3" s="58"/>
      <c r="E3" s="54" t="s">
        <v>4</v>
      </c>
      <c r="F3" s="52" t="s">
        <v>1</v>
      </c>
      <c r="G3" s="52" t="s">
        <v>2</v>
      </c>
      <c r="H3" s="52" t="s">
        <v>6</v>
      </c>
      <c r="I3" s="52" t="s">
        <v>7</v>
      </c>
      <c r="J3" s="50" t="s">
        <v>3</v>
      </c>
      <c r="K3" s="50" t="s">
        <v>38</v>
      </c>
      <c r="L3" s="50" t="s">
        <v>37</v>
      </c>
      <c r="M3" s="29" t="s">
        <v>36</v>
      </c>
      <c r="N3" s="29"/>
      <c r="O3" s="47"/>
      <c r="P3" s="54" t="s">
        <v>4</v>
      </c>
      <c r="Q3" s="52" t="s">
        <v>1</v>
      </c>
      <c r="R3" s="52" t="s">
        <v>2</v>
      </c>
      <c r="S3" s="52" t="s">
        <v>6</v>
      </c>
      <c r="T3" s="52" t="s">
        <v>7</v>
      </c>
      <c r="U3" s="50" t="s">
        <v>3</v>
      </c>
      <c r="V3" s="50" t="s">
        <v>38</v>
      </c>
      <c r="W3" s="50" t="s">
        <v>37</v>
      </c>
      <c r="X3" s="29" t="s">
        <v>36</v>
      </c>
      <c r="Y3" s="29"/>
      <c r="Z3" s="47"/>
      <c r="AA3" s="54" t="s">
        <v>4</v>
      </c>
      <c r="AB3" s="52" t="s">
        <v>1</v>
      </c>
      <c r="AC3" s="52" t="s">
        <v>2</v>
      </c>
      <c r="AD3" s="52" t="s">
        <v>6</v>
      </c>
      <c r="AE3" s="52" t="s">
        <v>7</v>
      </c>
      <c r="AF3" s="50" t="s">
        <v>3</v>
      </c>
      <c r="AG3" s="50" t="s">
        <v>38</v>
      </c>
      <c r="AH3" s="50" t="s">
        <v>37</v>
      </c>
      <c r="AI3" s="29" t="s">
        <v>36</v>
      </c>
      <c r="AJ3" s="29"/>
      <c r="AK3" s="47"/>
      <c r="AL3" s="54" t="s">
        <v>4</v>
      </c>
      <c r="AM3" s="52" t="s">
        <v>1</v>
      </c>
      <c r="AN3" s="52" t="s">
        <v>2</v>
      </c>
      <c r="AO3" s="52" t="s">
        <v>6</v>
      </c>
      <c r="AP3" s="52" t="s">
        <v>7</v>
      </c>
      <c r="AQ3" s="50" t="s">
        <v>3</v>
      </c>
      <c r="AR3" s="50" t="s">
        <v>38</v>
      </c>
      <c r="AS3" s="50" t="s">
        <v>37</v>
      </c>
      <c r="AT3" s="29" t="s">
        <v>36</v>
      </c>
      <c r="AU3" s="29"/>
      <c r="AV3" s="47"/>
      <c r="AW3" s="54" t="s">
        <v>4</v>
      </c>
      <c r="AX3" s="52" t="s">
        <v>1</v>
      </c>
      <c r="AY3" s="52" t="s">
        <v>2</v>
      </c>
      <c r="AZ3" s="52" t="s">
        <v>6</v>
      </c>
      <c r="BA3" s="52" t="s">
        <v>7</v>
      </c>
      <c r="BB3" s="50" t="s">
        <v>3</v>
      </c>
      <c r="BC3" s="50" t="s">
        <v>38</v>
      </c>
      <c r="BD3" s="50" t="s">
        <v>37</v>
      </c>
      <c r="BE3" s="29" t="s">
        <v>36</v>
      </c>
      <c r="BF3" s="29"/>
      <c r="BG3" s="47"/>
      <c r="BH3" s="54" t="s">
        <v>4</v>
      </c>
      <c r="BI3" s="52" t="s">
        <v>1</v>
      </c>
      <c r="BJ3" s="52" t="s">
        <v>2</v>
      </c>
      <c r="BK3" s="52" t="s">
        <v>6</v>
      </c>
      <c r="BL3" s="52" t="s">
        <v>7</v>
      </c>
      <c r="BM3" s="50" t="s">
        <v>3</v>
      </c>
      <c r="BN3" s="50" t="s">
        <v>38</v>
      </c>
      <c r="BO3" s="50" t="s">
        <v>37</v>
      </c>
      <c r="BP3" s="29" t="s">
        <v>36</v>
      </c>
      <c r="BQ3" s="29"/>
      <c r="BR3" s="47"/>
      <c r="BS3" s="45"/>
    </row>
    <row r="4" spans="1:72" ht="57" customHeight="1" x14ac:dyDescent="0.25">
      <c r="A4" s="51"/>
      <c r="B4" s="51"/>
      <c r="C4" s="51"/>
      <c r="D4" s="59"/>
      <c r="E4" s="55"/>
      <c r="F4" s="53"/>
      <c r="G4" s="53"/>
      <c r="H4" s="53"/>
      <c r="I4" s="53"/>
      <c r="J4" s="51"/>
      <c r="K4" s="51"/>
      <c r="L4" s="51"/>
      <c r="M4" s="18" t="s">
        <v>1</v>
      </c>
      <c r="N4" s="18" t="s">
        <v>2</v>
      </c>
      <c r="O4" s="21" t="s">
        <v>6</v>
      </c>
      <c r="P4" s="55"/>
      <c r="Q4" s="53"/>
      <c r="R4" s="53"/>
      <c r="S4" s="53"/>
      <c r="T4" s="53"/>
      <c r="U4" s="51"/>
      <c r="V4" s="51"/>
      <c r="W4" s="51"/>
      <c r="X4" s="18" t="s">
        <v>1</v>
      </c>
      <c r="Y4" s="18" t="s">
        <v>2</v>
      </c>
      <c r="Z4" s="21" t="s">
        <v>6</v>
      </c>
      <c r="AA4" s="55"/>
      <c r="AB4" s="53"/>
      <c r="AC4" s="53"/>
      <c r="AD4" s="53"/>
      <c r="AE4" s="53"/>
      <c r="AF4" s="51"/>
      <c r="AG4" s="51"/>
      <c r="AH4" s="51"/>
      <c r="AI4" s="18" t="s">
        <v>1</v>
      </c>
      <c r="AJ4" s="18" t="s">
        <v>2</v>
      </c>
      <c r="AK4" s="21" t="s">
        <v>6</v>
      </c>
      <c r="AL4" s="55"/>
      <c r="AM4" s="53"/>
      <c r="AN4" s="53"/>
      <c r="AO4" s="53"/>
      <c r="AP4" s="53"/>
      <c r="AQ4" s="51"/>
      <c r="AR4" s="51"/>
      <c r="AS4" s="51"/>
      <c r="AT4" s="18" t="s">
        <v>1</v>
      </c>
      <c r="AU4" s="18" t="s">
        <v>2</v>
      </c>
      <c r="AV4" s="21" t="s">
        <v>6</v>
      </c>
      <c r="AW4" s="55"/>
      <c r="AX4" s="53"/>
      <c r="AY4" s="53"/>
      <c r="AZ4" s="53"/>
      <c r="BA4" s="53"/>
      <c r="BB4" s="51"/>
      <c r="BC4" s="51"/>
      <c r="BD4" s="51"/>
      <c r="BE4" s="18" t="s">
        <v>1</v>
      </c>
      <c r="BF4" s="18" t="s">
        <v>2</v>
      </c>
      <c r="BG4" s="21" t="s">
        <v>6</v>
      </c>
      <c r="BH4" s="55"/>
      <c r="BI4" s="53"/>
      <c r="BJ4" s="53"/>
      <c r="BK4" s="53"/>
      <c r="BL4" s="53"/>
      <c r="BM4" s="51"/>
      <c r="BN4" s="51"/>
      <c r="BO4" s="51"/>
      <c r="BP4" s="18" t="s">
        <v>1</v>
      </c>
      <c r="BQ4" s="18" t="s">
        <v>2</v>
      </c>
      <c r="BR4" s="21" t="s">
        <v>6</v>
      </c>
      <c r="BS4" s="46"/>
    </row>
    <row r="5" spans="1:72" ht="15.6" customHeight="1" x14ac:dyDescent="0.25">
      <c r="A5" s="1">
        <v>0</v>
      </c>
      <c r="B5" s="1" t="s">
        <v>39</v>
      </c>
      <c r="C5" s="1" t="s">
        <v>40</v>
      </c>
      <c r="D5" s="8" t="s">
        <v>41</v>
      </c>
      <c r="E5" s="6"/>
      <c r="F5" s="2">
        <f>AVERAGE(F6:F535)</f>
        <v>47.571837183718351</v>
      </c>
      <c r="G5" s="2">
        <f t="shared" ref="G5:I5" si="0">AVERAGE(G6:G535)</f>
        <v>45.896897689768984</v>
      </c>
      <c r="H5" s="2">
        <f t="shared" si="0"/>
        <v>39.292825607064017</v>
      </c>
      <c r="I5" s="2">
        <f t="shared" si="0"/>
        <v>44.256244957829146</v>
      </c>
      <c r="J5" s="2">
        <f>AVERAGE(J6:J535)</f>
        <v>132.6318811881188</v>
      </c>
      <c r="K5" s="18"/>
      <c r="L5" s="18"/>
      <c r="M5" s="4"/>
      <c r="N5" s="4"/>
      <c r="O5" s="7"/>
      <c r="P5" s="6">
        <f>SUM(P6:P535)</f>
        <v>31877</v>
      </c>
      <c r="Q5" s="2">
        <f>AVERAGE(Q6:Q535)</f>
        <v>51.702818202695944</v>
      </c>
      <c r="R5" s="2">
        <f t="shared" ref="R5:T5" si="1">AVERAGE(R6:R535)</f>
        <v>47.656235087612565</v>
      </c>
      <c r="S5" s="2">
        <f t="shared" si="1"/>
        <v>51.870922223799752</v>
      </c>
      <c r="T5" s="2">
        <f t="shared" si="1"/>
        <v>50.39221966335046</v>
      </c>
      <c r="U5" s="2">
        <f>AVERAGE(U6:U535)</f>
        <v>151.06046269638347</v>
      </c>
      <c r="V5" s="18"/>
      <c r="W5" s="18"/>
      <c r="X5" s="4">
        <v>16</v>
      </c>
      <c r="Y5" s="4">
        <v>24</v>
      </c>
      <c r="Z5" s="7">
        <v>24</v>
      </c>
      <c r="AA5" s="6">
        <v>33710</v>
      </c>
      <c r="AB5" s="2">
        <v>43.213183234019908</v>
      </c>
      <c r="AC5" s="2">
        <v>45.594652032384225</v>
      </c>
      <c r="AD5" s="2">
        <v>48.003107654320175</v>
      </c>
      <c r="AE5" s="2">
        <v>45.539333850008191</v>
      </c>
      <c r="AF5" s="2">
        <v>136.49923442946249</v>
      </c>
      <c r="AG5" s="18"/>
      <c r="AH5" s="18"/>
      <c r="AI5" s="4">
        <v>27.42318281067055</v>
      </c>
      <c r="AJ5" s="4">
        <v>26.859017228750677</v>
      </c>
      <c r="AK5" s="7">
        <v>25.517419521487845</v>
      </c>
      <c r="AL5" s="6">
        <v>34173</v>
      </c>
      <c r="AM5" s="2">
        <v>57.392848177778447</v>
      </c>
      <c r="AN5" s="2">
        <v>36.928455772152383</v>
      </c>
      <c r="AO5" s="2">
        <v>53.879293591220964</v>
      </c>
      <c r="AP5" s="2">
        <v>49.378118426585537</v>
      </c>
      <c r="AQ5" s="2">
        <v>148.20059754115192</v>
      </c>
      <c r="AR5" s="18"/>
      <c r="AS5" s="18"/>
      <c r="AT5" s="4">
        <v>12.53457100168484</v>
      </c>
      <c r="AU5" s="4">
        <v>39.917236988699663</v>
      </c>
      <c r="AV5" s="7">
        <v>20.329740826276623</v>
      </c>
      <c r="AW5" s="10">
        <f t="shared" ref="AW5:BB5" si="2">AVERAGE(E5,AA5,AL5)</f>
        <v>33941.5</v>
      </c>
      <c r="AX5" s="9">
        <f t="shared" si="2"/>
        <v>49.392622865172235</v>
      </c>
      <c r="AY5" s="9">
        <f t="shared" si="2"/>
        <v>42.806668498101864</v>
      </c>
      <c r="AZ5" s="9">
        <f t="shared" si="2"/>
        <v>47.05840895086839</v>
      </c>
      <c r="BA5" s="9">
        <f t="shared" si="2"/>
        <v>46.391232411474284</v>
      </c>
      <c r="BB5" s="9">
        <f t="shared" si="2"/>
        <v>139.11057105291107</v>
      </c>
      <c r="BC5" s="10"/>
      <c r="BD5" s="10"/>
      <c r="BE5" s="4">
        <f>AVERAGE(M5,AI5,AT5)</f>
        <v>19.978876906177696</v>
      </c>
      <c r="BF5" s="4">
        <f>AVERAGE(N5,AJ5,AU5)</f>
        <v>33.388127108725172</v>
      </c>
      <c r="BG5" s="7">
        <f>AVERAGE(O5,AK5,AV5)</f>
        <v>22.923580173882236</v>
      </c>
      <c r="BH5" s="6">
        <v>34813</v>
      </c>
      <c r="BI5" s="2">
        <v>54.484054596781526</v>
      </c>
      <c r="BJ5" s="2">
        <v>33.023660545386662</v>
      </c>
      <c r="BK5" s="2">
        <v>38.848735484997974</v>
      </c>
      <c r="BL5" s="2">
        <v>42.118816875721294</v>
      </c>
      <c r="BM5" s="2">
        <v>126.35645062716492</v>
      </c>
      <c r="BN5" s="18"/>
      <c r="BO5" s="18"/>
      <c r="BP5" s="4">
        <v>19</v>
      </c>
      <c r="BQ5" s="4">
        <v>55</v>
      </c>
      <c r="BR5" s="7">
        <v>47</v>
      </c>
      <c r="BS5" s="18"/>
    </row>
    <row r="6" spans="1:72" x14ac:dyDescent="0.25">
      <c r="A6" s="18">
        <v>1</v>
      </c>
      <c r="B6" s="18" t="s">
        <v>8</v>
      </c>
      <c r="C6" s="18">
        <v>3</v>
      </c>
      <c r="D6" s="21" t="s">
        <v>9</v>
      </c>
      <c r="E6" s="5"/>
      <c r="F6" s="3">
        <v>56.666666666666664</v>
      </c>
      <c r="G6" s="3">
        <v>58.4</v>
      </c>
      <c r="H6" s="3">
        <v>40</v>
      </c>
      <c r="I6" s="3">
        <f>IF(F6="","",AVERAGE(F6:H6))</f>
        <v>51.68888888888889</v>
      </c>
      <c r="J6" s="3">
        <f>IF(F6="","",SUM(F6:H6))</f>
        <v>155.06666666666666</v>
      </c>
      <c r="K6" s="18">
        <f t="shared" ref="K6:K38" si="3">IF(J6="","",(RANK(J6,$J$6:$J$39)))</f>
        <v>11</v>
      </c>
      <c r="L6" s="18">
        <f t="shared" ref="L6:L69" si="4">IF(J6="","",(RANK(J6,$J$6:$J$535)))</f>
        <v>65</v>
      </c>
      <c r="M6" s="4"/>
      <c r="N6" s="4"/>
      <c r="O6" s="7"/>
      <c r="P6" s="5">
        <v>127</v>
      </c>
      <c r="Q6" s="3">
        <v>58.005249343831991</v>
      </c>
      <c r="R6" s="3">
        <v>55.559055118110237</v>
      </c>
      <c r="S6" s="3">
        <v>68.635170603674538</v>
      </c>
      <c r="T6" s="3">
        <v>60.733158355205596</v>
      </c>
      <c r="U6" s="3">
        <v>182.19947506561675</v>
      </c>
      <c r="V6" s="18">
        <v>8</v>
      </c>
      <c r="W6" s="18">
        <v>52</v>
      </c>
      <c r="X6" s="4">
        <v>13.385826771653543</v>
      </c>
      <c r="Y6" s="4">
        <v>11.023622047244094</v>
      </c>
      <c r="Z6" s="7">
        <v>5.5118110236220472</v>
      </c>
      <c r="AA6" s="5">
        <v>146</v>
      </c>
      <c r="AB6" s="3">
        <v>52.022058823529434</v>
      </c>
      <c r="AC6" s="3">
        <v>56.368534482758626</v>
      </c>
      <c r="AD6" s="3">
        <v>65.435606060606091</v>
      </c>
      <c r="AE6" s="3">
        <v>57.942066455631384</v>
      </c>
      <c r="AF6" s="3">
        <v>173.82619936689414</v>
      </c>
      <c r="AG6" s="18">
        <v>8</v>
      </c>
      <c r="AH6" s="18">
        <v>35</v>
      </c>
      <c r="AI6" s="4">
        <v>12.5</v>
      </c>
      <c r="AJ6" s="4">
        <v>10.15625</v>
      </c>
      <c r="AK6" s="7">
        <v>10.655737704918034</v>
      </c>
      <c r="AL6" s="5">
        <v>138</v>
      </c>
      <c r="AM6" s="3">
        <v>70.191409897292203</v>
      </c>
      <c r="AN6" s="3">
        <v>51.090311986863703</v>
      </c>
      <c r="AO6" s="3">
        <v>73.333333333333371</v>
      </c>
      <c r="AP6" s="3">
        <v>64.769979000540189</v>
      </c>
      <c r="AQ6" s="3">
        <v>194.61505521748927</v>
      </c>
      <c r="AR6" s="18">
        <v>3</v>
      </c>
      <c r="AS6" s="18">
        <v>16</v>
      </c>
      <c r="AT6" s="4">
        <v>3.1746031746031744</v>
      </c>
      <c r="AU6" s="4">
        <v>11.111111111111111</v>
      </c>
      <c r="AV6" s="7">
        <v>1.6260162601626016</v>
      </c>
      <c r="AW6" s="10">
        <f>AVERAGE(P6,AA6,AL6)</f>
        <v>137</v>
      </c>
      <c r="AX6" s="9">
        <f>AVERAGE(Q6,AB6,AM6)</f>
        <v>60.072906021551205</v>
      </c>
      <c r="AY6" s="9">
        <f>AVERAGE(R6,AC6,AN6)</f>
        <v>54.339300529244184</v>
      </c>
      <c r="AZ6" s="9">
        <f>AVERAGE(S6,AD6,AO6)</f>
        <v>69.134703332537995</v>
      </c>
      <c r="BA6" s="9">
        <f t="shared" ref="BA6:BB6" si="5">AVERAGE(T6,AE6,AP6)</f>
        <v>61.148401270459054</v>
      </c>
      <c r="BB6" s="9">
        <f t="shared" si="5"/>
        <v>183.54690988333337</v>
      </c>
      <c r="BC6" s="10">
        <f>IF(BB6="","",(RANK(BB6,$BB$6:$BB$39)))</f>
        <v>4</v>
      </c>
      <c r="BD6" s="10">
        <f>IF(BB6="","",(RANK(BB6,$BB$6:$BB$535)))</f>
        <v>24</v>
      </c>
      <c r="BE6" s="4">
        <f t="shared" ref="BE6:BE25" si="6">AVERAGE(M6,AI6,AT6)</f>
        <v>7.837301587301587</v>
      </c>
      <c r="BF6" s="4">
        <f t="shared" ref="BF6:BF25" si="7">AVERAGE(N6,AJ6,AU6)</f>
        <v>10.633680555555555</v>
      </c>
      <c r="BG6" s="7">
        <f t="shared" ref="BG6:BG25" si="8">AVERAGE(O6,AK6,AV6)</f>
        <v>6.140876982540318</v>
      </c>
      <c r="BH6" s="5">
        <v>132</v>
      </c>
      <c r="BI6" s="3">
        <v>64.293939393939425</v>
      </c>
      <c r="BJ6" s="3">
        <v>40.356818181818184</v>
      </c>
      <c r="BK6" s="3">
        <v>45.834090909090882</v>
      </c>
      <c r="BL6" s="3">
        <v>50.161616161616152</v>
      </c>
      <c r="BM6" s="3">
        <v>150.48484848484847</v>
      </c>
      <c r="BN6" s="18">
        <v>2</v>
      </c>
      <c r="BO6" s="18">
        <v>33</v>
      </c>
      <c r="BP6" s="4">
        <v>8.3333333333333339</v>
      </c>
      <c r="BQ6" s="4">
        <v>41.666666666666664</v>
      </c>
      <c r="BR6" s="7">
        <v>32.575757575757578</v>
      </c>
      <c r="BS6" s="18"/>
      <c r="BT6" s="23">
        <v>3</v>
      </c>
    </row>
    <row r="7" spans="1:72" x14ac:dyDescent="0.25">
      <c r="A7" s="18">
        <v>2</v>
      </c>
      <c r="B7" s="18" t="s">
        <v>8</v>
      </c>
      <c r="C7" s="18" t="s">
        <v>49</v>
      </c>
      <c r="D7" s="21" t="s">
        <v>10</v>
      </c>
      <c r="E7" s="5"/>
      <c r="F7" s="3"/>
      <c r="G7" s="3"/>
      <c r="H7" s="3"/>
      <c r="I7" s="3" t="str">
        <f t="shared" ref="I7:I70" si="9">IF(F7="","",AVERAGE(F7:H7))</f>
        <v/>
      </c>
      <c r="J7" s="3" t="str">
        <f t="shared" ref="J7:J70" si="10">IF(F7="","",SUM(F7:H7))</f>
        <v/>
      </c>
      <c r="K7" s="18" t="str">
        <f t="shared" si="3"/>
        <v/>
      </c>
      <c r="L7" s="18" t="str">
        <f t="shared" si="4"/>
        <v/>
      </c>
      <c r="M7" s="4"/>
      <c r="N7" s="4"/>
      <c r="O7" s="7"/>
      <c r="P7" s="5"/>
      <c r="Q7" s="3"/>
      <c r="R7" s="3"/>
      <c r="S7" s="3"/>
      <c r="T7" s="3"/>
      <c r="U7" s="3" t="s">
        <v>35</v>
      </c>
      <c r="V7" s="18" t="s">
        <v>35</v>
      </c>
      <c r="W7" s="18" t="s">
        <v>35</v>
      </c>
      <c r="X7" s="4" t="s">
        <v>35</v>
      </c>
      <c r="Y7" s="4" t="s">
        <v>35</v>
      </c>
      <c r="Z7" s="7" t="s">
        <v>35</v>
      </c>
      <c r="AA7" s="5"/>
      <c r="AB7" s="3"/>
      <c r="AC7" s="3"/>
      <c r="AD7" s="3"/>
      <c r="AE7" s="3"/>
      <c r="AF7" s="3" t="s">
        <v>35</v>
      </c>
      <c r="AG7" s="18" t="s">
        <v>35</v>
      </c>
      <c r="AH7" s="18" t="s">
        <v>35</v>
      </c>
      <c r="AI7" s="4" t="s">
        <v>35</v>
      </c>
      <c r="AJ7" s="4" t="s">
        <v>35</v>
      </c>
      <c r="AK7" s="7" t="s">
        <v>35</v>
      </c>
      <c r="AL7" s="5"/>
      <c r="AM7" s="3"/>
      <c r="AN7" s="3"/>
      <c r="AO7" s="3"/>
      <c r="AP7" s="3"/>
      <c r="AQ7" s="3" t="s">
        <v>35</v>
      </c>
      <c r="AR7" s="18" t="s">
        <v>35</v>
      </c>
      <c r="AS7" s="18" t="s">
        <v>35</v>
      </c>
      <c r="AT7" s="4" t="s">
        <v>35</v>
      </c>
      <c r="AU7" s="4" t="s">
        <v>35</v>
      </c>
      <c r="AV7" s="7" t="s">
        <v>35</v>
      </c>
      <c r="AW7" s="10"/>
      <c r="AX7" s="9"/>
      <c r="AY7" s="9"/>
      <c r="AZ7" s="9"/>
      <c r="BA7" s="9"/>
      <c r="BB7" s="9"/>
      <c r="BC7" s="10" t="str">
        <f t="shared" ref="BC7:BC39" si="11">IF(BB7="","",(RANK(BB7,$BB$6:$BB$39)))</f>
        <v/>
      </c>
      <c r="BD7" s="10" t="str">
        <f t="shared" ref="BD7:BD70" si="12">IF(BB7="","",(RANK(BB7,$BB$6:$BB$535)))</f>
        <v/>
      </c>
      <c r="BE7" s="4"/>
      <c r="BF7" s="4"/>
      <c r="BG7" s="7"/>
      <c r="BH7" s="5"/>
      <c r="BI7" s="3"/>
      <c r="BJ7" s="3"/>
      <c r="BK7" s="3"/>
      <c r="BL7" s="3"/>
      <c r="BM7" s="3"/>
      <c r="BN7" s="18"/>
      <c r="BO7" s="18"/>
      <c r="BP7" s="4"/>
      <c r="BQ7" s="4"/>
      <c r="BR7" s="7"/>
      <c r="BS7" s="18"/>
      <c r="BT7" s="23">
        <v>6</v>
      </c>
    </row>
    <row r="8" spans="1:72" x14ac:dyDescent="0.25">
      <c r="A8" s="18">
        <v>3</v>
      </c>
      <c r="B8" s="18" t="s">
        <v>8</v>
      </c>
      <c r="C8" s="18">
        <v>30</v>
      </c>
      <c r="D8" s="21" t="s">
        <v>9</v>
      </c>
      <c r="E8" s="5"/>
      <c r="F8" s="3">
        <v>54</v>
      </c>
      <c r="G8" s="3">
        <v>48</v>
      </c>
      <c r="H8" s="3">
        <v>31.000000000000004</v>
      </c>
      <c r="I8" s="3">
        <f t="shared" si="9"/>
        <v>44.333333333333336</v>
      </c>
      <c r="J8" s="3">
        <f t="shared" si="10"/>
        <v>133</v>
      </c>
      <c r="K8" s="18">
        <f t="shared" si="3"/>
        <v>21</v>
      </c>
      <c r="L8" s="18">
        <f t="shared" si="4"/>
        <v>147</v>
      </c>
      <c r="M8" s="4"/>
      <c r="N8" s="4"/>
      <c r="O8" s="7"/>
      <c r="P8" s="5">
        <v>44</v>
      </c>
      <c r="Q8" s="3">
        <v>46.81818181818182</v>
      </c>
      <c r="R8" s="3">
        <v>38.81818181818182</v>
      </c>
      <c r="S8" s="3">
        <v>44.166666666666657</v>
      </c>
      <c r="T8" s="3">
        <v>43.267676767676761</v>
      </c>
      <c r="U8" s="3">
        <v>129.80303030303031</v>
      </c>
      <c r="V8" s="18">
        <v>29</v>
      </c>
      <c r="W8" s="18">
        <v>237</v>
      </c>
      <c r="X8" s="4">
        <v>18.181818181818183</v>
      </c>
      <c r="Y8" s="4">
        <v>47.727272727272727</v>
      </c>
      <c r="Z8" s="7">
        <v>29.545454545454547</v>
      </c>
      <c r="AA8" s="5">
        <v>41</v>
      </c>
      <c r="AB8" s="3">
        <v>40.674318507890966</v>
      </c>
      <c r="AC8" s="3">
        <v>43.707317073170735</v>
      </c>
      <c r="AD8" s="3">
        <v>50.55432372505544</v>
      </c>
      <c r="AE8" s="3">
        <v>44.978653102039047</v>
      </c>
      <c r="AF8" s="3">
        <v>134.93595930611713</v>
      </c>
      <c r="AG8" s="18">
        <v>23</v>
      </c>
      <c r="AH8" s="18">
        <v>158</v>
      </c>
      <c r="AI8" s="4">
        <v>26.829268292682926</v>
      </c>
      <c r="AJ8" s="4">
        <v>17.073170731707318</v>
      </c>
      <c r="AK8" s="7">
        <v>21.951219512195124</v>
      </c>
      <c r="AL8" s="5">
        <v>45</v>
      </c>
      <c r="AM8" s="3">
        <v>50.130718954248366</v>
      </c>
      <c r="AN8" s="3">
        <v>37.206349206349209</v>
      </c>
      <c r="AO8" s="3">
        <v>49.673202614379086</v>
      </c>
      <c r="AP8" s="3">
        <v>45.670090258325551</v>
      </c>
      <c r="AQ8" s="3">
        <v>137.01027077497665</v>
      </c>
      <c r="AR8" s="18">
        <v>29</v>
      </c>
      <c r="AS8" s="18">
        <v>203</v>
      </c>
      <c r="AT8" s="4">
        <v>15.555555555555555</v>
      </c>
      <c r="AU8" s="4">
        <v>37.777777777777779</v>
      </c>
      <c r="AV8" s="7">
        <v>26.666666666666668</v>
      </c>
      <c r="AW8" s="10">
        <f t="shared" ref="AW8:AW70" si="13">AVERAGE(P8,AA8,AL8)</f>
        <v>43.333333333333336</v>
      </c>
      <c r="AX8" s="9">
        <f t="shared" ref="AX8:AX70" si="14">AVERAGE(Q8,AB8,AM8)</f>
        <v>45.874406426773724</v>
      </c>
      <c r="AY8" s="9">
        <f t="shared" ref="AY8:AY70" si="15">AVERAGE(R8,AC8,AN8)</f>
        <v>39.910616032567255</v>
      </c>
      <c r="AZ8" s="9">
        <f t="shared" ref="AZ8:AZ70" si="16">AVERAGE(S8,AD8,AO8)</f>
        <v>48.131397668700394</v>
      </c>
      <c r="BA8" s="9">
        <f t="shared" ref="BA8:BA70" si="17">AVERAGE(T8,AE8,AP8)</f>
        <v>44.638806709347115</v>
      </c>
      <c r="BB8" s="9">
        <f t="shared" ref="BB8:BB70" si="18">AVERAGE(U8,AF8,AQ8)</f>
        <v>133.91642012804138</v>
      </c>
      <c r="BC8" s="10">
        <f t="shared" si="11"/>
        <v>29</v>
      </c>
      <c r="BD8" s="10">
        <f t="shared" si="12"/>
        <v>203</v>
      </c>
      <c r="BE8" s="4">
        <f t="shared" si="6"/>
        <v>21.192411924119241</v>
      </c>
      <c r="BF8" s="4">
        <f t="shared" si="7"/>
        <v>27.425474254742547</v>
      </c>
      <c r="BG8" s="7">
        <f t="shared" si="8"/>
        <v>24.308943089430898</v>
      </c>
      <c r="BH8" s="5">
        <v>45</v>
      </c>
      <c r="BI8" s="3">
        <v>51.875555555555557</v>
      </c>
      <c r="BJ8" s="3">
        <v>32.768888888888895</v>
      </c>
      <c r="BK8" s="3">
        <v>36.271111111111111</v>
      </c>
      <c r="BL8" s="3">
        <v>40.305185185185188</v>
      </c>
      <c r="BM8" s="3">
        <v>120.91555555555557</v>
      </c>
      <c r="BN8" s="18">
        <v>22</v>
      </c>
      <c r="BO8" s="18">
        <v>161</v>
      </c>
      <c r="BP8" s="4">
        <v>15.555555555555555</v>
      </c>
      <c r="BQ8" s="4">
        <v>55.555555555555557</v>
      </c>
      <c r="BR8" s="7">
        <v>46.666666666666664</v>
      </c>
      <c r="BS8" s="18"/>
      <c r="BT8" s="23">
        <v>30</v>
      </c>
    </row>
    <row r="9" spans="1:72" x14ac:dyDescent="0.25">
      <c r="A9" s="18">
        <v>4</v>
      </c>
      <c r="B9" s="18" t="s">
        <v>8</v>
      </c>
      <c r="C9" s="18">
        <v>83</v>
      </c>
      <c r="D9" s="21" t="s">
        <v>11</v>
      </c>
      <c r="E9" s="5"/>
      <c r="F9" s="3">
        <v>47.333333333333336</v>
      </c>
      <c r="G9" s="3">
        <v>48</v>
      </c>
      <c r="H9" s="3">
        <v>46</v>
      </c>
      <c r="I9" s="3">
        <f t="shared" si="9"/>
        <v>47.111111111111114</v>
      </c>
      <c r="J9" s="3">
        <f t="shared" si="10"/>
        <v>141.33333333333334</v>
      </c>
      <c r="K9" s="18">
        <f t="shared" si="3"/>
        <v>18</v>
      </c>
      <c r="L9" s="18">
        <f t="shared" si="4"/>
        <v>122</v>
      </c>
      <c r="M9" s="4"/>
      <c r="N9" s="4"/>
      <c r="O9" s="7"/>
      <c r="P9" s="5">
        <v>162</v>
      </c>
      <c r="Q9" s="3">
        <v>62.078189300411545</v>
      </c>
      <c r="R9" s="3">
        <v>51.111111111111114</v>
      </c>
      <c r="S9" s="3">
        <v>60.493827160493808</v>
      </c>
      <c r="T9" s="3">
        <v>57.894375857338837</v>
      </c>
      <c r="U9" s="3">
        <v>173.68312757201647</v>
      </c>
      <c r="V9" s="18">
        <v>13</v>
      </c>
      <c r="W9" s="18">
        <v>73</v>
      </c>
      <c r="X9" s="4">
        <v>3.7037037037037037</v>
      </c>
      <c r="Y9" s="4">
        <v>17.283950617283949</v>
      </c>
      <c r="Z9" s="7">
        <v>14.197530864197532</v>
      </c>
      <c r="AA9" s="5">
        <v>161</v>
      </c>
      <c r="AB9" s="3">
        <v>51.223967848008755</v>
      </c>
      <c r="AC9" s="3">
        <v>51.403726708074537</v>
      </c>
      <c r="AD9" s="3">
        <v>64.088085827216275</v>
      </c>
      <c r="AE9" s="3">
        <v>55.571926794433203</v>
      </c>
      <c r="AF9" s="3">
        <v>166.71578038329957</v>
      </c>
      <c r="AG9" s="18">
        <v>10</v>
      </c>
      <c r="AH9" s="18">
        <v>48</v>
      </c>
      <c r="AI9" s="4">
        <v>15.527950310559007</v>
      </c>
      <c r="AJ9" s="4">
        <v>23.602484472049689</v>
      </c>
      <c r="AK9" s="7">
        <v>11.180124223602485</v>
      </c>
      <c r="AL9" s="5">
        <v>160</v>
      </c>
      <c r="AM9" s="3">
        <v>64.59558823529413</v>
      </c>
      <c r="AN9" s="3">
        <v>36.339285714285708</v>
      </c>
      <c r="AO9" s="3">
        <v>63.984461709211978</v>
      </c>
      <c r="AP9" s="3">
        <v>54.927696078431381</v>
      </c>
      <c r="AQ9" s="3">
        <v>164.91933565879182</v>
      </c>
      <c r="AR9" s="18">
        <v>13</v>
      </c>
      <c r="AS9" s="18">
        <v>83</v>
      </c>
      <c r="AT9" s="4">
        <v>6.2893081761006293</v>
      </c>
      <c r="AU9" s="4">
        <v>36.25</v>
      </c>
      <c r="AV9" s="7">
        <v>16.455696202531644</v>
      </c>
      <c r="AW9" s="10">
        <f t="shared" si="13"/>
        <v>161</v>
      </c>
      <c r="AX9" s="9">
        <f t="shared" si="14"/>
        <v>59.299248461238143</v>
      </c>
      <c r="AY9" s="9">
        <f t="shared" si="15"/>
        <v>46.284707844490448</v>
      </c>
      <c r="AZ9" s="9">
        <f t="shared" si="16"/>
        <v>62.855458232307349</v>
      </c>
      <c r="BA9" s="9">
        <f t="shared" si="17"/>
        <v>56.131332910067805</v>
      </c>
      <c r="BB9" s="9">
        <f t="shared" si="18"/>
        <v>168.43941453803598</v>
      </c>
      <c r="BC9" s="10">
        <f t="shared" si="11"/>
        <v>12</v>
      </c>
      <c r="BD9" s="10">
        <f t="shared" si="12"/>
        <v>64</v>
      </c>
      <c r="BE9" s="4">
        <f t="shared" si="6"/>
        <v>10.908629243329818</v>
      </c>
      <c r="BF9" s="4">
        <f t="shared" si="7"/>
        <v>29.926242236024844</v>
      </c>
      <c r="BG9" s="7">
        <f t="shared" si="8"/>
        <v>13.817910213067066</v>
      </c>
      <c r="BH9" s="5">
        <v>167</v>
      </c>
      <c r="BI9" s="3">
        <v>68.638922155688633</v>
      </c>
      <c r="BJ9" s="3">
        <v>40.982035928143688</v>
      </c>
      <c r="BK9" s="3">
        <v>52.743113772455139</v>
      </c>
      <c r="BL9" s="3">
        <v>54.121357285429148</v>
      </c>
      <c r="BM9" s="3">
        <v>162.3640718562875</v>
      </c>
      <c r="BN9" s="18">
        <v>1</v>
      </c>
      <c r="BO9" s="18">
        <v>14</v>
      </c>
      <c r="BP9" s="4">
        <v>4.7904191616766463</v>
      </c>
      <c r="BQ9" s="4">
        <v>41.317365269461078</v>
      </c>
      <c r="BR9" s="7">
        <v>22.754491017964071</v>
      </c>
      <c r="BS9" s="18"/>
      <c r="BT9" s="23">
        <v>83</v>
      </c>
    </row>
    <row r="10" spans="1:72" x14ac:dyDescent="0.25">
      <c r="A10" s="1">
        <v>5</v>
      </c>
      <c r="B10" s="18" t="s">
        <v>8</v>
      </c>
      <c r="C10" s="18">
        <v>99</v>
      </c>
      <c r="D10" s="21" t="s">
        <v>9</v>
      </c>
      <c r="E10" s="5"/>
      <c r="F10" s="3">
        <v>58.666666666666671</v>
      </c>
      <c r="G10" s="3">
        <v>47.6</v>
      </c>
      <c r="H10" s="3">
        <v>40</v>
      </c>
      <c r="I10" s="3">
        <f t="shared" si="9"/>
        <v>48.75555555555556</v>
      </c>
      <c r="J10" s="3">
        <f t="shared" si="10"/>
        <v>146.26666666666668</v>
      </c>
      <c r="K10" s="18">
        <f t="shared" si="3"/>
        <v>14</v>
      </c>
      <c r="L10" s="18">
        <f t="shared" si="4"/>
        <v>94</v>
      </c>
      <c r="M10" s="4"/>
      <c r="N10" s="4"/>
      <c r="O10" s="7"/>
      <c r="P10" s="5">
        <v>127</v>
      </c>
      <c r="Q10" s="3">
        <v>46.272965879265101</v>
      </c>
      <c r="R10" s="3">
        <v>45.574803149606296</v>
      </c>
      <c r="S10" s="3">
        <v>44.803149606299222</v>
      </c>
      <c r="T10" s="3">
        <v>45.550306211723566</v>
      </c>
      <c r="U10" s="3">
        <v>136.65091863517063</v>
      </c>
      <c r="V10" s="18">
        <v>24</v>
      </c>
      <c r="W10" s="18">
        <v>200</v>
      </c>
      <c r="X10" s="4">
        <v>31.496062992125985</v>
      </c>
      <c r="Y10" s="4">
        <v>37.795275590551178</v>
      </c>
      <c r="Z10" s="7">
        <v>40.15748031496063</v>
      </c>
      <c r="AA10" s="5">
        <v>130</v>
      </c>
      <c r="AB10" s="3">
        <v>57.924161400097269</v>
      </c>
      <c r="AC10" s="3">
        <v>70.049586776859499</v>
      </c>
      <c r="AD10" s="3">
        <v>59.0032556974706</v>
      </c>
      <c r="AE10" s="3">
        <v>62.325667958142418</v>
      </c>
      <c r="AF10" s="3">
        <v>186.97700387442737</v>
      </c>
      <c r="AG10" s="18">
        <v>3</v>
      </c>
      <c r="AH10" s="18">
        <v>16</v>
      </c>
      <c r="AI10" s="4">
        <v>0.82644628099173556</v>
      </c>
      <c r="AJ10" s="4">
        <v>1.6528925619834711</v>
      </c>
      <c r="AK10" s="7">
        <v>0.82644628099173556</v>
      </c>
      <c r="AL10" s="5">
        <v>130</v>
      </c>
      <c r="AM10" s="3">
        <v>65.943043884220373</v>
      </c>
      <c r="AN10" s="3">
        <v>59.591836734693892</v>
      </c>
      <c r="AO10" s="3">
        <v>59.593837535013996</v>
      </c>
      <c r="AP10" s="3">
        <v>61.709572717976073</v>
      </c>
      <c r="AQ10" s="3">
        <v>185.12871815392825</v>
      </c>
      <c r="AR10" s="18">
        <v>7</v>
      </c>
      <c r="AS10" s="18">
        <v>33</v>
      </c>
      <c r="AT10" s="4">
        <v>1.5873015873015872</v>
      </c>
      <c r="AU10" s="4">
        <v>0.79365079365079361</v>
      </c>
      <c r="AV10" s="7">
        <v>1.5873015873015872</v>
      </c>
      <c r="AW10" s="10">
        <f t="shared" si="13"/>
        <v>129</v>
      </c>
      <c r="AX10" s="9">
        <f t="shared" si="14"/>
        <v>56.713390387860919</v>
      </c>
      <c r="AY10" s="9">
        <f t="shared" si="15"/>
        <v>58.405408887053227</v>
      </c>
      <c r="AZ10" s="9">
        <f t="shared" si="16"/>
        <v>54.466747612927939</v>
      </c>
      <c r="BA10" s="9">
        <f t="shared" si="17"/>
        <v>56.528515629280683</v>
      </c>
      <c r="BB10" s="9">
        <f t="shared" si="18"/>
        <v>169.58554688784207</v>
      </c>
      <c r="BC10" s="10">
        <f t="shared" si="11"/>
        <v>10</v>
      </c>
      <c r="BD10" s="10">
        <f t="shared" si="12"/>
        <v>59</v>
      </c>
      <c r="BE10" s="4">
        <f t="shared" si="6"/>
        <v>1.2068739341466614</v>
      </c>
      <c r="BF10" s="4">
        <f t="shared" si="7"/>
        <v>1.2232716778171324</v>
      </c>
      <c r="BG10" s="7">
        <f t="shared" si="8"/>
        <v>1.2068739341466614</v>
      </c>
      <c r="BH10" s="5">
        <v>135</v>
      </c>
      <c r="BI10" s="3">
        <v>54.82109375000001</v>
      </c>
      <c r="BJ10" s="3">
        <v>32.07500000000001</v>
      </c>
      <c r="BK10" s="3">
        <v>36.485937499999991</v>
      </c>
      <c r="BL10" s="3">
        <v>41.127343750000016</v>
      </c>
      <c r="BM10" s="3">
        <v>123.38203125000001</v>
      </c>
      <c r="BN10" s="18">
        <v>20</v>
      </c>
      <c r="BO10" s="18">
        <v>146</v>
      </c>
      <c r="BP10" s="4">
        <v>18.75</v>
      </c>
      <c r="BQ10" s="4">
        <v>60.9375</v>
      </c>
      <c r="BR10" s="7">
        <v>50.78125</v>
      </c>
      <c r="BS10" s="18"/>
      <c r="BT10" s="23">
        <v>99</v>
      </c>
    </row>
    <row r="11" spans="1:72" x14ac:dyDescent="0.25">
      <c r="A11" s="18">
        <v>6</v>
      </c>
      <c r="B11" s="18" t="s">
        <v>8</v>
      </c>
      <c r="C11" s="18">
        <v>100</v>
      </c>
      <c r="D11" s="21" t="s">
        <v>9</v>
      </c>
      <c r="E11" s="5"/>
      <c r="F11" s="3">
        <v>54.666666666666657</v>
      </c>
      <c r="G11" s="3">
        <v>39.200000000000003</v>
      </c>
      <c r="H11" s="3">
        <v>37.666666666666664</v>
      </c>
      <c r="I11" s="3">
        <f t="shared" si="9"/>
        <v>43.844444444444441</v>
      </c>
      <c r="J11" s="3">
        <f t="shared" si="10"/>
        <v>131.53333333333333</v>
      </c>
      <c r="K11" s="18">
        <f t="shared" si="3"/>
        <v>22</v>
      </c>
      <c r="L11" s="18">
        <f t="shared" si="4"/>
        <v>152</v>
      </c>
      <c r="M11" s="4"/>
      <c r="N11" s="4"/>
      <c r="O11" s="7"/>
      <c r="P11" s="5">
        <v>117</v>
      </c>
      <c r="Q11" s="3">
        <v>59.487179487179503</v>
      </c>
      <c r="R11" s="3">
        <v>59.794871794871796</v>
      </c>
      <c r="S11" s="3">
        <v>62.090395480225986</v>
      </c>
      <c r="T11" s="3">
        <v>60.462121212121239</v>
      </c>
      <c r="U11" s="3">
        <v>181.37244676227729</v>
      </c>
      <c r="V11" s="18">
        <v>10</v>
      </c>
      <c r="W11" s="18">
        <v>57</v>
      </c>
      <c r="X11" s="4">
        <v>6.8376068376068373</v>
      </c>
      <c r="Y11" s="4">
        <v>5.1282051282051286</v>
      </c>
      <c r="Z11" s="7">
        <v>12.711864406779661</v>
      </c>
      <c r="AA11" s="5">
        <v>136</v>
      </c>
      <c r="AB11" s="3">
        <v>49.434389140271485</v>
      </c>
      <c r="AC11" s="3">
        <v>50.184615384615384</v>
      </c>
      <c r="AD11" s="3">
        <v>60.466200466200462</v>
      </c>
      <c r="AE11" s="3">
        <v>53.36173499702911</v>
      </c>
      <c r="AF11" s="3">
        <v>160.08520499108732</v>
      </c>
      <c r="AG11" s="18">
        <v>11</v>
      </c>
      <c r="AH11" s="18">
        <v>64</v>
      </c>
      <c r="AI11" s="4">
        <v>21.705426356589147</v>
      </c>
      <c r="AJ11" s="4">
        <v>19.379844961240309</v>
      </c>
      <c r="AK11" s="7">
        <v>17.886178861788618</v>
      </c>
      <c r="AL11" s="5">
        <v>136</v>
      </c>
      <c r="AM11" s="3">
        <v>60.094117647058809</v>
      </c>
      <c r="AN11" s="3">
        <v>40.419397116644809</v>
      </c>
      <c r="AO11" s="3">
        <v>64.735002912055876</v>
      </c>
      <c r="AP11" s="3">
        <v>54.594615624027412</v>
      </c>
      <c r="AQ11" s="3">
        <v>165.2485176757595</v>
      </c>
      <c r="AR11" s="18">
        <v>12</v>
      </c>
      <c r="AS11" s="18">
        <v>80</v>
      </c>
      <c r="AT11" s="4">
        <v>9.6</v>
      </c>
      <c r="AU11" s="4">
        <v>33.944954128440365</v>
      </c>
      <c r="AV11" s="7">
        <v>6.9306930693069306</v>
      </c>
      <c r="AW11" s="10">
        <f t="shared" si="13"/>
        <v>129.66666666666666</v>
      </c>
      <c r="AX11" s="9">
        <f t="shared" si="14"/>
        <v>56.338562091503263</v>
      </c>
      <c r="AY11" s="9">
        <f t="shared" si="15"/>
        <v>50.132961432043999</v>
      </c>
      <c r="AZ11" s="9">
        <f t="shared" si="16"/>
        <v>62.430532952827441</v>
      </c>
      <c r="BA11" s="9">
        <f t="shared" si="17"/>
        <v>56.139490611059252</v>
      </c>
      <c r="BB11" s="9">
        <f t="shared" si="18"/>
        <v>168.90205647637472</v>
      </c>
      <c r="BC11" s="10">
        <f t="shared" si="11"/>
        <v>11</v>
      </c>
      <c r="BD11" s="10">
        <f t="shared" si="12"/>
        <v>62</v>
      </c>
      <c r="BE11" s="4">
        <f t="shared" si="6"/>
        <v>15.652713178294572</v>
      </c>
      <c r="BF11" s="4">
        <f t="shared" si="7"/>
        <v>26.662399544840337</v>
      </c>
      <c r="BG11" s="7">
        <f t="shared" si="8"/>
        <v>12.408435965547774</v>
      </c>
      <c r="BH11" s="5">
        <v>135</v>
      </c>
      <c r="BI11" s="3">
        <v>56.305925925925926</v>
      </c>
      <c r="BJ11" s="3">
        <v>32.3888888888889</v>
      </c>
      <c r="BK11" s="3">
        <v>39.20074074074072</v>
      </c>
      <c r="BL11" s="3">
        <v>42.63185185185187</v>
      </c>
      <c r="BM11" s="3">
        <v>127.89555555555555</v>
      </c>
      <c r="BN11" s="18">
        <v>16</v>
      </c>
      <c r="BO11" s="18">
        <v>127</v>
      </c>
      <c r="BP11" s="4">
        <v>14.074074074074074</v>
      </c>
      <c r="BQ11" s="4">
        <v>48.888888888888886</v>
      </c>
      <c r="BR11" s="7">
        <v>42.962962962962962</v>
      </c>
      <c r="BS11" s="18"/>
      <c r="BT11" s="23">
        <v>100</v>
      </c>
    </row>
    <row r="12" spans="1:72" x14ac:dyDescent="0.25">
      <c r="A12" s="18">
        <v>7</v>
      </c>
      <c r="B12" s="18" t="s">
        <v>8</v>
      </c>
      <c r="C12" s="18">
        <v>102</v>
      </c>
      <c r="D12" s="21" t="s">
        <v>9</v>
      </c>
      <c r="E12" s="5"/>
      <c r="F12" s="3">
        <v>61.666666666666664</v>
      </c>
      <c r="G12" s="3">
        <v>72</v>
      </c>
      <c r="H12" s="3">
        <v>75</v>
      </c>
      <c r="I12" s="3">
        <f t="shared" si="9"/>
        <v>69.555555555555557</v>
      </c>
      <c r="J12" s="3">
        <f t="shared" si="10"/>
        <v>208.66666666666666</v>
      </c>
      <c r="K12" s="18">
        <f t="shared" si="3"/>
        <v>2</v>
      </c>
      <c r="L12" s="18">
        <f t="shared" si="4"/>
        <v>4</v>
      </c>
      <c r="M12" s="4"/>
      <c r="N12" s="4"/>
      <c r="O12" s="7"/>
      <c r="P12" s="5">
        <v>97</v>
      </c>
      <c r="Q12" s="3">
        <v>68.144329896907252</v>
      </c>
      <c r="R12" s="3">
        <v>58.762886597938142</v>
      </c>
      <c r="S12" s="3">
        <v>66.563573883161538</v>
      </c>
      <c r="T12" s="3">
        <v>64.490263459335623</v>
      </c>
      <c r="U12" s="3">
        <v>193.47079037800694</v>
      </c>
      <c r="V12" s="18">
        <v>4</v>
      </c>
      <c r="W12" s="18">
        <v>26</v>
      </c>
      <c r="X12" s="4">
        <v>6.1855670103092786</v>
      </c>
      <c r="Y12" s="4">
        <v>5.1546391752577323</v>
      </c>
      <c r="Z12" s="7">
        <v>13.402061855670103</v>
      </c>
      <c r="AA12" s="5">
        <v>102</v>
      </c>
      <c r="AB12" s="3">
        <v>58.549931600547204</v>
      </c>
      <c r="AC12" s="3">
        <v>56.093023255813954</v>
      </c>
      <c r="AD12" s="3">
        <v>60.427807486631046</v>
      </c>
      <c r="AE12" s="3">
        <v>58.41043817104007</v>
      </c>
      <c r="AF12" s="3">
        <v>175.0707623429922</v>
      </c>
      <c r="AG12" s="18">
        <v>7</v>
      </c>
      <c r="AH12" s="18">
        <v>33</v>
      </c>
      <c r="AI12" s="4">
        <v>10.465116279069768</v>
      </c>
      <c r="AJ12" s="4">
        <v>10.465116279069768</v>
      </c>
      <c r="AK12" s="7">
        <v>9.4117647058823533</v>
      </c>
      <c r="AL12" s="5">
        <v>100</v>
      </c>
      <c r="AM12" s="3">
        <v>53.716871363930203</v>
      </c>
      <c r="AN12" s="3">
        <v>30.486656200941916</v>
      </c>
      <c r="AO12" s="3">
        <v>63.606981254040043</v>
      </c>
      <c r="AP12" s="3">
        <v>49.270169606304059</v>
      </c>
      <c r="AQ12" s="3">
        <v>147.81050881891215</v>
      </c>
      <c r="AR12" s="18">
        <v>24</v>
      </c>
      <c r="AS12" s="18">
        <v>151</v>
      </c>
      <c r="AT12" s="4">
        <v>13.186813186813186</v>
      </c>
      <c r="AU12" s="4">
        <v>49.450549450549453</v>
      </c>
      <c r="AV12" s="7">
        <v>5.4945054945054945</v>
      </c>
      <c r="AW12" s="10">
        <f t="shared" si="13"/>
        <v>99.666666666666671</v>
      </c>
      <c r="AX12" s="9">
        <f t="shared" si="14"/>
        <v>60.137044287128219</v>
      </c>
      <c r="AY12" s="9">
        <f t="shared" si="15"/>
        <v>48.447522018231332</v>
      </c>
      <c r="AZ12" s="9">
        <f t="shared" si="16"/>
        <v>63.532787541277543</v>
      </c>
      <c r="BA12" s="9">
        <f t="shared" si="17"/>
        <v>57.390290412226584</v>
      </c>
      <c r="BB12" s="9">
        <f t="shared" si="18"/>
        <v>172.11735384663709</v>
      </c>
      <c r="BC12" s="10">
        <f t="shared" si="11"/>
        <v>8</v>
      </c>
      <c r="BD12" s="10">
        <f t="shared" si="12"/>
        <v>52</v>
      </c>
      <c r="BE12" s="4">
        <f t="shared" si="6"/>
        <v>11.825964732941477</v>
      </c>
      <c r="BF12" s="4">
        <f t="shared" si="7"/>
        <v>29.95783286480961</v>
      </c>
      <c r="BG12" s="7">
        <f t="shared" si="8"/>
        <v>7.4531351001939239</v>
      </c>
      <c r="BH12" s="5">
        <v>100</v>
      </c>
      <c r="BI12" s="3">
        <v>62.341999999999977</v>
      </c>
      <c r="BJ12" s="3">
        <v>36.568000000000005</v>
      </c>
      <c r="BK12" s="3">
        <v>43.466999999999992</v>
      </c>
      <c r="BL12" s="3">
        <v>47.459000000000003</v>
      </c>
      <c r="BM12" s="3">
        <v>142.37700000000004</v>
      </c>
      <c r="BN12" s="18">
        <v>6</v>
      </c>
      <c r="BO12" s="18">
        <v>58</v>
      </c>
      <c r="BP12" s="4">
        <v>11</v>
      </c>
      <c r="BQ12" s="4">
        <v>40</v>
      </c>
      <c r="BR12" s="7">
        <v>30</v>
      </c>
      <c r="BS12" s="18"/>
      <c r="BT12" s="23">
        <v>102</v>
      </c>
    </row>
    <row r="13" spans="1:72" x14ac:dyDescent="0.25">
      <c r="A13" s="18">
        <v>8</v>
      </c>
      <c r="B13" s="18" t="s">
        <v>8</v>
      </c>
      <c r="C13" s="18">
        <v>103</v>
      </c>
      <c r="D13" s="21" t="s">
        <v>9</v>
      </c>
      <c r="E13" s="5"/>
      <c r="F13" s="3">
        <v>34.666666666666664</v>
      </c>
      <c r="G13" s="3">
        <v>23.2</v>
      </c>
      <c r="H13" s="3">
        <v>17.666666666666668</v>
      </c>
      <c r="I13" s="3">
        <f t="shared" si="9"/>
        <v>25.177777777777777</v>
      </c>
      <c r="J13" s="3">
        <f t="shared" si="10"/>
        <v>75.533333333333331</v>
      </c>
      <c r="K13" s="18">
        <f t="shared" si="3"/>
        <v>32</v>
      </c>
      <c r="L13" s="18">
        <f t="shared" si="4"/>
        <v>298</v>
      </c>
      <c r="M13" s="4"/>
      <c r="N13" s="4"/>
      <c r="O13" s="7"/>
      <c r="P13" s="5">
        <v>86</v>
      </c>
      <c r="Q13" s="3">
        <v>43.798449612403104</v>
      </c>
      <c r="R13" s="3">
        <v>38.046511627906973</v>
      </c>
      <c r="S13" s="3">
        <v>40.232558139534881</v>
      </c>
      <c r="T13" s="3">
        <v>40.692506459948348</v>
      </c>
      <c r="U13" s="3">
        <v>122.07751937984497</v>
      </c>
      <c r="V13" s="18">
        <v>31</v>
      </c>
      <c r="W13" s="18">
        <v>266</v>
      </c>
      <c r="X13" s="4">
        <v>32.558139534883722</v>
      </c>
      <c r="Y13" s="4">
        <v>48.837209302325583</v>
      </c>
      <c r="Z13" s="7">
        <v>50</v>
      </c>
      <c r="AA13" s="5">
        <v>108</v>
      </c>
      <c r="AB13" s="3">
        <v>37.790697674418617</v>
      </c>
      <c r="AC13" s="3">
        <v>37.906976744186046</v>
      </c>
      <c r="AD13" s="3">
        <v>36.976911976911978</v>
      </c>
      <c r="AE13" s="3">
        <v>37.446427337672205</v>
      </c>
      <c r="AF13" s="3">
        <v>112.67458639551664</v>
      </c>
      <c r="AG13" s="18">
        <v>31</v>
      </c>
      <c r="AH13" s="18">
        <v>241</v>
      </c>
      <c r="AI13" s="4">
        <v>44.186046511627907</v>
      </c>
      <c r="AJ13" s="4">
        <v>47.674418604651166</v>
      </c>
      <c r="AK13" s="7">
        <v>50</v>
      </c>
      <c r="AL13" s="5">
        <v>108</v>
      </c>
      <c r="AM13" s="3">
        <v>49.873497786211267</v>
      </c>
      <c r="AN13" s="3">
        <v>36.473118279569896</v>
      </c>
      <c r="AO13" s="3">
        <v>39.231019876181144</v>
      </c>
      <c r="AP13" s="3">
        <v>41.859211980654116</v>
      </c>
      <c r="AQ13" s="3">
        <v>125.57763594196231</v>
      </c>
      <c r="AR13" s="18">
        <v>31</v>
      </c>
      <c r="AS13" s="18">
        <v>246</v>
      </c>
      <c r="AT13" s="4">
        <v>26.881720430107528</v>
      </c>
      <c r="AU13" s="4">
        <v>41.935483870967744</v>
      </c>
      <c r="AV13" s="7">
        <v>47.826086956521742</v>
      </c>
      <c r="AW13" s="10">
        <f t="shared" si="13"/>
        <v>100.66666666666667</v>
      </c>
      <c r="AX13" s="9">
        <f t="shared" si="14"/>
        <v>43.820881691010989</v>
      </c>
      <c r="AY13" s="9">
        <f t="shared" si="15"/>
        <v>37.475535550554305</v>
      </c>
      <c r="AZ13" s="9">
        <f t="shared" si="16"/>
        <v>38.813496664209332</v>
      </c>
      <c r="BA13" s="9">
        <f t="shared" si="17"/>
        <v>39.999381926091559</v>
      </c>
      <c r="BB13" s="9">
        <f t="shared" si="18"/>
        <v>120.10991390577465</v>
      </c>
      <c r="BC13" s="10">
        <f t="shared" si="11"/>
        <v>32</v>
      </c>
      <c r="BD13" s="10">
        <f t="shared" si="12"/>
        <v>262</v>
      </c>
      <c r="BE13" s="4">
        <f t="shared" si="6"/>
        <v>35.533883470867721</v>
      </c>
      <c r="BF13" s="4">
        <f t="shared" si="7"/>
        <v>44.804951237809455</v>
      </c>
      <c r="BG13" s="7">
        <f t="shared" si="8"/>
        <v>48.913043478260875</v>
      </c>
      <c r="BH13" s="5">
        <v>109</v>
      </c>
      <c r="BI13" s="3">
        <v>46.690740740740708</v>
      </c>
      <c r="BJ13" s="3">
        <v>25.368518518518524</v>
      </c>
      <c r="BK13" s="3">
        <v>29.027777777777779</v>
      </c>
      <c r="BL13" s="3">
        <v>33.695679012345671</v>
      </c>
      <c r="BM13" s="3">
        <v>101.08703703703702</v>
      </c>
      <c r="BN13" s="18">
        <v>30</v>
      </c>
      <c r="BO13" s="18">
        <v>265</v>
      </c>
      <c r="BP13" s="4">
        <v>31.481481481481481</v>
      </c>
      <c r="BQ13" s="4">
        <v>67.592592592592595</v>
      </c>
      <c r="BR13" s="7">
        <v>63.888888888888886</v>
      </c>
      <c r="BS13" s="18"/>
      <c r="BT13" s="23">
        <v>103</v>
      </c>
    </row>
    <row r="14" spans="1:72" x14ac:dyDescent="0.25">
      <c r="A14" s="18">
        <v>9</v>
      </c>
      <c r="B14" s="18" t="s">
        <v>8</v>
      </c>
      <c r="C14" s="18" t="s">
        <v>48</v>
      </c>
      <c r="D14" s="21" t="s">
        <v>12</v>
      </c>
      <c r="E14" s="5"/>
      <c r="F14" s="3"/>
      <c r="G14" s="3"/>
      <c r="H14" s="3"/>
      <c r="I14" s="3" t="str">
        <f t="shared" si="9"/>
        <v/>
      </c>
      <c r="J14" s="3" t="str">
        <f t="shared" si="10"/>
        <v/>
      </c>
      <c r="K14" s="18" t="str">
        <f t="shared" si="3"/>
        <v/>
      </c>
      <c r="L14" s="18" t="str">
        <f t="shared" si="4"/>
        <v/>
      </c>
      <c r="M14" s="4"/>
      <c r="N14" s="4"/>
      <c r="O14" s="7"/>
      <c r="P14" s="5"/>
      <c r="Q14" s="3"/>
      <c r="R14" s="3"/>
      <c r="S14" s="3"/>
      <c r="T14" s="3"/>
      <c r="U14" s="3" t="s">
        <v>35</v>
      </c>
      <c r="V14" s="18" t="s">
        <v>35</v>
      </c>
      <c r="W14" s="18" t="s">
        <v>35</v>
      </c>
      <c r="X14" s="4" t="s">
        <v>35</v>
      </c>
      <c r="Y14" s="4" t="s">
        <v>35</v>
      </c>
      <c r="Z14" s="7" t="s">
        <v>35</v>
      </c>
      <c r="AA14" s="5"/>
      <c r="AB14" s="3"/>
      <c r="AC14" s="3"/>
      <c r="AD14" s="3"/>
      <c r="AE14" s="3"/>
      <c r="AF14" s="3" t="s">
        <v>35</v>
      </c>
      <c r="AG14" s="18" t="s">
        <v>35</v>
      </c>
      <c r="AH14" s="18" t="s">
        <v>35</v>
      </c>
      <c r="AI14" s="4" t="s">
        <v>35</v>
      </c>
      <c r="AJ14" s="4" t="s">
        <v>35</v>
      </c>
      <c r="AK14" s="7" t="s">
        <v>35</v>
      </c>
      <c r="AL14" s="5"/>
      <c r="AM14" s="3"/>
      <c r="AN14" s="3"/>
      <c r="AO14" s="3"/>
      <c r="AP14" s="3"/>
      <c r="AQ14" s="3" t="s">
        <v>35</v>
      </c>
      <c r="AR14" s="18" t="s">
        <v>35</v>
      </c>
      <c r="AS14" s="18" t="s">
        <v>35</v>
      </c>
      <c r="AT14" s="4" t="s">
        <v>35</v>
      </c>
      <c r="AU14" s="4" t="s">
        <v>35</v>
      </c>
      <c r="AV14" s="7" t="s">
        <v>35</v>
      </c>
      <c r="AW14" s="10"/>
      <c r="AX14" s="9"/>
      <c r="AY14" s="9"/>
      <c r="AZ14" s="9"/>
      <c r="BA14" s="9"/>
      <c r="BB14" s="9"/>
      <c r="BC14" s="10" t="str">
        <f t="shared" si="11"/>
        <v/>
      </c>
      <c r="BD14" s="10" t="str">
        <f t="shared" si="12"/>
        <v/>
      </c>
      <c r="BE14" s="4"/>
      <c r="BF14" s="4"/>
      <c r="BG14" s="7"/>
      <c r="BH14" s="5">
        <v>7</v>
      </c>
      <c r="BI14" s="3">
        <v>30.657142857142862</v>
      </c>
      <c r="BJ14" s="3">
        <v>28.071428571428573</v>
      </c>
      <c r="BK14" s="3">
        <v>15.114285714285716</v>
      </c>
      <c r="BL14" s="3">
        <v>24.614285714285717</v>
      </c>
      <c r="BM14" s="3">
        <v>73.842857142857142</v>
      </c>
      <c r="BN14" s="18">
        <v>33</v>
      </c>
      <c r="BO14" s="18">
        <v>307</v>
      </c>
      <c r="BP14" s="4">
        <v>71.428571428571431</v>
      </c>
      <c r="BQ14" s="4">
        <v>85.714285714285708</v>
      </c>
      <c r="BR14" s="7">
        <v>100</v>
      </c>
      <c r="BS14" s="18"/>
      <c r="BT14" s="23">
        <v>115</v>
      </c>
    </row>
    <row r="15" spans="1:72" x14ac:dyDescent="0.25">
      <c r="A15" s="1">
        <v>10</v>
      </c>
      <c r="B15" s="18" t="s">
        <v>8</v>
      </c>
      <c r="C15" s="18">
        <v>115</v>
      </c>
      <c r="D15" s="21" t="s">
        <v>9</v>
      </c>
      <c r="E15" s="5"/>
      <c r="F15" s="3">
        <v>61.333333333333329</v>
      </c>
      <c r="G15" s="3">
        <v>66.400000000000006</v>
      </c>
      <c r="H15" s="3">
        <v>60</v>
      </c>
      <c r="I15" s="3">
        <f t="shared" si="9"/>
        <v>62.577777777777783</v>
      </c>
      <c r="J15" s="3">
        <f t="shared" si="10"/>
        <v>187.73333333333335</v>
      </c>
      <c r="K15" s="18">
        <f t="shared" si="3"/>
        <v>4</v>
      </c>
      <c r="L15" s="18">
        <f t="shared" si="4"/>
        <v>15</v>
      </c>
      <c r="M15" s="4"/>
      <c r="N15" s="4"/>
      <c r="O15" s="7"/>
      <c r="P15" s="5">
        <v>130</v>
      </c>
      <c r="Q15" s="3">
        <v>65.461538461538453</v>
      </c>
      <c r="R15" s="3">
        <v>66.092307692307699</v>
      </c>
      <c r="S15" s="3">
        <v>66.615384615384627</v>
      </c>
      <c r="T15" s="3">
        <v>66.056410256410274</v>
      </c>
      <c r="U15" s="3">
        <v>198.16923076923081</v>
      </c>
      <c r="V15" s="18">
        <v>3</v>
      </c>
      <c r="W15" s="18">
        <v>18</v>
      </c>
      <c r="X15" s="4">
        <v>4.615384615384615</v>
      </c>
      <c r="Y15" s="4">
        <v>6.25</v>
      </c>
      <c r="Z15" s="7">
        <v>7.6923076923076925</v>
      </c>
      <c r="AA15" s="5">
        <v>133</v>
      </c>
      <c r="AB15" s="3">
        <v>62.428842504743827</v>
      </c>
      <c r="AC15" s="3">
        <v>66.548387096774192</v>
      </c>
      <c r="AD15" s="3">
        <v>62.952101661779103</v>
      </c>
      <c r="AE15" s="3">
        <v>63.97644375443236</v>
      </c>
      <c r="AF15" s="3">
        <v>191.92933126329712</v>
      </c>
      <c r="AG15" s="18">
        <v>2</v>
      </c>
      <c r="AH15" s="18">
        <v>12</v>
      </c>
      <c r="AI15" s="4">
        <v>8.064516129032258</v>
      </c>
      <c r="AJ15" s="4">
        <v>2.4193548387096775</v>
      </c>
      <c r="AK15" s="7">
        <v>4.032258064516129</v>
      </c>
      <c r="AL15" s="5">
        <v>132</v>
      </c>
      <c r="AM15" s="3">
        <v>71.098687408847866</v>
      </c>
      <c r="AN15" s="3">
        <v>62.715466351829974</v>
      </c>
      <c r="AO15" s="3">
        <v>76.859504132231407</v>
      </c>
      <c r="AP15" s="3">
        <v>70.224552630969754</v>
      </c>
      <c r="AQ15" s="3">
        <v>210.67365789290926</v>
      </c>
      <c r="AR15" s="18">
        <v>1</v>
      </c>
      <c r="AS15" s="18">
        <v>6</v>
      </c>
      <c r="AT15" s="4">
        <v>1.6528925619834711</v>
      </c>
      <c r="AU15" s="4">
        <v>8.3333333333333339</v>
      </c>
      <c r="AV15" s="7">
        <v>1.7094017094017093</v>
      </c>
      <c r="AW15" s="10">
        <f t="shared" si="13"/>
        <v>131.66666666666666</v>
      </c>
      <c r="AX15" s="9">
        <f t="shared" si="14"/>
        <v>66.32968945837672</v>
      </c>
      <c r="AY15" s="9">
        <f t="shared" si="15"/>
        <v>65.118720380303955</v>
      </c>
      <c r="AZ15" s="9">
        <f t="shared" si="16"/>
        <v>68.80899680313172</v>
      </c>
      <c r="BA15" s="9">
        <f t="shared" si="17"/>
        <v>66.752468880604127</v>
      </c>
      <c r="BB15" s="9">
        <f t="shared" si="18"/>
        <v>200.25740664181239</v>
      </c>
      <c r="BC15" s="10">
        <f t="shared" si="11"/>
        <v>2</v>
      </c>
      <c r="BD15" s="10">
        <f t="shared" si="12"/>
        <v>9</v>
      </c>
      <c r="BE15" s="4">
        <f t="shared" si="6"/>
        <v>4.8587043455078645</v>
      </c>
      <c r="BF15" s="4">
        <f t="shared" si="7"/>
        <v>5.3763440860215059</v>
      </c>
      <c r="BG15" s="7">
        <f t="shared" si="8"/>
        <v>2.8708298869589193</v>
      </c>
      <c r="BH15" s="5">
        <v>132</v>
      </c>
      <c r="BI15" s="3">
        <v>57.45454545454546</v>
      </c>
      <c r="BJ15" s="3">
        <v>31.694696969696981</v>
      </c>
      <c r="BK15" s="3">
        <v>39.592424242424258</v>
      </c>
      <c r="BL15" s="3">
        <v>42.913888888888899</v>
      </c>
      <c r="BM15" s="3">
        <v>128.74166666666676</v>
      </c>
      <c r="BN15" s="18">
        <v>14</v>
      </c>
      <c r="BO15" s="18">
        <v>121</v>
      </c>
      <c r="BP15" s="4">
        <v>19.696969696969695</v>
      </c>
      <c r="BQ15" s="4">
        <v>56.81818181818182</v>
      </c>
      <c r="BR15" s="7">
        <v>40.151515151515149</v>
      </c>
      <c r="BS15" s="18"/>
      <c r="BT15" s="23">
        <v>115</v>
      </c>
    </row>
    <row r="16" spans="1:72" x14ac:dyDescent="0.25">
      <c r="A16" s="18">
        <v>11</v>
      </c>
      <c r="B16" s="18" t="s">
        <v>8</v>
      </c>
      <c r="C16" s="18">
        <v>126</v>
      </c>
      <c r="D16" s="21" t="s">
        <v>13</v>
      </c>
      <c r="E16" s="5"/>
      <c r="F16" s="3">
        <v>40.666666666666664</v>
      </c>
      <c r="G16" s="3">
        <v>45.6</v>
      </c>
      <c r="H16" s="3">
        <v>38</v>
      </c>
      <c r="I16" s="3">
        <f t="shared" si="9"/>
        <v>41.422222222222224</v>
      </c>
      <c r="J16" s="3">
        <f t="shared" si="10"/>
        <v>124.26666666666667</v>
      </c>
      <c r="K16" s="18">
        <f t="shared" si="3"/>
        <v>24</v>
      </c>
      <c r="L16" s="18">
        <f t="shared" si="4"/>
        <v>174</v>
      </c>
      <c r="M16" s="4"/>
      <c r="N16" s="4"/>
      <c r="O16" s="7"/>
      <c r="P16" s="5">
        <v>73</v>
      </c>
      <c r="Q16" s="3">
        <v>50.000000000000007</v>
      </c>
      <c r="R16" s="3">
        <v>39.287671232876711</v>
      </c>
      <c r="S16" s="3">
        <v>44.200913242009136</v>
      </c>
      <c r="T16" s="3">
        <v>44.496194824961947</v>
      </c>
      <c r="U16" s="3">
        <v>133.48858447488584</v>
      </c>
      <c r="V16" s="18">
        <v>26</v>
      </c>
      <c r="W16" s="18">
        <v>217</v>
      </c>
      <c r="X16" s="4">
        <v>19.17808219178082</v>
      </c>
      <c r="Y16" s="4">
        <v>43.835616438356162</v>
      </c>
      <c r="Z16" s="7">
        <v>36.986301369863014</v>
      </c>
      <c r="AA16" s="5">
        <v>77</v>
      </c>
      <c r="AB16" s="3">
        <v>47.326203208556159</v>
      </c>
      <c r="AC16" s="3">
        <v>49.558441558441558</v>
      </c>
      <c r="AD16" s="3">
        <v>53.482880755608036</v>
      </c>
      <c r="AE16" s="3">
        <v>50.122508507535244</v>
      </c>
      <c r="AF16" s="3">
        <v>150.36752552260577</v>
      </c>
      <c r="AG16" s="18">
        <v>15</v>
      </c>
      <c r="AH16" s="18">
        <v>97</v>
      </c>
      <c r="AI16" s="4">
        <v>14.285714285714286</v>
      </c>
      <c r="AJ16" s="4">
        <v>10.38961038961039</v>
      </c>
      <c r="AK16" s="7">
        <v>19.480519480519479</v>
      </c>
      <c r="AL16" s="5">
        <v>61</v>
      </c>
      <c r="AM16" s="3">
        <v>68.707810993249765</v>
      </c>
      <c r="AN16" s="3">
        <v>38.173302107728325</v>
      </c>
      <c r="AO16" s="3">
        <v>66.297010607521699</v>
      </c>
      <c r="AP16" s="3">
        <v>57.726041236166594</v>
      </c>
      <c r="AQ16" s="3">
        <v>173.17812370849981</v>
      </c>
      <c r="AR16" s="18">
        <v>9</v>
      </c>
      <c r="AS16" s="18">
        <v>57</v>
      </c>
      <c r="AT16" s="4">
        <v>4.918032786885246</v>
      </c>
      <c r="AU16" s="4">
        <v>13.114754098360656</v>
      </c>
      <c r="AV16" s="7">
        <v>8.1967213114754092</v>
      </c>
      <c r="AW16" s="10">
        <f t="shared" si="13"/>
        <v>70.333333333333329</v>
      </c>
      <c r="AX16" s="9">
        <f t="shared" si="14"/>
        <v>55.344671400601975</v>
      </c>
      <c r="AY16" s="9">
        <f t="shared" si="15"/>
        <v>42.339804966348858</v>
      </c>
      <c r="AZ16" s="9">
        <f t="shared" si="16"/>
        <v>54.66026820171296</v>
      </c>
      <c r="BA16" s="9">
        <f t="shared" si="17"/>
        <v>50.781581522887926</v>
      </c>
      <c r="BB16" s="9">
        <f t="shared" si="18"/>
        <v>152.3447445686638</v>
      </c>
      <c r="BC16" s="10">
        <f t="shared" si="11"/>
        <v>18</v>
      </c>
      <c r="BD16" s="10">
        <f t="shared" si="12"/>
        <v>117</v>
      </c>
      <c r="BE16" s="4">
        <f t="shared" si="6"/>
        <v>9.6018735362997667</v>
      </c>
      <c r="BF16" s="4">
        <f t="shared" si="7"/>
        <v>11.752182243985523</v>
      </c>
      <c r="BG16" s="7">
        <f t="shared" si="8"/>
        <v>13.838620395997445</v>
      </c>
      <c r="BH16" s="5">
        <v>80</v>
      </c>
      <c r="BI16" s="3">
        <v>54.131645569620247</v>
      </c>
      <c r="BJ16" s="3">
        <v>27.674683544303807</v>
      </c>
      <c r="BK16" s="3">
        <v>38.345569620253158</v>
      </c>
      <c r="BL16" s="3">
        <v>40.050632911392412</v>
      </c>
      <c r="BM16" s="3">
        <v>120.15189873417724</v>
      </c>
      <c r="BN16" s="18">
        <v>23</v>
      </c>
      <c r="BO16" s="18">
        <v>163</v>
      </c>
      <c r="BP16" s="4">
        <v>22.784810126582279</v>
      </c>
      <c r="BQ16" s="4">
        <v>59.493670886075947</v>
      </c>
      <c r="BR16" s="7">
        <v>45.569620253164558</v>
      </c>
      <c r="BS16" s="18"/>
      <c r="BT16" s="23">
        <v>126</v>
      </c>
    </row>
    <row r="17" spans="1:72" x14ac:dyDescent="0.25">
      <c r="A17" s="18">
        <v>12</v>
      </c>
      <c r="B17" s="18" t="s">
        <v>8</v>
      </c>
      <c r="C17" s="18">
        <v>135</v>
      </c>
      <c r="D17" s="21" t="s">
        <v>9</v>
      </c>
      <c r="E17" s="5"/>
      <c r="F17" s="3">
        <v>51.666666666666664</v>
      </c>
      <c r="G17" s="3">
        <v>50.8</v>
      </c>
      <c r="H17" s="3">
        <v>43.333333333333336</v>
      </c>
      <c r="I17" s="3">
        <f t="shared" si="9"/>
        <v>48.6</v>
      </c>
      <c r="J17" s="3">
        <f t="shared" si="10"/>
        <v>145.80000000000001</v>
      </c>
      <c r="K17" s="18">
        <f t="shared" si="3"/>
        <v>15</v>
      </c>
      <c r="L17" s="18">
        <f t="shared" si="4"/>
        <v>96</v>
      </c>
      <c r="M17" s="4"/>
      <c r="N17" s="4"/>
      <c r="O17" s="7"/>
      <c r="P17" s="5">
        <v>48</v>
      </c>
      <c r="Q17" s="3">
        <v>50.833333333333343</v>
      </c>
      <c r="R17" s="3">
        <v>59.25</v>
      </c>
      <c r="S17" s="3">
        <v>55.972222222222229</v>
      </c>
      <c r="T17" s="3">
        <v>55.351851851851869</v>
      </c>
      <c r="U17" s="3">
        <v>166.05555555555557</v>
      </c>
      <c r="V17" s="18">
        <v>14</v>
      </c>
      <c r="W17" s="18">
        <v>91</v>
      </c>
      <c r="X17" s="4">
        <v>8.3333333333333339</v>
      </c>
      <c r="Y17" s="4">
        <v>8.3333333333333339</v>
      </c>
      <c r="Z17" s="7">
        <v>10.416666666666666</v>
      </c>
      <c r="AA17" s="5">
        <v>53</v>
      </c>
      <c r="AB17" s="3">
        <v>50.113122171945697</v>
      </c>
      <c r="AC17" s="3">
        <v>57.153846153846153</v>
      </c>
      <c r="AD17" s="3">
        <v>71.678321678321694</v>
      </c>
      <c r="AE17" s="3">
        <v>59.648430001371189</v>
      </c>
      <c r="AF17" s="3">
        <v>178.94529000411353</v>
      </c>
      <c r="AG17" s="18">
        <v>5</v>
      </c>
      <c r="AH17" s="18">
        <v>26</v>
      </c>
      <c r="AI17" s="4">
        <v>21.153846153846153</v>
      </c>
      <c r="AJ17" s="4">
        <v>1.9230769230769231</v>
      </c>
      <c r="AK17" s="7">
        <v>7.6923076923076925</v>
      </c>
      <c r="AL17" s="5">
        <v>54</v>
      </c>
      <c r="AM17" s="3">
        <v>79.629629629629648</v>
      </c>
      <c r="AN17" s="3">
        <v>44.338624338624349</v>
      </c>
      <c r="AO17" s="3">
        <v>69.444444444444443</v>
      </c>
      <c r="AP17" s="3">
        <v>64.470899470899468</v>
      </c>
      <c r="AQ17" s="3">
        <v>193.41269841269843</v>
      </c>
      <c r="AR17" s="18">
        <v>4</v>
      </c>
      <c r="AS17" s="18">
        <v>18</v>
      </c>
      <c r="AT17" s="4">
        <v>4.0816326530612246</v>
      </c>
      <c r="AU17" s="4">
        <v>16.666666666666668</v>
      </c>
      <c r="AV17" s="7">
        <v>0</v>
      </c>
      <c r="AW17" s="10">
        <f t="shared" si="13"/>
        <v>51.666666666666664</v>
      </c>
      <c r="AX17" s="9">
        <f t="shared" si="14"/>
        <v>60.192028378302894</v>
      </c>
      <c r="AY17" s="9">
        <f t="shared" si="15"/>
        <v>53.580823497490172</v>
      </c>
      <c r="AZ17" s="9">
        <f t="shared" si="16"/>
        <v>65.69832944832946</v>
      </c>
      <c r="BA17" s="9">
        <f t="shared" si="17"/>
        <v>59.823727108040849</v>
      </c>
      <c r="BB17" s="9">
        <f t="shared" si="18"/>
        <v>179.47118132412251</v>
      </c>
      <c r="BC17" s="10">
        <f t="shared" si="11"/>
        <v>6</v>
      </c>
      <c r="BD17" s="10">
        <f t="shared" si="12"/>
        <v>31</v>
      </c>
      <c r="BE17" s="4">
        <f t="shared" si="6"/>
        <v>12.617739403453688</v>
      </c>
      <c r="BF17" s="4">
        <f t="shared" si="7"/>
        <v>9.2948717948717956</v>
      </c>
      <c r="BG17" s="7">
        <f t="shared" si="8"/>
        <v>3.8461538461538463</v>
      </c>
      <c r="BH17" s="5">
        <v>54</v>
      </c>
      <c r="BI17" s="3">
        <v>55.524074074074079</v>
      </c>
      <c r="BJ17" s="3">
        <v>31.446296296296303</v>
      </c>
      <c r="BK17" s="3">
        <v>41.942592592592597</v>
      </c>
      <c r="BL17" s="3">
        <v>42.970987654320986</v>
      </c>
      <c r="BM17" s="3">
        <v>128.91296296296295</v>
      </c>
      <c r="BN17" s="18">
        <v>13</v>
      </c>
      <c r="BO17" s="18">
        <v>118</v>
      </c>
      <c r="BP17" s="4">
        <v>14.814814814814815</v>
      </c>
      <c r="BQ17" s="4">
        <v>50</v>
      </c>
      <c r="BR17" s="7">
        <v>27.777777777777779</v>
      </c>
      <c r="BS17" s="18"/>
      <c r="BT17" s="23">
        <v>135</v>
      </c>
    </row>
    <row r="18" spans="1:72" x14ac:dyDescent="0.25">
      <c r="A18" s="18">
        <v>13</v>
      </c>
      <c r="B18" s="18" t="s">
        <v>8</v>
      </c>
      <c r="C18" s="18">
        <v>143</v>
      </c>
      <c r="D18" s="21" t="s">
        <v>9</v>
      </c>
      <c r="E18" s="5"/>
      <c r="F18" s="3">
        <v>46.666666666666664</v>
      </c>
      <c r="G18" s="3">
        <v>34.799999999999997</v>
      </c>
      <c r="H18" s="3">
        <v>36.666666666666664</v>
      </c>
      <c r="I18" s="3">
        <f t="shared" si="9"/>
        <v>39.377777777777773</v>
      </c>
      <c r="J18" s="3">
        <f t="shared" si="10"/>
        <v>118.13333333333333</v>
      </c>
      <c r="K18" s="18">
        <f t="shared" si="3"/>
        <v>26</v>
      </c>
      <c r="L18" s="18">
        <f t="shared" si="4"/>
        <v>200</v>
      </c>
      <c r="M18" s="4"/>
      <c r="N18" s="4"/>
      <c r="O18" s="7"/>
      <c r="P18" s="5">
        <v>87</v>
      </c>
      <c r="Q18" s="3">
        <v>48.659003831417621</v>
      </c>
      <c r="R18" s="3">
        <v>36.643678160919542</v>
      </c>
      <c r="S18" s="3">
        <v>45.517241379310356</v>
      </c>
      <c r="T18" s="3">
        <v>43.606641123882504</v>
      </c>
      <c r="U18" s="3">
        <v>130.81992337164752</v>
      </c>
      <c r="V18" s="18">
        <v>28</v>
      </c>
      <c r="W18" s="18">
        <v>231</v>
      </c>
      <c r="X18" s="4">
        <v>18.390804597701148</v>
      </c>
      <c r="Y18" s="4">
        <v>45.977011494252871</v>
      </c>
      <c r="Z18" s="7">
        <v>34.482758620689658</v>
      </c>
      <c r="AA18" s="5">
        <v>91</v>
      </c>
      <c r="AB18" s="3">
        <v>48.66310160427809</v>
      </c>
      <c r="AC18" s="3">
        <v>35.995297805642629</v>
      </c>
      <c r="AD18" s="3">
        <v>49.139118457300249</v>
      </c>
      <c r="AE18" s="3">
        <v>44.599172622406989</v>
      </c>
      <c r="AF18" s="3">
        <v>133.79751786722096</v>
      </c>
      <c r="AG18" s="18">
        <v>26</v>
      </c>
      <c r="AH18" s="18">
        <v>162</v>
      </c>
      <c r="AI18" s="4">
        <v>11.363636363636363</v>
      </c>
      <c r="AJ18" s="4">
        <v>44.31818181818182</v>
      </c>
      <c r="AK18" s="7">
        <v>28.40909090909091</v>
      </c>
      <c r="AL18" s="5">
        <v>91</v>
      </c>
      <c r="AM18" s="3">
        <v>60.872438863185735</v>
      </c>
      <c r="AN18" s="3">
        <v>35.601926163723917</v>
      </c>
      <c r="AO18" s="3">
        <v>49.405155320555167</v>
      </c>
      <c r="AP18" s="3">
        <v>48.626506782488292</v>
      </c>
      <c r="AQ18" s="3">
        <v>145.87952034746482</v>
      </c>
      <c r="AR18" s="18">
        <v>25</v>
      </c>
      <c r="AS18" s="18">
        <v>162</v>
      </c>
      <c r="AT18" s="4">
        <v>8.9887640449438209</v>
      </c>
      <c r="AU18" s="4">
        <v>38.202247191011239</v>
      </c>
      <c r="AV18" s="7">
        <v>22.471910112359552</v>
      </c>
      <c r="AW18" s="10">
        <f t="shared" si="13"/>
        <v>89.666666666666671</v>
      </c>
      <c r="AX18" s="9">
        <f t="shared" si="14"/>
        <v>52.73151476629382</v>
      </c>
      <c r="AY18" s="9">
        <f t="shared" si="15"/>
        <v>36.080300710095365</v>
      </c>
      <c r="AZ18" s="9">
        <f t="shared" si="16"/>
        <v>48.020505052388593</v>
      </c>
      <c r="BA18" s="9">
        <f t="shared" si="17"/>
        <v>45.610773509592597</v>
      </c>
      <c r="BB18" s="9">
        <f t="shared" si="18"/>
        <v>136.83232052877779</v>
      </c>
      <c r="BC18" s="10">
        <f t="shared" si="11"/>
        <v>26</v>
      </c>
      <c r="BD18" s="10">
        <f t="shared" si="12"/>
        <v>184</v>
      </c>
      <c r="BE18" s="4">
        <f t="shared" si="6"/>
        <v>10.176200204290092</v>
      </c>
      <c r="BF18" s="4">
        <f t="shared" si="7"/>
        <v>41.260214504596533</v>
      </c>
      <c r="BG18" s="7">
        <f t="shared" si="8"/>
        <v>25.440500510725229</v>
      </c>
      <c r="BH18" s="5">
        <v>91</v>
      </c>
      <c r="BI18" s="3">
        <v>56.659340659340678</v>
      </c>
      <c r="BJ18" s="3">
        <v>27.490109890109899</v>
      </c>
      <c r="BK18" s="3">
        <v>38.97912087912087</v>
      </c>
      <c r="BL18" s="3">
        <v>41.04285714285713</v>
      </c>
      <c r="BM18" s="3">
        <v>123.12857142857139</v>
      </c>
      <c r="BN18" s="18">
        <v>21</v>
      </c>
      <c r="BO18" s="18">
        <v>147</v>
      </c>
      <c r="BP18" s="4">
        <v>19.780219780219781</v>
      </c>
      <c r="BQ18" s="4">
        <v>67.032967032967036</v>
      </c>
      <c r="BR18" s="7">
        <v>41.758241758241759</v>
      </c>
      <c r="BS18" s="18"/>
      <c r="BT18" s="23">
        <v>143</v>
      </c>
    </row>
    <row r="19" spans="1:72" x14ac:dyDescent="0.25">
      <c r="A19" s="18">
        <v>14</v>
      </c>
      <c r="B19" s="18" t="s">
        <v>8</v>
      </c>
      <c r="C19" s="18">
        <v>144</v>
      </c>
      <c r="D19" s="21" t="s">
        <v>9</v>
      </c>
      <c r="E19" s="5"/>
      <c r="F19" s="3">
        <v>55.333333333333343</v>
      </c>
      <c r="G19" s="3">
        <v>60.8</v>
      </c>
      <c r="H19" s="3">
        <v>65</v>
      </c>
      <c r="I19" s="3">
        <f t="shared" si="9"/>
        <v>60.377777777777773</v>
      </c>
      <c r="J19" s="3">
        <f t="shared" si="10"/>
        <v>181.13333333333333</v>
      </c>
      <c r="K19" s="18">
        <f t="shared" si="3"/>
        <v>6</v>
      </c>
      <c r="L19" s="18">
        <f t="shared" si="4"/>
        <v>21</v>
      </c>
      <c r="M19" s="4"/>
      <c r="N19" s="4"/>
      <c r="O19" s="7"/>
      <c r="P19" s="5">
        <v>66</v>
      </c>
      <c r="Q19" s="3">
        <v>63.535353535353543</v>
      </c>
      <c r="R19" s="3">
        <v>55.090909090909093</v>
      </c>
      <c r="S19" s="3">
        <v>67.020202020202007</v>
      </c>
      <c r="T19" s="3">
        <v>61.882154882154872</v>
      </c>
      <c r="U19" s="3">
        <v>185.64646464646466</v>
      </c>
      <c r="V19" s="18">
        <v>7</v>
      </c>
      <c r="W19" s="18">
        <v>46</v>
      </c>
      <c r="X19" s="4">
        <v>3.0303030303030303</v>
      </c>
      <c r="Y19" s="4">
        <v>9.0909090909090917</v>
      </c>
      <c r="Z19" s="7">
        <v>3.0303030303030303</v>
      </c>
      <c r="AA19" s="5">
        <v>68</v>
      </c>
      <c r="AB19" s="3">
        <v>46.280276816608989</v>
      </c>
      <c r="AC19" s="3">
        <v>50.470588235294116</v>
      </c>
      <c r="AD19" s="3">
        <v>54.144385026737979</v>
      </c>
      <c r="AE19" s="3">
        <v>50.298416692880366</v>
      </c>
      <c r="AF19" s="3">
        <v>150.89525007864108</v>
      </c>
      <c r="AG19" s="18">
        <v>14</v>
      </c>
      <c r="AH19" s="18">
        <v>94</v>
      </c>
      <c r="AI19" s="4">
        <v>11.764705882352942</v>
      </c>
      <c r="AJ19" s="4">
        <v>13.235294117647058</v>
      </c>
      <c r="AK19" s="7">
        <v>7.3529411764705879</v>
      </c>
      <c r="AL19" s="5">
        <v>67</v>
      </c>
      <c r="AM19" s="3">
        <v>61.413520632133455</v>
      </c>
      <c r="AN19" s="3">
        <v>38.038379530916842</v>
      </c>
      <c r="AO19" s="3">
        <v>54.214223002633886</v>
      </c>
      <c r="AP19" s="3">
        <v>51.222041055228068</v>
      </c>
      <c r="AQ19" s="3">
        <v>153.66612316568418</v>
      </c>
      <c r="AR19" s="18">
        <v>20</v>
      </c>
      <c r="AS19" s="18">
        <v>128</v>
      </c>
      <c r="AT19" s="4">
        <v>4.4776119402985071</v>
      </c>
      <c r="AU19" s="4">
        <v>41.791044776119406</v>
      </c>
      <c r="AV19" s="7">
        <v>8.9552238805970141</v>
      </c>
      <c r="AW19" s="10">
        <f t="shared" si="13"/>
        <v>67</v>
      </c>
      <c r="AX19" s="9">
        <f t="shared" si="14"/>
        <v>57.076383661365334</v>
      </c>
      <c r="AY19" s="9">
        <f t="shared" si="15"/>
        <v>47.866625619040015</v>
      </c>
      <c r="AZ19" s="9">
        <f t="shared" si="16"/>
        <v>58.459603349857957</v>
      </c>
      <c r="BA19" s="9">
        <f t="shared" si="17"/>
        <v>54.467537543421095</v>
      </c>
      <c r="BB19" s="9">
        <f t="shared" si="18"/>
        <v>163.40261263026332</v>
      </c>
      <c r="BC19" s="10">
        <f t="shared" si="11"/>
        <v>15</v>
      </c>
      <c r="BD19" s="10">
        <f t="shared" si="12"/>
        <v>79</v>
      </c>
      <c r="BE19" s="4">
        <f t="shared" si="6"/>
        <v>8.1211589113257254</v>
      </c>
      <c r="BF19" s="4">
        <f t="shared" si="7"/>
        <v>27.513169446883232</v>
      </c>
      <c r="BG19" s="7">
        <f t="shared" si="8"/>
        <v>8.1540825285338006</v>
      </c>
      <c r="BH19" s="5">
        <v>68</v>
      </c>
      <c r="BI19" s="3">
        <v>57.627941176470571</v>
      </c>
      <c r="BJ19" s="3">
        <v>34.60588235294118</v>
      </c>
      <c r="BK19" s="3">
        <v>39.529411764705877</v>
      </c>
      <c r="BL19" s="3">
        <v>43.921078431372543</v>
      </c>
      <c r="BM19" s="3">
        <v>131.76323529411766</v>
      </c>
      <c r="BN19" s="18">
        <v>11</v>
      </c>
      <c r="BO19" s="18">
        <v>102</v>
      </c>
      <c r="BP19" s="4">
        <v>11.764705882352942</v>
      </c>
      <c r="BQ19" s="4">
        <v>50</v>
      </c>
      <c r="BR19" s="7">
        <v>38.235294117647058</v>
      </c>
      <c r="BS19" s="18"/>
      <c r="BT19" s="23">
        <v>144</v>
      </c>
    </row>
    <row r="20" spans="1:72" x14ac:dyDescent="0.25">
      <c r="A20" s="1">
        <v>15</v>
      </c>
      <c r="B20" s="18" t="s">
        <v>8</v>
      </c>
      <c r="C20" s="18">
        <v>157</v>
      </c>
      <c r="D20" s="21" t="s">
        <v>9</v>
      </c>
      <c r="E20" s="5"/>
      <c r="F20" s="3">
        <v>64.666666666666657</v>
      </c>
      <c r="G20" s="3">
        <v>71.2</v>
      </c>
      <c r="H20" s="3">
        <v>69.333333333333329</v>
      </c>
      <c r="I20" s="3">
        <f t="shared" si="9"/>
        <v>68.399999999999991</v>
      </c>
      <c r="J20" s="3">
        <f t="shared" si="10"/>
        <v>205.2</v>
      </c>
      <c r="K20" s="18">
        <f t="shared" si="3"/>
        <v>3</v>
      </c>
      <c r="L20" s="18">
        <f t="shared" si="4"/>
        <v>8</v>
      </c>
      <c r="M20" s="4"/>
      <c r="N20" s="4"/>
      <c r="O20" s="7"/>
      <c r="P20" s="5">
        <v>91</v>
      </c>
      <c r="Q20" s="3">
        <v>63.589743589743613</v>
      </c>
      <c r="R20" s="3">
        <v>61.978021978021978</v>
      </c>
      <c r="S20" s="3">
        <v>66.007326007326014</v>
      </c>
      <c r="T20" s="3">
        <v>63.858363858363852</v>
      </c>
      <c r="U20" s="3">
        <v>191.57509157509162</v>
      </c>
      <c r="V20" s="18">
        <v>5</v>
      </c>
      <c r="W20" s="18">
        <v>29</v>
      </c>
      <c r="X20" s="4">
        <v>6.5934065934065931</v>
      </c>
      <c r="Y20" s="4">
        <v>5.4945054945054945</v>
      </c>
      <c r="Z20" s="7">
        <v>4.395604395604396</v>
      </c>
      <c r="AA20" s="5">
        <v>107</v>
      </c>
      <c r="AB20" s="3">
        <v>50.26208503203263</v>
      </c>
      <c r="AC20" s="3">
        <v>59.762376237623762</v>
      </c>
      <c r="AD20" s="3">
        <v>56.705670567056686</v>
      </c>
      <c r="AE20" s="3">
        <v>55.576710612237704</v>
      </c>
      <c r="AF20" s="3">
        <v>166.7301318367131</v>
      </c>
      <c r="AG20" s="18">
        <v>9</v>
      </c>
      <c r="AH20" s="18">
        <v>47</v>
      </c>
      <c r="AI20" s="4">
        <v>21.782178217821784</v>
      </c>
      <c r="AJ20" s="4">
        <v>10.891089108910892</v>
      </c>
      <c r="AK20" s="7">
        <v>20.792079207920793</v>
      </c>
      <c r="AL20" s="5">
        <v>107</v>
      </c>
      <c r="AM20" s="3">
        <v>58.986928104575163</v>
      </c>
      <c r="AN20" s="3">
        <v>34.34991974317817</v>
      </c>
      <c r="AO20" s="3">
        <v>65.980392156862777</v>
      </c>
      <c r="AP20" s="3">
        <v>53.082010582010568</v>
      </c>
      <c r="AQ20" s="3">
        <v>159.31724000461611</v>
      </c>
      <c r="AR20" s="18">
        <v>16</v>
      </c>
      <c r="AS20" s="18">
        <v>105</v>
      </c>
      <c r="AT20" s="4">
        <v>10</v>
      </c>
      <c r="AU20" s="4">
        <v>42.696629213483149</v>
      </c>
      <c r="AV20" s="7">
        <v>8.8888888888888893</v>
      </c>
      <c r="AW20" s="10">
        <f t="shared" si="13"/>
        <v>101.66666666666667</v>
      </c>
      <c r="AX20" s="9">
        <f t="shared" si="14"/>
        <v>57.612918908783797</v>
      </c>
      <c r="AY20" s="9">
        <f t="shared" si="15"/>
        <v>52.030105986274634</v>
      </c>
      <c r="AZ20" s="9">
        <f t="shared" si="16"/>
        <v>62.897796243748495</v>
      </c>
      <c r="BA20" s="9">
        <f t="shared" si="17"/>
        <v>57.50569501753737</v>
      </c>
      <c r="BB20" s="9">
        <f t="shared" si="18"/>
        <v>172.54082113880693</v>
      </c>
      <c r="BC20" s="10">
        <f t="shared" si="11"/>
        <v>7</v>
      </c>
      <c r="BD20" s="10">
        <f t="shared" si="12"/>
        <v>50</v>
      </c>
      <c r="BE20" s="4">
        <f t="shared" si="6"/>
        <v>15.891089108910892</v>
      </c>
      <c r="BF20" s="4">
        <f t="shared" si="7"/>
        <v>26.79385916119702</v>
      </c>
      <c r="BG20" s="7">
        <f t="shared" si="8"/>
        <v>14.840484048404841</v>
      </c>
      <c r="BH20" s="5">
        <v>107</v>
      </c>
      <c r="BI20" s="3">
        <v>59.49158878504673</v>
      </c>
      <c r="BJ20" s="3">
        <v>38.248598130841117</v>
      </c>
      <c r="BK20" s="3">
        <v>43.542056074766371</v>
      </c>
      <c r="BL20" s="3">
        <v>47.094080996884735</v>
      </c>
      <c r="BM20" s="3">
        <v>141.28224299065423</v>
      </c>
      <c r="BN20" s="18">
        <v>7</v>
      </c>
      <c r="BO20" s="18">
        <v>62</v>
      </c>
      <c r="BP20" s="4">
        <v>17.757009345794394</v>
      </c>
      <c r="BQ20" s="4">
        <v>40.186915887850468</v>
      </c>
      <c r="BR20" s="7">
        <v>29.906542056074766</v>
      </c>
      <c r="BS20" s="18"/>
      <c r="BT20" s="23">
        <v>157</v>
      </c>
    </row>
    <row r="21" spans="1:72" x14ac:dyDescent="0.25">
      <c r="A21" s="18">
        <v>16</v>
      </c>
      <c r="B21" s="18" t="s">
        <v>8</v>
      </c>
      <c r="C21" s="18">
        <v>179</v>
      </c>
      <c r="D21" s="21" t="s">
        <v>9</v>
      </c>
      <c r="E21" s="5"/>
      <c r="F21" s="3">
        <v>49.333333333333336</v>
      </c>
      <c r="G21" s="3">
        <v>49.2</v>
      </c>
      <c r="H21" s="3">
        <v>40</v>
      </c>
      <c r="I21" s="3">
        <f t="shared" si="9"/>
        <v>46.177777777777777</v>
      </c>
      <c r="J21" s="3">
        <f t="shared" si="10"/>
        <v>138.53333333333333</v>
      </c>
      <c r="K21" s="18">
        <f t="shared" si="3"/>
        <v>19</v>
      </c>
      <c r="L21" s="18">
        <f t="shared" si="4"/>
        <v>126</v>
      </c>
      <c r="M21" s="4"/>
      <c r="N21" s="4"/>
      <c r="O21" s="7"/>
      <c r="P21" s="5">
        <v>224</v>
      </c>
      <c r="Q21" s="3">
        <v>44.419642857142868</v>
      </c>
      <c r="R21" s="3">
        <v>44.660714285714285</v>
      </c>
      <c r="S21" s="3">
        <v>43.258928571428555</v>
      </c>
      <c r="T21" s="3">
        <v>44.113095238095241</v>
      </c>
      <c r="U21" s="3">
        <v>132.33928571428572</v>
      </c>
      <c r="V21" s="18">
        <v>27</v>
      </c>
      <c r="W21" s="18">
        <v>225</v>
      </c>
      <c r="X21" s="4">
        <v>28.571428571428573</v>
      </c>
      <c r="Y21" s="4">
        <v>23.660714285714285</v>
      </c>
      <c r="Z21" s="7">
        <v>32.142857142857146</v>
      </c>
      <c r="AA21" s="5">
        <v>237</v>
      </c>
      <c r="AB21" s="3">
        <v>35.60436832961031</v>
      </c>
      <c r="AC21" s="3">
        <v>49.046413502109708</v>
      </c>
      <c r="AD21" s="3">
        <v>38.473341004986523</v>
      </c>
      <c r="AE21" s="3">
        <v>41.041374278902197</v>
      </c>
      <c r="AF21" s="3">
        <v>123.12412283670655</v>
      </c>
      <c r="AG21" s="18">
        <v>28</v>
      </c>
      <c r="AH21" s="18">
        <v>196</v>
      </c>
      <c r="AI21" s="4">
        <v>43.037974683544306</v>
      </c>
      <c r="AJ21" s="4">
        <v>22.649572649572651</v>
      </c>
      <c r="AK21" s="7">
        <v>32.067510548523209</v>
      </c>
      <c r="AL21" s="5">
        <v>248</v>
      </c>
      <c r="AM21" s="3">
        <v>48.161764705882341</v>
      </c>
      <c r="AN21" s="3">
        <v>32.21198156682027</v>
      </c>
      <c r="AO21" s="3">
        <v>41.816888045540807</v>
      </c>
      <c r="AP21" s="3">
        <v>40.730211439414475</v>
      </c>
      <c r="AQ21" s="3">
        <v>122.19063431824343</v>
      </c>
      <c r="AR21" s="18">
        <v>32</v>
      </c>
      <c r="AS21" s="18">
        <v>256</v>
      </c>
      <c r="AT21" s="4">
        <v>21.370967741935484</v>
      </c>
      <c r="AU21" s="4">
        <v>42.741935483870968</v>
      </c>
      <c r="AV21" s="7">
        <v>31.85483870967742</v>
      </c>
      <c r="AW21" s="10">
        <f t="shared" si="13"/>
        <v>236.33333333333334</v>
      </c>
      <c r="AX21" s="9">
        <f t="shared" si="14"/>
        <v>42.728591964211837</v>
      </c>
      <c r="AY21" s="9">
        <f t="shared" si="15"/>
        <v>41.97303645154809</v>
      </c>
      <c r="AZ21" s="9">
        <f t="shared" si="16"/>
        <v>41.183052540651964</v>
      </c>
      <c r="BA21" s="9">
        <f t="shared" si="17"/>
        <v>41.961560318803969</v>
      </c>
      <c r="BB21" s="9">
        <f t="shared" si="18"/>
        <v>125.8846809564119</v>
      </c>
      <c r="BC21" s="10">
        <f t="shared" si="11"/>
        <v>30</v>
      </c>
      <c r="BD21" s="10">
        <f t="shared" si="12"/>
        <v>233</v>
      </c>
      <c r="BE21" s="4">
        <f t="shared" si="6"/>
        <v>32.204471212739897</v>
      </c>
      <c r="BF21" s="4">
        <f t="shared" si="7"/>
        <v>32.695754066721811</v>
      </c>
      <c r="BG21" s="7">
        <f t="shared" si="8"/>
        <v>31.961174629100313</v>
      </c>
      <c r="BH21" s="5">
        <v>258</v>
      </c>
      <c r="BI21" s="3">
        <v>46.229133858267765</v>
      </c>
      <c r="BJ21" s="3">
        <v>24.413385826771684</v>
      </c>
      <c r="BK21" s="3">
        <v>29.516535433070871</v>
      </c>
      <c r="BL21" s="3">
        <v>33.386351706036741</v>
      </c>
      <c r="BM21" s="3">
        <v>100.15905511811022</v>
      </c>
      <c r="BN21" s="18">
        <v>32</v>
      </c>
      <c r="BO21" s="18">
        <v>268</v>
      </c>
      <c r="BP21" s="4">
        <v>27.165354330708663</v>
      </c>
      <c r="BQ21" s="4">
        <v>70.472440944881896</v>
      </c>
      <c r="BR21" s="7">
        <v>61.417322834645667</v>
      </c>
      <c r="BS21" s="18"/>
      <c r="BT21" s="23">
        <v>179</v>
      </c>
    </row>
    <row r="22" spans="1:72" x14ac:dyDescent="0.25">
      <c r="A22" s="18">
        <v>17</v>
      </c>
      <c r="B22" s="18" t="s">
        <v>8</v>
      </c>
      <c r="C22" s="18">
        <v>182</v>
      </c>
      <c r="D22" s="21" t="s">
        <v>9</v>
      </c>
      <c r="E22" s="5"/>
      <c r="F22" s="3">
        <v>50</v>
      </c>
      <c r="G22" s="3">
        <v>49.2</v>
      </c>
      <c r="H22" s="3">
        <v>45.333333333333336</v>
      </c>
      <c r="I22" s="3">
        <f t="shared" si="9"/>
        <v>48.177777777777777</v>
      </c>
      <c r="J22" s="3">
        <f t="shared" si="10"/>
        <v>144.53333333333333</v>
      </c>
      <c r="K22" s="18">
        <f t="shared" si="3"/>
        <v>16</v>
      </c>
      <c r="L22" s="18">
        <f t="shared" si="4"/>
        <v>109</v>
      </c>
      <c r="M22" s="4"/>
      <c r="N22" s="4"/>
      <c r="O22" s="7"/>
      <c r="P22" s="5">
        <v>390</v>
      </c>
      <c r="Q22" s="3">
        <v>53.931623931623903</v>
      </c>
      <c r="R22" s="3">
        <v>48.421593830334189</v>
      </c>
      <c r="S22" s="3">
        <v>50.410256410256395</v>
      </c>
      <c r="T22" s="3">
        <v>50.923296264613626</v>
      </c>
      <c r="U22" s="3">
        <v>152.7634741722145</v>
      </c>
      <c r="V22" s="18">
        <v>19</v>
      </c>
      <c r="W22" s="18">
        <v>131</v>
      </c>
      <c r="X22" s="4">
        <v>11.794871794871796</v>
      </c>
      <c r="Y22" s="4">
        <v>21.85089974293059</v>
      </c>
      <c r="Z22" s="7">
        <v>27.948717948717949</v>
      </c>
      <c r="AA22" s="5">
        <v>414</v>
      </c>
      <c r="AB22" s="3">
        <v>42.998962809305048</v>
      </c>
      <c r="AC22" s="3">
        <v>50.707547989229553</v>
      </c>
      <c r="AD22" s="3">
        <v>47.164338600106831</v>
      </c>
      <c r="AE22" s="3">
        <v>46.956949799547168</v>
      </c>
      <c r="AF22" s="3">
        <v>140.87084939864144</v>
      </c>
      <c r="AG22" s="18">
        <v>18</v>
      </c>
      <c r="AH22" s="18">
        <v>129</v>
      </c>
      <c r="AI22" s="4">
        <v>29.471032745591941</v>
      </c>
      <c r="AJ22" s="4">
        <v>21.969696969696969</v>
      </c>
      <c r="AK22" s="7">
        <v>27.204030226700251</v>
      </c>
      <c r="AL22" s="5">
        <v>417</v>
      </c>
      <c r="AM22" s="3">
        <v>59.007352941176485</v>
      </c>
      <c r="AN22" s="3">
        <v>45.863095238095234</v>
      </c>
      <c r="AO22" s="3">
        <v>54.500076793119327</v>
      </c>
      <c r="AP22" s="3">
        <v>53.088818860877659</v>
      </c>
      <c r="AQ22" s="3">
        <v>159.37052497239105</v>
      </c>
      <c r="AR22" s="18">
        <v>15</v>
      </c>
      <c r="AS22" s="18">
        <v>104</v>
      </c>
      <c r="AT22" s="4">
        <v>18.229166666666668</v>
      </c>
      <c r="AU22" s="4">
        <v>30.989583333333332</v>
      </c>
      <c r="AV22" s="7">
        <v>25.721784776902886</v>
      </c>
      <c r="AW22" s="10">
        <f t="shared" si="13"/>
        <v>407</v>
      </c>
      <c r="AX22" s="9">
        <f t="shared" si="14"/>
        <v>51.979313227368486</v>
      </c>
      <c r="AY22" s="9">
        <f t="shared" si="15"/>
        <v>48.33074568588632</v>
      </c>
      <c r="AZ22" s="9">
        <f t="shared" si="16"/>
        <v>50.691557267827513</v>
      </c>
      <c r="BA22" s="9">
        <f t="shared" si="17"/>
        <v>50.323021641679482</v>
      </c>
      <c r="BB22" s="9">
        <f t="shared" si="18"/>
        <v>151.00161618108234</v>
      </c>
      <c r="BC22" s="10">
        <f t="shared" si="11"/>
        <v>19</v>
      </c>
      <c r="BD22" s="10">
        <f t="shared" si="12"/>
        <v>121</v>
      </c>
      <c r="BE22" s="4">
        <f t="shared" si="6"/>
        <v>23.850099706129306</v>
      </c>
      <c r="BF22" s="4">
        <f t="shared" si="7"/>
        <v>26.479640151515149</v>
      </c>
      <c r="BG22" s="7">
        <f t="shared" si="8"/>
        <v>26.462907501801567</v>
      </c>
      <c r="BH22" s="5">
        <v>415</v>
      </c>
      <c r="BI22" s="3">
        <v>52.037772397094429</v>
      </c>
      <c r="BJ22" s="3">
        <v>29.792009685230038</v>
      </c>
      <c r="BK22" s="3">
        <v>33.639467312348685</v>
      </c>
      <c r="BL22" s="3">
        <v>38.489749798224345</v>
      </c>
      <c r="BM22" s="3">
        <v>115.46924939467318</v>
      </c>
      <c r="BN22" s="18">
        <v>25</v>
      </c>
      <c r="BO22" s="18">
        <v>195</v>
      </c>
      <c r="BP22" s="4">
        <v>23.970944309927361</v>
      </c>
      <c r="BQ22" s="4">
        <v>64.891041162227609</v>
      </c>
      <c r="BR22" s="7">
        <v>56.416464891041166</v>
      </c>
      <c r="BS22" s="18"/>
      <c r="BT22" s="23">
        <v>182</v>
      </c>
    </row>
    <row r="23" spans="1:72" x14ac:dyDescent="0.25">
      <c r="A23" s="18">
        <v>18</v>
      </c>
      <c r="B23" s="18" t="s">
        <v>8</v>
      </c>
      <c r="C23" s="18">
        <v>205</v>
      </c>
      <c r="D23" s="21" t="s">
        <v>9</v>
      </c>
      <c r="E23" s="5"/>
      <c r="F23" s="3">
        <v>46.666666666666664</v>
      </c>
      <c r="G23" s="3">
        <v>38</v>
      </c>
      <c r="H23" s="3">
        <v>29.333333333333336</v>
      </c>
      <c r="I23" s="3">
        <f t="shared" si="9"/>
        <v>38</v>
      </c>
      <c r="J23" s="3">
        <f t="shared" si="10"/>
        <v>114</v>
      </c>
      <c r="K23" s="18">
        <f t="shared" si="3"/>
        <v>28</v>
      </c>
      <c r="L23" s="18">
        <f t="shared" si="4"/>
        <v>221</v>
      </c>
      <c r="M23" s="4"/>
      <c r="N23" s="4"/>
      <c r="O23" s="7"/>
      <c r="P23" s="5">
        <v>110</v>
      </c>
      <c r="Q23" s="3">
        <v>46.181818181818166</v>
      </c>
      <c r="R23" s="3">
        <v>43.527272727272724</v>
      </c>
      <c r="S23" s="3">
        <v>44.545454545454547</v>
      </c>
      <c r="T23" s="3">
        <v>44.751515151515186</v>
      </c>
      <c r="U23" s="3">
        <v>134.25454545454545</v>
      </c>
      <c r="V23" s="18">
        <v>25</v>
      </c>
      <c r="W23" s="18">
        <v>214</v>
      </c>
      <c r="X23" s="4">
        <v>30</v>
      </c>
      <c r="Y23" s="4">
        <v>34.545454545454547</v>
      </c>
      <c r="Z23" s="7">
        <v>36.363636363636367</v>
      </c>
      <c r="AA23" s="5">
        <v>115</v>
      </c>
      <c r="AB23" s="3">
        <v>60.172692930383171</v>
      </c>
      <c r="AC23" s="3">
        <v>44.366972477064223</v>
      </c>
      <c r="AD23" s="3">
        <v>44.147901028634969</v>
      </c>
      <c r="AE23" s="3">
        <v>49.562522145360774</v>
      </c>
      <c r="AF23" s="3">
        <v>148.68756643608236</v>
      </c>
      <c r="AG23" s="18">
        <v>16</v>
      </c>
      <c r="AH23" s="18">
        <v>101</v>
      </c>
      <c r="AI23" s="4">
        <v>35.555555555555557</v>
      </c>
      <c r="AJ23" s="4">
        <v>22.01834862385321</v>
      </c>
      <c r="AK23" s="7">
        <v>32.110091743119263</v>
      </c>
      <c r="AL23" s="5">
        <v>115</v>
      </c>
      <c r="AM23" s="3">
        <v>61.154273029966681</v>
      </c>
      <c r="AN23" s="3">
        <v>50.862533692722373</v>
      </c>
      <c r="AO23" s="3">
        <v>51.193118756936727</v>
      </c>
      <c r="AP23" s="3">
        <v>54.40330849320857</v>
      </c>
      <c r="AQ23" s="3">
        <v>163.20992547962578</v>
      </c>
      <c r="AR23" s="18">
        <v>14</v>
      </c>
      <c r="AS23" s="18">
        <v>88</v>
      </c>
      <c r="AT23" s="4">
        <v>12.264150943396226</v>
      </c>
      <c r="AU23" s="4">
        <v>34.736842105263158</v>
      </c>
      <c r="AV23" s="7">
        <v>16.037735849056602</v>
      </c>
      <c r="AW23" s="10">
        <f t="shared" si="13"/>
        <v>113.33333333333333</v>
      </c>
      <c r="AX23" s="9">
        <f t="shared" si="14"/>
        <v>55.836261380722675</v>
      </c>
      <c r="AY23" s="9">
        <f t="shared" si="15"/>
        <v>46.252259632353109</v>
      </c>
      <c r="AZ23" s="9">
        <f t="shared" si="16"/>
        <v>46.628824777008752</v>
      </c>
      <c r="BA23" s="9">
        <f t="shared" si="17"/>
        <v>49.572448596694848</v>
      </c>
      <c r="BB23" s="9">
        <f t="shared" si="18"/>
        <v>148.71734579008452</v>
      </c>
      <c r="BC23" s="10">
        <f t="shared" si="11"/>
        <v>21</v>
      </c>
      <c r="BD23" s="10">
        <f t="shared" si="12"/>
        <v>132</v>
      </c>
      <c r="BE23" s="4">
        <f t="shared" si="6"/>
        <v>23.909853249475891</v>
      </c>
      <c r="BF23" s="4">
        <f t="shared" si="7"/>
        <v>28.377595364558182</v>
      </c>
      <c r="BG23" s="7">
        <f t="shared" si="8"/>
        <v>24.073913796087933</v>
      </c>
      <c r="BH23" s="5">
        <v>115</v>
      </c>
      <c r="BI23" s="3">
        <v>50.600869565217373</v>
      </c>
      <c r="BJ23" s="3">
        <v>25.63304347826087</v>
      </c>
      <c r="BK23" s="3">
        <v>33.142608695652171</v>
      </c>
      <c r="BL23" s="3">
        <v>36.458840579710127</v>
      </c>
      <c r="BM23" s="3">
        <v>109.37652173913045</v>
      </c>
      <c r="BN23" s="18">
        <v>27</v>
      </c>
      <c r="BO23" s="18">
        <v>234</v>
      </c>
      <c r="BP23" s="4">
        <v>26.956521739130434</v>
      </c>
      <c r="BQ23" s="4">
        <v>67.826086956521735</v>
      </c>
      <c r="BR23" s="7">
        <v>54.782608695652172</v>
      </c>
      <c r="BS23" s="18"/>
      <c r="BT23" s="23">
        <v>205</v>
      </c>
    </row>
    <row r="24" spans="1:72" x14ac:dyDescent="0.25">
      <c r="A24" s="18">
        <v>19</v>
      </c>
      <c r="B24" s="18" t="s">
        <v>8</v>
      </c>
      <c r="C24" s="18">
        <v>217</v>
      </c>
      <c r="D24" s="21" t="s">
        <v>9</v>
      </c>
      <c r="E24" s="5"/>
      <c r="F24" s="3">
        <v>53.333333333333336</v>
      </c>
      <c r="G24" s="3">
        <v>40</v>
      </c>
      <c r="H24" s="3">
        <v>25</v>
      </c>
      <c r="I24" s="3">
        <f t="shared" si="9"/>
        <v>39.44444444444445</v>
      </c>
      <c r="J24" s="3">
        <f t="shared" si="10"/>
        <v>118.33333333333334</v>
      </c>
      <c r="K24" s="18">
        <f t="shared" si="3"/>
        <v>25</v>
      </c>
      <c r="L24" s="18">
        <f t="shared" si="4"/>
        <v>198</v>
      </c>
      <c r="M24" s="4"/>
      <c r="N24" s="4"/>
      <c r="O24" s="7"/>
      <c r="P24" s="5">
        <v>216</v>
      </c>
      <c r="Q24" s="3">
        <v>43.11728395061732</v>
      </c>
      <c r="R24" s="3">
        <v>35.518518518518519</v>
      </c>
      <c r="S24" s="3">
        <v>34.722222222222214</v>
      </c>
      <c r="T24" s="3">
        <v>37.786008230452651</v>
      </c>
      <c r="U24" s="3">
        <v>113.35802469135805</v>
      </c>
      <c r="V24" s="18">
        <v>32</v>
      </c>
      <c r="W24" s="18">
        <v>283</v>
      </c>
      <c r="X24" s="4">
        <v>31.481481481481481</v>
      </c>
      <c r="Y24" s="4">
        <v>51.173708920187792</v>
      </c>
      <c r="Z24" s="7">
        <v>54.166666666666664</v>
      </c>
      <c r="AA24" s="5">
        <v>233</v>
      </c>
      <c r="AB24" s="3">
        <v>34.106056215589625</v>
      </c>
      <c r="AC24" s="3">
        <v>40.492610837438427</v>
      </c>
      <c r="AD24" s="3">
        <v>37.87132407822056</v>
      </c>
      <c r="AE24" s="3">
        <v>37.48999704374959</v>
      </c>
      <c r="AF24" s="3">
        <v>112.46999113124861</v>
      </c>
      <c r="AG24" s="18">
        <v>32</v>
      </c>
      <c r="AH24" s="18">
        <v>242</v>
      </c>
      <c r="AI24" s="4">
        <v>42.364532019704434</v>
      </c>
      <c r="AJ24" s="4">
        <v>29.064039408866996</v>
      </c>
      <c r="AK24" s="7">
        <v>40.39408866995074</v>
      </c>
      <c r="AL24" s="5">
        <v>231</v>
      </c>
      <c r="AM24" s="3">
        <v>72.97213622291018</v>
      </c>
      <c r="AN24" s="3">
        <v>28.917293233082702</v>
      </c>
      <c r="AO24" s="3">
        <v>48.52941176470587</v>
      </c>
      <c r="AP24" s="3">
        <v>50.139613740232924</v>
      </c>
      <c r="AQ24" s="3">
        <v>150.41884122069877</v>
      </c>
      <c r="AR24" s="18">
        <v>22</v>
      </c>
      <c r="AS24" s="18">
        <v>138</v>
      </c>
      <c r="AT24" s="4">
        <v>4.2105263157894735</v>
      </c>
      <c r="AU24" s="4">
        <v>58.421052631578945</v>
      </c>
      <c r="AV24" s="7">
        <v>23.684210526315791</v>
      </c>
      <c r="AW24" s="10">
        <f t="shared" si="13"/>
        <v>226.66666666666666</v>
      </c>
      <c r="AX24" s="9">
        <f t="shared" si="14"/>
        <v>50.065158796372373</v>
      </c>
      <c r="AY24" s="9">
        <f t="shared" si="15"/>
        <v>34.976140863013214</v>
      </c>
      <c r="AZ24" s="9">
        <f t="shared" si="16"/>
        <v>40.374319355049543</v>
      </c>
      <c r="BA24" s="9">
        <f t="shared" si="17"/>
        <v>41.805206338145062</v>
      </c>
      <c r="BB24" s="9">
        <f t="shared" si="18"/>
        <v>125.41561901443515</v>
      </c>
      <c r="BC24" s="10">
        <f t="shared" si="11"/>
        <v>31</v>
      </c>
      <c r="BD24" s="10">
        <f t="shared" si="12"/>
        <v>236</v>
      </c>
      <c r="BE24" s="4">
        <f t="shared" si="6"/>
        <v>23.287529167746953</v>
      </c>
      <c r="BF24" s="4">
        <f t="shared" si="7"/>
        <v>43.742546020222974</v>
      </c>
      <c r="BG24" s="7">
        <f t="shared" si="8"/>
        <v>32.039149598133264</v>
      </c>
      <c r="BH24" s="5">
        <v>229</v>
      </c>
      <c r="BI24" s="3">
        <v>49.210964912280708</v>
      </c>
      <c r="BJ24" s="3">
        <v>26.892982456140327</v>
      </c>
      <c r="BK24" s="3">
        <v>30.735964912280721</v>
      </c>
      <c r="BL24" s="3">
        <v>35.613304093567237</v>
      </c>
      <c r="BM24" s="3">
        <v>106.83991228070177</v>
      </c>
      <c r="BN24" s="18">
        <v>28</v>
      </c>
      <c r="BO24" s="18">
        <v>244</v>
      </c>
      <c r="BP24" s="4">
        <v>22.807017543859651</v>
      </c>
      <c r="BQ24" s="4">
        <v>67.10526315789474</v>
      </c>
      <c r="BR24" s="7">
        <v>58.771929824561404</v>
      </c>
      <c r="BS24" s="18"/>
      <c r="BT24" s="23">
        <v>217</v>
      </c>
    </row>
    <row r="25" spans="1:72" x14ac:dyDescent="0.25">
      <c r="A25" s="1">
        <v>20</v>
      </c>
      <c r="B25" s="18" t="s">
        <v>8</v>
      </c>
      <c r="C25" s="18">
        <v>244</v>
      </c>
      <c r="D25" s="21" t="s">
        <v>9</v>
      </c>
      <c r="E25" s="5"/>
      <c r="F25" s="3">
        <v>69.666666666666671</v>
      </c>
      <c r="G25" s="3">
        <v>76</v>
      </c>
      <c r="H25" s="3">
        <v>66.666666666666671</v>
      </c>
      <c r="I25" s="3">
        <f t="shared" si="9"/>
        <v>70.777777777777786</v>
      </c>
      <c r="J25" s="3">
        <f t="shared" si="10"/>
        <v>212.33333333333337</v>
      </c>
      <c r="K25" s="18">
        <f t="shared" si="3"/>
        <v>1</v>
      </c>
      <c r="L25" s="18">
        <f t="shared" si="4"/>
        <v>2</v>
      </c>
      <c r="M25" s="4"/>
      <c r="N25" s="4"/>
      <c r="O25" s="7"/>
      <c r="P25" s="5">
        <v>203</v>
      </c>
      <c r="Q25" s="3">
        <v>65.927750410509006</v>
      </c>
      <c r="R25" s="3">
        <v>74.738916256157637</v>
      </c>
      <c r="S25" s="3">
        <v>71.362889983579649</v>
      </c>
      <c r="T25" s="3">
        <v>70.676518883415454</v>
      </c>
      <c r="U25" s="3">
        <v>212.02955665024626</v>
      </c>
      <c r="V25" s="18">
        <v>1</v>
      </c>
      <c r="W25" s="18">
        <v>7</v>
      </c>
      <c r="X25" s="4">
        <v>4.9261083743842367</v>
      </c>
      <c r="Y25" s="4">
        <v>2.6315789473684212</v>
      </c>
      <c r="Z25" s="7">
        <v>2.9556650246305418</v>
      </c>
      <c r="AA25" s="5">
        <v>208</v>
      </c>
      <c r="AB25" s="3">
        <v>62.15208034433283</v>
      </c>
      <c r="AC25" s="3">
        <v>68.721951219512192</v>
      </c>
      <c r="AD25" s="3">
        <v>66.111611161116073</v>
      </c>
      <c r="AE25" s="3">
        <v>65.564349376114052</v>
      </c>
      <c r="AF25" s="3">
        <v>196.98564272496111</v>
      </c>
      <c r="AG25" s="18">
        <v>1</v>
      </c>
      <c r="AH25" s="18">
        <v>7</v>
      </c>
      <c r="AI25" s="4">
        <v>3.9408866995073892</v>
      </c>
      <c r="AJ25" s="4">
        <v>8.3333333333333339</v>
      </c>
      <c r="AK25" s="7">
        <v>8</v>
      </c>
      <c r="AL25" s="5">
        <v>206</v>
      </c>
      <c r="AM25" s="3">
        <v>69.503862150920995</v>
      </c>
      <c r="AN25" s="3">
        <v>52.594171997157098</v>
      </c>
      <c r="AO25" s="3">
        <v>70.617500731635971</v>
      </c>
      <c r="AP25" s="3">
        <v>64.153978423052394</v>
      </c>
      <c r="AQ25" s="3">
        <v>192.71553487971406</v>
      </c>
      <c r="AR25" s="18">
        <v>5</v>
      </c>
      <c r="AS25" s="18">
        <v>22</v>
      </c>
      <c r="AT25" s="4">
        <v>3.5532994923857868</v>
      </c>
      <c r="AU25" s="4">
        <v>21</v>
      </c>
      <c r="AV25" s="7">
        <v>6.5</v>
      </c>
      <c r="AW25" s="10">
        <f t="shared" si="13"/>
        <v>205.66666666666666</v>
      </c>
      <c r="AX25" s="9">
        <f t="shared" si="14"/>
        <v>65.86123096858762</v>
      </c>
      <c r="AY25" s="9">
        <f t="shared" si="15"/>
        <v>65.351679824275649</v>
      </c>
      <c r="AZ25" s="9">
        <f t="shared" si="16"/>
        <v>69.364000625443893</v>
      </c>
      <c r="BA25" s="9">
        <f t="shared" si="17"/>
        <v>66.798282227527309</v>
      </c>
      <c r="BB25" s="9">
        <f t="shared" si="18"/>
        <v>200.57691141830716</v>
      </c>
      <c r="BC25" s="10">
        <f t="shared" si="11"/>
        <v>1</v>
      </c>
      <c r="BD25" s="10">
        <f t="shared" si="12"/>
        <v>8</v>
      </c>
      <c r="BE25" s="4">
        <f t="shared" si="6"/>
        <v>3.747093095946588</v>
      </c>
      <c r="BF25" s="4">
        <f t="shared" si="7"/>
        <v>14.666666666666668</v>
      </c>
      <c r="BG25" s="7">
        <f t="shared" si="8"/>
        <v>7.25</v>
      </c>
      <c r="BH25" s="5">
        <v>207</v>
      </c>
      <c r="BI25" s="3">
        <v>60.372946859903365</v>
      </c>
      <c r="BJ25" s="3">
        <v>34.483091787439612</v>
      </c>
      <c r="BK25" s="3">
        <v>42.070531400966182</v>
      </c>
      <c r="BL25" s="3">
        <v>45.642190016103058</v>
      </c>
      <c r="BM25" s="3">
        <v>136.92657004830917</v>
      </c>
      <c r="BN25" s="18">
        <v>9</v>
      </c>
      <c r="BO25" s="18">
        <v>87</v>
      </c>
      <c r="BP25" s="4">
        <v>13.526570048309178</v>
      </c>
      <c r="BQ25" s="4">
        <v>52.173913043478258</v>
      </c>
      <c r="BR25" s="7">
        <v>39.613526570048307</v>
      </c>
      <c r="BS25" s="18"/>
      <c r="BT25" s="23">
        <v>244</v>
      </c>
    </row>
    <row r="26" spans="1:72" x14ac:dyDescent="0.25">
      <c r="A26" s="18">
        <v>21</v>
      </c>
      <c r="B26" s="18" t="s">
        <v>8</v>
      </c>
      <c r="C26" s="18">
        <v>246</v>
      </c>
      <c r="D26" s="21" t="s">
        <v>11</v>
      </c>
      <c r="E26" s="5"/>
      <c r="F26" s="3">
        <v>50</v>
      </c>
      <c r="G26" s="3">
        <v>58.4</v>
      </c>
      <c r="H26" s="3">
        <v>52</v>
      </c>
      <c r="I26" s="3">
        <f t="shared" si="9"/>
        <v>53.466666666666669</v>
      </c>
      <c r="J26" s="3">
        <f t="shared" si="10"/>
        <v>160.4</v>
      </c>
      <c r="K26" s="18">
        <f t="shared" si="3"/>
        <v>10</v>
      </c>
      <c r="L26" s="18">
        <f t="shared" si="4"/>
        <v>52</v>
      </c>
      <c r="M26" s="4"/>
      <c r="N26" s="4"/>
      <c r="O26" s="7"/>
      <c r="P26" s="5">
        <v>124</v>
      </c>
      <c r="Q26" s="3">
        <v>55.779569892473134</v>
      </c>
      <c r="R26" s="3">
        <v>55.806451612903224</v>
      </c>
      <c r="S26" s="3">
        <v>64.811827956989276</v>
      </c>
      <c r="T26" s="3">
        <v>58.799283154121902</v>
      </c>
      <c r="U26" s="3">
        <v>176.39784946236563</v>
      </c>
      <c r="V26" s="18">
        <v>11</v>
      </c>
      <c r="W26" s="18">
        <v>66</v>
      </c>
      <c r="X26" s="4">
        <v>15.32258064516129</v>
      </c>
      <c r="Y26" s="4">
        <v>16.129032258064516</v>
      </c>
      <c r="Z26" s="7">
        <v>16.129032258064516</v>
      </c>
      <c r="AA26" s="5">
        <v>139</v>
      </c>
      <c r="AB26" s="3">
        <v>44.09353905496625</v>
      </c>
      <c r="AC26" s="3">
        <v>44.845528455284551</v>
      </c>
      <c r="AD26" s="3">
        <v>49.864498644986426</v>
      </c>
      <c r="AE26" s="3">
        <v>46.236888251235456</v>
      </c>
      <c r="AF26" s="3">
        <v>138.80356615523721</v>
      </c>
      <c r="AG26" s="18">
        <v>20</v>
      </c>
      <c r="AH26" s="18">
        <v>139</v>
      </c>
      <c r="AI26" s="4">
        <v>19.672131147540984</v>
      </c>
      <c r="AJ26" s="4">
        <v>19.512195121951219</v>
      </c>
      <c r="AK26" s="7">
        <v>17.886178861788618</v>
      </c>
      <c r="AL26" s="5">
        <v>138</v>
      </c>
      <c r="AM26" s="3">
        <v>55.738880918220922</v>
      </c>
      <c r="AN26" s="3">
        <v>37.560975609756092</v>
      </c>
      <c r="AO26" s="3">
        <v>61.26255380200859</v>
      </c>
      <c r="AP26" s="3">
        <v>51.520803443328568</v>
      </c>
      <c r="AQ26" s="3">
        <v>154.5624103299856</v>
      </c>
      <c r="AR26" s="18">
        <v>19</v>
      </c>
      <c r="AS26" s="18">
        <v>125</v>
      </c>
      <c r="AT26" s="4">
        <v>13.008130081300813</v>
      </c>
      <c r="AU26" s="4">
        <v>34.959349593495936</v>
      </c>
      <c r="AV26" s="7">
        <v>19.512195121951219</v>
      </c>
      <c r="AW26" s="10">
        <f t="shared" si="13"/>
        <v>133.66666666666666</v>
      </c>
      <c r="AX26" s="9">
        <f t="shared" si="14"/>
        <v>51.870663288553438</v>
      </c>
      <c r="AY26" s="9">
        <f t="shared" si="15"/>
        <v>46.070985225981296</v>
      </c>
      <c r="AZ26" s="9">
        <f t="shared" si="16"/>
        <v>58.646293467994759</v>
      </c>
      <c r="BA26" s="9">
        <f t="shared" si="17"/>
        <v>52.185658282895304</v>
      </c>
      <c r="BB26" s="9">
        <f t="shared" si="18"/>
        <v>156.58794198252949</v>
      </c>
      <c r="BC26" s="10">
        <f t="shared" si="11"/>
        <v>17</v>
      </c>
      <c r="BD26" s="10">
        <f t="shared" si="12"/>
        <v>100</v>
      </c>
      <c r="BE26" s="4">
        <f t="shared" ref="BE26:BE89" si="19">AVERAGE(M26,AI26,AT26)</f>
        <v>16.3401306144209</v>
      </c>
      <c r="BF26" s="4">
        <f t="shared" ref="BF26:BF89" si="20">AVERAGE(N26,AJ26,AU26)</f>
        <v>27.235772357723576</v>
      </c>
      <c r="BG26" s="7">
        <f t="shared" ref="BG26:BG89" si="21">AVERAGE(O26,AK26,AV26)</f>
        <v>18.699186991869919</v>
      </c>
      <c r="BH26" s="5">
        <v>138</v>
      </c>
      <c r="BI26" s="3">
        <v>59.938970588235335</v>
      </c>
      <c r="BJ26" s="3">
        <v>36.70000000000001</v>
      </c>
      <c r="BK26" s="3">
        <v>42.343382352941155</v>
      </c>
      <c r="BL26" s="3">
        <v>46.327450980392157</v>
      </c>
      <c r="BM26" s="3">
        <v>138.98235294117652</v>
      </c>
      <c r="BN26" s="18">
        <v>8</v>
      </c>
      <c r="BO26" s="18">
        <v>74</v>
      </c>
      <c r="BP26" s="4">
        <v>16.176470588235293</v>
      </c>
      <c r="BQ26" s="4">
        <v>46.323529411764703</v>
      </c>
      <c r="BR26" s="7">
        <v>38.970588235294116</v>
      </c>
      <c r="BS26" s="18"/>
      <c r="BT26" s="23">
        <v>246</v>
      </c>
    </row>
    <row r="27" spans="1:72" x14ac:dyDescent="0.25">
      <c r="A27" s="18">
        <v>22</v>
      </c>
      <c r="B27" s="18" t="s">
        <v>8</v>
      </c>
      <c r="C27" s="18">
        <v>248</v>
      </c>
      <c r="D27" s="21" t="s">
        <v>9</v>
      </c>
      <c r="E27" s="5"/>
      <c r="F27" s="3">
        <v>49</v>
      </c>
      <c r="G27" s="3">
        <v>45.6</v>
      </c>
      <c r="H27" s="3">
        <v>36.666666666666664</v>
      </c>
      <c r="I27" s="3">
        <f t="shared" si="9"/>
        <v>43.755555555555553</v>
      </c>
      <c r="J27" s="3">
        <f t="shared" si="10"/>
        <v>131.26666666666665</v>
      </c>
      <c r="K27" s="18">
        <f t="shared" si="3"/>
        <v>23</v>
      </c>
      <c r="L27" s="18">
        <f t="shared" si="4"/>
        <v>154</v>
      </c>
      <c r="M27" s="4"/>
      <c r="N27" s="4"/>
      <c r="O27" s="7"/>
      <c r="P27" s="5">
        <v>134</v>
      </c>
      <c r="Q27" s="3">
        <v>62.885572139303463</v>
      </c>
      <c r="R27" s="3">
        <v>60.626865671641788</v>
      </c>
      <c r="S27" s="3">
        <v>67.810945273631816</v>
      </c>
      <c r="T27" s="3">
        <v>63.774461028192377</v>
      </c>
      <c r="U27" s="3">
        <v>191.32338308457707</v>
      </c>
      <c r="V27" s="18">
        <v>6</v>
      </c>
      <c r="W27" s="18">
        <v>30</v>
      </c>
      <c r="X27" s="4">
        <v>5.9701492537313436</v>
      </c>
      <c r="Y27" s="4">
        <v>6.7164179104477615</v>
      </c>
      <c r="Z27" s="7">
        <v>6.7164179104477615</v>
      </c>
      <c r="AA27" s="5">
        <v>141</v>
      </c>
      <c r="AB27" s="3">
        <v>55.590321234876924</v>
      </c>
      <c r="AC27" s="3">
        <v>58.468085106382979</v>
      </c>
      <c r="AD27" s="3">
        <v>61.917042768106597</v>
      </c>
      <c r="AE27" s="3">
        <v>58.658483036455515</v>
      </c>
      <c r="AF27" s="3">
        <v>175.97544910936651</v>
      </c>
      <c r="AG27" s="18">
        <v>6</v>
      </c>
      <c r="AH27" s="18">
        <v>30</v>
      </c>
      <c r="AI27" s="4">
        <v>14.893617021276595</v>
      </c>
      <c r="AJ27" s="4">
        <v>12.76595744680851</v>
      </c>
      <c r="AK27" s="7">
        <v>9.9290780141843964</v>
      </c>
      <c r="AL27" s="5">
        <v>146</v>
      </c>
      <c r="AM27" s="3">
        <v>61.805841217605909</v>
      </c>
      <c r="AN27" s="3">
        <v>45.533199195171044</v>
      </c>
      <c r="AO27" s="3">
        <v>74.763471822295372</v>
      </c>
      <c r="AP27" s="3">
        <v>60.694109811756867</v>
      </c>
      <c r="AQ27" s="3">
        <v>182.10251223507231</v>
      </c>
      <c r="AR27" s="18">
        <v>8</v>
      </c>
      <c r="AS27" s="18">
        <v>38</v>
      </c>
      <c r="AT27" s="4">
        <v>6.9930069930069934</v>
      </c>
      <c r="AU27" s="4">
        <v>24.64788732394366</v>
      </c>
      <c r="AV27" s="7">
        <v>2.816901408450704</v>
      </c>
      <c r="AW27" s="10">
        <f t="shared" si="13"/>
        <v>140.33333333333334</v>
      </c>
      <c r="AX27" s="9">
        <f t="shared" si="14"/>
        <v>60.093911530595427</v>
      </c>
      <c r="AY27" s="9">
        <f t="shared" si="15"/>
        <v>54.876049991065265</v>
      </c>
      <c r="AZ27" s="9">
        <f t="shared" si="16"/>
        <v>68.163819954677919</v>
      </c>
      <c r="BA27" s="9">
        <f t="shared" si="17"/>
        <v>61.042351292134924</v>
      </c>
      <c r="BB27" s="9">
        <f t="shared" si="18"/>
        <v>183.13378147633861</v>
      </c>
      <c r="BC27" s="10">
        <f t="shared" si="11"/>
        <v>5</v>
      </c>
      <c r="BD27" s="10">
        <f t="shared" si="12"/>
        <v>26</v>
      </c>
      <c r="BE27" s="4">
        <f t="shared" si="19"/>
        <v>10.943312007141795</v>
      </c>
      <c r="BF27" s="4">
        <f t="shared" si="20"/>
        <v>18.706922385376085</v>
      </c>
      <c r="BG27" s="7">
        <f t="shared" si="21"/>
        <v>6.3729897113175502</v>
      </c>
      <c r="BH27" s="5">
        <v>145</v>
      </c>
      <c r="BI27" s="3">
        <v>60.911034482758609</v>
      </c>
      <c r="BJ27" s="3">
        <v>36.266896551724173</v>
      </c>
      <c r="BK27" s="3">
        <v>46.131724137931037</v>
      </c>
      <c r="BL27" s="3">
        <v>47.769885057471278</v>
      </c>
      <c r="BM27" s="3">
        <v>143.30965517241384</v>
      </c>
      <c r="BN27" s="18">
        <v>5</v>
      </c>
      <c r="BO27" s="18">
        <v>56</v>
      </c>
      <c r="BP27" s="4">
        <v>8.9655172413793096</v>
      </c>
      <c r="BQ27" s="4">
        <v>51.03448275862069</v>
      </c>
      <c r="BR27" s="7">
        <v>31.03448275862069</v>
      </c>
      <c r="BS27" s="18"/>
      <c r="BT27" s="23">
        <v>248</v>
      </c>
    </row>
    <row r="28" spans="1:72" x14ac:dyDescent="0.25">
      <c r="A28" s="18">
        <v>23</v>
      </c>
      <c r="B28" s="18" t="s">
        <v>8</v>
      </c>
      <c r="C28" s="18">
        <v>267</v>
      </c>
      <c r="D28" s="21" t="s">
        <v>11</v>
      </c>
      <c r="E28" s="5"/>
      <c r="F28" s="3">
        <v>53.333333333333336</v>
      </c>
      <c r="G28" s="3">
        <v>52</v>
      </c>
      <c r="H28" s="3">
        <v>43.333333333333336</v>
      </c>
      <c r="I28" s="3">
        <f t="shared" si="9"/>
        <v>49.555555555555564</v>
      </c>
      <c r="J28" s="3">
        <f t="shared" si="10"/>
        <v>148.66666666666669</v>
      </c>
      <c r="K28" s="18">
        <f t="shared" si="3"/>
        <v>13</v>
      </c>
      <c r="L28" s="18">
        <f t="shared" si="4"/>
        <v>86</v>
      </c>
      <c r="M28" s="4"/>
      <c r="N28" s="4"/>
      <c r="O28" s="7"/>
      <c r="P28" s="5">
        <v>128</v>
      </c>
      <c r="Q28" s="3">
        <v>58.463541666666671</v>
      </c>
      <c r="R28" s="3">
        <v>53.03125</v>
      </c>
      <c r="S28" s="3">
        <v>62.395833333333336</v>
      </c>
      <c r="T28" s="3">
        <v>57.963541666666657</v>
      </c>
      <c r="U28" s="3">
        <v>173.890625</v>
      </c>
      <c r="V28" s="18">
        <v>12</v>
      </c>
      <c r="W28" s="18">
        <v>71</v>
      </c>
      <c r="X28" s="4">
        <v>7.8125</v>
      </c>
      <c r="Y28" s="4">
        <v>21.09375</v>
      </c>
      <c r="Z28" s="7">
        <v>13.28125</v>
      </c>
      <c r="AA28" s="5">
        <v>132</v>
      </c>
      <c r="AB28" s="3">
        <v>48.274185707340799</v>
      </c>
      <c r="AC28" s="3">
        <v>41.619834710743802</v>
      </c>
      <c r="AD28" s="3">
        <v>48.935637365389397</v>
      </c>
      <c r="AE28" s="3">
        <v>46.276552594491356</v>
      </c>
      <c r="AF28" s="3">
        <v>138.829657783474</v>
      </c>
      <c r="AG28" s="18">
        <v>19</v>
      </c>
      <c r="AH28" s="18">
        <v>138</v>
      </c>
      <c r="AI28" s="4">
        <v>19.834710743801654</v>
      </c>
      <c r="AJ28" s="4">
        <v>30.578512396694215</v>
      </c>
      <c r="AK28" s="7">
        <v>26.666666666666668</v>
      </c>
      <c r="AL28" s="5">
        <v>133</v>
      </c>
      <c r="AM28" s="3">
        <v>59.208144796380097</v>
      </c>
      <c r="AN28" s="3">
        <v>43.098901098901095</v>
      </c>
      <c r="AO28" s="3">
        <v>56.923076923076877</v>
      </c>
      <c r="AP28" s="3">
        <v>53.076707606119363</v>
      </c>
      <c r="AQ28" s="3">
        <v>159.23012281835807</v>
      </c>
      <c r="AR28" s="18">
        <v>17</v>
      </c>
      <c r="AS28" s="18">
        <v>106</v>
      </c>
      <c r="AT28" s="4">
        <v>10.76923076923077</v>
      </c>
      <c r="AU28" s="4">
        <v>32.307692307692307</v>
      </c>
      <c r="AV28" s="7">
        <v>17.692307692307693</v>
      </c>
      <c r="AW28" s="10">
        <f t="shared" si="13"/>
        <v>131</v>
      </c>
      <c r="AX28" s="9">
        <f t="shared" si="14"/>
        <v>55.315290723462532</v>
      </c>
      <c r="AY28" s="9">
        <f t="shared" si="15"/>
        <v>45.916661936548302</v>
      </c>
      <c r="AZ28" s="9">
        <f t="shared" si="16"/>
        <v>56.084849207266537</v>
      </c>
      <c r="BA28" s="9">
        <f t="shared" si="17"/>
        <v>52.438933955759126</v>
      </c>
      <c r="BB28" s="9">
        <f t="shared" si="18"/>
        <v>157.31680186727735</v>
      </c>
      <c r="BC28" s="10">
        <f t="shared" si="11"/>
        <v>16</v>
      </c>
      <c r="BD28" s="10">
        <f t="shared" si="12"/>
        <v>97</v>
      </c>
      <c r="BE28" s="4">
        <f t="shared" si="19"/>
        <v>15.301970756516212</v>
      </c>
      <c r="BF28" s="4">
        <f t="shared" si="20"/>
        <v>31.443102352193261</v>
      </c>
      <c r="BG28" s="7">
        <f t="shared" si="21"/>
        <v>22.179487179487182</v>
      </c>
      <c r="BH28" s="5">
        <v>133</v>
      </c>
      <c r="BI28" s="3">
        <v>61.586466165413547</v>
      </c>
      <c r="BJ28" s="3">
        <v>37.15563909774437</v>
      </c>
      <c r="BK28" s="3">
        <v>44.736090225563935</v>
      </c>
      <c r="BL28" s="3">
        <v>47.826065162907256</v>
      </c>
      <c r="BM28" s="3">
        <v>143.47819548872184</v>
      </c>
      <c r="BN28" s="18">
        <v>4</v>
      </c>
      <c r="BO28" s="18">
        <v>55</v>
      </c>
      <c r="BP28" s="4">
        <v>9.022556390977444</v>
      </c>
      <c r="BQ28" s="4">
        <v>51.127819548872182</v>
      </c>
      <c r="BR28" s="7">
        <v>30.827067669172934</v>
      </c>
      <c r="BS28" s="18"/>
      <c r="BT28" s="23">
        <v>267</v>
      </c>
    </row>
    <row r="29" spans="1:72" x14ac:dyDescent="0.25">
      <c r="A29" s="18">
        <v>24</v>
      </c>
      <c r="B29" s="18" t="s">
        <v>8</v>
      </c>
      <c r="C29" s="18">
        <v>276</v>
      </c>
      <c r="D29" s="21" t="s">
        <v>9</v>
      </c>
      <c r="E29" s="5"/>
      <c r="F29" s="3">
        <v>60</v>
      </c>
      <c r="G29" s="3">
        <v>62.4</v>
      </c>
      <c r="H29" s="3">
        <v>60</v>
      </c>
      <c r="I29" s="3">
        <f t="shared" si="9"/>
        <v>60.800000000000004</v>
      </c>
      <c r="J29" s="3">
        <f t="shared" si="10"/>
        <v>182.4</v>
      </c>
      <c r="K29" s="18">
        <f t="shared" si="3"/>
        <v>5</v>
      </c>
      <c r="L29" s="18">
        <f t="shared" si="4"/>
        <v>19</v>
      </c>
      <c r="M29" s="4"/>
      <c r="N29" s="4"/>
      <c r="O29" s="7"/>
      <c r="P29" s="5">
        <v>123</v>
      </c>
      <c r="Q29" s="3">
        <v>69.783197831978285</v>
      </c>
      <c r="R29" s="3">
        <v>59.739837398373986</v>
      </c>
      <c r="S29" s="3">
        <v>71.788617886178898</v>
      </c>
      <c r="T29" s="3">
        <v>67.103884372177049</v>
      </c>
      <c r="U29" s="3">
        <v>201.31165311653115</v>
      </c>
      <c r="V29" s="18">
        <v>2</v>
      </c>
      <c r="W29" s="18">
        <v>12</v>
      </c>
      <c r="X29" s="4">
        <v>3.2520325203252032</v>
      </c>
      <c r="Y29" s="4">
        <v>12.195121951219512</v>
      </c>
      <c r="Z29" s="7">
        <v>4.0650406504065044</v>
      </c>
      <c r="AA29" s="5">
        <v>128</v>
      </c>
      <c r="AB29" s="3">
        <v>57.656395891690025</v>
      </c>
      <c r="AC29" s="3">
        <v>56.095238095238095</v>
      </c>
      <c r="AD29" s="3">
        <v>71.428571428571459</v>
      </c>
      <c r="AE29" s="3">
        <v>61.726735138499876</v>
      </c>
      <c r="AF29" s="3">
        <v>185.18020541549959</v>
      </c>
      <c r="AG29" s="18">
        <v>4</v>
      </c>
      <c r="AH29" s="18">
        <v>18</v>
      </c>
      <c r="AI29" s="4">
        <v>8.8000000000000007</v>
      </c>
      <c r="AJ29" s="4">
        <v>7.1428571428571432</v>
      </c>
      <c r="AK29" s="7">
        <v>4.1322314049586772</v>
      </c>
      <c r="AL29" s="5">
        <v>122</v>
      </c>
      <c r="AM29" s="3">
        <v>69.334619093539061</v>
      </c>
      <c r="AN29" s="3">
        <v>58.969555035128813</v>
      </c>
      <c r="AO29" s="3">
        <v>74.927675988428092</v>
      </c>
      <c r="AP29" s="3">
        <v>67.743950039032015</v>
      </c>
      <c r="AQ29" s="3">
        <v>203.23185011709597</v>
      </c>
      <c r="AR29" s="18">
        <v>2</v>
      </c>
      <c r="AS29" s="18">
        <v>9</v>
      </c>
      <c r="AT29" s="4">
        <v>1.639344262295082</v>
      </c>
      <c r="AU29" s="4">
        <v>10.344827586206897</v>
      </c>
      <c r="AV29" s="7">
        <v>5</v>
      </c>
      <c r="AW29" s="10">
        <f t="shared" si="13"/>
        <v>124.33333333333333</v>
      </c>
      <c r="AX29" s="9">
        <f t="shared" si="14"/>
        <v>65.591404272402457</v>
      </c>
      <c r="AY29" s="9">
        <f t="shared" si="15"/>
        <v>58.26821017624696</v>
      </c>
      <c r="AZ29" s="9">
        <f t="shared" si="16"/>
        <v>72.714955101059488</v>
      </c>
      <c r="BA29" s="9">
        <f t="shared" si="17"/>
        <v>65.524856516569642</v>
      </c>
      <c r="BB29" s="9">
        <f t="shared" si="18"/>
        <v>196.57456954970891</v>
      </c>
      <c r="BC29" s="10">
        <f t="shared" si="11"/>
        <v>3</v>
      </c>
      <c r="BD29" s="10">
        <f t="shared" si="12"/>
        <v>11</v>
      </c>
      <c r="BE29" s="4">
        <f t="shared" si="19"/>
        <v>5.2196721311475418</v>
      </c>
      <c r="BF29" s="4">
        <f t="shared" si="20"/>
        <v>8.7438423645320196</v>
      </c>
      <c r="BG29" s="7">
        <f t="shared" si="21"/>
        <v>4.5661157024793386</v>
      </c>
      <c r="BH29" s="5">
        <v>132</v>
      </c>
      <c r="BI29" s="3">
        <v>59.577862595419852</v>
      </c>
      <c r="BJ29" s="3">
        <v>31.258015267175569</v>
      </c>
      <c r="BK29" s="3">
        <v>45.754198473282457</v>
      </c>
      <c r="BL29" s="3">
        <v>45.530025445292637</v>
      </c>
      <c r="BM29" s="3">
        <v>136.59007633587782</v>
      </c>
      <c r="BN29" s="18">
        <v>10</v>
      </c>
      <c r="BO29" s="18">
        <v>90</v>
      </c>
      <c r="BP29" s="4">
        <v>15.267175572519085</v>
      </c>
      <c r="BQ29" s="4">
        <v>56.488549618320612</v>
      </c>
      <c r="BR29" s="7">
        <v>34.351145038167942</v>
      </c>
      <c r="BS29" s="18"/>
      <c r="BT29" s="23">
        <v>276</v>
      </c>
    </row>
    <row r="30" spans="1:72" x14ac:dyDescent="0.25">
      <c r="A30" s="1">
        <v>25</v>
      </c>
      <c r="B30" s="18" t="s">
        <v>8</v>
      </c>
      <c r="C30" s="18">
        <v>283</v>
      </c>
      <c r="D30" s="21" t="s">
        <v>9</v>
      </c>
      <c r="E30" s="5"/>
      <c r="F30" s="3">
        <v>58.666666666666671</v>
      </c>
      <c r="G30" s="3">
        <v>66</v>
      </c>
      <c r="H30" s="3">
        <v>54</v>
      </c>
      <c r="I30" s="3">
        <f t="shared" si="9"/>
        <v>59.555555555555564</v>
      </c>
      <c r="J30" s="3">
        <f t="shared" si="10"/>
        <v>178.66666666666669</v>
      </c>
      <c r="K30" s="18">
        <f t="shared" si="3"/>
        <v>7</v>
      </c>
      <c r="L30" s="18">
        <f t="shared" si="4"/>
        <v>25</v>
      </c>
      <c r="M30" s="4"/>
      <c r="N30" s="4"/>
      <c r="O30" s="7"/>
      <c r="P30" s="5">
        <v>101</v>
      </c>
      <c r="Q30" s="3">
        <v>50.033003300330051</v>
      </c>
      <c r="R30" s="3">
        <v>52</v>
      </c>
      <c r="S30" s="3">
        <v>56.765676567656797</v>
      </c>
      <c r="T30" s="3">
        <v>52.932893289328923</v>
      </c>
      <c r="U30" s="3">
        <v>158.79867986798683</v>
      </c>
      <c r="V30" s="18">
        <v>18</v>
      </c>
      <c r="W30" s="18">
        <v>110</v>
      </c>
      <c r="X30" s="4">
        <v>17.821782178217823</v>
      </c>
      <c r="Y30" s="4">
        <v>11.881188118811881</v>
      </c>
      <c r="Z30" s="7">
        <v>19.801980198019802</v>
      </c>
      <c r="AA30" s="5">
        <v>106</v>
      </c>
      <c r="AB30" s="3">
        <v>40.535818287711137</v>
      </c>
      <c r="AC30" s="3">
        <v>55.762376237623762</v>
      </c>
      <c r="AD30" s="3">
        <v>50.435043504350425</v>
      </c>
      <c r="AE30" s="3">
        <v>48.911079343228423</v>
      </c>
      <c r="AF30" s="3">
        <v>146.73323802968534</v>
      </c>
      <c r="AG30" s="18">
        <v>17</v>
      </c>
      <c r="AH30" s="18">
        <v>106</v>
      </c>
      <c r="AI30" s="4">
        <v>28.712871287128714</v>
      </c>
      <c r="AJ30" s="4">
        <v>10.891089108910892</v>
      </c>
      <c r="AK30" s="7">
        <v>19.801980198019802</v>
      </c>
      <c r="AL30" s="5">
        <v>105</v>
      </c>
      <c r="AM30" s="3">
        <v>68.597742127153921</v>
      </c>
      <c r="AN30" s="3">
        <v>52.35209235209237</v>
      </c>
      <c r="AO30" s="3">
        <v>69.934640522875824</v>
      </c>
      <c r="AP30" s="3">
        <v>63.628158334040698</v>
      </c>
      <c r="AQ30" s="3">
        <v>190.88447500212212</v>
      </c>
      <c r="AR30" s="18">
        <v>6</v>
      </c>
      <c r="AS30" s="18">
        <v>25</v>
      </c>
      <c r="AT30" s="4">
        <v>9.8901098901098905</v>
      </c>
      <c r="AU30" s="4">
        <v>25.252525252525253</v>
      </c>
      <c r="AV30" s="7">
        <v>11.494252873563218</v>
      </c>
      <c r="AW30" s="10">
        <f t="shared" si="13"/>
        <v>104</v>
      </c>
      <c r="AX30" s="9">
        <f t="shared" si="14"/>
        <v>53.05552123839837</v>
      </c>
      <c r="AY30" s="9">
        <f t="shared" si="15"/>
        <v>53.371489529905375</v>
      </c>
      <c r="AZ30" s="9">
        <f t="shared" si="16"/>
        <v>59.045120198294342</v>
      </c>
      <c r="BA30" s="9">
        <f t="shared" si="17"/>
        <v>55.157376988866019</v>
      </c>
      <c r="BB30" s="9">
        <f t="shared" si="18"/>
        <v>165.47213096659812</v>
      </c>
      <c r="BC30" s="10">
        <f t="shared" si="11"/>
        <v>13</v>
      </c>
      <c r="BD30" s="10">
        <f t="shared" si="12"/>
        <v>73</v>
      </c>
      <c r="BE30" s="4">
        <f t="shared" si="19"/>
        <v>19.301490588619302</v>
      </c>
      <c r="BF30" s="4">
        <f t="shared" si="20"/>
        <v>18.071807180718071</v>
      </c>
      <c r="BG30" s="7">
        <f t="shared" si="21"/>
        <v>15.648116535791509</v>
      </c>
      <c r="BH30" s="5">
        <v>107</v>
      </c>
      <c r="BI30" s="3">
        <v>54.299038461538437</v>
      </c>
      <c r="BJ30" s="3">
        <v>33.236538461538458</v>
      </c>
      <c r="BK30" s="3">
        <v>38.881730769230757</v>
      </c>
      <c r="BL30" s="3">
        <v>42.139102564102579</v>
      </c>
      <c r="BM30" s="3">
        <v>126.41730769230769</v>
      </c>
      <c r="BN30" s="18">
        <v>17</v>
      </c>
      <c r="BO30" s="18">
        <v>131</v>
      </c>
      <c r="BP30" s="4">
        <v>17.307692307692307</v>
      </c>
      <c r="BQ30" s="4">
        <v>55.769230769230766</v>
      </c>
      <c r="BR30" s="7">
        <v>42.307692307692307</v>
      </c>
      <c r="BS30" s="18"/>
      <c r="BT30" s="23">
        <v>283</v>
      </c>
    </row>
    <row r="31" spans="1:72" x14ac:dyDescent="0.25">
      <c r="A31" s="18">
        <v>26</v>
      </c>
      <c r="B31" s="18" t="s">
        <v>8</v>
      </c>
      <c r="C31" s="18">
        <v>284</v>
      </c>
      <c r="D31" s="21" t="s">
        <v>9</v>
      </c>
      <c r="E31" s="5"/>
      <c r="F31" s="3">
        <v>47</v>
      </c>
      <c r="G31" s="3">
        <v>52.4</v>
      </c>
      <c r="H31" s="3">
        <v>44.333333333333336</v>
      </c>
      <c r="I31" s="3">
        <f t="shared" si="9"/>
        <v>47.911111111111119</v>
      </c>
      <c r="J31" s="3">
        <f t="shared" si="10"/>
        <v>143.73333333333335</v>
      </c>
      <c r="K31" s="18">
        <f t="shared" si="3"/>
        <v>17</v>
      </c>
      <c r="L31" s="18">
        <f t="shared" si="4"/>
        <v>112</v>
      </c>
      <c r="M31" s="4"/>
      <c r="N31" s="4"/>
      <c r="O31" s="7"/>
      <c r="P31" s="5">
        <v>257</v>
      </c>
      <c r="Q31" s="3">
        <v>53.099870298313881</v>
      </c>
      <c r="R31" s="3">
        <v>57.011673151750976</v>
      </c>
      <c r="S31" s="3">
        <v>51.556420233463044</v>
      </c>
      <c r="T31" s="3">
        <v>53.889321227842643</v>
      </c>
      <c r="U31" s="3">
        <v>161.66796368352789</v>
      </c>
      <c r="V31" s="18">
        <v>16</v>
      </c>
      <c r="W31" s="18">
        <v>101</v>
      </c>
      <c r="X31" s="4">
        <v>17.120622568093385</v>
      </c>
      <c r="Y31" s="4">
        <v>10.317460317460318</v>
      </c>
      <c r="Z31" s="7">
        <v>18.677042801556421</v>
      </c>
      <c r="AA31" s="5">
        <v>275</v>
      </c>
      <c r="AB31" s="3">
        <v>50.430132527319181</v>
      </c>
      <c r="AC31" s="3">
        <v>55.22529644268775</v>
      </c>
      <c r="AD31" s="3">
        <v>53.156066594801715</v>
      </c>
      <c r="AE31" s="3">
        <v>52.937165188269589</v>
      </c>
      <c r="AF31" s="3">
        <v>158.81149556480864</v>
      </c>
      <c r="AG31" s="18">
        <v>12</v>
      </c>
      <c r="AH31" s="18">
        <v>65</v>
      </c>
      <c r="AI31" s="4">
        <v>13.438735177865613</v>
      </c>
      <c r="AJ31" s="4">
        <v>7.5098814229249014</v>
      </c>
      <c r="AK31" s="7">
        <v>16.996047430830039</v>
      </c>
      <c r="AL31" s="5">
        <v>284</v>
      </c>
      <c r="AM31" s="3">
        <v>62.462430227565434</v>
      </c>
      <c r="AN31" s="3">
        <v>47.914494264859208</v>
      </c>
      <c r="AO31" s="3">
        <v>60.444396736796897</v>
      </c>
      <c r="AP31" s="3">
        <v>56.940440409740553</v>
      </c>
      <c r="AQ31" s="3">
        <v>170.82132122922155</v>
      </c>
      <c r="AR31" s="18">
        <v>11</v>
      </c>
      <c r="AS31" s="18">
        <v>65</v>
      </c>
      <c r="AT31" s="4">
        <v>4.3795620437956204</v>
      </c>
      <c r="AU31" s="4">
        <v>7.664233576642336</v>
      </c>
      <c r="AV31" s="7">
        <v>3.2846715328467155</v>
      </c>
      <c r="AW31" s="10">
        <f t="shared" si="13"/>
        <v>272</v>
      </c>
      <c r="AX31" s="9">
        <f t="shared" si="14"/>
        <v>55.330811017732835</v>
      </c>
      <c r="AY31" s="9">
        <f t="shared" si="15"/>
        <v>53.383821286432642</v>
      </c>
      <c r="AZ31" s="9">
        <f t="shared" si="16"/>
        <v>55.052294521687223</v>
      </c>
      <c r="BA31" s="9">
        <f t="shared" si="17"/>
        <v>54.588975608617595</v>
      </c>
      <c r="BB31" s="9">
        <f t="shared" si="18"/>
        <v>163.76692682585269</v>
      </c>
      <c r="BC31" s="10">
        <f t="shared" si="11"/>
        <v>14</v>
      </c>
      <c r="BD31" s="10">
        <f t="shared" si="12"/>
        <v>78</v>
      </c>
      <c r="BE31" s="4">
        <f t="shared" si="19"/>
        <v>8.9091486108306164</v>
      </c>
      <c r="BF31" s="4">
        <f t="shared" si="20"/>
        <v>7.5870574997836187</v>
      </c>
      <c r="BG31" s="7">
        <f t="shared" si="21"/>
        <v>10.140359481838377</v>
      </c>
      <c r="BH31" s="5">
        <v>284</v>
      </c>
      <c r="BI31" s="3">
        <v>50.148042704626306</v>
      </c>
      <c r="BJ31" s="3">
        <v>27.85302491103203</v>
      </c>
      <c r="BK31" s="3">
        <v>32.301779359430618</v>
      </c>
      <c r="BL31" s="3">
        <v>36.767615658362992</v>
      </c>
      <c r="BM31" s="3">
        <v>110.30284697508898</v>
      </c>
      <c r="BN31" s="18">
        <v>26</v>
      </c>
      <c r="BO31" s="18">
        <v>229</v>
      </c>
      <c r="BP31" s="4">
        <v>23.131672597864767</v>
      </c>
      <c r="BQ31" s="4">
        <v>63.70106761565836</v>
      </c>
      <c r="BR31" s="7">
        <v>55.871886120996443</v>
      </c>
      <c r="BS31" s="18"/>
      <c r="BT31" s="23">
        <v>284</v>
      </c>
    </row>
    <row r="32" spans="1:72" x14ac:dyDescent="0.25">
      <c r="A32" s="18">
        <v>27</v>
      </c>
      <c r="B32" s="18" t="s">
        <v>8</v>
      </c>
      <c r="C32" s="18">
        <v>297</v>
      </c>
      <c r="D32" s="21" t="s">
        <v>9</v>
      </c>
      <c r="E32" s="5"/>
      <c r="F32" s="3">
        <v>47.666666666666664</v>
      </c>
      <c r="G32" s="3">
        <v>40.799999999999997</v>
      </c>
      <c r="H32" s="3">
        <v>26.666666666666668</v>
      </c>
      <c r="I32" s="3">
        <f t="shared" si="9"/>
        <v>38.37777777777778</v>
      </c>
      <c r="J32" s="3">
        <f t="shared" si="10"/>
        <v>115.13333333333334</v>
      </c>
      <c r="K32" s="18">
        <f t="shared" si="3"/>
        <v>27</v>
      </c>
      <c r="L32" s="18">
        <f t="shared" si="4"/>
        <v>214</v>
      </c>
      <c r="M32" s="4"/>
      <c r="N32" s="4"/>
      <c r="O32" s="7"/>
      <c r="P32" s="5">
        <v>184</v>
      </c>
      <c r="Q32" s="3">
        <v>54.710144927536241</v>
      </c>
      <c r="R32" s="3">
        <v>53.521739130434781</v>
      </c>
      <c r="S32" s="3">
        <v>51.775362318840557</v>
      </c>
      <c r="T32" s="3">
        <v>53.335748792270508</v>
      </c>
      <c r="U32" s="3">
        <v>160.00724637681159</v>
      </c>
      <c r="V32" s="18">
        <v>17</v>
      </c>
      <c r="W32" s="18">
        <v>105</v>
      </c>
      <c r="X32" s="4">
        <v>8.695652173913043</v>
      </c>
      <c r="Y32" s="4">
        <v>21.195652173913043</v>
      </c>
      <c r="Z32" s="7">
        <v>21.739130434782609</v>
      </c>
      <c r="AA32" s="5">
        <v>202</v>
      </c>
      <c r="AB32" s="3">
        <v>37.980922098569145</v>
      </c>
      <c r="AC32" s="3">
        <v>49.945945945945944</v>
      </c>
      <c r="AD32" s="3">
        <v>46.830466830466811</v>
      </c>
      <c r="AE32" s="3">
        <v>44.919111624993995</v>
      </c>
      <c r="AF32" s="3">
        <v>134.75733487498189</v>
      </c>
      <c r="AG32" s="18">
        <v>25</v>
      </c>
      <c r="AH32" s="18">
        <v>161</v>
      </c>
      <c r="AI32" s="4">
        <v>36.216216216216218</v>
      </c>
      <c r="AJ32" s="4">
        <v>15.135135135135135</v>
      </c>
      <c r="AK32" s="7">
        <v>21.081081081081081</v>
      </c>
      <c r="AL32" s="5">
        <v>203</v>
      </c>
      <c r="AM32" s="3">
        <v>54.254201680672232</v>
      </c>
      <c r="AN32" s="3">
        <v>26.190476190476197</v>
      </c>
      <c r="AO32" s="3">
        <v>48.774509803921603</v>
      </c>
      <c r="AP32" s="3">
        <v>43.073062558356675</v>
      </c>
      <c r="AQ32" s="3">
        <v>129.21918767507003</v>
      </c>
      <c r="AR32" s="18">
        <v>30</v>
      </c>
      <c r="AS32" s="18">
        <v>236</v>
      </c>
      <c r="AT32" s="4">
        <v>11.904761904761905</v>
      </c>
      <c r="AU32" s="4">
        <v>63.095238095238095</v>
      </c>
      <c r="AV32" s="7">
        <v>20.833333333333332</v>
      </c>
      <c r="AW32" s="10">
        <f t="shared" si="13"/>
        <v>196.33333333333334</v>
      </c>
      <c r="AX32" s="9">
        <f t="shared" si="14"/>
        <v>48.981756235592542</v>
      </c>
      <c r="AY32" s="9">
        <f t="shared" si="15"/>
        <v>43.21938708895231</v>
      </c>
      <c r="AZ32" s="9">
        <f t="shared" si="16"/>
        <v>49.126779651076326</v>
      </c>
      <c r="BA32" s="9">
        <f t="shared" si="17"/>
        <v>47.109307658540388</v>
      </c>
      <c r="BB32" s="9">
        <f t="shared" si="18"/>
        <v>141.32792297562119</v>
      </c>
      <c r="BC32" s="10">
        <f t="shared" si="11"/>
        <v>22</v>
      </c>
      <c r="BD32" s="10">
        <f t="shared" si="12"/>
        <v>161</v>
      </c>
      <c r="BE32" s="4">
        <f t="shared" si="19"/>
        <v>24.060489060489061</v>
      </c>
      <c r="BF32" s="4">
        <f t="shared" si="20"/>
        <v>39.115186615186616</v>
      </c>
      <c r="BG32" s="7">
        <f t="shared" si="21"/>
        <v>20.957207207207205</v>
      </c>
      <c r="BH32" s="5">
        <v>198</v>
      </c>
      <c r="BI32" s="3">
        <v>57.983838383838382</v>
      </c>
      <c r="BJ32" s="3">
        <v>33.034848484848503</v>
      </c>
      <c r="BK32" s="3">
        <v>38.218686868686831</v>
      </c>
      <c r="BL32" s="3">
        <v>43.079124579124567</v>
      </c>
      <c r="BM32" s="3">
        <v>129.23737373737379</v>
      </c>
      <c r="BN32" s="18">
        <v>12</v>
      </c>
      <c r="BO32" s="18">
        <v>114</v>
      </c>
      <c r="BP32" s="4">
        <v>13.636363636363637</v>
      </c>
      <c r="BQ32" s="4">
        <v>57.575757575757578</v>
      </c>
      <c r="BR32" s="7">
        <v>42.424242424242422</v>
      </c>
      <c r="BS32" s="18"/>
      <c r="BT32" s="23">
        <v>297</v>
      </c>
    </row>
    <row r="33" spans="1:72" x14ac:dyDescent="0.25">
      <c r="A33" s="18">
        <v>28</v>
      </c>
      <c r="B33" s="18" t="s">
        <v>8</v>
      </c>
      <c r="C33" s="18">
        <v>298</v>
      </c>
      <c r="D33" s="21" t="s">
        <v>9</v>
      </c>
      <c r="E33" s="5"/>
      <c r="F33" s="3">
        <v>57.666666666666664</v>
      </c>
      <c r="G33" s="3">
        <v>56.8</v>
      </c>
      <c r="H33" s="3">
        <v>48.666666666666664</v>
      </c>
      <c r="I33" s="3">
        <f t="shared" si="9"/>
        <v>54.377777777777773</v>
      </c>
      <c r="J33" s="3">
        <f t="shared" si="10"/>
        <v>163.13333333333333</v>
      </c>
      <c r="K33" s="18">
        <f t="shared" si="3"/>
        <v>8</v>
      </c>
      <c r="L33" s="18">
        <f t="shared" si="4"/>
        <v>44</v>
      </c>
      <c r="M33" s="4"/>
      <c r="N33" s="4"/>
      <c r="O33" s="7"/>
      <c r="P33" s="5">
        <v>72</v>
      </c>
      <c r="Q33" s="3">
        <v>50.787037037037038</v>
      </c>
      <c r="R33" s="3">
        <v>43.111111111111114</v>
      </c>
      <c r="S33" s="3">
        <v>42.7777777777778</v>
      </c>
      <c r="T33" s="3">
        <v>45.558641975308646</v>
      </c>
      <c r="U33" s="3">
        <v>136.67592592592595</v>
      </c>
      <c r="V33" s="18">
        <v>23</v>
      </c>
      <c r="W33" s="18">
        <v>199</v>
      </c>
      <c r="X33" s="4">
        <v>20.833333333333332</v>
      </c>
      <c r="Y33" s="4">
        <v>37.5</v>
      </c>
      <c r="Z33" s="7">
        <v>43.055555555555557</v>
      </c>
      <c r="AA33" s="5">
        <v>77</v>
      </c>
      <c r="AB33" s="3">
        <v>44.15739268680445</v>
      </c>
      <c r="AC33" s="3">
        <v>44.378378378378379</v>
      </c>
      <c r="AD33" s="3">
        <v>46.478296478296464</v>
      </c>
      <c r="AE33" s="3">
        <v>45.004689181159755</v>
      </c>
      <c r="AF33" s="3">
        <v>135.01406754347929</v>
      </c>
      <c r="AG33" s="18">
        <v>22</v>
      </c>
      <c r="AH33" s="18">
        <v>157</v>
      </c>
      <c r="AI33" s="4">
        <v>28.378378378378379</v>
      </c>
      <c r="AJ33" s="4">
        <v>16.216216216216218</v>
      </c>
      <c r="AK33" s="7">
        <v>18.918918918918919</v>
      </c>
      <c r="AL33" s="5">
        <v>77</v>
      </c>
      <c r="AM33" s="3">
        <v>61.681855840927916</v>
      </c>
      <c r="AN33" s="3">
        <v>36.74044265593561</v>
      </c>
      <c r="AO33" s="3">
        <v>44.366197183098585</v>
      </c>
      <c r="AP33" s="3">
        <v>47.59616522665403</v>
      </c>
      <c r="AQ33" s="3">
        <v>142.78849567996212</v>
      </c>
      <c r="AR33" s="18">
        <v>27</v>
      </c>
      <c r="AS33" s="18">
        <v>173</v>
      </c>
      <c r="AT33" s="4">
        <v>9.8591549295774641</v>
      </c>
      <c r="AU33" s="4">
        <v>40.845070422535208</v>
      </c>
      <c r="AV33" s="7">
        <v>22.535211267605632</v>
      </c>
      <c r="AW33" s="10">
        <f t="shared" si="13"/>
        <v>75.333333333333329</v>
      </c>
      <c r="AX33" s="9">
        <f t="shared" si="14"/>
        <v>52.208761854923132</v>
      </c>
      <c r="AY33" s="9">
        <f t="shared" si="15"/>
        <v>41.409977381808368</v>
      </c>
      <c r="AZ33" s="9">
        <f t="shared" si="16"/>
        <v>44.540757146390952</v>
      </c>
      <c r="BA33" s="9">
        <f t="shared" si="17"/>
        <v>46.053165461040805</v>
      </c>
      <c r="BB33" s="9">
        <f t="shared" si="18"/>
        <v>138.15949638312244</v>
      </c>
      <c r="BC33" s="10">
        <f t="shared" si="11"/>
        <v>25</v>
      </c>
      <c r="BD33" s="10">
        <f t="shared" si="12"/>
        <v>175</v>
      </c>
      <c r="BE33" s="4">
        <f t="shared" si="19"/>
        <v>19.118766653977922</v>
      </c>
      <c r="BF33" s="4">
        <f t="shared" si="20"/>
        <v>28.530643319375713</v>
      </c>
      <c r="BG33" s="7">
        <f t="shared" si="21"/>
        <v>20.727065093262276</v>
      </c>
      <c r="BH33" s="5">
        <v>77</v>
      </c>
      <c r="BI33" s="3">
        <v>57.397368421052626</v>
      </c>
      <c r="BJ33" s="3">
        <v>27.443421052631589</v>
      </c>
      <c r="BK33" s="3">
        <v>31.969736842105259</v>
      </c>
      <c r="BL33" s="3">
        <v>38.936842105263146</v>
      </c>
      <c r="BM33" s="3">
        <v>116.81052631578947</v>
      </c>
      <c r="BN33" s="18">
        <v>24</v>
      </c>
      <c r="BO33" s="18">
        <v>188</v>
      </c>
      <c r="BP33" s="4">
        <v>11.842105263157896</v>
      </c>
      <c r="BQ33" s="4">
        <v>60.526315789473685</v>
      </c>
      <c r="BR33" s="7">
        <v>59.210526315789473</v>
      </c>
      <c r="BS33" s="18"/>
      <c r="BT33" s="23">
        <v>298</v>
      </c>
    </row>
    <row r="34" spans="1:72" x14ac:dyDescent="0.25">
      <c r="A34" s="18">
        <v>29</v>
      </c>
      <c r="B34" s="18" t="s">
        <v>8</v>
      </c>
      <c r="C34" s="18">
        <v>299</v>
      </c>
      <c r="D34" s="21" t="s">
        <v>11</v>
      </c>
      <c r="E34" s="5"/>
      <c r="F34" s="3">
        <v>54.333333333333336</v>
      </c>
      <c r="G34" s="3">
        <v>50.8</v>
      </c>
      <c r="H34" s="3">
        <v>44.666666666666664</v>
      </c>
      <c r="I34" s="3">
        <f t="shared" si="9"/>
        <v>49.93333333333333</v>
      </c>
      <c r="J34" s="3">
        <f t="shared" si="10"/>
        <v>149.79999999999998</v>
      </c>
      <c r="K34" s="18">
        <f t="shared" si="3"/>
        <v>12</v>
      </c>
      <c r="L34" s="18">
        <f t="shared" si="4"/>
        <v>82</v>
      </c>
      <c r="M34" s="4"/>
      <c r="N34" s="4"/>
      <c r="O34" s="7"/>
      <c r="P34" s="5">
        <v>185</v>
      </c>
      <c r="Q34" s="3">
        <v>59.279279279279244</v>
      </c>
      <c r="R34" s="3">
        <v>58.918918918918919</v>
      </c>
      <c r="S34" s="3">
        <v>63.495495495495483</v>
      </c>
      <c r="T34" s="3">
        <v>60.564564564564556</v>
      </c>
      <c r="U34" s="3">
        <v>181.69369369369363</v>
      </c>
      <c r="V34" s="18">
        <v>9</v>
      </c>
      <c r="W34" s="18">
        <v>56</v>
      </c>
      <c r="X34" s="4">
        <v>9.1891891891891895</v>
      </c>
      <c r="Y34" s="4">
        <v>10.810810810810811</v>
      </c>
      <c r="Z34" s="7">
        <v>10.27027027027027</v>
      </c>
      <c r="AA34" s="5">
        <v>201</v>
      </c>
      <c r="AB34" s="3">
        <v>44.04184354154031</v>
      </c>
      <c r="AC34" s="3">
        <v>56.226804123711339</v>
      </c>
      <c r="AD34" s="3">
        <v>57.023358585858638</v>
      </c>
      <c r="AE34" s="3">
        <v>52.392484578961273</v>
      </c>
      <c r="AF34" s="3">
        <v>157.29200625111028</v>
      </c>
      <c r="AG34" s="18">
        <v>13</v>
      </c>
      <c r="AH34" s="18">
        <v>74</v>
      </c>
      <c r="AI34" s="4">
        <v>24.226804123711339</v>
      </c>
      <c r="AJ34" s="4">
        <v>15.979381443298969</v>
      </c>
      <c r="AK34" s="7">
        <v>10.9375</v>
      </c>
      <c r="AL34" s="5">
        <v>174</v>
      </c>
      <c r="AM34" s="3">
        <v>67.452670723461779</v>
      </c>
      <c r="AN34" s="3">
        <v>41.609195402298838</v>
      </c>
      <c r="AO34" s="3">
        <v>63.116970926301583</v>
      </c>
      <c r="AP34" s="3">
        <v>57.392945684020717</v>
      </c>
      <c r="AQ34" s="3">
        <v>172.17883705206219</v>
      </c>
      <c r="AR34" s="18">
        <v>10</v>
      </c>
      <c r="AS34" s="18">
        <v>61</v>
      </c>
      <c r="AT34" s="4">
        <v>3.4482758620689653</v>
      </c>
      <c r="AU34" s="4">
        <v>31.609195402298852</v>
      </c>
      <c r="AV34" s="7">
        <v>8.6206896551724146</v>
      </c>
      <c r="AW34" s="10">
        <f t="shared" si="13"/>
        <v>186.66666666666666</v>
      </c>
      <c r="AX34" s="9">
        <f t="shared" si="14"/>
        <v>56.924597848093775</v>
      </c>
      <c r="AY34" s="9">
        <f t="shared" si="15"/>
        <v>52.251639481643032</v>
      </c>
      <c r="AZ34" s="9">
        <f t="shared" si="16"/>
        <v>61.211941669218568</v>
      </c>
      <c r="BA34" s="9">
        <f t="shared" si="17"/>
        <v>56.783331609182177</v>
      </c>
      <c r="BB34" s="9">
        <f t="shared" si="18"/>
        <v>170.38817899895537</v>
      </c>
      <c r="BC34" s="10">
        <f t="shared" si="11"/>
        <v>9</v>
      </c>
      <c r="BD34" s="10">
        <f t="shared" si="12"/>
        <v>56</v>
      </c>
      <c r="BE34" s="4">
        <f t="shared" si="19"/>
        <v>13.837539992890152</v>
      </c>
      <c r="BF34" s="4">
        <f t="shared" si="20"/>
        <v>23.79428842279891</v>
      </c>
      <c r="BG34" s="7">
        <f t="shared" si="21"/>
        <v>9.7790948275862064</v>
      </c>
      <c r="BH34" s="5">
        <v>193</v>
      </c>
      <c r="BI34" s="3">
        <v>62.977720207253917</v>
      </c>
      <c r="BJ34" s="3">
        <v>38.170984455958546</v>
      </c>
      <c r="BK34" s="3">
        <v>43.994300518134715</v>
      </c>
      <c r="BL34" s="3">
        <v>48.381001727115724</v>
      </c>
      <c r="BM34" s="3">
        <v>145.14300518134709</v>
      </c>
      <c r="BN34" s="18">
        <v>3</v>
      </c>
      <c r="BO34" s="18">
        <v>48</v>
      </c>
      <c r="BP34" s="4">
        <v>8.290155440414507</v>
      </c>
      <c r="BQ34" s="4">
        <v>40.414507772020727</v>
      </c>
      <c r="BR34" s="7">
        <v>36.269430051813472</v>
      </c>
      <c r="BS34" s="18"/>
      <c r="BT34" s="23">
        <v>299</v>
      </c>
    </row>
    <row r="35" spans="1:72" x14ac:dyDescent="0.25">
      <c r="A35" s="1">
        <v>30</v>
      </c>
      <c r="B35" s="18" t="s">
        <v>8</v>
      </c>
      <c r="C35" s="18">
        <v>300</v>
      </c>
      <c r="D35" s="21" t="s">
        <v>9</v>
      </c>
      <c r="E35" s="5"/>
      <c r="F35" s="3">
        <v>44.666666666666664</v>
      </c>
      <c r="G35" s="3">
        <v>33.6</v>
      </c>
      <c r="H35" s="3">
        <v>30</v>
      </c>
      <c r="I35" s="3">
        <f t="shared" si="9"/>
        <v>36.088888888888889</v>
      </c>
      <c r="J35" s="3">
        <f t="shared" si="10"/>
        <v>108.26666666666667</v>
      </c>
      <c r="K35" s="18">
        <f t="shared" si="3"/>
        <v>29</v>
      </c>
      <c r="L35" s="18">
        <f t="shared" si="4"/>
        <v>236</v>
      </c>
      <c r="M35" s="4"/>
      <c r="N35" s="4"/>
      <c r="O35" s="7"/>
      <c r="P35" s="5">
        <v>132</v>
      </c>
      <c r="Q35" s="3">
        <v>51.287878787878789</v>
      </c>
      <c r="R35" s="3">
        <v>38.878787878787875</v>
      </c>
      <c r="S35" s="3">
        <v>50.530303030303031</v>
      </c>
      <c r="T35" s="3">
        <v>46.89898989898991</v>
      </c>
      <c r="U35" s="3">
        <v>140.69696969696969</v>
      </c>
      <c r="V35" s="18">
        <v>22</v>
      </c>
      <c r="W35" s="18">
        <v>181</v>
      </c>
      <c r="X35" s="4">
        <v>12.878787878787879</v>
      </c>
      <c r="Y35" s="4">
        <v>34.090909090909093</v>
      </c>
      <c r="Z35" s="7">
        <v>28.030303030303031</v>
      </c>
      <c r="AA35" s="5">
        <v>132</v>
      </c>
      <c r="AB35" s="3">
        <v>45.565953654188966</v>
      </c>
      <c r="AC35" s="3">
        <v>38.575757575757578</v>
      </c>
      <c r="AD35" s="3">
        <v>51.377410468319553</v>
      </c>
      <c r="AE35" s="3">
        <v>45.17304056608873</v>
      </c>
      <c r="AF35" s="3">
        <v>135.51912169826608</v>
      </c>
      <c r="AG35" s="18">
        <v>21</v>
      </c>
      <c r="AH35" s="18">
        <v>153</v>
      </c>
      <c r="AI35" s="4">
        <v>17.424242424242426</v>
      </c>
      <c r="AJ35" s="4">
        <v>36.363636363636367</v>
      </c>
      <c r="AK35" s="7">
        <v>10.606060606060606</v>
      </c>
      <c r="AL35" s="5">
        <v>124</v>
      </c>
      <c r="AM35" s="3">
        <v>56.736242884250458</v>
      </c>
      <c r="AN35" s="3">
        <v>36.474654377880192</v>
      </c>
      <c r="AO35" s="3">
        <v>50.355787476280817</v>
      </c>
      <c r="AP35" s="3">
        <v>47.855561579470496</v>
      </c>
      <c r="AQ35" s="3">
        <v>143.56668473841148</v>
      </c>
      <c r="AR35" s="18">
        <v>26</v>
      </c>
      <c r="AS35" s="18">
        <v>168</v>
      </c>
      <c r="AT35" s="4">
        <v>13.709677419354838</v>
      </c>
      <c r="AU35" s="4">
        <v>42.741935483870968</v>
      </c>
      <c r="AV35" s="7">
        <v>19.35483870967742</v>
      </c>
      <c r="AW35" s="10">
        <f t="shared" si="13"/>
        <v>129.33333333333334</v>
      </c>
      <c r="AX35" s="9">
        <f t="shared" si="14"/>
        <v>51.196691775439405</v>
      </c>
      <c r="AY35" s="9">
        <f t="shared" si="15"/>
        <v>37.976399944141882</v>
      </c>
      <c r="AZ35" s="9">
        <f t="shared" si="16"/>
        <v>50.7545003249678</v>
      </c>
      <c r="BA35" s="9">
        <f t="shared" si="17"/>
        <v>46.642530681516376</v>
      </c>
      <c r="BB35" s="9">
        <f t="shared" si="18"/>
        <v>139.92759204454907</v>
      </c>
      <c r="BC35" s="10">
        <f t="shared" si="11"/>
        <v>24</v>
      </c>
      <c r="BD35" s="10">
        <f t="shared" si="12"/>
        <v>167</v>
      </c>
      <c r="BE35" s="4">
        <f t="shared" si="19"/>
        <v>15.566959921798631</v>
      </c>
      <c r="BF35" s="4">
        <f t="shared" si="20"/>
        <v>39.552785923753667</v>
      </c>
      <c r="BG35" s="7">
        <f t="shared" si="21"/>
        <v>14.980449657869013</v>
      </c>
      <c r="BH35" s="5">
        <v>148</v>
      </c>
      <c r="BI35" s="3">
        <v>58.948299319727916</v>
      </c>
      <c r="BJ35" s="3">
        <v>29.740816326530616</v>
      </c>
      <c r="BK35" s="3">
        <v>39.213605442176878</v>
      </c>
      <c r="BL35" s="3">
        <v>42.634240362811795</v>
      </c>
      <c r="BM35" s="3">
        <v>127.90272108843538</v>
      </c>
      <c r="BN35" s="18">
        <v>15</v>
      </c>
      <c r="BO35" s="18">
        <v>126</v>
      </c>
      <c r="BP35" s="4">
        <v>12.92517006802721</v>
      </c>
      <c r="BQ35" s="4">
        <v>59.183673469387756</v>
      </c>
      <c r="BR35" s="7">
        <v>45.57823129251701</v>
      </c>
      <c r="BS35" s="18"/>
      <c r="BT35" s="23">
        <v>300</v>
      </c>
    </row>
    <row r="36" spans="1:72" x14ac:dyDescent="0.25">
      <c r="A36" s="18">
        <v>31</v>
      </c>
      <c r="B36" s="18" t="s">
        <v>8</v>
      </c>
      <c r="C36" s="18">
        <v>301</v>
      </c>
      <c r="D36" s="21" t="s">
        <v>9</v>
      </c>
      <c r="E36" s="5"/>
      <c r="F36" s="3">
        <v>52.333333333333336</v>
      </c>
      <c r="G36" s="3">
        <v>56</v>
      </c>
      <c r="H36" s="3">
        <v>53</v>
      </c>
      <c r="I36" s="3">
        <f t="shared" si="9"/>
        <v>53.777777777777779</v>
      </c>
      <c r="J36" s="3">
        <f t="shared" si="10"/>
        <v>161.33333333333334</v>
      </c>
      <c r="K36" s="18">
        <f t="shared" si="3"/>
        <v>9</v>
      </c>
      <c r="L36" s="18">
        <f t="shared" si="4"/>
        <v>49</v>
      </c>
      <c r="M36" s="4"/>
      <c r="N36" s="4"/>
      <c r="O36" s="7"/>
      <c r="P36" s="5">
        <v>74</v>
      </c>
      <c r="Q36" s="3">
        <v>48.783783783783775</v>
      </c>
      <c r="R36" s="3">
        <v>38.486486486486484</v>
      </c>
      <c r="S36" s="3">
        <v>39.549549549549539</v>
      </c>
      <c r="T36" s="3">
        <v>42.273273273273261</v>
      </c>
      <c r="U36" s="3">
        <v>126.8198198198198</v>
      </c>
      <c r="V36" s="18">
        <v>30</v>
      </c>
      <c r="W36" s="18">
        <v>252</v>
      </c>
      <c r="X36" s="4">
        <v>18.918918918918919</v>
      </c>
      <c r="Y36" s="4">
        <v>52.702702702702702</v>
      </c>
      <c r="Z36" s="7">
        <v>48.648648648648646</v>
      </c>
      <c r="AA36" s="5">
        <v>75</v>
      </c>
      <c r="AB36" s="3">
        <v>44.537815126050418</v>
      </c>
      <c r="AC36" s="3">
        <v>42.228571428571428</v>
      </c>
      <c r="AD36" s="3">
        <v>42.207792207792217</v>
      </c>
      <c r="AE36" s="3">
        <v>42.991392920804671</v>
      </c>
      <c r="AF36" s="3">
        <v>128.97417876241406</v>
      </c>
      <c r="AG36" s="18">
        <v>27</v>
      </c>
      <c r="AH36" s="18">
        <v>179</v>
      </c>
      <c r="AI36" s="4">
        <v>18.571428571428573</v>
      </c>
      <c r="AJ36" s="4">
        <v>24.285714285714285</v>
      </c>
      <c r="AK36" s="7">
        <v>30</v>
      </c>
      <c r="AL36" s="5">
        <v>75</v>
      </c>
      <c r="AM36" s="3">
        <v>58.450704225352098</v>
      </c>
      <c r="AN36" s="3">
        <v>38.672032193158955</v>
      </c>
      <c r="AO36" s="3">
        <v>51.201325600662798</v>
      </c>
      <c r="AP36" s="3">
        <v>49.441354006391293</v>
      </c>
      <c r="AQ36" s="3">
        <v>148.32406201917385</v>
      </c>
      <c r="AR36" s="18">
        <v>23</v>
      </c>
      <c r="AS36" s="18">
        <v>148</v>
      </c>
      <c r="AT36" s="4">
        <v>8.4507042253521121</v>
      </c>
      <c r="AU36" s="4">
        <v>25.35211267605634</v>
      </c>
      <c r="AV36" s="7">
        <v>15.492957746478874</v>
      </c>
      <c r="AW36" s="10">
        <f t="shared" si="13"/>
        <v>74.666666666666671</v>
      </c>
      <c r="AX36" s="9">
        <f t="shared" si="14"/>
        <v>50.590767711728766</v>
      </c>
      <c r="AY36" s="9">
        <f t="shared" si="15"/>
        <v>39.795696702738958</v>
      </c>
      <c r="AZ36" s="9">
        <f t="shared" si="16"/>
        <v>44.319555786001523</v>
      </c>
      <c r="BA36" s="9">
        <f t="shared" si="17"/>
        <v>44.902006733489742</v>
      </c>
      <c r="BB36" s="9">
        <f t="shared" si="18"/>
        <v>134.70602020046923</v>
      </c>
      <c r="BC36" s="10">
        <f t="shared" si="11"/>
        <v>28</v>
      </c>
      <c r="BD36" s="10">
        <f t="shared" si="12"/>
        <v>199</v>
      </c>
      <c r="BE36" s="4">
        <f t="shared" si="19"/>
        <v>13.511066398390343</v>
      </c>
      <c r="BF36" s="4">
        <f t="shared" si="20"/>
        <v>24.818913480885314</v>
      </c>
      <c r="BG36" s="7">
        <f t="shared" si="21"/>
        <v>22.746478873239436</v>
      </c>
      <c r="BH36" s="5">
        <v>75</v>
      </c>
      <c r="BI36" s="3">
        <v>48.954666666666668</v>
      </c>
      <c r="BJ36" s="3">
        <v>24.464000000000006</v>
      </c>
      <c r="BK36" s="3">
        <v>30.15733333333333</v>
      </c>
      <c r="BL36" s="3">
        <v>34.525333333333322</v>
      </c>
      <c r="BM36" s="3">
        <v>103.57600000000002</v>
      </c>
      <c r="BN36" s="18">
        <v>29</v>
      </c>
      <c r="BO36" s="18">
        <v>259</v>
      </c>
      <c r="BP36" s="4">
        <v>26.666666666666668</v>
      </c>
      <c r="BQ36" s="4">
        <v>70.666666666666671</v>
      </c>
      <c r="BR36" s="7">
        <v>60</v>
      </c>
      <c r="BS36" s="18"/>
      <c r="BT36" s="23">
        <v>301</v>
      </c>
    </row>
    <row r="37" spans="1:72" x14ac:dyDescent="0.25">
      <c r="A37" s="18">
        <v>32</v>
      </c>
      <c r="B37" s="18" t="s">
        <v>8</v>
      </c>
      <c r="C37" s="18">
        <v>306</v>
      </c>
      <c r="D37" s="21" t="s">
        <v>9</v>
      </c>
      <c r="E37" s="5"/>
      <c r="F37" s="3">
        <v>28.999999999999996</v>
      </c>
      <c r="G37" s="3">
        <v>28.8</v>
      </c>
      <c r="H37" s="3">
        <v>22.666666666666668</v>
      </c>
      <c r="I37" s="3">
        <f t="shared" si="9"/>
        <v>26.822222222222223</v>
      </c>
      <c r="J37" s="3">
        <f t="shared" si="10"/>
        <v>80.466666666666669</v>
      </c>
      <c r="K37" s="18">
        <f t="shared" si="3"/>
        <v>31</v>
      </c>
      <c r="L37" s="18">
        <f t="shared" si="4"/>
        <v>294</v>
      </c>
      <c r="M37" s="4"/>
      <c r="N37" s="4"/>
      <c r="O37" s="7"/>
      <c r="P37" s="5">
        <v>89</v>
      </c>
      <c r="Q37" s="3">
        <v>50.786516853932575</v>
      </c>
      <c r="R37" s="3">
        <v>51.056179775280896</v>
      </c>
      <c r="S37" s="3">
        <v>45.430711610486895</v>
      </c>
      <c r="T37" s="3">
        <v>49.091136079900117</v>
      </c>
      <c r="U37" s="3">
        <v>147.27340823970036</v>
      </c>
      <c r="V37" s="18">
        <v>21</v>
      </c>
      <c r="W37" s="18">
        <v>158</v>
      </c>
      <c r="X37" s="4">
        <v>16.853932584269664</v>
      </c>
      <c r="Y37" s="4">
        <v>15.730337078651685</v>
      </c>
      <c r="Z37" s="7">
        <v>22.471910112359552</v>
      </c>
      <c r="AA37" s="5">
        <v>113</v>
      </c>
      <c r="AB37" s="3">
        <v>31.496287835522558</v>
      </c>
      <c r="AC37" s="3">
        <v>45.333333333333336</v>
      </c>
      <c r="AD37" s="3">
        <v>41.736957200874713</v>
      </c>
      <c r="AE37" s="3">
        <v>38.66441445264973</v>
      </c>
      <c r="AF37" s="3">
        <v>118.56657836973061</v>
      </c>
      <c r="AG37" s="18">
        <v>30</v>
      </c>
      <c r="AH37" s="18">
        <v>220</v>
      </c>
      <c r="AI37" s="4">
        <v>61.165048543689323</v>
      </c>
      <c r="AJ37" s="4">
        <v>21.568627450980394</v>
      </c>
      <c r="AK37" s="7">
        <v>32.989690721649481</v>
      </c>
      <c r="AL37" s="5">
        <v>113</v>
      </c>
      <c r="AM37" s="3">
        <v>57.430340557275514</v>
      </c>
      <c r="AN37" s="3">
        <v>39.636225843122389</v>
      </c>
      <c r="AO37" s="3">
        <v>42.757242757242757</v>
      </c>
      <c r="AP37" s="3">
        <v>46.710566754337442</v>
      </c>
      <c r="AQ37" s="3">
        <v>139.82380915764065</v>
      </c>
      <c r="AR37" s="18">
        <v>28</v>
      </c>
      <c r="AS37" s="18">
        <v>188</v>
      </c>
      <c r="AT37" s="4">
        <v>8.4210526315789469</v>
      </c>
      <c r="AU37" s="4">
        <v>27.472527472527471</v>
      </c>
      <c r="AV37" s="7">
        <v>24.175824175824175</v>
      </c>
      <c r="AW37" s="10">
        <f t="shared" si="13"/>
        <v>105</v>
      </c>
      <c r="AX37" s="9">
        <f t="shared" si="14"/>
        <v>46.571048415576882</v>
      </c>
      <c r="AY37" s="9">
        <f t="shared" si="15"/>
        <v>45.341912983912209</v>
      </c>
      <c r="AZ37" s="9">
        <f t="shared" si="16"/>
        <v>43.308303856201455</v>
      </c>
      <c r="BA37" s="9">
        <f t="shared" si="17"/>
        <v>44.822039095629094</v>
      </c>
      <c r="BB37" s="9">
        <f t="shared" si="18"/>
        <v>135.22126525569055</v>
      </c>
      <c r="BC37" s="10">
        <f t="shared" si="11"/>
        <v>27</v>
      </c>
      <c r="BD37" s="10">
        <f t="shared" si="12"/>
        <v>194</v>
      </c>
      <c r="BE37" s="4">
        <f t="shared" si="19"/>
        <v>34.793050587634134</v>
      </c>
      <c r="BF37" s="4">
        <f t="shared" si="20"/>
        <v>24.52057746175393</v>
      </c>
      <c r="BG37" s="7">
        <f t="shared" si="21"/>
        <v>28.582757448736828</v>
      </c>
      <c r="BH37" s="5">
        <v>112</v>
      </c>
      <c r="BI37" s="3">
        <v>47.203571428571408</v>
      </c>
      <c r="BJ37" s="3">
        <v>22.833928571428583</v>
      </c>
      <c r="BK37" s="3">
        <v>30.245535714285712</v>
      </c>
      <c r="BL37" s="3">
        <v>33.427678571428572</v>
      </c>
      <c r="BM37" s="3">
        <v>100.28303571428572</v>
      </c>
      <c r="BN37" s="18">
        <v>31</v>
      </c>
      <c r="BO37" s="18">
        <v>267</v>
      </c>
      <c r="BP37" s="4">
        <v>29.464285714285715</v>
      </c>
      <c r="BQ37" s="4">
        <v>77.678571428571431</v>
      </c>
      <c r="BR37" s="7">
        <v>60.714285714285715</v>
      </c>
      <c r="BS37" s="18"/>
      <c r="BT37" s="23">
        <v>306</v>
      </c>
    </row>
    <row r="38" spans="1:72" x14ac:dyDescent="0.25">
      <c r="A38" s="18">
        <v>33</v>
      </c>
      <c r="B38" s="18" t="s">
        <v>8</v>
      </c>
      <c r="C38" s="18">
        <v>313</v>
      </c>
      <c r="D38" s="21" t="s">
        <v>9</v>
      </c>
      <c r="E38" s="5"/>
      <c r="F38" s="3">
        <v>48.333333333333336</v>
      </c>
      <c r="G38" s="3">
        <v>46.8</v>
      </c>
      <c r="H38" s="3">
        <v>41.333333333333336</v>
      </c>
      <c r="I38" s="3">
        <f t="shared" si="9"/>
        <v>45.488888888888887</v>
      </c>
      <c r="J38" s="3">
        <f t="shared" si="10"/>
        <v>136.46666666666667</v>
      </c>
      <c r="K38" s="18">
        <f t="shared" si="3"/>
        <v>20</v>
      </c>
      <c r="L38" s="18">
        <f t="shared" si="4"/>
        <v>136</v>
      </c>
      <c r="M38" s="4"/>
      <c r="N38" s="4"/>
      <c r="O38" s="7"/>
      <c r="P38" s="5">
        <v>183</v>
      </c>
      <c r="Q38" s="3">
        <v>56.903460837887089</v>
      </c>
      <c r="R38" s="3">
        <v>50.863387978142079</v>
      </c>
      <c r="S38" s="3">
        <v>54.808743169398895</v>
      </c>
      <c r="T38" s="3">
        <v>54.191863995142668</v>
      </c>
      <c r="U38" s="3">
        <v>162.57559198542805</v>
      </c>
      <c r="V38" s="18">
        <v>15</v>
      </c>
      <c r="W38" s="18">
        <v>98</v>
      </c>
      <c r="X38" s="4">
        <v>10.928961748633879</v>
      </c>
      <c r="Y38" s="4">
        <v>19.125683060109289</v>
      </c>
      <c r="Z38" s="7">
        <v>14.754098360655737</v>
      </c>
      <c r="AA38" s="5">
        <v>175</v>
      </c>
      <c r="AB38" s="3">
        <v>39.226890756302502</v>
      </c>
      <c r="AC38" s="3">
        <v>48.32</v>
      </c>
      <c r="AD38" s="3">
        <v>47.272727272727259</v>
      </c>
      <c r="AE38" s="3">
        <v>44.939872676343285</v>
      </c>
      <c r="AF38" s="3">
        <v>134.81961802902975</v>
      </c>
      <c r="AG38" s="18">
        <v>24</v>
      </c>
      <c r="AH38" s="18">
        <v>159</v>
      </c>
      <c r="AI38" s="4">
        <v>26.857142857142858</v>
      </c>
      <c r="AJ38" s="4">
        <v>22.857142857142858</v>
      </c>
      <c r="AK38" s="7">
        <v>24</v>
      </c>
      <c r="AL38" s="5">
        <v>175</v>
      </c>
      <c r="AM38" s="3">
        <v>61.251709986320051</v>
      </c>
      <c r="AN38" s="3">
        <v>40.647840531561471</v>
      </c>
      <c r="AO38" s="3">
        <v>53.573871409028712</v>
      </c>
      <c r="AP38" s="3">
        <v>51.824473975636742</v>
      </c>
      <c r="AQ38" s="3">
        <v>155.47342192691025</v>
      </c>
      <c r="AR38" s="18">
        <v>18</v>
      </c>
      <c r="AS38" s="18">
        <v>120</v>
      </c>
      <c r="AT38" s="4">
        <v>9.9415204678362574</v>
      </c>
      <c r="AU38" s="4">
        <v>27.906976744186046</v>
      </c>
      <c r="AV38" s="7">
        <v>15.116279069767442</v>
      </c>
      <c r="AW38" s="10">
        <f t="shared" si="13"/>
        <v>177.66666666666666</v>
      </c>
      <c r="AX38" s="9">
        <f t="shared" si="14"/>
        <v>52.460687193503212</v>
      </c>
      <c r="AY38" s="9">
        <f t="shared" si="15"/>
        <v>46.610409503234514</v>
      </c>
      <c r="AZ38" s="9">
        <f t="shared" si="16"/>
        <v>51.885113950384948</v>
      </c>
      <c r="BA38" s="9">
        <f t="shared" si="17"/>
        <v>50.318736882374232</v>
      </c>
      <c r="BB38" s="9">
        <f t="shared" si="18"/>
        <v>150.95621064712267</v>
      </c>
      <c r="BC38" s="10">
        <f t="shared" si="11"/>
        <v>20</v>
      </c>
      <c r="BD38" s="10">
        <f t="shared" si="12"/>
        <v>122</v>
      </c>
      <c r="BE38" s="4">
        <f t="shared" si="19"/>
        <v>18.399331662489558</v>
      </c>
      <c r="BF38" s="4">
        <f t="shared" si="20"/>
        <v>25.38205980066445</v>
      </c>
      <c r="BG38" s="7">
        <f t="shared" si="21"/>
        <v>19.558139534883722</v>
      </c>
      <c r="BH38" s="5">
        <v>189</v>
      </c>
      <c r="BI38" s="3">
        <v>57.443617021276602</v>
      </c>
      <c r="BJ38" s="3">
        <v>31.471808510638287</v>
      </c>
      <c r="BK38" s="3">
        <v>37.264361702127658</v>
      </c>
      <c r="BL38" s="3">
        <v>42.0599290780142</v>
      </c>
      <c r="BM38" s="3">
        <v>126.17978723404256</v>
      </c>
      <c r="BN38" s="18">
        <v>18</v>
      </c>
      <c r="BO38" s="18">
        <v>133</v>
      </c>
      <c r="BP38" s="4">
        <v>12.76595744680851</v>
      </c>
      <c r="BQ38" s="4">
        <v>57.978723404255319</v>
      </c>
      <c r="BR38" s="7">
        <v>46.276595744680854</v>
      </c>
      <c r="BS38" s="18"/>
      <c r="BT38" s="23">
        <v>313</v>
      </c>
    </row>
    <row r="39" spans="1:72" x14ac:dyDescent="0.25">
      <c r="A39" s="18">
        <v>34</v>
      </c>
      <c r="B39" s="18" t="s">
        <v>8</v>
      </c>
      <c r="C39" s="18">
        <v>314</v>
      </c>
      <c r="D39" s="21" t="s">
        <v>9</v>
      </c>
      <c r="E39" s="5"/>
      <c r="F39" s="3">
        <v>30</v>
      </c>
      <c r="G39" s="3">
        <v>31.2</v>
      </c>
      <c r="H39" s="3">
        <v>23</v>
      </c>
      <c r="I39" s="3">
        <f t="shared" si="9"/>
        <v>28.066666666666666</v>
      </c>
      <c r="J39" s="3">
        <f t="shared" si="10"/>
        <v>84.2</v>
      </c>
      <c r="K39" s="18">
        <f>IF(J39="","",(RANK(J39,$J$6:$J$39)))</f>
        <v>30</v>
      </c>
      <c r="L39" s="18">
        <f>IF(J39="","",(RANK(J39,$J$6:$J$535)))</f>
        <v>288</v>
      </c>
      <c r="M39" s="4"/>
      <c r="N39" s="4"/>
      <c r="O39" s="7"/>
      <c r="P39" s="5">
        <v>155</v>
      </c>
      <c r="Q39" s="3">
        <v>55.333333333333314</v>
      </c>
      <c r="R39" s="3">
        <v>49.21290322580645</v>
      </c>
      <c r="S39" s="3">
        <v>47.182795698924728</v>
      </c>
      <c r="T39" s="3">
        <v>50.576344086021464</v>
      </c>
      <c r="U39" s="3">
        <v>151.72903225806451</v>
      </c>
      <c r="V39" s="18">
        <v>20</v>
      </c>
      <c r="W39" s="18">
        <v>137</v>
      </c>
      <c r="X39" s="4">
        <v>12.903225806451612</v>
      </c>
      <c r="Y39" s="4">
        <v>26.451612903225808</v>
      </c>
      <c r="Z39" s="7">
        <v>25.806451612903224</v>
      </c>
      <c r="AA39" s="5">
        <v>178</v>
      </c>
      <c r="AB39" s="3">
        <v>40.973630831643007</v>
      </c>
      <c r="AC39" s="3">
        <v>40.165517241379312</v>
      </c>
      <c r="AD39" s="3">
        <v>39.20585161964469</v>
      </c>
      <c r="AE39" s="3">
        <v>40.114999897555691</v>
      </c>
      <c r="AF39" s="3">
        <v>120.344999692667</v>
      </c>
      <c r="AG39" s="18">
        <v>29</v>
      </c>
      <c r="AH39" s="18">
        <v>213</v>
      </c>
      <c r="AI39" s="4">
        <v>28.275862068965516</v>
      </c>
      <c r="AJ39" s="4">
        <v>40</v>
      </c>
      <c r="AK39" s="7">
        <v>42.068965517241381</v>
      </c>
      <c r="AL39" s="5">
        <v>178</v>
      </c>
      <c r="AM39" s="3">
        <v>61.407563025210074</v>
      </c>
      <c r="AN39" s="3">
        <v>31.038026721479948</v>
      </c>
      <c r="AO39" s="3">
        <v>58.197747183979992</v>
      </c>
      <c r="AP39" s="3">
        <v>50.416194846733006</v>
      </c>
      <c r="AQ39" s="3">
        <v>150.64333693067002</v>
      </c>
      <c r="AR39" s="18">
        <v>21</v>
      </c>
      <c r="AS39" s="18">
        <v>136</v>
      </c>
      <c r="AT39" s="4">
        <v>9.420289855072463</v>
      </c>
      <c r="AU39" s="4">
        <v>58.273381294964025</v>
      </c>
      <c r="AV39" s="7">
        <v>22.900763358778626</v>
      </c>
      <c r="AW39" s="10">
        <f t="shared" si="13"/>
        <v>170.33333333333334</v>
      </c>
      <c r="AX39" s="9">
        <f t="shared" si="14"/>
        <v>52.571509063395467</v>
      </c>
      <c r="AY39" s="9">
        <f t="shared" si="15"/>
        <v>40.13881572955524</v>
      </c>
      <c r="AZ39" s="9">
        <f t="shared" si="16"/>
        <v>48.195464834183134</v>
      </c>
      <c r="BA39" s="9">
        <f t="shared" si="17"/>
        <v>47.035846276770052</v>
      </c>
      <c r="BB39" s="9">
        <f t="shared" si="18"/>
        <v>140.90578962713383</v>
      </c>
      <c r="BC39" s="10">
        <f t="shared" si="11"/>
        <v>23</v>
      </c>
      <c r="BD39" s="10">
        <f t="shared" si="12"/>
        <v>163</v>
      </c>
      <c r="BE39" s="4">
        <f t="shared" si="19"/>
        <v>18.848075962018989</v>
      </c>
      <c r="BF39" s="4">
        <f t="shared" si="20"/>
        <v>49.136690647482013</v>
      </c>
      <c r="BG39" s="7">
        <f t="shared" si="21"/>
        <v>32.484864438010007</v>
      </c>
      <c r="BH39" s="5">
        <v>175</v>
      </c>
      <c r="BI39" s="3">
        <v>55.984117647058874</v>
      </c>
      <c r="BJ39" s="3">
        <v>31.771764705882372</v>
      </c>
      <c r="BK39" s="3">
        <v>37.2664705882353</v>
      </c>
      <c r="BL39" s="3">
        <v>41.674117647058807</v>
      </c>
      <c r="BM39" s="3">
        <v>125.02235294117645</v>
      </c>
      <c r="BN39" s="18">
        <v>19</v>
      </c>
      <c r="BO39" s="18">
        <v>137</v>
      </c>
      <c r="BP39" s="4">
        <v>20</v>
      </c>
      <c r="BQ39" s="4">
        <v>58.823529411764703</v>
      </c>
      <c r="BR39" s="7">
        <v>48.823529411764703</v>
      </c>
      <c r="BS39" s="18"/>
      <c r="BT39" s="23">
        <v>314</v>
      </c>
    </row>
    <row r="40" spans="1:72" x14ac:dyDescent="0.25">
      <c r="A40" s="1">
        <v>35</v>
      </c>
      <c r="B40" s="18" t="s">
        <v>14</v>
      </c>
      <c r="C40" s="18" t="s">
        <v>50</v>
      </c>
      <c r="D40" s="21" t="s">
        <v>15</v>
      </c>
      <c r="E40" s="5"/>
      <c r="F40" s="3"/>
      <c r="G40" s="3"/>
      <c r="H40" s="3"/>
      <c r="I40" s="3" t="str">
        <f t="shared" si="9"/>
        <v/>
      </c>
      <c r="J40" s="3" t="str">
        <f t="shared" si="10"/>
        <v/>
      </c>
      <c r="K40" s="18" t="str">
        <f t="shared" ref="K40:K60" si="22">IF(J40="","",(RANK(J40,$J$40:$J$60)))</f>
        <v/>
      </c>
      <c r="L40" s="18" t="str">
        <f t="shared" si="4"/>
        <v/>
      </c>
      <c r="M40" s="4"/>
      <c r="N40" s="4"/>
      <c r="O40" s="7"/>
      <c r="P40" s="5"/>
      <c r="Q40" s="3"/>
      <c r="R40" s="3"/>
      <c r="S40" s="3"/>
      <c r="T40" s="3"/>
      <c r="U40" s="3" t="s">
        <v>35</v>
      </c>
      <c r="V40" s="18" t="s">
        <v>35</v>
      </c>
      <c r="W40" s="18" t="s">
        <v>35</v>
      </c>
      <c r="X40" s="4" t="s">
        <v>35</v>
      </c>
      <c r="Y40" s="4" t="s">
        <v>35</v>
      </c>
      <c r="Z40" s="7" t="s">
        <v>35</v>
      </c>
      <c r="AA40" s="5"/>
      <c r="AB40" s="3"/>
      <c r="AC40" s="3"/>
      <c r="AD40" s="3"/>
      <c r="AE40" s="3"/>
      <c r="AF40" s="3" t="s">
        <v>35</v>
      </c>
      <c r="AG40" s="18" t="s">
        <v>35</v>
      </c>
      <c r="AH40" s="18" t="s">
        <v>35</v>
      </c>
      <c r="AI40" s="4" t="s">
        <v>35</v>
      </c>
      <c r="AJ40" s="4" t="s">
        <v>35</v>
      </c>
      <c r="AK40" s="7" t="s">
        <v>35</v>
      </c>
      <c r="AL40" s="5"/>
      <c r="AM40" s="3"/>
      <c r="AN40" s="3"/>
      <c r="AO40" s="3"/>
      <c r="AP40" s="3"/>
      <c r="AQ40" s="3" t="s">
        <v>35</v>
      </c>
      <c r="AR40" s="18" t="s">
        <v>35</v>
      </c>
      <c r="AS40" s="18" t="s">
        <v>35</v>
      </c>
      <c r="AT40" s="4" t="s">
        <v>35</v>
      </c>
      <c r="AU40" s="4" t="s">
        <v>35</v>
      </c>
      <c r="AV40" s="7" t="s">
        <v>35</v>
      </c>
      <c r="AW40" s="10"/>
      <c r="AX40" s="9"/>
      <c r="AY40" s="9"/>
      <c r="AZ40" s="9"/>
      <c r="BA40" s="9"/>
      <c r="BB40" s="9"/>
      <c r="BC40" s="10" t="str">
        <f>IF(BB40="","",(RANK(BB40,$BB$40:$BB$60)))</f>
        <v/>
      </c>
      <c r="BD40" s="10" t="str">
        <f t="shared" si="12"/>
        <v/>
      </c>
      <c r="BE40" s="4"/>
      <c r="BF40" s="4"/>
      <c r="BG40" s="7"/>
      <c r="BH40" s="5"/>
      <c r="BI40" s="3"/>
      <c r="BJ40" s="3"/>
      <c r="BK40" s="3"/>
      <c r="BL40" s="3"/>
      <c r="BM40" s="3"/>
      <c r="BN40" s="18"/>
      <c r="BO40" s="18"/>
      <c r="BP40" s="4"/>
      <c r="BQ40" s="4"/>
      <c r="BR40" s="7"/>
      <c r="BS40" s="18"/>
      <c r="BT40" s="23">
        <v>11</v>
      </c>
    </row>
    <row r="41" spans="1:72" x14ac:dyDescent="0.25">
      <c r="A41" s="18">
        <v>36</v>
      </c>
      <c r="B41" s="18" t="s">
        <v>14</v>
      </c>
      <c r="C41" s="18">
        <v>34</v>
      </c>
      <c r="D41" s="21" t="s">
        <v>9</v>
      </c>
      <c r="E41" s="5"/>
      <c r="F41" s="3">
        <v>46.666666666666664</v>
      </c>
      <c r="G41" s="3">
        <v>44</v>
      </c>
      <c r="H41" s="3">
        <v>34.666666666666664</v>
      </c>
      <c r="I41" s="3">
        <f t="shared" si="9"/>
        <v>41.777777777777771</v>
      </c>
      <c r="J41" s="3">
        <f t="shared" si="10"/>
        <v>125.33333333333331</v>
      </c>
      <c r="K41" s="18">
        <f t="shared" si="22"/>
        <v>14</v>
      </c>
      <c r="L41" s="18">
        <f t="shared" si="4"/>
        <v>172</v>
      </c>
      <c r="M41" s="4"/>
      <c r="N41" s="4"/>
      <c r="O41" s="7"/>
      <c r="P41" s="5">
        <v>47</v>
      </c>
      <c r="Q41" s="3">
        <v>55.39007092198581</v>
      </c>
      <c r="R41" s="3">
        <v>52.851063829787236</v>
      </c>
      <c r="S41" s="3">
        <v>46.241134751773046</v>
      </c>
      <c r="T41" s="3">
        <v>51.494089834515378</v>
      </c>
      <c r="U41" s="3">
        <v>154.48226950354609</v>
      </c>
      <c r="V41" s="18">
        <v>14</v>
      </c>
      <c r="W41" s="18">
        <v>121</v>
      </c>
      <c r="X41" s="4">
        <v>14.893617021276595</v>
      </c>
      <c r="Y41" s="4">
        <v>23.404255319148938</v>
      </c>
      <c r="Z41" s="7">
        <v>29.787234042553191</v>
      </c>
      <c r="AA41" s="5">
        <v>52</v>
      </c>
      <c r="AB41" s="3">
        <v>50.120048019207694</v>
      </c>
      <c r="AC41" s="3">
        <v>54.367346938775512</v>
      </c>
      <c r="AD41" s="3">
        <v>47.680890538033395</v>
      </c>
      <c r="AE41" s="3">
        <v>50.722761832005538</v>
      </c>
      <c r="AF41" s="3">
        <v>152.16828549601661</v>
      </c>
      <c r="AG41" s="18">
        <v>8</v>
      </c>
      <c r="AH41" s="18">
        <v>87</v>
      </c>
      <c r="AI41" s="4">
        <v>12.244897959183673</v>
      </c>
      <c r="AJ41" s="4">
        <v>16.326530612244898</v>
      </c>
      <c r="AK41" s="7">
        <v>24.489795918367346</v>
      </c>
      <c r="AL41" s="5">
        <v>52</v>
      </c>
      <c r="AM41" s="3">
        <v>61.138923654568217</v>
      </c>
      <c r="AN41" s="3">
        <v>38.480243161094229</v>
      </c>
      <c r="AO41" s="3">
        <v>47.183979974968707</v>
      </c>
      <c r="AP41" s="3">
        <v>48.934382263543732</v>
      </c>
      <c r="AQ41" s="3">
        <v>146.80314679063116</v>
      </c>
      <c r="AR41" s="18">
        <v>12</v>
      </c>
      <c r="AS41" s="18">
        <v>159</v>
      </c>
      <c r="AT41" s="4">
        <v>10.638297872340425</v>
      </c>
      <c r="AU41" s="4">
        <v>46.808510638297875</v>
      </c>
      <c r="AV41" s="7">
        <v>25.531914893617021</v>
      </c>
      <c r="AW41" s="10">
        <f t="shared" si="13"/>
        <v>50.333333333333336</v>
      </c>
      <c r="AX41" s="9">
        <f t="shared" si="14"/>
        <v>55.549680865253912</v>
      </c>
      <c r="AY41" s="9">
        <f t="shared" si="15"/>
        <v>48.566217976552331</v>
      </c>
      <c r="AZ41" s="9">
        <f t="shared" si="16"/>
        <v>47.035335088258385</v>
      </c>
      <c r="BA41" s="9">
        <f t="shared" si="17"/>
        <v>50.383744643354881</v>
      </c>
      <c r="BB41" s="9">
        <f t="shared" si="18"/>
        <v>151.15123393006462</v>
      </c>
      <c r="BC41" s="10">
        <f t="shared" ref="BC41:BC60" si="23">IF(BB41="","",(RANK(BB41,$BB$40:$BB$60)))</f>
        <v>12</v>
      </c>
      <c r="BD41" s="10">
        <f t="shared" si="12"/>
        <v>120</v>
      </c>
      <c r="BE41" s="4">
        <f t="shared" si="19"/>
        <v>11.441597915762049</v>
      </c>
      <c r="BF41" s="4">
        <f t="shared" si="20"/>
        <v>31.567520625271385</v>
      </c>
      <c r="BG41" s="7">
        <f t="shared" si="21"/>
        <v>25.010855405992181</v>
      </c>
      <c r="BH41" s="5">
        <v>52</v>
      </c>
      <c r="BI41" s="3">
        <v>48.174509803921573</v>
      </c>
      <c r="BJ41" s="3">
        <v>37.607843137254896</v>
      </c>
      <c r="BK41" s="3">
        <v>37.190196078431363</v>
      </c>
      <c r="BL41" s="3">
        <v>40.990849673202604</v>
      </c>
      <c r="BM41" s="3">
        <v>122.97254901960783</v>
      </c>
      <c r="BN41" s="18">
        <v>10</v>
      </c>
      <c r="BO41" s="18">
        <v>149</v>
      </c>
      <c r="BP41" s="4">
        <v>21.568627450980394</v>
      </c>
      <c r="BQ41" s="4">
        <v>45.098039215686278</v>
      </c>
      <c r="BR41" s="7">
        <v>58.823529411764703</v>
      </c>
      <c r="BS41" s="18"/>
      <c r="BT41" s="23">
        <v>34</v>
      </c>
    </row>
    <row r="42" spans="1:72" x14ac:dyDescent="0.25">
      <c r="A42" s="18">
        <v>37</v>
      </c>
      <c r="B42" s="18" t="s">
        <v>14</v>
      </c>
      <c r="C42" s="18">
        <v>36</v>
      </c>
      <c r="D42" s="21" t="s">
        <v>9</v>
      </c>
      <c r="E42" s="5"/>
      <c r="F42" s="3">
        <v>39</v>
      </c>
      <c r="G42" s="3">
        <v>54.4</v>
      </c>
      <c r="H42" s="3">
        <v>24.666666666666668</v>
      </c>
      <c r="I42" s="3">
        <f t="shared" si="9"/>
        <v>39.355555555555561</v>
      </c>
      <c r="J42" s="3">
        <f t="shared" si="10"/>
        <v>118.06666666666668</v>
      </c>
      <c r="K42" s="18">
        <f t="shared" si="22"/>
        <v>17</v>
      </c>
      <c r="L42" s="18">
        <f t="shared" si="4"/>
        <v>202</v>
      </c>
      <c r="M42" s="4"/>
      <c r="N42" s="4"/>
      <c r="O42" s="7"/>
      <c r="P42" s="5">
        <v>84</v>
      </c>
      <c r="Q42" s="3">
        <v>61.269841269841287</v>
      </c>
      <c r="R42" s="3">
        <v>54.952380952380949</v>
      </c>
      <c r="S42" s="3">
        <v>57.261904761904752</v>
      </c>
      <c r="T42" s="3">
        <v>57.828042328042315</v>
      </c>
      <c r="U42" s="3">
        <v>173.48412698412699</v>
      </c>
      <c r="V42" s="18">
        <v>11</v>
      </c>
      <c r="W42" s="18">
        <v>75</v>
      </c>
      <c r="X42" s="4">
        <v>11.904761904761905</v>
      </c>
      <c r="Y42" s="4">
        <v>17.857142857142858</v>
      </c>
      <c r="Z42" s="7">
        <v>15.476190476190476</v>
      </c>
      <c r="AA42" s="5">
        <v>87</v>
      </c>
      <c r="AB42" s="3">
        <v>56.962025316455694</v>
      </c>
      <c r="AC42" s="3">
        <v>60.883116883116884</v>
      </c>
      <c r="AD42" s="3">
        <v>57.416267942583737</v>
      </c>
      <c r="AE42" s="3">
        <v>58.572801732891094</v>
      </c>
      <c r="AF42" s="3">
        <v>175.26141014215631</v>
      </c>
      <c r="AG42" s="18">
        <v>4</v>
      </c>
      <c r="AH42" s="18">
        <v>32</v>
      </c>
      <c r="AI42" s="4">
        <v>11.538461538461538</v>
      </c>
      <c r="AJ42" s="4">
        <v>7.7922077922077921</v>
      </c>
      <c r="AK42" s="7">
        <v>13.157894736842104</v>
      </c>
      <c r="AL42" s="5">
        <v>93</v>
      </c>
      <c r="AM42" s="3">
        <v>58.569353667392882</v>
      </c>
      <c r="AN42" s="3">
        <v>45.388788426763114</v>
      </c>
      <c r="AO42" s="3">
        <v>58.484162895927618</v>
      </c>
      <c r="AP42" s="3">
        <v>54.301276065981952</v>
      </c>
      <c r="AQ42" s="3">
        <v>162.44230499008361</v>
      </c>
      <c r="AR42" s="18">
        <v>7</v>
      </c>
      <c r="AS42" s="18">
        <v>93</v>
      </c>
      <c r="AT42" s="4">
        <v>6.1728395061728394</v>
      </c>
      <c r="AU42" s="4">
        <v>10.126582278481013</v>
      </c>
      <c r="AV42" s="7">
        <v>11.538461538461538</v>
      </c>
      <c r="AW42" s="10">
        <f t="shared" si="13"/>
        <v>88</v>
      </c>
      <c r="AX42" s="9">
        <f t="shared" si="14"/>
        <v>58.933740084563283</v>
      </c>
      <c r="AY42" s="9">
        <f t="shared" si="15"/>
        <v>53.741428754086975</v>
      </c>
      <c r="AZ42" s="9">
        <f t="shared" si="16"/>
        <v>57.720778533472036</v>
      </c>
      <c r="BA42" s="9">
        <f t="shared" si="17"/>
        <v>56.900706708971789</v>
      </c>
      <c r="BB42" s="9">
        <f t="shared" si="18"/>
        <v>170.39594737212232</v>
      </c>
      <c r="BC42" s="10">
        <f t="shared" si="23"/>
        <v>6</v>
      </c>
      <c r="BD42" s="10">
        <f t="shared" si="12"/>
        <v>55</v>
      </c>
      <c r="BE42" s="4">
        <f t="shared" si="19"/>
        <v>8.8556505223171893</v>
      </c>
      <c r="BF42" s="4">
        <f t="shared" si="20"/>
        <v>8.9593950353444036</v>
      </c>
      <c r="BG42" s="7">
        <f t="shared" si="21"/>
        <v>12.348178137651821</v>
      </c>
      <c r="BH42" s="5">
        <v>96</v>
      </c>
      <c r="BI42" s="3">
        <v>48.021978021978022</v>
      </c>
      <c r="BJ42" s="3">
        <v>34.445054945054942</v>
      </c>
      <c r="BK42" s="3">
        <v>36.718681318681327</v>
      </c>
      <c r="BL42" s="3">
        <v>39.728571428571421</v>
      </c>
      <c r="BM42" s="3">
        <v>119.18571428571428</v>
      </c>
      <c r="BN42" s="18">
        <v>13</v>
      </c>
      <c r="BO42" s="18">
        <v>170</v>
      </c>
      <c r="BP42" s="4">
        <v>25.274725274725274</v>
      </c>
      <c r="BQ42" s="4">
        <v>50.549450549450547</v>
      </c>
      <c r="BR42" s="7">
        <v>53.846153846153847</v>
      </c>
      <c r="BS42" s="18"/>
      <c r="BT42" s="23">
        <v>36</v>
      </c>
    </row>
    <row r="43" spans="1:72" x14ac:dyDescent="0.25">
      <c r="A43" s="18">
        <v>38</v>
      </c>
      <c r="B43" s="18" t="s">
        <v>14</v>
      </c>
      <c r="C43" s="18">
        <v>37</v>
      </c>
      <c r="D43" s="21" t="s">
        <v>9</v>
      </c>
      <c r="E43" s="5"/>
      <c r="F43" s="3">
        <v>37.666666666666664</v>
      </c>
      <c r="G43" s="3">
        <v>52</v>
      </c>
      <c r="H43" s="3">
        <v>41.333333333333336</v>
      </c>
      <c r="I43" s="3">
        <f t="shared" si="9"/>
        <v>43.666666666666664</v>
      </c>
      <c r="J43" s="3">
        <f t="shared" si="10"/>
        <v>131</v>
      </c>
      <c r="K43" s="18">
        <f t="shared" si="22"/>
        <v>13</v>
      </c>
      <c r="L43" s="18">
        <f t="shared" si="4"/>
        <v>156</v>
      </c>
      <c r="M43" s="4"/>
      <c r="N43" s="4"/>
      <c r="O43" s="7"/>
      <c r="P43" s="5">
        <v>59</v>
      </c>
      <c r="Q43" s="3">
        <v>40.677966101694913</v>
      </c>
      <c r="R43" s="3">
        <v>39.389830508474574</v>
      </c>
      <c r="S43" s="3">
        <v>48.813559322033889</v>
      </c>
      <c r="T43" s="3">
        <v>42.960451977401135</v>
      </c>
      <c r="U43" s="3">
        <v>128.88135593220338</v>
      </c>
      <c r="V43" s="18">
        <v>18</v>
      </c>
      <c r="W43" s="18">
        <v>241</v>
      </c>
      <c r="X43" s="4">
        <v>32.203389830508478</v>
      </c>
      <c r="Y43" s="4">
        <v>27.118644067796609</v>
      </c>
      <c r="Z43" s="7">
        <v>28.8135593220339</v>
      </c>
      <c r="AA43" s="5">
        <v>66</v>
      </c>
      <c r="AB43" s="3">
        <v>34.077079107505071</v>
      </c>
      <c r="AC43" s="3">
        <v>41.517241379310342</v>
      </c>
      <c r="AD43" s="3">
        <v>32.549634273772206</v>
      </c>
      <c r="AE43" s="3">
        <v>36.047984920195873</v>
      </c>
      <c r="AF43" s="3">
        <v>108.1439547605876</v>
      </c>
      <c r="AG43" s="18">
        <v>18</v>
      </c>
      <c r="AH43" s="18">
        <v>258</v>
      </c>
      <c r="AI43" s="4">
        <v>46.551724137931032</v>
      </c>
      <c r="AJ43" s="4">
        <v>39.655172413793103</v>
      </c>
      <c r="AK43" s="7">
        <v>50</v>
      </c>
      <c r="AL43" s="5">
        <v>71</v>
      </c>
      <c r="AM43" s="3">
        <v>51.51515151515153</v>
      </c>
      <c r="AN43" s="3">
        <v>33.230769230769255</v>
      </c>
      <c r="AO43" s="3">
        <v>50.31674208144797</v>
      </c>
      <c r="AP43" s="3">
        <v>45.401069518716575</v>
      </c>
      <c r="AQ43" s="3">
        <v>135.06266282736874</v>
      </c>
      <c r="AR43" s="18">
        <v>15</v>
      </c>
      <c r="AS43" s="18">
        <v>212</v>
      </c>
      <c r="AT43" s="4">
        <v>19.696969696969695</v>
      </c>
      <c r="AU43" s="4">
        <v>43.07692307692308</v>
      </c>
      <c r="AV43" s="7">
        <v>21.53846153846154</v>
      </c>
      <c r="AW43" s="10">
        <f t="shared" si="13"/>
        <v>65.333333333333329</v>
      </c>
      <c r="AX43" s="9">
        <f t="shared" si="14"/>
        <v>42.090065574783836</v>
      </c>
      <c r="AY43" s="9">
        <f t="shared" si="15"/>
        <v>38.045947039518062</v>
      </c>
      <c r="AZ43" s="9">
        <f t="shared" si="16"/>
        <v>43.893311892418019</v>
      </c>
      <c r="BA43" s="9">
        <f t="shared" si="17"/>
        <v>41.469835472104528</v>
      </c>
      <c r="BB43" s="9">
        <f t="shared" si="18"/>
        <v>124.0293245067199</v>
      </c>
      <c r="BC43" s="10">
        <f t="shared" si="23"/>
        <v>17</v>
      </c>
      <c r="BD43" s="10">
        <f t="shared" si="12"/>
        <v>243</v>
      </c>
      <c r="BE43" s="4">
        <f t="shared" si="19"/>
        <v>33.124346917450367</v>
      </c>
      <c r="BF43" s="4">
        <f t="shared" si="20"/>
        <v>41.366047745358088</v>
      </c>
      <c r="BG43" s="7">
        <f t="shared" si="21"/>
        <v>35.769230769230774</v>
      </c>
      <c r="BH43" s="5">
        <v>72</v>
      </c>
      <c r="BI43" s="3">
        <v>43.073611111111113</v>
      </c>
      <c r="BJ43" s="3">
        <v>29.14027777777779</v>
      </c>
      <c r="BK43" s="3">
        <v>33.98472222222221</v>
      </c>
      <c r="BL43" s="3">
        <v>35.399537037037035</v>
      </c>
      <c r="BM43" s="3">
        <v>106.19861111111108</v>
      </c>
      <c r="BN43" s="18">
        <v>18</v>
      </c>
      <c r="BO43" s="18">
        <v>246</v>
      </c>
      <c r="BP43" s="4">
        <v>27.777777777777779</v>
      </c>
      <c r="BQ43" s="4">
        <v>59.722222222222221</v>
      </c>
      <c r="BR43" s="7">
        <v>58.333333333333336</v>
      </c>
      <c r="BS43" s="18"/>
      <c r="BT43" s="23">
        <v>37</v>
      </c>
    </row>
    <row r="44" spans="1:72" x14ac:dyDescent="0.25">
      <c r="A44" s="18">
        <v>39</v>
      </c>
      <c r="B44" s="18" t="s">
        <v>14</v>
      </c>
      <c r="C44" s="18">
        <v>39</v>
      </c>
      <c r="D44" s="21" t="s">
        <v>9</v>
      </c>
      <c r="E44" s="5"/>
      <c r="F44" s="3">
        <v>50</v>
      </c>
      <c r="G44" s="3">
        <v>58.4</v>
      </c>
      <c r="H44" s="3">
        <v>47.333333333333336</v>
      </c>
      <c r="I44" s="3">
        <f t="shared" si="9"/>
        <v>51.911111111111119</v>
      </c>
      <c r="J44" s="3">
        <f t="shared" si="10"/>
        <v>155.73333333333335</v>
      </c>
      <c r="K44" s="18">
        <f t="shared" si="22"/>
        <v>4</v>
      </c>
      <c r="L44" s="18">
        <f t="shared" si="4"/>
        <v>62</v>
      </c>
      <c r="M44" s="4"/>
      <c r="N44" s="4"/>
      <c r="O44" s="7"/>
      <c r="P44" s="5">
        <v>58</v>
      </c>
      <c r="Q44" s="3">
        <v>63.850574712643677</v>
      </c>
      <c r="R44" s="3">
        <v>62.344827586206897</v>
      </c>
      <c r="S44" s="3">
        <v>73.505747126436773</v>
      </c>
      <c r="T44" s="3">
        <v>66.567049808429118</v>
      </c>
      <c r="U44" s="3">
        <v>199.70114942528735</v>
      </c>
      <c r="V44" s="18">
        <v>4</v>
      </c>
      <c r="W44" s="18">
        <v>15</v>
      </c>
      <c r="X44" s="4">
        <v>5.1724137931034484</v>
      </c>
      <c r="Y44" s="4">
        <v>13.793103448275861</v>
      </c>
      <c r="Z44" s="7">
        <v>8.6206896551724146</v>
      </c>
      <c r="AA44" s="5">
        <v>70</v>
      </c>
      <c r="AB44" s="3">
        <v>56.705882352941188</v>
      </c>
      <c r="AC44" s="3">
        <v>49.469387755102041</v>
      </c>
      <c r="AD44" s="3">
        <v>60.482374768089052</v>
      </c>
      <c r="AE44" s="3">
        <v>54.937183600713013</v>
      </c>
      <c r="AF44" s="3">
        <v>166.65764487613228</v>
      </c>
      <c r="AG44" s="18">
        <v>6</v>
      </c>
      <c r="AH44" s="18">
        <v>49</v>
      </c>
      <c r="AI44" s="4">
        <v>22</v>
      </c>
      <c r="AJ44" s="4">
        <v>28.571428571428573</v>
      </c>
      <c r="AK44" s="7">
        <v>14.583333333333334</v>
      </c>
      <c r="AL44" s="5">
        <v>70</v>
      </c>
      <c r="AM44" s="3">
        <v>61.05476673427993</v>
      </c>
      <c r="AN44" s="3">
        <v>38.546365914786968</v>
      </c>
      <c r="AO44" s="3">
        <v>61.004056795131852</v>
      </c>
      <c r="AP44" s="3">
        <v>53.558630348691189</v>
      </c>
      <c r="AQ44" s="3">
        <v>160.60518944419874</v>
      </c>
      <c r="AR44" s="18">
        <v>8</v>
      </c>
      <c r="AS44" s="18">
        <v>100</v>
      </c>
      <c r="AT44" s="4">
        <v>6.8965517241379306</v>
      </c>
      <c r="AU44" s="4">
        <v>50.877192982456137</v>
      </c>
      <c r="AV44" s="7">
        <v>18.96551724137931</v>
      </c>
      <c r="AW44" s="10">
        <f t="shared" si="13"/>
        <v>66</v>
      </c>
      <c r="AX44" s="9">
        <f t="shared" si="14"/>
        <v>60.537074599954934</v>
      </c>
      <c r="AY44" s="9">
        <f t="shared" si="15"/>
        <v>50.120193752031973</v>
      </c>
      <c r="AZ44" s="9">
        <f t="shared" si="16"/>
        <v>64.997392896552554</v>
      </c>
      <c r="BA44" s="9">
        <f t="shared" si="17"/>
        <v>58.354287919277773</v>
      </c>
      <c r="BB44" s="9">
        <f t="shared" si="18"/>
        <v>175.65466124853947</v>
      </c>
      <c r="BC44" s="10">
        <f t="shared" si="23"/>
        <v>4</v>
      </c>
      <c r="BD44" s="10">
        <f t="shared" si="12"/>
        <v>38</v>
      </c>
      <c r="BE44" s="4">
        <f t="shared" si="19"/>
        <v>14.448275862068964</v>
      </c>
      <c r="BF44" s="4">
        <f t="shared" si="20"/>
        <v>39.724310776942353</v>
      </c>
      <c r="BG44" s="7">
        <f t="shared" si="21"/>
        <v>16.774425287356323</v>
      </c>
      <c r="BH44" s="5">
        <v>70</v>
      </c>
      <c r="BI44" s="3">
        <v>56.519117647058827</v>
      </c>
      <c r="BJ44" s="3">
        <v>38.723529411764694</v>
      </c>
      <c r="BK44" s="3">
        <v>46.316176470588246</v>
      </c>
      <c r="BL44" s="3">
        <v>47.18627450980393</v>
      </c>
      <c r="BM44" s="3">
        <v>141.5588235294118</v>
      </c>
      <c r="BN44" s="18">
        <v>5</v>
      </c>
      <c r="BO44" s="18">
        <v>61</v>
      </c>
      <c r="BP44" s="4">
        <v>19.117647058823529</v>
      </c>
      <c r="BQ44" s="4">
        <v>45.588235294117645</v>
      </c>
      <c r="BR44" s="7">
        <v>33.823529411764703</v>
      </c>
      <c r="BS44" s="18"/>
      <c r="BT44" s="23">
        <v>39</v>
      </c>
    </row>
    <row r="45" spans="1:72" x14ac:dyDescent="0.25">
      <c r="A45" s="1">
        <v>40</v>
      </c>
      <c r="B45" s="18" t="s">
        <v>14</v>
      </c>
      <c r="C45" s="18">
        <v>45</v>
      </c>
      <c r="D45" s="21" t="s">
        <v>9</v>
      </c>
      <c r="E45" s="5"/>
      <c r="F45" s="3">
        <v>58.333333333333336</v>
      </c>
      <c r="G45" s="3">
        <v>51.2</v>
      </c>
      <c r="H45" s="3">
        <v>42.666666666666664</v>
      </c>
      <c r="I45" s="3">
        <f t="shared" si="9"/>
        <v>50.733333333333327</v>
      </c>
      <c r="J45" s="3">
        <f t="shared" si="10"/>
        <v>152.19999999999999</v>
      </c>
      <c r="K45" s="18">
        <f t="shared" si="22"/>
        <v>6</v>
      </c>
      <c r="L45" s="18">
        <f t="shared" si="4"/>
        <v>71</v>
      </c>
      <c r="M45" s="4"/>
      <c r="N45" s="4"/>
      <c r="O45" s="7"/>
      <c r="P45" s="5">
        <v>129</v>
      </c>
      <c r="Q45" s="3">
        <v>57.571059431524525</v>
      </c>
      <c r="R45" s="3">
        <v>55.59375</v>
      </c>
      <c r="S45" s="3">
        <v>69.265091863517043</v>
      </c>
      <c r="T45" s="3">
        <v>60.77951388888885</v>
      </c>
      <c r="U45" s="3">
        <v>182.42990129504159</v>
      </c>
      <c r="V45" s="18">
        <v>7</v>
      </c>
      <c r="W45" s="18">
        <v>51</v>
      </c>
      <c r="X45" s="4">
        <v>7.7519379844961236</v>
      </c>
      <c r="Y45" s="4">
        <v>12.5</v>
      </c>
      <c r="Z45" s="7">
        <v>8.6614173228346463</v>
      </c>
      <c r="AA45" s="5">
        <v>141</v>
      </c>
      <c r="AB45" s="3">
        <v>48.473282442748086</v>
      </c>
      <c r="AC45" s="3">
        <v>60.030303030303031</v>
      </c>
      <c r="AD45" s="3">
        <v>76.304397357028932</v>
      </c>
      <c r="AE45" s="3">
        <v>61.649730386572493</v>
      </c>
      <c r="AF45" s="3">
        <v>184.80798283008005</v>
      </c>
      <c r="AG45" s="18">
        <v>3</v>
      </c>
      <c r="AH45" s="18">
        <v>20</v>
      </c>
      <c r="AI45" s="4">
        <v>11.450381679389313</v>
      </c>
      <c r="AJ45" s="4">
        <v>6.0606060606060606</v>
      </c>
      <c r="AK45" s="7">
        <v>2.6548672566371683</v>
      </c>
      <c r="AL45" s="5">
        <v>139</v>
      </c>
      <c r="AM45" s="3">
        <v>57.518975332068294</v>
      </c>
      <c r="AN45" s="3">
        <v>30.345622119815665</v>
      </c>
      <c r="AO45" s="3">
        <v>61.860353897656601</v>
      </c>
      <c r="AP45" s="3">
        <v>49.827866630523175</v>
      </c>
      <c r="AQ45" s="3">
        <v>149.72495134954056</v>
      </c>
      <c r="AR45" s="18">
        <v>10</v>
      </c>
      <c r="AS45" s="18">
        <v>142</v>
      </c>
      <c r="AT45" s="4">
        <v>6.4516129032258061</v>
      </c>
      <c r="AU45" s="4">
        <v>55.645161290322584</v>
      </c>
      <c r="AV45" s="7">
        <v>18.852459016393443</v>
      </c>
      <c r="AW45" s="10">
        <f t="shared" si="13"/>
        <v>136.33333333333334</v>
      </c>
      <c r="AX45" s="9">
        <f t="shared" si="14"/>
        <v>54.521105735446973</v>
      </c>
      <c r="AY45" s="9">
        <f t="shared" si="15"/>
        <v>48.656558383372897</v>
      </c>
      <c r="AZ45" s="9">
        <f t="shared" si="16"/>
        <v>69.143281039400861</v>
      </c>
      <c r="BA45" s="9">
        <f t="shared" si="17"/>
        <v>57.419036968661509</v>
      </c>
      <c r="BB45" s="9">
        <f t="shared" si="18"/>
        <v>172.32094515822072</v>
      </c>
      <c r="BC45" s="10">
        <f t="shared" si="23"/>
        <v>5</v>
      </c>
      <c r="BD45" s="10">
        <f t="shared" si="12"/>
        <v>51</v>
      </c>
      <c r="BE45" s="4">
        <f t="shared" si="19"/>
        <v>8.9509972913075586</v>
      </c>
      <c r="BF45" s="4">
        <f t="shared" si="20"/>
        <v>30.852883675464323</v>
      </c>
      <c r="BG45" s="7">
        <f t="shared" si="21"/>
        <v>10.753663136515305</v>
      </c>
      <c r="BH45" s="5">
        <v>139</v>
      </c>
      <c r="BI45" s="3">
        <v>52.353956834532362</v>
      </c>
      <c r="BJ45" s="3">
        <v>37.386330935251792</v>
      </c>
      <c r="BK45" s="3">
        <v>40.860431654676255</v>
      </c>
      <c r="BL45" s="3">
        <v>43.533573141486777</v>
      </c>
      <c r="BM45" s="3">
        <v>130.60071942446044</v>
      </c>
      <c r="BN45" s="18">
        <v>8</v>
      </c>
      <c r="BO45" s="18">
        <v>107</v>
      </c>
      <c r="BP45" s="4">
        <v>15.827338129496402</v>
      </c>
      <c r="BQ45" s="4">
        <v>41.007194244604314</v>
      </c>
      <c r="BR45" s="7">
        <v>42.446043165467628</v>
      </c>
      <c r="BS45" s="18"/>
      <c r="BT45" s="23">
        <v>45</v>
      </c>
    </row>
    <row r="46" spans="1:72" x14ac:dyDescent="0.25">
      <c r="A46" s="18">
        <v>41</v>
      </c>
      <c r="B46" s="18" t="s">
        <v>14</v>
      </c>
      <c r="C46" s="18">
        <v>47</v>
      </c>
      <c r="D46" s="21" t="s">
        <v>9</v>
      </c>
      <c r="E46" s="5"/>
      <c r="F46" s="3">
        <v>48.333333333333336</v>
      </c>
      <c r="G46" s="3">
        <v>54.8</v>
      </c>
      <c r="H46" s="3">
        <v>50.333333333333336</v>
      </c>
      <c r="I46" s="3">
        <f t="shared" si="9"/>
        <v>51.155555555555559</v>
      </c>
      <c r="J46" s="3">
        <f t="shared" si="10"/>
        <v>153.46666666666667</v>
      </c>
      <c r="K46" s="18">
        <f t="shared" si="22"/>
        <v>5</v>
      </c>
      <c r="L46" s="18">
        <f t="shared" si="4"/>
        <v>68</v>
      </c>
      <c r="M46" s="4"/>
      <c r="N46" s="4"/>
      <c r="O46" s="7"/>
      <c r="P46" s="5">
        <v>128</v>
      </c>
      <c r="Q46" s="3">
        <v>59.218750000000014</v>
      </c>
      <c r="R46" s="3">
        <v>50.125</v>
      </c>
      <c r="S46" s="3">
        <v>64.140625000000014</v>
      </c>
      <c r="T46" s="3">
        <v>57.828124999999979</v>
      </c>
      <c r="U46" s="3">
        <v>173.48437500000003</v>
      </c>
      <c r="V46" s="18">
        <v>10</v>
      </c>
      <c r="W46" s="18">
        <v>74</v>
      </c>
      <c r="X46" s="4">
        <v>5.46875</v>
      </c>
      <c r="Y46" s="4">
        <v>14.0625</v>
      </c>
      <c r="Z46" s="7">
        <v>11.71875</v>
      </c>
      <c r="AA46" s="5">
        <v>129</v>
      </c>
      <c r="AB46" s="3">
        <v>40.834473324213377</v>
      </c>
      <c r="AC46" s="3">
        <v>38.697674418604649</v>
      </c>
      <c r="AD46" s="3">
        <v>50.293634014564191</v>
      </c>
      <c r="AE46" s="3">
        <v>43.275260585794122</v>
      </c>
      <c r="AF46" s="3">
        <v>129.82578175738223</v>
      </c>
      <c r="AG46" s="18">
        <v>15</v>
      </c>
      <c r="AH46" s="18">
        <v>174</v>
      </c>
      <c r="AI46" s="4">
        <v>34.883720930232556</v>
      </c>
      <c r="AJ46" s="4">
        <v>38.759689922480618</v>
      </c>
      <c r="AK46" s="7">
        <v>26.356589147286822</v>
      </c>
      <c r="AL46" s="5">
        <v>128</v>
      </c>
      <c r="AM46" s="3">
        <v>51.562500000000007</v>
      </c>
      <c r="AN46" s="3">
        <v>30.75892857142858</v>
      </c>
      <c r="AO46" s="3">
        <v>50.781250000000043</v>
      </c>
      <c r="AP46" s="3">
        <v>44.367559523809483</v>
      </c>
      <c r="AQ46" s="3">
        <v>133.10267857142861</v>
      </c>
      <c r="AR46" s="18">
        <v>16</v>
      </c>
      <c r="AS46" s="18">
        <v>221</v>
      </c>
      <c r="AT46" s="4">
        <v>21.875</v>
      </c>
      <c r="AU46" s="4">
        <v>54.6875</v>
      </c>
      <c r="AV46" s="7">
        <v>31.25</v>
      </c>
      <c r="AW46" s="10">
        <f t="shared" si="13"/>
        <v>128.33333333333334</v>
      </c>
      <c r="AX46" s="9">
        <f t="shared" si="14"/>
        <v>50.538574441404471</v>
      </c>
      <c r="AY46" s="9">
        <f t="shared" si="15"/>
        <v>39.860534330011077</v>
      </c>
      <c r="AZ46" s="9">
        <f t="shared" si="16"/>
        <v>55.071836338188085</v>
      </c>
      <c r="BA46" s="9">
        <f t="shared" si="17"/>
        <v>48.490315036534525</v>
      </c>
      <c r="BB46" s="9">
        <f t="shared" si="18"/>
        <v>145.47094510960363</v>
      </c>
      <c r="BC46" s="10">
        <f t="shared" si="23"/>
        <v>14</v>
      </c>
      <c r="BD46" s="10">
        <f t="shared" si="12"/>
        <v>142</v>
      </c>
      <c r="BE46" s="4">
        <f t="shared" si="19"/>
        <v>28.379360465116278</v>
      </c>
      <c r="BF46" s="4">
        <f t="shared" si="20"/>
        <v>46.723594961240309</v>
      </c>
      <c r="BG46" s="7">
        <f t="shared" si="21"/>
        <v>28.803294573643413</v>
      </c>
      <c r="BH46" s="5">
        <v>142</v>
      </c>
      <c r="BI46" s="3">
        <v>56.888732394366201</v>
      </c>
      <c r="BJ46" s="3">
        <v>34.553521126760565</v>
      </c>
      <c r="BK46" s="3">
        <v>47.203521126760577</v>
      </c>
      <c r="BL46" s="3">
        <v>46.21525821596245</v>
      </c>
      <c r="BM46" s="3">
        <v>138.64577464788729</v>
      </c>
      <c r="BN46" s="18">
        <v>6</v>
      </c>
      <c r="BO46" s="18">
        <v>76</v>
      </c>
      <c r="BP46" s="4">
        <v>15.492957746478874</v>
      </c>
      <c r="BQ46" s="4">
        <v>45.070422535211264</v>
      </c>
      <c r="BR46" s="7">
        <v>31.690140845070424</v>
      </c>
      <c r="BS46" s="18"/>
      <c r="BT46" s="23">
        <v>47</v>
      </c>
    </row>
    <row r="47" spans="1:72" x14ac:dyDescent="0.25">
      <c r="A47" s="18">
        <v>42</v>
      </c>
      <c r="B47" s="18" t="s">
        <v>14</v>
      </c>
      <c r="C47" s="18">
        <v>57</v>
      </c>
      <c r="D47" s="21" t="s">
        <v>9</v>
      </c>
      <c r="E47" s="5"/>
      <c r="F47" s="3">
        <v>46.666666666666664</v>
      </c>
      <c r="G47" s="3">
        <v>35.6</v>
      </c>
      <c r="H47" s="3">
        <v>26.666666666666668</v>
      </c>
      <c r="I47" s="3">
        <f t="shared" si="9"/>
        <v>36.31111111111111</v>
      </c>
      <c r="J47" s="3">
        <f t="shared" si="10"/>
        <v>108.93333333333334</v>
      </c>
      <c r="K47" s="18">
        <f t="shared" si="22"/>
        <v>19</v>
      </c>
      <c r="L47" s="18">
        <f t="shared" si="4"/>
        <v>232</v>
      </c>
      <c r="M47" s="4"/>
      <c r="N47" s="4"/>
      <c r="O47" s="7"/>
      <c r="P47" s="5">
        <v>70</v>
      </c>
      <c r="Q47" s="3">
        <v>56.333333333333336</v>
      </c>
      <c r="R47" s="3">
        <v>49.2</v>
      </c>
      <c r="S47" s="3">
        <v>58.809523809523803</v>
      </c>
      <c r="T47" s="3">
        <v>54.780952380952371</v>
      </c>
      <c r="U47" s="3">
        <v>164.34285714285713</v>
      </c>
      <c r="V47" s="18">
        <v>13</v>
      </c>
      <c r="W47" s="18">
        <v>95</v>
      </c>
      <c r="X47" s="4">
        <v>4.2857142857142856</v>
      </c>
      <c r="Y47" s="4">
        <v>18.571428571428573</v>
      </c>
      <c r="Z47" s="7">
        <v>1.4285714285714286</v>
      </c>
      <c r="AA47" s="5">
        <v>75</v>
      </c>
      <c r="AB47" s="3">
        <v>42.130365659777432</v>
      </c>
      <c r="AC47" s="3">
        <v>47.567567567567565</v>
      </c>
      <c r="AD47" s="3">
        <v>46.437346437346427</v>
      </c>
      <c r="AE47" s="3">
        <v>45.378426554897153</v>
      </c>
      <c r="AF47" s="3">
        <v>136.13527966469144</v>
      </c>
      <c r="AG47" s="18">
        <v>13</v>
      </c>
      <c r="AH47" s="18">
        <v>150</v>
      </c>
      <c r="AI47" s="4">
        <v>36.486486486486484</v>
      </c>
      <c r="AJ47" s="4">
        <v>20.27027027027027</v>
      </c>
      <c r="AK47" s="7">
        <v>33.783783783783782</v>
      </c>
      <c r="AL47" s="5">
        <v>75</v>
      </c>
      <c r="AM47" s="3">
        <v>63.8888888888889</v>
      </c>
      <c r="AN47" s="3">
        <v>45.198412698412696</v>
      </c>
      <c r="AO47" s="3">
        <v>60.212418300653617</v>
      </c>
      <c r="AP47" s="3">
        <v>56.433239962651719</v>
      </c>
      <c r="AQ47" s="3">
        <v>169.29971988795521</v>
      </c>
      <c r="AR47" s="18">
        <v>5</v>
      </c>
      <c r="AS47" s="18">
        <v>69</v>
      </c>
      <c r="AT47" s="4">
        <v>5.5555555555555554</v>
      </c>
      <c r="AU47" s="4">
        <v>26.760563380281692</v>
      </c>
      <c r="AV47" s="7">
        <v>11.111111111111111</v>
      </c>
      <c r="AW47" s="10">
        <f t="shared" si="13"/>
        <v>73.333333333333329</v>
      </c>
      <c r="AX47" s="9">
        <f t="shared" si="14"/>
        <v>54.117529293999894</v>
      </c>
      <c r="AY47" s="9">
        <f t="shared" si="15"/>
        <v>47.321993421993419</v>
      </c>
      <c r="AZ47" s="9">
        <f t="shared" si="16"/>
        <v>55.153096182507944</v>
      </c>
      <c r="BA47" s="9">
        <f t="shared" si="17"/>
        <v>52.197539632833752</v>
      </c>
      <c r="BB47" s="9">
        <f t="shared" si="18"/>
        <v>156.59261889850129</v>
      </c>
      <c r="BC47" s="10">
        <f t="shared" si="23"/>
        <v>11</v>
      </c>
      <c r="BD47" s="10">
        <f t="shared" si="12"/>
        <v>99</v>
      </c>
      <c r="BE47" s="4">
        <f t="shared" si="19"/>
        <v>21.021021021021021</v>
      </c>
      <c r="BF47" s="4">
        <f t="shared" si="20"/>
        <v>23.515416825275981</v>
      </c>
      <c r="BG47" s="7">
        <f t="shared" si="21"/>
        <v>22.447447447447445</v>
      </c>
      <c r="BH47" s="5">
        <v>75</v>
      </c>
      <c r="BI47" s="3">
        <v>44.138666666666666</v>
      </c>
      <c r="BJ47" s="3">
        <v>37.986666666666657</v>
      </c>
      <c r="BK47" s="3">
        <v>32.046666666666674</v>
      </c>
      <c r="BL47" s="3">
        <v>38.057333333333325</v>
      </c>
      <c r="BM47" s="3">
        <v>114.17199999999997</v>
      </c>
      <c r="BN47" s="18">
        <v>17</v>
      </c>
      <c r="BO47" s="18">
        <v>212</v>
      </c>
      <c r="BP47" s="4">
        <v>29.333333333333332</v>
      </c>
      <c r="BQ47" s="4">
        <v>36</v>
      </c>
      <c r="BR47" s="7">
        <v>60</v>
      </c>
      <c r="BS47" s="18"/>
      <c r="BT47" s="23">
        <v>57</v>
      </c>
    </row>
    <row r="48" spans="1:72" x14ac:dyDescent="0.25">
      <c r="A48" s="18">
        <v>43</v>
      </c>
      <c r="B48" s="18" t="s">
        <v>14</v>
      </c>
      <c r="C48" s="18">
        <v>73</v>
      </c>
      <c r="D48" s="21" t="s">
        <v>9</v>
      </c>
      <c r="E48" s="5"/>
      <c r="F48" s="3">
        <v>38.666666666666664</v>
      </c>
      <c r="G48" s="3">
        <v>56</v>
      </c>
      <c r="H48" s="3">
        <v>49.666666666666664</v>
      </c>
      <c r="I48" s="3">
        <f t="shared" si="9"/>
        <v>48.111111111111107</v>
      </c>
      <c r="J48" s="3">
        <f t="shared" si="10"/>
        <v>144.33333333333331</v>
      </c>
      <c r="K48" s="18">
        <f t="shared" si="22"/>
        <v>10</v>
      </c>
      <c r="L48" s="18">
        <f t="shared" si="4"/>
        <v>110</v>
      </c>
      <c r="M48" s="4"/>
      <c r="N48" s="4"/>
      <c r="O48" s="7"/>
      <c r="P48" s="5">
        <v>73</v>
      </c>
      <c r="Q48" s="3">
        <v>63.607305936073082</v>
      </c>
      <c r="R48" s="3">
        <v>51.945205479452056</v>
      </c>
      <c r="S48" s="3">
        <v>58.310502283105016</v>
      </c>
      <c r="T48" s="3">
        <v>57.95433789954334</v>
      </c>
      <c r="U48" s="3">
        <v>173.86301369863017</v>
      </c>
      <c r="V48" s="18">
        <v>9</v>
      </c>
      <c r="W48" s="18">
        <v>72</v>
      </c>
      <c r="X48" s="4">
        <v>2.7397260273972601</v>
      </c>
      <c r="Y48" s="4">
        <v>19.17808219178082</v>
      </c>
      <c r="Z48" s="7">
        <v>16.438356164383563</v>
      </c>
      <c r="AA48" s="5">
        <v>75</v>
      </c>
      <c r="AB48" s="3">
        <v>51.007252215954864</v>
      </c>
      <c r="AC48" s="3">
        <v>59.945205479452056</v>
      </c>
      <c r="AD48" s="3">
        <v>58.987131589871325</v>
      </c>
      <c r="AE48" s="3">
        <v>56.646529761759432</v>
      </c>
      <c r="AF48" s="3">
        <v>169.93958928527826</v>
      </c>
      <c r="AG48" s="18">
        <v>5</v>
      </c>
      <c r="AH48" s="18">
        <v>42</v>
      </c>
      <c r="AI48" s="4">
        <v>12.328767123287671</v>
      </c>
      <c r="AJ48" s="4">
        <v>8.2191780821917817</v>
      </c>
      <c r="AK48" s="7">
        <v>18.571428571428573</v>
      </c>
      <c r="AL48" s="5">
        <v>76</v>
      </c>
      <c r="AM48" s="3">
        <v>64.14182111200644</v>
      </c>
      <c r="AN48" s="3">
        <v>57.025440313111559</v>
      </c>
      <c r="AO48" s="3">
        <v>71.112006446414185</v>
      </c>
      <c r="AP48" s="3">
        <v>64.093089290510761</v>
      </c>
      <c r="AQ48" s="3">
        <v>192.27926787153217</v>
      </c>
      <c r="AR48" s="18">
        <v>3</v>
      </c>
      <c r="AS48" s="18">
        <v>23</v>
      </c>
      <c r="AT48" s="4">
        <v>0</v>
      </c>
      <c r="AU48" s="4">
        <v>2.7397260273972601</v>
      </c>
      <c r="AV48" s="7">
        <v>0</v>
      </c>
      <c r="AW48" s="10">
        <f t="shared" si="13"/>
        <v>74.666666666666671</v>
      </c>
      <c r="AX48" s="9">
        <f t="shared" si="14"/>
        <v>59.585459754678119</v>
      </c>
      <c r="AY48" s="9">
        <f t="shared" si="15"/>
        <v>56.305283757338564</v>
      </c>
      <c r="AZ48" s="9">
        <f t="shared" si="16"/>
        <v>62.803213439796842</v>
      </c>
      <c r="BA48" s="9">
        <f t="shared" si="17"/>
        <v>59.564652317271175</v>
      </c>
      <c r="BB48" s="9">
        <f t="shared" si="18"/>
        <v>178.69395695181353</v>
      </c>
      <c r="BC48" s="10">
        <f t="shared" si="23"/>
        <v>3</v>
      </c>
      <c r="BD48" s="10">
        <f t="shared" si="12"/>
        <v>34</v>
      </c>
      <c r="BE48" s="4">
        <f t="shared" si="19"/>
        <v>6.1643835616438354</v>
      </c>
      <c r="BF48" s="4">
        <f t="shared" si="20"/>
        <v>5.4794520547945211</v>
      </c>
      <c r="BG48" s="7">
        <f t="shared" si="21"/>
        <v>9.2857142857142865</v>
      </c>
      <c r="BH48" s="5">
        <v>72</v>
      </c>
      <c r="BI48" s="3">
        <v>46.843055555555551</v>
      </c>
      <c r="BJ48" s="3">
        <v>32.987499999999997</v>
      </c>
      <c r="BK48" s="3">
        <v>34.759722222222209</v>
      </c>
      <c r="BL48" s="3">
        <v>38.196759259259267</v>
      </c>
      <c r="BM48" s="3">
        <v>114.5902777777778</v>
      </c>
      <c r="BN48" s="18">
        <v>15</v>
      </c>
      <c r="BO48" s="18">
        <v>205</v>
      </c>
      <c r="BP48" s="4">
        <v>27.777777777777779</v>
      </c>
      <c r="BQ48" s="4">
        <v>52.777777777777779</v>
      </c>
      <c r="BR48" s="7">
        <v>58.333333333333336</v>
      </c>
      <c r="BS48" s="18"/>
      <c r="BT48" s="23">
        <v>73</v>
      </c>
    </row>
    <row r="49" spans="1:72" x14ac:dyDescent="0.25">
      <c r="A49" s="18">
        <v>44</v>
      </c>
      <c r="B49" s="18" t="s">
        <v>14</v>
      </c>
      <c r="C49" s="18">
        <v>82</v>
      </c>
      <c r="D49" s="21" t="s">
        <v>9</v>
      </c>
      <c r="E49" s="5"/>
      <c r="F49" s="3">
        <v>50.666666666666664</v>
      </c>
      <c r="G49" s="3">
        <v>44</v>
      </c>
      <c r="H49" s="3">
        <v>40.666666666666664</v>
      </c>
      <c r="I49" s="3">
        <f t="shared" si="9"/>
        <v>45.111111111111107</v>
      </c>
      <c r="J49" s="3">
        <f t="shared" si="10"/>
        <v>135.33333333333331</v>
      </c>
      <c r="K49" s="18">
        <f t="shared" si="22"/>
        <v>12</v>
      </c>
      <c r="L49" s="18">
        <f t="shared" si="4"/>
        <v>141</v>
      </c>
      <c r="M49" s="4"/>
      <c r="N49" s="4"/>
      <c r="O49" s="7"/>
      <c r="P49" s="5">
        <v>118</v>
      </c>
      <c r="Q49" s="3">
        <v>67.146892655367239</v>
      </c>
      <c r="R49" s="3">
        <v>61.118644067796609</v>
      </c>
      <c r="S49" s="3">
        <v>74.322033898305079</v>
      </c>
      <c r="T49" s="3">
        <v>67.529190207156333</v>
      </c>
      <c r="U49" s="3">
        <v>202.58757062146893</v>
      </c>
      <c r="V49" s="18">
        <v>2</v>
      </c>
      <c r="W49" s="18">
        <v>10</v>
      </c>
      <c r="X49" s="4">
        <v>2.5423728813559321</v>
      </c>
      <c r="Y49" s="4">
        <v>8.6206896551724146</v>
      </c>
      <c r="Z49" s="7">
        <v>3.3898305084745761</v>
      </c>
      <c r="AA49" s="5">
        <v>124</v>
      </c>
      <c r="AB49" s="3">
        <v>54.621848739495817</v>
      </c>
      <c r="AC49" s="3">
        <v>45.107142857142854</v>
      </c>
      <c r="AD49" s="3">
        <v>51.163419913419887</v>
      </c>
      <c r="AE49" s="3">
        <v>50.297470503352862</v>
      </c>
      <c r="AF49" s="3">
        <v>150.89241151005857</v>
      </c>
      <c r="AG49" s="18">
        <v>9</v>
      </c>
      <c r="AH49" s="18">
        <v>95</v>
      </c>
      <c r="AI49" s="4">
        <v>3.5714285714285716</v>
      </c>
      <c r="AJ49" s="4">
        <v>8.0357142857142865</v>
      </c>
      <c r="AK49" s="7">
        <v>2.6785714285714284</v>
      </c>
      <c r="AL49" s="5">
        <v>124</v>
      </c>
      <c r="AM49" s="3">
        <v>56.279809220985705</v>
      </c>
      <c r="AN49" s="3">
        <v>33.539253539253536</v>
      </c>
      <c r="AO49" s="3">
        <v>57.472178060413349</v>
      </c>
      <c r="AP49" s="3">
        <v>49.09708027355088</v>
      </c>
      <c r="AQ49" s="3">
        <v>147.29124082065258</v>
      </c>
      <c r="AR49" s="18">
        <v>11</v>
      </c>
      <c r="AS49" s="18">
        <v>158</v>
      </c>
      <c r="AT49" s="4">
        <v>3.6036036036036037</v>
      </c>
      <c r="AU49" s="4">
        <v>41.441441441441441</v>
      </c>
      <c r="AV49" s="7">
        <v>12.612612612612613</v>
      </c>
      <c r="AW49" s="10">
        <f t="shared" si="13"/>
        <v>122</v>
      </c>
      <c r="AX49" s="9">
        <f t="shared" si="14"/>
        <v>59.349516871949589</v>
      </c>
      <c r="AY49" s="9">
        <f t="shared" si="15"/>
        <v>46.588346821397664</v>
      </c>
      <c r="AZ49" s="9">
        <f t="shared" si="16"/>
        <v>60.985877290712772</v>
      </c>
      <c r="BA49" s="9">
        <f t="shared" si="17"/>
        <v>55.641246994686696</v>
      </c>
      <c r="BB49" s="9">
        <f t="shared" si="18"/>
        <v>166.92374098406003</v>
      </c>
      <c r="BC49" s="10">
        <f t="shared" si="23"/>
        <v>8</v>
      </c>
      <c r="BD49" s="10">
        <f t="shared" si="12"/>
        <v>68</v>
      </c>
      <c r="BE49" s="4">
        <f t="shared" si="19"/>
        <v>3.5875160875160876</v>
      </c>
      <c r="BF49" s="4">
        <f t="shared" si="20"/>
        <v>24.738577863577863</v>
      </c>
      <c r="BG49" s="7">
        <f t="shared" si="21"/>
        <v>7.6455920205920211</v>
      </c>
      <c r="BH49" s="5">
        <v>124</v>
      </c>
      <c r="BI49" s="3">
        <v>65.127642276422776</v>
      </c>
      <c r="BJ49" s="3">
        <v>42.534959349593514</v>
      </c>
      <c r="BK49" s="3">
        <v>52.101626016260155</v>
      </c>
      <c r="BL49" s="3">
        <v>53.254742547425458</v>
      </c>
      <c r="BM49" s="3">
        <v>159.76422764227641</v>
      </c>
      <c r="BN49" s="18">
        <v>2</v>
      </c>
      <c r="BO49" s="18">
        <v>17</v>
      </c>
      <c r="BP49" s="4">
        <v>6.5040650406504064</v>
      </c>
      <c r="BQ49" s="4">
        <v>33.333333333333336</v>
      </c>
      <c r="BR49" s="7">
        <v>22.764227642276424</v>
      </c>
      <c r="BS49" s="18"/>
      <c r="BT49" s="23">
        <v>82</v>
      </c>
    </row>
    <row r="50" spans="1:72" x14ac:dyDescent="0.25">
      <c r="A50" s="1">
        <v>45</v>
      </c>
      <c r="B50" s="18" t="s">
        <v>14</v>
      </c>
      <c r="C50" s="18" t="s">
        <v>51</v>
      </c>
      <c r="D50" s="21" t="s">
        <v>15</v>
      </c>
      <c r="E50" s="5"/>
      <c r="F50" s="3"/>
      <c r="G50" s="3"/>
      <c r="H50" s="3"/>
      <c r="I50" s="3" t="str">
        <f t="shared" si="9"/>
        <v/>
      </c>
      <c r="J50" s="3" t="str">
        <f t="shared" si="10"/>
        <v/>
      </c>
      <c r="K50" s="18" t="str">
        <f t="shared" si="22"/>
        <v/>
      </c>
      <c r="L50" s="18" t="str">
        <f t="shared" si="4"/>
        <v/>
      </c>
      <c r="M50" s="4"/>
      <c r="N50" s="4"/>
      <c r="O50" s="7"/>
      <c r="P50" s="5"/>
      <c r="Q50" s="3"/>
      <c r="R50" s="3"/>
      <c r="S50" s="3"/>
      <c r="T50" s="3"/>
      <c r="U50" s="3" t="s">
        <v>35</v>
      </c>
      <c r="V50" s="18" t="s">
        <v>35</v>
      </c>
      <c r="W50" s="18" t="s">
        <v>35</v>
      </c>
      <c r="X50" s="4" t="s">
        <v>35</v>
      </c>
      <c r="Y50" s="4" t="s">
        <v>35</v>
      </c>
      <c r="Z50" s="7" t="s">
        <v>35</v>
      </c>
      <c r="AA50" s="5"/>
      <c r="AB50" s="3"/>
      <c r="AC50" s="3"/>
      <c r="AD50" s="3"/>
      <c r="AE50" s="3"/>
      <c r="AF50" s="3" t="s">
        <v>35</v>
      </c>
      <c r="AG50" s="18" t="s">
        <v>35</v>
      </c>
      <c r="AH50" s="18" t="s">
        <v>35</v>
      </c>
      <c r="AI50" s="4" t="s">
        <v>35</v>
      </c>
      <c r="AJ50" s="4" t="s">
        <v>35</v>
      </c>
      <c r="AK50" s="7" t="s">
        <v>35</v>
      </c>
      <c r="AL50" s="5"/>
      <c r="AM50" s="3"/>
      <c r="AN50" s="3"/>
      <c r="AO50" s="3"/>
      <c r="AP50" s="3"/>
      <c r="AQ50" s="3" t="s">
        <v>35</v>
      </c>
      <c r="AR50" s="18" t="s">
        <v>35</v>
      </c>
      <c r="AS50" s="18" t="s">
        <v>35</v>
      </c>
      <c r="AT50" s="4" t="s">
        <v>35</v>
      </c>
      <c r="AU50" s="4" t="s">
        <v>35</v>
      </c>
      <c r="AV50" s="7" t="s">
        <v>35</v>
      </c>
      <c r="AW50" s="10"/>
      <c r="AX50" s="9"/>
      <c r="AY50" s="9"/>
      <c r="AZ50" s="9"/>
      <c r="BA50" s="9"/>
      <c r="BB50" s="9"/>
      <c r="BC50" s="10" t="str">
        <f t="shared" si="23"/>
        <v/>
      </c>
      <c r="BD50" s="10" t="str">
        <f t="shared" si="12"/>
        <v/>
      </c>
      <c r="BE50" s="4"/>
      <c r="BF50" s="4"/>
      <c r="BG50" s="7"/>
      <c r="BH50" s="5">
        <v>20</v>
      </c>
      <c r="BI50" s="3">
        <v>16.327777777777776</v>
      </c>
      <c r="BJ50" s="3">
        <v>20.483333333333331</v>
      </c>
      <c r="BK50" s="3">
        <v>15.511111111111111</v>
      </c>
      <c r="BL50" s="3">
        <v>17.44074074074074</v>
      </c>
      <c r="BM50" s="3">
        <v>52.322222222222216</v>
      </c>
      <c r="BN50" s="18">
        <v>20</v>
      </c>
      <c r="BO50" s="18">
        <v>314</v>
      </c>
      <c r="BP50" s="4">
        <v>100</v>
      </c>
      <c r="BQ50" s="4">
        <v>83.333333333333329</v>
      </c>
      <c r="BR50" s="7">
        <v>88.888888888888886</v>
      </c>
      <c r="BS50" s="18"/>
      <c r="BT50" s="23">
        <v>82</v>
      </c>
    </row>
    <row r="51" spans="1:72" x14ac:dyDescent="0.25">
      <c r="A51" s="18">
        <v>46</v>
      </c>
      <c r="B51" s="18" t="s">
        <v>14</v>
      </c>
      <c r="C51" s="18">
        <v>93</v>
      </c>
      <c r="D51" s="21" t="s">
        <v>9</v>
      </c>
      <c r="E51" s="5"/>
      <c r="F51" s="3">
        <v>60</v>
      </c>
      <c r="G51" s="3">
        <v>44</v>
      </c>
      <c r="H51" s="3">
        <v>41.666666666666664</v>
      </c>
      <c r="I51" s="3">
        <f t="shared" si="9"/>
        <v>48.55555555555555</v>
      </c>
      <c r="J51" s="3">
        <f t="shared" si="10"/>
        <v>145.66666666666666</v>
      </c>
      <c r="K51" s="18">
        <f t="shared" si="22"/>
        <v>8</v>
      </c>
      <c r="L51" s="18">
        <f t="shared" si="4"/>
        <v>97</v>
      </c>
      <c r="M51" s="4"/>
      <c r="N51" s="4"/>
      <c r="O51" s="7"/>
      <c r="P51" s="5">
        <v>82</v>
      </c>
      <c r="Q51" s="3">
        <v>61.74796747967477</v>
      </c>
      <c r="R51" s="3">
        <v>54.829268292682926</v>
      </c>
      <c r="S51" s="3">
        <v>60.081300813008141</v>
      </c>
      <c r="T51" s="3">
        <v>58.886178861788608</v>
      </c>
      <c r="U51" s="3">
        <v>176.65853658536582</v>
      </c>
      <c r="V51" s="18">
        <v>8</v>
      </c>
      <c r="W51" s="18">
        <v>63</v>
      </c>
      <c r="X51" s="4">
        <v>6.0975609756097562</v>
      </c>
      <c r="Y51" s="4">
        <v>11.25</v>
      </c>
      <c r="Z51" s="7">
        <v>6.0975609756097562</v>
      </c>
      <c r="AA51" s="5">
        <v>85</v>
      </c>
      <c r="AB51" s="3">
        <v>47.857661583151753</v>
      </c>
      <c r="AC51" s="3">
        <v>56</v>
      </c>
      <c r="AD51" s="3">
        <v>53.385708941264483</v>
      </c>
      <c r="AE51" s="3">
        <v>52.414456841472088</v>
      </c>
      <c r="AF51" s="3">
        <v>157.24337052441624</v>
      </c>
      <c r="AG51" s="18">
        <v>7</v>
      </c>
      <c r="AH51" s="18">
        <v>75</v>
      </c>
      <c r="AI51" s="4">
        <v>14.814814814814815</v>
      </c>
      <c r="AJ51" s="4">
        <v>7.4074074074074074</v>
      </c>
      <c r="AK51" s="7">
        <v>12.345679012345679</v>
      </c>
      <c r="AL51" s="5">
        <v>85</v>
      </c>
      <c r="AM51" s="3">
        <v>60.914245216158776</v>
      </c>
      <c r="AN51" s="3">
        <v>43.132530120481938</v>
      </c>
      <c r="AO51" s="3">
        <v>49.007795889440104</v>
      </c>
      <c r="AP51" s="3">
        <v>51.018190408693606</v>
      </c>
      <c r="AQ51" s="3">
        <v>153.05457122608081</v>
      </c>
      <c r="AR51" s="18">
        <v>9</v>
      </c>
      <c r="AS51" s="18">
        <v>131</v>
      </c>
      <c r="AT51" s="4">
        <v>14.457831325301205</v>
      </c>
      <c r="AU51" s="4">
        <v>27.710843373493976</v>
      </c>
      <c r="AV51" s="7">
        <v>27.710843373493976</v>
      </c>
      <c r="AW51" s="10">
        <f t="shared" si="13"/>
        <v>84</v>
      </c>
      <c r="AX51" s="9">
        <f t="shared" si="14"/>
        <v>56.839958092995097</v>
      </c>
      <c r="AY51" s="9">
        <f t="shared" si="15"/>
        <v>51.320599471054955</v>
      </c>
      <c r="AZ51" s="9">
        <f t="shared" si="16"/>
        <v>54.158268547904242</v>
      </c>
      <c r="BA51" s="9">
        <f t="shared" si="17"/>
        <v>54.106275370651439</v>
      </c>
      <c r="BB51" s="9">
        <f t="shared" si="18"/>
        <v>162.31882611195431</v>
      </c>
      <c r="BC51" s="10">
        <f t="shared" si="23"/>
        <v>10</v>
      </c>
      <c r="BD51" s="10">
        <f t="shared" si="12"/>
        <v>82</v>
      </c>
      <c r="BE51" s="4">
        <f t="shared" si="19"/>
        <v>14.63632307005801</v>
      </c>
      <c r="BF51" s="4">
        <f t="shared" si="20"/>
        <v>17.559125390450692</v>
      </c>
      <c r="BG51" s="7">
        <f t="shared" si="21"/>
        <v>20.028261192919828</v>
      </c>
      <c r="BH51" s="5">
        <v>84</v>
      </c>
      <c r="BI51" s="3">
        <v>48.296428571428564</v>
      </c>
      <c r="BJ51" s="3">
        <v>35.584523809523809</v>
      </c>
      <c r="BK51" s="3">
        <v>35.292857142857137</v>
      </c>
      <c r="BL51" s="3">
        <v>39.724603174603168</v>
      </c>
      <c r="BM51" s="3">
        <v>119.17380952380948</v>
      </c>
      <c r="BN51" s="18">
        <v>14</v>
      </c>
      <c r="BO51" s="18">
        <v>171</v>
      </c>
      <c r="BP51" s="4">
        <v>23.80952380952381</v>
      </c>
      <c r="BQ51" s="4">
        <v>45.238095238095241</v>
      </c>
      <c r="BR51" s="7">
        <v>54.761904761904759</v>
      </c>
      <c r="BS51" s="18"/>
      <c r="BT51" s="23">
        <v>93</v>
      </c>
    </row>
    <row r="52" spans="1:72" x14ac:dyDescent="0.25">
      <c r="A52" s="18">
        <v>47</v>
      </c>
      <c r="B52" s="18" t="s">
        <v>14</v>
      </c>
      <c r="C52" s="18">
        <v>177</v>
      </c>
      <c r="D52" s="21" t="s">
        <v>9</v>
      </c>
      <c r="E52" s="5"/>
      <c r="F52" s="3">
        <v>44</v>
      </c>
      <c r="G52" s="3">
        <v>55.2</v>
      </c>
      <c r="H52" s="3">
        <v>42.666666666666664</v>
      </c>
      <c r="I52" s="3">
        <f t="shared" si="9"/>
        <v>47.288888888888891</v>
      </c>
      <c r="J52" s="3">
        <f t="shared" si="10"/>
        <v>141.86666666666667</v>
      </c>
      <c r="K52" s="18">
        <f t="shared" si="22"/>
        <v>11</v>
      </c>
      <c r="L52" s="18">
        <f t="shared" si="4"/>
        <v>120</v>
      </c>
      <c r="M52" s="4"/>
      <c r="N52" s="4"/>
      <c r="O52" s="7"/>
      <c r="P52" s="5">
        <v>93</v>
      </c>
      <c r="Q52" s="3">
        <v>45.017921146953398</v>
      </c>
      <c r="R52" s="3">
        <v>37.763440860215056</v>
      </c>
      <c r="S52" s="3">
        <v>47.419354838709687</v>
      </c>
      <c r="T52" s="3">
        <v>43.40023894862604</v>
      </c>
      <c r="U52" s="3">
        <v>130.20071684587813</v>
      </c>
      <c r="V52" s="18">
        <v>17</v>
      </c>
      <c r="W52" s="18">
        <v>235</v>
      </c>
      <c r="X52" s="4">
        <v>24.731182795698924</v>
      </c>
      <c r="Y52" s="4">
        <v>46.236559139784944</v>
      </c>
      <c r="Z52" s="7">
        <v>33.333333333333336</v>
      </c>
      <c r="AA52" s="5">
        <v>99</v>
      </c>
      <c r="AB52" s="3">
        <v>40.917905623787966</v>
      </c>
      <c r="AC52" s="3">
        <v>43.560439560439562</v>
      </c>
      <c r="AD52" s="3">
        <v>45.787545787545774</v>
      </c>
      <c r="AE52" s="3">
        <v>43.146451729571943</v>
      </c>
      <c r="AF52" s="3">
        <v>130.2658909717733</v>
      </c>
      <c r="AG52" s="18">
        <v>14</v>
      </c>
      <c r="AH52" s="18">
        <v>172</v>
      </c>
      <c r="AI52" s="4">
        <v>28.571428571428573</v>
      </c>
      <c r="AJ52" s="4">
        <v>32.967032967032964</v>
      </c>
      <c r="AK52" s="7">
        <v>27.472527472527471</v>
      </c>
      <c r="AL52" s="5">
        <v>100</v>
      </c>
      <c r="AM52" s="3">
        <v>52.383900928792606</v>
      </c>
      <c r="AN52" s="3">
        <v>35.067669172932334</v>
      </c>
      <c r="AO52" s="3">
        <v>52.755417956656331</v>
      </c>
      <c r="AP52" s="3">
        <v>46.735662686127085</v>
      </c>
      <c r="AQ52" s="3">
        <v>140.20698805838128</v>
      </c>
      <c r="AR52" s="18">
        <v>13</v>
      </c>
      <c r="AS52" s="18">
        <v>185</v>
      </c>
      <c r="AT52" s="4">
        <v>17.894736842105264</v>
      </c>
      <c r="AU52" s="4">
        <v>48.421052631578945</v>
      </c>
      <c r="AV52" s="7">
        <v>17.894736842105264</v>
      </c>
      <c r="AW52" s="10">
        <f t="shared" si="13"/>
        <v>97.333333333333329</v>
      </c>
      <c r="AX52" s="9">
        <f t="shared" si="14"/>
        <v>46.10657589984465</v>
      </c>
      <c r="AY52" s="9">
        <f t="shared" si="15"/>
        <v>38.797183197862317</v>
      </c>
      <c r="AZ52" s="9">
        <f t="shared" si="16"/>
        <v>48.654106194303928</v>
      </c>
      <c r="BA52" s="9">
        <f t="shared" si="17"/>
        <v>44.427451121441692</v>
      </c>
      <c r="BB52" s="9">
        <f t="shared" si="18"/>
        <v>133.55786529201092</v>
      </c>
      <c r="BC52" s="10">
        <f t="shared" si="23"/>
        <v>16</v>
      </c>
      <c r="BD52" s="10">
        <f t="shared" si="12"/>
        <v>206</v>
      </c>
      <c r="BE52" s="4">
        <f t="shared" si="19"/>
        <v>23.233082706766918</v>
      </c>
      <c r="BF52" s="4">
        <f t="shared" si="20"/>
        <v>40.694042799305954</v>
      </c>
      <c r="BG52" s="7">
        <f t="shared" si="21"/>
        <v>22.683632157316367</v>
      </c>
      <c r="BH52" s="5">
        <v>97</v>
      </c>
      <c r="BI52" s="3">
        <v>50.995876288659801</v>
      </c>
      <c r="BJ52" s="3">
        <v>31.106185567010325</v>
      </c>
      <c r="BK52" s="3">
        <v>38.175257731958766</v>
      </c>
      <c r="BL52" s="3">
        <v>40.09243986254296</v>
      </c>
      <c r="BM52" s="3">
        <v>120.2773195876289</v>
      </c>
      <c r="BN52" s="18">
        <v>12</v>
      </c>
      <c r="BO52" s="18">
        <v>162</v>
      </c>
      <c r="BP52" s="4">
        <v>23.711340206185568</v>
      </c>
      <c r="BQ52" s="4">
        <v>54.639175257731956</v>
      </c>
      <c r="BR52" s="7">
        <v>49.484536082474229</v>
      </c>
      <c r="BS52" s="18"/>
      <c r="BT52" s="23">
        <v>177</v>
      </c>
    </row>
    <row r="53" spans="1:72" x14ac:dyDescent="0.25">
      <c r="A53" s="18">
        <v>48</v>
      </c>
      <c r="B53" s="18" t="s">
        <v>14</v>
      </c>
      <c r="C53" s="18">
        <v>178</v>
      </c>
      <c r="D53" s="21" t="s">
        <v>9</v>
      </c>
      <c r="E53" s="5"/>
      <c r="F53" s="3">
        <v>56</v>
      </c>
      <c r="G53" s="3">
        <v>47.2</v>
      </c>
      <c r="H53" s="3">
        <v>41.666666666666664</v>
      </c>
      <c r="I53" s="3">
        <f t="shared" si="9"/>
        <v>48.288888888888891</v>
      </c>
      <c r="J53" s="3">
        <f t="shared" si="10"/>
        <v>144.86666666666667</v>
      </c>
      <c r="K53" s="18">
        <f t="shared" si="22"/>
        <v>9</v>
      </c>
      <c r="L53" s="18">
        <f t="shared" si="4"/>
        <v>105</v>
      </c>
      <c r="M53" s="4"/>
      <c r="N53" s="4"/>
      <c r="O53" s="7"/>
      <c r="P53" s="5">
        <v>76</v>
      </c>
      <c r="Q53" s="3">
        <v>51.184210526315795</v>
      </c>
      <c r="R53" s="3">
        <v>43.473684210526315</v>
      </c>
      <c r="S53" s="3">
        <v>49.561403508771924</v>
      </c>
      <c r="T53" s="3">
        <v>48.07309941520468</v>
      </c>
      <c r="U53" s="3">
        <v>144.21929824561403</v>
      </c>
      <c r="V53" s="18">
        <v>16</v>
      </c>
      <c r="W53" s="18">
        <v>172</v>
      </c>
      <c r="X53" s="4">
        <v>19.736842105263158</v>
      </c>
      <c r="Y53" s="4">
        <v>28.94736842105263</v>
      </c>
      <c r="Z53" s="7">
        <v>30.263157894736842</v>
      </c>
      <c r="AA53" s="5">
        <v>85</v>
      </c>
      <c r="AB53" s="3">
        <v>36.671630677587487</v>
      </c>
      <c r="AC53" s="3">
        <v>40.049999999999997</v>
      </c>
      <c r="AD53" s="3">
        <v>42.194092827004205</v>
      </c>
      <c r="AE53" s="3">
        <v>39.495521390374314</v>
      </c>
      <c r="AF53" s="3">
        <v>118.91572350459168</v>
      </c>
      <c r="AG53" s="18">
        <v>16</v>
      </c>
      <c r="AH53" s="18">
        <v>219</v>
      </c>
      <c r="AI53" s="4">
        <v>41.77215189873418</v>
      </c>
      <c r="AJ53" s="4">
        <v>28.75</v>
      </c>
      <c r="AK53" s="7">
        <v>27.848101265822784</v>
      </c>
      <c r="AL53" s="5">
        <v>85</v>
      </c>
      <c r="AM53" s="3">
        <v>52.98039215686277</v>
      </c>
      <c r="AN53" s="3">
        <v>36.761904761904759</v>
      </c>
      <c r="AO53" s="3">
        <v>48.588235294117659</v>
      </c>
      <c r="AP53" s="3">
        <v>46.110177404295058</v>
      </c>
      <c r="AQ53" s="3">
        <v>138.33053221288517</v>
      </c>
      <c r="AR53" s="18">
        <v>14</v>
      </c>
      <c r="AS53" s="18">
        <v>198</v>
      </c>
      <c r="AT53" s="4">
        <v>21.333333333333332</v>
      </c>
      <c r="AU53" s="4">
        <v>45.333333333333336</v>
      </c>
      <c r="AV53" s="7">
        <v>26.666666666666668</v>
      </c>
      <c r="AW53" s="10">
        <f t="shared" si="13"/>
        <v>82</v>
      </c>
      <c r="AX53" s="9">
        <f t="shared" si="14"/>
        <v>46.945411120255351</v>
      </c>
      <c r="AY53" s="9">
        <f t="shared" si="15"/>
        <v>40.095196324143693</v>
      </c>
      <c r="AZ53" s="9">
        <f t="shared" si="16"/>
        <v>46.781243876631265</v>
      </c>
      <c r="BA53" s="9">
        <f t="shared" si="17"/>
        <v>44.559599403291351</v>
      </c>
      <c r="BB53" s="9">
        <f t="shared" si="18"/>
        <v>133.82185132103029</v>
      </c>
      <c r="BC53" s="10">
        <f t="shared" si="23"/>
        <v>15</v>
      </c>
      <c r="BD53" s="10">
        <f t="shared" si="12"/>
        <v>204</v>
      </c>
      <c r="BE53" s="4">
        <f t="shared" si="19"/>
        <v>31.552742616033754</v>
      </c>
      <c r="BF53" s="4">
        <f t="shared" si="20"/>
        <v>37.041666666666671</v>
      </c>
      <c r="BG53" s="7">
        <f t="shared" si="21"/>
        <v>27.257383966244724</v>
      </c>
      <c r="BH53" s="5">
        <v>84</v>
      </c>
      <c r="BI53" s="3">
        <v>36.934939759036155</v>
      </c>
      <c r="BJ53" s="3">
        <v>25.379518072289162</v>
      </c>
      <c r="BK53" s="3">
        <v>29.513253012048182</v>
      </c>
      <c r="BL53" s="3">
        <v>30.609236947791175</v>
      </c>
      <c r="BM53" s="3">
        <v>91.827710843373509</v>
      </c>
      <c r="BN53" s="18">
        <v>19</v>
      </c>
      <c r="BO53" s="18">
        <v>286</v>
      </c>
      <c r="BP53" s="4">
        <v>44.578313253012048</v>
      </c>
      <c r="BQ53" s="4">
        <v>65.060240963855421</v>
      </c>
      <c r="BR53" s="7">
        <v>65.060240963855421</v>
      </c>
      <c r="BS53" s="18"/>
      <c r="BT53" s="23">
        <v>178</v>
      </c>
    </row>
    <row r="54" spans="1:72" x14ac:dyDescent="0.25">
      <c r="A54" s="18">
        <v>49</v>
      </c>
      <c r="B54" s="18" t="s">
        <v>14</v>
      </c>
      <c r="C54" s="18">
        <v>193</v>
      </c>
      <c r="D54" s="21" t="s">
        <v>9</v>
      </c>
      <c r="E54" s="5"/>
      <c r="F54" s="3">
        <v>42</v>
      </c>
      <c r="G54" s="3">
        <v>44</v>
      </c>
      <c r="H54" s="3">
        <v>36</v>
      </c>
      <c r="I54" s="3">
        <f t="shared" si="9"/>
        <v>40.666666666666664</v>
      </c>
      <c r="J54" s="3">
        <f t="shared" si="10"/>
        <v>122</v>
      </c>
      <c r="K54" s="18">
        <f t="shared" si="22"/>
        <v>15</v>
      </c>
      <c r="L54" s="18">
        <f t="shared" si="4"/>
        <v>186</v>
      </c>
      <c r="M54" s="4"/>
      <c r="N54" s="4"/>
      <c r="O54" s="7"/>
      <c r="P54" s="5">
        <v>115</v>
      </c>
      <c r="Q54" s="3">
        <v>43.101449275362313</v>
      </c>
      <c r="R54" s="3">
        <v>33.947826086956525</v>
      </c>
      <c r="S54" s="3">
        <v>50.608695652173928</v>
      </c>
      <c r="T54" s="3">
        <v>42.552657004830877</v>
      </c>
      <c r="U54" s="3">
        <v>127.65797101449277</v>
      </c>
      <c r="V54" s="18">
        <v>19</v>
      </c>
      <c r="W54" s="18">
        <v>246</v>
      </c>
      <c r="X54" s="4">
        <v>35.652173913043477</v>
      </c>
      <c r="Y54" s="4">
        <v>46.956521739130437</v>
      </c>
      <c r="Z54" s="7">
        <v>30.434782608695652</v>
      </c>
      <c r="AA54" s="5">
        <v>122</v>
      </c>
      <c r="AB54" s="3">
        <v>34.426229508196727</v>
      </c>
      <c r="AC54" s="3">
        <v>29.770491803278688</v>
      </c>
      <c r="AD54" s="3">
        <v>42.796820665673103</v>
      </c>
      <c r="AE54" s="3">
        <v>35.664513992382844</v>
      </c>
      <c r="AF54" s="3">
        <v>106.99354197714851</v>
      </c>
      <c r="AG54" s="18">
        <v>19</v>
      </c>
      <c r="AH54" s="18">
        <v>262</v>
      </c>
      <c r="AI54" s="4">
        <v>45.901639344262293</v>
      </c>
      <c r="AJ54" s="4">
        <v>52.459016393442624</v>
      </c>
      <c r="AK54" s="7">
        <v>37.190082644628099</v>
      </c>
      <c r="AL54" s="5">
        <v>125</v>
      </c>
      <c r="AM54" s="3">
        <v>49.422268907563002</v>
      </c>
      <c r="AN54" s="3">
        <v>21.616045918367348</v>
      </c>
      <c r="AO54" s="3">
        <v>47.721250662427138</v>
      </c>
      <c r="AP54" s="3">
        <v>39.635320628251307</v>
      </c>
      <c r="AQ54" s="3">
        <v>118.75956548835748</v>
      </c>
      <c r="AR54" s="18">
        <v>18</v>
      </c>
      <c r="AS54" s="18">
        <v>265</v>
      </c>
      <c r="AT54" s="4">
        <v>27.027027027027028</v>
      </c>
      <c r="AU54" s="4">
        <v>72.321428571428569</v>
      </c>
      <c r="AV54" s="7">
        <v>32.432432432432435</v>
      </c>
      <c r="AW54" s="10">
        <f t="shared" si="13"/>
        <v>120.66666666666667</v>
      </c>
      <c r="AX54" s="9">
        <f t="shared" si="14"/>
        <v>42.316649230374018</v>
      </c>
      <c r="AY54" s="9">
        <f t="shared" si="15"/>
        <v>28.444787936200854</v>
      </c>
      <c r="AZ54" s="9">
        <f t="shared" si="16"/>
        <v>47.042255660091392</v>
      </c>
      <c r="BA54" s="9">
        <f t="shared" si="17"/>
        <v>39.284163875155009</v>
      </c>
      <c r="BB54" s="9">
        <f t="shared" si="18"/>
        <v>117.80369282666625</v>
      </c>
      <c r="BC54" s="10">
        <f t="shared" si="23"/>
        <v>19</v>
      </c>
      <c r="BD54" s="10">
        <f t="shared" si="12"/>
        <v>270</v>
      </c>
      <c r="BE54" s="4">
        <f t="shared" si="19"/>
        <v>36.464333185644662</v>
      </c>
      <c r="BF54" s="4">
        <f t="shared" si="20"/>
        <v>62.390222482435597</v>
      </c>
      <c r="BG54" s="7">
        <f t="shared" si="21"/>
        <v>34.81125753853027</v>
      </c>
      <c r="BH54" s="5">
        <v>125</v>
      </c>
      <c r="BI54" s="3">
        <v>53.118548387096794</v>
      </c>
      <c r="BJ54" s="3">
        <v>34.1225806451613</v>
      </c>
      <c r="BK54" s="3">
        <v>43.070967741935497</v>
      </c>
      <c r="BL54" s="3">
        <v>43.43736559139785</v>
      </c>
      <c r="BM54" s="3">
        <v>130.31209677419352</v>
      </c>
      <c r="BN54" s="18">
        <v>9</v>
      </c>
      <c r="BO54" s="18">
        <v>108</v>
      </c>
      <c r="BP54" s="4">
        <v>21.774193548387096</v>
      </c>
      <c r="BQ54" s="4">
        <v>47.58064516129032</v>
      </c>
      <c r="BR54" s="7">
        <v>41.935483870967744</v>
      </c>
      <c r="BS54" s="18"/>
      <c r="BT54" s="23">
        <v>193</v>
      </c>
    </row>
    <row r="55" spans="1:72" x14ac:dyDescent="0.25">
      <c r="A55" s="1">
        <v>50</v>
      </c>
      <c r="B55" s="18" t="s">
        <v>14</v>
      </c>
      <c r="C55" s="18">
        <v>202</v>
      </c>
      <c r="D55" s="21" t="s">
        <v>9</v>
      </c>
      <c r="E55" s="5"/>
      <c r="F55" s="3">
        <v>44.666666666666664</v>
      </c>
      <c r="G55" s="3">
        <v>40</v>
      </c>
      <c r="H55" s="3">
        <v>34.666666666666664</v>
      </c>
      <c r="I55" s="3">
        <f t="shared" si="9"/>
        <v>39.777777777777771</v>
      </c>
      <c r="J55" s="3">
        <f t="shared" si="10"/>
        <v>119.33333333333331</v>
      </c>
      <c r="K55" s="18">
        <f t="shared" si="22"/>
        <v>16</v>
      </c>
      <c r="L55" s="18">
        <f t="shared" si="4"/>
        <v>194</v>
      </c>
      <c r="M55" s="4"/>
      <c r="N55" s="4"/>
      <c r="O55" s="7"/>
      <c r="P55" s="5">
        <v>40</v>
      </c>
      <c r="Q55" s="3">
        <v>58.249999999999986</v>
      </c>
      <c r="R55" s="3">
        <v>50.5</v>
      </c>
      <c r="S55" s="3">
        <v>62.333333333333329</v>
      </c>
      <c r="T55" s="3">
        <v>57.027777777777807</v>
      </c>
      <c r="U55" s="3">
        <v>171.08333333333331</v>
      </c>
      <c r="V55" s="18">
        <v>12</v>
      </c>
      <c r="W55" s="18">
        <v>82</v>
      </c>
      <c r="X55" s="4">
        <v>20</v>
      </c>
      <c r="Y55" s="4">
        <v>22.5</v>
      </c>
      <c r="Z55" s="7">
        <v>20</v>
      </c>
      <c r="AA55" s="5">
        <v>44</v>
      </c>
      <c r="AB55" s="3">
        <v>44.46778711484594</v>
      </c>
      <c r="AC55" s="3">
        <v>44.095238095238095</v>
      </c>
      <c r="AD55" s="3">
        <v>54.040404040404034</v>
      </c>
      <c r="AE55" s="3">
        <v>47.534476416829364</v>
      </c>
      <c r="AF55" s="3">
        <v>142.60342925048806</v>
      </c>
      <c r="AG55" s="18">
        <v>10</v>
      </c>
      <c r="AH55" s="18">
        <v>119</v>
      </c>
      <c r="AI55" s="4">
        <v>26.19047619047619</v>
      </c>
      <c r="AJ55" s="4">
        <v>30.952380952380953</v>
      </c>
      <c r="AK55" s="7">
        <v>26.19047619047619</v>
      </c>
      <c r="AL55" s="5">
        <v>43</v>
      </c>
      <c r="AM55" s="3">
        <v>52.510760401721669</v>
      </c>
      <c r="AN55" s="3">
        <v>24.94773519163763</v>
      </c>
      <c r="AO55" s="3">
        <v>50.932568149210901</v>
      </c>
      <c r="AP55" s="3">
        <v>42.797021247523396</v>
      </c>
      <c r="AQ55" s="3">
        <v>128.3910637425702</v>
      </c>
      <c r="AR55" s="18">
        <v>17</v>
      </c>
      <c r="AS55" s="18">
        <v>238</v>
      </c>
      <c r="AT55" s="4">
        <v>26.829268292682926</v>
      </c>
      <c r="AU55" s="4">
        <v>73.170731707317074</v>
      </c>
      <c r="AV55" s="7">
        <v>24.390243902439025</v>
      </c>
      <c r="AW55" s="10">
        <f t="shared" si="13"/>
        <v>42.333333333333336</v>
      </c>
      <c r="AX55" s="9">
        <f t="shared" si="14"/>
        <v>51.742849172189189</v>
      </c>
      <c r="AY55" s="9">
        <f t="shared" si="15"/>
        <v>39.847657762291909</v>
      </c>
      <c r="AZ55" s="9">
        <f t="shared" si="16"/>
        <v>55.768768507649419</v>
      </c>
      <c r="BA55" s="9">
        <f t="shared" si="17"/>
        <v>49.119758480710182</v>
      </c>
      <c r="BB55" s="9">
        <f t="shared" si="18"/>
        <v>147.35927544213052</v>
      </c>
      <c r="BC55" s="10">
        <f t="shared" si="23"/>
        <v>13</v>
      </c>
      <c r="BD55" s="10">
        <f t="shared" si="12"/>
        <v>136</v>
      </c>
      <c r="BE55" s="4">
        <f t="shared" si="19"/>
        <v>26.509872241579558</v>
      </c>
      <c r="BF55" s="4">
        <f t="shared" si="20"/>
        <v>52.061556329849012</v>
      </c>
      <c r="BG55" s="7">
        <f t="shared" si="21"/>
        <v>25.290360046457607</v>
      </c>
      <c r="BH55" s="5">
        <v>44</v>
      </c>
      <c r="BI55" s="3">
        <v>49.046511627906973</v>
      </c>
      <c r="BJ55" s="3">
        <v>30.304651162790694</v>
      </c>
      <c r="BK55" s="3">
        <v>34.951162790697666</v>
      </c>
      <c r="BL55" s="3">
        <v>38.100775193798434</v>
      </c>
      <c r="BM55" s="3">
        <v>114.30232558139537</v>
      </c>
      <c r="BN55" s="18">
        <v>16</v>
      </c>
      <c r="BO55" s="18">
        <v>207</v>
      </c>
      <c r="BP55" s="4">
        <v>23.255813953488371</v>
      </c>
      <c r="BQ55" s="4">
        <v>51.162790697674417</v>
      </c>
      <c r="BR55" s="7">
        <v>51.162790697674417</v>
      </c>
      <c r="BS55" s="18"/>
      <c r="BT55" s="23">
        <v>202</v>
      </c>
    </row>
    <row r="56" spans="1:72" x14ac:dyDescent="0.25">
      <c r="A56" s="18">
        <v>51</v>
      </c>
      <c r="B56" s="18" t="s">
        <v>14</v>
      </c>
      <c r="C56" s="18">
        <v>207</v>
      </c>
      <c r="D56" s="21" t="s">
        <v>9</v>
      </c>
      <c r="E56" s="5"/>
      <c r="F56" s="3">
        <v>56.666666666666664</v>
      </c>
      <c r="G56" s="3">
        <v>62.8</v>
      </c>
      <c r="H56" s="3">
        <v>50</v>
      </c>
      <c r="I56" s="3">
        <f t="shared" si="9"/>
        <v>56.488888888888887</v>
      </c>
      <c r="J56" s="3">
        <f t="shared" si="10"/>
        <v>169.46666666666667</v>
      </c>
      <c r="K56" s="18">
        <f t="shared" si="22"/>
        <v>3</v>
      </c>
      <c r="L56" s="18">
        <f t="shared" si="4"/>
        <v>35</v>
      </c>
      <c r="M56" s="4"/>
      <c r="N56" s="4"/>
      <c r="O56" s="7"/>
      <c r="P56" s="5">
        <v>99</v>
      </c>
      <c r="Q56" s="3">
        <v>61.010101010101017</v>
      </c>
      <c r="R56" s="3">
        <v>57.898989898989896</v>
      </c>
      <c r="S56" s="3">
        <v>70.471380471380471</v>
      </c>
      <c r="T56" s="3">
        <v>63.126823793490502</v>
      </c>
      <c r="U56" s="3">
        <v>189.38047138047136</v>
      </c>
      <c r="V56" s="18">
        <v>5</v>
      </c>
      <c r="W56" s="18">
        <v>35</v>
      </c>
      <c r="X56" s="4">
        <v>5.0505050505050502</v>
      </c>
      <c r="Y56" s="4">
        <v>5.0505050505050502</v>
      </c>
      <c r="Z56" s="7">
        <v>1.0101010101010102</v>
      </c>
      <c r="AA56" s="5">
        <v>105</v>
      </c>
      <c r="AB56" s="3">
        <v>41.487556561085974</v>
      </c>
      <c r="AC56" s="3">
        <v>49.57692307692308</v>
      </c>
      <c r="AD56" s="3">
        <v>50.786713286713265</v>
      </c>
      <c r="AE56" s="3">
        <v>47.283730974907407</v>
      </c>
      <c r="AF56" s="3">
        <v>141.85119292472234</v>
      </c>
      <c r="AG56" s="18">
        <v>11</v>
      </c>
      <c r="AH56" s="18">
        <v>124</v>
      </c>
      <c r="AI56" s="4">
        <v>33.653846153846153</v>
      </c>
      <c r="AJ56" s="4">
        <v>21.153846153846153</v>
      </c>
      <c r="AK56" s="7">
        <v>20.192307692307693</v>
      </c>
      <c r="AL56" s="5">
        <v>81</v>
      </c>
      <c r="AM56" s="3">
        <v>61.484593837535023</v>
      </c>
      <c r="AN56" s="3">
        <v>41.931972789115648</v>
      </c>
      <c r="AO56" s="3">
        <v>69.355742296918748</v>
      </c>
      <c r="AP56" s="3">
        <v>57.590769641189794</v>
      </c>
      <c r="AQ56" s="3">
        <v>172.77230892356943</v>
      </c>
      <c r="AR56" s="18">
        <v>4</v>
      </c>
      <c r="AS56" s="18">
        <v>60</v>
      </c>
      <c r="AT56" s="4">
        <v>7.6190476190476186</v>
      </c>
      <c r="AU56" s="4">
        <v>21.904761904761905</v>
      </c>
      <c r="AV56" s="7">
        <v>4.7619047619047619</v>
      </c>
      <c r="AW56" s="10">
        <f t="shared" si="13"/>
        <v>95</v>
      </c>
      <c r="AX56" s="9">
        <f t="shared" si="14"/>
        <v>54.660750469574005</v>
      </c>
      <c r="AY56" s="9">
        <f t="shared" si="15"/>
        <v>49.802628588342877</v>
      </c>
      <c r="AZ56" s="9">
        <f t="shared" si="16"/>
        <v>63.537945351670828</v>
      </c>
      <c r="BA56" s="9">
        <f t="shared" si="17"/>
        <v>56.000441469862572</v>
      </c>
      <c r="BB56" s="9">
        <f t="shared" si="18"/>
        <v>168.00132440958771</v>
      </c>
      <c r="BC56" s="10">
        <f t="shared" si="23"/>
        <v>7</v>
      </c>
      <c r="BD56" s="10">
        <f t="shared" si="12"/>
        <v>66</v>
      </c>
      <c r="BE56" s="4">
        <f t="shared" si="19"/>
        <v>20.636446886446887</v>
      </c>
      <c r="BF56" s="4">
        <f t="shared" si="20"/>
        <v>21.529304029304029</v>
      </c>
      <c r="BG56" s="7">
        <f t="shared" si="21"/>
        <v>12.477106227106228</v>
      </c>
      <c r="BH56" s="5">
        <v>106</v>
      </c>
      <c r="BI56" s="3">
        <v>56.58018867924531</v>
      </c>
      <c r="BJ56" s="3">
        <v>39.472641509433942</v>
      </c>
      <c r="BK56" s="3">
        <v>45.531132075471703</v>
      </c>
      <c r="BL56" s="3">
        <v>47.194654088050306</v>
      </c>
      <c r="BM56" s="3">
        <v>141.58396226415098</v>
      </c>
      <c r="BN56" s="18">
        <v>4</v>
      </c>
      <c r="BO56" s="18">
        <v>60</v>
      </c>
      <c r="BP56" s="4">
        <v>11.320754716981131</v>
      </c>
      <c r="BQ56" s="4">
        <v>32.075471698113205</v>
      </c>
      <c r="BR56" s="7">
        <v>33.962264150943398</v>
      </c>
      <c r="BS56" s="18"/>
      <c r="BT56" s="23">
        <v>207</v>
      </c>
    </row>
    <row r="57" spans="1:72" x14ac:dyDescent="0.25">
      <c r="A57" s="18">
        <v>52</v>
      </c>
      <c r="B57" s="18" t="s">
        <v>14</v>
      </c>
      <c r="C57" s="18">
        <v>212</v>
      </c>
      <c r="D57" s="21" t="s">
        <v>9</v>
      </c>
      <c r="E57" s="5"/>
      <c r="F57" s="3">
        <v>41.666666666666664</v>
      </c>
      <c r="G57" s="3">
        <v>42</v>
      </c>
      <c r="H57" s="3">
        <v>31.333333333333332</v>
      </c>
      <c r="I57" s="3">
        <f t="shared" si="9"/>
        <v>38.333333333333329</v>
      </c>
      <c r="J57" s="3">
        <f t="shared" si="10"/>
        <v>114.99999999999999</v>
      </c>
      <c r="K57" s="18">
        <f t="shared" si="22"/>
        <v>18</v>
      </c>
      <c r="L57" s="18">
        <f t="shared" si="4"/>
        <v>216</v>
      </c>
      <c r="M57" s="4"/>
      <c r="N57" s="4"/>
      <c r="O57" s="7"/>
      <c r="P57" s="5">
        <v>152</v>
      </c>
      <c r="Q57" s="3">
        <v>42.390350877192986</v>
      </c>
      <c r="R57" s="3">
        <v>48.263157894736842</v>
      </c>
      <c r="S57" s="3">
        <v>54.100877192982438</v>
      </c>
      <c r="T57" s="3">
        <v>48.251461988304087</v>
      </c>
      <c r="U57" s="3">
        <v>144.75438596491227</v>
      </c>
      <c r="V57" s="18">
        <v>15</v>
      </c>
      <c r="W57" s="18">
        <v>168</v>
      </c>
      <c r="X57" s="4">
        <v>31.578947368421051</v>
      </c>
      <c r="Y57" s="4">
        <v>21.710526315789473</v>
      </c>
      <c r="Z57" s="7">
        <v>20.394736842105264</v>
      </c>
      <c r="AA57" s="5">
        <v>143</v>
      </c>
      <c r="AB57" s="3">
        <v>34.265734265734267</v>
      </c>
      <c r="AC57" s="3">
        <v>32.475524475524473</v>
      </c>
      <c r="AD57" s="3">
        <v>41.449459631277783</v>
      </c>
      <c r="AE57" s="3">
        <v>36.063572790845512</v>
      </c>
      <c r="AF57" s="3">
        <v>108.19071837253654</v>
      </c>
      <c r="AG57" s="18">
        <v>17</v>
      </c>
      <c r="AH57" s="18">
        <v>257</v>
      </c>
      <c r="AI57" s="4">
        <v>48.951048951048953</v>
      </c>
      <c r="AJ57" s="4">
        <v>56.643356643356647</v>
      </c>
      <c r="AK57" s="7">
        <v>39.16083916083916</v>
      </c>
      <c r="AL57" s="5">
        <v>161</v>
      </c>
      <c r="AM57" s="3">
        <v>48.039215686274517</v>
      </c>
      <c r="AN57" s="3">
        <v>22.407906558849941</v>
      </c>
      <c r="AO57" s="3">
        <v>42.452830188679243</v>
      </c>
      <c r="AP57" s="3">
        <v>37.633317477934561</v>
      </c>
      <c r="AQ57" s="3">
        <v>112.8999524338037</v>
      </c>
      <c r="AR57" s="18">
        <v>19</v>
      </c>
      <c r="AS57" s="18">
        <v>276</v>
      </c>
      <c r="AT57" s="4">
        <v>32.075471698113205</v>
      </c>
      <c r="AU57" s="4">
        <v>74.213836477987428</v>
      </c>
      <c r="AV57" s="7">
        <v>43.670886075949369</v>
      </c>
      <c r="AW57" s="10">
        <f t="shared" si="13"/>
        <v>152</v>
      </c>
      <c r="AX57" s="9">
        <f t="shared" si="14"/>
        <v>41.565100276400592</v>
      </c>
      <c r="AY57" s="9">
        <f t="shared" si="15"/>
        <v>34.382196309703751</v>
      </c>
      <c r="AZ57" s="9">
        <f t="shared" si="16"/>
        <v>46.001055670979817</v>
      </c>
      <c r="BA57" s="9">
        <f t="shared" si="17"/>
        <v>40.649450752361389</v>
      </c>
      <c r="BB57" s="9">
        <f t="shared" si="18"/>
        <v>121.94835225708418</v>
      </c>
      <c r="BC57" s="10">
        <f>IF(BB57="","",(RANK(BB57,$BB$40:$BB$60)))</f>
        <v>18</v>
      </c>
      <c r="BD57" s="10">
        <f t="shared" si="12"/>
        <v>255</v>
      </c>
      <c r="BE57" s="4">
        <f t="shared" si="19"/>
        <v>40.513260324581083</v>
      </c>
      <c r="BF57" s="4">
        <f t="shared" si="20"/>
        <v>65.428596560672034</v>
      </c>
      <c r="BG57" s="7">
        <f t="shared" si="21"/>
        <v>41.415862618394264</v>
      </c>
      <c r="BH57" s="5">
        <v>161</v>
      </c>
      <c r="BI57" s="3">
        <v>51.972500000000011</v>
      </c>
      <c r="BJ57" s="3">
        <v>31.900624999999984</v>
      </c>
      <c r="BK57" s="3">
        <v>37.939375000000013</v>
      </c>
      <c r="BL57" s="3">
        <v>40.604166666666671</v>
      </c>
      <c r="BM57" s="3">
        <v>121.8125</v>
      </c>
      <c r="BN57" s="18">
        <v>11</v>
      </c>
      <c r="BO57" s="18">
        <v>156</v>
      </c>
      <c r="BP57" s="4">
        <v>21.875</v>
      </c>
      <c r="BQ57" s="4">
        <v>56.25</v>
      </c>
      <c r="BR57" s="7">
        <v>48.125</v>
      </c>
      <c r="BS57" s="18"/>
      <c r="BT57" s="23">
        <v>212</v>
      </c>
    </row>
    <row r="58" spans="1:72" x14ac:dyDescent="0.25">
      <c r="A58" s="18">
        <v>53</v>
      </c>
      <c r="B58" s="18" t="s">
        <v>14</v>
      </c>
      <c r="C58" s="18">
        <v>258</v>
      </c>
      <c r="D58" s="21" t="s">
        <v>9</v>
      </c>
      <c r="E58" s="5"/>
      <c r="F58" s="3">
        <v>61.333333333333329</v>
      </c>
      <c r="G58" s="3">
        <v>67.599999999999994</v>
      </c>
      <c r="H58" s="3">
        <v>65.333333333333343</v>
      </c>
      <c r="I58" s="3">
        <f t="shared" si="9"/>
        <v>64.75555555555556</v>
      </c>
      <c r="J58" s="3">
        <f t="shared" si="10"/>
        <v>194.26666666666668</v>
      </c>
      <c r="K58" s="18">
        <f t="shared" si="22"/>
        <v>2</v>
      </c>
      <c r="L58" s="18">
        <f t="shared" si="4"/>
        <v>12</v>
      </c>
      <c r="M58" s="4"/>
      <c r="N58" s="4"/>
      <c r="O58" s="7"/>
      <c r="P58" s="5">
        <v>178</v>
      </c>
      <c r="Q58" s="3">
        <v>65.03745318352064</v>
      </c>
      <c r="R58" s="3">
        <v>64.831460674157299</v>
      </c>
      <c r="S58" s="3">
        <v>70.955056179775298</v>
      </c>
      <c r="T58" s="3">
        <v>66.941323345817736</v>
      </c>
      <c r="U58" s="3">
        <v>200.82397003745325</v>
      </c>
      <c r="V58" s="18">
        <v>3</v>
      </c>
      <c r="W58" s="18">
        <v>13</v>
      </c>
      <c r="X58" s="4">
        <v>1.1235955056179776</v>
      </c>
      <c r="Y58" s="4">
        <v>2.2471910112359552</v>
      </c>
      <c r="Z58" s="7">
        <v>2.808988764044944</v>
      </c>
      <c r="AA58" s="5">
        <v>177</v>
      </c>
      <c r="AB58" s="3">
        <v>64.603876232573981</v>
      </c>
      <c r="AC58" s="3">
        <v>65.572254335260112</v>
      </c>
      <c r="AD58" s="3">
        <v>68.523384130320508</v>
      </c>
      <c r="AE58" s="3">
        <v>66.233171566051595</v>
      </c>
      <c r="AF58" s="3">
        <v>198.69951469815459</v>
      </c>
      <c r="AG58" s="18">
        <v>2</v>
      </c>
      <c r="AH58" s="18">
        <v>5</v>
      </c>
      <c r="AI58" s="4">
        <v>1.1560693641618498</v>
      </c>
      <c r="AJ58" s="4">
        <v>4.0935672514619883</v>
      </c>
      <c r="AK58" s="7">
        <v>4.6511627906976747</v>
      </c>
      <c r="AL58" s="5">
        <v>176</v>
      </c>
      <c r="AM58" s="3">
        <v>71.826625386996909</v>
      </c>
      <c r="AN58" s="3">
        <v>59.019442096365182</v>
      </c>
      <c r="AO58" s="3">
        <v>76.435986159169602</v>
      </c>
      <c r="AP58" s="3">
        <v>69.105197634609397</v>
      </c>
      <c r="AQ58" s="3">
        <v>207.28205364253171</v>
      </c>
      <c r="AR58" s="18">
        <v>2</v>
      </c>
      <c r="AS58" s="18">
        <v>7</v>
      </c>
      <c r="AT58" s="4">
        <v>1.1695906432748537</v>
      </c>
      <c r="AU58" s="4">
        <v>7.1005917159763312</v>
      </c>
      <c r="AV58" s="7">
        <v>1.7647058823529411</v>
      </c>
      <c r="AW58" s="10">
        <f t="shared" si="13"/>
        <v>177</v>
      </c>
      <c r="AX58" s="9">
        <f t="shared" si="14"/>
        <v>67.155984934363843</v>
      </c>
      <c r="AY58" s="9">
        <f t="shared" si="15"/>
        <v>63.141052368594195</v>
      </c>
      <c r="AZ58" s="9">
        <f t="shared" si="16"/>
        <v>71.971475489755136</v>
      </c>
      <c r="BA58" s="9">
        <f t="shared" si="17"/>
        <v>67.426564182159566</v>
      </c>
      <c r="BB58" s="9">
        <f t="shared" si="18"/>
        <v>202.26851279271318</v>
      </c>
      <c r="BC58" s="10">
        <f t="shared" si="23"/>
        <v>2</v>
      </c>
      <c r="BD58" s="10">
        <f t="shared" si="12"/>
        <v>6</v>
      </c>
      <c r="BE58" s="4">
        <f t="shared" si="19"/>
        <v>1.1628300037183519</v>
      </c>
      <c r="BF58" s="4">
        <f t="shared" si="20"/>
        <v>5.5970794837191598</v>
      </c>
      <c r="BG58" s="7">
        <f t="shared" si="21"/>
        <v>3.2079343365253079</v>
      </c>
      <c r="BH58" s="5">
        <v>175</v>
      </c>
      <c r="BI58" s="3">
        <v>54.697142857142836</v>
      </c>
      <c r="BJ58" s="3">
        <v>37.559428571428583</v>
      </c>
      <c r="BK58" s="3">
        <v>42.453142857142879</v>
      </c>
      <c r="BL58" s="3">
        <v>44.903238095238088</v>
      </c>
      <c r="BM58" s="3">
        <v>134.70971428571426</v>
      </c>
      <c r="BN58" s="18">
        <v>7</v>
      </c>
      <c r="BO58" s="18">
        <v>94</v>
      </c>
      <c r="BP58" s="4">
        <v>14.857142857142858</v>
      </c>
      <c r="BQ58" s="4">
        <v>40</v>
      </c>
      <c r="BR58" s="7">
        <v>40</v>
      </c>
      <c r="BS58" s="18"/>
      <c r="BT58" s="23">
        <v>258</v>
      </c>
    </row>
    <row r="59" spans="1:72" x14ac:dyDescent="0.25">
      <c r="A59" s="18">
        <v>54</v>
      </c>
      <c r="B59" s="18" t="s">
        <v>14</v>
      </c>
      <c r="C59" s="18">
        <v>291</v>
      </c>
      <c r="D59" s="21" t="s">
        <v>16</v>
      </c>
      <c r="E59" s="5"/>
      <c r="F59" s="3">
        <v>67.666666666666671</v>
      </c>
      <c r="G59" s="3">
        <v>73.599999999999994</v>
      </c>
      <c r="H59" s="3">
        <v>70</v>
      </c>
      <c r="I59" s="3">
        <f t="shared" si="9"/>
        <v>70.422222222222217</v>
      </c>
      <c r="J59" s="3">
        <f t="shared" si="10"/>
        <v>211.26666666666665</v>
      </c>
      <c r="K59" s="18">
        <f t="shared" si="22"/>
        <v>1</v>
      </c>
      <c r="L59" s="18">
        <f t="shared" si="4"/>
        <v>3</v>
      </c>
      <c r="M59" s="4"/>
      <c r="N59" s="4"/>
      <c r="O59" s="7"/>
      <c r="P59" s="5">
        <v>91</v>
      </c>
      <c r="Q59" s="3">
        <v>80.512820512820539</v>
      </c>
      <c r="R59" s="3">
        <v>78.241758241758248</v>
      </c>
      <c r="S59" s="3">
        <v>82.820512820512803</v>
      </c>
      <c r="T59" s="3">
        <v>80.525030525030544</v>
      </c>
      <c r="U59" s="3">
        <v>241.57509157509162</v>
      </c>
      <c r="V59" s="18">
        <v>1</v>
      </c>
      <c r="W59" s="18">
        <v>1</v>
      </c>
      <c r="X59" s="4">
        <v>0</v>
      </c>
      <c r="Y59" s="4">
        <v>0</v>
      </c>
      <c r="Z59" s="7">
        <v>0</v>
      </c>
      <c r="AA59" s="5">
        <v>100</v>
      </c>
      <c r="AB59" s="3">
        <v>57.06558485463151</v>
      </c>
      <c r="AC59" s="3">
        <v>71.816091954022994</v>
      </c>
      <c r="AD59" s="3">
        <v>76.90700104493213</v>
      </c>
      <c r="AE59" s="3">
        <v>68.596225951195521</v>
      </c>
      <c r="AF59" s="3">
        <v>205.78867785358665</v>
      </c>
      <c r="AG59" s="18">
        <v>1</v>
      </c>
      <c r="AH59" s="18">
        <v>2</v>
      </c>
      <c r="AI59" s="4">
        <v>5.7471264367816088</v>
      </c>
      <c r="AJ59" s="4">
        <v>1.1627906976744187</v>
      </c>
      <c r="AK59" s="7">
        <v>0</v>
      </c>
      <c r="AL59" s="5">
        <v>100</v>
      </c>
      <c r="AM59" s="3">
        <v>76.949384404924729</v>
      </c>
      <c r="AN59" s="3">
        <v>68.521594684385391</v>
      </c>
      <c r="AO59" s="3">
        <v>83.720930232558118</v>
      </c>
      <c r="AP59" s="3">
        <v>76.397303107289417</v>
      </c>
      <c r="AQ59" s="3">
        <v>229.19190932186822</v>
      </c>
      <c r="AR59" s="18">
        <v>1</v>
      </c>
      <c r="AS59" s="18">
        <v>3</v>
      </c>
      <c r="AT59" s="4">
        <v>0</v>
      </c>
      <c r="AU59" s="4">
        <v>1.1764705882352942</v>
      </c>
      <c r="AV59" s="7">
        <v>2.3255813953488373</v>
      </c>
      <c r="AW59" s="10">
        <f t="shared" si="13"/>
        <v>97</v>
      </c>
      <c r="AX59" s="9">
        <f t="shared" si="14"/>
        <v>71.509263257458926</v>
      </c>
      <c r="AY59" s="9">
        <f t="shared" si="15"/>
        <v>72.859814960055544</v>
      </c>
      <c r="AZ59" s="9">
        <f t="shared" si="16"/>
        <v>81.149481366001012</v>
      </c>
      <c r="BA59" s="9">
        <f t="shared" si="17"/>
        <v>75.172853194505151</v>
      </c>
      <c r="BB59" s="9">
        <f t="shared" si="18"/>
        <v>225.5185595835155</v>
      </c>
      <c r="BC59" s="10">
        <f>IF(BB59="","",(RANK(BB59,$BB$40:$BB$60)))</f>
        <v>1</v>
      </c>
      <c r="BD59" s="10">
        <f t="shared" si="12"/>
        <v>2</v>
      </c>
      <c r="BE59" s="4">
        <f t="shared" si="19"/>
        <v>2.8735632183908044</v>
      </c>
      <c r="BF59" s="4">
        <f t="shared" si="20"/>
        <v>1.1696306429548564</v>
      </c>
      <c r="BG59" s="7">
        <f t="shared" si="21"/>
        <v>1.1627906976744187</v>
      </c>
      <c r="BH59" s="5">
        <v>100</v>
      </c>
      <c r="BI59" s="3">
        <v>77.714000000000013</v>
      </c>
      <c r="BJ59" s="3">
        <v>64.27300000000001</v>
      </c>
      <c r="BK59" s="3">
        <v>67.827000000000041</v>
      </c>
      <c r="BL59" s="3">
        <v>69.938000000000017</v>
      </c>
      <c r="BM59" s="3">
        <v>209.81400000000002</v>
      </c>
      <c r="BN59" s="18">
        <v>1</v>
      </c>
      <c r="BO59" s="18">
        <v>1</v>
      </c>
      <c r="BP59" s="4">
        <v>1</v>
      </c>
      <c r="BQ59" s="4">
        <v>4</v>
      </c>
      <c r="BR59" s="7">
        <v>3</v>
      </c>
      <c r="BS59" s="18"/>
      <c r="BT59" s="23">
        <v>291</v>
      </c>
    </row>
    <row r="60" spans="1:72" x14ac:dyDescent="0.25">
      <c r="A60" s="1">
        <v>55</v>
      </c>
      <c r="B60" s="18" t="s">
        <v>14</v>
      </c>
      <c r="C60" s="18" t="s">
        <v>17</v>
      </c>
      <c r="D60" s="21" t="s">
        <v>11</v>
      </c>
      <c r="E60" s="5"/>
      <c r="F60" s="3">
        <v>48.333333333333336</v>
      </c>
      <c r="G60" s="3">
        <v>48</v>
      </c>
      <c r="H60" s="3">
        <v>52.666666666666664</v>
      </c>
      <c r="I60" s="3">
        <f t="shared" si="9"/>
        <v>49.666666666666664</v>
      </c>
      <c r="J60" s="3">
        <f t="shared" si="10"/>
        <v>149</v>
      </c>
      <c r="K60" s="18">
        <f t="shared" si="22"/>
        <v>7</v>
      </c>
      <c r="L60" s="18">
        <f t="shared" si="4"/>
        <v>84</v>
      </c>
      <c r="M60" s="4"/>
      <c r="N60" s="4"/>
      <c r="O60" s="7"/>
      <c r="P60" s="5">
        <v>207</v>
      </c>
      <c r="Q60" s="3">
        <v>60.418679549114309</v>
      </c>
      <c r="R60" s="3">
        <v>53.062801932367151</v>
      </c>
      <c r="S60" s="3">
        <v>71.723027375201283</v>
      </c>
      <c r="T60" s="3">
        <v>61.734836285560917</v>
      </c>
      <c r="U60" s="3">
        <v>185.20450885668276</v>
      </c>
      <c r="V60" s="18">
        <v>6</v>
      </c>
      <c r="W60" s="18">
        <v>48</v>
      </c>
      <c r="X60" s="4">
        <v>10.144927536231885</v>
      </c>
      <c r="Y60" s="4">
        <v>14.077669902912621</v>
      </c>
      <c r="Z60" s="7">
        <v>4.8309178743961354</v>
      </c>
      <c r="AA60" s="5">
        <v>214</v>
      </c>
      <c r="AB60" s="3">
        <v>39.692138537658046</v>
      </c>
      <c r="AC60" s="3">
        <v>41.514018691588788</v>
      </c>
      <c r="AD60" s="3">
        <v>60.032568677428443</v>
      </c>
      <c r="AE60" s="3">
        <v>47.079575302225116</v>
      </c>
      <c r="AF60" s="3">
        <v>141.23872590667526</v>
      </c>
      <c r="AG60" s="18">
        <v>12</v>
      </c>
      <c r="AH60" s="18">
        <v>127</v>
      </c>
      <c r="AI60" s="4">
        <v>32.242990654205606</v>
      </c>
      <c r="AJ60" s="4">
        <v>38.785046728971963</v>
      </c>
      <c r="AK60" s="7">
        <v>13.551401869158878</v>
      </c>
      <c r="AL60" s="5">
        <v>225</v>
      </c>
      <c r="AM60" s="3">
        <v>54.418300653594748</v>
      </c>
      <c r="AN60" s="3">
        <v>38.641269841269832</v>
      </c>
      <c r="AO60" s="3">
        <v>69.590336134453807</v>
      </c>
      <c r="AP60" s="3">
        <v>54.188795518207293</v>
      </c>
      <c r="AQ60" s="3">
        <v>162.64990662931837</v>
      </c>
      <c r="AR60" s="18">
        <v>6</v>
      </c>
      <c r="AS60" s="18">
        <v>90</v>
      </c>
      <c r="AT60" s="4">
        <v>6.2222222222222223</v>
      </c>
      <c r="AU60" s="4">
        <v>33.333333333333336</v>
      </c>
      <c r="AV60" s="7">
        <v>5.3571428571428568</v>
      </c>
      <c r="AW60" s="10">
        <f t="shared" si="13"/>
        <v>215.33333333333334</v>
      </c>
      <c r="AX60" s="9">
        <f t="shared" si="14"/>
        <v>51.50970624678903</v>
      </c>
      <c r="AY60" s="9">
        <f t="shared" si="15"/>
        <v>44.406030155075257</v>
      </c>
      <c r="AZ60" s="9">
        <f t="shared" si="16"/>
        <v>67.11531072902784</v>
      </c>
      <c r="BA60" s="9">
        <f t="shared" si="17"/>
        <v>54.334402368664435</v>
      </c>
      <c r="BB60" s="9">
        <f t="shared" si="18"/>
        <v>163.03104713089212</v>
      </c>
      <c r="BC60" s="10">
        <f t="shared" si="23"/>
        <v>9</v>
      </c>
      <c r="BD60" s="10">
        <f t="shared" si="12"/>
        <v>81</v>
      </c>
      <c r="BE60" s="4">
        <f t="shared" si="19"/>
        <v>19.232606438213914</v>
      </c>
      <c r="BF60" s="4">
        <f t="shared" si="20"/>
        <v>36.059190031152653</v>
      </c>
      <c r="BG60" s="7">
        <f t="shared" si="21"/>
        <v>9.4542723631508672</v>
      </c>
      <c r="BH60" s="5">
        <v>269</v>
      </c>
      <c r="BI60" s="3">
        <v>60.832462686567169</v>
      </c>
      <c r="BJ60" s="3">
        <v>37.187313432835857</v>
      </c>
      <c r="BK60" s="3">
        <v>51.339179104477623</v>
      </c>
      <c r="BL60" s="3">
        <v>49.786318407960167</v>
      </c>
      <c r="BM60" s="3">
        <v>149.35895522388051</v>
      </c>
      <c r="BN60" s="18">
        <v>3</v>
      </c>
      <c r="BO60" s="18">
        <v>37</v>
      </c>
      <c r="BP60" s="4">
        <v>7.08955223880597</v>
      </c>
      <c r="BQ60" s="4">
        <v>41.044776119402982</v>
      </c>
      <c r="BR60" s="7">
        <v>20.895522388059703</v>
      </c>
      <c r="BS60" s="18"/>
      <c r="BT60" s="23" t="s">
        <v>17</v>
      </c>
    </row>
    <row r="61" spans="1:72" x14ac:dyDescent="0.25">
      <c r="A61" s="18">
        <v>56</v>
      </c>
      <c r="B61" s="18" t="s">
        <v>18</v>
      </c>
      <c r="C61" s="18">
        <v>1</v>
      </c>
      <c r="D61" s="21" t="s">
        <v>9</v>
      </c>
      <c r="E61" s="5"/>
      <c r="F61" s="3">
        <v>61.666666666666664</v>
      </c>
      <c r="G61" s="3">
        <v>68.8</v>
      </c>
      <c r="H61" s="3">
        <v>67.666666666666671</v>
      </c>
      <c r="I61" s="3">
        <f t="shared" si="9"/>
        <v>66.044444444444437</v>
      </c>
      <c r="J61" s="3">
        <f t="shared" si="10"/>
        <v>198.13333333333333</v>
      </c>
      <c r="K61" s="18">
        <f t="shared" ref="K61:K83" si="24">IF(J61="","",(RANK(J61,$J$61:$J$83)))</f>
        <v>4</v>
      </c>
      <c r="L61" s="18">
        <f t="shared" si="4"/>
        <v>11</v>
      </c>
      <c r="M61" s="4"/>
      <c r="N61" s="4"/>
      <c r="O61" s="7"/>
      <c r="P61" s="5">
        <v>69</v>
      </c>
      <c r="Q61" s="3">
        <v>69.420289855072454</v>
      </c>
      <c r="R61" s="3">
        <v>58.89855072463768</v>
      </c>
      <c r="S61" s="3">
        <v>72.077294685990339</v>
      </c>
      <c r="T61" s="3">
        <v>66.798711755233469</v>
      </c>
      <c r="U61" s="3">
        <v>200.39613526570048</v>
      </c>
      <c r="V61" s="18">
        <v>2</v>
      </c>
      <c r="W61" s="18">
        <v>14</v>
      </c>
      <c r="X61" s="4">
        <v>0</v>
      </c>
      <c r="Y61" s="4">
        <v>2.8985507246376812</v>
      </c>
      <c r="Z61" s="7">
        <v>5.7971014492753623</v>
      </c>
      <c r="AA61" s="5">
        <v>69</v>
      </c>
      <c r="AB61" s="3">
        <v>58.009049773755656</v>
      </c>
      <c r="AC61" s="3">
        <v>56.553846153846152</v>
      </c>
      <c r="AD61" s="3">
        <v>64.009324009324018</v>
      </c>
      <c r="AE61" s="3">
        <v>59.524073312308595</v>
      </c>
      <c r="AF61" s="3">
        <v>178.57221993692582</v>
      </c>
      <c r="AG61" s="18">
        <v>6</v>
      </c>
      <c r="AH61" s="18">
        <v>28</v>
      </c>
      <c r="AI61" s="4">
        <v>1.5384615384615385</v>
      </c>
      <c r="AJ61" s="4">
        <v>6.1538461538461542</v>
      </c>
      <c r="AK61" s="7">
        <v>1.5384615384615385</v>
      </c>
      <c r="AL61" s="5">
        <v>71</v>
      </c>
      <c r="AM61" s="3">
        <v>70.798319327731079</v>
      </c>
      <c r="AN61" s="3">
        <v>58.448979591836746</v>
      </c>
      <c r="AO61" s="3">
        <v>72.352941176470566</v>
      </c>
      <c r="AP61" s="3">
        <v>67.200080032012821</v>
      </c>
      <c r="AQ61" s="3">
        <v>201.60024009603836</v>
      </c>
      <c r="AR61" s="18">
        <v>2</v>
      </c>
      <c r="AS61" s="18">
        <v>11</v>
      </c>
      <c r="AT61" s="4">
        <v>1.4492753623188406</v>
      </c>
      <c r="AU61" s="4">
        <v>7.1428571428571432</v>
      </c>
      <c r="AV61" s="7">
        <v>0</v>
      </c>
      <c r="AW61" s="10">
        <f t="shared" si="13"/>
        <v>69.666666666666671</v>
      </c>
      <c r="AX61" s="9">
        <f t="shared" si="14"/>
        <v>66.075886318853065</v>
      </c>
      <c r="AY61" s="9">
        <f t="shared" si="15"/>
        <v>57.967125490106859</v>
      </c>
      <c r="AZ61" s="9">
        <f t="shared" si="16"/>
        <v>69.479853290594974</v>
      </c>
      <c r="BA61" s="9">
        <f t="shared" si="17"/>
        <v>64.50762169985164</v>
      </c>
      <c r="BB61" s="9">
        <f t="shared" si="18"/>
        <v>193.52286509955488</v>
      </c>
      <c r="BC61" s="10">
        <f>IF(BB61="","",(RANK(BB61,$BB$61:$BB$83)))</f>
        <v>2</v>
      </c>
      <c r="BD61" s="10">
        <f t="shared" si="12"/>
        <v>12</v>
      </c>
      <c r="BE61" s="4">
        <f t="shared" si="19"/>
        <v>1.4938684503901896</v>
      </c>
      <c r="BF61" s="4">
        <f t="shared" si="20"/>
        <v>6.6483516483516487</v>
      </c>
      <c r="BG61" s="7">
        <f t="shared" si="21"/>
        <v>0.76923076923076927</v>
      </c>
      <c r="BH61" s="5">
        <v>71</v>
      </c>
      <c r="BI61" s="3">
        <v>64.623943661971808</v>
      </c>
      <c r="BJ61" s="3">
        <v>37.440845070422533</v>
      </c>
      <c r="BK61" s="3">
        <v>47.725352112676063</v>
      </c>
      <c r="BL61" s="3">
        <v>49.930046948356804</v>
      </c>
      <c r="BM61" s="3">
        <v>149.79014084507043</v>
      </c>
      <c r="BN61" s="18">
        <v>6</v>
      </c>
      <c r="BO61" s="18">
        <v>36</v>
      </c>
      <c r="BP61" s="4">
        <v>5.6338028169014081</v>
      </c>
      <c r="BQ61" s="4">
        <v>38.028169014084504</v>
      </c>
      <c r="BR61" s="7">
        <v>26.760563380281692</v>
      </c>
      <c r="BS61" s="18"/>
      <c r="BT61" s="23">
        <v>1</v>
      </c>
    </row>
    <row r="62" spans="1:72" x14ac:dyDescent="0.25">
      <c r="A62" s="18">
        <v>57</v>
      </c>
      <c r="B62" s="18" t="s">
        <v>18</v>
      </c>
      <c r="C62" s="18">
        <v>5</v>
      </c>
      <c r="D62" s="21" t="s">
        <v>9</v>
      </c>
      <c r="E62" s="5"/>
      <c r="F62" s="3">
        <v>62.666666666666664</v>
      </c>
      <c r="G62" s="3">
        <v>56</v>
      </c>
      <c r="H62" s="3">
        <v>56.666666666666664</v>
      </c>
      <c r="I62" s="3">
        <f t="shared" si="9"/>
        <v>58.444444444444436</v>
      </c>
      <c r="J62" s="3">
        <f t="shared" si="10"/>
        <v>175.33333333333331</v>
      </c>
      <c r="K62" s="18">
        <f t="shared" si="24"/>
        <v>6</v>
      </c>
      <c r="L62" s="18">
        <f t="shared" si="4"/>
        <v>27</v>
      </c>
      <c r="M62" s="4"/>
      <c r="N62" s="4"/>
      <c r="O62" s="7"/>
      <c r="P62" s="5">
        <v>154</v>
      </c>
      <c r="Q62" s="3">
        <v>61.796536796536806</v>
      </c>
      <c r="R62" s="3">
        <v>62.20779220779221</v>
      </c>
      <c r="S62" s="3">
        <v>68.376623376623357</v>
      </c>
      <c r="T62" s="3">
        <v>64.126984126984141</v>
      </c>
      <c r="U62" s="3">
        <v>192.38095238095235</v>
      </c>
      <c r="V62" s="18">
        <v>5</v>
      </c>
      <c r="W62" s="18">
        <v>27</v>
      </c>
      <c r="X62" s="4">
        <v>6.4935064935064934</v>
      </c>
      <c r="Y62" s="4">
        <v>5.1948051948051948</v>
      </c>
      <c r="Z62" s="7">
        <v>10.38961038961039</v>
      </c>
      <c r="AA62" s="5">
        <v>162</v>
      </c>
      <c r="AB62" s="3">
        <v>58.017984263769243</v>
      </c>
      <c r="AC62" s="3">
        <v>66.114649681528661</v>
      </c>
      <c r="AD62" s="3">
        <v>64.238539238539261</v>
      </c>
      <c r="AE62" s="3">
        <v>62.759161491270902</v>
      </c>
      <c r="AF62" s="3">
        <v>188.37117318383716</v>
      </c>
      <c r="AG62" s="18">
        <v>3</v>
      </c>
      <c r="AH62" s="18">
        <v>15</v>
      </c>
      <c r="AI62" s="4">
        <v>3.8216560509554141</v>
      </c>
      <c r="AJ62" s="4">
        <v>3.1847133757961785</v>
      </c>
      <c r="AK62" s="7">
        <v>3.2051282051282053</v>
      </c>
      <c r="AL62" s="5">
        <v>162</v>
      </c>
      <c r="AM62" s="3">
        <v>66.532103037293325</v>
      </c>
      <c r="AN62" s="3">
        <v>53.781512605041996</v>
      </c>
      <c r="AO62" s="3">
        <v>73.029603998462136</v>
      </c>
      <c r="AP62" s="3">
        <v>64.447739880265843</v>
      </c>
      <c r="AQ62" s="3">
        <v>193.34321964079746</v>
      </c>
      <c r="AR62" s="18">
        <v>6</v>
      </c>
      <c r="AS62" s="18">
        <v>19</v>
      </c>
      <c r="AT62" s="4">
        <v>3.2679738562091503</v>
      </c>
      <c r="AU62" s="4">
        <v>12.5</v>
      </c>
      <c r="AV62" s="7">
        <v>3.2679738562091503</v>
      </c>
      <c r="AW62" s="10">
        <f t="shared" si="13"/>
        <v>159.33333333333334</v>
      </c>
      <c r="AX62" s="9">
        <f t="shared" si="14"/>
        <v>62.115541365866456</v>
      </c>
      <c r="AY62" s="9">
        <f t="shared" si="15"/>
        <v>60.701318164787629</v>
      </c>
      <c r="AZ62" s="9">
        <f t="shared" si="16"/>
        <v>68.548255537874908</v>
      </c>
      <c r="BA62" s="9">
        <f t="shared" si="17"/>
        <v>63.777961832840298</v>
      </c>
      <c r="BB62" s="9">
        <f t="shared" si="18"/>
        <v>191.36511506852898</v>
      </c>
      <c r="BC62" s="10">
        <f t="shared" ref="BC62:BC83" si="25">IF(BB62="","",(RANK(BB62,$BB$61:$BB$83)))</f>
        <v>3</v>
      </c>
      <c r="BD62" s="10">
        <f t="shared" si="12"/>
        <v>13</v>
      </c>
      <c r="BE62" s="4">
        <f t="shared" si="19"/>
        <v>3.5448149535822822</v>
      </c>
      <c r="BF62" s="4">
        <f t="shared" si="20"/>
        <v>7.8423566878980893</v>
      </c>
      <c r="BG62" s="7">
        <f t="shared" si="21"/>
        <v>3.2365510306686778</v>
      </c>
      <c r="BH62" s="5">
        <v>162</v>
      </c>
      <c r="BI62" s="3">
        <v>56.458385093167678</v>
      </c>
      <c r="BJ62" s="3">
        <v>37.165838509316778</v>
      </c>
      <c r="BK62" s="3">
        <v>46.053416149068347</v>
      </c>
      <c r="BL62" s="3">
        <v>46.559213250517615</v>
      </c>
      <c r="BM62" s="3">
        <v>139.67763975155279</v>
      </c>
      <c r="BN62" s="18">
        <v>10</v>
      </c>
      <c r="BO62" s="18">
        <v>68</v>
      </c>
      <c r="BP62" s="4">
        <v>16.770186335403725</v>
      </c>
      <c r="BQ62" s="4">
        <v>42.236024844720497</v>
      </c>
      <c r="BR62" s="7">
        <v>33.54037267080745</v>
      </c>
      <c r="BS62" s="18"/>
      <c r="BT62" s="23">
        <v>5</v>
      </c>
    </row>
    <row r="63" spans="1:72" x14ac:dyDescent="0.25">
      <c r="A63" s="18">
        <v>58</v>
      </c>
      <c r="B63" s="18" t="s">
        <v>18</v>
      </c>
      <c r="C63" s="18" t="s">
        <v>52</v>
      </c>
      <c r="D63" s="21" t="s">
        <v>10</v>
      </c>
      <c r="E63" s="5"/>
      <c r="F63" s="3"/>
      <c r="G63" s="3"/>
      <c r="H63" s="3"/>
      <c r="I63" s="3" t="str">
        <f t="shared" si="9"/>
        <v/>
      </c>
      <c r="J63" s="3" t="str">
        <f t="shared" si="10"/>
        <v/>
      </c>
      <c r="K63" s="18" t="str">
        <f t="shared" si="24"/>
        <v/>
      </c>
      <c r="L63" s="18" t="str">
        <f t="shared" si="4"/>
        <v/>
      </c>
      <c r="M63" s="4"/>
      <c r="N63" s="4"/>
      <c r="O63" s="7"/>
      <c r="P63" s="5"/>
      <c r="Q63" s="3"/>
      <c r="R63" s="3"/>
      <c r="S63" s="3"/>
      <c r="T63" s="3"/>
      <c r="U63" s="3" t="s">
        <v>35</v>
      </c>
      <c r="V63" s="18" t="s">
        <v>35</v>
      </c>
      <c r="W63" s="18" t="s">
        <v>35</v>
      </c>
      <c r="X63" s="4" t="s">
        <v>35</v>
      </c>
      <c r="Y63" s="4" t="s">
        <v>35</v>
      </c>
      <c r="Z63" s="7" t="s">
        <v>35</v>
      </c>
      <c r="AA63" s="5"/>
      <c r="AB63" s="3"/>
      <c r="AC63" s="3"/>
      <c r="AD63" s="3"/>
      <c r="AE63" s="3"/>
      <c r="AF63" s="3" t="s">
        <v>35</v>
      </c>
      <c r="AG63" s="18" t="s">
        <v>35</v>
      </c>
      <c r="AH63" s="18" t="s">
        <v>35</v>
      </c>
      <c r="AI63" s="4" t="s">
        <v>35</v>
      </c>
      <c r="AJ63" s="4" t="s">
        <v>35</v>
      </c>
      <c r="AK63" s="7" t="s">
        <v>35</v>
      </c>
      <c r="AL63" s="5"/>
      <c r="AM63" s="3"/>
      <c r="AN63" s="3"/>
      <c r="AO63" s="3"/>
      <c r="AP63" s="3"/>
      <c r="AQ63" s="3" t="s">
        <v>35</v>
      </c>
      <c r="AR63" s="18" t="s">
        <v>35</v>
      </c>
      <c r="AS63" s="18" t="s">
        <v>35</v>
      </c>
      <c r="AT63" s="4" t="s">
        <v>35</v>
      </c>
      <c r="AU63" s="4" t="s">
        <v>35</v>
      </c>
      <c r="AV63" s="7" t="s">
        <v>35</v>
      </c>
      <c r="AW63" s="10"/>
      <c r="AX63" s="9"/>
      <c r="AY63" s="9"/>
      <c r="AZ63" s="9"/>
      <c r="BA63" s="9"/>
      <c r="BB63" s="9"/>
      <c r="BC63" s="10" t="str">
        <f t="shared" si="25"/>
        <v/>
      </c>
      <c r="BD63" s="10" t="str">
        <f t="shared" si="12"/>
        <v/>
      </c>
      <c r="BE63" s="4"/>
      <c r="BF63" s="4"/>
      <c r="BG63" s="7"/>
      <c r="BH63" s="5"/>
      <c r="BI63" s="3"/>
      <c r="BJ63" s="3"/>
      <c r="BK63" s="3"/>
      <c r="BL63" s="3"/>
      <c r="BM63" s="3"/>
      <c r="BN63" s="18" t="s">
        <v>35</v>
      </c>
      <c r="BO63" s="18" t="s">
        <v>35</v>
      </c>
      <c r="BP63" s="4"/>
      <c r="BQ63" s="4"/>
      <c r="BR63" s="7"/>
      <c r="BS63" s="18"/>
      <c r="BT63" s="23">
        <v>5</v>
      </c>
    </row>
    <row r="64" spans="1:72" x14ac:dyDescent="0.25">
      <c r="A64" s="18">
        <v>59</v>
      </c>
      <c r="B64" s="18" t="s">
        <v>18</v>
      </c>
      <c r="C64" s="18">
        <v>8</v>
      </c>
      <c r="D64" s="21" t="s">
        <v>9</v>
      </c>
      <c r="E64" s="5"/>
      <c r="F64" s="3">
        <v>46</v>
      </c>
      <c r="G64" s="3">
        <v>44</v>
      </c>
      <c r="H64" s="3">
        <v>45.333333333333336</v>
      </c>
      <c r="I64" s="3">
        <f t="shared" si="9"/>
        <v>45.111111111111114</v>
      </c>
      <c r="J64" s="3">
        <f t="shared" si="10"/>
        <v>135.33333333333334</v>
      </c>
      <c r="K64" s="18">
        <f t="shared" si="24"/>
        <v>16</v>
      </c>
      <c r="L64" s="18">
        <f t="shared" si="4"/>
        <v>140</v>
      </c>
      <c r="M64" s="4"/>
      <c r="N64" s="4"/>
      <c r="O64" s="7"/>
      <c r="P64" s="5">
        <v>75</v>
      </c>
      <c r="Q64" s="3">
        <v>60.355555555555547</v>
      </c>
      <c r="R64" s="3">
        <v>58.613333333333337</v>
      </c>
      <c r="S64" s="3">
        <v>67.1111111111111</v>
      </c>
      <c r="T64" s="3">
        <v>62.02666666666665</v>
      </c>
      <c r="U64" s="3">
        <v>186.07999999999998</v>
      </c>
      <c r="V64" s="18">
        <v>8</v>
      </c>
      <c r="W64" s="18">
        <v>44</v>
      </c>
      <c r="X64" s="4">
        <v>1.3333333333333333</v>
      </c>
      <c r="Y64" s="4">
        <v>4.0540540540540544</v>
      </c>
      <c r="Z64" s="7">
        <v>2.6666666666666665</v>
      </c>
      <c r="AA64" s="5">
        <v>79</v>
      </c>
      <c r="AB64" s="3">
        <v>60.007639419404143</v>
      </c>
      <c r="AC64" s="3">
        <v>58.857142857142854</v>
      </c>
      <c r="AD64" s="3">
        <v>62.140889413616691</v>
      </c>
      <c r="AE64" s="3">
        <v>60.335223896721232</v>
      </c>
      <c r="AF64" s="3">
        <v>181.00567169016369</v>
      </c>
      <c r="AG64" s="18">
        <v>5</v>
      </c>
      <c r="AH64" s="18">
        <v>23</v>
      </c>
      <c r="AI64" s="4">
        <v>9.0909090909090917</v>
      </c>
      <c r="AJ64" s="4">
        <v>3.8961038961038961</v>
      </c>
      <c r="AK64" s="7">
        <v>10.526315789473685</v>
      </c>
      <c r="AL64" s="5">
        <v>78</v>
      </c>
      <c r="AM64" s="3">
        <v>57.949125596184416</v>
      </c>
      <c r="AN64" s="3">
        <v>44.285714285714292</v>
      </c>
      <c r="AO64" s="3">
        <v>67.368839427662962</v>
      </c>
      <c r="AP64" s="3">
        <v>56.534559769853885</v>
      </c>
      <c r="AQ64" s="3">
        <v>169.60367930956167</v>
      </c>
      <c r="AR64" s="18">
        <v>12</v>
      </c>
      <c r="AS64" s="18">
        <v>68</v>
      </c>
      <c r="AT64" s="4">
        <v>4.0540540540540544</v>
      </c>
      <c r="AU64" s="4">
        <v>20.27027027027027</v>
      </c>
      <c r="AV64" s="7">
        <v>5.4054054054054053</v>
      </c>
      <c r="AW64" s="10">
        <f t="shared" si="13"/>
        <v>77.333333333333329</v>
      </c>
      <c r="AX64" s="9">
        <f t="shared" si="14"/>
        <v>59.437440190381373</v>
      </c>
      <c r="AY64" s="9">
        <f t="shared" si="15"/>
        <v>53.918730158730163</v>
      </c>
      <c r="AZ64" s="9">
        <f t="shared" si="16"/>
        <v>65.540279984130265</v>
      </c>
      <c r="BA64" s="9">
        <f t="shared" si="17"/>
        <v>59.632150111080591</v>
      </c>
      <c r="BB64" s="9">
        <f t="shared" si="18"/>
        <v>178.89645033324177</v>
      </c>
      <c r="BC64" s="10">
        <f t="shared" si="25"/>
        <v>9</v>
      </c>
      <c r="BD64" s="10">
        <f t="shared" si="12"/>
        <v>33</v>
      </c>
      <c r="BE64" s="4">
        <f t="shared" si="19"/>
        <v>6.5724815724815731</v>
      </c>
      <c r="BF64" s="4">
        <f t="shared" si="20"/>
        <v>12.083187083187083</v>
      </c>
      <c r="BG64" s="7">
        <f t="shared" si="21"/>
        <v>7.9658605974395451</v>
      </c>
      <c r="BH64" s="5">
        <v>79</v>
      </c>
      <c r="BI64" s="3">
        <v>67.613924050632875</v>
      </c>
      <c r="BJ64" s="3">
        <v>35.801265822784814</v>
      </c>
      <c r="BK64" s="3">
        <v>53.091139240506337</v>
      </c>
      <c r="BL64" s="3">
        <v>52.168776371308027</v>
      </c>
      <c r="BM64" s="3">
        <v>156.50632911392404</v>
      </c>
      <c r="BN64" s="18">
        <v>3</v>
      </c>
      <c r="BO64" s="18">
        <v>21</v>
      </c>
      <c r="BP64" s="4">
        <v>1.2658227848101267</v>
      </c>
      <c r="BQ64" s="4">
        <v>41.77215189873418</v>
      </c>
      <c r="BR64" s="7">
        <v>18.9873417721519</v>
      </c>
      <c r="BS64" s="18"/>
      <c r="BT64" s="23">
        <v>8</v>
      </c>
    </row>
    <row r="65" spans="1:72" x14ac:dyDescent="0.25">
      <c r="A65" s="1">
        <v>60</v>
      </c>
      <c r="B65" s="18" t="s">
        <v>18</v>
      </c>
      <c r="C65" s="18">
        <v>9</v>
      </c>
      <c r="D65" s="21" t="s">
        <v>9</v>
      </c>
      <c r="E65" s="5"/>
      <c r="F65" s="3">
        <v>50.333333333333336</v>
      </c>
      <c r="G65" s="3">
        <v>58</v>
      </c>
      <c r="H65" s="3">
        <v>37</v>
      </c>
      <c r="I65" s="3">
        <f t="shared" si="9"/>
        <v>48.44444444444445</v>
      </c>
      <c r="J65" s="3">
        <f t="shared" si="10"/>
        <v>145.33333333333334</v>
      </c>
      <c r="K65" s="18">
        <f t="shared" si="24"/>
        <v>13</v>
      </c>
      <c r="L65" s="18">
        <f t="shared" si="4"/>
        <v>99</v>
      </c>
      <c r="M65" s="4"/>
      <c r="N65" s="4"/>
      <c r="O65" s="7"/>
      <c r="P65" s="5">
        <v>69</v>
      </c>
      <c r="Q65" s="3">
        <v>49.275362318840585</v>
      </c>
      <c r="R65" s="3">
        <v>41.731343283582092</v>
      </c>
      <c r="S65" s="3">
        <v>42.303921568627459</v>
      </c>
      <c r="T65" s="3">
        <v>44.473856209150327</v>
      </c>
      <c r="U65" s="3">
        <v>133.31062717105013</v>
      </c>
      <c r="V65" s="18">
        <v>18</v>
      </c>
      <c r="W65" s="18">
        <v>220</v>
      </c>
      <c r="X65" s="4">
        <v>21.739130434782609</v>
      </c>
      <c r="Y65" s="4">
        <v>37.313432835820898</v>
      </c>
      <c r="Z65" s="7">
        <v>36.764705882352942</v>
      </c>
      <c r="AA65" s="5">
        <v>74</v>
      </c>
      <c r="AB65" s="3">
        <v>45.993179880647922</v>
      </c>
      <c r="AC65" s="3">
        <v>46.20289855072464</v>
      </c>
      <c r="AD65" s="3">
        <v>47.738252086078155</v>
      </c>
      <c r="AE65" s="3">
        <v>46.644776839150254</v>
      </c>
      <c r="AF65" s="3">
        <v>139.93433051745072</v>
      </c>
      <c r="AG65" s="18">
        <v>16</v>
      </c>
      <c r="AH65" s="18">
        <v>132</v>
      </c>
      <c r="AI65" s="4">
        <v>21.739130434782609</v>
      </c>
      <c r="AJ65" s="4">
        <v>20.289855072463769</v>
      </c>
      <c r="AK65" s="7">
        <v>26.086956521739129</v>
      </c>
      <c r="AL65" s="5">
        <v>72</v>
      </c>
      <c r="AM65" s="3">
        <v>69.327731092436977</v>
      </c>
      <c r="AN65" s="3">
        <v>36.780045351473923</v>
      </c>
      <c r="AO65" s="3">
        <v>69.794584500466883</v>
      </c>
      <c r="AP65" s="3">
        <v>58.63412031479259</v>
      </c>
      <c r="AQ65" s="3">
        <v>175.90236094437779</v>
      </c>
      <c r="AR65" s="18">
        <v>9</v>
      </c>
      <c r="AS65" s="18">
        <v>52</v>
      </c>
      <c r="AT65" s="4">
        <v>1.5873015873015872</v>
      </c>
      <c r="AU65" s="4">
        <v>44.444444444444443</v>
      </c>
      <c r="AV65" s="7">
        <v>3.1746031746031744</v>
      </c>
      <c r="AW65" s="10">
        <f t="shared" si="13"/>
        <v>71.666666666666671</v>
      </c>
      <c r="AX65" s="9">
        <f t="shared" si="14"/>
        <v>54.865424430641831</v>
      </c>
      <c r="AY65" s="9">
        <f t="shared" si="15"/>
        <v>41.571429061926885</v>
      </c>
      <c r="AZ65" s="9">
        <f t="shared" si="16"/>
        <v>53.278919385057499</v>
      </c>
      <c r="BA65" s="9">
        <f t="shared" si="17"/>
        <v>49.917584454364395</v>
      </c>
      <c r="BB65" s="9">
        <f t="shared" si="18"/>
        <v>149.71577287762622</v>
      </c>
      <c r="BC65" s="10">
        <f t="shared" si="25"/>
        <v>17</v>
      </c>
      <c r="BD65" s="10">
        <f t="shared" si="12"/>
        <v>125</v>
      </c>
      <c r="BE65" s="4">
        <f t="shared" si="19"/>
        <v>11.663216011042099</v>
      </c>
      <c r="BF65" s="4">
        <f t="shared" si="20"/>
        <v>32.367149758454104</v>
      </c>
      <c r="BG65" s="7">
        <f t="shared" si="21"/>
        <v>14.630779848171152</v>
      </c>
      <c r="BH65" s="5">
        <v>72</v>
      </c>
      <c r="BI65" s="3">
        <v>49.55</v>
      </c>
      <c r="BJ65" s="3">
        <v>31.601388888888884</v>
      </c>
      <c r="BK65" s="3">
        <v>34.113888888888887</v>
      </c>
      <c r="BL65" s="3">
        <v>38.421759259259275</v>
      </c>
      <c r="BM65" s="3">
        <v>115.26527777777775</v>
      </c>
      <c r="BN65" s="18">
        <v>18</v>
      </c>
      <c r="BO65" s="18">
        <v>197</v>
      </c>
      <c r="BP65" s="4">
        <v>20.833333333333332</v>
      </c>
      <c r="BQ65" s="4">
        <v>55.555555555555557</v>
      </c>
      <c r="BR65" s="7">
        <v>56.944444444444443</v>
      </c>
      <c r="BS65" s="18"/>
      <c r="BT65" s="23">
        <v>9</v>
      </c>
    </row>
    <row r="66" spans="1:72" x14ac:dyDescent="0.25">
      <c r="A66" s="18">
        <v>61</v>
      </c>
      <c r="B66" s="18" t="s">
        <v>18</v>
      </c>
      <c r="C66" s="18">
        <v>14</v>
      </c>
      <c r="D66" s="21" t="s">
        <v>9</v>
      </c>
      <c r="E66" s="5"/>
      <c r="F66" s="3">
        <v>52</v>
      </c>
      <c r="G66" s="3">
        <v>43.2</v>
      </c>
      <c r="H66" s="3">
        <v>49.666666666666664</v>
      </c>
      <c r="I66" s="3">
        <f t="shared" si="9"/>
        <v>48.288888888888891</v>
      </c>
      <c r="J66" s="3">
        <f t="shared" si="10"/>
        <v>144.86666666666667</v>
      </c>
      <c r="K66" s="18">
        <f t="shared" si="24"/>
        <v>14</v>
      </c>
      <c r="L66" s="18">
        <f t="shared" si="4"/>
        <v>105</v>
      </c>
      <c r="M66" s="4"/>
      <c r="N66" s="4"/>
      <c r="O66" s="7"/>
      <c r="P66" s="5">
        <v>122</v>
      </c>
      <c r="Q66" s="3">
        <v>53.989071038251367</v>
      </c>
      <c r="R66" s="3">
        <v>46.032786885245905</v>
      </c>
      <c r="S66" s="3">
        <v>56.229508196721326</v>
      </c>
      <c r="T66" s="3">
        <v>52.083788706739547</v>
      </c>
      <c r="U66" s="3">
        <v>156.25136612021859</v>
      </c>
      <c r="V66" s="18">
        <v>15</v>
      </c>
      <c r="W66" s="18">
        <v>115</v>
      </c>
      <c r="X66" s="4">
        <v>13.114754098360656</v>
      </c>
      <c r="Y66" s="4">
        <v>25.409836065573771</v>
      </c>
      <c r="Z66" s="7">
        <v>19.672131147540984</v>
      </c>
      <c r="AA66" s="5">
        <v>126</v>
      </c>
      <c r="AB66" s="3">
        <v>40.735294117647065</v>
      </c>
      <c r="AC66" s="3">
        <v>46.8</v>
      </c>
      <c r="AD66" s="3">
        <v>46.010101010100968</v>
      </c>
      <c r="AE66" s="3">
        <v>44.51513170924936</v>
      </c>
      <c r="AF66" s="3">
        <v>133.54539512774801</v>
      </c>
      <c r="AG66" s="18">
        <v>18</v>
      </c>
      <c r="AH66" s="18">
        <v>163</v>
      </c>
      <c r="AI66" s="4">
        <v>33.333333333333336</v>
      </c>
      <c r="AJ66" s="4">
        <v>20.833333333333332</v>
      </c>
      <c r="AK66" s="7">
        <v>31.092436974789916</v>
      </c>
      <c r="AL66" s="5">
        <v>110</v>
      </c>
      <c r="AM66" s="3">
        <v>63.903743315508059</v>
      </c>
      <c r="AN66" s="3">
        <v>38.493506493506487</v>
      </c>
      <c r="AO66" s="3">
        <v>69.572192513368933</v>
      </c>
      <c r="AP66" s="3">
        <v>57.323147440794514</v>
      </c>
      <c r="AQ66" s="3">
        <v>171.96944232238349</v>
      </c>
      <c r="AR66" s="18">
        <v>10</v>
      </c>
      <c r="AS66" s="18">
        <v>62</v>
      </c>
      <c r="AT66" s="4">
        <v>2.7272727272727271</v>
      </c>
      <c r="AU66" s="4">
        <v>29.09090909090909</v>
      </c>
      <c r="AV66" s="7">
        <v>8.1818181818181817</v>
      </c>
      <c r="AW66" s="10">
        <f t="shared" si="13"/>
        <v>119.33333333333333</v>
      </c>
      <c r="AX66" s="9">
        <f t="shared" si="14"/>
        <v>52.876036157135495</v>
      </c>
      <c r="AY66" s="9">
        <f t="shared" si="15"/>
        <v>43.775431126250794</v>
      </c>
      <c r="AZ66" s="9">
        <f t="shared" si="16"/>
        <v>57.270600573397076</v>
      </c>
      <c r="BA66" s="9">
        <f t="shared" si="17"/>
        <v>51.30735595226114</v>
      </c>
      <c r="BB66" s="9">
        <f t="shared" si="18"/>
        <v>153.92206785678337</v>
      </c>
      <c r="BC66" s="10">
        <f t="shared" si="25"/>
        <v>16</v>
      </c>
      <c r="BD66" s="10">
        <f t="shared" si="12"/>
        <v>110</v>
      </c>
      <c r="BE66" s="4">
        <f t="shared" si="19"/>
        <v>18.030303030303031</v>
      </c>
      <c r="BF66" s="4">
        <f t="shared" si="20"/>
        <v>24.962121212121211</v>
      </c>
      <c r="BG66" s="7">
        <f t="shared" si="21"/>
        <v>19.63712757830405</v>
      </c>
      <c r="BH66" s="5">
        <v>127</v>
      </c>
      <c r="BI66" s="3">
        <v>57.87007874015746</v>
      </c>
      <c r="BJ66" s="3">
        <v>36.140157480314969</v>
      </c>
      <c r="BK66" s="3">
        <v>40.944094488188973</v>
      </c>
      <c r="BL66" s="3">
        <v>44.984776902887155</v>
      </c>
      <c r="BM66" s="3">
        <v>134.95433070866144</v>
      </c>
      <c r="BN66" s="18">
        <v>12</v>
      </c>
      <c r="BO66" s="18">
        <v>93</v>
      </c>
      <c r="BP66" s="4">
        <v>16.535433070866141</v>
      </c>
      <c r="BQ66" s="4">
        <v>40.944881889763778</v>
      </c>
      <c r="BR66" s="7">
        <v>34.645669291338585</v>
      </c>
      <c r="BS66" s="18"/>
      <c r="BT66" s="23">
        <v>14</v>
      </c>
    </row>
    <row r="67" spans="1:72" x14ac:dyDescent="0.25">
      <c r="A67" s="18">
        <v>62</v>
      </c>
      <c r="B67" s="18" t="s">
        <v>18</v>
      </c>
      <c r="C67" s="18">
        <v>16</v>
      </c>
      <c r="D67" s="21" t="s">
        <v>19</v>
      </c>
      <c r="E67" s="5"/>
      <c r="F67" s="3">
        <v>55</v>
      </c>
      <c r="G67" s="3">
        <v>60</v>
      </c>
      <c r="H67" s="3">
        <v>62.333333333333336</v>
      </c>
      <c r="I67" s="3">
        <f t="shared" si="9"/>
        <v>59.111111111111114</v>
      </c>
      <c r="J67" s="3">
        <f t="shared" si="10"/>
        <v>177.33333333333334</v>
      </c>
      <c r="K67" s="18">
        <f t="shared" si="24"/>
        <v>5</v>
      </c>
      <c r="L67" s="18">
        <f t="shared" si="4"/>
        <v>26</v>
      </c>
      <c r="M67" s="4"/>
      <c r="N67" s="4"/>
      <c r="O67" s="7"/>
      <c r="P67" s="5">
        <v>40</v>
      </c>
      <c r="Q67" s="3">
        <v>59.000000000000014</v>
      </c>
      <c r="R67" s="3">
        <v>52.7</v>
      </c>
      <c r="S67" s="3">
        <v>67.583333333333329</v>
      </c>
      <c r="T67" s="3">
        <v>59.761111111111113</v>
      </c>
      <c r="U67" s="3">
        <v>179.28333333333336</v>
      </c>
      <c r="V67" s="18">
        <v>9</v>
      </c>
      <c r="W67" s="18">
        <v>60</v>
      </c>
      <c r="X67" s="4">
        <v>7.5</v>
      </c>
      <c r="Y67" s="4">
        <v>17.5</v>
      </c>
      <c r="Z67" s="7">
        <v>12.5</v>
      </c>
      <c r="AA67" s="5">
        <v>44</v>
      </c>
      <c r="AB67" s="3">
        <v>45.955882352941174</v>
      </c>
      <c r="AC67" s="3">
        <v>45.9</v>
      </c>
      <c r="AD67" s="3">
        <v>64.318181818181827</v>
      </c>
      <c r="AE67" s="3">
        <v>52.058021390374336</v>
      </c>
      <c r="AF67" s="3">
        <v>156.17406417112301</v>
      </c>
      <c r="AG67" s="18">
        <v>11</v>
      </c>
      <c r="AH67" s="18">
        <v>79</v>
      </c>
      <c r="AI67" s="4">
        <v>22.5</v>
      </c>
      <c r="AJ67" s="4">
        <v>22.5</v>
      </c>
      <c r="AK67" s="7">
        <v>10</v>
      </c>
      <c r="AL67" s="5">
        <v>42</v>
      </c>
      <c r="AM67" s="3">
        <v>63.235294117647058</v>
      </c>
      <c r="AN67" s="3">
        <v>41.278195488721806</v>
      </c>
      <c r="AO67" s="3">
        <v>65.557275541795661</v>
      </c>
      <c r="AP67" s="3">
        <v>56.690255049388163</v>
      </c>
      <c r="AQ67" s="3">
        <v>170.07076514816453</v>
      </c>
      <c r="AR67" s="18">
        <v>11</v>
      </c>
      <c r="AS67" s="18">
        <v>66</v>
      </c>
      <c r="AT67" s="4">
        <v>5.2631578947368425</v>
      </c>
      <c r="AU67" s="4">
        <v>34.210526315789473</v>
      </c>
      <c r="AV67" s="7">
        <v>13.157894736842104</v>
      </c>
      <c r="AW67" s="10">
        <f t="shared" si="13"/>
        <v>42</v>
      </c>
      <c r="AX67" s="9">
        <f t="shared" si="14"/>
        <v>56.063725490196077</v>
      </c>
      <c r="AY67" s="9">
        <f t="shared" si="15"/>
        <v>46.626065162907274</v>
      </c>
      <c r="AZ67" s="9">
        <f t="shared" si="16"/>
        <v>65.819596897770268</v>
      </c>
      <c r="BA67" s="9">
        <f t="shared" si="17"/>
        <v>56.169795850291202</v>
      </c>
      <c r="BB67" s="9">
        <f t="shared" si="18"/>
        <v>168.50938755087364</v>
      </c>
      <c r="BC67" s="10">
        <f t="shared" si="25"/>
        <v>11</v>
      </c>
      <c r="BD67" s="10">
        <f t="shared" si="12"/>
        <v>63</v>
      </c>
      <c r="BE67" s="4">
        <f t="shared" si="19"/>
        <v>13.881578947368421</v>
      </c>
      <c r="BF67" s="4">
        <f t="shared" si="20"/>
        <v>28.355263157894736</v>
      </c>
      <c r="BG67" s="7">
        <f t="shared" si="21"/>
        <v>11.578947368421051</v>
      </c>
      <c r="BH67" s="5">
        <v>42</v>
      </c>
      <c r="BI67" s="3">
        <v>67.347619047619048</v>
      </c>
      <c r="BJ67" s="3">
        <v>38.250000000000007</v>
      </c>
      <c r="BK67" s="3">
        <v>52.30952380952381</v>
      </c>
      <c r="BL67" s="3">
        <v>52.635714285714293</v>
      </c>
      <c r="BM67" s="3">
        <v>157.90714285714282</v>
      </c>
      <c r="BN67" s="18">
        <v>2</v>
      </c>
      <c r="BO67" s="18">
        <v>18</v>
      </c>
      <c r="BP67" s="4">
        <v>2.3809523809523809</v>
      </c>
      <c r="BQ67" s="4">
        <v>45.238095238095241</v>
      </c>
      <c r="BR67" s="7">
        <v>30.952380952380953</v>
      </c>
      <c r="BS67" s="18"/>
      <c r="BT67" s="23">
        <v>16</v>
      </c>
    </row>
    <row r="68" spans="1:72" x14ac:dyDescent="0.25">
      <c r="A68" s="18">
        <v>63</v>
      </c>
      <c r="B68" s="18" t="s">
        <v>18</v>
      </c>
      <c r="C68" s="18">
        <v>19</v>
      </c>
      <c r="D68" s="21" t="s">
        <v>9</v>
      </c>
      <c r="E68" s="5"/>
      <c r="F68" s="3">
        <v>56.666666666666664</v>
      </c>
      <c r="G68" s="3">
        <v>52.8</v>
      </c>
      <c r="H68" s="3">
        <v>37</v>
      </c>
      <c r="I68" s="3">
        <f t="shared" si="9"/>
        <v>48.822222222222223</v>
      </c>
      <c r="J68" s="3">
        <f t="shared" si="10"/>
        <v>146.46666666666667</v>
      </c>
      <c r="K68" s="18">
        <f t="shared" si="24"/>
        <v>12</v>
      </c>
      <c r="L68" s="18">
        <f t="shared" si="4"/>
        <v>93</v>
      </c>
      <c r="M68" s="4"/>
      <c r="N68" s="4"/>
      <c r="O68" s="7"/>
      <c r="P68" s="5">
        <v>123</v>
      </c>
      <c r="Q68" s="3">
        <v>39.620596205962052</v>
      </c>
      <c r="R68" s="3">
        <v>46.894308943089428</v>
      </c>
      <c r="S68" s="3">
        <v>29.810298102981037</v>
      </c>
      <c r="T68" s="3">
        <v>38.775067750677536</v>
      </c>
      <c r="U68" s="3">
        <v>116.32520325203252</v>
      </c>
      <c r="V68" s="18">
        <v>19</v>
      </c>
      <c r="W68" s="18">
        <v>277</v>
      </c>
      <c r="X68" s="4">
        <v>34.959349593495936</v>
      </c>
      <c r="Y68" s="4">
        <v>19.512195121951219</v>
      </c>
      <c r="Z68" s="7">
        <v>56.097560975609753</v>
      </c>
      <c r="AA68" s="5">
        <v>125</v>
      </c>
      <c r="AB68" s="3">
        <v>31.894225580140308</v>
      </c>
      <c r="AC68" s="3">
        <v>36.25925925925926</v>
      </c>
      <c r="AD68" s="3">
        <v>34.579439252336421</v>
      </c>
      <c r="AE68" s="3">
        <v>34.141087071470238</v>
      </c>
      <c r="AF68" s="3">
        <v>102.73292409173598</v>
      </c>
      <c r="AG68" s="18">
        <v>21</v>
      </c>
      <c r="AH68" s="18">
        <v>272</v>
      </c>
      <c r="AI68" s="4">
        <v>49.541284403669728</v>
      </c>
      <c r="AJ68" s="4">
        <v>41.666666666666664</v>
      </c>
      <c r="AK68" s="7">
        <v>43.925233644859816</v>
      </c>
      <c r="AL68" s="5">
        <v>124</v>
      </c>
      <c r="AM68" s="3">
        <v>57.127715951245364</v>
      </c>
      <c r="AN68" s="3">
        <v>32.695417789757407</v>
      </c>
      <c r="AO68" s="3">
        <v>48.650836481381567</v>
      </c>
      <c r="AP68" s="3">
        <v>46.518156812274469</v>
      </c>
      <c r="AQ68" s="3">
        <v>138.47397022238434</v>
      </c>
      <c r="AR68" s="18">
        <v>20</v>
      </c>
      <c r="AS68" s="18">
        <v>197</v>
      </c>
      <c r="AT68" s="4">
        <v>14.414414414414415</v>
      </c>
      <c r="AU68" s="4">
        <v>51.886792452830186</v>
      </c>
      <c r="AV68" s="7">
        <v>18.348623853211009</v>
      </c>
      <c r="AW68" s="10">
        <f t="shared" si="13"/>
        <v>124</v>
      </c>
      <c r="AX68" s="9">
        <f t="shared" si="14"/>
        <v>42.880845912449239</v>
      </c>
      <c r="AY68" s="9">
        <f t="shared" si="15"/>
        <v>38.616328664035365</v>
      </c>
      <c r="AZ68" s="9">
        <f t="shared" si="16"/>
        <v>37.680191278899677</v>
      </c>
      <c r="BA68" s="9">
        <f t="shared" si="17"/>
        <v>39.811437211474079</v>
      </c>
      <c r="BB68" s="9">
        <f t="shared" si="18"/>
        <v>119.17736585538428</v>
      </c>
      <c r="BC68" s="10">
        <f t="shared" si="25"/>
        <v>21</v>
      </c>
      <c r="BD68" s="10">
        <f t="shared" si="12"/>
        <v>266</v>
      </c>
      <c r="BE68" s="4">
        <f t="shared" si="19"/>
        <v>31.977849409042072</v>
      </c>
      <c r="BF68" s="4">
        <f t="shared" si="20"/>
        <v>46.776729559748425</v>
      </c>
      <c r="BG68" s="7">
        <f t="shared" si="21"/>
        <v>31.136928749035413</v>
      </c>
      <c r="BH68" s="5">
        <v>125</v>
      </c>
      <c r="BI68" s="3">
        <v>43.161788617886195</v>
      </c>
      <c r="BJ68" s="3">
        <v>29.846341463414625</v>
      </c>
      <c r="BK68" s="3">
        <v>29.577235772357721</v>
      </c>
      <c r="BL68" s="3">
        <v>34.195121951219498</v>
      </c>
      <c r="BM68" s="3">
        <v>102.58536585365859</v>
      </c>
      <c r="BN68" s="18">
        <v>21</v>
      </c>
      <c r="BO68" s="18">
        <v>262</v>
      </c>
      <c r="BP68" s="4">
        <v>30.894308943089431</v>
      </c>
      <c r="BQ68" s="4">
        <v>56.097560975609753</v>
      </c>
      <c r="BR68" s="7">
        <v>60.162601626016261</v>
      </c>
      <c r="BS68" s="18"/>
      <c r="BT68" s="23">
        <v>19</v>
      </c>
    </row>
    <row r="69" spans="1:72" x14ac:dyDescent="0.25">
      <c r="A69" s="18">
        <v>64</v>
      </c>
      <c r="B69" s="18" t="s">
        <v>18</v>
      </c>
      <c r="C69" s="18">
        <v>35</v>
      </c>
      <c r="D69" s="21" t="s">
        <v>9</v>
      </c>
      <c r="E69" s="5"/>
      <c r="F69" s="3">
        <v>65</v>
      </c>
      <c r="G69" s="3">
        <v>73.599999999999994</v>
      </c>
      <c r="H69" s="3">
        <v>59.666666666666657</v>
      </c>
      <c r="I69" s="3">
        <f t="shared" si="9"/>
        <v>66.088888888888889</v>
      </c>
      <c r="J69" s="3">
        <f t="shared" si="10"/>
        <v>198.26666666666665</v>
      </c>
      <c r="K69" s="18">
        <f t="shared" si="24"/>
        <v>3</v>
      </c>
      <c r="L69" s="18">
        <f t="shared" si="4"/>
        <v>10</v>
      </c>
      <c r="M69" s="4"/>
      <c r="N69" s="4"/>
      <c r="O69" s="7"/>
      <c r="P69" s="5"/>
      <c r="Q69" s="3"/>
      <c r="R69" s="3"/>
      <c r="S69" s="3"/>
      <c r="T69" s="3"/>
      <c r="U69" s="3" t="s">
        <v>35</v>
      </c>
      <c r="V69" s="18" t="s">
        <v>35</v>
      </c>
      <c r="W69" s="18" t="s">
        <v>35</v>
      </c>
      <c r="X69" s="4" t="s">
        <v>35</v>
      </c>
      <c r="Y69" s="4" t="s">
        <v>35</v>
      </c>
      <c r="Z69" s="7" t="s">
        <v>35</v>
      </c>
      <c r="AA69" s="5">
        <v>41</v>
      </c>
      <c r="AB69" s="3">
        <v>46.130030959752332</v>
      </c>
      <c r="AC69" s="3">
        <v>80.84210526315789</v>
      </c>
      <c r="AD69" s="3">
        <v>62.200956937799042</v>
      </c>
      <c r="AE69" s="3">
        <v>63.057697720236391</v>
      </c>
      <c r="AF69" s="3">
        <v>189.17309316070927</v>
      </c>
      <c r="AG69" s="18">
        <v>2</v>
      </c>
      <c r="AH69" s="18">
        <v>14</v>
      </c>
      <c r="AI69" s="4">
        <v>13.157894736842104</v>
      </c>
      <c r="AJ69" s="4">
        <v>2.6315789473684212</v>
      </c>
      <c r="AK69" s="7">
        <v>2.6315789473684212</v>
      </c>
      <c r="AL69" s="5">
        <v>36</v>
      </c>
      <c r="AM69" s="3">
        <v>64.460784313725483</v>
      </c>
      <c r="AN69" s="3">
        <v>52.936507936507937</v>
      </c>
      <c r="AO69" s="3">
        <v>51.552287581699346</v>
      </c>
      <c r="AP69" s="3">
        <v>56.316526610644253</v>
      </c>
      <c r="AQ69" s="3">
        <v>168.94957983193277</v>
      </c>
      <c r="AR69" s="18">
        <v>13</v>
      </c>
      <c r="AS69" s="18">
        <v>72</v>
      </c>
      <c r="AT69" s="4">
        <v>5.5555555555555554</v>
      </c>
      <c r="AU69" s="4">
        <v>11.111111111111111</v>
      </c>
      <c r="AV69" s="7">
        <v>19.444444444444443</v>
      </c>
      <c r="AW69" s="10">
        <f t="shared" si="13"/>
        <v>38.5</v>
      </c>
      <c r="AX69" s="9">
        <f t="shared" si="14"/>
        <v>55.295407636738908</v>
      </c>
      <c r="AY69" s="9">
        <f t="shared" si="15"/>
        <v>66.889306599832906</v>
      </c>
      <c r="AZ69" s="9">
        <f t="shared" si="16"/>
        <v>56.876622259749197</v>
      </c>
      <c r="BA69" s="9">
        <f t="shared" si="17"/>
        <v>59.687112165440325</v>
      </c>
      <c r="BB69" s="9">
        <f t="shared" si="18"/>
        <v>179.06133649632102</v>
      </c>
      <c r="BC69" s="10">
        <f t="shared" si="25"/>
        <v>8</v>
      </c>
      <c r="BD69" s="10">
        <f t="shared" si="12"/>
        <v>32</v>
      </c>
      <c r="BE69" s="4">
        <f t="shared" si="19"/>
        <v>9.3567251461988299</v>
      </c>
      <c r="BF69" s="4">
        <f t="shared" si="20"/>
        <v>6.871345029239766</v>
      </c>
      <c r="BG69" s="7">
        <f t="shared" si="21"/>
        <v>11.038011695906432</v>
      </c>
      <c r="BH69" s="5">
        <v>40</v>
      </c>
      <c r="BI69" s="3">
        <v>42.285000000000004</v>
      </c>
      <c r="BJ69" s="3">
        <v>33.697499999999991</v>
      </c>
      <c r="BK69" s="3">
        <v>31.902500000000014</v>
      </c>
      <c r="BL69" s="3">
        <v>35.961666666666666</v>
      </c>
      <c r="BM69" s="3">
        <v>107.88500000000002</v>
      </c>
      <c r="BN69" s="18">
        <v>20</v>
      </c>
      <c r="BO69" s="18">
        <v>240</v>
      </c>
      <c r="BP69" s="4">
        <v>35</v>
      </c>
      <c r="BQ69" s="4">
        <v>45</v>
      </c>
      <c r="BR69" s="7">
        <v>65</v>
      </c>
      <c r="BS69" s="18"/>
      <c r="BT69" s="23">
        <v>35</v>
      </c>
    </row>
    <row r="70" spans="1:72" x14ac:dyDescent="0.25">
      <c r="A70" s="1">
        <v>65</v>
      </c>
      <c r="B70" s="18" t="s">
        <v>18</v>
      </c>
      <c r="C70" s="18">
        <v>42</v>
      </c>
      <c r="D70" s="21" t="s">
        <v>9</v>
      </c>
      <c r="E70" s="5"/>
      <c r="F70" s="3">
        <v>64</v>
      </c>
      <c r="G70" s="3">
        <v>67.599999999999994</v>
      </c>
      <c r="H70" s="3">
        <v>68.333333333333329</v>
      </c>
      <c r="I70" s="3">
        <f t="shared" si="9"/>
        <v>66.644444444444446</v>
      </c>
      <c r="J70" s="3">
        <f t="shared" si="10"/>
        <v>199.93333333333334</v>
      </c>
      <c r="K70" s="18">
        <f t="shared" si="24"/>
        <v>2</v>
      </c>
      <c r="L70" s="18">
        <f t="shared" ref="L70:L133" si="26">IF(J70="","",(RANK(J70,$J$6:$J$535)))</f>
        <v>9</v>
      </c>
      <c r="M70" s="4"/>
      <c r="N70" s="4"/>
      <c r="O70" s="7"/>
      <c r="P70" s="5">
        <v>90</v>
      </c>
      <c r="Q70" s="3">
        <v>63.555555555555543</v>
      </c>
      <c r="R70" s="3">
        <v>59.422222222222224</v>
      </c>
      <c r="S70" s="3">
        <v>70.666666666666671</v>
      </c>
      <c r="T70" s="3">
        <v>64.54814814814813</v>
      </c>
      <c r="U70" s="3">
        <v>193.64444444444445</v>
      </c>
      <c r="V70" s="18">
        <v>4</v>
      </c>
      <c r="W70" s="18">
        <v>25</v>
      </c>
      <c r="X70" s="4">
        <v>0</v>
      </c>
      <c r="Y70" s="4">
        <v>0</v>
      </c>
      <c r="Z70" s="7">
        <v>0</v>
      </c>
      <c r="AA70" s="5">
        <v>93</v>
      </c>
      <c r="AB70" s="3">
        <v>50.066844919786107</v>
      </c>
      <c r="AC70" s="3">
        <v>49.31818181818182</v>
      </c>
      <c r="AD70" s="3">
        <v>62.25895316804408</v>
      </c>
      <c r="AE70" s="3">
        <v>53.881326635337359</v>
      </c>
      <c r="AF70" s="3">
        <v>161.64397990601202</v>
      </c>
      <c r="AG70" s="18">
        <v>9</v>
      </c>
      <c r="AH70" s="18">
        <v>57</v>
      </c>
      <c r="AI70" s="4">
        <v>13.636363636363637</v>
      </c>
      <c r="AJ70" s="4">
        <v>14.772727272727273</v>
      </c>
      <c r="AK70" s="7">
        <v>11.363636363636363</v>
      </c>
      <c r="AL70" s="5">
        <v>92</v>
      </c>
      <c r="AM70" s="3">
        <v>74.96657754010694</v>
      </c>
      <c r="AN70" s="3">
        <v>47.79220779220779</v>
      </c>
      <c r="AO70" s="3">
        <v>74.832887700534741</v>
      </c>
      <c r="AP70" s="3">
        <v>65.863891010949814</v>
      </c>
      <c r="AQ70" s="3">
        <v>197.59167303284949</v>
      </c>
      <c r="AR70" s="18">
        <v>4</v>
      </c>
      <c r="AS70" s="18">
        <v>13</v>
      </c>
      <c r="AT70" s="4">
        <v>0</v>
      </c>
      <c r="AU70" s="4">
        <v>10.227272727272727</v>
      </c>
      <c r="AV70" s="7">
        <v>2.2727272727272729</v>
      </c>
      <c r="AW70" s="10">
        <f t="shared" si="13"/>
        <v>91.666666666666671</v>
      </c>
      <c r="AX70" s="9">
        <f t="shared" si="14"/>
        <v>62.862992671816194</v>
      </c>
      <c r="AY70" s="9">
        <f t="shared" si="15"/>
        <v>52.177537277537283</v>
      </c>
      <c r="AZ70" s="9">
        <f t="shared" si="16"/>
        <v>69.252835845081833</v>
      </c>
      <c r="BA70" s="9">
        <f t="shared" si="17"/>
        <v>61.431121931478437</v>
      </c>
      <c r="BB70" s="9">
        <f t="shared" si="18"/>
        <v>184.29336579443532</v>
      </c>
      <c r="BC70" s="10">
        <f t="shared" si="25"/>
        <v>7</v>
      </c>
      <c r="BD70" s="10">
        <f t="shared" si="12"/>
        <v>22</v>
      </c>
      <c r="BE70" s="4">
        <f t="shared" si="19"/>
        <v>6.8181818181818183</v>
      </c>
      <c r="BF70" s="4">
        <f t="shared" si="20"/>
        <v>12.5</v>
      </c>
      <c r="BG70" s="7">
        <f t="shared" si="21"/>
        <v>6.8181818181818183</v>
      </c>
      <c r="BH70" s="5">
        <v>92</v>
      </c>
      <c r="BI70" s="3">
        <v>61.472527472527496</v>
      </c>
      <c r="BJ70" s="3">
        <v>38.013186813186806</v>
      </c>
      <c r="BK70" s="3">
        <v>47.538461538461512</v>
      </c>
      <c r="BL70" s="3">
        <v>49.008058608058619</v>
      </c>
      <c r="BM70" s="3">
        <v>147.02417582417579</v>
      </c>
      <c r="BN70" s="18">
        <v>7</v>
      </c>
      <c r="BO70" s="18">
        <v>41</v>
      </c>
      <c r="BP70" s="4">
        <v>10.989010989010989</v>
      </c>
      <c r="BQ70" s="4">
        <v>46.153846153846153</v>
      </c>
      <c r="BR70" s="7">
        <v>36.263736263736263</v>
      </c>
      <c r="BS70" s="18"/>
      <c r="BT70" s="23">
        <v>42</v>
      </c>
    </row>
    <row r="71" spans="1:72" x14ac:dyDescent="0.25">
      <c r="A71" s="18">
        <v>66</v>
      </c>
      <c r="B71" s="18" t="s">
        <v>18</v>
      </c>
      <c r="C71" s="18">
        <v>44</v>
      </c>
      <c r="D71" s="21" t="s">
        <v>9</v>
      </c>
      <c r="E71" s="5"/>
      <c r="F71" s="3">
        <v>38.333333333333336</v>
      </c>
      <c r="G71" s="3">
        <v>42</v>
      </c>
      <c r="H71" s="3">
        <v>47.666666666666664</v>
      </c>
      <c r="I71" s="3">
        <f t="shared" ref="I71:I134" si="27">IF(F71="","",AVERAGE(F71:H71))</f>
        <v>42.666666666666664</v>
      </c>
      <c r="J71" s="3">
        <f t="shared" ref="J71:J134" si="28">IF(F71="","",SUM(F71:H71))</f>
        <v>128</v>
      </c>
      <c r="K71" s="18">
        <f t="shared" si="24"/>
        <v>19</v>
      </c>
      <c r="L71" s="18">
        <f t="shared" si="26"/>
        <v>163</v>
      </c>
      <c r="M71" s="4"/>
      <c r="N71" s="4"/>
      <c r="O71" s="7"/>
      <c r="P71" s="5">
        <v>33</v>
      </c>
      <c r="Q71" s="3">
        <v>54.141414141414138</v>
      </c>
      <c r="R71" s="3">
        <v>50.787878787878789</v>
      </c>
      <c r="S71" s="3">
        <v>64.646464646464651</v>
      </c>
      <c r="T71" s="3">
        <v>56.525252525252561</v>
      </c>
      <c r="U71" s="3">
        <v>169.57575757575756</v>
      </c>
      <c r="V71" s="18">
        <v>13</v>
      </c>
      <c r="W71" s="18">
        <v>85</v>
      </c>
      <c r="X71" s="4">
        <v>12.121212121212121</v>
      </c>
      <c r="Y71" s="4">
        <v>12.121212121212121</v>
      </c>
      <c r="Z71" s="7">
        <v>18.181818181818183</v>
      </c>
      <c r="AA71" s="5">
        <v>36</v>
      </c>
      <c r="AB71" s="3">
        <v>36.245674740484439</v>
      </c>
      <c r="AC71" s="3">
        <v>40.235294117647058</v>
      </c>
      <c r="AD71" s="3">
        <v>46.434937611408181</v>
      </c>
      <c r="AE71" s="3">
        <v>40.971968823179907</v>
      </c>
      <c r="AF71" s="3">
        <v>122.91590646953966</v>
      </c>
      <c r="AG71" s="18">
        <v>19</v>
      </c>
      <c r="AH71" s="18">
        <v>197</v>
      </c>
      <c r="AI71" s="4">
        <v>44.117647058823529</v>
      </c>
      <c r="AJ71" s="4">
        <v>32.352941176470587</v>
      </c>
      <c r="AK71" s="7">
        <v>29.411764705882351</v>
      </c>
      <c r="AL71" s="5">
        <v>37</v>
      </c>
      <c r="AM71" s="3">
        <v>58.159392789373818</v>
      </c>
      <c r="AN71" s="3">
        <v>26.635944700460829</v>
      </c>
      <c r="AO71" s="3">
        <v>58.349146110056928</v>
      </c>
      <c r="AP71" s="3">
        <v>47.714827866630515</v>
      </c>
      <c r="AQ71" s="3">
        <v>143.14448359989157</v>
      </c>
      <c r="AR71" s="18">
        <v>19</v>
      </c>
      <c r="AS71" s="18">
        <v>172</v>
      </c>
      <c r="AT71" s="4">
        <v>6.4516129032258061</v>
      </c>
      <c r="AU71" s="4">
        <v>61.29032258064516</v>
      </c>
      <c r="AV71" s="7">
        <v>16.129032258064516</v>
      </c>
      <c r="AW71" s="10">
        <f t="shared" ref="AW71:AW134" si="29">AVERAGE(P71,AA71,AL71)</f>
        <v>35.333333333333336</v>
      </c>
      <c r="AX71" s="9">
        <f t="shared" ref="AX71:AX134" si="30">AVERAGE(Q71,AB71,AM71)</f>
        <v>49.515493890424132</v>
      </c>
      <c r="AY71" s="9">
        <f t="shared" ref="AY71:AY134" si="31">AVERAGE(R71,AC71,AN71)</f>
        <v>39.219705868662224</v>
      </c>
      <c r="AZ71" s="9">
        <f t="shared" ref="AZ71:AZ134" si="32">AVERAGE(S71,AD71,AO71)</f>
        <v>56.476849455976584</v>
      </c>
      <c r="BA71" s="9">
        <f t="shared" ref="BA71:BA134" si="33">AVERAGE(T71,AE71,AP71)</f>
        <v>48.404016405020997</v>
      </c>
      <c r="BB71" s="9">
        <f t="shared" ref="BB71:BB134" si="34">AVERAGE(U71,AF71,AQ71)</f>
        <v>145.21204921506293</v>
      </c>
      <c r="BC71" s="10">
        <f t="shared" si="25"/>
        <v>18</v>
      </c>
      <c r="BD71" s="10">
        <f t="shared" ref="BD71:BD134" si="35">IF(BB71="","",(RANK(BB71,$BB$6:$BB$535)))</f>
        <v>143</v>
      </c>
      <c r="BE71" s="4">
        <f t="shared" si="19"/>
        <v>25.284629981024668</v>
      </c>
      <c r="BF71" s="4">
        <f t="shared" si="20"/>
        <v>46.821631878557874</v>
      </c>
      <c r="BG71" s="7">
        <f t="shared" si="21"/>
        <v>22.770398481973434</v>
      </c>
      <c r="BH71" s="5">
        <v>32</v>
      </c>
      <c r="BI71" s="3">
        <v>51.012499999999996</v>
      </c>
      <c r="BJ71" s="3">
        <v>35.518750000000004</v>
      </c>
      <c r="BK71" s="3">
        <v>46.603124999999999</v>
      </c>
      <c r="BL71" s="3">
        <v>44.378124999999997</v>
      </c>
      <c r="BM71" s="3">
        <v>133.13437499999998</v>
      </c>
      <c r="BN71" s="18">
        <v>14</v>
      </c>
      <c r="BO71" s="18">
        <v>99</v>
      </c>
      <c r="BP71" s="4">
        <v>25</v>
      </c>
      <c r="BQ71" s="4">
        <v>37.5</v>
      </c>
      <c r="BR71" s="7">
        <v>34.375</v>
      </c>
      <c r="BS71" s="18"/>
      <c r="BT71" s="23">
        <v>44</v>
      </c>
    </row>
    <row r="72" spans="1:72" x14ac:dyDescent="0.25">
      <c r="A72" s="18">
        <v>67</v>
      </c>
      <c r="B72" s="18" t="s">
        <v>18</v>
      </c>
      <c r="C72" s="18">
        <v>46</v>
      </c>
      <c r="D72" s="21" t="s">
        <v>9</v>
      </c>
      <c r="E72" s="5"/>
      <c r="F72" s="3">
        <v>48.666666666666664</v>
      </c>
      <c r="G72" s="3">
        <v>64</v>
      </c>
      <c r="H72" s="3">
        <v>60</v>
      </c>
      <c r="I72" s="3">
        <f t="shared" si="27"/>
        <v>57.55555555555555</v>
      </c>
      <c r="J72" s="3">
        <f t="shared" si="28"/>
        <v>172.66666666666666</v>
      </c>
      <c r="K72" s="18">
        <f t="shared" si="24"/>
        <v>7</v>
      </c>
      <c r="L72" s="18">
        <f t="shared" si="26"/>
        <v>30</v>
      </c>
      <c r="M72" s="4"/>
      <c r="N72" s="4"/>
      <c r="O72" s="7"/>
      <c r="P72" s="5">
        <v>104</v>
      </c>
      <c r="Q72" s="3">
        <v>66.346153846153825</v>
      </c>
      <c r="R72" s="3">
        <v>61.230769230769234</v>
      </c>
      <c r="S72" s="3">
        <v>64.711538461538439</v>
      </c>
      <c r="T72" s="3">
        <v>64.096153846153783</v>
      </c>
      <c r="U72" s="3">
        <v>192.28846153846149</v>
      </c>
      <c r="V72" s="18">
        <v>6</v>
      </c>
      <c r="W72" s="18">
        <v>28</v>
      </c>
      <c r="X72" s="4">
        <v>4.8076923076923075</v>
      </c>
      <c r="Y72" s="4">
        <v>1.9230769230769231</v>
      </c>
      <c r="Z72" s="7">
        <v>14.423076923076923</v>
      </c>
      <c r="AA72" s="5">
        <v>111</v>
      </c>
      <c r="AB72" s="3">
        <v>59.385026737967934</v>
      </c>
      <c r="AC72" s="3">
        <v>55.018181818181816</v>
      </c>
      <c r="AD72" s="3">
        <v>60.909090909090956</v>
      </c>
      <c r="AE72" s="3">
        <v>58.437433155080214</v>
      </c>
      <c r="AF72" s="3">
        <v>175.3122994652407</v>
      </c>
      <c r="AG72" s="18">
        <v>7</v>
      </c>
      <c r="AH72" s="18">
        <v>31</v>
      </c>
      <c r="AI72" s="4">
        <v>2.7272727272727271</v>
      </c>
      <c r="AJ72" s="4">
        <v>9.2592592592592595</v>
      </c>
      <c r="AK72" s="7">
        <v>8.1818181818181817</v>
      </c>
      <c r="AL72" s="5">
        <v>111</v>
      </c>
      <c r="AM72" s="3">
        <v>68.892421833598306</v>
      </c>
      <c r="AN72" s="3">
        <v>57.889317889317859</v>
      </c>
      <c r="AO72" s="3">
        <v>72.257551669316328</v>
      </c>
      <c r="AP72" s="3">
        <v>66.346430464077542</v>
      </c>
      <c r="AQ72" s="3">
        <v>199.03929139223249</v>
      </c>
      <c r="AR72" s="18">
        <v>3</v>
      </c>
      <c r="AS72" s="18">
        <v>12</v>
      </c>
      <c r="AT72" s="4">
        <v>2.7027027027027026</v>
      </c>
      <c r="AU72" s="4">
        <v>13.513513513513514</v>
      </c>
      <c r="AV72" s="7">
        <v>7.2072072072072073</v>
      </c>
      <c r="AW72" s="10">
        <f t="shared" si="29"/>
        <v>108.66666666666667</v>
      </c>
      <c r="AX72" s="9">
        <f t="shared" si="30"/>
        <v>64.874534139240026</v>
      </c>
      <c r="AY72" s="9">
        <f t="shared" si="31"/>
        <v>58.046089646089634</v>
      </c>
      <c r="AZ72" s="9">
        <f t="shared" si="32"/>
        <v>65.959393679981915</v>
      </c>
      <c r="BA72" s="9">
        <f t="shared" si="33"/>
        <v>62.960005821770515</v>
      </c>
      <c r="BB72" s="9">
        <f t="shared" si="34"/>
        <v>188.88001746531154</v>
      </c>
      <c r="BC72" s="10">
        <f t="shared" si="25"/>
        <v>4</v>
      </c>
      <c r="BD72" s="10">
        <f t="shared" si="35"/>
        <v>16</v>
      </c>
      <c r="BE72" s="4">
        <f t="shared" si="19"/>
        <v>2.7149877149877151</v>
      </c>
      <c r="BF72" s="4">
        <f t="shared" si="20"/>
        <v>11.386386386386388</v>
      </c>
      <c r="BG72" s="7">
        <f t="shared" si="21"/>
        <v>7.694512694512694</v>
      </c>
      <c r="BH72" s="5">
        <v>111</v>
      </c>
      <c r="BI72" s="3">
        <v>58.40900900900899</v>
      </c>
      <c r="BJ72" s="3">
        <v>39.094594594594604</v>
      </c>
      <c r="BK72" s="3">
        <v>47.163063063063063</v>
      </c>
      <c r="BL72" s="3">
        <v>48.222222222222243</v>
      </c>
      <c r="BM72" s="3">
        <v>144.66666666666663</v>
      </c>
      <c r="BN72" s="18">
        <v>8</v>
      </c>
      <c r="BO72" s="18">
        <v>51</v>
      </c>
      <c r="BP72" s="4">
        <v>17.117117117117118</v>
      </c>
      <c r="BQ72" s="4">
        <v>36.936936936936938</v>
      </c>
      <c r="BR72" s="7">
        <v>38.738738738738739</v>
      </c>
      <c r="BS72" s="18"/>
      <c r="BT72" s="23">
        <v>46</v>
      </c>
    </row>
    <row r="73" spans="1:72" x14ac:dyDescent="0.25">
      <c r="A73" s="18">
        <v>68</v>
      </c>
      <c r="B73" s="18" t="s">
        <v>18</v>
      </c>
      <c r="C73" s="18">
        <v>54</v>
      </c>
      <c r="D73" s="21" t="s">
        <v>9</v>
      </c>
      <c r="E73" s="5"/>
      <c r="F73" s="3">
        <v>48</v>
      </c>
      <c r="G73" s="3">
        <v>49.2</v>
      </c>
      <c r="H73" s="3">
        <v>40</v>
      </c>
      <c r="I73" s="3">
        <f t="shared" si="27"/>
        <v>45.733333333333327</v>
      </c>
      <c r="J73" s="3">
        <f t="shared" si="28"/>
        <v>137.19999999999999</v>
      </c>
      <c r="K73" s="18">
        <f t="shared" si="24"/>
        <v>15</v>
      </c>
      <c r="L73" s="18">
        <f t="shared" si="26"/>
        <v>131</v>
      </c>
      <c r="M73" s="4"/>
      <c r="N73" s="4"/>
      <c r="O73" s="7"/>
      <c r="P73" s="5">
        <v>104</v>
      </c>
      <c r="Q73" s="3">
        <v>55.865384615384599</v>
      </c>
      <c r="R73" s="3">
        <v>61.346153846153847</v>
      </c>
      <c r="S73" s="3">
        <v>60.320512820512768</v>
      </c>
      <c r="T73" s="3">
        <v>59.177350427350412</v>
      </c>
      <c r="U73" s="3">
        <v>177.53205128205121</v>
      </c>
      <c r="V73" s="18">
        <v>10</v>
      </c>
      <c r="W73" s="18">
        <v>61</v>
      </c>
      <c r="X73" s="4">
        <v>9.615384615384615</v>
      </c>
      <c r="Y73" s="4">
        <v>7.8431372549019605</v>
      </c>
      <c r="Z73" s="7">
        <v>8.6538461538461533</v>
      </c>
      <c r="AA73" s="5">
        <v>108</v>
      </c>
      <c r="AB73" s="3">
        <v>48.611111111111072</v>
      </c>
      <c r="AC73" s="3">
        <v>55.703703703703702</v>
      </c>
      <c r="AD73" s="3">
        <v>52.216610549943866</v>
      </c>
      <c r="AE73" s="3">
        <v>52.177141788252932</v>
      </c>
      <c r="AF73" s="3">
        <v>156.53142536475866</v>
      </c>
      <c r="AG73" s="18">
        <v>10</v>
      </c>
      <c r="AH73" s="18">
        <v>77</v>
      </c>
      <c r="AI73" s="4">
        <v>4.6296296296296298</v>
      </c>
      <c r="AJ73" s="4">
        <v>0.93457943925233644</v>
      </c>
      <c r="AK73" s="7">
        <v>6.4814814814814818</v>
      </c>
      <c r="AL73" s="5">
        <v>108</v>
      </c>
      <c r="AM73" s="3">
        <v>58.201357466063357</v>
      </c>
      <c r="AN73" s="3">
        <v>60.326259946949598</v>
      </c>
      <c r="AO73" s="3">
        <v>61.917249417249472</v>
      </c>
      <c r="AP73" s="3">
        <v>60.148288943420795</v>
      </c>
      <c r="AQ73" s="3">
        <v>180.44486683026244</v>
      </c>
      <c r="AR73" s="18">
        <v>8</v>
      </c>
      <c r="AS73" s="18">
        <v>41</v>
      </c>
      <c r="AT73" s="4">
        <v>7.6923076923076925</v>
      </c>
      <c r="AU73" s="4">
        <v>3</v>
      </c>
      <c r="AV73" s="7">
        <v>6.7307692307692308</v>
      </c>
      <c r="AW73" s="10">
        <f t="shared" si="29"/>
        <v>106.66666666666667</v>
      </c>
      <c r="AX73" s="9">
        <f t="shared" si="30"/>
        <v>54.225951064186347</v>
      </c>
      <c r="AY73" s="9">
        <f t="shared" si="31"/>
        <v>59.125372498935718</v>
      </c>
      <c r="AZ73" s="9">
        <f t="shared" si="32"/>
        <v>58.151457595902038</v>
      </c>
      <c r="BA73" s="9">
        <f t="shared" si="33"/>
        <v>57.16759371967472</v>
      </c>
      <c r="BB73" s="9">
        <f t="shared" si="34"/>
        <v>171.50278115902412</v>
      </c>
      <c r="BC73" s="10">
        <f t="shared" si="25"/>
        <v>10</v>
      </c>
      <c r="BD73" s="10">
        <f t="shared" si="35"/>
        <v>54</v>
      </c>
      <c r="BE73" s="4">
        <f t="shared" si="19"/>
        <v>6.1609686609686616</v>
      </c>
      <c r="BF73" s="4">
        <f t="shared" si="20"/>
        <v>1.9672897196261683</v>
      </c>
      <c r="BG73" s="7">
        <f t="shared" si="21"/>
        <v>6.6061253561253563</v>
      </c>
      <c r="BH73" s="5">
        <v>106</v>
      </c>
      <c r="BI73" s="3">
        <v>52.758095238095244</v>
      </c>
      <c r="BJ73" s="3">
        <v>40.545714285714297</v>
      </c>
      <c r="BK73" s="3">
        <v>39.859999999999992</v>
      </c>
      <c r="BL73" s="3">
        <v>44.387936507936487</v>
      </c>
      <c r="BM73" s="3">
        <v>133.16380952380948</v>
      </c>
      <c r="BN73" s="18">
        <v>13</v>
      </c>
      <c r="BO73" s="18">
        <v>98</v>
      </c>
      <c r="BP73" s="4">
        <v>14.285714285714286</v>
      </c>
      <c r="BQ73" s="4">
        <v>29.523809523809526</v>
      </c>
      <c r="BR73" s="7">
        <v>47.61904761904762</v>
      </c>
      <c r="BS73" s="18"/>
      <c r="BT73" s="23">
        <v>54</v>
      </c>
    </row>
    <row r="74" spans="1:72" x14ac:dyDescent="0.25">
      <c r="A74" s="18">
        <v>69</v>
      </c>
      <c r="B74" s="18" t="s">
        <v>18</v>
      </c>
      <c r="C74" s="18">
        <v>111</v>
      </c>
      <c r="D74" s="21" t="s">
        <v>9</v>
      </c>
      <c r="E74" s="5"/>
      <c r="F74" s="3">
        <v>50</v>
      </c>
      <c r="G74" s="3">
        <v>61.6</v>
      </c>
      <c r="H74" s="3">
        <v>41</v>
      </c>
      <c r="I74" s="3">
        <f t="shared" si="27"/>
        <v>50.866666666666667</v>
      </c>
      <c r="J74" s="3">
        <f t="shared" si="28"/>
        <v>152.6</v>
      </c>
      <c r="K74" s="18">
        <f t="shared" si="24"/>
        <v>10</v>
      </c>
      <c r="L74" s="18">
        <f t="shared" si="26"/>
        <v>69</v>
      </c>
      <c r="M74" s="4"/>
      <c r="N74" s="4"/>
      <c r="O74" s="7"/>
      <c r="P74" s="5">
        <v>92</v>
      </c>
      <c r="Q74" s="3">
        <v>66.847826086956573</v>
      </c>
      <c r="R74" s="3">
        <v>60.608695652173914</v>
      </c>
      <c r="S74" s="3">
        <v>68.478260869565233</v>
      </c>
      <c r="T74" s="3">
        <v>65.31159420289859</v>
      </c>
      <c r="U74" s="3">
        <v>195.93478260869574</v>
      </c>
      <c r="V74" s="18">
        <v>3</v>
      </c>
      <c r="W74" s="18">
        <v>21</v>
      </c>
      <c r="X74" s="4">
        <v>1.0869565217391304</v>
      </c>
      <c r="Y74" s="4">
        <v>4.3478260869565215</v>
      </c>
      <c r="Z74" s="7">
        <v>7.6923076923076925</v>
      </c>
      <c r="AA74" s="5">
        <v>99</v>
      </c>
      <c r="AB74" s="3">
        <v>59.837728194726168</v>
      </c>
      <c r="AC74" s="3">
        <v>62.863636363636367</v>
      </c>
      <c r="AD74" s="3">
        <v>62.2082897944967</v>
      </c>
      <c r="AE74" s="3">
        <v>61.416680170690853</v>
      </c>
      <c r="AF74" s="3">
        <v>184.90965435285923</v>
      </c>
      <c r="AG74" s="18">
        <v>4</v>
      </c>
      <c r="AH74" s="18">
        <v>19</v>
      </c>
      <c r="AI74" s="4">
        <v>4.5977011494252871</v>
      </c>
      <c r="AJ74" s="4">
        <v>1.1363636363636365</v>
      </c>
      <c r="AK74" s="7">
        <v>9.1954022988505741</v>
      </c>
      <c r="AL74" s="5">
        <v>99</v>
      </c>
      <c r="AM74" s="3">
        <v>65.077399380804962</v>
      </c>
      <c r="AN74" s="3">
        <v>54.135338345864675</v>
      </c>
      <c r="AO74" s="3">
        <v>65.046439628482972</v>
      </c>
      <c r="AP74" s="3">
        <v>61.419725785050872</v>
      </c>
      <c r="AQ74" s="3">
        <v>184.25917735515262</v>
      </c>
      <c r="AR74" s="18">
        <v>7</v>
      </c>
      <c r="AS74" s="18">
        <v>34</v>
      </c>
      <c r="AT74" s="4">
        <v>6.3157894736842106</v>
      </c>
      <c r="AU74" s="4">
        <v>9.473684210526315</v>
      </c>
      <c r="AV74" s="7">
        <v>5.2631578947368425</v>
      </c>
      <c r="AW74" s="10">
        <f t="shared" si="29"/>
        <v>96.666666666666671</v>
      </c>
      <c r="AX74" s="9">
        <f t="shared" si="30"/>
        <v>63.920984554162565</v>
      </c>
      <c r="AY74" s="9">
        <f t="shared" si="31"/>
        <v>59.202556787224985</v>
      </c>
      <c r="AZ74" s="9">
        <f t="shared" si="32"/>
        <v>65.244330097514975</v>
      </c>
      <c r="BA74" s="9">
        <f t="shared" si="33"/>
        <v>62.716000052880105</v>
      </c>
      <c r="BB74" s="9">
        <f t="shared" si="34"/>
        <v>188.36787143890251</v>
      </c>
      <c r="BC74" s="10">
        <f t="shared" si="25"/>
        <v>5</v>
      </c>
      <c r="BD74" s="10">
        <f t="shared" si="35"/>
        <v>18</v>
      </c>
      <c r="BE74" s="4">
        <f t="shared" si="19"/>
        <v>5.4567453115547488</v>
      </c>
      <c r="BF74" s="4">
        <f t="shared" si="20"/>
        <v>5.3050239234449759</v>
      </c>
      <c r="BG74" s="7">
        <f t="shared" si="21"/>
        <v>7.2292800967937083</v>
      </c>
      <c r="BH74" s="5">
        <v>99</v>
      </c>
      <c r="BI74" s="3">
        <v>53.485416666666659</v>
      </c>
      <c r="BJ74" s="3">
        <v>31.538541666666664</v>
      </c>
      <c r="BK74" s="3">
        <v>37.374999999999993</v>
      </c>
      <c r="BL74" s="3">
        <v>40.799652777777773</v>
      </c>
      <c r="BM74" s="3">
        <v>122.39895833333337</v>
      </c>
      <c r="BN74" s="18">
        <v>17</v>
      </c>
      <c r="BO74" s="18">
        <v>153</v>
      </c>
      <c r="BP74" s="4">
        <v>14.583333333333334</v>
      </c>
      <c r="BQ74" s="4">
        <v>51.041666666666664</v>
      </c>
      <c r="BR74" s="7">
        <v>46.875</v>
      </c>
      <c r="BS74" s="18"/>
      <c r="BT74" s="23">
        <v>111</v>
      </c>
    </row>
    <row r="75" spans="1:72" x14ac:dyDescent="0.25">
      <c r="A75" s="1">
        <v>70</v>
      </c>
      <c r="B75" s="18" t="s">
        <v>18</v>
      </c>
      <c r="C75" s="18">
        <v>151</v>
      </c>
      <c r="D75" s="21" t="s">
        <v>9</v>
      </c>
      <c r="E75" s="5"/>
      <c r="F75" s="3">
        <v>51</v>
      </c>
      <c r="G75" s="3">
        <v>49.2</v>
      </c>
      <c r="H75" s="3">
        <v>46.666666666666664</v>
      </c>
      <c r="I75" s="3">
        <f t="shared" si="27"/>
        <v>48.955555555555556</v>
      </c>
      <c r="J75" s="3">
        <f t="shared" si="28"/>
        <v>146.86666666666667</v>
      </c>
      <c r="K75" s="18">
        <f t="shared" si="24"/>
        <v>11</v>
      </c>
      <c r="L75" s="18">
        <f t="shared" si="26"/>
        <v>91</v>
      </c>
      <c r="M75" s="4"/>
      <c r="N75" s="4"/>
      <c r="O75" s="7"/>
      <c r="P75" s="5">
        <v>62</v>
      </c>
      <c r="Q75" s="3">
        <v>57.258064516129032</v>
      </c>
      <c r="R75" s="3">
        <v>53.677419354838712</v>
      </c>
      <c r="S75" s="3">
        <v>64.784946236559136</v>
      </c>
      <c r="T75" s="3">
        <v>58.573476702508948</v>
      </c>
      <c r="U75" s="3">
        <v>175.72043010752688</v>
      </c>
      <c r="V75" s="18">
        <v>12</v>
      </c>
      <c r="W75" s="18">
        <v>67</v>
      </c>
      <c r="X75" s="4">
        <v>4.838709677419355</v>
      </c>
      <c r="Y75" s="4">
        <v>11.290322580645162</v>
      </c>
      <c r="Z75" s="7">
        <v>9.67741935483871</v>
      </c>
      <c r="AA75" s="5">
        <v>66</v>
      </c>
      <c r="AB75" s="3">
        <v>54.434389140271513</v>
      </c>
      <c r="AC75" s="3">
        <v>42.707692307692305</v>
      </c>
      <c r="AD75" s="3">
        <v>57.948717948717956</v>
      </c>
      <c r="AE75" s="3">
        <v>51.696933132227258</v>
      </c>
      <c r="AF75" s="3">
        <v>155.09079939668177</v>
      </c>
      <c r="AG75" s="18">
        <v>12</v>
      </c>
      <c r="AH75" s="18">
        <v>82</v>
      </c>
      <c r="AI75" s="4">
        <v>7.6923076923076925</v>
      </c>
      <c r="AJ75" s="4">
        <v>9.2307692307692299</v>
      </c>
      <c r="AK75" s="7">
        <v>9.2307692307692299</v>
      </c>
      <c r="AL75" s="5">
        <v>67</v>
      </c>
      <c r="AM75" s="3">
        <v>55.267778753292383</v>
      </c>
      <c r="AN75" s="3">
        <v>34.37229437229437</v>
      </c>
      <c r="AO75" s="3">
        <v>59.89304812834223</v>
      </c>
      <c r="AP75" s="3">
        <v>49.375391947823914</v>
      </c>
      <c r="AQ75" s="3">
        <v>149.53312125392898</v>
      </c>
      <c r="AR75" s="18">
        <v>17</v>
      </c>
      <c r="AS75" s="18">
        <v>144</v>
      </c>
      <c r="AT75" s="4">
        <v>8.9552238805970141</v>
      </c>
      <c r="AU75" s="4">
        <v>34.848484848484851</v>
      </c>
      <c r="AV75" s="7">
        <v>4.5454545454545459</v>
      </c>
      <c r="AW75" s="10">
        <f t="shared" si="29"/>
        <v>65</v>
      </c>
      <c r="AX75" s="9">
        <f t="shared" si="30"/>
        <v>55.653410803230976</v>
      </c>
      <c r="AY75" s="9">
        <f t="shared" si="31"/>
        <v>43.585802011608457</v>
      </c>
      <c r="AZ75" s="9">
        <f t="shared" si="32"/>
        <v>60.875570771206441</v>
      </c>
      <c r="BA75" s="9">
        <f t="shared" si="33"/>
        <v>53.215267260853373</v>
      </c>
      <c r="BB75" s="9">
        <f t="shared" si="34"/>
        <v>160.11478358604589</v>
      </c>
      <c r="BC75" s="10">
        <f t="shared" si="25"/>
        <v>13</v>
      </c>
      <c r="BD75" s="10">
        <f t="shared" si="35"/>
        <v>86</v>
      </c>
      <c r="BE75" s="4">
        <f t="shared" si="19"/>
        <v>8.3237657864523538</v>
      </c>
      <c r="BF75" s="4">
        <f t="shared" si="20"/>
        <v>22.039627039627042</v>
      </c>
      <c r="BG75" s="7">
        <f t="shared" si="21"/>
        <v>6.8881118881118883</v>
      </c>
      <c r="BH75" s="5">
        <v>67</v>
      </c>
      <c r="BI75" s="3">
        <v>59.52272727272728</v>
      </c>
      <c r="BJ75" s="3">
        <v>34.756060606060608</v>
      </c>
      <c r="BK75" s="3">
        <v>48.6621212121212</v>
      </c>
      <c r="BL75" s="3">
        <v>47.646969696969705</v>
      </c>
      <c r="BM75" s="3">
        <v>142.94090909090906</v>
      </c>
      <c r="BN75" s="18">
        <v>9</v>
      </c>
      <c r="BO75" s="18">
        <v>57</v>
      </c>
      <c r="BP75" s="4">
        <v>12.121212121212121</v>
      </c>
      <c r="BQ75" s="4">
        <v>51.515151515151516</v>
      </c>
      <c r="BR75" s="7">
        <v>33.333333333333336</v>
      </c>
      <c r="BS75" s="18"/>
      <c r="BT75" s="23">
        <v>151</v>
      </c>
    </row>
    <row r="76" spans="1:72" x14ac:dyDescent="0.25">
      <c r="A76" s="18">
        <v>71</v>
      </c>
      <c r="B76" s="18" t="s">
        <v>18</v>
      </c>
      <c r="C76" s="18">
        <v>159</v>
      </c>
      <c r="D76" s="21" t="s">
        <v>9</v>
      </c>
      <c r="E76" s="5"/>
      <c r="F76" s="3">
        <v>51.666666666666664</v>
      </c>
      <c r="G76" s="3">
        <v>33.200000000000003</v>
      </c>
      <c r="H76" s="3">
        <v>38.333333333333336</v>
      </c>
      <c r="I76" s="3">
        <f t="shared" si="27"/>
        <v>41.06666666666667</v>
      </c>
      <c r="J76" s="3">
        <f t="shared" si="28"/>
        <v>123.20000000000002</v>
      </c>
      <c r="K76" s="18">
        <f t="shared" si="24"/>
        <v>20</v>
      </c>
      <c r="L76" s="18">
        <f t="shared" si="26"/>
        <v>178</v>
      </c>
      <c r="M76" s="4"/>
      <c r="N76" s="4"/>
      <c r="O76" s="7"/>
      <c r="P76" s="5">
        <v>90</v>
      </c>
      <c r="Q76" s="3">
        <v>53.000000000000021</v>
      </c>
      <c r="R76" s="3">
        <v>37.422222222222224</v>
      </c>
      <c r="S76" s="3">
        <v>52.370370370370374</v>
      </c>
      <c r="T76" s="3">
        <v>47.59753086419753</v>
      </c>
      <c r="U76" s="3">
        <v>142.79259259259263</v>
      </c>
      <c r="V76" s="18">
        <v>17</v>
      </c>
      <c r="W76" s="18">
        <v>175</v>
      </c>
      <c r="X76" s="4">
        <v>5.5555555555555554</v>
      </c>
      <c r="Y76" s="4">
        <v>41.111111111111114</v>
      </c>
      <c r="Z76" s="7">
        <v>23.333333333333332</v>
      </c>
      <c r="AA76" s="5">
        <v>90</v>
      </c>
      <c r="AB76" s="3">
        <v>49.603436880370161</v>
      </c>
      <c r="AC76" s="3">
        <v>29.752808988764045</v>
      </c>
      <c r="AD76" s="3">
        <v>40.721824991487907</v>
      </c>
      <c r="AE76" s="3">
        <v>40.026023620207376</v>
      </c>
      <c r="AF76" s="3">
        <v>120.07807086062211</v>
      </c>
      <c r="AG76" s="18">
        <v>20</v>
      </c>
      <c r="AH76" s="18">
        <v>214</v>
      </c>
      <c r="AI76" s="4">
        <v>24.705882352941178</v>
      </c>
      <c r="AJ76" s="4">
        <v>62.921348314606739</v>
      </c>
      <c r="AK76" s="7">
        <v>38.202247191011239</v>
      </c>
      <c r="AL76" s="5">
        <v>88</v>
      </c>
      <c r="AM76" s="3">
        <v>57.572684246112239</v>
      </c>
      <c r="AN76" s="3">
        <v>38.883415435139568</v>
      </c>
      <c r="AO76" s="3">
        <v>48.951994590939819</v>
      </c>
      <c r="AP76" s="3">
        <v>48.469364757397209</v>
      </c>
      <c r="AQ76" s="3">
        <v>145.40809427219162</v>
      </c>
      <c r="AR76" s="18">
        <v>18</v>
      </c>
      <c r="AS76" s="18">
        <v>164</v>
      </c>
      <c r="AT76" s="4">
        <v>4.5977011494252871</v>
      </c>
      <c r="AU76" s="4">
        <v>39.080459770114942</v>
      </c>
      <c r="AV76" s="7">
        <v>21.839080459770116</v>
      </c>
      <c r="AW76" s="10">
        <f t="shared" si="29"/>
        <v>89.333333333333329</v>
      </c>
      <c r="AX76" s="9">
        <f t="shared" si="30"/>
        <v>53.39204037549414</v>
      </c>
      <c r="AY76" s="9">
        <f t="shared" si="31"/>
        <v>35.352815548708612</v>
      </c>
      <c r="AZ76" s="9">
        <f t="shared" si="32"/>
        <v>47.348063317599362</v>
      </c>
      <c r="BA76" s="9">
        <f t="shared" si="33"/>
        <v>45.364306413934038</v>
      </c>
      <c r="BB76" s="9">
        <f t="shared" si="34"/>
        <v>136.09291924180209</v>
      </c>
      <c r="BC76" s="10">
        <f t="shared" si="25"/>
        <v>19</v>
      </c>
      <c r="BD76" s="10">
        <f t="shared" si="35"/>
        <v>191</v>
      </c>
      <c r="BE76" s="4">
        <f t="shared" si="19"/>
        <v>14.651791751183232</v>
      </c>
      <c r="BF76" s="4">
        <f t="shared" si="20"/>
        <v>51.000904042360844</v>
      </c>
      <c r="BG76" s="7">
        <f t="shared" si="21"/>
        <v>30.020663825390677</v>
      </c>
      <c r="BH76" s="5">
        <v>88</v>
      </c>
      <c r="BI76" s="3">
        <v>50.77272727272728</v>
      </c>
      <c r="BJ76" s="3">
        <v>32.396590909090911</v>
      </c>
      <c r="BK76" s="3">
        <v>39.407954545454544</v>
      </c>
      <c r="BL76" s="3">
        <v>40.859090909090916</v>
      </c>
      <c r="BM76" s="3">
        <v>122.57727272727271</v>
      </c>
      <c r="BN76" s="18">
        <v>16</v>
      </c>
      <c r="BO76" s="18">
        <v>150</v>
      </c>
      <c r="BP76" s="4">
        <v>21.59090909090909</v>
      </c>
      <c r="BQ76" s="4">
        <v>51.136363636363633</v>
      </c>
      <c r="BR76" s="7">
        <v>43.18181818181818</v>
      </c>
      <c r="BS76" s="18"/>
      <c r="BT76" s="23">
        <v>159</v>
      </c>
    </row>
    <row r="77" spans="1:72" x14ac:dyDescent="0.25">
      <c r="A77" s="18">
        <v>72</v>
      </c>
      <c r="B77" s="18" t="s">
        <v>18</v>
      </c>
      <c r="C77" s="18">
        <v>164</v>
      </c>
      <c r="D77" s="21" t="s">
        <v>9</v>
      </c>
      <c r="E77" s="5"/>
      <c r="F77" s="3">
        <v>43.333333333333336</v>
      </c>
      <c r="G77" s="3">
        <v>41.2</v>
      </c>
      <c r="H77" s="3">
        <v>46.666666666666664</v>
      </c>
      <c r="I77" s="3">
        <f t="shared" si="27"/>
        <v>43.733333333333327</v>
      </c>
      <c r="J77" s="3">
        <f t="shared" si="28"/>
        <v>131.19999999999999</v>
      </c>
      <c r="K77" s="18">
        <f t="shared" si="24"/>
        <v>18</v>
      </c>
      <c r="L77" s="18">
        <f t="shared" si="26"/>
        <v>155</v>
      </c>
      <c r="M77" s="4"/>
      <c r="N77" s="4"/>
      <c r="O77" s="7"/>
      <c r="P77" s="5">
        <v>125</v>
      </c>
      <c r="Q77" s="3">
        <v>59.386666666666656</v>
      </c>
      <c r="R77" s="3">
        <v>49.311999999999998</v>
      </c>
      <c r="S77" s="3">
        <v>67.813333333333347</v>
      </c>
      <c r="T77" s="3">
        <v>58.837333333333312</v>
      </c>
      <c r="U77" s="3">
        <v>176.512</v>
      </c>
      <c r="V77" s="18">
        <v>11</v>
      </c>
      <c r="W77" s="18">
        <v>64</v>
      </c>
      <c r="X77" s="4">
        <v>8.8000000000000007</v>
      </c>
      <c r="Y77" s="4">
        <v>24</v>
      </c>
      <c r="Z77" s="7">
        <v>4.8</v>
      </c>
      <c r="AA77" s="5">
        <v>131</v>
      </c>
      <c r="AB77" s="3">
        <v>48.625843780135007</v>
      </c>
      <c r="AC77" s="3">
        <v>41.245901639344261</v>
      </c>
      <c r="AD77" s="3">
        <v>57.054148037754608</v>
      </c>
      <c r="AE77" s="3">
        <v>48.975297819077959</v>
      </c>
      <c r="AF77" s="3">
        <v>146.92589345723388</v>
      </c>
      <c r="AG77" s="18">
        <v>14</v>
      </c>
      <c r="AH77" s="18">
        <v>105</v>
      </c>
      <c r="AI77" s="4">
        <v>24.590163934426229</v>
      </c>
      <c r="AJ77" s="4">
        <v>40.16393442622951</v>
      </c>
      <c r="AK77" s="7">
        <v>21.311475409836067</v>
      </c>
      <c r="AL77" s="5">
        <v>127</v>
      </c>
      <c r="AM77" s="3">
        <v>56.344190568789543</v>
      </c>
      <c r="AN77" s="3">
        <v>35.571428571428562</v>
      </c>
      <c r="AO77" s="3">
        <v>66.869227029654837</v>
      </c>
      <c r="AP77" s="3">
        <v>53.024747088918225</v>
      </c>
      <c r="AQ77" s="3">
        <v>158.78484616987294</v>
      </c>
      <c r="AR77" s="18">
        <v>16</v>
      </c>
      <c r="AS77" s="18">
        <v>107</v>
      </c>
      <c r="AT77" s="4">
        <v>17.355371900826448</v>
      </c>
      <c r="AU77" s="4">
        <v>48.333333333333336</v>
      </c>
      <c r="AV77" s="7">
        <v>10.743801652892563</v>
      </c>
      <c r="AW77" s="10">
        <f t="shared" si="29"/>
        <v>127.66666666666667</v>
      </c>
      <c r="AX77" s="9">
        <f t="shared" si="30"/>
        <v>54.785567005197066</v>
      </c>
      <c r="AY77" s="9">
        <f t="shared" si="31"/>
        <v>42.043110070257605</v>
      </c>
      <c r="AZ77" s="9">
        <f t="shared" si="32"/>
        <v>63.912236133580933</v>
      </c>
      <c r="BA77" s="9">
        <f t="shared" si="33"/>
        <v>53.612459413776499</v>
      </c>
      <c r="BB77" s="9">
        <f t="shared" si="34"/>
        <v>160.7409132090356</v>
      </c>
      <c r="BC77" s="10">
        <f t="shared" si="25"/>
        <v>12</v>
      </c>
      <c r="BD77" s="10">
        <f t="shared" si="35"/>
        <v>84</v>
      </c>
      <c r="BE77" s="4">
        <f t="shared" si="19"/>
        <v>20.972767917626339</v>
      </c>
      <c r="BF77" s="4">
        <f t="shared" si="20"/>
        <v>44.248633879781423</v>
      </c>
      <c r="BG77" s="7">
        <f t="shared" si="21"/>
        <v>16.027638531364314</v>
      </c>
      <c r="BH77" s="5">
        <v>125</v>
      </c>
      <c r="BI77" s="3">
        <v>65.475999999999999</v>
      </c>
      <c r="BJ77" s="3">
        <v>35.462400000000009</v>
      </c>
      <c r="BK77" s="3">
        <v>50.161600000000021</v>
      </c>
      <c r="BL77" s="3">
        <v>50.366666666666696</v>
      </c>
      <c r="BM77" s="3">
        <v>151.1</v>
      </c>
      <c r="BN77" s="18">
        <v>4</v>
      </c>
      <c r="BO77" s="18">
        <v>30</v>
      </c>
      <c r="BP77" s="4">
        <v>6.4</v>
      </c>
      <c r="BQ77" s="4">
        <v>44.8</v>
      </c>
      <c r="BR77" s="7">
        <v>30.4</v>
      </c>
      <c r="BS77" s="18"/>
      <c r="BT77" s="23">
        <v>164</v>
      </c>
    </row>
    <row r="78" spans="1:72" x14ac:dyDescent="0.25">
      <c r="A78" s="18">
        <v>73</v>
      </c>
      <c r="B78" s="18" t="s">
        <v>18</v>
      </c>
      <c r="C78" s="18">
        <v>211</v>
      </c>
      <c r="D78" s="21" t="s">
        <v>9</v>
      </c>
      <c r="E78" s="5"/>
      <c r="F78" s="3">
        <v>51.333333333333336</v>
      </c>
      <c r="G78" s="3">
        <v>52</v>
      </c>
      <c r="H78" s="3">
        <v>53.333333333333336</v>
      </c>
      <c r="I78" s="3">
        <f t="shared" si="27"/>
        <v>52.222222222222229</v>
      </c>
      <c r="J78" s="3">
        <f t="shared" si="28"/>
        <v>156.66666666666669</v>
      </c>
      <c r="K78" s="18">
        <f t="shared" si="24"/>
        <v>9</v>
      </c>
      <c r="L78" s="18">
        <f t="shared" si="26"/>
        <v>61</v>
      </c>
      <c r="M78" s="4"/>
      <c r="N78" s="4"/>
      <c r="O78" s="7"/>
      <c r="P78" s="5">
        <v>120</v>
      </c>
      <c r="Q78" s="3">
        <v>56.666666666666657</v>
      </c>
      <c r="R78" s="3">
        <v>44.266666666666666</v>
      </c>
      <c r="S78" s="3">
        <v>51.581920903954796</v>
      </c>
      <c r="T78" s="3">
        <v>50.834264432029769</v>
      </c>
      <c r="U78" s="3">
        <v>152.5152542372881</v>
      </c>
      <c r="V78" s="18">
        <v>16</v>
      </c>
      <c r="W78" s="18">
        <v>134</v>
      </c>
      <c r="X78" s="4">
        <v>16.666666666666668</v>
      </c>
      <c r="Y78" s="4">
        <v>30</v>
      </c>
      <c r="Z78" s="7">
        <v>23.728813559322035</v>
      </c>
      <c r="AA78" s="5">
        <v>128</v>
      </c>
      <c r="AB78" s="3">
        <v>50.637254901960766</v>
      </c>
      <c r="AC78" s="3">
        <v>45.8</v>
      </c>
      <c r="AD78" s="3">
        <v>49.696969696969717</v>
      </c>
      <c r="AE78" s="3">
        <v>48.711408199643508</v>
      </c>
      <c r="AF78" s="3">
        <v>146.13422459893047</v>
      </c>
      <c r="AG78" s="18">
        <v>15</v>
      </c>
      <c r="AH78" s="18">
        <v>107</v>
      </c>
      <c r="AI78" s="4">
        <v>12.5</v>
      </c>
      <c r="AJ78" s="4">
        <v>33.333333333333336</v>
      </c>
      <c r="AK78" s="7">
        <v>20</v>
      </c>
      <c r="AL78" s="5">
        <v>128</v>
      </c>
      <c r="AM78" s="3">
        <v>64.379084967320281</v>
      </c>
      <c r="AN78" s="3">
        <v>36.874236874236857</v>
      </c>
      <c r="AO78" s="3">
        <v>64.152840623428844</v>
      </c>
      <c r="AP78" s="3">
        <v>55.135387488328654</v>
      </c>
      <c r="AQ78" s="3">
        <v>165.40616246498598</v>
      </c>
      <c r="AR78" s="18">
        <v>14</v>
      </c>
      <c r="AS78" s="18">
        <v>79</v>
      </c>
      <c r="AT78" s="4">
        <v>14.655172413793103</v>
      </c>
      <c r="AU78" s="4">
        <v>47.008547008547012</v>
      </c>
      <c r="AV78" s="7">
        <v>15.044247787610619</v>
      </c>
      <c r="AW78" s="10">
        <f t="shared" si="29"/>
        <v>125.33333333333333</v>
      </c>
      <c r="AX78" s="9">
        <f t="shared" si="30"/>
        <v>57.227668845315897</v>
      </c>
      <c r="AY78" s="9">
        <f t="shared" si="31"/>
        <v>42.313634513634504</v>
      </c>
      <c r="AZ78" s="9">
        <f t="shared" si="32"/>
        <v>55.14391040811779</v>
      </c>
      <c r="BA78" s="9">
        <f t="shared" si="33"/>
        <v>51.560353373333982</v>
      </c>
      <c r="BB78" s="9">
        <f t="shared" si="34"/>
        <v>154.68521376706818</v>
      </c>
      <c r="BC78" s="10">
        <f t="shared" si="25"/>
        <v>15</v>
      </c>
      <c r="BD78" s="10">
        <f t="shared" si="35"/>
        <v>106</v>
      </c>
      <c r="BE78" s="4">
        <f t="shared" si="19"/>
        <v>13.577586206896552</v>
      </c>
      <c r="BF78" s="4">
        <f t="shared" si="20"/>
        <v>40.17094017094017</v>
      </c>
      <c r="BG78" s="7">
        <f t="shared" si="21"/>
        <v>17.522123893805308</v>
      </c>
      <c r="BH78" s="5">
        <v>128</v>
      </c>
      <c r="BI78" s="3">
        <v>59.724999999999987</v>
      </c>
      <c r="BJ78" s="3">
        <v>37.827343749999997</v>
      </c>
      <c r="BK78" s="3">
        <v>42.117968750000003</v>
      </c>
      <c r="BL78" s="3">
        <v>46.55677083333336</v>
      </c>
      <c r="BM78" s="3">
        <v>139.67031249999997</v>
      </c>
      <c r="BN78" s="18">
        <v>11</v>
      </c>
      <c r="BO78" s="18">
        <v>69</v>
      </c>
      <c r="BP78" s="4">
        <v>14.0625</v>
      </c>
      <c r="BQ78" s="4">
        <v>38.28125</v>
      </c>
      <c r="BR78" s="7">
        <v>39.0625</v>
      </c>
      <c r="BS78" s="18"/>
      <c r="BT78" s="23">
        <v>211</v>
      </c>
    </row>
    <row r="79" spans="1:72" x14ac:dyDescent="0.25">
      <c r="A79" s="18">
        <v>74</v>
      </c>
      <c r="B79" s="18" t="s">
        <v>18</v>
      </c>
      <c r="C79" s="18">
        <v>240</v>
      </c>
      <c r="D79" s="21" t="s">
        <v>9</v>
      </c>
      <c r="E79" s="5"/>
      <c r="F79" s="3">
        <v>57.666666666666664</v>
      </c>
      <c r="G79" s="3">
        <v>52.8</v>
      </c>
      <c r="H79" s="3">
        <v>48.333333333333336</v>
      </c>
      <c r="I79" s="3">
        <f t="shared" si="27"/>
        <v>52.933333333333337</v>
      </c>
      <c r="J79" s="3">
        <f t="shared" si="28"/>
        <v>158.80000000000001</v>
      </c>
      <c r="K79" s="18">
        <f t="shared" si="24"/>
        <v>8</v>
      </c>
      <c r="L79" s="18">
        <f t="shared" si="26"/>
        <v>58</v>
      </c>
      <c r="M79" s="4"/>
      <c r="N79" s="4"/>
      <c r="O79" s="7"/>
      <c r="P79" s="5">
        <v>126</v>
      </c>
      <c r="Q79" s="3">
        <v>65.97883597883596</v>
      </c>
      <c r="R79" s="3">
        <v>63.936507936507937</v>
      </c>
      <c r="S79" s="3">
        <v>61.111111111111093</v>
      </c>
      <c r="T79" s="3">
        <v>63.67548500881832</v>
      </c>
      <c r="U79" s="3">
        <v>191.02645502645498</v>
      </c>
      <c r="V79" s="18">
        <v>7</v>
      </c>
      <c r="W79" s="18">
        <v>32</v>
      </c>
      <c r="X79" s="4">
        <v>2.3809523809523809</v>
      </c>
      <c r="Y79" s="4">
        <v>3.9682539682539684</v>
      </c>
      <c r="Z79" s="7">
        <v>7.9365079365079367</v>
      </c>
      <c r="AA79" s="5">
        <v>127</v>
      </c>
      <c r="AB79" s="3">
        <v>54.519368723098999</v>
      </c>
      <c r="AC79" s="3">
        <v>59.154471544715449</v>
      </c>
      <c r="AD79" s="3">
        <v>57.575757575757599</v>
      </c>
      <c r="AE79" s="3">
        <v>57.083199281190666</v>
      </c>
      <c r="AF79" s="3">
        <v>171.24959784357205</v>
      </c>
      <c r="AG79" s="18">
        <v>8</v>
      </c>
      <c r="AH79" s="18">
        <v>38</v>
      </c>
      <c r="AI79" s="4">
        <v>8.9430894308943092</v>
      </c>
      <c r="AJ79" s="4">
        <v>4.8780487804878048</v>
      </c>
      <c r="AK79" s="7">
        <v>3.2520325203252032</v>
      </c>
      <c r="AL79" s="5">
        <v>123</v>
      </c>
      <c r="AM79" s="3">
        <v>68.419740777666973</v>
      </c>
      <c r="AN79" s="3">
        <v>57.084745762711862</v>
      </c>
      <c r="AO79" s="3">
        <v>70.390344119157703</v>
      </c>
      <c r="AP79" s="3">
        <v>65.298276886512198</v>
      </c>
      <c r="AQ79" s="3">
        <v>195.89483065953652</v>
      </c>
      <c r="AR79" s="18">
        <v>5</v>
      </c>
      <c r="AS79" s="18">
        <v>15</v>
      </c>
      <c r="AT79" s="4">
        <v>3.3898305084745761</v>
      </c>
      <c r="AU79" s="4">
        <v>11.016949152542374</v>
      </c>
      <c r="AV79" s="7">
        <v>0.8928571428571429</v>
      </c>
      <c r="AW79" s="10">
        <f t="shared" si="29"/>
        <v>125.33333333333333</v>
      </c>
      <c r="AX79" s="9">
        <f t="shared" si="30"/>
        <v>62.972648493200644</v>
      </c>
      <c r="AY79" s="9">
        <f t="shared" si="31"/>
        <v>60.058575081311744</v>
      </c>
      <c r="AZ79" s="9">
        <f t="shared" si="32"/>
        <v>63.025737602008803</v>
      </c>
      <c r="BA79" s="9">
        <f t="shared" si="33"/>
        <v>62.018987058840395</v>
      </c>
      <c r="BB79" s="9">
        <f t="shared" si="34"/>
        <v>186.05696117652118</v>
      </c>
      <c r="BC79" s="10">
        <f t="shared" si="25"/>
        <v>6</v>
      </c>
      <c r="BD79" s="10">
        <f t="shared" si="35"/>
        <v>20</v>
      </c>
      <c r="BE79" s="4">
        <f t="shared" si="19"/>
        <v>6.1664599696844427</v>
      </c>
      <c r="BF79" s="4">
        <f t="shared" si="20"/>
        <v>7.9474989665150897</v>
      </c>
      <c r="BG79" s="7">
        <f t="shared" si="21"/>
        <v>2.0724448315911732</v>
      </c>
      <c r="BH79" s="5">
        <v>120</v>
      </c>
      <c r="BI79" s="3">
        <v>62.02416666666668</v>
      </c>
      <c r="BJ79" s="3">
        <v>42.881666666666661</v>
      </c>
      <c r="BK79" s="3">
        <v>45.835833333333341</v>
      </c>
      <c r="BL79" s="3">
        <v>50.247222222222248</v>
      </c>
      <c r="BM79" s="3">
        <v>150.74166666666667</v>
      </c>
      <c r="BN79" s="18">
        <v>5</v>
      </c>
      <c r="BO79" s="18">
        <v>32</v>
      </c>
      <c r="BP79" s="4">
        <v>8.3333333333333339</v>
      </c>
      <c r="BQ79" s="4">
        <v>27.5</v>
      </c>
      <c r="BR79" s="7">
        <v>28.333333333333332</v>
      </c>
      <c r="BS79" s="18"/>
      <c r="BT79" s="23">
        <v>240</v>
      </c>
    </row>
    <row r="80" spans="1:72" x14ac:dyDescent="0.25">
      <c r="A80" s="1">
        <v>75</v>
      </c>
      <c r="B80" s="18" t="s">
        <v>18</v>
      </c>
      <c r="C80" s="18">
        <v>247</v>
      </c>
      <c r="D80" s="21" t="s">
        <v>9</v>
      </c>
      <c r="E80" s="5"/>
      <c r="F80" s="3">
        <v>29.666666666666668</v>
      </c>
      <c r="G80" s="3">
        <v>33.200000000000003</v>
      </c>
      <c r="H80" s="3">
        <v>32.666666666666671</v>
      </c>
      <c r="I80" s="3">
        <f t="shared" si="27"/>
        <v>31.844444444444449</v>
      </c>
      <c r="J80" s="3">
        <f t="shared" si="28"/>
        <v>95.533333333333346</v>
      </c>
      <c r="K80" s="18">
        <f t="shared" si="24"/>
        <v>21</v>
      </c>
      <c r="L80" s="18">
        <f t="shared" si="26"/>
        <v>270</v>
      </c>
      <c r="M80" s="4"/>
      <c r="N80" s="4"/>
      <c r="O80" s="7"/>
      <c r="P80" s="5">
        <v>50</v>
      </c>
      <c r="Q80" s="3">
        <v>41.86666666666666</v>
      </c>
      <c r="R80" s="3">
        <v>34.32</v>
      </c>
      <c r="S80" s="3">
        <v>39.733333333333327</v>
      </c>
      <c r="T80" s="3">
        <v>38.639999999999986</v>
      </c>
      <c r="U80" s="3">
        <v>115.91999999999999</v>
      </c>
      <c r="V80" s="18">
        <v>20</v>
      </c>
      <c r="W80" s="18">
        <v>278</v>
      </c>
      <c r="X80" s="4">
        <v>26</v>
      </c>
      <c r="Y80" s="4">
        <v>50</v>
      </c>
      <c r="Z80" s="7">
        <v>50</v>
      </c>
      <c r="AA80" s="5">
        <v>71</v>
      </c>
      <c r="AB80" s="3">
        <v>42.460646230323128</v>
      </c>
      <c r="AC80" s="3">
        <v>47.887323943661968</v>
      </c>
      <c r="AD80" s="3">
        <v>48.579545454545439</v>
      </c>
      <c r="AE80" s="3">
        <v>45.83389821997941</v>
      </c>
      <c r="AF80" s="3">
        <v>138.92751562853053</v>
      </c>
      <c r="AG80" s="18">
        <v>17</v>
      </c>
      <c r="AH80" s="18">
        <v>137</v>
      </c>
      <c r="AI80" s="4">
        <v>28.169014084507044</v>
      </c>
      <c r="AJ80" s="4">
        <v>36.619718309859152</v>
      </c>
      <c r="AK80" s="7">
        <v>26.5625</v>
      </c>
      <c r="AL80" s="5">
        <v>71</v>
      </c>
      <c r="AM80" s="3">
        <v>50.840336134453793</v>
      </c>
      <c r="AN80" s="3">
        <v>24.886128364389229</v>
      </c>
      <c r="AO80" s="3">
        <v>51.80672268907562</v>
      </c>
      <c r="AP80" s="3">
        <v>42.462585034013614</v>
      </c>
      <c r="AQ80" s="3">
        <v>127.53318718791866</v>
      </c>
      <c r="AR80" s="18">
        <v>21</v>
      </c>
      <c r="AS80" s="18">
        <v>242</v>
      </c>
      <c r="AT80" s="4">
        <v>10</v>
      </c>
      <c r="AU80" s="4">
        <v>62.318840579710148</v>
      </c>
      <c r="AV80" s="7">
        <v>17.142857142857142</v>
      </c>
      <c r="AW80" s="10">
        <f t="shared" si="29"/>
        <v>64</v>
      </c>
      <c r="AX80" s="9">
        <f t="shared" si="30"/>
        <v>45.055883010481189</v>
      </c>
      <c r="AY80" s="9">
        <f t="shared" si="31"/>
        <v>35.697817436017068</v>
      </c>
      <c r="AZ80" s="9">
        <f t="shared" si="32"/>
        <v>46.706533825651462</v>
      </c>
      <c r="BA80" s="9">
        <f t="shared" si="33"/>
        <v>42.312161084664332</v>
      </c>
      <c r="BB80" s="9">
        <f t="shared" si="34"/>
        <v>127.46023427214972</v>
      </c>
      <c r="BC80" s="10">
        <f t="shared" si="25"/>
        <v>20</v>
      </c>
      <c r="BD80" s="10">
        <f t="shared" si="35"/>
        <v>226</v>
      </c>
      <c r="BE80" s="4">
        <f t="shared" si="19"/>
        <v>19.08450704225352</v>
      </c>
      <c r="BF80" s="4">
        <f t="shared" si="20"/>
        <v>49.469279444784647</v>
      </c>
      <c r="BG80" s="7">
        <f t="shared" si="21"/>
        <v>21.852678571428569</v>
      </c>
      <c r="BH80" s="5">
        <v>71</v>
      </c>
      <c r="BI80" s="3">
        <v>51.119718309859145</v>
      </c>
      <c r="BJ80" s="3">
        <v>34.481690140845046</v>
      </c>
      <c r="BK80" s="3">
        <v>39.184507042253514</v>
      </c>
      <c r="BL80" s="3">
        <v>41.595305164319242</v>
      </c>
      <c r="BM80" s="3">
        <v>124.78591549295768</v>
      </c>
      <c r="BN80" s="18">
        <v>15</v>
      </c>
      <c r="BO80" s="18">
        <v>139</v>
      </c>
      <c r="BP80" s="4">
        <v>16.901408450704224</v>
      </c>
      <c r="BQ80" s="4">
        <v>49.29577464788732</v>
      </c>
      <c r="BR80" s="7">
        <v>49.29577464788732</v>
      </c>
      <c r="BS80" s="18"/>
      <c r="BT80" s="23">
        <v>247</v>
      </c>
    </row>
    <row r="81" spans="1:72" x14ac:dyDescent="0.25">
      <c r="A81" s="18">
        <v>76</v>
      </c>
      <c r="B81" s="18" t="s">
        <v>18</v>
      </c>
      <c r="C81" s="18">
        <v>266</v>
      </c>
      <c r="D81" s="21" t="s">
        <v>9</v>
      </c>
      <c r="E81" s="5"/>
      <c r="F81" s="3">
        <v>43.333333333333336</v>
      </c>
      <c r="G81" s="3">
        <v>48</v>
      </c>
      <c r="H81" s="3">
        <v>42</v>
      </c>
      <c r="I81" s="3">
        <f t="shared" si="27"/>
        <v>44.44444444444445</v>
      </c>
      <c r="J81" s="3">
        <f t="shared" si="28"/>
        <v>133.33333333333334</v>
      </c>
      <c r="K81" s="18">
        <f t="shared" si="24"/>
        <v>17</v>
      </c>
      <c r="L81" s="18">
        <f t="shared" si="26"/>
        <v>146</v>
      </c>
      <c r="M81" s="4"/>
      <c r="N81" s="4"/>
      <c r="O81" s="7"/>
      <c r="P81" s="5">
        <v>47</v>
      </c>
      <c r="Q81" s="3">
        <v>51.773049645390067</v>
      </c>
      <c r="R81" s="3">
        <v>60.170212765957444</v>
      </c>
      <c r="S81" s="3">
        <v>49.432624113475178</v>
      </c>
      <c r="T81" s="3">
        <v>53.791962174940892</v>
      </c>
      <c r="U81" s="3">
        <v>161.3758865248227</v>
      </c>
      <c r="V81" s="18">
        <v>14</v>
      </c>
      <c r="W81" s="18">
        <v>102</v>
      </c>
      <c r="X81" s="4">
        <v>12.76595744680851</v>
      </c>
      <c r="Y81" s="4">
        <v>8.5106382978723403</v>
      </c>
      <c r="Z81" s="7">
        <v>17.021276595744681</v>
      </c>
      <c r="AA81" s="5">
        <v>50</v>
      </c>
      <c r="AB81" s="3">
        <v>46.941176470588232</v>
      </c>
      <c r="AC81" s="3">
        <v>56.48</v>
      </c>
      <c r="AD81" s="3">
        <v>47.515151515151508</v>
      </c>
      <c r="AE81" s="3">
        <v>50.312109328579929</v>
      </c>
      <c r="AF81" s="3">
        <v>150.93632798573972</v>
      </c>
      <c r="AG81" s="18">
        <v>13</v>
      </c>
      <c r="AH81" s="18">
        <v>93</v>
      </c>
      <c r="AI81" s="4">
        <v>28</v>
      </c>
      <c r="AJ81" s="4">
        <v>12</v>
      </c>
      <c r="AK81" s="7">
        <v>26</v>
      </c>
      <c r="AL81" s="5">
        <v>51</v>
      </c>
      <c r="AM81" s="3">
        <v>55.647058823529434</v>
      </c>
      <c r="AN81" s="3">
        <v>50.05714285714285</v>
      </c>
      <c r="AO81" s="3">
        <v>55.235294117647051</v>
      </c>
      <c r="AP81" s="3">
        <v>53.646498599439774</v>
      </c>
      <c r="AQ81" s="3">
        <v>160.93949579831934</v>
      </c>
      <c r="AR81" s="18">
        <v>15</v>
      </c>
      <c r="AS81" s="18">
        <v>98</v>
      </c>
      <c r="AT81" s="4">
        <v>20</v>
      </c>
      <c r="AU81" s="4">
        <v>24</v>
      </c>
      <c r="AV81" s="7">
        <v>16</v>
      </c>
      <c r="AW81" s="10">
        <f t="shared" si="29"/>
        <v>49.333333333333336</v>
      </c>
      <c r="AX81" s="9">
        <f t="shared" si="30"/>
        <v>51.453761646502585</v>
      </c>
      <c r="AY81" s="9">
        <f t="shared" si="31"/>
        <v>55.569118541033426</v>
      </c>
      <c r="AZ81" s="9">
        <f t="shared" si="32"/>
        <v>50.727689915424577</v>
      </c>
      <c r="BA81" s="9">
        <f t="shared" si="33"/>
        <v>52.583523367653534</v>
      </c>
      <c r="BB81" s="9">
        <f t="shared" si="34"/>
        <v>157.75057010296058</v>
      </c>
      <c r="BC81" s="10">
        <f t="shared" si="25"/>
        <v>14</v>
      </c>
      <c r="BD81" s="10">
        <f t="shared" si="35"/>
        <v>96</v>
      </c>
      <c r="BE81" s="4">
        <f t="shared" si="19"/>
        <v>24</v>
      </c>
      <c r="BF81" s="4">
        <f t="shared" si="20"/>
        <v>18</v>
      </c>
      <c r="BG81" s="7">
        <f t="shared" si="21"/>
        <v>21</v>
      </c>
      <c r="BH81" s="5">
        <v>51</v>
      </c>
      <c r="BI81" s="3">
        <v>43.427450980392166</v>
      </c>
      <c r="BJ81" s="3">
        <v>32.23921568627452</v>
      </c>
      <c r="BK81" s="3">
        <v>34.198039215686272</v>
      </c>
      <c r="BL81" s="3">
        <v>36.621568627450969</v>
      </c>
      <c r="BM81" s="3">
        <v>109.86470588235296</v>
      </c>
      <c r="BN81" s="18">
        <v>19</v>
      </c>
      <c r="BO81" s="18">
        <v>233</v>
      </c>
      <c r="BP81" s="4">
        <v>37.254901960784316</v>
      </c>
      <c r="BQ81" s="4">
        <v>52.941176470588232</v>
      </c>
      <c r="BR81" s="7">
        <v>54.901960784313722</v>
      </c>
      <c r="BS81" s="18"/>
      <c r="BT81" s="23">
        <v>266</v>
      </c>
    </row>
    <row r="82" spans="1:72" x14ac:dyDescent="0.25">
      <c r="A82" s="18">
        <v>77</v>
      </c>
      <c r="B82" s="18" t="s">
        <v>18</v>
      </c>
      <c r="C82" s="18" t="s">
        <v>53</v>
      </c>
      <c r="D82" s="21" t="s">
        <v>15</v>
      </c>
      <c r="E82" s="5"/>
      <c r="F82" s="3"/>
      <c r="G82" s="3"/>
      <c r="H82" s="3"/>
      <c r="I82" s="3" t="str">
        <f t="shared" si="27"/>
        <v/>
      </c>
      <c r="J82" s="3" t="str">
        <f t="shared" si="28"/>
        <v/>
      </c>
      <c r="K82" s="18" t="str">
        <f t="shared" si="24"/>
        <v/>
      </c>
      <c r="L82" s="18" t="str">
        <f t="shared" si="26"/>
        <v/>
      </c>
      <c r="M82" s="4"/>
      <c r="N82" s="4"/>
      <c r="O82" s="7"/>
      <c r="P82" s="5"/>
      <c r="Q82" s="3"/>
      <c r="R82" s="3"/>
      <c r="S82" s="3"/>
      <c r="T82" s="3"/>
      <c r="U82" s="3" t="s">
        <v>35</v>
      </c>
      <c r="V82" s="18" t="s">
        <v>35</v>
      </c>
      <c r="W82" s="18" t="s">
        <v>35</v>
      </c>
      <c r="X82" s="4" t="s">
        <v>35</v>
      </c>
      <c r="Y82" s="4" t="s">
        <v>35</v>
      </c>
      <c r="Z82" s="7" t="s">
        <v>35</v>
      </c>
      <c r="AA82" s="5"/>
      <c r="AB82" s="3"/>
      <c r="AC82" s="3"/>
      <c r="AD82" s="3"/>
      <c r="AE82" s="3"/>
      <c r="AF82" s="3" t="s">
        <v>35</v>
      </c>
      <c r="AG82" s="18" t="s">
        <v>35</v>
      </c>
      <c r="AH82" s="18" t="s">
        <v>35</v>
      </c>
      <c r="AI82" s="4" t="s">
        <v>35</v>
      </c>
      <c r="AJ82" s="4" t="s">
        <v>35</v>
      </c>
      <c r="AK82" s="7" t="s">
        <v>35</v>
      </c>
      <c r="AL82" s="5"/>
      <c r="AM82" s="3"/>
      <c r="AN82" s="3"/>
      <c r="AO82" s="3"/>
      <c r="AP82" s="3"/>
      <c r="AQ82" s="3" t="s">
        <v>35</v>
      </c>
      <c r="AR82" s="18" t="s">
        <v>35</v>
      </c>
      <c r="AS82" s="18" t="s">
        <v>35</v>
      </c>
      <c r="AT82" s="4" t="s">
        <v>35</v>
      </c>
      <c r="AU82" s="4" t="s">
        <v>35</v>
      </c>
      <c r="AV82" s="7" t="s">
        <v>35</v>
      </c>
      <c r="AW82" s="10"/>
      <c r="AX82" s="9"/>
      <c r="AY82" s="9"/>
      <c r="AZ82" s="9"/>
      <c r="BA82" s="9"/>
      <c r="BB82" s="9"/>
      <c r="BC82" s="10" t="str">
        <f t="shared" si="25"/>
        <v/>
      </c>
      <c r="BD82" s="10" t="str">
        <f t="shared" si="35"/>
        <v/>
      </c>
      <c r="BE82" s="4"/>
      <c r="BF82" s="4"/>
      <c r="BG82" s="7"/>
      <c r="BH82" s="5"/>
      <c r="BI82" s="3"/>
      <c r="BJ82" s="3"/>
      <c r="BK82" s="3"/>
      <c r="BL82" s="3"/>
      <c r="BM82" s="3"/>
      <c r="BN82" s="18" t="s">
        <v>35</v>
      </c>
      <c r="BO82" s="18" t="s">
        <v>35</v>
      </c>
      <c r="BP82" s="4"/>
      <c r="BQ82" s="4"/>
      <c r="BR82" s="7"/>
      <c r="BS82" s="18"/>
      <c r="BT82" s="23">
        <v>268</v>
      </c>
    </row>
    <row r="83" spans="1:72" x14ac:dyDescent="0.25">
      <c r="A83" s="18">
        <v>78</v>
      </c>
      <c r="B83" s="18" t="s">
        <v>18</v>
      </c>
      <c r="C83" s="18" t="s">
        <v>19</v>
      </c>
      <c r="D83" s="21" t="s">
        <v>19</v>
      </c>
      <c r="E83" s="5"/>
      <c r="F83" s="3">
        <v>65.666666666666671</v>
      </c>
      <c r="G83" s="3">
        <v>74.8</v>
      </c>
      <c r="H83" s="3">
        <v>67.999999999999986</v>
      </c>
      <c r="I83" s="3">
        <f t="shared" si="27"/>
        <v>69.48888888888888</v>
      </c>
      <c r="J83" s="3">
        <f t="shared" si="28"/>
        <v>208.46666666666664</v>
      </c>
      <c r="K83" s="18">
        <f t="shared" si="24"/>
        <v>1</v>
      </c>
      <c r="L83" s="18">
        <f t="shared" si="26"/>
        <v>5</v>
      </c>
      <c r="M83" s="4"/>
      <c r="N83" s="4"/>
      <c r="O83" s="7"/>
      <c r="P83" s="5">
        <v>130</v>
      </c>
      <c r="Q83" s="3">
        <v>65.794871794871796</v>
      </c>
      <c r="R83" s="3">
        <v>73.753846153846155</v>
      </c>
      <c r="S83" s="3">
        <v>78.987179487179517</v>
      </c>
      <c r="T83" s="3">
        <v>72.845299145299151</v>
      </c>
      <c r="U83" s="3">
        <v>218.53589743589748</v>
      </c>
      <c r="V83" s="18">
        <v>1</v>
      </c>
      <c r="W83" s="18">
        <v>4</v>
      </c>
      <c r="X83" s="4">
        <v>1.5384615384615385</v>
      </c>
      <c r="Y83" s="4">
        <v>1.5384615384615385</v>
      </c>
      <c r="Z83" s="7">
        <v>2.3076923076923075</v>
      </c>
      <c r="AA83" s="5">
        <v>144</v>
      </c>
      <c r="AB83" s="3">
        <v>55.821078431372584</v>
      </c>
      <c r="AC83" s="3">
        <v>76</v>
      </c>
      <c r="AD83" s="3">
        <v>69.591750841750894</v>
      </c>
      <c r="AE83" s="3">
        <v>67.137609757707793</v>
      </c>
      <c r="AF83" s="3">
        <v>201.41282927312349</v>
      </c>
      <c r="AG83" s="18">
        <v>1</v>
      </c>
      <c r="AH83" s="18">
        <v>3</v>
      </c>
      <c r="AI83" s="4">
        <v>5.5555555555555554</v>
      </c>
      <c r="AJ83" s="4">
        <v>4.166666666666667</v>
      </c>
      <c r="AK83" s="7">
        <v>5.5555555555555554</v>
      </c>
      <c r="AL83" s="5">
        <v>112</v>
      </c>
      <c r="AM83" s="3">
        <v>76.523109243697448</v>
      </c>
      <c r="AN83" s="3">
        <v>68.622448979591837</v>
      </c>
      <c r="AO83" s="3">
        <v>79.227941176470566</v>
      </c>
      <c r="AP83" s="3">
        <v>74.791166466586645</v>
      </c>
      <c r="AQ83" s="3">
        <v>224.37349939975985</v>
      </c>
      <c r="AR83" s="18">
        <v>1</v>
      </c>
      <c r="AS83" s="18">
        <v>4</v>
      </c>
      <c r="AT83" s="4">
        <v>0.8928571428571429</v>
      </c>
      <c r="AU83" s="4">
        <v>6.25</v>
      </c>
      <c r="AV83" s="7">
        <v>3.5714285714285716</v>
      </c>
      <c r="AW83" s="10">
        <f t="shared" si="29"/>
        <v>128.66666666666666</v>
      </c>
      <c r="AX83" s="9">
        <f t="shared" si="30"/>
        <v>66.046353156647271</v>
      </c>
      <c r="AY83" s="9">
        <f t="shared" si="31"/>
        <v>72.792098377812664</v>
      </c>
      <c r="AZ83" s="9">
        <f t="shared" si="32"/>
        <v>75.935623835133654</v>
      </c>
      <c r="BA83" s="9">
        <f t="shared" si="33"/>
        <v>71.591358456531196</v>
      </c>
      <c r="BB83" s="9">
        <f t="shared" si="34"/>
        <v>214.77407536959359</v>
      </c>
      <c r="BC83" s="10">
        <f t="shared" si="25"/>
        <v>1</v>
      </c>
      <c r="BD83" s="10">
        <f t="shared" si="35"/>
        <v>3</v>
      </c>
      <c r="BE83" s="4">
        <f t="shared" si="19"/>
        <v>3.2242063492063493</v>
      </c>
      <c r="BF83" s="4">
        <f t="shared" si="20"/>
        <v>5.2083333333333339</v>
      </c>
      <c r="BG83" s="7">
        <f t="shared" si="21"/>
        <v>4.5634920634920633</v>
      </c>
      <c r="BH83" s="5">
        <v>135</v>
      </c>
      <c r="BI83" s="3">
        <v>69.897014925373142</v>
      </c>
      <c r="BJ83" s="3">
        <v>58.735074626865661</v>
      </c>
      <c r="BK83" s="3">
        <v>58.0544776119403</v>
      </c>
      <c r="BL83" s="3">
        <v>62.228855721393032</v>
      </c>
      <c r="BM83" s="3">
        <v>186.68656716417905</v>
      </c>
      <c r="BN83" s="18">
        <v>1</v>
      </c>
      <c r="BO83" s="18">
        <v>4</v>
      </c>
      <c r="BP83" s="4">
        <v>1.4925373134328359</v>
      </c>
      <c r="BQ83" s="4">
        <v>11.940298507462687</v>
      </c>
      <c r="BR83" s="7">
        <v>11.194029850746269</v>
      </c>
      <c r="BS83" s="18"/>
      <c r="BT83" s="23" t="s">
        <v>19</v>
      </c>
    </row>
    <row r="84" spans="1:72" x14ac:dyDescent="0.25">
      <c r="A84" s="18">
        <v>79</v>
      </c>
      <c r="B84" s="18" t="s">
        <v>20</v>
      </c>
      <c r="C84" s="18" t="s">
        <v>54</v>
      </c>
      <c r="D84" s="21" t="s">
        <v>12</v>
      </c>
      <c r="E84" s="5"/>
      <c r="F84" s="3"/>
      <c r="G84" s="3"/>
      <c r="H84" s="3"/>
      <c r="I84" s="3" t="str">
        <f t="shared" si="27"/>
        <v/>
      </c>
      <c r="J84" s="3" t="str">
        <f t="shared" si="28"/>
        <v/>
      </c>
      <c r="K84" s="18" t="str">
        <f t="shared" ref="K84:K109" si="36">IF(J84="","",(RANK(J84,$J$84:$J$109)))</f>
        <v/>
      </c>
      <c r="L84" s="18" t="str">
        <f t="shared" si="26"/>
        <v/>
      </c>
      <c r="M84" s="4"/>
      <c r="N84" s="4"/>
      <c r="O84" s="7"/>
      <c r="P84" s="5"/>
      <c r="Q84" s="3"/>
      <c r="R84" s="3"/>
      <c r="S84" s="3"/>
      <c r="T84" s="3"/>
      <c r="U84" s="3" t="s">
        <v>35</v>
      </c>
      <c r="V84" s="18" t="s">
        <v>35</v>
      </c>
      <c r="W84" s="18" t="s">
        <v>35</v>
      </c>
      <c r="X84" s="4" t="s">
        <v>35</v>
      </c>
      <c r="Y84" s="4" t="s">
        <v>35</v>
      </c>
      <c r="Z84" s="7" t="s">
        <v>35</v>
      </c>
      <c r="AA84" s="5"/>
      <c r="AB84" s="3"/>
      <c r="AC84" s="3"/>
      <c r="AD84" s="3"/>
      <c r="AE84" s="3"/>
      <c r="AF84" s="3" t="s">
        <v>35</v>
      </c>
      <c r="AG84" s="18" t="s">
        <v>35</v>
      </c>
      <c r="AH84" s="18" t="s">
        <v>35</v>
      </c>
      <c r="AI84" s="4" t="s">
        <v>35</v>
      </c>
      <c r="AJ84" s="4" t="s">
        <v>35</v>
      </c>
      <c r="AK84" s="7" t="s">
        <v>35</v>
      </c>
      <c r="AL84" s="5"/>
      <c r="AM84" s="3"/>
      <c r="AN84" s="3"/>
      <c r="AO84" s="3"/>
      <c r="AP84" s="3"/>
      <c r="AQ84" s="3" t="s">
        <v>35</v>
      </c>
      <c r="AR84" s="18" t="s">
        <v>35</v>
      </c>
      <c r="AS84" s="18" t="s">
        <v>35</v>
      </c>
      <c r="AT84" s="4" t="s">
        <v>35</v>
      </c>
      <c r="AU84" s="4" t="s">
        <v>35</v>
      </c>
      <c r="AV84" s="7" t="s">
        <v>35</v>
      </c>
      <c r="AW84" s="10"/>
      <c r="AX84" s="9"/>
      <c r="AY84" s="9"/>
      <c r="AZ84" s="9"/>
      <c r="BA84" s="9"/>
      <c r="BB84" s="9"/>
      <c r="BC84" s="10" t="str">
        <f>IF(BB84="","",(RANK(BB84,$BB$84:$BB$109)))</f>
        <v/>
      </c>
      <c r="BD84" s="10" t="str">
        <f t="shared" si="35"/>
        <v/>
      </c>
      <c r="BE84" s="4"/>
      <c r="BF84" s="4"/>
      <c r="BG84" s="7"/>
      <c r="BH84" s="5">
        <v>17</v>
      </c>
      <c r="BI84" s="3">
        <v>24.570588235294125</v>
      </c>
      <c r="BJ84" s="3">
        <v>26.958823529411767</v>
      </c>
      <c r="BK84" s="3">
        <v>20.235294117647058</v>
      </c>
      <c r="BL84" s="3">
        <v>23.921568627450977</v>
      </c>
      <c r="BM84" s="3">
        <v>71.764705882352956</v>
      </c>
      <c r="BN84" s="18">
        <v>24</v>
      </c>
      <c r="BO84" s="18">
        <v>309</v>
      </c>
      <c r="BP84" s="4">
        <v>88.235294117647058</v>
      </c>
      <c r="BQ84" s="4">
        <v>47.058823529411768</v>
      </c>
      <c r="BR84" s="7">
        <v>70.588235294117652</v>
      </c>
      <c r="BS84" s="18"/>
      <c r="BT84" s="23">
        <v>2</v>
      </c>
    </row>
    <row r="85" spans="1:72" x14ac:dyDescent="0.25">
      <c r="A85" s="1">
        <v>80</v>
      </c>
      <c r="B85" s="18" t="s">
        <v>20</v>
      </c>
      <c r="C85" s="18" t="s">
        <v>55</v>
      </c>
      <c r="D85" s="21" t="s">
        <v>15</v>
      </c>
      <c r="E85" s="5"/>
      <c r="F85" s="3"/>
      <c r="G85" s="3"/>
      <c r="H85" s="3"/>
      <c r="I85" s="3" t="str">
        <f t="shared" si="27"/>
        <v/>
      </c>
      <c r="J85" s="3" t="str">
        <f t="shared" si="28"/>
        <v/>
      </c>
      <c r="K85" s="18" t="str">
        <f t="shared" si="36"/>
        <v/>
      </c>
      <c r="L85" s="18" t="str">
        <f t="shared" si="26"/>
        <v/>
      </c>
      <c r="M85" s="4"/>
      <c r="N85" s="4"/>
      <c r="O85" s="7"/>
      <c r="P85" s="5"/>
      <c r="Q85" s="3"/>
      <c r="R85" s="3"/>
      <c r="S85" s="3"/>
      <c r="T85" s="3"/>
      <c r="U85" s="3" t="s">
        <v>35</v>
      </c>
      <c r="V85" s="18" t="s">
        <v>35</v>
      </c>
      <c r="W85" s="18" t="s">
        <v>35</v>
      </c>
      <c r="X85" s="4" t="s">
        <v>35</v>
      </c>
      <c r="Y85" s="4" t="s">
        <v>35</v>
      </c>
      <c r="Z85" s="7" t="s">
        <v>35</v>
      </c>
      <c r="AA85" s="5"/>
      <c r="AB85" s="3"/>
      <c r="AC85" s="3"/>
      <c r="AD85" s="3"/>
      <c r="AE85" s="3"/>
      <c r="AF85" s="3" t="s">
        <v>35</v>
      </c>
      <c r="AG85" s="18" t="s">
        <v>35</v>
      </c>
      <c r="AH85" s="18" t="s">
        <v>35</v>
      </c>
      <c r="AI85" s="4" t="s">
        <v>35</v>
      </c>
      <c r="AJ85" s="4" t="s">
        <v>35</v>
      </c>
      <c r="AK85" s="7" t="s">
        <v>35</v>
      </c>
      <c r="AL85" s="5"/>
      <c r="AM85" s="3"/>
      <c r="AN85" s="3"/>
      <c r="AO85" s="3"/>
      <c r="AP85" s="3"/>
      <c r="AQ85" s="3" t="s">
        <v>35</v>
      </c>
      <c r="AR85" s="18" t="s">
        <v>35</v>
      </c>
      <c r="AS85" s="18" t="s">
        <v>35</v>
      </c>
      <c r="AT85" s="4" t="s">
        <v>35</v>
      </c>
      <c r="AU85" s="4" t="s">
        <v>35</v>
      </c>
      <c r="AV85" s="7" t="s">
        <v>35</v>
      </c>
      <c r="AW85" s="10"/>
      <c r="AX85" s="9"/>
      <c r="AY85" s="9"/>
      <c r="AZ85" s="9"/>
      <c r="BA85" s="9"/>
      <c r="BB85" s="9"/>
      <c r="BC85" s="10" t="str">
        <f t="shared" ref="BC85:BC109" si="37">IF(BB85="","",(RANK(BB85,$BB$84:$BB$109)))</f>
        <v/>
      </c>
      <c r="BD85" s="10" t="str">
        <f t="shared" si="35"/>
        <v/>
      </c>
      <c r="BE85" s="4"/>
      <c r="BF85" s="4"/>
      <c r="BG85" s="7"/>
      <c r="BH85" s="5"/>
      <c r="BI85" s="3"/>
      <c r="BJ85" s="3"/>
      <c r="BK85" s="3"/>
      <c r="BL85" s="3"/>
      <c r="BM85" s="3"/>
      <c r="BN85" s="18" t="s">
        <v>35</v>
      </c>
      <c r="BO85" s="18" t="s">
        <v>35</v>
      </c>
      <c r="BP85" s="4"/>
      <c r="BQ85" s="4"/>
      <c r="BR85" s="7"/>
      <c r="BS85" s="18"/>
      <c r="BT85" s="23">
        <v>3</v>
      </c>
    </row>
    <row r="86" spans="1:72" x14ac:dyDescent="0.25">
      <c r="A86" s="18">
        <v>81</v>
      </c>
      <c r="B86" s="18" t="s">
        <v>20</v>
      </c>
      <c r="C86" s="18" t="s">
        <v>56</v>
      </c>
      <c r="D86" s="21" t="s">
        <v>10</v>
      </c>
      <c r="E86" s="5"/>
      <c r="F86" s="3"/>
      <c r="G86" s="3"/>
      <c r="H86" s="3"/>
      <c r="I86" s="3" t="str">
        <f t="shared" si="27"/>
        <v/>
      </c>
      <c r="J86" s="3" t="str">
        <f t="shared" si="28"/>
        <v/>
      </c>
      <c r="K86" s="18" t="str">
        <f t="shared" si="36"/>
        <v/>
      </c>
      <c r="L86" s="18" t="str">
        <f t="shared" si="26"/>
        <v/>
      </c>
      <c r="M86" s="4"/>
      <c r="N86" s="4"/>
      <c r="O86" s="7"/>
      <c r="P86" s="5"/>
      <c r="Q86" s="3"/>
      <c r="R86" s="3"/>
      <c r="S86" s="3"/>
      <c r="T86" s="3"/>
      <c r="U86" s="3" t="s">
        <v>35</v>
      </c>
      <c r="V86" s="18" t="s">
        <v>35</v>
      </c>
      <c r="W86" s="18" t="s">
        <v>35</v>
      </c>
      <c r="X86" s="4" t="s">
        <v>35</v>
      </c>
      <c r="Y86" s="4" t="s">
        <v>35</v>
      </c>
      <c r="Z86" s="7" t="s">
        <v>35</v>
      </c>
      <c r="AA86" s="5"/>
      <c r="AB86" s="3"/>
      <c r="AC86" s="3"/>
      <c r="AD86" s="3"/>
      <c r="AE86" s="3"/>
      <c r="AF86" s="3" t="s">
        <v>35</v>
      </c>
      <c r="AG86" s="18" t="s">
        <v>35</v>
      </c>
      <c r="AH86" s="18" t="s">
        <v>35</v>
      </c>
      <c r="AI86" s="4" t="s">
        <v>35</v>
      </c>
      <c r="AJ86" s="4" t="s">
        <v>35</v>
      </c>
      <c r="AK86" s="7" t="s">
        <v>35</v>
      </c>
      <c r="AL86" s="5"/>
      <c r="AM86" s="3"/>
      <c r="AN86" s="3"/>
      <c r="AO86" s="3"/>
      <c r="AP86" s="3"/>
      <c r="AQ86" s="3" t="s">
        <v>35</v>
      </c>
      <c r="AR86" s="18" t="s">
        <v>35</v>
      </c>
      <c r="AS86" s="18" t="s">
        <v>35</v>
      </c>
      <c r="AT86" s="4" t="s">
        <v>35</v>
      </c>
      <c r="AU86" s="4" t="s">
        <v>35</v>
      </c>
      <c r="AV86" s="7" t="s">
        <v>35</v>
      </c>
      <c r="AW86" s="10"/>
      <c r="AX86" s="9"/>
      <c r="AY86" s="9"/>
      <c r="AZ86" s="9"/>
      <c r="BA86" s="9"/>
      <c r="BB86" s="9"/>
      <c r="BC86" s="10" t="str">
        <f t="shared" si="37"/>
        <v/>
      </c>
      <c r="BD86" s="10" t="str">
        <f t="shared" si="35"/>
        <v/>
      </c>
      <c r="BE86" s="4"/>
      <c r="BF86" s="4"/>
      <c r="BG86" s="7"/>
      <c r="BH86" s="5"/>
      <c r="BI86" s="3"/>
      <c r="BJ86" s="3"/>
      <c r="BK86" s="3"/>
      <c r="BL86" s="3"/>
      <c r="BM86" s="3"/>
      <c r="BN86" s="18"/>
      <c r="BO86" s="18"/>
      <c r="BP86" s="4"/>
      <c r="BQ86" s="4"/>
      <c r="BR86" s="7"/>
      <c r="BS86" s="18"/>
      <c r="BT86" s="23">
        <v>8</v>
      </c>
    </row>
    <row r="87" spans="1:72" x14ac:dyDescent="0.25">
      <c r="A87" s="18">
        <v>82</v>
      </c>
      <c r="B87" s="18" t="s">
        <v>20</v>
      </c>
      <c r="C87" s="18">
        <v>10</v>
      </c>
      <c r="D87" s="21" t="s">
        <v>9</v>
      </c>
      <c r="E87" s="5"/>
      <c r="F87" s="3">
        <v>53.666666666666671</v>
      </c>
      <c r="G87" s="3">
        <v>57.6</v>
      </c>
      <c r="H87" s="3">
        <v>53</v>
      </c>
      <c r="I87" s="3">
        <f t="shared" si="27"/>
        <v>54.75555555555556</v>
      </c>
      <c r="J87" s="3">
        <f t="shared" si="28"/>
        <v>164.26666666666668</v>
      </c>
      <c r="K87" s="18">
        <f t="shared" si="36"/>
        <v>4</v>
      </c>
      <c r="L87" s="18">
        <f t="shared" si="26"/>
        <v>43</v>
      </c>
      <c r="M87" s="4"/>
      <c r="N87" s="4"/>
      <c r="O87" s="7"/>
      <c r="P87" s="5">
        <v>78</v>
      </c>
      <c r="Q87" s="3">
        <v>49.401709401709397</v>
      </c>
      <c r="R87" s="3">
        <v>51.641025641025642</v>
      </c>
      <c r="S87" s="3">
        <v>68.376068376068389</v>
      </c>
      <c r="T87" s="3">
        <v>56.472934472934476</v>
      </c>
      <c r="U87" s="3">
        <v>169.41880341880344</v>
      </c>
      <c r="V87" s="18">
        <v>8</v>
      </c>
      <c r="W87" s="18">
        <v>87</v>
      </c>
      <c r="X87" s="4">
        <v>19.23076923076923</v>
      </c>
      <c r="Y87" s="4">
        <v>12.820512820512821</v>
      </c>
      <c r="Z87" s="7">
        <v>5.1282051282051286</v>
      </c>
      <c r="AA87" s="5">
        <v>74</v>
      </c>
      <c r="AB87" s="3">
        <v>38.990461049284569</v>
      </c>
      <c r="AC87" s="3">
        <v>43.621621621621621</v>
      </c>
      <c r="AD87" s="3">
        <v>54.995904995905015</v>
      </c>
      <c r="AE87" s="3">
        <v>45.869329222270402</v>
      </c>
      <c r="AF87" s="3">
        <v>137.6079876668112</v>
      </c>
      <c r="AG87" s="18">
        <v>11</v>
      </c>
      <c r="AH87" s="18">
        <v>141</v>
      </c>
      <c r="AI87" s="4">
        <v>37.837837837837839</v>
      </c>
      <c r="AJ87" s="4">
        <v>22.972972972972972</v>
      </c>
      <c r="AK87" s="7">
        <v>17.567567567567568</v>
      </c>
      <c r="AL87" s="5">
        <v>82</v>
      </c>
      <c r="AM87" s="3">
        <v>64.980392156862735</v>
      </c>
      <c r="AN87" s="3">
        <v>36.342857142857142</v>
      </c>
      <c r="AO87" s="3">
        <v>67.960784313725483</v>
      </c>
      <c r="AP87" s="3">
        <v>56.428011204481784</v>
      </c>
      <c r="AQ87" s="3">
        <v>169.28403361344536</v>
      </c>
      <c r="AR87" s="18">
        <v>8</v>
      </c>
      <c r="AS87" s="18">
        <v>70</v>
      </c>
      <c r="AT87" s="4">
        <v>5.333333333333333</v>
      </c>
      <c r="AU87" s="4">
        <v>36</v>
      </c>
      <c r="AV87" s="7">
        <v>4</v>
      </c>
      <c r="AW87" s="10">
        <f t="shared" si="29"/>
        <v>78</v>
      </c>
      <c r="AX87" s="9">
        <f t="shared" si="30"/>
        <v>51.124187535952238</v>
      </c>
      <c r="AY87" s="9">
        <f t="shared" si="31"/>
        <v>43.868501468501471</v>
      </c>
      <c r="AZ87" s="9">
        <f t="shared" si="32"/>
        <v>63.77758589523296</v>
      </c>
      <c r="BA87" s="9">
        <f t="shared" si="33"/>
        <v>52.923424966562216</v>
      </c>
      <c r="BB87" s="9">
        <f t="shared" si="34"/>
        <v>158.77027489968665</v>
      </c>
      <c r="BC87" s="10">
        <f t="shared" si="37"/>
        <v>10</v>
      </c>
      <c r="BD87" s="10">
        <f t="shared" si="35"/>
        <v>92</v>
      </c>
      <c r="BE87" s="4">
        <f t="shared" si="19"/>
        <v>21.585585585585587</v>
      </c>
      <c r="BF87" s="4">
        <f t="shared" si="20"/>
        <v>29.486486486486484</v>
      </c>
      <c r="BG87" s="7">
        <f t="shared" si="21"/>
        <v>10.783783783783784</v>
      </c>
      <c r="BH87" s="5">
        <v>82</v>
      </c>
      <c r="BI87" s="3">
        <v>62.828048780487798</v>
      </c>
      <c r="BJ87" s="3">
        <v>38.978048780487811</v>
      </c>
      <c r="BK87" s="3">
        <v>48.098780487804873</v>
      </c>
      <c r="BL87" s="3">
        <v>49.968292682926823</v>
      </c>
      <c r="BM87" s="3">
        <v>149.90487804878052</v>
      </c>
      <c r="BN87" s="18">
        <v>8</v>
      </c>
      <c r="BO87" s="18">
        <v>35</v>
      </c>
      <c r="BP87" s="4">
        <v>6.0975609756097562</v>
      </c>
      <c r="BQ87" s="4">
        <v>39.024390243902438</v>
      </c>
      <c r="BR87" s="7">
        <v>29.26829268292683</v>
      </c>
      <c r="BS87" s="18"/>
      <c r="BT87" s="23">
        <v>10</v>
      </c>
    </row>
    <row r="88" spans="1:72" x14ac:dyDescent="0.25">
      <c r="A88" s="18">
        <v>83</v>
      </c>
      <c r="B88" s="18" t="s">
        <v>20</v>
      </c>
      <c r="C88" s="18">
        <v>12</v>
      </c>
      <c r="D88" s="21" t="s">
        <v>9</v>
      </c>
      <c r="E88" s="5"/>
      <c r="F88" s="3">
        <v>51.666666666666664</v>
      </c>
      <c r="G88" s="3">
        <v>47.6</v>
      </c>
      <c r="H88" s="3">
        <v>36</v>
      </c>
      <c r="I88" s="3">
        <f t="shared" si="27"/>
        <v>45.088888888888881</v>
      </c>
      <c r="J88" s="3">
        <f t="shared" si="28"/>
        <v>135.26666666666665</v>
      </c>
      <c r="K88" s="18">
        <f t="shared" si="36"/>
        <v>15</v>
      </c>
      <c r="L88" s="18">
        <f t="shared" si="26"/>
        <v>142</v>
      </c>
      <c r="M88" s="4"/>
      <c r="N88" s="4"/>
      <c r="O88" s="7"/>
      <c r="P88" s="5">
        <v>115</v>
      </c>
      <c r="Q88" s="3">
        <v>48.869565217391312</v>
      </c>
      <c r="R88" s="3">
        <v>51.513043478260869</v>
      </c>
      <c r="S88" s="3">
        <v>47.826086956521742</v>
      </c>
      <c r="T88" s="3">
        <v>49.402898550724615</v>
      </c>
      <c r="U88" s="3">
        <v>148.20869565217393</v>
      </c>
      <c r="V88" s="18">
        <v>18</v>
      </c>
      <c r="W88" s="18">
        <v>153</v>
      </c>
      <c r="X88" s="4">
        <v>20.869565217391305</v>
      </c>
      <c r="Y88" s="4">
        <v>26.086956521739129</v>
      </c>
      <c r="Z88" s="7">
        <v>32.173913043478258</v>
      </c>
      <c r="AA88" s="5">
        <v>127</v>
      </c>
      <c r="AB88" s="3">
        <v>29.176470588235311</v>
      </c>
      <c r="AC88" s="3">
        <v>33.162393162393165</v>
      </c>
      <c r="AD88" s="3">
        <v>41.147007262709714</v>
      </c>
      <c r="AE88" s="3">
        <v>34.155992869875234</v>
      </c>
      <c r="AF88" s="3">
        <v>103.4858710133382</v>
      </c>
      <c r="AG88" s="18">
        <v>22</v>
      </c>
      <c r="AH88" s="18">
        <v>271</v>
      </c>
      <c r="AI88" s="4">
        <v>59.2</v>
      </c>
      <c r="AJ88" s="4">
        <v>57.264957264957268</v>
      </c>
      <c r="AK88" s="7">
        <v>40.495867768595041</v>
      </c>
      <c r="AL88" s="5">
        <v>126</v>
      </c>
      <c r="AM88" s="3">
        <v>51.190476190476183</v>
      </c>
      <c r="AN88" s="3">
        <v>23.594470046082954</v>
      </c>
      <c r="AO88" s="3">
        <v>45.002391200382654</v>
      </c>
      <c r="AP88" s="3">
        <v>39.786581299186338</v>
      </c>
      <c r="AQ88" s="3">
        <v>119.78733743694178</v>
      </c>
      <c r="AR88" s="18">
        <v>21</v>
      </c>
      <c r="AS88" s="18">
        <v>263</v>
      </c>
      <c r="AT88" s="4">
        <v>19.047619047619047</v>
      </c>
      <c r="AU88" s="4">
        <v>66.129032258064512</v>
      </c>
      <c r="AV88" s="7">
        <v>38.211382113821138</v>
      </c>
      <c r="AW88" s="10">
        <f t="shared" si="29"/>
        <v>122.66666666666667</v>
      </c>
      <c r="AX88" s="9">
        <f t="shared" si="30"/>
        <v>43.078837332034261</v>
      </c>
      <c r="AY88" s="9">
        <f t="shared" si="31"/>
        <v>36.089968895578998</v>
      </c>
      <c r="AZ88" s="9">
        <f t="shared" si="32"/>
        <v>44.65849513987137</v>
      </c>
      <c r="BA88" s="9">
        <f t="shared" si="33"/>
        <v>41.11515757326206</v>
      </c>
      <c r="BB88" s="9">
        <f t="shared" si="34"/>
        <v>123.82730136748462</v>
      </c>
      <c r="BC88" s="10">
        <f t="shared" si="37"/>
        <v>22</v>
      </c>
      <c r="BD88" s="10">
        <f t="shared" si="35"/>
        <v>245</v>
      </c>
      <c r="BE88" s="4">
        <f t="shared" si="19"/>
        <v>39.123809523809527</v>
      </c>
      <c r="BF88" s="4">
        <f t="shared" si="20"/>
        <v>61.696994761510894</v>
      </c>
      <c r="BG88" s="7">
        <f t="shared" si="21"/>
        <v>39.353624941208089</v>
      </c>
      <c r="BH88" s="5">
        <v>126</v>
      </c>
      <c r="BI88" s="3">
        <v>53.478571428571442</v>
      </c>
      <c r="BJ88" s="3">
        <v>36.223015873015882</v>
      </c>
      <c r="BK88" s="3">
        <v>38.888888888888879</v>
      </c>
      <c r="BL88" s="3">
        <v>42.86349206349206</v>
      </c>
      <c r="BM88" s="3">
        <v>128.59047619047618</v>
      </c>
      <c r="BN88" s="18">
        <v>19</v>
      </c>
      <c r="BO88" s="18">
        <v>122</v>
      </c>
      <c r="BP88" s="4">
        <v>19.047619047619047</v>
      </c>
      <c r="BQ88" s="4">
        <v>52.38095238095238</v>
      </c>
      <c r="BR88" s="7">
        <v>47.61904761904762</v>
      </c>
      <c r="BS88" s="18"/>
      <c r="BT88" s="23">
        <v>12</v>
      </c>
    </row>
    <row r="89" spans="1:72" x14ac:dyDescent="0.25">
      <c r="A89" s="18">
        <v>84</v>
      </c>
      <c r="B89" s="18" t="s">
        <v>20</v>
      </c>
      <c r="C89" s="18">
        <v>32</v>
      </c>
      <c r="D89" s="21" t="s">
        <v>9</v>
      </c>
      <c r="E89" s="5"/>
      <c r="F89" s="3">
        <v>46</v>
      </c>
      <c r="G89" s="3">
        <v>47.2</v>
      </c>
      <c r="H89" s="3">
        <v>45.333333333333336</v>
      </c>
      <c r="I89" s="3">
        <f t="shared" si="27"/>
        <v>46.177777777777777</v>
      </c>
      <c r="J89" s="3">
        <f t="shared" si="28"/>
        <v>138.53333333333333</v>
      </c>
      <c r="K89" s="18">
        <f t="shared" si="36"/>
        <v>12</v>
      </c>
      <c r="L89" s="18">
        <f t="shared" si="26"/>
        <v>126</v>
      </c>
      <c r="M89" s="4"/>
      <c r="N89" s="4"/>
      <c r="O89" s="7"/>
      <c r="P89" s="5">
        <v>76</v>
      </c>
      <c r="Q89" s="3">
        <v>43.421052631578945</v>
      </c>
      <c r="R89" s="3">
        <v>54.171428571428571</v>
      </c>
      <c r="S89" s="3">
        <v>68.80000000000004</v>
      </c>
      <c r="T89" s="3">
        <v>55.438914027149316</v>
      </c>
      <c r="U89" s="3">
        <v>166.39248120300755</v>
      </c>
      <c r="V89" s="18">
        <v>10</v>
      </c>
      <c r="W89" s="18">
        <v>90</v>
      </c>
      <c r="X89" s="4">
        <v>23.684210526315791</v>
      </c>
      <c r="Y89" s="4">
        <v>18.840579710144926</v>
      </c>
      <c r="Z89" s="7">
        <v>9.3333333333333339</v>
      </c>
      <c r="AA89" s="5">
        <v>91</v>
      </c>
      <c r="AB89" s="3">
        <v>35.630252100840337</v>
      </c>
      <c r="AC89" s="3">
        <v>35.142857142857146</v>
      </c>
      <c r="AD89" s="3">
        <v>49.610389610389603</v>
      </c>
      <c r="AE89" s="3">
        <v>40.12783295136235</v>
      </c>
      <c r="AF89" s="3">
        <v>120.38349885408709</v>
      </c>
      <c r="AG89" s="18">
        <v>19</v>
      </c>
      <c r="AH89" s="18">
        <v>212</v>
      </c>
      <c r="AI89" s="4">
        <v>41.428571428571431</v>
      </c>
      <c r="AJ89" s="4">
        <v>44.285714285714285</v>
      </c>
      <c r="AK89" s="7">
        <v>11.428571428571429</v>
      </c>
      <c r="AL89" s="5">
        <v>91</v>
      </c>
      <c r="AM89" s="3">
        <v>46.394686907020862</v>
      </c>
      <c r="AN89" s="3">
        <v>37.926267281106007</v>
      </c>
      <c r="AO89" s="3">
        <v>72.205882352941188</v>
      </c>
      <c r="AP89" s="3">
        <v>52.052724315532664</v>
      </c>
      <c r="AQ89" s="3">
        <v>156.52683654106806</v>
      </c>
      <c r="AR89" s="18">
        <v>13</v>
      </c>
      <c r="AS89" s="18">
        <v>115</v>
      </c>
      <c r="AT89" s="4">
        <v>22.580645161290324</v>
      </c>
      <c r="AU89" s="4">
        <v>48.387096774193552</v>
      </c>
      <c r="AV89" s="7">
        <v>27.118644067796609</v>
      </c>
      <c r="AW89" s="10">
        <f t="shared" si="29"/>
        <v>86</v>
      </c>
      <c r="AX89" s="9">
        <f t="shared" si="30"/>
        <v>41.815330546480048</v>
      </c>
      <c r="AY89" s="9">
        <f t="shared" si="31"/>
        <v>42.413517665130577</v>
      </c>
      <c r="AZ89" s="9">
        <f t="shared" si="32"/>
        <v>63.538757321110275</v>
      </c>
      <c r="BA89" s="9">
        <f t="shared" si="33"/>
        <v>49.206490431348108</v>
      </c>
      <c r="BB89" s="9">
        <f t="shared" si="34"/>
        <v>147.76760553272092</v>
      </c>
      <c r="BC89" s="10">
        <f t="shared" si="37"/>
        <v>15</v>
      </c>
      <c r="BD89" s="10">
        <f t="shared" si="35"/>
        <v>135</v>
      </c>
      <c r="BE89" s="4">
        <f t="shared" si="19"/>
        <v>32.004608294930875</v>
      </c>
      <c r="BF89" s="4">
        <f t="shared" si="20"/>
        <v>46.336405529953922</v>
      </c>
      <c r="BG89" s="7">
        <f t="shared" si="21"/>
        <v>19.27360774818402</v>
      </c>
      <c r="BH89" s="5">
        <v>91</v>
      </c>
      <c r="BI89" s="3">
        <v>55.392307692307703</v>
      </c>
      <c r="BJ89" s="3">
        <v>37.063736263736274</v>
      </c>
      <c r="BK89" s="3">
        <v>45.862637362637365</v>
      </c>
      <c r="BL89" s="3">
        <v>46.106227106227109</v>
      </c>
      <c r="BM89" s="3">
        <v>138.31868131868131</v>
      </c>
      <c r="BN89" s="18">
        <v>13</v>
      </c>
      <c r="BO89" s="18">
        <v>79</v>
      </c>
      <c r="BP89" s="4">
        <v>18.681318681318682</v>
      </c>
      <c r="BQ89" s="4">
        <v>47.252747252747255</v>
      </c>
      <c r="BR89" s="7">
        <v>34.065934065934066</v>
      </c>
      <c r="BS89" s="18"/>
      <c r="BT89" s="23">
        <v>32</v>
      </c>
    </row>
    <row r="90" spans="1:72" x14ac:dyDescent="0.25">
      <c r="A90" s="1">
        <v>85</v>
      </c>
      <c r="B90" s="18" t="s">
        <v>20</v>
      </c>
      <c r="C90" s="18">
        <v>61</v>
      </c>
      <c r="D90" s="21" t="s">
        <v>9</v>
      </c>
      <c r="E90" s="5"/>
      <c r="F90" s="3">
        <v>48.333333333333336</v>
      </c>
      <c r="G90" s="3">
        <v>45.2</v>
      </c>
      <c r="H90" s="3">
        <v>44.333333333333336</v>
      </c>
      <c r="I90" s="3">
        <f t="shared" si="27"/>
        <v>45.955555555555556</v>
      </c>
      <c r="J90" s="3">
        <f t="shared" si="28"/>
        <v>137.86666666666667</v>
      </c>
      <c r="K90" s="18">
        <f t="shared" si="36"/>
        <v>13</v>
      </c>
      <c r="L90" s="18">
        <f t="shared" si="26"/>
        <v>128</v>
      </c>
      <c r="M90" s="4"/>
      <c r="N90" s="4"/>
      <c r="O90" s="7"/>
      <c r="P90" s="5">
        <v>90</v>
      </c>
      <c r="Q90" s="3">
        <v>48.555555555555543</v>
      </c>
      <c r="R90" s="3">
        <v>48.133333333333333</v>
      </c>
      <c r="S90" s="3">
        <v>65.629629629629648</v>
      </c>
      <c r="T90" s="3">
        <v>54.106172839506151</v>
      </c>
      <c r="U90" s="3">
        <v>162.31851851851852</v>
      </c>
      <c r="V90" s="18">
        <v>13</v>
      </c>
      <c r="W90" s="18">
        <v>100</v>
      </c>
      <c r="X90" s="4">
        <v>15.555555555555555</v>
      </c>
      <c r="Y90" s="4">
        <v>18.888888888888889</v>
      </c>
      <c r="Z90" s="7">
        <v>15.555555555555555</v>
      </c>
      <c r="AA90" s="5">
        <v>97</v>
      </c>
      <c r="AB90" s="3">
        <v>41.140159767610761</v>
      </c>
      <c r="AC90" s="3">
        <v>43.802469135802468</v>
      </c>
      <c r="AD90" s="3">
        <v>52.00149644594088</v>
      </c>
      <c r="AE90" s="3">
        <v>45.648041783118039</v>
      </c>
      <c r="AF90" s="3">
        <v>136.94412534935412</v>
      </c>
      <c r="AG90" s="18">
        <v>12</v>
      </c>
      <c r="AH90" s="18">
        <v>144</v>
      </c>
      <c r="AI90" s="4">
        <v>32.098765432098766</v>
      </c>
      <c r="AJ90" s="4">
        <v>30.864197530864196</v>
      </c>
      <c r="AK90" s="7">
        <v>29.62962962962963</v>
      </c>
      <c r="AL90" s="5">
        <v>82</v>
      </c>
      <c r="AM90" s="3">
        <v>58.464849354375914</v>
      </c>
      <c r="AN90" s="3">
        <v>50.084104289318766</v>
      </c>
      <c r="AO90" s="3">
        <v>65.89061345158909</v>
      </c>
      <c r="AP90" s="3">
        <v>58.146522365094569</v>
      </c>
      <c r="AQ90" s="3">
        <v>174.43956709528379</v>
      </c>
      <c r="AR90" s="18">
        <v>7</v>
      </c>
      <c r="AS90" s="18">
        <v>54</v>
      </c>
      <c r="AT90" s="4">
        <v>14.634146341463415</v>
      </c>
      <c r="AU90" s="4">
        <v>34.146341463414636</v>
      </c>
      <c r="AV90" s="7">
        <v>18.181818181818183</v>
      </c>
      <c r="AW90" s="10">
        <f t="shared" si="29"/>
        <v>89.666666666666671</v>
      </c>
      <c r="AX90" s="9">
        <f t="shared" si="30"/>
        <v>49.386854892514066</v>
      </c>
      <c r="AY90" s="9">
        <f t="shared" si="31"/>
        <v>47.339968919484853</v>
      </c>
      <c r="AZ90" s="9">
        <f t="shared" si="32"/>
        <v>61.173913175719882</v>
      </c>
      <c r="BA90" s="9">
        <f t="shared" si="33"/>
        <v>52.633578995906248</v>
      </c>
      <c r="BB90" s="9">
        <f t="shared" si="34"/>
        <v>157.9007369877188</v>
      </c>
      <c r="BC90" s="10">
        <f t="shared" si="37"/>
        <v>11</v>
      </c>
      <c r="BD90" s="10">
        <f t="shared" si="35"/>
        <v>95</v>
      </c>
      <c r="BE90" s="4">
        <f t="shared" ref="BE90:BE153" si="38">AVERAGE(M90,AI90,AT90)</f>
        <v>23.36645588678109</v>
      </c>
      <c r="BF90" s="4">
        <f t="shared" ref="BF90:BF153" si="39">AVERAGE(N90,AJ90,AU90)</f>
        <v>32.505269497139416</v>
      </c>
      <c r="BG90" s="7">
        <f t="shared" ref="BG90:BG153" si="40">AVERAGE(O90,AK90,AV90)</f>
        <v>23.905723905723907</v>
      </c>
      <c r="BH90" s="5">
        <v>92</v>
      </c>
      <c r="BI90" s="3">
        <v>57.242857142857147</v>
      </c>
      <c r="BJ90" s="3">
        <v>37.786813186813191</v>
      </c>
      <c r="BK90" s="3">
        <v>44.279120879120882</v>
      </c>
      <c r="BL90" s="3">
        <v>46.436263736263733</v>
      </c>
      <c r="BM90" s="3">
        <v>139.30879120879123</v>
      </c>
      <c r="BN90" s="18">
        <v>12</v>
      </c>
      <c r="BO90" s="18">
        <v>71</v>
      </c>
      <c r="BP90" s="4">
        <v>16.483516483516482</v>
      </c>
      <c r="BQ90" s="4">
        <v>45.054945054945058</v>
      </c>
      <c r="BR90" s="7">
        <v>42.857142857142854</v>
      </c>
      <c r="BS90" s="18"/>
      <c r="BT90" s="23">
        <v>61</v>
      </c>
    </row>
    <row r="91" spans="1:72" x14ac:dyDescent="0.25">
      <c r="A91" s="18">
        <v>86</v>
      </c>
      <c r="B91" s="18" t="s">
        <v>20</v>
      </c>
      <c r="C91" s="18">
        <v>62</v>
      </c>
      <c r="D91" s="21" t="s">
        <v>11</v>
      </c>
      <c r="E91" s="5"/>
      <c r="F91" s="3">
        <v>58.333333333333336</v>
      </c>
      <c r="G91" s="3">
        <v>45.6</v>
      </c>
      <c r="H91" s="3">
        <v>33</v>
      </c>
      <c r="I91" s="3">
        <f t="shared" si="27"/>
        <v>45.644444444444446</v>
      </c>
      <c r="J91" s="3">
        <f t="shared" si="28"/>
        <v>136.93333333333334</v>
      </c>
      <c r="K91" s="18">
        <f t="shared" si="36"/>
        <v>14</v>
      </c>
      <c r="L91" s="18">
        <f t="shared" si="26"/>
        <v>132</v>
      </c>
      <c r="M91" s="4"/>
      <c r="N91" s="4"/>
      <c r="O91" s="7"/>
      <c r="P91" s="5">
        <v>75</v>
      </c>
      <c r="Q91" s="3">
        <v>62.711111111111116</v>
      </c>
      <c r="R91" s="3">
        <v>58.24</v>
      </c>
      <c r="S91" s="3">
        <v>70.311111111111089</v>
      </c>
      <c r="T91" s="3">
        <v>63.754074074074083</v>
      </c>
      <c r="U91" s="3">
        <v>191.26222222222219</v>
      </c>
      <c r="V91" s="18">
        <v>3</v>
      </c>
      <c r="W91" s="18">
        <v>31</v>
      </c>
      <c r="X91" s="4">
        <v>2.6666666666666665</v>
      </c>
      <c r="Y91" s="4">
        <v>12.162162162162161</v>
      </c>
      <c r="Z91" s="7">
        <v>6.666666666666667</v>
      </c>
      <c r="AA91" s="5">
        <v>83</v>
      </c>
      <c r="AB91" s="3">
        <v>58.278867102396532</v>
      </c>
      <c r="AC91" s="3">
        <v>65.382716049382722</v>
      </c>
      <c r="AD91" s="3">
        <v>72.502805836139217</v>
      </c>
      <c r="AE91" s="3">
        <v>65.388129662639457</v>
      </c>
      <c r="AF91" s="3">
        <v>196.16438898791847</v>
      </c>
      <c r="AG91" s="18">
        <v>1</v>
      </c>
      <c r="AH91" s="18">
        <v>8</v>
      </c>
      <c r="AI91" s="4">
        <v>4.9382716049382713</v>
      </c>
      <c r="AJ91" s="4">
        <v>3.7037037037037037</v>
      </c>
      <c r="AK91" s="7">
        <v>2.4691358024691357</v>
      </c>
      <c r="AL91" s="5">
        <v>82</v>
      </c>
      <c r="AM91" s="3">
        <v>71.968046477850436</v>
      </c>
      <c r="AN91" s="3">
        <v>44.585537918871246</v>
      </c>
      <c r="AO91" s="3">
        <v>69.86201888162671</v>
      </c>
      <c r="AP91" s="3">
        <v>62.138534426116145</v>
      </c>
      <c r="AQ91" s="3">
        <v>186.41560327834839</v>
      </c>
      <c r="AR91" s="18">
        <v>3</v>
      </c>
      <c r="AS91" s="18">
        <v>29</v>
      </c>
      <c r="AT91" s="4">
        <v>0</v>
      </c>
      <c r="AU91" s="4">
        <v>21.25</v>
      </c>
      <c r="AV91" s="7">
        <v>3.75</v>
      </c>
      <c r="AW91" s="10">
        <f t="shared" si="29"/>
        <v>80</v>
      </c>
      <c r="AX91" s="9">
        <f t="shared" si="30"/>
        <v>64.319341563786026</v>
      </c>
      <c r="AY91" s="9">
        <f t="shared" si="31"/>
        <v>56.069417989417985</v>
      </c>
      <c r="AZ91" s="9">
        <f t="shared" si="32"/>
        <v>70.891978609625667</v>
      </c>
      <c r="BA91" s="9">
        <f t="shared" si="33"/>
        <v>63.760246054276564</v>
      </c>
      <c r="BB91" s="9">
        <f t="shared" si="34"/>
        <v>191.28073816282969</v>
      </c>
      <c r="BC91" s="10">
        <f t="shared" si="37"/>
        <v>1</v>
      </c>
      <c r="BD91" s="10">
        <f t="shared" si="35"/>
        <v>14</v>
      </c>
      <c r="BE91" s="4">
        <f t="shared" si="38"/>
        <v>2.4691358024691357</v>
      </c>
      <c r="BF91" s="4">
        <f t="shared" si="39"/>
        <v>12.476851851851851</v>
      </c>
      <c r="BG91" s="7">
        <f t="shared" si="40"/>
        <v>3.1095679012345681</v>
      </c>
      <c r="BH91" s="5">
        <v>82</v>
      </c>
      <c r="BI91" s="3">
        <v>69.778048780487822</v>
      </c>
      <c r="BJ91" s="3">
        <v>56.78536585365854</v>
      </c>
      <c r="BK91" s="3">
        <v>55.848780487804895</v>
      </c>
      <c r="BL91" s="3">
        <v>60.804065040650393</v>
      </c>
      <c r="BM91" s="3">
        <v>182.41219512195119</v>
      </c>
      <c r="BN91" s="18">
        <v>1</v>
      </c>
      <c r="BO91" s="18">
        <v>6</v>
      </c>
      <c r="BP91" s="4">
        <v>1.2195121951219512</v>
      </c>
      <c r="BQ91" s="4">
        <v>14.634146341463415</v>
      </c>
      <c r="BR91" s="7">
        <v>15.853658536585366</v>
      </c>
      <c r="BS91" s="18"/>
      <c r="BT91" s="23">
        <v>62</v>
      </c>
    </row>
    <row r="92" spans="1:72" x14ac:dyDescent="0.25">
      <c r="A92" s="18">
        <v>87</v>
      </c>
      <c r="B92" s="18" t="s">
        <v>20</v>
      </c>
      <c r="C92" s="18">
        <v>70</v>
      </c>
      <c r="D92" s="21" t="s">
        <v>11</v>
      </c>
      <c r="E92" s="5"/>
      <c r="F92" s="3">
        <v>58.666666666666671</v>
      </c>
      <c r="G92" s="3">
        <v>60</v>
      </c>
      <c r="H92" s="3">
        <v>52</v>
      </c>
      <c r="I92" s="3">
        <f t="shared" si="27"/>
        <v>56.888888888888893</v>
      </c>
      <c r="J92" s="3">
        <f t="shared" si="28"/>
        <v>170.66666666666669</v>
      </c>
      <c r="K92" s="18">
        <f t="shared" si="36"/>
        <v>3</v>
      </c>
      <c r="L92" s="18">
        <f t="shared" si="26"/>
        <v>33</v>
      </c>
      <c r="M92" s="4"/>
      <c r="N92" s="4"/>
      <c r="O92" s="7"/>
      <c r="P92" s="5">
        <v>122</v>
      </c>
      <c r="Q92" s="3">
        <v>52.704918032786885</v>
      </c>
      <c r="R92" s="3">
        <v>48.16393442622951</v>
      </c>
      <c r="S92" s="3">
        <v>61.487603305785122</v>
      </c>
      <c r="T92" s="3">
        <v>54.09863013698628</v>
      </c>
      <c r="U92" s="3">
        <v>162.35645576480152</v>
      </c>
      <c r="V92" s="18">
        <v>12</v>
      </c>
      <c r="W92" s="18">
        <v>99</v>
      </c>
      <c r="X92" s="4">
        <v>16.393442622950818</v>
      </c>
      <c r="Y92" s="4">
        <v>23.770491803278688</v>
      </c>
      <c r="Z92" s="7">
        <v>15.702479338842975</v>
      </c>
      <c r="AA92" s="5">
        <v>147</v>
      </c>
      <c r="AB92" s="3">
        <v>40.884783665532353</v>
      </c>
      <c r="AC92" s="3">
        <v>62.016528925619838</v>
      </c>
      <c r="AD92" s="3">
        <v>64.087152516904609</v>
      </c>
      <c r="AE92" s="3">
        <v>55.662821702685598</v>
      </c>
      <c r="AF92" s="3">
        <v>166.9884651080568</v>
      </c>
      <c r="AG92" s="18">
        <v>2</v>
      </c>
      <c r="AH92" s="18">
        <v>45</v>
      </c>
      <c r="AI92" s="4">
        <v>30.578512396694215</v>
      </c>
      <c r="AJ92" s="4">
        <v>8.3333333333333339</v>
      </c>
      <c r="AK92" s="7">
        <v>9.0909090909090917</v>
      </c>
      <c r="AL92" s="5">
        <v>142</v>
      </c>
      <c r="AM92" s="3">
        <v>63.385826771653534</v>
      </c>
      <c r="AN92" s="3">
        <v>45.228346456692911</v>
      </c>
      <c r="AO92" s="3">
        <v>71.916010498687669</v>
      </c>
      <c r="AP92" s="3">
        <v>60.176727909011355</v>
      </c>
      <c r="AQ92" s="3">
        <v>180.53018372703411</v>
      </c>
      <c r="AR92" s="18">
        <v>4</v>
      </c>
      <c r="AS92" s="18">
        <v>40</v>
      </c>
      <c r="AT92" s="4">
        <v>4.7244094488188972</v>
      </c>
      <c r="AU92" s="4">
        <v>22.834645669291337</v>
      </c>
      <c r="AV92" s="7">
        <v>3.225806451612903</v>
      </c>
      <c r="AW92" s="10">
        <f t="shared" si="29"/>
        <v>137</v>
      </c>
      <c r="AX92" s="9">
        <f t="shared" si="30"/>
        <v>52.325176156657591</v>
      </c>
      <c r="AY92" s="9">
        <f t="shared" si="31"/>
        <v>51.802936602847417</v>
      </c>
      <c r="AZ92" s="9">
        <f t="shared" si="32"/>
        <v>65.83025544045914</v>
      </c>
      <c r="BA92" s="9">
        <f t="shared" si="33"/>
        <v>56.646059916227749</v>
      </c>
      <c r="BB92" s="9">
        <f t="shared" si="34"/>
        <v>169.95836819996416</v>
      </c>
      <c r="BC92" s="10">
        <f t="shared" si="37"/>
        <v>4</v>
      </c>
      <c r="BD92" s="10">
        <f t="shared" si="35"/>
        <v>57</v>
      </c>
      <c r="BE92" s="4">
        <f t="shared" si="38"/>
        <v>17.651460922756556</v>
      </c>
      <c r="BF92" s="4">
        <f t="shared" si="39"/>
        <v>15.583989501312335</v>
      </c>
      <c r="BG92" s="7">
        <f t="shared" si="40"/>
        <v>6.1583577712609969</v>
      </c>
      <c r="BH92" s="5">
        <v>140</v>
      </c>
      <c r="BI92" s="3">
        <v>60.990647482014367</v>
      </c>
      <c r="BJ92" s="3">
        <v>44.594964028776978</v>
      </c>
      <c r="BK92" s="3">
        <v>49.510071942446025</v>
      </c>
      <c r="BL92" s="3">
        <v>51.698561151079126</v>
      </c>
      <c r="BM92" s="3">
        <v>155.0956834532374</v>
      </c>
      <c r="BN92" s="18">
        <v>5</v>
      </c>
      <c r="BO92" s="18">
        <v>25</v>
      </c>
      <c r="BP92" s="4">
        <v>13.669064748201439</v>
      </c>
      <c r="BQ92" s="4">
        <v>30.215827338129497</v>
      </c>
      <c r="BR92" s="7">
        <v>30.215827338129497</v>
      </c>
      <c r="BS92" s="18"/>
      <c r="BT92" s="23">
        <v>70</v>
      </c>
    </row>
    <row r="93" spans="1:72" x14ac:dyDescent="0.25">
      <c r="A93" s="18">
        <v>88</v>
      </c>
      <c r="B93" s="18" t="s">
        <v>20</v>
      </c>
      <c r="C93" s="18">
        <v>109</v>
      </c>
      <c r="D93" s="21" t="s">
        <v>9</v>
      </c>
      <c r="E93" s="5"/>
      <c r="F93" s="3">
        <v>66.666666666666671</v>
      </c>
      <c r="G93" s="3">
        <v>62.8</v>
      </c>
      <c r="H93" s="3">
        <v>58.333333333333336</v>
      </c>
      <c r="I93" s="3">
        <f t="shared" si="27"/>
        <v>62.6</v>
      </c>
      <c r="J93" s="3">
        <f t="shared" si="28"/>
        <v>187.8</v>
      </c>
      <c r="K93" s="18">
        <f t="shared" si="36"/>
        <v>1</v>
      </c>
      <c r="L93" s="18">
        <f t="shared" si="26"/>
        <v>14</v>
      </c>
      <c r="M93" s="4"/>
      <c r="N93" s="4"/>
      <c r="O93" s="7"/>
      <c r="P93" s="5">
        <v>34</v>
      </c>
      <c r="Q93" s="3">
        <v>47.941176470588232</v>
      </c>
      <c r="R93" s="3">
        <v>42.235294117647058</v>
      </c>
      <c r="S93" s="3">
        <v>39.019607843137244</v>
      </c>
      <c r="T93" s="3">
        <v>43.065359477124176</v>
      </c>
      <c r="U93" s="3">
        <v>129.19607843137254</v>
      </c>
      <c r="V93" s="18">
        <v>21</v>
      </c>
      <c r="W93" s="18">
        <v>239</v>
      </c>
      <c r="X93" s="4">
        <v>11.764705882352942</v>
      </c>
      <c r="Y93" s="4">
        <v>14.705882352941176</v>
      </c>
      <c r="Z93" s="7">
        <v>29.411764705882351</v>
      </c>
      <c r="AA93" s="5">
        <v>36</v>
      </c>
      <c r="AB93" s="3">
        <v>35.8288770053476</v>
      </c>
      <c r="AC93" s="3">
        <v>43.515151515151516</v>
      </c>
      <c r="AD93" s="3">
        <v>33.608815426997246</v>
      </c>
      <c r="AE93" s="3">
        <v>37.650947982498778</v>
      </c>
      <c r="AF93" s="3">
        <v>112.95284394749635</v>
      </c>
      <c r="AG93" s="18">
        <v>20</v>
      </c>
      <c r="AH93" s="18">
        <v>240</v>
      </c>
      <c r="AI93" s="4">
        <v>39.393939393939391</v>
      </c>
      <c r="AJ93" s="4">
        <v>33.333333333333336</v>
      </c>
      <c r="AK93" s="7">
        <v>33.333333333333336</v>
      </c>
      <c r="AL93" s="5">
        <v>36</v>
      </c>
      <c r="AM93" s="3">
        <v>60.962566844919763</v>
      </c>
      <c r="AN93" s="3">
        <v>48.873563218390807</v>
      </c>
      <c r="AO93" s="3">
        <v>49.770431588613398</v>
      </c>
      <c r="AP93" s="3">
        <v>53.202187217308008</v>
      </c>
      <c r="AQ93" s="3">
        <v>159.60656165192398</v>
      </c>
      <c r="AR93" s="18">
        <v>11</v>
      </c>
      <c r="AS93" s="18">
        <v>103</v>
      </c>
      <c r="AT93" s="4">
        <v>3.0303030303030303</v>
      </c>
      <c r="AU93" s="4">
        <v>21.212121212121211</v>
      </c>
      <c r="AV93" s="7">
        <v>9.0909090909090917</v>
      </c>
      <c r="AW93" s="10">
        <f t="shared" si="29"/>
        <v>35.333333333333336</v>
      </c>
      <c r="AX93" s="9">
        <f t="shared" si="30"/>
        <v>48.244206773618536</v>
      </c>
      <c r="AY93" s="9">
        <f t="shared" si="31"/>
        <v>44.874669617063127</v>
      </c>
      <c r="AZ93" s="9">
        <f t="shared" si="32"/>
        <v>40.799618286249292</v>
      </c>
      <c r="BA93" s="9">
        <f t="shared" si="33"/>
        <v>44.639498225643649</v>
      </c>
      <c r="BB93" s="9">
        <f t="shared" si="34"/>
        <v>133.91849467693098</v>
      </c>
      <c r="BC93" s="10">
        <f t="shared" si="37"/>
        <v>21</v>
      </c>
      <c r="BD93" s="10">
        <f t="shared" si="35"/>
        <v>202</v>
      </c>
      <c r="BE93" s="4">
        <f t="shared" si="38"/>
        <v>21.212121212121211</v>
      </c>
      <c r="BF93" s="4">
        <f t="shared" si="39"/>
        <v>27.272727272727273</v>
      </c>
      <c r="BG93" s="7">
        <f t="shared" si="40"/>
        <v>21.212121212121215</v>
      </c>
      <c r="BH93" s="5">
        <v>36</v>
      </c>
      <c r="BI93" s="3">
        <v>58.797142857142859</v>
      </c>
      <c r="BJ93" s="3">
        <v>37.145714285714284</v>
      </c>
      <c r="BK93" s="3">
        <v>33.53142857142857</v>
      </c>
      <c r="BL93" s="3">
        <v>43.158095238095235</v>
      </c>
      <c r="BM93" s="3">
        <v>129.47428571428571</v>
      </c>
      <c r="BN93" s="18">
        <v>18</v>
      </c>
      <c r="BO93" s="18">
        <v>113</v>
      </c>
      <c r="BP93" s="4">
        <v>11.428571428571429</v>
      </c>
      <c r="BQ93" s="4">
        <v>42.857142857142854</v>
      </c>
      <c r="BR93" s="7">
        <v>48.571428571428569</v>
      </c>
      <c r="BS93" s="18"/>
      <c r="BT93" s="23">
        <v>109</v>
      </c>
    </row>
    <row r="94" spans="1:72" x14ac:dyDescent="0.25">
      <c r="A94" s="18">
        <v>89</v>
      </c>
      <c r="B94" s="18" t="s">
        <v>20</v>
      </c>
      <c r="C94" s="18">
        <v>129</v>
      </c>
      <c r="D94" s="21" t="s">
        <v>9</v>
      </c>
      <c r="E94" s="5"/>
      <c r="F94" s="3">
        <v>61.666666666666664</v>
      </c>
      <c r="G94" s="3">
        <v>60</v>
      </c>
      <c r="H94" s="3">
        <v>51.333333333333336</v>
      </c>
      <c r="I94" s="3">
        <f t="shared" si="27"/>
        <v>57.666666666666664</v>
      </c>
      <c r="J94" s="3">
        <f t="shared" si="28"/>
        <v>173</v>
      </c>
      <c r="K94" s="18">
        <f t="shared" si="36"/>
        <v>2</v>
      </c>
      <c r="L94" s="18">
        <f t="shared" si="26"/>
        <v>29</v>
      </c>
      <c r="M94" s="4"/>
      <c r="N94" s="4"/>
      <c r="O94" s="7"/>
      <c r="P94" s="5">
        <v>96</v>
      </c>
      <c r="Q94" s="3">
        <v>66.250000000000028</v>
      </c>
      <c r="R94" s="3">
        <v>57.625</v>
      </c>
      <c r="S94" s="3">
        <v>63.437499999999993</v>
      </c>
      <c r="T94" s="3">
        <v>62.437499999999972</v>
      </c>
      <c r="U94" s="3">
        <v>187.31250000000003</v>
      </c>
      <c r="V94" s="18">
        <v>5</v>
      </c>
      <c r="W94" s="18">
        <v>41</v>
      </c>
      <c r="X94" s="4">
        <v>6.25</v>
      </c>
      <c r="Y94" s="4">
        <v>17.894736842105264</v>
      </c>
      <c r="Z94" s="7">
        <v>16.666666666666668</v>
      </c>
      <c r="AA94" s="5">
        <v>105</v>
      </c>
      <c r="AB94" s="3">
        <v>43.498452012383915</v>
      </c>
      <c r="AC94" s="3">
        <v>39.157894736842103</v>
      </c>
      <c r="AD94" s="3">
        <v>61.052631578947377</v>
      </c>
      <c r="AE94" s="3">
        <v>47.902992776057822</v>
      </c>
      <c r="AF94" s="3">
        <v>143.7089783281734</v>
      </c>
      <c r="AG94" s="18">
        <v>8</v>
      </c>
      <c r="AH94" s="18">
        <v>114</v>
      </c>
      <c r="AI94" s="4">
        <v>27.368421052631579</v>
      </c>
      <c r="AJ94" s="4">
        <v>42.10526315789474</v>
      </c>
      <c r="AK94" s="7">
        <v>12.631578947368421</v>
      </c>
      <c r="AL94" s="5">
        <v>104</v>
      </c>
      <c r="AM94" s="3">
        <v>69.767441860465098</v>
      </c>
      <c r="AN94" s="3">
        <v>30.764119601328911</v>
      </c>
      <c r="AO94" s="3">
        <v>63.850889192886399</v>
      </c>
      <c r="AP94" s="3">
        <v>54.794150218226818</v>
      </c>
      <c r="AQ94" s="3">
        <v>164.38245065468041</v>
      </c>
      <c r="AR94" s="18">
        <v>9</v>
      </c>
      <c r="AS94" s="18">
        <v>84</v>
      </c>
      <c r="AT94" s="4">
        <v>4.6511627906976747</v>
      </c>
      <c r="AU94" s="4">
        <v>50</v>
      </c>
      <c r="AV94" s="7">
        <v>11.627906976744185</v>
      </c>
      <c r="AW94" s="10">
        <f t="shared" si="29"/>
        <v>101.66666666666667</v>
      </c>
      <c r="AX94" s="9">
        <f t="shared" si="30"/>
        <v>59.838631290949685</v>
      </c>
      <c r="AY94" s="9">
        <f t="shared" si="31"/>
        <v>42.515671446057006</v>
      </c>
      <c r="AZ94" s="9">
        <f t="shared" si="32"/>
        <v>62.780340257277921</v>
      </c>
      <c r="BA94" s="9">
        <f t="shared" si="33"/>
        <v>55.044880998094868</v>
      </c>
      <c r="BB94" s="9">
        <f t="shared" si="34"/>
        <v>165.1346429942846</v>
      </c>
      <c r="BC94" s="10">
        <f t="shared" si="37"/>
        <v>6</v>
      </c>
      <c r="BD94" s="10">
        <f t="shared" si="35"/>
        <v>75</v>
      </c>
      <c r="BE94" s="4">
        <f t="shared" si="38"/>
        <v>16.009791921664625</v>
      </c>
      <c r="BF94" s="4">
        <f t="shared" si="39"/>
        <v>46.05263157894737</v>
      </c>
      <c r="BG94" s="7">
        <f t="shared" si="40"/>
        <v>12.129742962056303</v>
      </c>
      <c r="BH94" s="5">
        <v>103</v>
      </c>
      <c r="BI94" s="3">
        <v>65.819417475728144</v>
      </c>
      <c r="BJ94" s="3">
        <v>45.034951456310672</v>
      </c>
      <c r="BK94" s="3">
        <v>49.770873786407734</v>
      </c>
      <c r="BL94" s="3">
        <v>53.541747572815552</v>
      </c>
      <c r="BM94" s="3">
        <v>160.62524271844657</v>
      </c>
      <c r="BN94" s="18">
        <v>4</v>
      </c>
      <c r="BO94" s="18">
        <v>15</v>
      </c>
      <c r="BP94" s="4">
        <v>7.766990291262136</v>
      </c>
      <c r="BQ94" s="4">
        <v>36.893203883495147</v>
      </c>
      <c r="BR94" s="7">
        <v>32.038834951456309</v>
      </c>
      <c r="BS94" s="18"/>
      <c r="BT94" s="23">
        <v>129</v>
      </c>
    </row>
    <row r="95" spans="1:72" x14ac:dyDescent="0.25">
      <c r="A95" s="1">
        <v>90</v>
      </c>
      <c r="B95" s="18" t="s">
        <v>20</v>
      </c>
      <c r="C95" s="18">
        <v>145</v>
      </c>
      <c r="D95" s="21" t="s">
        <v>9</v>
      </c>
      <c r="E95" s="5"/>
      <c r="F95" s="3">
        <v>41.666666666666664</v>
      </c>
      <c r="G95" s="3">
        <v>34.799999999999997</v>
      </c>
      <c r="H95" s="3">
        <v>41.666666666666664</v>
      </c>
      <c r="I95" s="3">
        <f t="shared" si="27"/>
        <v>39.377777777777773</v>
      </c>
      <c r="J95" s="3">
        <f t="shared" si="28"/>
        <v>118.13333333333333</v>
      </c>
      <c r="K95" s="18">
        <f t="shared" si="36"/>
        <v>20</v>
      </c>
      <c r="L95" s="18">
        <f t="shared" si="26"/>
        <v>200</v>
      </c>
      <c r="M95" s="4"/>
      <c r="N95" s="4"/>
      <c r="O95" s="7"/>
      <c r="P95" s="5">
        <v>194</v>
      </c>
      <c r="Q95" s="3">
        <v>66.391752577319551</v>
      </c>
      <c r="R95" s="3">
        <v>53.195876288659797</v>
      </c>
      <c r="S95" s="3">
        <v>75.412371134020617</v>
      </c>
      <c r="T95" s="3">
        <v>64.999999999999986</v>
      </c>
      <c r="U95" s="3">
        <v>194.99999999999997</v>
      </c>
      <c r="V95" s="18">
        <v>1</v>
      </c>
      <c r="W95" s="18">
        <v>23</v>
      </c>
      <c r="X95" s="4">
        <v>0.51546391752577314</v>
      </c>
      <c r="Y95" s="4">
        <v>13.402061855670103</v>
      </c>
      <c r="Z95" s="7">
        <v>1.0309278350515463</v>
      </c>
      <c r="AA95" s="5">
        <v>202</v>
      </c>
      <c r="AB95" s="3">
        <v>21.173128342246073</v>
      </c>
      <c r="AC95" s="3">
        <v>44.273684210526319</v>
      </c>
      <c r="AD95" s="3">
        <v>69.824561403508696</v>
      </c>
      <c r="AE95" s="3">
        <v>45.586790505675978</v>
      </c>
      <c r="AF95" s="3">
        <v>135.27137395628108</v>
      </c>
      <c r="AG95" s="18">
        <v>16</v>
      </c>
      <c r="AH95" s="18">
        <v>156</v>
      </c>
      <c r="AI95" s="4">
        <v>75.568181818181813</v>
      </c>
      <c r="AJ95" s="4">
        <v>31.05263157894737</v>
      </c>
      <c r="AK95" s="7">
        <v>7.3684210526315788</v>
      </c>
      <c r="AL95" s="5">
        <v>190</v>
      </c>
      <c r="AM95" s="3">
        <v>69.303405572755409</v>
      </c>
      <c r="AN95" s="3">
        <v>46.315789473684241</v>
      </c>
      <c r="AO95" s="3">
        <v>77.450980392156907</v>
      </c>
      <c r="AP95" s="3">
        <v>64.330753353973165</v>
      </c>
      <c r="AQ95" s="3">
        <v>193.07017543859655</v>
      </c>
      <c r="AR95" s="18">
        <v>2</v>
      </c>
      <c r="AS95" s="18">
        <v>21</v>
      </c>
      <c r="AT95" s="4">
        <v>4.7368421052631575</v>
      </c>
      <c r="AU95" s="4">
        <v>25.263157894736842</v>
      </c>
      <c r="AV95" s="7">
        <v>3.7037037037037037</v>
      </c>
      <c r="AW95" s="10">
        <f t="shared" si="29"/>
        <v>195.33333333333334</v>
      </c>
      <c r="AX95" s="9">
        <f t="shared" si="30"/>
        <v>52.28942883077368</v>
      </c>
      <c r="AY95" s="9">
        <f t="shared" si="31"/>
        <v>47.928449990956786</v>
      </c>
      <c r="AZ95" s="9">
        <f t="shared" si="32"/>
        <v>74.229304309895397</v>
      </c>
      <c r="BA95" s="9">
        <f t="shared" si="33"/>
        <v>58.305847953216379</v>
      </c>
      <c r="BB95" s="9">
        <f t="shared" si="34"/>
        <v>174.44718313162585</v>
      </c>
      <c r="BC95" s="10">
        <f t="shared" si="37"/>
        <v>2</v>
      </c>
      <c r="BD95" s="10">
        <f t="shared" si="35"/>
        <v>42</v>
      </c>
      <c r="BE95" s="4">
        <f t="shared" si="38"/>
        <v>40.152511961722482</v>
      </c>
      <c r="BF95" s="4">
        <f t="shared" si="39"/>
        <v>28.157894736842106</v>
      </c>
      <c r="BG95" s="7">
        <f t="shared" si="40"/>
        <v>5.5360623781676415</v>
      </c>
      <c r="BH95" s="5">
        <v>203</v>
      </c>
      <c r="BI95" s="3">
        <v>71.192610837438409</v>
      </c>
      <c r="BJ95" s="3">
        <v>43.446305418719213</v>
      </c>
      <c r="BK95" s="3">
        <v>58.254679802955714</v>
      </c>
      <c r="BL95" s="3">
        <v>57.631198686371107</v>
      </c>
      <c r="BM95" s="3">
        <v>172.89359605911335</v>
      </c>
      <c r="BN95" s="18">
        <v>3</v>
      </c>
      <c r="BO95" s="18">
        <v>9</v>
      </c>
      <c r="BP95" s="4">
        <v>3.4482758620689653</v>
      </c>
      <c r="BQ95" s="4">
        <v>39.408866995073893</v>
      </c>
      <c r="BR95" s="7">
        <v>13.793103448275861</v>
      </c>
      <c r="BS95" s="18"/>
      <c r="BT95" s="23">
        <v>145</v>
      </c>
    </row>
    <row r="96" spans="1:72" x14ac:dyDescent="0.25">
      <c r="A96" s="18">
        <v>91</v>
      </c>
      <c r="B96" s="18" t="s">
        <v>20</v>
      </c>
      <c r="C96" s="18">
        <v>201</v>
      </c>
      <c r="D96" s="21" t="s">
        <v>9</v>
      </c>
      <c r="E96" s="5"/>
      <c r="F96" s="3">
        <v>54.333333333333336</v>
      </c>
      <c r="G96" s="3">
        <v>56.8</v>
      </c>
      <c r="H96" s="3">
        <v>50.333333333333336</v>
      </c>
      <c r="I96" s="3">
        <f t="shared" si="27"/>
        <v>53.822222222222223</v>
      </c>
      <c r="J96" s="3">
        <f t="shared" si="28"/>
        <v>161.46666666666667</v>
      </c>
      <c r="K96" s="18">
        <f t="shared" si="36"/>
        <v>5</v>
      </c>
      <c r="L96" s="18">
        <f t="shared" si="26"/>
        <v>48</v>
      </c>
      <c r="M96" s="4"/>
      <c r="N96" s="4"/>
      <c r="O96" s="7"/>
      <c r="P96" s="5">
        <v>111</v>
      </c>
      <c r="Q96" s="3">
        <v>59.219219219219205</v>
      </c>
      <c r="R96" s="3">
        <v>64.468468468468473</v>
      </c>
      <c r="S96" s="3">
        <v>70.33898305084746</v>
      </c>
      <c r="T96" s="3">
        <v>63.627520759193352</v>
      </c>
      <c r="U96" s="3">
        <v>194.02667073853513</v>
      </c>
      <c r="V96" s="18">
        <v>2</v>
      </c>
      <c r="W96" s="18">
        <v>24</v>
      </c>
      <c r="X96" s="4">
        <v>6.3063063063063067</v>
      </c>
      <c r="Y96" s="4">
        <v>1.8018018018018018</v>
      </c>
      <c r="Z96" s="7">
        <v>5.0847457627118642</v>
      </c>
      <c r="AA96" s="5">
        <v>122</v>
      </c>
      <c r="AB96" s="3">
        <v>42.820069204152254</v>
      </c>
      <c r="AC96" s="3">
        <v>48.823529411764703</v>
      </c>
      <c r="AD96" s="3">
        <v>56.161616161616188</v>
      </c>
      <c r="AE96" s="3">
        <v>46.798894364638308</v>
      </c>
      <c r="AF96" s="3">
        <v>147.80521477753314</v>
      </c>
      <c r="AG96" s="18">
        <v>7</v>
      </c>
      <c r="AH96" s="18">
        <v>102</v>
      </c>
      <c r="AI96" s="4">
        <v>26.470588235294116</v>
      </c>
      <c r="AJ96" s="4">
        <v>17.647058823529413</v>
      </c>
      <c r="AK96" s="7">
        <v>10</v>
      </c>
      <c r="AL96" s="5">
        <v>123</v>
      </c>
      <c r="AM96" s="3">
        <v>51.585928489042679</v>
      </c>
      <c r="AN96" s="3">
        <v>24.705882352941181</v>
      </c>
      <c r="AO96" s="3">
        <v>40.945790080738185</v>
      </c>
      <c r="AP96" s="3">
        <v>39.079200307574013</v>
      </c>
      <c r="AQ96" s="3">
        <v>117.23760092272204</v>
      </c>
      <c r="AR96" s="18">
        <v>22</v>
      </c>
      <c r="AS96" s="18">
        <v>269</v>
      </c>
      <c r="AT96" s="4">
        <v>14.705882352941176</v>
      </c>
      <c r="AU96" s="4">
        <v>70.588235294117652</v>
      </c>
      <c r="AV96" s="7">
        <v>39.215686274509807</v>
      </c>
      <c r="AW96" s="10">
        <f t="shared" si="29"/>
        <v>118.66666666666667</v>
      </c>
      <c r="AX96" s="9">
        <f t="shared" si="30"/>
        <v>51.20840563747138</v>
      </c>
      <c r="AY96" s="9">
        <f t="shared" si="31"/>
        <v>45.999293411058119</v>
      </c>
      <c r="AZ96" s="9">
        <f t="shared" si="32"/>
        <v>55.815463097733947</v>
      </c>
      <c r="BA96" s="9">
        <f t="shared" si="33"/>
        <v>49.835205143801886</v>
      </c>
      <c r="BB96" s="9">
        <f t="shared" si="34"/>
        <v>153.02316214626345</v>
      </c>
      <c r="BC96" s="10">
        <f t="shared" si="37"/>
        <v>13</v>
      </c>
      <c r="BD96" s="10">
        <f t="shared" si="35"/>
        <v>114</v>
      </c>
      <c r="BE96" s="4">
        <f t="shared" si="38"/>
        <v>20.588235294117645</v>
      </c>
      <c r="BF96" s="4">
        <f t="shared" si="39"/>
        <v>44.117647058823536</v>
      </c>
      <c r="BG96" s="7">
        <f t="shared" si="40"/>
        <v>24.607843137254903</v>
      </c>
      <c r="BH96" s="5">
        <v>119</v>
      </c>
      <c r="BI96" s="3">
        <v>51.622881355932229</v>
      </c>
      <c r="BJ96" s="3">
        <v>32.609322033898309</v>
      </c>
      <c r="BK96" s="3">
        <v>31.75762711864407</v>
      </c>
      <c r="BL96" s="3">
        <v>38.663276836158204</v>
      </c>
      <c r="BM96" s="3">
        <v>115.98983050847458</v>
      </c>
      <c r="BN96" s="18">
        <v>21</v>
      </c>
      <c r="BO96" s="18">
        <v>194</v>
      </c>
      <c r="BP96" s="4">
        <v>21.1864406779661</v>
      </c>
      <c r="BQ96" s="4">
        <v>50.847457627118644</v>
      </c>
      <c r="BR96" s="7">
        <v>62.711864406779661</v>
      </c>
      <c r="BS96" s="18"/>
      <c r="BT96" s="23">
        <v>201</v>
      </c>
    </row>
    <row r="97" spans="1:72" x14ac:dyDescent="0.25">
      <c r="A97" s="18">
        <v>92</v>
      </c>
      <c r="B97" s="18" t="s">
        <v>20</v>
      </c>
      <c r="C97" s="18">
        <v>210</v>
      </c>
      <c r="D97" s="21" t="s">
        <v>9</v>
      </c>
      <c r="E97" s="5"/>
      <c r="F97" s="3">
        <v>53.333333333333336</v>
      </c>
      <c r="G97" s="3">
        <v>52</v>
      </c>
      <c r="H97" s="3">
        <v>43.333333333333336</v>
      </c>
      <c r="I97" s="3">
        <f t="shared" si="27"/>
        <v>49.555555555555564</v>
      </c>
      <c r="J97" s="3">
        <f t="shared" si="28"/>
        <v>148.66666666666669</v>
      </c>
      <c r="K97" s="18">
        <f t="shared" si="36"/>
        <v>8</v>
      </c>
      <c r="L97" s="18">
        <f t="shared" si="26"/>
        <v>86</v>
      </c>
      <c r="M97" s="4"/>
      <c r="N97" s="4"/>
      <c r="O97" s="7"/>
      <c r="P97" s="5">
        <v>96</v>
      </c>
      <c r="Q97" s="3">
        <v>58.993055555555571</v>
      </c>
      <c r="R97" s="3">
        <v>49.136842105263156</v>
      </c>
      <c r="S97" s="3">
        <v>58.280701754385959</v>
      </c>
      <c r="T97" s="3">
        <v>55.48251748251748</v>
      </c>
      <c r="U97" s="3">
        <v>166.41059941520467</v>
      </c>
      <c r="V97" s="18">
        <v>9</v>
      </c>
      <c r="W97" s="18">
        <v>89</v>
      </c>
      <c r="X97" s="4">
        <v>6.25</v>
      </c>
      <c r="Y97" s="4">
        <v>28.421052631578949</v>
      </c>
      <c r="Z97" s="7">
        <v>13.684210526315789</v>
      </c>
      <c r="AA97" s="5">
        <v>102</v>
      </c>
      <c r="AB97" s="3">
        <v>50.309597523219821</v>
      </c>
      <c r="AC97" s="3">
        <v>39.789473684210527</v>
      </c>
      <c r="AD97" s="3">
        <v>52.282316839278863</v>
      </c>
      <c r="AE97" s="3">
        <v>46.527059558593848</v>
      </c>
      <c r="AF97" s="3">
        <v>142.38138804670922</v>
      </c>
      <c r="AG97" s="18">
        <v>9</v>
      </c>
      <c r="AH97" s="18">
        <v>121</v>
      </c>
      <c r="AI97" s="4">
        <v>25.263157894736842</v>
      </c>
      <c r="AJ97" s="4">
        <v>43.157894736842103</v>
      </c>
      <c r="AK97" s="7">
        <v>27.848101265822784</v>
      </c>
      <c r="AL97" s="5">
        <v>102</v>
      </c>
      <c r="AM97" s="3">
        <v>61.037318153067687</v>
      </c>
      <c r="AN97" s="3">
        <v>31.21118012422362</v>
      </c>
      <c r="AO97" s="3">
        <v>65.185421994884891</v>
      </c>
      <c r="AP97" s="3">
        <v>52.511219541580068</v>
      </c>
      <c r="AQ97" s="3">
        <v>157.43392027217618</v>
      </c>
      <c r="AR97" s="18">
        <v>12</v>
      </c>
      <c r="AS97" s="18">
        <v>112</v>
      </c>
      <c r="AT97" s="4">
        <v>9.67741935483871</v>
      </c>
      <c r="AU97" s="4">
        <v>56.521739130434781</v>
      </c>
      <c r="AV97" s="7">
        <v>18.888888888888889</v>
      </c>
      <c r="AW97" s="10">
        <f t="shared" si="29"/>
        <v>100</v>
      </c>
      <c r="AX97" s="9">
        <f t="shared" si="30"/>
        <v>56.779990410614367</v>
      </c>
      <c r="AY97" s="9">
        <f t="shared" si="31"/>
        <v>40.045831971232431</v>
      </c>
      <c r="AZ97" s="9">
        <f t="shared" si="32"/>
        <v>58.582813529516578</v>
      </c>
      <c r="BA97" s="9">
        <f t="shared" si="33"/>
        <v>51.506932194230465</v>
      </c>
      <c r="BB97" s="9">
        <f t="shared" si="34"/>
        <v>155.40863591136335</v>
      </c>
      <c r="BC97" s="10">
        <f t="shared" si="37"/>
        <v>12</v>
      </c>
      <c r="BD97" s="10">
        <f t="shared" si="35"/>
        <v>102</v>
      </c>
      <c r="BE97" s="4">
        <f t="shared" si="38"/>
        <v>17.470288624787777</v>
      </c>
      <c r="BF97" s="4">
        <f t="shared" si="39"/>
        <v>49.839816933638446</v>
      </c>
      <c r="BG97" s="7">
        <f t="shared" si="40"/>
        <v>23.368495077355838</v>
      </c>
      <c r="BH97" s="5">
        <v>102</v>
      </c>
      <c r="BI97" s="3">
        <v>62.910891089108894</v>
      </c>
      <c r="BJ97" s="3">
        <v>43.661386138613864</v>
      </c>
      <c r="BK97" s="3">
        <v>44.34950495049506</v>
      </c>
      <c r="BL97" s="3">
        <v>50.307260726072606</v>
      </c>
      <c r="BM97" s="3">
        <v>150.92178217821785</v>
      </c>
      <c r="BN97" s="18">
        <v>7</v>
      </c>
      <c r="BO97" s="18">
        <v>31</v>
      </c>
      <c r="BP97" s="4">
        <v>8.9108910891089117</v>
      </c>
      <c r="BQ97" s="4">
        <v>32.67326732673267</v>
      </c>
      <c r="BR97" s="7">
        <v>40.594059405940591</v>
      </c>
      <c r="BS97" s="18"/>
      <c r="BT97" s="23">
        <v>210</v>
      </c>
    </row>
    <row r="98" spans="1:72" x14ac:dyDescent="0.25">
      <c r="A98" s="18">
        <v>93</v>
      </c>
      <c r="B98" s="18" t="s">
        <v>20</v>
      </c>
      <c r="C98" s="18">
        <v>214</v>
      </c>
      <c r="D98" s="21" t="s">
        <v>9</v>
      </c>
      <c r="E98" s="5"/>
      <c r="F98" s="3">
        <v>50</v>
      </c>
      <c r="G98" s="3">
        <v>49.2</v>
      </c>
      <c r="H98" s="3">
        <v>51</v>
      </c>
      <c r="I98" s="3">
        <f t="shared" si="27"/>
        <v>50.066666666666663</v>
      </c>
      <c r="J98" s="3">
        <f t="shared" si="28"/>
        <v>150.19999999999999</v>
      </c>
      <c r="K98" s="18">
        <f t="shared" si="36"/>
        <v>7</v>
      </c>
      <c r="L98" s="18">
        <f t="shared" si="26"/>
        <v>80</v>
      </c>
      <c r="M98" s="4"/>
      <c r="N98" s="4"/>
      <c r="O98" s="7"/>
      <c r="P98" s="5">
        <v>159</v>
      </c>
      <c r="Q98" s="3">
        <v>52.327044025157235</v>
      </c>
      <c r="R98" s="3">
        <v>42.264150943396224</v>
      </c>
      <c r="S98" s="3">
        <v>56.561844863731615</v>
      </c>
      <c r="T98" s="3">
        <v>50.384346610761725</v>
      </c>
      <c r="U98" s="3">
        <v>151.15303983228506</v>
      </c>
      <c r="V98" s="18">
        <v>17</v>
      </c>
      <c r="W98" s="18">
        <v>140</v>
      </c>
      <c r="X98" s="4">
        <v>17.610062893081761</v>
      </c>
      <c r="Y98" s="4">
        <v>29.559748427672957</v>
      </c>
      <c r="Z98" s="7">
        <v>22.641509433962263</v>
      </c>
      <c r="AA98" s="5">
        <v>169</v>
      </c>
      <c r="AB98" s="3">
        <v>49.199443090845811</v>
      </c>
      <c r="AC98" s="3">
        <v>33.562130177514796</v>
      </c>
      <c r="AD98" s="3">
        <v>53.442823002674928</v>
      </c>
      <c r="AE98" s="3">
        <v>45.401465423678495</v>
      </c>
      <c r="AF98" s="3">
        <v>136.20439627103553</v>
      </c>
      <c r="AG98" s="18">
        <v>14</v>
      </c>
      <c r="AH98" s="18">
        <v>149</v>
      </c>
      <c r="AI98" s="4">
        <v>23.668639053254438</v>
      </c>
      <c r="AJ98" s="4">
        <v>43.786982248520708</v>
      </c>
      <c r="AK98" s="7">
        <v>23.214285714285715</v>
      </c>
      <c r="AL98" s="5">
        <v>169</v>
      </c>
      <c r="AM98" s="3">
        <v>53.428471980508192</v>
      </c>
      <c r="AN98" s="3">
        <v>40.828402366863898</v>
      </c>
      <c r="AO98" s="3">
        <v>53.567699269056732</v>
      </c>
      <c r="AP98" s="3">
        <v>49.274857872142952</v>
      </c>
      <c r="AQ98" s="3">
        <v>147.82457361642884</v>
      </c>
      <c r="AR98" s="18">
        <v>17</v>
      </c>
      <c r="AS98" s="18">
        <v>150</v>
      </c>
      <c r="AT98" s="4">
        <v>20.710059171597631</v>
      </c>
      <c r="AU98" s="4">
        <v>15.976331360946746</v>
      </c>
      <c r="AV98" s="7">
        <v>23.076923076923077</v>
      </c>
      <c r="AW98" s="10">
        <f t="shared" si="29"/>
        <v>165.66666666666666</v>
      </c>
      <c r="AX98" s="9">
        <f t="shared" si="30"/>
        <v>51.651653032170408</v>
      </c>
      <c r="AY98" s="9">
        <f t="shared" si="31"/>
        <v>38.884894495924975</v>
      </c>
      <c r="AZ98" s="9">
        <f t="shared" si="32"/>
        <v>54.52412237848776</v>
      </c>
      <c r="BA98" s="9">
        <f t="shared" si="33"/>
        <v>48.353556635527724</v>
      </c>
      <c r="BB98" s="9">
        <f t="shared" si="34"/>
        <v>145.06066990658314</v>
      </c>
      <c r="BC98" s="10">
        <f t="shared" si="37"/>
        <v>17</v>
      </c>
      <c r="BD98" s="10">
        <f t="shared" si="35"/>
        <v>145</v>
      </c>
      <c r="BE98" s="4">
        <f t="shared" si="38"/>
        <v>22.189349112426036</v>
      </c>
      <c r="BF98" s="4">
        <f t="shared" si="39"/>
        <v>29.881656804733726</v>
      </c>
      <c r="BG98" s="7">
        <f t="shared" si="40"/>
        <v>23.145604395604394</v>
      </c>
      <c r="BH98" s="5">
        <v>186</v>
      </c>
      <c r="BI98" s="3">
        <v>62.496774193548347</v>
      </c>
      <c r="BJ98" s="3">
        <v>40.176881720430117</v>
      </c>
      <c r="BK98" s="3">
        <v>49.034408602150535</v>
      </c>
      <c r="BL98" s="3">
        <v>50.569354838709657</v>
      </c>
      <c r="BM98" s="3">
        <v>151.7080645161291</v>
      </c>
      <c r="BN98" s="18">
        <v>6</v>
      </c>
      <c r="BO98" s="18">
        <v>29</v>
      </c>
      <c r="BP98" s="4">
        <v>10.75268817204301</v>
      </c>
      <c r="BQ98" s="4">
        <v>38.172043010752688</v>
      </c>
      <c r="BR98" s="7">
        <v>31.72043010752688</v>
      </c>
      <c r="BS98" s="18"/>
      <c r="BT98" s="23">
        <v>214</v>
      </c>
    </row>
    <row r="99" spans="1:72" x14ac:dyDescent="0.25">
      <c r="A99" s="18">
        <v>94</v>
      </c>
      <c r="B99" s="18" t="s">
        <v>20</v>
      </c>
      <c r="C99" s="18">
        <v>220</v>
      </c>
      <c r="D99" s="21" t="s">
        <v>11</v>
      </c>
      <c r="E99" s="5"/>
      <c r="F99" s="3">
        <v>56.666666666666664</v>
      </c>
      <c r="G99" s="3">
        <v>50.4</v>
      </c>
      <c r="H99" s="3">
        <v>43.333333333333336</v>
      </c>
      <c r="I99" s="3">
        <f t="shared" si="27"/>
        <v>50.133333333333333</v>
      </c>
      <c r="J99" s="3">
        <f t="shared" si="28"/>
        <v>150.4</v>
      </c>
      <c r="K99" s="18">
        <f t="shared" si="36"/>
        <v>6</v>
      </c>
      <c r="L99" s="18">
        <f t="shared" si="26"/>
        <v>79</v>
      </c>
      <c r="M99" s="4"/>
      <c r="N99" s="4"/>
      <c r="O99" s="7"/>
      <c r="P99" s="5">
        <v>160</v>
      </c>
      <c r="Q99" s="3">
        <v>55.979166666666671</v>
      </c>
      <c r="R99" s="3">
        <v>63.75</v>
      </c>
      <c r="S99" s="3">
        <v>68.291666666666643</v>
      </c>
      <c r="T99" s="3">
        <v>62.673611111111136</v>
      </c>
      <c r="U99" s="3">
        <v>188.02083333333331</v>
      </c>
      <c r="V99" s="18">
        <v>4</v>
      </c>
      <c r="W99" s="18">
        <v>39</v>
      </c>
      <c r="X99" s="4">
        <v>13.75</v>
      </c>
      <c r="Y99" s="4">
        <v>8.75</v>
      </c>
      <c r="Z99" s="7">
        <v>8.125</v>
      </c>
      <c r="AA99" s="5">
        <v>166</v>
      </c>
      <c r="AB99" s="3">
        <v>43.586109142452173</v>
      </c>
      <c r="AC99" s="3">
        <v>51.686746987951807</v>
      </c>
      <c r="AD99" s="3">
        <v>57.484483388097885</v>
      </c>
      <c r="AE99" s="3">
        <v>50.919113172833946</v>
      </c>
      <c r="AF99" s="3">
        <v>152.75733951850185</v>
      </c>
      <c r="AG99" s="18">
        <v>6</v>
      </c>
      <c r="AH99" s="18">
        <v>85</v>
      </c>
      <c r="AI99" s="4">
        <v>25.903614457831324</v>
      </c>
      <c r="AJ99" s="4">
        <v>12.650602409638553</v>
      </c>
      <c r="AK99" s="7">
        <v>12.650602409638553</v>
      </c>
      <c r="AL99" s="5">
        <v>160</v>
      </c>
      <c r="AM99" s="3">
        <v>66.672794117647044</v>
      </c>
      <c r="AN99" s="3">
        <v>46.303571428571423</v>
      </c>
      <c r="AO99" s="3">
        <v>67.42647058823529</v>
      </c>
      <c r="AP99" s="3">
        <v>60.134278711484626</v>
      </c>
      <c r="AQ99" s="3">
        <v>180.40283613445376</v>
      </c>
      <c r="AR99" s="18">
        <v>5</v>
      </c>
      <c r="AS99" s="18">
        <v>42</v>
      </c>
      <c r="AT99" s="4">
        <v>0</v>
      </c>
      <c r="AU99" s="4">
        <v>11.875</v>
      </c>
      <c r="AV99" s="7">
        <v>3.125</v>
      </c>
      <c r="AW99" s="10">
        <f t="shared" si="29"/>
        <v>162</v>
      </c>
      <c r="AX99" s="9">
        <f t="shared" si="30"/>
        <v>55.412689975588627</v>
      </c>
      <c r="AY99" s="9">
        <f t="shared" si="31"/>
        <v>53.91343947217441</v>
      </c>
      <c r="AZ99" s="9">
        <f t="shared" si="32"/>
        <v>64.400873547666606</v>
      </c>
      <c r="BA99" s="9">
        <f t="shared" si="33"/>
        <v>57.909000998476564</v>
      </c>
      <c r="BB99" s="9">
        <f t="shared" si="34"/>
        <v>173.72700299542964</v>
      </c>
      <c r="BC99" s="10">
        <f t="shared" si="37"/>
        <v>3</v>
      </c>
      <c r="BD99" s="10">
        <f t="shared" si="35"/>
        <v>44</v>
      </c>
      <c r="BE99" s="4">
        <f t="shared" si="38"/>
        <v>12.951807228915662</v>
      </c>
      <c r="BF99" s="4">
        <f t="shared" si="39"/>
        <v>12.262801204819276</v>
      </c>
      <c r="BG99" s="7">
        <f t="shared" si="40"/>
        <v>7.8878012048192767</v>
      </c>
      <c r="BH99" s="5">
        <v>160</v>
      </c>
      <c r="BI99" s="3">
        <v>66.133124999999978</v>
      </c>
      <c r="BJ99" s="3">
        <v>52.311875000000001</v>
      </c>
      <c r="BK99" s="3">
        <v>54.871250000000032</v>
      </c>
      <c r="BL99" s="3">
        <v>57.772083333333356</v>
      </c>
      <c r="BM99" s="3">
        <v>173.31625000000003</v>
      </c>
      <c r="BN99" s="18">
        <v>2</v>
      </c>
      <c r="BO99" s="18">
        <v>8</v>
      </c>
      <c r="BP99" s="4">
        <v>4.375</v>
      </c>
      <c r="BQ99" s="4">
        <v>20.625</v>
      </c>
      <c r="BR99" s="7">
        <v>19.375</v>
      </c>
      <c r="BS99" s="18"/>
      <c r="BT99" s="23">
        <v>220</v>
      </c>
    </row>
    <row r="100" spans="1:72" x14ac:dyDescent="0.25">
      <c r="A100" s="1">
        <v>95</v>
      </c>
      <c r="B100" s="18" t="s">
        <v>20</v>
      </c>
      <c r="C100" s="18">
        <v>227</v>
      </c>
      <c r="D100" s="21" t="s">
        <v>9</v>
      </c>
      <c r="E100" s="5"/>
      <c r="F100" s="3">
        <v>43.333333333333336</v>
      </c>
      <c r="G100" s="3">
        <v>40.799999999999997</v>
      </c>
      <c r="H100" s="3">
        <v>30</v>
      </c>
      <c r="I100" s="3">
        <f t="shared" si="27"/>
        <v>38.044444444444444</v>
      </c>
      <c r="J100" s="3">
        <f t="shared" si="28"/>
        <v>114.13333333333333</v>
      </c>
      <c r="K100" s="18">
        <f t="shared" si="36"/>
        <v>22</v>
      </c>
      <c r="L100" s="18">
        <f t="shared" si="26"/>
        <v>220</v>
      </c>
      <c r="M100" s="4"/>
      <c r="N100" s="4"/>
      <c r="O100" s="7"/>
      <c r="P100" s="5">
        <v>57</v>
      </c>
      <c r="Q100" s="3">
        <v>51.461988304093573</v>
      </c>
      <c r="R100" s="3">
        <v>43.508771929824562</v>
      </c>
      <c r="S100" s="3">
        <v>50.877192982456137</v>
      </c>
      <c r="T100" s="3">
        <v>48.615984405458107</v>
      </c>
      <c r="U100" s="3">
        <v>145.84795321637426</v>
      </c>
      <c r="V100" s="18">
        <v>20</v>
      </c>
      <c r="W100" s="18">
        <v>164</v>
      </c>
      <c r="X100" s="4">
        <v>7.0175438596491224</v>
      </c>
      <c r="Y100" s="4">
        <v>28.07017543859649</v>
      </c>
      <c r="Z100" s="7">
        <v>22.807017543859651</v>
      </c>
      <c r="AA100" s="5">
        <v>85</v>
      </c>
      <c r="AB100" s="3">
        <v>37.639109697933215</v>
      </c>
      <c r="AC100" s="3">
        <v>48.054054054054056</v>
      </c>
      <c r="AD100" s="3">
        <v>45.045045045045036</v>
      </c>
      <c r="AE100" s="3">
        <v>43.579402932344124</v>
      </c>
      <c r="AF100" s="3">
        <v>130.73820879703231</v>
      </c>
      <c r="AG100" s="18">
        <v>18</v>
      </c>
      <c r="AH100" s="18">
        <v>169</v>
      </c>
      <c r="AI100" s="4">
        <v>28.378378378378379</v>
      </c>
      <c r="AJ100" s="4">
        <v>16.216216216216218</v>
      </c>
      <c r="AK100" s="7">
        <v>27.027027027027028</v>
      </c>
      <c r="AL100" s="5">
        <v>82</v>
      </c>
      <c r="AM100" s="3">
        <v>55.643879173290927</v>
      </c>
      <c r="AN100" s="3">
        <v>36.602316602316591</v>
      </c>
      <c r="AO100" s="3">
        <v>44.356120826709073</v>
      </c>
      <c r="AP100" s="3">
        <v>45.534105534105557</v>
      </c>
      <c r="AQ100" s="3">
        <v>136.60231660231659</v>
      </c>
      <c r="AR100" s="18">
        <v>20</v>
      </c>
      <c r="AS100" s="18">
        <v>205</v>
      </c>
      <c r="AT100" s="4">
        <v>8.1081081081081088</v>
      </c>
      <c r="AU100" s="4">
        <v>41.891891891891895</v>
      </c>
      <c r="AV100" s="7">
        <v>28.378378378378379</v>
      </c>
      <c r="AW100" s="10">
        <f t="shared" si="29"/>
        <v>74.666666666666671</v>
      </c>
      <c r="AX100" s="9">
        <f t="shared" si="30"/>
        <v>48.248325725105907</v>
      </c>
      <c r="AY100" s="9">
        <f t="shared" si="31"/>
        <v>42.721714195398398</v>
      </c>
      <c r="AZ100" s="9">
        <f t="shared" si="32"/>
        <v>46.759452951403411</v>
      </c>
      <c r="BA100" s="9">
        <f t="shared" si="33"/>
        <v>45.909830957302596</v>
      </c>
      <c r="BB100" s="9">
        <f t="shared" si="34"/>
        <v>137.72949287190772</v>
      </c>
      <c r="BC100" s="10">
        <f t="shared" si="37"/>
        <v>20</v>
      </c>
      <c r="BD100" s="10">
        <f t="shared" si="35"/>
        <v>179</v>
      </c>
      <c r="BE100" s="4">
        <f t="shared" si="38"/>
        <v>18.243243243243242</v>
      </c>
      <c r="BF100" s="4">
        <f t="shared" si="39"/>
        <v>29.054054054054056</v>
      </c>
      <c r="BG100" s="7">
        <f t="shared" si="40"/>
        <v>27.702702702702702</v>
      </c>
      <c r="BH100" s="5">
        <v>82</v>
      </c>
      <c r="BI100" s="3">
        <v>52.367901234567896</v>
      </c>
      <c r="BJ100" s="3">
        <v>34.295061728395062</v>
      </c>
      <c r="BK100" s="3">
        <v>32.492592592592587</v>
      </c>
      <c r="BL100" s="3">
        <v>39.718518518518515</v>
      </c>
      <c r="BM100" s="3">
        <v>119.15555555555557</v>
      </c>
      <c r="BN100" s="18">
        <v>20</v>
      </c>
      <c r="BO100" s="18">
        <v>172</v>
      </c>
      <c r="BP100" s="4">
        <v>11.111111111111111</v>
      </c>
      <c r="BQ100" s="4">
        <v>53.086419753086417</v>
      </c>
      <c r="BR100" s="7">
        <v>53.086419753086417</v>
      </c>
      <c r="BS100" s="18"/>
      <c r="BT100" s="23">
        <v>227</v>
      </c>
    </row>
    <row r="101" spans="1:72" x14ac:dyDescent="0.25">
      <c r="A101" s="18">
        <v>96</v>
      </c>
      <c r="B101" s="18" t="s">
        <v>20</v>
      </c>
      <c r="C101" s="18">
        <v>229</v>
      </c>
      <c r="D101" s="21" t="s">
        <v>9</v>
      </c>
      <c r="E101" s="5"/>
      <c r="F101" s="3">
        <v>50.333333333333336</v>
      </c>
      <c r="G101" s="3">
        <v>44.8</v>
      </c>
      <c r="H101" s="3">
        <v>44.666666666666664</v>
      </c>
      <c r="I101" s="3">
        <f t="shared" si="27"/>
        <v>46.599999999999994</v>
      </c>
      <c r="J101" s="3">
        <f t="shared" si="28"/>
        <v>139.79999999999998</v>
      </c>
      <c r="K101" s="18">
        <f t="shared" si="36"/>
        <v>11</v>
      </c>
      <c r="L101" s="18">
        <f t="shared" si="26"/>
        <v>124</v>
      </c>
      <c r="M101" s="4"/>
      <c r="N101" s="4"/>
      <c r="O101" s="7"/>
      <c r="P101" s="5">
        <v>108</v>
      </c>
      <c r="Q101" s="3">
        <v>58.672839506172856</v>
      </c>
      <c r="R101" s="3">
        <v>55.25925925925926</v>
      </c>
      <c r="S101" s="3">
        <v>61.604938271604915</v>
      </c>
      <c r="T101" s="3">
        <v>58.512345679012334</v>
      </c>
      <c r="U101" s="3">
        <v>175.53703703703704</v>
      </c>
      <c r="V101" s="18">
        <v>7</v>
      </c>
      <c r="W101" s="18">
        <v>68</v>
      </c>
      <c r="X101" s="4">
        <v>6.4814814814814818</v>
      </c>
      <c r="Y101" s="4">
        <v>6.6037735849056602</v>
      </c>
      <c r="Z101" s="7">
        <v>12.037037037037036</v>
      </c>
      <c r="AA101" s="5">
        <v>114</v>
      </c>
      <c r="AB101" s="3">
        <v>46.828143021914642</v>
      </c>
      <c r="AC101" s="3">
        <v>41.254901960784316</v>
      </c>
      <c r="AD101" s="3">
        <v>51.336898395721938</v>
      </c>
      <c r="AE101" s="3">
        <v>46.473314459473627</v>
      </c>
      <c r="AF101" s="3">
        <v>139.4199433784209</v>
      </c>
      <c r="AG101" s="18">
        <v>10</v>
      </c>
      <c r="AH101" s="18">
        <v>135</v>
      </c>
      <c r="AI101" s="4">
        <v>21.568627450980394</v>
      </c>
      <c r="AJ101" s="4">
        <v>36.274509803921568</v>
      </c>
      <c r="AK101" s="7">
        <v>24.509803921568629</v>
      </c>
      <c r="AL101" s="5">
        <v>112</v>
      </c>
      <c r="AM101" s="3">
        <v>63.135351227869762</v>
      </c>
      <c r="AN101" s="3">
        <v>35.977808599167822</v>
      </c>
      <c r="AO101" s="3">
        <v>63.506567675613915</v>
      </c>
      <c r="AP101" s="3">
        <v>54.20657583421719</v>
      </c>
      <c r="AQ101" s="3">
        <v>162.6197275026515</v>
      </c>
      <c r="AR101" s="18">
        <v>10</v>
      </c>
      <c r="AS101" s="18">
        <v>91</v>
      </c>
      <c r="AT101" s="4">
        <v>5.825242718446602</v>
      </c>
      <c r="AU101" s="4">
        <v>48.543689320388353</v>
      </c>
      <c r="AV101" s="7">
        <v>9.7087378640776691</v>
      </c>
      <c r="AW101" s="10">
        <f t="shared" si="29"/>
        <v>111.33333333333333</v>
      </c>
      <c r="AX101" s="9">
        <f t="shared" si="30"/>
        <v>56.212111251985753</v>
      </c>
      <c r="AY101" s="9">
        <f t="shared" si="31"/>
        <v>44.163989939737128</v>
      </c>
      <c r="AZ101" s="9">
        <f t="shared" si="32"/>
        <v>58.816134780980256</v>
      </c>
      <c r="BA101" s="9">
        <f t="shared" si="33"/>
        <v>53.064078657567713</v>
      </c>
      <c r="BB101" s="9">
        <f t="shared" si="34"/>
        <v>159.19223597270312</v>
      </c>
      <c r="BC101" s="10">
        <f t="shared" si="37"/>
        <v>8</v>
      </c>
      <c r="BD101" s="10">
        <f t="shared" si="35"/>
        <v>89</v>
      </c>
      <c r="BE101" s="4">
        <f t="shared" si="38"/>
        <v>13.696935084713498</v>
      </c>
      <c r="BF101" s="4">
        <f t="shared" si="39"/>
        <v>42.409099562154964</v>
      </c>
      <c r="BG101" s="7">
        <f t="shared" si="40"/>
        <v>17.109270892823147</v>
      </c>
      <c r="BH101" s="5">
        <v>112</v>
      </c>
      <c r="BI101" s="3">
        <v>61.538392857142831</v>
      </c>
      <c r="BJ101" s="3">
        <v>38.579464285714288</v>
      </c>
      <c r="BK101" s="3">
        <v>46.34821428571427</v>
      </c>
      <c r="BL101" s="3">
        <v>48.822023809523827</v>
      </c>
      <c r="BM101" s="3">
        <v>146.46607142857138</v>
      </c>
      <c r="BN101" s="18">
        <v>10</v>
      </c>
      <c r="BO101" s="18">
        <v>44</v>
      </c>
      <c r="BP101" s="4">
        <v>10.714285714285714</v>
      </c>
      <c r="BQ101" s="4">
        <v>41.964285714285715</v>
      </c>
      <c r="BR101" s="7">
        <v>29.464285714285715</v>
      </c>
      <c r="BS101" s="18"/>
      <c r="BT101" s="23">
        <v>229</v>
      </c>
    </row>
    <row r="102" spans="1:72" x14ac:dyDescent="0.25">
      <c r="A102" s="18">
        <v>97</v>
      </c>
      <c r="B102" s="18" t="s">
        <v>20</v>
      </c>
      <c r="C102" s="18">
        <v>238</v>
      </c>
      <c r="D102" s="21" t="s">
        <v>9</v>
      </c>
      <c r="E102" s="5"/>
      <c r="F102" s="3">
        <v>49.666666666666664</v>
      </c>
      <c r="G102" s="3">
        <v>36.799999999999997</v>
      </c>
      <c r="H102" s="3">
        <v>43</v>
      </c>
      <c r="I102" s="3">
        <f t="shared" si="27"/>
        <v>43.155555555555559</v>
      </c>
      <c r="J102" s="3">
        <f t="shared" si="28"/>
        <v>129.46666666666667</v>
      </c>
      <c r="K102" s="18">
        <f t="shared" si="36"/>
        <v>17</v>
      </c>
      <c r="L102" s="18">
        <f t="shared" si="26"/>
        <v>158</v>
      </c>
      <c r="M102" s="4"/>
      <c r="N102" s="4"/>
      <c r="O102" s="7"/>
      <c r="P102" s="5">
        <v>118</v>
      </c>
      <c r="Q102" s="3">
        <v>51.299435028248574</v>
      </c>
      <c r="R102" s="3">
        <v>49.186440677966104</v>
      </c>
      <c r="S102" s="3">
        <v>55.169491525423716</v>
      </c>
      <c r="T102" s="3">
        <v>51.885122410546124</v>
      </c>
      <c r="U102" s="3">
        <v>155.65536723163839</v>
      </c>
      <c r="V102" s="18">
        <v>14</v>
      </c>
      <c r="W102" s="18">
        <v>117</v>
      </c>
      <c r="X102" s="4">
        <v>19.491525423728813</v>
      </c>
      <c r="Y102" s="4">
        <v>20.338983050847457</v>
      </c>
      <c r="Z102" s="7">
        <v>17.796610169491526</v>
      </c>
      <c r="AA102" s="5">
        <v>122</v>
      </c>
      <c r="AB102" s="3">
        <v>36.738906088751285</v>
      </c>
      <c r="AC102" s="3">
        <v>47.087719298245617</v>
      </c>
      <c r="AD102" s="3">
        <v>51.621477937267422</v>
      </c>
      <c r="AE102" s="3">
        <v>45.149367774754786</v>
      </c>
      <c r="AF102" s="3">
        <v>135.44810332426434</v>
      </c>
      <c r="AG102" s="18">
        <v>15</v>
      </c>
      <c r="AH102" s="18">
        <v>154</v>
      </c>
      <c r="AI102" s="4">
        <v>39.473684210526315</v>
      </c>
      <c r="AJ102" s="4">
        <v>28.07017543859649</v>
      </c>
      <c r="AK102" s="7">
        <v>24.561403508771932</v>
      </c>
      <c r="AL102" s="5">
        <v>122</v>
      </c>
      <c r="AM102" s="3">
        <v>63.717038539553748</v>
      </c>
      <c r="AN102" s="3">
        <v>40.073891625615758</v>
      </c>
      <c r="AO102" s="3">
        <v>51.926977687626746</v>
      </c>
      <c r="AP102" s="3">
        <v>51.905969284265424</v>
      </c>
      <c r="AQ102" s="3">
        <v>155.71790785279626</v>
      </c>
      <c r="AR102" s="18">
        <v>14</v>
      </c>
      <c r="AS102" s="18">
        <v>119</v>
      </c>
      <c r="AT102" s="4">
        <v>5.2173913043478262</v>
      </c>
      <c r="AU102" s="4">
        <v>26.956521739130434</v>
      </c>
      <c r="AV102" s="7">
        <v>25.862068965517242</v>
      </c>
      <c r="AW102" s="10">
        <f t="shared" si="29"/>
        <v>120.66666666666667</v>
      </c>
      <c r="AX102" s="9">
        <f t="shared" si="30"/>
        <v>50.585126552184533</v>
      </c>
      <c r="AY102" s="9">
        <f t="shared" si="31"/>
        <v>45.449350533942493</v>
      </c>
      <c r="AZ102" s="9">
        <f t="shared" si="32"/>
        <v>52.905982383439294</v>
      </c>
      <c r="BA102" s="9">
        <f t="shared" si="33"/>
        <v>49.646819823188785</v>
      </c>
      <c r="BB102" s="9">
        <f t="shared" si="34"/>
        <v>148.94045946956632</v>
      </c>
      <c r="BC102" s="10">
        <f t="shared" si="37"/>
        <v>14</v>
      </c>
      <c r="BD102" s="10">
        <f t="shared" si="35"/>
        <v>129</v>
      </c>
      <c r="BE102" s="4">
        <f t="shared" si="38"/>
        <v>22.345537757437071</v>
      </c>
      <c r="BF102" s="4">
        <f t="shared" si="39"/>
        <v>27.513348588863462</v>
      </c>
      <c r="BG102" s="7">
        <f t="shared" si="40"/>
        <v>25.211736237144585</v>
      </c>
      <c r="BH102" s="5">
        <v>121</v>
      </c>
      <c r="BI102" s="3">
        <v>59.788429752066129</v>
      </c>
      <c r="BJ102" s="3">
        <v>42.495867768595048</v>
      </c>
      <c r="BK102" s="3">
        <v>44.480165289256192</v>
      </c>
      <c r="BL102" s="3">
        <v>48.921487603305799</v>
      </c>
      <c r="BM102" s="3">
        <v>146.76446280991732</v>
      </c>
      <c r="BN102" s="18">
        <v>9</v>
      </c>
      <c r="BO102" s="18">
        <v>43</v>
      </c>
      <c r="BP102" s="4">
        <v>8.2644628099173545</v>
      </c>
      <c r="BQ102" s="4">
        <v>38.84297520661157</v>
      </c>
      <c r="BR102" s="7">
        <v>39.669421487603309</v>
      </c>
      <c r="BS102" s="18"/>
      <c r="BT102" s="23">
        <v>238</v>
      </c>
    </row>
    <row r="103" spans="1:72" x14ac:dyDescent="0.25">
      <c r="A103" s="18">
        <v>98</v>
      </c>
      <c r="B103" s="18" t="s">
        <v>20</v>
      </c>
      <c r="C103" s="18">
        <v>242</v>
      </c>
      <c r="D103" s="21" t="s">
        <v>9</v>
      </c>
      <c r="E103" s="5"/>
      <c r="F103" s="3">
        <v>54.666666666666657</v>
      </c>
      <c r="G103" s="3">
        <v>52.8</v>
      </c>
      <c r="H103" s="3">
        <v>39.333333333333336</v>
      </c>
      <c r="I103" s="3">
        <f t="shared" si="27"/>
        <v>48.93333333333333</v>
      </c>
      <c r="J103" s="3">
        <f t="shared" si="28"/>
        <v>146.79999999999998</v>
      </c>
      <c r="K103" s="18">
        <f t="shared" si="36"/>
        <v>9</v>
      </c>
      <c r="L103" s="18">
        <f t="shared" si="26"/>
        <v>92</v>
      </c>
      <c r="M103" s="4"/>
      <c r="N103" s="4"/>
      <c r="O103" s="7"/>
      <c r="P103" s="5">
        <v>64</v>
      </c>
      <c r="Q103" s="3">
        <v>66.302083333333329</v>
      </c>
      <c r="R103" s="3">
        <v>58.9375</v>
      </c>
      <c r="S103" s="3">
        <v>61.666666666666671</v>
      </c>
      <c r="T103" s="3">
        <v>62.302083333333343</v>
      </c>
      <c r="U103" s="3">
        <v>186.90625</v>
      </c>
      <c r="V103" s="18">
        <v>6</v>
      </c>
      <c r="W103" s="18">
        <v>42</v>
      </c>
      <c r="X103" s="4">
        <v>0</v>
      </c>
      <c r="Y103" s="4">
        <v>4.6875</v>
      </c>
      <c r="Z103" s="7">
        <v>7.8125</v>
      </c>
      <c r="AA103" s="5">
        <v>67</v>
      </c>
      <c r="AB103" s="3">
        <v>16</v>
      </c>
      <c r="AC103" s="3">
        <v>38.610396294390121</v>
      </c>
      <c r="AD103" s="3">
        <v>47.987336047037545</v>
      </c>
      <c r="AE103" s="3">
        <v>40.651684851298249</v>
      </c>
      <c r="AF103" s="3">
        <v>102.59773234142767</v>
      </c>
      <c r="AG103" s="18">
        <v>23</v>
      </c>
      <c r="AH103" s="18">
        <v>273</v>
      </c>
      <c r="AI103" s="4">
        <v>40.298507462686565</v>
      </c>
      <c r="AJ103" s="4">
        <v>38.805970149253731</v>
      </c>
      <c r="AK103" s="7">
        <v>20.895522388059703</v>
      </c>
      <c r="AL103" s="5">
        <v>64</v>
      </c>
      <c r="AM103" s="3">
        <v>59.943977591036401</v>
      </c>
      <c r="AN103" s="3">
        <v>33.287981859410436</v>
      </c>
      <c r="AO103" s="3">
        <v>57.282913165266102</v>
      </c>
      <c r="AP103" s="3">
        <v>50.171624205237634</v>
      </c>
      <c r="AQ103" s="3">
        <v>150.51487261571293</v>
      </c>
      <c r="AR103" s="18">
        <v>16</v>
      </c>
      <c r="AS103" s="18">
        <v>137</v>
      </c>
      <c r="AT103" s="4">
        <v>7.9365079365079367</v>
      </c>
      <c r="AU103" s="4">
        <v>38.095238095238095</v>
      </c>
      <c r="AV103" s="7">
        <v>11.111111111111111</v>
      </c>
      <c r="AW103" s="10">
        <f t="shared" si="29"/>
        <v>65</v>
      </c>
      <c r="AX103" s="9">
        <f t="shared" si="30"/>
        <v>47.415353641456569</v>
      </c>
      <c r="AY103" s="9">
        <f t="shared" si="31"/>
        <v>43.611959384600176</v>
      </c>
      <c r="AZ103" s="9">
        <f t="shared" si="32"/>
        <v>55.645638626323439</v>
      </c>
      <c r="BA103" s="9">
        <f t="shared" si="33"/>
        <v>51.041797463289747</v>
      </c>
      <c r="BB103" s="9">
        <f t="shared" si="34"/>
        <v>146.67295165238019</v>
      </c>
      <c r="BC103" s="10">
        <f t="shared" si="37"/>
        <v>16</v>
      </c>
      <c r="BD103" s="10">
        <f t="shared" si="35"/>
        <v>137</v>
      </c>
      <c r="BE103" s="4">
        <f t="shared" si="38"/>
        <v>24.117507699597251</v>
      </c>
      <c r="BF103" s="4">
        <f t="shared" si="39"/>
        <v>38.450604122245913</v>
      </c>
      <c r="BG103" s="7">
        <f t="shared" si="40"/>
        <v>16.003316749585409</v>
      </c>
      <c r="BH103" s="5">
        <v>70</v>
      </c>
      <c r="BI103" s="3">
        <v>57.747826086956522</v>
      </c>
      <c r="BJ103" s="3">
        <v>33.957971014492756</v>
      </c>
      <c r="BK103" s="3">
        <v>40.920289855072454</v>
      </c>
      <c r="BL103" s="3">
        <v>44.208695652173901</v>
      </c>
      <c r="BM103" s="3">
        <v>132.62608695652179</v>
      </c>
      <c r="BN103" s="18">
        <v>16</v>
      </c>
      <c r="BO103" s="18">
        <v>100</v>
      </c>
      <c r="BP103" s="4">
        <v>15.942028985507246</v>
      </c>
      <c r="BQ103" s="4">
        <v>47.826086956521742</v>
      </c>
      <c r="BR103" s="7">
        <v>36.231884057971016</v>
      </c>
      <c r="BS103" s="18"/>
      <c r="BT103" s="23">
        <v>242</v>
      </c>
    </row>
    <row r="104" spans="1:72" x14ac:dyDescent="0.25">
      <c r="A104" s="18">
        <v>99</v>
      </c>
      <c r="B104" s="18" t="s">
        <v>20</v>
      </c>
      <c r="C104" s="18">
        <v>250</v>
      </c>
      <c r="D104" s="21" t="s">
        <v>9</v>
      </c>
      <c r="E104" s="5"/>
      <c r="F104" s="3">
        <v>44</v>
      </c>
      <c r="G104" s="3">
        <v>60</v>
      </c>
      <c r="H104" s="3">
        <v>27.333333333333329</v>
      </c>
      <c r="I104" s="3">
        <f t="shared" si="27"/>
        <v>43.777777777777771</v>
      </c>
      <c r="J104" s="3">
        <f t="shared" si="28"/>
        <v>131.33333333333331</v>
      </c>
      <c r="K104" s="18">
        <f t="shared" si="36"/>
        <v>16</v>
      </c>
      <c r="L104" s="18">
        <f t="shared" si="26"/>
        <v>153</v>
      </c>
      <c r="M104" s="4"/>
      <c r="N104" s="4"/>
      <c r="O104" s="7"/>
      <c r="P104" s="5">
        <v>71</v>
      </c>
      <c r="Q104" s="3">
        <v>45.915492957746473</v>
      </c>
      <c r="R104" s="3">
        <v>51.774647887323944</v>
      </c>
      <c r="S104" s="3">
        <v>57.136150234741798</v>
      </c>
      <c r="T104" s="3">
        <v>51.608763693270753</v>
      </c>
      <c r="U104" s="3">
        <v>154.82629107981222</v>
      </c>
      <c r="V104" s="18">
        <v>15</v>
      </c>
      <c r="W104" s="18">
        <v>120</v>
      </c>
      <c r="X104" s="4">
        <v>12.67605633802817</v>
      </c>
      <c r="Y104" s="4">
        <v>11.267605633802816</v>
      </c>
      <c r="Z104" s="7">
        <v>9.8591549295774641</v>
      </c>
      <c r="AA104" s="5">
        <v>80</v>
      </c>
      <c r="AB104" s="3">
        <v>48.181114551083603</v>
      </c>
      <c r="AC104" s="3">
        <v>65.315789473684205</v>
      </c>
      <c r="AD104" s="3">
        <v>52.830940988835735</v>
      </c>
      <c r="AE104" s="3">
        <v>55.442615004534531</v>
      </c>
      <c r="AF104" s="3">
        <v>166.32784501360356</v>
      </c>
      <c r="AG104" s="18">
        <v>3</v>
      </c>
      <c r="AH104" s="18">
        <v>50</v>
      </c>
      <c r="AI104" s="4">
        <v>9.2105263157894743</v>
      </c>
      <c r="AJ104" s="4">
        <v>2.6315789473684212</v>
      </c>
      <c r="AK104" s="7">
        <v>9.2105263157894743</v>
      </c>
      <c r="AL104" s="5">
        <v>83</v>
      </c>
      <c r="AM104" s="3">
        <v>61.49380804953563</v>
      </c>
      <c r="AN104" s="3">
        <v>48.721804511278194</v>
      </c>
      <c r="AO104" s="3">
        <v>68.421052631578945</v>
      </c>
      <c r="AP104" s="3">
        <v>59.545555064130916</v>
      </c>
      <c r="AQ104" s="3">
        <v>178.63666519239277</v>
      </c>
      <c r="AR104" s="18">
        <v>6</v>
      </c>
      <c r="AS104" s="18">
        <v>45</v>
      </c>
      <c r="AT104" s="4">
        <v>3.9473684210526314</v>
      </c>
      <c r="AU104" s="4">
        <v>10.526315789473685</v>
      </c>
      <c r="AV104" s="7">
        <v>1.3157894736842106</v>
      </c>
      <c r="AW104" s="10">
        <f t="shared" si="29"/>
        <v>78</v>
      </c>
      <c r="AX104" s="9">
        <f t="shared" si="30"/>
        <v>51.863471852788564</v>
      </c>
      <c r="AY104" s="9">
        <f t="shared" si="31"/>
        <v>55.27074729076211</v>
      </c>
      <c r="AZ104" s="9">
        <f t="shared" si="32"/>
        <v>59.462714618385498</v>
      </c>
      <c r="BA104" s="9">
        <f t="shared" si="33"/>
        <v>55.53231125397874</v>
      </c>
      <c r="BB104" s="9">
        <f t="shared" si="34"/>
        <v>166.59693376193619</v>
      </c>
      <c r="BC104" s="10">
        <f t="shared" si="37"/>
        <v>5</v>
      </c>
      <c r="BD104" s="10">
        <f t="shared" si="35"/>
        <v>69</v>
      </c>
      <c r="BE104" s="4">
        <f t="shared" si="38"/>
        <v>6.5789473684210531</v>
      </c>
      <c r="BF104" s="4">
        <f t="shared" si="39"/>
        <v>6.5789473684210531</v>
      </c>
      <c r="BG104" s="7">
        <f t="shared" si="40"/>
        <v>5.2631578947368425</v>
      </c>
      <c r="BH104" s="5">
        <v>81</v>
      </c>
      <c r="BI104" s="3">
        <v>46.052499999999995</v>
      </c>
      <c r="BJ104" s="3">
        <v>28.830000000000002</v>
      </c>
      <c r="BK104" s="3">
        <v>33.751250000000006</v>
      </c>
      <c r="BL104" s="3">
        <v>36.21125</v>
      </c>
      <c r="BM104" s="3">
        <v>108.63374999999992</v>
      </c>
      <c r="BN104" s="18">
        <v>22</v>
      </c>
      <c r="BO104" s="18">
        <v>236</v>
      </c>
      <c r="BP104" s="4">
        <v>33.75</v>
      </c>
      <c r="BQ104" s="4">
        <v>65</v>
      </c>
      <c r="BR104" s="7">
        <v>53.75</v>
      </c>
      <c r="BS104" s="18"/>
      <c r="BT104" s="23">
        <v>250</v>
      </c>
    </row>
    <row r="105" spans="1:72" x14ac:dyDescent="0.25">
      <c r="A105" s="1">
        <v>100</v>
      </c>
      <c r="B105" s="18" t="s">
        <v>20</v>
      </c>
      <c r="C105" s="18">
        <v>251</v>
      </c>
      <c r="D105" s="21" t="s">
        <v>9</v>
      </c>
      <c r="E105" s="5"/>
      <c r="F105" s="3">
        <v>42.333333333333336</v>
      </c>
      <c r="G105" s="3">
        <v>40</v>
      </c>
      <c r="H105" s="3">
        <v>40</v>
      </c>
      <c r="I105" s="3">
        <f t="shared" si="27"/>
        <v>40.777777777777779</v>
      </c>
      <c r="J105" s="3">
        <f t="shared" si="28"/>
        <v>122.33333333333334</v>
      </c>
      <c r="K105" s="18">
        <f t="shared" si="36"/>
        <v>19</v>
      </c>
      <c r="L105" s="18">
        <f t="shared" si="26"/>
        <v>184</v>
      </c>
      <c r="M105" s="4"/>
      <c r="N105" s="4"/>
      <c r="O105" s="7"/>
      <c r="P105" s="5">
        <v>125</v>
      </c>
      <c r="Q105" s="3">
        <v>40.319999999999993</v>
      </c>
      <c r="R105" s="3">
        <v>35.488</v>
      </c>
      <c r="S105" s="3">
        <v>43.253333333333316</v>
      </c>
      <c r="T105" s="3">
        <v>39.687111111111108</v>
      </c>
      <c r="U105" s="3">
        <v>119.06133333333331</v>
      </c>
      <c r="V105" s="18">
        <v>22</v>
      </c>
      <c r="W105" s="18">
        <v>274</v>
      </c>
      <c r="X105" s="4">
        <v>40</v>
      </c>
      <c r="Y105" s="4">
        <v>41.6</v>
      </c>
      <c r="Z105" s="7">
        <v>32</v>
      </c>
      <c r="AA105" s="5">
        <v>128</v>
      </c>
      <c r="AB105" s="3">
        <v>43.887867647058812</v>
      </c>
      <c r="AC105" s="3">
        <v>29.8125</v>
      </c>
      <c r="AD105" s="3">
        <v>37.736742424242429</v>
      </c>
      <c r="AE105" s="3">
        <v>37.145703357100416</v>
      </c>
      <c r="AF105" s="3">
        <v>111.43711007130125</v>
      </c>
      <c r="AG105" s="18">
        <v>21</v>
      </c>
      <c r="AH105" s="18">
        <v>246</v>
      </c>
      <c r="AI105" s="4">
        <v>26.5625</v>
      </c>
      <c r="AJ105" s="4">
        <v>57.8125</v>
      </c>
      <c r="AK105" s="7">
        <v>38.28125</v>
      </c>
      <c r="AL105" s="5">
        <v>129</v>
      </c>
      <c r="AM105" s="3">
        <v>43.405330882352978</v>
      </c>
      <c r="AN105" s="3">
        <v>23.459821428571427</v>
      </c>
      <c r="AO105" s="3">
        <v>43.244485294117645</v>
      </c>
      <c r="AP105" s="3">
        <v>36.703212535014003</v>
      </c>
      <c r="AQ105" s="3">
        <v>110.10963760504205</v>
      </c>
      <c r="AR105" s="18">
        <v>23</v>
      </c>
      <c r="AS105" s="18">
        <v>281</v>
      </c>
      <c r="AT105" s="4">
        <v>31.25</v>
      </c>
      <c r="AU105" s="4">
        <v>78.125</v>
      </c>
      <c r="AV105" s="7">
        <v>33.59375</v>
      </c>
      <c r="AW105" s="10">
        <f t="shared" si="29"/>
        <v>127.33333333333333</v>
      </c>
      <c r="AX105" s="9">
        <f t="shared" si="30"/>
        <v>42.537732843137263</v>
      </c>
      <c r="AY105" s="9">
        <f t="shared" si="31"/>
        <v>29.586773809523809</v>
      </c>
      <c r="AZ105" s="9">
        <f t="shared" si="32"/>
        <v>41.411520350564466</v>
      </c>
      <c r="BA105" s="9">
        <f t="shared" si="33"/>
        <v>37.845342334408507</v>
      </c>
      <c r="BB105" s="9">
        <f t="shared" si="34"/>
        <v>113.53602700322553</v>
      </c>
      <c r="BC105" s="10">
        <f t="shared" si="37"/>
        <v>23</v>
      </c>
      <c r="BD105" s="10">
        <f t="shared" si="35"/>
        <v>285</v>
      </c>
      <c r="BE105" s="4">
        <f t="shared" si="38"/>
        <v>28.90625</v>
      </c>
      <c r="BF105" s="4">
        <f t="shared" si="39"/>
        <v>67.96875</v>
      </c>
      <c r="BG105" s="7">
        <f t="shared" si="40"/>
        <v>35.9375</v>
      </c>
      <c r="BH105" s="5">
        <v>127</v>
      </c>
      <c r="BI105" s="3">
        <v>57.064566929133861</v>
      </c>
      <c r="BJ105" s="3">
        <v>34.644881889763802</v>
      </c>
      <c r="BK105" s="3">
        <v>41.543307086614178</v>
      </c>
      <c r="BL105" s="3">
        <v>44.417585301837256</v>
      </c>
      <c r="BM105" s="3">
        <v>133.25275590551183</v>
      </c>
      <c r="BN105" s="18">
        <v>15</v>
      </c>
      <c r="BO105" s="18">
        <v>97</v>
      </c>
      <c r="BP105" s="4">
        <v>16.535433070866141</v>
      </c>
      <c r="BQ105" s="4">
        <v>48.818897637795274</v>
      </c>
      <c r="BR105" s="7">
        <v>44.094488188976378</v>
      </c>
      <c r="BS105" s="18"/>
      <c r="BT105" s="23">
        <v>251</v>
      </c>
    </row>
    <row r="106" spans="1:72" x14ac:dyDescent="0.25">
      <c r="A106" s="18">
        <v>101</v>
      </c>
      <c r="B106" s="18" t="s">
        <v>20</v>
      </c>
      <c r="C106" s="18">
        <v>272</v>
      </c>
      <c r="D106" s="21" t="s">
        <v>9</v>
      </c>
      <c r="E106" s="5"/>
      <c r="F106" s="3">
        <v>49.666666666666664</v>
      </c>
      <c r="G106" s="3">
        <v>34.799999999999997</v>
      </c>
      <c r="H106" s="3">
        <v>33.333333333333336</v>
      </c>
      <c r="I106" s="3">
        <f t="shared" si="27"/>
        <v>39.266666666666673</v>
      </c>
      <c r="J106" s="3">
        <f t="shared" si="28"/>
        <v>117.80000000000001</v>
      </c>
      <c r="K106" s="18">
        <f t="shared" si="36"/>
        <v>21</v>
      </c>
      <c r="L106" s="18">
        <f t="shared" si="26"/>
        <v>206</v>
      </c>
      <c r="M106" s="4"/>
      <c r="N106" s="4"/>
      <c r="O106" s="7"/>
      <c r="P106" s="5">
        <v>145</v>
      </c>
      <c r="Q106" s="3">
        <v>54.781609195402304</v>
      </c>
      <c r="R106" s="3">
        <v>48.137931034482762</v>
      </c>
      <c r="S106" s="3">
        <v>61.793103448275872</v>
      </c>
      <c r="T106" s="3">
        <v>54.904214559386993</v>
      </c>
      <c r="U106" s="3">
        <v>164.71264367816093</v>
      </c>
      <c r="V106" s="18">
        <v>11</v>
      </c>
      <c r="W106" s="18">
        <v>94</v>
      </c>
      <c r="X106" s="4">
        <v>13.103448275862069</v>
      </c>
      <c r="Y106" s="4">
        <v>20.689655172413794</v>
      </c>
      <c r="Z106" s="7">
        <v>9.6551724137931032</v>
      </c>
      <c r="AA106" s="5">
        <v>157</v>
      </c>
      <c r="AB106" s="3">
        <v>52.398190045248867</v>
      </c>
      <c r="AC106" s="3">
        <v>45.251908396946568</v>
      </c>
      <c r="AD106" s="3">
        <v>59.472588480222072</v>
      </c>
      <c r="AE106" s="3">
        <v>52.391875649172469</v>
      </c>
      <c r="AF106" s="3">
        <v>157.1226869224175</v>
      </c>
      <c r="AG106" s="18">
        <v>4</v>
      </c>
      <c r="AH106" s="18">
        <v>76</v>
      </c>
      <c r="AI106" s="4">
        <v>12.307692307692308</v>
      </c>
      <c r="AJ106" s="4">
        <v>30.534351145038169</v>
      </c>
      <c r="AK106" s="7">
        <v>13.076923076923077</v>
      </c>
      <c r="AL106" s="5">
        <v>159</v>
      </c>
      <c r="AM106" s="3">
        <v>62.885154061624633</v>
      </c>
      <c r="AN106" s="3">
        <v>29.478458049886633</v>
      </c>
      <c r="AO106" s="3">
        <v>62.394957983193294</v>
      </c>
      <c r="AP106" s="3">
        <v>51.586190031568186</v>
      </c>
      <c r="AQ106" s="3">
        <v>154.75857009470457</v>
      </c>
      <c r="AR106" s="18">
        <v>15</v>
      </c>
      <c r="AS106" s="18">
        <v>124</v>
      </c>
      <c r="AT106" s="4">
        <v>6.3492063492063489</v>
      </c>
      <c r="AU106" s="4">
        <v>49.206349206349209</v>
      </c>
      <c r="AV106" s="7">
        <v>15.873015873015873</v>
      </c>
      <c r="AW106" s="10">
        <f t="shared" si="29"/>
        <v>153.66666666666666</v>
      </c>
      <c r="AX106" s="9">
        <f t="shared" si="30"/>
        <v>56.688317767425268</v>
      </c>
      <c r="AY106" s="9">
        <f t="shared" si="31"/>
        <v>40.956099160438647</v>
      </c>
      <c r="AZ106" s="9">
        <f t="shared" si="32"/>
        <v>61.220216637230408</v>
      </c>
      <c r="BA106" s="9">
        <f t="shared" si="33"/>
        <v>52.960760080042547</v>
      </c>
      <c r="BB106" s="9">
        <f t="shared" si="34"/>
        <v>158.86463356509435</v>
      </c>
      <c r="BC106" s="10">
        <f t="shared" si="37"/>
        <v>9</v>
      </c>
      <c r="BD106" s="10">
        <f t="shared" si="35"/>
        <v>91</v>
      </c>
      <c r="BE106" s="4">
        <f t="shared" si="38"/>
        <v>9.3284493284493291</v>
      </c>
      <c r="BF106" s="4">
        <f t="shared" si="39"/>
        <v>39.870350175693687</v>
      </c>
      <c r="BG106" s="7">
        <f t="shared" si="40"/>
        <v>14.474969474969475</v>
      </c>
      <c r="BH106" s="5">
        <v>158</v>
      </c>
      <c r="BI106" s="3">
        <v>58.862420382165624</v>
      </c>
      <c r="BJ106" s="3">
        <v>37.286624203821638</v>
      </c>
      <c r="BK106" s="3">
        <v>44.567515923566901</v>
      </c>
      <c r="BL106" s="3">
        <v>46.905520169851364</v>
      </c>
      <c r="BM106" s="3">
        <v>140.71656050955411</v>
      </c>
      <c r="BN106" s="18">
        <v>11</v>
      </c>
      <c r="BO106" s="18">
        <v>64</v>
      </c>
      <c r="BP106" s="4">
        <v>12.738853503184714</v>
      </c>
      <c r="BQ106" s="4">
        <v>46.496815286624205</v>
      </c>
      <c r="BR106" s="7">
        <v>42.038216560509554</v>
      </c>
      <c r="BS106" s="18"/>
      <c r="BT106" s="23">
        <v>272</v>
      </c>
    </row>
    <row r="107" spans="1:72" x14ac:dyDescent="0.25">
      <c r="A107" s="18">
        <v>102</v>
      </c>
      <c r="B107" s="18" t="s">
        <v>20</v>
      </c>
      <c r="C107" s="18">
        <v>277</v>
      </c>
      <c r="D107" s="21" t="s">
        <v>13</v>
      </c>
      <c r="E107" s="5"/>
      <c r="F107" s="3"/>
      <c r="G107" s="3"/>
      <c r="H107" s="3"/>
      <c r="I107" s="3" t="str">
        <f t="shared" si="27"/>
        <v/>
      </c>
      <c r="J107" s="3" t="str">
        <f t="shared" si="28"/>
        <v/>
      </c>
      <c r="K107" s="18" t="str">
        <f t="shared" si="36"/>
        <v/>
      </c>
      <c r="L107" s="18" t="str">
        <f t="shared" si="26"/>
        <v/>
      </c>
      <c r="M107" s="4"/>
      <c r="N107" s="4"/>
      <c r="O107" s="7"/>
      <c r="P107" s="5"/>
      <c r="Q107" s="3"/>
      <c r="R107" s="3"/>
      <c r="S107" s="3"/>
      <c r="T107" s="3"/>
      <c r="U107" s="3" t="s">
        <v>35</v>
      </c>
      <c r="V107" s="18" t="s">
        <v>35</v>
      </c>
      <c r="W107" s="18" t="s">
        <v>35</v>
      </c>
      <c r="X107" s="4" t="s">
        <v>35</v>
      </c>
      <c r="Y107" s="4" t="s">
        <v>35</v>
      </c>
      <c r="Z107" s="7" t="s">
        <v>35</v>
      </c>
      <c r="AA107" s="5">
        <v>90</v>
      </c>
      <c r="AB107" s="3">
        <v>40.261437908496738</v>
      </c>
      <c r="AC107" s="3">
        <v>51.466666666666669</v>
      </c>
      <c r="AD107" s="3">
        <v>44.983164983164976</v>
      </c>
      <c r="AE107" s="3">
        <v>45.570423186109466</v>
      </c>
      <c r="AF107" s="3">
        <v>136.71126955832838</v>
      </c>
      <c r="AG107" s="18">
        <v>13</v>
      </c>
      <c r="AH107" s="18">
        <v>146</v>
      </c>
      <c r="AI107" s="4">
        <v>34.444444444444443</v>
      </c>
      <c r="AJ107" s="4">
        <v>15.555555555555555</v>
      </c>
      <c r="AK107" s="7">
        <v>31.460674157303369</v>
      </c>
      <c r="AL107" s="5">
        <v>94</v>
      </c>
      <c r="AM107" s="3">
        <v>49.561952440550698</v>
      </c>
      <c r="AN107" s="3">
        <v>38.958180484225984</v>
      </c>
      <c r="AO107" s="3">
        <v>50.386847195357824</v>
      </c>
      <c r="AP107" s="3">
        <v>46.302326706711504</v>
      </c>
      <c r="AQ107" s="3">
        <v>138.90698012013451</v>
      </c>
      <c r="AR107" s="18">
        <v>19</v>
      </c>
      <c r="AS107" s="18">
        <v>195</v>
      </c>
      <c r="AT107" s="4">
        <v>15.957446808510639</v>
      </c>
      <c r="AU107" s="4">
        <v>21.276595744680851</v>
      </c>
      <c r="AV107" s="7">
        <v>10.869565217391305</v>
      </c>
      <c r="AW107" s="10">
        <f t="shared" si="29"/>
        <v>92</v>
      </c>
      <c r="AX107" s="9">
        <f t="shared" si="30"/>
        <v>44.911695174523715</v>
      </c>
      <c r="AY107" s="9">
        <f t="shared" si="31"/>
        <v>45.212423575446323</v>
      </c>
      <c r="AZ107" s="9">
        <f t="shared" si="32"/>
        <v>47.6850060892614</v>
      </c>
      <c r="BA107" s="9">
        <f t="shared" si="33"/>
        <v>45.936374946410481</v>
      </c>
      <c r="BB107" s="9">
        <f t="shared" si="34"/>
        <v>137.80912483923146</v>
      </c>
      <c r="BC107" s="10">
        <f t="shared" si="37"/>
        <v>19</v>
      </c>
      <c r="BD107" s="10">
        <f t="shared" si="35"/>
        <v>177</v>
      </c>
      <c r="BE107" s="4">
        <f t="shared" si="38"/>
        <v>25.200945626477541</v>
      </c>
      <c r="BF107" s="4">
        <f t="shared" si="39"/>
        <v>18.416075650118202</v>
      </c>
      <c r="BG107" s="7">
        <f t="shared" si="40"/>
        <v>21.165119687347335</v>
      </c>
      <c r="BH107" s="5">
        <v>96</v>
      </c>
      <c r="BI107" s="3">
        <v>38.476842105263167</v>
      </c>
      <c r="BJ107" s="3">
        <v>16.921052631578945</v>
      </c>
      <c r="BK107" s="3">
        <v>26.190526315789477</v>
      </c>
      <c r="BL107" s="3">
        <v>27.196140350877187</v>
      </c>
      <c r="BM107" s="3">
        <v>81.588421052631574</v>
      </c>
      <c r="BN107" s="18">
        <v>23</v>
      </c>
      <c r="BO107" s="18">
        <v>299</v>
      </c>
      <c r="BP107" s="4">
        <v>42.10526315789474</v>
      </c>
      <c r="BQ107" s="4">
        <v>83.15789473684211</v>
      </c>
      <c r="BR107" s="7">
        <v>75.78947368421052</v>
      </c>
      <c r="BS107" s="18"/>
      <c r="BT107" s="23">
        <v>277</v>
      </c>
    </row>
    <row r="108" spans="1:72" x14ac:dyDescent="0.25">
      <c r="A108" s="18">
        <v>103</v>
      </c>
      <c r="B108" s="18" t="s">
        <v>20</v>
      </c>
      <c r="C108" s="18">
        <v>312</v>
      </c>
      <c r="D108" s="21" t="s">
        <v>9</v>
      </c>
      <c r="E108" s="5"/>
      <c r="F108" s="3">
        <v>49.666666666666664</v>
      </c>
      <c r="G108" s="3">
        <v>55.6</v>
      </c>
      <c r="H108" s="3">
        <v>36.666666666666664</v>
      </c>
      <c r="I108" s="3">
        <f t="shared" si="27"/>
        <v>47.31111111111111</v>
      </c>
      <c r="J108" s="3">
        <f t="shared" si="28"/>
        <v>141.93333333333334</v>
      </c>
      <c r="K108" s="18">
        <f t="shared" si="36"/>
        <v>10</v>
      </c>
      <c r="L108" s="18">
        <f t="shared" si="26"/>
        <v>119</v>
      </c>
      <c r="M108" s="4"/>
      <c r="N108" s="4"/>
      <c r="O108" s="7"/>
      <c r="P108" s="5">
        <v>36</v>
      </c>
      <c r="Q108" s="3">
        <v>43.148148148148145</v>
      </c>
      <c r="R108" s="3">
        <v>61.222222222222221</v>
      </c>
      <c r="S108" s="3">
        <v>49.537037037037038</v>
      </c>
      <c r="T108" s="3">
        <v>51.302469135802461</v>
      </c>
      <c r="U108" s="3">
        <v>153.90740740740739</v>
      </c>
      <c r="V108" s="18">
        <v>16</v>
      </c>
      <c r="W108" s="18">
        <v>125</v>
      </c>
      <c r="X108" s="4">
        <v>19.444444444444443</v>
      </c>
      <c r="Y108" s="4">
        <v>8.5714285714285712</v>
      </c>
      <c r="Z108" s="7">
        <v>30.555555555555557</v>
      </c>
      <c r="AA108" s="5">
        <v>36</v>
      </c>
      <c r="AB108" s="3">
        <v>39.950980392156858</v>
      </c>
      <c r="AC108" s="3">
        <v>50.888888888888886</v>
      </c>
      <c r="AD108" s="3">
        <v>40.824915824915827</v>
      </c>
      <c r="AE108" s="3">
        <v>43.888261701987204</v>
      </c>
      <c r="AF108" s="3">
        <v>131.66478510596156</v>
      </c>
      <c r="AG108" s="18">
        <v>17</v>
      </c>
      <c r="AH108" s="18">
        <v>168</v>
      </c>
      <c r="AI108" s="4">
        <v>33.333333333333336</v>
      </c>
      <c r="AJ108" s="4">
        <v>13.888888888888889</v>
      </c>
      <c r="AK108" s="7">
        <v>22.222222222222221</v>
      </c>
      <c r="AL108" s="5">
        <v>37</v>
      </c>
      <c r="AM108" s="3">
        <v>55.637254901960802</v>
      </c>
      <c r="AN108" s="3">
        <v>42.460317460317462</v>
      </c>
      <c r="AO108" s="3">
        <v>49.346405228758179</v>
      </c>
      <c r="AP108" s="3">
        <v>49.147992530345469</v>
      </c>
      <c r="AQ108" s="3">
        <v>147.44397759103646</v>
      </c>
      <c r="AR108" s="18">
        <v>18</v>
      </c>
      <c r="AS108" s="18">
        <v>156</v>
      </c>
      <c r="AT108" s="4">
        <v>16.666666666666668</v>
      </c>
      <c r="AU108" s="4">
        <v>22.222222222222221</v>
      </c>
      <c r="AV108" s="7">
        <v>22.222222222222221</v>
      </c>
      <c r="AW108" s="10">
        <f t="shared" si="29"/>
        <v>36.333333333333336</v>
      </c>
      <c r="AX108" s="9">
        <f t="shared" si="30"/>
        <v>46.245461147421935</v>
      </c>
      <c r="AY108" s="9">
        <f t="shared" si="31"/>
        <v>51.523809523809526</v>
      </c>
      <c r="AZ108" s="9">
        <f t="shared" si="32"/>
        <v>46.569452696903681</v>
      </c>
      <c r="BA108" s="9">
        <f t="shared" si="33"/>
        <v>48.112907789378376</v>
      </c>
      <c r="BB108" s="9">
        <f t="shared" si="34"/>
        <v>144.33872336813513</v>
      </c>
      <c r="BC108" s="10">
        <f t="shared" si="37"/>
        <v>18</v>
      </c>
      <c r="BD108" s="10">
        <f t="shared" si="35"/>
        <v>147</v>
      </c>
      <c r="BE108" s="4">
        <f t="shared" si="38"/>
        <v>25</v>
      </c>
      <c r="BF108" s="4">
        <f t="shared" si="39"/>
        <v>18.055555555555557</v>
      </c>
      <c r="BG108" s="7">
        <f t="shared" si="40"/>
        <v>22.222222222222221</v>
      </c>
      <c r="BH108" s="5">
        <v>37</v>
      </c>
      <c r="BI108" s="3">
        <v>56.070270270270271</v>
      </c>
      <c r="BJ108" s="3">
        <v>39.732432432432432</v>
      </c>
      <c r="BK108" s="3">
        <v>33.699999999999989</v>
      </c>
      <c r="BL108" s="3">
        <v>43.167567567567573</v>
      </c>
      <c r="BM108" s="3">
        <v>129.50270270270263</v>
      </c>
      <c r="BN108" s="18">
        <v>17</v>
      </c>
      <c r="BO108" s="18">
        <v>112</v>
      </c>
      <c r="BP108" s="4">
        <v>21.621621621621621</v>
      </c>
      <c r="BQ108" s="4">
        <v>37.837837837837839</v>
      </c>
      <c r="BR108" s="7">
        <v>48.648648648648646</v>
      </c>
      <c r="BS108" s="18"/>
      <c r="BT108" s="23">
        <v>312</v>
      </c>
    </row>
    <row r="109" spans="1:72" x14ac:dyDescent="0.25">
      <c r="A109" s="18">
        <v>104</v>
      </c>
      <c r="B109" s="18" t="s">
        <v>20</v>
      </c>
      <c r="C109" s="18">
        <v>328</v>
      </c>
      <c r="D109" s="21" t="s">
        <v>9</v>
      </c>
      <c r="E109" s="5"/>
      <c r="F109" s="3">
        <v>46.666666666666664</v>
      </c>
      <c r="G109" s="3">
        <v>38.4</v>
      </c>
      <c r="H109" s="3">
        <v>38</v>
      </c>
      <c r="I109" s="3">
        <f t="shared" si="27"/>
        <v>41.022222222222219</v>
      </c>
      <c r="J109" s="3">
        <f t="shared" si="28"/>
        <v>123.06666666666666</v>
      </c>
      <c r="K109" s="18">
        <f t="shared" si="36"/>
        <v>18</v>
      </c>
      <c r="L109" s="18">
        <f t="shared" si="26"/>
        <v>180</v>
      </c>
      <c r="M109" s="4"/>
      <c r="N109" s="4"/>
      <c r="O109" s="7"/>
      <c r="P109" s="5">
        <v>78</v>
      </c>
      <c r="Q109" s="3">
        <v>47.307692307692314</v>
      </c>
      <c r="R109" s="3">
        <v>49.897435897435898</v>
      </c>
      <c r="S109" s="3">
        <v>49.273504273504251</v>
      </c>
      <c r="T109" s="3">
        <v>48.826210826210811</v>
      </c>
      <c r="U109" s="3">
        <v>146.47863247863245</v>
      </c>
      <c r="V109" s="18">
        <v>19</v>
      </c>
      <c r="W109" s="18">
        <v>160</v>
      </c>
      <c r="X109" s="4">
        <v>25.641025641025642</v>
      </c>
      <c r="Y109" s="4">
        <v>25.641025641025642</v>
      </c>
      <c r="Z109" s="7">
        <v>32.051282051282051</v>
      </c>
      <c r="AA109" s="5">
        <v>82</v>
      </c>
      <c r="AB109" s="3">
        <v>40.750213128729733</v>
      </c>
      <c r="AC109" s="3">
        <v>60.289855072463766</v>
      </c>
      <c r="AD109" s="3">
        <v>54.369784804567395</v>
      </c>
      <c r="AE109" s="3">
        <v>51.803284335253657</v>
      </c>
      <c r="AF109" s="3">
        <v>155.40985300576088</v>
      </c>
      <c r="AG109" s="18">
        <v>5</v>
      </c>
      <c r="AH109" s="18">
        <v>81</v>
      </c>
      <c r="AI109" s="4">
        <v>24.637681159420289</v>
      </c>
      <c r="AJ109" s="4">
        <v>14.492753623188406</v>
      </c>
      <c r="AK109" s="7">
        <v>17.391304347826086</v>
      </c>
      <c r="AL109" s="5">
        <v>85</v>
      </c>
      <c r="AM109" s="3">
        <v>65.715539947322199</v>
      </c>
      <c r="AN109" s="3">
        <v>56.759061833688676</v>
      </c>
      <c r="AO109" s="3">
        <v>70.807726075504874</v>
      </c>
      <c r="AP109" s="3">
        <v>64.427442618838583</v>
      </c>
      <c r="AQ109" s="3">
        <v>193.28232785651574</v>
      </c>
      <c r="AR109" s="18">
        <v>1</v>
      </c>
      <c r="AS109" s="18">
        <v>20</v>
      </c>
      <c r="AT109" s="4">
        <v>2.9850746268656718</v>
      </c>
      <c r="AU109" s="4">
        <v>10.447761194029852</v>
      </c>
      <c r="AV109" s="7">
        <v>4.4776119402985071</v>
      </c>
      <c r="AW109" s="10">
        <f t="shared" si="29"/>
        <v>81.666666666666671</v>
      </c>
      <c r="AX109" s="9">
        <f t="shared" si="30"/>
        <v>51.257815127914746</v>
      </c>
      <c r="AY109" s="9">
        <f t="shared" si="31"/>
        <v>55.648784267862787</v>
      </c>
      <c r="AZ109" s="9">
        <f t="shared" si="32"/>
        <v>58.150338384525504</v>
      </c>
      <c r="BA109" s="9">
        <f t="shared" si="33"/>
        <v>55.018979260101013</v>
      </c>
      <c r="BB109" s="9">
        <f t="shared" si="34"/>
        <v>165.056937780303</v>
      </c>
      <c r="BC109" s="10">
        <f t="shared" si="37"/>
        <v>7</v>
      </c>
      <c r="BD109" s="10">
        <f t="shared" si="35"/>
        <v>76</v>
      </c>
      <c r="BE109" s="4">
        <f t="shared" si="38"/>
        <v>13.81137789314298</v>
      </c>
      <c r="BF109" s="4">
        <f t="shared" si="39"/>
        <v>12.470257408609129</v>
      </c>
      <c r="BG109" s="7">
        <f t="shared" si="40"/>
        <v>10.934458144062297</v>
      </c>
      <c r="BH109" s="5">
        <v>85</v>
      </c>
      <c r="BI109" s="3">
        <v>55.696470588235293</v>
      </c>
      <c r="BJ109" s="3">
        <v>39.520000000000003</v>
      </c>
      <c r="BK109" s="3">
        <v>41.727058823529418</v>
      </c>
      <c r="BL109" s="3">
        <v>45.647843137254881</v>
      </c>
      <c r="BM109" s="3">
        <v>136.9435294117647</v>
      </c>
      <c r="BN109" s="18">
        <v>14</v>
      </c>
      <c r="BO109" s="18">
        <v>86</v>
      </c>
      <c r="BP109" s="4">
        <v>18.823529411764707</v>
      </c>
      <c r="BQ109" s="4">
        <v>45.882352941176471</v>
      </c>
      <c r="BR109" s="7">
        <v>36.470588235294116</v>
      </c>
      <c r="BS109" s="18"/>
      <c r="BT109" s="23">
        <v>328</v>
      </c>
    </row>
    <row r="110" spans="1:72" x14ac:dyDescent="0.25">
      <c r="A110" s="1">
        <v>105</v>
      </c>
      <c r="B110" s="18" t="s">
        <v>21</v>
      </c>
      <c r="C110" s="18">
        <v>131</v>
      </c>
      <c r="D110" s="21" t="s">
        <v>9</v>
      </c>
      <c r="E110" s="5"/>
      <c r="F110" s="3">
        <v>40.466666666666669</v>
      </c>
      <c r="G110" s="3">
        <v>48</v>
      </c>
      <c r="H110" s="3">
        <v>34.266666666666666</v>
      </c>
      <c r="I110" s="3">
        <f t="shared" si="27"/>
        <v>40.911111111111111</v>
      </c>
      <c r="J110" s="3">
        <f t="shared" si="28"/>
        <v>122.73333333333333</v>
      </c>
      <c r="K110" s="18">
        <f t="shared" ref="K110:K115" si="41">IF(J110="","",(RANK(J110,$J$110:$J$115)))</f>
        <v>2</v>
      </c>
      <c r="L110" s="18">
        <f t="shared" si="26"/>
        <v>182</v>
      </c>
      <c r="M110" s="4"/>
      <c r="N110" s="4"/>
      <c r="O110" s="7"/>
      <c r="P110" s="5">
        <v>7</v>
      </c>
      <c r="Q110" s="3">
        <v>34.761904761904766</v>
      </c>
      <c r="R110" s="3">
        <v>44</v>
      </c>
      <c r="S110" s="3">
        <v>30.476190476190478</v>
      </c>
      <c r="T110" s="3">
        <v>36.412698412698418</v>
      </c>
      <c r="U110" s="3">
        <v>109.23809523809524</v>
      </c>
      <c r="V110" s="18">
        <v>4</v>
      </c>
      <c r="W110" s="18">
        <v>290</v>
      </c>
      <c r="X110" s="4">
        <v>42.857142857142854</v>
      </c>
      <c r="Y110" s="4">
        <v>0</v>
      </c>
      <c r="Z110" s="7">
        <v>42.857142857142854</v>
      </c>
      <c r="AA110" s="5">
        <v>10</v>
      </c>
      <c r="AB110" s="3">
        <v>27.941176470588239</v>
      </c>
      <c r="AC110" s="3">
        <v>25.6</v>
      </c>
      <c r="AD110" s="3">
        <v>26.363636363636363</v>
      </c>
      <c r="AE110" s="3">
        <v>26.634937611408198</v>
      </c>
      <c r="AF110" s="3">
        <v>79.9048128342246</v>
      </c>
      <c r="AG110" s="18">
        <v>6</v>
      </c>
      <c r="AH110" s="18">
        <v>305</v>
      </c>
      <c r="AI110" s="4">
        <v>70</v>
      </c>
      <c r="AJ110" s="4">
        <v>70</v>
      </c>
      <c r="AK110" s="7">
        <v>60</v>
      </c>
      <c r="AL110" s="5">
        <v>10</v>
      </c>
      <c r="AM110" s="3">
        <v>44.117647058823529</v>
      </c>
      <c r="AN110" s="3">
        <v>38.285714285714285</v>
      </c>
      <c r="AO110" s="3">
        <v>39.411764705882362</v>
      </c>
      <c r="AP110" s="3">
        <v>40.605042016806728</v>
      </c>
      <c r="AQ110" s="3">
        <v>121.81512605042018</v>
      </c>
      <c r="AR110" s="18">
        <v>5</v>
      </c>
      <c r="AS110" s="18">
        <v>257</v>
      </c>
      <c r="AT110" s="4">
        <v>30</v>
      </c>
      <c r="AU110" s="4">
        <v>30</v>
      </c>
      <c r="AV110" s="7">
        <v>40</v>
      </c>
      <c r="AW110" s="10">
        <f t="shared" si="29"/>
        <v>9</v>
      </c>
      <c r="AX110" s="9">
        <f t="shared" si="30"/>
        <v>35.60690943043884</v>
      </c>
      <c r="AY110" s="9">
        <f t="shared" si="31"/>
        <v>35.961904761904755</v>
      </c>
      <c r="AZ110" s="9">
        <f t="shared" si="32"/>
        <v>32.083863848569735</v>
      </c>
      <c r="BA110" s="9">
        <f t="shared" si="33"/>
        <v>34.55089268030445</v>
      </c>
      <c r="BB110" s="9">
        <f t="shared" si="34"/>
        <v>103.65267804091333</v>
      </c>
      <c r="BC110" s="10">
        <f>IF(BB110="","",(RANK(BB110,$BB$110:$BB$115)))</f>
        <v>4</v>
      </c>
      <c r="BD110" s="10">
        <f t="shared" si="35"/>
        <v>292</v>
      </c>
      <c r="BE110" s="4">
        <f t="shared" si="38"/>
        <v>50</v>
      </c>
      <c r="BF110" s="4">
        <f t="shared" si="39"/>
        <v>50</v>
      </c>
      <c r="BG110" s="7">
        <f t="shared" si="40"/>
        <v>50</v>
      </c>
      <c r="BH110" s="5">
        <v>10</v>
      </c>
      <c r="BI110" s="3">
        <v>33.74</v>
      </c>
      <c r="BJ110" s="3">
        <v>26.419999999999998</v>
      </c>
      <c r="BK110" s="3">
        <v>26.459999999999997</v>
      </c>
      <c r="BL110" s="3">
        <v>28.873333333333335</v>
      </c>
      <c r="BM110" s="3">
        <v>86.62</v>
      </c>
      <c r="BN110" s="18">
        <v>5</v>
      </c>
      <c r="BO110" s="18">
        <v>292</v>
      </c>
      <c r="BP110" s="4">
        <v>50</v>
      </c>
      <c r="BQ110" s="4">
        <v>70</v>
      </c>
      <c r="BR110" s="7">
        <v>70</v>
      </c>
      <c r="BS110" s="18"/>
      <c r="BT110" s="23">
        <v>131</v>
      </c>
    </row>
    <row r="111" spans="1:72" x14ac:dyDescent="0.25">
      <c r="A111" s="18">
        <v>106</v>
      </c>
      <c r="B111" s="18" t="s">
        <v>21</v>
      </c>
      <c r="C111" s="18">
        <v>168</v>
      </c>
      <c r="D111" s="21" t="s">
        <v>9</v>
      </c>
      <c r="E111" s="5"/>
      <c r="F111" s="3">
        <v>53.333333333333336</v>
      </c>
      <c r="G111" s="3">
        <v>29.6</v>
      </c>
      <c r="H111" s="3"/>
      <c r="I111" s="3">
        <f t="shared" si="27"/>
        <v>41.466666666666669</v>
      </c>
      <c r="J111" s="3">
        <f t="shared" si="28"/>
        <v>82.933333333333337</v>
      </c>
      <c r="K111" s="18">
        <f t="shared" si="41"/>
        <v>6</v>
      </c>
      <c r="L111" s="18">
        <f t="shared" si="26"/>
        <v>290</v>
      </c>
      <c r="M111" s="4"/>
      <c r="N111" s="4"/>
      <c r="O111" s="7"/>
      <c r="P111" s="5">
        <v>51</v>
      </c>
      <c r="Q111" s="3">
        <v>42.026143790849666</v>
      </c>
      <c r="R111" s="3">
        <v>28.078431372549019</v>
      </c>
      <c r="S111" s="3"/>
      <c r="T111" s="3">
        <v>35.052287581699353</v>
      </c>
      <c r="U111" s="3">
        <v>70.104575163398692</v>
      </c>
      <c r="V111" s="18">
        <v>6</v>
      </c>
      <c r="W111" s="18">
        <v>306</v>
      </c>
      <c r="X111" s="4">
        <v>23.529411764705884</v>
      </c>
      <c r="Y111" s="4">
        <v>66.666666666666671</v>
      </c>
      <c r="Z111" s="7" t="s">
        <v>35</v>
      </c>
      <c r="AA111" s="5">
        <v>54</v>
      </c>
      <c r="AB111" s="3">
        <v>42.230854605993329</v>
      </c>
      <c r="AC111" s="3">
        <v>51.320754716981135</v>
      </c>
      <c r="AD111" s="3" t="s">
        <v>35</v>
      </c>
      <c r="AE111" s="3">
        <v>46.775804661487236</v>
      </c>
      <c r="AF111" s="3">
        <v>93.551609322974457</v>
      </c>
      <c r="AG111" s="18">
        <v>4</v>
      </c>
      <c r="AH111" s="18">
        <v>296</v>
      </c>
      <c r="AI111" s="4">
        <v>11.320754716981131</v>
      </c>
      <c r="AJ111" s="4">
        <v>5.6603773584905657</v>
      </c>
      <c r="AK111" s="7" t="s">
        <v>35</v>
      </c>
      <c r="AL111" s="5">
        <v>55</v>
      </c>
      <c r="AM111" s="3">
        <v>54.440599769319491</v>
      </c>
      <c r="AN111" s="3">
        <v>46.49859943977593</v>
      </c>
      <c r="AO111" s="3">
        <v>41.70588235294116</v>
      </c>
      <c r="AP111" s="3">
        <v>47.551765804360947</v>
      </c>
      <c r="AQ111" s="3">
        <v>142.64508156203658</v>
      </c>
      <c r="AR111" s="18">
        <v>2</v>
      </c>
      <c r="AS111" s="18">
        <v>175</v>
      </c>
      <c r="AT111" s="4">
        <v>17.647058823529413</v>
      </c>
      <c r="AU111" s="4">
        <v>19.607843137254903</v>
      </c>
      <c r="AV111" s="7">
        <v>44</v>
      </c>
      <c r="AW111" s="10">
        <f t="shared" si="29"/>
        <v>53.333333333333336</v>
      </c>
      <c r="AX111" s="9">
        <f t="shared" si="30"/>
        <v>46.232532722054167</v>
      </c>
      <c r="AY111" s="9">
        <f t="shared" si="31"/>
        <v>41.965928509768695</v>
      </c>
      <c r="AZ111" s="9">
        <f t="shared" si="32"/>
        <v>41.70588235294116</v>
      </c>
      <c r="BA111" s="9">
        <f t="shared" si="33"/>
        <v>43.126619349182512</v>
      </c>
      <c r="BB111" s="9">
        <f t="shared" si="34"/>
        <v>102.10042201613658</v>
      </c>
      <c r="BC111" s="10">
        <f t="shared" ref="BC111:BC115" si="42">IF(BB111="","",(RANK(BB111,$BB$110:$BB$115)))</f>
        <v>5</v>
      </c>
      <c r="BD111" s="10">
        <f t="shared" si="35"/>
        <v>293</v>
      </c>
      <c r="BE111" s="4">
        <f t="shared" si="38"/>
        <v>14.483906770255272</v>
      </c>
      <c r="BF111" s="4">
        <f t="shared" si="39"/>
        <v>12.634110247872734</v>
      </c>
      <c r="BG111" s="7">
        <f t="shared" si="40"/>
        <v>44</v>
      </c>
      <c r="BH111" s="5">
        <v>53</v>
      </c>
      <c r="BI111" s="3">
        <v>44.652830188679253</v>
      </c>
      <c r="BJ111" s="3">
        <v>24.773584905660378</v>
      </c>
      <c r="BK111" s="3">
        <v>30.907547169811306</v>
      </c>
      <c r="BL111" s="3">
        <v>33.444654088050314</v>
      </c>
      <c r="BM111" s="3">
        <v>100.33396226415095</v>
      </c>
      <c r="BN111" s="18">
        <v>4</v>
      </c>
      <c r="BO111" s="18">
        <v>266</v>
      </c>
      <c r="BP111" s="4">
        <v>28.30188679245283</v>
      </c>
      <c r="BQ111" s="4">
        <v>73.584905660377359</v>
      </c>
      <c r="BR111" s="7">
        <v>60.377358490566039</v>
      </c>
      <c r="BS111" s="18"/>
      <c r="BT111" s="23">
        <v>168</v>
      </c>
    </row>
    <row r="112" spans="1:72" x14ac:dyDescent="0.25">
      <c r="A112" s="18">
        <v>107</v>
      </c>
      <c r="B112" s="18" t="s">
        <v>21</v>
      </c>
      <c r="C112" s="18">
        <v>186</v>
      </c>
      <c r="D112" s="21" t="s">
        <v>9</v>
      </c>
      <c r="E112" s="5"/>
      <c r="F112" s="3">
        <v>56.666666666666664</v>
      </c>
      <c r="G112" s="3">
        <v>60</v>
      </c>
      <c r="H112" s="3">
        <v>20</v>
      </c>
      <c r="I112" s="3">
        <f t="shared" si="27"/>
        <v>45.55555555555555</v>
      </c>
      <c r="J112" s="3">
        <f t="shared" si="28"/>
        <v>136.66666666666666</v>
      </c>
      <c r="K112" s="18">
        <f t="shared" si="41"/>
        <v>1</v>
      </c>
      <c r="L112" s="18">
        <f t="shared" si="26"/>
        <v>135</v>
      </c>
      <c r="M112" s="4"/>
      <c r="N112" s="4"/>
      <c r="O112" s="7"/>
      <c r="P112" s="5">
        <v>42</v>
      </c>
      <c r="Q112" s="3">
        <v>51.904761904761891</v>
      </c>
      <c r="R112" s="3">
        <v>52</v>
      </c>
      <c r="S112" s="3">
        <v>47.307692307692299</v>
      </c>
      <c r="T112" s="3">
        <v>50.854545454545466</v>
      </c>
      <c r="U112" s="3">
        <v>151.21245421245419</v>
      </c>
      <c r="V112" s="18">
        <v>1</v>
      </c>
      <c r="W112" s="18">
        <v>139</v>
      </c>
      <c r="X112" s="4">
        <v>16.666666666666668</v>
      </c>
      <c r="Y112" s="4">
        <v>19.047619047619047</v>
      </c>
      <c r="Z112" s="7">
        <v>38.46153846153846</v>
      </c>
      <c r="AA112" s="5">
        <v>40</v>
      </c>
      <c r="AB112" s="3">
        <v>50.220588235294123</v>
      </c>
      <c r="AC112" s="3">
        <v>48.9</v>
      </c>
      <c r="AD112" s="3">
        <v>48.121212121212118</v>
      </c>
      <c r="AE112" s="3">
        <v>49.029203505644688</v>
      </c>
      <c r="AF112" s="3">
        <v>147.24180035650625</v>
      </c>
      <c r="AG112" s="18">
        <v>1</v>
      </c>
      <c r="AH112" s="18">
        <v>103</v>
      </c>
      <c r="AI112" s="4">
        <v>15</v>
      </c>
      <c r="AJ112" s="4">
        <v>32.5</v>
      </c>
      <c r="AK112" s="7">
        <v>32</v>
      </c>
      <c r="AL112" s="5">
        <v>45</v>
      </c>
      <c r="AM112" s="3">
        <v>61.24183006535948</v>
      </c>
      <c r="AN112" s="3">
        <v>44.888888888888886</v>
      </c>
      <c r="AO112" s="3">
        <v>53.856209150326805</v>
      </c>
      <c r="AP112" s="3">
        <v>53.328976034858378</v>
      </c>
      <c r="AQ112" s="3">
        <v>159.98692810457516</v>
      </c>
      <c r="AR112" s="18">
        <v>1</v>
      </c>
      <c r="AS112" s="18">
        <v>101</v>
      </c>
      <c r="AT112" s="4">
        <v>6.666666666666667</v>
      </c>
      <c r="AU112" s="4">
        <v>17.777777777777779</v>
      </c>
      <c r="AV112" s="7">
        <v>17.777777777777779</v>
      </c>
      <c r="AW112" s="10">
        <f t="shared" si="29"/>
        <v>42.333333333333336</v>
      </c>
      <c r="AX112" s="9">
        <f t="shared" si="30"/>
        <v>54.455726735138491</v>
      </c>
      <c r="AY112" s="9">
        <f t="shared" si="31"/>
        <v>48.596296296296295</v>
      </c>
      <c r="AZ112" s="9">
        <f t="shared" si="32"/>
        <v>49.761704526410405</v>
      </c>
      <c r="BA112" s="9">
        <f t="shared" si="33"/>
        <v>51.070908331682851</v>
      </c>
      <c r="BB112" s="9">
        <f t="shared" si="34"/>
        <v>152.8137275578452</v>
      </c>
      <c r="BC112" s="10">
        <f t="shared" si="42"/>
        <v>1</v>
      </c>
      <c r="BD112" s="10">
        <f t="shared" si="35"/>
        <v>115</v>
      </c>
      <c r="BE112" s="4">
        <f t="shared" si="38"/>
        <v>10.833333333333334</v>
      </c>
      <c r="BF112" s="4">
        <f t="shared" si="39"/>
        <v>25.138888888888889</v>
      </c>
      <c r="BG112" s="7">
        <f t="shared" si="40"/>
        <v>24.888888888888889</v>
      </c>
      <c r="BH112" s="5">
        <v>46</v>
      </c>
      <c r="BI112" s="3">
        <v>60.086666666666659</v>
      </c>
      <c r="BJ112" s="3">
        <v>34.095555555555549</v>
      </c>
      <c r="BK112" s="3">
        <v>35.882222222222225</v>
      </c>
      <c r="BL112" s="3">
        <v>43.354814814814816</v>
      </c>
      <c r="BM112" s="3">
        <v>130.06444444444443</v>
      </c>
      <c r="BN112" s="18">
        <v>1</v>
      </c>
      <c r="BO112" s="18">
        <v>109</v>
      </c>
      <c r="BP112" s="4">
        <v>11.111111111111111</v>
      </c>
      <c r="BQ112" s="4">
        <v>55.555555555555557</v>
      </c>
      <c r="BR112" s="7">
        <v>48.888888888888886</v>
      </c>
      <c r="BS112" s="18"/>
      <c r="BT112" s="23">
        <v>186</v>
      </c>
    </row>
    <row r="113" spans="1:72" x14ac:dyDescent="0.25">
      <c r="A113" s="18">
        <v>108</v>
      </c>
      <c r="B113" s="18" t="s">
        <v>21</v>
      </c>
      <c r="C113" s="18">
        <v>231</v>
      </c>
      <c r="D113" s="21" t="s">
        <v>9</v>
      </c>
      <c r="E113" s="5"/>
      <c r="F113" s="3">
        <v>40</v>
      </c>
      <c r="G113" s="3">
        <v>32</v>
      </c>
      <c r="H113" s="3">
        <v>30</v>
      </c>
      <c r="I113" s="3">
        <f t="shared" si="27"/>
        <v>34</v>
      </c>
      <c r="J113" s="3">
        <f t="shared" si="28"/>
        <v>102</v>
      </c>
      <c r="K113" s="18">
        <f t="shared" si="41"/>
        <v>4</v>
      </c>
      <c r="L113" s="18">
        <f t="shared" si="26"/>
        <v>255</v>
      </c>
      <c r="M113" s="4"/>
      <c r="N113" s="4"/>
      <c r="O113" s="7"/>
      <c r="P113" s="5">
        <v>18</v>
      </c>
      <c r="Q113" s="3">
        <v>40.925925925925924</v>
      </c>
      <c r="R113" s="3">
        <v>39.333333333333336</v>
      </c>
      <c r="S113" s="3">
        <v>34.259259259259267</v>
      </c>
      <c r="T113" s="3">
        <v>38.172839506172842</v>
      </c>
      <c r="U113" s="3">
        <v>114.51851851851853</v>
      </c>
      <c r="V113" s="18">
        <v>3</v>
      </c>
      <c r="W113" s="18">
        <v>281</v>
      </c>
      <c r="X113" s="4">
        <v>33.333333333333336</v>
      </c>
      <c r="Y113" s="4">
        <v>44.444444444444443</v>
      </c>
      <c r="Z113" s="7">
        <v>55.555555555555557</v>
      </c>
      <c r="AA113" s="5">
        <v>18</v>
      </c>
      <c r="AB113" s="3">
        <v>31.209150326797399</v>
      </c>
      <c r="AC113" s="3">
        <v>50.222222222222221</v>
      </c>
      <c r="AD113" s="3">
        <v>38.552188552188554</v>
      </c>
      <c r="AE113" s="3">
        <v>39.994520367069384</v>
      </c>
      <c r="AF113" s="3">
        <v>119.98356110120817</v>
      </c>
      <c r="AG113" s="18">
        <v>2</v>
      </c>
      <c r="AH113" s="18">
        <v>216</v>
      </c>
      <c r="AI113" s="4">
        <v>44.444444444444443</v>
      </c>
      <c r="AJ113" s="4">
        <v>22.222222222222221</v>
      </c>
      <c r="AK113" s="7">
        <v>27.777777777777779</v>
      </c>
      <c r="AL113" s="5">
        <v>18</v>
      </c>
      <c r="AM113" s="3">
        <v>48.269896193771636</v>
      </c>
      <c r="AN113" s="3">
        <v>42.857142857142854</v>
      </c>
      <c r="AO113" s="3">
        <v>38.581314878892741</v>
      </c>
      <c r="AP113" s="3">
        <v>43.236117976602401</v>
      </c>
      <c r="AQ113" s="3">
        <v>129.70835392980723</v>
      </c>
      <c r="AR113" s="18">
        <v>4</v>
      </c>
      <c r="AS113" s="18">
        <v>234</v>
      </c>
      <c r="AT113" s="4">
        <v>11.764705882352942</v>
      </c>
      <c r="AU113" s="4">
        <v>17.647058823529413</v>
      </c>
      <c r="AV113" s="7">
        <v>29.411764705882351</v>
      </c>
      <c r="AW113" s="10">
        <f t="shared" si="29"/>
        <v>18</v>
      </c>
      <c r="AX113" s="9">
        <f t="shared" si="30"/>
        <v>40.13499081549832</v>
      </c>
      <c r="AY113" s="9">
        <f t="shared" si="31"/>
        <v>44.137566137566132</v>
      </c>
      <c r="AZ113" s="9">
        <f t="shared" si="32"/>
        <v>37.130920896780189</v>
      </c>
      <c r="BA113" s="9">
        <f t="shared" si="33"/>
        <v>40.467825949948207</v>
      </c>
      <c r="BB113" s="9">
        <f t="shared" si="34"/>
        <v>121.40347784984465</v>
      </c>
      <c r="BC113" s="10">
        <f t="shared" si="42"/>
        <v>3</v>
      </c>
      <c r="BD113" s="10">
        <f t="shared" si="35"/>
        <v>257</v>
      </c>
      <c r="BE113" s="4">
        <f t="shared" si="38"/>
        <v>28.104575163398692</v>
      </c>
      <c r="BF113" s="4">
        <f t="shared" si="39"/>
        <v>19.934640522875817</v>
      </c>
      <c r="BG113" s="7">
        <f t="shared" si="40"/>
        <v>28.594771241830067</v>
      </c>
      <c r="BH113" s="5">
        <v>18</v>
      </c>
      <c r="BI113" s="3">
        <v>42.638888888888886</v>
      </c>
      <c r="BJ113" s="3">
        <v>31.983333333333334</v>
      </c>
      <c r="BK113" s="3">
        <v>29.405555555555551</v>
      </c>
      <c r="BL113" s="3">
        <v>34.675925925925931</v>
      </c>
      <c r="BM113" s="3">
        <v>104.02777777777777</v>
      </c>
      <c r="BN113" s="18">
        <v>3</v>
      </c>
      <c r="BO113" s="18">
        <v>256</v>
      </c>
      <c r="BP113" s="4">
        <v>33.333333333333336</v>
      </c>
      <c r="BQ113" s="4">
        <v>44.444444444444443</v>
      </c>
      <c r="BR113" s="7">
        <v>55.555555555555557</v>
      </c>
      <c r="BS113" s="18"/>
      <c r="BT113" s="23">
        <v>231</v>
      </c>
    </row>
    <row r="114" spans="1:72" x14ac:dyDescent="0.25">
      <c r="A114" s="18">
        <v>109</v>
      </c>
      <c r="B114" s="18" t="s">
        <v>21</v>
      </c>
      <c r="C114" s="18">
        <v>235</v>
      </c>
      <c r="D114" s="21" t="s">
        <v>9</v>
      </c>
      <c r="E114" s="5"/>
      <c r="F114" s="3">
        <v>36.666666666666664</v>
      </c>
      <c r="G114" s="3">
        <v>36.76</v>
      </c>
      <c r="H114" s="3">
        <v>24.933333333333334</v>
      </c>
      <c r="I114" s="3">
        <f t="shared" si="27"/>
        <v>32.786666666666669</v>
      </c>
      <c r="J114" s="3">
        <f t="shared" si="28"/>
        <v>98.36</v>
      </c>
      <c r="K114" s="18">
        <f t="shared" si="41"/>
        <v>5</v>
      </c>
      <c r="L114" s="18">
        <f t="shared" si="26"/>
        <v>264</v>
      </c>
      <c r="M114" s="4"/>
      <c r="N114" s="4"/>
      <c r="O114" s="7"/>
      <c r="P114" s="5">
        <v>54</v>
      </c>
      <c r="Q114" s="3">
        <v>42.407407407407405</v>
      </c>
      <c r="R114" s="3">
        <v>32.370370370370374</v>
      </c>
      <c r="S114" s="3">
        <v>40.555555555555557</v>
      </c>
      <c r="T114" s="3">
        <v>38.44444444444445</v>
      </c>
      <c r="U114" s="3">
        <v>115.33333333333333</v>
      </c>
      <c r="V114" s="18">
        <v>2</v>
      </c>
      <c r="W114" s="18">
        <v>279</v>
      </c>
      <c r="X114" s="4">
        <v>20.37037037037037</v>
      </c>
      <c r="Y114" s="4">
        <v>48.148148148148145</v>
      </c>
      <c r="Z114" s="7">
        <v>42.592592592592595</v>
      </c>
      <c r="AA114" s="5">
        <v>56</v>
      </c>
      <c r="AB114" s="3">
        <v>37.97268907563025</v>
      </c>
      <c r="AC114" s="3">
        <v>39.142857142857146</v>
      </c>
      <c r="AD114" s="3">
        <v>38.636363636363626</v>
      </c>
      <c r="AE114" s="3">
        <v>38.583969951617007</v>
      </c>
      <c r="AF114" s="3">
        <v>115.75190985485102</v>
      </c>
      <c r="AG114" s="18">
        <v>3</v>
      </c>
      <c r="AH114" s="18">
        <v>227</v>
      </c>
      <c r="AI114" s="4">
        <v>30.357142857142858</v>
      </c>
      <c r="AJ114" s="4">
        <v>25</v>
      </c>
      <c r="AK114" s="7">
        <v>35.714285714285715</v>
      </c>
      <c r="AL114" s="5">
        <v>56</v>
      </c>
      <c r="AM114" s="3">
        <v>51.523109243697483</v>
      </c>
      <c r="AN114" s="3">
        <v>32.346938775510218</v>
      </c>
      <c r="AO114" s="3">
        <v>53.413865546218524</v>
      </c>
      <c r="AP114" s="3">
        <v>45.761304521808704</v>
      </c>
      <c r="AQ114" s="3">
        <v>137.28391356542622</v>
      </c>
      <c r="AR114" s="18">
        <v>3</v>
      </c>
      <c r="AS114" s="18">
        <v>202</v>
      </c>
      <c r="AT114" s="4">
        <v>7.1428571428571432</v>
      </c>
      <c r="AU114" s="4">
        <v>44.642857142857146</v>
      </c>
      <c r="AV114" s="7">
        <v>14.285714285714286</v>
      </c>
      <c r="AW114" s="10">
        <f t="shared" si="29"/>
        <v>55.333333333333336</v>
      </c>
      <c r="AX114" s="9">
        <f t="shared" si="30"/>
        <v>43.967735242245048</v>
      </c>
      <c r="AY114" s="9">
        <f t="shared" si="31"/>
        <v>34.620055429579246</v>
      </c>
      <c r="AZ114" s="9">
        <f t="shared" si="32"/>
        <v>44.201928246045902</v>
      </c>
      <c r="BA114" s="9">
        <f t="shared" si="33"/>
        <v>40.929906305956727</v>
      </c>
      <c r="BB114" s="9">
        <f t="shared" si="34"/>
        <v>122.78971891787019</v>
      </c>
      <c r="BC114" s="10">
        <f t="shared" si="42"/>
        <v>2</v>
      </c>
      <c r="BD114" s="10">
        <f t="shared" si="35"/>
        <v>248</v>
      </c>
      <c r="BE114" s="4">
        <f t="shared" si="38"/>
        <v>18.75</v>
      </c>
      <c r="BF114" s="4">
        <f t="shared" si="39"/>
        <v>34.821428571428569</v>
      </c>
      <c r="BG114" s="7">
        <f t="shared" si="40"/>
        <v>25</v>
      </c>
      <c r="BH114" s="5">
        <v>56</v>
      </c>
      <c r="BI114" s="3">
        <v>52.903571428571425</v>
      </c>
      <c r="BJ114" s="3">
        <v>30.491071428571423</v>
      </c>
      <c r="BK114" s="3">
        <v>30.826785714285712</v>
      </c>
      <c r="BL114" s="3">
        <v>38.073809523809523</v>
      </c>
      <c r="BM114" s="3">
        <v>114.22142857142856</v>
      </c>
      <c r="BN114" s="18">
        <v>2</v>
      </c>
      <c r="BO114" s="18">
        <v>211</v>
      </c>
      <c r="BP114" s="4">
        <v>16.071428571428573</v>
      </c>
      <c r="BQ114" s="4">
        <v>60.714285714285715</v>
      </c>
      <c r="BR114" s="7">
        <v>58.928571428571431</v>
      </c>
      <c r="BS114" s="18"/>
      <c r="BT114" s="23">
        <v>235</v>
      </c>
    </row>
    <row r="115" spans="1:72" x14ac:dyDescent="0.25">
      <c r="A115" s="1">
        <v>110</v>
      </c>
      <c r="B115" s="18" t="s">
        <v>21</v>
      </c>
      <c r="C115" s="18">
        <v>243</v>
      </c>
      <c r="D115" s="21" t="s">
        <v>9</v>
      </c>
      <c r="E115" s="5"/>
      <c r="F115" s="3">
        <v>40</v>
      </c>
      <c r="G115" s="3">
        <v>40</v>
      </c>
      <c r="H115" s="3">
        <v>30</v>
      </c>
      <c r="I115" s="3">
        <f t="shared" si="27"/>
        <v>36.666666666666664</v>
      </c>
      <c r="J115" s="3">
        <f t="shared" si="28"/>
        <v>110</v>
      </c>
      <c r="K115" s="18">
        <f t="shared" si="41"/>
        <v>3</v>
      </c>
      <c r="L115" s="18">
        <f t="shared" si="26"/>
        <v>229</v>
      </c>
      <c r="M115" s="4"/>
      <c r="N115" s="4"/>
      <c r="O115" s="7"/>
      <c r="P115" s="5">
        <v>15</v>
      </c>
      <c r="Q115" s="3">
        <v>29.111111111111107</v>
      </c>
      <c r="R115" s="3">
        <v>21.333333333333332</v>
      </c>
      <c r="S115" s="3">
        <v>25.111111111111111</v>
      </c>
      <c r="T115" s="3">
        <v>25.185185185185187</v>
      </c>
      <c r="U115" s="3">
        <v>75.555555555555557</v>
      </c>
      <c r="V115" s="18">
        <v>5</v>
      </c>
      <c r="W115" s="18">
        <v>303</v>
      </c>
      <c r="X115" s="4">
        <v>73.333333333333329</v>
      </c>
      <c r="Y115" s="4">
        <v>86.666666666666671</v>
      </c>
      <c r="Z115" s="7">
        <v>80</v>
      </c>
      <c r="AA115" s="5">
        <v>17</v>
      </c>
      <c r="AB115" s="3">
        <v>24.221453287197232</v>
      </c>
      <c r="AC115" s="3">
        <v>32.235294117647058</v>
      </c>
      <c r="AD115" s="3">
        <v>28.163992869875219</v>
      </c>
      <c r="AE115" s="3">
        <v>28.206913424906507</v>
      </c>
      <c r="AF115" s="3">
        <v>84.620740274719509</v>
      </c>
      <c r="AG115" s="18">
        <v>5</v>
      </c>
      <c r="AH115" s="18">
        <v>302</v>
      </c>
      <c r="AI115" s="4">
        <v>64.705882352941174</v>
      </c>
      <c r="AJ115" s="4">
        <v>47.058823529411768</v>
      </c>
      <c r="AK115" s="7">
        <v>64.705882352941174</v>
      </c>
      <c r="AL115" s="5">
        <v>17</v>
      </c>
      <c r="AM115" s="3">
        <v>31.833910034602074</v>
      </c>
      <c r="AN115" s="3">
        <v>7.2268907563025193</v>
      </c>
      <c r="AO115" s="3">
        <v>21.453287197231834</v>
      </c>
      <c r="AP115" s="3">
        <v>20.171362662712141</v>
      </c>
      <c r="AQ115" s="3">
        <v>60.514087988136424</v>
      </c>
      <c r="AR115" s="18">
        <v>6</v>
      </c>
      <c r="AS115" s="18">
        <v>308</v>
      </c>
      <c r="AT115" s="4">
        <v>47.058823529411768</v>
      </c>
      <c r="AU115" s="4">
        <v>100</v>
      </c>
      <c r="AV115" s="7">
        <v>82.352941176470594</v>
      </c>
      <c r="AW115" s="10">
        <f t="shared" si="29"/>
        <v>16.333333333333332</v>
      </c>
      <c r="AX115" s="9">
        <f t="shared" si="30"/>
        <v>28.388824810970135</v>
      </c>
      <c r="AY115" s="9">
        <f t="shared" si="31"/>
        <v>20.265172735760967</v>
      </c>
      <c r="AZ115" s="9">
        <f t="shared" si="32"/>
        <v>24.909463726072719</v>
      </c>
      <c r="BA115" s="9">
        <f t="shared" si="33"/>
        <v>24.521153757601279</v>
      </c>
      <c r="BB115" s="9">
        <f t="shared" si="34"/>
        <v>73.563461272803835</v>
      </c>
      <c r="BC115" s="10">
        <f t="shared" si="42"/>
        <v>6</v>
      </c>
      <c r="BD115" s="10">
        <f t="shared" si="35"/>
        <v>306</v>
      </c>
      <c r="BE115" s="4">
        <f t="shared" si="38"/>
        <v>55.882352941176471</v>
      </c>
      <c r="BF115" s="4">
        <f t="shared" si="39"/>
        <v>73.529411764705884</v>
      </c>
      <c r="BG115" s="7">
        <f t="shared" si="40"/>
        <v>73.529411764705884</v>
      </c>
      <c r="BH115" s="5">
        <v>17</v>
      </c>
      <c r="BI115" s="3">
        <v>38.82352941176471</v>
      </c>
      <c r="BJ115" s="3">
        <v>18.71764705882353</v>
      </c>
      <c r="BK115" s="3">
        <v>19.370588235294115</v>
      </c>
      <c r="BL115" s="3">
        <v>25.637254901960784</v>
      </c>
      <c r="BM115" s="3">
        <v>76.911764705882348</v>
      </c>
      <c r="BN115" s="18">
        <v>6</v>
      </c>
      <c r="BO115" s="18">
        <v>304</v>
      </c>
      <c r="BP115" s="4">
        <v>35.294117647058826</v>
      </c>
      <c r="BQ115" s="4">
        <v>82.352941176470594</v>
      </c>
      <c r="BR115" s="7">
        <v>94.117647058823536</v>
      </c>
      <c r="BS115" s="18"/>
      <c r="BT115" s="23">
        <v>243</v>
      </c>
    </row>
    <row r="116" spans="1:72" x14ac:dyDescent="0.25">
      <c r="A116" s="18">
        <v>111</v>
      </c>
      <c r="B116" s="18" t="s">
        <v>22</v>
      </c>
      <c r="C116" s="18" t="s">
        <v>57</v>
      </c>
      <c r="D116" s="21" t="s">
        <v>10</v>
      </c>
      <c r="E116" s="5"/>
      <c r="F116" s="3"/>
      <c r="G116" s="3"/>
      <c r="H116" s="3"/>
      <c r="I116" s="3" t="str">
        <f t="shared" si="27"/>
        <v/>
      </c>
      <c r="J116" s="3" t="str">
        <f t="shared" si="28"/>
        <v/>
      </c>
      <c r="K116" s="18" t="str">
        <f t="shared" ref="K116:K142" si="43">IF(J116="","",(RANK(J116,$J$116:$J$142)))</f>
        <v/>
      </c>
      <c r="L116" s="18" t="str">
        <f t="shared" si="26"/>
        <v/>
      </c>
      <c r="M116" s="4"/>
      <c r="N116" s="4"/>
      <c r="O116" s="7"/>
      <c r="P116" s="5"/>
      <c r="Q116" s="3"/>
      <c r="R116" s="3"/>
      <c r="S116" s="3"/>
      <c r="T116" s="3"/>
      <c r="U116" s="3" t="s">
        <v>35</v>
      </c>
      <c r="V116" s="18" t="s">
        <v>35</v>
      </c>
      <c r="W116" s="18" t="s">
        <v>35</v>
      </c>
      <c r="X116" s="4" t="s">
        <v>35</v>
      </c>
      <c r="Y116" s="4" t="s">
        <v>35</v>
      </c>
      <c r="Z116" s="7" t="s">
        <v>35</v>
      </c>
      <c r="AA116" s="5"/>
      <c r="AB116" s="3"/>
      <c r="AC116" s="3"/>
      <c r="AD116" s="3"/>
      <c r="AE116" s="3"/>
      <c r="AF116" s="3" t="s">
        <v>35</v>
      </c>
      <c r="AG116" s="18" t="s">
        <v>35</v>
      </c>
      <c r="AH116" s="18" t="s">
        <v>35</v>
      </c>
      <c r="AI116" s="4" t="s">
        <v>35</v>
      </c>
      <c r="AJ116" s="4" t="s">
        <v>35</v>
      </c>
      <c r="AK116" s="7" t="s">
        <v>35</v>
      </c>
      <c r="AL116" s="5"/>
      <c r="AM116" s="3"/>
      <c r="AN116" s="3"/>
      <c r="AO116" s="3"/>
      <c r="AP116" s="3"/>
      <c r="AQ116" s="3" t="s">
        <v>35</v>
      </c>
      <c r="AR116" s="18" t="s">
        <v>35</v>
      </c>
      <c r="AS116" s="18" t="s">
        <v>35</v>
      </c>
      <c r="AT116" s="4" t="s">
        <v>35</v>
      </c>
      <c r="AU116" s="4" t="s">
        <v>35</v>
      </c>
      <c r="AV116" s="7" t="s">
        <v>35</v>
      </c>
      <c r="AW116" s="10"/>
      <c r="AX116" s="9"/>
      <c r="AY116" s="9"/>
      <c r="AZ116" s="9"/>
      <c r="BA116" s="9"/>
      <c r="BB116" s="9"/>
      <c r="BC116" s="10" t="str">
        <f>IF(BB116="","",(RANK(BB116,$BB$116:$BB$142)))</f>
        <v/>
      </c>
      <c r="BD116" s="10" t="str">
        <f t="shared" si="35"/>
        <v/>
      </c>
      <c r="BE116" s="4"/>
      <c r="BF116" s="4"/>
      <c r="BG116" s="7"/>
      <c r="BH116" s="5"/>
      <c r="BI116" s="3"/>
      <c r="BJ116" s="3"/>
      <c r="BK116" s="3"/>
      <c r="BL116" s="3"/>
      <c r="BM116" s="3"/>
      <c r="BN116" s="18"/>
      <c r="BO116" s="18"/>
      <c r="BP116" s="4"/>
      <c r="BQ116" s="4"/>
      <c r="BR116" s="7"/>
      <c r="BS116" s="18"/>
      <c r="BT116" s="23">
        <v>7</v>
      </c>
    </row>
    <row r="117" spans="1:72" x14ac:dyDescent="0.25">
      <c r="A117" s="18">
        <v>112</v>
      </c>
      <c r="B117" s="18" t="s">
        <v>22</v>
      </c>
      <c r="C117" s="18">
        <v>105</v>
      </c>
      <c r="D117" s="21" t="s">
        <v>9</v>
      </c>
      <c r="E117" s="5"/>
      <c r="F117" s="3">
        <v>36.666666666666664</v>
      </c>
      <c r="G117" s="3">
        <v>42</v>
      </c>
      <c r="H117" s="3">
        <v>31.333333333333332</v>
      </c>
      <c r="I117" s="3">
        <f t="shared" si="27"/>
        <v>36.666666666666664</v>
      </c>
      <c r="J117" s="3">
        <f t="shared" si="28"/>
        <v>109.99999999999999</v>
      </c>
      <c r="K117" s="18">
        <f t="shared" si="43"/>
        <v>15</v>
      </c>
      <c r="L117" s="18">
        <f t="shared" si="26"/>
        <v>230</v>
      </c>
      <c r="M117" s="4"/>
      <c r="N117" s="4"/>
      <c r="O117" s="7"/>
      <c r="P117" s="5">
        <v>23</v>
      </c>
      <c r="Q117" s="3">
        <v>40.144927536231883</v>
      </c>
      <c r="R117" s="3">
        <v>32.347826086956523</v>
      </c>
      <c r="S117" s="3">
        <v>30.579710144927539</v>
      </c>
      <c r="T117" s="3">
        <v>34.357487922705303</v>
      </c>
      <c r="U117" s="3">
        <v>103.07246376811594</v>
      </c>
      <c r="V117" s="18">
        <v>23</v>
      </c>
      <c r="W117" s="18">
        <v>297</v>
      </c>
      <c r="X117" s="4">
        <v>34.782608695652172</v>
      </c>
      <c r="Y117" s="4">
        <v>47.826086956521742</v>
      </c>
      <c r="Z117" s="7">
        <v>56.521739130434781</v>
      </c>
      <c r="AA117" s="5">
        <v>27</v>
      </c>
      <c r="AB117" s="3">
        <v>27.573529411764699</v>
      </c>
      <c r="AC117" s="3">
        <v>30</v>
      </c>
      <c r="AD117" s="3">
        <v>26.010101010101007</v>
      </c>
      <c r="AE117" s="3">
        <v>27.861210140621903</v>
      </c>
      <c r="AF117" s="3">
        <v>83.583630421865706</v>
      </c>
      <c r="AG117" s="18">
        <v>24</v>
      </c>
      <c r="AH117" s="18">
        <v>303</v>
      </c>
      <c r="AI117" s="4">
        <v>70.833333333333329</v>
      </c>
      <c r="AJ117" s="4">
        <v>62.5</v>
      </c>
      <c r="AK117" s="7">
        <v>75</v>
      </c>
      <c r="AL117" s="5">
        <v>27</v>
      </c>
      <c r="AM117" s="3">
        <v>35.805626598465473</v>
      </c>
      <c r="AN117" s="3">
        <v>21.987577639751553</v>
      </c>
      <c r="AO117" s="3">
        <v>22.890025575447563</v>
      </c>
      <c r="AP117" s="3">
        <v>26.894409937888202</v>
      </c>
      <c r="AQ117" s="3">
        <v>80.683229813664596</v>
      </c>
      <c r="AR117" s="18">
        <v>23</v>
      </c>
      <c r="AS117" s="18">
        <v>303</v>
      </c>
      <c r="AT117" s="4">
        <v>47.826086956521742</v>
      </c>
      <c r="AU117" s="4">
        <v>86.956521739130437</v>
      </c>
      <c r="AV117" s="7">
        <v>78.260869565217391</v>
      </c>
      <c r="AW117" s="10">
        <f t="shared" si="29"/>
        <v>25.666666666666668</v>
      </c>
      <c r="AX117" s="9">
        <f t="shared" si="30"/>
        <v>34.508027848820689</v>
      </c>
      <c r="AY117" s="9">
        <f t="shared" si="31"/>
        <v>28.111801242236027</v>
      </c>
      <c r="AZ117" s="9">
        <f t="shared" si="32"/>
        <v>26.493278910158704</v>
      </c>
      <c r="BA117" s="9">
        <f t="shared" si="33"/>
        <v>29.70436933373847</v>
      </c>
      <c r="BB117" s="9">
        <f t="shared" si="34"/>
        <v>89.113108001215423</v>
      </c>
      <c r="BC117" s="10">
        <f t="shared" ref="BC117:BC142" si="44">IF(BB117="","",(RANK(BB117,$BB$116:$BB$142)))</f>
        <v>24</v>
      </c>
      <c r="BD117" s="10">
        <f t="shared" si="35"/>
        <v>305</v>
      </c>
      <c r="BE117" s="4">
        <f t="shared" si="38"/>
        <v>59.329710144927532</v>
      </c>
      <c r="BF117" s="4">
        <f t="shared" si="39"/>
        <v>74.728260869565219</v>
      </c>
      <c r="BG117" s="7">
        <f t="shared" si="40"/>
        <v>76.630434782608688</v>
      </c>
      <c r="BH117" s="5">
        <v>27</v>
      </c>
      <c r="BI117" s="3">
        <v>28.696153846153852</v>
      </c>
      <c r="BJ117" s="3">
        <v>13.692307692307686</v>
      </c>
      <c r="BK117" s="3">
        <v>18.888461538461538</v>
      </c>
      <c r="BL117" s="3">
        <v>20.425641025641028</v>
      </c>
      <c r="BM117" s="3">
        <v>61.276923076923076</v>
      </c>
      <c r="BN117" s="18">
        <v>25</v>
      </c>
      <c r="BO117" s="18">
        <v>310</v>
      </c>
      <c r="BP117" s="4">
        <v>61.53846153846154</v>
      </c>
      <c r="BQ117" s="4">
        <v>92.307692307692307</v>
      </c>
      <c r="BR117" s="7">
        <v>92.307692307692307</v>
      </c>
      <c r="BS117" s="18"/>
      <c r="BT117" s="23">
        <v>105</v>
      </c>
    </row>
    <row r="118" spans="1:72" x14ac:dyDescent="0.25">
      <c r="A118" s="18">
        <v>113</v>
      </c>
      <c r="B118" s="18" t="s">
        <v>22</v>
      </c>
      <c r="C118" s="18">
        <v>106</v>
      </c>
      <c r="D118" s="21" t="s">
        <v>9</v>
      </c>
      <c r="E118" s="5"/>
      <c r="F118" s="3">
        <v>39.333333333333336</v>
      </c>
      <c r="G118" s="3">
        <v>60</v>
      </c>
      <c r="H118" s="3">
        <v>49.333333333333336</v>
      </c>
      <c r="I118" s="3">
        <f t="shared" si="27"/>
        <v>49.555555555555564</v>
      </c>
      <c r="J118" s="3">
        <f t="shared" si="28"/>
        <v>148.66666666666669</v>
      </c>
      <c r="K118" s="18">
        <f t="shared" si="43"/>
        <v>6</v>
      </c>
      <c r="L118" s="18">
        <f t="shared" si="26"/>
        <v>86</v>
      </c>
      <c r="M118" s="4"/>
      <c r="N118" s="4"/>
      <c r="O118" s="7"/>
      <c r="P118" s="5">
        <v>140</v>
      </c>
      <c r="Q118" s="3">
        <v>54.833333333333357</v>
      </c>
      <c r="R118" s="3">
        <v>56.057142857142857</v>
      </c>
      <c r="S118" s="3">
        <v>59.333333333333343</v>
      </c>
      <c r="T118" s="3">
        <v>56.741269841269819</v>
      </c>
      <c r="U118" s="3">
        <v>170.22380952380956</v>
      </c>
      <c r="V118" s="18">
        <v>3</v>
      </c>
      <c r="W118" s="18">
        <v>83</v>
      </c>
      <c r="X118" s="4">
        <v>16.428571428571427</v>
      </c>
      <c r="Y118" s="4">
        <v>17.857142857142858</v>
      </c>
      <c r="Z118" s="7">
        <v>12.857142857142858</v>
      </c>
      <c r="AA118" s="5">
        <v>144</v>
      </c>
      <c r="AB118" s="3">
        <v>45.132560066280007</v>
      </c>
      <c r="AC118" s="3">
        <v>53.605633802816904</v>
      </c>
      <c r="AD118" s="3">
        <v>52.390098164746007</v>
      </c>
      <c r="AE118" s="3">
        <v>50.376097344614344</v>
      </c>
      <c r="AF118" s="3">
        <v>151.12829203384291</v>
      </c>
      <c r="AG118" s="18">
        <v>4</v>
      </c>
      <c r="AH118" s="18">
        <v>92</v>
      </c>
      <c r="AI118" s="4">
        <v>21.830985915492956</v>
      </c>
      <c r="AJ118" s="4">
        <v>9.8591549295774641</v>
      </c>
      <c r="AK118" s="7">
        <v>14.788732394366198</v>
      </c>
      <c r="AL118" s="5">
        <v>143</v>
      </c>
      <c r="AM118" s="3">
        <v>57.482698961937722</v>
      </c>
      <c r="AN118" s="3">
        <v>42.94117647058826</v>
      </c>
      <c r="AO118" s="3">
        <v>55.557958477508606</v>
      </c>
      <c r="AP118" s="3">
        <v>51.993944636678201</v>
      </c>
      <c r="AQ118" s="3">
        <v>155.9818339100346</v>
      </c>
      <c r="AR118" s="18">
        <v>5</v>
      </c>
      <c r="AS118" s="18">
        <v>117</v>
      </c>
      <c r="AT118" s="4">
        <v>15.441176470588236</v>
      </c>
      <c r="AU118" s="4">
        <v>23.529411764705884</v>
      </c>
      <c r="AV118" s="7">
        <v>12.5</v>
      </c>
      <c r="AW118" s="10">
        <f t="shared" si="29"/>
        <v>142.33333333333334</v>
      </c>
      <c r="AX118" s="9">
        <f t="shared" si="30"/>
        <v>52.482864120517029</v>
      </c>
      <c r="AY118" s="9">
        <f t="shared" si="31"/>
        <v>50.867984376849336</v>
      </c>
      <c r="AZ118" s="9">
        <f t="shared" si="32"/>
        <v>55.760463325195985</v>
      </c>
      <c r="BA118" s="9">
        <f t="shared" si="33"/>
        <v>53.037103940854117</v>
      </c>
      <c r="BB118" s="9">
        <f t="shared" si="34"/>
        <v>159.11131182256236</v>
      </c>
      <c r="BC118" s="10">
        <f t="shared" si="44"/>
        <v>3</v>
      </c>
      <c r="BD118" s="10">
        <f t="shared" si="35"/>
        <v>90</v>
      </c>
      <c r="BE118" s="4">
        <f t="shared" si="38"/>
        <v>18.636081193040596</v>
      </c>
      <c r="BF118" s="4">
        <f t="shared" si="39"/>
        <v>16.694283347141674</v>
      </c>
      <c r="BG118" s="7">
        <f t="shared" si="40"/>
        <v>13.6443661971831</v>
      </c>
      <c r="BH118" s="5">
        <v>143</v>
      </c>
      <c r="BI118" s="3">
        <v>52.67588652482268</v>
      </c>
      <c r="BJ118" s="3">
        <v>31.102836879432644</v>
      </c>
      <c r="BK118" s="3">
        <v>35.795744680851065</v>
      </c>
      <c r="BL118" s="3">
        <v>39.858156028368825</v>
      </c>
      <c r="BM118" s="3">
        <v>119.5744680851063</v>
      </c>
      <c r="BN118" s="18">
        <v>7</v>
      </c>
      <c r="BO118" s="18">
        <v>167</v>
      </c>
      <c r="BP118" s="4">
        <v>20.567375886524822</v>
      </c>
      <c r="BQ118" s="4">
        <v>58.156028368794324</v>
      </c>
      <c r="BR118" s="7">
        <v>54.609929078014183</v>
      </c>
      <c r="BS118" s="18"/>
      <c r="BT118" s="23">
        <v>106</v>
      </c>
    </row>
    <row r="119" spans="1:72" x14ac:dyDescent="0.25">
      <c r="A119" s="18">
        <v>114</v>
      </c>
      <c r="B119" s="18" t="s">
        <v>22</v>
      </c>
      <c r="C119" s="18">
        <v>110</v>
      </c>
      <c r="D119" s="21" t="s">
        <v>9</v>
      </c>
      <c r="E119" s="5"/>
      <c r="F119" s="3">
        <v>44.333333333333336</v>
      </c>
      <c r="G119" s="3">
        <v>37.200000000000003</v>
      </c>
      <c r="H119" s="3">
        <v>20</v>
      </c>
      <c r="I119" s="3">
        <f t="shared" si="27"/>
        <v>33.844444444444441</v>
      </c>
      <c r="J119" s="3">
        <f t="shared" si="28"/>
        <v>101.53333333333333</v>
      </c>
      <c r="K119" s="18">
        <f t="shared" si="43"/>
        <v>18</v>
      </c>
      <c r="L119" s="18">
        <f t="shared" si="26"/>
        <v>257</v>
      </c>
      <c r="M119" s="4"/>
      <c r="N119" s="4"/>
      <c r="O119" s="7"/>
      <c r="P119" s="5">
        <v>65</v>
      </c>
      <c r="Q119" s="3">
        <v>39.794871794871796</v>
      </c>
      <c r="R119" s="3">
        <v>47.876923076923077</v>
      </c>
      <c r="S119" s="3">
        <v>42.000000000000021</v>
      </c>
      <c r="T119" s="3">
        <v>43.223931623931648</v>
      </c>
      <c r="U119" s="3">
        <v>129.6717948717949</v>
      </c>
      <c r="V119" s="18">
        <v>14</v>
      </c>
      <c r="W119" s="18">
        <v>238</v>
      </c>
      <c r="X119" s="4">
        <v>32.307692307692307</v>
      </c>
      <c r="Y119" s="4">
        <v>24.615384615384617</v>
      </c>
      <c r="Z119" s="7">
        <v>38.46153846153846</v>
      </c>
      <c r="AA119" s="5">
        <v>67</v>
      </c>
      <c r="AB119" s="3">
        <v>33.67647058823529</v>
      </c>
      <c r="AC119" s="3">
        <v>44.406779661016948</v>
      </c>
      <c r="AD119" s="3">
        <v>35.695942475603495</v>
      </c>
      <c r="AE119" s="3">
        <v>37.611051693404647</v>
      </c>
      <c r="AF119" s="3">
        <v>113.77919272485573</v>
      </c>
      <c r="AG119" s="18">
        <v>19</v>
      </c>
      <c r="AH119" s="18">
        <v>237</v>
      </c>
      <c r="AI119" s="4">
        <v>40</v>
      </c>
      <c r="AJ119" s="4">
        <v>20.338983050847457</v>
      </c>
      <c r="AK119" s="7">
        <v>40.677966101694913</v>
      </c>
      <c r="AL119" s="5">
        <v>67</v>
      </c>
      <c r="AM119" s="3">
        <v>57.904411764705884</v>
      </c>
      <c r="AN119" s="3">
        <v>31.517857142857139</v>
      </c>
      <c r="AO119" s="3">
        <v>37.913602941176471</v>
      </c>
      <c r="AP119" s="3">
        <v>42.445290616246474</v>
      </c>
      <c r="AQ119" s="3">
        <v>127.33587184873949</v>
      </c>
      <c r="AR119" s="18">
        <v>16</v>
      </c>
      <c r="AS119" s="18">
        <v>243</v>
      </c>
      <c r="AT119" s="4">
        <v>17.1875</v>
      </c>
      <c r="AU119" s="4">
        <v>51.5625</v>
      </c>
      <c r="AV119" s="7">
        <v>43.75</v>
      </c>
      <c r="AW119" s="10">
        <f t="shared" si="29"/>
        <v>66.333333333333329</v>
      </c>
      <c r="AX119" s="9">
        <f t="shared" si="30"/>
        <v>43.791918049270997</v>
      </c>
      <c r="AY119" s="9">
        <f t="shared" si="31"/>
        <v>41.267186626932386</v>
      </c>
      <c r="AZ119" s="9">
        <f t="shared" si="32"/>
        <v>38.53651513892666</v>
      </c>
      <c r="BA119" s="9">
        <f t="shared" si="33"/>
        <v>41.093424644527595</v>
      </c>
      <c r="BB119" s="9">
        <f t="shared" si="34"/>
        <v>123.59561981513004</v>
      </c>
      <c r="BC119" s="10">
        <f t="shared" si="44"/>
        <v>16</v>
      </c>
      <c r="BD119" s="10">
        <f t="shared" si="35"/>
        <v>246</v>
      </c>
      <c r="BE119" s="4">
        <f t="shared" si="38"/>
        <v>28.59375</v>
      </c>
      <c r="BF119" s="4">
        <f t="shared" si="39"/>
        <v>35.95074152542373</v>
      </c>
      <c r="BG119" s="7">
        <f t="shared" si="40"/>
        <v>42.21398305084746</v>
      </c>
      <c r="BH119" s="5">
        <v>66</v>
      </c>
      <c r="BI119" s="3">
        <v>48.515151515151501</v>
      </c>
      <c r="BJ119" s="3">
        <v>36.669696969696972</v>
      </c>
      <c r="BK119" s="3">
        <v>28.290909090909082</v>
      </c>
      <c r="BL119" s="3">
        <v>37.825252525252516</v>
      </c>
      <c r="BM119" s="3">
        <v>113.47575757575758</v>
      </c>
      <c r="BN119" s="18">
        <v>12</v>
      </c>
      <c r="BO119" s="18">
        <v>213</v>
      </c>
      <c r="BP119" s="4">
        <v>16.666666666666668</v>
      </c>
      <c r="BQ119" s="4">
        <v>54.545454545454547</v>
      </c>
      <c r="BR119" s="7">
        <v>65.151515151515156</v>
      </c>
      <c r="BS119" s="18"/>
      <c r="BT119" s="23">
        <v>110</v>
      </c>
    </row>
    <row r="120" spans="1:72" x14ac:dyDescent="0.25">
      <c r="A120" s="1">
        <v>115</v>
      </c>
      <c r="B120" s="18" t="s">
        <v>22</v>
      </c>
      <c r="C120" s="18">
        <v>127</v>
      </c>
      <c r="D120" s="21" t="s">
        <v>9</v>
      </c>
      <c r="E120" s="5"/>
      <c r="F120" s="3">
        <v>51.666666666666664</v>
      </c>
      <c r="G120" s="3">
        <v>51.2</v>
      </c>
      <c r="H120" s="3">
        <v>42.333333333333336</v>
      </c>
      <c r="I120" s="3">
        <f t="shared" si="27"/>
        <v>48.400000000000006</v>
      </c>
      <c r="J120" s="3">
        <f t="shared" si="28"/>
        <v>145.20000000000002</v>
      </c>
      <c r="K120" s="18">
        <f t="shared" si="43"/>
        <v>7</v>
      </c>
      <c r="L120" s="18">
        <f t="shared" si="26"/>
        <v>103</v>
      </c>
      <c r="M120" s="4"/>
      <c r="N120" s="4"/>
      <c r="O120" s="7"/>
      <c r="P120" s="5">
        <v>83</v>
      </c>
      <c r="Q120" s="3">
        <v>47.871485943775099</v>
      </c>
      <c r="R120" s="3">
        <v>50.554216867469883</v>
      </c>
      <c r="S120" s="3">
        <v>46.305220883534126</v>
      </c>
      <c r="T120" s="3">
        <v>48.243641231593031</v>
      </c>
      <c r="U120" s="3">
        <v>144.73092369477911</v>
      </c>
      <c r="V120" s="18">
        <v>9</v>
      </c>
      <c r="W120" s="18">
        <v>170</v>
      </c>
      <c r="X120" s="4">
        <v>21.686746987951807</v>
      </c>
      <c r="Y120" s="4">
        <v>15.662650602409638</v>
      </c>
      <c r="Z120" s="7">
        <v>32.53012048192771</v>
      </c>
      <c r="AA120" s="5">
        <v>89</v>
      </c>
      <c r="AB120" s="3">
        <v>53.079584775086495</v>
      </c>
      <c r="AC120" s="3">
        <v>70.476190476190482</v>
      </c>
      <c r="AD120" s="3">
        <v>58.609625668449219</v>
      </c>
      <c r="AE120" s="3">
        <v>60.76243402886999</v>
      </c>
      <c r="AF120" s="3">
        <v>182.16540091972618</v>
      </c>
      <c r="AG120" s="18">
        <v>1</v>
      </c>
      <c r="AH120" s="18">
        <v>22</v>
      </c>
      <c r="AI120" s="4">
        <v>2.3529411764705883</v>
      </c>
      <c r="AJ120" s="4">
        <v>2.4390243902439024</v>
      </c>
      <c r="AK120" s="7">
        <v>5.882352941176471</v>
      </c>
      <c r="AL120" s="5">
        <v>89</v>
      </c>
      <c r="AM120" s="3">
        <v>59.307958477508649</v>
      </c>
      <c r="AN120" s="3">
        <v>54.521008403361357</v>
      </c>
      <c r="AO120" s="3">
        <v>60.346020761245683</v>
      </c>
      <c r="AP120" s="3">
        <v>58.058329214038565</v>
      </c>
      <c r="AQ120" s="3">
        <v>174.1749876421157</v>
      </c>
      <c r="AR120" s="18">
        <v>1</v>
      </c>
      <c r="AS120" s="18">
        <v>55</v>
      </c>
      <c r="AT120" s="4">
        <v>1.1764705882352942</v>
      </c>
      <c r="AU120" s="4">
        <v>5.882352941176471</v>
      </c>
      <c r="AV120" s="7">
        <v>2.3529411764705883</v>
      </c>
      <c r="AW120" s="10">
        <f t="shared" si="29"/>
        <v>87</v>
      </c>
      <c r="AX120" s="9">
        <f t="shared" si="30"/>
        <v>53.419676398790081</v>
      </c>
      <c r="AY120" s="9">
        <f t="shared" si="31"/>
        <v>58.517138582340571</v>
      </c>
      <c r="AZ120" s="9">
        <f t="shared" si="32"/>
        <v>55.08695577107634</v>
      </c>
      <c r="BA120" s="9">
        <f t="shared" si="33"/>
        <v>55.688134824833867</v>
      </c>
      <c r="BB120" s="9">
        <f t="shared" si="34"/>
        <v>167.02377075220699</v>
      </c>
      <c r="BC120" s="10">
        <f t="shared" si="44"/>
        <v>1</v>
      </c>
      <c r="BD120" s="10">
        <f t="shared" si="35"/>
        <v>67</v>
      </c>
      <c r="BE120" s="4">
        <f t="shared" si="38"/>
        <v>1.7647058823529411</v>
      </c>
      <c r="BF120" s="4">
        <f t="shared" si="39"/>
        <v>4.1606886657101869</v>
      </c>
      <c r="BG120" s="7">
        <f t="shared" si="40"/>
        <v>4.1176470588235299</v>
      </c>
      <c r="BH120" s="5">
        <v>89</v>
      </c>
      <c r="BI120" s="3">
        <v>47.964044943820227</v>
      </c>
      <c r="BJ120" s="3">
        <v>35.739325842696658</v>
      </c>
      <c r="BK120" s="3">
        <v>34.731460674157312</v>
      </c>
      <c r="BL120" s="3">
        <v>39.478277153558054</v>
      </c>
      <c r="BM120" s="3">
        <v>118.43483146067416</v>
      </c>
      <c r="BN120" s="18">
        <v>11</v>
      </c>
      <c r="BO120" s="18">
        <v>179</v>
      </c>
      <c r="BP120" s="4">
        <v>23.59550561797753</v>
      </c>
      <c r="BQ120" s="4">
        <v>51.685393258426963</v>
      </c>
      <c r="BR120" s="7">
        <v>57.303370786516851</v>
      </c>
      <c r="BS120" s="18"/>
      <c r="BT120" s="23">
        <v>127</v>
      </c>
    </row>
    <row r="121" spans="1:72" x14ac:dyDescent="0.25">
      <c r="A121" s="18">
        <v>116</v>
      </c>
      <c r="B121" s="18" t="s">
        <v>22</v>
      </c>
      <c r="C121" s="18">
        <v>139</v>
      </c>
      <c r="D121" s="21" t="s">
        <v>9</v>
      </c>
      <c r="E121" s="5"/>
      <c r="F121" s="3">
        <v>51.666666666666664</v>
      </c>
      <c r="G121" s="3">
        <v>46</v>
      </c>
      <c r="H121" s="3">
        <v>35.333333333333336</v>
      </c>
      <c r="I121" s="3">
        <f t="shared" si="27"/>
        <v>44.333333333333336</v>
      </c>
      <c r="J121" s="3">
        <f t="shared" si="28"/>
        <v>133</v>
      </c>
      <c r="K121" s="18">
        <f t="shared" si="43"/>
        <v>9</v>
      </c>
      <c r="L121" s="18">
        <f t="shared" si="26"/>
        <v>147</v>
      </c>
      <c r="M121" s="4"/>
      <c r="N121" s="4"/>
      <c r="O121" s="7"/>
      <c r="P121" s="5">
        <v>119</v>
      </c>
      <c r="Q121" s="3">
        <v>53.473389355742292</v>
      </c>
      <c r="R121" s="3">
        <v>43.663865546218489</v>
      </c>
      <c r="S121" s="3">
        <v>52.717086834733912</v>
      </c>
      <c r="T121" s="3">
        <v>49.951447245564907</v>
      </c>
      <c r="U121" s="3">
        <v>149.85434173669469</v>
      </c>
      <c r="V121" s="18">
        <v>7</v>
      </c>
      <c r="W121" s="18">
        <v>144</v>
      </c>
      <c r="X121" s="4">
        <v>15.966386554621849</v>
      </c>
      <c r="Y121" s="4">
        <v>27.731092436974791</v>
      </c>
      <c r="Z121" s="7">
        <v>21.84873949579832</v>
      </c>
      <c r="AA121" s="5">
        <v>139</v>
      </c>
      <c r="AB121" s="3">
        <v>49.811764705882347</v>
      </c>
      <c r="AC121" s="3">
        <v>49.024000000000001</v>
      </c>
      <c r="AD121" s="3">
        <v>52.969696969696983</v>
      </c>
      <c r="AE121" s="3">
        <v>50.601820558526448</v>
      </c>
      <c r="AF121" s="3">
        <v>151.80546167557935</v>
      </c>
      <c r="AG121" s="18">
        <v>2</v>
      </c>
      <c r="AH121" s="18">
        <v>88</v>
      </c>
      <c r="AI121" s="4">
        <v>18.399999999999999</v>
      </c>
      <c r="AJ121" s="4">
        <v>26.4</v>
      </c>
      <c r="AK121" s="7">
        <v>21.6</v>
      </c>
      <c r="AL121" s="5">
        <v>138</v>
      </c>
      <c r="AM121" s="3">
        <v>54.304160688665725</v>
      </c>
      <c r="AN121" s="3">
        <v>34.819976771196288</v>
      </c>
      <c r="AO121" s="3">
        <v>60.832137733142069</v>
      </c>
      <c r="AP121" s="3">
        <v>49.98542506433467</v>
      </c>
      <c r="AQ121" s="3">
        <v>149.95627519300407</v>
      </c>
      <c r="AR121" s="18">
        <v>6</v>
      </c>
      <c r="AS121" s="18">
        <v>141</v>
      </c>
      <c r="AT121" s="4">
        <v>21.13821138211382</v>
      </c>
      <c r="AU121" s="4">
        <v>45.528455284552848</v>
      </c>
      <c r="AV121" s="7">
        <v>8.1300813008130088</v>
      </c>
      <c r="AW121" s="10">
        <f t="shared" si="29"/>
        <v>132</v>
      </c>
      <c r="AX121" s="9">
        <f t="shared" si="30"/>
        <v>52.529771583430119</v>
      </c>
      <c r="AY121" s="9">
        <f t="shared" si="31"/>
        <v>42.502614105804923</v>
      </c>
      <c r="AZ121" s="9">
        <f t="shared" si="32"/>
        <v>55.506307179190991</v>
      </c>
      <c r="BA121" s="9">
        <f t="shared" si="33"/>
        <v>50.179564289475337</v>
      </c>
      <c r="BB121" s="9">
        <f t="shared" si="34"/>
        <v>150.53869286842607</v>
      </c>
      <c r="BC121" s="10">
        <f t="shared" si="44"/>
        <v>6</v>
      </c>
      <c r="BD121" s="10">
        <f t="shared" si="35"/>
        <v>123</v>
      </c>
      <c r="BE121" s="4">
        <f t="shared" si="38"/>
        <v>19.769105691056907</v>
      </c>
      <c r="BF121" s="4">
        <f t="shared" si="39"/>
        <v>35.964227642276427</v>
      </c>
      <c r="BG121" s="7">
        <f t="shared" si="40"/>
        <v>14.865040650406506</v>
      </c>
      <c r="BH121" s="5">
        <v>138</v>
      </c>
      <c r="BI121" s="3">
        <v>57.212318840579712</v>
      </c>
      <c r="BJ121" s="3">
        <v>36.66811594202899</v>
      </c>
      <c r="BK121" s="3">
        <v>44.630434782608738</v>
      </c>
      <c r="BL121" s="3">
        <v>46.170289855072468</v>
      </c>
      <c r="BM121" s="3">
        <v>138.51086956521738</v>
      </c>
      <c r="BN121" s="18">
        <v>2</v>
      </c>
      <c r="BO121" s="18">
        <v>77</v>
      </c>
      <c r="BP121" s="4">
        <v>12.318840579710145</v>
      </c>
      <c r="BQ121" s="4">
        <v>52.89855072463768</v>
      </c>
      <c r="BR121" s="7">
        <v>36.231884057971016</v>
      </c>
      <c r="BS121" s="18"/>
      <c r="BT121" s="23">
        <v>139</v>
      </c>
    </row>
    <row r="122" spans="1:72" x14ac:dyDescent="0.25">
      <c r="A122" s="18">
        <v>117</v>
      </c>
      <c r="B122" s="18" t="s">
        <v>22</v>
      </c>
      <c r="C122" s="18">
        <v>166</v>
      </c>
      <c r="D122" s="21" t="s">
        <v>11</v>
      </c>
      <c r="E122" s="5"/>
      <c r="F122" s="3">
        <v>39.666666666666664</v>
      </c>
      <c r="G122" s="3">
        <v>36</v>
      </c>
      <c r="H122" s="3">
        <v>32</v>
      </c>
      <c r="I122" s="3">
        <f t="shared" si="27"/>
        <v>35.888888888888886</v>
      </c>
      <c r="J122" s="3">
        <f t="shared" si="28"/>
        <v>107.66666666666666</v>
      </c>
      <c r="K122" s="18">
        <f t="shared" si="43"/>
        <v>16</v>
      </c>
      <c r="L122" s="18">
        <f t="shared" si="26"/>
        <v>239</v>
      </c>
      <c r="M122" s="4"/>
      <c r="N122" s="4"/>
      <c r="O122" s="7"/>
      <c r="P122" s="5">
        <v>145</v>
      </c>
      <c r="Q122" s="3">
        <v>45.333333333333336</v>
      </c>
      <c r="R122" s="3">
        <v>48.441379310344828</v>
      </c>
      <c r="S122" s="3">
        <v>40.85057471264367</v>
      </c>
      <c r="T122" s="3">
        <v>44.875095785440635</v>
      </c>
      <c r="U122" s="3">
        <v>134.62528735632182</v>
      </c>
      <c r="V122" s="18">
        <v>11</v>
      </c>
      <c r="W122" s="18">
        <v>210</v>
      </c>
      <c r="X122" s="4">
        <v>31.724137931034484</v>
      </c>
      <c r="Y122" s="4">
        <v>29.655172413793103</v>
      </c>
      <c r="Z122" s="7">
        <v>44.137931034482762</v>
      </c>
      <c r="AA122" s="5">
        <v>122</v>
      </c>
      <c r="AB122" s="3">
        <v>38.912024986985969</v>
      </c>
      <c r="AC122" s="3">
        <v>52.535714285714285</v>
      </c>
      <c r="AD122" s="3">
        <v>38.103254769921421</v>
      </c>
      <c r="AE122" s="3">
        <v>42.830743667807717</v>
      </c>
      <c r="AF122" s="3">
        <v>129.55099404262168</v>
      </c>
      <c r="AG122" s="18">
        <v>11</v>
      </c>
      <c r="AH122" s="18">
        <v>177</v>
      </c>
      <c r="AI122" s="4">
        <v>42.477876106194692</v>
      </c>
      <c r="AJ122" s="4">
        <v>25</v>
      </c>
      <c r="AK122" s="7">
        <v>38.888888888888886</v>
      </c>
      <c r="AL122" s="5">
        <v>143</v>
      </c>
      <c r="AM122" s="3">
        <v>55.505882352941178</v>
      </c>
      <c r="AN122" s="3">
        <v>40.205714285714279</v>
      </c>
      <c r="AO122" s="3">
        <v>51.905882352941184</v>
      </c>
      <c r="AP122" s="3">
        <v>49.205826330532211</v>
      </c>
      <c r="AQ122" s="3">
        <v>147.61747899159664</v>
      </c>
      <c r="AR122" s="18">
        <v>7</v>
      </c>
      <c r="AS122" s="18">
        <v>153</v>
      </c>
      <c r="AT122" s="4">
        <v>20</v>
      </c>
      <c r="AU122" s="4">
        <v>44.8</v>
      </c>
      <c r="AV122" s="7">
        <v>26.612903225806452</v>
      </c>
      <c r="AW122" s="10">
        <f t="shared" si="29"/>
        <v>136.66666666666666</v>
      </c>
      <c r="AX122" s="9">
        <f t="shared" si="30"/>
        <v>46.583746891086825</v>
      </c>
      <c r="AY122" s="9">
        <f t="shared" si="31"/>
        <v>47.060935960591131</v>
      </c>
      <c r="AZ122" s="9">
        <f t="shared" si="32"/>
        <v>43.619903945168751</v>
      </c>
      <c r="BA122" s="9">
        <f t="shared" si="33"/>
        <v>45.637221927926852</v>
      </c>
      <c r="BB122" s="9">
        <f t="shared" si="34"/>
        <v>137.26458679684671</v>
      </c>
      <c r="BC122" s="10">
        <f t="shared" si="44"/>
        <v>9</v>
      </c>
      <c r="BD122" s="10">
        <f t="shared" si="35"/>
        <v>182</v>
      </c>
      <c r="BE122" s="4">
        <f t="shared" si="38"/>
        <v>31.238938053097346</v>
      </c>
      <c r="BF122" s="4">
        <f t="shared" si="39"/>
        <v>34.9</v>
      </c>
      <c r="BG122" s="7">
        <f t="shared" si="40"/>
        <v>32.750896057347667</v>
      </c>
      <c r="BH122" s="5">
        <v>146</v>
      </c>
      <c r="BI122" s="3">
        <v>53.691780821917824</v>
      </c>
      <c r="BJ122" s="3">
        <v>33.369178082191773</v>
      </c>
      <c r="BK122" s="3">
        <v>36.542465753424636</v>
      </c>
      <c r="BL122" s="3">
        <v>41.201141552511416</v>
      </c>
      <c r="BM122" s="3">
        <v>123.60342465753419</v>
      </c>
      <c r="BN122" s="18">
        <v>6</v>
      </c>
      <c r="BO122" s="18">
        <v>144</v>
      </c>
      <c r="BP122" s="4">
        <v>19.863013698630137</v>
      </c>
      <c r="BQ122" s="4">
        <v>57.534246575342465</v>
      </c>
      <c r="BR122" s="7">
        <v>50</v>
      </c>
      <c r="BS122" s="18"/>
      <c r="BT122" s="23">
        <v>166</v>
      </c>
    </row>
    <row r="123" spans="1:72" x14ac:dyDescent="0.25">
      <c r="A123" s="18">
        <v>118</v>
      </c>
      <c r="B123" s="18" t="s">
        <v>22</v>
      </c>
      <c r="C123" s="18">
        <v>180</v>
      </c>
      <c r="D123" s="21" t="s">
        <v>9</v>
      </c>
      <c r="E123" s="5"/>
      <c r="F123" s="3">
        <v>35</v>
      </c>
      <c r="G123" s="3">
        <v>45.6</v>
      </c>
      <c r="H123" s="3">
        <v>31.666666666666668</v>
      </c>
      <c r="I123" s="3">
        <f t="shared" si="27"/>
        <v>37.422222222222224</v>
      </c>
      <c r="J123" s="3">
        <f t="shared" si="28"/>
        <v>112.26666666666667</v>
      </c>
      <c r="K123" s="18">
        <f t="shared" si="43"/>
        <v>14</v>
      </c>
      <c r="L123" s="18">
        <f t="shared" si="26"/>
        <v>224</v>
      </c>
      <c r="M123" s="4"/>
      <c r="N123" s="4"/>
      <c r="O123" s="7"/>
      <c r="P123" s="5">
        <v>127</v>
      </c>
      <c r="Q123" s="3">
        <v>49.973753280839894</v>
      </c>
      <c r="R123" s="3">
        <v>48.629921259842519</v>
      </c>
      <c r="S123" s="3">
        <v>53.986928104575163</v>
      </c>
      <c r="T123" s="3">
        <v>50.08524590163934</v>
      </c>
      <c r="U123" s="3">
        <v>152.59060264525758</v>
      </c>
      <c r="V123" s="18">
        <v>6</v>
      </c>
      <c r="W123" s="18">
        <v>133</v>
      </c>
      <c r="X123" s="4">
        <v>14.960629921259843</v>
      </c>
      <c r="Y123" s="4">
        <v>24.603174603174605</v>
      </c>
      <c r="Z123" s="7">
        <v>21.568627450980394</v>
      </c>
      <c r="AA123" s="5">
        <v>132</v>
      </c>
      <c r="AB123" s="3">
        <v>46.771879483500712</v>
      </c>
      <c r="AC123" s="3">
        <v>49.170731707317074</v>
      </c>
      <c r="AD123" s="3" t="s">
        <v>35</v>
      </c>
      <c r="AE123" s="3">
        <v>46.255756996072606</v>
      </c>
      <c r="AF123" s="3">
        <v>95.942611190817786</v>
      </c>
      <c r="AG123" s="18">
        <v>22</v>
      </c>
      <c r="AH123" s="18">
        <v>289</v>
      </c>
      <c r="AI123" s="4">
        <v>17.21311475409836</v>
      </c>
      <c r="AJ123" s="4">
        <v>21.13821138211382</v>
      </c>
      <c r="AK123" s="7">
        <v>43.137254901960787</v>
      </c>
      <c r="AL123" s="5">
        <v>132</v>
      </c>
      <c r="AM123" s="3">
        <v>53.159941662615473</v>
      </c>
      <c r="AN123" s="3">
        <v>42.077922077922089</v>
      </c>
      <c r="AO123" s="3">
        <v>44.338235294117659</v>
      </c>
      <c r="AP123" s="3">
        <v>46.466305530476646</v>
      </c>
      <c r="AQ123" s="3">
        <v>139.57609903465521</v>
      </c>
      <c r="AR123" s="18">
        <v>11</v>
      </c>
      <c r="AS123" s="18">
        <v>190</v>
      </c>
      <c r="AT123" s="4">
        <v>16.528925619834709</v>
      </c>
      <c r="AU123" s="4">
        <v>19.008264462809919</v>
      </c>
      <c r="AV123" s="7">
        <v>27.5</v>
      </c>
      <c r="AW123" s="10">
        <f t="shared" si="29"/>
        <v>130.33333333333334</v>
      </c>
      <c r="AX123" s="9">
        <f t="shared" si="30"/>
        <v>49.968524808985357</v>
      </c>
      <c r="AY123" s="9">
        <f t="shared" si="31"/>
        <v>46.626191681693889</v>
      </c>
      <c r="AZ123" s="9">
        <f t="shared" si="32"/>
        <v>49.162581699346411</v>
      </c>
      <c r="BA123" s="9">
        <f t="shared" si="33"/>
        <v>47.602436142729537</v>
      </c>
      <c r="BB123" s="9">
        <f t="shared" si="34"/>
        <v>129.3697709569102</v>
      </c>
      <c r="BC123" s="10">
        <f t="shared" si="44"/>
        <v>13</v>
      </c>
      <c r="BD123" s="10">
        <f t="shared" si="35"/>
        <v>219</v>
      </c>
      <c r="BE123" s="4">
        <f t="shared" si="38"/>
        <v>16.871020186966533</v>
      </c>
      <c r="BF123" s="4">
        <f t="shared" si="39"/>
        <v>20.073237922461871</v>
      </c>
      <c r="BG123" s="7">
        <f t="shared" si="40"/>
        <v>35.318627450980394</v>
      </c>
      <c r="BH123" s="5">
        <v>131</v>
      </c>
      <c r="BI123" s="3">
        <v>40.109230769230777</v>
      </c>
      <c r="BJ123" s="3">
        <v>27.822307692307703</v>
      </c>
      <c r="BK123" s="3">
        <v>23.43384615384614</v>
      </c>
      <c r="BL123" s="3">
        <v>30.455128205128215</v>
      </c>
      <c r="BM123" s="3">
        <v>91.365384615384585</v>
      </c>
      <c r="BN123" s="18">
        <v>20</v>
      </c>
      <c r="BO123" s="18">
        <v>288</v>
      </c>
      <c r="BP123" s="4">
        <v>40.769230769230766</v>
      </c>
      <c r="BQ123" s="4">
        <v>68.461538461538467</v>
      </c>
      <c r="BR123" s="7">
        <v>78.461538461538467</v>
      </c>
      <c r="BS123" s="18"/>
      <c r="BT123" s="23">
        <v>180</v>
      </c>
    </row>
    <row r="124" spans="1:72" x14ac:dyDescent="0.25">
      <c r="A124" s="18">
        <v>119</v>
      </c>
      <c r="B124" s="18" t="s">
        <v>22</v>
      </c>
      <c r="C124" s="18">
        <v>184</v>
      </c>
      <c r="D124" s="21" t="s">
        <v>9</v>
      </c>
      <c r="E124" s="5"/>
      <c r="F124" s="3">
        <v>41.333333333333336</v>
      </c>
      <c r="G124" s="3">
        <v>30.8</v>
      </c>
      <c r="H124" s="3">
        <v>17.666666666666668</v>
      </c>
      <c r="I124" s="3">
        <f t="shared" si="27"/>
        <v>29.933333333333337</v>
      </c>
      <c r="J124" s="3">
        <f t="shared" si="28"/>
        <v>89.800000000000011</v>
      </c>
      <c r="K124" s="18">
        <f t="shared" si="43"/>
        <v>23</v>
      </c>
      <c r="L124" s="18">
        <f t="shared" si="26"/>
        <v>281</v>
      </c>
      <c r="M124" s="4"/>
      <c r="N124" s="4"/>
      <c r="O124" s="7"/>
      <c r="P124" s="5">
        <v>47</v>
      </c>
      <c r="Q124" s="3">
        <v>38.439716312056738</v>
      </c>
      <c r="R124" s="3">
        <v>28.425531914893618</v>
      </c>
      <c r="S124" s="3">
        <v>37.943262411347526</v>
      </c>
      <c r="T124" s="3">
        <v>34.936170212765951</v>
      </c>
      <c r="U124" s="3">
        <v>104.80851063829789</v>
      </c>
      <c r="V124" s="18">
        <v>22</v>
      </c>
      <c r="W124" s="18">
        <v>294</v>
      </c>
      <c r="X124" s="4">
        <v>40.425531914893618</v>
      </c>
      <c r="Y124" s="4">
        <v>68.085106382978722</v>
      </c>
      <c r="Z124" s="7">
        <v>48.936170212765958</v>
      </c>
      <c r="AA124" s="5">
        <v>54</v>
      </c>
      <c r="AB124" s="3">
        <v>39.705882352941188</v>
      </c>
      <c r="AC124" s="3">
        <v>39.36</v>
      </c>
      <c r="AD124" s="3">
        <v>36.303030303030305</v>
      </c>
      <c r="AE124" s="3">
        <v>38.456304218657159</v>
      </c>
      <c r="AF124" s="3">
        <v>115.36891265597149</v>
      </c>
      <c r="AG124" s="18">
        <v>16</v>
      </c>
      <c r="AH124" s="18">
        <v>230</v>
      </c>
      <c r="AI124" s="4">
        <v>36</v>
      </c>
      <c r="AJ124" s="4">
        <v>42</v>
      </c>
      <c r="AK124" s="7">
        <v>46</v>
      </c>
      <c r="AL124" s="5">
        <v>54</v>
      </c>
      <c r="AM124" s="3">
        <v>49.509803921568626</v>
      </c>
      <c r="AN124" s="3">
        <v>28.928571428571441</v>
      </c>
      <c r="AO124" s="3">
        <v>45.34313725490194</v>
      </c>
      <c r="AP124" s="3">
        <v>41.260504201680654</v>
      </c>
      <c r="AQ124" s="3">
        <v>123.781512605042</v>
      </c>
      <c r="AR124" s="18">
        <v>17</v>
      </c>
      <c r="AS124" s="18">
        <v>251</v>
      </c>
      <c r="AT124" s="4">
        <v>20.833333333333332</v>
      </c>
      <c r="AU124" s="4">
        <v>50</v>
      </c>
      <c r="AV124" s="7">
        <v>43.75</v>
      </c>
      <c r="AW124" s="10">
        <f t="shared" si="29"/>
        <v>51.666666666666664</v>
      </c>
      <c r="AX124" s="9">
        <f t="shared" si="30"/>
        <v>42.551800862188848</v>
      </c>
      <c r="AY124" s="9">
        <f t="shared" si="31"/>
        <v>32.23803444782169</v>
      </c>
      <c r="AZ124" s="9">
        <f t="shared" si="32"/>
        <v>39.863143323093254</v>
      </c>
      <c r="BA124" s="9">
        <f t="shared" si="33"/>
        <v>38.217659544367926</v>
      </c>
      <c r="BB124" s="9">
        <f t="shared" si="34"/>
        <v>114.65297863310379</v>
      </c>
      <c r="BC124" s="10">
        <f t="shared" si="44"/>
        <v>19</v>
      </c>
      <c r="BD124" s="10">
        <f t="shared" si="35"/>
        <v>280</v>
      </c>
      <c r="BE124" s="4">
        <f t="shared" si="38"/>
        <v>28.416666666666664</v>
      </c>
      <c r="BF124" s="4">
        <f t="shared" si="39"/>
        <v>46</v>
      </c>
      <c r="BG124" s="7">
        <f t="shared" si="40"/>
        <v>44.875</v>
      </c>
      <c r="BH124" s="5">
        <v>53</v>
      </c>
      <c r="BI124" s="3">
        <v>45.011320754716991</v>
      </c>
      <c r="BJ124" s="3">
        <v>24.303773584905663</v>
      </c>
      <c r="BK124" s="3">
        <v>28.130188679245276</v>
      </c>
      <c r="BL124" s="3">
        <v>32.481761006289304</v>
      </c>
      <c r="BM124" s="3">
        <v>97.445283018867926</v>
      </c>
      <c r="BN124" s="18">
        <v>16</v>
      </c>
      <c r="BO124" s="18">
        <v>275</v>
      </c>
      <c r="BP124" s="4">
        <v>30.188679245283019</v>
      </c>
      <c r="BQ124" s="4">
        <v>77.35849056603773</v>
      </c>
      <c r="BR124" s="7">
        <v>69.811320754716988</v>
      </c>
      <c r="BS124" s="18"/>
      <c r="BT124" s="23">
        <v>184</v>
      </c>
    </row>
    <row r="125" spans="1:72" x14ac:dyDescent="0.25">
      <c r="A125" s="1">
        <v>120</v>
      </c>
      <c r="B125" s="18" t="s">
        <v>22</v>
      </c>
      <c r="C125" s="18">
        <v>195</v>
      </c>
      <c r="D125" s="21" t="s">
        <v>9</v>
      </c>
      <c r="E125" s="5"/>
      <c r="F125" s="3">
        <v>39</v>
      </c>
      <c r="G125" s="3">
        <v>29.2</v>
      </c>
      <c r="H125" s="3">
        <v>21</v>
      </c>
      <c r="I125" s="3">
        <f t="shared" si="27"/>
        <v>29.733333333333334</v>
      </c>
      <c r="J125" s="3">
        <f t="shared" si="28"/>
        <v>89.2</v>
      </c>
      <c r="K125" s="18">
        <f t="shared" si="43"/>
        <v>24</v>
      </c>
      <c r="L125" s="18">
        <f t="shared" si="26"/>
        <v>282</v>
      </c>
      <c r="M125" s="4"/>
      <c r="N125" s="4"/>
      <c r="O125" s="7"/>
      <c r="P125" s="5">
        <v>110</v>
      </c>
      <c r="Q125" s="3">
        <v>41.409090909090899</v>
      </c>
      <c r="R125" s="3">
        <v>36.254545454545458</v>
      </c>
      <c r="S125" s="3">
        <v>33.984848484848484</v>
      </c>
      <c r="T125" s="3">
        <v>37.216161616161621</v>
      </c>
      <c r="U125" s="3">
        <v>111.64848484848484</v>
      </c>
      <c r="V125" s="18">
        <v>20</v>
      </c>
      <c r="W125" s="18">
        <v>288</v>
      </c>
      <c r="X125" s="4">
        <v>29.09090909090909</v>
      </c>
      <c r="Y125" s="4">
        <v>43.636363636363633</v>
      </c>
      <c r="Z125" s="7">
        <v>54.545454545454547</v>
      </c>
      <c r="AA125" s="5">
        <v>119</v>
      </c>
      <c r="AB125" s="3">
        <v>32.541824069077165</v>
      </c>
      <c r="AC125" s="3">
        <v>31.825371717810825</v>
      </c>
      <c r="AD125" s="3">
        <v>35.891020294690023</v>
      </c>
      <c r="AE125" s="3">
        <v>33.419405360525985</v>
      </c>
      <c r="AF125" s="3">
        <v>100.25821608157801</v>
      </c>
      <c r="AG125" s="18">
        <v>20</v>
      </c>
      <c r="AH125" s="18">
        <v>279</v>
      </c>
      <c r="AI125" s="4">
        <v>48.623853211009177</v>
      </c>
      <c r="AJ125" s="4">
        <v>54.128440366972477</v>
      </c>
      <c r="AK125" s="7">
        <v>34.862385321100916</v>
      </c>
      <c r="AL125" s="5">
        <v>119</v>
      </c>
      <c r="AM125" s="3">
        <v>26.149283242708854</v>
      </c>
      <c r="AN125" s="3">
        <v>23.001200480192065</v>
      </c>
      <c r="AO125" s="3">
        <v>22.466633712308468</v>
      </c>
      <c r="AP125" s="3">
        <v>23.872372478403136</v>
      </c>
      <c r="AQ125" s="3">
        <v>71.61711743520938</v>
      </c>
      <c r="AR125" s="18">
        <v>24</v>
      </c>
      <c r="AS125" s="18">
        <v>305</v>
      </c>
      <c r="AT125" s="4">
        <v>73.109243697478988</v>
      </c>
      <c r="AU125" s="4">
        <v>78.991596638655466</v>
      </c>
      <c r="AV125" s="7">
        <v>79.831932773109244</v>
      </c>
      <c r="AW125" s="10">
        <f t="shared" si="29"/>
        <v>116</v>
      </c>
      <c r="AX125" s="9">
        <f t="shared" si="30"/>
        <v>33.366732740292314</v>
      </c>
      <c r="AY125" s="9">
        <f t="shared" si="31"/>
        <v>30.360372550849451</v>
      </c>
      <c r="AZ125" s="9">
        <f t="shared" si="32"/>
        <v>30.780834163948992</v>
      </c>
      <c r="BA125" s="9">
        <f t="shared" si="33"/>
        <v>31.502646485030251</v>
      </c>
      <c r="BB125" s="9">
        <f t="shared" si="34"/>
        <v>94.507939455090749</v>
      </c>
      <c r="BC125" s="10">
        <f t="shared" si="44"/>
        <v>23</v>
      </c>
      <c r="BD125" s="10">
        <f t="shared" si="35"/>
        <v>302</v>
      </c>
      <c r="BE125" s="4">
        <f t="shared" si="38"/>
        <v>60.866548454244082</v>
      </c>
      <c r="BF125" s="4">
        <f t="shared" si="39"/>
        <v>66.560018502813975</v>
      </c>
      <c r="BG125" s="7">
        <f t="shared" si="40"/>
        <v>57.34715904710508</v>
      </c>
      <c r="BH125" s="5">
        <v>119</v>
      </c>
      <c r="BI125" s="3">
        <v>44.477310924369718</v>
      </c>
      <c r="BJ125" s="3">
        <v>32.264705882352949</v>
      </c>
      <c r="BK125" s="3">
        <v>27.705042016806701</v>
      </c>
      <c r="BL125" s="3">
        <v>34.815686274509801</v>
      </c>
      <c r="BM125" s="3">
        <v>104.44705882352939</v>
      </c>
      <c r="BN125" s="18">
        <v>14</v>
      </c>
      <c r="BO125" s="18">
        <v>254</v>
      </c>
      <c r="BP125" s="4">
        <v>34.45378151260504</v>
      </c>
      <c r="BQ125" s="4">
        <v>59.663865546218489</v>
      </c>
      <c r="BR125" s="7">
        <v>68.067226890756302</v>
      </c>
      <c r="BS125" s="18"/>
      <c r="BT125" s="23">
        <v>195</v>
      </c>
    </row>
    <row r="126" spans="1:72" x14ac:dyDescent="0.25">
      <c r="A126" s="18">
        <v>121</v>
      </c>
      <c r="B126" s="18" t="s">
        <v>22</v>
      </c>
      <c r="C126" s="18">
        <v>197</v>
      </c>
      <c r="D126" s="21" t="s">
        <v>9</v>
      </c>
      <c r="E126" s="5"/>
      <c r="F126" s="3">
        <v>44.333333333333336</v>
      </c>
      <c r="G126" s="3">
        <v>26.4</v>
      </c>
      <c r="H126" s="3">
        <v>30.666666666666664</v>
      </c>
      <c r="I126" s="3">
        <f t="shared" si="27"/>
        <v>33.800000000000004</v>
      </c>
      <c r="J126" s="3">
        <f t="shared" si="28"/>
        <v>101.4</v>
      </c>
      <c r="K126" s="18">
        <f t="shared" si="43"/>
        <v>19</v>
      </c>
      <c r="L126" s="18">
        <f t="shared" si="26"/>
        <v>258</v>
      </c>
      <c r="M126" s="4"/>
      <c r="N126" s="4"/>
      <c r="O126" s="7"/>
      <c r="P126" s="5">
        <v>40</v>
      </c>
      <c r="Q126" s="3">
        <v>47.333333333333329</v>
      </c>
      <c r="R126" s="3">
        <v>43.5</v>
      </c>
      <c r="S126" s="3">
        <v>34.499999999999986</v>
      </c>
      <c r="T126" s="3">
        <v>41.777777777777764</v>
      </c>
      <c r="U126" s="3">
        <v>125.33333333333331</v>
      </c>
      <c r="V126" s="18">
        <v>16</v>
      </c>
      <c r="W126" s="18">
        <v>257</v>
      </c>
      <c r="X126" s="4">
        <v>20</v>
      </c>
      <c r="Y126" s="4">
        <v>17.5</v>
      </c>
      <c r="Z126" s="7">
        <v>47.5</v>
      </c>
      <c r="AA126" s="5">
        <v>44</v>
      </c>
      <c r="AB126" s="3">
        <v>46.530920060331837</v>
      </c>
      <c r="AC126" s="3">
        <v>43.589743589743591</v>
      </c>
      <c r="AD126" s="3">
        <v>43.278943278943267</v>
      </c>
      <c r="AE126" s="3">
        <v>44.466535643006232</v>
      </c>
      <c r="AF126" s="3">
        <v>133.39960692901869</v>
      </c>
      <c r="AG126" s="18">
        <v>10</v>
      </c>
      <c r="AH126" s="18">
        <v>164</v>
      </c>
      <c r="AI126" s="4">
        <v>30.76923076923077</v>
      </c>
      <c r="AJ126" s="4">
        <v>17.948717948717949</v>
      </c>
      <c r="AK126" s="7">
        <v>23.076923076923077</v>
      </c>
      <c r="AL126" s="5">
        <v>46</v>
      </c>
      <c r="AM126" s="3">
        <v>57.633053221288506</v>
      </c>
      <c r="AN126" s="3">
        <v>34.693877551020414</v>
      </c>
      <c r="AO126" s="3">
        <v>44.397759103641455</v>
      </c>
      <c r="AP126" s="3">
        <v>45.574896625316811</v>
      </c>
      <c r="AQ126" s="3">
        <v>136.72468987595036</v>
      </c>
      <c r="AR126" s="18">
        <v>13</v>
      </c>
      <c r="AS126" s="18">
        <v>204</v>
      </c>
      <c r="AT126" s="4">
        <v>7.1428571428571432</v>
      </c>
      <c r="AU126" s="4">
        <v>40.476190476190474</v>
      </c>
      <c r="AV126" s="7">
        <v>23.80952380952381</v>
      </c>
      <c r="AW126" s="10">
        <f t="shared" si="29"/>
        <v>43.333333333333336</v>
      </c>
      <c r="AX126" s="9">
        <f t="shared" si="30"/>
        <v>50.49910220498456</v>
      </c>
      <c r="AY126" s="9">
        <f t="shared" si="31"/>
        <v>40.594540380254671</v>
      </c>
      <c r="AZ126" s="9">
        <f t="shared" si="32"/>
        <v>40.725567460861562</v>
      </c>
      <c r="BA126" s="9">
        <f t="shared" si="33"/>
        <v>43.939736682033605</v>
      </c>
      <c r="BB126" s="9">
        <f t="shared" si="34"/>
        <v>131.81921004610081</v>
      </c>
      <c r="BC126" s="10">
        <f t="shared" si="44"/>
        <v>12</v>
      </c>
      <c r="BD126" s="10">
        <f t="shared" si="35"/>
        <v>213</v>
      </c>
      <c r="BE126" s="4">
        <f t="shared" si="38"/>
        <v>18.956043956043956</v>
      </c>
      <c r="BF126" s="4">
        <f t="shared" si="39"/>
        <v>29.212454212454212</v>
      </c>
      <c r="BG126" s="7">
        <f t="shared" si="40"/>
        <v>23.443223443223445</v>
      </c>
      <c r="BH126" s="5">
        <v>49</v>
      </c>
      <c r="BI126" s="3">
        <v>41.836956521739118</v>
      </c>
      <c r="BJ126" s="3">
        <v>22.449999999999992</v>
      </c>
      <c r="BK126" s="3">
        <v>22.693478260869561</v>
      </c>
      <c r="BL126" s="3">
        <v>28.993478260869566</v>
      </c>
      <c r="BM126" s="3">
        <v>86.980434782608697</v>
      </c>
      <c r="BN126" s="18">
        <v>21</v>
      </c>
      <c r="BO126" s="18">
        <v>291</v>
      </c>
      <c r="BP126" s="4">
        <v>39.130434782608695</v>
      </c>
      <c r="BQ126" s="4">
        <v>73.913043478260875</v>
      </c>
      <c r="BR126" s="7">
        <v>80.434782608695656</v>
      </c>
      <c r="BS126" s="18"/>
      <c r="BT126" s="23">
        <v>197</v>
      </c>
    </row>
    <row r="127" spans="1:72" x14ac:dyDescent="0.25">
      <c r="A127" s="18">
        <v>122</v>
      </c>
      <c r="B127" s="18" t="s">
        <v>22</v>
      </c>
      <c r="C127" s="18">
        <v>222</v>
      </c>
      <c r="D127" s="21" t="s">
        <v>9</v>
      </c>
      <c r="E127" s="5"/>
      <c r="F127" s="3">
        <v>30</v>
      </c>
      <c r="G127" s="3">
        <v>46.4</v>
      </c>
      <c r="H127" s="3">
        <v>38</v>
      </c>
      <c r="I127" s="3">
        <f t="shared" si="27"/>
        <v>38.133333333333333</v>
      </c>
      <c r="J127" s="3">
        <f t="shared" si="28"/>
        <v>114.4</v>
      </c>
      <c r="K127" s="18">
        <f t="shared" si="43"/>
        <v>13</v>
      </c>
      <c r="L127" s="18">
        <f t="shared" si="26"/>
        <v>219</v>
      </c>
      <c r="M127" s="4"/>
      <c r="N127" s="4"/>
      <c r="O127" s="7"/>
      <c r="P127" s="5">
        <v>86</v>
      </c>
      <c r="Q127" s="3">
        <v>45.426356589147282</v>
      </c>
      <c r="R127" s="3">
        <v>47.720930232558139</v>
      </c>
      <c r="S127" s="3">
        <v>41.058823529411768</v>
      </c>
      <c r="T127" s="3">
        <v>44.749675745784693</v>
      </c>
      <c r="U127" s="3">
        <v>134.20611035111719</v>
      </c>
      <c r="V127" s="18">
        <v>12</v>
      </c>
      <c r="W127" s="18">
        <v>215</v>
      </c>
      <c r="X127" s="4">
        <v>26.744186046511629</v>
      </c>
      <c r="Y127" s="4">
        <v>24.418604651162791</v>
      </c>
      <c r="Z127" s="7">
        <v>40</v>
      </c>
      <c r="AA127" s="5">
        <v>87</v>
      </c>
      <c r="AB127" s="3">
        <v>36.729691876750721</v>
      </c>
      <c r="AC127" s="3">
        <v>42.746987951807228</v>
      </c>
      <c r="AD127" s="3">
        <v>35.144124168514388</v>
      </c>
      <c r="AE127" s="3">
        <v>37.985039470333604</v>
      </c>
      <c r="AF127" s="3">
        <v>114.62080399707233</v>
      </c>
      <c r="AG127" s="18">
        <v>18</v>
      </c>
      <c r="AH127" s="18">
        <v>234</v>
      </c>
      <c r="AI127" s="4">
        <v>40.476190476190474</v>
      </c>
      <c r="AJ127" s="4">
        <v>32.53012048192771</v>
      </c>
      <c r="AK127" s="7">
        <v>51.219512195121951</v>
      </c>
      <c r="AL127" s="5">
        <v>87</v>
      </c>
      <c r="AM127" s="3">
        <v>48.972360028348675</v>
      </c>
      <c r="AN127" s="3">
        <v>25.540069686411162</v>
      </c>
      <c r="AO127" s="3">
        <v>38.271604938271587</v>
      </c>
      <c r="AP127" s="3">
        <v>37.599979750936505</v>
      </c>
      <c r="AQ127" s="3">
        <v>112.78403465303143</v>
      </c>
      <c r="AR127" s="18">
        <v>19</v>
      </c>
      <c r="AS127" s="18">
        <v>278</v>
      </c>
      <c r="AT127" s="4">
        <v>32.53012048192771</v>
      </c>
      <c r="AU127" s="4">
        <v>64.634146341463421</v>
      </c>
      <c r="AV127" s="7">
        <v>46.913580246913583</v>
      </c>
      <c r="AW127" s="10">
        <f t="shared" si="29"/>
        <v>86.666666666666671</v>
      </c>
      <c r="AX127" s="9">
        <f t="shared" si="30"/>
        <v>43.709469498082228</v>
      </c>
      <c r="AY127" s="9">
        <f t="shared" si="31"/>
        <v>38.669329290258844</v>
      </c>
      <c r="AZ127" s="9">
        <f t="shared" si="32"/>
        <v>38.158184212065919</v>
      </c>
      <c r="BA127" s="9">
        <f t="shared" si="33"/>
        <v>40.11156498901827</v>
      </c>
      <c r="BB127" s="9">
        <f t="shared" si="34"/>
        <v>120.53698300040698</v>
      </c>
      <c r="BC127" s="10">
        <f t="shared" si="44"/>
        <v>18</v>
      </c>
      <c r="BD127" s="10">
        <f t="shared" si="35"/>
        <v>261</v>
      </c>
      <c r="BE127" s="4">
        <f t="shared" si="38"/>
        <v>36.503155479059089</v>
      </c>
      <c r="BF127" s="4">
        <f t="shared" si="39"/>
        <v>48.582133411695565</v>
      </c>
      <c r="BG127" s="7">
        <f t="shared" si="40"/>
        <v>49.066546221017767</v>
      </c>
      <c r="BH127" s="5">
        <v>86</v>
      </c>
      <c r="BI127" s="3">
        <v>41.784883720930225</v>
      </c>
      <c r="BJ127" s="3">
        <v>24.01627906976745</v>
      </c>
      <c r="BK127" s="3">
        <v>28.723255813953493</v>
      </c>
      <c r="BL127" s="3">
        <v>31.508139534883725</v>
      </c>
      <c r="BM127" s="3">
        <v>94.52441860465116</v>
      </c>
      <c r="BN127" s="18">
        <v>18</v>
      </c>
      <c r="BO127" s="18">
        <v>281</v>
      </c>
      <c r="BP127" s="4">
        <v>36.046511627906973</v>
      </c>
      <c r="BQ127" s="4">
        <v>76.744186046511629</v>
      </c>
      <c r="BR127" s="7">
        <v>65.116279069767444</v>
      </c>
      <c r="BS127" s="18"/>
      <c r="BT127" s="23">
        <v>222</v>
      </c>
    </row>
    <row r="128" spans="1:72" x14ac:dyDescent="0.25">
      <c r="A128" s="18">
        <v>123</v>
      </c>
      <c r="B128" s="18" t="s">
        <v>22</v>
      </c>
      <c r="C128" s="18">
        <v>223</v>
      </c>
      <c r="D128" s="21" t="s">
        <v>9</v>
      </c>
      <c r="E128" s="5"/>
      <c r="F128" s="3">
        <v>45</v>
      </c>
      <c r="G128" s="3">
        <v>56</v>
      </c>
      <c r="H128" s="3">
        <v>54.666666666666657</v>
      </c>
      <c r="I128" s="3">
        <f t="shared" si="27"/>
        <v>51.888888888888886</v>
      </c>
      <c r="J128" s="3">
        <f t="shared" si="28"/>
        <v>155.66666666666666</v>
      </c>
      <c r="K128" s="18">
        <f t="shared" si="43"/>
        <v>2</v>
      </c>
      <c r="L128" s="18">
        <f t="shared" si="26"/>
        <v>63</v>
      </c>
      <c r="M128" s="4"/>
      <c r="N128" s="4"/>
      <c r="O128" s="7"/>
      <c r="P128" s="5">
        <v>95</v>
      </c>
      <c r="Q128" s="3">
        <v>50.070175438596486</v>
      </c>
      <c r="R128" s="3">
        <v>53.768421052631581</v>
      </c>
      <c r="S128" s="3">
        <v>39.75438596491226</v>
      </c>
      <c r="T128" s="3">
        <v>47.864327485380088</v>
      </c>
      <c r="U128" s="3">
        <v>143.59298245614031</v>
      </c>
      <c r="V128" s="18">
        <v>10</v>
      </c>
      <c r="W128" s="18">
        <v>173</v>
      </c>
      <c r="X128" s="4">
        <v>18.94736842105263</v>
      </c>
      <c r="Y128" s="4">
        <v>15.789473684210526</v>
      </c>
      <c r="Z128" s="7">
        <v>40</v>
      </c>
      <c r="AA128" s="5">
        <v>115</v>
      </c>
      <c r="AB128" s="3">
        <v>29.823529411764699</v>
      </c>
      <c r="AC128" s="3">
        <v>44.12</v>
      </c>
      <c r="AD128" s="3">
        <v>26.121212121212089</v>
      </c>
      <c r="AE128" s="3">
        <v>33.354913844325594</v>
      </c>
      <c r="AF128" s="3">
        <v>100.0647415329768</v>
      </c>
      <c r="AG128" s="18">
        <v>21</v>
      </c>
      <c r="AH128" s="18">
        <v>281</v>
      </c>
      <c r="AI128" s="4">
        <v>48</v>
      </c>
      <c r="AJ128" s="4">
        <v>35</v>
      </c>
      <c r="AK128" s="7">
        <v>63</v>
      </c>
      <c r="AL128" s="5">
        <v>115</v>
      </c>
      <c r="AM128" s="3">
        <v>39.095449500554935</v>
      </c>
      <c r="AN128" s="3">
        <v>22.823529411764707</v>
      </c>
      <c r="AO128" s="3">
        <v>26.89393939393937</v>
      </c>
      <c r="AP128" s="3">
        <v>29.464136369241821</v>
      </c>
      <c r="AQ128" s="3">
        <v>88.812918306259007</v>
      </c>
      <c r="AR128" s="18">
        <v>22</v>
      </c>
      <c r="AS128" s="18">
        <v>302</v>
      </c>
      <c r="AT128" s="4">
        <v>39.622641509433961</v>
      </c>
      <c r="AU128" s="4">
        <v>73.529411764705884</v>
      </c>
      <c r="AV128" s="7">
        <v>61.53846153846154</v>
      </c>
      <c r="AW128" s="10">
        <f t="shared" si="29"/>
        <v>108.33333333333333</v>
      </c>
      <c r="AX128" s="9">
        <f t="shared" si="30"/>
        <v>39.663051450305375</v>
      </c>
      <c r="AY128" s="9">
        <f t="shared" si="31"/>
        <v>40.237316821465427</v>
      </c>
      <c r="AZ128" s="9">
        <f t="shared" si="32"/>
        <v>30.923179160021238</v>
      </c>
      <c r="BA128" s="9">
        <f t="shared" si="33"/>
        <v>36.894459232982506</v>
      </c>
      <c r="BB128" s="9">
        <f t="shared" si="34"/>
        <v>110.82354743179205</v>
      </c>
      <c r="BC128" s="10">
        <f t="shared" si="44"/>
        <v>21</v>
      </c>
      <c r="BD128" s="10">
        <f t="shared" si="35"/>
        <v>289</v>
      </c>
      <c r="BE128" s="4">
        <f t="shared" si="38"/>
        <v>43.811320754716981</v>
      </c>
      <c r="BF128" s="4">
        <f t="shared" si="39"/>
        <v>54.264705882352942</v>
      </c>
      <c r="BG128" s="7">
        <f t="shared" si="40"/>
        <v>62.269230769230774</v>
      </c>
      <c r="BH128" s="5">
        <v>116</v>
      </c>
      <c r="BI128" s="3">
        <v>37.590350877193003</v>
      </c>
      <c r="BJ128" s="3">
        <v>21.643859649122835</v>
      </c>
      <c r="BK128" s="3">
        <v>19.837719298245606</v>
      </c>
      <c r="BL128" s="3">
        <v>26.357309941520459</v>
      </c>
      <c r="BM128" s="3">
        <v>79.071929824561423</v>
      </c>
      <c r="BN128" s="18">
        <v>23</v>
      </c>
      <c r="BO128" s="18">
        <v>301</v>
      </c>
      <c r="BP128" s="4">
        <v>43.859649122807021</v>
      </c>
      <c r="BQ128" s="4">
        <v>77.192982456140356</v>
      </c>
      <c r="BR128" s="7">
        <v>84.21052631578948</v>
      </c>
      <c r="BS128" s="18"/>
      <c r="BT128" s="23">
        <v>223</v>
      </c>
    </row>
    <row r="129" spans="1:72" x14ac:dyDescent="0.25">
      <c r="A129" s="18">
        <v>124</v>
      </c>
      <c r="B129" s="18" t="s">
        <v>22</v>
      </c>
      <c r="C129" s="18">
        <v>224</v>
      </c>
      <c r="D129" s="21" t="s">
        <v>23</v>
      </c>
      <c r="E129" s="5"/>
      <c r="F129" s="3">
        <v>30.666666666666664</v>
      </c>
      <c r="G129" s="3">
        <v>34</v>
      </c>
      <c r="H129" s="3">
        <v>26.666666666666668</v>
      </c>
      <c r="I129" s="3">
        <f t="shared" si="27"/>
        <v>30.444444444444443</v>
      </c>
      <c r="J129" s="3">
        <f t="shared" si="28"/>
        <v>91.333333333333329</v>
      </c>
      <c r="K129" s="18">
        <f t="shared" si="43"/>
        <v>22</v>
      </c>
      <c r="L129" s="18">
        <f t="shared" si="26"/>
        <v>279</v>
      </c>
      <c r="M129" s="4"/>
      <c r="N129" s="4"/>
      <c r="O129" s="7"/>
      <c r="P129" s="5">
        <v>10</v>
      </c>
      <c r="Q129" s="3">
        <v>34.333333333333329</v>
      </c>
      <c r="R129" s="3">
        <v>21.2</v>
      </c>
      <c r="S129" s="3">
        <v>18</v>
      </c>
      <c r="T129" s="3">
        <v>24.511111111111113</v>
      </c>
      <c r="U129" s="3">
        <v>73.533333333333331</v>
      </c>
      <c r="V129" s="18">
        <v>25</v>
      </c>
      <c r="W129" s="18">
        <v>304</v>
      </c>
      <c r="X129" s="4">
        <v>40</v>
      </c>
      <c r="Y129" s="4">
        <v>80</v>
      </c>
      <c r="Z129" s="7">
        <v>100</v>
      </c>
      <c r="AA129" s="5">
        <v>11</v>
      </c>
      <c r="AB129" s="3">
        <v>27.005347593582883</v>
      </c>
      <c r="AC129" s="3">
        <v>27.636363636363637</v>
      </c>
      <c r="AD129" s="3">
        <v>17.630853994490362</v>
      </c>
      <c r="AE129" s="3">
        <v>24.090855074812296</v>
      </c>
      <c r="AF129" s="3">
        <v>72.272565224436889</v>
      </c>
      <c r="AG129" s="18">
        <v>25</v>
      </c>
      <c r="AH129" s="18">
        <v>307</v>
      </c>
      <c r="AI129" s="4">
        <v>81.818181818181813</v>
      </c>
      <c r="AJ129" s="4">
        <v>63.636363636363633</v>
      </c>
      <c r="AK129" s="7">
        <v>100</v>
      </c>
      <c r="AL129" s="5">
        <v>11</v>
      </c>
      <c r="AM129" s="3">
        <v>41.711229946524071</v>
      </c>
      <c r="AN129" s="3">
        <v>9.0909090909090917</v>
      </c>
      <c r="AO129" s="3">
        <v>18.44919786096257</v>
      </c>
      <c r="AP129" s="3">
        <v>23.083778966131909</v>
      </c>
      <c r="AQ129" s="3">
        <v>69.251336898395735</v>
      </c>
      <c r="AR129" s="18">
        <v>25</v>
      </c>
      <c r="AS129" s="18">
        <v>306</v>
      </c>
      <c r="AT129" s="4">
        <v>18.181818181818183</v>
      </c>
      <c r="AU129" s="4">
        <v>100</v>
      </c>
      <c r="AV129" s="7">
        <v>90.909090909090907</v>
      </c>
      <c r="AW129" s="10">
        <f t="shared" si="29"/>
        <v>10.666666666666666</v>
      </c>
      <c r="AX129" s="9">
        <f t="shared" si="30"/>
        <v>34.349970291146761</v>
      </c>
      <c r="AY129" s="9">
        <f t="shared" si="31"/>
        <v>19.309090909090909</v>
      </c>
      <c r="AZ129" s="9">
        <f t="shared" si="32"/>
        <v>18.026683951817645</v>
      </c>
      <c r="BA129" s="9">
        <f t="shared" si="33"/>
        <v>23.895248384018441</v>
      </c>
      <c r="BB129" s="9">
        <f t="shared" si="34"/>
        <v>71.685745152055304</v>
      </c>
      <c r="BC129" s="10">
        <f t="shared" si="44"/>
        <v>25</v>
      </c>
      <c r="BD129" s="10">
        <f t="shared" si="35"/>
        <v>307</v>
      </c>
      <c r="BE129" s="4">
        <f t="shared" si="38"/>
        <v>50</v>
      </c>
      <c r="BF129" s="4">
        <f t="shared" si="39"/>
        <v>81.818181818181813</v>
      </c>
      <c r="BG129" s="7">
        <f t="shared" si="40"/>
        <v>95.454545454545453</v>
      </c>
      <c r="BH129" s="5">
        <v>11</v>
      </c>
      <c r="BI129" s="3">
        <v>42.427272727272729</v>
      </c>
      <c r="BJ129" s="3">
        <v>20.054545454545455</v>
      </c>
      <c r="BK129" s="3">
        <v>15.509090909090908</v>
      </c>
      <c r="BL129" s="3">
        <v>25.9969696969697</v>
      </c>
      <c r="BM129" s="3">
        <v>77.990909090909099</v>
      </c>
      <c r="BN129" s="18">
        <v>24</v>
      </c>
      <c r="BO129" s="18">
        <v>303</v>
      </c>
      <c r="BP129" s="4">
        <v>36.363636363636367</v>
      </c>
      <c r="BQ129" s="4">
        <v>81.818181818181813</v>
      </c>
      <c r="BR129" s="7">
        <v>100</v>
      </c>
      <c r="BS129" s="18"/>
      <c r="BT129" s="23">
        <v>224</v>
      </c>
    </row>
    <row r="130" spans="1:72" x14ac:dyDescent="0.25">
      <c r="A130" s="1">
        <v>125</v>
      </c>
      <c r="B130" s="18" t="s">
        <v>22</v>
      </c>
      <c r="C130" s="18">
        <v>228</v>
      </c>
      <c r="D130" s="21" t="s">
        <v>9</v>
      </c>
      <c r="E130" s="5"/>
      <c r="F130" s="3">
        <v>38.666666666666664</v>
      </c>
      <c r="G130" s="3">
        <v>53.2</v>
      </c>
      <c r="H130" s="3">
        <v>45.333333333333336</v>
      </c>
      <c r="I130" s="3">
        <f t="shared" si="27"/>
        <v>45.733333333333341</v>
      </c>
      <c r="J130" s="3">
        <f t="shared" si="28"/>
        <v>137.20000000000002</v>
      </c>
      <c r="K130" s="18">
        <f t="shared" si="43"/>
        <v>8</v>
      </c>
      <c r="L130" s="18">
        <f t="shared" si="26"/>
        <v>130</v>
      </c>
      <c r="M130" s="4"/>
      <c r="N130" s="4"/>
      <c r="O130" s="7"/>
      <c r="P130" s="5">
        <v>81</v>
      </c>
      <c r="Q130" s="3">
        <v>56.584362139917715</v>
      </c>
      <c r="R130" s="3">
        <v>52.345679012345677</v>
      </c>
      <c r="S130" s="3">
        <v>45.432098765432094</v>
      </c>
      <c r="T130" s="3">
        <v>51.454046639231827</v>
      </c>
      <c r="U130" s="3">
        <v>154.36213991769549</v>
      </c>
      <c r="V130" s="18">
        <v>5</v>
      </c>
      <c r="W130" s="18">
        <v>124</v>
      </c>
      <c r="X130" s="4">
        <v>6.1728395061728394</v>
      </c>
      <c r="Y130" s="4">
        <v>11.111111111111111</v>
      </c>
      <c r="Z130" s="7">
        <v>29.62962962962963</v>
      </c>
      <c r="AA130" s="5">
        <v>93</v>
      </c>
      <c r="AB130" s="3">
        <v>44.411764705882362</v>
      </c>
      <c r="AC130" s="3">
        <v>48.15</v>
      </c>
      <c r="AD130" s="3">
        <v>45.723053317990029</v>
      </c>
      <c r="AE130" s="3">
        <v>46.098544266191325</v>
      </c>
      <c r="AF130" s="3">
        <v>138.28481802387239</v>
      </c>
      <c r="AG130" s="18">
        <v>9</v>
      </c>
      <c r="AH130" s="18">
        <v>140</v>
      </c>
      <c r="AI130" s="4">
        <v>26.25</v>
      </c>
      <c r="AJ130" s="4">
        <v>17.5</v>
      </c>
      <c r="AK130" s="7">
        <v>20.253164556962027</v>
      </c>
      <c r="AL130" s="5">
        <v>94</v>
      </c>
      <c r="AM130" s="3">
        <v>52.331420373027235</v>
      </c>
      <c r="AN130" s="3">
        <v>33.763066202090606</v>
      </c>
      <c r="AO130" s="3">
        <v>46.736011477761828</v>
      </c>
      <c r="AP130" s="3">
        <v>44.276832684293225</v>
      </c>
      <c r="AQ130" s="3">
        <v>132.83049805287968</v>
      </c>
      <c r="AR130" s="18">
        <v>15</v>
      </c>
      <c r="AS130" s="18">
        <v>223</v>
      </c>
      <c r="AT130" s="4">
        <v>9.7560975609756095</v>
      </c>
      <c r="AU130" s="4">
        <v>48.780487804878049</v>
      </c>
      <c r="AV130" s="7">
        <v>28.048780487804876</v>
      </c>
      <c r="AW130" s="10">
        <f t="shared" si="29"/>
        <v>89.333333333333329</v>
      </c>
      <c r="AX130" s="9">
        <f t="shared" si="30"/>
        <v>51.109182406275771</v>
      </c>
      <c r="AY130" s="9">
        <f t="shared" si="31"/>
        <v>44.75291507147876</v>
      </c>
      <c r="AZ130" s="9">
        <f t="shared" si="32"/>
        <v>45.963721187061317</v>
      </c>
      <c r="BA130" s="9">
        <f t="shared" si="33"/>
        <v>47.276474529905464</v>
      </c>
      <c r="BB130" s="9">
        <f t="shared" si="34"/>
        <v>141.82581866481584</v>
      </c>
      <c r="BC130" s="10">
        <f t="shared" si="44"/>
        <v>7</v>
      </c>
      <c r="BD130" s="10">
        <f t="shared" si="35"/>
        <v>160</v>
      </c>
      <c r="BE130" s="4">
        <f t="shared" si="38"/>
        <v>18.003048780487806</v>
      </c>
      <c r="BF130" s="4">
        <f t="shared" si="39"/>
        <v>33.140243902439025</v>
      </c>
      <c r="BG130" s="7">
        <f t="shared" si="40"/>
        <v>24.150972522383451</v>
      </c>
      <c r="BH130" s="5">
        <v>100</v>
      </c>
      <c r="BI130" s="3">
        <v>53.293103448275851</v>
      </c>
      <c r="BJ130" s="3">
        <v>29.729885057471265</v>
      </c>
      <c r="BK130" s="3">
        <v>35.598850574712642</v>
      </c>
      <c r="BL130" s="3">
        <v>39.540613026819919</v>
      </c>
      <c r="BM130" s="3">
        <v>118.62183908045984</v>
      </c>
      <c r="BN130" s="18">
        <v>9</v>
      </c>
      <c r="BO130" s="18">
        <v>177</v>
      </c>
      <c r="BP130" s="4">
        <v>14.942528735632184</v>
      </c>
      <c r="BQ130" s="4">
        <v>68.965517241379317</v>
      </c>
      <c r="BR130" s="7">
        <v>52.873563218390807</v>
      </c>
      <c r="BS130" s="18"/>
      <c r="BT130" s="23">
        <v>228</v>
      </c>
    </row>
    <row r="131" spans="1:72" x14ac:dyDescent="0.25">
      <c r="A131" s="18">
        <v>126</v>
      </c>
      <c r="B131" s="18" t="s">
        <v>22</v>
      </c>
      <c r="C131" s="18">
        <v>233</v>
      </c>
      <c r="D131" s="21" t="s">
        <v>9</v>
      </c>
      <c r="E131" s="5"/>
      <c r="F131" s="3">
        <v>35.333333333333336</v>
      </c>
      <c r="G131" s="3">
        <v>22</v>
      </c>
      <c r="H131" s="3">
        <v>18.333333333333332</v>
      </c>
      <c r="I131" s="3">
        <f t="shared" si="27"/>
        <v>25.222222222222225</v>
      </c>
      <c r="J131" s="3">
        <f t="shared" si="28"/>
        <v>75.666666666666671</v>
      </c>
      <c r="K131" s="18">
        <f t="shared" si="43"/>
        <v>25</v>
      </c>
      <c r="L131" s="18">
        <f t="shared" si="26"/>
        <v>297</v>
      </c>
      <c r="M131" s="4"/>
      <c r="N131" s="4"/>
      <c r="O131" s="7"/>
      <c r="P131" s="5">
        <v>142</v>
      </c>
      <c r="Q131" s="3">
        <v>36.69014084507041</v>
      </c>
      <c r="R131" s="3">
        <v>30.225352112676056</v>
      </c>
      <c r="S131" s="3">
        <v>23.732394366197191</v>
      </c>
      <c r="T131" s="3">
        <v>30.215962441314577</v>
      </c>
      <c r="U131" s="3">
        <v>90.64788732394365</v>
      </c>
      <c r="V131" s="18">
        <v>24</v>
      </c>
      <c r="W131" s="18">
        <v>301</v>
      </c>
      <c r="X131" s="4">
        <v>43.661971830985912</v>
      </c>
      <c r="Y131" s="4">
        <v>58.450704225352112</v>
      </c>
      <c r="Z131" s="7">
        <v>76.056338028169009</v>
      </c>
      <c r="AA131" s="5">
        <v>162</v>
      </c>
      <c r="AB131" s="3">
        <v>31.982570806100227</v>
      </c>
      <c r="AC131" s="3">
        <v>30.133333333333333</v>
      </c>
      <c r="AD131" s="3">
        <v>31.976481230212542</v>
      </c>
      <c r="AE131" s="3">
        <v>31.354745714222837</v>
      </c>
      <c r="AF131" s="3">
        <v>94.092385369646109</v>
      </c>
      <c r="AG131" s="18">
        <v>23</v>
      </c>
      <c r="AH131" s="18">
        <v>295</v>
      </c>
      <c r="AI131" s="4">
        <v>38.518518518518519</v>
      </c>
      <c r="AJ131" s="4">
        <v>47.407407407407405</v>
      </c>
      <c r="AK131" s="7">
        <v>44.029850746268657</v>
      </c>
      <c r="AL131" s="5">
        <v>162</v>
      </c>
      <c r="AM131" s="3">
        <v>43.552941176470597</v>
      </c>
      <c r="AN131" s="3">
        <v>28.457142857142863</v>
      </c>
      <c r="AO131" s="3">
        <v>40.635294117647085</v>
      </c>
      <c r="AP131" s="3">
        <v>37.548459383753496</v>
      </c>
      <c r="AQ131" s="3">
        <v>112.64537815126053</v>
      </c>
      <c r="AR131" s="18">
        <v>20</v>
      </c>
      <c r="AS131" s="18">
        <v>280</v>
      </c>
      <c r="AT131" s="4">
        <v>28</v>
      </c>
      <c r="AU131" s="4">
        <v>36.799999999999997</v>
      </c>
      <c r="AV131" s="7">
        <v>29.6</v>
      </c>
      <c r="AW131" s="10">
        <f t="shared" si="29"/>
        <v>155.33333333333334</v>
      </c>
      <c r="AX131" s="9">
        <f t="shared" si="30"/>
        <v>37.408550942547073</v>
      </c>
      <c r="AY131" s="9">
        <f t="shared" si="31"/>
        <v>29.605276101050748</v>
      </c>
      <c r="AZ131" s="9">
        <f t="shared" si="32"/>
        <v>32.114723238018939</v>
      </c>
      <c r="BA131" s="9">
        <f t="shared" si="33"/>
        <v>33.039722513096969</v>
      </c>
      <c r="BB131" s="9">
        <f t="shared" si="34"/>
        <v>99.128550281616754</v>
      </c>
      <c r="BC131" s="10">
        <f t="shared" si="44"/>
        <v>22</v>
      </c>
      <c r="BD131" s="10">
        <f t="shared" si="35"/>
        <v>299</v>
      </c>
      <c r="BE131" s="4">
        <f t="shared" si="38"/>
        <v>33.25925925925926</v>
      </c>
      <c r="BF131" s="4">
        <f t="shared" si="39"/>
        <v>42.103703703703701</v>
      </c>
      <c r="BG131" s="7">
        <f t="shared" si="40"/>
        <v>36.814925373134329</v>
      </c>
      <c r="BH131" s="5">
        <v>159</v>
      </c>
      <c r="BI131" s="3">
        <v>44.771974522292972</v>
      </c>
      <c r="BJ131" s="3">
        <v>24.115286624203847</v>
      </c>
      <c r="BK131" s="3">
        <v>28.623566878980906</v>
      </c>
      <c r="BL131" s="3">
        <v>32.503609341825914</v>
      </c>
      <c r="BM131" s="3">
        <v>97.510828025477679</v>
      </c>
      <c r="BN131" s="18">
        <v>15</v>
      </c>
      <c r="BO131" s="18">
        <v>274</v>
      </c>
      <c r="BP131" s="4">
        <v>30.573248407643312</v>
      </c>
      <c r="BQ131" s="4">
        <v>73.248407643312106</v>
      </c>
      <c r="BR131" s="7">
        <v>68.152866242038215</v>
      </c>
      <c r="BS131" s="18"/>
      <c r="BT131" s="23">
        <v>233</v>
      </c>
    </row>
    <row r="132" spans="1:72" x14ac:dyDescent="0.25">
      <c r="A132" s="18">
        <v>127</v>
      </c>
      <c r="B132" s="18" t="s">
        <v>22</v>
      </c>
      <c r="C132" s="18">
        <v>253</v>
      </c>
      <c r="D132" s="21" t="s">
        <v>9</v>
      </c>
      <c r="E132" s="5"/>
      <c r="F132" s="3">
        <v>50</v>
      </c>
      <c r="G132" s="3">
        <v>50.4</v>
      </c>
      <c r="H132" s="3">
        <v>49.333333333333336</v>
      </c>
      <c r="I132" s="3">
        <f t="shared" si="27"/>
        <v>49.911111111111119</v>
      </c>
      <c r="J132" s="3">
        <f t="shared" si="28"/>
        <v>149.73333333333335</v>
      </c>
      <c r="K132" s="18">
        <f t="shared" si="43"/>
        <v>5</v>
      </c>
      <c r="L132" s="18">
        <f t="shared" si="26"/>
        <v>83</v>
      </c>
      <c r="M132" s="4"/>
      <c r="N132" s="4"/>
      <c r="O132" s="7"/>
      <c r="P132" s="5">
        <v>100</v>
      </c>
      <c r="Q132" s="3">
        <v>59.000000000000028</v>
      </c>
      <c r="R132" s="3">
        <v>53.8</v>
      </c>
      <c r="S132" s="3">
        <v>63.600000000000009</v>
      </c>
      <c r="T132" s="3">
        <v>58.8</v>
      </c>
      <c r="U132" s="3">
        <v>176.40000000000003</v>
      </c>
      <c r="V132" s="18">
        <v>1</v>
      </c>
      <c r="W132" s="18">
        <v>65</v>
      </c>
      <c r="X132" s="4">
        <v>11</v>
      </c>
      <c r="Y132" s="4">
        <v>13</v>
      </c>
      <c r="Z132" s="7">
        <v>11</v>
      </c>
      <c r="AA132" s="5">
        <v>102</v>
      </c>
      <c r="AB132" s="3">
        <v>44.087325651910241</v>
      </c>
      <c r="AC132" s="3">
        <v>54</v>
      </c>
      <c r="AD132" s="3">
        <v>53.233364573570761</v>
      </c>
      <c r="AE132" s="3">
        <v>50.381461675579324</v>
      </c>
      <c r="AF132" s="3">
        <v>151.320690225481</v>
      </c>
      <c r="AG132" s="18">
        <v>3</v>
      </c>
      <c r="AH132" s="18">
        <v>90</v>
      </c>
      <c r="AI132" s="4">
        <v>21.875</v>
      </c>
      <c r="AJ132" s="4">
        <v>12.5</v>
      </c>
      <c r="AK132" s="7">
        <v>12.371134020618557</v>
      </c>
      <c r="AL132" s="5">
        <v>102</v>
      </c>
      <c r="AM132" s="3">
        <v>60.951188986232751</v>
      </c>
      <c r="AN132" s="3">
        <v>41.246200607902743</v>
      </c>
      <c r="AO132" s="3">
        <v>60.137672090112623</v>
      </c>
      <c r="AP132" s="3">
        <v>54.111687228082751</v>
      </c>
      <c r="AQ132" s="3">
        <v>162.33506168424813</v>
      </c>
      <c r="AR132" s="18">
        <v>2</v>
      </c>
      <c r="AS132" s="18">
        <v>94</v>
      </c>
      <c r="AT132" s="4">
        <v>13.829787234042554</v>
      </c>
      <c r="AU132" s="4">
        <v>29.787234042553191</v>
      </c>
      <c r="AV132" s="7">
        <v>10.638297872340425</v>
      </c>
      <c r="AW132" s="10">
        <f t="shared" si="29"/>
        <v>101.33333333333333</v>
      </c>
      <c r="AX132" s="9">
        <f t="shared" si="30"/>
        <v>54.679504879381007</v>
      </c>
      <c r="AY132" s="9">
        <f t="shared" si="31"/>
        <v>49.682066869300911</v>
      </c>
      <c r="AZ132" s="9">
        <f t="shared" si="32"/>
        <v>58.990345554561138</v>
      </c>
      <c r="BA132" s="9">
        <f t="shared" si="33"/>
        <v>54.431049634554029</v>
      </c>
      <c r="BB132" s="9">
        <f t="shared" si="34"/>
        <v>163.35191730324303</v>
      </c>
      <c r="BC132" s="10">
        <f t="shared" si="44"/>
        <v>2</v>
      </c>
      <c r="BD132" s="10">
        <f t="shared" si="35"/>
        <v>80</v>
      </c>
      <c r="BE132" s="4">
        <f t="shared" si="38"/>
        <v>17.852393617021278</v>
      </c>
      <c r="BF132" s="4">
        <f t="shared" si="39"/>
        <v>21.143617021276597</v>
      </c>
      <c r="BG132" s="7">
        <f t="shared" si="40"/>
        <v>11.504715946479491</v>
      </c>
      <c r="BH132" s="5">
        <v>102</v>
      </c>
      <c r="BI132" s="3">
        <v>53.007843137254916</v>
      </c>
      <c r="BJ132" s="3">
        <v>36.122549019607831</v>
      </c>
      <c r="BK132" s="3">
        <v>39.2127450980392</v>
      </c>
      <c r="BL132" s="3">
        <v>42.781045751633989</v>
      </c>
      <c r="BM132" s="3">
        <v>128.34313725490185</v>
      </c>
      <c r="BN132" s="18">
        <v>5</v>
      </c>
      <c r="BO132" s="18">
        <v>124</v>
      </c>
      <c r="BP132" s="4">
        <v>19.607843137254903</v>
      </c>
      <c r="BQ132" s="4">
        <v>52.941176470588232</v>
      </c>
      <c r="BR132" s="7">
        <v>47.058823529411768</v>
      </c>
      <c r="BS132" s="18"/>
      <c r="BT132" s="23">
        <v>253</v>
      </c>
    </row>
    <row r="133" spans="1:72" x14ac:dyDescent="0.25">
      <c r="A133" s="18">
        <v>128</v>
      </c>
      <c r="B133" s="18" t="s">
        <v>22</v>
      </c>
      <c r="C133" s="18">
        <v>273</v>
      </c>
      <c r="D133" s="21" t="s">
        <v>9</v>
      </c>
      <c r="E133" s="5"/>
      <c r="F133" s="3">
        <v>52.666666666666664</v>
      </c>
      <c r="G133" s="3">
        <v>52</v>
      </c>
      <c r="H133" s="3">
        <v>46.666666666666664</v>
      </c>
      <c r="I133" s="3">
        <f t="shared" si="27"/>
        <v>50.444444444444436</v>
      </c>
      <c r="J133" s="3">
        <f t="shared" si="28"/>
        <v>151.33333333333331</v>
      </c>
      <c r="K133" s="18">
        <f t="shared" si="43"/>
        <v>4</v>
      </c>
      <c r="L133" s="18">
        <f t="shared" si="26"/>
        <v>74</v>
      </c>
      <c r="M133" s="4"/>
      <c r="N133" s="4"/>
      <c r="O133" s="7"/>
      <c r="P133" s="5">
        <v>93</v>
      </c>
      <c r="Q133" s="3">
        <v>52.078853046594986</v>
      </c>
      <c r="R133" s="3">
        <v>42.021505376344088</v>
      </c>
      <c r="S133" s="3">
        <v>52.043010752688161</v>
      </c>
      <c r="T133" s="3">
        <v>48.714456391875707</v>
      </c>
      <c r="U133" s="3">
        <v>146.14336917562724</v>
      </c>
      <c r="V133" s="18">
        <v>8</v>
      </c>
      <c r="W133" s="18">
        <v>162</v>
      </c>
      <c r="X133" s="4">
        <v>24.731182795698924</v>
      </c>
      <c r="Y133" s="4">
        <v>35.483870967741936</v>
      </c>
      <c r="Z133" s="7">
        <v>30.107526881720432</v>
      </c>
      <c r="AA133" s="5">
        <v>95</v>
      </c>
      <c r="AB133" s="3">
        <v>39.442724458204346</v>
      </c>
      <c r="AC133" s="3">
        <v>41.89473684210526</v>
      </c>
      <c r="AD133" s="3">
        <v>47.336523125996813</v>
      </c>
      <c r="AE133" s="3">
        <v>42.891328142102125</v>
      </c>
      <c r="AF133" s="3">
        <v>128.67398442630642</v>
      </c>
      <c r="AG133" s="18">
        <v>12</v>
      </c>
      <c r="AH133" s="18">
        <v>183</v>
      </c>
      <c r="AI133" s="4">
        <v>43.157894736842103</v>
      </c>
      <c r="AJ133" s="4">
        <v>35.789473684210527</v>
      </c>
      <c r="AK133" s="7">
        <v>29.473684210526315</v>
      </c>
      <c r="AL133" s="5">
        <v>97</v>
      </c>
      <c r="AM133" s="3">
        <v>55.850032320620549</v>
      </c>
      <c r="AN133" s="3">
        <v>28.697017268445823</v>
      </c>
      <c r="AO133" s="3">
        <v>53.370786516853904</v>
      </c>
      <c r="AP133" s="3">
        <v>45.907901622187325</v>
      </c>
      <c r="AQ133" s="3">
        <v>137.91783610592029</v>
      </c>
      <c r="AR133" s="18">
        <v>12</v>
      </c>
      <c r="AS133" s="18">
        <v>201</v>
      </c>
      <c r="AT133" s="4">
        <v>13.186813186813186</v>
      </c>
      <c r="AU133" s="4">
        <v>64.835164835164832</v>
      </c>
      <c r="AV133" s="7">
        <v>20.224719101123597</v>
      </c>
      <c r="AW133" s="10">
        <f t="shared" si="29"/>
        <v>95</v>
      </c>
      <c r="AX133" s="9">
        <f t="shared" si="30"/>
        <v>49.123869941806625</v>
      </c>
      <c r="AY133" s="9">
        <f t="shared" si="31"/>
        <v>37.537753162298394</v>
      </c>
      <c r="AZ133" s="9">
        <f t="shared" si="32"/>
        <v>50.916773465179631</v>
      </c>
      <c r="BA133" s="9">
        <f t="shared" si="33"/>
        <v>45.837895385388386</v>
      </c>
      <c r="BB133" s="9">
        <f t="shared" si="34"/>
        <v>137.57839656928465</v>
      </c>
      <c r="BC133" s="10">
        <f t="shared" si="44"/>
        <v>8</v>
      </c>
      <c r="BD133" s="10">
        <f t="shared" si="35"/>
        <v>180</v>
      </c>
      <c r="BE133" s="4">
        <f t="shared" si="38"/>
        <v>28.172353961827646</v>
      </c>
      <c r="BF133" s="4">
        <f t="shared" si="39"/>
        <v>50.312319259687683</v>
      </c>
      <c r="BG133" s="7">
        <f t="shared" si="40"/>
        <v>24.849201655824956</v>
      </c>
      <c r="BH133" s="5">
        <v>104</v>
      </c>
      <c r="BI133" s="3">
        <v>52.386538461538457</v>
      </c>
      <c r="BJ133" s="3">
        <v>29.694230769230781</v>
      </c>
      <c r="BK133" s="3">
        <v>36.989423076923067</v>
      </c>
      <c r="BL133" s="3">
        <v>39.690064102564108</v>
      </c>
      <c r="BM133" s="3">
        <v>119.07019230769228</v>
      </c>
      <c r="BN133" s="18">
        <v>8</v>
      </c>
      <c r="BO133" s="18">
        <v>174</v>
      </c>
      <c r="BP133" s="4">
        <v>24.03846153846154</v>
      </c>
      <c r="BQ133" s="4">
        <v>66.34615384615384</v>
      </c>
      <c r="BR133" s="7">
        <v>50</v>
      </c>
      <c r="BS133" s="18"/>
      <c r="BT133" s="23">
        <v>273</v>
      </c>
    </row>
    <row r="134" spans="1:72" x14ac:dyDescent="0.25">
      <c r="A134" s="18">
        <v>129</v>
      </c>
      <c r="B134" s="18" t="s">
        <v>22</v>
      </c>
      <c r="C134" s="18">
        <v>274</v>
      </c>
      <c r="D134" s="21" t="s">
        <v>9</v>
      </c>
      <c r="E134" s="5"/>
      <c r="F134" s="3">
        <v>42.666666666666664</v>
      </c>
      <c r="G134" s="3">
        <v>34</v>
      </c>
      <c r="H134" s="3">
        <v>25.333333333333332</v>
      </c>
      <c r="I134" s="3">
        <f t="shared" si="27"/>
        <v>33.999999999999993</v>
      </c>
      <c r="J134" s="3">
        <f t="shared" si="28"/>
        <v>101.99999999999999</v>
      </c>
      <c r="K134" s="18">
        <f t="shared" si="43"/>
        <v>17</v>
      </c>
      <c r="L134" s="18">
        <f t="shared" ref="L134:L197" si="45">IF(J134="","",(RANK(J134,$J$6:$J$535)))</f>
        <v>256</v>
      </c>
      <c r="M134" s="4"/>
      <c r="N134" s="4"/>
      <c r="O134" s="7"/>
      <c r="P134" s="5">
        <v>262</v>
      </c>
      <c r="Q134" s="3">
        <v>44.872773536895679</v>
      </c>
      <c r="R134" s="3">
        <v>40.702290076335878</v>
      </c>
      <c r="S134" s="3">
        <v>39.554707379134861</v>
      </c>
      <c r="T134" s="3">
        <v>41.709923664122165</v>
      </c>
      <c r="U134" s="3">
        <v>125.12977099236642</v>
      </c>
      <c r="V134" s="18">
        <v>17</v>
      </c>
      <c r="W134" s="18">
        <v>258</v>
      </c>
      <c r="X134" s="4">
        <v>29.007633587786259</v>
      </c>
      <c r="Y134" s="4">
        <v>36.398467432950191</v>
      </c>
      <c r="Z134" s="7">
        <v>41.984732824427482</v>
      </c>
      <c r="AA134" s="5">
        <v>286</v>
      </c>
      <c r="AB134" s="3">
        <v>35.204652203086582</v>
      </c>
      <c r="AC134" s="3">
        <v>40.732824427480914</v>
      </c>
      <c r="AD134" s="3">
        <v>40.430925221799789</v>
      </c>
      <c r="AE134" s="3">
        <v>38.754898571941759</v>
      </c>
      <c r="AF134" s="3">
        <v>116.36840185236727</v>
      </c>
      <c r="AG134" s="18">
        <v>15</v>
      </c>
      <c r="AH134" s="18">
        <v>226</v>
      </c>
      <c r="AI134" s="4">
        <v>43.726235741444867</v>
      </c>
      <c r="AJ134" s="4">
        <v>36.641221374045799</v>
      </c>
      <c r="AK134" s="7">
        <v>38.783269961977183</v>
      </c>
      <c r="AL134" s="5">
        <v>286</v>
      </c>
      <c r="AM134" s="3">
        <v>57.505882352941114</v>
      </c>
      <c r="AN134" s="3">
        <v>38.719999999999992</v>
      </c>
      <c r="AO134" s="3">
        <v>48.606189463737358</v>
      </c>
      <c r="AP134" s="3">
        <v>48.24549019607845</v>
      </c>
      <c r="AQ134" s="3">
        <v>144.83207181667848</v>
      </c>
      <c r="AR134" s="18">
        <v>8</v>
      </c>
      <c r="AS134" s="18">
        <v>166</v>
      </c>
      <c r="AT134" s="4">
        <v>13.2</v>
      </c>
      <c r="AU134" s="4">
        <v>38.799999999999997</v>
      </c>
      <c r="AV134" s="7">
        <v>24.096385542168676</v>
      </c>
      <c r="AW134" s="10">
        <f t="shared" si="29"/>
        <v>278</v>
      </c>
      <c r="AX134" s="9">
        <f t="shared" si="30"/>
        <v>45.861102697641122</v>
      </c>
      <c r="AY134" s="9">
        <f t="shared" si="31"/>
        <v>40.051704834605594</v>
      </c>
      <c r="AZ134" s="9">
        <f t="shared" si="32"/>
        <v>42.863940688224005</v>
      </c>
      <c r="BA134" s="9">
        <f t="shared" si="33"/>
        <v>42.903437477380784</v>
      </c>
      <c r="BB134" s="9">
        <f t="shared" si="34"/>
        <v>128.77674822047072</v>
      </c>
      <c r="BC134" s="10">
        <f t="shared" si="44"/>
        <v>15</v>
      </c>
      <c r="BD134" s="10">
        <f t="shared" si="35"/>
        <v>221</v>
      </c>
      <c r="BE134" s="4">
        <f t="shared" si="38"/>
        <v>28.463117870722435</v>
      </c>
      <c r="BF134" s="4">
        <f t="shared" si="39"/>
        <v>37.720610687022898</v>
      </c>
      <c r="BG134" s="7">
        <f t="shared" si="40"/>
        <v>31.439827752072929</v>
      </c>
      <c r="BH134" s="5">
        <v>290</v>
      </c>
      <c r="BI134" s="3">
        <v>49.962499999999991</v>
      </c>
      <c r="BJ134" s="3">
        <v>28.930357142857126</v>
      </c>
      <c r="BK134" s="3">
        <v>31.732142857142865</v>
      </c>
      <c r="BL134" s="3">
        <v>36.875000000000028</v>
      </c>
      <c r="BM134" s="3">
        <v>110.62499999999999</v>
      </c>
      <c r="BN134" s="18">
        <v>13</v>
      </c>
      <c r="BO134" s="18">
        <v>226</v>
      </c>
      <c r="BP134" s="4">
        <v>21.785714285714285</v>
      </c>
      <c r="BQ134" s="4">
        <v>65.714285714285708</v>
      </c>
      <c r="BR134" s="7">
        <v>62.857142857142854</v>
      </c>
      <c r="BS134" s="18"/>
      <c r="BT134" s="23">
        <v>274</v>
      </c>
    </row>
    <row r="135" spans="1:72" x14ac:dyDescent="0.25">
      <c r="A135" s="1">
        <v>130</v>
      </c>
      <c r="B135" s="18" t="s">
        <v>22</v>
      </c>
      <c r="C135" s="18">
        <v>288</v>
      </c>
      <c r="D135" s="21" t="s">
        <v>9</v>
      </c>
      <c r="E135" s="5"/>
      <c r="F135" s="3">
        <v>55.666666666666664</v>
      </c>
      <c r="G135" s="3">
        <v>60</v>
      </c>
      <c r="H135" s="3">
        <v>36.666666666666664</v>
      </c>
      <c r="I135" s="3">
        <f t="shared" ref="I135:I198" si="46">IF(F135="","",AVERAGE(F135:H135))</f>
        <v>50.777777777777771</v>
      </c>
      <c r="J135" s="3">
        <f t="shared" ref="J135:J198" si="47">IF(F135="","",SUM(F135:H135))</f>
        <v>152.33333333333331</v>
      </c>
      <c r="K135" s="18">
        <f t="shared" si="43"/>
        <v>3</v>
      </c>
      <c r="L135" s="18">
        <f t="shared" si="45"/>
        <v>70</v>
      </c>
      <c r="M135" s="4"/>
      <c r="N135" s="4"/>
      <c r="O135" s="7"/>
      <c r="P135" s="5">
        <v>176</v>
      </c>
      <c r="Q135" s="3">
        <v>57.367424242424271</v>
      </c>
      <c r="R135" s="3">
        <v>52.68181818181818</v>
      </c>
      <c r="S135" s="3">
        <v>61.988636363636367</v>
      </c>
      <c r="T135" s="3">
        <v>57.345959595959584</v>
      </c>
      <c r="U135" s="3">
        <v>172.03787878787881</v>
      </c>
      <c r="V135" s="18">
        <v>2</v>
      </c>
      <c r="W135" s="18">
        <v>77</v>
      </c>
      <c r="X135" s="4">
        <v>5.6818181818181817</v>
      </c>
      <c r="Y135" s="4">
        <v>21.142857142857142</v>
      </c>
      <c r="Z135" s="7">
        <v>19.886363636363637</v>
      </c>
      <c r="AA135" s="5">
        <v>192</v>
      </c>
      <c r="AB135" s="3">
        <v>43.926209537069241</v>
      </c>
      <c r="AC135" s="3">
        <v>53.349112426035504</v>
      </c>
      <c r="AD135" s="3">
        <v>53.36202259279181</v>
      </c>
      <c r="AE135" s="3">
        <v>50.212448185298868</v>
      </c>
      <c r="AF135" s="3">
        <v>150.63734455589656</v>
      </c>
      <c r="AG135" s="18">
        <v>5</v>
      </c>
      <c r="AH135" s="18">
        <v>96</v>
      </c>
      <c r="AI135" s="4">
        <v>25.443786982248522</v>
      </c>
      <c r="AJ135" s="4">
        <v>18.34319526627219</v>
      </c>
      <c r="AK135" s="7">
        <v>18.452380952380953</v>
      </c>
      <c r="AL135" s="5">
        <v>192</v>
      </c>
      <c r="AM135" s="3">
        <v>57.504456327985729</v>
      </c>
      <c r="AN135" s="3">
        <v>34.008658008657974</v>
      </c>
      <c r="AO135" s="3">
        <v>49.982174688057057</v>
      </c>
      <c r="AP135" s="3">
        <v>47.165096341566922</v>
      </c>
      <c r="AQ135" s="3">
        <v>141.49528902470075</v>
      </c>
      <c r="AR135" s="18">
        <v>10</v>
      </c>
      <c r="AS135" s="18">
        <v>179</v>
      </c>
      <c r="AT135" s="4">
        <v>18.181818181818183</v>
      </c>
      <c r="AU135" s="4">
        <v>50.909090909090907</v>
      </c>
      <c r="AV135" s="7">
        <v>29.696969696969695</v>
      </c>
      <c r="AW135" s="10">
        <f t="shared" ref="AW135:AW198" si="48">AVERAGE(P135,AA135,AL135)</f>
        <v>186.66666666666666</v>
      </c>
      <c r="AX135" s="9">
        <f t="shared" ref="AX135:AX198" si="49">AVERAGE(Q135,AB135,AM135)</f>
        <v>52.932696702493082</v>
      </c>
      <c r="AY135" s="9">
        <f t="shared" ref="AY135:AY198" si="50">AVERAGE(R135,AC135,AN135)</f>
        <v>46.679862872170553</v>
      </c>
      <c r="AZ135" s="9">
        <f t="shared" ref="AZ135:AZ198" si="51">AVERAGE(S135,AD135,AO135)</f>
        <v>55.11094454816174</v>
      </c>
      <c r="BA135" s="9">
        <f t="shared" ref="BA135:BA198" si="52">AVERAGE(T135,AE135,AP135)</f>
        <v>51.574501374275123</v>
      </c>
      <c r="BB135" s="9">
        <f t="shared" ref="BB135:BB198" si="53">AVERAGE(U135,AF135,AQ135)</f>
        <v>154.72350412282537</v>
      </c>
      <c r="BC135" s="10">
        <f t="shared" si="44"/>
        <v>4</v>
      </c>
      <c r="BD135" s="10">
        <f t="shared" ref="BD135:BD198" si="54">IF(BB135="","",(RANK(BB135,$BB$6:$BB$535)))</f>
        <v>105</v>
      </c>
      <c r="BE135" s="4">
        <f t="shared" si="38"/>
        <v>21.812802582033353</v>
      </c>
      <c r="BF135" s="4">
        <f t="shared" si="39"/>
        <v>34.626143087681548</v>
      </c>
      <c r="BG135" s="7">
        <f t="shared" si="40"/>
        <v>24.074675324675326</v>
      </c>
      <c r="BH135" s="5">
        <v>192</v>
      </c>
      <c r="BI135" s="3">
        <v>54.926041666666642</v>
      </c>
      <c r="BJ135" s="3">
        <v>35.182812500000011</v>
      </c>
      <c r="BK135" s="3">
        <v>38.416666666666664</v>
      </c>
      <c r="BL135" s="3">
        <v>42.841840277777749</v>
      </c>
      <c r="BM135" s="3">
        <v>128.52552083333333</v>
      </c>
      <c r="BN135" s="18">
        <v>4</v>
      </c>
      <c r="BO135" s="18">
        <v>123</v>
      </c>
      <c r="BP135" s="4">
        <v>16.145833333333332</v>
      </c>
      <c r="BQ135" s="4">
        <v>51.5625</v>
      </c>
      <c r="BR135" s="7">
        <v>44.791666666666664</v>
      </c>
      <c r="BS135" s="18"/>
      <c r="BT135" s="23">
        <v>288</v>
      </c>
    </row>
    <row r="136" spans="1:72" x14ac:dyDescent="0.25">
      <c r="A136" s="18">
        <v>131</v>
      </c>
      <c r="B136" s="18" t="s">
        <v>22</v>
      </c>
      <c r="C136" s="18">
        <v>294</v>
      </c>
      <c r="D136" s="21" t="s">
        <v>9</v>
      </c>
      <c r="E136" s="5"/>
      <c r="F136" s="3">
        <v>50</v>
      </c>
      <c r="G136" s="3">
        <v>41.2</v>
      </c>
      <c r="H136" s="3">
        <v>26.666666666666668</v>
      </c>
      <c r="I136" s="3">
        <f t="shared" si="46"/>
        <v>39.288888888888891</v>
      </c>
      <c r="J136" s="3">
        <f t="shared" si="47"/>
        <v>117.86666666666667</v>
      </c>
      <c r="K136" s="18">
        <f t="shared" si="43"/>
        <v>10</v>
      </c>
      <c r="L136" s="18">
        <f t="shared" si="45"/>
        <v>204</v>
      </c>
      <c r="M136" s="4"/>
      <c r="N136" s="4"/>
      <c r="O136" s="7"/>
      <c r="P136" s="5">
        <v>38</v>
      </c>
      <c r="Q136" s="3">
        <v>37.807017543859644</v>
      </c>
      <c r="R136" s="3">
        <v>43.473684210526315</v>
      </c>
      <c r="S136" s="3">
        <v>46.228070175438596</v>
      </c>
      <c r="T136" s="3">
        <v>42.502923976608173</v>
      </c>
      <c r="U136" s="3">
        <v>127.50877192982455</v>
      </c>
      <c r="V136" s="18">
        <v>15</v>
      </c>
      <c r="W136" s="18">
        <v>248</v>
      </c>
      <c r="X136" s="4">
        <v>36.842105263157897</v>
      </c>
      <c r="Y136" s="4">
        <v>31.578947368421051</v>
      </c>
      <c r="Z136" s="7">
        <v>26.315789473684209</v>
      </c>
      <c r="AA136" s="5">
        <v>39</v>
      </c>
      <c r="AB136" s="3">
        <v>37.782805429864247</v>
      </c>
      <c r="AC136" s="3">
        <v>42.769230769230766</v>
      </c>
      <c r="AD136" s="3">
        <v>42.191142191142191</v>
      </c>
      <c r="AE136" s="3">
        <v>40.914392796745737</v>
      </c>
      <c r="AF136" s="3">
        <v>122.7431783902372</v>
      </c>
      <c r="AG136" s="18">
        <v>14</v>
      </c>
      <c r="AH136" s="18">
        <v>198</v>
      </c>
      <c r="AI136" s="4">
        <v>33.333333333333336</v>
      </c>
      <c r="AJ136" s="4">
        <v>38.46153846153846</v>
      </c>
      <c r="AK136" s="7">
        <v>30.76923076923077</v>
      </c>
      <c r="AL136" s="5">
        <v>41</v>
      </c>
      <c r="AM136" s="3">
        <v>60.40172166427547</v>
      </c>
      <c r="AN136" s="3">
        <v>46.480836236933797</v>
      </c>
      <c r="AO136" s="3">
        <v>54.160688665710182</v>
      </c>
      <c r="AP136" s="3">
        <v>53.68108218897315</v>
      </c>
      <c r="AQ136" s="3">
        <v>161.04324656691944</v>
      </c>
      <c r="AR136" s="18">
        <v>3</v>
      </c>
      <c r="AS136" s="18">
        <v>97</v>
      </c>
      <c r="AT136" s="4">
        <v>7.3170731707317076</v>
      </c>
      <c r="AU136" s="4">
        <v>19.512195121951219</v>
      </c>
      <c r="AV136" s="7">
        <v>17.073170731707318</v>
      </c>
      <c r="AW136" s="10">
        <f t="shared" si="48"/>
        <v>39.333333333333336</v>
      </c>
      <c r="AX136" s="9">
        <f t="shared" si="49"/>
        <v>45.330514879333123</v>
      </c>
      <c r="AY136" s="9">
        <f t="shared" si="50"/>
        <v>44.241250405563619</v>
      </c>
      <c r="AZ136" s="9">
        <f t="shared" si="51"/>
        <v>47.526633677430318</v>
      </c>
      <c r="BA136" s="9">
        <f t="shared" si="52"/>
        <v>45.699466320775684</v>
      </c>
      <c r="BB136" s="9">
        <f t="shared" si="53"/>
        <v>137.09839896232708</v>
      </c>
      <c r="BC136" s="10">
        <f t="shared" si="44"/>
        <v>10</v>
      </c>
      <c r="BD136" s="10">
        <f t="shared" si="54"/>
        <v>183</v>
      </c>
      <c r="BE136" s="4">
        <f t="shared" si="38"/>
        <v>20.325203252032523</v>
      </c>
      <c r="BF136" s="4">
        <f t="shared" si="39"/>
        <v>28.986866791744838</v>
      </c>
      <c r="BG136" s="7">
        <f t="shared" si="40"/>
        <v>23.921200750469044</v>
      </c>
      <c r="BH136" s="5">
        <v>42</v>
      </c>
      <c r="BI136" s="3">
        <v>57.653658536585361</v>
      </c>
      <c r="BJ136" s="3">
        <v>45.268292682926827</v>
      </c>
      <c r="BK136" s="3">
        <v>38.163414634146335</v>
      </c>
      <c r="BL136" s="3">
        <v>47.028455284552848</v>
      </c>
      <c r="BM136" s="3">
        <v>141.08536585365857</v>
      </c>
      <c r="BN136" s="18">
        <v>1</v>
      </c>
      <c r="BO136" s="18">
        <v>63</v>
      </c>
      <c r="BP136" s="4">
        <v>9.7560975609756095</v>
      </c>
      <c r="BQ136" s="4">
        <v>43.902439024390247</v>
      </c>
      <c r="BR136" s="7">
        <v>43.902439024390247</v>
      </c>
      <c r="BS136" s="18"/>
      <c r="BT136" s="23">
        <v>294</v>
      </c>
    </row>
    <row r="137" spans="1:72" x14ac:dyDescent="0.25">
      <c r="A137" s="18">
        <v>132</v>
      </c>
      <c r="B137" s="18" t="s">
        <v>22</v>
      </c>
      <c r="C137" s="18">
        <v>302</v>
      </c>
      <c r="D137" s="21" t="s">
        <v>9</v>
      </c>
      <c r="E137" s="5"/>
      <c r="F137" s="3">
        <v>45.333333333333336</v>
      </c>
      <c r="G137" s="3">
        <v>34</v>
      </c>
      <c r="H137" s="3">
        <v>21</v>
      </c>
      <c r="I137" s="3">
        <f t="shared" si="46"/>
        <v>33.44444444444445</v>
      </c>
      <c r="J137" s="3">
        <f t="shared" si="47"/>
        <v>100.33333333333334</v>
      </c>
      <c r="K137" s="18">
        <f t="shared" si="43"/>
        <v>20</v>
      </c>
      <c r="L137" s="18">
        <f t="shared" si="45"/>
        <v>261</v>
      </c>
      <c r="M137" s="4"/>
      <c r="N137" s="4"/>
      <c r="O137" s="7"/>
      <c r="P137" s="5">
        <v>53</v>
      </c>
      <c r="Q137" s="3">
        <v>45.849056603773604</v>
      </c>
      <c r="R137" s="3">
        <v>41.509433962264154</v>
      </c>
      <c r="S137" s="3">
        <v>42.578616352201266</v>
      </c>
      <c r="T137" s="3">
        <v>43.312368972746334</v>
      </c>
      <c r="U137" s="3">
        <v>129.93710691823901</v>
      </c>
      <c r="V137" s="18">
        <v>13</v>
      </c>
      <c r="W137" s="18">
        <v>236</v>
      </c>
      <c r="X137" s="4">
        <v>22.641509433962263</v>
      </c>
      <c r="Y137" s="4">
        <v>28.30188679245283</v>
      </c>
      <c r="Z137" s="7">
        <v>39.622641509433961</v>
      </c>
      <c r="AA137" s="5">
        <v>54</v>
      </c>
      <c r="AB137" s="3">
        <v>36.546840958605664</v>
      </c>
      <c r="AC137" s="3">
        <v>42.962962962962962</v>
      </c>
      <c r="AD137" s="3">
        <v>35.746352413019075</v>
      </c>
      <c r="AE137" s="3">
        <v>38.418718778195903</v>
      </c>
      <c r="AF137" s="3">
        <v>115.2561563345877</v>
      </c>
      <c r="AG137" s="18">
        <v>17</v>
      </c>
      <c r="AH137" s="18">
        <v>231</v>
      </c>
      <c r="AI137" s="4">
        <v>35.185185185185183</v>
      </c>
      <c r="AJ137" s="4">
        <v>25.925925925925927</v>
      </c>
      <c r="AK137" s="7">
        <v>40.74074074074074</v>
      </c>
      <c r="AL137" s="5">
        <v>55</v>
      </c>
      <c r="AM137" s="3">
        <v>57.244008714596958</v>
      </c>
      <c r="AN137" s="3">
        <v>27.385444743935313</v>
      </c>
      <c r="AO137" s="3">
        <v>36.481900452488695</v>
      </c>
      <c r="AP137" s="3">
        <v>40.303454715219424</v>
      </c>
      <c r="AQ137" s="3">
        <v>121.11135391102096</v>
      </c>
      <c r="AR137" s="18">
        <v>18</v>
      </c>
      <c r="AS137" s="18">
        <v>259</v>
      </c>
      <c r="AT137" s="4">
        <v>14.814814814814815</v>
      </c>
      <c r="AU137" s="4">
        <v>50.943396226415096</v>
      </c>
      <c r="AV137" s="7">
        <v>38.46153846153846</v>
      </c>
      <c r="AW137" s="10">
        <f t="shared" si="48"/>
        <v>54</v>
      </c>
      <c r="AX137" s="9">
        <f t="shared" si="49"/>
        <v>46.546635425658742</v>
      </c>
      <c r="AY137" s="9">
        <f t="shared" si="50"/>
        <v>37.285947223054144</v>
      </c>
      <c r="AZ137" s="9">
        <f t="shared" si="51"/>
        <v>38.268956405903019</v>
      </c>
      <c r="BA137" s="9">
        <f t="shared" si="52"/>
        <v>40.678180822053889</v>
      </c>
      <c r="BB137" s="9">
        <f t="shared" si="53"/>
        <v>122.10153905461588</v>
      </c>
      <c r="BC137" s="10">
        <f t="shared" si="44"/>
        <v>17</v>
      </c>
      <c r="BD137" s="10">
        <f t="shared" si="54"/>
        <v>253</v>
      </c>
      <c r="BE137" s="4">
        <f t="shared" si="38"/>
        <v>25</v>
      </c>
      <c r="BF137" s="4">
        <f t="shared" si="39"/>
        <v>38.434661076170514</v>
      </c>
      <c r="BG137" s="7">
        <f t="shared" si="40"/>
        <v>39.6011396011396</v>
      </c>
      <c r="BH137" s="5">
        <v>55</v>
      </c>
      <c r="BI137" s="3">
        <v>51.981818181818163</v>
      </c>
      <c r="BJ137" s="3">
        <v>34.434545454545464</v>
      </c>
      <c r="BK137" s="3">
        <v>32.034545454545452</v>
      </c>
      <c r="BL137" s="3">
        <v>39.483636363636379</v>
      </c>
      <c r="BM137" s="3">
        <v>118.45090909090906</v>
      </c>
      <c r="BN137" s="18">
        <v>10</v>
      </c>
      <c r="BO137" s="18">
        <v>178</v>
      </c>
      <c r="BP137" s="4">
        <v>21.818181818181817</v>
      </c>
      <c r="BQ137" s="4">
        <v>52.727272727272727</v>
      </c>
      <c r="BR137" s="7">
        <v>52.727272727272727</v>
      </c>
      <c r="BS137" s="18"/>
      <c r="BT137" s="23">
        <v>302</v>
      </c>
    </row>
    <row r="138" spans="1:72" x14ac:dyDescent="0.25">
      <c r="A138" s="18">
        <v>133</v>
      </c>
      <c r="B138" s="18" t="s">
        <v>22</v>
      </c>
      <c r="C138" s="18">
        <v>303</v>
      </c>
      <c r="D138" s="21" t="s">
        <v>23</v>
      </c>
      <c r="E138" s="5"/>
      <c r="F138" s="3">
        <v>39</v>
      </c>
      <c r="G138" s="3">
        <v>34.799999999999997</v>
      </c>
      <c r="H138" s="3">
        <v>20</v>
      </c>
      <c r="I138" s="3">
        <f t="shared" si="46"/>
        <v>31.266666666666666</v>
      </c>
      <c r="J138" s="3">
        <f t="shared" si="47"/>
        <v>93.8</v>
      </c>
      <c r="K138" s="18">
        <f t="shared" si="43"/>
        <v>21</v>
      </c>
      <c r="L138" s="18">
        <f t="shared" si="45"/>
        <v>274</v>
      </c>
      <c r="M138" s="4"/>
      <c r="N138" s="4"/>
      <c r="O138" s="7"/>
      <c r="P138" s="5">
        <v>18</v>
      </c>
      <c r="Q138" s="3">
        <v>41.296296296296291</v>
      </c>
      <c r="R138" s="3">
        <v>36</v>
      </c>
      <c r="S138" s="3">
        <v>47.592592592592588</v>
      </c>
      <c r="T138" s="3">
        <v>41.629629629629626</v>
      </c>
      <c r="U138" s="3">
        <v>124.88888888888889</v>
      </c>
      <c r="V138" s="18">
        <v>18</v>
      </c>
      <c r="W138" s="18">
        <v>259</v>
      </c>
      <c r="X138" s="4">
        <v>44.444444444444443</v>
      </c>
      <c r="Y138" s="4">
        <v>66.666666666666671</v>
      </c>
      <c r="Z138" s="7">
        <v>44.444444444444443</v>
      </c>
      <c r="AA138" s="5">
        <v>20</v>
      </c>
      <c r="AB138" s="3">
        <v>54.953560371517021</v>
      </c>
      <c r="AC138" s="3">
        <v>35.789473684210513</v>
      </c>
      <c r="AD138" s="3">
        <v>51.547987616099071</v>
      </c>
      <c r="AE138" s="3">
        <v>47.430340557275535</v>
      </c>
      <c r="AF138" s="3">
        <v>142.2910216718266</v>
      </c>
      <c r="AG138" s="18">
        <v>6</v>
      </c>
      <c r="AH138" s="18">
        <v>122</v>
      </c>
      <c r="AI138" s="4">
        <v>10.526315789473685</v>
      </c>
      <c r="AJ138" s="4">
        <v>52.631578947368418</v>
      </c>
      <c r="AK138" s="7">
        <v>21.05263157894737</v>
      </c>
      <c r="AL138" s="5">
        <v>20</v>
      </c>
      <c r="AM138" s="3">
        <v>54.953560371517021</v>
      </c>
      <c r="AN138" s="3">
        <v>35.789473684210513</v>
      </c>
      <c r="AO138" s="3">
        <v>51.547987616099071</v>
      </c>
      <c r="AP138" s="3">
        <v>47.430340557275535</v>
      </c>
      <c r="AQ138" s="3">
        <v>142.2910216718266</v>
      </c>
      <c r="AR138" s="18">
        <v>9</v>
      </c>
      <c r="AS138" s="18">
        <v>176</v>
      </c>
      <c r="AT138" s="4">
        <v>10.526315789473685</v>
      </c>
      <c r="AU138" s="4">
        <v>52.631578947368418</v>
      </c>
      <c r="AV138" s="7">
        <v>21.05263157894737</v>
      </c>
      <c r="AW138" s="10">
        <f t="shared" si="48"/>
        <v>19.333333333333332</v>
      </c>
      <c r="AX138" s="9">
        <f t="shared" si="49"/>
        <v>50.401139013110111</v>
      </c>
      <c r="AY138" s="9">
        <f t="shared" si="50"/>
        <v>35.859649122807014</v>
      </c>
      <c r="AZ138" s="9">
        <f t="shared" si="51"/>
        <v>50.229522608263579</v>
      </c>
      <c r="BA138" s="9">
        <f t="shared" si="52"/>
        <v>45.496770248060237</v>
      </c>
      <c r="BB138" s="9">
        <f t="shared" si="53"/>
        <v>136.49031074418068</v>
      </c>
      <c r="BC138" s="10">
        <f t="shared" si="44"/>
        <v>11</v>
      </c>
      <c r="BD138" s="10">
        <f t="shared" si="54"/>
        <v>187</v>
      </c>
      <c r="BE138" s="4">
        <f t="shared" si="38"/>
        <v>10.526315789473685</v>
      </c>
      <c r="BF138" s="4">
        <f t="shared" si="39"/>
        <v>52.631578947368418</v>
      </c>
      <c r="BG138" s="7">
        <f t="shared" si="40"/>
        <v>21.05263157894737</v>
      </c>
      <c r="BH138" s="5">
        <v>18</v>
      </c>
      <c r="BI138" s="3">
        <v>37.522222222222219</v>
      </c>
      <c r="BJ138" s="3">
        <v>23.938888888888883</v>
      </c>
      <c r="BK138" s="3">
        <v>32.18333333333333</v>
      </c>
      <c r="BL138" s="3">
        <v>31.214814814814815</v>
      </c>
      <c r="BM138" s="3">
        <v>93.644444444444446</v>
      </c>
      <c r="BN138" s="18">
        <v>19</v>
      </c>
      <c r="BO138" s="18">
        <v>284</v>
      </c>
      <c r="BP138" s="4">
        <v>44.444444444444443</v>
      </c>
      <c r="BQ138" s="4">
        <v>72.222222222222229</v>
      </c>
      <c r="BR138" s="7">
        <v>61.111111111111114</v>
      </c>
      <c r="BS138" s="18"/>
      <c r="BT138" s="23">
        <v>303</v>
      </c>
    </row>
    <row r="139" spans="1:72" x14ac:dyDescent="0.25">
      <c r="A139" s="18">
        <v>134</v>
      </c>
      <c r="B139" s="18" t="s">
        <v>22</v>
      </c>
      <c r="C139" s="18">
        <v>319</v>
      </c>
      <c r="D139" s="21" t="s">
        <v>9</v>
      </c>
      <c r="E139" s="5"/>
      <c r="F139" s="3">
        <v>49.333333333333336</v>
      </c>
      <c r="G139" s="3">
        <v>39.200000000000003</v>
      </c>
      <c r="H139" s="3">
        <v>29.333333333333336</v>
      </c>
      <c r="I139" s="3">
        <f t="shared" si="46"/>
        <v>39.288888888888891</v>
      </c>
      <c r="J139" s="3">
        <f t="shared" si="47"/>
        <v>117.86666666666667</v>
      </c>
      <c r="K139" s="18">
        <f t="shared" si="43"/>
        <v>10</v>
      </c>
      <c r="L139" s="18">
        <f t="shared" si="45"/>
        <v>204</v>
      </c>
      <c r="M139" s="4"/>
      <c r="N139" s="4"/>
      <c r="O139" s="7"/>
      <c r="P139" s="5">
        <v>62</v>
      </c>
      <c r="Q139" s="3">
        <v>54.408602150537632</v>
      </c>
      <c r="R139" s="3">
        <v>47.354838709677416</v>
      </c>
      <c r="S139" s="3">
        <v>58.924731182795689</v>
      </c>
      <c r="T139" s="3">
        <v>53.562724014336872</v>
      </c>
      <c r="U139" s="3">
        <v>160.68817204301072</v>
      </c>
      <c r="V139" s="18">
        <v>4</v>
      </c>
      <c r="W139" s="18">
        <v>103</v>
      </c>
      <c r="X139" s="4">
        <v>22.580645161290324</v>
      </c>
      <c r="Y139" s="4">
        <v>32.258064516129032</v>
      </c>
      <c r="Z139" s="7">
        <v>29.032258064516128</v>
      </c>
      <c r="AA139" s="5">
        <v>68</v>
      </c>
      <c r="AB139" s="3">
        <v>47.806580259222308</v>
      </c>
      <c r="AC139" s="3">
        <v>48.542372881355931</v>
      </c>
      <c r="AD139" s="3">
        <v>42.886492039034408</v>
      </c>
      <c r="AE139" s="3">
        <v>46.411815059870882</v>
      </c>
      <c r="AF139" s="3">
        <v>139.23544517961264</v>
      </c>
      <c r="AG139" s="18">
        <v>8</v>
      </c>
      <c r="AH139" s="18">
        <v>136</v>
      </c>
      <c r="AI139" s="4">
        <v>36.206896551724135</v>
      </c>
      <c r="AJ139" s="4">
        <v>25.423728813559322</v>
      </c>
      <c r="AK139" s="7">
        <v>42.372881355932201</v>
      </c>
      <c r="AL139" s="5">
        <v>68</v>
      </c>
      <c r="AM139" s="3">
        <v>55.502846299810265</v>
      </c>
      <c r="AN139" s="3">
        <v>50.111234705228028</v>
      </c>
      <c r="AO139" s="3">
        <v>55.278592375366578</v>
      </c>
      <c r="AP139" s="3">
        <v>53.630891126801615</v>
      </c>
      <c r="AQ139" s="3">
        <v>160.89267338040486</v>
      </c>
      <c r="AR139" s="18">
        <v>4</v>
      </c>
      <c r="AS139" s="18">
        <v>99</v>
      </c>
      <c r="AT139" s="4">
        <v>24.193548387096776</v>
      </c>
      <c r="AU139" s="4">
        <v>17.741935483870968</v>
      </c>
      <c r="AV139" s="7">
        <v>18.032786885245901</v>
      </c>
      <c r="AW139" s="10">
        <f t="shared" si="48"/>
        <v>66</v>
      </c>
      <c r="AX139" s="9">
        <f t="shared" si="49"/>
        <v>52.572676236523399</v>
      </c>
      <c r="AY139" s="9">
        <f t="shared" si="50"/>
        <v>48.669482098753782</v>
      </c>
      <c r="AZ139" s="9">
        <f t="shared" si="51"/>
        <v>52.363271865732223</v>
      </c>
      <c r="BA139" s="9">
        <f t="shared" si="52"/>
        <v>51.201810067003123</v>
      </c>
      <c r="BB139" s="9">
        <f t="shared" si="53"/>
        <v>153.6054302010094</v>
      </c>
      <c r="BC139" s="10">
        <f t="shared" si="44"/>
        <v>5</v>
      </c>
      <c r="BD139" s="10">
        <f t="shared" si="54"/>
        <v>112</v>
      </c>
      <c r="BE139" s="4">
        <f t="shared" si="38"/>
        <v>30.200222469410456</v>
      </c>
      <c r="BF139" s="4">
        <f t="shared" si="39"/>
        <v>21.582832148715145</v>
      </c>
      <c r="BG139" s="7">
        <f t="shared" si="40"/>
        <v>30.202834120589053</v>
      </c>
      <c r="BH139" s="5">
        <v>69</v>
      </c>
      <c r="BI139" s="3">
        <v>51.771014492753636</v>
      </c>
      <c r="BJ139" s="3">
        <v>38.066666666666677</v>
      </c>
      <c r="BK139" s="3">
        <v>40.92173913043478</v>
      </c>
      <c r="BL139" s="3">
        <v>43.58647342995171</v>
      </c>
      <c r="BM139" s="3">
        <v>130.75942028985509</v>
      </c>
      <c r="BN139" s="18">
        <v>3</v>
      </c>
      <c r="BO139" s="18">
        <v>105</v>
      </c>
      <c r="BP139" s="4">
        <v>26.086956521739129</v>
      </c>
      <c r="BQ139" s="4">
        <v>46.376811594202898</v>
      </c>
      <c r="BR139" s="7">
        <v>49.275362318840578</v>
      </c>
      <c r="BS139" s="18"/>
      <c r="BT139" s="23">
        <v>319</v>
      </c>
    </row>
    <row r="140" spans="1:72" x14ac:dyDescent="0.25">
      <c r="A140" s="1">
        <v>135</v>
      </c>
      <c r="B140" s="18" t="s">
        <v>22</v>
      </c>
      <c r="C140" s="18">
        <v>320</v>
      </c>
      <c r="D140" s="21" t="s">
        <v>9</v>
      </c>
      <c r="E140" s="5"/>
      <c r="F140" s="3">
        <v>60</v>
      </c>
      <c r="G140" s="3">
        <v>64</v>
      </c>
      <c r="H140" s="3">
        <v>61</v>
      </c>
      <c r="I140" s="3">
        <f t="shared" si="46"/>
        <v>61.666666666666664</v>
      </c>
      <c r="J140" s="3">
        <f t="shared" si="47"/>
        <v>185</v>
      </c>
      <c r="K140" s="18">
        <f t="shared" si="43"/>
        <v>1</v>
      </c>
      <c r="L140" s="18">
        <f t="shared" si="45"/>
        <v>16</v>
      </c>
      <c r="M140" s="4"/>
      <c r="N140" s="4"/>
      <c r="O140" s="7"/>
      <c r="P140" s="5">
        <v>106</v>
      </c>
      <c r="Q140" s="3">
        <v>39.874213836477985</v>
      </c>
      <c r="R140" s="3">
        <v>31.849056603773583</v>
      </c>
      <c r="S140" s="3">
        <v>37.641509433962256</v>
      </c>
      <c r="T140" s="3">
        <v>36.454926624737922</v>
      </c>
      <c r="U140" s="3">
        <v>109.36477987421382</v>
      </c>
      <c r="V140" s="18">
        <v>21</v>
      </c>
      <c r="W140" s="18">
        <v>289</v>
      </c>
      <c r="X140" s="4">
        <v>36.79245283018868</v>
      </c>
      <c r="Y140" s="4">
        <v>52.830188679245282</v>
      </c>
      <c r="Z140" s="7">
        <v>46.226415094339622</v>
      </c>
      <c r="AA140" s="5">
        <v>110</v>
      </c>
      <c r="AB140" s="3">
        <v>48.85154061624651</v>
      </c>
      <c r="AC140" s="3">
        <v>54.55238095238095</v>
      </c>
      <c r="AD140" s="3">
        <v>38.326118326118305</v>
      </c>
      <c r="AE140" s="3">
        <v>47.243346631581936</v>
      </c>
      <c r="AF140" s="3">
        <v>141.73003989474574</v>
      </c>
      <c r="AG140" s="18">
        <v>7</v>
      </c>
      <c r="AH140" s="18">
        <v>125</v>
      </c>
      <c r="AI140" s="4">
        <v>23.80952380952381</v>
      </c>
      <c r="AJ140" s="4">
        <v>24.761904761904763</v>
      </c>
      <c r="AK140" s="7">
        <v>39.047619047619051</v>
      </c>
      <c r="AL140" s="5">
        <v>110</v>
      </c>
      <c r="AM140" s="3">
        <v>48.64039955604882</v>
      </c>
      <c r="AN140" s="3">
        <v>33.018867924528294</v>
      </c>
      <c r="AO140" s="3">
        <v>53.995560488346321</v>
      </c>
      <c r="AP140" s="3">
        <v>45.21827598964115</v>
      </c>
      <c r="AQ140" s="3">
        <v>135.65482796892343</v>
      </c>
      <c r="AR140" s="18">
        <v>14</v>
      </c>
      <c r="AS140" s="18">
        <v>208</v>
      </c>
      <c r="AT140" s="4">
        <v>25.471698113207548</v>
      </c>
      <c r="AU140" s="4">
        <v>52.830188679245282</v>
      </c>
      <c r="AV140" s="7">
        <v>17.924528301886792</v>
      </c>
      <c r="AW140" s="10">
        <f t="shared" si="48"/>
        <v>108.66666666666667</v>
      </c>
      <c r="AX140" s="9">
        <f t="shared" si="49"/>
        <v>45.78871800292444</v>
      </c>
      <c r="AY140" s="9">
        <f t="shared" si="50"/>
        <v>39.806768493560945</v>
      </c>
      <c r="AZ140" s="9">
        <f t="shared" si="51"/>
        <v>43.32106274947563</v>
      </c>
      <c r="BA140" s="9">
        <f t="shared" si="52"/>
        <v>42.972183081986998</v>
      </c>
      <c r="BB140" s="9">
        <f t="shared" si="53"/>
        <v>128.91654924596099</v>
      </c>
      <c r="BC140" s="10">
        <f t="shared" si="44"/>
        <v>14</v>
      </c>
      <c r="BD140" s="10">
        <f t="shared" si="54"/>
        <v>220</v>
      </c>
      <c r="BE140" s="4">
        <f t="shared" si="38"/>
        <v>24.640610961365681</v>
      </c>
      <c r="BF140" s="4">
        <f t="shared" si="39"/>
        <v>38.796046720575021</v>
      </c>
      <c r="BG140" s="7">
        <f t="shared" si="40"/>
        <v>28.486073674752923</v>
      </c>
      <c r="BH140" s="5">
        <v>110</v>
      </c>
      <c r="BI140" s="3">
        <v>44.26</v>
      </c>
      <c r="BJ140" s="3">
        <v>26.646363636363663</v>
      </c>
      <c r="BK140" s="3">
        <v>26.390909090909091</v>
      </c>
      <c r="BL140" s="3">
        <v>32.432424242424254</v>
      </c>
      <c r="BM140" s="3">
        <v>97.297272727272727</v>
      </c>
      <c r="BN140" s="18">
        <v>17</v>
      </c>
      <c r="BO140" s="18">
        <v>276</v>
      </c>
      <c r="BP140" s="4">
        <v>32.727272727272727</v>
      </c>
      <c r="BQ140" s="4">
        <v>67.272727272727266</v>
      </c>
      <c r="BR140" s="7">
        <v>66.36363636363636</v>
      </c>
      <c r="BS140" s="18"/>
      <c r="BT140" s="23">
        <v>320</v>
      </c>
    </row>
    <row r="141" spans="1:72" x14ac:dyDescent="0.25">
      <c r="A141" s="18">
        <v>136</v>
      </c>
      <c r="B141" s="18" t="s">
        <v>22</v>
      </c>
      <c r="C141" s="18">
        <v>321</v>
      </c>
      <c r="D141" s="21" t="s">
        <v>9</v>
      </c>
      <c r="E141" s="5"/>
      <c r="F141" s="3"/>
      <c r="G141" s="3"/>
      <c r="H141" s="3"/>
      <c r="I141" s="3" t="str">
        <f t="shared" si="46"/>
        <v/>
      </c>
      <c r="J141" s="3" t="str">
        <f t="shared" si="47"/>
        <v/>
      </c>
      <c r="K141" s="18" t="str">
        <f t="shared" si="43"/>
        <v/>
      </c>
      <c r="L141" s="18" t="str">
        <f t="shared" si="45"/>
        <v/>
      </c>
      <c r="M141" s="4"/>
      <c r="N141" s="4"/>
      <c r="O141" s="7"/>
      <c r="P141" s="5">
        <v>81</v>
      </c>
      <c r="Q141" s="3">
        <v>41.440329218106996</v>
      </c>
      <c r="R141" s="3">
        <v>41.530864197530867</v>
      </c>
      <c r="S141" s="3">
        <v>37.613168724279831</v>
      </c>
      <c r="T141" s="3">
        <v>40.194787379972581</v>
      </c>
      <c r="U141" s="3">
        <v>120.58436213991769</v>
      </c>
      <c r="V141" s="18">
        <v>19</v>
      </c>
      <c r="W141" s="18">
        <v>270</v>
      </c>
      <c r="X141" s="4">
        <v>34.567901234567898</v>
      </c>
      <c r="Y141" s="4">
        <v>35.802469135802468</v>
      </c>
      <c r="Z141" s="7">
        <v>48.148148148148145</v>
      </c>
      <c r="AA141" s="5">
        <v>86</v>
      </c>
      <c r="AB141" s="3">
        <v>39.969834087481146</v>
      </c>
      <c r="AC141" s="3">
        <v>48.717948717948715</v>
      </c>
      <c r="AD141" s="3">
        <v>36.596736596736591</v>
      </c>
      <c r="AE141" s="3">
        <v>41.761506467388813</v>
      </c>
      <c r="AF141" s="3">
        <v>125.28451940216645</v>
      </c>
      <c r="AG141" s="18">
        <v>13</v>
      </c>
      <c r="AH141" s="18">
        <v>193</v>
      </c>
      <c r="AI141" s="4">
        <v>44.155844155844157</v>
      </c>
      <c r="AJ141" s="4">
        <v>20.512820512820515</v>
      </c>
      <c r="AK141" s="7">
        <v>34.615384615384613</v>
      </c>
      <c r="AL141" s="5">
        <v>86</v>
      </c>
      <c r="AM141" s="3">
        <v>42.010535557506579</v>
      </c>
      <c r="AN141" s="3">
        <v>19.744136460554369</v>
      </c>
      <c r="AO141" s="3">
        <v>33.713784021071127</v>
      </c>
      <c r="AP141" s="3">
        <v>31.822818679710693</v>
      </c>
      <c r="AQ141" s="3">
        <v>95.468456039132064</v>
      </c>
      <c r="AR141" s="18">
        <v>21</v>
      </c>
      <c r="AS141" s="18">
        <v>296</v>
      </c>
      <c r="AT141" s="4">
        <v>40.298507462686565</v>
      </c>
      <c r="AU141" s="4">
        <v>77.611940298507463</v>
      </c>
      <c r="AV141" s="7">
        <v>52.238805970149251</v>
      </c>
      <c r="AW141" s="10">
        <f t="shared" si="48"/>
        <v>84.333333333333329</v>
      </c>
      <c r="AX141" s="9">
        <f t="shared" si="49"/>
        <v>41.140232954364905</v>
      </c>
      <c r="AY141" s="9">
        <f t="shared" si="50"/>
        <v>36.664316458677987</v>
      </c>
      <c r="AZ141" s="9">
        <f t="shared" si="51"/>
        <v>35.974563114029188</v>
      </c>
      <c r="BA141" s="9">
        <f t="shared" si="52"/>
        <v>37.926370842357365</v>
      </c>
      <c r="BB141" s="9">
        <f t="shared" si="53"/>
        <v>113.77911252707206</v>
      </c>
      <c r="BC141" s="10">
        <f t="shared" si="44"/>
        <v>20</v>
      </c>
      <c r="BD141" s="10">
        <f t="shared" si="54"/>
        <v>283</v>
      </c>
      <c r="BE141" s="4">
        <f t="shared" si="38"/>
        <v>42.227175809265361</v>
      </c>
      <c r="BF141" s="4">
        <f t="shared" si="39"/>
        <v>49.062380405663987</v>
      </c>
      <c r="BG141" s="7">
        <f t="shared" si="40"/>
        <v>43.427095292766936</v>
      </c>
      <c r="BH141" s="5">
        <v>78</v>
      </c>
      <c r="BI141" s="3">
        <v>34.311999999999998</v>
      </c>
      <c r="BJ141" s="3">
        <v>23.45333333333333</v>
      </c>
      <c r="BK141" s="3">
        <v>27.605333333333316</v>
      </c>
      <c r="BL141" s="3">
        <v>28.45688888888888</v>
      </c>
      <c r="BM141" s="3">
        <v>85.370666666666637</v>
      </c>
      <c r="BN141" s="18">
        <v>22</v>
      </c>
      <c r="BO141" s="18">
        <v>294</v>
      </c>
      <c r="BP141" s="4">
        <v>57.333333333333336</v>
      </c>
      <c r="BQ141" s="4">
        <v>74.666666666666671</v>
      </c>
      <c r="BR141" s="7">
        <v>73.333333333333329</v>
      </c>
      <c r="BS141" s="18"/>
      <c r="BT141" s="23">
        <v>321</v>
      </c>
    </row>
    <row r="142" spans="1:72" x14ac:dyDescent="0.25">
      <c r="A142" s="18">
        <v>137</v>
      </c>
      <c r="B142" s="18" t="s">
        <v>22</v>
      </c>
      <c r="C142" s="18">
        <v>331</v>
      </c>
      <c r="D142" s="21" t="s">
        <v>23</v>
      </c>
      <c r="E142" s="5"/>
      <c r="F142" s="3">
        <v>30</v>
      </c>
      <c r="G142" s="3">
        <v>60</v>
      </c>
      <c r="H142" s="3">
        <v>26.666666666666668</v>
      </c>
      <c r="I142" s="3">
        <f t="shared" si="46"/>
        <v>38.888888888888893</v>
      </c>
      <c r="J142" s="3">
        <f t="shared" si="47"/>
        <v>116.66666666666667</v>
      </c>
      <c r="K142" s="18">
        <f t="shared" si="43"/>
        <v>12</v>
      </c>
      <c r="L142" s="18">
        <f t="shared" si="45"/>
        <v>210</v>
      </c>
      <c r="M142" s="4"/>
      <c r="N142" s="4"/>
      <c r="O142" s="7"/>
      <c r="P142" s="5">
        <v>14</v>
      </c>
      <c r="Q142" s="3">
        <v>23.095238095238095</v>
      </c>
      <c r="R142" s="3">
        <v>32.571428571428569</v>
      </c>
      <c r="S142" s="3">
        <v>15.476190476190476</v>
      </c>
      <c r="T142" s="3">
        <v>23.714285714285715</v>
      </c>
      <c r="U142" s="3">
        <v>71.142857142857139</v>
      </c>
      <c r="V142" s="18">
        <v>26</v>
      </c>
      <c r="W142" s="18">
        <v>305</v>
      </c>
      <c r="X142" s="4">
        <v>85.714285714285708</v>
      </c>
      <c r="Y142" s="4">
        <v>57.142857142857146</v>
      </c>
      <c r="Z142" s="7">
        <v>92.857142857142861</v>
      </c>
      <c r="AA142" s="5">
        <v>14</v>
      </c>
      <c r="AB142" s="3">
        <v>19.747899159663863</v>
      </c>
      <c r="AC142" s="3">
        <v>19.714285714285715</v>
      </c>
      <c r="AD142" s="3">
        <v>18.831168831168831</v>
      </c>
      <c r="AE142" s="3">
        <v>19.431117901706138</v>
      </c>
      <c r="AF142" s="3">
        <v>58.293353705118413</v>
      </c>
      <c r="AG142" s="18">
        <v>26</v>
      </c>
      <c r="AH142" s="18">
        <v>308</v>
      </c>
      <c r="AI142" s="4">
        <v>85.714285714285708</v>
      </c>
      <c r="AJ142" s="4">
        <v>85.714285714285708</v>
      </c>
      <c r="AK142" s="7">
        <v>78.571428571428569</v>
      </c>
      <c r="AL142" s="5">
        <v>14</v>
      </c>
      <c r="AM142" s="3">
        <v>23.109243697478991</v>
      </c>
      <c r="AN142" s="3">
        <v>19.458128078817733</v>
      </c>
      <c r="AO142" s="3">
        <v>20.779220779220783</v>
      </c>
      <c r="AP142" s="3">
        <v>21.115530851839171</v>
      </c>
      <c r="AQ142" s="3">
        <v>63.346592555517503</v>
      </c>
      <c r="AR142" s="18">
        <v>26</v>
      </c>
      <c r="AS142" s="18">
        <v>307</v>
      </c>
      <c r="AT142" s="4">
        <v>78.571428571428569</v>
      </c>
      <c r="AU142" s="4">
        <v>78.571428571428569</v>
      </c>
      <c r="AV142" s="7">
        <v>92.857142857142861</v>
      </c>
      <c r="AW142" s="10">
        <f t="shared" si="48"/>
        <v>14</v>
      </c>
      <c r="AX142" s="9">
        <f t="shared" si="49"/>
        <v>21.984126984126984</v>
      </c>
      <c r="AY142" s="9">
        <f t="shared" si="50"/>
        <v>23.91461412151067</v>
      </c>
      <c r="AZ142" s="9">
        <f t="shared" si="51"/>
        <v>18.362193362193363</v>
      </c>
      <c r="BA142" s="9">
        <f t="shared" si="52"/>
        <v>21.420311489277008</v>
      </c>
      <c r="BB142" s="9">
        <f t="shared" si="53"/>
        <v>64.260934467831021</v>
      </c>
      <c r="BC142" s="10">
        <f t="shared" si="44"/>
        <v>26</v>
      </c>
      <c r="BD142" s="10">
        <f t="shared" si="54"/>
        <v>308</v>
      </c>
      <c r="BE142" s="4">
        <f t="shared" si="38"/>
        <v>82.142857142857139</v>
      </c>
      <c r="BF142" s="4">
        <f t="shared" si="39"/>
        <v>82.142857142857139</v>
      </c>
      <c r="BG142" s="7">
        <f t="shared" si="40"/>
        <v>85.714285714285722</v>
      </c>
      <c r="BH142" s="5">
        <v>14</v>
      </c>
      <c r="BI142" s="3">
        <v>29.325000000000003</v>
      </c>
      <c r="BJ142" s="3">
        <v>11.774999999999999</v>
      </c>
      <c r="BK142" s="3">
        <v>20.083333333333332</v>
      </c>
      <c r="BL142" s="3">
        <v>20.394444444444446</v>
      </c>
      <c r="BM142" s="3">
        <v>61.183333333333337</v>
      </c>
      <c r="BN142" s="18">
        <v>26</v>
      </c>
      <c r="BO142" s="18">
        <v>311</v>
      </c>
      <c r="BP142" s="4">
        <v>66.666666666666671</v>
      </c>
      <c r="BQ142" s="4">
        <v>100</v>
      </c>
      <c r="BR142" s="7">
        <v>91.666666666666671</v>
      </c>
      <c r="BS142" s="18"/>
      <c r="BT142" s="23">
        <v>331</v>
      </c>
    </row>
    <row r="143" spans="1:72" x14ac:dyDescent="0.25">
      <c r="A143" s="18">
        <v>138</v>
      </c>
      <c r="B143" s="18" t="s">
        <v>24</v>
      </c>
      <c r="C143" s="18">
        <v>4</v>
      </c>
      <c r="D143" s="21" t="s">
        <v>9</v>
      </c>
      <c r="E143" s="5"/>
      <c r="F143" s="3">
        <v>46.333333333333336</v>
      </c>
      <c r="G143" s="3">
        <v>55.2</v>
      </c>
      <c r="H143" s="3">
        <v>46</v>
      </c>
      <c r="I143" s="3">
        <f t="shared" si="46"/>
        <v>49.177777777777777</v>
      </c>
      <c r="J143" s="3">
        <f t="shared" si="47"/>
        <v>147.53333333333333</v>
      </c>
      <c r="K143" s="18">
        <f t="shared" ref="K143:K189" si="55">IF(J143="","",(RANK(J143,$J$143:$J$189)))</f>
        <v>12</v>
      </c>
      <c r="L143" s="18">
        <f t="shared" si="45"/>
        <v>89</v>
      </c>
      <c r="M143" s="4"/>
      <c r="N143" s="4"/>
      <c r="O143" s="7"/>
      <c r="P143" s="5">
        <v>71</v>
      </c>
      <c r="Q143" s="3">
        <v>43.427230046948345</v>
      </c>
      <c r="R143" s="3">
        <v>42.535211267605632</v>
      </c>
      <c r="S143" s="3">
        <v>48.497652582159638</v>
      </c>
      <c r="T143" s="3">
        <v>44.82003129890456</v>
      </c>
      <c r="U143" s="3">
        <v>134.46009389671363</v>
      </c>
      <c r="V143" s="18">
        <v>25</v>
      </c>
      <c r="W143" s="18">
        <v>213</v>
      </c>
      <c r="X143" s="4">
        <v>25.35211267605634</v>
      </c>
      <c r="Y143" s="4">
        <v>29.577464788732396</v>
      </c>
      <c r="Z143" s="7">
        <v>16.901408450704224</v>
      </c>
      <c r="AA143" s="5">
        <v>82</v>
      </c>
      <c r="AB143" s="3">
        <v>47.575516693163735</v>
      </c>
      <c r="AC143" s="3">
        <v>60.972972972972975</v>
      </c>
      <c r="AD143" s="3">
        <v>52.211302211302218</v>
      </c>
      <c r="AE143" s="3">
        <v>53.586597292479624</v>
      </c>
      <c r="AF143" s="3">
        <v>160.75979187743891</v>
      </c>
      <c r="AG143" s="18">
        <v>2</v>
      </c>
      <c r="AH143" s="18">
        <v>60</v>
      </c>
      <c r="AI143" s="4">
        <v>6.756756756756757</v>
      </c>
      <c r="AJ143" s="4">
        <v>1.3513513513513513</v>
      </c>
      <c r="AK143" s="7">
        <v>9.4594594594594597</v>
      </c>
      <c r="AL143" s="5">
        <v>83</v>
      </c>
      <c r="AM143" s="3">
        <v>44.57332228666116</v>
      </c>
      <c r="AN143" s="3">
        <v>25.030181086519111</v>
      </c>
      <c r="AO143" s="3">
        <v>36.619718309859174</v>
      </c>
      <c r="AP143" s="3">
        <v>35.407740561013142</v>
      </c>
      <c r="AQ143" s="3">
        <v>106.22322168303944</v>
      </c>
      <c r="AR143" s="18">
        <v>41</v>
      </c>
      <c r="AS143" s="18">
        <v>289</v>
      </c>
      <c r="AT143" s="4">
        <v>26.760563380281692</v>
      </c>
      <c r="AU143" s="4">
        <v>71.83098591549296</v>
      </c>
      <c r="AV143" s="7">
        <v>38.028169014084504</v>
      </c>
      <c r="AW143" s="10">
        <f t="shared" si="48"/>
        <v>78.666666666666671</v>
      </c>
      <c r="AX143" s="9">
        <f t="shared" si="49"/>
        <v>45.192023008924416</v>
      </c>
      <c r="AY143" s="9">
        <f t="shared" si="50"/>
        <v>42.846121775699238</v>
      </c>
      <c r="AZ143" s="9">
        <f t="shared" si="51"/>
        <v>45.776224367773672</v>
      </c>
      <c r="BA143" s="9">
        <f t="shared" si="52"/>
        <v>44.604789717465771</v>
      </c>
      <c r="BB143" s="9">
        <f t="shared" si="53"/>
        <v>133.81436915239735</v>
      </c>
      <c r="BC143" s="10">
        <f>IF(BB143="","",(RANK(BB143,$BB$143:$BB$189)))</f>
        <v>17</v>
      </c>
      <c r="BD143" s="10">
        <f t="shared" si="54"/>
        <v>205</v>
      </c>
      <c r="BE143" s="4">
        <f t="shared" si="38"/>
        <v>16.758660068519223</v>
      </c>
      <c r="BF143" s="4">
        <f t="shared" si="39"/>
        <v>36.591168633422157</v>
      </c>
      <c r="BG143" s="7">
        <f t="shared" si="40"/>
        <v>23.743814236771982</v>
      </c>
      <c r="BH143" s="5">
        <v>79</v>
      </c>
      <c r="BI143" s="3">
        <v>40.182278481012652</v>
      </c>
      <c r="BJ143" s="3">
        <v>22.013924050632912</v>
      </c>
      <c r="BK143" s="3">
        <v>23.041772151898737</v>
      </c>
      <c r="BL143" s="3">
        <v>28.412658227848102</v>
      </c>
      <c r="BM143" s="3">
        <v>85.237974683544294</v>
      </c>
      <c r="BN143" s="18">
        <v>42</v>
      </c>
      <c r="BO143" s="18">
        <v>295</v>
      </c>
      <c r="BP143" s="4">
        <v>43.037974683544306</v>
      </c>
      <c r="BQ143" s="4">
        <v>77.215189873417728</v>
      </c>
      <c r="BR143" s="7">
        <v>81.012658227848107</v>
      </c>
      <c r="BS143" s="18"/>
      <c r="BT143" s="23">
        <v>4</v>
      </c>
    </row>
    <row r="144" spans="1:72" x14ac:dyDescent="0.25">
      <c r="A144" s="18">
        <v>139</v>
      </c>
      <c r="B144" s="18" t="s">
        <v>24</v>
      </c>
      <c r="C144" s="18">
        <v>22</v>
      </c>
      <c r="D144" s="21" t="s">
        <v>9</v>
      </c>
      <c r="E144" s="5"/>
      <c r="F144" s="3">
        <v>57.333333333333336</v>
      </c>
      <c r="G144" s="3">
        <v>48.4</v>
      </c>
      <c r="H144" s="3">
        <v>48.666666666666664</v>
      </c>
      <c r="I144" s="3">
        <f t="shared" si="46"/>
        <v>51.466666666666669</v>
      </c>
      <c r="J144" s="3">
        <f t="shared" si="47"/>
        <v>154.4</v>
      </c>
      <c r="K144" s="18">
        <f t="shared" si="55"/>
        <v>8</v>
      </c>
      <c r="L144" s="18">
        <f t="shared" si="45"/>
        <v>67</v>
      </c>
      <c r="M144" s="4"/>
      <c r="N144" s="4"/>
      <c r="O144" s="7"/>
      <c r="P144" s="5">
        <v>187</v>
      </c>
      <c r="Q144" s="3">
        <v>50.623885918003573</v>
      </c>
      <c r="R144" s="3">
        <v>49.62566844919786</v>
      </c>
      <c r="S144" s="3">
        <v>53.012477718360095</v>
      </c>
      <c r="T144" s="3">
        <v>51.087344028520498</v>
      </c>
      <c r="U144" s="3">
        <v>153.26203208556151</v>
      </c>
      <c r="V144" s="18">
        <v>12</v>
      </c>
      <c r="W144" s="18">
        <v>130</v>
      </c>
      <c r="X144" s="4">
        <v>15.508021390374331</v>
      </c>
      <c r="Y144" s="4">
        <v>18.71657754010695</v>
      </c>
      <c r="Z144" s="7">
        <v>21.390374331550802</v>
      </c>
      <c r="AA144" s="5">
        <v>183</v>
      </c>
      <c r="AB144" s="3">
        <v>31.661845065895211</v>
      </c>
      <c r="AC144" s="3">
        <v>45.639344262295083</v>
      </c>
      <c r="AD144" s="3">
        <v>36.645139923828431</v>
      </c>
      <c r="AE144" s="3">
        <v>37.982109750672919</v>
      </c>
      <c r="AF144" s="3">
        <v>113.94632925201873</v>
      </c>
      <c r="AG144" s="18">
        <v>28</v>
      </c>
      <c r="AH144" s="18">
        <v>236</v>
      </c>
      <c r="AI144" s="4">
        <v>46.994535519125684</v>
      </c>
      <c r="AJ144" s="4">
        <v>28.415300546448087</v>
      </c>
      <c r="AK144" s="7">
        <v>40.437158469945352</v>
      </c>
      <c r="AL144" s="5">
        <v>183</v>
      </c>
      <c r="AM144" s="3">
        <v>47.444551591128253</v>
      </c>
      <c r="AN144" s="3">
        <v>21.03610675039247</v>
      </c>
      <c r="AO144" s="3">
        <v>40.788623141564322</v>
      </c>
      <c r="AP144" s="3">
        <v>36.551407448225206</v>
      </c>
      <c r="AQ144" s="3">
        <v>109.26928148308505</v>
      </c>
      <c r="AR144" s="18">
        <v>39</v>
      </c>
      <c r="AS144" s="18">
        <v>284</v>
      </c>
      <c r="AT144" s="4">
        <v>26.923076923076923</v>
      </c>
      <c r="AU144" s="4">
        <v>73.626373626373621</v>
      </c>
      <c r="AV144" s="7">
        <v>29.12087912087912</v>
      </c>
      <c r="AW144" s="10">
        <f t="shared" si="48"/>
        <v>184.33333333333334</v>
      </c>
      <c r="AX144" s="9">
        <f t="shared" si="49"/>
        <v>43.243427525009018</v>
      </c>
      <c r="AY144" s="9">
        <f t="shared" si="50"/>
        <v>38.767039820628469</v>
      </c>
      <c r="AZ144" s="9">
        <f t="shared" si="51"/>
        <v>43.48208026125095</v>
      </c>
      <c r="BA144" s="9">
        <f t="shared" si="52"/>
        <v>41.873620409139541</v>
      </c>
      <c r="BB144" s="9">
        <f t="shared" si="53"/>
        <v>125.49254760688844</v>
      </c>
      <c r="BC144" s="10">
        <f t="shared" ref="BC144:BC189" si="56">IF(BB144="","",(RANK(BB144,$BB$143:$BB$189)))</f>
        <v>27</v>
      </c>
      <c r="BD144" s="10">
        <f t="shared" si="54"/>
        <v>235</v>
      </c>
      <c r="BE144" s="4">
        <f t="shared" si="38"/>
        <v>36.958806221101305</v>
      </c>
      <c r="BF144" s="4">
        <f t="shared" si="39"/>
        <v>51.02083708641085</v>
      </c>
      <c r="BG144" s="7">
        <f t="shared" si="40"/>
        <v>34.779018795412235</v>
      </c>
      <c r="BH144" s="5">
        <v>181</v>
      </c>
      <c r="BI144" s="3">
        <v>47.549723756906104</v>
      </c>
      <c r="BJ144" s="3">
        <v>29.429834254143643</v>
      </c>
      <c r="BK144" s="3">
        <v>29.897237569060785</v>
      </c>
      <c r="BL144" s="3">
        <v>35.625598526703499</v>
      </c>
      <c r="BM144" s="3">
        <v>106.8767955801105</v>
      </c>
      <c r="BN144" s="18">
        <v>28</v>
      </c>
      <c r="BO144" s="18">
        <v>243</v>
      </c>
      <c r="BP144" s="4">
        <v>31.49171270718232</v>
      </c>
      <c r="BQ144" s="4">
        <v>64.088397790055254</v>
      </c>
      <c r="BR144" s="7">
        <v>60.773480662983424</v>
      </c>
      <c r="BS144" s="18"/>
      <c r="BT144" s="23">
        <v>22</v>
      </c>
    </row>
    <row r="145" spans="1:72" x14ac:dyDescent="0.25">
      <c r="A145" s="1">
        <v>140</v>
      </c>
      <c r="B145" s="18" t="s">
        <v>24</v>
      </c>
      <c r="C145" s="18">
        <v>28</v>
      </c>
      <c r="D145" s="21" t="s">
        <v>9</v>
      </c>
      <c r="E145" s="5"/>
      <c r="F145" s="3">
        <v>43.466666666666669</v>
      </c>
      <c r="G145" s="3">
        <v>33.200000000000003</v>
      </c>
      <c r="H145" s="3">
        <v>24</v>
      </c>
      <c r="I145" s="3">
        <f t="shared" si="46"/>
        <v>33.555555555555557</v>
      </c>
      <c r="J145" s="3">
        <f t="shared" si="47"/>
        <v>100.66666666666667</v>
      </c>
      <c r="K145" s="18">
        <f t="shared" si="55"/>
        <v>34</v>
      </c>
      <c r="L145" s="18">
        <f t="shared" si="45"/>
        <v>260</v>
      </c>
      <c r="M145" s="4"/>
      <c r="N145" s="4"/>
      <c r="O145" s="7"/>
      <c r="P145" s="5">
        <v>156</v>
      </c>
      <c r="Q145" s="3">
        <v>46.47435897435895</v>
      </c>
      <c r="R145" s="3">
        <v>44.384615384615387</v>
      </c>
      <c r="S145" s="3">
        <v>45.641025641025649</v>
      </c>
      <c r="T145" s="3">
        <v>45.499999999999986</v>
      </c>
      <c r="U145" s="3">
        <v>136.5</v>
      </c>
      <c r="V145" s="18">
        <v>22</v>
      </c>
      <c r="W145" s="18">
        <v>202</v>
      </c>
      <c r="X145" s="4"/>
      <c r="Y145" s="4">
        <v>32.692307692307693</v>
      </c>
      <c r="Z145" s="7">
        <v>32.692307692307693</v>
      </c>
      <c r="AA145" s="5">
        <v>164</v>
      </c>
      <c r="AB145" s="3">
        <v>42.392883079157585</v>
      </c>
      <c r="AC145" s="3">
        <v>38.938271604938272</v>
      </c>
      <c r="AD145" s="3">
        <v>36.924803591470251</v>
      </c>
      <c r="AE145" s="3">
        <v>39.418652758522029</v>
      </c>
      <c r="AF145" s="3">
        <v>118.2559582755661</v>
      </c>
      <c r="AG145" s="18">
        <v>23</v>
      </c>
      <c r="AH145" s="18">
        <v>222</v>
      </c>
      <c r="AI145" s="4"/>
      <c r="AJ145" s="4">
        <v>37.654320987654323</v>
      </c>
      <c r="AK145" s="7">
        <v>43.209876543209873</v>
      </c>
      <c r="AL145" s="5">
        <v>164</v>
      </c>
      <c r="AM145" s="3">
        <v>48.491704374057335</v>
      </c>
      <c r="AN145" s="3">
        <v>23.058608058608044</v>
      </c>
      <c r="AO145" s="3">
        <v>37.952488687782811</v>
      </c>
      <c r="AP145" s="3">
        <v>36.50093370681607</v>
      </c>
      <c r="AQ145" s="3">
        <v>109.5028011204482</v>
      </c>
      <c r="AR145" s="18">
        <v>38</v>
      </c>
      <c r="AS145" s="18">
        <v>283</v>
      </c>
      <c r="AT145" s="4">
        <v>26.451612903225808</v>
      </c>
      <c r="AU145" s="4">
        <v>77.564102564102569</v>
      </c>
      <c r="AV145" s="7">
        <v>46.153846153846153</v>
      </c>
      <c r="AW145" s="10">
        <f t="shared" si="48"/>
        <v>161.33333333333334</v>
      </c>
      <c r="AX145" s="9">
        <f t="shared" si="49"/>
        <v>45.786315475857954</v>
      </c>
      <c r="AY145" s="9">
        <f t="shared" si="50"/>
        <v>35.460498349387237</v>
      </c>
      <c r="AZ145" s="9">
        <f t="shared" si="51"/>
        <v>40.172772640092909</v>
      </c>
      <c r="BA145" s="9">
        <f t="shared" si="52"/>
        <v>40.473195488446031</v>
      </c>
      <c r="BB145" s="9">
        <f t="shared" si="53"/>
        <v>121.4195864653381</v>
      </c>
      <c r="BC145" s="10">
        <f t="shared" si="56"/>
        <v>30</v>
      </c>
      <c r="BD145" s="10">
        <f t="shared" si="54"/>
        <v>256</v>
      </c>
      <c r="BE145" s="4">
        <f t="shared" si="38"/>
        <v>26.451612903225808</v>
      </c>
      <c r="BF145" s="4">
        <f t="shared" si="39"/>
        <v>57.60921177587845</v>
      </c>
      <c r="BG145" s="7">
        <f t="shared" si="40"/>
        <v>44.681861348528017</v>
      </c>
      <c r="BH145" s="5">
        <v>164</v>
      </c>
      <c r="BI145" s="3">
        <v>48.562195121951227</v>
      </c>
      <c r="BJ145" s="3">
        <v>36.564634146341447</v>
      </c>
      <c r="BK145" s="3">
        <v>31.059146341463414</v>
      </c>
      <c r="BL145" s="3">
        <v>38.728658536585357</v>
      </c>
      <c r="BM145" s="3">
        <v>116.18597560975599</v>
      </c>
      <c r="BN145" s="18">
        <v>14</v>
      </c>
      <c r="BO145" s="18">
        <v>191</v>
      </c>
      <c r="BP145" s="4">
        <v>27.439024390243901</v>
      </c>
      <c r="BQ145" s="4">
        <v>49.390243902439025</v>
      </c>
      <c r="BR145" s="7">
        <v>63.414634146341463</v>
      </c>
      <c r="BS145" s="18"/>
      <c r="BT145" s="23">
        <v>28</v>
      </c>
    </row>
    <row r="146" spans="1:72" x14ac:dyDescent="0.25">
      <c r="A146" s="18">
        <v>141</v>
      </c>
      <c r="B146" s="18" t="s">
        <v>24</v>
      </c>
      <c r="C146" s="18">
        <v>67</v>
      </c>
      <c r="D146" s="21" t="s">
        <v>9</v>
      </c>
      <c r="E146" s="5"/>
      <c r="F146" s="3">
        <v>33.666666666666664</v>
      </c>
      <c r="G146" s="3">
        <v>37.200000000000003</v>
      </c>
      <c r="H146" s="3">
        <v>32</v>
      </c>
      <c r="I146" s="3">
        <f t="shared" si="46"/>
        <v>34.288888888888891</v>
      </c>
      <c r="J146" s="3">
        <f t="shared" si="47"/>
        <v>102.86666666666667</v>
      </c>
      <c r="K146" s="18">
        <f t="shared" si="55"/>
        <v>31</v>
      </c>
      <c r="L146" s="18">
        <f t="shared" si="45"/>
        <v>251</v>
      </c>
      <c r="M146" s="4"/>
      <c r="N146" s="4"/>
      <c r="O146" s="7"/>
      <c r="P146" s="5">
        <v>260</v>
      </c>
      <c r="Q146" s="3">
        <v>54.961538461538439</v>
      </c>
      <c r="R146" s="3">
        <v>49.138461538461542</v>
      </c>
      <c r="S146" s="3">
        <v>55.83333333333335</v>
      </c>
      <c r="T146" s="3">
        <v>53.311111111111067</v>
      </c>
      <c r="U146" s="3">
        <v>159.93333333333334</v>
      </c>
      <c r="V146" s="18">
        <v>8</v>
      </c>
      <c r="W146" s="18">
        <v>106</v>
      </c>
      <c r="X146" s="4"/>
      <c r="Y146" s="4">
        <v>21.53846153846154</v>
      </c>
      <c r="Z146" s="7">
        <v>17.692307692307693</v>
      </c>
      <c r="AA146" s="5">
        <v>292</v>
      </c>
      <c r="AB146" s="3">
        <v>41.949250288350626</v>
      </c>
      <c r="AC146" s="3">
        <v>51.890196078431373</v>
      </c>
      <c r="AD146" s="3">
        <v>49.387997623291746</v>
      </c>
      <c r="AE146" s="3">
        <v>47.742481330024589</v>
      </c>
      <c r="AF146" s="3">
        <v>143.22744399007374</v>
      </c>
      <c r="AG146" s="18">
        <v>10</v>
      </c>
      <c r="AH146" s="18">
        <v>118</v>
      </c>
      <c r="AI146" s="4"/>
      <c r="AJ146" s="4">
        <v>18.03921568627451</v>
      </c>
      <c r="AK146" s="7">
        <v>23.228346456692915</v>
      </c>
      <c r="AL146" s="5">
        <v>293</v>
      </c>
      <c r="AM146" s="3">
        <v>60.386029411764724</v>
      </c>
      <c r="AN146" s="3">
        <v>45.234375</v>
      </c>
      <c r="AO146" s="3">
        <v>55.883049242424285</v>
      </c>
      <c r="AP146" s="3">
        <v>53.834484551396322</v>
      </c>
      <c r="AQ146" s="3">
        <v>161.503453654189</v>
      </c>
      <c r="AR146" s="18">
        <v>6</v>
      </c>
      <c r="AS146" s="18">
        <v>96</v>
      </c>
      <c r="AT146" s="4">
        <v>8.984375</v>
      </c>
      <c r="AU146" s="4">
        <v>25</v>
      </c>
      <c r="AV146" s="7">
        <v>17.716535433070867</v>
      </c>
      <c r="AW146" s="10">
        <f t="shared" si="48"/>
        <v>281.66666666666669</v>
      </c>
      <c r="AX146" s="9">
        <f t="shared" si="49"/>
        <v>52.432272720551261</v>
      </c>
      <c r="AY146" s="9">
        <f t="shared" si="50"/>
        <v>48.754344205630979</v>
      </c>
      <c r="AZ146" s="9">
        <f t="shared" si="51"/>
        <v>53.701460066349796</v>
      </c>
      <c r="BA146" s="9">
        <f t="shared" si="52"/>
        <v>51.629358997510657</v>
      </c>
      <c r="BB146" s="9">
        <f t="shared" si="53"/>
        <v>154.88807699253201</v>
      </c>
      <c r="BC146" s="10">
        <f t="shared" si="56"/>
        <v>8</v>
      </c>
      <c r="BD146" s="10">
        <f t="shared" si="54"/>
        <v>104</v>
      </c>
      <c r="BE146" s="4">
        <f t="shared" si="38"/>
        <v>8.984375</v>
      </c>
      <c r="BF146" s="4">
        <f t="shared" si="39"/>
        <v>21.519607843137255</v>
      </c>
      <c r="BG146" s="7">
        <f t="shared" si="40"/>
        <v>20.472440944881889</v>
      </c>
      <c r="BH146" s="5">
        <v>293</v>
      </c>
      <c r="BI146" s="3">
        <v>49.19655172413794</v>
      </c>
      <c r="BJ146" s="3">
        <v>31.917241379310312</v>
      </c>
      <c r="BK146" s="3">
        <v>30.40448275862072</v>
      </c>
      <c r="BL146" s="3">
        <v>37.172758620689649</v>
      </c>
      <c r="BM146" s="3">
        <v>111.51827586206898</v>
      </c>
      <c r="BN146" s="18">
        <v>22</v>
      </c>
      <c r="BO146" s="18">
        <v>220</v>
      </c>
      <c r="BP146" s="4">
        <v>25.517241379310345</v>
      </c>
      <c r="BQ146" s="4">
        <v>56.896551724137929</v>
      </c>
      <c r="BR146" s="7">
        <v>62.758620689655174</v>
      </c>
      <c r="BS146" s="18"/>
      <c r="BT146" s="23">
        <v>67</v>
      </c>
    </row>
    <row r="147" spans="1:72" x14ac:dyDescent="0.25">
      <c r="A147" s="18">
        <v>142</v>
      </c>
      <c r="B147" s="18" t="s">
        <v>24</v>
      </c>
      <c r="C147" s="18">
        <v>68</v>
      </c>
      <c r="D147" s="21" t="s">
        <v>9</v>
      </c>
      <c r="E147" s="5"/>
      <c r="F147" s="3">
        <v>32</v>
      </c>
      <c r="G147" s="3">
        <v>30.8</v>
      </c>
      <c r="H147" s="3">
        <v>18.333333333333332</v>
      </c>
      <c r="I147" s="3">
        <f t="shared" si="46"/>
        <v>27.044444444444441</v>
      </c>
      <c r="J147" s="3">
        <f t="shared" si="47"/>
        <v>81.133333333333326</v>
      </c>
      <c r="K147" s="18">
        <f t="shared" si="55"/>
        <v>44</v>
      </c>
      <c r="L147" s="18">
        <f t="shared" si="45"/>
        <v>292</v>
      </c>
      <c r="M147" s="4"/>
      <c r="N147" s="4"/>
      <c r="O147" s="7"/>
      <c r="P147" s="5">
        <v>34</v>
      </c>
      <c r="Q147" s="3">
        <v>43.235294117647058</v>
      </c>
      <c r="R147" s="3">
        <v>33.529411764705884</v>
      </c>
      <c r="S147" s="3">
        <v>30.000000000000004</v>
      </c>
      <c r="T147" s="3">
        <v>35.588235294117652</v>
      </c>
      <c r="U147" s="3">
        <v>106.76470588235294</v>
      </c>
      <c r="V147" s="18">
        <v>45</v>
      </c>
      <c r="W147" s="18">
        <v>292</v>
      </c>
      <c r="X147" s="4">
        <v>44.117647058823529</v>
      </c>
      <c r="Y147" s="4">
        <v>52.941176470588232</v>
      </c>
      <c r="Z147" s="7">
        <v>61.764705882352942</v>
      </c>
      <c r="AA147" s="5">
        <v>39</v>
      </c>
      <c r="AB147" s="3">
        <v>44.042232277526395</v>
      </c>
      <c r="AC147" s="3">
        <v>34.974358974358971</v>
      </c>
      <c r="AD147" s="3">
        <v>29.759129759129763</v>
      </c>
      <c r="AE147" s="3">
        <v>36.258573670338379</v>
      </c>
      <c r="AF147" s="3">
        <v>108.77572101101512</v>
      </c>
      <c r="AG147" s="18">
        <v>31</v>
      </c>
      <c r="AH147" s="18">
        <v>255</v>
      </c>
      <c r="AI147" s="4">
        <v>30.76923076923077</v>
      </c>
      <c r="AJ147" s="4">
        <v>43.589743589743591</v>
      </c>
      <c r="AK147" s="7">
        <v>66.666666666666671</v>
      </c>
      <c r="AL147" s="5">
        <v>40</v>
      </c>
      <c r="AM147" s="3">
        <v>57.932263814616768</v>
      </c>
      <c r="AN147" s="3">
        <v>35.670995670995673</v>
      </c>
      <c r="AO147" s="3">
        <v>54.188948306595371</v>
      </c>
      <c r="AP147" s="3">
        <v>49.264069264069263</v>
      </c>
      <c r="AQ147" s="3">
        <v>147.79220779220782</v>
      </c>
      <c r="AR147" s="18">
        <v>11</v>
      </c>
      <c r="AS147" s="18">
        <v>152</v>
      </c>
      <c r="AT147" s="4">
        <v>9.0909090909090917</v>
      </c>
      <c r="AU147" s="4">
        <v>42.424242424242422</v>
      </c>
      <c r="AV147" s="7">
        <v>9.0909090909090917</v>
      </c>
      <c r="AW147" s="10">
        <f t="shared" si="48"/>
        <v>37.666666666666664</v>
      </c>
      <c r="AX147" s="9">
        <f t="shared" si="49"/>
        <v>48.403263403263402</v>
      </c>
      <c r="AY147" s="9">
        <f t="shared" si="50"/>
        <v>34.724922136686843</v>
      </c>
      <c r="AZ147" s="9">
        <f t="shared" si="51"/>
        <v>37.982692688575042</v>
      </c>
      <c r="BA147" s="9">
        <f t="shared" si="52"/>
        <v>40.370292742841762</v>
      </c>
      <c r="BB147" s="9">
        <f t="shared" si="53"/>
        <v>121.11087822852529</v>
      </c>
      <c r="BC147" s="10">
        <f t="shared" si="56"/>
        <v>31</v>
      </c>
      <c r="BD147" s="10">
        <f t="shared" si="54"/>
        <v>258</v>
      </c>
      <c r="BE147" s="4">
        <f t="shared" si="38"/>
        <v>19.93006993006993</v>
      </c>
      <c r="BF147" s="4">
        <f t="shared" si="39"/>
        <v>43.006993006993007</v>
      </c>
      <c r="BG147" s="7">
        <f t="shared" si="40"/>
        <v>37.878787878787882</v>
      </c>
      <c r="BH147" s="5">
        <v>39</v>
      </c>
      <c r="BI147" s="3">
        <v>38.584615384615383</v>
      </c>
      <c r="BJ147" s="3">
        <v>29.025641025641015</v>
      </c>
      <c r="BK147" s="3">
        <v>26.687179487179492</v>
      </c>
      <c r="BL147" s="3">
        <v>31.432478632478634</v>
      </c>
      <c r="BM147" s="3">
        <v>94.297435897435903</v>
      </c>
      <c r="BN147" s="18">
        <v>38</v>
      </c>
      <c r="BO147" s="18">
        <v>282</v>
      </c>
      <c r="BP147" s="4">
        <v>38.46153846153846</v>
      </c>
      <c r="BQ147" s="4">
        <v>69.230769230769226</v>
      </c>
      <c r="BR147" s="7">
        <v>74.358974358974365</v>
      </c>
      <c r="BS147" s="18"/>
      <c r="BT147" s="23">
        <v>68</v>
      </c>
    </row>
    <row r="148" spans="1:72" x14ac:dyDescent="0.25">
      <c r="A148" s="18">
        <v>143</v>
      </c>
      <c r="B148" s="18" t="s">
        <v>24</v>
      </c>
      <c r="C148" s="18">
        <v>69</v>
      </c>
      <c r="D148" s="21" t="s">
        <v>9</v>
      </c>
      <c r="E148" s="5"/>
      <c r="F148" s="3">
        <v>50.7</v>
      </c>
      <c r="G148" s="3">
        <v>46.4</v>
      </c>
      <c r="H148" s="3">
        <v>26</v>
      </c>
      <c r="I148" s="3">
        <f t="shared" si="46"/>
        <v>41.033333333333331</v>
      </c>
      <c r="J148" s="3">
        <f t="shared" si="47"/>
        <v>123.1</v>
      </c>
      <c r="K148" s="18">
        <f t="shared" si="55"/>
        <v>21</v>
      </c>
      <c r="L148" s="18">
        <f t="shared" si="45"/>
        <v>179</v>
      </c>
      <c r="M148" s="4"/>
      <c r="N148" s="4"/>
      <c r="O148" s="7"/>
      <c r="P148" s="5">
        <v>101</v>
      </c>
      <c r="Q148" s="3">
        <v>43.498349834983514</v>
      </c>
      <c r="R148" s="3">
        <v>42.732673267326732</v>
      </c>
      <c r="S148" s="3">
        <v>37.606837606837615</v>
      </c>
      <c r="T148" s="3">
        <v>41.580952380952404</v>
      </c>
      <c r="U148" s="3">
        <v>123.83786070914786</v>
      </c>
      <c r="V148" s="18">
        <v>37</v>
      </c>
      <c r="W148" s="18">
        <v>261</v>
      </c>
      <c r="X148" s="4">
        <v>21.782178217821784</v>
      </c>
      <c r="Y148" s="4">
        <v>29.702970297029704</v>
      </c>
      <c r="Z148" s="7">
        <v>38.46153846153846</v>
      </c>
      <c r="AA148" s="5">
        <v>114</v>
      </c>
      <c r="AB148" s="3">
        <v>32.098416289592777</v>
      </c>
      <c r="AC148" s="3">
        <v>33.307692307692307</v>
      </c>
      <c r="AD148" s="3">
        <v>35.402097902097879</v>
      </c>
      <c r="AE148" s="3">
        <v>33.602735499794321</v>
      </c>
      <c r="AF148" s="3">
        <v>100.80820649938296</v>
      </c>
      <c r="AG148" s="18">
        <v>38</v>
      </c>
      <c r="AH148" s="18">
        <v>278</v>
      </c>
      <c r="AI148" s="4">
        <v>52.884615384615387</v>
      </c>
      <c r="AJ148" s="4">
        <v>50.96153846153846</v>
      </c>
      <c r="AK148" s="7">
        <v>48.07692307692308</v>
      </c>
      <c r="AL148" s="5">
        <v>114</v>
      </c>
      <c r="AM148" s="3">
        <v>58.882352941176521</v>
      </c>
      <c r="AN148" s="3">
        <v>27.857142857142854</v>
      </c>
      <c r="AO148" s="3">
        <v>44.441176470588246</v>
      </c>
      <c r="AP148" s="3">
        <v>43.726890756302531</v>
      </c>
      <c r="AQ148" s="3">
        <v>131.18067226890764</v>
      </c>
      <c r="AR148" s="18">
        <v>24</v>
      </c>
      <c r="AS148" s="18">
        <v>230</v>
      </c>
      <c r="AT148" s="4">
        <v>10</v>
      </c>
      <c r="AU148" s="4">
        <v>60</v>
      </c>
      <c r="AV148" s="7">
        <v>24</v>
      </c>
      <c r="AW148" s="10">
        <f t="shared" si="48"/>
        <v>109.66666666666667</v>
      </c>
      <c r="AX148" s="9">
        <f t="shared" si="49"/>
        <v>44.826373021917597</v>
      </c>
      <c r="AY148" s="9">
        <f t="shared" si="50"/>
        <v>34.632502810720631</v>
      </c>
      <c r="AZ148" s="9">
        <f t="shared" si="51"/>
        <v>39.150037326507913</v>
      </c>
      <c r="BA148" s="9">
        <f t="shared" si="52"/>
        <v>39.636859545683087</v>
      </c>
      <c r="BB148" s="9">
        <f t="shared" si="53"/>
        <v>118.60891315914616</v>
      </c>
      <c r="BC148" s="10">
        <f t="shared" si="56"/>
        <v>36</v>
      </c>
      <c r="BD148" s="10">
        <f t="shared" si="54"/>
        <v>267</v>
      </c>
      <c r="BE148" s="4">
        <f t="shared" si="38"/>
        <v>31.442307692307693</v>
      </c>
      <c r="BF148" s="4">
        <f t="shared" si="39"/>
        <v>55.480769230769226</v>
      </c>
      <c r="BG148" s="7">
        <f t="shared" si="40"/>
        <v>36.03846153846154</v>
      </c>
      <c r="BH148" s="5">
        <v>107</v>
      </c>
      <c r="BI148" s="3">
        <v>45.524299065420571</v>
      </c>
      <c r="BJ148" s="3">
        <v>27.17757009345797</v>
      </c>
      <c r="BK148" s="3">
        <v>26.988785046728971</v>
      </c>
      <c r="BL148" s="3">
        <v>33.230218068535827</v>
      </c>
      <c r="BM148" s="3">
        <v>99.690654205607473</v>
      </c>
      <c r="BN148" s="18">
        <v>34</v>
      </c>
      <c r="BO148" s="18">
        <v>269</v>
      </c>
      <c r="BP148" s="4">
        <v>28.971962616822431</v>
      </c>
      <c r="BQ148" s="4">
        <v>68.224299065420567</v>
      </c>
      <c r="BR148" s="7">
        <v>69.158878504672899</v>
      </c>
      <c r="BS148" s="18"/>
      <c r="BT148" s="23">
        <v>69</v>
      </c>
    </row>
    <row r="149" spans="1:72" x14ac:dyDescent="0.25">
      <c r="A149" s="18">
        <v>144</v>
      </c>
      <c r="B149" s="18" t="s">
        <v>24</v>
      </c>
      <c r="C149" s="18">
        <v>71</v>
      </c>
      <c r="D149" s="21" t="s">
        <v>9</v>
      </c>
      <c r="E149" s="5"/>
      <c r="F149" s="3">
        <v>37.333333333333336</v>
      </c>
      <c r="G149" s="3">
        <v>40.4</v>
      </c>
      <c r="H149" s="3">
        <v>48</v>
      </c>
      <c r="I149" s="3">
        <f t="shared" si="46"/>
        <v>41.911111111111111</v>
      </c>
      <c r="J149" s="3">
        <f t="shared" si="47"/>
        <v>125.73333333333333</v>
      </c>
      <c r="K149" s="18">
        <f t="shared" si="55"/>
        <v>18</v>
      </c>
      <c r="L149" s="18">
        <f t="shared" si="45"/>
        <v>170</v>
      </c>
      <c r="M149" s="4"/>
      <c r="N149" s="4"/>
      <c r="O149" s="7"/>
      <c r="P149" s="5">
        <v>139</v>
      </c>
      <c r="Q149" s="3">
        <v>43.501199040767368</v>
      </c>
      <c r="R149" s="3">
        <v>36.402877697841724</v>
      </c>
      <c r="S149" s="3">
        <v>40.191846522781788</v>
      </c>
      <c r="T149" s="3">
        <v>40.031974420463641</v>
      </c>
      <c r="U149" s="3">
        <v>120.09592326139088</v>
      </c>
      <c r="V149" s="18">
        <v>41</v>
      </c>
      <c r="W149" s="18">
        <v>272</v>
      </c>
      <c r="X149" s="4">
        <v>31.654676258992804</v>
      </c>
      <c r="Y149" s="4">
        <v>49.640287769784173</v>
      </c>
      <c r="Z149" s="7">
        <v>40.28776978417266</v>
      </c>
      <c r="AA149" s="5">
        <v>154</v>
      </c>
      <c r="AB149" s="3">
        <v>33.910034602076109</v>
      </c>
      <c r="AC149" s="3">
        <v>29.264705882352942</v>
      </c>
      <c r="AD149" s="3">
        <v>35.420875420875369</v>
      </c>
      <c r="AE149" s="3">
        <v>32.847449407570508</v>
      </c>
      <c r="AF149" s="3">
        <v>98.595615905304413</v>
      </c>
      <c r="AG149" s="18">
        <v>41</v>
      </c>
      <c r="AH149" s="18">
        <v>285</v>
      </c>
      <c r="AI149" s="4">
        <v>48.529411764705884</v>
      </c>
      <c r="AJ149" s="4">
        <v>61.764705882352942</v>
      </c>
      <c r="AK149" s="7">
        <v>48.148148148148145</v>
      </c>
      <c r="AL149" s="5">
        <v>133</v>
      </c>
      <c r="AM149" s="3">
        <v>50.68553737284391</v>
      </c>
      <c r="AN149" s="3">
        <v>29.387755102040824</v>
      </c>
      <c r="AO149" s="3">
        <v>42.282176028306047</v>
      </c>
      <c r="AP149" s="3">
        <v>40.785156167730257</v>
      </c>
      <c r="AQ149" s="3">
        <v>122.35546850319079</v>
      </c>
      <c r="AR149" s="18">
        <v>33</v>
      </c>
      <c r="AS149" s="18">
        <v>255</v>
      </c>
      <c r="AT149" s="4">
        <v>14.285714285714286</v>
      </c>
      <c r="AU149" s="4">
        <v>57.89473684210526</v>
      </c>
      <c r="AV149" s="7">
        <v>36.842105263157897</v>
      </c>
      <c r="AW149" s="10">
        <f t="shared" si="48"/>
        <v>142</v>
      </c>
      <c r="AX149" s="9">
        <f t="shared" si="49"/>
        <v>42.698923671895805</v>
      </c>
      <c r="AY149" s="9">
        <f t="shared" si="50"/>
        <v>31.6851128940785</v>
      </c>
      <c r="AZ149" s="9">
        <f t="shared" si="51"/>
        <v>39.298299323987742</v>
      </c>
      <c r="BA149" s="9">
        <f t="shared" si="52"/>
        <v>37.888193331921464</v>
      </c>
      <c r="BB149" s="9">
        <f t="shared" si="53"/>
        <v>113.68233588996202</v>
      </c>
      <c r="BC149" s="10">
        <f t="shared" si="56"/>
        <v>41</v>
      </c>
      <c r="BD149" s="10">
        <f t="shared" si="54"/>
        <v>284</v>
      </c>
      <c r="BE149" s="4">
        <f t="shared" si="38"/>
        <v>31.407563025210084</v>
      </c>
      <c r="BF149" s="4">
        <f t="shared" si="39"/>
        <v>59.829721362229101</v>
      </c>
      <c r="BG149" s="7">
        <f t="shared" si="40"/>
        <v>42.495126705653021</v>
      </c>
      <c r="BH149" s="5">
        <v>152</v>
      </c>
      <c r="BI149" s="3">
        <v>49.372368421052649</v>
      </c>
      <c r="BJ149" s="3">
        <v>30.900657894736835</v>
      </c>
      <c r="BK149" s="3">
        <v>31.173026315789468</v>
      </c>
      <c r="BL149" s="3">
        <v>37.148684210526348</v>
      </c>
      <c r="BM149" s="3">
        <v>111.44605263157889</v>
      </c>
      <c r="BN149" s="18">
        <v>23</v>
      </c>
      <c r="BO149" s="18">
        <v>222</v>
      </c>
      <c r="BP149" s="4">
        <v>26.973684210526315</v>
      </c>
      <c r="BQ149" s="4">
        <v>61.184210526315788</v>
      </c>
      <c r="BR149" s="7">
        <v>61.842105263157897</v>
      </c>
      <c r="BS149" s="18"/>
      <c r="BT149" s="23">
        <v>71</v>
      </c>
    </row>
    <row r="150" spans="1:72" x14ac:dyDescent="0.25">
      <c r="A150" s="1">
        <v>145</v>
      </c>
      <c r="B150" s="18" t="s">
        <v>24</v>
      </c>
      <c r="C150" s="18">
        <v>72</v>
      </c>
      <c r="D150" s="21" t="s">
        <v>11</v>
      </c>
      <c r="E150" s="5"/>
      <c r="F150" s="3">
        <v>53.5</v>
      </c>
      <c r="G150" s="3">
        <v>61.6</v>
      </c>
      <c r="H150" s="3">
        <v>45.333333333333336</v>
      </c>
      <c r="I150" s="3">
        <f t="shared" si="46"/>
        <v>53.477777777777781</v>
      </c>
      <c r="J150" s="3">
        <f t="shared" si="47"/>
        <v>160.43333333333334</v>
      </c>
      <c r="K150" s="18">
        <f t="shared" si="55"/>
        <v>5</v>
      </c>
      <c r="L150" s="18">
        <f t="shared" si="45"/>
        <v>51</v>
      </c>
      <c r="M150" s="4"/>
      <c r="N150" s="4"/>
      <c r="O150" s="7"/>
      <c r="P150" s="5">
        <v>159</v>
      </c>
      <c r="Q150" s="3">
        <v>59.769392033542935</v>
      </c>
      <c r="R150" s="3">
        <v>55.569620253164558</v>
      </c>
      <c r="S150" s="3">
        <v>66.793248945147681</v>
      </c>
      <c r="T150" s="3">
        <v>60.708771929824508</v>
      </c>
      <c r="U150" s="3">
        <v>182.13226123185518</v>
      </c>
      <c r="V150" s="18">
        <v>5</v>
      </c>
      <c r="W150" s="18">
        <v>53</v>
      </c>
      <c r="X150" s="4">
        <v>8.1761006289308185</v>
      </c>
      <c r="Y150" s="4">
        <v>15.189873417721518</v>
      </c>
      <c r="Z150" s="7">
        <v>8.8607594936708853</v>
      </c>
      <c r="AA150" s="5">
        <v>168</v>
      </c>
      <c r="AB150" s="3">
        <v>43.560169165705524</v>
      </c>
      <c r="AC150" s="3">
        <v>50.89473684210526</v>
      </c>
      <c r="AD150" s="3">
        <v>64.190928896811243</v>
      </c>
      <c r="AE150" s="3">
        <v>52.836111984900917</v>
      </c>
      <c r="AF150" s="3">
        <v>158.64583490462203</v>
      </c>
      <c r="AG150" s="18">
        <v>3</v>
      </c>
      <c r="AH150" s="18">
        <v>67</v>
      </c>
      <c r="AI150" s="4">
        <v>23.529411764705884</v>
      </c>
      <c r="AJ150" s="4">
        <v>20.394736842105264</v>
      </c>
      <c r="AK150" s="7">
        <v>13.725490196078431</v>
      </c>
      <c r="AL150" s="5">
        <v>167</v>
      </c>
      <c r="AM150" s="3">
        <v>62.772521596050929</v>
      </c>
      <c r="AN150" s="3">
        <v>47.987927565392361</v>
      </c>
      <c r="AO150" s="3">
        <v>72.431648715824323</v>
      </c>
      <c r="AP150" s="3">
        <v>60.797046091163764</v>
      </c>
      <c r="AQ150" s="3">
        <v>183.1920978772676</v>
      </c>
      <c r="AR150" s="18">
        <v>2</v>
      </c>
      <c r="AS150" s="18">
        <v>35</v>
      </c>
      <c r="AT150" s="4">
        <v>9.79020979020979</v>
      </c>
      <c r="AU150" s="4">
        <v>18.439716312056738</v>
      </c>
      <c r="AV150" s="7">
        <v>4.929577464788732</v>
      </c>
      <c r="AW150" s="10">
        <f t="shared" si="48"/>
        <v>164.66666666666666</v>
      </c>
      <c r="AX150" s="9">
        <f t="shared" si="49"/>
        <v>55.367360931766463</v>
      </c>
      <c r="AY150" s="9">
        <f t="shared" si="50"/>
        <v>51.484094886887391</v>
      </c>
      <c r="AZ150" s="9">
        <f t="shared" si="51"/>
        <v>67.805275519261087</v>
      </c>
      <c r="BA150" s="9">
        <f t="shared" si="52"/>
        <v>58.113976668629732</v>
      </c>
      <c r="BB150" s="9">
        <f t="shared" si="53"/>
        <v>174.65673133791492</v>
      </c>
      <c r="BC150" s="10">
        <f t="shared" si="56"/>
        <v>2</v>
      </c>
      <c r="BD150" s="10">
        <f t="shared" si="54"/>
        <v>41</v>
      </c>
      <c r="BE150" s="4">
        <f t="shared" si="38"/>
        <v>16.659810777457835</v>
      </c>
      <c r="BF150" s="4">
        <f t="shared" si="39"/>
        <v>19.417226577081003</v>
      </c>
      <c r="BG150" s="7">
        <f t="shared" si="40"/>
        <v>9.3275338304335804</v>
      </c>
      <c r="BH150" s="5">
        <v>167</v>
      </c>
      <c r="BI150" s="3">
        <v>60.123353293413189</v>
      </c>
      <c r="BJ150" s="3">
        <v>45.004790419161687</v>
      </c>
      <c r="BK150" s="3">
        <v>48.571257485029946</v>
      </c>
      <c r="BL150" s="3">
        <v>51.233133732534938</v>
      </c>
      <c r="BM150" s="3">
        <v>153.69940119760474</v>
      </c>
      <c r="BN150" s="18">
        <v>1</v>
      </c>
      <c r="BO150" s="18">
        <v>27</v>
      </c>
      <c r="BP150" s="4">
        <v>5.3892215568862278</v>
      </c>
      <c r="BQ150" s="4">
        <v>32.335329341317369</v>
      </c>
      <c r="BR150" s="7">
        <v>29.341317365269461</v>
      </c>
      <c r="BS150" s="18"/>
      <c r="BT150" s="23">
        <v>72</v>
      </c>
    </row>
    <row r="151" spans="1:72" x14ac:dyDescent="0.25">
      <c r="A151" s="18">
        <v>146</v>
      </c>
      <c r="B151" s="18" t="s">
        <v>24</v>
      </c>
      <c r="C151" s="18">
        <v>74</v>
      </c>
      <c r="D151" s="21" t="s">
        <v>9</v>
      </c>
      <c r="E151" s="5"/>
      <c r="F151" s="3">
        <v>38.666666666666664</v>
      </c>
      <c r="G151" s="3">
        <v>44</v>
      </c>
      <c r="H151" s="3">
        <v>38.333333333333336</v>
      </c>
      <c r="I151" s="3">
        <f t="shared" si="46"/>
        <v>40.333333333333336</v>
      </c>
      <c r="J151" s="3">
        <f t="shared" si="47"/>
        <v>121</v>
      </c>
      <c r="K151" s="18">
        <f t="shared" si="55"/>
        <v>22</v>
      </c>
      <c r="L151" s="18">
        <f t="shared" si="45"/>
        <v>190</v>
      </c>
      <c r="M151" s="4"/>
      <c r="N151" s="4"/>
      <c r="O151" s="7"/>
      <c r="P151" s="5">
        <v>130</v>
      </c>
      <c r="Q151" s="3">
        <v>48.82051282051281</v>
      </c>
      <c r="R151" s="3">
        <v>39.751937984496124</v>
      </c>
      <c r="S151" s="3">
        <v>42.868217054263575</v>
      </c>
      <c r="T151" s="3">
        <v>43.82646048109968</v>
      </c>
      <c r="U151" s="3">
        <v>131.44066785927251</v>
      </c>
      <c r="V151" s="18">
        <v>30</v>
      </c>
      <c r="W151" s="18">
        <v>229</v>
      </c>
      <c r="X151" s="4">
        <v>28.46153846153846</v>
      </c>
      <c r="Y151" s="4">
        <v>42.96875</v>
      </c>
      <c r="Z151" s="7">
        <v>40.310077519379846</v>
      </c>
      <c r="AA151" s="5">
        <v>134</v>
      </c>
      <c r="AB151" s="3">
        <v>44.934640522875803</v>
      </c>
      <c r="AC151" s="3">
        <v>34.888888888888886</v>
      </c>
      <c r="AD151" s="3">
        <v>47.498797498797522</v>
      </c>
      <c r="AE151" s="3">
        <v>42.440775636854077</v>
      </c>
      <c r="AF151" s="3">
        <v>127.32232691056223</v>
      </c>
      <c r="AG151" s="18">
        <v>14</v>
      </c>
      <c r="AH151" s="18">
        <v>188</v>
      </c>
      <c r="AI151" s="4">
        <v>32.258064516129032</v>
      </c>
      <c r="AJ151" s="4">
        <v>47.61904761904762</v>
      </c>
      <c r="AK151" s="7">
        <v>34.920634920634917</v>
      </c>
      <c r="AL151" s="5">
        <v>134</v>
      </c>
      <c r="AM151" s="3">
        <v>55.017301038062271</v>
      </c>
      <c r="AN151" s="3">
        <v>32.052821128451377</v>
      </c>
      <c r="AO151" s="3">
        <v>59.540286702916468</v>
      </c>
      <c r="AP151" s="3">
        <v>48.870136289810041</v>
      </c>
      <c r="AQ151" s="3">
        <v>146.6104088694301</v>
      </c>
      <c r="AR151" s="18">
        <v>12</v>
      </c>
      <c r="AS151" s="18">
        <v>160</v>
      </c>
      <c r="AT151" s="4">
        <v>10.084033613445378</v>
      </c>
      <c r="AU151" s="4">
        <v>51.260504201680675</v>
      </c>
      <c r="AV151" s="7">
        <v>15.254237288135593</v>
      </c>
      <c r="AW151" s="10">
        <f t="shared" si="48"/>
        <v>132.66666666666666</v>
      </c>
      <c r="AX151" s="9">
        <f t="shared" si="49"/>
        <v>49.590818127150293</v>
      </c>
      <c r="AY151" s="9">
        <f t="shared" si="50"/>
        <v>35.564549333945457</v>
      </c>
      <c r="AZ151" s="9">
        <f t="shared" si="51"/>
        <v>49.969100418659188</v>
      </c>
      <c r="BA151" s="9">
        <f t="shared" si="52"/>
        <v>45.045790802587931</v>
      </c>
      <c r="BB151" s="9">
        <f t="shared" si="53"/>
        <v>135.12446787975495</v>
      </c>
      <c r="BC151" s="10">
        <f t="shared" si="56"/>
        <v>16</v>
      </c>
      <c r="BD151" s="10">
        <f t="shared" si="54"/>
        <v>197</v>
      </c>
      <c r="BE151" s="4">
        <f t="shared" si="38"/>
        <v>21.171049064787205</v>
      </c>
      <c r="BF151" s="4">
        <f t="shared" si="39"/>
        <v>49.439775910364148</v>
      </c>
      <c r="BG151" s="7">
        <f t="shared" si="40"/>
        <v>25.087436104385255</v>
      </c>
      <c r="BH151" s="5">
        <v>135</v>
      </c>
      <c r="BI151" s="3">
        <v>50.474809160305341</v>
      </c>
      <c r="BJ151" s="3">
        <v>30.379389312977107</v>
      </c>
      <c r="BK151" s="3">
        <v>38.189312977099235</v>
      </c>
      <c r="BL151" s="3">
        <v>39.681170483460562</v>
      </c>
      <c r="BM151" s="3">
        <v>119.04351145038173</v>
      </c>
      <c r="BN151" s="18">
        <v>9</v>
      </c>
      <c r="BO151" s="18">
        <v>175</v>
      </c>
      <c r="BP151" s="4">
        <v>22.137404580152673</v>
      </c>
      <c r="BQ151" s="4">
        <v>63.358778625954201</v>
      </c>
      <c r="BR151" s="7">
        <v>53.435114503816791</v>
      </c>
      <c r="BS151" s="18"/>
      <c r="BT151" s="23">
        <v>74</v>
      </c>
    </row>
    <row r="152" spans="1:72" x14ac:dyDescent="0.25">
      <c r="A152" s="18">
        <v>147</v>
      </c>
      <c r="B152" s="18" t="s">
        <v>24</v>
      </c>
      <c r="C152" s="18">
        <v>75</v>
      </c>
      <c r="D152" s="21" t="s">
        <v>9</v>
      </c>
      <c r="E152" s="5"/>
      <c r="F152" s="3">
        <v>39</v>
      </c>
      <c r="G152" s="3">
        <v>32</v>
      </c>
      <c r="H152" s="3">
        <v>21</v>
      </c>
      <c r="I152" s="3">
        <f t="shared" si="46"/>
        <v>30.666666666666668</v>
      </c>
      <c r="J152" s="3">
        <f t="shared" si="47"/>
        <v>92</v>
      </c>
      <c r="K152" s="18">
        <f t="shared" si="55"/>
        <v>39</v>
      </c>
      <c r="L152" s="18">
        <f t="shared" si="45"/>
        <v>277</v>
      </c>
      <c r="M152" s="4"/>
      <c r="N152" s="4"/>
      <c r="O152" s="7"/>
      <c r="P152" s="5">
        <v>59</v>
      </c>
      <c r="Q152" s="3">
        <v>47.740112994350298</v>
      </c>
      <c r="R152" s="3">
        <v>37.627118644067799</v>
      </c>
      <c r="S152" s="3">
        <v>35.536723163841806</v>
      </c>
      <c r="T152" s="3">
        <v>40.301318267419958</v>
      </c>
      <c r="U152" s="3">
        <v>120.9039548022599</v>
      </c>
      <c r="V152" s="18">
        <v>39</v>
      </c>
      <c r="W152" s="18">
        <v>267</v>
      </c>
      <c r="X152" s="4">
        <v>13.559322033898304</v>
      </c>
      <c r="Y152" s="4">
        <v>42.372881355932201</v>
      </c>
      <c r="Z152" s="7">
        <v>42.372881355932201</v>
      </c>
      <c r="AA152" s="5">
        <v>64</v>
      </c>
      <c r="AB152" s="3">
        <v>39.783281733746122</v>
      </c>
      <c r="AC152" s="3">
        <v>34.596491228070178</v>
      </c>
      <c r="AD152" s="3">
        <v>33.545986177565126</v>
      </c>
      <c r="AE152" s="3">
        <v>35.975253046460487</v>
      </c>
      <c r="AF152" s="3">
        <v>107.92575913938143</v>
      </c>
      <c r="AG152" s="18">
        <v>34</v>
      </c>
      <c r="AH152" s="18">
        <v>261</v>
      </c>
      <c r="AI152" s="4">
        <v>17.543859649122808</v>
      </c>
      <c r="AJ152" s="4">
        <v>38.596491228070178</v>
      </c>
      <c r="AK152" s="7">
        <v>47.368421052631582</v>
      </c>
      <c r="AL152" s="5">
        <v>63</v>
      </c>
      <c r="AM152" s="3">
        <v>54.754901960784323</v>
      </c>
      <c r="AN152" s="3">
        <v>17.571428571428569</v>
      </c>
      <c r="AO152" s="3">
        <v>32.401960784313722</v>
      </c>
      <c r="AP152" s="3">
        <v>34.909430438842215</v>
      </c>
      <c r="AQ152" s="3">
        <v>104.72829131652662</v>
      </c>
      <c r="AR152" s="18">
        <v>43</v>
      </c>
      <c r="AS152" s="18">
        <v>292</v>
      </c>
      <c r="AT152" s="4">
        <v>11.666666666666666</v>
      </c>
      <c r="AU152" s="4">
        <v>91.666666666666671</v>
      </c>
      <c r="AV152" s="7">
        <v>58.333333333333336</v>
      </c>
      <c r="AW152" s="10">
        <f t="shared" si="48"/>
        <v>62</v>
      </c>
      <c r="AX152" s="9">
        <f t="shared" si="49"/>
        <v>47.426098896293581</v>
      </c>
      <c r="AY152" s="9">
        <f t="shared" si="50"/>
        <v>29.931679481188851</v>
      </c>
      <c r="AZ152" s="9">
        <f t="shared" si="51"/>
        <v>33.828223375240221</v>
      </c>
      <c r="BA152" s="9">
        <f t="shared" si="52"/>
        <v>37.062000584240884</v>
      </c>
      <c r="BB152" s="9">
        <f t="shared" si="53"/>
        <v>111.18600175272265</v>
      </c>
      <c r="BC152" s="10">
        <f t="shared" si="56"/>
        <v>42</v>
      </c>
      <c r="BD152" s="10">
        <f t="shared" si="54"/>
        <v>287</v>
      </c>
      <c r="BE152" s="4">
        <f t="shared" si="38"/>
        <v>14.605263157894736</v>
      </c>
      <c r="BF152" s="4">
        <f t="shared" si="39"/>
        <v>65.131578947368425</v>
      </c>
      <c r="BG152" s="7">
        <f t="shared" si="40"/>
        <v>52.850877192982459</v>
      </c>
      <c r="BH152" s="5">
        <v>61</v>
      </c>
      <c r="BI152" s="3">
        <v>51.401666666666657</v>
      </c>
      <c r="BJ152" s="3">
        <v>30.796666666666678</v>
      </c>
      <c r="BK152" s="3">
        <v>28.574999999999989</v>
      </c>
      <c r="BL152" s="3">
        <v>36.92444444444444</v>
      </c>
      <c r="BM152" s="3">
        <v>110.77333333333334</v>
      </c>
      <c r="BN152" s="18">
        <v>25</v>
      </c>
      <c r="BO152" s="18">
        <v>225</v>
      </c>
      <c r="BP152" s="4">
        <v>23.333333333333332</v>
      </c>
      <c r="BQ152" s="4">
        <v>60</v>
      </c>
      <c r="BR152" s="7">
        <v>60</v>
      </c>
      <c r="BS152" s="18"/>
      <c r="BT152" s="23">
        <v>75</v>
      </c>
    </row>
    <row r="153" spans="1:72" x14ac:dyDescent="0.25">
      <c r="A153" s="18">
        <v>148</v>
      </c>
      <c r="B153" s="18" t="s">
        <v>24</v>
      </c>
      <c r="C153" s="18">
        <v>78</v>
      </c>
      <c r="D153" s="21" t="s">
        <v>9</v>
      </c>
      <c r="E153" s="5"/>
      <c r="F153" s="3">
        <v>31.666666666666668</v>
      </c>
      <c r="G153" s="3">
        <v>32</v>
      </c>
      <c r="H153" s="3">
        <v>30.666666666666664</v>
      </c>
      <c r="I153" s="3">
        <f t="shared" si="46"/>
        <v>31.444444444444446</v>
      </c>
      <c r="J153" s="3">
        <f t="shared" si="47"/>
        <v>94.333333333333343</v>
      </c>
      <c r="K153" s="18">
        <f t="shared" si="55"/>
        <v>38</v>
      </c>
      <c r="L153" s="18">
        <f t="shared" si="45"/>
        <v>272</v>
      </c>
      <c r="M153" s="4"/>
      <c r="N153" s="4"/>
      <c r="O153" s="7"/>
      <c r="P153" s="5">
        <v>67</v>
      </c>
      <c r="Q153" s="3">
        <v>53.03482587064677</v>
      </c>
      <c r="R153" s="3">
        <v>42.447761194029852</v>
      </c>
      <c r="S153" s="3">
        <v>43.03482587064677</v>
      </c>
      <c r="T153" s="3">
        <v>46.172470978441126</v>
      </c>
      <c r="U153" s="3">
        <v>138.51741293532339</v>
      </c>
      <c r="V153" s="18">
        <v>21</v>
      </c>
      <c r="W153" s="18">
        <v>192</v>
      </c>
      <c r="X153" s="4">
        <v>4.4776119402985071</v>
      </c>
      <c r="Y153" s="4">
        <v>31.343283582089551</v>
      </c>
      <c r="Z153" s="7">
        <v>32.835820895522389</v>
      </c>
      <c r="AA153" s="5">
        <v>72</v>
      </c>
      <c r="AB153" s="3">
        <v>37.212276214833757</v>
      </c>
      <c r="AC153" s="3">
        <v>43.304347826086953</v>
      </c>
      <c r="AD153" s="3">
        <v>41.589811155028563</v>
      </c>
      <c r="AE153" s="3">
        <v>40.702145065316429</v>
      </c>
      <c r="AF153" s="3">
        <v>122.10643519594927</v>
      </c>
      <c r="AG153" s="18">
        <v>18</v>
      </c>
      <c r="AH153" s="18">
        <v>204</v>
      </c>
      <c r="AI153" s="4">
        <v>36.231884057971016</v>
      </c>
      <c r="AJ153" s="4">
        <v>17.391304347826086</v>
      </c>
      <c r="AK153" s="7">
        <v>39.130434782608695</v>
      </c>
      <c r="AL153" s="5">
        <v>72</v>
      </c>
      <c r="AM153" s="3">
        <v>48.412698412698404</v>
      </c>
      <c r="AN153" s="3">
        <v>28.027210884353746</v>
      </c>
      <c r="AO153" s="3">
        <v>40.24276377217555</v>
      </c>
      <c r="AP153" s="3">
        <v>38.894224356409218</v>
      </c>
      <c r="AQ153" s="3">
        <v>116.6826730692277</v>
      </c>
      <c r="AR153" s="18">
        <v>36</v>
      </c>
      <c r="AS153" s="18">
        <v>270</v>
      </c>
      <c r="AT153" s="4">
        <v>28.571428571428573</v>
      </c>
      <c r="AU153" s="4">
        <v>47.61904761904762</v>
      </c>
      <c r="AV153" s="7">
        <v>55.555555555555557</v>
      </c>
      <c r="AW153" s="10">
        <f t="shared" si="48"/>
        <v>70.333333333333329</v>
      </c>
      <c r="AX153" s="9">
        <f t="shared" si="49"/>
        <v>46.219933499392972</v>
      </c>
      <c r="AY153" s="9">
        <f t="shared" si="50"/>
        <v>37.926439968156849</v>
      </c>
      <c r="AZ153" s="9">
        <f t="shared" si="51"/>
        <v>41.622466932616959</v>
      </c>
      <c r="BA153" s="9">
        <f t="shared" si="52"/>
        <v>41.922946800055591</v>
      </c>
      <c r="BB153" s="9">
        <f t="shared" si="53"/>
        <v>125.76884040016678</v>
      </c>
      <c r="BC153" s="10">
        <f t="shared" si="56"/>
        <v>26</v>
      </c>
      <c r="BD153" s="10">
        <f t="shared" si="54"/>
        <v>234</v>
      </c>
      <c r="BE153" s="4">
        <f t="shared" si="38"/>
        <v>32.401656314699792</v>
      </c>
      <c r="BF153" s="4">
        <f t="shared" si="39"/>
        <v>32.505175983436857</v>
      </c>
      <c r="BG153" s="7">
        <f t="shared" si="40"/>
        <v>47.34299516908213</v>
      </c>
      <c r="BH153" s="5">
        <v>70</v>
      </c>
      <c r="BI153" s="3">
        <v>40.977941176470608</v>
      </c>
      <c r="BJ153" s="3">
        <v>26.475000000000005</v>
      </c>
      <c r="BK153" s="3">
        <v>26.504411764705875</v>
      </c>
      <c r="BL153" s="3">
        <v>31.319117647058828</v>
      </c>
      <c r="BM153" s="3">
        <v>93.957352941176481</v>
      </c>
      <c r="BN153" s="18">
        <v>39</v>
      </c>
      <c r="BO153" s="18">
        <v>283</v>
      </c>
      <c r="BP153" s="4">
        <v>39.705882352941174</v>
      </c>
      <c r="BQ153" s="4">
        <v>70.588235294117652</v>
      </c>
      <c r="BR153" s="7">
        <v>75</v>
      </c>
      <c r="BS153" s="18"/>
      <c r="BT153" s="23">
        <v>78</v>
      </c>
    </row>
    <row r="154" spans="1:72" x14ac:dyDescent="0.25">
      <c r="A154" s="18">
        <v>149</v>
      </c>
      <c r="B154" s="18" t="s">
        <v>24</v>
      </c>
      <c r="C154" s="18">
        <v>80</v>
      </c>
      <c r="D154" s="21" t="s">
        <v>9</v>
      </c>
      <c r="E154" s="5"/>
      <c r="F154" s="3">
        <v>52</v>
      </c>
      <c r="G154" s="3">
        <v>56</v>
      </c>
      <c r="H154" s="3">
        <v>37.333333333333336</v>
      </c>
      <c r="I154" s="3">
        <f t="shared" si="46"/>
        <v>48.44444444444445</v>
      </c>
      <c r="J154" s="3">
        <f t="shared" si="47"/>
        <v>145.33333333333334</v>
      </c>
      <c r="K154" s="18">
        <f t="shared" si="55"/>
        <v>13</v>
      </c>
      <c r="L154" s="18">
        <f t="shared" si="45"/>
        <v>99</v>
      </c>
      <c r="M154" s="4"/>
      <c r="N154" s="4"/>
      <c r="O154" s="7"/>
      <c r="P154" s="5">
        <v>130</v>
      </c>
      <c r="Q154" s="3">
        <v>52.538461538461547</v>
      </c>
      <c r="R154" s="3">
        <v>48.215384615384615</v>
      </c>
      <c r="S154" s="3">
        <v>47.205128205128212</v>
      </c>
      <c r="T154" s="3">
        <v>49.319658119658143</v>
      </c>
      <c r="U154" s="3">
        <v>147.95897435897436</v>
      </c>
      <c r="V154" s="18">
        <v>15</v>
      </c>
      <c r="W154" s="18">
        <v>154</v>
      </c>
      <c r="X154" s="4">
        <v>18.46153846153846</v>
      </c>
      <c r="Y154" s="4">
        <v>19.23076923076923</v>
      </c>
      <c r="Z154" s="7">
        <v>22.307692307692307</v>
      </c>
      <c r="AA154" s="5">
        <v>139</v>
      </c>
      <c r="AB154" s="3">
        <v>46.231617647058819</v>
      </c>
      <c r="AC154" s="3">
        <v>55.9375</v>
      </c>
      <c r="AD154" s="3">
        <v>43.688857074683817</v>
      </c>
      <c r="AE154" s="3">
        <v>48.610484439988106</v>
      </c>
      <c r="AF154" s="3">
        <v>145.85797472174264</v>
      </c>
      <c r="AG154" s="18">
        <v>8</v>
      </c>
      <c r="AH154" s="18">
        <v>108</v>
      </c>
      <c r="AI154" s="4">
        <v>24.21875</v>
      </c>
      <c r="AJ154" s="4">
        <v>9.375</v>
      </c>
      <c r="AK154" s="7">
        <v>31.496062992125985</v>
      </c>
      <c r="AL154" s="5">
        <v>139</v>
      </c>
      <c r="AM154" s="3">
        <v>54.365808823529427</v>
      </c>
      <c r="AN154" s="3">
        <v>31.562499999999982</v>
      </c>
      <c r="AO154" s="3">
        <v>55.583639705882334</v>
      </c>
      <c r="AP154" s="3">
        <v>47.170649509803923</v>
      </c>
      <c r="AQ154" s="3">
        <v>141.51194852941174</v>
      </c>
      <c r="AR154" s="18">
        <v>14</v>
      </c>
      <c r="AS154" s="18">
        <v>178</v>
      </c>
      <c r="AT154" s="4">
        <v>17.96875</v>
      </c>
      <c r="AU154" s="4">
        <v>50</v>
      </c>
      <c r="AV154" s="7">
        <v>21.875</v>
      </c>
      <c r="AW154" s="10">
        <f t="shared" si="48"/>
        <v>136</v>
      </c>
      <c r="AX154" s="9">
        <f t="shared" si="49"/>
        <v>51.045296003016595</v>
      </c>
      <c r="AY154" s="9">
        <f t="shared" si="50"/>
        <v>45.238461538461529</v>
      </c>
      <c r="AZ154" s="9">
        <f t="shared" si="51"/>
        <v>48.825874995231459</v>
      </c>
      <c r="BA154" s="9">
        <f t="shared" si="52"/>
        <v>48.366930689816719</v>
      </c>
      <c r="BB154" s="9">
        <f t="shared" si="53"/>
        <v>145.10963253670957</v>
      </c>
      <c r="BC154" s="10">
        <f t="shared" si="56"/>
        <v>11</v>
      </c>
      <c r="BD154" s="10">
        <f t="shared" si="54"/>
        <v>144</v>
      </c>
      <c r="BE154" s="4">
        <f t="shared" ref="BE154:BE217" si="57">AVERAGE(M154,AI154,AT154)</f>
        <v>21.09375</v>
      </c>
      <c r="BF154" s="4">
        <f t="shared" ref="BF154:BF217" si="58">AVERAGE(N154,AJ154,AU154)</f>
        <v>29.6875</v>
      </c>
      <c r="BG154" s="7">
        <f t="shared" ref="BG154:BG217" si="59">AVERAGE(O154,AK154,AV154)</f>
        <v>26.685531496062993</v>
      </c>
      <c r="BH154" s="5">
        <v>137</v>
      </c>
      <c r="BI154" s="3">
        <v>52.478102189781012</v>
      </c>
      <c r="BJ154" s="3">
        <v>34.140145985401453</v>
      </c>
      <c r="BK154" s="3">
        <v>32.713868613138693</v>
      </c>
      <c r="BL154" s="3">
        <v>39.777372262773724</v>
      </c>
      <c r="BM154" s="3">
        <v>119.33211678832117</v>
      </c>
      <c r="BN154" s="18">
        <v>8</v>
      </c>
      <c r="BO154" s="18">
        <v>168</v>
      </c>
      <c r="BP154" s="4">
        <v>21.167883211678831</v>
      </c>
      <c r="BQ154" s="4">
        <v>56.204379562043798</v>
      </c>
      <c r="BR154" s="7">
        <v>59.854014598540147</v>
      </c>
      <c r="BS154" s="18"/>
      <c r="BT154" s="23">
        <v>80</v>
      </c>
    </row>
    <row r="155" spans="1:72" x14ac:dyDescent="0.25">
      <c r="A155" s="1">
        <v>150</v>
      </c>
      <c r="B155" s="18" t="s">
        <v>24</v>
      </c>
      <c r="C155" s="18">
        <v>81</v>
      </c>
      <c r="D155" s="21" t="s">
        <v>9</v>
      </c>
      <c r="E155" s="5"/>
      <c r="F155" s="3">
        <v>46.666666666666664</v>
      </c>
      <c r="G155" s="3">
        <v>41.2</v>
      </c>
      <c r="H155" s="3">
        <v>35.666666666666664</v>
      </c>
      <c r="I155" s="3">
        <f t="shared" si="46"/>
        <v>41.177777777777777</v>
      </c>
      <c r="J155" s="3">
        <f t="shared" si="47"/>
        <v>123.53333333333333</v>
      </c>
      <c r="K155" s="18">
        <f t="shared" si="55"/>
        <v>19</v>
      </c>
      <c r="L155" s="18">
        <f t="shared" si="45"/>
        <v>175</v>
      </c>
      <c r="M155" s="4"/>
      <c r="N155" s="4"/>
      <c r="O155" s="7"/>
      <c r="P155" s="5">
        <v>133</v>
      </c>
      <c r="Q155" s="3">
        <v>53.684210526315788</v>
      </c>
      <c r="R155" s="3">
        <v>42.646616541353382</v>
      </c>
      <c r="S155" s="3">
        <v>55.538847117794518</v>
      </c>
      <c r="T155" s="3">
        <v>50.62322472848787</v>
      </c>
      <c r="U155" s="3">
        <v>151.86967418546368</v>
      </c>
      <c r="V155" s="18">
        <v>13</v>
      </c>
      <c r="W155" s="18">
        <v>136</v>
      </c>
      <c r="X155" s="4">
        <v>15.789473684210526</v>
      </c>
      <c r="Y155" s="4">
        <v>32.575757575757578</v>
      </c>
      <c r="Z155" s="7">
        <v>21.804511278195488</v>
      </c>
      <c r="AA155" s="5">
        <v>135</v>
      </c>
      <c r="AB155" s="3">
        <v>41.089324618736399</v>
      </c>
      <c r="AC155" s="3">
        <v>32.651851851851852</v>
      </c>
      <c r="AD155" s="3">
        <v>45.207631874298514</v>
      </c>
      <c r="AE155" s="3">
        <v>39.64960278162895</v>
      </c>
      <c r="AF155" s="3">
        <v>118.94880834488676</v>
      </c>
      <c r="AG155" s="18">
        <v>21</v>
      </c>
      <c r="AH155" s="18">
        <v>218</v>
      </c>
      <c r="AI155" s="4">
        <v>38.518518518518519</v>
      </c>
      <c r="AJ155" s="4">
        <v>48.888888888888886</v>
      </c>
      <c r="AK155" s="7">
        <v>31.111111111111111</v>
      </c>
      <c r="AL155" s="5">
        <v>137</v>
      </c>
      <c r="AM155" s="3">
        <v>58.995276942893916</v>
      </c>
      <c r="AN155" s="3">
        <v>33.847758081334717</v>
      </c>
      <c r="AO155" s="3">
        <v>52.340060111635857</v>
      </c>
      <c r="AP155" s="3">
        <v>48.394365045288168</v>
      </c>
      <c r="AQ155" s="3">
        <v>145.18309513586451</v>
      </c>
      <c r="AR155" s="18">
        <v>13</v>
      </c>
      <c r="AS155" s="18">
        <v>165</v>
      </c>
      <c r="AT155" s="4">
        <v>13.868613138686131</v>
      </c>
      <c r="AU155" s="4">
        <v>52.205882352941174</v>
      </c>
      <c r="AV155" s="7">
        <v>26.277372262773724</v>
      </c>
      <c r="AW155" s="10">
        <f t="shared" si="48"/>
        <v>135</v>
      </c>
      <c r="AX155" s="9">
        <f t="shared" si="49"/>
        <v>51.256270695982039</v>
      </c>
      <c r="AY155" s="9">
        <f t="shared" si="50"/>
        <v>36.382075491513319</v>
      </c>
      <c r="AZ155" s="9">
        <f t="shared" si="51"/>
        <v>51.02884636790963</v>
      </c>
      <c r="BA155" s="9">
        <f t="shared" si="52"/>
        <v>46.222397518468334</v>
      </c>
      <c r="BB155" s="9">
        <f t="shared" si="53"/>
        <v>138.66719255540497</v>
      </c>
      <c r="BC155" s="10">
        <f t="shared" si="56"/>
        <v>13</v>
      </c>
      <c r="BD155" s="10">
        <f t="shared" si="54"/>
        <v>172</v>
      </c>
      <c r="BE155" s="4">
        <f t="shared" si="57"/>
        <v>26.193565828602324</v>
      </c>
      <c r="BF155" s="4">
        <f t="shared" si="58"/>
        <v>50.54738562091503</v>
      </c>
      <c r="BG155" s="7">
        <f t="shared" si="59"/>
        <v>28.694241686942419</v>
      </c>
      <c r="BH155" s="5">
        <v>133</v>
      </c>
      <c r="BI155" s="3">
        <v>52.934586466165392</v>
      </c>
      <c r="BJ155" s="3">
        <v>32.692481203007532</v>
      </c>
      <c r="BK155" s="3">
        <v>38.547368421052639</v>
      </c>
      <c r="BL155" s="3">
        <v>41.391478696741871</v>
      </c>
      <c r="BM155" s="3">
        <v>124.17443609022557</v>
      </c>
      <c r="BN155" s="18">
        <v>4</v>
      </c>
      <c r="BO155" s="18">
        <v>142</v>
      </c>
      <c r="BP155" s="4">
        <v>21.804511278195488</v>
      </c>
      <c r="BQ155" s="4">
        <v>57.142857142857146</v>
      </c>
      <c r="BR155" s="7">
        <v>45.86466165413534</v>
      </c>
      <c r="BS155" s="18"/>
      <c r="BT155" s="23">
        <v>81</v>
      </c>
    </row>
    <row r="156" spans="1:72" x14ac:dyDescent="0.25">
      <c r="A156" s="18">
        <v>151</v>
      </c>
      <c r="B156" s="18" t="s">
        <v>24</v>
      </c>
      <c r="C156" s="18">
        <v>90</v>
      </c>
      <c r="D156" s="21" t="s">
        <v>9</v>
      </c>
      <c r="E156" s="5"/>
      <c r="F156" s="3">
        <v>27.666666666666671</v>
      </c>
      <c r="G156" s="3">
        <v>30.8</v>
      </c>
      <c r="H156" s="3">
        <v>21.666666666666668</v>
      </c>
      <c r="I156" s="3">
        <f t="shared" si="46"/>
        <v>26.711111111111112</v>
      </c>
      <c r="J156" s="3">
        <f t="shared" si="47"/>
        <v>80.13333333333334</v>
      </c>
      <c r="K156" s="18">
        <f t="shared" si="55"/>
        <v>45</v>
      </c>
      <c r="L156" s="18">
        <f t="shared" si="45"/>
        <v>295</v>
      </c>
      <c r="M156" s="4"/>
      <c r="N156" s="4"/>
      <c r="O156" s="7"/>
      <c r="P156" s="5">
        <v>133</v>
      </c>
      <c r="Q156" s="3">
        <v>45.112781954887211</v>
      </c>
      <c r="R156" s="3">
        <v>47.696969696969695</v>
      </c>
      <c r="S156" s="3">
        <v>39.172932330827074</v>
      </c>
      <c r="T156" s="3">
        <v>43.984924623115567</v>
      </c>
      <c r="U156" s="3">
        <v>131.98268398268399</v>
      </c>
      <c r="V156" s="18">
        <v>28</v>
      </c>
      <c r="W156" s="18">
        <v>227</v>
      </c>
      <c r="X156" s="4">
        <v>24.81203007518797</v>
      </c>
      <c r="Y156" s="4">
        <v>21.212121212121211</v>
      </c>
      <c r="Z156" s="7">
        <v>42.10526315789474</v>
      </c>
      <c r="AA156" s="5">
        <v>132</v>
      </c>
      <c r="AB156" s="3">
        <v>31.573083778966126</v>
      </c>
      <c r="AC156" s="3">
        <v>33.150470219435718</v>
      </c>
      <c r="AD156" s="3">
        <v>36.340679522497695</v>
      </c>
      <c r="AE156" s="3">
        <v>33.688077840299876</v>
      </c>
      <c r="AF156" s="3">
        <v>101.06423352089953</v>
      </c>
      <c r="AG156" s="18">
        <v>37</v>
      </c>
      <c r="AH156" s="18">
        <v>277</v>
      </c>
      <c r="AI156" s="4">
        <v>52.272727272727273</v>
      </c>
      <c r="AJ156" s="4">
        <v>47.727272727272727</v>
      </c>
      <c r="AK156" s="7">
        <v>46.212121212121211</v>
      </c>
      <c r="AL156" s="5">
        <v>146</v>
      </c>
      <c r="AM156" s="3">
        <v>47.128851540616274</v>
      </c>
      <c r="AN156" s="3">
        <v>31.358885017421592</v>
      </c>
      <c r="AO156" s="3">
        <v>46.676231468197038</v>
      </c>
      <c r="AP156" s="3">
        <v>41.209554688016944</v>
      </c>
      <c r="AQ156" s="3">
        <v>125.1639680262349</v>
      </c>
      <c r="AR156" s="18">
        <v>31</v>
      </c>
      <c r="AS156" s="18">
        <v>249</v>
      </c>
      <c r="AT156" s="4">
        <v>27.777777777777779</v>
      </c>
      <c r="AU156" s="4">
        <v>53.658536585365852</v>
      </c>
      <c r="AV156" s="7">
        <v>34.959349593495936</v>
      </c>
      <c r="AW156" s="10">
        <f t="shared" si="48"/>
        <v>137</v>
      </c>
      <c r="AX156" s="9">
        <f t="shared" si="49"/>
        <v>41.271572424823205</v>
      </c>
      <c r="AY156" s="9">
        <f t="shared" si="50"/>
        <v>37.402108311275668</v>
      </c>
      <c r="AZ156" s="9">
        <f t="shared" si="51"/>
        <v>40.7299477738406</v>
      </c>
      <c r="BA156" s="9">
        <f t="shared" si="52"/>
        <v>39.627519050477467</v>
      </c>
      <c r="BB156" s="9">
        <f t="shared" si="53"/>
        <v>119.40362850993948</v>
      </c>
      <c r="BC156" s="10">
        <f t="shared" si="56"/>
        <v>35</v>
      </c>
      <c r="BD156" s="10">
        <f t="shared" si="54"/>
        <v>265</v>
      </c>
      <c r="BE156" s="4">
        <f t="shared" si="57"/>
        <v>40.025252525252526</v>
      </c>
      <c r="BF156" s="4">
        <f t="shared" si="58"/>
        <v>50.692904656319286</v>
      </c>
      <c r="BG156" s="7">
        <f t="shared" si="59"/>
        <v>40.585735402808574</v>
      </c>
      <c r="BH156" s="5">
        <v>145</v>
      </c>
      <c r="BI156" s="3">
        <v>42.938620689655188</v>
      </c>
      <c r="BJ156" s="3">
        <v>27.710344827586219</v>
      </c>
      <c r="BK156" s="3">
        <v>26.935862068965502</v>
      </c>
      <c r="BL156" s="3">
        <v>32.528275862068952</v>
      </c>
      <c r="BM156" s="3">
        <v>97.584827586206885</v>
      </c>
      <c r="BN156" s="18">
        <v>37</v>
      </c>
      <c r="BO156" s="18">
        <v>273</v>
      </c>
      <c r="BP156" s="4">
        <v>36.551724137931032</v>
      </c>
      <c r="BQ156" s="4">
        <v>66.206896551724142</v>
      </c>
      <c r="BR156" s="7">
        <v>69.65517241379311</v>
      </c>
      <c r="BS156" s="18"/>
      <c r="BT156" s="23">
        <v>90</v>
      </c>
    </row>
    <row r="157" spans="1:72" x14ac:dyDescent="0.25">
      <c r="A157" s="18">
        <v>152</v>
      </c>
      <c r="B157" s="18" t="s">
        <v>24</v>
      </c>
      <c r="C157" s="18">
        <v>94</v>
      </c>
      <c r="D157" s="21" t="s">
        <v>9</v>
      </c>
      <c r="E157" s="5"/>
      <c r="F157" s="3">
        <v>43.333333333333336</v>
      </c>
      <c r="G157" s="3">
        <v>48</v>
      </c>
      <c r="H157" s="3">
        <v>58.666666666666671</v>
      </c>
      <c r="I157" s="3">
        <f t="shared" si="46"/>
        <v>50</v>
      </c>
      <c r="J157" s="3">
        <f t="shared" si="47"/>
        <v>150</v>
      </c>
      <c r="K157" s="18">
        <f t="shared" si="55"/>
        <v>11</v>
      </c>
      <c r="L157" s="18">
        <f t="shared" si="45"/>
        <v>81</v>
      </c>
      <c r="M157" s="4"/>
      <c r="N157" s="4"/>
      <c r="O157" s="7"/>
      <c r="P157" s="5">
        <v>75</v>
      </c>
      <c r="Q157" s="3">
        <v>60.088888888888896</v>
      </c>
      <c r="R157" s="3">
        <v>64.16</v>
      </c>
      <c r="S157" s="3">
        <v>73.422222222222217</v>
      </c>
      <c r="T157" s="3">
        <v>65.890370370370377</v>
      </c>
      <c r="U157" s="3">
        <v>197.67111111111112</v>
      </c>
      <c r="V157" s="18">
        <v>1</v>
      </c>
      <c r="W157" s="18">
        <v>20</v>
      </c>
      <c r="X157" s="4">
        <v>6.666666666666667</v>
      </c>
      <c r="Y157" s="4">
        <v>1.3333333333333333</v>
      </c>
      <c r="Z157" s="7">
        <v>2.6666666666666665</v>
      </c>
      <c r="AA157" s="5">
        <v>75</v>
      </c>
      <c r="AB157" s="3">
        <v>46.941176470588239</v>
      </c>
      <c r="AC157" s="3">
        <v>42.026666666666664</v>
      </c>
      <c r="AD157" s="3">
        <v>55.151515151515135</v>
      </c>
      <c r="AE157" s="3">
        <v>48.039786096256698</v>
      </c>
      <c r="AF157" s="3">
        <v>144.11935828877003</v>
      </c>
      <c r="AG157" s="18">
        <v>9</v>
      </c>
      <c r="AH157" s="18">
        <v>113</v>
      </c>
      <c r="AI157" s="4">
        <v>16</v>
      </c>
      <c r="AJ157" s="4">
        <v>26.666666666666668</v>
      </c>
      <c r="AK157" s="7">
        <v>18.666666666666668</v>
      </c>
      <c r="AL157" s="5">
        <v>75</v>
      </c>
      <c r="AM157" s="3">
        <v>67.450980392156879</v>
      </c>
      <c r="AN157" s="3">
        <v>40.838095238095242</v>
      </c>
      <c r="AO157" s="3">
        <v>67.843137254901976</v>
      </c>
      <c r="AP157" s="3">
        <v>58.710737628384706</v>
      </c>
      <c r="AQ157" s="3">
        <v>176.1322128851541</v>
      </c>
      <c r="AR157" s="18">
        <v>4</v>
      </c>
      <c r="AS157" s="18">
        <v>51</v>
      </c>
      <c r="AT157" s="4">
        <v>2.6666666666666665</v>
      </c>
      <c r="AU157" s="4">
        <v>24</v>
      </c>
      <c r="AV157" s="7">
        <v>5.333333333333333</v>
      </c>
      <c r="AW157" s="10">
        <f t="shared" si="48"/>
        <v>75</v>
      </c>
      <c r="AX157" s="9">
        <f t="shared" si="49"/>
        <v>58.160348583878005</v>
      </c>
      <c r="AY157" s="9">
        <f t="shared" si="50"/>
        <v>49.008253968253968</v>
      </c>
      <c r="AZ157" s="9">
        <f t="shared" si="51"/>
        <v>65.472291542879773</v>
      </c>
      <c r="BA157" s="9">
        <f t="shared" si="52"/>
        <v>57.546964698337263</v>
      </c>
      <c r="BB157" s="9">
        <f t="shared" si="53"/>
        <v>172.64089409501176</v>
      </c>
      <c r="BC157" s="10">
        <f t="shared" si="56"/>
        <v>3</v>
      </c>
      <c r="BD157" s="10">
        <f t="shared" si="54"/>
        <v>48</v>
      </c>
      <c r="BE157" s="4">
        <f t="shared" si="57"/>
        <v>9.3333333333333339</v>
      </c>
      <c r="BF157" s="4">
        <f t="shared" si="58"/>
        <v>25.333333333333336</v>
      </c>
      <c r="BG157" s="7">
        <f t="shared" si="59"/>
        <v>12</v>
      </c>
      <c r="BH157" s="5">
        <v>78</v>
      </c>
      <c r="BI157" s="3">
        <v>52.802564102564098</v>
      </c>
      <c r="BJ157" s="3">
        <v>33.874358974358977</v>
      </c>
      <c r="BK157" s="3">
        <v>38.30641025641026</v>
      </c>
      <c r="BL157" s="3">
        <v>41.661111111111111</v>
      </c>
      <c r="BM157" s="3">
        <v>124.98333333333332</v>
      </c>
      <c r="BN157" s="18">
        <v>3</v>
      </c>
      <c r="BO157" s="18">
        <v>138</v>
      </c>
      <c r="BP157" s="4">
        <v>23.076923076923077</v>
      </c>
      <c r="BQ157" s="4">
        <v>51.282051282051285</v>
      </c>
      <c r="BR157" s="7">
        <v>48.717948717948715</v>
      </c>
      <c r="BS157" s="18"/>
      <c r="BT157" s="23">
        <v>94</v>
      </c>
    </row>
    <row r="158" spans="1:72" x14ac:dyDescent="0.25">
      <c r="A158" s="18">
        <v>153</v>
      </c>
      <c r="B158" s="18" t="s">
        <v>24</v>
      </c>
      <c r="C158" s="18">
        <v>96</v>
      </c>
      <c r="D158" s="21" t="s">
        <v>9</v>
      </c>
      <c r="E158" s="5"/>
      <c r="F158" s="3">
        <v>45</v>
      </c>
      <c r="G158" s="3">
        <v>62</v>
      </c>
      <c r="H158" s="3">
        <v>53.333333333333336</v>
      </c>
      <c r="I158" s="3">
        <f t="shared" si="46"/>
        <v>53.44444444444445</v>
      </c>
      <c r="J158" s="3">
        <f t="shared" si="47"/>
        <v>160.33333333333334</v>
      </c>
      <c r="K158" s="18">
        <f t="shared" si="55"/>
        <v>6</v>
      </c>
      <c r="L158" s="18">
        <f t="shared" si="45"/>
        <v>53</v>
      </c>
      <c r="M158" s="4"/>
      <c r="N158" s="4"/>
      <c r="O158" s="7"/>
      <c r="P158" s="5">
        <v>76</v>
      </c>
      <c r="Q158" s="3">
        <v>48.289473684210513</v>
      </c>
      <c r="R158" s="3">
        <v>43.52</v>
      </c>
      <c r="S158" s="3">
        <v>48.070175438596479</v>
      </c>
      <c r="T158" s="3">
        <v>46.64023494860497</v>
      </c>
      <c r="U158" s="3">
        <v>139.879649122807</v>
      </c>
      <c r="V158" s="18">
        <v>18</v>
      </c>
      <c r="W158" s="18">
        <v>185</v>
      </c>
      <c r="X158" s="4">
        <v>22.368421052631579</v>
      </c>
      <c r="Y158" s="4">
        <v>34.666666666666664</v>
      </c>
      <c r="Z158" s="7">
        <v>31.578947368421051</v>
      </c>
      <c r="AA158" s="5">
        <v>75</v>
      </c>
      <c r="AB158" s="3">
        <v>32.7843137254902</v>
      </c>
      <c r="AC158" s="3">
        <v>40.266666666666666</v>
      </c>
      <c r="AD158" s="3">
        <v>41.696969696969688</v>
      </c>
      <c r="AE158" s="3">
        <v>38.249316696375509</v>
      </c>
      <c r="AF158" s="3">
        <v>114.74795008912656</v>
      </c>
      <c r="AG158" s="18">
        <v>27</v>
      </c>
      <c r="AH158" s="18">
        <v>232</v>
      </c>
      <c r="AI158" s="4">
        <v>48</v>
      </c>
      <c r="AJ158" s="4">
        <v>25.333333333333332</v>
      </c>
      <c r="AK158" s="7">
        <v>36</v>
      </c>
      <c r="AL158" s="5">
        <v>80</v>
      </c>
      <c r="AM158" s="3">
        <v>55.441176470588211</v>
      </c>
      <c r="AN158" s="3">
        <v>34.749999999999986</v>
      </c>
      <c r="AO158" s="3">
        <v>47.977941176470615</v>
      </c>
      <c r="AP158" s="3">
        <v>46.056372549019621</v>
      </c>
      <c r="AQ158" s="3">
        <v>138.16911764705881</v>
      </c>
      <c r="AR158" s="18">
        <v>20</v>
      </c>
      <c r="AS158" s="18">
        <v>199</v>
      </c>
      <c r="AT158" s="4">
        <v>20</v>
      </c>
      <c r="AU158" s="4">
        <v>43.75</v>
      </c>
      <c r="AV158" s="7">
        <v>30</v>
      </c>
      <c r="AW158" s="10">
        <f t="shared" si="48"/>
        <v>77</v>
      </c>
      <c r="AX158" s="9">
        <f t="shared" si="49"/>
        <v>45.504987960096308</v>
      </c>
      <c r="AY158" s="9">
        <f t="shared" si="50"/>
        <v>39.512222222222213</v>
      </c>
      <c r="AZ158" s="9">
        <f t="shared" si="51"/>
        <v>45.91502877067893</v>
      </c>
      <c r="BA158" s="9">
        <f t="shared" si="52"/>
        <v>43.648641398000031</v>
      </c>
      <c r="BB158" s="9">
        <f t="shared" si="53"/>
        <v>130.93223895299744</v>
      </c>
      <c r="BC158" s="10">
        <f t="shared" si="56"/>
        <v>21</v>
      </c>
      <c r="BD158" s="10">
        <f t="shared" si="54"/>
        <v>215</v>
      </c>
      <c r="BE158" s="4">
        <f t="shared" si="57"/>
        <v>34</v>
      </c>
      <c r="BF158" s="4">
        <f t="shared" si="58"/>
        <v>34.541666666666664</v>
      </c>
      <c r="BG158" s="7">
        <f t="shared" si="59"/>
        <v>33</v>
      </c>
      <c r="BH158" s="5">
        <v>86</v>
      </c>
      <c r="BI158" s="3">
        <v>44.978823529411777</v>
      </c>
      <c r="BJ158" s="3">
        <v>34.108235294117648</v>
      </c>
      <c r="BK158" s="3">
        <v>32.518823529411769</v>
      </c>
      <c r="BL158" s="3">
        <v>37.201960784313727</v>
      </c>
      <c r="BM158" s="3">
        <v>111.60588235294118</v>
      </c>
      <c r="BN158" s="18">
        <v>21</v>
      </c>
      <c r="BO158" s="18">
        <v>219</v>
      </c>
      <c r="BP158" s="4">
        <v>36.470588235294116</v>
      </c>
      <c r="BQ158" s="4">
        <v>56.470588235294116</v>
      </c>
      <c r="BR158" s="7">
        <v>61.176470588235297</v>
      </c>
      <c r="BS158" s="18"/>
      <c r="BT158" s="23">
        <v>96</v>
      </c>
    </row>
    <row r="159" spans="1:72" x14ac:dyDescent="0.25">
      <c r="A159" s="18">
        <v>154</v>
      </c>
      <c r="B159" s="18" t="s">
        <v>24</v>
      </c>
      <c r="C159" s="18">
        <v>107</v>
      </c>
      <c r="D159" s="21" t="s">
        <v>9</v>
      </c>
      <c r="E159" s="5"/>
      <c r="F159" s="3">
        <v>52.333333333333336</v>
      </c>
      <c r="G159" s="3">
        <v>57.2</v>
      </c>
      <c r="H159" s="3">
        <v>58.333333333333336</v>
      </c>
      <c r="I159" s="3">
        <f t="shared" si="46"/>
        <v>55.955555555555556</v>
      </c>
      <c r="J159" s="3">
        <f t="shared" si="47"/>
        <v>167.86666666666667</v>
      </c>
      <c r="K159" s="18">
        <f t="shared" si="55"/>
        <v>3</v>
      </c>
      <c r="L159" s="18">
        <f t="shared" si="45"/>
        <v>38</v>
      </c>
      <c r="M159" s="4"/>
      <c r="N159" s="4"/>
      <c r="O159" s="7"/>
      <c r="P159" s="5">
        <v>25</v>
      </c>
      <c r="Q159" s="3">
        <v>41.06666666666667</v>
      </c>
      <c r="R159" s="3">
        <v>44.8</v>
      </c>
      <c r="S159" s="3">
        <v>47.866666666666667</v>
      </c>
      <c r="T159" s="3">
        <v>44.577777777777783</v>
      </c>
      <c r="U159" s="3">
        <v>133.73333333333335</v>
      </c>
      <c r="V159" s="18">
        <v>26</v>
      </c>
      <c r="W159" s="18">
        <v>216</v>
      </c>
      <c r="X159" s="4">
        <v>32</v>
      </c>
      <c r="Y159" s="4">
        <v>28</v>
      </c>
      <c r="Z159" s="7">
        <v>20</v>
      </c>
      <c r="AA159" s="5">
        <v>32</v>
      </c>
      <c r="AB159" s="3">
        <v>43.914807302231239</v>
      </c>
      <c r="AC159" s="3">
        <v>34.206896551724135</v>
      </c>
      <c r="AD159" s="3">
        <v>35.214211076280037</v>
      </c>
      <c r="AE159" s="3">
        <v>37.778638310078485</v>
      </c>
      <c r="AF159" s="3">
        <v>113.33591493023542</v>
      </c>
      <c r="AG159" s="18">
        <v>29</v>
      </c>
      <c r="AH159" s="18">
        <v>238</v>
      </c>
      <c r="AI159" s="4">
        <v>27.586206896551722</v>
      </c>
      <c r="AJ159" s="4">
        <v>55.172413793103445</v>
      </c>
      <c r="AK159" s="7">
        <v>44.827586206896555</v>
      </c>
      <c r="AL159" s="5">
        <v>32</v>
      </c>
      <c r="AM159" s="3">
        <v>54.411764705882355</v>
      </c>
      <c r="AN159" s="3">
        <v>28.095238095238106</v>
      </c>
      <c r="AO159" s="3">
        <v>51.47058823529413</v>
      </c>
      <c r="AP159" s="3">
        <v>44.659197012138172</v>
      </c>
      <c r="AQ159" s="3">
        <v>133.97759103641459</v>
      </c>
      <c r="AR159" s="18">
        <v>22</v>
      </c>
      <c r="AS159" s="18">
        <v>217</v>
      </c>
      <c r="AT159" s="4">
        <v>10</v>
      </c>
      <c r="AU159" s="4">
        <v>53.333333333333336</v>
      </c>
      <c r="AV159" s="7">
        <v>20.689655172413794</v>
      </c>
      <c r="AW159" s="10">
        <f t="shared" si="48"/>
        <v>29.666666666666668</v>
      </c>
      <c r="AX159" s="9">
        <f t="shared" si="49"/>
        <v>46.464412891593419</v>
      </c>
      <c r="AY159" s="9">
        <f t="shared" si="50"/>
        <v>35.700711548987414</v>
      </c>
      <c r="AZ159" s="9">
        <f t="shared" si="51"/>
        <v>44.850488659413621</v>
      </c>
      <c r="BA159" s="9">
        <f t="shared" si="52"/>
        <v>42.338537699998149</v>
      </c>
      <c r="BB159" s="9">
        <f t="shared" si="53"/>
        <v>127.01561309999447</v>
      </c>
      <c r="BC159" s="10">
        <f t="shared" si="56"/>
        <v>24</v>
      </c>
      <c r="BD159" s="10">
        <f t="shared" si="54"/>
        <v>228</v>
      </c>
      <c r="BE159" s="4">
        <f t="shared" si="57"/>
        <v>18.793103448275861</v>
      </c>
      <c r="BF159" s="4">
        <f t="shared" si="58"/>
        <v>54.252873563218387</v>
      </c>
      <c r="BG159" s="7">
        <f t="shared" si="59"/>
        <v>32.758620689655174</v>
      </c>
      <c r="BH159" s="5">
        <v>32</v>
      </c>
      <c r="BI159" s="3">
        <v>51.284375000000004</v>
      </c>
      <c r="BJ159" s="3">
        <v>30.812500000000004</v>
      </c>
      <c r="BK159" s="3">
        <v>32.174999999999997</v>
      </c>
      <c r="BL159" s="3">
        <v>38.09062500000001</v>
      </c>
      <c r="BM159" s="3">
        <v>114.27187500000001</v>
      </c>
      <c r="BN159" s="18">
        <v>19</v>
      </c>
      <c r="BO159" s="18">
        <v>209</v>
      </c>
      <c r="BP159" s="4">
        <v>18.75</v>
      </c>
      <c r="BQ159" s="4">
        <v>59.375</v>
      </c>
      <c r="BR159" s="7">
        <v>62.5</v>
      </c>
      <c r="BS159" s="18"/>
      <c r="BT159" s="23">
        <v>107</v>
      </c>
    </row>
    <row r="160" spans="1:72" x14ac:dyDescent="0.25">
      <c r="A160" s="1">
        <v>155</v>
      </c>
      <c r="B160" s="18" t="s">
        <v>24</v>
      </c>
      <c r="C160" s="18">
        <v>108</v>
      </c>
      <c r="D160" s="21" t="s">
        <v>9</v>
      </c>
      <c r="E160" s="5"/>
      <c r="F160" s="3">
        <v>39.333333333333336</v>
      </c>
      <c r="G160" s="3">
        <v>29.2</v>
      </c>
      <c r="H160" s="3">
        <v>23.333333333333332</v>
      </c>
      <c r="I160" s="3">
        <f t="shared" si="46"/>
        <v>30.62222222222222</v>
      </c>
      <c r="J160" s="3">
        <f t="shared" si="47"/>
        <v>91.86666666666666</v>
      </c>
      <c r="K160" s="18">
        <f t="shared" si="55"/>
        <v>40</v>
      </c>
      <c r="L160" s="18">
        <f t="shared" si="45"/>
        <v>278</v>
      </c>
      <c r="M160" s="4"/>
      <c r="N160" s="4"/>
      <c r="O160" s="7"/>
      <c r="P160" s="5">
        <v>100</v>
      </c>
      <c r="Q160" s="3">
        <v>46.09999999999998</v>
      </c>
      <c r="R160" s="3">
        <v>41.64</v>
      </c>
      <c r="S160" s="3">
        <v>47.700000000000017</v>
      </c>
      <c r="T160" s="3">
        <v>45.146666666666661</v>
      </c>
      <c r="U160" s="3">
        <v>135.44</v>
      </c>
      <c r="V160" s="18">
        <v>24</v>
      </c>
      <c r="W160" s="18">
        <v>207</v>
      </c>
      <c r="X160" s="4">
        <v>22</v>
      </c>
      <c r="Y160" s="4">
        <v>38</v>
      </c>
      <c r="Z160" s="7">
        <v>22</v>
      </c>
      <c r="AA160" s="5">
        <v>104</v>
      </c>
      <c r="AB160" s="3">
        <v>30.910633484162879</v>
      </c>
      <c r="AC160" s="3">
        <v>41.153846153846153</v>
      </c>
      <c r="AD160" s="3">
        <v>36.043123543123507</v>
      </c>
      <c r="AE160" s="3">
        <v>36.035867727044192</v>
      </c>
      <c r="AF160" s="3">
        <v>108.10760318113253</v>
      </c>
      <c r="AG160" s="18">
        <v>33</v>
      </c>
      <c r="AH160" s="18">
        <v>259</v>
      </c>
      <c r="AI160" s="4">
        <v>51.92307692307692</v>
      </c>
      <c r="AJ160" s="4">
        <v>38.46153846153846</v>
      </c>
      <c r="AK160" s="7">
        <v>40.384615384615387</v>
      </c>
      <c r="AL160" s="5">
        <v>102</v>
      </c>
      <c r="AM160" s="3">
        <v>53.460207612456784</v>
      </c>
      <c r="AN160" s="3">
        <v>30.86834733893556</v>
      </c>
      <c r="AO160" s="3">
        <v>41.839677047289534</v>
      </c>
      <c r="AP160" s="3">
        <v>42.056077332893949</v>
      </c>
      <c r="AQ160" s="3">
        <v>126.16823199868188</v>
      </c>
      <c r="AR160" s="18">
        <v>28</v>
      </c>
      <c r="AS160" s="18">
        <v>244</v>
      </c>
      <c r="AT160" s="4">
        <v>20.588235294117649</v>
      </c>
      <c r="AU160" s="4">
        <v>61.764705882352942</v>
      </c>
      <c r="AV160" s="7">
        <v>35.353535353535356</v>
      </c>
      <c r="AW160" s="10">
        <f t="shared" si="48"/>
        <v>102</v>
      </c>
      <c r="AX160" s="9">
        <f t="shared" si="49"/>
        <v>43.490280365539888</v>
      </c>
      <c r="AY160" s="9">
        <f t="shared" si="50"/>
        <v>37.887397830927235</v>
      </c>
      <c r="AZ160" s="9">
        <f t="shared" si="51"/>
        <v>41.860933530137686</v>
      </c>
      <c r="BA160" s="9">
        <f t="shared" si="52"/>
        <v>41.079537242201603</v>
      </c>
      <c r="BB160" s="9">
        <f t="shared" si="53"/>
        <v>123.2386117266048</v>
      </c>
      <c r="BC160" s="10">
        <f t="shared" si="56"/>
        <v>29</v>
      </c>
      <c r="BD160" s="10">
        <f t="shared" si="54"/>
        <v>247</v>
      </c>
      <c r="BE160" s="4">
        <f t="shared" si="57"/>
        <v>36.255656108597286</v>
      </c>
      <c r="BF160" s="4">
        <f t="shared" si="58"/>
        <v>50.113122171945705</v>
      </c>
      <c r="BG160" s="7">
        <f t="shared" si="59"/>
        <v>37.869075369075375</v>
      </c>
      <c r="BH160" s="5">
        <v>107</v>
      </c>
      <c r="BI160" s="3">
        <v>41.696261682242998</v>
      </c>
      <c r="BJ160" s="3">
        <v>26.064485981308426</v>
      </c>
      <c r="BK160" s="3">
        <v>24.242990654205606</v>
      </c>
      <c r="BL160" s="3">
        <v>30.667912772585659</v>
      </c>
      <c r="BM160" s="3">
        <v>92.003738317756984</v>
      </c>
      <c r="BN160" s="18">
        <v>40</v>
      </c>
      <c r="BO160" s="18">
        <v>285</v>
      </c>
      <c r="BP160" s="4">
        <v>38.317757009345797</v>
      </c>
      <c r="BQ160" s="4">
        <v>69.158878504672899</v>
      </c>
      <c r="BR160" s="7">
        <v>78.504672897196258</v>
      </c>
      <c r="BS160" s="18"/>
      <c r="BT160" s="23">
        <v>108</v>
      </c>
    </row>
    <row r="161" spans="1:72" x14ac:dyDescent="0.25">
      <c r="A161" s="18">
        <v>156</v>
      </c>
      <c r="B161" s="18" t="s">
        <v>24</v>
      </c>
      <c r="C161" s="18">
        <v>112</v>
      </c>
      <c r="D161" s="21" t="s">
        <v>9</v>
      </c>
      <c r="E161" s="5"/>
      <c r="F161" s="3">
        <v>52.333333333333336</v>
      </c>
      <c r="G161" s="3">
        <v>41.2</v>
      </c>
      <c r="H161" s="3">
        <v>33.333333333333336</v>
      </c>
      <c r="I161" s="3">
        <f t="shared" si="46"/>
        <v>42.288888888888891</v>
      </c>
      <c r="J161" s="3">
        <f t="shared" si="47"/>
        <v>126.86666666666667</v>
      </c>
      <c r="K161" s="18">
        <f t="shared" si="55"/>
        <v>17</v>
      </c>
      <c r="L161" s="18">
        <f t="shared" si="45"/>
        <v>167</v>
      </c>
      <c r="M161" s="4"/>
      <c r="N161" s="4"/>
      <c r="O161" s="7"/>
      <c r="P161" s="5">
        <v>105</v>
      </c>
      <c r="Q161" s="3">
        <v>45.365079365079367</v>
      </c>
      <c r="R161" s="3">
        <v>40.076190476190476</v>
      </c>
      <c r="S161" s="3">
        <v>44.857142857142883</v>
      </c>
      <c r="T161" s="3">
        <v>43.432804232804244</v>
      </c>
      <c r="U161" s="3">
        <v>130.29841269841273</v>
      </c>
      <c r="V161" s="18">
        <v>33</v>
      </c>
      <c r="W161" s="18">
        <v>234</v>
      </c>
      <c r="X161" s="4">
        <v>22.857142857142858</v>
      </c>
      <c r="Y161" s="4">
        <v>41.904761904761905</v>
      </c>
      <c r="Z161" s="7">
        <v>33.333333333333336</v>
      </c>
      <c r="AA161" s="5">
        <v>89</v>
      </c>
      <c r="AB161" s="3">
        <v>55.684071381361527</v>
      </c>
      <c r="AC161" s="3">
        <v>50.363636363636367</v>
      </c>
      <c r="AD161" s="3">
        <v>50.017024174327581</v>
      </c>
      <c r="AE161" s="3">
        <v>51.90605326229911</v>
      </c>
      <c r="AF161" s="3">
        <v>156.06473191932548</v>
      </c>
      <c r="AG161" s="18">
        <v>5</v>
      </c>
      <c r="AH161" s="18">
        <v>80</v>
      </c>
      <c r="AI161" s="4">
        <v>21.348314606741575</v>
      </c>
      <c r="AJ161" s="4">
        <v>17.045454545454547</v>
      </c>
      <c r="AK161" s="7">
        <v>2.2471910112359552</v>
      </c>
      <c r="AL161" s="5">
        <v>85</v>
      </c>
      <c r="AM161" s="3">
        <v>66.159169550173019</v>
      </c>
      <c r="AN161" s="3">
        <v>42.252100840336134</v>
      </c>
      <c r="AO161" s="3">
        <v>49.65397923875431</v>
      </c>
      <c r="AP161" s="3">
        <v>52.688416543087826</v>
      </c>
      <c r="AQ161" s="3">
        <v>158.06524962926346</v>
      </c>
      <c r="AR161" s="18">
        <v>8</v>
      </c>
      <c r="AS161" s="18">
        <v>109</v>
      </c>
      <c r="AT161" s="4">
        <v>8.235294117647058</v>
      </c>
      <c r="AU161" s="4">
        <v>29.411764705882351</v>
      </c>
      <c r="AV161" s="7">
        <v>25.882352941176471</v>
      </c>
      <c r="AW161" s="10">
        <f t="shared" si="48"/>
        <v>93</v>
      </c>
      <c r="AX161" s="9">
        <f t="shared" si="49"/>
        <v>55.736106765537976</v>
      </c>
      <c r="AY161" s="9">
        <f t="shared" si="50"/>
        <v>44.230642560054328</v>
      </c>
      <c r="AZ161" s="9">
        <f t="shared" si="51"/>
        <v>48.176048756741586</v>
      </c>
      <c r="BA161" s="9">
        <f t="shared" si="52"/>
        <v>49.342424679397062</v>
      </c>
      <c r="BB161" s="9">
        <f t="shared" si="53"/>
        <v>148.14279808233388</v>
      </c>
      <c r="BC161" s="10">
        <f t="shared" si="56"/>
        <v>9</v>
      </c>
      <c r="BD161" s="10">
        <f t="shared" si="54"/>
        <v>134</v>
      </c>
      <c r="BE161" s="4">
        <f t="shared" si="57"/>
        <v>14.791804362194316</v>
      </c>
      <c r="BF161" s="4">
        <f t="shared" si="58"/>
        <v>23.228609625668447</v>
      </c>
      <c r="BG161" s="7">
        <f t="shared" si="59"/>
        <v>14.064771976206213</v>
      </c>
      <c r="BH161" s="5">
        <v>104</v>
      </c>
      <c r="BI161" s="3">
        <v>47.949019607843141</v>
      </c>
      <c r="BJ161" s="3">
        <v>28.242156862745105</v>
      </c>
      <c r="BK161" s="3">
        <v>28.371568627450962</v>
      </c>
      <c r="BL161" s="3">
        <v>34.85424836601306</v>
      </c>
      <c r="BM161" s="3">
        <v>104.5627450980393</v>
      </c>
      <c r="BN161" s="18">
        <v>30</v>
      </c>
      <c r="BO161" s="18">
        <v>253</v>
      </c>
      <c r="BP161" s="4">
        <v>28.431372549019606</v>
      </c>
      <c r="BQ161" s="4">
        <v>69.607843137254903</v>
      </c>
      <c r="BR161" s="7">
        <v>72.549019607843135</v>
      </c>
      <c r="BS161" s="18"/>
      <c r="BT161" s="23">
        <v>112</v>
      </c>
    </row>
    <row r="162" spans="1:72" x14ac:dyDescent="0.25">
      <c r="A162" s="18">
        <v>157</v>
      </c>
      <c r="B162" s="18" t="s">
        <v>24</v>
      </c>
      <c r="C162" s="18">
        <v>113</v>
      </c>
      <c r="D162" s="21" t="s">
        <v>9</v>
      </c>
      <c r="E162" s="5"/>
      <c r="F162" s="3">
        <v>27.333333333333329</v>
      </c>
      <c r="G162" s="3">
        <v>34.4</v>
      </c>
      <c r="H162" s="3">
        <v>23.333333333333332</v>
      </c>
      <c r="I162" s="3">
        <f t="shared" si="46"/>
        <v>28.355555555555554</v>
      </c>
      <c r="J162" s="3">
        <f t="shared" si="47"/>
        <v>85.066666666666663</v>
      </c>
      <c r="K162" s="18">
        <f t="shared" si="55"/>
        <v>42</v>
      </c>
      <c r="L162" s="18">
        <f t="shared" si="45"/>
        <v>287</v>
      </c>
      <c r="M162" s="4"/>
      <c r="N162" s="4"/>
      <c r="O162" s="7"/>
      <c r="P162" s="5">
        <v>211</v>
      </c>
      <c r="Q162" s="3">
        <v>47.424960505529207</v>
      </c>
      <c r="R162" s="3">
        <v>38.255924170616112</v>
      </c>
      <c r="S162" s="3">
        <v>37.314375987361771</v>
      </c>
      <c r="T162" s="3">
        <v>40.998420221169056</v>
      </c>
      <c r="U162" s="3">
        <v>122.9952606635071</v>
      </c>
      <c r="V162" s="18">
        <v>38</v>
      </c>
      <c r="W162" s="18">
        <v>262</v>
      </c>
      <c r="X162" s="4">
        <v>23.696682464454977</v>
      </c>
      <c r="Y162" s="4">
        <v>41.706161137440759</v>
      </c>
      <c r="Z162" s="7">
        <v>45.023696682464454</v>
      </c>
      <c r="AA162" s="5">
        <v>196</v>
      </c>
      <c r="AB162" s="3">
        <v>32.713085234093633</v>
      </c>
      <c r="AC162" s="3">
        <v>35.428571428571431</v>
      </c>
      <c r="AD162" s="3">
        <v>37.95609152752003</v>
      </c>
      <c r="AE162" s="3">
        <v>35.365916063395105</v>
      </c>
      <c r="AF162" s="3">
        <v>106.0977481901851</v>
      </c>
      <c r="AG162" s="18">
        <v>36</v>
      </c>
      <c r="AH162" s="18">
        <v>266</v>
      </c>
      <c r="AI162" s="4">
        <v>50.510204081632651</v>
      </c>
      <c r="AJ162" s="4">
        <v>43.367346938775512</v>
      </c>
      <c r="AK162" s="7">
        <v>40.816326530612244</v>
      </c>
      <c r="AL162" s="5">
        <v>195</v>
      </c>
      <c r="AM162" s="3">
        <v>55.746606334841644</v>
      </c>
      <c r="AN162" s="3">
        <v>25.787545787545781</v>
      </c>
      <c r="AO162" s="3">
        <v>43.650075414781305</v>
      </c>
      <c r="AP162" s="3">
        <v>41.728075845722898</v>
      </c>
      <c r="AQ162" s="3">
        <v>125.18422753716874</v>
      </c>
      <c r="AR162" s="18">
        <v>30</v>
      </c>
      <c r="AS162" s="18">
        <v>248</v>
      </c>
      <c r="AT162" s="4">
        <v>16.923076923076923</v>
      </c>
      <c r="AU162" s="4">
        <v>65.128205128205124</v>
      </c>
      <c r="AV162" s="7">
        <v>35.384615384615387</v>
      </c>
      <c r="AW162" s="10">
        <f t="shared" si="48"/>
        <v>200.66666666666666</v>
      </c>
      <c r="AX162" s="9">
        <f t="shared" si="49"/>
        <v>45.294884024821499</v>
      </c>
      <c r="AY162" s="9">
        <f t="shared" si="50"/>
        <v>33.157347128911105</v>
      </c>
      <c r="AZ162" s="9">
        <f t="shared" si="51"/>
        <v>39.640180976554369</v>
      </c>
      <c r="BA162" s="9">
        <f t="shared" si="52"/>
        <v>39.364137376762351</v>
      </c>
      <c r="BB162" s="9">
        <f t="shared" si="53"/>
        <v>118.09241213028697</v>
      </c>
      <c r="BC162" s="10">
        <f t="shared" si="56"/>
        <v>38</v>
      </c>
      <c r="BD162" s="10">
        <f t="shared" si="54"/>
        <v>269</v>
      </c>
      <c r="BE162" s="4">
        <f t="shared" si="57"/>
        <v>33.716640502354785</v>
      </c>
      <c r="BF162" s="4">
        <f t="shared" si="58"/>
        <v>54.247776033490318</v>
      </c>
      <c r="BG162" s="7">
        <f t="shared" si="59"/>
        <v>38.100470957613815</v>
      </c>
      <c r="BH162" s="5">
        <v>216</v>
      </c>
      <c r="BI162" s="3">
        <v>48.114009661835787</v>
      </c>
      <c r="BJ162" s="3">
        <v>29.2695652173913</v>
      </c>
      <c r="BK162" s="3">
        <v>27.889855072463789</v>
      </c>
      <c r="BL162" s="3">
        <v>35.091143317230255</v>
      </c>
      <c r="BM162" s="3">
        <v>105.27342995169087</v>
      </c>
      <c r="BN162" s="18">
        <v>29</v>
      </c>
      <c r="BO162" s="18">
        <v>251</v>
      </c>
      <c r="BP162" s="4">
        <v>27.053140096618357</v>
      </c>
      <c r="BQ162" s="4">
        <v>63.768115942028984</v>
      </c>
      <c r="BR162" s="7">
        <v>64.734299516908209</v>
      </c>
      <c r="BS162" s="18"/>
      <c r="BT162" s="23">
        <v>113</v>
      </c>
    </row>
    <row r="163" spans="1:72" x14ac:dyDescent="0.25">
      <c r="A163" s="18">
        <v>158</v>
      </c>
      <c r="B163" s="18" t="s">
        <v>24</v>
      </c>
      <c r="C163" s="18">
        <v>128</v>
      </c>
      <c r="D163" s="21" t="s">
        <v>9</v>
      </c>
      <c r="E163" s="5"/>
      <c r="F163" s="3">
        <v>38.666666666666664</v>
      </c>
      <c r="G163" s="3">
        <v>33.200000000000003</v>
      </c>
      <c r="H163" s="3">
        <v>25.666666666666668</v>
      </c>
      <c r="I163" s="3">
        <f t="shared" si="46"/>
        <v>32.511111111111113</v>
      </c>
      <c r="J163" s="3">
        <f t="shared" si="47"/>
        <v>97.533333333333346</v>
      </c>
      <c r="K163" s="18">
        <f t="shared" si="55"/>
        <v>36</v>
      </c>
      <c r="L163" s="18">
        <f t="shared" si="45"/>
        <v>266</v>
      </c>
      <c r="M163" s="4"/>
      <c r="N163" s="4"/>
      <c r="O163" s="7"/>
      <c r="P163" s="5">
        <v>131</v>
      </c>
      <c r="Q163" s="3">
        <v>43.536895674300261</v>
      </c>
      <c r="R163" s="3">
        <v>43.236641221374043</v>
      </c>
      <c r="S163" s="3">
        <v>34.096692111959307</v>
      </c>
      <c r="T163" s="3">
        <v>40.29007633587787</v>
      </c>
      <c r="U163" s="3">
        <v>120.87022900763361</v>
      </c>
      <c r="V163" s="18">
        <v>40</v>
      </c>
      <c r="W163" s="18">
        <v>269</v>
      </c>
      <c r="X163" s="4">
        <v>27.480916030534353</v>
      </c>
      <c r="Y163" s="4">
        <v>32.061068702290079</v>
      </c>
      <c r="Z163" s="7">
        <v>54.198473282442748</v>
      </c>
      <c r="AA163" s="5">
        <v>148</v>
      </c>
      <c r="AB163" s="3">
        <v>28.144796380090494</v>
      </c>
      <c r="AC163" s="3">
        <v>32.952380952380949</v>
      </c>
      <c r="AD163" s="3">
        <v>29.73484848484847</v>
      </c>
      <c r="AE163" s="3">
        <v>30.101128936423059</v>
      </c>
      <c r="AF163" s="3">
        <v>90.832025817319916</v>
      </c>
      <c r="AG163" s="18">
        <v>46</v>
      </c>
      <c r="AH163" s="18">
        <v>299</v>
      </c>
      <c r="AI163" s="4">
        <v>65.384615384615387</v>
      </c>
      <c r="AJ163" s="4">
        <v>59.523809523809526</v>
      </c>
      <c r="AK163" s="7">
        <v>62.5</v>
      </c>
      <c r="AL163" s="5">
        <v>147</v>
      </c>
      <c r="AM163" s="3">
        <v>54.074473826227759</v>
      </c>
      <c r="AN163" s="3">
        <v>27.532467532467539</v>
      </c>
      <c r="AO163" s="3">
        <v>31.176470588235311</v>
      </c>
      <c r="AP163" s="3">
        <v>37.496180290297936</v>
      </c>
      <c r="AQ163" s="3">
        <v>112.78341194693061</v>
      </c>
      <c r="AR163" s="18">
        <v>37</v>
      </c>
      <c r="AS163" s="18">
        <v>279</v>
      </c>
      <c r="AT163" s="4">
        <v>24.770642201834864</v>
      </c>
      <c r="AU163" s="4">
        <v>62.962962962962962</v>
      </c>
      <c r="AV163" s="7">
        <v>56.363636363636367</v>
      </c>
      <c r="AW163" s="10">
        <f t="shared" si="48"/>
        <v>142</v>
      </c>
      <c r="AX163" s="9">
        <f t="shared" si="49"/>
        <v>41.91872196020617</v>
      </c>
      <c r="AY163" s="9">
        <f t="shared" si="50"/>
        <v>34.573829902074174</v>
      </c>
      <c r="AZ163" s="9">
        <f t="shared" si="51"/>
        <v>31.669337061681031</v>
      </c>
      <c r="BA163" s="9">
        <f t="shared" si="52"/>
        <v>35.962461854199624</v>
      </c>
      <c r="BB163" s="9">
        <f t="shared" si="53"/>
        <v>108.16188892396137</v>
      </c>
      <c r="BC163" s="10">
        <f t="shared" si="56"/>
        <v>43</v>
      </c>
      <c r="BD163" s="10">
        <f t="shared" si="54"/>
        <v>290</v>
      </c>
      <c r="BE163" s="4">
        <f t="shared" si="57"/>
        <v>45.077628793225124</v>
      </c>
      <c r="BF163" s="4">
        <f t="shared" si="58"/>
        <v>61.24338624338624</v>
      </c>
      <c r="BG163" s="7">
        <f t="shared" si="59"/>
        <v>59.431818181818187</v>
      </c>
      <c r="BH163" s="5">
        <v>146</v>
      </c>
      <c r="BI163" s="3">
        <v>42.168531468531491</v>
      </c>
      <c r="BJ163" s="3">
        <v>26.393006993007017</v>
      </c>
      <c r="BK163" s="3">
        <v>23.219580419580417</v>
      </c>
      <c r="BL163" s="3">
        <v>30.59370629370629</v>
      </c>
      <c r="BM163" s="3">
        <v>91.7811188811189</v>
      </c>
      <c r="BN163" s="18">
        <v>41</v>
      </c>
      <c r="BO163" s="18">
        <v>287</v>
      </c>
      <c r="BP163" s="4">
        <v>37.06293706293706</v>
      </c>
      <c r="BQ163" s="4">
        <v>66.43356643356644</v>
      </c>
      <c r="BR163" s="7">
        <v>79.020979020979027</v>
      </c>
      <c r="BS163" s="18"/>
      <c r="BT163" s="23">
        <v>128</v>
      </c>
    </row>
    <row r="164" spans="1:72" x14ac:dyDescent="0.25">
      <c r="A164" s="18">
        <v>159</v>
      </c>
      <c r="B164" s="18" t="s">
        <v>24</v>
      </c>
      <c r="C164" s="18">
        <v>130</v>
      </c>
      <c r="D164" s="21" t="s">
        <v>9</v>
      </c>
      <c r="E164" s="5"/>
      <c r="F164" s="3">
        <v>30</v>
      </c>
      <c r="G164" s="3">
        <v>28</v>
      </c>
      <c r="H164" s="3">
        <v>25</v>
      </c>
      <c r="I164" s="3">
        <f t="shared" si="46"/>
        <v>27.666666666666668</v>
      </c>
      <c r="J164" s="3">
        <f t="shared" si="47"/>
        <v>83</v>
      </c>
      <c r="K164" s="18">
        <f t="shared" si="55"/>
        <v>43</v>
      </c>
      <c r="L164" s="18">
        <f t="shared" si="45"/>
        <v>289</v>
      </c>
      <c r="M164" s="4"/>
      <c r="N164" s="4"/>
      <c r="O164" s="7"/>
      <c r="P164" s="5">
        <v>60</v>
      </c>
      <c r="Q164" s="3">
        <v>45.44444444444445</v>
      </c>
      <c r="R164" s="3">
        <v>40.799999999999997</v>
      </c>
      <c r="S164" s="3">
        <v>44.222222222222221</v>
      </c>
      <c r="T164" s="3">
        <v>43.48888888888888</v>
      </c>
      <c r="U164" s="3">
        <v>130.46666666666667</v>
      </c>
      <c r="V164" s="18">
        <v>32</v>
      </c>
      <c r="W164" s="18">
        <v>233</v>
      </c>
      <c r="X164" s="4">
        <v>31.666666666666668</v>
      </c>
      <c r="Y164" s="4">
        <v>35</v>
      </c>
      <c r="Z164" s="7">
        <v>30</v>
      </c>
      <c r="AA164" s="5">
        <v>57</v>
      </c>
      <c r="AB164" s="3">
        <v>30.598555211558313</v>
      </c>
      <c r="AC164" s="3">
        <v>31.368421052631579</v>
      </c>
      <c r="AD164" s="3">
        <v>31.578947368421041</v>
      </c>
      <c r="AE164" s="3">
        <v>31.181974544203641</v>
      </c>
      <c r="AF164" s="3">
        <v>93.545923632610936</v>
      </c>
      <c r="AG164" s="18">
        <v>44</v>
      </c>
      <c r="AH164" s="18">
        <v>297</v>
      </c>
      <c r="AI164" s="4">
        <v>57.89473684210526</v>
      </c>
      <c r="AJ164" s="4">
        <v>52.631578947368418</v>
      </c>
      <c r="AK164" s="7">
        <v>50.877192982456137</v>
      </c>
      <c r="AL164" s="5">
        <v>55</v>
      </c>
      <c r="AM164" s="3">
        <v>39.518716577540097</v>
      </c>
      <c r="AN164" s="3">
        <v>18.598382749326145</v>
      </c>
      <c r="AO164" s="3">
        <v>37.540106951871664</v>
      </c>
      <c r="AP164" s="3">
        <v>32.177234530175703</v>
      </c>
      <c r="AQ164" s="3">
        <v>95.657206278737902</v>
      </c>
      <c r="AR164" s="18">
        <v>46</v>
      </c>
      <c r="AS164" s="18">
        <v>295</v>
      </c>
      <c r="AT164" s="4">
        <v>25.454545454545453</v>
      </c>
      <c r="AU164" s="4">
        <v>79.245283018867923</v>
      </c>
      <c r="AV164" s="7">
        <v>40</v>
      </c>
      <c r="AW164" s="10">
        <f t="shared" si="48"/>
        <v>57.333333333333336</v>
      </c>
      <c r="AX164" s="9">
        <f t="shared" si="49"/>
        <v>38.520572077847618</v>
      </c>
      <c r="AY164" s="9">
        <f t="shared" si="50"/>
        <v>30.255601267319239</v>
      </c>
      <c r="AZ164" s="9">
        <f t="shared" si="51"/>
        <v>37.780425514171647</v>
      </c>
      <c r="BA164" s="9">
        <f t="shared" si="52"/>
        <v>35.616032654422746</v>
      </c>
      <c r="BB164" s="9">
        <f t="shared" si="53"/>
        <v>106.55659885933851</v>
      </c>
      <c r="BC164" s="10">
        <f t="shared" si="56"/>
        <v>44</v>
      </c>
      <c r="BD164" s="10">
        <f t="shared" si="54"/>
        <v>291</v>
      </c>
      <c r="BE164" s="4">
        <f t="shared" si="57"/>
        <v>41.674641148325357</v>
      </c>
      <c r="BF164" s="4">
        <f t="shared" si="58"/>
        <v>65.938430983118167</v>
      </c>
      <c r="BG164" s="7">
        <f t="shared" si="59"/>
        <v>45.438596491228068</v>
      </c>
      <c r="BH164" s="5">
        <v>59</v>
      </c>
      <c r="BI164" s="3">
        <v>35.771186440677965</v>
      </c>
      <c r="BJ164" s="3">
        <v>19.115254237288131</v>
      </c>
      <c r="BK164" s="3">
        <v>19.633898305084749</v>
      </c>
      <c r="BL164" s="3">
        <v>24.840112994350289</v>
      </c>
      <c r="BM164" s="3">
        <v>74.520338983050834</v>
      </c>
      <c r="BN164" s="18">
        <v>46</v>
      </c>
      <c r="BO164" s="18">
        <v>306</v>
      </c>
      <c r="BP164" s="4">
        <v>44.067796610169495</v>
      </c>
      <c r="BQ164" s="4">
        <v>84.745762711864401</v>
      </c>
      <c r="BR164" s="7">
        <v>84.745762711864401</v>
      </c>
      <c r="BS164" s="18"/>
      <c r="BT164" s="23">
        <v>130</v>
      </c>
    </row>
    <row r="165" spans="1:72" x14ac:dyDescent="0.25">
      <c r="A165" s="1">
        <v>160</v>
      </c>
      <c r="B165" s="18" t="s">
        <v>24</v>
      </c>
      <c r="C165" s="18">
        <v>137</v>
      </c>
      <c r="D165" s="21" t="s">
        <v>9</v>
      </c>
      <c r="E165" s="5"/>
      <c r="F165" s="3">
        <v>46.766666666666666</v>
      </c>
      <c r="G165" s="3">
        <v>55.6</v>
      </c>
      <c r="H165" s="3">
        <v>42.666666666666664</v>
      </c>
      <c r="I165" s="3">
        <f t="shared" si="46"/>
        <v>48.344444444444441</v>
      </c>
      <c r="J165" s="3">
        <f t="shared" si="47"/>
        <v>145.03333333333333</v>
      </c>
      <c r="K165" s="18">
        <f t="shared" si="55"/>
        <v>14</v>
      </c>
      <c r="L165" s="18">
        <f t="shared" si="45"/>
        <v>104</v>
      </c>
      <c r="M165" s="4"/>
      <c r="N165" s="4"/>
      <c r="O165" s="7"/>
      <c r="P165" s="5">
        <v>141</v>
      </c>
      <c r="Q165" s="3">
        <v>44.32624113475174</v>
      </c>
      <c r="R165" s="3">
        <v>40.907801418439718</v>
      </c>
      <c r="S165" s="3">
        <v>48.085106382978708</v>
      </c>
      <c r="T165" s="3">
        <v>44.439716312056731</v>
      </c>
      <c r="U165" s="3">
        <v>133.31914893617017</v>
      </c>
      <c r="V165" s="18">
        <v>27</v>
      </c>
      <c r="W165" s="18">
        <v>219</v>
      </c>
      <c r="X165" s="4">
        <v>21.98581560283688</v>
      </c>
      <c r="Y165" s="4">
        <v>24.113475177304963</v>
      </c>
      <c r="Z165" s="7">
        <v>21.276595744680851</v>
      </c>
      <c r="AA165" s="5">
        <v>137</v>
      </c>
      <c r="AB165" s="3">
        <v>29.132674967797339</v>
      </c>
      <c r="AC165" s="3">
        <v>41.956204379562045</v>
      </c>
      <c r="AD165" s="3">
        <v>37.469586374695844</v>
      </c>
      <c r="AE165" s="3">
        <v>36.186155240685075</v>
      </c>
      <c r="AF165" s="3">
        <v>108.55846572205522</v>
      </c>
      <c r="AG165" s="18">
        <v>32</v>
      </c>
      <c r="AH165" s="18">
        <v>256</v>
      </c>
      <c r="AI165" s="4">
        <v>60.583941605839414</v>
      </c>
      <c r="AJ165" s="4">
        <v>37.226277372262771</v>
      </c>
      <c r="AK165" s="7">
        <v>50.364963503649633</v>
      </c>
      <c r="AL165" s="5">
        <v>138</v>
      </c>
      <c r="AM165" s="3">
        <v>44.181585677749368</v>
      </c>
      <c r="AN165" s="3">
        <v>36.871741397288837</v>
      </c>
      <c r="AO165" s="3">
        <v>39.236999147485101</v>
      </c>
      <c r="AP165" s="3">
        <v>40.188872650509481</v>
      </c>
      <c r="AQ165" s="3">
        <v>120.2903262225233</v>
      </c>
      <c r="AR165" s="18">
        <v>34</v>
      </c>
      <c r="AS165" s="18">
        <v>261</v>
      </c>
      <c r="AT165" s="4">
        <v>35.507246376811594</v>
      </c>
      <c r="AU165" s="4">
        <v>48.175182481751825</v>
      </c>
      <c r="AV165" s="7">
        <v>52.173913043478258</v>
      </c>
      <c r="AW165" s="10">
        <f t="shared" si="48"/>
        <v>138.66666666666666</v>
      </c>
      <c r="AX165" s="9">
        <f t="shared" si="49"/>
        <v>39.213500593432819</v>
      </c>
      <c r="AY165" s="9">
        <f t="shared" si="50"/>
        <v>39.911915731763536</v>
      </c>
      <c r="AZ165" s="9">
        <f t="shared" si="51"/>
        <v>41.597230635053222</v>
      </c>
      <c r="BA165" s="9">
        <f t="shared" si="52"/>
        <v>40.271581401083765</v>
      </c>
      <c r="BB165" s="9">
        <f t="shared" si="53"/>
        <v>120.72264696024956</v>
      </c>
      <c r="BC165" s="10">
        <f t="shared" si="56"/>
        <v>33</v>
      </c>
      <c r="BD165" s="10">
        <f t="shared" si="54"/>
        <v>260</v>
      </c>
      <c r="BE165" s="4">
        <f t="shared" si="57"/>
        <v>48.045593991325504</v>
      </c>
      <c r="BF165" s="4">
        <f t="shared" si="58"/>
        <v>42.700729927007302</v>
      </c>
      <c r="BG165" s="7">
        <f t="shared" si="59"/>
        <v>51.269438273563949</v>
      </c>
      <c r="BH165" s="5">
        <v>143</v>
      </c>
      <c r="BI165" s="3">
        <v>41.843356643356643</v>
      </c>
      <c r="BJ165" s="3">
        <v>28.646853146853161</v>
      </c>
      <c r="BK165" s="3">
        <v>27.535664335664322</v>
      </c>
      <c r="BL165" s="3">
        <v>32.675291375291387</v>
      </c>
      <c r="BM165" s="3">
        <v>98.025874125874154</v>
      </c>
      <c r="BN165" s="18">
        <v>36</v>
      </c>
      <c r="BO165" s="18">
        <v>272</v>
      </c>
      <c r="BP165" s="4">
        <v>38.46153846153846</v>
      </c>
      <c r="BQ165" s="4">
        <v>63.636363636363633</v>
      </c>
      <c r="BR165" s="7">
        <v>66.43356643356644</v>
      </c>
      <c r="BS165" s="18"/>
      <c r="BT165" s="23">
        <v>137</v>
      </c>
    </row>
    <row r="166" spans="1:72" x14ac:dyDescent="0.25">
      <c r="A166" s="18">
        <v>161</v>
      </c>
      <c r="B166" s="18" t="s">
        <v>24</v>
      </c>
      <c r="C166" s="18">
        <v>142</v>
      </c>
      <c r="D166" s="21" t="s">
        <v>9</v>
      </c>
      <c r="E166" s="5"/>
      <c r="F166" s="3">
        <v>48.333333333333336</v>
      </c>
      <c r="G166" s="3">
        <v>49.2</v>
      </c>
      <c r="H166" s="3">
        <v>40</v>
      </c>
      <c r="I166" s="3">
        <f t="shared" si="46"/>
        <v>45.844444444444441</v>
      </c>
      <c r="J166" s="3">
        <f t="shared" si="47"/>
        <v>137.53333333333333</v>
      </c>
      <c r="K166" s="18">
        <f t="shared" si="55"/>
        <v>15</v>
      </c>
      <c r="L166" s="18">
        <f t="shared" si="45"/>
        <v>129</v>
      </c>
      <c r="M166" s="4"/>
      <c r="N166" s="4"/>
      <c r="O166" s="7"/>
      <c r="P166" s="5">
        <v>111</v>
      </c>
      <c r="Q166" s="3">
        <v>50.240240240240233</v>
      </c>
      <c r="R166" s="3">
        <v>58.054054054054056</v>
      </c>
      <c r="S166" s="3">
        <v>62.972972972972997</v>
      </c>
      <c r="T166" s="3">
        <v>57.089089089089114</v>
      </c>
      <c r="U166" s="3">
        <v>171.2672672672673</v>
      </c>
      <c r="V166" s="18">
        <v>7</v>
      </c>
      <c r="W166" s="18">
        <v>80</v>
      </c>
      <c r="X166" s="4">
        <v>7.2072072072072073</v>
      </c>
      <c r="Y166" s="4">
        <v>1.8018018018018018</v>
      </c>
      <c r="Z166" s="7">
        <v>3.6036036036036037</v>
      </c>
      <c r="AA166" s="5">
        <v>112</v>
      </c>
      <c r="AB166" s="3">
        <v>52.704831932773104</v>
      </c>
      <c r="AC166" s="3">
        <v>63.535714285714285</v>
      </c>
      <c r="AD166" s="3">
        <v>54.410173160173123</v>
      </c>
      <c r="AE166" s="3">
        <v>56.883573126220213</v>
      </c>
      <c r="AF166" s="3">
        <v>170.65071937866051</v>
      </c>
      <c r="AG166" s="18">
        <v>1</v>
      </c>
      <c r="AH166" s="18">
        <v>41</v>
      </c>
      <c r="AI166" s="4">
        <v>7.1428571428571432</v>
      </c>
      <c r="AJ166" s="4">
        <v>1.7857142857142858</v>
      </c>
      <c r="AK166" s="7">
        <v>13.513513513513514</v>
      </c>
      <c r="AL166" s="5">
        <v>114</v>
      </c>
      <c r="AM166" s="3">
        <v>47.47162022703818</v>
      </c>
      <c r="AN166" s="3">
        <v>48.120300751879711</v>
      </c>
      <c r="AO166" s="3">
        <v>43.498452012383922</v>
      </c>
      <c r="AP166" s="3">
        <v>46.363457663767285</v>
      </c>
      <c r="AQ166" s="3">
        <v>139.09037299130182</v>
      </c>
      <c r="AR166" s="18">
        <v>17</v>
      </c>
      <c r="AS166" s="18">
        <v>192</v>
      </c>
      <c r="AT166" s="4">
        <v>18.421052631578949</v>
      </c>
      <c r="AU166" s="4">
        <v>2.6315789473684212</v>
      </c>
      <c r="AV166" s="7">
        <v>38.596491228070178</v>
      </c>
      <c r="AW166" s="10">
        <f t="shared" si="48"/>
        <v>112.33333333333333</v>
      </c>
      <c r="AX166" s="9">
        <f t="shared" si="49"/>
        <v>50.138897466683837</v>
      </c>
      <c r="AY166" s="9">
        <f t="shared" si="50"/>
        <v>56.570023030549351</v>
      </c>
      <c r="AZ166" s="9">
        <f t="shared" si="51"/>
        <v>53.627199381843347</v>
      </c>
      <c r="BA166" s="9">
        <f t="shared" si="52"/>
        <v>53.44537329302554</v>
      </c>
      <c r="BB166" s="9">
        <f t="shared" si="53"/>
        <v>160.33611987907656</v>
      </c>
      <c r="BC166" s="10">
        <f t="shared" si="56"/>
        <v>7</v>
      </c>
      <c r="BD166" s="10">
        <f t="shared" si="54"/>
        <v>85</v>
      </c>
      <c r="BE166" s="4">
        <f t="shared" si="57"/>
        <v>12.781954887218046</v>
      </c>
      <c r="BF166" s="4">
        <f t="shared" si="58"/>
        <v>2.2086466165413534</v>
      </c>
      <c r="BG166" s="7">
        <f t="shared" si="59"/>
        <v>26.055002370791847</v>
      </c>
      <c r="BH166" s="5">
        <v>113</v>
      </c>
      <c r="BI166" s="3">
        <v>34.34454545454544</v>
      </c>
      <c r="BJ166" s="3">
        <v>18.020000000000003</v>
      </c>
      <c r="BK166" s="3">
        <v>20.689999999999998</v>
      </c>
      <c r="BL166" s="3">
        <v>24.351515151515152</v>
      </c>
      <c r="BM166" s="3">
        <v>73.054545454545448</v>
      </c>
      <c r="BN166" s="18">
        <v>47</v>
      </c>
      <c r="BO166" s="18">
        <v>308</v>
      </c>
      <c r="BP166" s="4">
        <v>48.18181818181818</v>
      </c>
      <c r="BQ166" s="4">
        <v>82.727272727272734</v>
      </c>
      <c r="BR166" s="7">
        <v>81.818181818181813</v>
      </c>
      <c r="BS166" s="18"/>
      <c r="BT166" s="23">
        <v>142</v>
      </c>
    </row>
    <row r="167" spans="1:72" x14ac:dyDescent="0.25">
      <c r="A167" s="18">
        <v>162</v>
      </c>
      <c r="B167" s="18" t="s">
        <v>24</v>
      </c>
      <c r="C167" s="18">
        <v>148</v>
      </c>
      <c r="D167" s="21" t="s">
        <v>9</v>
      </c>
      <c r="E167" s="5"/>
      <c r="F167" s="3">
        <v>50</v>
      </c>
      <c r="G167" s="3">
        <v>42.8</v>
      </c>
      <c r="H167" s="3">
        <v>30.666666666666664</v>
      </c>
      <c r="I167" s="3">
        <f t="shared" si="46"/>
        <v>41.155555555555559</v>
      </c>
      <c r="J167" s="3">
        <f t="shared" si="47"/>
        <v>123.46666666666667</v>
      </c>
      <c r="K167" s="18">
        <f t="shared" si="55"/>
        <v>20</v>
      </c>
      <c r="L167" s="18">
        <f t="shared" si="45"/>
        <v>176</v>
      </c>
      <c r="M167" s="4"/>
      <c r="N167" s="4"/>
      <c r="O167" s="7"/>
      <c r="P167" s="5">
        <v>75</v>
      </c>
      <c r="Q167" s="3">
        <v>55.244444444444454</v>
      </c>
      <c r="R167" s="3">
        <v>46.864864864864863</v>
      </c>
      <c r="S167" s="3">
        <v>47.51111111111112</v>
      </c>
      <c r="T167" s="3">
        <v>49.886904761904752</v>
      </c>
      <c r="U167" s="3">
        <v>149.62042042042043</v>
      </c>
      <c r="V167" s="18">
        <v>14</v>
      </c>
      <c r="W167" s="18">
        <v>146</v>
      </c>
      <c r="X167" s="4">
        <v>10.666666666666666</v>
      </c>
      <c r="Y167" s="4">
        <v>21.621621621621621</v>
      </c>
      <c r="Z167" s="7">
        <v>29.333333333333332</v>
      </c>
      <c r="AA167" s="5">
        <v>85</v>
      </c>
      <c r="AB167" s="3">
        <v>36.888731396172929</v>
      </c>
      <c r="AC167" s="3">
        <v>34.506024096385545</v>
      </c>
      <c r="AD167" s="3">
        <v>46.951442132165035</v>
      </c>
      <c r="AE167" s="3">
        <v>39.448732541574522</v>
      </c>
      <c r="AF167" s="3">
        <v>118.34619762472352</v>
      </c>
      <c r="AG167" s="18">
        <v>22</v>
      </c>
      <c r="AH167" s="18">
        <v>221</v>
      </c>
      <c r="AI167" s="4">
        <v>32.53012048192771</v>
      </c>
      <c r="AJ167" s="4">
        <v>46.987951807228917</v>
      </c>
      <c r="AK167" s="7">
        <v>32.926829268292686</v>
      </c>
      <c r="AL167" s="5">
        <v>85</v>
      </c>
      <c r="AM167" s="3">
        <v>62.028657616892907</v>
      </c>
      <c r="AN167" s="3">
        <v>38.264014466546122</v>
      </c>
      <c r="AO167" s="3">
        <v>38.763197586726996</v>
      </c>
      <c r="AP167" s="3">
        <v>46.023118108002691</v>
      </c>
      <c r="AQ167" s="3">
        <v>139.05586967016603</v>
      </c>
      <c r="AR167" s="18">
        <v>18</v>
      </c>
      <c r="AS167" s="18">
        <v>193</v>
      </c>
      <c r="AT167" s="4">
        <v>6.4102564102564106</v>
      </c>
      <c r="AU167" s="4">
        <v>39.240506329113927</v>
      </c>
      <c r="AV167" s="7">
        <v>39.743589743589745</v>
      </c>
      <c r="AW167" s="10">
        <f t="shared" si="48"/>
        <v>81.666666666666671</v>
      </c>
      <c r="AX167" s="9">
        <f t="shared" si="49"/>
        <v>51.387277819170095</v>
      </c>
      <c r="AY167" s="9">
        <f t="shared" si="50"/>
        <v>39.878301142598843</v>
      </c>
      <c r="AZ167" s="9">
        <f t="shared" si="51"/>
        <v>44.408583610001045</v>
      </c>
      <c r="BA167" s="9">
        <f t="shared" si="52"/>
        <v>45.119585137160662</v>
      </c>
      <c r="BB167" s="9">
        <f t="shared" si="53"/>
        <v>135.67416257176998</v>
      </c>
      <c r="BC167" s="10">
        <f t="shared" si="56"/>
        <v>15</v>
      </c>
      <c r="BD167" s="10">
        <f t="shared" si="54"/>
        <v>192</v>
      </c>
      <c r="BE167" s="4">
        <f t="shared" si="57"/>
        <v>19.47018844609206</v>
      </c>
      <c r="BF167" s="4">
        <f t="shared" si="58"/>
        <v>43.114229068171426</v>
      </c>
      <c r="BG167" s="7">
        <f t="shared" si="59"/>
        <v>36.335209505941215</v>
      </c>
      <c r="BH167" s="5">
        <v>84</v>
      </c>
      <c r="BI167" s="3">
        <v>54.095180722891563</v>
      </c>
      <c r="BJ167" s="3">
        <v>32.866265060240963</v>
      </c>
      <c r="BK167" s="3">
        <v>31.848192771084321</v>
      </c>
      <c r="BL167" s="3">
        <v>39.60321285140563</v>
      </c>
      <c r="BM167" s="3">
        <v>118.80963855421686</v>
      </c>
      <c r="BN167" s="18">
        <v>10</v>
      </c>
      <c r="BO167" s="18">
        <v>176</v>
      </c>
      <c r="BP167" s="4">
        <v>19.277108433734941</v>
      </c>
      <c r="BQ167" s="4">
        <v>55.421686746987952</v>
      </c>
      <c r="BR167" s="7">
        <v>55.421686746987952</v>
      </c>
      <c r="BS167" s="18"/>
      <c r="BT167" s="23">
        <v>148</v>
      </c>
    </row>
    <row r="168" spans="1:72" x14ac:dyDescent="0.25">
      <c r="A168" s="18">
        <v>163</v>
      </c>
      <c r="B168" s="18" t="s">
        <v>24</v>
      </c>
      <c r="C168" s="18">
        <v>155</v>
      </c>
      <c r="D168" s="21" t="s">
        <v>9</v>
      </c>
      <c r="E168" s="5"/>
      <c r="F168" s="3">
        <v>38</v>
      </c>
      <c r="G168" s="3">
        <v>29.2</v>
      </c>
      <c r="H168" s="3">
        <v>21.666666666666668</v>
      </c>
      <c r="I168" s="3">
        <f t="shared" si="46"/>
        <v>29.622222222222224</v>
      </c>
      <c r="J168" s="3">
        <f t="shared" si="47"/>
        <v>88.866666666666674</v>
      </c>
      <c r="K168" s="18">
        <f t="shared" si="55"/>
        <v>41</v>
      </c>
      <c r="L168" s="18">
        <f t="shared" si="45"/>
        <v>283</v>
      </c>
      <c r="M168" s="4"/>
      <c r="N168" s="4"/>
      <c r="O168" s="7"/>
      <c r="P168" s="5">
        <v>68</v>
      </c>
      <c r="Q168" s="3">
        <v>42.303921568627459</v>
      </c>
      <c r="R168" s="3">
        <v>33.941176470588232</v>
      </c>
      <c r="S168" s="3">
        <v>36.029411764705884</v>
      </c>
      <c r="T168" s="3">
        <v>37.424836601307199</v>
      </c>
      <c r="U168" s="3">
        <v>112.27450980392157</v>
      </c>
      <c r="V168" s="18">
        <v>44</v>
      </c>
      <c r="W168" s="18">
        <v>286</v>
      </c>
      <c r="X168" s="4">
        <v>38.235294117647058</v>
      </c>
      <c r="Y168" s="4">
        <v>55.882352941176471</v>
      </c>
      <c r="Z168" s="7">
        <v>57.352941176470587</v>
      </c>
      <c r="AA168" s="5">
        <v>77</v>
      </c>
      <c r="AB168" s="3">
        <v>28.109243697478991</v>
      </c>
      <c r="AC168" s="3">
        <v>29.771428571428572</v>
      </c>
      <c r="AD168" s="3">
        <v>32.575757575757564</v>
      </c>
      <c r="AE168" s="3">
        <v>30.079713097360159</v>
      </c>
      <c r="AF168" s="3">
        <v>90.456429844665124</v>
      </c>
      <c r="AG168" s="18">
        <v>47</v>
      </c>
      <c r="AH168" s="18">
        <v>300</v>
      </c>
      <c r="AI168" s="4">
        <v>60</v>
      </c>
      <c r="AJ168" s="4">
        <v>61.428571428571431</v>
      </c>
      <c r="AK168" s="7">
        <v>58.823529411764703</v>
      </c>
      <c r="AL168" s="5">
        <v>78</v>
      </c>
      <c r="AM168" s="3">
        <v>47.288602941176471</v>
      </c>
      <c r="AN168" s="3">
        <v>17.062500000000007</v>
      </c>
      <c r="AO168" s="3">
        <v>35.202205882352949</v>
      </c>
      <c r="AP168" s="3">
        <v>33.184436274509807</v>
      </c>
      <c r="AQ168" s="3">
        <v>99.55330882352942</v>
      </c>
      <c r="AR168" s="18">
        <v>45</v>
      </c>
      <c r="AS168" s="18">
        <v>294</v>
      </c>
      <c r="AT168" s="4">
        <v>32.8125</v>
      </c>
      <c r="AU168" s="4">
        <v>85.9375</v>
      </c>
      <c r="AV168" s="7">
        <v>60.9375</v>
      </c>
      <c r="AW168" s="10">
        <f t="shared" si="48"/>
        <v>74.333333333333329</v>
      </c>
      <c r="AX168" s="9">
        <f t="shared" si="49"/>
        <v>39.233922735760977</v>
      </c>
      <c r="AY168" s="9">
        <f t="shared" si="50"/>
        <v>26.925035014005601</v>
      </c>
      <c r="AZ168" s="9">
        <f t="shared" si="51"/>
        <v>34.602458407605468</v>
      </c>
      <c r="BA168" s="9">
        <f t="shared" si="52"/>
        <v>33.562995324392389</v>
      </c>
      <c r="BB168" s="9">
        <f t="shared" si="53"/>
        <v>100.76141615737204</v>
      </c>
      <c r="BC168" s="10">
        <f t="shared" si="56"/>
        <v>47</v>
      </c>
      <c r="BD168" s="10">
        <f t="shared" si="54"/>
        <v>298</v>
      </c>
      <c r="BE168" s="4">
        <f t="shared" si="57"/>
        <v>46.40625</v>
      </c>
      <c r="BF168" s="4">
        <f t="shared" si="58"/>
        <v>73.683035714285722</v>
      </c>
      <c r="BG168" s="7">
        <f t="shared" si="59"/>
        <v>59.880514705882348</v>
      </c>
      <c r="BH168" s="5">
        <v>75</v>
      </c>
      <c r="BI168" s="3">
        <v>44.680000000000007</v>
      </c>
      <c r="BJ168" s="3">
        <v>30.198666666666668</v>
      </c>
      <c r="BK168" s="3">
        <v>28.781333333333325</v>
      </c>
      <c r="BL168" s="3">
        <v>34.553333333333342</v>
      </c>
      <c r="BM168" s="3">
        <v>103.66000000000001</v>
      </c>
      <c r="BN168" s="18">
        <v>31</v>
      </c>
      <c r="BO168" s="18">
        <v>257</v>
      </c>
      <c r="BP168" s="4">
        <v>33.333333333333336</v>
      </c>
      <c r="BQ168" s="4">
        <v>60</v>
      </c>
      <c r="BR168" s="7">
        <v>66.666666666666671</v>
      </c>
      <c r="BS168" s="18"/>
      <c r="BT168" s="23">
        <v>155</v>
      </c>
    </row>
    <row r="169" spans="1:72" x14ac:dyDescent="0.25">
      <c r="A169" s="18">
        <v>164</v>
      </c>
      <c r="B169" s="18" t="s">
        <v>24</v>
      </c>
      <c r="C169" s="18">
        <v>169</v>
      </c>
      <c r="D169" s="21" t="s">
        <v>9</v>
      </c>
      <c r="E169" s="5"/>
      <c r="F169" s="3">
        <v>62.666666666666664</v>
      </c>
      <c r="G169" s="3">
        <v>64.8</v>
      </c>
      <c r="H169" s="3">
        <v>61</v>
      </c>
      <c r="I169" s="3">
        <f t="shared" si="46"/>
        <v>62.822222222222223</v>
      </c>
      <c r="J169" s="3">
        <f t="shared" si="47"/>
        <v>188.46666666666667</v>
      </c>
      <c r="K169" s="18">
        <f t="shared" si="55"/>
        <v>1</v>
      </c>
      <c r="L169" s="18">
        <f t="shared" si="45"/>
        <v>13</v>
      </c>
      <c r="M169" s="4"/>
      <c r="N169" s="4"/>
      <c r="O169" s="7"/>
      <c r="P169" s="5">
        <v>129</v>
      </c>
      <c r="Q169" s="3">
        <v>65.322997416020698</v>
      </c>
      <c r="R169" s="3">
        <v>55.224806201550386</v>
      </c>
      <c r="S169" s="3">
        <v>64.237726098191189</v>
      </c>
      <c r="T169" s="3">
        <v>61.59517657192071</v>
      </c>
      <c r="U169" s="3">
        <v>184.78552971576227</v>
      </c>
      <c r="V169" s="18">
        <v>3</v>
      </c>
      <c r="W169" s="18">
        <v>49</v>
      </c>
      <c r="X169" s="4">
        <v>6.2015503875968996</v>
      </c>
      <c r="Y169" s="4">
        <v>12.403100775193799</v>
      </c>
      <c r="Z169" s="7">
        <v>13.178294573643411</v>
      </c>
      <c r="AA169" s="5">
        <v>135</v>
      </c>
      <c r="AB169" s="3">
        <v>51.079963235294123</v>
      </c>
      <c r="AC169" s="3">
        <v>46.4375</v>
      </c>
      <c r="AD169" s="3">
        <v>60.293410293410375</v>
      </c>
      <c r="AE169" s="3">
        <v>52.547715203505632</v>
      </c>
      <c r="AF169" s="3">
        <v>157.81087352870449</v>
      </c>
      <c r="AG169" s="18">
        <v>4</v>
      </c>
      <c r="AH169" s="18">
        <v>70</v>
      </c>
      <c r="AI169" s="4">
        <v>12.598425196850394</v>
      </c>
      <c r="AJ169" s="4">
        <v>27.34375</v>
      </c>
      <c r="AK169" s="7">
        <v>13.492063492063492</v>
      </c>
      <c r="AL169" s="5">
        <v>135</v>
      </c>
      <c r="AM169" s="3">
        <v>58.725490196078503</v>
      </c>
      <c r="AN169" s="3">
        <v>30.023809523809518</v>
      </c>
      <c r="AO169" s="3">
        <v>64.093137254901976</v>
      </c>
      <c r="AP169" s="3">
        <v>50.947478991596661</v>
      </c>
      <c r="AQ169" s="3">
        <v>152.84243697479002</v>
      </c>
      <c r="AR169" s="18">
        <v>10</v>
      </c>
      <c r="AS169" s="18">
        <v>132</v>
      </c>
      <c r="AT169" s="4">
        <v>5</v>
      </c>
      <c r="AU169" s="4">
        <v>52.5</v>
      </c>
      <c r="AV169" s="7">
        <v>10.833333333333334</v>
      </c>
      <c r="AW169" s="10">
        <f t="shared" si="48"/>
        <v>133</v>
      </c>
      <c r="AX169" s="9">
        <f t="shared" si="49"/>
        <v>58.376150282464444</v>
      </c>
      <c r="AY169" s="9">
        <f t="shared" si="50"/>
        <v>43.895371908453306</v>
      </c>
      <c r="AZ169" s="9">
        <f t="shared" si="51"/>
        <v>62.874757882167842</v>
      </c>
      <c r="BA169" s="9">
        <f t="shared" si="52"/>
        <v>55.030123589007665</v>
      </c>
      <c r="BB169" s="9">
        <f t="shared" si="53"/>
        <v>165.14628007308559</v>
      </c>
      <c r="BC169" s="10">
        <f t="shared" si="56"/>
        <v>5</v>
      </c>
      <c r="BD169" s="10">
        <f t="shared" si="54"/>
        <v>74</v>
      </c>
      <c r="BE169" s="4">
        <f t="shared" si="57"/>
        <v>8.7992125984251963</v>
      </c>
      <c r="BF169" s="4">
        <f t="shared" si="58"/>
        <v>39.921875</v>
      </c>
      <c r="BG169" s="7">
        <f t="shared" si="59"/>
        <v>12.162698412698413</v>
      </c>
      <c r="BH169" s="5">
        <v>136</v>
      </c>
      <c r="BI169" s="3">
        <v>55.027407407407402</v>
      </c>
      <c r="BJ169" s="3">
        <v>34.850370370370385</v>
      </c>
      <c r="BK169" s="3">
        <v>43.424444444444475</v>
      </c>
      <c r="BL169" s="3">
        <v>44.434074074074076</v>
      </c>
      <c r="BM169" s="3">
        <v>133.30222222222218</v>
      </c>
      <c r="BN169" s="18">
        <v>2</v>
      </c>
      <c r="BO169" s="18">
        <v>96</v>
      </c>
      <c r="BP169" s="4">
        <v>17.777777777777779</v>
      </c>
      <c r="BQ169" s="4">
        <v>55.555555555555557</v>
      </c>
      <c r="BR169" s="7">
        <v>37.037037037037038</v>
      </c>
      <c r="BS169" s="18"/>
      <c r="BT169" s="23">
        <v>169</v>
      </c>
    </row>
    <row r="170" spans="1:72" x14ac:dyDescent="0.25">
      <c r="A170" s="1">
        <v>165</v>
      </c>
      <c r="B170" s="18" t="s">
        <v>24</v>
      </c>
      <c r="C170" s="18">
        <v>170</v>
      </c>
      <c r="D170" s="21" t="s">
        <v>9</v>
      </c>
      <c r="E170" s="5"/>
      <c r="F170" s="3">
        <v>40.333333333333336</v>
      </c>
      <c r="G170" s="3">
        <v>36.4</v>
      </c>
      <c r="H170" s="3">
        <v>23.333333333333332</v>
      </c>
      <c r="I170" s="3">
        <f t="shared" si="46"/>
        <v>33.355555555555554</v>
      </c>
      <c r="J170" s="3">
        <f t="shared" si="47"/>
        <v>100.06666666666666</v>
      </c>
      <c r="K170" s="18">
        <f t="shared" si="55"/>
        <v>35</v>
      </c>
      <c r="L170" s="18">
        <f t="shared" si="45"/>
        <v>262</v>
      </c>
      <c r="M170" s="4"/>
      <c r="N170" s="4"/>
      <c r="O170" s="7"/>
      <c r="P170" s="5">
        <v>51</v>
      </c>
      <c r="Q170" s="3">
        <v>38.235294117647065</v>
      </c>
      <c r="R170" s="3">
        <v>39.529411764705884</v>
      </c>
      <c r="S170" s="3">
        <v>34.509803921568633</v>
      </c>
      <c r="T170" s="3">
        <v>37.424836601307199</v>
      </c>
      <c r="U170" s="3">
        <v>112.27450980392159</v>
      </c>
      <c r="V170" s="18">
        <v>43</v>
      </c>
      <c r="W170" s="18">
        <v>285</v>
      </c>
      <c r="X170" s="4">
        <v>35.294117647058826</v>
      </c>
      <c r="Y170" s="4">
        <v>35.294117647058826</v>
      </c>
      <c r="Z170" s="7">
        <v>54.901960784313722</v>
      </c>
      <c r="AA170" s="5">
        <v>53</v>
      </c>
      <c r="AB170" s="3">
        <v>30.498721227621484</v>
      </c>
      <c r="AC170" s="3">
        <v>29.130434782608695</v>
      </c>
      <c r="AD170" s="3">
        <v>31.818181818181817</v>
      </c>
      <c r="AE170" s="3">
        <v>30.482445942804006</v>
      </c>
      <c r="AF170" s="3">
        <v>91.447337828411989</v>
      </c>
      <c r="AG170" s="18">
        <v>45</v>
      </c>
      <c r="AH170" s="18">
        <v>298</v>
      </c>
      <c r="AI170" s="4">
        <v>63.043478260869563</v>
      </c>
      <c r="AJ170" s="4">
        <v>63.043478260869563</v>
      </c>
      <c r="AK170" s="7">
        <v>56.521739130434781</v>
      </c>
      <c r="AL170" s="5">
        <v>52</v>
      </c>
      <c r="AM170" s="3">
        <v>56.127450980392162</v>
      </c>
      <c r="AN170" s="3">
        <v>38.154761904761912</v>
      </c>
      <c r="AO170" s="3">
        <v>44.730392156862763</v>
      </c>
      <c r="AP170" s="3">
        <v>46.337535014005617</v>
      </c>
      <c r="AQ170" s="3">
        <v>139.01260504201684</v>
      </c>
      <c r="AR170" s="18">
        <v>19</v>
      </c>
      <c r="AS170" s="18">
        <v>194</v>
      </c>
      <c r="AT170" s="4">
        <v>8.3333333333333339</v>
      </c>
      <c r="AU170" s="4">
        <v>29.166666666666668</v>
      </c>
      <c r="AV170" s="7">
        <v>39.583333333333336</v>
      </c>
      <c r="AW170" s="10">
        <f t="shared" si="48"/>
        <v>52</v>
      </c>
      <c r="AX170" s="9">
        <f t="shared" si="49"/>
        <v>41.620488775220231</v>
      </c>
      <c r="AY170" s="9">
        <f t="shared" si="50"/>
        <v>35.604869484025492</v>
      </c>
      <c r="AZ170" s="9">
        <f t="shared" si="51"/>
        <v>37.01945929887107</v>
      </c>
      <c r="BA170" s="9">
        <f t="shared" si="52"/>
        <v>38.081605852705614</v>
      </c>
      <c r="BB170" s="9">
        <f t="shared" si="53"/>
        <v>114.24481755811682</v>
      </c>
      <c r="BC170" s="10">
        <f t="shared" si="56"/>
        <v>40</v>
      </c>
      <c r="BD170" s="10">
        <f t="shared" si="54"/>
        <v>282</v>
      </c>
      <c r="BE170" s="4">
        <f t="shared" si="57"/>
        <v>35.688405797101446</v>
      </c>
      <c r="BF170" s="4">
        <f t="shared" si="58"/>
        <v>46.105072463768117</v>
      </c>
      <c r="BG170" s="7">
        <f t="shared" si="59"/>
        <v>48.052536231884062</v>
      </c>
      <c r="BH170" s="5">
        <v>85</v>
      </c>
      <c r="BI170" s="3">
        <v>50.271428571428558</v>
      </c>
      <c r="BJ170" s="3">
        <v>33.985714285714288</v>
      </c>
      <c r="BK170" s="3">
        <v>30.8469387755102</v>
      </c>
      <c r="BL170" s="3">
        <v>38.368027210884364</v>
      </c>
      <c r="BM170" s="3">
        <v>115.10408163265306</v>
      </c>
      <c r="BN170" s="18">
        <v>17</v>
      </c>
      <c r="BO170" s="18">
        <v>198</v>
      </c>
      <c r="BP170" s="4">
        <v>18.367346938775512</v>
      </c>
      <c r="BQ170" s="4">
        <v>53.061224489795919</v>
      </c>
      <c r="BR170" s="7">
        <v>65.306122448979593</v>
      </c>
      <c r="BS170" s="18"/>
      <c r="BT170" s="23">
        <v>170</v>
      </c>
    </row>
    <row r="171" spans="1:72" x14ac:dyDescent="0.25">
      <c r="A171" s="18">
        <v>166</v>
      </c>
      <c r="B171" s="18" t="s">
        <v>24</v>
      </c>
      <c r="C171" s="18">
        <v>187</v>
      </c>
      <c r="D171" s="21" t="s">
        <v>9</v>
      </c>
      <c r="E171" s="5"/>
      <c r="F171" s="3">
        <v>36.666666666666664</v>
      </c>
      <c r="G171" s="3">
        <v>43.2</v>
      </c>
      <c r="H171" s="3">
        <v>28.999999999999996</v>
      </c>
      <c r="I171" s="3">
        <f t="shared" si="46"/>
        <v>36.288888888888891</v>
      </c>
      <c r="J171" s="3">
        <f t="shared" si="47"/>
        <v>108.86666666666667</v>
      </c>
      <c r="K171" s="18">
        <f t="shared" si="55"/>
        <v>24</v>
      </c>
      <c r="L171" s="18">
        <f t="shared" si="45"/>
        <v>233</v>
      </c>
      <c r="M171" s="4"/>
      <c r="N171" s="4"/>
      <c r="O171" s="7"/>
      <c r="P171" s="5">
        <v>185</v>
      </c>
      <c r="Q171" s="3">
        <v>48.684684684684683</v>
      </c>
      <c r="R171" s="3">
        <v>42.075675675675676</v>
      </c>
      <c r="S171" s="3">
        <v>49.513513513513523</v>
      </c>
      <c r="T171" s="3">
        <v>46.757957957957977</v>
      </c>
      <c r="U171" s="3">
        <v>140.27387387387387</v>
      </c>
      <c r="V171" s="18">
        <v>17</v>
      </c>
      <c r="W171" s="18">
        <v>182</v>
      </c>
      <c r="X171" s="4">
        <v>15.135135135135135</v>
      </c>
      <c r="Y171" s="4">
        <v>35.135135135135137</v>
      </c>
      <c r="Z171" s="7">
        <v>20.54054054054054</v>
      </c>
      <c r="AA171" s="5">
        <v>179</v>
      </c>
      <c r="AB171" s="3">
        <v>44.898329702251246</v>
      </c>
      <c r="AC171" s="3">
        <v>54.172839506172842</v>
      </c>
      <c r="AD171" s="3">
        <v>52.225963337074454</v>
      </c>
      <c r="AE171" s="3">
        <v>50.432377515166188</v>
      </c>
      <c r="AF171" s="3">
        <v>151.29713254549856</v>
      </c>
      <c r="AG171" s="18">
        <v>7</v>
      </c>
      <c r="AH171" s="18">
        <v>91</v>
      </c>
      <c r="AI171" s="4">
        <v>26.543209876543209</v>
      </c>
      <c r="AJ171" s="4">
        <v>11.111111111111111</v>
      </c>
      <c r="AK171" s="7">
        <v>16.666666666666668</v>
      </c>
      <c r="AL171" s="5">
        <v>206</v>
      </c>
      <c r="AM171" s="3">
        <v>95.408496732026151</v>
      </c>
      <c r="AN171" s="3">
        <v>40.750199521149241</v>
      </c>
      <c r="AO171" s="3">
        <v>97.30392156862743</v>
      </c>
      <c r="AP171" s="3">
        <v>77.865234982882086</v>
      </c>
      <c r="AQ171" s="3">
        <v>233.46261782180281</v>
      </c>
      <c r="AR171" s="18">
        <v>1</v>
      </c>
      <c r="AS171" s="18">
        <v>1</v>
      </c>
      <c r="AT171" s="4">
        <v>4.0816326530612246</v>
      </c>
      <c r="AU171" s="4">
        <v>33.519553072625698</v>
      </c>
      <c r="AV171" s="7">
        <v>16.25</v>
      </c>
      <c r="AW171" s="10">
        <f t="shared" si="48"/>
        <v>190</v>
      </c>
      <c r="AX171" s="9">
        <f t="shared" si="49"/>
        <v>62.997170372987362</v>
      </c>
      <c r="AY171" s="9">
        <f t="shared" si="50"/>
        <v>45.666238234332582</v>
      </c>
      <c r="AZ171" s="9">
        <f t="shared" si="51"/>
        <v>66.347799473071802</v>
      </c>
      <c r="BA171" s="9">
        <f t="shared" si="52"/>
        <v>58.35185681866875</v>
      </c>
      <c r="BB171" s="9">
        <f t="shared" si="53"/>
        <v>175.01120808039175</v>
      </c>
      <c r="BC171" s="10">
        <f t="shared" si="56"/>
        <v>1</v>
      </c>
      <c r="BD171" s="10">
        <f t="shared" si="54"/>
        <v>39</v>
      </c>
      <c r="BE171" s="4">
        <f t="shared" si="57"/>
        <v>15.312421264802216</v>
      </c>
      <c r="BF171" s="4">
        <f t="shared" si="58"/>
        <v>22.315332091868406</v>
      </c>
      <c r="BG171" s="7">
        <f t="shared" si="59"/>
        <v>16.458333333333336</v>
      </c>
      <c r="BH171" s="5">
        <v>206</v>
      </c>
      <c r="BI171" s="3">
        <v>44.795609756097562</v>
      </c>
      <c r="BJ171" s="3">
        <v>26.567804878048793</v>
      </c>
      <c r="BK171" s="3">
        <v>27.814634146341483</v>
      </c>
      <c r="BL171" s="3">
        <v>33.059349593495931</v>
      </c>
      <c r="BM171" s="3">
        <v>99.178048780487842</v>
      </c>
      <c r="BN171" s="18">
        <v>35</v>
      </c>
      <c r="BO171" s="18">
        <v>270</v>
      </c>
      <c r="BP171" s="4">
        <v>34.146341463414636</v>
      </c>
      <c r="BQ171" s="4">
        <v>64.878048780487802</v>
      </c>
      <c r="BR171" s="7">
        <v>67.804878048780495</v>
      </c>
      <c r="BS171" s="18"/>
      <c r="BT171" s="23">
        <v>187</v>
      </c>
    </row>
    <row r="172" spans="1:72" x14ac:dyDescent="0.25">
      <c r="A172" s="18">
        <v>167</v>
      </c>
      <c r="B172" s="18" t="s">
        <v>24</v>
      </c>
      <c r="C172" s="18">
        <v>188</v>
      </c>
      <c r="D172" s="21" t="s">
        <v>9</v>
      </c>
      <c r="E172" s="5"/>
      <c r="F172" s="3">
        <v>45.666666666666664</v>
      </c>
      <c r="G172" s="3">
        <v>33.200000000000003</v>
      </c>
      <c r="H172" s="3">
        <v>24</v>
      </c>
      <c r="I172" s="3">
        <f t="shared" si="46"/>
        <v>34.288888888888891</v>
      </c>
      <c r="J172" s="3">
        <f t="shared" si="47"/>
        <v>102.86666666666667</v>
      </c>
      <c r="K172" s="18">
        <f t="shared" si="55"/>
        <v>31</v>
      </c>
      <c r="L172" s="18">
        <f t="shared" si="45"/>
        <v>251</v>
      </c>
      <c r="M172" s="4"/>
      <c r="N172" s="4"/>
      <c r="O172" s="7"/>
      <c r="P172" s="5">
        <v>97</v>
      </c>
      <c r="Q172" s="3">
        <v>49.725085910652936</v>
      </c>
      <c r="R172" s="3">
        <v>52.333333333333336</v>
      </c>
      <c r="S172" s="3">
        <v>45.70446735395187</v>
      </c>
      <c r="T172" s="3">
        <v>49.243678160919515</v>
      </c>
      <c r="U172" s="3">
        <v>147.76288659793812</v>
      </c>
      <c r="V172" s="18">
        <v>16</v>
      </c>
      <c r="W172" s="18">
        <v>155</v>
      </c>
      <c r="X172" s="4">
        <v>24.742268041237114</v>
      </c>
      <c r="Y172" s="4">
        <v>25</v>
      </c>
      <c r="Z172" s="7">
        <v>50.515463917525771</v>
      </c>
      <c r="AA172" s="5">
        <v>102</v>
      </c>
      <c r="AB172" s="3">
        <v>40.259329538266925</v>
      </c>
      <c r="AC172" s="3">
        <v>46.537634408602152</v>
      </c>
      <c r="AD172" s="3">
        <v>40.632127728901878</v>
      </c>
      <c r="AE172" s="3">
        <v>42.476363891923647</v>
      </c>
      <c r="AF172" s="3">
        <v>127.42909167577096</v>
      </c>
      <c r="AG172" s="18">
        <v>13</v>
      </c>
      <c r="AH172" s="18">
        <v>187</v>
      </c>
      <c r="AI172" s="4">
        <v>50.537634408602152</v>
      </c>
      <c r="AJ172" s="4">
        <v>36.55913978494624</v>
      </c>
      <c r="AK172" s="7">
        <v>47.311827956989248</v>
      </c>
      <c r="AL172" s="5">
        <v>102</v>
      </c>
      <c r="AM172" s="3">
        <v>55.695187165775451</v>
      </c>
      <c r="AN172" s="3">
        <v>34.577922077922082</v>
      </c>
      <c r="AO172" s="3">
        <v>44.929006085192725</v>
      </c>
      <c r="AP172" s="3">
        <v>44.957983193277329</v>
      </c>
      <c r="AQ172" s="3">
        <v>135.20211532889027</v>
      </c>
      <c r="AR172" s="18">
        <v>21</v>
      </c>
      <c r="AS172" s="18">
        <v>211</v>
      </c>
      <c r="AT172" s="4">
        <v>23.863636363636363</v>
      </c>
      <c r="AU172" s="4">
        <v>61.363636363636367</v>
      </c>
      <c r="AV172" s="7">
        <v>47.126436781609193</v>
      </c>
      <c r="AW172" s="10">
        <f t="shared" si="48"/>
        <v>100.33333333333333</v>
      </c>
      <c r="AX172" s="9">
        <f t="shared" si="49"/>
        <v>48.559867538231771</v>
      </c>
      <c r="AY172" s="9">
        <f t="shared" si="50"/>
        <v>44.482963273285861</v>
      </c>
      <c r="AZ172" s="9">
        <f t="shared" si="51"/>
        <v>43.755200389348829</v>
      </c>
      <c r="BA172" s="9">
        <f t="shared" si="52"/>
        <v>45.559341748706828</v>
      </c>
      <c r="BB172" s="9">
        <f t="shared" si="53"/>
        <v>136.79803120086646</v>
      </c>
      <c r="BC172" s="10">
        <f t="shared" si="56"/>
        <v>14</v>
      </c>
      <c r="BD172" s="10">
        <f t="shared" si="54"/>
        <v>185</v>
      </c>
      <c r="BE172" s="4">
        <f t="shared" si="57"/>
        <v>37.200635386119259</v>
      </c>
      <c r="BF172" s="4">
        <f t="shared" si="58"/>
        <v>48.961388074291307</v>
      </c>
      <c r="BG172" s="7">
        <f t="shared" si="59"/>
        <v>47.219132369299217</v>
      </c>
      <c r="BH172" s="5">
        <v>101</v>
      </c>
      <c r="BI172" s="3">
        <v>50.927000000000035</v>
      </c>
      <c r="BJ172" s="3">
        <v>37.326000000000001</v>
      </c>
      <c r="BK172" s="3">
        <v>33.029000000000003</v>
      </c>
      <c r="BL172" s="3">
        <v>40.427333333333351</v>
      </c>
      <c r="BM172" s="3">
        <v>121.28200000000001</v>
      </c>
      <c r="BN172" s="18">
        <v>7</v>
      </c>
      <c r="BO172" s="18">
        <v>160</v>
      </c>
      <c r="BP172" s="4">
        <v>23</v>
      </c>
      <c r="BQ172" s="4">
        <v>58</v>
      </c>
      <c r="BR172" s="7">
        <v>60</v>
      </c>
      <c r="BS172" s="18"/>
      <c r="BT172" s="23">
        <v>188</v>
      </c>
    </row>
    <row r="173" spans="1:72" x14ac:dyDescent="0.25">
      <c r="A173" s="18">
        <v>168</v>
      </c>
      <c r="B173" s="18" t="s">
        <v>24</v>
      </c>
      <c r="C173" s="18">
        <v>192</v>
      </c>
      <c r="D173" s="21" t="s">
        <v>9</v>
      </c>
      <c r="E173" s="5"/>
      <c r="F173" s="3">
        <v>35.666666666666664</v>
      </c>
      <c r="G173" s="3">
        <v>42</v>
      </c>
      <c r="H173" s="3">
        <v>27.666666666666671</v>
      </c>
      <c r="I173" s="3">
        <f t="shared" si="46"/>
        <v>35.111111111111107</v>
      </c>
      <c r="J173" s="3">
        <f t="shared" si="47"/>
        <v>105.33333333333333</v>
      </c>
      <c r="K173" s="18">
        <f t="shared" si="55"/>
        <v>28</v>
      </c>
      <c r="L173" s="18">
        <f t="shared" si="45"/>
        <v>243</v>
      </c>
      <c r="M173" s="4"/>
      <c r="N173" s="4"/>
      <c r="O173" s="7"/>
      <c r="P173" s="5">
        <v>187</v>
      </c>
      <c r="Q173" s="3">
        <v>50.855614973262064</v>
      </c>
      <c r="R173" s="3">
        <v>49.112299465240639</v>
      </c>
      <c r="S173" s="3">
        <v>53.333333333333364</v>
      </c>
      <c r="T173" s="3">
        <v>51.100415923945341</v>
      </c>
      <c r="U173" s="3">
        <v>153.30124777183607</v>
      </c>
      <c r="V173" s="18">
        <v>11</v>
      </c>
      <c r="W173" s="18">
        <v>129</v>
      </c>
      <c r="X173" s="4">
        <v>16.577540106951872</v>
      </c>
      <c r="Y173" s="4">
        <v>15.508021390374331</v>
      </c>
      <c r="Z173" s="7">
        <v>17.112299465240643</v>
      </c>
      <c r="AA173" s="5">
        <v>191</v>
      </c>
      <c r="AB173" s="3">
        <v>37.640258415504924</v>
      </c>
      <c r="AC173" s="3">
        <v>43.279069767441861</v>
      </c>
      <c r="AD173" s="3">
        <v>44.556025369978848</v>
      </c>
      <c r="AE173" s="3">
        <v>41.791886907153859</v>
      </c>
      <c r="AF173" s="3">
        <v>125.47535355292564</v>
      </c>
      <c r="AG173" s="18">
        <v>16</v>
      </c>
      <c r="AH173" s="18">
        <v>192</v>
      </c>
      <c r="AI173" s="4">
        <v>35.838150289017342</v>
      </c>
      <c r="AJ173" s="4">
        <v>25</v>
      </c>
      <c r="AK173" s="7">
        <v>27.325581395348838</v>
      </c>
      <c r="AL173" s="5">
        <v>190</v>
      </c>
      <c r="AM173" s="3">
        <v>46.796218487394945</v>
      </c>
      <c r="AN173" s="3">
        <v>22.380952380952372</v>
      </c>
      <c r="AO173" s="3">
        <v>38.340336134453793</v>
      </c>
      <c r="AP173" s="3">
        <v>35.839169000933715</v>
      </c>
      <c r="AQ173" s="3">
        <v>107.51750700280111</v>
      </c>
      <c r="AR173" s="18">
        <v>40</v>
      </c>
      <c r="AS173" s="18">
        <v>287</v>
      </c>
      <c r="AT173" s="4">
        <v>25.595238095238095</v>
      </c>
      <c r="AU173" s="4">
        <v>71.428571428571431</v>
      </c>
      <c r="AV173" s="7">
        <v>39.88095238095238</v>
      </c>
      <c r="AW173" s="10">
        <f t="shared" si="48"/>
        <v>189.33333333333334</v>
      </c>
      <c r="AX173" s="9">
        <f t="shared" si="49"/>
        <v>45.097363958720649</v>
      </c>
      <c r="AY173" s="9">
        <f t="shared" si="50"/>
        <v>38.257440537878296</v>
      </c>
      <c r="AZ173" s="9">
        <f t="shared" si="51"/>
        <v>45.409898279255337</v>
      </c>
      <c r="BA173" s="9">
        <f t="shared" si="52"/>
        <v>42.910490610677641</v>
      </c>
      <c r="BB173" s="9">
        <f t="shared" si="53"/>
        <v>128.76470277585426</v>
      </c>
      <c r="BC173" s="10">
        <f t="shared" si="56"/>
        <v>22</v>
      </c>
      <c r="BD173" s="10">
        <f t="shared" si="54"/>
        <v>222</v>
      </c>
      <c r="BE173" s="4">
        <f t="shared" si="57"/>
        <v>30.716694192127719</v>
      </c>
      <c r="BF173" s="4">
        <f t="shared" si="58"/>
        <v>48.214285714285715</v>
      </c>
      <c r="BG173" s="7">
        <f t="shared" si="59"/>
        <v>33.603266888150607</v>
      </c>
      <c r="BH173" s="5">
        <v>188</v>
      </c>
      <c r="BI173" s="3">
        <v>49.49521276595744</v>
      </c>
      <c r="BJ173" s="3">
        <v>32.508510638297842</v>
      </c>
      <c r="BK173" s="3">
        <v>30.084574468085115</v>
      </c>
      <c r="BL173" s="3">
        <v>37.362765957446818</v>
      </c>
      <c r="BM173" s="3">
        <v>112.08829787234048</v>
      </c>
      <c r="BN173" s="18">
        <v>20</v>
      </c>
      <c r="BO173" s="18">
        <v>216</v>
      </c>
      <c r="BP173" s="4">
        <v>28.723404255319149</v>
      </c>
      <c r="BQ173" s="4">
        <v>58.51063829787234</v>
      </c>
      <c r="BR173" s="7">
        <v>63.829787234042556</v>
      </c>
      <c r="BS173" s="18"/>
      <c r="BT173" s="23">
        <v>192</v>
      </c>
    </row>
    <row r="174" spans="1:72" x14ac:dyDescent="0.25">
      <c r="A174" s="18">
        <v>169</v>
      </c>
      <c r="B174" s="18" t="s">
        <v>24</v>
      </c>
      <c r="C174" s="18">
        <v>198</v>
      </c>
      <c r="D174" s="21" t="s">
        <v>9</v>
      </c>
      <c r="E174" s="5"/>
      <c r="F174" s="3">
        <v>53.333333333333336</v>
      </c>
      <c r="G174" s="3">
        <v>54</v>
      </c>
      <c r="H174" s="3">
        <v>57.666666666666664</v>
      </c>
      <c r="I174" s="3">
        <f t="shared" si="46"/>
        <v>55</v>
      </c>
      <c r="J174" s="3">
        <f t="shared" si="47"/>
        <v>165</v>
      </c>
      <c r="K174" s="18">
        <f t="shared" si="55"/>
        <v>4</v>
      </c>
      <c r="L174" s="18">
        <f t="shared" si="45"/>
        <v>41</v>
      </c>
      <c r="M174" s="4"/>
      <c r="N174" s="4"/>
      <c r="O174" s="7"/>
      <c r="P174" s="5">
        <v>82</v>
      </c>
      <c r="Q174" s="3">
        <v>56.300813008130071</v>
      </c>
      <c r="R174" s="3">
        <v>54.341463414634148</v>
      </c>
      <c r="S174" s="3">
        <v>48.861788617886177</v>
      </c>
      <c r="T174" s="3">
        <v>53.168021680216789</v>
      </c>
      <c r="U174" s="3">
        <v>159.5040650406504</v>
      </c>
      <c r="V174" s="18">
        <v>9</v>
      </c>
      <c r="W174" s="18">
        <v>107</v>
      </c>
      <c r="X174" s="4">
        <v>8.536585365853659</v>
      </c>
      <c r="Y174" s="4">
        <v>9.7560975609756095</v>
      </c>
      <c r="Z174" s="7">
        <v>26.829268292682926</v>
      </c>
      <c r="AA174" s="5">
        <v>89</v>
      </c>
      <c r="AB174" s="3">
        <v>41.642754662840744</v>
      </c>
      <c r="AC174" s="3">
        <v>43.219512195121951</v>
      </c>
      <c r="AD174" s="3">
        <v>37.730968218773079</v>
      </c>
      <c r="AE174" s="3">
        <v>40.864411692245291</v>
      </c>
      <c r="AF174" s="3">
        <v>122.59323507673577</v>
      </c>
      <c r="AG174" s="18">
        <v>17</v>
      </c>
      <c r="AH174" s="18">
        <v>202</v>
      </c>
      <c r="AI174" s="4">
        <v>29.26829268292683</v>
      </c>
      <c r="AJ174" s="4">
        <v>26.829268292682926</v>
      </c>
      <c r="AK174" s="7">
        <v>43.902439024390247</v>
      </c>
      <c r="AL174" s="5">
        <v>88</v>
      </c>
      <c r="AM174" s="3">
        <v>63.216679076693957</v>
      </c>
      <c r="AN174" s="3">
        <v>41.012658227848107</v>
      </c>
      <c r="AO174" s="3">
        <v>50.781831720029778</v>
      </c>
      <c r="AP174" s="3">
        <v>51.670389674857276</v>
      </c>
      <c r="AQ174" s="3">
        <v>155.01116902457184</v>
      </c>
      <c r="AR174" s="18">
        <v>9</v>
      </c>
      <c r="AS174" s="18">
        <v>122</v>
      </c>
      <c r="AT174" s="4">
        <v>10.126582278481013</v>
      </c>
      <c r="AU174" s="4">
        <v>27.848101265822784</v>
      </c>
      <c r="AV174" s="7">
        <v>24.050632911392405</v>
      </c>
      <c r="AW174" s="10">
        <f t="shared" si="48"/>
        <v>86.333333333333329</v>
      </c>
      <c r="AX174" s="9">
        <f t="shared" si="49"/>
        <v>53.720082249221598</v>
      </c>
      <c r="AY174" s="9">
        <f t="shared" si="50"/>
        <v>46.191211279201404</v>
      </c>
      <c r="AZ174" s="9">
        <f t="shared" si="51"/>
        <v>45.79152951889634</v>
      </c>
      <c r="BA174" s="9">
        <f t="shared" si="52"/>
        <v>48.567607682439785</v>
      </c>
      <c r="BB174" s="9">
        <f t="shared" si="53"/>
        <v>145.70282304731936</v>
      </c>
      <c r="BC174" s="10">
        <f t="shared" si="56"/>
        <v>10</v>
      </c>
      <c r="BD174" s="10">
        <f t="shared" si="54"/>
        <v>140</v>
      </c>
      <c r="BE174" s="4">
        <f t="shared" si="57"/>
        <v>19.697437480703922</v>
      </c>
      <c r="BF174" s="4">
        <f t="shared" si="58"/>
        <v>27.338684779252855</v>
      </c>
      <c r="BG174" s="7">
        <f t="shared" si="59"/>
        <v>33.976535967891323</v>
      </c>
      <c r="BH174" s="5">
        <v>86</v>
      </c>
      <c r="BI174" s="3">
        <v>50.692941176470597</v>
      </c>
      <c r="BJ174" s="3">
        <v>29.86470588235294</v>
      </c>
      <c r="BK174" s="3">
        <v>30.828235294117636</v>
      </c>
      <c r="BL174" s="3">
        <v>37.128627450980389</v>
      </c>
      <c r="BM174" s="3">
        <v>111.38588235294125</v>
      </c>
      <c r="BN174" s="18">
        <v>24</v>
      </c>
      <c r="BO174" s="18">
        <v>223</v>
      </c>
      <c r="BP174" s="4">
        <v>18.823529411764707</v>
      </c>
      <c r="BQ174" s="4">
        <v>60</v>
      </c>
      <c r="BR174" s="7">
        <v>58.823529411764703</v>
      </c>
      <c r="BS174" s="18"/>
      <c r="BT174" s="23">
        <v>198</v>
      </c>
    </row>
    <row r="175" spans="1:72" x14ac:dyDescent="0.25">
      <c r="A175" s="1">
        <v>170</v>
      </c>
      <c r="B175" s="18" t="s">
        <v>24</v>
      </c>
      <c r="C175" s="18">
        <v>209</v>
      </c>
      <c r="D175" s="21" t="s">
        <v>9</v>
      </c>
      <c r="E175" s="5"/>
      <c r="F175" s="3">
        <v>35</v>
      </c>
      <c r="G175" s="3">
        <v>42.8</v>
      </c>
      <c r="H175" s="3">
        <v>19</v>
      </c>
      <c r="I175" s="3">
        <f t="shared" si="46"/>
        <v>32.266666666666666</v>
      </c>
      <c r="J175" s="3">
        <f t="shared" si="47"/>
        <v>96.8</v>
      </c>
      <c r="K175" s="18">
        <f t="shared" si="55"/>
        <v>37</v>
      </c>
      <c r="L175" s="18">
        <f t="shared" si="45"/>
        <v>267</v>
      </c>
      <c r="M175" s="4"/>
      <c r="N175" s="4"/>
      <c r="O175" s="7"/>
      <c r="P175" s="5">
        <v>41</v>
      </c>
      <c r="Q175" s="3">
        <v>50.894308943089413</v>
      </c>
      <c r="R175" s="3">
        <v>51.414634146341463</v>
      </c>
      <c r="S175" s="3">
        <v>52.13333333333334</v>
      </c>
      <c r="T175" s="3">
        <v>51.383177570093466</v>
      </c>
      <c r="U175" s="3">
        <v>154.44227642276422</v>
      </c>
      <c r="V175" s="18">
        <v>10</v>
      </c>
      <c r="W175" s="18">
        <v>122</v>
      </c>
      <c r="X175" s="4">
        <v>17.073170731707318</v>
      </c>
      <c r="Y175" s="4">
        <v>21.951219512195124</v>
      </c>
      <c r="Z175" s="7">
        <v>28</v>
      </c>
      <c r="AA175" s="5">
        <v>46</v>
      </c>
      <c r="AB175" s="3">
        <v>30.473856209150327</v>
      </c>
      <c r="AC175" s="3">
        <v>37.297297297297298</v>
      </c>
      <c r="AD175" s="3">
        <v>28.099173553719012</v>
      </c>
      <c r="AE175" s="3">
        <v>32.350869586163704</v>
      </c>
      <c r="AF175" s="3">
        <v>95.870327060166645</v>
      </c>
      <c r="AG175" s="18">
        <v>43</v>
      </c>
      <c r="AH175" s="18">
        <v>290</v>
      </c>
      <c r="AI175" s="4">
        <v>61.111111111111114</v>
      </c>
      <c r="AJ175" s="4">
        <v>45.945945945945944</v>
      </c>
      <c r="AK175" s="7">
        <v>59.090909090909093</v>
      </c>
      <c r="AL175" s="5">
        <v>44</v>
      </c>
      <c r="AM175" s="3">
        <v>49.134948096885815</v>
      </c>
      <c r="AN175" s="3">
        <v>21.344537815126053</v>
      </c>
      <c r="AO175" s="3">
        <v>35.026737967914443</v>
      </c>
      <c r="AP175" s="3">
        <v>34.99629263470095</v>
      </c>
      <c r="AQ175" s="3">
        <v>105.50622387992631</v>
      </c>
      <c r="AR175" s="18">
        <v>42</v>
      </c>
      <c r="AS175" s="18">
        <v>291</v>
      </c>
      <c r="AT175" s="4">
        <v>20.588235294117649</v>
      </c>
      <c r="AU175" s="4">
        <v>79.411764705882348</v>
      </c>
      <c r="AV175" s="7">
        <v>54.545454545454547</v>
      </c>
      <c r="AW175" s="10">
        <f t="shared" si="48"/>
        <v>43.666666666666664</v>
      </c>
      <c r="AX175" s="9">
        <f t="shared" si="49"/>
        <v>43.501037749708523</v>
      </c>
      <c r="AY175" s="9">
        <f t="shared" si="50"/>
        <v>36.685489752921605</v>
      </c>
      <c r="AZ175" s="9">
        <f t="shared" si="51"/>
        <v>38.419748284988934</v>
      </c>
      <c r="BA175" s="9">
        <f t="shared" si="52"/>
        <v>39.576779930319368</v>
      </c>
      <c r="BB175" s="9">
        <f t="shared" si="53"/>
        <v>118.60627578761905</v>
      </c>
      <c r="BC175" s="10">
        <f t="shared" si="56"/>
        <v>37</v>
      </c>
      <c r="BD175" s="10">
        <f t="shared" si="54"/>
        <v>268</v>
      </c>
      <c r="BE175" s="4">
        <f t="shared" si="57"/>
        <v>40.849673202614383</v>
      </c>
      <c r="BF175" s="4">
        <f t="shared" si="58"/>
        <v>62.678855325914142</v>
      </c>
      <c r="BG175" s="7">
        <f t="shared" si="59"/>
        <v>56.81818181818182</v>
      </c>
      <c r="BH175" s="5">
        <v>40</v>
      </c>
      <c r="BI175" s="3">
        <v>37.571794871794857</v>
      </c>
      <c r="BJ175" s="3">
        <v>20.179487179487179</v>
      </c>
      <c r="BK175" s="3">
        <v>20.356410256410257</v>
      </c>
      <c r="BL175" s="3">
        <v>26.035897435897429</v>
      </c>
      <c r="BM175" s="3">
        <v>78.107692307692332</v>
      </c>
      <c r="BN175" s="18">
        <v>44</v>
      </c>
      <c r="BO175" s="18">
        <v>302</v>
      </c>
      <c r="BP175" s="4">
        <v>53.846153846153847</v>
      </c>
      <c r="BQ175" s="4">
        <v>84.615384615384613</v>
      </c>
      <c r="BR175" s="7">
        <v>87.179487179487182</v>
      </c>
      <c r="BS175" s="18"/>
      <c r="BT175" s="23">
        <v>209</v>
      </c>
    </row>
    <row r="176" spans="1:72" x14ac:dyDescent="0.25">
      <c r="A176" s="18">
        <v>171</v>
      </c>
      <c r="B176" s="18" t="s">
        <v>24</v>
      </c>
      <c r="C176" s="18">
        <v>213</v>
      </c>
      <c r="D176" s="21" t="s">
        <v>11</v>
      </c>
      <c r="E176" s="5"/>
      <c r="F176" s="3">
        <v>41.333333333333336</v>
      </c>
      <c r="G176" s="3">
        <v>32.4</v>
      </c>
      <c r="H176" s="3">
        <v>28.333333333333332</v>
      </c>
      <c r="I176" s="3">
        <f t="shared" si="46"/>
        <v>34.022222222222219</v>
      </c>
      <c r="J176" s="3">
        <f t="shared" si="47"/>
        <v>102.06666666666666</v>
      </c>
      <c r="K176" s="18">
        <f t="shared" si="55"/>
        <v>33</v>
      </c>
      <c r="L176" s="18">
        <f t="shared" si="45"/>
        <v>254</v>
      </c>
      <c r="M176" s="4"/>
      <c r="N176" s="4"/>
      <c r="O176" s="7"/>
      <c r="P176" s="5">
        <v>38</v>
      </c>
      <c r="Q176" s="3">
        <v>42.807017543859651</v>
      </c>
      <c r="R176" s="3">
        <v>45.263157894736842</v>
      </c>
      <c r="S176" s="3">
        <v>43.245614035087726</v>
      </c>
      <c r="T176" s="3">
        <v>43.771929824561404</v>
      </c>
      <c r="U176" s="3">
        <v>131.31578947368422</v>
      </c>
      <c r="V176" s="18">
        <v>31</v>
      </c>
      <c r="W176" s="18">
        <v>230</v>
      </c>
      <c r="X176" s="4">
        <v>26.315789473684209</v>
      </c>
      <c r="Y176" s="4">
        <v>31.578947368421051</v>
      </c>
      <c r="Z176" s="7">
        <v>39.473684210526315</v>
      </c>
      <c r="AA176" s="5">
        <v>42</v>
      </c>
      <c r="AB176" s="3">
        <v>33.668730650154785</v>
      </c>
      <c r="AC176" s="3">
        <v>36.631578947368418</v>
      </c>
      <c r="AD176" s="3">
        <v>38.995215311004792</v>
      </c>
      <c r="AE176" s="3">
        <v>36.431841636176003</v>
      </c>
      <c r="AF176" s="3">
        <v>109.29552490852799</v>
      </c>
      <c r="AG176" s="18">
        <v>30</v>
      </c>
      <c r="AH176" s="18">
        <v>253</v>
      </c>
      <c r="AI176" s="4">
        <v>34.210526315789473</v>
      </c>
      <c r="AJ176" s="4">
        <v>28.94736842105263</v>
      </c>
      <c r="AK176" s="7">
        <v>31.578947368421051</v>
      </c>
      <c r="AL176" s="5">
        <v>42</v>
      </c>
      <c r="AM176" s="3">
        <v>50.173010380622841</v>
      </c>
      <c r="AN176" s="3">
        <v>24.45378151260504</v>
      </c>
      <c r="AO176" s="3">
        <v>43.771626297577853</v>
      </c>
      <c r="AP176" s="3">
        <v>39.466139396935262</v>
      </c>
      <c r="AQ176" s="3">
        <v>118.39841819080573</v>
      </c>
      <c r="AR176" s="18">
        <v>35</v>
      </c>
      <c r="AS176" s="18">
        <v>267</v>
      </c>
      <c r="AT176" s="4">
        <v>20.588235294117649</v>
      </c>
      <c r="AU176" s="4">
        <v>76.470588235294116</v>
      </c>
      <c r="AV176" s="7">
        <v>38.235294117647058</v>
      </c>
      <c r="AW176" s="10">
        <f t="shared" si="48"/>
        <v>40.666666666666664</v>
      </c>
      <c r="AX176" s="9">
        <f t="shared" si="49"/>
        <v>42.216252858212428</v>
      </c>
      <c r="AY176" s="9">
        <f t="shared" si="50"/>
        <v>35.449506118236769</v>
      </c>
      <c r="AZ176" s="9">
        <f t="shared" si="51"/>
        <v>42.004151881223457</v>
      </c>
      <c r="BA176" s="9">
        <f t="shared" si="52"/>
        <v>39.88997028589089</v>
      </c>
      <c r="BB176" s="9">
        <f t="shared" si="53"/>
        <v>119.66991085767263</v>
      </c>
      <c r="BC176" s="10">
        <f t="shared" si="56"/>
        <v>34</v>
      </c>
      <c r="BD176" s="10">
        <f t="shared" si="54"/>
        <v>264</v>
      </c>
      <c r="BE176" s="4">
        <f t="shared" si="57"/>
        <v>27.399380804953559</v>
      </c>
      <c r="BF176" s="4">
        <f t="shared" si="58"/>
        <v>52.708978328173373</v>
      </c>
      <c r="BG176" s="7">
        <f t="shared" si="59"/>
        <v>34.907120743034056</v>
      </c>
      <c r="BH176" s="5">
        <v>42</v>
      </c>
      <c r="BI176" s="3">
        <v>42.607317073170726</v>
      </c>
      <c r="BJ176" s="3">
        <v>29.478048780487793</v>
      </c>
      <c r="BK176" s="3">
        <v>31.568292682926824</v>
      </c>
      <c r="BL176" s="3">
        <v>34.551219512195118</v>
      </c>
      <c r="BM176" s="3">
        <v>103.65365853658535</v>
      </c>
      <c r="BN176" s="18">
        <v>32</v>
      </c>
      <c r="BO176" s="18">
        <v>258</v>
      </c>
      <c r="BP176" s="4">
        <v>43.902439024390247</v>
      </c>
      <c r="BQ176" s="4">
        <v>65.853658536585371</v>
      </c>
      <c r="BR176" s="7">
        <v>60.975609756097562</v>
      </c>
      <c r="BS176" s="18"/>
      <c r="BT176" s="23">
        <v>213</v>
      </c>
    </row>
    <row r="177" spans="1:72" x14ac:dyDescent="0.25">
      <c r="A177" s="18">
        <v>172</v>
      </c>
      <c r="B177" s="18" t="s">
        <v>24</v>
      </c>
      <c r="C177" s="18">
        <v>215</v>
      </c>
      <c r="D177" s="21" t="s">
        <v>9</v>
      </c>
      <c r="E177" s="5"/>
      <c r="F177" s="3">
        <v>46.666666666666664</v>
      </c>
      <c r="G177" s="3">
        <v>33.6</v>
      </c>
      <c r="H177" s="3">
        <v>24.666666666666668</v>
      </c>
      <c r="I177" s="3">
        <f t="shared" si="46"/>
        <v>34.977777777777781</v>
      </c>
      <c r="J177" s="3">
        <f t="shared" si="47"/>
        <v>104.93333333333334</v>
      </c>
      <c r="K177" s="18">
        <f t="shared" si="55"/>
        <v>29</v>
      </c>
      <c r="L177" s="18">
        <f t="shared" si="45"/>
        <v>247</v>
      </c>
      <c r="M177" s="4"/>
      <c r="N177" s="4"/>
      <c r="O177" s="7"/>
      <c r="P177" s="5">
        <v>84</v>
      </c>
      <c r="Q177" s="3">
        <v>43.690476190476183</v>
      </c>
      <c r="R177" s="3">
        <v>43</v>
      </c>
      <c r="S177" s="3">
        <v>41.785714285714299</v>
      </c>
      <c r="T177" s="3">
        <v>42.825396825396844</v>
      </c>
      <c r="U177" s="3">
        <v>128.47619047619048</v>
      </c>
      <c r="V177" s="18">
        <v>34</v>
      </c>
      <c r="W177" s="18">
        <v>242</v>
      </c>
      <c r="X177" s="4">
        <v>34.523809523809526</v>
      </c>
      <c r="Y177" s="4">
        <v>36.904761904761905</v>
      </c>
      <c r="Z177" s="7">
        <v>46.428571428571431</v>
      </c>
      <c r="AA177" s="5">
        <v>86</v>
      </c>
      <c r="AB177" s="3">
        <v>35.330882352941174</v>
      </c>
      <c r="AC177" s="3">
        <v>44</v>
      </c>
      <c r="AD177" s="3">
        <v>41.856060606060588</v>
      </c>
      <c r="AE177" s="3">
        <v>40.395647653000601</v>
      </c>
      <c r="AF177" s="3">
        <v>121.18694295900175</v>
      </c>
      <c r="AG177" s="18">
        <v>19</v>
      </c>
      <c r="AH177" s="18">
        <v>209</v>
      </c>
      <c r="AI177" s="4">
        <v>41.25</v>
      </c>
      <c r="AJ177" s="4">
        <v>38.75</v>
      </c>
      <c r="AK177" s="7">
        <v>47.5</v>
      </c>
      <c r="AL177" s="5">
        <v>86</v>
      </c>
      <c r="AM177" s="3">
        <v>50.934256055363321</v>
      </c>
      <c r="AN177" s="3">
        <v>32.926829268292686</v>
      </c>
      <c r="AO177" s="3">
        <v>39.495798319327754</v>
      </c>
      <c r="AP177" s="3">
        <v>40.818915801614772</v>
      </c>
      <c r="AQ177" s="3">
        <v>123.35688364298375</v>
      </c>
      <c r="AR177" s="18">
        <v>32</v>
      </c>
      <c r="AS177" s="18">
        <v>253</v>
      </c>
      <c r="AT177" s="4">
        <v>20</v>
      </c>
      <c r="AU177" s="4">
        <v>51.219512195121951</v>
      </c>
      <c r="AV177" s="7">
        <v>41.666666666666664</v>
      </c>
      <c r="AW177" s="10">
        <f t="shared" si="48"/>
        <v>85.333333333333329</v>
      </c>
      <c r="AX177" s="9">
        <f t="shared" si="49"/>
        <v>43.318538199593569</v>
      </c>
      <c r="AY177" s="9">
        <f t="shared" si="50"/>
        <v>39.975609756097562</v>
      </c>
      <c r="AZ177" s="9">
        <f t="shared" si="51"/>
        <v>41.045857737034218</v>
      </c>
      <c r="BA177" s="9">
        <f t="shared" si="52"/>
        <v>41.346653426670741</v>
      </c>
      <c r="BB177" s="9">
        <f t="shared" si="53"/>
        <v>124.34000569272534</v>
      </c>
      <c r="BC177" s="10">
        <f t="shared" si="56"/>
        <v>28</v>
      </c>
      <c r="BD177" s="10">
        <f t="shared" si="54"/>
        <v>241</v>
      </c>
      <c r="BE177" s="4">
        <f t="shared" si="57"/>
        <v>30.625</v>
      </c>
      <c r="BF177" s="4">
        <f t="shared" si="58"/>
        <v>44.984756097560975</v>
      </c>
      <c r="BG177" s="7">
        <f t="shared" si="59"/>
        <v>44.583333333333329</v>
      </c>
      <c r="BH177" s="5">
        <v>86</v>
      </c>
      <c r="BI177" s="3">
        <v>48.732558139534873</v>
      </c>
      <c r="BJ177" s="3">
        <v>35.080232558139542</v>
      </c>
      <c r="BK177" s="3">
        <v>32.247674418604646</v>
      </c>
      <c r="BL177" s="3">
        <v>38.686821705426354</v>
      </c>
      <c r="BM177" s="3">
        <v>116.06046511627906</v>
      </c>
      <c r="BN177" s="18">
        <v>16</v>
      </c>
      <c r="BO177" s="18">
        <v>193</v>
      </c>
      <c r="BP177" s="4">
        <v>26.744186046511629</v>
      </c>
      <c r="BQ177" s="4">
        <v>56.97674418604651</v>
      </c>
      <c r="BR177" s="7">
        <v>61.627906976744185</v>
      </c>
      <c r="BS177" s="18"/>
      <c r="BT177" s="23">
        <v>215</v>
      </c>
    </row>
    <row r="178" spans="1:72" x14ac:dyDescent="0.25">
      <c r="A178" s="18">
        <v>173</v>
      </c>
      <c r="B178" s="18" t="s">
        <v>24</v>
      </c>
      <c r="C178" s="18">
        <v>252</v>
      </c>
      <c r="D178" s="21" t="s">
        <v>11</v>
      </c>
      <c r="E178" s="5"/>
      <c r="F178" s="3">
        <v>48.666666666666664</v>
      </c>
      <c r="G178" s="3">
        <v>67.2</v>
      </c>
      <c r="H178" s="3">
        <v>63.333333333333336</v>
      </c>
      <c r="I178" s="3">
        <f t="shared" si="46"/>
        <v>59.733333333333341</v>
      </c>
      <c r="J178" s="3">
        <f t="shared" si="47"/>
        <v>179.20000000000002</v>
      </c>
      <c r="K178" s="18">
        <f t="shared" si="55"/>
        <v>2</v>
      </c>
      <c r="L178" s="18">
        <f t="shared" si="45"/>
        <v>23</v>
      </c>
      <c r="M178" s="4"/>
      <c r="N178" s="4"/>
      <c r="O178" s="7"/>
      <c r="P178" s="5">
        <v>193</v>
      </c>
      <c r="Q178" s="3">
        <v>55.440414507772019</v>
      </c>
      <c r="R178" s="3">
        <v>57.284974093264246</v>
      </c>
      <c r="S178" s="3">
        <v>58.721934369602756</v>
      </c>
      <c r="T178" s="3">
        <v>57.149107656879679</v>
      </c>
      <c r="U178" s="3">
        <v>171.44732297063902</v>
      </c>
      <c r="V178" s="18">
        <v>6</v>
      </c>
      <c r="W178" s="18">
        <v>79</v>
      </c>
      <c r="X178" s="4">
        <v>10.362694300518134</v>
      </c>
      <c r="Y178" s="4">
        <v>14.507772020725389</v>
      </c>
      <c r="Z178" s="7">
        <v>12.953367875647668</v>
      </c>
      <c r="AA178" s="5">
        <v>207</v>
      </c>
      <c r="AB178" s="3">
        <v>30.974708724069338</v>
      </c>
      <c r="AC178" s="3">
        <v>31.350991171081166</v>
      </c>
      <c r="AD178" s="3">
        <v>43.947244465379121</v>
      </c>
      <c r="AE178" s="3">
        <v>34.433555652358002</v>
      </c>
      <c r="AF178" s="3">
        <v>106.27294436052964</v>
      </c>
      <c r="AG178" s="18">
        <v>35</v>
      </c>
      <c r="AH178" s="18">
        <v>264</v>
      </c>
      <c r="AI178" s="4">
        <v>52.657004830917877</v>
      </c>
      <c r="AJ178" s="4">
        <v>46.376811594202898</v>
      </c>
      <c r="AK178" s="7">
        <v>30.890052356020941</v>
      </c>
      <c r="AL178" s="5">
        <v>204</v>
      </c>
      <c r="AM178" s="3">
        <v>51.156642432253861</v>
      </c>
      <c r="AN178" s="3">
        <v>31.492776886035294</v>
      </c>
      <c r="AO178" s="3">
        <v>58.27825512227362</v>
      </c>
      <c r="AP178" s="3">
        <v>46.975891480187592</v>
      </c>
      <c r="AQ178" s="3">
        <v>140.92767444056278</v>
      </c>
      <c r="AR178" s="18">
        <v>15</v>
      </c>
      <c r="AS178" s="18">
        <v>182</v>
      </c>
      <c r="AT178" s="4">
        <v>15.168539325842696</v>
      </c>
      <c r="AU178" s="4">
        <v>46.629213483146067</v>
      </c>
      <c r="AV178" s="7">
        <v>10.674157303370787</v>
      </c>
      <c r="AW178" s="10">
        <f t="shared" si="48"/>
        <v>201.33333333333334</v>
      </c>
      <c r="AX178" s="9">
        <f t="shared" si="49"/>
        <v>45.857255221365072</v>
      </c>
      <c r="AY178" s="9">
        <f t="shared" si="50"/>
        <v>40.042914050126903</v>
      </c>
      <c r="AZ178" s="9">
        <f t="shared" si="51"/>
        <v>53.649144652418499</v>
      </c>
      <c r="BA178" s="9">
        <f t="shared" si="52"/>
        <v>46.186184929808427</v>
      </c>
      <c r="BB178" s="9">
        <f t="shared" si="53"/>
        <v>139.54931392391049</v>
      </c>
      <c r="BC178" s="10">
        <f t="shared" si="56"/>
        <v>12</v>
      </c>
      <c r="BD178" s="10">
        <f t="shared" si="54"/>
        <v>169</v>
      </c>
      <c r="BE178" s="4">
        <f t="shared" si="57"/>
        <v>33.912772078380286</v>
      </c>
      <c r="BF178" s="4">
        <f t="shared" si="58"/>
        <v>46.503012538674483</v>
      </c>
      <c r="BG178" s="7">
        <f t="shared" si="59"/>
        <v>20.782104829695864</v>
      </c>
      <c r="BH178" s="5">
        <v>201</v>
      </c>
      <c r="BI178" s="3">
        <v>48.405970149253754</v>
      </c>
      <c r="BJ178" s="3">
        <v>33.240298507462661</v>
      </c>
      <c r="BK178" s="3">
        <v>34.460696517412948</v>
      </c>
      <c r="BL178" s="3">
        <v>38.702321724709783</v>
      </c>
      <c r="BM178" s="3">
        <v>116.10696517412931</v>
      </c>
      <c r="BN178" s="18">
        <v>15</v>
      </c>
      <c r="BO178" s="18">
        <v>192</v>
      </c>
      <c r="BP178" s="4">
        <v>24.875621890547265</v>
      </c>
      <c r="BQ178" s="4">
        <v>57.213930348258707</v>
      </c>
      <c r="BR178" s="7">
        <v>52.238805970149251</v>
      </c>
      <c r="BS178" s="18"/>
      <c r="BT178" s="23">
        <v>252</v>
      </c>
    </row>
    <row r="179" spans="1:72" x14ac:dyDescent="0.25">
      <c r="A179" s="18">
        <v>174</v>
      </c>
      <c r="B179" s="18" t="s">
        <v>24</v>
      </c>
      <c r="C179" s="18">
        <v>255</v>
      </c>
      <c r="D179" s="21" t="s">
        <v>9</v>
      </c>
      <c r="E179" s="5"/>
      <c r="F179" s="3">
        <v>25</v>
      </c>
      <c r="G179" s="3">
        <v>23.2</v>
      </c>
      <c r="H179" s="3">
        <v>19.666666666666668</v>
      </c>
      <c r="I179" s="3">
        <f t="shared" si="46"/>
        <v>22.622222222222224</v>
      </c>
      <c r="J179" s="3">
        <f t="shared" si="47"/>
        <v>67.866666666666674</v>
      </c>
      <c r="K179" s="18">
        <f t="shared" si="55"/>
        <v>46</v>
      </c>
      <c r="L179" s="18">
        <f t="shared" si="45"/>
        <v>302</v>
      </c>
      <c r="M179" s="4"/>
      <c r="N179" s="4"/>
      <c r="O179" s="7"/>
      <c r="P179" s="5">
        <v>133</v>
      </c>
      <c r="Q179" s="3">
        <v>49.072681704260653</v>
      </c>
      <c r="R179" s="3">
        <v>44.601503759398497</v>
      </c>
      <c r="S179" s="3">
        <v>45.137844611528813</v>
      </c>
      <c r="T179" s="3">
        <v>46.270676691729314</v>
      </c>
      <c r="U179" s="3">
        <v>138.81203007518795</v>
      </c>
      <c r="V179" s="18">
        <v>20</v>
      </c>
      <c r="W179" s="18">
        <v>189</v>
      </c>
      <c r="X179" s="4">
        <v>18.045112781954888</v>
      </c>
      <c r="Y179" s="4">
        <v>28.571428571428573</v>
      </c>
      <c r="Z179" s="7">
        <v>36.842105263157897</v>
      </c>
      <c r="AA179" s="5">
        <v>146</v>
      </c>
      <c r="AB179" s="3">
        <v>34.945164506480559</v>
      </c>
      <c r="AC179" s="3">
        <v>41.264957264957268</v>
      </c>
      <c r="AD179" s="3">
        <v>40.595611285266443</v>
      </c>
      <c r="AE179" s="3">
        <v>38.844391069216584</v>
      </c>
      <c r="AF179" s="3">
        <v>116.80573305670427</v>
      </c>
      <c r="AG179" s="18">
        <v>24</v>
      </c>
      <c r="AH179" s="18">
        <v>224</v>
      </c>
      <c r="AI179" s="4">
        <v>40.677966101694913</v>
      </c>
      <c r="AJ179" s="4">
        <v>30.76923076923077</v>
      </c>
      <c r="AK179" s="7">
        <v>40.517241379310342</v>
      </c>
      <c r="AL179" s="5">
        <v>147</v>
      </c>
      <c r="AM179" s="3">
        <v>55.903361344537799</v>
      </c>
      <c r="AN179" s="3">
        <v>29.969167523124369</v>
      </c>
      <c r="AO179" s="3">
        <v>43.907563025210088</v>
      </c>
      <c r="AP179" s="3">
        <v>43.276210484193697</v>
      </c>
      <c r="AQ179" s="3">
        <v>129.78009189287226</v>
      </c>
      <c r="AR179" s="18">
        <v>26</v>
      </c>
      <c r="AS179" s="18">
        <v>233</v>
      </c>
      <c r="AT179" s="4">
        <v>13.571428571428571</v>
      </c>
      <c r="AU179" s="4">
        <v>56.834532374100718</v>
      </c>
      <c r="AV179" s="7">
        <v>42.446043165467628</v>
      </c>
      <c r="AW179" s="10">
        <f t="shared" si="48"/>
        <v>142</v>
      </c>
      <c r="AX179" s="9">
        <f t="shared" si="49"/>
        <v>46.640402518426335</v>
      </c>
      <c r="AY179" s="9">
        <f t="shared" si="50"/>
        <v>38.611876182493383</v>
      </c>
      <c r="AZ179" s="9">
        <f t="shared" si="51"/>
        <v>43.213672974001781</v>
      </c>
      <c r="BA179" s="9">
        <f t="shared" si="52"/>
        <v>42.79709274837986</v>
      </c>
      <c r="BB179" s="9">
        <f t="shared" si="53"/>
        <v>128.46595167492148</v>
      </c>
      <c r="BC179" s="10">
        <f t="shared" si="56"/>
        <v>23</v>
      </c>
      <c r="BD179" s="10">
        <f t="shared" si="54"/>
        <v>224</v>
      </c>
      <c r="BE179" s="4">
        <f t="shared" si="57"/>
        <v>27.124697336561741</v>
      </c>
      <c r="BF179" s="4">
        <f t="shared" si="58"/>
        <v>43.801881571665746</v>
      </c>
      <c r="BG179" s="7">
        <f t="shared" si="59"/>
        <v>41.481642272388981</v>
      </c>
      <c r="BH179" s="5">
        <v>142</v>
      </c>
      <c r="BI179" s="3">
        <v>50.921985815602838</v>
      </c>
      <c r="BJ179" s="3">
        <v>32.479432624113464</v>
      </c>
      <c r="BK179" s="3">
        <v>31.117730496453891</v>
      </c>
      <c r="BL179" s="3">
        <v>38.173049645390087</v>
      </c>
      <c r="BM179" s="3">
        <v>114.5191489361702</v>
      </c>
      <c r="BN179" s="18">
        <v>18</v>
      </c>
      <c r="BO179" s="18">
        <v>206</v>
      </c>
      <c r="BP179" s="4">
        <v>19.148936170212767</v>
      </c>
      <c r="BQ179" s="4">
        <v>57.446808510638299</v>
      </c>
      <c r="BR179" s="7">
        <v>65.248226950354606</v>
      </c>
      <c r="BS179" s="18"/>
      <c r="BT179" s="23">
        <v>255</v>
      </c>
    </row>
    <row r="180" spans="1:72" x14ac:dyDescent="0.25">
      <c r="A180" s="1">
        <v>175</v>
      </c>
      <c r="B180" s="18" t="s">
        <v>24</v>
      </c>
      <c r="C180" s="18">
        <v>259</v>
      </c>
      <c r="D180" s="21" t="s">
        <v>9</v>
      </c>
      <c r="E180" s="5"/>
      <c r="F180" s="3">
        <v>43.533333333333331</v>
      </c>
      <c r="G180" s="3">
        <v>33.200000000000003</v>
      </c>
      <c r="H180" s="3">
        <v>31.000000000000004</v>
      </c>
      <c r="I180" s="3">
        <f t="shared" si="46"/>
        <v>35.911111111111111</v>
      </c>
      <c r="J180" s="3">
        <f t="shared" si="47"/>
        <v>107.73333333333333</v>
      </c>
      <c r="K180" s="18">
        <f t="shared" si="55"/>
        <v>26</v>
      </c>
      <c r="L180" s="18">
        <f t="shared" si="45"/>
        <v>238</v>
      </c>
      <c r="M180" s="4"/>
      <c r="N180" s="4"/>
      <c r="O180" s="7"/>
      <c r="P180" s="5">
        <v>83</v>
      </c>
      <c r="Q180" s="3">
        <v>42.891566265060241</v>
      </c>
      <c r="R180" s="3">
        <v>43.036144578313255</v>
      </c>
      <c r="S180" s="3">
        <v>41.526104417670687</v>
      </c>
      <c r="T180" s="3">
        <v>42.484605087014728</v>
      </c>
      <c r="U180" s="3">
        <v>127.45381526104418</v>
      </c>
      <c r="V180" s="18">
        <v>35</v>
      </c>
      <c r="W180" s="18">
        <v>249</v>
      </c>
      <c r="X180" s="4">
        <v>26.506024096385541</v>
      </c>
      <c r="Y180" s="4">
        <v>39.75903614457831</v>
      </c>
      <c r="Z180" s="7">
        <v>42.168674698795179</v>
      </c>
      <c r="AA180" s="5">
        <v>83</v>
      </c>
      <c r="AB180" s="3">
        <v>27.399380804953555</v>
      </c>
      <c r="AC180" s="3">
        <v>33.92</v>
      </c>
      <c r="AD180" s="3">
        <v>38.505050505050477</v>
      </c>
      <c r="AE180" s="3">
        <v>32.957156706382719</v>
      </c>
      <c r="AF180" s="3">
        <v>99.82443131000403</v>
      </c>
      <c r="AG180" s="18">
        <v>39</v>
      </c>
      <c r="AH180" s="18">
        <v>282</v>
      </c>
      <c r="AI180" s="4">
        <v>60.526315789473685</v>
      </c>
      <c r="AJ180" s="4">
        <v>57.333333333333336</v>
      </c>
      <c r="AK180" s="7">
        <v>40</v>
      </c>
      <c r="AL180" s="5">
        <v>79</v>
      </c>
      <c r="AM180" s="3">
        <v>48.37461300309598</v>
      </c>
      <c r="AN180" s="3">
        <v>29.285714285714292</v>
      </c>
      <c r="AO180" s="3">
        <v>48.142414860681136</v>
      </c>
      <c r="AP180" s="3">
        <v>41.934247383163772</v>
      </c>
      <c r="AQ180" s="3">
        <v>125.80274214949139</v>
      </c>
      <c r="AR180" s="18">
        <v>29</v>
      </c>
      <c r="AS180" s="18">
        <v>245</v>
      </c>
      <c r="AT180" s="4">
        <v>22.368421052631579</v>
      </c>
      <c r="AU180" s="4">
        <v>57.89473684210526</v>
      </c>
      <c r="AV180" s="7">
        <v>19.736842105263158</v>
      </c>
      <c r="AW180" s="10">
        <f t="shared" si="48"/>
        <v>81.666666666666671</v>
      </c>
      <c r="AX180" s="9">
        <f t="shared" si="49"/>
        <v>39.555186691036596</v>
      </c>
      <c r="AY180" s="9">
        <f t="shared" si="50"/>
        <v>35.41395295467585</v>
      </c>
      <c r="AZ180" s="9">
        <f t="shared" si="51"/>
        <v>42.724523261134095</v>
      </c>
      <c r="BA180" s="9">
        <f t="shared" si="52"/>
        <v>39.125336392187073</v>
      </c>
      <c r="BB180" s="9">
        <f t="shared" si="53"/>
        <v>117.69366290684654</v>
      </c>
      <c r="BC180" s="10">
        <f t="shared" si="56"/>
        <v>39</v>
      </c>
      <c r="BD180" s="10">
        <f t="shared" si="54"/>
        <v>271</v>
      </c>
      <c r="BE180" s="4">
        <f t="shared" si="57"/>
        <v>41.44736842105263</v>
      </c>
      <c r="BF180" s="4">
        <f t="shared" si="58"/>
        <v>57.614035087719301</v>
      </c>
      <c r="BG180" s="7">
        <f t="shared" si="59"/>
        <v>29.868421052631579</v>
      </c>
      <c r="BH180" s="5">
        <v>78</v>
      </c>
      <c r="BI180" s="3">
        <v>43.511538461538443</v>
      </c>
      <c r="BJ180" s="3">
        <v>27.147435897435891</v>
      </c>
      <c r="BK180" s="3">
        <v>31.114102564102566</v>
      </c>
      <c r="BL180" s="3">
        <v>33.924358974358981</v>
      </c>
      <c r="BM180" s="3">
        <v>101.77307692307691</v>
      </c>
      <c r="BN180" s="18">
        <v>33</v>
      </c>
      <c r="BO180" s="18">
        <v>263</v>
      </c>
      <c r="BP180" s="4">
        <v>37.179487179487182</v>
      </c>
      <c r="BQ180" s="4">
        <v>65.384615384615387</v>
      </c>
      <c r="BR180" s="7">
        <v>62.820512820512818</v>
      </c>
      <c r="BS180" s="18"/>
      <c r="BT180" s="23">
        <v>259</v>
      </c>
    </row>
    <row r="181" spans="1:72" x14ac:dyDescent="0.25">
      <c r="A181" s="18">
        <v>176</v>
      </c>
      <c r="B181" s="18" t="s">
        <v>24</v>
      </c>
      <c r="C181" s="18">
        <v>271</v>
      </c>
      <c r="D181" s="21" t="s">
        <v>9</v>
      </c>
      <c r="E181" s="5"/>
      <c r="F181" s="3">
        <v>41</v>
      </c>
      <c r="G181" s="3">
        <v>34.799999999999997</v>
      </c>
      <c r="H181" s="3">
        <v>27.666666666666671</v>
      </c>
      <c r="I181" s="3">
        <f t="shared" si="46"/>
        <v>34.488888888888887</v>
      </c>
      <c r="J181" s="3">
        <f t="shared" si="47"/>
        <v>103.46666666666667</v>
      </c>
      <c r="K181" s="18">
        <f t="shared" si="55"/>
        <v>30</v>
      </c>
      <c r="L181" s="18">
        <f t="shared" si="45"/>
        <v>250</v>
      </c>
      <c r="M181" s="4"/>
      <c r="N181" s="4"/>
      <c r="O181" s="7"/>
      <c r="P181" s="5">
        <v>154</v>
      </c>
      <c r="Q181" s="3">
        <v>38.571428571428562</v>
      </c>
      <c r="R181" s="3">
        <v>36.077922077922075</v>
      </c>
      <c r="S181" s="3">
        <v>38.13852813852813</v>
      </c>
      <c r="T181" s="3">
        <v>37.595959595959606</v>
      </c>
      <c r="U181" s="3">
        <v>112.78787878787877</v>
      </c>
      <c r="V181" s="18">
        <v>42</v>
      </c>
      <c r="W181" s="18">
        <v>284</v>
      </c>
      <c r="X181" s="4">
        <v>37.012987012987011</v>
      </c>
      <c r="Y181" s="4">
        <v>44.805194805194802</v>
      </c>
      <c r="Z181" s="7">
        <v>46.753246753246756</v>
      </c>
      <c r="AA181" s="5">
        <v>162</v>
      </c>
      <c r="AB181" s="3">
        <v>36.952230556652211</v>
      </c>
      <c r="AC181" s="3">
        <v>43.758389261744966</v>
      </c>
      <c r="AD181" s="3">
        <v>45.413870246085033</v>
      </c>
      <c r="AE181" s="3">
        <v>42.041496688160699</v>
      </c>
      <c r="AF181" s="3">
        <v>126.12449006448222</v>
      </c>
      <c r="AG181" s="18">
        <v>15</v>
      </c>
      <c r="AH181" s="18">
        <v>191</v>
      </c>
      <c r="AI181" s="4">
        <v>42.95302013422819</v>
      </c>
      <c r="AJ181" s="4">
        <v>37.583892617449663</v>
      </c>
      <c r="AK181" s="7">
        <v>29.530201342281877</v>
      </c>
      <c r="AL181" s="5">
        <v>163</v>
      </c>
      <c r="AM181" s="3">
        <v>62.406793703396893</v>
      </c>
      <c r="AN181" s="3">
        <v>35.562310030395111</v>
      </c>
      <c r="AO181" s="3">
        <v>60.211267605633829</v>
      </c>
      <c r="AP181" s="3">
        <v>52.708900461593068</v>
      </c>
      <c r="AQ181" s="3">
        <v>158.18037133942582</v>
      </c>
      <c r="AR181" s="18">
        <v>7</v>
      </c>
      <c r="AS181" s="18">
        <v>108</v>
      </c>
      <c r="AT181" s="4">
        <v>7.042253521126761</v>
      </c>
      <c r="AU181" s="4">
        <v>45.390070921985817</v>
      </c>
      <c r="AV181" s="7">
        <v>10.56338028169014</v>
      </c>
      <c r="AW181" s="10">
        <f t="shared" si="48"/>
        <v>159.66666666666666</v>
      </c>
      <c r="AX181" s="9">
        <f t="shared" si="49"/>
        <v>45.976817610492553</v>
      </c>
      <c r="AY181" s="9">
        <f t="shared" si="50"/>
        <v>38.466207123354053</v>
      </c>
      <c r="AZ181" s="9">
        <f t="shared" si="51"/>
        <v>47.92122199674899</v>
      </c>
      <c r="BA181" s="9">
        <f t="shared" si="52"/>
        <v>44.115452248571124</v>
      </c>
      <c r="BB181" s="9">
        <f t="shared" si="53"/>
        <v>132.3642467305956</v>
      </c>
      <c r="BC181" s="10">
        <f t="shared" si="56"/>
        <v>19</v>
      </c>
      <c r="BD181" s="10">
        <f t="shared" si="54"/>
        <v>210</v>
      </c>
      <c r="BE181" s="4">
        <f t="shared" si="57"/>
        <v>24.997636827677475</v>
      </c>
      <c r="BF181" s="4">
        <f t="shared" si="58"/>
        <v>41.486981769717744</v>
      </c>
      <c r="BG181" s="7">
        <f t="shared" si="59"/>
        <v>20.046790811986007</v>
      </c>
      <c r="BH181" s="5">
        <v>160</v>
      </c>
      <c r="BI181" s="3">
        <v>48.879746835443058</v>
      </c>
      <c r="BJ181" s="3">
        <v>31.77215189873419</v>
      </c>
      <c r="BK181" s="3">
        <v>36.113291139240495</v>
      </c>
      <c r="BL181" s="3">
        <v>38.921729957805887</v>
      </c>
      <c r="BM181" s="3">
        <v>116.76518987341773</v>
      </c>
      <c r="BN181" s="18">
        <v>13</v>
      </c>
      <c r="BO181" s="18">
        <v>189</v>
      </c>
      <c r="BP181" s="4">
        <v>28.481012658227847</v>
      </c>
      <c r="BQ181" s="4">
        <v>58.860759493670884</v>
      </c>
      <c r="BR181" s="7">
        <v>51.898734177215189</v>
      </c>
      <c r="BS181" s="18"/>
      <c r="BT181" s="23">
        <v>271</v>
      </c>
    </row>
    <row r="182" spans="1:72" x14ac:dyDescent="0.25">
      <c r="A182" s="18">
        <v>177</v>
      </c>
      <c r="B182" s="18" t="s">
        <v>24</v>
      </c>
      <c r="C182" s="18">
        <v>293</v>
      </c>
      <c r="D182" s="21" t="s">
        <v>9</v>
      </c>
      <c r="E182" s="5"/>
      <c r="F182" s="3">
        <v>27.666666666666671</v>
      </c>
      <c r="G182" s="3">
        <v>17.2</v>
      </c>
      <c r="H182" s="3">
        <v>7.6666666666666661</v>
      </c>
      <c r="I182" s="3">
        <f t="shared" si="46"/>
        <v>17.511111111111113</v>
      </c>
      <c r="J182" s="3">
        <f t="shared" si="47"/>
        <v>52.533333333333339</v>
      </c>
      <c r="K182" s="18">
        <f t="shared" si="55"/>
        <v>47</v>
      </c>
      <c r="L182" s="18">
        <f t="shared" si="45"/>
        <v>303</v>
      </c>
      <c r="M182" s="4"/>
      <c r="N182" s="4"/>
      <c r="O182" s="7"/>
      <c r="P182" s="5">
        <v>71</v>
      </c>
      <c r="Q182" s="3">
        <v>41.784037558685455</v>
      </c>
      <c r="R182" s="3">
        <v>28.450704225352112</v>
      </c>
      <c r="S182" s="3">
        <v>29.841269841269845</v>
      </c>
      <c r="T182" s="3">
        <v>33.91304347826086</v>
      </c>
      <c r="U182" s="3">
        <v>100.07601162530742</v>
      </c>
      <c r="V182" s="18">
        <v>47</v>
      </c>
      <c r="W182" s="18">
        <v>299</v>
      </c>
      <c r="X182" s="4">
        <v>30.985915492957748</v>
      </c>
      <c r="Y182" s="4">
        <v>60.563380281690144</v>
      </c>
      <c r="Z182" s="7">
        <v>71.428571428571431</v>
      </c>
      <c r="AA182" s="5">
        <v>90</v>
      </c>
      <c r="AB182" s="3">
        <v>40.412528647822775</v>
      </c>
      <c r="AC182" s="3">
        <v>37.506493506493506</v>
      </c>
      <c r="AD182" s="3">
        <v>37.483530961791821</v>
      </c>
      <c r="AE182" s="3">
        <v>38.574260558217787</v>
      </c>
      <c r="AF182" s="3">
        <v>115.40255311610809</v>
      </c>
      <c r="AG182" s="18">
        <v>26</v>
      </c>
      <c r="AH182" s="18">
        <v>229</v>
      </c>
      <c r="AI182" s="4">
        <v>29.870129870129869</v>
      </c>
      <c r="AJ182" s="4">
        <v>38.961038961038959</v>
      </c>
      <c r="AK182" s="7">
        <v>36.956521739130437</v>
      </c>
      <c r="AL182" s="5">
        <v>90</v>
      </c>
      <c r="AM182" s="3">
        <v>45.294117647058847</v>
      </c>
      <c r="AN182" s="3">
        <v>18.408163265306126</v>
      </c>
      <c r="AO182" s="3">
        <v>26.638655462184872</v>
      </c>
      <c r="AP182" s="3">
        <v>30.113645458183282</v>
      </c>
      <c r="AQ182" s="3">
        <v>90.340936374549841</v>
      </c>
      <c r="AR182" s="18">
        <v>47</v>
      </c>
      <c r="AS182" s="18">
        <v>301</v>
      </c>
      <c r="AT182" s="4">
        <v>32.857142857142854</v>
      </c>
      <c r="AU182" s="4">
        <v>84.285714285714292</v>
      </c>
      <c r="AV182" s="7">
        <v>67.142857142857139</v>
      </c>
      <c r="AW182" s="10">
        <f t="shared" si="48"/>
        <v>83.666666666666671</v>
      </c>
      <c r="AX182" s="9">
        <f t="shared" si="49"/>
        <v>42.496894617855695</v>
      </c>
      <c r="AY182" s="9">
        <f t="shared" si="50"/>
        <v>28.121786999050581</v>
      </c>
      <c r="AZ182" s="9">
        <f t="shared" si="51"/>
        <v>31.321152088415513</v>
      </c>
      <c r="BA182" s="9">
        <f t="shared" si="52"/>
        <v>34.200316498220644</v>
      </c>
      <c r="BB182" s="9">
        <f t="shared" si="53"/>
        <v>101.93983370532179</v>
      </c>
      <c r="BC182" s="10">
        <f t="shared" si="56"/>
        <v>45</v>
      </c>
      <c r="BD182" s="10">
        <f t="shared" si="54"/>
        <v>294</v>
      </c>
      <c r="BE182" s="4">
        <f t="shared" si="57"/>
        <v>31.36363636363636</v>
      </c>
      <c r="BF182" s="4">
        <f t="shared" si="58"/>
        <v>61.623376623376629</v>
      </c>
      <c r="BG182" s="7">
        <f t="shared" si="59"/>
        <v>52.049689440993788</v>
      </c>
      <c r="BH182" s="5">
        <v>83</v>
      </c>
      <c r="BI182" s="3">
        <v>40.218987341772156</v>
      </c>
      <c r="BJ182" s="3">
        <v>20.702531645569625</v>
      </c>
      <c r="BK182" s="3">
        <v>21.779746835443028</v>
      </c>
      <c r="BL182" s="3">
        <v>27.567088607594943</v>
      </c>
      <c r="BM182" s="3">
        <v>82.701265822784791</v>
      </c>
      <c r="BN182" s="18">
        <v>43</v>
      </c>
      <c r="BO182" s="18">
        <v>297</v>
      </c>
      <c r="BP182" s="4">
        <v>45.569620253164558</v>
      </c>
      <c r="BQ182" s="4">
        <v>83.544303797468359</v>
      </c>
      <c r="BR182" s="7">
        <v>82.278481012658233</v>
      </c>
      <c r="BS182" s="18"/>
      <c r="BT182" s="23">
        <v>293</v>
      </c>
    </row>
    <row r="183" spans="1:72" x14ac:dyDescent="0.25">
      <c r="A183" s="18">
        <v>178</v>
      </c>
      <c r="B183" s="18" t="s">
        <v>24</v>
      </c>
      <c r="C183" s="18">
        <v>295</v>
      </c>
      <c r="D183" s="21" t="s">
        <v>9</v>
      </c>
      <c r="E183" s="5"/>
      <c r="F183" s="3">
        <v>49</v>
      </c>
      <c r="G183" s="3">
        <v>32.4</v>
      </c>
      <c r="H183" s="3">
        <v>27</v>
      </c>
      <c r="I183" s="3">
        <f t="shared" si="46"/>
        <v>36.133333333333333</v>
      </c>
      <c r="J183" s="3">
        <f t="shared" si="47"/>
        <v>108.4</v>
      </c>
      <c r="K183" s="18">
        <f t="shared" si="55"/>
        <v>25</v>
      </c>
      <c r="L183" s="18">
        <f t="shared" si="45"/>
        <v>235</v>
      </c>
      <c r="M183" s="4"/>
      <c r="N183" s="4"/>
      <c r="O183" s="7"/>
      <c r="P183" s="5">
        <v>82</v>
      </c>
      <c r="Q183" s="3">
        <v>38.821138211382113</v>
      </c>
      <c r="R183" s="3">
        <v>30.05</v>
      </c>
      <c r="S183" s="3">
        <v>33.130081300813011</v>
      </c>
      <c r="T183" s="3">
        <v>34.032786885245905</v>
      </c>
      <c r="U183" s="3">
        <v>102.00121951219512</v>
      </c>
      <c r="V183" s="18">
        <v>46</v>
      </c>
      <c r="W183" s="18">
        <v>298</v>
      </c>
      <c r="X183" s="4">
        <v>36.585365853658537</v>
      </c>
      <c r="Y183" s="4">
        <v>51.25</v>
      </c>
      <c r="Z183" s="7">
        <v>48.780487804878049</v>
      </c>
      <c r="AA183" s="5">
        <v>89</v>
      </c>
      <c r="AB183" s="3">
        <v>32.318339100346009</v>
      </c>
      <c r="AC183" s="3">
        <v>36.988235294117644</v>
      </c>
      <c r="AD183" s="3">
        <v>29.803921568627398</v>
      </c>
      <c r="AE183" s="3">
        <v>33.036831987697028</v>
      </c>
      <c r="AF183" s="3">
        <v>99.110495963091054</v>
      </c>
      <c r="AG183" s="18">
        <v>40</v>
      </c>
      <c r="AH183" s="18">
        <v>284</v>
      </c>
      <c r="AI183" s="4">
        <v>56.470588235294116</v>
      </c>
      <c r="AJ183" s="4">
        <v>38.823529411764703</v>
      </c>
      <c r="AK183" s="7">
        <v>64.705882352941174</v>
      </c>
      <c r="AL183" s="5">
        <v>89</v>
      </c>
      <c r="AM183" s="3">
        <v>38.558106169296998</v>
      </c>
      <c r="AN183" s="3">
        <v>30.452961672473869</v>
      </c>
      <c r="AO183" s="3">
        <v>32.496413199426108</v>
      </c>
      <c r="AP183" s="3">
        <v>33.83582701373232</v>
      </c>
      <c r="AQ183" s="3">
        <v>101.50748104119697</v>
      </c>
      <c r="AR183" s="18">
        <v>44</v>
      </c>
      <c r="AS183" s="18">
        <v>293</v>
      </c>
      <c r="AT183" s="4">
        <v>45.121951219512198</v>
      </c>
      <c r="AU183" s="4">
        <v>56.097560975609753</v>
      </c>
      <c r="AV183" s="7">
        <v>56.097560975609753</v>
      </c>
      <c r="AW183" s="10">
        <f t="shared" si="48"/>
        <v>86.666666666666671</v>
      </c>
      <c r="AX183" s="9">
        <f t="shared" si="49"/>
        <v>36.565861160341704</v>
      </c>
      <c r="AY183" s="9">
        <f t="shared" si="50"/>
        <v>32.497065655530498</v>
      </c>
      <c r="AZ183" s="9">
        <f t="shared" si="51"/>
        <v>31.810138689622175</v>
      </c>
      <c r="BA183" s="9">
        <f t="shared" si="52"/>
        <v>33.635148628891749</v>
      </c>
      <c r="BB183" s="9">
        <f t="shared" si="53"/>
        <v>100.87306550549438</v>
      </c>
      <c r="BC183" s="10">
        <f t="shared" si="56"/>
        <v>46</v>
      </c>
      <c r="BD183" s="10">
        <f t="shared" si="54"/>
        <v>296</v>
      </c>
      <c r="BE183" s="4">
        <f t="shared" si="57"/>
        <v>50.796269727403157</v>
      </c>
      <c r="BF183" s="4">
        <f t="shared" si="58"/>
        <v>47.460545193687224</v>
      </c>
      <c r="BG183" s="7">
        <f t="shared" si="59"/>
        <v>60.401721664275463</v>
      </c>
      <c r="BH183" s="5">
        <v>89</v>
      </c>
      <c r="BI183" s="3">
        <v>34.86931818181818</v>
      </c>
      <c r="BJ183" s="3">
        <v>20.671590909090909</v>
      </c>
      <c r="BK183" s="3">
        <v>19.74318181818181</v>
      </c>
      <c r="BL183" s="3">
        <v>25.094696969696972</v>
      </c>
      <c r="BM183" s="3">
        <v>75.284090909090878</v>
      </c>
      <c r="BN183" s="18">
        <v>45</v>
      </c>
      <c r="BO183" s="18">
        <v>305</v>
      </c>
      <c r="BP183" s="4">
        <v>50</v>
      </c>
      <c r="BQ183" s="4">
        <v>78.409090909090907</v>
      </c>
      <c r="BR183" s="7">
        <v>87.5</v>
      </c>
      <c r="BS183" s="18"/>
      <c r="BT183" s="23">
        <v>295</v>
      </c>
    </row>
    <row r="184" spans="1:72" x14ac:dyDescent="0.25">
      <c r="A184" s="18">
        <v>179</v>
      </c>
      <c r="B184" s="18" t="s">
        <v>24</v>
      </c>
      <c r="C184" s="18">
        <v>296</v>
      </c>
      <c r="D184" s="21" t="s">
        <v>9</v>
      </c>
      <c r="E184" s="5"/>
      <c r="F184" s="3">
        <v>50.333333333333336</v>
      </c>
      <c r="G184" s="3">
        <v>34</v>
      </c>
      <c r="H184" s="3">
        <v>26.9</v>
      </c>
      <c r="I184" s="3">
        <f t="shared" si="46"/>
        <v>37.077777777777783</v>
      </c>
      <c r="J184" s="3">
        <f t="shared" si="47"/>
        <v>111.23333333333335</v>
      </c>
      <c r="K184" s="18">
        <f t="shared" si="55"/>
        <v>23</v>
      </c>
      <c r="L184" s="18">
        <f t="shared" si="45"/>
        <v>227</v>
      </c>
      <c r="M184" s="4"/>
      <c r="N184" s="4"/>
      <c r="O184" s="7"/>
      <c r="P184" s="5">
        <v>82</v>
      </c>
      <c r="Q184" s="3">
        <v>46.300813008130071</v>
      </c>
      <c r="R184" s="3">
        <v>41.609756097560975</v>
      </c>
      <c r="S184" s="3">
        <v>51.341463414634127</v>
      </c>
      <c r="T184" s="3">
        <v>46.417344173441698</v>
      </c>
      <c r="U184" s="3">
        <v>139.25203252032517</v>
      </c>
      <c r="V184" s="18">
        <v>19</v>
      </c>
      <c r="W184" s="18">
        <v>187</v>
      </c>
      <c r="X184" s="4">
        <v>25.609756097560975</v>
      </c>
      <c r="Y184" s="4">
        <v>34.146341463414636</v>
      </c>
      <c r="Z184" s="7">
        <v>28.048780487804876</v>
      </c>
      <c r="AA184" s="5">
        <v>84</v>
      </c>
      <c r="AB184" s="3">
        <v>39.781297134238308</v>
      </c>
      <c r="AC184" s="3">
        <v>39.435897435897438</v>
      </c>
      <c r="AD184" s="3">
        <v>40.637140637140611</v>
      </c>
      <c r="AE184" s="3">
        <v>39.951445069092138</v>
      </c>
      <c r="AF184" s="3">
        <v>119.85433520727636</v>
      </c>
      <c r="AG184" s="18">
        <v>20</v>
      </c>
      <c r="AH184" s="18">
        <v>217</v>
      </c>
      <c r="AI184" s="4">
        <v>39.743589743589745</v>
      </c>
      <c r="AJ184" s="4">
        <v>38.46153846153846</v>
      </c>
      <c r="AK184" s="7">
        <v>42.307692307692307</v>
      </c>
      <c r="AL184" s="5">
        <v>82</v>
      </c>
      <c r="AM184" s="3">
        <v>55.921568627450952</v>
      </c>
      <c r="AN184" s="3">
        <v>38.552380952380936</v>
      </c>
      <c r="AO184" s="3">
        <v>45.450980392156858</v>
      </c>
      <c r="AP184" s="3">
        <v>46.641643323996284</v>
      </c>
      <c r="AQ184" s="3">
        <v>139.92492997198875</v>
      </c>
      <c r="AR184" s="18">
        <v>16</v>
      </c>
      <c r="AS184" s="18">
        <v>187</v>
      </c>
      <c r="AT184" s="4">
        <v>18.666666666666668</v>
      </c>
      <c r="AU184" s="4">
        <v>38.666666666666664</v>
      </c>
      <c r="AV184" s="7">
        <v>29.333333333333332</v>
      </c>
      <c r="AW184" s="10">
        <f t="shared" si="48"/>
        <v>82.666666666666671</v>
      </c>
      <c r="AX184" s="9">
        <f t="shared" si="49"/>
        <v>47.334559589939772</v>
      </c>
      <c r="AY184" s="9">
        <f t="shared" si="50"/>
        <v>39.866011495279785</v>
      </c>
      <c r="AZ184" s="9">
        <f t="shared" si="51"/>
        <v>45.809861481310527</v>
      </c>
      <c r="BA184" s="9">
        <f t="shared" si="52"/>
        <v>44.336810855510038</v>
      </c>
      <c r="BB184" s="9">
        <f t="shared" si="53"/>
        <v>133.01043256653008</v>
      </c>
      <c r="BC184" s="10">
        <f t="shared" si="56"/>
        <v>18</v>
      </c>
      <c r="BD184" s="10">
        <f t="shared" si="54"/>
        <v>208</v>
      </c>
      <c r="BE184" s="4">
        <f t="shared" si="57"/>
        <v>29.205128205128204</v>
      </c>
      <c r="BF184" s="4">
        <f t="shared" si="58"/>
        <v>38.564102564102562</v>
      </c>
      <c r="BG184" s="7">
        <f t="shared" si="59"/>
        <v>35.820512820512818</v>
      </c>
      <c r="BH184" s="5">
        <v>78</v>
      </c>
      <c r="BI184" s="3">
        <v>49.842105263157897</v>
      </c>
      <c r="BJ184" s="3">
        <v>35.76184210526317</v>
      </c>
      <c r="BK184" s="3">
        <v>35.839473684210532</v>
      </c>
      <c r="BL184" s="3">
        <v>40.48114035087719</v>
      </c>
      <c r="BM184" s="3">
        <v>121.44342105263156</v>
      </c>
      <c r="BN184" s="18">
        <v>6</v>
      </c>
      <c r="BO184" s="18">
        <v>158</v>
      </c>
      <c r="BP184" s="4">
        <v>27.631578947368421</v>
      </c>
      <c r="BQ184" s="4">
        <v>52.631578947368418</v>
      </c>
      <c r="BR184" s="7">
        <v>50</v>
      </c>
      <c r="BS184" s="18"/>
      <c r="BT184" s="23">
        <v>296</v>
      </c>
    </row>
    <row r="185" spans="1:72" x14ac:dyDescent="0.25">
      <c r="A185" s="1">
        <v>180</v>
      </c>
      <c r="B185" s="18" t="s">
        <v>24</v>
      </c>
      <c r="C185" s="18">
        <v>305</v>
      </c>
      <c r="D185" s="21" t="s">
        <v>9</v>
      </c>
      <c r="E185" s="5"/>
      <c r="F185" s="3">
        <v>50</v>
      </c>
      <c r="G185" s="3">
        <v>46.4</v>
      </c>
      <c r="H185" s="3">
        <v>39.666666666666664</v>
      </c>
      <c r="I185" s="3">
        <f t="shared" si="46"/>
        <v>45.355555555555554</v>
      </c>
      <c r="J185" s="3">
        <f t="shared" si="47"/>
        <v>136.06666666666666</v>
      </c>
      <c r="K185" s="18">
        <f t="shared" si="55"/>
        <v>16</v>
      </c>
      <c r="L185" s="18">
        <f t="shared" si="45"/>
        <v>138</v>
      </c>
      <c r="M185" s="4"/>
      <c r="N185" s="4"/>
      <c r="O185" s="7"/>
      <c r="P185" s="5">
        <v>36</v>
      </c>
      <c r="Q185" s="3">
        <v>63.055555555555543</v>
      </c>
      <c r="R185" s="3">
        <v>61.777777777777779</v>
      </c>
      <c r="S185" s="3">
        <v>65.092592592592595</v>
      </c>
      <c r="T185" s="3">
        <v>63.308641975308667</v>
      </c>
      <c r="U185" s="3">
        <v>189.92592592592592</v>
      </c>
      <c r="V185" s="18">
        <v>2</v>
      </c>
      <c r="W185" s="18">
        <v>33</v>
      </c>
      <c r="X185" s="4">
        <v>2.7777777777777777</v>
      </c>
      <c r="Y185" s="4">
        <v>0</v>
      </c>
      <c r="Z185" s="7">
        <v>0</v>
      </c>
      <c r="AA185" s="5">
        <v>38</v>
      </c>
      <c r="AB185" s="3">
        <v>45.151033386327505</v>
      </c>
      <c r="AC185" s="3">
        <v>51.567567567567565</v>
      </c>
      <c r="AD185" s="3">
        <v>43.652743652743645</v>
      </c>
      <c r="AE185" s="3">
        <v>46.790448202212907</v>
      </c>
      <c r="AF185" s="3">
        <v>140.37134460663873</v>
      </c>
      <c r="AG185" s="18">
        <v>11</v>
      </c>
      <c r="AH185" s="18">
        <v>131</v>
      </c>
      <c r="AI185" s="4">
        <v>13.513513513513514</v>
      </c>
      <c r="AJ185" s="4">
        <v>8.1081081081081088</v>
      </c>
      <c r="AK185" s="7">
        <v>10.810810810810811</v>
      </c>
      <c r="AL185" s="5">
        <v>38</v>
      </c>
      <c r="AM185" s="3">
        <v>69.896193771626301</v>
      </c>
      <c r="AN185" s="3">
        <v>32.605042016806721</v>
      </c>
      <c r="AO185" s="3">
        <v>61.072664359861591</v>
      </c>
      <c r="AP185" s="3">
        <v>54.524633382764875</v>
      </c>
      <c r="AQ185" s="3">
        <v>163.57390014829463</v>
      </c>
      <c r="AR185" s="18">
        <v>5</v>
      </c>
      <c r="AS185" s="18">
        <v>85</v>
      </c>
      <c r="AT185" s="4">
        <v>0</v>
      </c>
      <c r="AU185" s="4">
        <v>29.411764705882351</v>
      </c>
      <c r="AV185" s="7">
        <v>5.882352941176471</v>
      </c>
      <c r="AW185" s="10">
        <f t="shared" si="48"/>
        <v>37.333333333333336</v>
      </c>
      <c r="AX185" s="9">
        <f t="shared" si="49"/>
        <v>59.367594237836443</v>
      </c>
      <c r="AY185" s="9">
        <f t="shared" si="50"/>
        <v>48.650129120717359</v>
      </c>
      <c r="AZ185" s="9">
        <f t="shared" si="51"/>
        <v>56.606000201732606</v>
      </c>
      <c r="BA185" s="9">
        <f t="shared" si="52"/>
        <v>54.874574520095486</v>
      </c>
      <c r="BB185" s="9">
        <f t="shared" si="53"/>
        <v>164.62372356028644</v>
      </c>
      <c r="BC185" s="10">
        <f t="shared" si="56"/>
        <v>6</v>
      </c>
      <c r="BD185" s="10">
        <f t="shared" si="54"/>
        <v>77</v>
      </c>
      <c r="BE185" s="4">
        <f t="shared" si="57"/>
        <v>6.756756756756757</v>
      </c>
      <c r="BF185" s="4">
        <f t="shared" si="58"/>
        <v>18.75993640699523</v>
      </c>
      <c r="BG185" s="7">
        <f t="shared" si="59"/>
        <v>8.3465818759936408</v>
      </c>
      <c r="BH185" s="5">
        <v>38</v>
      </c>
      <c r="BI185" s="3">
        <v>54.471052631578949</v>
      </c>
      <c r="BJ185" s="3">
        <v>33.047368421052624</v>
      </c>
      <c r="BK185" s="3">
        <v>30.731578947368419</v>
      </c>
      <c r="BL185" s="3">
        <v>39.416666666666664</v>
      </c>
      <c r="BM185" s="3">
        <v>118.25</v>
      </c>
      <c r="BN185" s="18">
        <v>11</v>
      </c>
      <c r="BO185" s="18">
        <v>182</v>
      </c>
      <c r="BP185" s="4">
        <v>13.157894736842104</v>
      </c>
      <c r="BQ185" s="4">
        <v>50</v>
      </c>
      <c r="BR185" s="7">
        <v>63.157894736842103</v>
      </c>
      <c r="BS185" s="18"/>
      <c r="BT185" s="23">
        <v>305</v>
      </c>
    </row>
    <row r="186" spans="1:72" x14ac:dyDescent="0.25">
      <c r="A186" s="18">
        <v>181</v>
      </c>
      <c r="B186" s="18" t="s">
        <v>24</v>
      </c>
      <c r="C186" s="18">
        <v>307</v>
      </c>
      <c r="D186" s="21" t="s">
        <v>9</v>
      </c>
      <c r="E186" s="5"/>
      <c r="F186" s="3">
        <v>42.333333333333336</v>
      </c>
      <c r="G186" s="3">
        <v>58.8</v>
      </c>
      <c r="H186" s="3">
        <v>50</v>
      </c>
      <c r="I186" s="3">
        <f t="shared" si="46"/>
        <v>50.377777777777773</v>
      </c>
      <c r="J186" s="3">
        <f t="shared" si="47"/>
        <v>151.13333333333333</v>
      </c>
      <c r="K186" s="18">
        <f t="shared" si="55"/>
        <v>9</v>
      </c>
      <c r="L186" s="18">
        <f t="shared" si="45"/>
        <v>76</v>
      </c>
      <c r="M186" s="4"/>
      <c r="N186" s="4"/>
      <c r="O186" s="7"/>
      <c r="P186" s="5">
        <v>167</v>
      </c>
      <c r="Q186" s="3">
        <v>47.504990019960097</v>
      </c>
      <c r="R186" s="3">
        <v>42.658682634730539</v>
      </c>
      <c r="S186" s="3">
        <v>46.127744510978061</v>
      </c>
      <c r="T186" s="3">
        <v>45.430472388556204</v>
      </c>
      <c r="U186" s="3">
        <v>136.29141716566869</v>
      </c>
      <c r="V186" s="18">
        <v>23</v>
      </c>
      <c r="W186" s="18">
        <v>203</v>
      </c>
      <c r="X186" s="4">
        <v>28.143712574850298</v>
      </c>
      <c r="Y186" s="4">
        <v>31.137724550898202</v>
      </c>
      <c r="Z186" s="7">
        <v>30.538922155688624</v>
      </c>
      <c r="AA186" s="5">
        <v>180</v>
      </c>
      <c r="AB186" s="3">
        <v>36.323529411764696</v>
      </c>
      <c r="AC186" s="3">
        <v>28.789808917197451</v>
      </c>
      <c r="AD186" s="3">
        <v>33.005211349160341</v>
      </c>
      <c r="AE186" s="3">
        <v>32.773462566844906</v>
      </c>
      <c r="AF186" s="3">
        <v>98.118549678122491</v>
      </c>
      <c r="AG186" s="18">
        <v>42</v>
      </c>
      <c r="AH186" s="18">
        <v>286</v>
      </c>
      <c r="AI186" s="4">
        <v>40.625</v>
      </c>
      <c r="AJ186" s="4">
        <v>58.598726114649679</v>
      </c>
      <c r="AK186" s="7">
        <v>48.407643312101911</v>
      </c>
      <c r="AL186" s="5">
        <v>180</v>
      </c>
      <c r="AM186" s="3">
        <v>54.129333852746441</v>
      </c>
      <c r="AN186" s="3">
        <v>25.543992431409634</v>
      </c>
      <c r="AO186" s="3">
        <v>48.169068952084139</v>
      </c>
      <c r="AP186" s="3">
        <v>42.614131745413388</v>
      </c>
      <c r="AQ186" s="3">
        <v>127.84239523624021</v>
      </c>
      <c r="AR186" s="18">
        <v>27</v>
      </c>
      <c r="AS186" s="18">
        <v>241</v>
      </c>
      <c r="AT186" s="4">
        <v>9.9337748344370862</v>
      </c>
      <c r="AU186" s="4">
        <v>62.913907284768214</v>
      </c>
      <c r="AV186" s="7">
        <v>19.867549668874172</v>
      </c>
      <c r="AW186" s="10">
        <f t="shared" si="48"/>
        <v>175.66666666666666</v>
      </c>
      <c r="AX186" s="9">
        <f t="shared" si="49"/>
        <v>45.985951094823747</v>
      </c>
      <c r="AY186" s="9">
        <f t="shared" si="50"/>
        <v>32.330827994445876</v>
      </c>
      <c r="AZ186" s="9">
        <f t="shared" si="51"/>
        <v>42.43400827074084</v>
      </c>
      <c r="BA186" s="9">
        <f t="shared" si="52"/>
        <v>40.272688900271497</v>
      </c>
      <c r="BB186" s="9">
        <f t="shared" si="53"/>
        <v>120.75078736001046</v>
      </c>
      <c r="BC186" s="10">
        <f t="shared" si="56"/>
        <v>32</v>
      </c>
      <c r="BD186" s="10">
        <f t="shared" si="54"/>
        <v>259</v>
      </c>
      <c r="BE186" s="4">
        <f t="shared" si="57"/>
        <v>25.279387417218544</v>
      </c>
      <c r="BF186" s="4">
        <f t="shared" si="58"/>
        <v>60.756316699708947</v>
      </c>
      <c r="BG186" s="7">
        <f t="shared" si="59"/>
        <v>34.137596490488043</v>
      </c>
      <c r="BH186" s="5">
        <v>178</v>
      </c>
      <c r="BI186" s="3">
        <v>48.77865168539325</v>
      </c>
      <c r="BJ186" s="3">
        <v>29.098314606741546</v>
      </c>
      <c r="BK186" s="3">
        <v>32.483707865168547</v>
      </c>
      <c r="BL186" s="3">
        <v>36.786891385767767</v>
      </c>
      <c r="BM186" s="3">
        <v>110.36067415730338</v>
      </c>
      <c r="BN186" s="18">
        <v>26</v>
      </c>
      <c r="BO186" s="18">
        <v>228</v>
      </c>
      <c r="BP186" s="4">
        <v>29.775280898876403</v>
      </c>
      <c r="BQ186" s="4">
        <v>65.730337078651687</v>
      </c>
      <c r="BR186" s="7">
        <v>56.741573033707866</v>
      </c>
      <c r="BS186" s="18"/>
      <c r="BT186" s="23">
        <v>307</v>
      </c>
    </row>
    <row r="187" spans="1:72" x14ac:dyDescent="0.25">
      <c r="A187" s="18">
        <v>182</v>
      </c>
      <c r="B187" s="18" t="s">
        <v>24</v>
      </c>
      <c r="C187" s="18">
        <v>309</v>
      </c>
      <c r="D187" s="21" t="s">
        <v>9</v>
      </c>
      <c r="E187" s="5"/>
      <c r="F187" s="3">
        <v>52.666666666666664</v>
      </c>
      <c r="G187" s="3">
        <v>56.8</v>
      </c>
      <c r="H187" s="3">
        <v>41.333333333333336</v>
      </c>
      <c r="I187" s="3">
        <f t="shared" si="46"/>
        <v>50.266666666666673</v>
      </c>
      <c r="J187" s="3">
        <f t="shared" si="47"/>
        <v>150.80000000000001</v>
      </c>
      <c r="K187" s="18">
        <f t="shared" si="55"/>
        <v>10</v>
      </c>
      <c r="L187" s="18">
        <f t="shared" si="45"/>
        <v>77</v>
      </c>
      <c r="M187" s="4"/>
      <c r="N187" s="4"/>
      <c r="O187" s="7"/>
      <c r="P187" s="5">
        <v>48</v>
      </c>
      <c r="Q187" s="3">
        <v>43.05555555555555</v>
      </c>
      <c r="R187" s="3">
        <v>40.666666666666664</v>
      </c>
      <c r="S187" s="3">
        <v>42.916666666666679</v>
      </c>
      <c r="T187" s="3">
        <v>42.212962962962983</v>
      </c>
      <c r="U187" s="3">
        <v>126.63888888888889</v>
      </c>
      <c r="V187" s="18">
        <v>36</v>
      </c>
      <c r="W187" s="18">
        <v>253</v>
      </c>
      <c r="X187" s="4">
        <v>18.75</v>
      </c>
      <c r="Y187" s="4">
        <v>33.333333333333336</v>
      </c>
      <c r="Z187" s="7">
        <v>41.666666666666664</v>
      </c>
      <c r="AA187" s="5">
        <v>47</v>
      </c>
      <c r="AB187" s="3">
        <v>44.555694618272838</v>
      </c>
      <c r="AC187" s="3">
        <v>42.978723404255319</v>
      </c>
      <c r="AD187" s="3">
        <v>49.903288201160535</v>
      </c>
      <c r="AE187" s="3">
        <v>45.812568741229576</v>
      </c>
      <c r="AF187" s="3">
        <v>137.43770622368868</v>
      </c>
      <c r="AG187" s="18">
        <v>12</v>
      </c>
      <c r="AH187" s="18">
        <v>142</v>
      </c>
      <c r="AI187" s="4">
        <v>17.021276595744681</v>
      </c>
      <c r="AJ187" s="4">
        <v>27.659574468085108</v>
      </c>
      <c r="AK187" s="7">
        <v>12.76595744680851</v>
      </c>
      <c r="AL187" s="5">
        <v>49</v>
      </c>
      <c r="AM187" s="3">
        <v>56.758448060075111</v>
      </c>
      <c r="AN187" s="3">
        <v>30.091185410334354</v>
      </c>
      <c r="AO187" s="3">
        <v>44.868585732165208</v>
      </c>
      <c r="AP187" s="3">
        <v>43.906073067524893</v>
      </c>
      <c r="AQ187" s="3">
        <v>131.71821920257466</v>
      </c>
      <c r="AR187" s="18">
        <v>23</v>
      </c>
      <c r="AS187" s="18">
        <v>227</v>
      </c>
      <c r="AT187" s="4">
        <v>12.76595744680851</v>
      </c>
      <c r="AU187" s="4">
        <v>55.319148936170215</v>
      </c>
      <c r="AV187" s="7">
        <v>31.914893617021278</v>
      </c>
      <c r="AW187" s="10">
        <f t="shared" si="48"/>
        <v>48</v>
      </c>
      <c r="AX187" s="9">
        <f t="shared" si="49"/>
        <v>48.123232744634493</v>
      </c>
      <c r="AY187" s="9">
        <f t="shared" si="50"/>
        <v>37.912191827085451</v>
      </c>
      <c r="AZ187" s="9">
        <f t="shared" si="51"/>
        <v>45.896180199997474</v>
      </c>
      <c r="BA187" s="9">
        <f t="shared" si="52"/>
        <v>43.977201590572484</v>
      </c>
      <c r="BB187" s="9">
        <f t="shared" si="53"/>
        <v>131.93160477171742</v>
      </c>
      <c r="BC187" s="10">
        <f t="shared" si="56"/>
        <v>20</v>
      </c>
      <c r="BD187" s="10">
        <f t="shared" si="54"/>
        <v>212</v>
      </c>
      <c r="BE187" s="4">
        <f t="shared" si="57"/>
        <v>14.893617021276595</v>
      </c>
      <c r="BF187" s="4">
        <f t="shared" si="58"/>
        <v>41.48936170212766</v>
      </c>
      <c r="BG187" s="7">
        <f t="shared" si="59"/>
        <v>22.340425531914896</v>
      </c>
      <c r="BH187" s="5">
        <v>53</v>
      </c>
      <c r="BI187" s="3">
        <v>49.005882352941171</v>
      </c>
      <c r="BJ187" s="3">
        <v>28.547058823529415</v>
      </c>
      <c r="BK187" s="3">
        <v>31.423529411764719</v>
      </c>
      <c r="BL187" s="3">
        <v>36.325490196078434</v>
      </c>
      <c r="BM187" s="3">
        <v>108.97647058823532</v>
      </c>
      <c r="BN187" s="18">
        <v>27</v>
      </c>
      <c r="BO187" s="18">
        <v>235</v>
      </c>
      <c r="BP187" s="4">
        <v>21.568627450980394</v>
      </c>
      <c r="BQ187" s="4">
        <v>66.666666666666671</v>
      </c>
      <c r="BR187" s="7">
        <v>58.823529411764703</v>
      </c>
      <c r="BS187" s="18"/>
      <c r="BT187" s="23">
        <v>309</v>
      </c>
    </row>
    <row r="188" spans="1:72" x14ac:dyDescent="0.25">
      <c r="A188" s="18">
        <v>183</v>
      </c>
      <c r="B188" s="18" t="s">
        <v>24</v>
      </c>
      <c r="C188" s="18">
        <v>310</v>
      </c>
      <c r="D188" s="21" t="s">
        <v>9</v>
      </c>
      <c r="E188" s="5"/>
      <c r="F188" s="3">
        <v>52</v>
      </c>
      <c r="G188" s="3">
        <v>50.8</v>
      </c>
      <c r="H188" s="3">
        <v>52</v>
      </c>
      <c r="I188" s="3">
        <f t="shared" si="46"/>
        <v>51.6</v>
      </c>
      <c r="J188" s="3">
        <f t="shared" si="47"/>
        <v>154.80000000000001</v>
      </c>
      <c r="K188" s="18">
        <f t="shared" si="55"/>
        <v>7</v>
      </c>
      <c r="L188" s="18">
        <f t="shared" si="45"/>
        <v>66</v>
      </c>
      <c r="M188" s="4"/>
      <c r="N188" s="4"/>
      <c r="O188" s="7"/>
      <c r="P188" s="5">
        <v>121</v>
      </c>
      <c r="Q188" s="3">
        <v>59.449035812672172</v>
      </c>
      <c r="R188" s="3">
        <v>53.366666666666667</v>
      </c>
      <c r="S188" s="3">
        <v>69.821428571428569</v>
      </c>
      <c r="T188" s="3">
        <v>60.672332389046268</v>
      </c>
      <c r="U188" s="3">
        <v>182.63713105076741</v>
      </c>
      <c r="V188" s="18">
        <v>4</v>
      </c>
      <c r="W188" s="18">
        <v>50</v>
      </c>
      <c r="X188" s="4">
        <v>9.9173553719008272</v>
      </c>
      <c r="Y188" s="4">
        <v>8.3333333333333339</v>
      </c>
      <c r="Z188" s="7">
        <v>2.6785714285714284</v>
      </c>
      <c r="AA188" s="5">
        <v>137</v>
      </c>
      <c r="AB188" s="3">
        <v>51.309742647058819</v>
      </c>
      <c r="AC188" s="3">
        <v>46.935650285093672</v>
      </c>
      <c r="AD188" s="3">
        <v>55.326704545454582</v>
      </c>
      <c r="AE188" s="3">
        <v>51.411208647634879</v>
      </c>
      <c r="AF188" s="3">
        <v>153.57209747760709</v>
      </c>
      <c r="AG188" s="18">
        <v>6</v>
      </c>
      <c r="AH188" s="18">
        <v>84</v>
      </c>
      <c r="AI188" s="4">
        <v>18.75</v>
      </c>
      <c r="AJ188" s="4">
        <v>14.173228346456693</v>
      </c>
      <c r="AK188" s="7">
        <v>14.0625</v>
      </c>
      <c r="AL188" s="5">
        <v>137</v>
      </c>
      <c r="AM188" s="3">
        <v>67.715458276333763</v>
      </c>
      <c r="AN188" s="3">
        <v>49.014396456256932</v>
      </c>
      <c r="AO188" s="3">
        <v>64.823529411764696</v>
      </c>
      <c r="AP188" s="3">
        <v>60.399648231385541</v>
      </c>
      <c r="AQ188" s="3">
        <v>181.55338414435539</v>
      </c>
      <c r="AR188" s="18">
        <v>3</v>
      </c>
      <c r="AS188" s="18">
        <v>39</v>
      </c>
      <c r="AT188" s="4">
        <v>2.3255813953488373</v>
      </c>
      <c r="AU188" s="4">
        <v>17.054263565891471</v>
      </c>
      <c r="AV188" s="7">
        <v>6.4</v>
      </c>
      <c r="AW188" s="10">
        <f t="shared" si="48"/>
        <v>131.66666666666666</v>
      </c>
      <c r="AX188" s="9">
        <f t="shared" si="49"/>
        <v>59.491412245354923</v>
      </c>
      <c r="AY188" s="9">
        <f t="shared" si="50"/>
        <v>49.772237802672429</v>
      </c>
      <c r="AZ188" s="9">
        <f t="shared" si="51"/>
        <v>63.32388750954928</v>
      </c>
      <c r="BA188" s="9">
        <f t="shared" si="52"/>
        <v>57.494396422688887</v>
      </c>
      <c r="BB188" s="9">
        <f t="shared" si="53"/>
        <v>172.58753755757664</v>
      </c>
      <c r="BC188" s="10">
        <f t="shared" si="56"/>
        <v>4</v>
      </c>
      <c r="BD188" s="10">
        <f t="shared" si="54"/>
        <v>49</v>
      </c>
      <c r="BE188" s="4">
        <f t="shared" si="57"/>
        <v>10.537790697674419</v>
      </c>
      <c r="BF188" s="4">
        <f t="shared" si="58"/>
        <v>15.613745956174082</v>
      </c>
      <c r="BG188" s="7">
        <f t="shared" si="59"/>
        <v>10.231249999999999</v>
      </c>
      <c r="BH188" s="5">
        <v>136</v>
      </c>
      <c r="BI188" s="3">
        <v>52.214705882352952</v>
      </c>
      <c r="BJ188" s="3">
        <v>31.506617647058835</v>
      </c>
      <c r="BK188" s="3">
        <v>33.932352941176475</v>
      </c>
      <c r="BL188" s="3">
        <v>39.217892156862717</v>
      </c>
      <c r="BM188" s="3">
        <v>117.65367647058828</v>
      </c>
      <c r="BN188" s="18">
        <v>12</v>
      </c>
      <c r="BO188" s="18">
        <v>185</v>
      </c>
      <c r="BP188" s="4">
        <v>25.735294117647058</v>
      </c>
      <c r="BQ188" s="4">
        <v>62.5</v>
      </c>
      <c r="BR188" s="7">
        <v>52.941176470588232</v>
      </c>
      <c r="BS188" s="18"/>
      <c r="BT188" s="23">
        <v>310</v>
      </c>
    </row>
    <row r="189" spans="1:72" x14ac:dyDescent="0.25">
      <c r="A189" s="18">
        <v>184</v>
      </c>
      <c r="B189" s="18" t="s">
        <v>24</v>
      </c>
      <c r="C189" s="18">
        <v>311</v>
      </c>
      <c r="D189" s="21" t="s">
        <v>9</v>
      </c>
      <c r="E189" s="5"/>
      <c r="F189" s="3">
        <v>28.333333333333332</v>
      </c>
      <c r="G189" s="3">
        <v>39.6</v>
      </c>
      <c r="H189" s="3">
        <v>38.666666666666664</v>
      </c>
      <c r="I189" s="3">
        <f t="shared" si="46"/>
        <v>35.533333333333331</v>
      </c>
      <c r="J189" s="3">
        <f t="shared" si="47"/>
        <v>106.6</v>
      </c>
      <c r="K189" s="18">
        <f t="shared" si="55"/>
        <v>27</v>
      </c>
      <c r="L189" s="18">
        <f t="shared" si="45"/>
        <v>241</v>
      </c>
      <c r="M189" s="4"/>
      <c r="N189" s="4"/>
      <c r="O189" s="7"/>
      <c r="P189" s="5">
        <v>165</v>
      </c>
      <c r="Q189" s="3">
        <v>48.242424242424242</v>
      </c>
      <c r="R189" s="3">
        <v>40.606060606060609</v>
      </c>
      <c r="S189" s="3">
        <v>43.090909090909086</v>
      </c>
      <c r="T189" s="3">
        <v>43.979797979798001</v>
      </c>
      <c r="U189" s="3">
        <v>131.93939393939394</v>
      </c>
      <c r="V189" s="18">
        <v>29</v>
      </c>
      <c r="W189" s="18">
        <v>228</v>
      </c>
      <c r="X189" s="4">
        <v>21.818181818181817</v>
      </c>
      <c r="Y189" s="4">
        <v>38.787878787878789</v>
      </c>
      <c r="Z189" s="7">
        <v>32.121212121212125</v>
      </c>
      <c r="AA189" s="5">
        <v>177</v>
      </c>
      <c r="AB189" s="3">
        <v>37.003676470588204</v>
      </c>
      <c r="AC189" s="3">
        <v>35.193965517241381</v>
      </c>
      <c r="AD189" s="3">
        <v>43.541666666666657</v>
      </c>
      <c r="AE189" s="3">
        <v>38.579769551498785</v>
      </c>
      <c r="AF189" s="3">
        <v>115.73930865449624</v>
      </c>
      <c r="AG189" s="18">
        <v>25</v>
      </c>
      <c r="AH189" s="18">
        <v>228</v>
      </c>
      <c r="AI189" s="4">
        <v>36.477987421383645</v>
      </c>
      <c r="AJ189" s="4">
        <v>39.375</v>
      </c>
      <c r="AK189" s="7">
        <v>26.25</v>
      </c>
      <c r="AL189" s="5">
        <v>175</v>
      </c>
      <c r="AM189" s="3">
        <v>58.045540796963962</v>
      </c>
      <c r="AN189" s="3">
        <v>24.516129032258075</v>
      </c>
      <c r="AO189" s="3">
        <v>47.836812144212537</v>
      </c>
      <c r="AP189" s="3">
        <v>43.466160657811514</v>
      </c>
      <c r="AQ189" s="3">
        <v>130.39848197343457</v>
      </c>
      <c r="AR189" s="18">
        <v>25</v>
      </c>
      <c r="AS189" s="18">
        <v>231</v>
      </c>
      <c r="AT189" s="4">
        <v>14.193548387096774</v>
      </c>
      <c r="AU189" s="4">
        <v>63.87096774193548</v>
      </c>
      <c r="AV189" s="7">
        <v>29.032258064516128</v>
      </c>
      <c r="AW189" s="10">
        <f t="shared" si="48"/>
        <v>172.33333333333334</v>
      </c>
      <c r="AX189" s="9">
        <f t="shared" si="49"/>
        <v>47.763880503325474</v>
      </c>
      <c r="AY189" s="9">
        <f t="shared" si="50"/>
        <v>33.438718385186689</v>
      </c>
      <c r="AZ189" s="9">
        <f t="shared" si="51"/>
        <v>44.823129300596094</v>
      </c>
      <c r="BA189" s="9">
        <f t="shared" si="52"/>
        <v>42.008576063036095</v>
      </c>
      <c r="BB189" s="9">
        <f t="shared" si="53"/>
        <v>126.02572818910825</v>
      </c>
      <c r="BC189" s="10">
        <f t="shared" si="56"/>
        <v>25</v>
      </c>
      <c r="BD189" s="10">
        <f t="shared" si="54"/>
        <v>232</v>
      </c>
      <c r="BE189" s="4">
        <f t="shared" si="57"/>
        <v>25.33576790424021</v>
      </c>
      <c r="BF189" s="4">
        <f t="shared" si="58"/>
        <v>51.622983870967744</v>
      </c>
      <c r="BG189" s="7">
        <f t="shared" si="59"/>
        <v>27.641129032258064</v>
      </c>
      <c r="BH189" s="5">
        <v>172</v>
      </c>
      <c r="BI189" s="3">
        <v>52.952352941176471</v>
      </c>
      <c r="BJ189" s="3">
        <v>33.700588235294106</v>
      </c>
      <c r="BK189" s="3">
        <v>34.879411764705907</v>
      </c>
      <c r="BL189" s="3">
        <v>40.510784313725502</v>
      </c>
      <c r="BM189" s="3">
        <v>121.53235294117647</v>
      </c>
      <c r="BN189" s="18">
        <v>5</v>
      </c>
      <c r="BO189" s="18">
        <v>157</v>
      </c>
      <c r="BP189" s="4">
        <v>22.352941176470587</v>
      </c>
      <c r="BQ189" s="4">
        <v>54.117647058823529</v>
      </c>
      <c r="BR189" s="7">
        <v>49.411764705882355</v>
      </c>
      <c r="BS189" s="18"/>
      <c r="BT189" s="23">
        <v>311</v>
      </c>
    </row>
    <row r="190" spans="1:72" x14ac:dyDescent="0.25">
      <c r="A190" s="1">
        <v>185</v>
      </c>
      <c r="B190" s="18" t="s">
        <v>25</v>
      </c>
      <c r="C190" s="18">
        <v>2</v>
      </c>
      <c r="D190" s="21" t="s">
        <v>19</v>
      </c>
      <c r="E190" s="5"/>
      <c r="F190" s="3">
        <v>60.666666666666664</v>
      </c>
      <c r="G190" s="3">
        <v>54</v>
      </c>
      <c r="H190" s="3">
        <v>44.333333333333336</v>
      </c>
      <c r="I190" s="3">
        <f t="shared" si="46"/>
        <v>53</v>
      </c>
      <c r="J190" s="3">
        <f t="shared" si="47"/>
        <v>159</v>
      </c>
      <c r="K190" s="18">
        <f t="shared" ref="K190:K204" si="60">IF(J190="","",(RANK(J190,$J$190:$J$204)))</f>
        <v>4</v>
      </c>
      <c r="L190" s="18">
        <f t="shared" si="45"/>
        <v>57</v>
      </c>
      <c r="M190" s="4"/>
      <c r="N190" s="4"/>
      <c r="O190" s="7"/>
      <c r="P190" s="5">
        <v>67</v>
      </c>
      <c r="Q190" s="3">
        <v>69.303482587064693</v>
      </c>
      <c r="R190" s="3">
        <v>66.149253731343279</v>
      </c>
      <c r="S190" s="3">
        <v>73.78109452736318</v>
      </c>
      <c r="T190" s="3">
        <v>69.744610281923741</v>
      </c>
      <c r="U190" s="3">
        <v>209.23383084577114</v>
      </c>
      <c r="V190" s="18">
        <v>2</v>
      </c>
      <c r="W190" s="18">
        <v>8</v>
      </c>
      <c r="X190" s="4">
        <v>0</v>
      </c>
      <c r="Y190" s="4">
        <v>2.9850746268656718</v>
      </c>
      <c r="Z190" s="7">
        <v>2.9850746268656718</v>
      </c>
      <c r="AA190" s="5">
        <v>69</v>
      </c>
      <c r="AB190" s="3">
        <v>46.760443307757889</v>
      </c>
      <c r="AC190" s="3">
        <v>58.376811594202898</v>
      </c>
      <c r="AD190" s="3">
        <v>59.376372419850668</v>
      </c>
      <c r="AE190" s="3">
        <v>54.837875773937149</v>
      </c>
      <c r="AF190" s="3">
        <v>164.51362732181144</v>
      </c>
      <c r="AG190" s="18">
        <v>5</v>
      </c>
      <c r="AH190" s="18">
        <v>54</v>
      </c>
      <c r="AI190" s="4">
        <v>8.695652173913043</v>
      </c>
      <c r="AJ190" s="4">
        <v>7.2463768115942031</v>
      </c>
      <c r="AK190" s="7">
        <v>8.695652173913043</v>
      </c>
      <c r="AL190" s="5">
        <v>65</v>
      </c>
      <c r="AM190" s="3">
        <v>65.791855203619932</v>
      </c>
      <c r="AN190" s="3">
        <v>45.010989010989015</v>
      </c>
      <c r="AO190" s="3">
        <v>67.239819004524904</v>
      </c>
      <c r="AP190" s="3">
        <v>59.34755440637791</v>
      </c>
      <c r="AQ190" s="3">
        <v>178.04266321913383</v>
      </c>
      <c r="AR190" s="18">
        <v>4</v>
      </c>
      <c r="AS190" s="18">
        <v>46</v>
      </c>
      <c r="AT190" s="4">
        <v>6.1538461538461542</v>
      </c>
      <c r="AU190" s="4">
        <v>24.615384615384617</v>
      </c>
      <c r="AV190" s="7">
        <v>6.1538461538461542</v>
      </c>
      <c r="AW190" s="10">
        <f t="shared" si="48"/>
        <v>67</v>
      </c>
      <c r="AX190" s="9">
        <f t="shared" si="49"/>
        <v>60.618593699480833</v>
      </c>
      <c r="AY190" s="9">
        <f t="shared" si="50"/>
        <v>56.512351445511733</v>
      </c>
      <c r="AZ190" s="9">
        <f t="shared" si="51"/>
        <v>66.799095317246255</v>
      </c>
      <c r="BA190" s="9">
        <f t="shared" si="52"/>
        <v>61.310013487412938</v>
      </c>
      <c r="BB190" s="9">
        <f t="shared" si="53"/>
        <v>183.93004046223882</v>
      </c>
      <c r="BC190" s="10">
        <f>IF(BB190="","",(RANK(BB190,$BB$190:$BB$204)))</f>
        <v>2</v>
      </c>
      <c r="BD190" s="10">
        <f t="shared" si="54"/>
        <v>23</v>
      </c>
      <c r="BE190" s="4">
        <f t="shared" si="57"/>
        <v>7.4247491638795982</v>
      </c>
      <c r="BF190" s="4">
        <f t="shared" si="58"/>
        <v>15.93088071348941</v>
      </c>
      <c r="BG190" s="7">
        <f t="shared" si="59"/>
        <v>7.4247491638795982</v>
      </c>
      <c r="BH190" s="5">
        <v>73</v>
      </c>
      <c r="BI190" s="3">
        <v>72.243835616438375</v>
      </c>
      <c r="BJ190" s="3">
        <v>45.504109589041093</v>
      </c>
      <c r="BK190" s="3">
        <v>53.545205479452029</v>
      </c>
      <c r="BL190" s="3">
        <v>57.097716894977189</v>
      </c>
      <c r="BM190" s="3">
        <v>171.29315068493156</v>
      </c>
      <c r="BN190" s="18">
        <v>3</v>
      </c>
      <c r="BO190" s="18">
        <v>10</v>
      </c>
      <c r="BP190" s="4">
        <v>1.3698630136986301</v>
      </c>
      <c r="BQ190" s="4">
        <v>31.506849315068493</v>
      </c>
      <c r="BR190" s="7">
        <v>13.698630136986301</v>
      </c>
      <c r="BS190" s="18"/>
      <c r="BT190" s="23">
        <v>2</v>
      </c>
    </row>
    <row r="191" spans="1:72" x14ac:dyDescent="0.25">
      <c r="A191" s="18">
        <v>186</v>
      </c>
      <c r="B191" s="18" t="s">
        <v>25</v>
      </c>
      <c r="C191" s="18">
        <v>7</v>
      </c>
      <c r="D191" s="21" t="s">
        <v>9</v>
      </c>
      <c r="E191" s="5"/>
      <c r="F191" s="3">
        <v>38</v>
      </c>
      <c r="G191" s="3">
        <v>45.6</v>
      </c>
      <c r="H191" s="3">
        <v>44.333333333333336</v>
      </c>
      <c r="I191" s="3">
        <f t="shared" si="46"/>
        <v>42.644444444444446</v>
      </c>
      <c r="J191" s="3">
        <f t="shared" si="47"/>
        <v>127.93333333333334</v>
      </c>
      <c r="K191" s="18">
        <f t="shared" si="60"/>
        <v>9</v>
      </c>
      <c r="L191" s="18">
        <f t="shared" si="45"/>
        <v>165</v>
      </c>
      <c r="M191" s="4"/>
      <c r="N191" s="4"/>
      <c r="O191" s="7"/>
      <c r="P191" s="5">
        <v>92</v>
      </c>
      <c r="Q191" s="3">
        <v>61.086956521739133</v>
      </c>
      <c r="R191" s="3">
        <v>57.521739130434781</v>
      </c>
      <c r="S191" s="3">
        <v>70.615942028985501</v>
      </c>
      <c r="T191" s="3">
        <v>63.074879227053131</v>
      </c>
      <c r="U191" s="3">
        <v>189.22463768115941</v>
      </c>
      <c r="V191" s="18">
        <v>4</v>
      </c>
      <c r="W191" s="18">
        <v>36</v>
      </c>
      <c r="X191" s="4">
        <v>5.4347826086956523</v>
      </c>
      <c r="Y191" s="4">
        <v>6.5217391304347823</v>
      </c>
      <c r="Z191" s="7">
        <v>1.0869565217391304</v>
      </c>
      <c r="AA191" s="5">
        <v>103</v>
      </c>
      <c r="AB191" s="3">
        <v>50.786255096097854</v>
      </c>
      <c r="AC191" s="3">
        <v>51.207920792079207</v>
      </c>
      <c r="AD191" s="3">
        <v>61.896189618961898</v>
      </c>
      <c r="AE191" s="3">
        <v>54.630121835712977</v>
      </c>
      <c r="AF191" s="3">
        <v>163.89036550713897</v>
      </c>
      <c r="AG191" s="18">
        <v>6</v>
      </c>
      <c r="AH191" s="18">
        <v>55</v>
      </c>
      <c r="AI191" s="4">
        <v>14.851485148514852</v>
      </c>
      <c r="AJ191" s="4">
        <v>16.831683168316832</v>
      </c>
      <c r="AK191" s="7">
        <v>10.891089108910892</v>
      </c>
      <c r="AL191" s="5">
        <v>106</v>
      </c>
      <c r="AM191" s="3">
        <v>58.235294117647101</v>
      </c>
      <c r="AN191" s="3">
        <v>40.674157303370791</v>
      </c>
      <c r="AO191" s="3">
        <v>69.695968274950417</v>
      </c>
      <c r="AP191" s="3">
        <v>56.337690631808265</v>
      </c>
      <c r="AQ191" s="3">
        <v>168.60541969596829</v>
      </c>
      <c r="AR191" s="18">
        <v>6</v>
      </c>
      <c r="AS191" s="18">
        <v>74</v>
      </c>
      <c r="AT191" s="4">
        <v>17.777777777777779</v>
      </c>
      <c r="AU191" s="4">
        <v>29.213483146067414</v>
      </c>
      <c r="AV191" s="7">
        <v>4.4943820224719104</v>
      </c>
      <c r="AW191" s="10">
        <f t="shared" si="48"/>
        <v>100.33333333333333</v>
      </c>
      <c r="AX191" s="9">
        <f t="shared" si="49"/>
        <v>56.70283524516136</v>
      </c>
      <c r="AY191" s="9">
        <f t="shared" si="50"/>
        <v>49.801272408628257</v>
      </c>
      <c r="AZ191" s="9">
        <f t="shared" si="51"/>
        <v>67.402699974299267</v>
      </c>
      <c r="BA191" s="9">
        <f t="shared" si="52"/>
        <v>58.014230564858131</v>
      </c>
      <c r="BB191" s="9">
        <f t="shared" si="53"/>
        <v>173.9068076280889</v>
      </c>
      <c r="BC191" s="10">
        <f t="shared" ref="BC191:BC204" si="61">IF(BB191="","",(RANK(BB191,$BB$190:$BB$204)))</f>
        <v>6</v>
      </c>
      <c r="BD191" s="10">
        <f t="shared" si="54"/>
        <v>43</v>
      </c>
      <c r="BE191" s="4">
        <f t="shared" si="57"/>
        <v>16.314631463146316</v>
      </c>
      <c r="BF191" s="4">
        <f t="shared" si="58"/>
        <v>23.022583157192123</v>
      </c>
      <c r="BG191" s="7">
        <f t="shared" si="59"/>
        <v>7.6927355656914012</v>
      </c>
      <c r="BH191" s="5">
        <v>102</v>
      </c>
      <c r="BI191" s="3">
        <v>60.738235294117651</v>
      </c>
      <c r="BJ191" s="3">
        <v>32.717647058823523</v>
      </c>
      <c r="BK191" s="3">
        <v>44.315686274509829</v>
      </c>
      <c r="BL191" s="3">
        <v>45.923856209150323</v>
      </c>
      <c r="BM191" s="3">
        <v>137.77156862745099</v>
      </c>
      <c r="BN191" s="18">
        <v>6</v>
      </c>
      <c r="BO191" s="18">
        <v>81</v>
      </c>
      <c r="BP191" s="4">
        <v>6.8627450980392153</v>
      </c>
      <c r="BQ191" s="4">
        <v>50.980392156862742</v>
      </c>
      <c r="BR191" s="7">
        <v>35.294117647058826</v>
      </c>
      <c r="BS191" s="18"/>
      <c r="BT191" s="23">
        <v>7</v>
      </c>
    </row>
    <row r="192" spans="1:72" x14ac:dyDescent="0.25">
      <c r="A192" s="18">
        <v>187</v>
      </c>
      <c r="B192" s="18" t="s">
        <v>25</v>
      </c>
      <c r="C192" s="18">
        <v>49</v>
      </c>
      <c r="D192" s="21" t="s">
        <v>11</v>
      </c>
      <c r="E192" s="5"/>
      <c r="F192" s="3">
        <v>36.666666666666664</v>
      </c>
      <c r="G192" s="3">
        <v>49.2</v>
      </c>
      <c r="H192" s="3">
        <v>40</v>
      </c>
      <c r="I192" s="3">
        <f t="shared" si="46"/>
        <v>41.955555555555556</v>
      </c>
      <c r="J192" s="3">
        <f t="shared" si="47"/>
        <v>125.86666666666667</v>
      </c>
      <c r="K192" s="18">
        <f t="shared" si="60"/>
        <v>10</v>
      </c>
      <c r="L192" s="18">
        <f t="shared" si="45"/>
        <v>169</v>
      </c>
      <c r="M192" s="4"/>
      <c r="N192" s="4"/>
      <c r="O192" s="7"/>
      <c r="P192" s="5">
        <v>131</v>
      </c>
      <c r="Q192" s="3">
        <v>48.90585241730281</v>
      </c>
      <c r="R192" s="3">
        <v>46.106870229007633</v>
      </c>
      <c r="S192" s="3">
        <v>58.829516539440213</v>
      </c>
      <c r="T192" s="3">
        <v>51.280746395250212</v>
      </c>
      <c r="U192" s="3">
        <v>153.84223918575066</v>
      </c>
      <c r="V192" s="18">
        <v>9</v>
      </c>
      <c r="W192" s="18">
        <v>126</v>
      </c>
      <c r="X192" s="4">
        <v>22.900763358778626</v>
      </c>
      <c r="Y192" s="4">
        <v>34.351145038167942</v>
      </c>
      <c r="Z192" s="7">
        <v>12.977099236641221</v>
      </c>
      <c r="AA192" s="5">
        <v>138</v>
      </c>
      <c r="AB192" s="3">
        <v>61.487638533674236</v>
      </c>
      <c r="AC192" s="3">
        <v>71.85507246376811</v>
      </c>
      <c r="AD192" s="3">
        <v>66.183574879227066</v>
      </c>
      <c r="AE192" s="3">
        <v>66.508761958889806</v>
      </c>
      <c r="AF192" s="3">
        <v>199.52628587666942</v>
      </c>
      <c r="AG192" s="18">
        <v>1</v>
      </c>
      <c r="AH192" s="18">
        <v>4</v>
      </c>
      <c r="AI192" s="4">
        <v>2.8985507246376812</v>
      </c>
      <c r="AJ192" s="4">
        <v>1.4598540145985401</v>
      </c>
      <c r="AK192" s="7">
        <v>2.8985507246376812</v>
      </c>
      <c r="AL192" s="5">
        <v>138</v>
      </c>
      <c r="AM192" s="3">
        <v>65.750213128729712</v>
      </c>
      <c r="AN192" s="3">
        <v>53.623188405797094</v>
      </c>
      <c r="AO192" s="3">
        <v>67.135549872122709</v>
      </c>
      <c r="AP192" s="3">
        <v>62.169650468883184</v>
      </c>
      <c r="AQ192" s="3">
        <v>186.50895140664952</v>
      </c>
      <c r="AR192" s="18">
        <v>3</v>
      </c>
      <c r="AS192" s="18">
        <v>28</v>
      </c>
      <c r="AT192" s="4">
        <v>1.4492753623188406</v>
      </c>
      <c r="AU192" s="4">
        <v>5.8394160583941606</v>
      </c>
      <c r="AV192" s="7">
        <v>0</v>
      </c>
      <c r="AW192" s="10">
        <f t="shared" si="48"/>
        <v>135.66666666666666</v>
      </c>
      <c r="AX192" s="9">
        <f t="shared" si="49"/>
        <v>58.714568026568919</v>
      </c>
      <c r="AY192" s="9">
        <f t="shared" si="50"/>
        <v>57.195043699524284</v>
      </c>
      <c r="AZ192" s="9">
        <f t="shared" si="51"/>
        <v>64.049547096929999</v>
      </c>
      <c r="BA192" s="9">
        <f t="shared" si="52"/>
        <v>59.986386274341072</v>
      </c>
      <c r="BB192" s="9">
        <f t="shared" si="53"/>
        <v>179.95915882302322</v>
      </c>
      <c r="BC192" s="10">
        <f t="shared" si="61"/>
        <v>4</v>
      </c>
      <c r="BD192" s="10">
        <f t="shared" si="54"/>
        <v>30</v>
      </c>
      <c r="BE192" s="4">
        <f t="shared" si="57"/>
        <v>2.1739130434782608</v>
      </c>
      <c r="BF192" s="4">
        <f t="shared" si="58"/>
        <v>3.6496350364963503</v>
      </c>
      <c r="BG192" s="7">
        <f t="shared" si="59"/>
        <v>1.4492753623188406</v>
      </c>
      <c r="BH192" s="5">
        <v>137</v>
      </c>
      <c r="BI192" s="3">
        <v>57.587591240875931</v>
      </c>
      <c r="BJ192" s="3">
        <v>30.681021897810222</v>
      </c>
      <c r="BK192" s="3">
        <v>34.845985401459842</v>
      </c>
      <c r="BL192" s="3">
        <v>41.038199513381997</v>
      </c>
      <c r="BM192" s="3">
        <v>123.11459854014591</v>
      </c>
      <c r="BN192" s="18">
        <v>9</v>
      </c>
      <c r="BO192" s="18">
        <v>148</v>
      </c>
      <c r="BP192" s="4">
        <v>13.138686131386862</v>
      </c>
      <c r="BQ192" s="4">
        <v>57.664233576642339</v>
      </c>
      <c r="BR192" s="7">
        <v>51.094890510948908</v>
      </c>
      <c r="BS192" s="18"/>
      <c r="BT192" s="23">
        <v>49</v>
      </c>
    </row>
    <row r="193" spans="1:72" x14ac:dyDescent="0.25">
      <c r="A193" s="18">
        <v>188</v>
      </c>
      <c r="B193" s="18" t="s">
        <v>25</v>
      </c>
      <c r="C193" s="18">
        <v>50</v>
      </c>
      <c r="D193" s="21" t="s">
        <v>9</v>
      </c>
      <c r="E193" s="5"/>
      <c r="F193" s="3">
        <v>39</v>
      </c>
      <c r="G193" s="3">
        <v>39.200000000000003</v>
      </c>
      <c r="H193" s="3">
        <v>36.333333333333336</v>
      </c>
      <c r="I193" s="3">
        <f t="shared" si="46"/>
        <v>38.177777777777777</v>
      </c>
      <c r="J193" s="3">
        <f t="shared" si="47"/>
        <v>114.53333333333333</v>
      </c>
      <c r="K193" s="18">
        <f t="shared" si="60"/>
        <v>12</v>
      </c>
      <c r="L193" s="18">
        <f t="shared" si="45"/>
        <v>218</v>
      </c>
      <c r="M193" s="4"/>
      <c r="N193" s="4"/>
      <c r="O193" s="7"/>
      <c r="P193" s="5">
        <v>20</v>
      </c>
      <c r="Q193" s="3">
        <v>50.166666666666664</v>
      </c>
      <c r="R193" s="3">
        <v>42.2</v>
      </c>
      <c r="S193" s="3">
        <v>44.166666666666664</v>
      </c>
      <c r="T193" s="3">
        <v>45.511111111111099</v>
      </c>
      <c r="U193" s="3">
        <v>136.53333333333333</v>
      </c>
      <c r="V193" s="18">
        <v>12</v>
      </c>
      <c r="W193" s="18">
        <v>201</v>
      </c>
      <c r="X193" s="4">
        <v>25</v>
      </c>
      <c r="Y193" s="4">
        <v>35</v>
      </c>
      <c r="Z193" s="7">
        <v>50</v>
      </c>
      <c r="AA193" s="5">
        <v>20</v>
      </c>
      <c r="AB193" s="3">
        <v>52.205882352941174</v>
      </c>
      <c r="AC193" s="3">
        <v>44.8</v>
      </c>
      <c r="AD193" s="3">
        <v>43.636363636363633</v>
      </c>
      <c r="AE193" s="3">
        <v>46.880748663101606</v>
      </c>
      <c r="AF193" s="3">
        <v>140.6422459893048</v>
      </c>
      <c r="AG193" s="18">
        <v>10</v>
      </c>
      <c r="AH193" s="18">
        <v>130</v>
      </c>
      <c r="AI193" s="4">
        <v>10</v>
      </c>
      <c r="AJ193" s="4">
        <v>20</v>
      </c>
      <c r="AK193" s="7">
        <v>25</v>
      </c>
      <c r="AL193" s="5">
        <v>24</v>
      </c>
      <c r="AM193" s="3">
        <v>55.024509803921575</v>
      </c>
      <c r="AN193" s="3">
        <v>44.404761904761898</v>
      </c>
      <c r="AO193" s="3">
        <v>41.789215686274517</v>
      </c>
      <c r="AP193" s="3">
        <v>47.072829131652661</v>
      </c>
      <c r="AQ193" s="3">
        <v>141.218487394958</v>
      </c>
      <c r="AR193" s="18">
        <v>11</v>
      </c>
      <c r="AS193" s="18">
        <v>180</v>
      </c>
      <c r="AT193" s="4">
        <v>4.166666666666667</v>
      </c>
      <c r="AU193" s="4">
        <v>8.3333333333333339</v>
      </c>
      <c r="AV193" s="7">
        <v>45.833333333333336</v>
      </c>
      <c r="AW193" s="10">
        <f t="shared" si="48"/>
        <v>21.333333333333332</v>
      </c>
      <c r="AX193" s="9">
        <f t="shared" si="49"/>
        <v>52.465686274509807</v>
      </c>
      <c r="AY193" s="9">
        <f t="shared" si="50"/>
        <v>43.801587301587297</v>
      </c>
      <c r="AZ193" s="9">
        <f t="shared" si="51"/>
        <v>43.197415329768269</v>
      </c>
      <c r="BA193" s="9">
        <f t="shared" si="52"/>
        <v>46.488229635288455</v>
      </c>
      <c r="BB193" s="9">
        <f t="shared" si="53"/>
        <v>139.46468890586536</v>
      </c>
      <c r="BC193" s="10">
        <f t="shared" si="61"/>
        <v>12</v>
      </c>
      <c r="BD193" s="10">
        <f t="shared" si="54"/>
        <v>170</v>
      </c>
      <c r="BE193" s="4">
        <f t="shared" si="57"/>
        <v>7.0833333333333339</v>
      </c>
      <c r="BF193" s="4">
        <f t="shared" si="58"/>
        <v>14.166666666666668</v>
      </c>
      <c r="BG193" s="7">
        <f t="shared" si="59"/>
        <v>35.416666666666671</v>
      </c>
      <c r="BH193" s="5">
        <v>24</v>
      </c>
      <c r="BI193" s="3">
        <v>40.93333333333333</v>
      </c>
      <c r="BJ193" s="3">
        <v>16.700000000000003</v>
      </c>
      <c r="BK193" s="3">
        <v>25.604166666666675</v>
      </c>
      <c r="BL193" s="3">
        <v>27.745833333333334</v>
      </c>
      <c r="BM193" s="3">
        <v>83.237499999999997</v>
      </c>
      <c r="BN193" s="18">
        <v>15</v>
      </c>
      <c r="BO193" s="18">
        <v>296</v>
      </c>
      <c r="BP193" s="4">
        <v>45.833333333333336</v>
      </c>
      <c r="BQ193" s="4">
        <v>87.5</v>
      </c>
      <c r="BR193" s="7">
        <v>66.666666666666671</v>
      </c>
      <c r="BS193" s="18"/>
      <c r="BT193" s="23">
        <v>50</v>
      </c>
    </row>
    <row r="194" spans="1:72" x14ac:dyDescent="0.25">
      <c r="A194" s="18">
        <v>189</v>
      </c>
      <c r="B194" s="18" t="s">
        <v>25</v>
      </c>
      <c r="C194" s="18">
        <v>51</v>
      </c>
      <c r="D194" s="21" t="s">
        <v>9</v>
      </c>
      <c r="E194" s="5"/>
      <c r="F194" s="3">
        <v>39.666666666666664</v>
      </c>
      <c r="G194" s="3">
        <v>48</v>
      </c>
      <c r="H194" s="3">
        <v>40.333333333333336</v>
      </c>
      <c r="I194" s="3">
        <f t="shared" si="46"/>
        <v>42.666666666666664</v>
      </c>
      <c r="J194" s="3">
        <f t="shared" si="47"/>
        <v>128</v>
      </c>
      <c r="K194" s="18">
        <f t="shared" si="60"/>
        <v>8</v>
      </c>
      <c r="L194" s="18">
        <f t="shared" si="45"/>
        <v>163</v>
      </c>
      <c r="M194" s="4"/>
      <c r="N194" s="4"/>
      <c r="O194" s="7"/>
      <c r="P194" s="5">
        <v>107</v>
      </c>
      <c r="Q194" s="3">
        <v>49.345794392523366</v>
      </c>
      <c r="R194" s="3">
        <v>47.439252336448597</v>
      </c>
      <c r="S194" s="3">
        <v>41.713395638629287</v>
      </c>
      <c r="T194" s="3">
        <v>46.166147455867097</v>
      </c>
      <c r="U194" s="3">
        <v>138.49844236760126</v>
      </c>
      <c r="V194" s="18">
        <v>11</v>
      </c>
      <c r="W194" s="18">
        <v>193</v>
      </c>
      <c r="X194" s="4">
        <v>10.280373831775702</v>
      </c>
      <c r="Y194" s="4">
        <v>21.495327102803738</v>
      </c>
      <c r="Z194" s="7">
        <v>39.252336448598129</v>
      </c>
      <c r="AA194" s="5">
        <v>124</v>
      </c>
      <c r="AB194" s="3">
        <v>43.854763344107916</v>
      </c>
      <c r="AC194" s="3">
        <v>41.243272765069989</v>
      </c>
      <c r="AD194" s="3">
        <v>38.415722079280386</v>
      </c>
      <c r="AE194" s="3">
        <v>41.17125272948612</v>
      </c>
      <c r="AF194" s="3">
        <v>123.5137581884583</v>
      </c>
      <c r="AG194" s="18">
        <v>12</v>
      </c>
      <c r="AH194" s="18">
        <v>195</v>
      </c>
      <c r="AI194" s="4">
        <v>14.285714285714286</v>
      </c>
      <c r="AJ194" s="4">
        <v>25.210084033613445</v>
      </c>
      <c r="AK194" s="7">
        <v>28.571428571428573</v>
      </c>
      <c r="AL194" s="5">
        <v>94</v>
      </c>
      <c r="AM194" s="3">
        <v>63.055954088952682</v>
      </c>
      <c r="AN194" s="3">
        <v>39.174116645381012</v>
      </c>
      <c r="AO194" s="3">
        <v>51.441241685144121</v>
      </c>
      <c r="AP194" s="3">
        <v>51.867776922066383</v>
      </c>
      <c r="AQ194" s="3">
        <v>153.67131241947783</v>
      </c>
      <c r="AR194" s="18">
        <v>7</v>
      </c>
      <c r="AS194" s="18">
        <v>127</v>
      </c>
      <c r="AT194" s="4">
        <v>4.8780487804878048</v>
      </c>
      <c r="AU194" s="4">
        <v>22.222222222222221</v>
      </c>
      <c r="AV194" s="7">
        <v>12.345679012345679</v>
      </c>
      <c r="AW194" s="10">
        <f t="shared" si="48"/>
        <v>108.33333333333333</v>
      </c>
      <c r="AX194" s="9">
        <f t="shared" si="49"/>
        <v>52.085503941861326</v>
      </c>
      <c r="AY194" s="9">
        <f t="shared" si="50"/>
        <v>42.618880582299873</v>
      </c>
      <c r="AZ194" s="9">
        <f t="shared" si="51"/>
        <v>43.8567864676846</v>
      </c>
      <c r="BA194" s="9">
        <f t="shared" si="52"/>
        <v>46.401725702473207</v>
      </c>
      <c r="BB194" s="9">
        <f t="shared" si="53"/>
        <v>138.56117099184578</v>
      </c>
      <c r="BC194" s="10">
        <f t="shared" si="61"/>
        <v>13</v>
      </c>
      <c r="BD194" s="10">
        <f t="shared" si="54"/>
        <v>173</v>
      </c>
      <c r="BE194" s="4">
        <f t="shared" si="57"/>
        <v>9.5818815331010452</v>
      </c>
      <c r="BF194" s="4">
        <f t="shared" si="58"/>
        <v>23.716153127917835</v>
      </c>
      <c r="BG194" s="7">
        <f t="shared" si="59"/>
        <v>20.458553791887127</v>
      </c>
      <c r="BH194" s="5">
        <v>115</v>
      </c>
      <c r="BI194" s="3">
        <v>51.775652173913016</v>
      </c>
      <c r="BJ194" s="3">
        <v>29.177391304347847</v>
      </c>
      <c r="BK194" s="3">
        <v>31.809565217391292</v>
      </c>
      <c r="BL194" s="3">
        <v>37.587536231884059</v>
      </c>
      <c r="BM194" s="3">
        <v>112.76260869565219</v>
      </c>
      <c r="BN194" s="18">
        <v>13</v>
      </c>
      <c r="BO194" s="18">
        <v>215</v>
      </c>
      <c r="BP194" s="4">
        <v>18.260869565217391</v>
      </c>
      <c r="BQ194" s="4">
        <v>61.739130434782609</v>
      </c>
      <c r="BR194" s="7">
        <v>59.130434782608695</v>
      </c>
      <c r="BS194" s="18"/>
      <c r="BT194" s="23">
        <v>51</v>
      </c>
    </row>
    <row r="195" spans="1:72" x14ac:dyDescent="0.25">
      <c r="A195" s="1">
        <v>190</v>
      </c>
      <c r="B195" s="18" t="s">
        <v>25</v>
      </c>
      <c r="C195" s="18">
        <v>91</v>
      </c>
      <c r="D195" s="21" t="s">
        <v>9</v>
      </c>
      <c r="E195" s="5"/>
      <c r="F195" s="3">
        <v>42.333333333333336</v>
      </c>
      <c r="G195" s="3">
        <v>39.200000000000003</v>
      </c>
      <c r="H195" s="3">
        <v>30.666666666666664</v>
      </c>
      <c r="I195" s="3">
        <f t="shared" si="46"/>
        <v>37.4</v>
      </c>
      <c r="J195" s="3">
        <f t="shared" si="47"/>
        <v>112.19999999999999</v>
      </c>
      <c r="K195" s="18">
        <f t="shared" si="60"/>
        <v>13</v>
      </c>
      <c r="L195" s="18">
        <f t="shared" si="45"/>
        <v>225</v>
      </c>
      <c r="M195" s="4"/>
      <c r="N195" s="4"/>
      <c r="O195" s="7"/>
      <c r="P195" s="5">
        <v>101</v>
      </c>
      <c r="Q195" s="3">
        <v>52.673267326732692</v>
      </c>
      <c r="R195" s="3">
        <v>50.21782178217822</v>
      </c>
      <c r="S195" s="3">
        <v>54.71947194719472</v>
      </c>
      <c r="T195" s="3">
        <v>52.53685368536852</v>
      </c>
      <c r="U195" s="3">
        <v>157.61056105610561</v>
      </c>
      <c r="V195" s="18">
        <v>8</v>
      </c>
      <c r="W195" s="18">
        <v>112</v>
      </c>
      <c r="X195" s="4">
        <v>17.821782178217823</v>
      </c>
      <c r="Y195" s="4">
        <v>17.821782178217823</v>
      </c>
      <c r="Z195" s="7">
        <v>10.891089108910892</v>
      </c>
      <c r="AA195" s="5">
        <v>101</v>
      </c>
      <c r="AB195" s="3">
        <v>46.846573681018796</v>
      </c>
      <c r="AC195" s="3">
        <v>54.886597938144327</v>
      </c>
      <c r="AD195" s="3">
        <v>43.767572633552014</v>
      </c>
      <c r="AE195" s="3">
        <v>48.500248084238407</v>
      </c>
      <c r="AF195" s="3">
        <v>145.50074425271515</v>
      </c>
      <c r="AG195" s="18">
        <v>7</v>
      </c>
      <c r="AH195" s="18">
        <v>110</v>
      </c>
      <c r="AI195" s="4">
        <v>15.463917525773196</v>
      </c>
      <c r="AJ195" s="4">
        <v>15.463917525773196</v>
      </c>
      <c r="AK195" s="7">
        <v>20.618556701030929</v>
      </c>
      <c r="AL195" s="5">
        <v>101</v>
      </c>
      <c r="AM195" s="3">
        <v>51.688992428654636</v>
      </c>
      <c r="AN195" s="3">
        <v>42.319660537482314</v>
      </c>
      <c r="AO195" s="3">
        <v>49.359347699475812</v>
      </c>
      <c r="AP195" s="3">
        <v>47.78933355520428</v>
      </c>
      <c r="AQ195" s="3">
        <v>143.36800066561275</v>
      </c>
      <c r="AR195" s="18">
        <v>10</v>
      </c>
      <c r="AS195" s="18">
        <v>170</v>
      </c>
      <c r="AT195" s="4">
        <v>6.9306930693069306</v>
      </c>
      <c r="AU195" s="4">
        <v>26.732673267326732</v>
      </c>
      <c r="AV195" s="7">
        <v>13.861386138613861</v>
      </c>
      <c r="AW195" s="10">
        <f t="shared" si="48"/>
        <v>101</v>
      </c>
      <c r="AX195" s="9">
        <f t="shared" si="49"/>
        <v>50.402944478802048</v>
      </c>
      <c r="AY195" s="9">
        <f t="shared" si="50"/>
        <v>49.141360085934956</v>
      </c>
      <c r="AZ195" s="9">
        <f t="shared" si="51"/>
        <v>49.282130760074182</v>
      </c>
      <c r="BA195" s="9">
        <f t="shared" si="52"/>
        <v>49.608811774937067</v>
      </c>
      <c r="BB195" s="9">
        <f t="shared" si="53"/>
        <v>148.82643532481117</v>
      </c>
      <c r="BC195" s="10">
        <f t="shared" si="61"/>
        <v>10</v>
      </c>
      <c r="BD195" s="10">
        <f t="shared" si="54"/>
        <v>131</v>
      </c>
      <c r="BE195" s="4">
        <f t="shared" si="57"/>
        <v>11.197305297540064</v>
      </c>
      <c r="BF195" s="4">
        <f t="shared" si="58"/>
        <v>21.098295396549965</v>
      </c>
      <c r="BG195" s="7">
        <f t="shared" si="59"/>
        <v>17.239971419822396</v>
      </c>
      <c r="BH195" s="5">
        <v>100</v>
      </c>
      <c r="BI195" s="3">
        <v>53.075000000000017</v>
      </c>
      <c r="BJ195" s="3">
        <v>29.359000000000002</v>
      </c>
      <c r="BK195" s="3">
        <v>35.997</v>
      </c>
      <c r="BL195" s="3">
        <v>39.476999999999997</v>
      </c>
      <c r="BM195" s="3">
        <v>118.431</v>
      </c>
      <c r="BN195" s="18">
        <v>10</v>
      </c>
      <c r="BO195" s="18">
        <v>180</v>
      </c>
      <c r="BP195" s="4">
        <v>19</v>
      </c>
      <c r="BQ195" s="4">
        <v>63</v>
      </c>
      <c r="BR195" s="7">
        <v>46</v>
      </c>
      <c r="BS195" s="18"/>
      <c r="BT195" s="23">
        <v>91</v>
      </c>
    </row>
    <row r="196" spans="1:72" x14ac:dyDescent="0.25">
      <c r="A196" s="18">
        <v>191</v>
      </c>
      <c r="B196" s="18" t="s">
        <v>25</v>
      </c>
      <c r="C196" s="18">
        <v>160</v>
      </c>
      <c r="D196" s="21" t="s">
        <v>26</v>
      </c>
      <c r="E196" s="5"/>
      <c r="F196" s="3">
        <v>53.666666666666671</v>
      </c>
      <c r="G196" s="3">
        <v>62</v>
      </c>
      <c r="H196" s="3">
        <v>53.333333333333336</v>
      </c>
      <c r="I196" s="3">
        <f t="shared" si="46"/>
        <v>56.333333333333336</v>
      </c>
      <c r="J196" s="3">
        <f t="shared" si="47"/>
        <v>169</v>
      </c>
      <c r="K196" s="18">
        <f t="shared" si="60"/>
        <v>2</v>
      </c>
      <c r="L196" s="18">
        <f t="shared" si="45"/>
        <v>36</v>
      </c>
      <c r="M196" s="4"/>
      <c r="N196" s="4"/>
      <c r="O196" s="7"/>
      <c r="P196" s="5">
        <v>114</v>
      </c>
      <c r="Q196" s="3">
        <v>69.853801169590611</v>
      </c>
      <c r="R196" s="3">
        <v>73.929824561403507</v>
      </c>
      <c r="S196" s="3">
        <v>73.391812865497073</v>
      </c>
      <c r="T196" s="3">
        <v>72.391812865497073</v>
      </c>
      <c r="U196" s="3">
        <v>217.17543859649118</v>
      </c>
      <c r="V196" s="18">
        <v>1</v>
      </c>
      <c r="W196" s="18">
        <v>5</v>
      </c>
      <c r="X196" s="4">
        <v>0</v>
      </c>
      <c r="Y196" s="4">
        <v>0</v>
      </c>
      <c r="Z196" s="7">
        <v>3.5087719298245612</v>
      </c>
      <c r="AA196" s="5">
        <v>139</v>
      </c>
      <c r="AB196" s="3">
        <v>64.991536182818479</v>
      </c>
      <c r="AC196" s="3">
        <v>53.855072463768117</v>
      </c>
      <c r="AD196" s="3">
        <v>76.030085022890802</v>
      </c>
      <c r="AE196" s="3">
        <v>65.012704275082612</v>
      </c>
      <c r="AF196" s="3">
        <v>194.87669366947739</v>
      </c>
      <c r="AG196" s="18">
        <v>2</v>
      </c>
      <c r="AH196" s="18">
        <v>10</v>
      </c>
      <c r="AI196" s="4">
        <v>0.71942446043165464</v>
      </c>
      <c r="AJ196" s="4">
        <v>10.144927536231885</v>
      </c>
      <c r="AK196" s="7">
        <v>0</v>
      </c>
      <c r="AL196" s="5">
        <v>153</v>
      </c>
      <c r="AM196" s="3">
        <v>70.246478873239383</v>
      </c>
      <c r="AN196" s="3">
        <v>50.382293762575436</v>
      </c>
      <c r="AO196" s="3">
        <v>81.62800331400166</v>
      </c>
      <c r="AP196" s="3">
        <v>67.418925316605481</v>
      </c>
      <c r="AQ196" s="3">
        <v>202.25677594981647</v>
      </c>
      <c r="AR196" s="18">
        <v>1</v>
      </c>
      <c r="AS196" s="18">
        <v>10</v>
      </c>
      <c r="AT196" s="4">
        <v>0</v>
      </c>
      <c r="AU196" s="4">
        <v>10.56338028169014</v>
      </c>
      <c r="AV196" s="7">
        <v>0.70921985815602839</v>
      </c>
      <c r="AW196" s="10">
        <f t="shared" si="48"/>
        <v>135.33333333333334</v>
      </c>
      <c r="AX196" s="9">
        <f t="shared" si="49"/>
        <v>68.363938741882819</v>
      </c>
      <c r="AY196" s="9">
        <f t="shared" si="50"/>
        <v>59.389063595915694</v>
      </c>
      <c r="AZ196" s="9">
        <f t="shared" si="51"/>
        <v>77.016633734129854</v>
      </c>
      <c r="BA196" s="9">
        <f t="shared" si="52"/>
        <v>68.274480819061722</v>
      </c>
      <c r="BB196" s="9">
        <f t="shared" si="53"/>
        <v>204.76963607192837</v>
      </c>
      <c r="BC196" s="10">
        <f t="shared" si="61"/>
        <v>1</v>
      </c>
      <c r="BD196" s="10">
        <f t="shared" si="54"/>
        <v>4</v>
      </c>
      <c r="BE196" s="4">
        <f t="shared" si="57"/>
        <v>0.35971223021582732</v>
      </c>
      <c r="BF196" s="4">
        <f t="shared" si="58"/>
        <v>10.354153908961013</v>
      </c>
      <c r="BG196" s="7">
        <f t="shared" si="59"/>
        <v>0.3546099290780142</v>
      </c>
      <c r="BH196" s="5">
        <v>147</v>
      </c>
      <c r="BI196" s="3">
        <v>79.442176870748298</v>
      </c>
      <c r="BJ196" s="3">
        <v>56.076870748299328</v>
      </c>
      <c r="BK196" s="3">
        <v>61.27959183673471</v>
      </c>
      <c r="BL196" s="3">
        <v>65.599546485260788</v>
      </c>
      <c r="BM196" s="3">
        <v>196.79863945578222</v>
      </c>
      <c r="BN196" s="18">
        <v>1</v>
      </c>
      <c r="BO196" s="18">
        <v>3</v>
      </c>
      <c r="BP196" s="4">
        <v>0</v>
      </c>
      <c r="BQ196" s="4">
        <v>12.92517006802721</v>
      </c>
      <c r="BR196" s="7">
        <v>6.8027210884353737</v>
      </c>
      <c r="BS196" s="18"/>
      <c r="BT196" s="23">
        <v>160</v>
      </c>
    </row>
    <row r="197" spans="1:72" x14ac:dyDescent="0.25">
      <c r="A197" s="18">
        <v>192</v>
      </c>
      <c r="B197" s="18" t="s">
        <v>25</v>
      </c>
      <c r="C197" s="18">
        <v>162</v>
      </c>
      <c r="D197" s="21" t="s">
        <v>9</v>
      </c>
      <c r="E197" s="5"/>
      <c r="F197" s="3">
        <v>40</v>
      </c>
      <c r="G197" s="3">
        <v>54.8</v>
      </c>
      <c r="H197" s="3">
        <v>47.333333333333336</v>
      </c>
      <c r="I197" s="3">
        <f t="shared" si="46"/>
        <v>47.377777777777773</v>
      </c>
      <c r="J197" s="3">
        <f t="shared" si="47"/>
        <v>142.13333333333333</v>
      </c>
      <c r="K197" s="18">
        <f t="shared" si="60"/>
        <v>6</v>
      </c>
      <c r="L197" s="18">
        <f t="shared" si="45"/>
        <v>118</v>
      </c>
      <c r="M197" s="4"/>
      <c r="N197" s="4"/>
      <c r="O197" s="7"/>
      <c r="P197" s="5">
        <v>98</v>
      </c>
      <c r="Q197" s="3">
        <v>60.442176870748284</v>
      </c>
      <c r="R197" s="3">
        <v>67.469387755102048</v>
      </c>
      <c r="S197" s="3">
        <v>57.653061224489804</v>
      </c>
      <c r="T197" s="3">
        <v>61.854875283446766</v>
      </c>
      <c r="U197" s="3">
        <v>185.56462585034012</v>
      </c>
      <c r="V197" s="18">
        <v>5</v>
      </c>
      <c r="W197" s="18">
        <v>47</v>
      </c>
      <c r="X197" s="4">
        <v>3.0612244897959182</v>
      </c>
      <c r="Y197" s="4">
        <v>0</v>
      </c>
      <c r="Z197" s="7">
        <v>3.0612244897959182</v>
      </c>
      <c r="AA197" s="5">
        <v>113</v>
      </c>
      <c r="AB197" s="3">
        <v>35.265837104072396</v>
      </c>
      <c r="AC197" s="3">
        <v>36.969496021220166</v>
      </c>
      <c r="AD197" s="3">
        <v>36.684149184149163</v>
      </c>
      <c r="AE197" s="3">
        <v>36.306494103147266</v>
      </c>
      <c r="AF197" s="3">
        <v>108.91948230944172</v>
      </c>
      <c r="AG197" s="18">
        <v>13</v>
      </c>
      <c r="AH197" s="18">
        <v>254</v>
      </c>
      <c r="AI197" s="4">
        <v>41.346153846153847</v>
      </c>
      <c r="AJ197" s="4">
        <v>45.192307692307693</v>
      </c>
      <c r="AK197" s="7">
        <v>42.307692307692307</v>
      </c>
      <c r="AL197" s="5">
        <v>106</v>
      </c>
      <c r="AM197" s="3">
        <v>55.993340732519421</v>
      </c>
      <c r="AN197" s="3">
        <v>44.663072776280352</v>
      </c>
      <c r="AO197" s="3">
        <v>52.497225305216389</v>
      </c>
      <c r="AP197" s="3">
        <v>51.051212938005392</v>
      </c>
      <c r="AQ197" s="3">
        <v>153.15363881401618</v>
      </c>
      <c r="AR197" s="18">
        <v>8</v>
      </c>
      <c r="AS197" s="18">
        <v>129</v>
      </c>
      <c r="AT197" s="4">
        <v>11.320754716981131</v>
      </c>
      <c r="AU197" s="4">
        <v>16.981132075471699</v>
      </c>
      <c r="AV197" s="7">
        <v>16.037735849056602</v>
      </c>
      <c r="AW197" s="10">
        <f t="shared" si="48"/>
        <v>105.66666666666667</v>
      </c>
      <c r="AX197" s="9">
        <f t="shared" si="49"/>
        <v>50.567118235780036</v>
      </c>
      <c r="AY197" s="9">
        <f t="shared" si="50"/>
        <v>49.700652184200855</v>
      </c>
      <c r="AZ197" s="9">
        <f t="shared" si="51"/>
        <v>48.944811904618454</v>
      </c>
      <c r="BA197" s="9">
        <f t="shared" si="52"/>
        <v>49.737527441533139</v>
      </c>
      <c r="BB197" s="9">
        <f t="shared" si="53"/>
        <v>149.21258232459934</v>
      </c>
      <c r="BC197" s="10">
        <f t="shared" si="61"/>
        <v>9</v>
      </c>
      <c r="BD197" s="10">
        <f t="shared" si="54"/>
        <v>128</v>
      </c>
      <c r="BE197" s="4">
        <f t="shared" si="57"/>
        <v>26.333454281567491</v>
      </c>
      <c r="BF197" s="4">
        <f t="shared" si="58"/>
        <v>31.086719883889696</v>
      </c>
      <c r="BG197" s="7">
        <f t="shared" si="59"/>
        <v>29.172714078374455</v>
      </c>
      <c r="BH197" s="5">
        <v>106</v>
      </c>
      <c r="BI197" s="3">
        <v>51.171698113207547</v>
      </c>
      <c r="BJ197" s="3">
        <v>28.832075471698111</v>
      </c>
      <c r="BK197" s="3">
        <v>35.010377358490558</v>
      </c>
      <c r="BL197" s="3">
        <v>38.338050314465413</v>
      </c>
      <c r="BM197" s="3">
        <v>115.0141509433962</v>
      </c>
      <c r="BN197" s="18">
        <v>12</v>
      </c>
      <c r="BO197" s="18">
        <v>199</v>
      </c>
      <c r="BP197" s="4">
        <v>14.150943396226415</v>
      </c>
      <c r="BQ197" s="4">
        <v>62.264150943396224</v>
      </c>
      <c r="BR197" s="7">
        <v>50.943396226415096</v>
      </c>
      <c r="BS197" s="18"/>
      <c r="BT197" s="23">
        <v>162</v>
      </c>
    </row>
    <row r="198" spans="1:72" x14ac:dyDescent="0.25">
      <c r="A198" s="18">
        <v>193</v>
      </c>
      <c r="B198" s="18" t="s">
        <v>25</v>
      </c>
      <c r="C198" s="18">
        <v>163</v>
      </c>
      <c r="D198" s="21" t="s">
        <v>9</v>
      </c>
      <c r="E198" s="5"/>
      <c r="F198" s="3">
        <v>30</v>
      </c>
      <c r="G198" s="3">
        <v>52</v>
      </c>
      <c r="H198" s="3">
        <v>35.333333333333336</v>
      </c>
      <c r="I198" s="3">
        <f t="shared" si="46"/>
        <v>39.111111111111114</v>
      </c>
      <c r="J198" s="3">
        <f t="shared" si="47"/>
        <v>117.33333333333334</v>
      </c>
      <c r="K198" s="18">
        <f t="shared" si="60"/>
        <v>11</v>
      </c>
      <c r="L198" s="18">
        <f t="shared" ref="L198:L261" si="62">IF(J198="","",(RANK(J198,$J$6:$J$535)))</f>
        <v>209</v>
      </c>
      <c r="M198" s="4"/>
      <c r="N198" s="4"/>
      <c r="O198" s="7"/>
      <c r="P198" s="5">
        <v>81</v>
      </c>
      <c r="Q198" s="3">
        <v>39.053497942386841</v>
      </c>
      <c r="R198" s="3">
        <v>42.271604938271608</v>
      </c>
      <c r="S198" s="3">
        <v>42.921810699588484</v>
      </c>
      <c r="T198" s="3">
        <v>41.415637860082327</v>
      </c>
      <c r="U198" s="3">
        <v>124.24691358024694</v>
      </c>
      <c r="V198" s="18">
        <v>13</v>
      </c>
      <c r="W198" s="18">
        <v>260</v>
      </c>
      <c r="X198" s="4">
        <v>38.271604938271608</v>
      </c>
      <c r="Y198" s="4">
        <v>33.333333333333336</v>
      </c>
      <c r="Z198" s="7">
        <v>40.74074074074074</v>
      </c>
      <c r="AA198" s="5">
        <v>87</v>
      </c>
      <c r="AB198" s="3">
        <v>37.619597647488128</v>
      </c>
      <c r="AC198" s="3">
        <v>56.04965638873685</v>
      </c>
      <c r="AD198" s="3">
        <v>51.80066492327029</v>
      </c>
      <c r="AE198" s="3">
        <v>48.489972986498422</v>
      </c>
      <c r="AF198" s="3">
        <v>145.46991895949526</v>
      </c>
      <c r="AG198" s="18">
        <v>8</v>
      </c>
      <c r="AH198" s="18">
        <v>111</v>
      </c>
      <c r="AI198" s="4">
        <v>33.333333333333336</v>
      </c>
      <c r="AJ198" s="4">
        <v>16.049382716049383</v>
      </c>
      <c r="AK198" s="7">
        <v>18.518518518518519</v>
      </c>
      <c r="AL198" s="5">
        <v>82</v>
      </c>
      <c r="AM198" s="3">
        <v>59.632352941176478</v>
      </c>
      <c r="AN198" s="3">
        <v>35.949367088607602</v>
      </c>
      <c r="AO198" s="3">
        <v>54.411764705882355</v>
      </c>
      <c r="AP198" s="3">
        <v>49.958333333333329</v>
      </c>
      <c r="AQ198" s="3">
        <v>149.99348473566644</v>
      </c>
      <c r="AR198" s="18">
        <v>9</v>
      </c>
      <c r="AS198" s="18">
        <v>140</v>
      </c>
      <c r="AT198" s="4">
        <v>10</v>
      </c>
      <c r="AU198" s="4">
        <v>30.379746835443036</v>
      </c>
      <c r="AV198" s="7">
        <v>15</v>
      </c>
      <c r="AW198" s="10">
        <f t="shared" si="48"/>
        <v>83.333333333333329</v>
      </c>
      <c r="AX198" s="9">
        <f t="shared" si="49"/>
        <v>45.435149510350492</v>
      </c>
      <c r="AY198" s="9">
        <f t="shared" si="50"/>
        <v>44.756876138538679</v>
      </c>
      <c r="AZ198" s="9">
        <f t="shared" si="51"/>
        <v>49.71141344291371</v>
      </c>
      <c r="BA198" s="9">
        <f t="shared" si="52"/>
        <v>46.621314726638026</v>
      </c>
      <c r="BB198" s="9">
        <f t="shared" si="53"/>
        <v>139.90343909180288</v>
      </c>
      <c r="BC198" s="10">
        <f t="shared" si="61"/>
        <v>11</v>
      </c>
      <c r="BD198" s="10">
        <f t="shared" si="54"/>
        <v>168</v>
      </c>
      <c r="BE198" s="4">
        <f t="shared" si="57"/>
        <v>21.666666666666668</v>
      </c>
      <c r="BF198" s="4">
        <f t="shared" si="58"/>
        <v>23.214564775746211</v>
      </c>
      <c r="BG198" s="7">
        <f t="shared" si="59"/>
        <v>16.75925925925926</v>
      </c>
      <c r="BH198" s="5">
        <v>82</v>
      </c>
      <c r="BI198" s="3">
        <v>49.053164556962017</v>
      </c>
      <c r="BJ198" s="3">
        <v>27.034177215189871</v>
      </c>
      <c r="BK198" s="3">
        <v>30.224050632911379</v>
      </c>
      <c r="BL198" s="3">
        <v>35.437130801687758</v>
      </c>
      <c r="BM198" s="3">
        <v>106.31139240506332</v>
      </c>
      <c r="BN198" s="18">
        <v>14</v>
      </c>
      <c r="BO198" s="18">
        <v>245</v>
      </c>
      <c r="BP198" s="4">
        <v>24.050632911392405</v>
      </c>
      <c r="BQ198" s="4">
        <v>67.088607594936704</v>
      </c>
      <c r="BR198" s="7">
        <v>63.291139240506332</v>
      </c>
      <c r="BS198" s="18"/>
      <c r="BT198" s="23">
        <v>163</v>
      </c>
    </row>
    <row r="199" spans="1:72" x14ac:dyDescent="0.25">
      <c r="A199" s="18">
        <v>194</v>
      </c>
      <c r="B199" s="18" t="s">
        <v>25</v>
      </c>
      <c r="C199" s="18">
        <v>203</v>
      </c>
      <c r="D199" s="21" t="s">
        <v>9</v>
      </c>
      <c r="E199" s="5"/>
      <c r="F199" s="3">
        <v>57.666666666666664</v>
      </c>
      <c r="G199" s="3">
        <v>61.2</v>
      </c>
      <c r="H199" s="3">
        <v>53.333333333333336</v>
      </c>
      <c r="I199" s="3">
        <f t="shared" ref="I199:I262" si="63">IF(F199="","",AVERAGE(F199:H199))</f>
        <v>57.400000000000006</v>
      </c>
      <c r="J199" s="3">
        <f t="shared" ref="J199:J262" si="64">IF(F199="","",SUM(F199:H199))</f>
        <v>172.20000000000002</v>
      </c>
      <c r="K199" s="18">
        <f t="shared" si="60"/>
        <v>1</v>
      </c>
      <c r="L199" s="18">
        <f t="shared" si="62"/>
        <v>31</v>
      </c>
      <c r="M199" s="4"/>
      <c r="N199" s="4"/>
      <c r="O199" s="7"/>
      <c r="P199" s="5">
        <v>57</v>
      </c>
      <c r="Q199" s="3">
        <v>62.10526315789474</v>
      </c>
      <c r="R199" s="3">
        <v>49.89473684210526</v>
      </c>
      <c r="S199" s="3">
        <v>62.923976608187147</v>
      </c>
      <c r="T199" s="3">
        <v>58.307992202729039</v>
      </c>
      <c r="U199" s="3">
        <v>174.92397660818716</v>
      </c>
      <c r="V199" s="18">
        <v>6</v>
      </c>
      <c r="W199" s="18">
        <v>69</v>
      </c>
      <c r="X199" s="4">
        <v>5.2631578947368425</v>
      </c>
      <c r="Y199" s="4">
        <v>17.543859649122808</v>
      </c>
      <c r="Z199" s="7">
        <v>10.526315789473685</v>
      </c>
      <c r="AA199" s="5">
        <v>79</v>
      </c>
      <c r="AB199" s="3">
        <v>59.464555052790367</v>
      </c>
      <c r="AC199" s="3">
        <v>56.615384615384613</v>
      </c>
      <c r="AD199" s="3">
        <v>62.62626262626263</v>
      </c>
      <c r="AE199" s="3">
        <v>59.568734098145875</v>
      </c>
      <c r="AF199" s="3">
        <v>178.70620229443762</v>
      </c>
      <c r="AG199" s="18">
        <v>4</v>
      </c>
      <c r="AH199" s="18">
        <v>27</v>
      </c>
      <c r="AI199" s="4">
        <v>0</v>
      </c>
      <c r="AJ199" s="4">
        <v>8.9743589743589745</v>
      </c>
      <c r="AK199" s="7">
        <v>2.5641025641025643</v>
      </c>
      <c r="AL199" s="5">
        <v>79</v>
      </c>
      <c r="AM199" s="3">
        <v>65.27883880825064</v>
      </c>
      <c r="AN199" s="3">
        <v>57.078369905956109</v>
      </c>
      <c r="AO199" s="3">
        <v>69.50019677292407</v>
      </c>
      <c r="AP199" s="3">
        <v>63.952468495710242</v>
      </c>
      <c r="AQ199" s="3">
        <v>191.85740548713082</v>
      </c>
      <c r="AR199" s="18">
        <v>2</v>
      </c>
      <c r="AS199" s="18">
        <v>24</v>
      </c>
      <c r="AT199" s="4">
        <v>0</v>
      </c>
      <c r="AU199" s="4">
        <v>6.5789473684210522</v>
      </c>
      <c r="AV199" s="7">
        <v>0</v>
      </c>
      <c r="AW199" s="10">
        <f t="shared" ref="AW199:AW262" si="65">AVERAGE(P199,AA199,AL199)</f>
        <v>71.666666666666671</v>
      </c>
      <c r="AX199" s="9">
        <f t="shared" ref="AX199:AX262" si="66">AVERAGE(Q199,AB199,AM199)</f>
        <v>62.28288567297858</v>
      </c>
      <c r="AY199" s="9">
        <f t="shared" ref="AY199:AY262" si="67">AVERAGE(R199,AC199,AN199)</f>
        <v>54.529497121148665</v>
      </c>
      <c r="AZ199" s="9">
        <f t="shared" ref="AZ199:AZ262" si="68">AVERAGE(S199,AD199,AO199)</f>
        <v>65.016812002457939</v>
      </c>
      <c r="BA199" s="9">
        <f t="shared" ref="BA199:BA262" si="69">AVERAGE(T199,AE199,AP199)</f>
        <v>60.609731598861714</v>
      </c>
      <c r="BB199" s="9">
        <f t="shared" ref="BB199:BB262" si="70">AVERAGE(U199,AF199,AQ199)</f>
        <v>181.8291947965852</v>
      </c>
      <c r="BC199" s="10">
        <f t="shared" si="61"/>
        <v>3</v>
      </c>
      <c r="BD199" s="10">
        <f t="shared" ref="BD199:BD262" si="71">IF(BB199="","",(RANK(BB199,$BB$6:$BB$535)))</f>
        <v>28</v>
      </c>
      <c r="BE199" s="4">
        <f t="shared" si="57"/>
        <v>0</v>
      </c>
      <c r="BF199" s="4">
        <f t="shared" si="58"/>
        <v>7.7766531713900129</v>
      </c>
      <c r="BG199" s="7">
        <f t="shared" si="59"/>
        <v>1.2820512820512822</v>
      </c>
      <c r="BH199" s="5">
        <v>79</v>
      </c>
      <c r="BI199" s="3">
        <v>66.302564102564091</v>
      </c>
      <c r="BJ199" s="3">
        <v>34.034615384615392</v>
      </c>
      <c r="BK199" s="3">
        <v>45.508974358974356</v>
      </c>
      <c r="BL199" s="3">
        <v>48.615384615384627</v>
      </c>
      <c r="BM199" s="3">
        <v>145.84615384615384</v>
      </c>
      <c r="BN199" s="18">
        <v>4</v>
      </c>
      <c r="BO199" s="18">
        <v>46</v>
      </c>
      <c r="BP199" s="4">
        <v>3.8461538461538463</v>
      </c>
      <c r="BQ199" s="4">
        <v>41.025641025641029</v>
      </c>
      <c r="BR199" s="7">
        <v>24.358974358974358</v>
      </c>
      <c r="BS199" s="18"/>
      <c r="BT199" s="23">
        <v>203</v>
      </c>
    </row>
    <row r="200" spans="1:72" x14ac:dyDescent="0.25">
      <c r="A200" s="1">
        <v>195</v>
      </c>
      <c r="B200" s="18" t="s">
        <v>25</v>
      </c>
      <c r="C200" s="18" t="s">
        <v>58</v>
      </c>
      <c r="D200" s="21" t="s">
        <v>27</v>
      </c>
      <c r="E200" s="5"/>
      <c r="F200" s="3"/>
      <c r="G200" s="3"/>
      <c r="H200" s="3"/>
      <c r="I200" s="3" t="str">
        <f t="shared" si="63"/>
        <v/>
      </c>
      <c r="J200" s="3" t="str">
        <f t="shared" si="64"/>
        <v/>
      </c>
      <c r="K200" s="18" t="str">
        <f t="shared" si="60"/>
        <v/>
      </c>
      <c r="L200" s="18" t="str">
        <f t="shared" si="62"/>
        <v/>
      </c>
      <c r="M200" s="4"/>
      <c r="N200" s="4"/>
      <c r="O200" s="7"/>
      <c r="P200" s="5"/>
      <c r="Q200" s="3"/>
      <c r="R200" s="3"/>
      <c r="S200" s="3"/>
      <c r="T200" s="3"/>
      <c r="U200" s="3" t="s">
        <v>35</v>
      </c>
      <c r="V200" s="18" t="s">
        <v>35</v>
      </c>
      <c r="W200" s="18" t="s">
        <v>35</v>
      </c>
      <c r="X200" s="4" t="s">
        <v>35</v>
      </c>
      <c r="Y200" s="4" t="s">
        <v>35</v>
      </c>
      <c r="Z200" s="7" t="s">
        <v>35</v>
      </c>
      <c r="AA200" s="5"/>
      <c r="AB200" s="3"/>
      <c r="AC200" s="3"/>
      <c r="AD200" s="3"/>
      <c r="AE200" s="3"/>
      <c r="AF200" s="3" t="s">
        <v>35</v>
      </c>
      <c r="AG200" s="18" t="s">
        <v>35</v>
      </c>
      <c r="AH200" s="18" t="s">
        <v>35</v>
      </c>
      <c r="AI200" s="4" t="s">
        <v>35</v>
      </c>
      <c r="AJ200" s="4" t="s">
        <v>35</v>
      </c>
      <c r="AK200" s="7" t="s">
        <v>35</v>
      </c>
      <c r="AL200" s="5"/>
      <c r="AM200" s="3"/>
      <c r="AN200" s="3"/>
      <c r="AO200" s="3"/>
      <c r="AP200" s="3"/>
      <c r="AQ200" s="3" t="s">
        <v>35</v>
      </c>
      <c r="AR200" s="18" t="s">
        <v>35</v>
      </c>
      <c r="AS200" s="18" t="s">
        <v>35</v>
      </c>
      <c r="AT200" s="4" t="s">
        <v>35</v>
      </c>
      <c r="AU200" s="4" t="s">
        <v>35</v>
      </c>
      <c r="AV200" s="7" t="s">
        <v>35</v>
      </c>
      <c r="AW200" s="10"/>
      <c r="AX200" s="9"/>
      <c r="AY200" s="9"/>
      <c r="AZ200" s="9"/>
      <c r="BA200" s="9"/>
      <c r="BB200" s="9"/>
      <c r="BC200" s="10" t="str">
        <f t="shared" si="61"/>
        <v/>
      </c>
      <c r="BD200" s="10" t="str">
        <f t="shared" si="71"/>
        <v/>
      </c>
      <c r="BE200" s="4"/>
      <c r="BF200" s="4"/>
      <c r="BG200" s="7"/>
      <c r="BH200" s="5">
        <v>47</v>
      </c>
      <c r="BI200" s="3">
        <v>59.61</v>
      </c>
      <c r="BJ200" s="3">
        <v>32.295000000000002</v>
      </c>
      <c r="BK200" s="3">
        <v>47.35</v>
      </c>
      <c r="BL200" s="3">
        <v>46.418333333333337</v>
      </c>
      <c r="BM200" s="3">
        <v>139.255</v>
      </c>
      <c r="BN200" s="18">
        <v>5</v>
      </c>
      <c r="BO200" s="18">
        <v>72</v>
      </c>
      <c r="BP200" s="4">
        <v>5</v>
      </c>
      <c r="BQ200" s="4">
        <v>45</v>
      </c>
      <c r="BR200" s="7">
        <v>10</v>
      </c>
      <c r="BS200" s="18"/>
      <c r="BT200" s="23">
        <v>219</v>
      </c>
    </row>
    <row r="201" spans="1:72" x14ac:dyDescent="0.25">
      <c r="A201" s="18">
        <v>196</v>
      </c>
      <c r="B201" s="18" t="s">
        <v>25</v>
      </c>
      <c r="C201" s="18">
        <v>236</v>
      </c>
      <c r="D201" s="21" t="s">
        <v>9</v>
      </c>
      <c r="E201" s="5"/>
      <c r="F201" s="3">
        <v>51</v>
      </c>
      <c r="G201" s="3">
        <v>61.6</v>
      </c>
      <c r="H201" s="3">
        <v>55.333333333333343</v>
      </c>
      <c r="I201" s="3">
        <f t="shared" si="63"/>
        <v>55.977777777777781</v>
      </c>
      <c r="J201" s="3">
        <f t="shared" si="64"/>
        <v>167.93333333333334</v>
      </c>
      <c r="K201" s="18">
        <f t="shared" si="60"/>
        <v>3</v>
      </c>
      <c r="L201" s="18">
        <f t="shared" si="62"/>
        <v>37</v>
      </c>
      <c r="M201" s="4"/>
      <c r="N201" s="4"/>
      <c r="O201" s="7"/>
      <c r="P201" s="5">
        <v>180</v>
      </c>
      <c r="Q201" s="3">
        <v>61.018518518518555</v>
      </c>
      <c r="R201" s="3">
        <v>52.155555555555559</v>
      </c>
      <c r="S201" s="3">
        <v>59.42592592592591</v>
      </c>
      <c r="T201" s="3">
        <v>57.533333333333367</v>
      </c>
      <c r="U201" s="3">
        <v>172.60000000000002</v>
      </c>
      <c r="V201" s="18">
        <v>7</v>
      </c>
      <c r="W201" s="18">
        <v>76</v>
      </c>
      <c r="X201" s="4">
        <v>8.8888888888888893</v>
      </c>
      <c r="Y201" s="4">
        <v>20</v>
      </c>
      <c r="Z201" s="7">
        <v>16.759776536312849</v>
      </c>
      <c r="AA201" s="5">
        <v>192</v>
      </c>
      <c r="AB201" s="3">
        <v>57.908496732026116</v>
      </c>
      <c r="AC201" s="3">
        <v>60.755555555555553</v>
      </c>
      <c r="AD201" s="3">
        <v>60.656565656565625</v>
      </c>
      <c r="AE201" s="3">
        <v>59.773539314715812</v>
      </c>
      <c r="AF201" s="3">
        <v>179.3206179441473</v>
      </c>
      <c r="AG201" s="18">
        <v>3</v>
      </c>
      <c r="AH201" s="18">
        <v>25</v>
      </c>
      <c r="AI201" s="4">
        <v>5.5555555555555554</v>
      </c>
      <c r="AJ201" s="4">
        <v>6.1111111111111107</v>
      </c>
      <c r="AK201" s="7">
        <v>7.7777777777777777</v>
      </c>
      <c r="AL201" s="5">
        <v>195</v>
      </c>
      <c r="AM201" s="3">
        <v>61.923688394276638</v>
      </c>
      <c r="AN201" s="3">
        <v>54.394409937888184</v>
      </c>
      <c r="AO201" s="3">
        <v>61.430842607313174</v>
      </c>
      <c r="AP201" s="3">
        <v>59.212582330229417</v>
      </c>
      <c r="AQ201" s="3">
        <v>177.74894093947799</v>
      </c>
      <c r="AR201" s="18">
        <v>5</v>
      </c>
      <c r="AS201" s="18">
        <v>50</v>
      </c>
      <c r="AT201" s="4">
        <v>2.7027027027027026</v>
      </c>
      <c r="AU201" s="4">
        <v>7.0652173913043477</v>
      </c>
      <c r="AV201" s="7">
        <v>5.4054054054054053</v>
      </c>
      <c r="AW201" s="10">
        <f t="shared" si="65"/>
        <v>189</v>
      </c>
      <c r="AX201" s="9">
        <f t="shared" si="66"/>
        <v>60.283567881607098</v>
      </c>
      <c r="AY201" s="9">
        <f t="shared" si="67"/>
        <v>55.768507016333103</v>
      </c>
      <c r="AZ201" s="9">
        <f t="shared" si="68"/>
        <v>60.504444729934903</v>
      </c>
      <c r="BA201" s="9">
        <f t="shared" si="69"/>
        <v>58.83981832609286</v>
      </c>
      <c r="BB201" s="9">
        <f t="shared" si="70"/>
        <v>176.5565196278751</v>
      </c>
      <c r="BC201" s="10">
        <f t="shared" si="61"/>
        <v>5</v>
      </c>
      <c r="BD201" s="10">
        <f t="shared" si="71"/>
        <v>36</v>
      </c>
      <c r="BE201" s="4">
        <f t="shared" si="57"/>
        <v>4.1291291291291294</v>
      </c>
      <c r="BF201" s="4">
        <f t="shared" si="58"/>
        <v>6.5881642512077292</v>
      </c>
      <c r="BG201" s="7">
        <f t="shared" si="59"/>
        <v>6.591591591591591</v>
      </c>
      <c r="BH201" s="5">
        <v>193</v>
      </c>
      <c r="BI201" s="3">
        <v>57.181347150259079</v>
      </c>
      <c r="BJ201" s="3">
        <v>31.75699481865286</v>
      </c>
      <c r="BK201" s="3">
        <v>40.808808290155433</v>
      </c>
      <c r="BL201" s="3">
        <v>43.249050086355787</v>
      </c>
      <c r="BM201" s="3">
        <v>129.74715025906735</v>
      </c>
      <c r="BN201" s="18">
        <v>8</v>
      </c>
      <c r="BO201" s="18">
        <v>111</v>
      </c>
      <c r="BP201" s="4">
        <v>17.098445595854923</v>
      </c>
      <c r="BQ201" s="4">
        <v>53.8860103626943</v>
      </c>
      <c r="BR201" s="7">
        <v>41.968911917098445</v>
      </c>
      <c r="BS201" s="18"/>
      <c r="BT201" s="23">
        <v>236</v>
      </c>
    </row>
    <row r="202" spans="1:72" x14ac:dyDescent="0.25">
      <c r="A202" s="18">
        <v>197</v>
      </c>
      <c r="B202" s="18" t="s">
        <v>25</v>
      </c>
      <c r="C202" s="18">
        <v>239</v>
      </c>
      <c r="D202" s="21" t="s">
        <v>9</v>
      </c>
      <c r="E202" s="5"/>
      <c r="F202" s="3">
        <v>34.333333333333336</v>
      </c>
      <c r="G202" s="3">
        <v>52</v>
      </c>
      <c r="H202" s="3">
        <v>46.666666666666664</v>
      </c>
      <c r="I202" s="3">
        <f t="shared" si="63"/>
        <v>44.333333333333336</v>
      </c>
      <c r="J202" s="3">
        <f t="shared" si="64"/>
        <v>133</v>
      </c>
      <c r="K202" s="18">
        <f t="shared" si="60"/>
        <v>7</v>
      </c>
      <c r="L202" s="18">
        <f t="shared" si="62"/>
        <v>147</v>
      </c>
      <c r="M202" s="4"/>
      <c r="N202" s="4"/>
      <c r="O202" s="7"/>
      <c r="P202" s="5">
        <v>81</v>
      </c>
      <c r="Q202" s="3">
        <v>63.456790123456813</v>
      </c>
      <c r="R202" s="3">
        <v>68.2</v>
      </c>
      <c r="S202" s="3">
        <v>63.580246913580247</v>
      </c>
      <c r="T202" s="3">
        <v>65.066115702479351</v>
      </c>
      <c r="U202" s="3">
        <v>195.23703703703706</v>
      </c>
      <c r="V202" s="18">
        <v>3</v>
      </c>
      <c r="W202" s="18">
        <v>22</v>
      </c>
      <c r="X202" s="4">
        <v>2.4691358024691357</v>
      </c>
      <c r="Y202" s="4">
        <v>3.75</v>
      </c>
      <c r="Z202" s="7">
        <v>7.4074074074074074</v>
      </c>
      <c r="AA202" s="5">
        <v>87</v>
      </c>
      <c r="AB202" s="3">
        <v>41.672572643515231</v>
      </c>
      <c r="AC202" s="3">
        <v>50.020772746157043</v>
      </c>
      <c r="AD202" s="3">
        <v>51.69769989047095</v>
      </c>
      <c r="AE202" s="3">
        <v>47.797015093381091</v>
      </c>
      <c r="AF202" s="3">
        <v>143.39104528014323</v>
      </c>
      <c r="AG202" s="18">
        <v>9</v>
      </c>
      <c r="AH202" s="18">
        <v>116</v>
      </c>
      <c r="AI202" s="4">
        <v>13.253012048192771</v>
      </c>
      <c r="AJ202" s="4">
        <v>15.662650602409638</v>
      </c>
      <c r="AK202" s="7">
        <v>20.481927710843372</v>
      </c>
      <c r="AL202" s="5">
        <v>86</v>
      </c>
      <c r="AM202" s="3">
        <v>53.812636165577345</v>
      </c>
      <c r="AN202" s="3">
        <v>34.215167548500887</v>
      </c>
      <c r="AO202" s="3">
        <v>52.142338416848212</v>
      </c>
      <c r="AP202" s="3">
        <v>46.723380710308824</v>
      </c>
      <c r="AQ202" s="3">
        <v>140.17014213092645</v>
      </c>
      <c r="AR202" s="18">
        <v>12</v>
      </c>
      <c r="AS202" s="18">
        <v>186</v>
      </c>
      <c r="AT202" s="4">
        <v>18.518518518518519</v>
      </c>
      <c r="AU202" s="4">
        <v>50.617283950617285</v>
      </c>
      <c r="AV202" s="7">
        <v>18.518518518518519</v>
      </c>
      <c r="AW202" s="10">
        <f t="shared" si="65"/>
        <v>84.666666666666671</v>
      </c>
      <c r="AX202" s="9">
        <f t="shared" si="66"/>
        <v>52.980666310849792</v>
      </c>
      <c r="AY202" s="9">
        <f t="shared" si="67"/>
        <v>50.811980098219315</v>
      </c>
      <c r="AZ202" s="9">
        <f t="shared" si="68"/>
        <v>55.806761740299805</v>
      </c>
      <c r="BA202" s="9">
        <f t="shared" si="69"/>
        <v>53.195503835389758</v>
      </c>
      <c r="BB202" s="9">
        <f t="shared" si="70"/>
        <v>159.59940814936894</v>
      </c>
      <c r="BC202" s="10">
        <f t="shared" si="61"/>
        <v>8</v>
      </c>
      <c r="BD202" s="10">
        <f t="shared" si="71"/>
        <v>88</v>
      </c>
      <c r="BE202" s="4">
        <f t="shared" si="57"/>
        <v>15.885765283355646</v>
      </c>
      <c r="BF202" s="4">
        <f t="shared" si="58"/>
        <v>33.13996727651346</v>
      </c>
      <c r="BG202" s="7">
        <f t="shared" si="59"/>
        <v>19.500223114680946</v>
      </c>
      <c r="BH202" s="5">
        <v>84</v>
      </c>
      <c r="BI202" s="3">
        <v>60.682142857142857</v>
      </c>
      <c r="BJ202" s="3">
        <v>38.311904761904785</v>
      </c>
      <c r="BK202" s="3">
        <v>37.467857142857142</v>
      </c>
      <c r="BL202" s="3">
        <v>45.48730158730158</v>
      </c>
      <c r="BM202" s="3">
        <v>136.46190476190469</v>
      </c>
      <c r="BN202" s="18">
        <v>7</v>
      </c>
      <c r="BO202" s="18">
        <v>91</v>
      </c>
      <c r="BP202" s="4">
        <v>11.904761904761905</v>
      </c>
      <c r="BQ202" s="4">
        <v>38.095238095238095</v>
      </c>
      <c r="BR202" s="7">
        <v>42.857142857142854</v>
      </c>
      <c r="BS202" s="18"/>
      <c r="BT202" s="23">
        <v>239</v>
      </c>
    </row>
    <row r="203" spans="1:72" x14ac:dyDescent="0.25">
      <c r="A203" s="18">
        <v>198</v>
      </c>
      <c r="B203" s="18" t="s">
        <v>25</v>
      </c>
      <c r="C203" s="18">
        <v>329</v>
      </c>
      <c r="D203" s="21" t="s">
        <v>9</v>
      </c>
      <c r="E203" s="5"/>
      <c r="F203" s="3">
        <v>26.666666666666668</v>
      </c>
      <c r="G203" s="3">
        <v>40</v>
      </c>
      <c r="H203" s="3">
        <v>31.333333333333332</v>
      </c>
      <c r="I203" s="3">
        <f t="shared" si="63"/>
        <v>32.666666666666664</v>
      </c>
      <c r="J203" s="3">
        <f t="shared" si="64"/>
        <v>98</v>
      </c>
      <c r="K203" s="18">
        <f t="shared" si="60"/>
        <v>14</v>
      </c>
      <c r="L203" s="18">
        <f t="shared" si="62"/>
        <v>265</v>
      </c>
      <c r="M203" s="4"/>
      <c r="N203" s="4"/>
      <c r="O203" s="7"/>
      <c r="P203" s="5">
        <v>34</v>
      </c>
      <c r="Q203" s="3">
        <v>43.13725490196078</v>
      </c>
      <c r="R203" s="3">
        <v>48.941176470588232</v>
      </c>
      <c r="S203" s="3">
        <v>46.470588235294109</v>
      </c>
      <c r="T203" s="3">
        <v>46.183006535947698</v>
      </c>
      <c r="U203" s="3">
        <v>138.54901960784312</v>
      </c>
      <c r="V203" s="18">
        <v>10</v>
      </c>
      <c r="W203" s="18">
        <v>191</v>
      </c>
      <c r="X203" s="4">
        <v>23.529411764705884</v>
      </c>
      <c r="Y203" s="4">
        <v>26.470588235294116</v>
      </c>
      <c r="Z203" s="7">
        <v>29.411764705882351</v>
      </c>
      <c r="AA203" s="5">
        <v>43</v>
      </c>
      <c r="AB203" s="3">
        <v>37.782805429864268</v>
      </c>
      <c r="AC203" s="3">
        <v>48.410256410256409</v>
      </c>
      <c r="AD203" s="3">
        <v>51.048951048951047</v>
      </c>
      <c r="AE203" s="3">
        <v>45.74733762969057</v>
      </c>
      <c r="AF203" s="3">
        <v>137.24201288907173</v>
      </c>
      <c r="AG203" s="18">
        <v>11</v>
      </c>
      <c r="AH203" s="18">
        <v>143</v>
      </c>
      <c r="AI203" s="4">
        <v>53.846153846153847</v>
      </c>
      <c r="AJ203" s="4">
        <v>43.589743589743591</v>
      </c>
      <c r="AK203" s="7">
        <v>28.205128205128204</v>
      </c>
      <c r="AL203" s="5">
        <v>41</v>
      </c>
      <c r="AM203" s="3">
        <v>44.117647058823536</v>
      </c>
      <c r="AN203" s="3">
        <v>38.118466898954701</v>
      </c>
      <c r="AO203" s="3">
        <v>50.286944045911028</v>
      </c>
      <c r="AP203" s="3">
        <v>44.174352667896436</v>
      </c>
      <c r="AQ203" s="3">
        <v>132.52305800368924</v>
      </c>
      <c r="AR203" s="18">
        <v>13</v>
      </c>
      <c r="AS203" s="18">
        <v>224</v>
      </c>
      <c r="AT203" s="4">
        <v>34.146341463414636</v>
      </c>
      <c r="AU203" s="4">
        <v>36.585365853658537</v>
      </c>
      <c r="AV203" s="7">
        <v>26.829268292682926</v>
      </c>
      <c r="AW203" s="10">
        <f t="shared" si="65"/>
        <v>39.333333333333336</v>
      </c>
      <c r="AX203" s="9">
        <f t="shared" si="66"/>
        <v>41.679235796882864</v>
      </c>
      <c r="AY203" s="9">
        <f t="shared" si="67"/>
        <v>45.156633259933109</v>
      </c>
      <c r="AZ203" s="9">
        <f t="shared" si="68"/>
        <v>49.26882777671873</v>
      </c>
      <c r="BA203" s="9">
        <f t="shared" si="69"/>
        <v>45.368232277844903</v>
      </c>
      <c r="BB203" s="9">
        <f t="shared" si="70"/>
        <v>136.10469683353469</v>
      </c>
      <c r="BC203" s="10">
        <f t="shared" si="61"/>
        <v>14</v>
      </c>
      <c r="BD203" s="10">
        <f t="shared" si="71"/>
        <v>190</v>
      </c>
      <c r="BE203" s="4">
        <f t="shared" si="57"/>
        <v>43.996247654784241</v>
      </c>
      <c r="BF203" s="4">
        <f t="shared" si="58"/>
        <v>40.087554721701068</v>
      </c>
      <c r="BG203" s="7">
        <f t="shared" si="59"/>
        <v>27.517198248905565</v>
      </c>
      <c r="BH203" s="5">
        <v>41</v>
      </c>
      <c r="BI203" s="3">
        <v>51.195121951219498</v>
      </c>
      <c r="BJ203" s="3">
        <v>28.895121951219512</v>
      </c>
      <c r="BK203" s="3">
        <v>37.158536585365859</v>
      </c>
      <c r="BL203" s="3">
        <v>39.082926829268288</v>
      </c>
      <c r="BM203" s="3">
        <v>117.24878048780489</v>
      </c>
      <c r="BN203" s="18">
        <v>11</v>
      </c>
      <c r="BO203" s="18">
        <v>186</v>
      </c>
      <c r="BP203" s="4">
        <v>24.390243902439025</v>
      </c>
      <c r="BQ203" s="4">
        <v>63.414634146341463</v>
      </c>
      <c r="BR203" s="7">
        <v>48.780487804878049</v>
      </c>
      <c r="BS203" s="18"/>
      <c r="BT203" s="23">
        <v>329</v>
      </c>
    </row>
    <row r="204" spans="1:72" x14ac:dyDescent="0.25">
      <c r="A204" s="18">
        <v>199</v>
      </c>
      <c r="B204" s="18" t="s">
        <v>25</v>
      </c>
      <c r="C204" s="18" t="s">
        <v>28</v>
      </c>
      <c r="D204" s="21" t="s">
        <v>9</v>
      </c>
      <c r="E204" s="5"/>
      <c r="F204" s="3">
        <v>51.333333333333336</v>
      </c>
      <c r="G204" s="3">
        <v>48.4</v>
      </c>
      <c r="H204" s="3">
        <v>45</v>
      </c>
      <c r="I204" s="3">
        <f t="shared" si="63"/>
        <v>48.244444444444447</v>
      </c>
      <c r="J204" s="3">
        <f t="shared" si="64"/>
        <v>144.73333333333335</v>
      </c>
      <c r="K204" s="18">
        <f t="shared" si="60"/>
        <v>5</v>
      </c>
      <c r="L204" s="18">
        <f t="shared" si="62"/>
        <v>108</v>
      </c>
      <c r="M204" s="4"/>
      <c r="N204" s="4"/>
      <c r="O204" s="7"/>
      <c r="P204" s="5">
        <v>98</v>
      </c>
      <c r="Q204" s="3">
        <v>59.115646258503425</v>
      </c>
      <c r="R204" s="3">
        <v>34.122448979591837</v>
      </c>
      <c r="S204" s="3">
        <v>63.571428571428569</v>
      </c>
      <c r="T204" s="3">
        <v>52.269841269841244</v>
      </c>
      <c r="U204" s="3">
        <v>156.80952380952385</v>
      </c>
      <c r="V204" s="18">
        <v>5</v>
      </c>
      <c r="W204" s="18">
        <v>113</v>
      </c>
      <c r="X204" s="4">
        <v>5.1020408163265305</v>
      </c>
      <c r="Y204" s="4">
        <v>48.979591836734691</v>
      </c>
      <c r="Z204" s="7">
        <v>5.1020408163265305</v>
      </c>
      <c r="AA204" s="5">
        <v>96</v>
      </c>
      <c r="AB204" s="3">
        <v>54.343365253077963</v>
      </c>
      <c r="AC204" s="3">
        <v>42.139534883720927</v>
      </c>
      <c r="AD204" s="3">
        <v>70.436927413671611</v>
      </c>
      <c r="AE204" s="3">
        <v>55.639942516823496</v>
      </c>
      <c r="AF204" s="3">
        <v>166.9198275504705</v>
      </c>
      <c r="AG204" s="18">
        <v>4</v>
      </c>
      <c r="AH204" s="18">
        <v>46</v>
      </c>
      <c r="AI204" s="4">
        <v>8.1395348837209305</v>
      </c>
      <c r="AJ204" s="4">
        <v>36.046511627906973</v>
      </c>
      <c r="AK204" s="7">
        <v>3.5294117647058822</v>
      </c>
      <c r="AL204" s="5">
        <v>95</v>
      </c>
      <c r="AM204" s="3">
        <v>66.104734576757579</v>
      </c>
      <c r="AN204" s="3">
        <v>28.98954703832753</v>
      </c>
      <c r="AO204" s="3">
        <v>78.730272596843619</v>
      </c>
      <c r="AP204" s="3">
        <v>57.941518070642893</v>
      </c>
      <c r="AQ204" s="3">
        <v>173.82455421192873</v>
      </c>
      <c r="AR204" s="18">
        <v>4</v>
      </c>
      <c r="AS204" s="18">
        <v>56</v>
      </c>
      <c r="AT204" s="4">
        <v>2.4390243902439024</v>
      </c>
      <c r="AU204" s="4">
        <v>53.658536585365852</v>
      </c>
      <c r="AV204" s="7">
        <v>1.2345679012345678</v>
      </c>
      <c r="AW204" s="10">
        <f t="shared" si="65"/>
        <v>96.333333333333329</v>
      </c>
      <c r="AX204" s="9">
        <f t="shared" si="66"/>
        <v>59.854582029446327</v>
      </c>
      <c r="AY204" s="9">
        <f t="shared" si="67"/>
        <v>35.0838436338801</v>
      </c>
      <c r="AZ204" s="9">
        <f t="shared" si="68"/>
        <v>70.912876193981276</v>
      </c>
      <c r="BA204" s="9">
        <f t="shared" si="69"/>
        <v>55.283767285769216</v>
      </c>
      <c r="BB204" s="9">
        <f t="shared" si="70"/>
        <v>165.85130185730767</v>
      </c>
      <c r="BC204" s="10">
        <f t="shared" si="61"/>
        <v>7</v>
      </c>
      <c r="BD204" s="10">
        <f t="shared" si="71"/>
        <v>72</v>
      </c>
      <c r="BE204" s="4">
        <f t="shared" si="57"/>
        <v>5.2892796369824167</v>
      </c>
      <c r="BF204" s="4">
        <f t="shared" si="58"/>
        <v>44.852524106636409</v>
      </c>
      <c r="BG204" s="7">
        <f t="shared" si="59"/>
        <v>2.3819898329702252</v>
      </c>
      <c r="BH204" s="5">
        <v>95</v>
      </c>
      <c r="BI204" s="3">
        <v>71.95052631578946</v>
      </c>
      <c r="BJ204" s="3">
        <v>46.687368421052646</v>
      </c>
      <c r="BK204" s="3">
        <v>55.601052631578959</v>
      </c>
      <c r="BL204" s="3">
        <v>58.079649122807034</v>
      </c>
      <c r="BM204" s="3">
        <v>174.23894736842109</v>
      </c>
      <c r="BN204" s="18">
        <v>2</v>
      </c>
      <c r="BO204" s="18">
        <v>7</v>
      </c>
      <c r="BP204" s="4">
        <v>1.0526315789473684</v>
      </c>
      <c r="BQ204" s="4">
        <v>28.421052631578949</v>
      </c>
      <c r="BR204" s="7">
        <v>18.94736842105263</v>
      </c>
      <c r="BS204" s="18"/>
      <c r="BT204" s="23" t="s">
        <v>28</v>
      </c>
    </row>
    <row r="205" spans="1:72" x14ac:dyDescent="0.25">
      <c r="A205" s="1">
        <v>200</v>
      </c>
      <c r="B205" s="18" t="s">
        <v>29</v>
      </c>
      <c r="C205" s="18">
        <v>65</v>
      </c>
      <c r="D205" s="21" t="s">
        <v>9</v>
      </c>
      <c r="E205" s="5"/>
      <c r="F205" s="3">
        <v>46.666666666666664</v>
      </c>
      <c r="G205" s="3">
        <v>42.8</v>
      </c>
      <c r="H205" s="3">
        <v>28.999999999999996</v>
      </c>
      <c r="I205" s="3">
        <f t="shared" si="63"/>
        <v>39.488888888888887</v>
      </c>
      <c r="J205" s="3">
        <f t="shared" si="64"/>
        <v>118.46666666666667</v>
      </c>
      <c r="K205" s="18">
        <f t="shared" ref="K205:K239" si="72">IF(J205="","",(RANK(J205,$J$205:$J$239)))</f>
        <v>19</v>
      </c>
      <c r="L205" s="18">
        <f t="shared" si="62"/>
        <v>197</v>
      </c>
      <c r="M205" s="4"/>
      <c r="N205" s="4"/>
      <c r="O205" s="7"/>
      <c r="P205" s="5">
        <v>75</v>
      </c>
      <c r="Q205" s="3">
        <v>48.711111111111116</v>
      </c>
      <c r="R205" s="3">
        <v>44.053333333333335</v>
      </c>
      <c r="S205" s="3">
        <v>47.377777777777773</v>
      </c>
      <c r="T205" s="3">
        <v>46.714074074074098</v>
      </c>
      <c r="U205" s="3">
        <v>140.14222222222222</v>
      </c>
      <c r="V205" s="18">
        <v>16</v>
      </c>
      <c r="W205" s="18">
        <v>183</v>
      </c>
      <c r="X205" s="4">
        <v>24</v>
      </c>
      <c r="Y205" s="4">
        <v>37.333333333333336</v>
      </c>
      <c r="Z205" s="7">
        <v>38.666666666666664</v>
      </c>
      <c r="AA205" s="5">
        <v>82</v>
      </c>
      <c r="AB205" s="3">
        <v>37.647058823529413</v>
      </c>
      <c r="AC205" s="3">
        <v>43.15</v>
      </c>
      <c r="AD205" s="3">
        <v>39.696969696969674</v>
      </c>
      <c r="AE205" s="3">
        <v>40.164676173499728</v>
      </c>
      <c r="AF205" s="3">
        <v>120.49402852049909</v>
      </c>
      <c r="AG205" s="18">
        <v>27</v>
      </c>
      <c r="AH205" s="18">
        <v>211</v>
      </c>
      <c r="AI205" s="4">
        <v>32.5</v>
      </c>
      <c r="AJ205" s="4">
        <v>27.5</v>
      </c>
      <c r="AK205" s="7">
        <v>36.25</v>
      </c>
      <c r="AL205" s="5">
        <v>82</v>
      </c>
      <c r="AM205" s="3">
        <v>51.857585139318871</v>
      </c>
      <c r="AN205" s="3">
        <v>23.809523809523814</v>
      </c>
      <c r="AO205" s="3">
        <v>39.047987616099078</v>
      </c>
      <c r="AP205" s="3">
        <v>38.282286598850057</v>
      </c>
      <c r="AQ205" s="3">
        <v>114.71509656494176</v>
      </c>
      <c r="AR205" s="18">
        <v>31</v>
      </c>
      <c r="AS205" s="18">
        <v>274</v>
      </c>
      <c r="AT205" s="4">
        <v>13.157894736842104</v>
      </c>
      <c r="AU205" s="4">
        <v>72</v>
      </c>
      <c r="AV205" s="7">
        <v>42.10526315789474</v>
      </c>
      <c r="AW205" s="10">
        <f t="shared" si="65"/>
        <v>79.666666666666671</v>
      </c>
      <c r="AX205" s="9">
        <f t="shared" si="66"/>
        <v>46.071918357986469</v>
      </c>
      <c r="AY205" s="9">
        <f t="shared" si="67"/>
        <v>37.004285714285714</v>
      </c>
      <c r="AZ205" s="9">
        <f t="shared" si="68"/>
        <v>42.040911696948847</v>
      </c>
      <c r="BA205" s="9">
        <f t="shared" si="69"/>
        <v>41.720345615474628</v>
      </c>
      <c r="BB205" s="9">
        <f t="shared" si="70"/>
        <v>125.11711576922102</v>
      </c>
      <c r="BC205" s="10">
        <f>IF(BB205="","",(RANK(BB205,$BB$205:$BB$239)))</f>
        <v>29</v>
      </c>
      <c r="BD205" s="10">
        <f t="shared" si="71"/>
        <v>238</v>
      </c>
      <c r="BE205" s="4">
        <f t="shared" si="57"/>
        <v>22.828947368421051</v>
      </c>
      <c r="BF205" s="4">
        <f t="shared" si="58"/>
        <v>49.75</v>
      </c>
      <c r="BG205" s="7">
        <f t="shared" si="59"/>
        <v>39.17763157894737</v>
      </c>
      <c r="BH205" s="5">
        <v>80</v>
      </c>
      <c r="BI205" s="3">
        <v>47.865822784810113</v>
      </c>
      <c r="BJ205" s="3">
        <v>31.306329113924054</v>
      </c>
      <c r="BK205" s="3">
        <v>31.054430379746844</v>
      </c>
      <c r="BL205" s="3">
        <v>36.742194092827006</v>
      </c>
      <c r="BM205" s="3">
        <v>110.22658227848103</v>
      </c>
      <c r="BN205" s="18">
        <v>28</v>
      </c>
      <c r="BO205" s="18">
        <v>231</v>
      </c>
      <c r="BP205" s="4">
        <v>27.848101265822784</v>
      </c>
      <c r="BQ205" s="4">
        <v>64.556962025316452</v>
      </c>
      <c r="BR205" s="7">
        <v>64.556962025316452</v>
      </c>
      <c r="BS205" s="18"/>
      <c r="BT205" s="23">
        <v>65</v>
      </c>
    </row>
    <row r="206" spans="1:72" x14ac:dyDescent="0.25">
      <c r="A206" s="18">
        <v>201</v>
      </c>
      <c r="B206" s="18" t="s">
        <v>29</v>
      </c>
      <c r="C206" s="18">
        <v>76</v>
      </c>
      <c r="D206" s="21" t="s">
        <v>9</v>
      </c>
      <c r="E206" s="5"/>
      <c r="F206" s="3">
        <v>37.666666666666664</v>
      </c>
      <c r="G206" s="3">
        <v>35.200000000000003</v>
      </c>
      <c r="H206" s="3">
        <v>32.666666666666671</v>
      </c>
      <c r="I206" s="3">
        <f t="shared" si="63"/>
        <v>35.177777777777784</v>
      </c>
      <c r="J206" s="3">
        <f t="shared" si="64"/>
        <v>105.53333333333335</v>
      </c>
      <c r="K206" s="18">
        <f t="shared" si="72"/>
        <v>27</v>
      </c>
      <c r="L206" s="18">
        <f t="shared" si="62"/>
        <v>242</v>
      </c>
      <c r="M206" s="4"/>
      <c r="N206" s="4"/>
      <c r="O206" s="7"/>
      <c r="P206" s="5">
        <v>123</v>
      </c>
      <c r="Q206" s="3">
        <v>51.192411924119213</v>
      </c>
      <c r="R206" s="3">
        <v>36.032520325203251</v>
      </c>
      <c r="S206" s="3">
        <v>43.577235772357753</v>
      </c>
      <c r="T206" s="3">
        <v>43.600722673893422</v>
      </c>
      <c r="U206" s="3">
        <v>130.80216802168022</v>
      </c>
      <c r="V206" s="18">
        <v>26</v>
      </c>
      <c r="W206" s="18">
        <v>232</v>
      </c>
      <c r="X206" s="4">
        <v>15.447154471544716</v>
      </c>
      <c r="Y206" s="4">
        <v>43.08943089430894</v>
      </c>
      <c r="Z206" s="7">
        <v>30.081300813008131</v>
      </c>
      <c r="AA206" s="5">
        <v>127</v>
      </c>
      <c r="AB206" s="3">
        <v>46.292634700939203</v>
      </c>
      <c r="AC206" s="3">
        <v>35.025210084033617</v>
      </c>
      <c r="AD206" s="3">
        <v>40.035952747817127</v>
      </c>
      <c r="AE206" s="3">
        <v>40.507681860623016</v>
      </c>
      <c r="AF206" s="3">
        <v>121.35379753278994</v>
      </c>
      <c r="AG206" s="18">
        <v>26</v>
      </c>
      <c r="AH206" s="18">
        <v>207</v>
      </c>
      <c r="AI206" s="4">
        <v>28.571428571428573</v>
      </c>
      <c r="AJ206" s="4">
        <v>46.218487394957982</v>
      </c>
      <c r="AK206" s="7">
        <v>37.288135593220339</v>
      </c>
      <c r="AL206" s="5">
        <v>127</v>
      </c>
      <c r="AM206" s="3">
        <v>51.828966880869984</v>
      </c>
      <c r="AN206" s="3">
        <v>22.687651331719135</v>
      </c>
      <c r="AO206" s="3">
        <v>41.051844466600208</v>
      </c>
      <c r="AP206" s="3">
        <v>38.475390156062431</v>
      </c>
      <c r="AQ206" s="3">
        <v>115.56846267918934</v>
      </c>
      <c r="AR206" s="18">
        <v>30</v>
      </c>
      <c r="AS206" s="18">
        <v>273</v>
      </c>
      <c r="AT206" s="4">
        <v>18.64406779661017</v>
      </c>
      <c r="AU206" s="4">
        <v>73.728813559322035</v>
      </c>
      <c r="AV206" s="7">
        <v>44.915254237288138</v>
      </c>
      <c r="AW206" s="10">
        <f t="shared" si="65"/>
        <v>125.66666666666667</v>
      </c>
      <c r="AX206" s="9">
        <f t="shared" si="66"/>
        <v>49.771337835309474</v>
      </c>
      <c r="AY206" s="9">
        <f t="shared" si="67"/>
        <v>31.248460580318667</v>
      </c>
      <c r="AZ206" s="9">
        <f t="shared" si="68"/>
        <v>41.555010995591694</v>
      </c>
      <c r="BA206" s="9">
        <f t="shared" si="69"/>
        <v>40.861264896859623</v>
      </c>
      <c r="BB206" s="9">
        <f t="shared" si="70"/>
        <v>122.57480941121985</v>
      </c>
      <c r="BC206" s="10">
        <f t="shared" ref="BC206:BC239" si="73">IF(BB206="","",(RANK(BB206,$BB$205:$BB$239)))</f>
        <v>30</v>
      </c>
      <c r="BD206" s="10">
        <f t="shared" si="71"/>
        <v>250</v>
      </c>
      <c r="BE206" s="4">
        <f t="shared" si="57"/>
        <v>23.607748184019371</v>
      </c>
      <c r="BF206" s="4">
        <f t="shared" si="58"/>
        <v>59.973650477140012</v>
      </c>
      <c r="BG206" s="7">
        <f t="shared" si="59"/>
        <v>41.101694915254242</v>
      </c>
      <c r="BH206" s="5">
        <v>125</v>
      </c>
      <c r="BI206" s="3">
        <v>58.636000000000003</v>
      </c>
      <c r="BJ206" s="3">
        <v>30.122400000000013</v>
      </c>
      <c r="BK206" s="3">
        <v>33.363199999999999</v>
      </c>
      <c r="BL206" s="3">
        <v>40.7072</v>
      </c>
      <c r="BM206" s="3">
        <v>122.12159999999997</v>
      </c>
      <c r="BN206" s="18">
        <v>20</v>
      </c>
      <c r="BO206" s="18">
        <v>154</v>
      </c>
      <c r="BP206" s="4">
        <v>11.2</v>
      </c>
      <c r="BQ206" s="4">
        <v>55.2</v>
      </c>
      <c r="BR206" s="7">
        <v>58.4</v>
      </c>
      <c r="BS206" s="18"/>
      <c r="BT206" s="23">
        <v>76</v>
      </c>
    </row>
    <row r="207" spans="1:72" x14ac:dyDescent="0.25">
      <c r="A207" s="18">
        <v>202</v>
      </c>
      <c r="B207" s="18" t="s">
        <v>29</v>
      </c>
      <c r="C207" s="18">
        <v>79</v>
      </c>
      <c r="D207" s="21" t="s">
        <v>9</v>
      </c>
      <c r="E207" s="5"/>
      <c r="F207" s="3">
        <v>43.333333333333336</v>
      </c>
      <c r="G207" s="3">
        <v>28</v>
      </c>
      <c r="H207" s="3">
        <v>23.666666666666668</v>
      </c>
      <c r="I207" s="3">
        <f t="shared" si="63"/>
        <v>31.666666666666671</v>
      </c>
      <c r="J207" s="3">
        <f t="shared" si="64"/>
        <v>95.000000000000014</v>
      </c>
      <c r="K207" s="18">
        <f t="shared" si="72"/>
        <v>32</v>
      </c>
      <c r="L207" s="18">
        <f t="shared" si="62"/>
        <v>271</v>
      </c>
      <c r="M207" s="4"/>
      <c r="N207" s="4"/>
      <c r="O207" s="7"/>
      <c r="P207" s="5">
        <v>22</v>
      </c>
      <c r="Q207" s="3">
        <v>50.606060606060602</v>
      </c>
      <c r="R207" s="3">
        <v>43.090909090909093</v>
      </c>
      <c r="S207" s="3">
        <v>38.484848484848484</v>
      </c>
      <c r="T207" s="3">
        <v>44.060606060606062</v>
      </c>
      <c r="U207" s="3">
        <v>132.18181818181819</v>
      </c>
      <c r="V207" s="18">
        <v>25</v>
      </c>
      <c r="W207" s="18">
        <v>226</v>
      </c>
      <c r="X207" s="4">
        <v>18.181818181818183</v>
      </c>
      <c r="Y207" s="4">
        <v>28.571428571428573</v>
      </c>
      <c r="Z207" s="7">
        <v>40.909090909090907</v>
      </c>
      <c r="AA207" s="5">
        <v>24</v>
      </c>
      <c r="AB207" s="3">
        <v>42.710997442455252</v>
      </c>
      <c r="AC207" s="3">
        <v>40.695652173913047</v>
      </c>
      <c r="AD207" s="3">
        <v>45.322793148880109</v>
      </c>
      <c r="AE207" s="3">
        <v>42.909814255082786</v>
      </c>
      <c r="AF207" s="3">
        <v>128.72944276524839</v>
      </c>
      <c r="AG207" s="18">
        <v>21</v>
      </c>
      <c r="AH207" s="18">
        <v>181</v>
      </c>
      <c r="AI207" s="4">
        <v>30.434782608695652</v>
      </c>
      <c r="AJ207" s="4">
        <v>39.130434782608695</v>
      </c>
      <c r="AK207" s="7">
        <v>30.434782608695652</v>
      </c>
      <c r="AL207" s="5">
        <v>24</v>
      </c>
      <c r="AM207" s="3">
        <v>57.475490196078432</v>
      </c>
      <c r="AN207" s="3">
        <v>44.047619047619044</v>
      </c>
      <c r="AO207" s="3">
        <v>47.549019607843128</v>
      </c>
      <c r="AP207" s="3">
        <v>49.690709617180204</v>
      </c>
      <c r="AQ207" s="3">
        <v>149.07212885154061</v>
      </c>
      <c r="AR207" s="18">
        <v>16</v>
      </c>
      <c r="AS207" s="18">
        <v>145</v>
      </c>
      <c r="AT207" s="4">
        <v>12.5</v>
      </c>
      <c r="AU207" s="4">
        <v>29.166666666666668</v>
      </c>
      <c r="AV207" s="7">
        <v>25</v>
      </c>
      <c r="AW207" s="10">
        <f t="shared" si="65"/>
        <v>23.333333333333332</v>
      </c>
      <c r="AX207" s="9">
        <f t="shared" si="66"/>
        <v>50.264182748198095</v>
      </c>
      <c r="AY207" s="9">
        <f t="shared" si="67"/>
        <v>42.611393437480395</v>
      </c>
      <c r="AZ207" s="9">
        <f t="shared" si="68"/>
        <v>43.785553747190569</v>
      </c>
      <c r="BA207" s="9">
        <f t="shared" si="69"/>
        <v>45.553709977623015</v>
      </c>
      <c r="BB207" s="9">
        <f t="shared" si="70"/>
        <v>136.66112993286904</v>
      </c>
      <c r="BC207" s="10">
        <f t="shared" si="73"/>
        <v>21</v>
      </c>
      <c r="BD207" s="10">
        <f t="shared" si="71"/>
        <v>186</v>
      </c>
      <c r="BE207" s="4">
        <f t="shared" si="57"/>
        <v>21.467391304347828</v>
      </c>
      <c r="BF207" s="4">
        <f t="shared" si="58"/>
        <v>34.14855072463768</v>
      </c>
      <c r="BG207" s="7">
        <f t="shared" si="59"/>
        <v>27.717391304347828</v>
      </c>
      <c r="BH207" s="5">
        <v>24</v>
      </c>
      <c r="BI207" s="3">
        <v>50.249999999999993</v>
      </c>
      <c r="BJ207" s="3">
        <v>26.129166666666666</v>
      </c>
      <c r="BK207" s="3">
        <v>37.87083333333333</v>
      </c>
      <c r="BL207" s="3">
        <v>38.083333333333329</v>
      </c>
      <c r="BM207" s="3">
        <v>114.24999999999996</v>
      </c>
      <c r="BN207" s="18">
        <v>25</v>
      </c>
      <c r="BO207" s="18">
        <v>210</v>
      </c>
      <c r="BP207" s="4">
        <v>16.666666666666668</v>
      </c>
      <c r="BQ207" s="4">
        <v>62.5</v>
      </c>
      <c r="BR207" s="7">
        <v>50</v>
      </c>
      <c r="BS207" s="18"/>
      <c r="BT207" s="23">
        <v>79</v>
      </c>
    </row>
    <row r="208" spans="1:72" x14ac:dyDescent="0.25">
      <c r="A208" s="18">
        <v>203</v>
      </c>
      <c r="B208" s="18" t="s">
        <v>29</v>
      </c>
      <c r="C208" s="18">
        <v>84</v>
      </c>
      <c r="D208" s="21" t="s">
        <v>9</v>
      </c>
      <c r="E208" s="5"/>
      <c r="F208" s="3">
        <v>52.333333333333336</v>
      </c>
      <c r="G208" s="3">
        <v>48.8</v>
      </c>
      <c r="H208" s="3">
        <v>49.333333333333336</v>
      </c>
      <c r="I208" s="3">
        <f t="shared" si="63"/>
        <v>50.155555555555559</v>
      </c>
      <c r="J208" s="3">
        <f t="shared" si="64"/>
        <v>150.46666666666667</v>
      </c>
      <c r="K208" s="18">
        <f t="shared" si="72"/>
        <v>6</v>
      </c>
      <c r="L208" s="18">
        <f t="shared" si="62"/>
        <v>78</v>
      </c>
      <c r="M208" s="4"/>
      <c r="N208" s="4"/>
      <c r="O208" s="7"/>
      <c r="P208" s="5">
        <v>39</v>
      </c>
      <c r="Q208" s="3">
        <v>47.435897435897445</v>
      </c>
      <c r="R208" s="3">
        <v>34.871794871794869</v>
      </c>
      <c r="S208" s="3">
        <v>45.213675213675209</v>
      </c>
      <c r="T208" s="3">
        <v>42.507122507122489</v>
      </c>
      <c r="U208" s="3">
        <v>127.52136752136752</v>
      </c>
      <c r="V208" s="18">
        <v>28</v>
      </c>
      <c r="W208" s="18">
        <v>247</v>
      </c>
      <c r="X208" s="4">
        <v>30.76923076923077</v>
      </c>
      <c r="Y208" s="4">
        <v>41.025641025641029</v>
      </c>
      <c r="Z208" s="7">
        <v>43.589743589743591</v>
      </c>
      <c r="AA208" s="5">
        <v>44</v>
      </c>
      <c r="AB208" s="3">
        <v>42.134062927496579</v>
      </c>
      <c r="AC208" s="3">
        <v>43.162790697674417</v>
      </c>
      <c r="AD208" s="3">
        <v>47.357293868921765</v>
      </c>
      <c r="AE208" s="3">
        <v>44.218049164697597</v>
      </c>
      <c r="AF208" s="3">
        <v>132.65414749409277</v>
      </c>
      <c r="AG208" s="18">
        <v>17</v>
      </c>
      <c r="AH208" s="18">
        <v>165</v>
      </c>
      <c r="AI208" s="4">
        <v>20.930232558139537</v>
      </c>
      <c r="AJ208" s="4">
        <v>16.279069767441861</v>
      </c>
      <c r="AK208" s="7">
        <v>16.279069767441861</v>
      </c>
      <c r="AL208" s="5">
        <v>45</v>
      </c>
      <c r="AM208" s="3">
        <v>57.318741450068387</v>
      </c>
      <c r="AN208" s="3">
        <v>30.636728147554138</v>
      </c>
      <c r="AO208" s="3">
        <v>51.444679351656092</v>
      </c>
      <c r="AP208" s="3">
        <v>46.466716316426208</v>
      </c>
      <c r="AQ208" s="3">
        <v>139.40014894927862</v>
      </c>
      <c r="AR208" s="18">
        <v>23</v>
      </c>
      <c r="AS208" s="18">
        <v>191</v>
      </c>
      <c r="AT208" s="4">
        <v>23.255813953488371</v>
      </c>
      <c r="AU208" s="4">
        <v>48.837209302325583</v>
      </c>
      <c r="AV208" s="7">
        <v>30.232558139534884</v>
      </c>
      <c r="AW208" s="10">
        <f t="shared" si="65"/>
        <v>42.666666666666664</v>
      </c>
      <c r="AX208" s="9">
        <f t="shared" si="66"/>
        <v>48.962900604487466</v>
      </c>
      <c r="AY208" s="9">
        <f t="shared" si="67"/>
        <v>36.22377123900781</v>
      </c>
      <c r="AZ208" s="9">
        <f t="shared" si="68"/>
        <v>48.005216144751024</v>
      </c>
      <c r="BA208" s="9">
        <f t="shared" si="69"/>
        <v>44.3972959960821</v>
      </c>
      <c r="BB208" s="9">
        <f t="shared" si="70"/>
        <v>133.19188798824629</v>
      </c>
      <c r="BC208" s="10">
        <f t="shared" si="73"/>
        <v>24</v>
      </c>
      <c r="BD208" s="10">
        <f t="shared" si="71"/>
        <v>207</v>
      </c>
      <c r="BE208" s="4">
        <f t="shared" si="57"/>
        <v>22.093023255813954</v>
      </c>
      <c r="BF208" s="4">
        <f t="shared" si="58"/>
        <v>32.558139534883722</v>
      </c>
      <c r="BG208" s="7">
        <f t="shared" si="59"/>
        <v>23.255813953488371</v>
      </c>
      <c r="BH208" s="5">
        <v>45</v>
      </c>
      <c r="BI208" s="3">
        <v>54.086046511627906</v>
      </c>
      <c r="BJ208" s="3">
        <v>28.239534883720928</v>
      </c>
      <c r="BK208" s="3">
        <v>35.967441860465115</v>
      </c>
      <c r="BL208" s="3">
        <v>39.43100775193799</v>
      </c>
      <c r="BM208" s="3">
        <v>118.29302325581392</v>
      </c>
      <c r="BN208" s="18">
        <v>22</v>
      </c>
      <c r="BO208" s="18">
        <v>181</v>
      </c>
      <c r="BP208" s="4">
        <v>13.953488372093023</v>
      </c>
      <c r="BQ208" s="4">
        <v>58.139534883720927</v>
      </c>
      <c r="BR208" s="7">
        <v>51.162790697674417</v>
      </c>
      <c r="BS208" s="18"/>
      <c r="BT208" s="23">
        <v>84</v>
      </c>
    </row>
    <row r="209" spans="1:72" x14ac:dyDescent="0.25">
      <c r="A209" s="18">
        <v>204</v>
      </c>
      <c r="B209" s="18" t="s">
        <v>29</v>
      </c>
      <c r="C209" s="18">
        <v>85</v>
      </c>
      <c r="D209" s="21" t="s">
        <v>9</v>
      </c>
      <c r="E209" s="5"/>
      <c r="F209" s="3">
        <v>52.666666666666664</v>
      </c>
      <c r="G209" s="3">
        <v>52</v>
      </c>
      <c r="H209" s="3">
        <v>38.333333333333336</v>
      </c>
      <c r="I209" s="3">
        <f t="shared" si="63"/>
        <v>47.666666666666664</v>
      </c>
      <c r="J209" s="3">
        <f t="shared" si="64"/>
        <v>143</v>
      </c>
      <c r="K209" s="18">
        <f t="shared" si="72"/>
        <v>10</v>
      </c>
      <c r="L209" s="18">
        <f t="shared" si="62"/>
        <v>115</v>
      </c>
      <c r="M209" s="4"/>
      <c r="N209" s="4"/>
      <c r="O209" s="7"/>
      <c r="P209" s="5">
        <v>68</v>
      </c>
      <c r="Q209" s="3">
        <v>53.039215686274531</v>
      </c>
      <c r="R209" s="3">
        <v>42.176470588235297</v>
      </c>
      <c r="S209" s="3">
        <v>46.127450980392169</v>
      </c>
      <c r="T209" s="3">
        <v>47.114379084967332</v>
      </c>
      <c r="U209" s="3">
        <v>141.34313725490199</v>
      </c>
      <c r="V209" s="18">
        <v>13</v>
      </c>
      <c r="W209" s="18">
        <v>178</v>
      </c>
      <c r="X209" s="4">
        <v>13.235294117647058</v>
      </c>
      <c r="Y209" s="4">
        <v>35.820895522388057</v>
      </c>
      <c r="Z209" s="7">
        <v>41.176470588235297</v>
      </c>
      <c r="AA209" s="5">
        <v>72</v>
      </c>
      <c r="AB209" s="3">
        <v>49.117647058823536</v>
      </c>
      <c r="AC209" s="3">
        <v>44.685714285714283</v>
      </c>
      <c r="AD209" s="3">
        <v>50.909090909090907</v>
      </c>
      <c r="AE209" s="3">
        <v>48.237484084542899</v>
      </c>
      <c r="AF209" s="3">
        <v>144.71245225362873</v>
      </c>
      <c r="AG209" s="18">
        <v>12</v>
      </c>
      <c r="AH209" s="18">
        <v>112</v>
      </c>
      <c r="AI209" s="4">
        <v>17.142857142857142</v>
      </c>
      <c r="AJ209" s="4">
        <v>22.857142857142858</v>
      </c>
      <c r="AK209" s="7">
        <v>20</v>
      </c>
      <c r="AL209" s="5">
        <v>73</v>
      </c>
      <c r="AM209" s="3">
        <v>59.904844290657465</v>
      </c>
      <c r="AN209" s="3">
        <v>45.888438133874224</v>
      </c>
      <c r="AO209" s="3">
        <v>53.921568627450974</v>
      </c>
      <c r="AP209" s="3">
        <v>53.238283683994212</v>
      </c>
      <c r="AQ209" s="3">
        <v>159.71485105198266</v>
      </c>
      <c r="AR209" s="18">
        <v>8</v>
      </c>
      <c r="AS209" s="18">
        <v>102</v>
      </c>
      <c r="AT209" s="4">
        <v>11.764705882352942</v>
      </c>
      <c r="AU209" s="4">
        <v>16.666666666666668</v>
      </c>
      <c r="AV209" s="7">
        <v>19.696969696969695</v>
      </c>
      <c r="AW209" s="10">
        <f t="shared" si="65"/>
        <v>71</v>
      </c>
      <c r="AX209" s="9">
        <f t="shared" si="66"/>
        <v>54.020569011918518</v>
      </c>
      <c r="AY209" s="9">
        <f t="shared" si="67"/>
        <v>44.250207669274602</v>
      </c>
      <c r="AZ209" s="9">
        <f t="shared" si="68"/>
        <v>50.319370172311352</v>
      </c>
      <c r="BA209" s="9">
        <f t="shared" si="69"/>
        <v>49.530048951168148</v>
      </c>
      <c r="BB209" s="9">
        <f t="shared" si="70"/>
        <v>148.59014685350448</v>
      </c>
      <c r="BC209" s="10">
        <f t="shared" si="73"/>
        <v>12</v>
      </c>
      <c r="BD209" s="10">
        <f t="shared" si="71"/>
        <v>133</v>
      </c>
      <c r="BE209" s="4">
        <f t="shared" si="57"/>
        <v>14.453781512605042</v>
      </c>
      <c r="BF209" s="4">
        <f t="shared" si="58"/>
        <v>19.761904761904763</v>
      </c>
      <c r="BG209" s="7">
        <f t="shared" si="59"/>
        <v>19.848484848484848</v>
      </c>
      <c r="BH209" s="5">
        <v>72</v>
      </c>
      <c r="BI209" s="3">
        <v>53.504285714285729</v>
      </c>
      <c r="BJ209" s="3">
        <v>38.169999999999995</v>
      </c>
      <c r="BK209" s="3">
        <v>37.4342857142857</v>
      </c>
      <c r="BL209" s="3">
        <v>43.036190476190477</v>
      </c>
      <c r="BM209" s="3">
        <v>129.10857142857139</v>
      </c>
      <c r="BN209" s="18">
        <v>14</v>
      </c>
      <c r="BO209" s="18">
        <v>116</v>
      </c>
      <c r="BP209" s="4">
        <v>18.571428571428573</v>
      </c>
      <c r="BQ209" s="4">
        <v>50</v>
      </c>
      <c r="BR209" s="7">
        <v>45.714285714285715</v>
      </c>
      <c r="BS209" s="18"/>
      <c r="BT209" s="23">
        <v>85</v>
      </c>
    </row>
    <row r="210" spans="1:72" x14ac:dyDescent="0.25">
      <c r="A210" s="1">
        <v>205</v>
      </c>
      <c r="B210" s="18" t="s">
        <v>29</v>
      </c>
      <c r="C210" s="18">
        <v>87</v>
      </c>
      <c r="D210" s="21" t="s">
        <v>9</v>
      </c>
      <c r="E210" s="5"/>
      <c r="F210" s="3">
        <v>50</v>
      </c>
      <c r="G210" s="3">
        <v>52</v>
      </c>
      <c r="H210" s="3">
        <v>43.333333333333336</v>
      </c>
      <c r="I210" s="3">
        <f t="shared" si="63"/>
        <v>48.44444444444445</v>
      </c>
      <c r="J210" s="3">
        <f t="shared" si="64"/>
        <v>145.33333333333334</v>
      </c>
      <c r="K210" s="18">
        <f t="shared" si="72"/>
        <v>8</v>
      </c>
      <c r="L210" s="18">
        <f t="shared" si="62"/>
        <v>99</v>
      </c>
      <c r="M210" s="4"/>
      <c r="N210" s="4"/>
      <c r="O210" s="7"/>
      <c r="P210" s="5">
        <v>147</v>
      </c>
      <c r="Q210" s="3">
        <v>56.145124716553305</v>
      </c>
      <c r="R210" s="3">
        <v>50.857142857142854</v>
      </c>
      <c r="S210" s="3">
        <v>57.853881278538807</v>
      </c>
      <c r="T210" s="3">
        <v>54.945454545454545</v>
      </c>
      <c r="U210" s="3">
        <v>164.85614885223498</v>
      </c>
      <c r="V210" s="18">
        <v>4</v>
      </c>
      <c r="W210" s="18">
        <v>93</v>
      </c>
      <c r="X210" s="4">
        <v>9.5238095238095237</v>
      </c>
      <c r="Y210" s="4">
        <v>19.17808219178082</v>
      </c>
      <c r="Z210" s="7">
        <v>12.328767123287671</v>
      </c>
      <c r="AA210" s="5">
        <v>44</v>
      </c>
      <c r="AB210" s="3">
        <v>42.134062927496579</v>
      </c>
      <c r="AC210" s="3">
        <v>43.162790697674417</v>
      </c>
      <c r="AD210" s="3">
        <v>47.357293868921765</v>
      </c>
      <c r="AE210" s="3">
        <v>44.218049164697597</v>
      </c>
      <c r="AF210" s="3">
        <v>132.65414749409277</v>
      </c>
      <c r="AG210" s="18">
        <v>17</v>
      </c>
      <c r="AH210" s="18">
        <v>165</v>
      </c>
      <c r="AI210" s="4">
        <v>20.930232558139537</v>
      </c>
      <c r="AJ210" s="4">
        <v>16.279069767441861</v>
      </c>
      <c r="AK210" s="7">
        <v>16.279069767441861</v>
      </c>
      <c r="AL210" s="5">
        <v>164</v>
      </c>
      <c r="AM210" s="3">
        <v>58.220211161387603</v>
      </c>
      <c r="AN210" s="3">
        <v>38.553113553113597</v>
      </c>
      <c r="AO210" s="3">
        <v>61.104826546002997</v>
      </c>
      <c r="AP210" s="3">
        <v>52.626050420168099</v>
      </c>
      <c r="AQ210" s="3">
        <v>157.87815126050418</v>
      </c>
      <c r="AR210" s="18">
        <v>9</v>
      </c>
      <c r="AS210" s="18">
        <v>110</v>
      </c>
      <c r="AT210" s="4">
        <v>8.3333333333333339</v>
      </c>
      <c r="AU210" s="4">
        <v>22.435897435897434</v>
      </c>
      <c r="AV210" s="7">
        <v>8.9743589743589745</v>
      </c>
      <c r="AW210" s="10">
        <f t="shared" si="65"/>
        <v>118.33333333333333</v>
      </c>
      <c r="AX210" s="9">
        <f t="shared" si="66"/>
        <v>52.166466268479162</v>
      </c>
      <c r="AY210" s="9">
        <f t="shared" si="67"/>
        <v>44.191015702643625</v>
      </c>
      <c r="AZ210" s="9">
        <f t="shared" si="68"/>
        <v>55.438667231154533</v>
      </c>
      <c r="BA210" s="9">
        <f t="shared" si="69"/>
        <v>50.596518043440085</v>
      </c>
      <c r="BB210" s="9">
        <f t="shared" si="70"/>
        <v>151.79614920227732</v>
      </c>
      <c r="BC210" s="10">
        <f t="shared" si="73"/>
        <v>9</v>
      </c>
      <c r="BD210" s="10">
        <f t="shared" si="71"/>
        <v>119</v>
      </c>
      <c r="BE210" s="4">
        <f t="shared" si="57"/>
        <v>14.631782945736436</v>
      </c>
      <c r="BF210" s="4">
        <f t="shared" si="58"/>
        <v>19.357483601669649</v>
      </c>
      <c r="BG210" s="7">
        <f t="shared" si="59"/>
        <v>12.626714370900418</v>
      </c>
      <c r="BH210" s="5">
        <v>163</v>
      </c>
      <c r="BI210" s="3">
        <v>58.880246913580237</v>
      </c>
      <c r="BJ210" s="3">
        <v>38.079629629629594</v>
      </c>
      <c r="BK210" s="3">
        <v>43.09753086419753</v>
      </c>
      <c r="BL210" s="3">
        <v>46.685802469135801</v>
      </c>
      <c r="BM210" s="3">
        <v>140.05740740740748</v>
      </c>
      <c r="BN210" s="18">
        <v>6</v>
      </c>
      <c r="BO210" s="18">
        <v>66</v>
      </c>
      <c r="BP210" s="4">
        <v>8.6419753086419746</v>
      </c>
      <c r="BQ210" s="4">
        <v>43.827160493827158</v>
      </c>
      <c r="BR210" s="7">
        <v>40.74074074074074</v>
      </c>
      <c r="BS210" s="18"/>
      <c r="BT210" s="23">
        <v>87</v>
      </c>
    </row>
    <row r="211" spans="1:72" x14ac:dyDescent="0.25">
      <c r="A211" s="18">
        <v>206</v>
      </c>
      <c r="B211" s="18" t="s">
        <v>29</v>
      </c>
      <c r="C211" s="18">
        <v>89</v>
      </c>
      <c r="D211" s="21" t="s">
        <v>9</v>
      </c>
      <c r="E211" s="5"/>
      <c r="F211" s="3">
        <v>42.666666666666664</v>
      </c>
      <c r="G211" s="3">
        <v>40</v>
      </c>
      <c r="H211" s="3">
        <v>32.333333333333329</v>
      </c>
      <c r="I211" s="3">
        <f t="shared" si="63"/>
        <v>38.333333333333329</v>
      </c>
      <c r="J211" s="3">
        <f t="shared" si="64"/>
        <v>114.99999999999999</v>
      </c>
      <c r="K211" s="18">
        <f t="shared" si="72"/>
        <v>24</v>
      </c>
      <c r="L211" s="18">
        <f t="shared" si="62"/>
        <v>216</v>
      </c>
      <c r="M211" s="4"/>
      <c r="N211" s="4"/>
      <c r="O211" s="7"/>
      <c r="P211" s="5">
        <v>142</v>
      </c>
      <c r="Q211" s="3">
        <v>47.464788732394368</v>
      </c>
      <c r="R211" s="3">
        <v>45.521126760563384</v>
      </c>
      <c r="S211" s="3">
        <v>46.962365591397848</v>
      </c>
      <c r="T211" s="3">
        <v>46.635620915032703</v>
      </c>
      <c r="U211" s="3">
        <v>139.94828108435561</v>
      </c>
      <c r="V211" s="18">
        <v>17</v>
      </c>
      <c r="W211" s="18">
        <v>184</v>
      </c>
      <c r="X211" s="4">
        <v>20.422535211267604</v>
      </c>
      <c r="Y211" s="4">
        <v>23.943661971830984</v>
      </c>
      <c r="Z211" s="7">
        <v>31.451612903225808</v>
      </c>
      <c r="AA211" s="5">
        <v>35</v>
      </c>
      <c r="AB211" s="3">
        <v>58.722109533468569</v>
      </c>
      <c r="AC211" s="3">
        <v>52.96551724137931</v>
      </c>
      <c r="AD211" s="3">
        <v>46.917450365726225</v>
      </c>
      <c r="AE211" s="3">
        <v>52.868359046858046</v>
      </c>
      <c r="AF211" s="3">
        <v>158.60507714057411</v>
      </c>
      <c r="AG211" s="18">
        <v>6</v>
      </c>
      <c r="AH211" s="18">
        <v>68</v>
      </c>
      <c r="AI211" s="4">
        <v>6.8965517241379306</v>
      </c>
      <c r="AJ211" s="4">
        <v>20.689655172413794</v>
      </c>
      <c r="AK211" s="7">
        <v>24.137931034482758</v>
      </c>
      <c r="AL211" s="5">
        <v>152</v>
      </c>
      <c r="AM211" s="3">
        <v>57.196495619524384</v>
      </c>
      <c r="AN211" s="3">
        <v>41.499493414387082</v>
      </c>
      <c r="AO211" s="3">
        <v>49.335863377609101</v>
      </c>
      <c r="AP211" s="3">
        <v>49.537715795538062</v>
      </c>
      <c r="AQ211" s="3">
        <v>148.03185241152056</v>
      </c>
      <c r="AR211" s="18">
        <v>18</v>
      </c>
      <c r="AS211" s="18">
        <v>149</v>
      </c>
      <c r="AT211" s="4">
        <v>9.2198581560283692</v>
      </c>
      <c r="AU211" s="4">
        <v>25.179856115107913</v>
      </c>
      <c r="AV211" s="7">
        <v>20.967741935483872</v>
      </c>
      <c r="AW211" s="10">
        <f t="shared" si="65"/>
        <v>109.66666666666667</v>
      </c>
      <c r="AX211" s="9">
        <f t="shared" si="66"/>
        <v>54.4611312951291</v>
      </c>
      <c r="AY211" s="9">
        <f t="shared" si="67"/>
        <v>46.662045805443256</v>
      </c>
      <c r="AZ211" s="9">
        <f t="shared" si="68"/>
        <v>47.738559778244394</v>
      </c>
      <c r="BA211" s="9">
        <f t="shared" si="69"/>
        <v>49.680565252476271</v>
      </c>
      <c r="BB211" s="9">
        <f t="shared" si="70"/>
        <v>148.86173687881677</v>
      </c>
      <c r="BC211" s="10">
        <f t="shared" si="73"/>
        <v>11</v>
      </c>
      <c r="BD211" s="10">
        <f t="shared" si="71"/>
        <v>130</v>
      </c>
      <c r="BE211" s="4">
        <f t="shared" si="57"/>
        <v>8.0582049400831508</v>
      </c>
      <c r="BF211" s="4">
        <f t="shared" si="58"/>
        <v>22.934755643760852</v>
      </c>
      <c r="BG211" s="7">
        <f t="shared" si="59"/>
        <v>22.552836484983317</v>
      </c>
      <c r="BH211" s="5">
        <v>152</v>
      </c>
      <c r="BI211" s="3">
        <v>53.321333333333364</v>
      </c>
      <c r="BJ211" s="3">
        <v>37.643333333333345</v>
      </c>
      <c r="BK211" s="3">
        <v>34.901333333333341</v>
      </c>
      <c r="BL211" s="3">
        <v>41.95533333333335</v>
      </c>
      <c r="BM211" s="3">
        <v>125.86599999999996</v>
      </c>
      <c r="BN211" s="18">
        <v>15</v>
      </c>
      <c r="BO211" s="18">
        <v>134</v>
      </c>
      <c r="BP211" s="4">
        <v>18.666666666666668</v>
      </c>
      <c r="BQ211" s="4">
        <v>45.333333333333336</v>
      </c>
      <c r="BR211" s="7">
        <v>56.666666666666664</v>
      </c>
      <c r="BS211" s="18"/>
      <c r="BT211" s="23">
        <v>89</v>
      </c>
    </row>
    <row r="212" spans="1:72" x14ac:dyDescent="0.25">
      <c r="A212" s="18">
        <v>207</v>
      </c>
      <c r="B212" s="18" t="s">
        <v>29</v>
      </c>
      <c r="C212" s="18">
        <v>97</v>
      </c>
      <c r="D212" s="21" t="s">
        <v>9</v>
      </c>
      <c r="E212" s="5"/>
      <c r="F212" s="3">
        <v>48.333333333333336</v>
      </c>
      <c r="G212" s="3">
        <v>27.2</v>
      </c>
      <c r="H212" s="3">
        <v>28.666666666666668</v>
      </c>
      <c r="I212" s="3">
        <f t="shared" si="63"/>
        <v>34.733333333333334</v>
      </c>
      <c r="J212" s="3">
        <f t="shared" si="64"/>
        <v>104.2</v>
      </c>
      <c r="K212" s="18">
        <f t="shared" si="72"/>
        <v>29</v>
      </c>
      <c r="L212" s="18">
        <f t="shared" si="62"/>
        <v>249</v>
      </c>
      <c r="M212" s="4"/>
      <c r="N212" s="4"/>
      <c r="O212" s="7"/>
      <c r="P212" s="5">
        <v>38</v>
      </c>
      <c r="Q212" s="3">
        <v>43.684210526315795</v>
      </c>
      <c r="R212" s="3">
        <v>32.94736842105263</v>
      </c>
      <c r="S212" s="3">
        <v>35.526315789473678</v>
      </c>
      <c r="T212" s="3">
        <v>37.385964912280699</v>
      </c>
      <c r="U212" s="3">
        <v>112.15789473684211</v>
      </c>
      <c r="V212" s="18">
        <v>34</v>
      </c>
      <c r="W212" s="18">
        <v>287</v>
      </c>
      <c r="X212" s="4">
        <v>23.684210526315791</v>
      </c>
      <c r="Y212" s="4">
        <v>36.842105263157897</v>
      </c>
      <c r="Z212" s="7">
        <v>50</v>
      </c>
      <c r="AA212" s="5">
        <v>44</v>
      </c>
      <c r="AB212" s="3">
        <v>32.273449920508746</v>
      </c>
      <c r="AC212" s="3">
        <v>20.972972972972972</v>
      </c>
      <c r="AD212" s="3">
        <v>31.601731601731597</v>
      </c>
      <c r="AE212" s="3">
        <v>26.812599681020732</v>
      </c>
      <c r="AF212" s="3">
        <v>84.848154495213322</v>
      </c>
      <c r="AG212" s="18">
        <v>35</v>
      </c>
      <c r="AH212" s="18">
        <v>301</v>
      </c>
      <c r="AI212" s="4">
        <v>54.054054054054056</v>
      </c>
      <c r="AJ212" s="4">
        <v>72.972972972972968</v>
      </c>
      <c r="AK212" s="7">
        <v>61.904761904761905</v>
      </c>
      <c r="AL212" s="5">
        <v>46</v>
      </c>
      <c r="AM212" s="3">
        <v>54.453781512604998</v>
      </c>
      <c r="AN212" s="3">
        <v>14.6938775510204</v>
      </c>
      <c r="AO212" s="3">
        <v>38.991596638655501</v>
      </c>
      <c r="AP212" s="3">
        <v>36.046418567426997</v>
      </c>
      <c r="AQ212" s="3">
        <v>108.13925570228091</v>
      </c>
      <c r="AR212" s="18">
        <v>34</v>
      </c>
      <c r="AS212" s="18">
        <v>285</v>
      </c>
      <c r="AT212" s="4">
        <v>22.857142857142858</v>
      </c>
      <c r="AU212" s="4">
        <v>85.714285714285708</v>
      </c>
      <c r="AV212" s="7">
        <v>48.571428571428569</v>
      </c>
      <c r="AW212" s="10">
        <f t="shared" si="65"/>
        <v>42.666666666666664</v>
      </c>
      <c r="AX212" s="9">
        <f t="shared" si="66"/>
        <v>43.470480653143177</v>
      </c>
      <c r="AY212" s="9">
        <f t="shared" si="67"/>
        <v>22.871406315015332</v>
      </c>
      <c r="AZ212" s="9">
        <f t="shared" si="68"/>
        <v>35.373214676620258</v>
      </c>
      <c r="BA212" s="9">
        <f t="shared" si="69"/>
        <v>33.414994386909477</v>
      </c>
      <c r="BB212" s="9">
        <f t="shared" si="70"/>
        <v>101.71510164477877</v>
      </c>
      <c r="BC212" s="10">
        <f t="shared" si="73"/>
        <v>35</v>
      </c>
      <c r="BD212" s="10">
        <f t="shared" si="71"/>
        <v>295</v>
      </c>
      <c r="BE212" s="4">
        <f t="shared" si="57"/>
        <v>38.455598455598455</v>
      </c>
      <c r="BF212" s="4">
        <f t="shared" si="58"/>
        <v>79.343629343629345</v>
      </c>
      <c r="BG212" s="7">
        <f t="shared" si="59"/>
        <v>55.238095238095241</v>
      </c>
      <c r="BH212" s="5">
        <v>45</v>
      </c>
      <c r="BI212" s="3">
        <v>44.179999999999986</v>
      </c>
      <c r="BJ212" s="3">
        <v>27.837777777777788</v>
      </c>
      <c r="BK212" s="3">
        <v>29.084444444444443</v>
      </c>
      <c r="BL212" s="3">
        <v>33.700740740740763</v>
      </c>
      <c r="BM212" s="3">
        <v>101.1022222222222</v>
      </c>
      <c r="BN212" s="18">
        <v>35</v>
      </c>
      <c r="BO212" s="18">
        <v>264</v>
      </c>
      <c r="BP212" s="4">
        <v>40</v>
      </c>
      <c r="BQ212" s="4">
        <v>71.111111111111114</v>
      </c>
      <c r="BR212" s="7">
        <v>73.333333333333329</v>
      </c>
      <c r="BS212" s="18"/>
      <c r="BT212" s="23">
        <v>97</v>
      </c>
    </row>
    <row r="213" spans="1:72" x14ac:dyDescent="0.25">
      <c r="A213" s="18">
        <v>208</v>
      </c>
      <c r="B213" s="18" t="s">
        <v>29</v>
      </c>
      <c r="C213" s="18">
        <v>101</v>
      </c>
      <c r="D213" s="21" t="s">
        <v>9</v>
      </c>
      <c r="E213" s="5"/>
      <c r="F213" s="3">
        <v>39</v>
      </c>
      <c r="G213" s="3">
        <v>38</v>
      </c>
      <c r="H213" s="3">
        <v>28</v>
      </c>
      <c r="I213" s="3">
        <f t="shared" si="63"/>
        <v>35</v>
      </c>
      <c r="J213" s="3">
        <f t="shared" si="64"/>
        <v>105</v>
      </c>
      <c r="K213" s="18">
        <f t="shared" si="72"/>
        <v>28</v>
      </c>
      <c r="L213" s="18">
        <f t="shared" si="62"/>
        <v>245</v>
      </c>
      <c r="M213" s="4"/>
      <c r="N213" s="4"/>
      <c r="O213" s="7"/>
      <c r="P213" s="5">
        <v>57</v>
      </c>
      <c r="Q213" s="3">
        <v>43.333333333333336</v>
      </c>
      <c r="R213" s="3">
        <v>47.789473684210527</v>
      </c>
      <c r="S213" s="3">
        <v>50</v>
      </c>
      <c r="T213" s="3">
        <v>46.46153846153846</v>
      </c>
      <c r="U213" s="3">
        <v>141.12280701754386</v>
      </c>
      <c r="V213" s="18">
        <v>14</v>
      </c>
      <c r="W213" s="18">
        <v>179</v>
      </c>
      <c r="X213" s="4">
        <v>24.561403508771932</v>
      </c>
      <c r="Y213" s="4">
        <v>14.035087719298245</v>
      </c>
      <c r="Z213" s="7">
        <v>31.03448275862069</v>
      </c>
      <c r="AA213" s="5">
        <v>72</v>
      </c>
      <c r="AB213" s="3">
        <v>31.354051054384026</v>
      </c>
      <c r="AC213" s="3">
        <v>40.918672739102149</v>
      </c>
      <c r="AD213" s="3">
        <v>44.988344988344991</v>
      </c>
      <c r="AE213" s="3">
        <v>39.084506514105819</v>
      </c>
      <c r="AF213" s="3">
        <v>117.26106878183117</v>
      </c>
      <c r="AG213" s="18">
        <v>28</v>
      </c>
      <c r="AH213" s="18">
        <v>223</v>
      </c>
      <c r="AI213" s="4">
        <v>58.490566037735846</v>
      </c>
      <c r="AJ213" s="4">
        <v>41.509433962264154</v>
      </c>
      <c r="AK213" s="7">
        <v>21.153846153846153</v>
      </c>
      <c r="AL213" s="5">
        <v>72</v>
      </c>
      <c r="AM213" s="3">
        <v>47.930283224400874</v>
      </c>
      <c r="AN213" s="3">
        <v>32.962962962962969</v>
      </c>
      <c r="AO213" s="3">
        <v>52.869440459110471</v>
      </c>
      <c r="AP213" s="3">
        <v>43.050887021475262</v>
      </c>
      <c r="AQ213" s="3">
        <v>133.76268664647432</v>
      </c>
      <c r="AR213" s="18">
        <v>26</v>
      </c>
      <c r="AS213" s="18">
        <v>218</v>
      </c>
      <c r="AT213" s="4">
        <v>24.074074074074073</v>
      </c>
      <c r="AU213" s="4">
        <v>57.407407407407405</v>
      </c>
      <c r="AV213" s="7">
        <v>19.512195121951219</v>
      </c>
      <c r="AW213" s="10">
        <f t="shared" si="65"/>
        <v>67</v>
      </c>
      <c r="AX213" s="9">
        <f t="shared" si="66"/>
        <v>40.872555870706073</v>
      </c>
      <c r="AY213" s="9">
        <f t="shared" si="67"/>
        <v>40.55703646209188</v>
      </c>
      <c r="AZ213" s="9">
        <f t="shared" si="68"/>
        <v>49.285928482485154</v>
      </c>
      <c r="BA213" s="9">
        <f t="shared" si="69"/>
        <v>42.865643999039854</v>
      </c>
      <c r="BB213" s="9">
        <f t="shared" si="70"/>
        <v>130.7155208152831</v>
      </c>
      <c r="BC213" s="10">
        <f t="shared" si="73"/>
        <v>26</v>
      </c>
      <c r="BD213" s="10">
        <f t="shared" si="71"/>
        <v>216</v>
      </c>
      <c r="BE213" s="4">
        <f t="shared" si="57"/>
        <v>41.282320055904961</v>
      </c>
      <c r="BF213" s="4">
        <f t="shared" si="58"/>
        <v>49.458420684835779</v>
      </c>
      <c r="BG213" s="7">
        <f t="shared" si="59"/>
        <v>20.333020637898684</v>
      </c>
      <c r="BH213" s="5">
        <v>68</v>
      </c>
      <c r="BI213" s="3">
        <v>45.258823529411785</v>
      </c>
      <c r="BJ213" s="3">
        <v>32.414705882352955</v>
      </c>
      <c r="BK213" s="3">
        <v>30.488235294117644</v>
      </c>
      <c r="BL213" s="3">
        <v>36.053921568627452</v>
      </c>
      <c r="BM213" s="3">
        <v>108.16176470588233</v>
      </c>
      <c r="BN213" s="18">
        <v>30</v>
      </c>
      <c r="BO213" s="18">
        <v>239</v>
      </c>
      <c r="BP213" s="4">
        <v>32.352941176470587</v>
      </c>
      <c r="BQ213" s="4">
        <v>57.352941176470587</v>
      </c>
      <c r="BR213" s="7">
        <v>70.588235294117652</v>
      </c>
      <c r="BS213" s="18"/>
      <c r="BT213" s="23">
        <v>101</v>
      </c>
    </row>
    <row r="214" spans="1:72" x14ac:dyDescent="0.25">
      <c r="A214" s="18">
        <v>209</v>
      </c>
      <c r="B214" s="18" t="s">
        <v>29</v>
      </c>
      <c r="C214" s="18">
        <v>104</v>
      </c>
      <c r="D214" s="21" t="s">
        <v>9</v>
      </c>
      <c r="E214" s="5"/>
      <c r="F214" s="3">
        <v>56.666666666666664</v>
      </c>
      <c r="G214" s="3">
        <v>52</v>
      </c>
      <c r="H214" s="3">
        <v>48.333333333333336</v>
      </c>
      <c r="I214" s="3">
        <f t="shared" si="63"/>
        <v>52.333333333333336</v>
      </c>
      <c r="J214" s="3">
        <f t="shared" si="64"/>
        <v>157</v>
      </c>
      <c r="K214" s="18">
        <f t="shared" si="72"/>
        <v>5</v>
      </c>
      <c r="L214" s="18">
        <f t="shared" si="62"/>
        <v>60</v>
      </c>
      <c r="M214" s="4"/>
      <c r="N214" s="4"/>
      <c r="O214" s="7"/>
      <c r="P214" s="5">
        <v>132</v>
      </c>
      <c r="Q214" s="3">
        <v>50.530303030303038</v>
      </c>
      <c r="R214" s="3">
        <v>48.575757575757578</v>
      </c>
      <c r="S214" s="3">
        <v>51.666666666666629</v>
      </c>
      <c r="T214" s="3">
        <v>50.257575757575758</v>
      </c>
      <c r="U214" s="3">
        <v>150.77272727272725</v>
      </c>
      <c r="V214" s="18">
        <v>9</v>
      </c>
      <c r="W214" s="18">
        <v>142</v>
      </c>
      <c r="X214" s="4">
        <v>12.878787878787879</v>
      </c>
      <c r="Y214" s="4">
        <v>20.454545454545453</v>
      </c>
      <c r="Z214" s="7">
        <v>17.424242424242426</v>
      </c>
      <c r="AA214" s="5">
        <v>133</v>
      </c>
      <c r="AB214" s="3">
        <v>40.623617868199894</v>
      </c>
      <c r="AC214" s="3">
        <v>44.751879699248121</v>
      </c>
      <c r="AD214" s="3">
        <v>44.976076555023901</v>
      </c>
      <c r="AE214" s="3">
        <v>43.450524707490665</v>
      </c>
      <c r="AF214" s="3">
        <v>130.3515741224719</v>
      </c>
      <c r="AG214" s="18">
        <v>19</v>
      </c>
      <c r="AH214" s="18">
        <v>171</v>
      </c>
      <c r="AI214" s="4">
        <v>19.548872180451127</v>
      </c>
      <c r="AJ214" s="4">
        <v>16.541353383458645</v>
      </c>
      <c r="AK214" s="7">
        <v>18.796992481203006</v>
      </c>
      <c r="AL214" s="5">
        <v>122</v>
      </c>
      <c r="AM214" s="3">
        <v>49.276759884281596</v>
      </c>
      <c r="AN214" s="3">
        <v>40.281030444964898</v>
      </c>
      <c r="AO214" s="3">
        <v>43.563162970106063</v>
      </c>
      <c r="AP214" s="3">
        <v>44.373651099784176</v>
      </c>
      <c r="AQ214" s="3">
        <v>133.12095329935255</v>
      </c>
      <c r="AR214" s="18">
        <v>27</v>
      </c>
      <c r="AS214" s="18">
        <v>220</v>
      </c>
      <c r="AT214" s="4">
        <v>18.032786885245901</v>
      </c>
      <c r="AU214" s="4">
        <v>22.950819672131146</v>
      </c>
      <c r="AV214" s="7">
        <v>25.409836065573771</v>
      </c>
      <c r="AW214" s="10">
        <f t="shared" si="65"/>
        <v>129</v>
      </c>
      <c r="AX214" s="9">
        <f t="shared" si="66"/>
        <v>46.81022692759484</v>
      </c>
      <c r="AY214" s="9">
        <f t="shared" si="67"/>
        <v>44.536222573323528</v>
      </c>
      <c r="AZ214" s="9">
        <f t="shared" si="68"/>
        <v>46.735302063932203</v>
      </c>
      <c r="BA214" s="9">
        <f t="shared" si="69"/>
        <v>46.027250521616871</v>
      </c>
      <c r="BB214" s="9">
        <f t="shared" si="70"/>
        <v>138.08175156485058</v>
      </c>
      <c r="BC214" s="10">
        <f t="shared" si="73"/>
        <v>20</v>
      </c>
      <c r="BD214" s="10">
        <f t="shared" si="71"/>
        <v>176</v>
      </c>
      <c r="BE214" s="4">
        <f t="shared" si="57"/>
        <v>18.790829532848512</v>
      </c>
      <c r="BF214" s="4">
        <f t="shared" si="58"/>
        <v>19.746086527794894</v>
      </c>
      <c r="BG214" s="7">
        <f t="shared" si="59"/>
        <v>22.103414273388388</v>
      </c>
      <c r="BH214" s="5">
        <v>135</v>
      </c>
      <c r="BI214" s="3">
        <v>52.063703703703695</v>
      </c>
      <c r="BJ214" s="3">
        <v>34.262222222222228</v>
      </c>
      <c r="BK214" s="3">
        <v>36.100740740740747</v>
      </c>
      <c r="BL214" s="3">
        <v>40.808888888888873</v>
      </c>
      <c r="BM214" s="3">
        <v>122.42666666666668</v>
      </c>
      <c r="BN214" s="18">
        <v>19</v>
      </c>
      <c r="BO214" s="18">
        <v>152</v>
      </c>
      <c r="BP214" s="4">
        <v>20</v>
      </c>
      <c r="BQ214" s="4">
        <v>54.814814814814817</v>
      </c>
      <c r="BR214" s="7">
        <v>51.851851851851855</v>
      </c>
      <c r="BS214" s="18"/>
      <c r="BT214" s="23">
        <v>104</v>
      </c>
    </row>
    <row r="215" spans="1:72" x14ac:dyDescent="0.25">
      <c r="A215" s="1">
        <v>210</v>
      </c>
      <c r="B215" s="18" t="s">
        <v>29</v>
      </c>
      <c r="C215" s="18">
        <v>114</v>
      </c>
      <c r="D215" s="21" t="s">
        <v>9</v>
      </c>
      <c r="E215" s="5"/>
      <c r="F215" s="3">
        <v>52.333333333333336</v>
      </c>
      <c r="G215" s="3">
        <v>52</v>
      </c>
      <c r="H215" s="3">
        <v>41</v>
      </c>
      <c r="I215" s="3">
        <f t="shared" si="63"/>
        <v>48.44444444444445</v>
      </c>
      <c r="J215" s="3">
        <f t="shared" si="64"/>
        <v>145.33333333333334</v>
      </c>
      <c r="K215" s="18">
        <f t="shared" si="72"/>
        <v>8</v>
      </c>
      <c r="L215" s="18">
        <f t="shared" si="62"/>
        <v>99</v>
      </c>
      <c r="M215" s="4"/>
      <c r="N215" s="4"/>
      <c r="O215" s="7"/>
      <c r="P215" s="5">
        <v>168</v>
      </c>
      <c r="Q215" s="3">
        <v>55.99206349206348</v>
      </c>
      <c r="R215" s="3">
        <v>49.5</v>
      </c>
      <c r="S215" s="3">
        <v>44.252873563218394</v>
      </c>
      <c r="T215" s="3">
        <v>50.999211977935389</v>
      </c>
      <c r="U215" s="3">
        <v>149.74493705528187</v>
      </c>
      <c r="V215" s="18">
        <v>10</v>
      </c>
      <c r="W215" s="18">
        <v>145</v>
      </c>
      <c r="X215" s="4">
        <v>8.9285714285714288</v>
      </c>
      <c r="Y215" s="4">
        <v>24.404761904761905</v>
      </c>
      <c r="Z215" s="7">
        <v>28.735632183908045</v>
      </c>
      <c r="AA215" s="5">
        <v>177</v>
      </c>
      <c r="AB215" s="3">
        <v>43.45238095238097</v>
      </c>
      <c r="AC215" s="3">
        <v>53.952380952380949</v>
      </c>
      <c r="AD215" s="3">
        <v>52.12842712842712</v>
      </c>
      <c r="AE215" s="3">
        <v>49.844396344396337</v>
      </c>
      <c r="AF215" s="3">
        <v>149.53318903318905</v>
      </c>
      <c r="AG215" s="18">
        <v>9</v>
      </c>
      <c r="AH215" s="18">
        <v>98</v>
      </c>
      <c r="AI215" s="4">
        <v>23.80952380952381</v>
      </c>
      <c r="AJ215" s="4">
        <v>17.261904761904763</v>
      </c>
      <c r="AK215" s="7">
        <v>16.071428571428573</v>
      </c>
      <c r="AL215" s="5">
        <v>177</v>
      </c>
      <c r="AM215" s="3">
        <v>55.338320299217969</v>
      </c>
      <c r="AN215" s="3">
        <v>27.398843930635817</v>
      </c>
      <c r="AO215" s="3">
        <v>51.36008160489628</v>
      </c>
      <c r="AP215" s="3">
        <v>44.699081944916678</v>
      </c>
      <c r="AQ215" s="3">
        <v>134.09724583475008</v>
      </c>
      <c r="AR215" s="18">
        <v>25</v>
      </c>
      <c r="AS215" s="18">
        <v>216</v>
      </c>
      <c r="AT215" s="4">
        <v>13.294797687861271</v>
      </c>
      <c r="AU215" s="4">
        <v>62.427745664739888</v>
      </c>
      <c r="AV215" s="7">
        <v>21.965317919075144</v>
      </c>
      <c r="AW215" s="10">
        <f t="shared" si="65"/>
        <v>174</v>
      </c>
      <c r="AX215" s="9">
        <f t="shared" si="66"/>
        <v>51.594254914554142</v>
      </c>
      <c r="AY215" s="9">
        <f t="shared" si="67"/>
        <v>43.617074961005585</v>
      </c>
      <c r="AZ215" s="9">
        <f t="shared" si="68"/>
        <v>49.247127432180605</v>
      </c>
      <c r="BA215" s="9">
        <f t="shared" si="69"/>
        <v>48.514230089082808</v>
      </c>
      <c r="BB215" s="9">
        <f t="shared" si="70"/>
        <v>144.45845730774033</v>
      </c>
      <c r="BC215" s="10">
        <f t="shared" si="73"/>
        <v>14</v>
      </c>
      <c r="BD215" s="10">
        <f t="shared" si="71"/>
        <v>146</v>
      </c>
      <c r="BE215" s="4">
        <f t="shared" si="57"/>
        <v>18.55216074869254</v>
      </c>
      <c r="BF215" s="4">
        <f t="shared" si="58"/>
        <v>39.844825213322324</v>
      </c>
      <c r="BG215" s="7">
        <f t="shared" si="59"/>
        <v>19.018373245251858</v>
      </c>
      <c r="BH215" s="5">
        <v>178</v>
      </c>
      <c r="BI215" s="3">
        <v>49.225000000000016</v>
      </c>
      <c r="BJ215" s="3">
        <v>28.99261363636365</v>
      </c>
      <c r="BK215" s="3">
        <v>32.003977272727276</v>
      </c>
      <c r="BL215" s="3">
        <v>36.740530303030312</v>
      </c>
      <c r="BM215" s="3">
        <v>110.22159090909089</v>
      </c>
      <c r="BN215" s="18">
        <v>29</v>
      </c>
      <c r="BO215" s="18">
        <v>232</v>
      </c>
      <c r="BP215" s="4">
        <v>26.704545454545453</v>
      </c>
      <c r="BQ215" s="4">
        <v>57.954545454545453</v>
      </c>
      <c r="BR215" s="7">
        <v>59.090909090909093</v>
      </c>
      <c r="BS215" s="18"/>
      <c r="BT215" s="23">
        <v>114</v>
      </c>
    </row>
    <row r="216" spans="1:72" x14ac:dyDescent="0.25">
      <c r="A216" s="18">
        <v>211</v>
      </c>
      <c r="B216" s="18" t="s">
        <v>29</v>
      </c>
      <c r="C216" s="18">
        <v>118</v>
      </c>
      <c r="D216" s="21" t="s">
        <v>9</v>
      </c>
      <c r="E216" s="5"/>
      <c r="F216" s="3">
        <v>52.666666666666664</v>
      </c>
      <c r="G216" s="3">
        <v>48</v>
      </c>
      <c r="H216" s="3">
        <v>35</v>
      </c>
      <c r="I216" s="3">
        <f t="shared" si="63"/>
        <v>45.222222222222221</v>
      </c>
      <c r="J216" s="3">
        <f t="shared" si="64"/>
        <v>135.66666666666666</v>
      </c>
      <c r="K216" s="18">
        <f t="shared" si="72"/>
        <v>12</v>
      </c>
      <c r="L216" s="18">
        <f t="shared" si="62"/>
        <v>139</v>
      </c>
      <c r="M216" s="4"/>
      <c r="N216" s="4"/>
      <c r="O216" s="7"/>
      <c r="P216" s="5">
        <v>111</v>
      </c>
      <c r="Q216" s="3">
        <v>48.498498498498506</v>
      </c>
      <c r="R216" s="3">
        <v>42.630630630630634</v>
      </c>
      <c r="S216" s="3">
        <v>43.363363363363376</v>
      </c>
      <c r="T216" s="3">
        <v>44.830830830830827</v>
      </c>
      <c r="U216" s="3">
        <v>134.49249249249252</v>
      </c>
      <c r="V216" s="18">
        <v>22</v>
      </c>
      <c r="W216" s="18">
        <v>212</v>
      </c>
      <c r="X216" s="4">
        <v>10.810810810810811</v>
      </c>
      <c r="Y216" s="4">
        <v>26.126126126126128</v>
      </c>
      <c r="Z216" s="7">
        <v>26.126126126126128</v>
      </c>
      <c r="AA216" s="5">
        <v>117</v>
      </c>
      <c r="AB216" s="3">
        <v>44.865841073271383</v>
      </c>
      <c r="AC216" s="3">
        <v>41.824561403508774</v>
      </c>
      <c r="AD216" s="3">
        <v>40.855927698032957</v>
      </c>
      <c r="AE216" s="3">
        <v>42.515443391604407</v>
      </c>
      <c r="AF216" s="3">
        <v>127.54633017481311</v>
      </c>
      <c r="AG216" s="18">
        <v>22</v>
      </c>
      <c r="AH216" s="18">
        <v>186</v>
      </c>
      <c r="AI216" s="4">
        <v>7.8947368421052628</v>
      </c>
      <c r="AJ216" s="4">
        <v>20.17543859649123</v>
      </c>
      <c r="AK216" s="7">
        <v>21.05263157894737</v>
      </c>
      <c r="AL216" s="5">
        <v>91</v>
      </c>
      <c r="AM216" s="3">
        <v>58.241758241758255</v>
      </c>
      <c r="AN216" s="3">
        <v>41.381475667189946</v>
      </c>
      <c r="AO216" s="3">
        <v>47.737556561085938</v>
      </c>
      <c r="AP216" s="3">
        <v>49.120263490011403</v>
      </c>
      <c r="AQ216" s="3">
        <v>147.36079047003415</v>
      </c>
      <c r="AR216" s="18">
        <v>20</v>
      </c>
      <c r="AS216" s="18">
        <v>157</v>
      </c>
      <c r="AT216" s="4">
        <v>15.384615384615385</v>
      </c>
      <c r="AU216" s="4">
        <v>23.076923076923077</v>
      </c>
      <c r="AV216" s="7">
        <v>24.175824175824175</v>
      </c>
      <c r="AW216" s="10">
        <f t="shared" si="65"/>
        <v>106.33333333333333</v>
      </c>
      <c r="AX216" s="9">
        <f t="shared" si="66"/>
        <v>50.53536593784272</v>
      </c>
      <c r="AY216" s="9">
        <f t="shared" si="67"/>
        <v>41.945555900443118</v>
      </c>
      <c r="AZ216" s="9">
        <f t="shared" si="68"/>
        <v>43.98561587416075</v>
      </c>
      <c r="BA216" s="9">
        <f t="shared" si="69"/>
        <v>45.488845904148882</v>
      </c>
      <c r="BB216" s="9">
        <f t="shared" si="70"/>
        <v>136.46653771244658</v>
      </c>
      <c r="BC216" s="10">
        <f t="shared" si="73"/>
        <v>22</v>
      </c>
      <c r="BD216" s="10">
        <f t="shared" si="71"/>
        <v>188</v>
      </c>
      <c r="BE216" s="4">
        <f t="shared" si="57"/>
        <v>11.639676113360323</v>
      </c>
      <c r="BF216" s="4">
        <f t="shared" si="58"/>
        <v>21.626180836707153</v>
      </c>
      <c r="BG216" s="7">
        <f t="shared" si="59"/>
        <v>22.614227877385773</v>
      </c>
      <c r="BH216" s="5">
        <v>114</v>
      </c>
      <c r="BI216" s="3">
        <v>46.534234234234226</v>
      </c>
      <c r="BJ216" s="3">
        <v>28.619819819819813</v>
      </c>
      <c r="BK216" s="3">
        <v>28.929729729729715</v>
      </c>
      <c r="BL216" s="3">
        <v>34.694594594594584</v>
      </c>
      <c r="BM216" s="3">
        <v>104.08378378378379</v>
      </c>
      <c r="BN216" s="18">
        <v>34</v>
      </c>
      <c r="BO216" s="18">
        <v>255</v>
      </c>
      <c r="BP216" s="4">
        <v>28.828828828828829</v>
      </c>
      <c r="BQ216" s="4">
        <v>67.567567567567565</v>
      </c>
      <c r="BR216" s="7">
        <v>70.270270270270274</v>
      </c>
      <c r="BS216" s="18"/>
      <c r="BT216" s="23">
        <v>118</v>
      </c>
    </row>
    <row r="217" spans="1:72" x14ac:dyDescent="0.25">
      <c r="A217" s="18">
        <v>212</v>
      </c>
      <c r="B217" s="18" t="s">
        <v>29</v>
      </c>
      <c r="C217" s="18">
        <v>140</v>
      </c>
      <c r="D217" s="21" t="s">
        <v>9</v>
      </c>
      <c r="E217" s="5"/>
      <c r="F217" s="3">
        <v>42.666666666666664</v>
      </c>
      <c r="G217" s="3">
        <v>39.200000000000003</v>
      </c>
      <c r="H217" s="3">
        <v>31.333333333333332</v>
      </c>
      <c r="I217" s="3">
        <f t="shared" si="63"/>
        <v>37.733333333333334</v>
      </c>
      <c r="J217" s="3">
        <f t="shared" si="64"/>
        <v>113.2</v>
      </c>
      <c r="K217" s="18">
        <f t="shared" si="72"/>
        <v>25</v>
      </c>
      <c r="L217" s="18">
        <f t="shared" si="62"/>
        <v>223</v>
      </c>
      <c r="M217" s="4"/>
      <c r="N217" s="4"/>
      <c r="O217" s="7"/>
      <c r="P217" s="5">
        <v>20</v>
      </c>
      <c r="Q217" s="3">
        <v>46.833333333333336</v>
      </c>
      <c r="R217" s="3">
        <v>42.6</v>
      </c>
      <c r="S217" s="3">
        <v>38.666666666666671</v>
      </c>
      <c r="T217" s="3">
        <v>42.7</v>
      </c>
      <c r="U217" s="3">
        <v>128.10000000000002</v>
      </c>
      <c r="V217" s="18">
        <v>27</v>
      </c>
      <c r="W217" s="18">
        <v>243</v>
      </c>
      <c r="X217" s="4">
        <v>25</v>
      </c>
      <c r="Y217" s="4">
        <v>35</v>
      </c>
      <c r="Z217" s="7">
        <v>40</v>
      </c>
      <c r="AA217" s="5">
        <v>21</v>
      </c>
      <c r="AB217" s="3">
        <v>47.368421052631575</v>
      </c>
      <c r="AC217" s="3">
        <v>42.736842105263158</v>
      </c>
      <c r="AD217" s="3">
        <v>44.657097288676233</v>
      </c>
      <c r="AE217" s="3">
        <v>44.920786815523662</v>
      </c>
      <c r="AF217" s="3">
        <v>134.76236044657097</v>
      </c>
      <c r="AG217" s="18">
        <v>16</v>
      </c>
      <c r="AH217" s="18">
        <v>160</v>
      </c>
      <c r="AI217" s="4">
        <v>15.789473684210526</v>
      </c>
      <c r="AJ217" s="4">
        <v>36.842105263157897</v>
      </c>
      <c r="AK217" s="7">
        <v>26.315789473684209</v>
      </c>
      <c r="AL217" s="5">
        <v>21</v>
      </c>
      <c r="AM217" s="3">
        <v>53.715170278637764</v>
      </c>
      <c r="AN217" s="3">
        <v>38.736842105263158</v>
      </c>
      <c r="AO217" s="3">
        <v>50.239234449760765</v>
      </c>
      <c r="AP217" s="3">
        <v>47.563748944553907</v>
      </c>
      <c r="AQ217" s="3">
        <v>142.69124683366169</v>
      </c>
      <c r="AR217" s="18">
        <v>21</v>
      </c>
      <c r="AS217" s="18">
        <v>174</v>
      </c>
      <c r="AT217" s="4">
        <v>26.315789473684209</v>
      </c>
      <c r="AU217" s="4">
        <v>57.89473684210526</v>
      </c>
      <c r="AV217" s="7">
        <v>15.789473684210526</v>
      </c>
      <c r="AW217" s="10">
        <f t="shared" si="65"/>
        <v>20.666666666666668</v>
      </c>
      <c r="AX217" s="9">
        <f t="shared" si="66"/>
        <v>49.305641554867556</v>
      </c>
      <c r="AY217" s="9">
        <f t="shared" si="67"/>
        <v>41.357894736842105</v>
      </c>
      <c r="AZ217" s="9">
        <f t="shared" si="68"/>
        <v>44.520999468367897</v>
      </c>
      <c r="BA217" s="9">
        <f t="shared" si="69"/>
        <v>45.061511920025858</v>
      </c>
      <c r="BB217" s="9">
        <f t="shared" si="70"/>
        <v>135.18453576007755</v>
      </c>
      <c r="BC217" s="10">
        <f t="shared" si="73"/>
        <v>23</v>
      </c>
      <c r="BD217" s="10">
        <f t="shared" si="71"/>
        <v>195</v>
      </c>
      <c r="BE217" s="4">
        <f t="shared" si="57"/>
        <v>21.052631578947366</v>
      </c>
      <c r="BF217" s="4">
        <f t="shared" si="58"/>
        <v>47.368421052631575</v>
      </c>
      <c r="BG217" s="7">
        <f t="shared" si="59"/>
        <v>21.052631578947366</v>
      </c>
      <c r="BH217" s="5">
        <v>20</v>
      </c>
      <c r="BI217" s="3">
        <v>52.260000000000005</v>
      </c>
      <c r="BJ217" s="3">
        <v>29.135000000000002</v>
      </c>
      <c r="BK217" s="3">
        <v>29.849999999999994</v>
      </c>
      <c r="BL217" s="3">
        <v>37.081666666666663</v>
      </c>
      <c r="BM217" s="3">
        <v>111.245</v>
      </c>
      <c r="BN217" s="18">
        <v>27</v>
      </c>
      <c r="BO217" s="18">
        <v>224</v>
      </c>
      <c r="BP217" s="4">
        <v>20</v>
      </c>
      <c r="BQ217" s="4">
        <v>65</v>
      </c>
      <c r="BR217" s="7">
        <v>70</v>
      </c>
      <c r="BS217" s="18"/>
      <c r="BT217" s="23">
        <v>140</v>
      </c>
    </row>
    <row r="218" spans="1:72" x14ac:dyDescent="0.25">
      <c r="A218" s="18">
        <v>213</v>
      </c>
      <c r="B218" s="18" t="s">
        <v>29</v>
      </c>
      <c r="C218" s="18">
        <v>141</v>
      </c>
      <c r="D218" s="21" t="s">
        <v>9</v>
      </c>
      <c r="E218" s="5"/>
      <c r="F218" s="3">
        <v>45.666666666666664</v>
      </c>
      <c r="G218" s="3">
        <v>44</v>
      </c>
      <c r="H218" s="3">
        <v>40.666666666666664</v>
      </c>
      <c r="I218" s="3">
        <f t="shared" si="63"/>
        <v>43.444444444444436</v>
      </c>
      <c r="J218" s="3">
        <f t="shared" si="64"/>
        <v>130.33333333333331</v>
      </c>
      <c r="K218" s="18">
        <f t="shared" si="72"/>
        <v>14</v>
      </c>
      <c r="L218" s="18">
        <f t="shared" si="62"/>
        <v>157</v>
      </c>
      <c r="M218" s="4"/>
      <c r="N218" s="4"/>
      <c r="O218" s="7"/>
      <c r="P218" s="5">
        <v>113</v>
      </c>
      <c r="Q218" s="3">
        <v>49.587020648967538</v>
      </c>
      <c r="R218" s="3">
        <v>34.30088495575221</v>
      </c>
      <c r="S218" s="3">
        <v>42.507374631268426</v>
      </c>
      <c r="T218" s="3">
        <v>42.131760078662737</v>
      </c>
      <c r="U218" s="3">
        <v>126.39528023598817</v>
      </c>
      <c r="V218" s="18">
        <v>29</v>
      </c>
      <c r="W218" s="18">
        <v>255</v>
      </c>
      <c r="X218" s="4">
        <v>19.469026548672566</v>
      </c>
      <c r="Y218" s="4">
        <v>47.787610619469028</v>
      </c>
      <c r="Z218" s="7">
        <v>36.283185840707965</v>
      </c>
      <c r="AA218" s="5">
        <v>126</v>
      </c>
      <c r="AB218" s="3">
        <v>48.932847475273306</v>
      </c>
      <c r="AC218" s="3">
        <v>44.5</v>
      </c>
      <c r="AD218" s="3">
        <v>52.212389380530979</v>
      </c>
      <c r="AE218" s="3">
        <v>48.518232822761696</v>
      </c>
      <c r="AF218" s="3">
        <v>145.64523685580428</v>
      </c>
      <c r="AG218" s="18">
        <v>11</v>
      </c>
      <c r="AH218" s="18">
        <v>109</v>
      </c>
      <c r="AI218" s="4">
        <v>19.469026548672566</v>
      </c>
      <c r="AJ218" s="4">
        <v>25</v>
      </c>
      <c r="AK218" s="7">
        <v>19.469026548672566</v>
      </c>
      <c r="AL218" s="5">
        <v>131</v>
      </c>
      <c r="AM218" s="3">
        <v>61.323529411764689</v>
      </c>
      <c r="AN218" s="3">
        <v>33.976190476190474</v>
      </c>
      <c r="AO218" s="3">
        <v>62.377450980392169</v>
      </c>
      <c r="AP218" s="3">
        <v>52.559056956115775</v>
      </c>
      <c r="AQ218" s="3">
        <v>157.67717086834733</v>
      </c>
      <c r="AR218" s="18">
        <v>10</v>
      </c>
      <c r="AS218" s="18">
        <v>111</v>
      </c>
      <c r="AT218" s="4">
        <v>11.666666666666666</v>
      </c>
      <c r="AU218" s="4">
        <v>39.166666666666664</v>
      </c>
      <c r="AV218" s="7">
        <v>15</v>
      </c>
      <c r="AW218" s="10">
        <f t="shared" si="65"/>
        <v>123.33333333333333</v>
      </c>
      <c r="AX218" s="9">
        <f t="shared" si="66"/>
        <v>53.281132512001847</v>
      </c>
      <c r="AY218" s="9">
        <f t="shared" si="67"/>
        <v>37.592358477314228</v>
      </c>
      <c r="AZ218" s="9">
        <f t="shared" si="68"/>
        <v>52.36573833073053</v>
      </c>
      <c r="BA218" s="9">
        <f t="shared" si="69"/>
        <v>47.7363499525134</v>
      </c>
      <c r="BB218" s="9">
        <f t="shared" si="70"/>
        <v>143.2392293200466</v>
      </c>
      <c r="BC218" s="10">
        <f t="shared" si="73"/>
        <v>17</v>
      </c>
      <c r="BD218" s="10">
        <f t="shared" si="71"/>
        <v>152</v>
      </c>
      <c r="BE218" s="4">
        <f t="shared" ref="BE218:BE281" si="74">AVERAGE(M218,AI218,AT218)</f>
        <v>15.567846607669615</v>
      </c>
      <c r="BF218" s="4">
        <f t="shared" ref="BF218:BF281" si="75">AVERAGE(N218,AJ218,AU218)</f>
        <v>32.083333333333329</v>
      </c>
      <c r="BG218" s="7">
        <f t="shared" ref="BG218:BG281" si="76">AVERAGE(O218,AK218,AV218)</f>
        <v>17.234513274336283</v>
      </c>
      <c r="BH218" s="5">
        <v>127</v>
      </c>
      <c r="BI218" s="3">
        <v>62.596062992125979</v>
      </c>
      <c r="BJ218" s="3">
        <v>37.525984251968502</v>
      </c>
      <c r="BK218" s="3">
        <v>44.163779527559036</v>
      </c>
      <c r="BL218" s="3">
        <v>48.095275590551182</v>
      </c>
      <c r="BM218" s="3">
        <v>144.2858267716536</v>
      </c>
      <c r="BN218" s="18">
        <v>3</v>
      </c>
      <c r="BO218" s="18">
        <v>52</v>
      </c>
      <c r="BP218" s="4">
        <v>7.8740157480314963</v>
      </c>
      <c r="BQ218" s="4">
        <v>47.244094488188978</v>
      </c>
      <c r="BR218" s="7">
        <v>36.220472440944881</v>
      </c>
      <c r="BS218" s="18"/>
      <c r="BT218" s="23">
        <v>141</v>
      </c>
    </row>
    <row r="219" spans="1:72" x14ac:dyDescent="0.25">
      <c r="A219" s="18">
        <v>214</v>
      </c>
      <c r="B219" s="18" t="s">
        <v>29</v>
      </c>
      <c r="C219" s="18">
        <v>146</v>
      </c>
      <c r="D219" s="21" t="s">
        <v>9</v>
      </c>
      <c r="E219" s="5"/>
      <c r="F219" s="3">
        <v>48</v>
      </c>
      <c r="G219" s="3">
        <v>47.2</v>
      </c>
      <c r="H219" s="3">
        <v>40</v>
      </c>
      <c r="I219" s="3">
        <f t="shared" si="63"/>
        <v>45.066666666666663</v>
      </c>
      <c r="J219" s="3">
        <f t="shared" si="64"/>
        <v>135.19999999999999</v>
      </c>
      <c r="K219" s="18">
        <f t="shared" si="72"/>
        <v>13</v>
      </c>
      <c r="L219" s="18">
        <f t="shared" si="62"/>
        <v>143</v>
      </c>
      <c r="M219" s="4"/>
      <c r="N219" s="4"/>
      <c r="O219" s="7"/>
      <c r="P219" s="5">
        <v>99</v>
      </c>
      <c r="Q219" s="3">
        <v>46.63299663299663</v>
      </c>
      <c r="R219" s="3">
        <v>36.525252525252526</v>
      </c>
      <c r="S219" s="3">
        <v>37.744107744107758</v>
      </c>
      <c r="T219" s="3">
        <v>40.300785634118988</v>
      </c>
      <c r="U219" s="3">
        <v>120.90235690235693</v>
      </c>
      <c r="V219" s="18">
        <v>31</v>
      </c>
      <c r="W219" s="18">
        <v>268</v>
      </c>
      <c r="X219" s="4">
        <v>21.212121212121211</v>
      </c>
      <c r="Y219" s="4">
        <v>41.414141414141412</v>
      </c>
      <c r="Z219" s="7">
        <v>40.404040404040401</v>
      </c>
      <c r="AA219" s="5">
        <v>113</v>
      </c>
      <c r="AB219" s="3">
        <v>49.361820199777995</v>
      </c>
      <c r="AC219" s="3">
        <v>51.886792452830186</v>
      </c>
      <c r="AD219" s="3">
        <v>56.31789594053749</v>
      </c>
      <c r="AE219" s="3">
        <v>52.522169531048554</v>
      </c>
      <c r="AF219" s="3">
        <v>157.56650859314567</v>
      </c>
      <c r="AG219" s="18">
        <v>7</v>
      </c>
      <c r="AH219" s="18">
        <v>72</v>
      </c>
      <c r="AI219" s="4">
        <v>8.4905660377358494</v>
      </c>
      <c r="AJ219" s="4">
        <v>11.320754716981131</v>
      </c>
      <c r="AK219" s="7">
        <v>16.19047619047619</v>
      </c>
      <c r="AL219" s="5">
        <v>116</v>
      </c>
      <c r="AM219" s="3">
        <v>58.566533409480293</v>
      </c>
      <c r="AN219" s="3">
        <v>44.105409153952849</v>
      </c>
      <c r="AO219" s="3">
        <v>50.399771559109098</v>
      </c>
      <c r="AP219" s="3">
        <v>51.02390470751407</v>
      </c>
      <c r="AQ219" s="3">
        <v>153.07171412254223</v>
      </c>
      <c r="AR219" s="18">
        <v>12</v>
      </c>
      <c r="AS219" s="18">
        <v>130</v>
      </c>
      <c r="AT219" s="4">
        <v>7.766990291262136</v>
      </c>
      <c r="AU219" s="4">
        <v>34.95145631067961</v>
      </c>
      <c r="AV219" s="7">
        <v>13.592233009708737</v>
      </c>
      <c r="AW219" s="10">
        <f t="shared" si="65"/>
        <v>109.33333333333333</v>
      </c>
      <c r="AX219" s="9">
        <f t="shared" si="66"/>
        <v>51.520450080751637</v>
      </c>
      <c r="AY219" s="9">
        <f t="shared" si="67"/>
        <v>44.172484710678525</v>
      </c>
      <c r="AZ219" s="9">
        <f t="shared" si="68"/>
        <v>48.153925081251451</v>
      </c>
      <c r="BA219" s="9">
        <f t="shared" si="69"/>
        <v>47.948953290893876</v>
      </c>
      <c r="BB219" s="9">
        <f t="shared" si="70"/>
        <v>143.84685987268162</v>
      </c>
      <c r="BC219" s="10">
        <f t="shared" si="73"/>
        <v>16</v>
      </c>
      <c r="BD219" s="10">
        <f t="shared" si="71"/>
        <v>150</v>
      </c>
      <c r="BE219" s="4">
        <f t="shared" si="74"/>
        <v>8.1287781644989927</v>
      </c>
      <c r="BF219" s="4">
        <f t="shared" si="75"/>
        <v>23.136105513830373</v>
      </c>
      <c r="BG219" s="7">
        <f t="shared" si="76"/>
        <v>14.891354600092463</v>
      </c>
      <c r="BH219" s="5">
        <v>116</v>
      </c>
      <c r="BI219" s="3">
        <v>50.372173913043483</v>
      </c>
      <c r="BJ219" s="3">
        <v>32.554782608695668</v>
      </c>
      <c r="BK219" s="3">
        <v>33.679130434782607</v>
      </c>
      <c r="BL219" s="3">
        <v>38.868695652173912</v>
      </c>
      <c r="BM219" s="3">
        <v>116.60608695652174</v>
      </c>
      <c r="BN219" s="18">
        <v>23</v>
      </c>
      <c r="BO219" s="18">
        <v>190</v>
      </c>
      <c r="BP219" s="4">
        <v>20.869565217391305</v>
      </c>
      <c r="BQ219" s="4">
        <v>52.173913043478258</v>
      </c>
      <c r="BR219" s="7">
        <v>47.826086956521742</v>
      </c>
      <c r="BS219" s="18"/>
      <c r="BT219" s="23">
        <v>146</v>
      </c>
    </row>
    <row r="220" spans="1:72" x14ac:dyDescent="0.25">
      <c r="A220" s="1">
        <v>215</v>
      </c>
      <c r="B220" s="18" t="s">
        <v>29</v>
      </c>
      <c r="C220" s="18">
        <v>154</v>
      </c>
      <c r="D220" s="21" t="s">
        <v>9</v>
      </c>
      <c r="E220" s="5"/>
      <c r="F220" s="3">
        <v>48.666666666666664</v>
      </c>
      <c r="G220" s="3">
        <v>53.6</v>
      </c>
      <c r="H220" s="3">
        <v>43.333333333333336</v>
      </c>
      <c r="I220" s="3">
        <f t="shared" si="63"/>
        <v>48.533333333333331</v>
      </c>
      <c r="J220" s="3">
        <f t="shared" si="64"/>
        <v>145.6</v>
      </c>
      <c r="K220" s="18">
        <f t="shared" si="72"/>
        <v>7</v>
      </c>
      <c r="L220" s="18">
        <f t="shared" si="62"/>
        <v>98</v>
      </c>
      <c r="M220" s="4"/>
      <c r="N220" s="4"/>
      <c r="O220" s="7"/>
      <c r="P220" s="5">
        <v>57</v>
      </c>
      <c r="Q220" s="3">
        <v>53.567251461988292</v>
      </c>
      <c r="R220" s="3">
        <v>65.05263157894737</v>
      </c>
      <c r="S220" s="3">
        <v>35.789473684210542</v>
      </c>
      <c r="T220" s="3">
        <v>51.469785575048746</v>
      </c>
      <c r="U220" s="3">
        <v>154.40935672514621</v>
      </c>
      <c r="V220" s="18">
        <v>6</v>
      </c>
      <c r="W220" s="18">
        <v>123</v>
      </c>
      <c r="X220" s="4">
        <v>12.280701754385966</v>
      </c>
      <c r="Y220" s="4">
        <v>12.280701754385966</v>
      </c>
      <c r="Z220" s="7">
        <v>49.122807017543863</v>
      </c>
      <c r="AA220" s="5">
        <v>67</v>
      </c>
      <c r="AB220" s="3">
        <v>61.033898305084747</v>
      </c>
      <c r="AC220" s="3">
        <v>62.135593220338983</v>
      </c>
      <c r="AD220" s="3">
        <v>60.389830508474574</v>
      </c>
      <c r="AE220" s="3">
        <v>61.186440677966104</v>
      </c>
      <c r="AF220" s="3">
        <v>183.5593220338983</v>
      </c>
      <c r="AG220" s="18">
        <v>2</v>
      </c>
      <c r="AH220" s="18">
        <v>21</v>
      </c>
      <c r="AI220" s="4">
        <v>0</v>
      </c>
      <c r="AJ220" s="4">
        <v>0</v>
      </c>
      <c r="AK220" s="7">
        <v>0</v>
      </c>
      <c r="AL220" s="5">
        <v>69</v>
      </c>
      <c r="AM220" s="3">
        <v>56.138107416879798</v>
      </c>
      <c r="AN220" s="3">
        <v>54.7826086956522</v>
      </c>
      <c r="AO220" s="3">
        <v>57.971014492753604</v>
      </c>
      <c r="AP220" s="3">
        <v>56.297243535095198</v>
      </c>
      <c r="AQ220" s="3">
        <v>168.8917306052856</v>
      </c>
      <c r="AR220" s="18">
        <v>5</v>
      </c>
      <c r="AS220" s="18">
        <v>73</v>
      </c>
      <c r="AT220" s="4">
        <v>17.391304347826086</v>
      </c>
      <c r="AU220" s="4">
        <v>18.840579710144926</v>
      </c>
      <c r="AV220" s="7">
        <v>17.391304347826086</v>
      </c>
      <c r="AW220" s="10">
        <f t="shared" si="65"/>
        <v>64.333333333333329</v>
      </c>
      <c r="AX220" s="9">
        <f t="shared" si="66"/>
        <v>56.913085727984281</v>
      </c>
      <c r="AY220" s="9">
        <f t="shared" si="67"/>
        <v>60.656944498312861</v>
      </c>
      <c r="AZ220" s="9">
        <f t="shared" si="68"/>
        <v>51.383439561812907</v>
      </c>
      <c r="BA220" s="9">
        <f t="shared" si="69"/>
        <v>56.317823262703349</v>
      </c>
      <c r="BB220" s="9">
        <f t="shared" si="70"/>
        <v>168.95346978811003</v>
      </c>
      <c r="BC220" s="10">
        <f t="shared" si="73"/>
        <v>3</v>
      </c>
      <c r="BD220" s="10">
        <f t="shared" si="71"/>
        <v>61</v>
      </c>
      <c r="BE220" s="4">
        <f t="shared" si="74"/>
        <v>8.695652173913043</v>
      </c>
      <c r="BF220" s="4">
        <f t="shared" si="75"/>
        <v>9.420289855072463</v>
      </c>
      <c r="BG220" s="7">
        <f t="shared" si="76"/>
        <v>8.695652173913043</v>
      </c>
      <c r="BH220" s="5">
        <v>69</v>
      </c>
      <c r="BI220" s="3">
        <v>48.224637681159415</v>
      </c>
      <c r="BJ220" s="3">
        <v>26.639130434782597</v>
      </c>
      <c r="BK220" s="3">
        <v>30.734782608695649</v>
      </c>
      <c r="BL220" s="3">
        <v>35.199516908212559</v>
      </c>
      <c r="BM220" s="3">
        <v>105.59855072463766</v>
      </c>
      <c r="BN220" s="18">
        <v>32</v>
      </c>
      <c r="BO220" s="18">
        <v>249</v>
      </c>
      <c r="BP220" s="4">
        <v>30.434782608695652</v>
      </c>
      <c r="BQ220" s="4">
        <v>62.318840579710148</v>
      </c>
      <c r="BR220" s="7">
        <v>69.565217391304344</v>
      </c>
      <c r="BS220" s="18"/>
      <c r="BT220" s="23">
        <v>154</v>
      </c>
    </row>
    <row r="221" spans="1:72" x14ac:dyDescent="0.25">
      <c r="A221" s="18">
        <v>216</v>
      </c>
      <c r="B221" s="18" t="s">
        <v>29</v>
      </c>
      <c r="C221" s="18">
        <v>172</v>
      </c>
      <c r="D221" s="21" t="s">
        <v>9</v>
      </c>
      <c r="E221" s="5"/>
      <c r="F221" s="3"/>
      <c r="G221" s="3"/>
      <c r="H221" s="3"/>
      <c r="I221" s="3" t="str">
        <f t="shared" si="63"/>
        <v/>
      </c>
      <c r="J221" s="3" t="str">
        <f t="shared" si="64"/>
        <v/>
      </c>
      <c r="K221" s="18" t="str">
        <f t="shared" si="72"/>
        <v/>
      </c>
      <c r="L221" s="18" t="str">
        <f t="shared" si="62"/>
        <v/>
      </c>
      <c r="M221" s="4"/>
      <c r="N221" s="4"/>
      <c r="O221" s="7"/>
      <c r="P221" s="5">
        <v>23</v>
      </c>
      <c r="Q221" s="3">
        <v>47.536231884057969</v>
      </c>
      <c r="R221" s="3">
        <v>46.608695652173914</v>
      </c>
      <c r="S221" s="3">
        <v>42.121212121212125</v>
      </c>
      <c r="T221" s="3">
        <v>45.470588235294123</v>
      </c>
      <c r="U221" s="3">
        <v>136.266139657444</v>
      </c>
      <c r="V221" s="18">
        <v>20</v>
      </c>
      <c r="W221" s="18">
        <v>204</v>
      </c>
      <c r="X221" s="4">
        <v>13.043478260869565</v>
      </c>
      <c r="Y221" s="4">
        <v>21.739130434782609</v>
      </c>
      <c r="Z221" s="7">
        <v>27.272727272727273</v>
      </c>
      <c r="AA221" s="5">
        <v>25</v>
      </c>
      <c r="AB221" s="3">
        <v>40.705882352941181</v>
      </c>
      <c r="AC221" s="3">
        <v>40.799999999999997</v>
      </c>
      <c r="AD221" s="3">
        <v>40.969696969696969</v>
      </c>
      <c r="AE221" s="3">
        <v>40.825193107546056</v>
      </c>
      <c r="AF221" s="3">
        <v>122.47557932263814</v>
      </c>
      <c r="AG221" s="18">
        <v>24</v>
      </c>
      <c r="AH221" s="18">
        <v>203</v>
      </c>
      <c r="AI221" s="4">
        <v>20</v>
      </c>
      <c r="AJ221" s="4">
        <v>28</v>
      </c>
      <c r="AK221" s="7">
        <v>29.166666666666668</v>
      </c>
      <c r="AL221" s="5">
        <v>26</v>
      </c>
      <c r="AM221" s="3">
        <v>55.882352941176457</v>
      </c>
      <c r="AN221" s="3">
        <v>21.868131868131869</v>
      </c>
      <c r="AO221" s="3">
        <v>44.796380090497749</v>
      </c>
      <c r="AP221" s="3">
        <v>40.84895496660203</v>
      </c>
      <c r="AQ221" s="3">
        <v>122.54686489980607</v>
      </c>
      <c r="AR221" s="18">
        <v>29</v>
      </c>
      <c r="AS221" s="18">
        <v>254</v>
      </c>
      <c r="AT221" s="4">
        <v>15.384615384615385</v>
      </c>
      <c r="AU221" s="4">
        <v>69.230769230769226</v>
      </c>
      <c r="AV221" s="7">
        <v>34.615384615384613</v>
      </c>
      <c r="AW221" s="10">
        <f t="shared" si="65"/>
        <v>24.666666666666668</v>
      </c>
      <c r="AX221" s="9">
        <f t="shared" si="66"/>
        <v>48.041489059391871</v>
      </c>
      <c r="AY221" s="9">
        <f t="shared" si="67"/>
        <v>36.425609173435262</v>
      </c>
      <c r="AZ221" s="9">
        <f t="shared" si="68"/>
        <v>42.629096393802278</v>
      </c>
      <c r="BA221" s="9">
        <f t="shared" si="69"/>
        <v>42.38157876981407</v>
      </c>
      <c r="BB221" s="9">
        <f t="shared" si="70"/>
        <v>127.09619462662941</v>
      </c>
      <c r="BC221" s="10">
        <f t="shared" si="73"/>
        <v>27</v>
      </c>
      <c r="BD221" s="10">
        <f t="shared" si="71"/>
        <v>227</v>
      </c>
      <c r="BE221" s="4">
        <f t="shared" si="74"/>
        <v>17.692307692307693</v>
      </c>
      <c r="BF221" s="4">
        <f t="shared" si="75"/>
        <v>48.615384615384613</v>
      </c>
      <c r="BG221" s="7">
        <f t="shared" si="76"/>
        <v>31.891025641025642</v>
      </c>
      <c r="BH221" s="5">
        <v>26</v>
      </c>
      <c r="BI221" s="3">
        <v>57.423076923076913</v>
      </c>
      <c r="BJ221" s="3">
        <v>36.819230769230771</v>
      </c>
      <c r="BK221" s="3">
        <v>37.438461538461539</v>
      </c>
      <c r="BL221" s="3">
        <v>43.893589743589736</v>
      </c>
      <c r="BM221" s="3">
        <v>131.68076923076924</v>
      </c>
      <c r="BN221" s="18">
        <v>10</v>
      </c>
      <c r="BO221" s="18">
        <v>103</v>
      </c>
      <c r="BP221" s="4">
        <v>11.538461538461538</v>
      </c>
      <c r="BQ221" s="4">
        <v>46.153846153846153</v>
      </c>
      <c r="BR221" s="7">
        <v>46.153846153846153</v>
      </c>
      <c r="BS221" s="18"/>
      <c r="BT221" s="23">
        <v>172</v>
      </c>
    </row>
    <row r="222" spans="1:72" x14ac:dyDescent="0.25">
      <c r="A222" s="18">
        <v>217</v>
      </c>
      <c r="B222" s="18" t="s">
        <v>29</v>
      </c>
      <c r="C222" s="18">
        <v>196</v>
      </c>
      <c r="D222" s="21" t="s">
        <v>9</v>
      </c>
      <c r="E222" s="5"/>
      <c r="F222" s="3">
        <v>66.333333333333329</v>
      </c>
      <c r="G222" s="3">
        <v>61.2</v>
      </c>
      <c r="H222" s="3">
        <v>57.333333333333336</v>
      </c>
      <c r="I222" s="3">
        <f t="shared" si="63"/>
        <v>61.622222222222227</v>
      </c>
      <c r="J222" s="3">
        <f t="shared" si="64"/>
        <v>184.86666666666667</v>
      </c>
      <c r="K222" s="18">
        <f t="shared" si="72"/>
        <v>2</v>
      </c>
      <c r="L222" s="18">
        <f t="shared" si="62"/>
        <v>18</v>
      </c>
      <c r="M222" s="4"/>
      <c r="N222" s="4"/>
      <c r="O222" s="7"/>
      <c r="P222" s="5">
        <v>85</v>
      </c>
      <c r="Q222" s="3">
        <v>44.784313725490186</v>
      </c>
      <c r="R222" s="3">
        <v>46.870588235294115</v>
      </c>
      <c r="S222" s="3">
        <v>53.921568627450966</v>
      </c>
      <c r="T222" s="3">
        <v>48.525490196078408</v>
      </c>
      <c r="U222" s="3">
        <v>145.57647058823528</v>
      </c>
      <c r="V222" s="18">
        <v>11</v>
      </c>
      <c r="W222" s="18">
        <v>165</v>
      </c>
      <c r="X222" s="4">
        <v>22.352941176470587</v>
      </c>
      <c r="Y222" s="4">
        <v>11.764705882352942</v>
      </c>
      <c r="Z222" s="7">
        <v>11.764705882352942</v>
      </c>
      <c r="AA222" s="5">
        <v>87</v>
      </c>
      <c r="AB222" s="3">
        <v>48.754325259515561</v>
      </c>
      <c r="AC222" s="3">
        <v>48.470588235294116</v>
      </c>
      <c r="AD222" s="3">
        <v>54.545454545454561</v>
      </c>
      <c r="AE222" s="3">
        <v>50.590122680088101</v>
      </c>
      <c r="AF222" s="3">
        <v>151.77036804026423</v>
      </c>
      <c r="AG222" s="18">
        <v>8</v>
      </c>
      <c r="AH222" s="18">
        <v>89</v>
      </c>
      <c r="AI222" s="4">
        <v>9.4117647058823533</v>
      </c>
      <c r="AJ222" s="4">
        <v>7.0588235294117645</v>
      </c>
      <c r="AK222" s="7">
        <v>0</v>
      </c>
      <c r="AL222" s="5">
        <v>87</v>
      </c>
      <c r="AM222" s="3">
        <v>56.87455705173636</v>
      </c>
      <c r="AN222" s="3">
        <v>50.457831325301207</v>
      </c>
      <c r="AO222" s="3">
        <v>57.648776925885315</v>
      </c>
      <c r="AP222" s="3">
        <v>54.993721767640977</v>
      </c>
      <c r="AQ222" s="3">
        <v>164.98116530292288</v>
      </c>
      <c r="AR222" s="18">
        <v>6</v>
      </c>
      <c r="AS222" s="18">
        <v>82</v>
      </c>
      <c r="AT222" s="4">
        <v>6.024096385542169</v>
      </c>
      <c r="AU222" s="4">
        <v>8.4337349397590362</v>
      </c>
      <c r="AV222" s="7">
        <v>12.5</v>
      </c>
      <c r="AW222" s="10">
        <f t="shared" si="65"/>
        <v>86.333333333333329</v>
      </c>
      <c r="AX222" s="9">
        <f t="shared" si="66"/>
        <v>50.137732012247369</v>
      </c>
      <c r="AY222" s="9">
        <f t="shared" si="67"/>
        <v>48.599669265296484</v>
      </c>
      <c r="AZ222" s="9">
        <f t="shared" si="68"/>
        <v>55.371933366263612</v>
      </c>
      <c r="BA222" s="9">
        <f t="shared" si="69"/>
        <v>51.369778214602491</v>
      </c>
      <c r="BB222" s="9">
        <f t="shared" si="70"/>
        <v>154.10933464380747</v>
      </c>
      <c r="BC222" s="10">
        <f t="shared" si="73"/>
        <v>6</v>
      </c>
      <c r="BD222" s="10">
        <f t="shared" si="71"/>
        <v>108</v>
      </c>
      <c r="BE222" s="4">
        <f t="shared" si="74"/>
        <v>7.7179305457122611</v>
      </c>
      <c r="BF222" s="4">
        <f t="shared" si="75"/>
        <v>7.7462792345854004</v>
      </c>
      <c r="BG222" s="7">
        <f t="shared" si="76"/>
        <v>6.25</v>
      </c>
      <c r="BH222" s="5">
        <v>87</v>
      </c>
      <c r="BI222" s="3">
        <v>47.1404761904762</v>
      </c>
      <c r="BJ222" s="3">
        <v>26.942857142857136</v>
      </c>
      <c r="BK222" s="3">
        <v>31.407142857142865</v>
      </c>
      <c r="BL222" s="3">
        <v>35.163492063492065</v>
      </c>
      <c r="BM222" s="3">
        <v>105.4904761904762</v>
      </c>
      <c r="BN222" s="18">
        <v>33</v>
      </c>
      <c r="BO222" s="18">
        <v>250</v>
      </c>
      <c r="BP222" s="4">
        <v>22.61904761904762</v>
      </c>
      <c r="BQ222" s="4">
        <v>69.047619047619051</v>
      </c>
      <c r="BR222" s="7">
        <v>60.714285714285715</v>
      </c>
      <c r="BS222" s="18"/>
      <c r="BT222" s="23">
        <v>196</v>
      </c>
    </row>
    <row r="223" spans="1:72" x14ac:dyDescent="0.25">
      <c r="A223" s="18">
        <v>218</v>
      </c>
      <c r="B223" s="18" t="s">
        <v>29</v>
      </c>
      <c r="C223" s="18">
        <v>208</v>
      </c>
      <c r="D223" s="21" t="s">
        <v>9</v>
      </c>
      <c r="E223" s="5"/>
      <c r="F223" s="3">
        <v>51.666666666666664</v>
      </c>
      <c r="G223" s="3">
        <v>37.200000000000003</v>
      </c>
      <c r="H223" s="3">
        <v>32.333333333333329</v>
      </c>
      <c r="I223" s="3">
        <f t="shared" si="63"/>
        <v>40.4</v>
      </c>
      <c r="J223" s="3">
        <f t="shared" si="64"/>
        <v>121.2</v>
      </c>
      <c r="K223" s="18">
        <f t="shared" si="72"/>
        <v>18</v>
      </c>
      <c r="L223" s="18">
        <f t="shared" si="62"/>
        <v>189</v>
      </c>
      <c r="M223" s="4"/>
      <c r="N223" s="4"/>
      <c r="O223" s="7"/>
      <c r="P223" s="5">
        <v>24</v>
      </c>
      <c r="Q223" s="3">
        <v>48.888888888888907</v>
      </c>
      <c r="R223" s="3">
        <v>45.5</v>
      </c>
      <c r="S223" s="3">
        <v>38.472222222222229</v>
      </c>
      <c r="T223" s="3">
        <v>44.287037037037038</v>
      </c>
      <c r="U223" s="3">
        <v>132.86111111111114</v>
      </c>
      <c r="V223" s="18">
        <v>24</v>
      </c>
      <c r="W223" s="18">
        <v>223</v>
      </c>
      <c r="X223" s="4">
        <v>16.666666666666668</v>
      </c>
      <c r="Y223" s="4">
        <v>33.333333333333336</v>
      </c>
      <c r="Z223" s="7">
        <v>41.666666666666664</v>
      </c>
      <c r="AA223" s="5">
        <v>25</v>
      </c>
      <c r="AB223" s="3">
        <v>33.294117647058826</v>
      </c>
      <c r="AC223" s="3">
        <v>34.72</v>
      </c>
      <c r="AD223" s="3">
        <v>37.090909090909079</v>
      </c>
      <c r="AE223" s="3">
        <v>35.035008912655975</v>
      </c>
      <c r="AF223" s="3">
        <v>105.1050267379679</v>
      </c>
      <c r="AG223" s="18">
        <v>32</v>
      </c>
      <c r="AH223" s="18">
        <v>267</v>
      </c>
      <c r="AI223" s="4">
        <v>48</v>
      </c>
      <c r="AJ223" s="4">
        <v>60</v>
      </c>
      <c r="AK223" s="7">
        <v>52</v>
      </c>
      <c r="AL223" s="5">
        <v>26</v>
      </c>
      <c r="AM223" s="3">
        <v>52.036199095022639</v>
      </c>
      <c r="AN223" s="3">
        <v>18.021978021978022</v>
      </c>
      <c r="AO223" s="3">
        <v>42.760180995475125</v>
      </c>
      <c r="AP223" s="3">
        <v>37.606119370825255</v>
      </c>
      <c r="AQ223" s="3">
        <v>112.81835811247579</v>
      </c>
      <c r="AR223" s="18">
        <v>33</v>
      </c>
      <c r="AS223" s="18">
        <v>277</v>
      </c>
      <c r="AT223" s="4">
        <v>26.923076923076923</v>
      </c>
      <c r="AU223" s="4">
        <v>88.461538461538467</v>
      </c>
      <c r="AV223" s="7">
        <v>26.923076923076923</v>
      </c>
      <c r="AW223" s="10">
        <f t="shared" si="65"/>
        <v>25</v>
      </c>
      <c r="AX223" s="9">
        <f t="shared" si="66"/>
        <v>44.739735210323452</v>
      </c>
      <c r="AY223" s="9">
        <f t="shared" si="67"/>
        <v>32.747326007326002</v>
      </c>
      <c r="AZ223" s="9">
        <f t="shared" si="68"/>
        <v>39.441104102868813</v>
      </c>
      <c r="BA223" s="9">
        <f t="shared" si="69"/>
        <v>38.976055106839418</v>
      </c>
      <c r="BB223" s="9">
        <f t="shared" si="70"/>
        <v>116.92816532051829</v>
      </c>
      <c r="BC223" s="10">
        <f t="shared" si="73"/>
        <v>31</v>
      </c>
      <c r="BD223" s="10">
        <f t="shared" si="71"/>
        <v>274</v>
      </c>
      <c r="BE223" s="4">
        <f t="shared" si="74"/>
        <v>37.46153846153846</v>
      </c>
      <c r="BF223" s="4">
        <f t="shared" si="75"/>
        <v>74.230769230769226</v>
      </c>
      <c r="BG223" s="7">
        <f t="shared" si="76"/>
        <v>39.46153846153846</v>
      </c>
      <c r="BH223" s="5">
        <v>28</v>
      </c>
      <c r="BI223" s="3">
        <v>50.900000000000013</v>
      </c>
      <c r="BJ223" s="3">
        <v>36.196428571428577</v>
      </c>
      <c r="BK223" s="3">
        <v>36.342857142857142</v>
      </c>
      <c r="BL223" s="3">
        <v>41.146428571428579</v>
      </c>
      <c r="BM223" s="3">
        <v>123.43928571428569</v>
      </c>
      <c r="BN223" s="18">
        <v>17</v>
      </c>
      <c r="BO223" s="18">
        <v>145</v>
      </c>
      <c r="BP223" s="4">
        <v>25</v>
      </c>
      <c r="BQ223" s="4">
        <v>64.285714285714292</v>
      </c>
      <c r="BR223" s="7">
        <v>53.571428571428569</v>
      </c>
      <c r="BS223" s="18"/>
      <c r="BT223" s="23">
        <v>208</v>
      </c>
    </row>
    <row r="224" spans="1:72" x14ac:dyDescent="0.25">
      <c r="A224" s="18">
        <v>219</v>
      </c>
      <c r="B224" s="18" t="s">
        <v>29</v>
      </c>
      <c r="C224" s="18">
        <v>226</v>
      </c>
      <c r="D224" s="21" t="s">
        <v>9</v>
      </c>
      <c r="E224" s="5"/>
      <c r="F224" s="3">
        <v>53.333333333333336</v>
      </c>
      <c r="G224" s="3">
        <v>49.2</v>
      </c>
      <c r="H224" s="3">
        <v>60</v>
      </c>
      <c r="I224" s="3">
        <f t="shared" si="63"/>
        <v>54.177777777777777</v>
      </c>
      <c r="J224" s="3">
        <f t="shared" si="64"/>
        <v>162.53333333333333</v>
      </c>
      <c r="K224" s="18">
        <f t="shared" si="72"/>
        <v>4</v>
      </c>
      <c r="L224" s="18">
        <f t="shared" si="62"/>
        <v>46</v>
      </c>
      <c r="M224" s="4"/>
      <c r="N224" s="4"/>
      <c r="O224" s="7"/>
      <c r="P224" s="5">
        <v>62</v>
      </c>
      <c r="Q224" s="3">
        <v>37.20430107526883</v>
      </c>
      <c r="R224" s="3">
        <v>32.258064516129032</v>
      </c>
      <c r="S224" s="3">
        <v>33.978494623655912</v>
      </c>
      <c r="T224" s="3">
        <v>34.480286738351246</v>
      </c>
      <c r="U224" s="3">
        <v>103.44086021505376</v>
      </c>
      <c r="V224" s="18">
        <v>35</v>
      </c>
      <c r="W224" s="18">
        <v>296</v>
      </c>
      <c r="X224" s="4">
        <v>38.70967741935484</v>
      </c>
      <c r="Y224" s="4">
        <v>50</v>
      </c>
      <c r="Z224" s="7">
        <v>54.838709677419352</v>
      </c>
      <c r="AA224" s="5">
        <v>65</v>
      </c>
      <c r="AB224" s="3">
        <v>64.411764705882348</v>
      </c>
      <c r="AC224" s="3">
        <v>38.022988505747122</v>
      </c>
      <c r="AD224" s="3">
        <v>59.34343434343436</v>
      </c>
      <c r="AE224" s="3">
        <v>53.92606251835462</v>
      </c>
      <c r="AF224" s="3">
        <v>161.77818755506382</v>
      </c>
      <c r="AG224" s="18">
        <v>5</v>
      </c>
      <c r="AH224" s="18">
        <v>56</v>
      </c>
      <c r="AI224" s="4">
        <v>3.3333333333333335</v>
      </c>
      <c r="AJ224" s="4">
        <v>35</v>
      </c>
      <c r="AK224" s="7">
        <v>10</v>
      </c>
      <c r="AL224" s="5">
        <v>65</v>
      </c>
      <c r="AM224" s="3">
        <v>80.777310924369701</v>
      </c>
      <c r="AN224" s="3">
        <v>46.530612244898002</v>
      </c>
      <c r="AO224" s="3">
        <v>69.572192513369004</v>
      </c>
      <c r="AP224" s="3">
        <v>65.445928371348501</v>
      </c>
      <c r="AQ224" s="3">
        <v>196.8801156826367</v>
      </c>
      <c r="AR224" s="18">
        <v>1</v>
      </c>
      <c r="AS224" s="18">
        <v>14</v>
      </c>
      <c r="AT224" s="4">
        <v>0</v>
      </c>
      <c r="AU224" s="4">
        <v>1.7857142857142858</v>
      </c>
      <c r="AV224" s="7">
        <v>1.8181818181818181</v>
      </c>
      <c r="AW224" s="10">
        <f t="shared" si="65"/>
        <v>64</v>
      </c>
      <c r="AX224" s="9">
        <f t="shared" si="66"/>
        <v>60.797792235173631</v>
      </c>
      <c r="AY224" s="9">
        <f t="shared" si="67"/>
        <v>38.937221755591388</v>
      </c>
      <c r="AZ224" s="9">
        <f t="shared" si="68"/>
        <v>54.298040493486418</v>
      </c>
      <c r="BA224" s="9">
        <f t="shared" si="69"/>
        <v>51.284092542684789</v>
      </c>
      <c r="BB224" s="9">
        <f t="shared" si="70"/>
        <v>154.03305448425144</v>
      </c>
      <c r="BC224" s="10">
        <f t="shared" si="73"/>
        <v>7</v>
      </c>
      <c r="BD224" s="10">
        <f t="shared" si="71"/>
        <v>109</v>
      </c>
      <c r="BE224" s="4">
        <f t="shared" si="74"/>
        <v>1.6666666666666667</v>
      </c>
      <c r="BF224" s="4">
        <f t="shared" si="75"/>
        <v>18.392857142857142</v>
      </c>
      <c r="BG224" s="7">
        <f t="shared" si="76"/>
        <v>5.9090909090909092</v>
      </c>
      <c r="BH224" s="5">
        <v>65</v>
      </c>
      <c r="BI224" s="3">
        <v>52.326562499999994</v>
      </c>
      <c r="BJ224" s="3">
        <v>26.821875000000006</v>
      </c>
      <c r="BK224" s="3">
        <v>35.479687499999997</v>
      </c>
      <c r="BL224" s="3">
        <v>38.209375000000009</v>
      </c>
      <c r="BM224" s="3">
        <v>114.62812499999997</v>
      </c>
      <c r="BN224" s="18">
        <v>24</v>
      </c>
      <c r="BO224" s="18">
        <v>203</v>
      </c>
      <c r="BP224" s="4">
        <v>20.3125</v>
      </c>
      <c r="BQ224" s="4">
        <v>67.1875</v>
      </c>
      <c r="BR224" s="7">
        <v>54.6875</v>
      </c>
      <c r="BS224" s="18"/>
      <c r="BT224" s="23">
        <v>226</v>
      </c>
    </row>
    <row r="225" spans="1:72" x14ac:dyDescent="0.25">
      <c r="A225" s="1">
        <v>220</v>
      </c>
      <c r="B225" s="18" t="s">
        <v>29</v>
      </c>
      <c r="C225" s="18">
        <v>232</v>
      </c>
      <c r="D225" s="21" t="s">
        <v>9</v>
      </c>
      <c r="E225" s="5"/>
      <c r="F225" s="3">
        <v>49</v>
      </c>
      <c r="G225" s="3">
        <v>37.6</v>
      </c>
      <c r="H225" s="3">
        <v>29.333333333333336</v>
      </c>
      <c r="I225" s="3">
        <f t="shared" si="63"/>
        <v>38.644444444444446</v>
      </c>
      <c r="J225" s="3">
        <f t="shared" si="64"/>
        <v>115.93333333333334</v>
      </c>
      <c r="K225" s="18">
        <f t="shared" si="72"/>
        <v>22</v>
      </c>
      <c r="L225" s="18">
        <f t="shared" si="62"/>
        <v>211</v>
      </c>
      <c r="M225" s="4"/>
      <c r="N225" s="4"/>
      <c r="O225" s="7"/>
      <c r="P225" s="5">
        <v>53</v>
      </c>
      <c r="Q225" s="3">
        <v>51.572327044025158</v>
      </c>
      <c r="R225" s="3">
        <v>40.226415094339622</v>
      </c>
      <c r="S225" s="3">
        <v>45.408805031446526</v>
      </c>
      <c r="T225" s="3">
        <v>45.735849056603776</v>
      </c>
      <c r="U225" s="3">
        <v>137.20754716981131</v>
      </c>
      <c r="V225" s="18">
        <v>19</v>
      </c>
      <c r="W225" s="18">
        <v>198</v>
      </c>
      <c r="X225" s="4">
        <v>18.867924528301888</v>
      </c>
      <c r="Y225" s="4">
        <v>30.188679245283019</v>
      </c>
      <c r="Z225" s="7">
        <v>39.622641509433961</v>
      </c>
      <c r="AA225" s="5">
        <v>48</v>
      </c>
      <c r="AB225" s="3">
        <v>42.034313725490208</v>
      </c>
      <c r="AC225" s="3">
        <v>37.833333333333336</v>
      </c>
      <c r="AD225" s="3">
        <v>42.739898989898983</v>
      </c>
      <c r="AE225" s="3">
        <v>40.869182016240849</v>
      </c>
      <c r="AF225" s="3">
        <v>122.60754604872253</v>
      </c>
      <c r="AG225" s="18">
        <v>23</v>
      </c>
      <c r="AH225" s="18">
        <v>200</v>
      </c>
      <c r="AI225" s="4">
        <v>27.083333333333332</v>
      </c>
      <c r="AJ225" s="4">
        <v>47.916666666666664</v>
      </c>
      <c r="AK225" s="7">
        <v>35.416666666666664</v>
      </c>
      <c r="AL225" s="5">
        <v>54</v>
      </c>
      <c r="AM225" s="3">
        <v>60.067873303167431</v>
      </c>
      <c r="AN225" s="3">
        <v>31.318681318681325</v>
      </c>
      <c r="AO225" s="3">
        <v>46.776018099547514</v>
      </c>
      <c r="AP225" s="3">
        <v>46.054190907132089</v>
      </c>
      <c r="AQ225" s="3">
        <v>138.16257272139626</v>
      </c>
      <c r="AR225" s="18">
        <v>24</v>
      </c>
      <c r="AS225" s="18">
        <v>200</v>
      </c>
      <c r="AT225" s="4">
        <v>9.615384615384615</v>
      </c>
      <c r="AU225" s="4">
        <v>61.53846153846154</v>
      </c>
      <c r="AV225" s="7">
        <v>36.53846153846154</v>
      </c>
      <c r="AW225" s="10">
        <f t="shared" si="65"/>
        <v>51.666666666666664</v>
      </c>
      <c r="AX225" s="9">
        <f t="shared" si="66"/>
        <v>51.224838024227601</v>
      </c>
      <c r="AY225" s="9">
        <f t="shared" si="67"/>
        <v>36.459476582118093</v>
      </c>
      <c r="AZ225" s="9">
        <f t="shared" si="68"/>
        <v>44.974907373631005</v>
      </c>
      <c r="BA225" s="9">
        <f t="shared" si="69"/>
        <v>44.219740659992233</v>
      </c>
      <c r="BB225" s="9">
        <f t="shared" si="70"/>
        <v>132.65922197997671</v>
      </c>
      <c r="BC225" s="10">
        <f t="shared" si="73"/>
        <v>25</v>
      </c>
      <c r="BD225" s="10">
        <f t="shared" si="71"/>
        <v>209</v>
      </c>
      <c r="BE225" s="4">
        <f t="shared" si="74"/>
        <v>18.349358974358974</v>
      </c>
      <c r="BF225" s="4">
        <f t="shared" si="75"/>
        <v>54.727564102564102</v>
      </c>
      <c r="BG225" s="7">
        <f t="shared" si="76"/>
        <v>35.977564102564102</v>
      </c>
      <c r="BH225" s="5">
        <v>56</v>
      </c>
      <c r="BI225" s="3">
        <v>55.949090909090913</v>
      </c>
      <c r="BJ225" s="3">
        <v>38.04545454545454</v>
      </c>
      <c r="BK225" s="3">
        <v>35.136363636363633</v>
      </c>
      <c r="BL225" s="3">
        <v>43.043636363636359</v>
      </c>
      <c r="BM225" s="3">
        <v>129.13090909090906</v>
      </c>
      <c r="BN225" s="18">
        <v>13</v>
      </c>
      <c r="BO225" s="18">
        <v>115</v>
      </c>
      <c r="BP225" s="4">
        <v>16.363636363636363</v>
      </c>
      <c r="BQ225" s="4">
        <v>41.81818181818182</v>
      </c>
      <c r="BR225" s="7">
        <v>58.18181818181818</v>
      </c>
      <c r="BS225" s="18"/>
      <c r="BT225" s="23">
        <v>232</v>
      </c>
    </row>
    <row r="226" spans="1:72" x14ac:dyDescent="0.25">
      <c r="A226" s="18">
        <v>221</v>
      </c>
      <c r="B226" s="18" t="s">
        <v>29</v>
      </c>
      <c r="C226" s="18">
        <v>270</v>
      </c>
      <c r="D226" s="21" t="s">
        <v>9</v>
      </c>
      <c r="E226" s="5"/>
      <c r="F226" s="3">
        <v>48</v>
      </c>
      <c r="G226" s="3">
        <v>40.799999999999997</v>
      </c>
      <c r="H226" s="3">
        <v>20</v>
      </c>
      <c r="I226" s="3">
        <f t="shared" si="63"/>
        <v>36.266666666666666</v>
      </c>
      <c r="J226" s="3">
        <f t="shared" si="64"/>
        <v>108.8</v>
      </c>
      <c r="K226" s="18">
        <f t="shared" si="72"/>
        <v>26</v>
      </c>
      <c r="L226" s="18">
        <f t="shared" si="62"/>
        <v>234</v>
      </c>
      <c r="M226" s="4"/>
      <c r="N226" s="4"/>
      <c r="O226" s="7"/>
      <c r="P226" s="5">
        <v>163</v>
      </c>
      <c r="Q226" s="3">
        <v>52.106339468302686</v>
      </c>
      <c r="R226" s="3">
        <v>51.877300613496935</v>
      </c>
      <c r="S226" s="3">
        <v>36.861111111111114</v>
      </c>
      <c r="T226" s="3">
        <v>47.92077727952168</v>
      </c>
      <c r="U226" s="3">
        <v>140.84475119291073</v>
      </c>
      <c r="V226" s="18">
        <v>15</v>
      </c>
      <c r="W226" s="18">
        <v>180</v>
      </c>
      <c r="X226" s="4">
        <v>15.950920245398773</v>
      </c>
      <c r="Y226" s="4">
        <v>20.987654320987655</v>
      </c>
      <c r="Z226" s="7">
        <v>34.166666666666664</v>
      </c>
      <c r="AA226" s="5">
        <v>178</v>
      </c>
      <c r="AB226" s="3">
        <v>47.81205164992825</v>
      </c>
      <c r="AC226" s="3">
        <v>53.853658536585364</v>
      </c>
      <c r="AD226" s="3">
        <v>47.135994087213589</v>
      </c>
      <c r="AE226" s="3">
        <v>49.600568091242408</v>
      </c>
      <c r="AF226" s="3">
        <v>148.80170427372721</v>
      </c>
      <c r="AG226" s="18">
        <v>10</v>
      </c>
      <c r="AH226" s="18">
        <v>100</v>
      </c>
      <c r="AI226" s="4">
        <v>15.24390243902439</v>
      </c>
      <c r="AJ226" s="4">
        <v>12.195121951219512</v>
      </c>
      <c r="AK226" s="7">
        <v>28.048780487804876</v>
      </c>
      <c r="AL226" s="5">
        <v>178</v>
      </c>
      <c r="AM226" s="3">
        <v>68.69361241429084</v>
      </c>
      <c r="AN226" s="3">
        <v>46.608238387379508</v>
      </c>
      <c r="AO226" s="3">
        <v>62.472766884531609</v>
      </c>
      <c r="AP226" s="3">
        <v>59.198931106184823</v>
      </c>
      <c r="AQ226" s="3">
        <v>177.77461768620196</v>
      </c>
      <c r="AR226" s="18">
        <v>3</v>
      </c>
      <c r="AS226" s="18">
        <v>49</v>
      </c>
      <c r="AT226" s="4">
        <v>2.4539877300613497</v>
      </c>
      <c r="AU226" s="4">
        <v>22.085889570552148</v>
      </c>
      <c r="AV226" s="7">
        <v>8.0246913580246915</v>
      </c>
      <c r="AW226" s="10">
        <f t="shared" si="65"/>
        <v>173</v>
      </c>
      <c r="AX226" s="9">
        <f t="shared" si="66"/>
        <v>56.204001177507259</v>
      </c>
      <c r="AY226" s="9">
        <f t="shared" si="67"/>
        <v>50.779732512487271</v>
      </c>
      <c r="AZ226" s="9">
        <f t="shared" si="68"/>
        <v>48.82329069428544</v>
      </c>
      <c r="BA226" s="9">
        <f t="shared" si="69"/>
        <v>52.240092158982975</v>
      </c>
      <c r="BB226" s="9">
        <f t="shared" si="70"/>
        <v>155.80702438427997</v>
      </c>
      <c r="BC226" s="10">
        <f t="shared" si="73"/>
        <v>5</v>
      </c>
      <c r="BD226" s="10">
        <f t="shared" si="71"/>
        <v>101</v>
      </c>
      <c r="BE226" s="4">
        <f t="shared" si="74"/>
        <v>8.8489450845428692</v>
      </c>
      <c r="BF226" s="4">
        <f t="shared" si="75"/>
        <v>17.14050576088583</v>
      </c>
      <c r="BG226" s="7">
        <f t="shared" si="76"/>
        <v>18.036735922914783</v>
      </c>
      <c r="BH226" s="5">
        <v>176</v>
      </c>
      <c r="BI226" s="3">
        <v>55.995906432748569</v>
      </c>
      <c r="BJ226" s="3">
        <v>37.694736842105257</v>
      </c>
      <c r="BK226" s="3">
        <v>36.173099415204689</v>
      </c>
      <c r="BL226" s="3">
        <v>43.287914230019503</v>
      </c>
      <c r="BM226" s="3">
        <v>129.86374269005839</v>
      </c>
      <c r="BN226" s="18">
        <v>12</v>
      </c>
      <c r="BO226" s="18">
        <v>110</v>
      </c>
      <c r="BP226" s="4">
        <v>14.619883040935672</v>
      </c>
      <c r="BQ226" s="4">
        <v>51.461988304093566</v>
      </c>
      <c r="BR226" s="7">
        <v>50.877192982456137</v>
      </c>
      <c r="BS226" s="18"/>
      <c r="BT226" s="23">
        <v>270</v>
      </c>
    </row>
    <row r="227" spans="1:72" x14ac:dyDescent="0.25">
      <c r="A227" s="18">
        <v>222</v>
      </c>
      <c r="B227" s="18" t="s">
        <v>29</v>
      </c>
      <c r="C227" s="18">
        <v>275</v>
      </c>
      <c r="D227" s="21" t="s">
        <v>9</v>
      </c>
      <c r="E227" s="5"/>
      <c r="F227" s="3">
        <v>59.166666666666664</v>
      </c>
      <c r="G227" s="3">
        <v>58</v>
      </c>
      <c r="H227" s="3">
        <v>48.666666666666664</v>
      </c>
      <c r="I227" s="3">
        <f t="shared" si="63"/>
        <v>55.277777777777771</v>
      </c>
      <c r="J227" s="3">
        <f t="shared" si="64"/>
        <v>165.83333333333331</v>
      </c>
      <c r="K227" s="18">
        <f t="shared" si="72"/>
        <v>3</v>
      </c>
      <c r="L227" s="18">
        <f t="shared" si="62"/>
        <v>39</v>
      </c>
      <c r="M227" s="4"/>
      <c r="N227" s="4"/>
      <c r="O227" s="7"/>
      <c r="P227" s="5">
        <v>117</v>
      </c>
      <c r="Q227" s="3">
        <v>60.59829059829061</v>
      </c>
      <c r="R227" s="3">
        <v>49.777777777777779</v>
      </c>
      <c r="S227" s="3">
        <v>60.797720797720771</v>
      </c>
      <c r="T227" s="3">
        <v>57.057929724596406</v>
      </c>
      <c r="U227" s="3">
        <v>171.17378917378915</v>
      </c>
      <c r="V227" s="18">
        <v>3</v>
      </c>
      <c r="W227" s="18">
        <v>81</v>
      </c>
      <c r="X227" s="4">
        <v>9.4017094017094021</v>
      </c>
      <c r="Y227" s="4">
        <v>23.076923076923077</v>
      </c>
      <c r="Z227" s="7">
        <v>13.675213675213675</v>
      </c>
      <c r="AA227" s="5">
        <v>122</v>
      </c>
      <c r="AB227" s="3">
        <v>51.171264966163427</v>
      </c>
      <c r="AC227" s="3">
        <v>53.026548672566371</v>
      </c>
      <c r="AD227" s="3">
        <v>60.579243765084478</v>
      </c>
      <c r="AE227" s="3">
        <v>54.925685801271406</v>
      </c>
      <c r="AF227" s="3">
        <v>164.77705740381427</v>
      </c>
      <c r="AG227" s="18">
        <v>4</v>
      </c>
      <c r="AH227" s="18">
        <v>52</v>
      </c>
      <c r="AI227" s="4">
        <v>14.159292035398231</v>
      </c>
      <c r="AJ227" s="4">
        <v>23.008849557522122</v>
      </c>
      <c r="AK227" s="7">
        <v>11.504424778761061</v>
      </c>
      <c r="AL227" s="5">
        <v>123</v>
      </c>
      <c r="AM227" s="3">
        <v>64.01695813460519</v>
      </c>
      <c r="AN227" s="3">
        <v>35.54697554697556</v>
      </c>
      <c r="AO227" s="3">
        <v>62.983571807101207</v>
      </c>
      <c r="AP227" s="3">
        <v>54.182501829560657</v>
      </c>
      <c r="AQ227" s="3">
        <v>162.54750548868196</v>
      </c>
      <c r="AR227" s="18">
        <v>7</v>
      </c>
      <c r="AS227" s="18">
        <v>92</v>
      </c>
      <c r="AT227" s="4">
        <v>5.4054054054054053</v>
      </c>
      <c r="AU227" s="4">
        <v>52.727272727272727</v>
      </c>
      <c r="AV227" s="7">
        <v>4.5045045045045047</v>
      </c>
      <c r="AW227" s="10">
        <f t="shared" si="65"/>
        <v>120.66666666666667</v>
      </c>
      <c r="AX227" s="9">
        <f t="shared" si="66"/>
        <v>58.595504566353078</v>
      </c>
      <c r="AY227" s="9">
        <f t="shared" si="67"/>
        <v>46.117100665773229</v>
      </c>
      <c r="AZ227" s="9">
        <f t="shared" si="68"/>
        <v>61.453512123302154</v>
      </c>
      <c r="BA227" s="9">
        <f t="shared" si="69"/>
        <v>55.388705785142825</v>
      </c>
      <c r="BB227" s="9">
        <f t="shared" si="70"/>
        <v>166.16611735542847</v>
      </c>
      <c r="BC227" s="10">
        <f t="shared" si="73"/>
        <v>4</v>
      </c>
      <c r="BD227" s="10">
        <f t="shared" si="71"/>
        <v>71</v>
      </c>
      <c r="BE227" s="4">
        <f t="shared" si="74"/>
        <v>9.7823487204018171</v>
      </c>
      <c r="BF227" s="4">
        <f t="shared" si="75"/>
        <v>37.868061142397423</v>
      </c>
      <c r="BG227" s="7">
        <f t="shared" si="76"/>
        <v>8.0044646416327829</v>
      </c>
      <c r="BH227" s="5">
        <v>123</v>
      </c>
      <c r="BI227" s="3">
        <v>63.307377049180346</v>
      </c>
      <c r="BJ227" s="3">
        <v>39.444262295081948</v>
      </c>
      <c r="BK227" s="3">
        <v>45.59098360655738</v>
      </c>
      <c r="BL227" s="3">
        <v>49.447540983606544</v>
      </c>
      <c r="BM227" s="3">
        <v>148.3426229508197</v>
      </c>
      <c r="BN227" s="18">
        <v>1</v>
      </c>
      <c r="BO227" s="18">
        <v>39</v>
      </c>
      <c r="BP227" s="4">
        <v>9.8360655737704921</v>
      </c>
      <c r="BQ227" s="4">
        <v>42.622950819672134</v>
      </c>
      <c r="BR227" s="7">
        <v>35.245901639344261</v>
      </c>
      <c r="BS227" s="18"/>
      <c r="BT227" s="23">
        <v>275</v>
      </c>
    </row>
    <row r="228" spans="1:72" x14ac:dyDescent="0.25">
      <c r="A228" s="18">
        <v>223</v>
      </c>
      <c r="B228" s="18" t="s">
        <v>29</v>
      </c>
      <c r="C228" s="18">
        <v>278</v>
      </c>
      <c r="D228" s="21" t="s">
        <v>9</v>
      </c>
      <c r="E228" s="5"/>
      <c r="F228" s="3">
        <v>35.666666666666664</v>
      </c>
      <c r="G228" s="3">
        <v>48</v>
      </c>
      <c r="H228" s="3">
        <v>33.999999999999993</v>
      </c>
      <c r="I228" s="3">
        <f t="shared" si="63"/>
        <v>39.222222222222221</v>
      </c>
      <c r="J228" s="3">
        <f t="shared" si="64"/>
        <v>117.66666666666666</v>
      </c>
      <c r="K228" s="18">
        <f t="shared" si="72"/>
        <v>21</v>
      </c>
      <c r="L228" s="18">
        <f t="shared" si="62"/>
        <v>207</v>
      </c>
      <c r="M228" s="4"/>
      <c r="N228" s="4"/>
      <c r="O228" s="7"/>
      <c r="P228" s="5">
        <v>172</v>
      </c>
      <c r="Q228" s="3">
        <v>54.03100775193797</v>
      </c>
      <c r="R228" s="3">
        <v>48.139534883720927</v>
      </c>
      <c r="S228" s="3">
        <v>53.759689922480639</v>
      </c>
      <c r="T228" s="3">
        <v>51.976744186046481</v>
      </c>
      <c r="U228" s="3">
        <v>155.93023255813955</v>
      </c>
      <c r="V228" s="18">
        <v>5</v>
      </c>
      <c r="W228" s="18">
        <v>116</v>
      </c>
      <c r="X228" s="4">
        <v>13.953488372093023</v>
      </c>
      <c r="Y228" s="4">
        <v>26.744186046511629</v>
      </c>
      <c r="Z228" s="7">
        <v>23.837209302325583</v>
      </c>
      <c r="AA228" s="5">
        <v>173</v>
      </c>
      <c r="AB228" s="3">
        <v>42.802768166089969</v>
      </c>
      <c r="AC228" s="3">
        <v>47.035294117647062</v>
      </c>
      <c r="AD228" s="3">
        <v>52.602495543671992</v>
      </c>
      <c r="AE228" s="3">
        <v>47.480185942469681</v>
      </c>
      <c r="AF228" s="3">
        <v>142.44055782740901</v>
      </c>
      <c r="AG228" s="18">
        <v>13</v>
      </c>
      <c r="AH228" s="18">
        <v>120</v>
      </c>
      <c r="AI228" s="4">
        <v>20.588235294117649</v>
      </c>
      <c r="AJ228" s="4">
        <v>27.647058823529413</v>
      </c>
      <c r="AK228" s="7">
        <v>20.588235294117649</v>
      </c>
      <c r="AL228" s="5">
        <v>172</v>
      </c>
      <c r="AM228" s="3">
        <v>60.51198257080614</v>
      </c>
      <c r="AN228" s="3">
        <v>35.013309671694778</v>
      </c>
      <c r="AO228" s="3">
        <v>54.793028322440065</v>
      </c>
      <c r="AP228" s="3">
        <v>50.121814157761889</v>
      </c>
      <c r="AQ228" s="3">
        <v>150.31832056494096</v>
      </c>
      <c r="AR228" s="18">
        <v>14</v>
      </c>
      <c r="AS228" s="18">
        <v>139</v>
      </c>
      <c r="AT228" s="4">
        <v>8.0246913580246915</v>
      </c>
      <c r="AU228" s="4">
        <v>40.993788819875775</v>
      </c>
      <c r="AV228" s="7">
        <v>20.987654320987655</v>
      </c>
      <c r="AW228" s="10">
        <f t="shared" si="65"/>
        <v>172.33333333333334</v>
      </c>
      <c r="AX228" s="9">
        <f t="shared" si="66"/>
        <v>52.448586162944686</v>
      </c>
      <c r="AY228" s="9">
        <f t="shared" si="67"/>
        <v>43.396046224354251</v>
      </c>
      <c r="AZ228" s="9">
        <f t="shared" si="68"/>
        <v>53.718404596197558</v>
      </c>
      <c r="BA228" s="9">
        <f t="shared" si="69"/>
        <v>49.859581428759348</v>
      </c>
      <c r="BB228" s="9">
        <f t="shared" si="70"/>
        <v>149.56303698349652</v>
      </c>
      <c r="BC228" s="10">
        <f t="shared" si="73"/>
        <v>10</v>
      </c>
      <c r="BD228" s="10">
        <f t="shared" si="71"/>
        <v>126</v>
      </c>
      <c r="BE228" s="4">
        <f t="shared" si="74"/>
        <v>14.306463326071171</v>
      </c>
      <c r="BF228" s="4">
        <f t="shared" si="75"/>
        <v>34.32042382170259</v>
      </c>
      <c r="BG228" s="7">
        <f t="shared" si="76"/>
        <v>20.787944807552652</v>
      </c>
      <c r="BH228" s="5">
        <v>171</v>
      </c>
      <c r="BI228" s="3">
        <v>58.09647058823527</v>
      </c>
      <c r="BJ228" s="3">
        <v>37.286470588235289</v>
      </c>
      <c r="BK228" s="3">
        <v>42.197058823529453</v>
      </c>
      <c r="BL228" s="3">
        <v>45.860000000000007</v>
      </c>
      <c r="BM228" s="3">
        <v>137.58000000000007</v>
      </c>
      <c r="BN228" s="18">
        <v>7</v>
      </c>
      <c r="BO228" s="18">
        <v>84</v>
      </c>
      <c r="BP228" s="4">
        <v>13.529411764705882</v>
      </c>
      <c r="BQ228" s="4">
        <v>47.647058823529413</v>
      </c>
      <c r="BR228" s="7">
        <v>35.882352941176471</v>
      </c>
      <c r="BS228" s="18"/>
      <c r="BT228" s="23">
        <v>278</v>
      </c>
    </row>
    <row r="229" spans="1:72" x14ac:dyDescent="0.25">
      <c r="A229" s="18">
        <v>224</v>
      </c>
      <c r="B229" s="18" t="s">
        <v>29</v>
      </c>
      <c r="C229" s="18">
        <v>279</v>
      </c>
      <c r="D229" s="21" t="s">
        <v>9</v>
      </c>
      <c r="E229" s="5"/>
      <c r="F229" s="3">
        <v>46</v>
      </c>
      <c r="G229" s="3">
        <v>41.6</v>
      </c>
      <c r="H229" s="3">
        <v>38</v>
      </c>
      <c r="I229" s="3">
        <f t="shared" si="63"/>
        <v>41.866666666666667</v>
      </c>
      <c r="J229" s="3">
        <f t="shared" si="64"/>
        <v>125.6</v>
      </c>
      <c r="K229" s="18">
        <f t="shared" si="72"/>
        <v>16</v>
      </c>
      <c r="L229" s="18">
        <f t="shared" si="62"/>
        <v>171</v>
      </c>
      <c r="M229" s="4"/>
      <c r="N229" s="4"/>
      <c r="O229" s="7"/>
      <c r="P229" s="5">
        <v>118</v>
      </c>
      <c r="Q229" s="3">
        <v>41.836158192090402</v>
      </c>
      <c r="R229" s="3">
        <v>42.203389830508478</v>
      </c>
      <c r="S229" s="3">
        <v>49.406779661016948</v>
      </c>
      <c r="T229" s="3">
        <v>44.482109227871938</v>
      </c>
      <c r="U229" s="3">
        <v>133.44632768361583</v>
      </c>
      <c r="V229" s="18">
        <v>23</v>
      </c>
      <c r="W229" s="18">
        <v>218</v>
      </c>
      <c r="X229" s="4">
        <v>37.288135593220339</v>
      </c>
      <c r="Y229" s="4">
        <v>34.745762711864408</v>
      </c>
      <c r="Z229" s="7">
        <v>26.271186440677965</v>
      </c>
      <c r="AA229" s="5">
        <v>136</v>
      </c>
      <c r="AB229" s="3">
        <v>63.482352941176444</v>
      </c>
      <c r="AC229" s="3">
        <v>64.768000000000001</v>
      </c>
      <c r="AD229" s="3">
        <v>63.200000000000053</v>
      </c>
      <c r="AE229" s="3">
        <v>63.816784313725506</v>
      </c>
      <c r="AF229" s="3">
        <v>191.4503529411765</v>
      </c>
      <c r="AG229" s="18">
        <v>1</v>
      </c>
      <c r="AH229" s="18">
        <v>13</v>
      </c>
      <c r="AI229" s="4">
        <v>4</v>
      </c>
      <c r="AJ229" s="4">
        <v>4</v>
      </c>
      <c r="AK229" s="7">
        <v>6.4</v>
      </c>
      <c r="AL229" s="5">
        <v>136</v>
      </c>
      <c r="AM229" s="3">
        <v>67.934002869440434</v>
      </c>
      <c r="AN229" s="3">
        <v>56.813559322033896</v>
      </c>
      <c r="AO229" s="3">
        <v>69.822188830453371</v>
      </c>
      <c r="AP229" s="3">
        <v>64.746798448376637</v>
      </c>
      <c r="AQ229" s="3">
        <v>194.56975102192769</v>
      </c>
      <c r="AR229" s="18">
        <v>2</v>
      </c>
      <c r="AS229" s="18">
        <v>17</v>
      </c>
      <c r="AT229" s="4">
        <v>2.4390243902439024</v>
      </c>
      <c r="AU229" s="4">
        <v>11.016949152542374</v>
      </c>
      <c r="AV229" s="7">
        <v>4.9586776859504136</v>
      </c>
      <c r="AW229" s="10">
        <f t="shared" si="65"/>
        <v>130</v>
      </c>
      <c r="AX229" s="9">
        <f t="shared" si="66"/>
        <v>57.750838000902426</v>
      </c>
      <c r="AY229" s="9">
        <f t="shared" si="67"/>
        <v>54.594983050847453</v>
      </c>
      <c r="AZ229" s="9">
        <f t="shared" si="68"/>
        <v>60.809656163823455</v>
      </c>
      <c r="BA229" s="9">
        <f t="shared" si="69"/>
        <v>57.681897329991358</v>
      </c>
      <c r="BB229" s="9">
        <f t="shared" si="70"/>
        <v>173.15547721557334</v>
      </c>
      <c r="BC229" s="10">
        <f t="shared" si="73"/>
        <v>2</v>
      </c>
      <c r="BD229" s="10">
        <f t="shared" si="71"/>
        <v>45</v>
      </c>
      <c r="BE229" s="4">
        <f t="shared" si="74"/>
        <v>3.2195121951219514</v>
      </c>
      <c r="BF229" s="4">
        <f t="shared" si="75"/>
        <v>7.5084745762711869</v>
      </c>
      <c r="BG229" s="7">
        <f t="shared" si="76"/>
        <v>5.6793388429752074</v>
      </c>
      <c r="BH229" s="5">
        <v>133</v>
      </c>
      <c r="BI229" s="3">
        <v>58.733593750000004</v>
      </c>
      <c r="BJ229" s="3">
        <v>40.609375</v>
      </c>
      <c r="BK229" s="3">
        <v>44.210937500000007</v>
      </c>
      <c r="BL229" s="3">
        <v>47.851302083333337</v>
      </c>
      <c r="BM229" s="3">
        <v>143.55390624999998</v>
      </c>
      <c r="BN229" s="18">
        <v>4</v>
      </c>
      <c r="BO229" s="18">
        <v>54</v>
      </c>
      <c r="BP229" s="4">
        <v>13.28125</v>
      </c>
      <c r="BQ229" s="4">
        <v>42.96875</v>
      </c>
      <c r="BR229" s="7">
        <v>34.375</v>
      </c>
      <c r="BS229" s="18"/>
      <c r="BT229" s="23">
        <v>279</v>
      </c>
    </row>
    <row r="230" spans="1:72" x14ac:dyDescent="0.25">
      <c r="A230" s="1">
        <v>225</v>
      </c>
      <c r="B230" s="18" t="s">
        <v>29</v>
      </c>
      <c r="C230" s="18">
        <v>280</v>
      </c>
      <c r="D230" s="21" t="s">
        <v>9</v>
      </c>
      <c r="E230" s="5"/>
      <c r="F230" s="3">
        <v>40.666666666666664</v>
      </c>
      <c r="G230" s="3">
        <v>30</v>
      </c>
      <c r="H230" s="3">
        <v>16.333333333333336</v>
      </c>
      <c r="I230" s="3">
        <f t="shared" si="63"/>
        <v>29</v>
      </c>
      <c r="J230" s="3">
        <f t="shared" si="64"/>
        <v>87</v>
      </c>
      <c r="K230" s="18">
        <f t="shared" si="72"/>
        <v>34</v>
      </c>
      <c r="L230" s="18">
        <f t="shared" si="62"/>
        <v>286</v>
      </c>
      <c r="M230" s="4"/>
      <c r="N230" s="4"/>
      <c r="O230" s="7"/>
      <c r="P230" s="5">
        <v>197</v>
      </c>
      <c r="Q230" s="3">
        <v>42.402707275803728</v>
      </c>
      <c r="R230" s="3">
        <v>35.898477157360404</v>
      </c>
      <c r="S230" s="3">
        <v>39.949238578680195</v>
      </c>
      <c r="T230" s="3">
        <v>39.416807670614745</v>
      </c>
      <c r="U230" s="3">
        <v>118.25042301184433</v>
      </c>
      <c r="V230" s="18">
        <v>32</v>
      </c>
      <c r="W230" s="18">
        <v>275</v>
      </c>
      <c r="X230" s="4">
        <v>28.426395939086294</v>
      </c>
      <c r="Y230" s="4">
        <v>38.578680203045685</v>
      </c>
      <c r="Z230" s="7">
        <v>46.192893401015226</v>
      </c>
      <c r="AA230" s="5">
        <v>215</v>
      </c>
      <c r="AB230" s="3">
        <v>43.273290177314934</v>
      </c>
      <c r="AC230" s="3">
        <v>35.177033492822964</v>
      </c>
      <c r="AD230" s="3">
        <v>25.866318689285151</v>
      </c>
      <c r="AE230" s="3">
        <v>34.772214119807686</v>
      </c>
      <c r="AF230" s="3">
        <v>104.31664235942304</v>
      </c>
      <c r="AG230" s="18">
        <v>33</v>
      </c>
      <c r="AH230" s="18">
        <v>270</v>
      </c>
      <c r="AI230" s="4">
        <v>21.5311004784689</v>
      </c>
      <c r="AJ230" s="4">
        <v>44.976076555023923</v>
      </c>
      <c r="AK230" s="7">
        <v>66.028708133971293</v>
      </c>
      <c r="AL230" s="5">
        <v>185</v>
      </c>
      <c r="AM230" s="3">
        <v>48.41017488076313</v>
      </c>
      <c r="AN230" s="3">
        <v>32.006245120999225</v>
      </c>
      <c r="AO230" s="3">
        <v>47.5675675675676</v>
      </c>
      <c r="AP230" s="3">
        <v>42.715572715572705</v>
      </c>
      <c r="AQ230" s="3">
        <v>127.98398756932997</v>
      </c>
      <c r="AR230" s="18">
        <v>28</v>
      </c>
      <c r="AS230" s="18">
        <v>240</v>
      </c>
      <c r="AT230" s="4">
        <v>27.567567567567568</v>
      </c>
      <c r="AU230" s="4">
        <v>54.098360655737707</v>
      </c>
      <c r="AV230" s="7">
        <v>25.945945945945947</v>
      </c>
      <c r="AW230" s="10">
        <f t="shared" si="65"/>
        <v>199</v>
      </c>
      <c r="AX230" s="9">
        <f t="shared" si="66"/>
        <v>44.695390777960597</v>
      </c>
      <c r="AY230" s="9">
        <f t="shared" si="67"/>
        <v>34.360585257060862</v>
      </c>
      <c r="AZ230" s="9">
        <f t="shared" si="68"/>
        <v>37.794374945177651</v>
      </c>
      <c r="BA230" s="9">
        <f t="shared" si="69"/>
        <v>38.968198168665047</v>
      </c>
      <c r="BB230" s="9">
        <f t="shared" si="70"/>
        <v>116.85035098019911</v>
      </c>
      <c r="BC230" s="10">
        <f t="shared" si="73"/>
        <v>32</v>
      </c>
      <c r="BD230" s="10">
        <f t="shared" si="71"/>
        <v>275</v>
      </c>
      <c r="BE230" s="4">
        <f t="shared" si="74"/>
        <v>24.549334023018233</v>
      </c>
      <c r="BF230" s="4">
        <f t="shared" si="75"/>
        <v>49.537218605380815</v>
      </c>
      <c r="BG230" s="7">
        <f t="shared" si="76"/>
        <v>45.987327039958622</v>
      </c>
      <c r="BH230" s="5">
        <v>208</v>
      </c>
      <c r="BI230" s="3">
        <v>49.112621359223304</v>
      </c>
      <c r="BJ230" s="3">
        <v>28.86067961165049</v>
      </c>
      <c r="BK230" s="3">
        <v>29.182524271844674</v>
      </c>
      <c r="BL230" s="3">
        <v>35.718608414239483</v>
      </c>
      <c r="BM230" s="3">
        <v>107.15582524271844</v>
      </c>
      <c r="BN230" s="18">
        <v>31</v>
      </c>
      <c r="BO230" s="18">
        <v>241</v>
      </c>
      <c r="BP230" s="4">
        <v>22.33009708737864</v>
      </c>
      <c r="BQ230" s="4">
        <v>63.106796116504853</v>
      </c>
      <c r="BR230" s="7">
        <v>64.5631067961165</v>
      </c>
      <c r="BS230" s="18"/>
      <c r="BT230" s="23">
        <v>280</v>
      </c>
    </row>
    <row r="231" spans="1:72" x14ac:dyDescent="0.25">
      <c r="A231" s="18">
        <v>226</v>
      </c>
      <c r="B231" s="18" t="s">
        <v>29</v>
      </c>
      <c r="C231" s="18">
        <v>281</v>
      </c>
      <c r="D231" s="21" t="s">
        <v>9</v>
      </c>
      <c r="E231" s="5"/>
      <c r="F231" s="3">
        <v>46.666666666666664</v>
      </c>
      <c r="G231" s="3">
        <v>33.6</v>
      </c>
      <c r="H231" s="3">
        <v>22.333333333333332</v>
      </c>
      <c r="I231" s="3">
        <f t="shared" si="63"/>
        <v>34.199999999999996</v>
      </c>
      <c r="J231" s="3">
        <f t="shared" si="64"/>
        <v>102.6</v>
      </c>
      <c r="K231" s="18">
        <f t="shared" si="72"/>
        <v>30</v>
      </c>
      <c r="L231" s="18">
        <f t="shared" si="62"/>
        <v>253</v>
      </c>
      <c r="M231" s="4"/>
      <c r="N231" s="4"/>
      <c r="O231" s="7"/>
      <c r="P231" s="5">
        <v>214</v>
      </c>
      <c r="Q231" s="3">
        <v>55.062305295950139</v>
      </c>
      <c r="R231" s="3">
        <v>48.504672897196265</v>
      </c>
      <c r="S231" s="3">
        <v>48.80062305295948</v>
      </c>
      <c r="T231" s="3">
        <v>50.789200415368619</v>
      </c>
      <c r="U231" s="3">
        <v>152.36760124610589</v>
      </c>
      <c r="V231" s="18">
        <v>8</v>
      </c>
      <c r="W231" s="18">
        <v>135</v>
      </c>
      <c r="X231" s="4">
        <v>10.747663551401869</v>
      </c>
      <c r="Y231" s="4">
        <v>26.168224299065422</v>
      </c>
      <c r="Z231" s="7">
        <v>26.168224299065422</v>
      </c>
      <c r="AA231" s="5">
        <v>216</v>
      </c>
      <c r="AB231" s="3">
        <v>46.663943355119869</v>
      </c>
      <c r="AC231" s="3">
        <v>43.965517241379338</v>
      </c>
      <c r="AD231" s="3">
        <v>45.72109988776657</v>
      </c>
      <c r="AE231" s="3">
        <v>45.450186828088583</v>
      </c>
      <c r="AF231" s="3">
        <v>136.35056048426577</v>
      </c>
      <c r="AG231" s="18">
        <v>14</v>
      </c>
      <c r="AH231" s="18">
        <v>148</v>
      </c>
      <c r="AI231" s="4">
        <v>20.833333333333332</v>
      </c>
      <c r="AJ231" s="4">
        <v>23.148148148148149</v>
      </c>
      <c r="AK231" s="7">
        <v>25.462962962962962</v>
      </c>
      <c r="AL231" s="5">
        <v>230</v>
      </c>
      <c r="AM231" s="3">
        <v>60.353535353535371</v>
      </c>
      <c r="AN231" s="3">
        <v>36.141414141414138</v>
      </c>
      <c r="AO231" s="3">
        <v>52.453468697123498</v>
      </c>
      <c r="AP231" s="3">
        <v>49.634944213375562</v>
      </c>
      <c r="AQ231" s="3">
        <v>148.94841819207301</v>
      </c>
      <c r="AR231" s="18">
        <v>17</v>
      </c>
      <c r="AS231" s="18">
        <v>146</v>
      </c>
      <c r="AT231" s="4">
        <v>12.121212121212121</v>
      </c>
      <c r="AU231" s="4">
        <v>39.898989898989896</v>
      </c>
      <c r="AV231" s="7">
        <v>20</v>
      </c>
      <c r="AW231" s="10">
        <f t="shared" si="65"/>
        <v>220</v>
      </c>
      <c r="AX231" s="9">
        <f t="shared" si="66"/>
        <v>54.026594668201795</v>
      </c>
      <c r="AY231" s="9">
        <f t="shared" si="67"/>
        <v>42.87053475999658</v>
      </c>
      <c r="AZ231" s="9">
        <f t="shared" si="68"/>
        <v>48.991730545949849</v>
      </c>
      <c r="BA231" s="9">
        <f t="shared" si="69"/>
        <v>48.624777152277581</v>
      </c>
      <c r="BB231" s="9">
        <f t="shared" si="70"/>
        <v>145.88885997414823</v>
      </c>
      <c r="BC231" s="10">
        <f t="shared" si="73"/>
        <v>13</v>
      </c>
      <c r="BD231" s="10">
        <f t="shared" si="71"/>
        <v>138</v>
      </c>
      <c r="BE231" s="4">
        <f t="shared" si="74"/>
        <v>16.477272727272727</v>
      </c>
      <c r="BF231" s="4">
        <f t="shared" si="75"/>
        <v>31.523569023569024</v>
      </c>
      <c r="BG231" s="7">
        <f t="shared" si="76"/>
        <v>22.731481481481481</v>
      </c>
      <c r="BH231" s="5">
        <v>230</v>
      </c>
      <c r="BI231" s="3">
        <v>55.675877192982483</v>
      </c>
      <c r="BJ231" s="3">
        <v>38.219298245614027</v>
      </c>
      <c r="BK231" s="3">
        <v>37.977192982456131</v>
      </c>
      <c r="BL231" s="3">
        <v>43.957456140350885</v>
      </c>
      <c r="BM231" s="3">
        <v>131.87236842105273</v>
      </c>
      <c r="BN231" s="18">
        <v>9</v>
      </c>
      <c r="BO231" s="18">
        <v>101</v>
      </c>
      <c r="BP231" s="4">
        <v>19.298245614035089</v>
      </c>
      <c r="BQ231" s="4">
        <v>46.491228070175438</v>
      </c>
      <c r="BR231" s="7">
        <v>45.614035087719301</v>
      </c>
      <c r="BS231" s="18"/>
      <c r="BT231" s="23">
        <v>281</v>
      </c>
    </row>
    <row r="232" spans="1:72" x14ac:dyDescent="0.25">
      <c r="A232" s="18">
        <v>227</v>
      </c>
      <c r="B232" s="18" t="s">
        <v>29</v>
      </c>
      <c r="C232" s="18">
        <v>282</v>
      </c>
      <c r="D232" s="21" t="s">
        <v>9</v>
      </c>
      <c r="E232" s="5"/>
      <c r="F232" s="3">
        <v>59.333333333333336</v>
      </c>
      <c r="G232" s="3">
        <v>65.599999999999994</v>
      </c>
      <c r="H232" s="3">
        <v>60</v>
      </c>
      <c r="I232" s="3">
        <f t="shared" si="63"/>
        <v>61.644444444444446</v>
      </c>
      <c r="J232" s="3">
        <f t="shared" si="64"/>
        <v>184.93333333333334</v>
      </c>
      <c r="K232" s="18">
        <f t="shared" si="72"/>
        <v>1</v>
      </c>
      <c r="L232" s="18">
        <f t="shared" si="62"/>
        <v>17</v>
      </c>
      <c r="M232" s="4"/>
      <c r="N232" s="4"/>
      <c r="O232" s="7"/>
      <c r="P232" s="5">
        <v>84</v>
      </c>
      <c r="Q232" s="3">
        <v>59.999999999999986</v>
      </c>
      <c r="R232" s="3">
        <v>62.38095238095238</v>
      </c>
      <c r="S232" s="3">
        <v>64.246031746031775</v>
      </c>
      <c r="T232" s="3">
        <v>62.208994708994688</v>
      </c>
      <c r="U232" s="3">
        <v>186.62698412698415</v>
      </c>
      <c r="V232" s="18">
        <v>2</v>
      </c>
      <c r="W232" s="18">
        <v>43</v>
      </c>
      <c r="X232" s="4">
        <v>7.1428571428571432</v>
      </c>
      <c r="Y232" s="4">
        <v>7.5949367088607591</v>
      </c>
      <c r="Z232" s="7">
        <v>7.1428571428571432</v>
      </c>
      <c r="AA232" s="5">
        <v>89</v>
      </c>
      <c r="AB232" s="3">
        <v>53.851540616246496</v>
      </c>
      <c r="AC232" s="3">
        <v>58.333333333333336</v>
      </c>
      <c r="AD232" s="3">
        <v>57.467532467532479</v>
      </c>
      <c r="AE232" s="3">
        <v>56.55080213903743</v>
      </c>
      <c r="AF232" s="3">
        <v>169.65240641711233</v>
      </c>
      <c r="AG232" s="18">
        <v>3</v>
      </c>
      <c r="AH232" s="18">
        <v>44</v>
      </c>
      <c r="AI232" s="4">
        <v>8.3333333333333339</v>
      </c>
      <c r="AJ232" s="4">
        <v>2.3809523809523809</v>
      </c>
      <c r="AK232" s="7">
        <v>5.9523809523809526</v>
      </c>
      <c r="AL232" s="5">
        <v>89</v>
      </c>
      <c r="AM232" s="3">
        <v>58.613445378151241</v>
      </c>
      <c r="AN232" s="3">
        <v>53.761904761904759</v>
      </c>
      <c r="AO232" s="3">
        <v>58.513708513708558</v>
      </c>
      <c r="AP232" s="3">
        <v>56.963019551254838</v>
      </c>
      <c r="AQ232" s="3">
        <v>170.88905865376455</v>
      </c>
      <c r="AR232" s="18">
        <v>4</v>
      </c>
      <c r="AS232" s="18">
        <v>64</v>
      </c>
      <c r="AT232" s="4">
        <v>3.5714285714285716</v>
      </c>
      <c r="AU232" s="4">
        <v>7.1428571428571432</v>
      </c>
      <c r="AV232" s="7">
        <v>3.5714285714285716</v>
      </c>
      <c r="AW232" s="10">
        <f t="shared" si="65"/>
        <v>87.333333333333329</v>
      </c>
      <c r="AX232" s="9">
        <f t="shared" si="66"/>
        <v>57.488328664799241</v>
      </c>
      <c r="AY232" s="9">
        <f t="shared" si="67"/>
        <v>58.158730158730158</v>
      </c>
      <c r="AZ232" s="9">
        <f t="shared" si="68"/>
        <v>60.075757575757599</v>
      </c>
      <c r="BA232" s="9">
        <f t="shared" si="69"/>
        <v>58.574272133095654</v>
      </c>
      <c r="BB232" s="9">
        <f t="shared" si="70"/>
        <v>175.72281639928701</v>
      </c>
      <c r="BC232" s="10">
        <f t="shared" si="73"/>
        <v>1</v>
      </c>
      <c r="BD232" s="10">
        <f t="shared" si="71"/>
        <v>37</v>
      </c>
      <c r="BE232" s="4">
        <f t="shared" si="74"/>
        <v>5.9523809523809526</v>
      </c>
      <c r="BF232" s="4">
        <f t="shared" si="75"/>
        <v>4.7619047619047619</v>
      </c>
      <c r="BG232" s="7">
        <f t="shared" si="76"/>
        <v>4.7619047619047619</v>
      </c>
      <c r="BH232" s="5">
        <v>87</v>
      </c>
      <c r="BI232" s="3">
        <v>54.189655172413779</v>
      </c>
      <c r="BJ232" s="3">
        <v>31.818390804597698</v>
      </c>
      <c r="BK232" s="3">
        <v>39.555172413793102</v>
      </c>
      <c r="BL232" s="3">
        <v>41.854406130268188</v>
      </c>
      <c r="BM232" s="3">
        <v>125.56321839080458</v>
      </c>
      <c r="BN232" s="18">
        <v>16</v>
      </c>
      <c r="BO232" s="18">
        <v>135</v>
      </c>
      <c r="BP232" s="4">
        <v>17.241379310344829</v>
      </c>
      <c r="BQ232" s="4">
        <v>57.47126436781609</v>
      </c>
      <c r="BR232" s="7">
        <v>42.52873563218391</v>
      </c>
      <c r="BS232" s="18"/>
      <c r="BT232" s="23">
        <v>282</v>
      </c>
    </row>
    <row r="233" spans="1:72" x14ac:dyDescent="0.25">
      <c r="A233" s="18">
        <v>228</v>
      </c>
      <c r="B233" s="18" t="s">
        <v>29</v>
      </c>
      <c r="C233" s="18">
        <v>285</v>
      </c>
      <c r="D233" s="21" t="s">
        <v>9</v>
      </c>
      <c r="E233" s="5"/>
      <c r="F233" s="3">
        <v>49.333333333333336</v>
      </c>
      <c r="G233" s="3">
        <v>40</v>
      </c>
      <c r="H233" s="3">
        <v>37.333333333333336</v>
      </c>
      <c r="I233" s="3">
        <f t="shared" si="63"/>
        <v>42.222222222222229</v>
      </c>
      <c r="J233" s="3">
        <f t="shared" si="64"/>
        <v>126.66666666666669</v>
      </c>
      <c r="K233" s="18">
        <f t="shared" si="72"/>
        <v>15</v>
      </c>
      <c r="L233" s="18">
        <f t="shared" si="62"/>
        <v>168</v>
      </c>
      <c r="M233" s="4"/>
      <c r="N233" s="4"/>
      <c r="O233" s="7"/>
      <c r="P233" s="5">
        <v>83</v>
      </c>
      <c r="Q233" s="3">
        <v>52.008032128514039</v>
      </c>
      <c r="R233" s="3">
        <v>49.831325301204821</v>
      </c>
      <c r="S233" s="3">
        <v>50.803212851405618</v>
      </c>
      <c r="T233" s="3">
        <v>50.880856760374805</v>
      </c>
      <c r="U233" s="3">
        <v>152.64257028112448</v>
      </c>
      <c r="V233" s="18">
        <v>7</v>
      </c>
      <c r="W233" s="18">
        <v>132</v>
      </c>
      <c r="X233" s="4">
        <v>9.6385542168674707</v>
      </c>
      <c r="Y233" s="4">
        <v>22.891566265060241</v>
      </c>
      <c r="Z233" s="7">
        <v>22.891566265060241</v>
      </c>
      <c r="AA233" s="5">
        <v>83</v>
      </c>
      <c r="AB233" s="3">
        <v>36.493808049535595</v>
      </c>
      <c r="AC233" s="3">
        <v>47.210526315789473</v>
      </c>
      <c r="AD233" s="3">
        <v>45.215311004784688</v>
      </c>
      <c r="AE233" s="3">
        <v>42.973215123369926</v>
      </c>
      <c r="AF233" s="3">
        <v>128.91964537010975</v>
      </c>
      <c r="AG233" s="18">
        <v>20</v>
      </c>
      <c r="AH233" s="18">
        <v>180</v>
      </c>
      <c r="AI233" s="4">
        <v>28.94736842105263</v>
      </c>
      <c r="AJ233" s="4">
        <v>25</v>
      </c>
      <c r="AK233" s="7">
        <v>23.684210526315791</v>
      </c>
      <c r="AL233" s="5">
        <v>83</v>
      </c>
      <c r="AM233" s="3">
        <v>59.713622291021672</v>
      </c>
      <c r="AN233" s="3">
        <v>31.090225563909772</v>
      </c>
      <c r="AO233" s="3">
        <v>59.907120743034042</v>
      </c>
      <c r="AP233" s="3">
        <v>50.236989532655173</v>
      </c>
      <c r="AQ233" s="3">
        <v>150.71096859796549</v>
      </c>
      <c r="AR233" s="18">
        <v>13</v>
      </c>
      <c r="AS233" s="18">
        <v>135</v>
      </c>
      <c r="AT233" s="4">
        <v>10.526315789473685</v>
      </c>
      <c r="AU233" s="4">
        <v>47.368421052631582</v>
      </c>
      <c r="AV233" s="7">
        <v>9.2105263157894743</v>
      </c>
      <c r="AW233" s="10">
        <f t="shared" si="65"/>
        <v>83</v>
      </c>
      <c r="AX233" s="9">
        <f t="shared" si="66"/>
        <v>49.405154156357099</v>
      </c>
      <c r="AY233" s="9">
        <f t="shared" si="67"/>
        <v>42.710692393634694</v>
      </c>
      <c r="AZ233" s="9">
        <f t="shared" si="68"/>
        <v>51.975214866408123</v>
      </c>
      <c r="BA233" s="9">
        <f t="shared" si="69"/>
        <v>48.030353805466632</v>
      </c>
      <c r="BB233" s="9">
        <f t="shared" si="70"/>
        <v>144.09106141639992</v>
      </c>
      <c r="BC233" s="10">
        <f t="shared" si="73"/>
        <v>15</v>
      </c>
      <c r="BD233" s="10">
        <f t="shared" si="71"/>
        <v>148</v>
      </c>
      <c r="BE233" s="4">
        <f t="shared" si="74"/>
        <v>19.736842105263158</v>
      </c>
      <c r="BF233" s="4">
        <f t="shared" si="75"/>
        <v>36.184210526315795</v>
      </c>
      <c r="BG233" s="7">
        <f t="shared" si="76"/>
        <v>16.447368421052634</v>
      </c>
      <c r="BH233" s="5">
        <v>83</v>
      </c>
      <c r="BI233" s="3">
        <v>57.786746987951787</v>
      </c>
      <c r="BJ233" s="3">
        <v>38.145783132530127</v>
      </c>
      <c r="BK233" s="3">
        <v>40.18915662650604</v>
      </c>
      <c r="BL233" s="3">
        <v>45.373895582329297</v>
      </c>
      <c r="BM233" s="3">
        <v>136.1216867469879</v>
      </c>
      <c r="BN233" s="18">
        <v>8</v>
      </c>
      <c r="BO233" s="18">
        <v>92</v>
      </c>
      <c r="BP233" s="4">
        <v>10.843373493975903</v>
      </c>
      <c r="BQ233" s="4">
        <v>40.963855421686745</v>
      </c>
      <c r="BR233" s="7">
        <v>42.168674698795179</v>
      </c>
      <c r="BS233" s="18"/>
      <c r="BT233" s="23">
        <v>285</v>
      </c>
    </row>
    <row r="234" spans="1:72" x14ac:dyDescent="0.25">
      <c r="A234" s="18">
        <v>229</v>
      </c>
      <c r="B234" s="18" t="s">
        <v>29</v>
      </c>
      <c r="C234" s="18">
        <v>290</v>
      </c>
      <c r="D234" s="21" t="s">
        <v>9</v>
      </c>
      <c r="E234" s="5"/>
      <c r="F234" s="3">
        <v>49.333333333333336</v>
      </c>
      <c r="G234" s="3">
        <v>37.6</v>
      </c>
      <c r="H234" s="3">
        <v>31.333333333333332</v>
      </c>
      <c r="I234" s="3">
        <f t="shared" si="63"/>
        <v>39.422222222222224</v>
      </c>
      <c r="J234" s="3">
        <f t="shared" si="64"/>
        <v>118.26666666666667</v>
      </c>
      <c r="K234" s="18">
        <f t="shared" si="72"/>
        <v>20</v>
      </c>
      <c r="L234" s="18">
        <f t="shared" si="62"/>
        <v>199</v>
      </c>
      <c r="M234" s="4"/>
      <c r="N234" s="4"/>
      <c r="O234" s="7"/>
      <c r="P234" s="5">
        <v>70</v>
      </c>
      <c r="Q234" s="3">
        <v>53.238095238095227</v>
      </c>
      <c r="R234" s="3">
        <v>42.914285714285711</v>
      </c>
      <c r="S234" s="3">
        <v>41.904761904761905</v>
      </c>
      <c r="T234" s="3">
        <v>46.019047619047633</v>
      </c>
      <c r="U234" s="3">
        <v>138.05714285714285</v>
      </c>
      <c r="V234" s="18">
        <v>18</v>
      </c>
      <c r="W234" s="18">
        <v>196</v>
      </c>
      <c r="X234" s="4">
        <v>5.7142857142857144</v>
      </c>
      <c r="Y234" s="4">
        <v>31.428571428571427</v>
      </c>
      <c r="Z234" s="7">
        <v>28.571428571428573</v>
      </c>
      <c r="AA234" s="5">
        <v>69</v>
      </c>
      <c r="AB234" s="3">
        <v>43.691389599318008</v>
      </c>
      <c r="AC234" s="3">
        <v>43.246376811594203</v>
      </c>
      <c r="AD234" s="3">
        <v>48.836187966622759</v>
      </c>
      <c r="AE234" s="3">
        <v>45.25798479251165</v>
      </c>
      <c r="AF234" s="3">
        <v>135.77395437753498</v>
      </c>
      <c r="AG234" s="18">
        <v>15</v>
      </c>
      <c r="AH234" s="18">
        <v>152</v>
      </c>
      <c r="AI234" s="4">
        <v>23.188405797101449</v>
      </c>
      <c r="AJ234" s="4">
        <v>30.434782608695652</v>
      </c>
      <c r="AK234" s="7">
        <v>26.086956521739129</v>
      </c>
      <c r="AL234" s="5">
        <v>72</v>
      </c>
      <c r="AM234" s="3">
        <v>54.971002485501252</v>
      </c>
      <c r="AN234" s="3">
        <v>34.969818913480871</v>
      </c>
      <c r="AO234" s="3">
        <v>57.5393537696769</v>
      </c>
      <c r="AP234" s="3">
        <v>49.160058389552987</v>
      </c>
      <c r="AQ234" s="3">
        <v>147.48017516865903</v>
      </c>
      <c r="AR234" s="18">
        <v>19</v>
      </c>
      <c r="AS234" s="18">
        <v>154</v>
      </c>
      <c r="AT234" s="4">
        <v>18.309859154929576</v>
      </c>
      <c r="AU234" s="4">
        <v>33.802816901408448</v>
      </c>
      <c r="AV234" s="7">
        <v>21.12676056338028</v>
      </c>
      <c r="AW234" s="10">
        <f t="shared" si="65"/>
        <v>70.333333333333329</v>
      </c>
      <c r="AX234" s="9">
        <f t="shared" si="66"/>
        <v>50.633495774304834</v>
      </c>
      <c r="AY234" s="9">
        <f t="shared" si="67"/>
        <v>40.376827146453593</v>
      </c>
      <c r="AZ234" s="9">
        <f t="shared" si="68"/>
        <v>49.42676788035385</v>
      </c>
      <c r="BA234" s="9">
        <f t="shared" si="69"/>
        <v>46.812363600370759</v>
      </c>
      <c r="BB234" s="9">
        <f t="shared" si="70"/>
        <v>140.43709080111228</v>
      </c>
      <c r="BC234" s="10">
        <f t="shared" si="73"/>
        <v>18</v>
      </c>
      <c r="BD234" s="10">
        <f t="shared" si="71"/>
        <v>166</v>
      </c>
      <c r="BE234" s="4">
        <f t="shared" si="74"/>
        <v>20.749132476015511</v>
      </c>
      <c r="BF234" s="4">
        <f t="shared" si="75"/>
        <v>32.118799755052052</v>
      </c>
      <c r="BG234" s="7">
        <f t="shared" si="76"/>
        <v>23.606858542559706</v>
      </c>
      <c r="BH234" s="5">
        <v>72</v>
      </c>
      <c r="BI234" s="3">
        <v>56.695833333333347</v>
      </c>
      <c r="BJ234" s="3">
        <v>39.025000000000013</v>
      </c>
      <c r="BK234" s="3">
        <v>44.362499999999983</v>
      </c>
      <c r="BL234" s="3">
        <v>46.694444444444436</v>
      </c>
      <c r="BM234" s="3">
        <v>140.08333333333331</v>
      </c>
      <c r="BN234" s="18">
        <v>5</v>
      </c>
      <c r="BO234" s="18">
        <v>65</v>
      </c>
      <c r="BP234" s="4">
        <v>15.277777777777779</v>
      </c>
      <c r="BQ234" s="4">
        <v>43.055555555555557</v>
      </c>
      <c r="BR234" s="7">
        <v>41.666666666666664</v>
      </c>
      <c r="BS234" s="18"/>
      <c r="BT234" s="23">
        <v>290</v>
      </c>
    </row>
    <row r="235" spans="1:72" x14ac:dyDescent="0.25">
      <c r="A235" s="1">
        <v>230</v>
      </c>
      <c r="B235" s="18" t="s">
        <v>29</v>
      </c>
      <c r="C235" s="18">
        <v>315</v>
      </c>
      <c r="D235" s="21" t="s">
        <v>9</v>
      </c>
      <c r="E235" s="5"/>
      <c r="F235" s="3">
        <v>43</v>
      </c>
      <c r="G235" s="3">
        <v>26</v>
      </c>
      <c r="H235" s="3">
        <v>24.666666666666668</v>
      </c>
      <c r="I235" s="3">
        <f t="shared" si="63"/>
        <v>31.222222222222225</v>
      </c>
      <c r="J235" s="3">
        <f t="shared" si="64"/>
        <v>93.666666666666671</v>
      </c>
      <c r="K235" s="18">
        <f t="shared" si="72"/>
        <v>33</v>
      </c>
      <c r="L235" s="18">
        <f t="shared" si="62"/>
        <v>275</v>
      </c>
      <c r="M235" s="4"/>
      <c r="N235" s="4"/>
      <c r="O235" s="7"/>
      <c r="P235" s="5">
        <v>61</v>
      </c>
      <c r="Q235" s="3">
        <v>42.185792349726789</v>
      </c>
      <c r="R235" s="3">
        <v>30.032786885245901</v>
      </c>
      <c r="S235" s="3">
        <v>41.202185792349724</v>
      </c>
      <c r="T235" s="3">
        <v>37.806921675774127</v>
      </c>
      <c r="U235" s="3">
        <v>113.42076502732242</v>
      </c>
      <c r="V235" s="18">
        <v>33</v>
      </c>
      <c r="W235" s="18">
        <v>282</v>
      </c>
      <c r="X235" s="4">
        <v>26.229508196721312</v>
      </c>
      <c r="Y235" s="4">
        <v>52.459016393442624</v>
      </c>
      <c r="Z235" s="7">
        <v>40.983606557377051</v>
      </c>
      <c r="AA235" s="5">
        <v>66</v>
      </c>
      <c r="AB235" s="3">
        <v>37.285067873303156</v>
      </c>
      <c r="AC235" s="3">
        <v>34.276923076923076</v>
      </c>
      <c r="AD235" s="3">
        <v>40.885780885780868</v>
      </c>
      <c r="AE235" s="3">
        <v>37.482590612002383</v>
      </c>
      <c r="AF235" s="3">
        <v>112.44777183600709</v>
      </c>
      <c r="AG235" s="18">
        <v>30</v>
      </c>
      <c r="AH235" s="18">
        <v>243</v>
      </c>
      <c r="AI235" s="4">
        <v>36.92307692307692</v>
      </c>
      <c r="AJ235" s="4">
        <v>47.692307692307693</v>
      </c>
      <c r="AK235" s="7">
        <v>43.07692307692308</v>
      </c>
      <c r="AL235" s="5">
        <v>67</v>
      </c>
      <c r="AM235" s="3">
        <v>48.778280542986401</v>
      </c>
      <c r="AN235" s="3">
        <v>17.802197802197803</v>
      </c>
      <c r="AO235" s="3">
        <v>40.542986425339372</v>
      </c>
      <c r="AP235" s="3">
        <v>35.707821590174518</v>
      </c>
      <c r="AQ235" s="3">
        <v>107.12346477052358</v>
      </c>
      <c r="AR235" s="18">
        <v>35</v>
      </c>
      <c r="AS235" s="18">
        <v>288</v>
      </c>
      <c r="AT235" s="4">
        <v>18.46153846153846</v>
      </c>
      <c r="AU235" s="4">
        <v>87.692307692307693</v>
      </c>
      <c r="AV235" s="7">
        <v>38.46153846153846</v>
      </c>
      <c r="AW235" s="10">
        <f t="shared" si="65"/>
        <v>64.666666666666671</v>
      </c>
      <c r="AX235" s="9">
        <f t="shared" si="66"/>
        <v>42.749713588672115</v>
      </c>
      <c r="AY235" s="9">
        <f t="shared" si="67"/>
        <v>27.370635921455591</v>
      </c>
      <c r="AZ235" s="9">
        <f t="shared" si="68"/>
        <v>40.876984367823319</v>
      </c>
      <c r="BA235" s="9">
        <f t="shared" si="69"/>
        <v>36.999111292650348</v>
      </c>
      <c r="BB235" s="9">
        <f t="shared" si="70"/>
        <v>110.99733387795102</v>
      </c>
      <c r="BC235" s="10">
        <f t="shared" si="73"/>
        <v>34</v>
      </c>
      <c r="BD235" s="10">
        <f t="shared" si="71"/>
        <v>288</v>
      </c>
      <c r="BE235" s="4">
        <f t="shared" si="74"/>
        <v>27.69230769230769</v>
      </c>
      <c r="BF235" s="4">
        <f t="shared" si="75"/>
        <v>67.692307692307693</v>
      </c>
      <c r="BG235" s="7">
        <f t="shared" si="76"/>
        <v>40.769230769230774</v>
      </c>
      <c r="BH235" s="5">
        <v>67</v>
      </c>
      <c r="BI235" s="3">
        <v>52.365671641791067</v>
      </c>
      <c r="BJ235" s="3">
        <v>31.400000000000002</v>
      </c>
      <c r="BK235" s="3">
        <v>38.720895522388048</v>
      </c>
      <c r="BL235" s="3">
        <v>40.82885572139304</v>
      </c>
      <c r="BM235" s="3">
        <v>122.48656716417911</v>
      </c>
      <c r="BN235" s="18">
        <v>18</v>
      </c>
      <c r="BO235" s="18">
        <v>151</v>
      </c>
      <c r="BP235" s="4">
        <v>19.402985074626866</v>
      </c>
      <c r="BQ235" s="4">
        <v>56.71641791044776</v>
      </c>
      <c r="BR235" s="7">
        <v>46.268656716417908</v>
      </c>
      <c r="BS235" s="18"/>
      <c r="BT235" s="23">
        <v>315</v>
      </c>
    </row>
    <row r="236" spans="1:72" x14ac:dyDescent="0.25">
      <c r="A236" s="18">
        <v>231</v>
      </c>
      <c r="B236" s="18" t="s">
        <v>29</v>
      </c>
      <c r="C236" s="18">
        <v>316</v>
      </c>
      <c r="D236" s="21" t="s">
        <v>9</v>
      </c>
      <c r="E236" s="5"/>
      <c r="F236" s="3">
        <v>43.333333333333336</v>
      </c>
      <c r="G236" s="3">
        <v>32.4</v>
      </c>
      <c r="H236" s="3">
        <v>23.333333333333332</v>
      </c>
      <c r="I236" s="3">
        <f t="shared" si="63"/>
        <v>33.022222222222219</v>
      </c>
      <c r="J236" s="3">
        <f t="shared" si="64"/>
        <v>99.066666666666663</v>
      </c>
      <c r="K236" s="18">
        <f t="shared" si="72"/>
        <v>31</v>
      </c>
      <c r="L236" s="18">
        <f t="shared" si="62"/>
        <v>263</v>
      </c>
      <c r="M236" s="4"/>
      <c r="N236" s="4"/>
      <c r="O236" s="7"/>
      <c r="P236" s="5">
        <v>185</v>
      </c>
      <c r="Q236" s="3">
        <v>45.333333333333343</v>
      </c>
      <c r="R236" s="3">
        <v>47.221621621621622</v>
      </c>
      <c r="S236" s="3">
        <v>42</v>
      </c>
      <c r="T236" s="3">
        <v>44.851651651651679</v>
      </c>
      <c r="U236" s="3">
        <v>134.55495495495495</v>
      </c>
      <c r="V236" s="18">
        <v>21</v>
      </c>
      <c r="W236" s="18">
        <v>211</v>
      </c>
      <c r="X236" s="4">
        <v>25.405405405405407</v>
      </c>
      <c r="Y236" s="4">
        <v>18.918918918918919</v>
      </c>
      <c r="Z236" s="7">
        <v>37.297297297297298</v>
      </c>
      <c r="AA236" s="5">
        <v>196</v>
      </c>
      <c r="AB236" s="3">
        <v>28.067226890756285</v>
      </c>
      <c r="AC236" s="3">
        <v>34.948571428571427</v>
      </c>
      <c r="AD236" s="3">
        <v>36.17316017316012</v>
      </c>
      <c r="AE236" s="3">
        <v>33.062986164162673</v>
      </c>
      <c r="AF236" s="3">
        <v>99.188958492487842</v>
      </c>
      <c r="AG236" s="18">
        <v>34</v>
      </c>
      <c r="AH236" s="18">
        <v>283</v>
      </c>
      <c r="AI236" s="4">
        <v>60.571428571428569</v>
      </c>
      <c r="AJ236" s="4">
        <v>48.571428571428569</v>
      </c>
      <c r="AK236" s="7">
        <v>46.285714285714285</v>
      </c>
      <c r="AL236" s="5">
        <v>196</v>
      </c>
      <c r="AM236" s="3">
        <v>54.729962160302712</v>
      </c>
      <c r="AN236" s="3">
        <v>41.279069767441868</v>
      </c>
      <c r="AO236" s="3">
        <v>45.690834473324223</v>
      </c>
      <c r="AP236" s="3">
        <v>47.211663735261531</v>
      </c>
      <c r="AQ236" s="3">
        <v>141.69986640106882</v>
      </c>
      <c r="AR236" s="18">
        <v>22</v>
      </c>
      <c r="AS236" s="18">
        <v>177</v>
      </c>
      <c r="AT236" s="4">
        <v>14.117647058823529</v>
      </c>
      <c r="AU236" s="4">
        <v>29.651162790697676</v>
      </c>
      <c r="AV236" s="7">
        <v>30.232558139534884</v>
      </c>
      <c r="AW236" s="10">
        <f t="shared" si="65"/>
        <v>192.33333333333334</v>
      </c>
      <c r="AX236" s="9">
        <f t="shared" si="66"/>
        <v>42.710174128130781</v>
      </c>
      <c r="AY236" s="9">
        <f t="shared" si="67"/>
        <v>41.149754272544975</v>
      </c>
      <c r="AZ236" s="9">
        <f t="shared" si="68"/>
        <v>41.287998215494781</v>
      </c>
      <c r="BA236" s="9">
        <f t="shared" si="69"/>
        <v>41.708767183691968</v>
      </c>
      <c r="BB236" s="9">
        <f t="shared" si="70"/>
        <v>125.14792661617054</v>
      </c>
      <c r="BC236" s="10">
        <f t="shared" si="73"/>
        <v>28</v>
      </c>
      <c r="BD236" s="10">
        <f t="shared" si="71"/>
        <v>237</v>
      </c>
      <c r="BE236" s="4">
        <f t="shared" si="74"/>
        <v>37.344537815126046</v>
      </c>
      <c r="BF236" s="4">
        <f t="shared" si="75"/>
        <v>39.111295681063126</v>
      </c>
      <c r="BG236" s="7">
        <f t="shared" si="76"/>
        <v>38.259136212624583</v>
      </c>
      <c r="BH236" s="5">
        <v>193</v>
      </c>
      <c r="BI236" s="3">
        <v>47.871875000000017</v>
      </c>
      <c r="BJ236" s="3">
        <v>31.251562500000006</v>
      </c>
      <c r="BK236" s="3">
        <v>34.143229166666671</v>
      </c>
      <c r="BL236" s="3">
        <v>37.755555555555546</v>
      </c>
      <c r="BM236" s="3">
        <v>113.26666666666665</v>
      </c>
      <c r="BN236" s="18">
        <v>26</v>
      </c>
      <c r="BO236" s="18">
        <v>214</v>
      </c>
      <c r="BP236" s="4">
        <v>26.5625</v>
      </c>
      <c r="BQ236" s="4">
        <v>52.083333333333336</v>
      </c>
      <c r="BR236" s="7">
        <v>54.6875</v>
      </c>
      <c r="BS236" s="18"/>
      <c r="BT236" s="23">
        <v>316</v>
      </c>
    </row>
    <row r="237" spans="1:72" x14ac:dyDescent="0.25">
      <c r="A237" s="18">
        <v>232</v>
      </c>
      <c r="B237" s="18" t="s">
        <v>29</v>
      </c>
      <c r="C237" s="18">
        <v>317</v>
      </c>
      <c r="D237" s="21" t="s">
        <v>9</v>
      </c>
      <c r="E237" s="5"/>
      <c r="F237" s="3">
        <v>47.666666666666664</v>
      </c>
      <c r="G237" s="3">
        <v>36.799999999999997</v>
      </c>
      <c r="H237" s="3">
        <v>30.666666666666664</v>
      </c>
      <c r="I237" s="3">
        <f t="shared" si="63"/>
        <v>38.377777777777773</v>
      </c>
      <c r="J237" s="3">
        <f t="shared" si="64"/>
        <v>115.13333333333333</v>
      </c>
      <c r="K237" s="18">
        <f t="shared" si="72"/>
        <v>23</v>
      </c>
      <c r="L237" s="18">
        <f t="shared" si="62"/>
        <v>215</v>
      </c>
      <c r="M237" s="4"/>
      <c r="N237" s="4"/>
      <c r="O237" s="7"/>
      <c r="P237" s="5">
        <v>84</v>
      </c>
      <c r="Q237" s="3">
        <v>52.38095238095238</v>
      </c>
      <c r="R237" s="3">
        <v>44.38095238095238</v>
      </c>
      <c r="S237" s="3">
        <v>46.626984126984134</v>
      </c>
      <c r="T237" s="3">
        <v>47.796296296296312</v>
      </c>
      <c r="U237" s="3">
        <v>143.38888888888889</v>
      </c>
      <c r="V237" s="18">
        <v>12</v>
      </c>
      <c r="W237" s="18">
        <v>174</v>
      </c>
      <c r="X237" s="4">
        <v>11.904761904761905</v>
      </c>
      <c r="Y237" s="4">
        <v>34.523809523809526</v>
      </c>
      <c r="Z237" s="7">
        <v>28.571428571428573</v>
      </c>
      <c r="AA237" s="5">
        <v>86</v>
      </c>
      <c r="AB237" s="3">
        <v>40.74605451936872</v>
      </c>
      <c r="AC237" s="3">
        <v>36.987654320987652</v>
      </c>
      <c r="AD237" s="3">
        <v>43.717664449371767</v>
      </c>
      <c r="AE237" s="3">
        <v>40.472921467182601</v>
      </c>
      <c r="AF237" s="3">
        <v>121.45137328972814</v>
      </c>
      <c r="AG237" s="18">
        <v>25</v>
      </c>
      <c r="AH237" s="18">
        <v>206</v>
      </c>
      <c r="AI237" s="4">
        <v>35.365853658536587</v>
      </c>
      <c r="AJ237" s="4">
        <v>49.382716049382715</v>
      </c>
      <c r="AK237" s="7">
        <v>29.26829268292683</v>
      </c>
      <c r="AL237" s="5">
        <v>86</v>
      </c>
      <c r="AM237" s="3">
        <v>61.953242835595795</v>
      </c>
      <c r="AN237" s="3">
        <v>34.798534798534803</v>
      </c>
      <c r="AO237" s="3">
        <v>52.941176470588267</v>
      </c>
      <c r="AP237" s="3">
        <v>49.897651368239607</v>
      </c>
      <c r="AQ237" s="3">
        <v>149.69295410471886</v>
      </c>
      <c r="AR237" s="18">
        <v>15</v>
      </c>
      <c r="AS237" s="18">
        <v>143</v>
      </c>
      <c r="AT237" s="4">
        <v>7.6923076923076925</v>
      </c>
      <c r="AU237" s="4">
        <v>53.246753246753244</v>
      </c>
      <c r="AV237" s="7">
        <v>16.666666666666668</v>
      </c>
      <c r="AW237" s="10">
        <f t="shared" si="65"/>
        <v>85.333333333333329</v>
      </c>
      <c r="AX237" s="9">
        <f t="shared" si="66"/>
        <v>51.693416578638967</v>
      </c>
      <c r="AY237" s="9">
        <f t="shared" si="67"/>
        <v>38.722380500158273</v>
      </c>
      <c r="AZ237" s="9">
        <f t="shared" si="68"/>
        <v>47.76194168231472</v>
      </c>
      <c r="BA237" s="9">
        <f t="shared" si="69"/>
        <v>46.055623043906166</v>
      </c>
      <c r="BB237" s="9">
        <f t="shared" si="70"/>
        <v>138.17773876111195</v>
      </c>
      <c r="BC237" s="10">
        <f t="shared" si="73"/>
        <v>19</v>
      </c>
      <c r="BD237" s="10">
        <f t="shared" si="71"/>
        <v>174</v>
      </c>
      <c r="BE237" s="4">
        <f t="shared" si="74"/>
        <v>21.52908067542214</v>
      </c>
      <c r="BF237" s="4">
        <f t="shared" si="75"/>
        <v>51.314734648067983</v>
      </c>
      <c r="BG237" s="7">
        <f t="shared" si="76"/>
        <v>22.967479674796749</v>
      </c>
      <c r="BH237" s="5">
        <v>85</v>
      </c>
      <c r="BI237" s="3">
        <v>59.931764705882358</v>
      </c>
      <c r="BJ237" s="3">
        <v>40.494117647058815</v>
      </c>
      <c r="BK237" s="3">
        <v>44.292941176470592</v>
      </c>
      <c r="BL237" s="3">
        <v>48.239607843137243</v>
      </c>
      <c r="BM237" s="3">
        <v>144.71882352941176</v>
      </c>
      <c r="BN237" s="18">
        <v>2</v>
      </c>
      <c r="BO237" s="18">
        <v>50</v>
      </c>
      <c r="BP237" s="4">
        <v>7.0588235294117645</v>
      </c>
      <c r="BQ237" s="4">
        <v>40</v>
      </c>
      <c r="BR237" s="7">
        <v>30.588235294117649</v>
      </c>
      <c r="BS237" s="18"/>
      <c r="BT237" s="23">
        <v>317</v>
      </c>
    </row>
    <row r="238" spans="1:72" x14ac:dyDescent="0.25">
      <c r="A238" s="18">
        <v>233</v>
      </c>
      <c r="B238" s="18" t="s">
        <v>29</v>
      </c>
      <c r="C238" s="18">
        <v>318</v>
      </c>
      <c r="D238" s="21" t="s">
        <v>9</v>
      </c>
      <c r="E238" s="5"/>
      <c r="F238" s="3">
        <v>56</v>
      </c>
      <c r="G238" s="3">
        <v>47.2</v>
      </c>
      <c r="H238" s="3">
        <v>36.666666666666664</v>
      </c>
      <c r="I238" s="3">
        <f t="shared" si="63"/>
        <v>46.622222222222227</v>
      </c>
      <c r="J238" s="3">
        <f t="shared" si="64"/>
        <v>139.86666666666667</v>
      </c>
      <c r="K238" s="18">
        <f t="shared" si="72"/>
        <v>11</v>
      </c>
      <c r="L238" s="18">
        <f t="shared" si="62"/>
        <v>123</v>
      </c>
      <c r="M238" s="4"/>
      <c r="N238" s="4"/>
      <c r="O238" s="7"/>
      <c r="P238" s="5">
        <v>118</v>
      </c>
      <c r="Q238" s="3">
        <v>63.757062146892636</v>
      </c>
      <c r="R238" s="3">
        <v>62.847457627118644</v>
      </c>
      <c r="S238" s="3">
        <v>62.909604519774021</v>
      </c>
      <c r="T238" s="3">
        <v>63.1713747645951</v>
      </c>
      <c r="U238" s="3">
        <v>189.5141242937853</v>
      </c>
      <c r="V238" s="18">
        <v>1</v>
      </c>
      <c r="W238" s="18">
        <v>34</v>
      </c>
      <c r="X238" s="4">
        <v>8.4745762711864412</v>
      </c>
      <c r="Y238" s="4">
        <v>13.043478260869565</v>
      </c>
      <c r="Z238" s="7">
        <v>8.4745762711864412</v>
      </c>
      <c r="AA238" s="5">
        <v>124</v>
      </c>
      <c r="AB238" s="3">
        <v>37.981744421906676</v>
      </c>
      <c r="AC238" s="3">
        <v>34.813559322033896</v>
      </c>
      <c r="AD238" s="3">
        <v>40.282131661441994</v>
      </c>
      <c r="AE238" s="3">
        <v>37.557484113316612</v>
      </c>
      <c r="AF238" s="3">
        <v>113.07743540538256</v>
      </c>
      <c r="AG238" s="18">
        <v>29</v>
      </c>
      <c r="AH238" s="18">
        <v>239</v>
      </c>
      <c r="AI238" s="4">
        <v>31.896551724137932</v>
      </c>
      <c r="AJ238" s="4">
        <v>43.220338983050844</v>
      </c>
      <c r="AK238" s="7">
        <v>34.482758620689658</v>
      </c>
      <c r="AL238" s="5">
        <v>127</v>
      </c>
      <c r="AM238" s="3">
        <v>66.342504743833018</v>
      </c>
      <c r="AN238" s="3">
        <v>30.714285714285712</v>
      </c>
      <c r="AO238" s="3">
        <v>56.617647058823493</v>
      </c>
      <c r="AP238" s="3">
        <v>51.224812505647428</v>
      </c>
      <c r="AQ238" s="3">
        <v>153.67443751694222</v>
      </c>
      <c r="AR238" s="18">
        <v>11</v>
      </c>
      <c r="AS238" s="18">
        <v>126</v>
      </c>
      <c r="AT238" s="4">
        <v>6.4516129032258061</v>
      </c>
      <c r="AU238" s="4">
        <v>51.639344262295083</v>
      </c>
      <c r="AV238" s="7">
        <v>17.741935483870968</v>
      </c>
      <c r="AW238" s="10">
        <f t="shared" si="65"/>
        <v>123</v>
      </c>
      <c r="AX238" s="9">
        <f t="shared" si="66"/>
        <v>56.027103770877439</v>
      </c>
      <c r="AY238" s="9">
        <f t="shared" si="67"/>
        <v>42.791767554479414</v>
      </c>
      <c r="AZ238" s="9">
        <f t="shared" si="68"/>
        <v>53.269794413346496</v>
      </c>
      <c r="BA238" s="9">
        <f t="shared" si="69"/>
        <v>50.651223794519716</v>
      </c>
      <c r="BB238" s="9">
        <f t="shared" si="70"/>
        <v>152.08866573870338</v>
      </c>
      <c r="BC238" s="10">
        <f t="shared" si="73"/>
        <v>8</v>
      </c>
      <c r="BD238" s="10">
        <f t="shared" si="71"/>
        <v>118</v>
      </c>
      <c r="BE238" s="4">
        <f t="shared" si="74"/>
        <v>19.174082313681868</v>
      </c>
      <c r="BF238" s="4">
        <f t="shared" si="75"/>
        <v>47.429841622672967</v>
      </c>
      <c r="BG238" s="7">
        <f t="shared" si="76"/>
        <v>26.112347052280313</v>
      </c>
      <c r="BH238" s="5">
        <v>126</v>
      </c>
      <c r="BI238" s="3">
        <v>55.141269841269839</v>
      </c>
      <c r="BJ238" s="3">
        <v>36.939682539682543</v>
      </c>
      <c r="BK238" s="3">
        <v>39.075396825396808</v>
      </c>
      <c r="BL238" s="3">
        <v>43.718783068783068</v>
      </c>
      <c r="BM238" s="3">
        <v>131.15634920634923</v>
      </c>
      <c r="BN238" s="18">
        <v>11</v>
      </c>
      <c r="BO238" s="18">
        <v>104</v>
      </c>
      <c r="BP238" s="4">
        <v>19.047619047619047</v>
      </c>
      <c r="BQ238" s="4">
        <v>45.238095238095241</v>
      </c>
      <c r="BR238" s="7">
        <v>45.238095238095241</v>
      </c>
      <c r="BS238" s="18"/>
      <c r="BT238" s="23">
        <v>318</v>
      </c>
    </row>
    <row r="239" spans="1:72" x14ac:dyDescent="0.25">
      <c r="A239" s="18">
        <v>234</v>
      </c>
      <c r="B239" s="18" t="s">
        <v>29</v>
      </c>
      <c r="C239" s="18">
        <v>327</v>
      </c>
      <c r="D239" s="21" t="s">
        <v>9</v>
      </c>
      <c r="E239" s="5"/>
      <c r="F239" s="3">
        <v>43.333333333333336</v>
      </c>
      <c r="G239" s="3">
        <v>45.6</v>
      </c>
      <c r="H239" s="3">
        <v>36</v>
      </c>
      <c r="I239" s="3">
        <f t="shared" si="63"/>
        <v>41.644444444444446</v>
      </c>
      <c r="J239" s="3">
        <f t="shared" si="64"/>
        <v>124.93333333333334</v>
      </c>
      <c r="K239" s="18">
        <f t="shared" si="72"/>
        <v>17</v>
      </c>
      <c r="L239" s="18">
        <f t="shared" si="62"/>
        <v>173</v>
      </c>
      <c r="M239" s="4"/>
      <c r="N239" s="4"/>
      <c r="O239" s="7"/>
      <c r="P239" s="5">
        <v>54</v>
      </c>
      <c r="Q239" s="3">
        <v>45.370370370370374</v>
      </c>
      <c r="R239" s="3">
        <v>37.703703703703702</v>
      </c>
      <c r="S239" s="3">
        <v>42.407407407407405</v>
      </c>
      <c r="T239" s="3">
        <v>41.827160493827158</v>
      </c>
      <c r="U239" s="3">
        <v>125.48148148148148</v>
      </c>
      <c r="V239" s="18">
        <v>30</v>
      </c>
      <c r="W239" s="18">
        <v>256</v>
      </c>
      <c r="X239" s="4">
        <v>25.925925925925927</v>
      </c>
      <c r="Y239" s="4">
        <v>51.851851851851855</v>
      </c>
      <c r="Z239" s="7">
        <v>46.296296296296298</v>
      </c>
      <c r="AA239" s="5">
        <v>58</v>
      </c>
      <c r="AB239" s="3">
        <v>33.722109533468569</v>
      </c>
      <c r="AC239" s="3">
        <v>36</v>
      </c>
      <c r="AD239" s="3">
        <v>39.811912225705321</v>
      </c>
      <c r="AE239" s="3">
        <v>36.511340586391292</v>
      </c>
      <c r="AF239" s="3">
        <v>109.5340217591739</v>
      </c>
      <c r="AG239" s="18">
        <v>31</v>
      </c>
      <c r="AH239" s="18">
        <v>252</v>
      </c>
      <c r="AI239" s="4">
        <v>50</v>
      </c>
      <c r="AJ239" s="4">
        <v>48.275862068965516</v>
      </c>
      <c r="AK239" s="7">
        <v>48.275862068965516</v>
      </c>
      <c r="AL239" s="5">
        <v>63</v>
      </c>
      <c r="AM239" s="3">
        <v>54.094579008073801</v>
      </c>
      <c r="AN239" s="3">
        <v>20.7843137254902</v>
      </c>
      <c r="AO239" s="3">
        <v>39.042675893887001</v>
      </c>
      <c r="AP239" s="3">
        <v>37.973856209150298</v>
      </c>
      <c r="AQ239" s="3">
        <v>113.92156862745099</v>
      </c>
      <c r="AR239" s="18">
        <v>32</v>
      </c>
      <c r="AS239" s="18">
        <v>275</v>
      </c>
      <c r="AT239" s="4">
        <v>15.686274509803921</v>
      </c>
      <c r="AU239" s="4">
        <v>74.509803921568633</v>
      </c>
      <c r="AV239" s="7">
        <v>56.862745098039213</v>
      </c>
      <c r="AW239" s="10">
        <f t="shared" si="65"/>
        <v>58.333333333333336</v>
      </c>
      <c r="AX239" s="9">
        <f t="shared" si="66"/>
        <v>44.395686303970912</v>
      </c>
      <c r="AY239" s="9">
        <f t="shared" si="67"/>
        <v>31.496005809731297</v>
      </c>
      <c r="AZ239" s="9">
        <f t="shared" si="68"/>
        <v>40.420665175666578</v>
      </c>
      <c r="BA239" s="9">
        <f t="shared" si="69"/>
        <v>38.770785763122916</v>
      </c>
      <c r="BB239" s="9">
        <f t="shared" si="70"/>
        <v>116.31235728936879</v>
      </c>
      <c r="BC239" s="10">
        <f t="shared" si="73"/>
        <v>33</v>
      </c>
      <c r="BD239" s="10">
        <f t="shared" si="71"/>
        <v>276</v>
      </c>
      <c r="BE239" s="4">
        <f t="shared" si="74"/>
        <v>32.843137254901961</v>
      </c>
      <c r="BF239" s="4">
        <f t="shared" si="75"/>
        <v>61.392832995267071</v>
      </c>
      <c r="BG239" s="7">
        <f t="shared" si="76"/>
        <v>52.569303583502361</v>
      </c>
      <c r="BH239" s="5">
        <v>59</v>
      </c>
      <c r="BI239" s="3">
        <v>51.315254237288116</v>
      </c>
      <c r="BJ239" s="3">
        <v>35.391525423728815</v>
      </c>
      <c r="BK239" s="3">
        <v>35.194915254237273</v>
      </c>
      <c r="BL239" s="3">
        <v>40.633898305084756</v>
      </c>
      <c r="BM239" s="3">
        <v>121.90169491525425</v>
      </c>
      <c r="BN239" s="18">
        <v>21</v>
      </c>
      <c r="BO239" s="18">
        <v>155</v>
      </c>
      <c r="BP239" s="4">
        <v>16.949152542372882</v>
      </c>
      <c r="BQ239" s="4">
        <v>49.152542372881356</v>
      </c>
      <c r="BR239" s="7">
        <v>55.932203389830505</v>
      </c>
      <c r="BS239" s="18"/>
      <c r="BT239" s="23">
        <v>327</v>
      </c>
    </row>
    <row r="240" spans="1:72" x14ac:dyDescent="0.25">
      <c r="A240" s="1">
        <v>235</v>
      </c>
      <c r="B240" s="18" t="s">
        <v>30</v>
      </c>
      <c r="C240" s="18">
        <v>17</v>
      </c>
      <c r="D240" s="21" t="s">
        <v>9</v>
      </c>
      <c r="E240" s="5"/>
      <c r="F240" s="3">
        <v>56.333333333333329</v>
      </c>
      <c r="G240" s="3">
        <v>64</v>
      </c>
      <c r="H240" s="3">
        <v>59</v>
      </c>
      <c r="I240" s="3">
        <f t="shared" si="63"/>
        <v>59.777777777777771</v>
      </c>
      <c r="J240" s="3">
        <f t="shared" si="64"/>
        <v>179.33333333333331</v>
      </c>
      <c r="K240" s="18">
        <f t="shared" ref="K240:K276" si="77">IF(J240="","",(RANK(J240,$J$240:$J$276)))</f>
        <v>4</v>
      </c>
      <c r="L240" s="18">
        <f t="shared" si="62"/>
        <v>22</v>
      </c>
      <c r="M240" s="4"/>
      <c r="N240" s="4"/>
      <c r="O240" s="7"/>
      <c r="P240" s="5">
        <v>162</v>
      </c>
      <c r="Q240" s="3">
        <v>59.362139917695437</v>
      </c>
      <c r="R240" s="3">
        <v>49.925925925925924</v>
      </c>
      <c r="S240" s="3">
        <v>68.024691358024668</v>
      </c>
      <c r="T240" s="3">
        <v>59.104252400548717</v>
      </c>
      <c r="U240" s="3">
        <v>177.31275720164604</v>
      </c>
      <c r="V240" s="18">
        <v>14</v>
      </c>
      <c r="W240" s="18">
        <v>62</v>
      </c>
      <c r="X240" s="4">
        <v>9.2592592592592595</v>
      </c>
      <c r="Y240" s="4">
        <v>19.753086419753085</v>
      </c>
      <c r="Z240" s="7">
        <v>12.962962962962964</v>
      </c>
      <c r="AA240" s="5">
        <v>172</v>
      </c>
      <c r="AB240" s="3">
        <v>55.14705882352947</v>
      </c>
      <c r="AC240" s="3">
        <v>42.926829268292686</v>
      </c>
      <c r="AD240" s="3">
        <v>60.273466371027375</v>
      </c>
      <c r="AE240" s="3">
        <v>52.782451487616491</v>
      </c>
      <c r="AF240" s="3">
        <v>158.34735446284952</v>
      </c>
      <c r="AG240" s="18">
        <v>16</v>
      </c>
      <c r="AH240" s="18">
        <v>69</v>
      </c>
      <c r="AI240" s="4">
        <v>11.585365853658537</v>
      </c>
      <c r="AJ240" s="4">
        <v>23.780487804878049</v>
      </c>
      <c r="AK240" s="7">
        <v>14.723926380368098</v>
      </c>
      <c r="AL240" s="5">
        <v>172</v>
      </c>
      <c r="AM240" s="3">
        <v>58.659115820241148</v>
      </c>
      <c r="AN240" s="3">
        <v>45.127436281859076</v>
      </c>
      <c r="AO240" s="3">
        <v>65.330321852060962</v>
      </c>
      <c r="AP240" s="3">
        <v>56.372291318053726</v>
      </c>
      <c r="AQ240" s="3">
        <v>169.11687395416118</v>
      </c>
      <c r="AR240" s="18">
        <v>17</v>
      </c>
      <c r="AS240" s="18">
        <v>71</v>
      </c>
      <c r="AT240" s="4">
        <v>9.316770186335404</v>
      </c>
      <c r="AU240" s="4">
        <v>31.0126582278481</v>
      </c>
      <c r="AV240" s="7">
        <v>9.433962264150944</v>
      </c>
      <c r="AW240" s="10">
        <f t="shared" si="65"/>
        <v>168.66666666666666</v>
      </c>
      <c r="AX240" s="9">
        <f t="shared" si="66"/>
        <v>57.722771520488685</v>
      </c>
      <c r="AY240" s="9">
        <f t="shared" si="67"/>
        <v>45.993397158692567</v>
      </c>
      <c r="AZ240" s="9">
        <f t="shared" si="68"/>
        <v>64.542826527037661</v>
      </c>
      <c r="BA240" s="9">
        <f t="shared" si="69"/>
        <v>56.086331735406311</v>
      </c>
      <c r="BB240" s="9">
        <f t="shared" si="70"/>
        <v>168.25899520621891</v>
      </c>
      <c r="BC240" s="10">
        <f>IF(BB240="","",(RANK(BB240,$BB$240:$BB$276)))</f>
        <v>16</v>
      </c>
      <c r="BD240" s="10">
        <f t="shared" si="71"/>
        <v>65</v>
      </c>
      <c r="BE240" s="4">
        <f t="shared" si="74"/>
        <v>10.451068019996971</v>
      </c>
      <c r="BF240" s="4">
        <f t="shared" si="75"/>
        <v>27.396573016363075</v>
      </c>
      <c r="BG240" s="7">
        <f t="shared" si="76"/>
        <v>12.07894432225952</v>
      </c>
      <c r="BH240" s="5">
        <v>169</v>
      </c>
      <c r="BI240" s="3">
        <v>66.341071428571468</v>
      </c>
      <c r="BJ240" s="3">
        <v>36.146428571428572</v>
      </c>
      <c r="BK240" s="3">
        <v>53.398214285714324</v>
      </c>
      <c r="BL240" s="3">
        <v>51.961904761904783</v>
      </c>
      <c r="BM240" s="3">
        <v>155.88571428571433</v>
      </c>
      <c r="BN240" s="18">
        <v>6</v>
      </c>
      <c r="BO240" s="18">
        <v>22</v>
      </c>
      <c r="BP240" s="4">
        <v>6.5476190476190474</v>
      </c>
      <c r="BQ240" s="4">
        <v>46.428571428571431</v>
      </c>
      <c r="BR240" s="7">
        <v>26.19047619047619</v>
      </c>
      <c r="BS240" s="18"/>
      <c r="BT240" s="23">
        <v>17</v>
      </c>
    </row>
    <row r="241" spans="1:72" x14ac:dyDescent="0.25">
      <c r="A241" s="18">
        <v>236</v>
      </c>
      <c r="B241" s="18" t="s">
        <v>30</v>
      </c>
      <c r="C241" s="18">
        <v>24</v>
      </c>
      <c r="D241" s="21" t="s">
        <v>9</v>
      </c>
      <c r="E241" s="5"/>
      <c r="F241" s="3">
        <v>44.333333333333336</v>
      </c>
      <c r="G241" s="3">
        <v>48</v>
      </c>
      <c r="H241" s="3">
        <v>49.333333333333336</v>
      </c>
      <c r="I241" s="3">
        <f t="shared" si="63"/>
        <v>47.222222222222229</v>
      </c>
      <c r="J241" s="3">
        <f t="shared" si="64"/>
        <v>141.66666666666669</v>
      </c>
      <c r="K241" s="18">
        <f t="shared" si="77"/>
        <v>23</v>
      </c>
      <c r="L241" s="18">
        <f t="shared" si="62"/>
        <v>121</v>
      </c>
      <c r="M241" s="4"/>
      <c r="N241" s="4"/>
      <c r="O241" s="7"/>
      <c r="P241" s="5">
        <v>77</v>
      </c>
      <c r="Q241" s="3">
        <v>48.225108225108222</v>
      </c>
      <c r="R241" s="3">
        <v>42.753246753246756</v>
      </c>
      <c r="S241" s="3">
        <v>48.701298701298704</v>
      </c>
      <c r="T241" s="3">
        <v>46.559884559884551</v>
      </c>
      <c r="U241" s="3">
        <v>139.67965367965368</v>
      </c>
      <c r="V241" s="18">
        <v>28</v>
      </c>
      <c r="W241" s="18">
        <v>186</v>
      </c>
      <c r="X241" s="4">
        <v>22.077922077922079</v>
      </c>
      <c r="Y241" s="4">
        <v>27.631578947368421</v>
      </c>
      <c r="Z241" s="7">
        <v>23.376623376623378</v>
      </c>
      <c r="AA241" s="5">
        <v>80</v>
      </c>
      <c r="AB241" s="3">
        <v>48.064035740878644</v>
      </c>
      <c r="AC241" s="3">
        <v>46.683544303797468</v>
      </c>
      <c r="AD241" s="3">
        <v>46.451860375911004</v>
      </c>
      <c r="AE241" s="3">
        <v>47.066480140195701</v>
      </c>
      <c r="AF241" s="3">
        <v>141.19944042058711</v>
      </c>
      <c r="AG241" s="18">
        <v>23</v>
      </c>
      <c r="AH241" s="18">
        <v>128</v>
      </c>
      <c r="AI241" s="4">
        <v>25.316455696202532</v>
      </c>
      <c r="AJ241" s="4">
        <v>29.11392405063291</v>
      </c>
      <c r="AK241" s="7">
        <v>30.379746835443036</v>
      </c>
      <c r="AL241" s="5">
        <v>80</v>
      </c>
      <c r="AM241" s="3">
        <v>54.163483575248272</v>
      </c>
      <c r="AN241" s="3">
        <v>34.953617810760669</v>
      </c>
      <c r="AO241" s="3">
        <v>46.524064171122987</v>
      </c>
      <c r="AP241" s="3">
        <v>45.21372185237734</v>
      </c>
      <c r="AQ241" s="3">
        <v>135.64116555713193</v>
      </c>
      <c r="AR241" s="18">
        <v>28</v>
      </c>
      <c r="AS241" s="18">
        <v>209</v>
      </c>
      <c r="AT241" s="4">
        <v>11.688311688311689</v>
      </c>
      <c r="AU241" s="4">
        <v>45.454545454545453</v>
      </c>
      <c r="AV241" s="7">
        <v>24.675324675324674</v>
      </c>
      <c r="AW241" s="10">
        <f t="shared" si="65"/>
        <v>79</v>
      </c>
      <c r="AX241" s="9">
        <f t="shared" si="66"/>
        <v>50.150875847078375</v>
      </c>
      <c r="AY241" s="9">
        <f t="shared" si="67"/>
        <v>41.463469622601629</v>
      </c>
      <c r="AZ241" s="9">
        <f t="shared" si="68"/>
        <v>47.225741082777567</v>
      </c>
      <c r="BA241" s="9">
        <f t="shared" si="69"/>
        <v>46.2800288508192</v>
      </c>
      <c r="BB241" s="9">
        <f t="shared" si="70"/>
        <v>138.84008655245756</v>
      </c>
      <c r="BC241" s="10">
        <f t="shared" ref="BC241:BC276" si="78">IF(BB241="","",(RANK(BB241,$BB$240:$BB$276)))</f>
        <v>30</v>
      </c>
      <c r="BD241" s="10">
        <f t="shared" si="71"/>
        <v>171</v>
      </c>
      <c r="BE241" s="4">
        <f t="shared" si="74"/>
        <v>18.502383692257112</v>
      </c>
      <c r="BF241" s="4">
        <f t="shared" si="75"/>
        <v>37.284234752589185</v>
      </c>
      <c r="BG241" s="7">
        <f t="shared" si="76"/>
        <v>27.527535755383855</v>
      </c>
      <c r="BH241" s="5">
        <v>80</v>
      </c>
      <c r="BI241" s="3">
        <v>57.293749999999989</v>
      </c>
      <c r="BJ241" s="3">
        <v>28.96875</v>
      </c>
      <c r="BK241" s="3">
        <v>40.371250000000003</v>
      </c>
      <c r="BL241" s="3">
        <v>42.211249999999993</v>
      </c>
      <c r="BM241" s="3">
        <v>126.63374999999996</v>
      </c>
      <c r="BN241" s="18">
        <v>26</v>
      </c>
      <c r="BO241" s="18">
        <v>129</v>
      </c>
      <c r="BP241" s="4">
        <v>12.5</v>
      </c>
      <c r="BQ241" s="4">
        <v>55</v>
      </c>
      <c r="BR241" s="7">
        <v>43.75</v>
      </c>
      <c r="BS241" s="18"/>
      <c r="BT241" s="23">
        <v>24</v>
      </c>
    </row>
    <row r="242" spans="1:72" x14ac:dyDescent="0.25">
      <c r="A242" s="18">
        <v>237</v>
      </c>
      <c r="B242" s="18" t="s">
        <v>30</v>
      </c>
      <c r="C242" s="18">
        <v>25</v>
      </c>
      <c r="D242" s="21" t="s">
        <v>9</v>
      </c>
      <c r="E242" s="5"/>
      <c r="F242" s="3">
        <v>47.666666666666664</v>
      </c>
      <c r="G242" s="3">
        <v>54.4</v>
      </c>
      <c r="H242" s="3">
        <v>46.666666666666664</v>
      </c>
      <c r="I242" s="3">
        <f t="shared" si="63"/>
        <v>49.577777777777776</v>
      </c>
      <c r="J242" s="3">
        <f t="shared" si="64"/>
        <v>148.73333333333332</v>
      </c>
      <c r="K242" s="18">
        <f t="shared" si="77"/>
        <v>17</v>
      </c>
      <c r="L242" s="18">
        <f t="shared" si="62"/>
        <v>85</v>
      </c>
      <c r="M242" s="4"/>
      <c r="N242" s="4"/>
      <c r="O242" s="7"/>
      <c r="P242" s="5">
        <v>81</v>
      </c>
      <c r="Q242" s="3">
        <v>53.539094650205776</v>
      </c>
      <c r="R242" s="3">
        <v>44.938271604938272</v>
      </c>
      <c r="S242" s="3">
        <v>59.218106995884753</v>
      </c>
      <c r="T242" s="3">
        <v>52.565157750342969</v>
      </c>
      <c r="U242" s="3">
        <v>157.6954732510288</v>
      </c>
      <c r="V242" s="18">
        <v>20</v>
      </c>
      <c r="W242" s="18">
        <v>111</v>
      </c>
      <c r="X242" s="4">
        <v>17.283950617283949</v>
      </c>
      <c r="Y242" s="4">
        <v>30.864197530864196</v>
      </c>
      <c r="Z242" s="7">
        <v>13.580246913580247</v>
      </c>
      <c r="AA242" s="5">
        <v>106</v>
      </c>
      <c r="AB242" s="3">
        <v>45.451436388508903</v>
      </c>
      <c r="AC242" s="3">
        <v>33.906976744186046</v>
      </c>
      <c r="AD242" s="3">
        <v>49.964763918252288</v>
      </c>
      <c r="AE242" s="3">
        <v>43.107725683649072</v>
      </c>
      <c r="AF242" s="3">
        <v>129.32317705094724</v>
      </c>
      <c r="AG242" s="18">
        <v>29</v>
      </c>
      <c r="AH242" s="18">
        <v>178</v>
      </c>
      <c r="AI242" s="4">
        <v>23.255813953488371</v>
      </c>
      <c r="AJ242" s="4">
        <v>48.837209302325583</v>
      </c>
      <c r="AK242" s="7">
        <v>24.418604651162791</v>
      </c>
      <c r="AL242" s="5">
        <v>106</v>
      </c>
      <c r="AM242" s="3">
        <v>54.815772462831312</v>
      </c>
      <c r="AN242" s="3">
        <v>26.687598116169539</v>
      </c>
      <c r="AO242" s="3">
        <v>58.144796380090497</v>
      </c>
      <c r="AP242" s="3">
        <v>46.54938898636378</v>
      </c>
      <c r="AQ242" s="3">
        <v>139.64816695909136</v>
      </c>
      <c r="AR242" s="18">
        <v>26</v>
      </c>
      <c r="AS242" s="18">
        <v>189</v>
      </c>
      <c r="AT242" s="4">
        <v>16.483516483516482</v>
      </c>
      <c r="AU242" s="4">
        <v>63.736263736263737</v>
      </c>
      <c r="AV242" s="7">
        <v>17.582417582417584</v>
      </c>
      <c r="AW242" s="10">
        <f t="shared" si="65"/>
        <v>97.666666666666671</v>
      </c>
      <c r="AX242" s="9">
        <f t="shared" si="66"/>
        <v>51.268767833848663</v>
      </c>
      <c r="AY242" s="9">
        <f t="shared" si="67"/>
        <v>35.177615488431286</v>
      </c>
      <c r="AZ242" s="9">
        <f t="shared" si="68"/>
        <v>55.775889098075844</v>
      </c>
      <c r="BA242" s="9">
        <f t="shared" si="69"/>
        <v>47.4074241401186</v>
      </c>
      <c r="BB242" s="9">
        <f t="shared" si="70"/>
        <v>142.22227242035581</v>
      </c>
      <c r="BC242" s="10">
        <f t="shared" si="78"/>
        <v>27</v>
      </c>
      <c r="BD242" s="10">
        <f t="shared" si="71"/>
        <v>157</v>
      </c>
      <c r="BE242" s="4">
        <f t="shared" si="74"/>
        <v>19.869665218502426</v>
      </c>
      <c r="BF242" s="4">
        <f t="shared" si="75"/>
        <v>56.286736519294664</v>
      </c>
      <c r="BG242" s="7">
        <f t="shared" si="76"/>
        <v>21.000511116790186</v>
      </c>
      <c r="BH242" s="5">
        <v>106</v>
      </c>
      <c r="BI242" s="3">
        <v>57.136190476190485</v>
      </c>
      <c r="BJ242" s="3">
        <v>33.292380952380952</v>
      </c>
      <c r="BK242" s="3">
        <v>47.559047619047611</v>
      </c>
      <c r="BL242" s="3">
        <v>45.995873015873009</v>
      </c>
      <c r="BM242" s="3">
        <v>137.98761904761903</v>
      </c>
      <c r="BN242" s="18">
        <v>19</v>
      </c>
      <c r="BO242" s="18">
        <v>80</v>
      </c>
      <c r="BP242" s="4">
        <v>14.285714285714286</v>
      </c>
      <c r="BQ242" s="4">
        <v>53.333333333333336</v>
      </c>
      <c r="BR242" s="7">
        <v>33.333333333333336</v>
      </c>
      <c r="BS242" s="18"/>
      <c r="BT242" s="23">
        <v>25</v>
      </c>
    </row>
    <row r="243" spans="1:72" x14ac:dyDescent="0.25">
      <c r="A243" s="18">
        <v>238</v>
      </c>
      <c r="B243" s="18" t="s">
        <v>30</v>
      </c>
      <c r="C243" s="18">
        <v>27</v>
      </c>
      <c r="D243" s="21" t="s">
        <v>9</v>
      </c>
      <c r="E243" s="5"/>
      <c r="F243" s="3">
        <v>58.666666666666671</v>
      </c>
      <c r="G243" s="3">
        <v>48</v>
      </c>
      <c r="H243" s="3">
        <v>56.333333333333329</v>
      </c>
      <c r="I243" s="3">
        <f t="shared" si="63"/>
        <v>54.333333333333336</v>
      </c>
      <c r="J243" s="3">
        <f t="shared" si="64"/>
        <v>163</v>
      </c>
      <c r="K243" s="18">
        <f t="shared" si="77"/>
        <v>10</v>
      </c>
      <c r="L243" s="18">
        <f t="shared" si="62"/>
        <v>45</v>
      </c>
      <c r="M243" s="4"/>
      <c r="N243" s="4"/>
      <c r="O243" s="7"/>
      <c r="P243" s="5">
        <v>160</v>
      </c>
      <c r="Q243" s="3">
        <v>60.645833333333336</v>
      </c>
      <c r="R243" s="3">
        <v>51.475000000000001</v>
      </c>
      <c r="S243" s="3">
        <v>68.437499999999972</v>
      </c>
      <c r="T243" s="3">
        <v>60.186111111111103</v>
      </c>
      <c r="U243" s="3">
        <v>180.55833333333331</v>
      </c>
      <c r="V243" s="18">
        <v>13</v>
      </c>
      <c r="W243" s="18">
        <v>59</v>
      </c>
      <c r="X243" s="4">
        <v>8.125</v>
      </c>
      <c r="Y243" s="4">
        <v>18.238993710691823</v>
      </c>
      <c r="Z243" s="7">
        <v>10.625</v>
      </c>
      <c r="AA243" s="5">
        <v>163</v>
      </c>
      <c r="AB243" s="3">
        <v>69.925028835063401</v>
      </c>
      <c r="AC243" s="3">
        <v>50.10526315789474</v>
      </c>
      <c r="AD243" s="3">
        <v>72.259507829977636</v>
      </c>
      <c r="AE243" s="3">
        <v>64.362082959545518</v>
      </c>
      <c r="AF243" s="3">
        <v>192.28979982293578</v>
      </c>
      <c r="AG243" s="18">
        <v>4</v>
      </c>
      <c r="AH243" s="18">
        <v>11</v>
      </c>
      <c r="AI243" s="4">
        <v>1.4925373134328359</v>
      </c>
      <c r="AJ243" s="4">
        <v>19.736842105263158</v>
      </c>
      <c r="AK243" s="7">
        <v>1.3513513513513513</v>
      </c>
      <c r="AL243" s="5">
        <v>163</v>
      </c>
      <c r="AM243" s="3">
        <v>74.148606811145513</v>
      </c>
      <c r="AN243" s="3">
        <v>62.270577105014191</v>
      </c>
      <c r="AO243" s="3">
        <v>82.991486068111485</v>
      </c>
      <c r="AP243" s="3">
        <v>73.047820435363718</v>
      </c>
      <c r="AQ243" s="3">
        <v>219.41066998427118</v>
      </c>
      <c r="AR243" s="18">
        <v>2</v>
      </c>
      <c r="AS243" s="18">
        <v>5</v>
      </c>
      <c r="AT243" s="4">
        <v>0.68027210884353739</v>
      </c>
      <c r="AU243" s="4">
        <v>9.3023255813953494</v>
      </c>
      <c r="AV243" s="7">
        <v>0</v>
      </c>
      <c r="AW243" s="10">
        <f t="shared" si="65"/>
        <v>162</v>
      </c>
      <c r="AX243" s="9">
        <f t="shared" si="66"/>
        <v>68.239822993180738</v>
      </c>
      <c r="AY243" s="9">
        <f t="shared" si="67"/>
        <v>54.616946754302973</v>
      </c>
      <c r="AZ243" s="9">
        <f t="shared" si="68"/>
        <v>74.56283129936304</v>
      </c>
      <c r="BA243" s="9">
        <f t="shared" si="69"/>
        <v>65.865338168673446</v>
      </c>
      <c r="BB243" s="9">
        <f t="shared" si="70"/>
        <v>197.41960104684676</v>
      </c>
      <c r="BC243" s="10">
        <f t="shared" si="78"/>
        <v>4</v>
      </c>
      <c r="BD243" s="10">
        <f t="shared" si="71"/>
        <v>10</v>
      </c>
      <c r="BE243" s="4">
        <f t="shared" si="74"/>
        <v>1.0864047111381867</v>
      </c>
      <c r="BF243" s="4">
        <f t="shared" si="75"/>
        <v>14.519583843329254</v>
      </c>
      <c r="BG243" s="7">
        <f t="shared" si="76"/>
        <v>0.67567567567567566</v>
      </c>
      <c r="BH243" s="5">
        <v>162</v>
      </c>
      <c r="BI243" s="3">
        <v>66.311874999999958</v>
      </c>
      <c r="BJ243" s="3">
        <v>32.14687499999998</v>
      </c>
      <c r="BK243" s="3">
        <v>55.474375000000009</v>
      </c>
      <c r="BL243" s="3">
        <v>51.311041666666675</v>
      </c>
      <c r="BM243" s="3">
        <v>153.93312500000005</v>
      </c>
      <c r="BN243" s="18">
        <v>8</v>
      </c>
      <c r="BO243" s="18">
        <v>26</v>
      </c>
      <c r="BP243" s="4">
        <v>3.75</v>
      </c>
      <c r="BQ243" s="4">
        <v>52.5</v>
      </c>
      <c r="BR243" s="7">
        <v>22.5</v>
      </c>
      <c r="BS243" s="18"/>
      <c r="BT243" s="23">
        <v>27</v>
      </c>
    </row>
    <row r="244" spans="1:72" x14ac:dyDescent="0.25">
      <c r="A244" s="18">
        <v>239</v>
      </c>
      <c r="B244" s="18" t="s">
        <v>30</v>
      </c>
      <c r="C244" s="18">
        <v>29</v>
      </c>
      <c r="D244" s="21" t="s">
        <v>9</v>
      </c>
      <c r="E244" s="5"/>
      <c r="F244" s="3">
        <v>38.666666666666664</v>
      </c>
      <c r="G244" s="3">
        <v>26</v>
      </c>
      <c r="H244" s="3">
        <v>25.333333333333332</v>
      </c>
      <c r="I244" s="3">
        <f t="shared" si="63"/>
        <v>29.999999999999996</v>
      </c>
      <c r="J244" s="3">
        <f t="shared" si="64"/>
        <v>89.999999999999986</v>
      </c>
      <c r="K244" s="18">
        <f t="shared" si="77"/>
        <v>35</v>
      </c>
      <c r="L244" s="18">
        <f t="shared" si="62"/>
        <v>280</v>
      </c>
      <c r="M244" s="4"/>
      <c r="N244" s="4"/>
      <c r="O244" s="7"/>
      <c r="P244" s="5">
        <v>47</v>
      </c>
      <c r="Q244" s="3">
        <v>48.510638297872333</v>
      </c>
      <c r="R244" s="3">
        <v>42.638297872340424</v>
      </c>
      <c r="S244" s="3">
        <v>47.5177304964539</v>
      </c>
      <c r="T244" s="3">
        <v>46.222222222222207</v>
      </c>
      <c r="U244" s="3">
        <v>138.66666666666666</v>
      </c>
      <c r="V244" s="18">
        <v>29</v>
      </c>
      <c r="W244" s="18">
        <v>190</v>
      </c>
      <c r="X244" s="4">
        <v>19.148936170212767</v>
      </c>
      <c r="Y244" s="4">
        <v>25.531914893617021</v>
      </c>
      <c r="Z244" s="7">
        <v>14.893617021276595</v>
      </c>
      <c r="AA244" s="5">
        <v>45</v>
      </c>
      <c r="AB244" s="3">
        <v>40.718954248366003</v>
      </c>
      <c r="AC244" s="3">
        <v>37.68888888888889</v>
      </c>
      <c r="AD244" s="3">
        <v>38.114478114478125</v>
      </c>
      <c r="AE244" s="3">
        <v>38.840773750577675</v>
      </c>
      <c r="AF244" s="3">
        <v>116.52232125173302</v>
      </c>
      <c r="AG244" s="18">
        <v>32</v>
      </c>
      <c r="AH244" s="18">
        <v>225</v>
      </c>
      <c r="AI244" s="4">
        <v>28.888888888888889</v>
      </c>
      <c r="AJ244" s="4">
        <v>40</v>
      </c>
      <c r="AK244" s="7">
        <v>35.555555555555557</v>
      </c>
      <c r="AL244" s="5">
        <v>48</v>
      </c>
      <c r="AM244" s="3">
        <v>52.753441802252816</v>
      </c>
      <c r="AN244" s="3">
        <v>21.801242236024844</v>
      </c>
      <c r="AO244" s="3">
        <v>43.158567774936053</v>
      </c>
      <c r="AP244" s="3">
        <v>39.370939865307825</v>
      </c>
      <c r="AQ244" s="3">
        <v>117.7132518132137</v>
      </c>
      <c r="AR244" s="18">
        <v>35</v>
      </c>
      <c r="AS244" s="18">
        <v>268</v>
      </c>
      <c r="AT244" s="4">
        <v>17.021276595744681</v>
      </c>
      <c r="AU244" s="4">
        <v>73.913043478260875</v>
      </c>
      <c r="AV244" s="7">
        <v>43.478260869565219</v>
      </c>
      <c r="AW244" s="10">
        <f t="shared" si="65"/>
        <v>46.666666666666664</v>
      </c>
      <c r="AX244" s="9">
        <f t="shared" si="66"/>
        <v>47.327678116163717</v>
      </c>
      <c r="AY244" s="9">
        <f t="shared" si="67"/>
        <v>34.042809665751385</v>
      </c>
      <c r="AZ244" s="9">
        <f t="shared" si="68"/>
        <v>42.930258795289355</v>
      </c>
      <c r="BA244" s="9">
        <f t="shared" si="69"/>
        <v>41.477978612702572</v>
      </c>
      <c r="BB244" s="9">
        <f t="shared" si="70"/>
        <v>124.30074657720445</v>
      </c>
      <c r="BC244" s="10">
        <f t="shared" si="78"/>
        <v>32</v>
      </c>
      <c r="BD244" s="10">
        <f t="shared" si="71"/>
        <v>242</v>
      </c>
      <c r="BE244" s="4">
        <f t="shared" si="74"/>
        <v>22.955082742316783</v>
      </c>
      <c r="BF244" s="4">
        <f t="shared" si="75"/>
        <v>56.956521739130437</v>
      </c>
      <c r="BG244" s="7">
        <f t="shared" si="76"/>
        <v>39.516908212560388</v>
      </c>
      <c r="BH244" s="5">
        <v>47</v>
      </c>
      <c r="BI244" s="3">
        <v>53.980851063829796</v>
      </c>
      <c r="BJ244" s="3">
        <v>25.595744680851062</v>
      </c>
      <c r="BK244" s="3">
        <v>39.7340425531915</v>
      </c>
      <c r="BL244" s="3">
        <v>39.770212765957453</v>
      </c>
      <c r="BM244" s="3">
        <v>119.31063829787233</v>
      </c>
      <c r="BN244" s="18">
        <v>32</v>
      </c>
      <c r="BO244" s="18">
        <v>169</v>
      </c>
      <c r="BP244" s="4">
        <v>17.021276595744681</v>
      </c>
      <c r="BQ244" s="4">
        <v>68.085106382978722</v>
      </c>
      <c r="BR244" s="7">
        <v>48.936170212765958</v>
      </c>
      <c r="BS244" s="18"/>
      <c r="BT244" s="23">
        <v>29</v>
      </c>
    </row>
    <row r="245" spans="1:72" x14ac:dyDescent="0.25">
      <c r="A245" s="1">
        <v>240</v>
      </c>
      <c r="B245" s="18" t="s">
        <v>30</v>
      </c>
      <c r="C245" s="18">
        <v>48</v>
      </c>
      <c r="D245" s="21" t="s">
        <v>9</v>
      </c>
      <c r="E245" s="5"/>
      <c r="F245" s="3">
        <v>41.333333333333336</v>
      </c>
      <c r="G245" s="3">
        <v>26</v>
      </c>
      <c r="H245" s="3">
        <v>24.666666666666668</v>
      </c>
      <c r="I245" s="3">
        <f t="shared" si="63"/>
        <v>30.666666666666671</v>
      </c>
      <c r="J245" s="3">
        <f t="shared" si="64"/>
        <v>92.000000000000014</v>
      </c>
      <c r="K245" s="18">
        <f t="shared" si="77"/>
        <v>34</v>
      </c>
      <c r="L245" s="18">
        <f t="shared" si="62"/>
        <v>276</v>
      </c>
      <c r="M245" s="4"/>
      <c r="N245" s="4"/>
      <c r="O245" s="7"/>
      <c r="P245" s="5">
        <v>29</v>
      </c>
      <c r="Q245" s="3">
        <v>43.333333333333329</v>
      </c>
      <c r="R245" s="3">
        <v>31.862068965517242</v>
      </c>
      <c r="S245" s="3">
        <v>39.65517241379311</v>
      </c>
      <c r="T245" s="3">
        <v>38.283524904214552</v>
      </c>
      <c r="U245" s="3">
        <v>114.85057471264368</v>
      </c>
      <c r="V245" s="18">
        <v>36</v>
      </c>
      <c r="W245" s="18">
        <v>280</v>
      </c>
      <c r="X245" s="4">
        <v>13.793103448275861</v>
      </c>
      <c r="Y245" s="4">
        <v>44.827586206896555</v>
      </c>
      <c r="Z245" s="7">
        <v>34.482758620689658</v>
      </c>
      <c r="AA245" s="5">
        <v>34</v>
      </c>
      <c r="AB245" s="3">
        <v>30.124777183600713</v>
      </c>
      <c r="AC245" s="3">
        <v>29.212121212121211</v>
      </c>
      <c r="AD245" s="3">
        <v>38.47566574839302</v>
      </c>
      <c r="AE245" s="3">
        <v>32.60418804803831</v>
      </c>
      <c r="AF245" s="3">
        <v>97.812564144114944</v>
      </c>
      <c r="AG245" s="18">
        <v>36</v>
      </c>
      <c r="AH245" s="18">
        <v>288</v>
      </c>
      <c r="AI245" s="4">
        <v>54.545454545454547</v>
      </c>
      <c r="AJ245" s="4">
        <v>51.515151515151516</v>
      </c>
      <c r="AK245" s="7">
        <v>33.333333333333336</v>
      </c>
      <c r="AL245" s="5">
        <v>30</v>
      </c>
      <c r="AM245" s="3">
        <v>56.666666666666679</v>
      </c>
      <c r="AN245" s="3">
        <v>26.666666666666668</v>
      </c>
      <c r="AO245" s="3">
        <v>48.431372549019599</v>
      </c>
      <c r="AP245" s="3">
        <v>43.921568627450981</v>
      </c>
      <c r="AQ245" s="3">
        <v>131.76470588235293</v>
      </c>
      <c r="AR245" s="18">
        <v>31</v>
      </c>
      <c r="AS245" s="18">
        <v>226</v>
      </c>
      <c r="AT245" s="4">
        <v>10</v>
      </c>
      <c r="AU245" s="4">
        <v>70</v>
      </c>
      <c r="AV245" s="7">
        <v>16.666666666666668</v>
      </c>
      <c r="AW245" s="10">
        <f t="shared" si="65"/>
        <v>31</v>
      </c>
      <c r="AX245" s="9">
        <f t="shared" si="66"/>
        <v>43.374925727866902</v>
      </c>
      <c r="AY245" s="9">
        <f t="shared" si="67"/>
        <v>29.246952281435043</v>
      </c>
      <c r="AZ245" s="9">
        <f t="shared" si="68"/>
        <v>42.187403570401912</v>
      </c>
      <c r="BA245" s="9">
        <f t="shared" si="69"/>
        <v>38.269760526567943</v>
      </c>
      <c r="BB245" s="9">
        <f t="shared" si="70"/>
        <v>114.80928157970385</v>
      </c>
      <c r="BC245" s="10">
        <f t="shared" si="78"/>
        <v>35</v>
      </c>
      <c r="BD245" s="10">
        <f t="shared" si="71"/>
        <v>278</v>
      </c>
      <c r="BE245" s="4">
        <f t="shared" si="74"/>
        <v>32.272727272727273</v>
      </c>
      <c r="BF245" s="4">
        <f t="shared" si="75"/>
        <v>60.757575757575758</v>
      </c>
      <c r="BG245" s="7">
        <f t="shared" si="76"/>
        <v>25</v>
      </c>
      <c r="BH245" s="5">
        <v>33</v>
      </c>
      <c r="BI245" s="3">
        <v>53.627272727272711</v>
      </c>
      <c r="BJ245" s="3">
        <v>23.148484848484848</v>
      </c>
      <c r="BK245" s="3">
        <v>37.963636363636354</v>
      </c>
      <c r="BL245" s="3">
        <v>38.246464646464645</v>
      </c>
      <c r="BM245" s="3">
        <v>114.73939393939393</v>
      </c>
      <c r="BN245" s="18">
        <v>34</v>
      </c>
      <c r="BO245" s="18">
        <v>202</v>
      </c>
      <c r="BP245" s="4">
        <v>12.121212121212121</v>
      </c>
      <c r="BQ245" s="4">
        <v>75.757575757575751</v>
      </c>
      <c r="BR245" s="7">
        <v>42.424242424242422</v>
      </c>
      <c r="BS245" s="18"/>
      <c r="BT245" s="23">
        <v>48</v>
      </c>
    </row>
    <row r="246" spans="1:72" x14ac:dyDescent="0.25">
      <c r="A246" s="18">
        <v>241</v>
      </c>
      <c r="B246" s="18" t="s">
        <v>30</v>
      </c>
      <c r="C246" s="18">
        <v>55</v>
      </c>
      <c r="D246" s="21" t="s">
        <v>9</v>
      </c>
      <c r="E246" s="5"/>
      <c r="F246" s="3">
        <v>48.666666666666664</v>
      </c>
      <c r="G246" s="3">
        <v>46.4</v>
      </c>
      <c r="H246" s="3">
        <v>41.333333333333336</v>
      </c>
      <c r="I246" s="3">
        <f t="shared" si="63"/>
        <v>45.466666666666669</v>
      </c>
      <c r="J246" s="3">
        <f t="shared" si="64"/>
        <v>136.4</v>
      </c>
      <c r="K246" s="18">
        <f t="shared" si="77"/>
        <v>24</v>
      </c>
      <c r="L246" s="18">
        <f t="shared" si="62"/>
        <v>137</v>
      </c>
      <c r="M246" s="4"/>
      <c r="N246" s="4"/>
      <c r="O246" s="7"/>
      <c r="P246" s="5">
        <v>52</v>
      </c>
      <c r="Q246" s="3">
        <v>54.102564102564081</v>
      </c>
      <c r="R246" s="3">
        <v>43.230769230769234</v>
      </c>
      <c r="S246" s="3">
        <v>47.435897435897424</v>
      </c>
      <c r="T246" s="3">
        <v>48.256410256410241</v>
      </c>
      <c r="U246" s="3">
        <v>144.76923076923075</v>
      </c>
      <c r="V246" s="18">
        <v>27</v>
      </c>
      <c r="W246" s="18">
        <v>167</v>
      </c>
      <c r="X246" s="4">
        <v>9.615384615384615</v>
      </c>
      <c r="Y246" s="4">
        <v>26.923076923076923</v>
      </c>
      <c r="Z246" s="7">
        <v>26.923076923076923</v>
      </c>
      <c r="AA246" s="5">
        <v>49</v>
      </c>
      <c r="AB246" s="3">
        <v>38.895558223289321</v>
      </c>
      <c r="AC246" s="3">
        <v>42.938775510204081</v>
      </c>
      <c r="AD246" s="3">
        <v>46.629560915275206</v>
      </c>
      <c r="AE246" s="3">
        <v>42.82129821625621</v>
      </c>
      <c r="AF246" s="3">
        <v>128.46389464876859</v>
      </c>
      <c r="AG246" s="18">
        <v>30</v>
      </c>
      <c r="AH246" s="18">
        <v>185</v>
      </c>
      <c r="AI246" s="4">
        <v>34.693877551020407</v>
      </c>
      <c r="AJ246" s="4">
        <v>28.571428571428573</v>
      </c>
      <c r="AK246" s="7">
        <v>32.653061224489797</v>
      </c>
      <c r="AL246" s="5">
        <v>49</v>
      </c>
      <c r="AM246" s="3">
        <v>61.704681872749106</v>
      </c>
      <c r="AN246" s="3">
        <v>48.104956268221571</v>
      </c>
      <c r="AO246" s="3">
        <v>53.481392557022808</v>
      </c>
      <c r="AP246" s="3">
        <v>54.430343565997831</v>
      </c>
      <c r="AQ246" s="3">
        <v>163.29103069799348</v>
      </c>
      <c r="AR246" s="18">
        <v>23</v>
      </c>
      <c r="AS246" s="18">
        <v>86</v>
      </c>
      <c r="AT246" s="4">
        <v>10.204081632653061</v>
      </c>
      <c r="AU246" s="4">
        <v>18.367346938775512</v>
      </c>
      <c r="AV246" s="7">
        <v>16.326530612244898</v>
      </c>
      <c r="AW246" s="10">
        <f t="shared" si="65"/>
        <v>50</v>
      </c>
      <c r="AX246" s="9">
        <f t="shared" si="66"/>
        <v>51.567601399534169</v>
      </c>
      <c r="AY246" s="9">
        <f t="shared" si="67"/>
        <v>44.758167003064962</v>
      </c>
      <c r="AZ246" s="9">
        <f t="shared" si="68"/>
        <v>49.182283636065144</v>
      </c>
      <c r="BA246" s="9">
        <f t="shared" si="69"/>
        <v>48.502684012888096</v>
      </c>
      <c r="BB246" s="9">
        <f t="shared" si="70"/>
        <v>145.50805203866426</v>
      </c>
      <c r="BC246" s="10">
        <f t="shared" si="78"/>
        <v>23</v>
      </c>
      <c r="BD246" s="10">
        <f t="shared" si="71"/>
        <v>141</v>
      </c>
      <c r="BE246" s="4">
        <f t="shared" si="74"/>
        <v>22.448979591836732</v>
      </c>
      <c r="BF246" s="4">
        <f t="shared" si="75"/>
        <v>23.469387755102041</v>
      </c>
      <c r="BG246" s="7">
        <f t="shared" si="76"/>
        <v>24.489795918367349</v>
      </c>
      <c r="BH246" s="5">
        <v>61</v>
      </c>
      <c r="BI246" s="3">
        <v>52.475000000000001</v>
      </c>
      <c r="BJ246" s="3">
        <v>31.638333333333339</v>
      </c>
      <c r="BK246" s="3">
        <v>40.980000000000011</v>
      </c>
      <c r="BL246" s="3">
        <v>41.69777777777778</v>
      </c>
      <c r="BM246" s="3">
        <v>125.09333333333335</v>
      </c>
      <c r="BN246" s="18">
        <v>27</v>
      </c>
      <c r="BO246" s="18">
        <v>136</v>
      </c>
      <c r="BP246" s="4">
        <v>21.666666666666668</v>
      </c>
      <c r="BQ246" s="4">
        <v>61.666666666666664</v>
      </c>
      <c r="BR246" s="7">
        <v>36.666666666666664</v>
      </c>
      <c r="BS246" s="18"/>
      <c r="BT246" s="23">
        <v>55</v>
      </c>
    </row>
    <row r="247" spans="1:72" x14ac:dyDescent="0.25">
      <c r="A247" s="18">
        <v>242</v>
      </c>
      <c r="B247" s="18" t="s">
        <v>30</v>
      </c>
      <c r="C247" s="18">
        <v>56</v>
      </c>
      <c r="D247" s="21" t="s">
        <v>9</v>
      </c>
      <c r="E247" s="5"/>
      <c r="F247" s="3">
        <v>54.666666666666657</v>
      </c>
      <c r="G247" s="3">
        <v>54</v>
      </c>
      <c r="H247" s="3">
        <v>51</v>
      </c>
      <c r="I247" s="3">
        <f t="shared" si="63"/>
        <v>53.222222222222221</v>
      </c>
      <c r="J247" s="3">
        <f t="shared" si="64"/>
        <v>159.66666666666666</v>
      </c>
      <c r="K247" s="18">
        <f t="shared" si="77"/>
        <v>13</v>
      </c>
      <c r="L247" s="18">
        <f t="shared" si="62"/>
        <v>55</v>
      </c>
      <c r="M247" s="4"/>
      <c r="N247" s="4"/>
      <c r="O247" s="7"/>
      <c r="P247" s="5">
        <v>53</v>
      </c>
      <c r="Q247" s="3">
        <v>52.075471698113219</v>
      </c>
      <c r="R247" s="3">
        <v>52.452830188679243</v>
      </c>
      <c r="S247" s="3">
        <v>67.169811320754718</v>
      </c>
      <c r="T247" s="3">
        <v>57.232704402515743</v>
      </c>
      <c r="U247" s="3">
        <v>171.69811320754718</v>
      </c>
      <c r="V247" s="18">
        <v>16</v>
      </c>
      <c r="W247" s="18">
        <v>78</v>
      </c>
      <c r="X247" s="4">
        <v>9.433962264150944</v>
      </c>
      <c r="Y247" s="4">
        <v>1.8867924528301887</v>
      </c>
      <c r="Z247" s="7">
        <v>5.6603773584905657</v>
      </c>
      <c r="AA247" s="5">
        <v>59</v>
      </c>
      <c r="AB247" s="3">
        <v>45.098039215686285</v>
      </c>
      <c r="AC247" s="3">
        <v>35.407407407407405</v>
      </c>
      <c r="AD247" s="3">
        <v>44.388327721661028</v>
      </c>
      <c r="AE247" s="3">
        <v>41.631258114918246</v>
      </c>
      <c r="AF247" s="3">
        <v>124.89377434475472</v>
      </c>
      <c r="AG247" s="18">
        <v>31</v>
      </c>
      <c r="AH247" s="18">
        <v>194</v>
      </c>
      <c r="AI247" s="4">
        <v>12.962962962962964</v>
      </c>
      <c r="AJ247" s="4">
        <v>33.333333333333336</v>
      </c>
      <c r="AK247" s="7">
        <v>35.185185185185183</v>
      </c>
      <c r="AL247" s="5">
        <v>60</v>
      </c>
      <c r="AM247" s="3">
        <v>57.103218645948964</v>
      </c>
      <c r="AN247" s="3">
        <v>23.665768194070083</v>
      </c>
      <c r="AO247" s="3">
        <v>50.816993464052288</v>
      </c>
      <c r="AP247" s="3">
        <v>43.598661686896975</v>
      </c>
      <c r="AQ247" s="3">
        <v>131.58598030407131</v>
      </c>
      <c r="AR247" s="18">
        <v>32</v>
      </c>
      <c r="AS247" s="18">
        <v>228</v>
      </c>
      <c r="AT247" s="4">
        <v>11.320754716981131</v>
      </c>
      <c r="AU247" s="4">
        <v>71.698113207547166</v>
      </c>
      <c r="AV247" s="7">
        <v>24.074074074074073</v>
      </c>
      <c r="AW247" s="10">
        <f t="shared" si="65"/>
        <v>57.333333333333336</v>
      </c>
      <c r="AX247" s="9">
        <f t="shared" si="66"/>
        <v>51.425576519916156</v>
      </c>
      <c r="AY247" s="9">
        <f t="shared" si="67"/>
        <v>37.175335263385577</v>
      </c>
      <c r="AZ247" s="9">
        <f t="shared" si="68"/>
        <v>54.125044168822683</v>
      </c>
      <c r="BA247" s="9">
        <f t="shared" si="69"/>
        <v>47.48754140144365</v>
      </c>
      <c r="BB247" s="9">
        <f t="shared" si="70"/>
        <v>142.72595595212439</v>
      </c>
      <c r="BC247" s="10">
        <f t="shared" si="78"/>
        <v>26</v>
      </c>
      <c r="BD247" s="10">
        <f t="shared" si="71"/>
        <v>155</v>
      </c>
      <c r="BE247" s="4">
        <f t="shared" si="74"/>
        <v>12.141858839972048</v>
      </c>
      <c r="BF247" s="4">
        <f t="shared" si="75"/>
        <v>52.515723270440247</v>
      </c>
      <c r="BG247" s="7">
        <f t="shared" si="76"/>
        <v>29.629629629629626</v>
      </c>
      <c r="BH247" s="5">
        <v>60</v>
      </c>
      <c r="BI247" s="3">
        <v>54.671666666666667</v>
      </c>
      <c r="BJ247" s="3">
        <v>23.801666666666669</v>
      </c>
      <c r="BK247" s="3">
        <v>41.18666666666666</v>
      </c>
      <c r="BL247" s="3">
        <v>39.886666666666663</v>
      </c>
      <c r="BM247" s="3">
        <v>119.66</v>
      </c>
      <c r="BN247" s="18">
        <v>30</v>
      </c>
      <c r="BO247" s="18">
        <v>165</v>
      </c>
      <c r="BP247" s="4">
        <v>11.666666666666666</v>
      </c>
      <c r="BQ247" s="4">
        <v>68.333333333333329</v>
      </c>
      <c r="BR247" s="7">
        <v>43.333333333333336</v>
      </c>
      <c r="BS247" s="18"/>
      <c r="BT247" s="23">
        <v>56</v>
      </c>
    </row>
    <row r="248" spans="1:72" x14ac:dyDescent="0.25">
      <c r="A248" s="18">
        <v>243</v>
      </c>
      <c r="B248" s="18" t="s">
        <v>30</v>
      </c>
      <c r="C248" s="18">
        <v>58</v>
      </c>
      <c r="D248" s="21" t="s">
        <v>9</v>
      </c>
      <c r="E248" s="5"/>
      <c r="F248" s="3">
        <v>54.666666666666657</v>
      </c>
      <c r="G248" s="3">
        <v>51.2</v>
      </c>
      <c r="H248" s="3">
        <v>41.666666666666664</v>
      </c>
      <c r="I248" s="3">
        <f t="shared" si="63"/>
        <v>49.177777777777777</v>
      </c>
      <c r="J248" s="3">
        <f t="shared" si="64"/>
        <v>147.53333333333333</v>
      </c>
      <c r="K248" s="18">
        <f t="shared" si="77"/>
        <v>18</v>
      </c>
      <c r="L248" s="18">
        <f t="shared" si="62"/>
        <v>89</v>
      </c>
      <c r="M248" s="4"/>
      <c r="N248" s="4"/>
      <c r="O248" s="7"/>
      <c r="P248" s="5">
        <v>93</v>
      </c>
      <c r="Q248" s="3">
        <v>56.594982078853064</v>
      </c>
      <c r="R248" s="3">
        <v>58.58064516129032</v>
      </c>
      <c r="S248" s="3">
        <v>54.086021505376337</v>
      </c>
      <c r="T248" s="3">
        <v>56.420549581839936</v>
      </c>
      <c r="U248" s="3">
        <v>169.26164874551972</v>
      </c>
      <c r="V248" s="18">
        <v>18</v>
      </c>
      <c r="W248" s="18">
        <v>88</v>
      </c>
      <c r="X248" s="4">
        <v>6.4516129032258061</v>
      </c>
      <c r="Y248" s="4">
        <v>5.376344086021505</v>
      </c>
      <c r="Z248" s="7">
        <v>18.27956989247312</v>
      </c>
      <c r="AA248" s="5">
        <v>94</v>
      </c>
      <c r="AB248" s="3">
        <v>50.79063883617961</v>
      </c>
      <c r="AC248" s="3">
        <v>58.236559139784944</v>
      </c>
      <c r="AD248" s="3">
        <v>56.435320951450009</v>
      </c>
      <c r="AE248" s="3">
        <v>55.15417297580484</v>
      </c>
      <c r="AF248" s="3">
        <v>165.46251892741458</v>
      </c>
      <c r="AG248" s="18">
        <v>11</v>
      </c>
      <c r="AH248" s="18">
        <v>51</v>
      </c>
      <c r="AI248" s="4">
        <v>7.5268817204301079</v>
      </c>
      <c r="AJ248" s="4">
        <v>5.376344086021505</v>
      </c>
      <c r="AK248" s="7">
        <v>11.827956989247312</v>
      </c>
      <c r="AL248" s="5">
        <v>94</v>
      </c>
      <c r="AM248" s="3">
        <v>64.117647058823479</v>
      </c>
      <c r="AN248" s="3">
        <v>51.30158730158729</v>
      </c>
      <c r="AO248" s="3">
        <v>57.745098039215698</v>
      </c>
      <c r="AP248" s="3">
        <v>57.72144413320882</v>
      </c>
      <c r="AQ248" s="3">
        <v>173.16433239962646</v>
      </c>
      <c r="AR248" s="18">
        <v>14</v>
      </c>
      <c r="AS248" s="18">
        <v>58</v>
      </c>
      <c r="AT248" s="4">
        <v>3.3707865168539324</v>
      </c>
      <c r="AU248" s="4">
        <v>6.666666666666667</v>
      </c>
      <c r="AV248" s="7">
        <v>12.222222222222221</v>
      </c>
      <c r="AW248" s="10">
        <f t="shared" si="65"/>
        <v>93.666666666666671</v>
      </c>
      <c r="AX248" s="9">
        <f t="shared" si="66"/>
        <v>57.167755991285389</v>
      </c>
      <c r="AY248" s="9">
        <f t="shared" si="67"/>
        <v>56.039597200887521</v>
      </c>
      <c r="AZ248" s="9">
        <f t="shared" si="68"/>
        <v>56.088813498680679</v>
      </c>
      <c r="BA248" s="9">
        <f t="shared" si="69"/>
        <v>56.432055563617865</v>
      </c>
      <c r="BB248" s="9">
        <f t="shared" si="70"/>
        <v>169.2961666908536</v>
      </c>
      <c r="BC248" s="10">
        <f t="shared" si="78"/>
        <v>15</v>
      </c>
      <c r="BD248" s="10">
        <f t="shared" si="71"/>
        <v>60</v>
      </c>
      <c r="BE248" s="4">
        <f t="shared" si="74"/>
        <v>5.4488341186420204</v>
      </c>
      <c r="BF248" s="4">
        <f t="shared" si="75"/>
        <v>6.021505376344086</v>
      </c>
      <c r="BG248" s="7">
        <f t="shared" si="76"/>
        <v>12.025089605734767</v>
      </c>
      <c r="BH248" s="5">
        <v>94</v>
      </c>
      <c r="BI248" s="3">
        <v>55.703225806451606</v>
      </c>
      <c r="BJ248" s="3">
        <v>26.834408602150535</v>
      </c>
      <c r="BK248" s="3">
        <v>41.86881720430106</v>
      </c>
      <c r="BL248" s="3">
        <v>41.468817204301082</v>
      </c>
      <c r="BM248" s="3">
        <v>124.4064516129032</v>
      </c>
      <c r="BN248" s="18">
        <v>28</v>
      </c>
      <c r="BO248" s="18">
        <v>141</v>
      </c>
      <c r="BP248" s="4">
        <v>16.129032258064516</v>
      </c>
      <c r="BQ248" s="4">
        <v>67.741935483870961</v>
      </c>
      <c r="BR248" s="7">
        <v>44.086021505376344</v>
      </c>
      <c r="BS248" s="18"/>
      <c r="BT248" s="23">
        <v>58</v>
      </c>
    </row>
    <row r="249" spans="1:72" x14ac:dyDescent="0.25">
      <c r="A249" s="18">
        <v>244</v>
      </c>
      <c r="B249" s="18" t="s">
        <v>30</v>
      </c>
      <c r="C249" s="18">
        <v>59</v>
      </c>
      <c r="D249" s="21" t="s">
        <v>9</v>
      </c>
      <c r="E249" s="5"/>
      <c r="F249" s="3">
        <v>57.666666666666664</v>
      </c>
      <c r="G249" s="3">
        <v>58.4</v>
      </c>
      <c r="H249" s="3">
        <v>48.333333333333336</v>
      </c>
      <c r="I249" s="3">
        <f t="shared" si="63"/>
        <v>54.800000000000004</v>
      </c>
      <c r="J249" s="3">
        <f t="shared" si="64"/>
        <v>164.4</v>
      </c>
      <c r="K249" s="18">
        <f t="shared" si="77"/>
        <v>9</v>
      </c>
      <c r="L249" s="18">
        <f t="shared" si="62"/>
        <v>42</v>
      </c>
      <c r="M249" s="4"/>
      <c r="N249" s="4"/>
      <c r="O249" s="7"/>
      <c r="P249" s="5">
        <v>153</v>
      </c>
      <c r="Q249" s="3">
        <v>50.522875816993476</v>
      </c>
      <c r="R249" s="3">
        <v>50.405228758169933</v>
      </c>
      <c r="S249" s="3">
        <v>46.318082788671035</v>
      </c>
      <c r="T249" s="3">
        <v>49.08206245461146</v>
      </c>
      <c r="U249" s="3">
        <v>147.24618736383445</v>
      </c>
      <c r="V249" s="18">
        <v>26</v>
      </c>
      <c r="W249" s="18">
        <v>159</v>
      </c>
      <c r="X249" s="4">
        <v>13.725490196078431</v>
      </c>
      <c r="Y249" s="4">
        <v>26.845637583892618</v>
      </c>
      <c r="Z249" s="7">
        <v>33.333333333333336</v>
      </c>
      <c r="AA249" s="5">
        <v>158</v>
      </c>
      <c r="AB249" s="3">
        <v>44.756191950464384</v>
      </c>
      <c r="AC249" s="3">
        <v>48.736842105263158</v>
      </c>
      <c r="AD249" s="3">
        <v>48.564593301435423</v>
      </c>
      <c r="AE249" s="3">
        <v>47.352542452387681</v>
      </c>
      <c r="AF249" s="3">
        <v>142.05762735716297</v>
      </c>
      <c r="AG249" s="18">
        <v>22</v>
      </c>
      <c r="AH249" s="18">
        <v>123</v>
      </c>
      <c r="AI249" s="4">
        <v>18.421052631578949</v>
      </c>
      <c r="AJ249" s="4">
        <v>22.368421052631579</v>
      </c>
      <c r="AK249" s="7">
        <v>19.736842105263158</v>
      </c>
      <c r="AL249" s="5">
        <v>159</v>
      </c>
      <c r="AM249" s="3">
        <v>57.593233371780073</v>
      </c>
      <c r="AN249" s="3">
        <v>29.971988795518204</v>
      </c>
      <c r="AO249" s="3">
        <v>53.018069973087229</v>
      </c>
      <c r="AP249" s="3">
        <v>46.861097380128534</v>
      </c>
      <c r="AQ249" s="3">
        <v>140.58329214038551</v>
      </c>
      <c r="AR249" s="18">
        <v>25</v>
      </c>
      <c r="AS249" s="18">
        <v>183</v>
      </c>
      <c r="AT249" s="4">
        <v>6.5359477124183005</v>
      </c>
      <c r="AU249" s="4">
        <v>54.60526315789474</v>
      </c>
      <c r="AV249" s="7">
        <v>16.993464052287582</v>
      </c>
      <c r="AW249" s="10">
        <f t="shared" si="65"/>
        <v>156.66666666666666</v>
      </c>
      <c r="AX249" s="9">
        <f t="shared" si="66"/>
        <v>50.957433713079318</v>
      </c>
      <c r="AY249" s="9">
        <f t="shared" si="67"/>
        <v>43.038019886317102</v>
      </c>
      <c r="AZ249" s="9">
        <f t="shared" si="68"/>
        <v>49.300248687731226</v>
      </c>
      <c r="BA249" s="9">
        <f t="shared" si="69"/>
        <v>47.765234095709225</v>
      </c>
      <c r="BB249" s="9">
        <f t="shared" si="70"/>
        <v>143.29570228712763</v>
      </c>
      <c r="BC249" s="10">
        <f t="shared" si="78"/>
        <v>25</v>
      </c>
      <c r="BD249" s="10">
        <f t="shared" si="71"/>
        <v>151</v>
      </c>
      <c r="BE249" s="4">
        <f t="shared" si="74"/>
        <v>12.478500171998625</v>
      </c>
      <c r="BF249" s="4">
        <f t="shared" si="75"/>
        <v>38.486842105263158</v>
      </c>
      <c r="BG249" s="7">
        <f t="shared" si="76"/>
        <v>18.365153078775371</v>
      </c>
      <c r="BH249" s="5">
        <v>157</v>
      </c>
      <c r="BI249" s="3">
        <v>59.158598726114661</v>
      </c>
      <c r="BJ249" s="3">
        <v>31.964331210191073</v>
      </c>
      <c r="BK249" s="3">
        <v>45.559235668789817</v>
      </c>
      <c r="BL249" s="3">
        <v>45.560721868365178</v>
      </c>
      <c r="BM249" s="3">
        <v>136.68216560509558</v>
      </c>
      <c r="BN249" s="18">
        <v>21</v>
      </c>
      <c r="BO249" s="18">
        <v>89</v>
      </c>
      <c r="BP249" s="4">
        <v>8.9171974522292992</v>
      </c>
      <c r="BQ249" s="4">
        <v>56.050955414012741</v>
      </c>
      <c r="BR249" s="7">
        <v>35.031847133757964</v>
      </c>
      <c r="BS249" s="18"/>
      <c r="BT249" s="23">
        <v>59</v>
      </c>
    </row>
    <row r="250" spans="1:72" x14ac:dyDescent="0.25">
      <c r="A250" s="1">
        <v>245</v>
      </c>
      <c r="B250" s="18" t="s">
        <v>30</v>
      </c>
      <c r="C250" s="18">
        <v>63</v>
      </c>
      <c r="D250" s="21" t="s">
        <v>9</v>
      </c>
      <c r="E250" s="5"/>
      <c r="F250" s="3">
        <v>48.666666666666664</v>
      </c>
      <c r="G250" s="3">
        <v>41.6</v>
      </c>
      <c r="H250" s="3">
        <v>39</v>
      </c>
      <c r="I250" s="3">
        <f t="shared" si="63"/>
        <v>43.088888888888881</v>
      </c>
      <c r="J250" s="3">
        <f t="shared" si="64"/>
        <v>129.26666666666665</v>
      </c>
      <c r="K250" s="18">
        <f t="shared" si="77"/>
        <v>27</v>
      </c>
      <c r="L250" s="18">
        <f t="shared" si="62"/>
        <v>159</v>
      </c>
      <c r="M250" s="4"/>
      <c r="N250" s="4"/>
      <c r="O250" s="7"/>
      <c r="P250" s="5">
        <v>109</v>
      </c>
      <c r="Q250" s="3">
        <v>46.483180428134581</v>
      </c>
      <c r="R250" s="3">
        <v>35.889908256880737</v>
      </c>
      <c r="S250" s="3">
        <v>46.544342507645268</v>
      </c>
      <c r="T250" s="3">
        <v>42.972477064220186</v>
      </c>
      <c r="U250" s="3">
        <v>128.91743119266059</v>
      </c>
      <c r="V250" s="18">
        <v>33</v>
      </c>
      <c r="W250" s="18">
        <v>240</v>
      </c>
      <c r="X250" s="4">
        <v>33.944954128440365</v>
      </c>
      <c r="Y250" s="4">
        <v>47.706422018348626</v>
      </c>
      <c r="Z250" s="7">
        <v>40.366972477064223</v>
      </c>
      <c r="AA250" s="5">
        <v>110</v>
      </c>
      <c r="AB250" s="3">
        <v>43.540406816932375</v>
      </c>
      <c r="AC250" s="3">
        <v>48.67289719626168</v>
      </c>
      <c r="AD250" s="3">
        <v>51.090342679127644</v>
      </c>
      <c r="AE250" s="3">
        <v>47.767882230773942</v>
      </c>
      <c r="AF250" s="3">
        <v>143.30364669232171</v>
      </c>
      <c r="AG250" s="18">
        <v>21</v>
      </c>
      <c r="AH250" s="18">
        <v>117</v>
      </c>
      <c r="AI250" s="4">
        <v>17.757009345794394</v>
      </c>
      <c r="AJ250" s="4">
        <v>12.149532710280374</v>
      </c>
      <c r="AK250" s="7">
        <v>18.691588785046729</v>
      </c>
      <c r="AL250" s="5">
        <v>110</v>
      </c>
      <c r="AM250" s="3">
        <v>58.962264150943355</v>
      </c>
      <c r="AN250" s="3">
        <v>46.603773584905653</v>
      </c>
      <c r="AO250" s="3">
        <v>59.628190899001098</v>
      </c>
      <c r="AP250" s="3">
        <v>55.064742878283404</v>
      </c>
      <c r="AQ250" s="3">
        <v>165.19422863485011</v>
      </c>
      <c r="AR250" s="18">
        <v>22</v>
      </c>
      <c r="AS250" s="18">
        <v>81</v>
      </c>
      <c r="AT250" s="4">
        <v>8.4905660377358494</v>
      </c>
      <c r="AU250" s="4">
        <v>16.981132075471699</v>
      </c>
      <c r="AV250" s="7">
        <v>15.09433962264151</v>
      </c>
      <c r="AW250" s="10">
        <f t="shared" si="65"/>
        <v>109.66666666666667</v>
      </c>
      <c r="AX250" s="9">
        <f t="shared" si="66"/>
        <v>49.661950465336766</v>
      </c>
      <c r="AY250" s="9">
        <f t="shared" si="67"/>
        <v>43.722193012682688</v>
      </c>
      <c r="AZ250" s="9">
        <f t="shared" si="68"/>
        <v>52.420958695258001</v>
      </c>
      <c r="BA250" s="9">
        <f t="shared" si="69"/>
        <v>48.601700724425847</v>
      </c>
      <c r="BB250" s="9">
        <f t="shared" si="70"/>
        <v>145.80510217327745</v>
      </c>
      <c r="BC250" s="10">
        <f t="shared" si="78"/>
        <v>22</v>
      </c>
      <c r="BD250" s="10">
        <f t="shared" si="71"/>
        <v>139</v>
      </c>
      <c r="BE250" s="4">
        <f t="shared" si="74"/>
        <v>13.123787691765122</v>
      </c>
      <c r="BF250" s="4">
        <f t="shared" si="75"/>
        <v>14.565332392876037</v>
      </c>
      <c r="BG250" s="7">
        <f t="shared" si="76"/>
        <v>16.892964203844119</v>
      </c>
      <c r="BH250" s="5">
        <v>108</v>
      </c>
      <c r="BI250" s="3">
        <v>56.615887850467281</v>
      </c>
      <c r="BJ250" s="3">
        <v>28.531775700934588</v>
      </c>
      <c r="BK250" s="3">
        <v>43.733644859813104</v>
      </c>
      <c r="BL250" s="3">
        <v>42.96043613707166</v>
      </c>
      <c r="BM250" s="3">
        <v>128.881308411215</v>
      </c>
      <c r="BN250" s="18">
        <v>24</v>
      </c>
      <c r="BO250" s="18">
        <v>119</v>
      </c>
      <c r="BP250" s="4">
        <v>14.953271028037383</v>
      </c>
      <c r="BQ250" s="4">
        <v>54.205607476635514</v>
      </c>
      <c r="BR250" s="7">
        <v>42.990654205607477</v>
      </c>
      <c r="BS250" s="18"/>
      <c r="BT250" s="23">
        <v>63</v>
      </c>
    </row>
    <row r="251" spans="1:72" x14ac:dyDescent="0.25">
      <c r="A251" s="18">
        <v>246</v>
      </c>
      <c r="B251" s="18" t="s">
        <v>30</v>
      </c>
      <c r="C251" s="18">
        <v>64</v>
      </c>
      <c r="D251" s="21" t="s">
        <v>9</v>
      </c>
      <c r="E251" s="5"/>
      <c r="F251" s="3">
        <v>45.666666666666664</v>
      </c>
      <c r="G251" s="3">
        <v>48</v>
      </c>
      <c r="H251" s="3">
        <v>40</v>
      </c>
      <c r="I251" s="3">
        <f t="shared" si="63"/>
        <v>44.55555555555555</v>
      </c>
      <c r="J251" s="3">
        <f t="shared" si="64"/>
        <v>133.66666666666666</v>
      </c>
      <c r="K251" s="18">
        <f t="shared" si="77"/>
        <v>25</v>
      </c>
      <c r="L251" s="18">
        <f t="shared" si="62"/>
        <v>144</v>
      </c>
      <c r="M251" s="4"/>
      <c r="N251" s="4"/>
      <c r="O251" s="7"/>
      <c r="P251" s="5">
        <v>101</v>
      </c>
      <c r="Q251" s="3">
        <v>51.518151815181504</v>
      </c>
      <c r="R251" s="3">
        <v>52.514851485148512</v>
      </c>
      <c r="S251" s="3">
        <v>51.485148514851488</v>
      </c>
      <c r="T251" s="3">
        <v>51.839383938393851</v>
      </c>
      <c r="U251" s="3">
        <v>155.51815181518151</v>
      </c>
      <c r="V251" s="18">
        <v>22</v>
      </c>
      <c r="W251" s="18">
        <v>118</v>
      </c>
      <c r="X251" s="4">
        <v>17.821782178217823</v>
      </c>
      <c r="Y251" s="4">
        <v>21.782178217821784</v>
      </c>
      <c r="Z251" s="7">
        <v>21.782178217821784</v>
      </c>
      <c r="AA251" s="5">
        <v>102</v>
      </c>
      <c r="AB251" s="3">
        <v>44.175888177052983</v>
      </c>
      <c r="AC251" s="3">
        <v>52.161616161616159</v>
      </c>
      <c r="AD251" s="3">
        <v>47.076828895010706</v>
      </c>
      <c r="AE251" s="3">
        <v>47.1497385032621</v>
      </c>
      <c r="AF251" s="3">
        <v>143.41433323367983</v>
      </c>
      <c r="AG251" s="18">
        <v>20</v>
      </c>
      <c r="AH251" s="18">
        <v>115</v>
      </c>
      <c r="AI251" s="4">
        <v>27.722772277227723</v>
      </c>
      <c r="AJ251" s="4">
        <v>21.212121212121211</v>
      </c>
      <c r="AK251" s="7">
        <v>27.272727272727273</v>
      </c>
      <c r="AL251" s="5">
        <v>102</v>
      </c>
      <c r="AM251" s="3">
        <v>62.264705882352928</v>
      </c>
      <c r="AN251" s="3">
        <v>47.000000000000028</v>
      </c>
      <c r="AO251" s="3">
        <v>63.735294117647051</v>
      </c>
      <c r="AP251" s="3">
        <v>57.66666666666665</v>
      </c>
      <c r="AQ251" s="3">
        <v>173</v>
      </c>
      <c r="AR251" s="18">
        <v>15</v>
      </c>
      <c r="AS251" s="18">
        <v>59</v>
      </c>
      <c r="AT251" s="4">
        <v>7</v>
      </c>
      <c r="AU251" s="4">
        <v>25</v>
      </c>
      <c r="AV251" s="7">
        <v>6</v>
      </c>
      <c r="AW251" s="10">
        <f t="shared" si="65"/>
        <v>101.66666666666667</v>
      </c>
      <c r="AX251" s="9">
        <f t="shared" si="66"/>
        <v>52.652915291529133</v>
      </c>
      <c r="AY251" s="9">
        <f t="shared" si="67"/>
        <v>50.558822548921569</v>
      </c>
      <c r="AZ251" s="9">
        <f t="shared" si="68"/>
        <v>54.099090509169748</v>
      </c>
      <c r="BA251" s="9">
        <f t="shared" si="69"/>
        <v>52.218596369440867</v>
      </c>
      <c r="BB251" s="9">
        <f t="shared" si="70"/>
        <v>157.31082834962044</v>
      </c>
      <c r="BC251" s="10">
        <f t="shared" si="78"/>
        <v>20</v>
      </c>
      <c r="BD251" s="10">
        <f t="shared" si="71"/>
        <v>98</v>
      </c>
      <c r="BE251" s="4">
        <f t="shared" si="74"/>
        <v>17.361386138613859</v>
      </c>
      <c r="BF251" s="4">
        <f t="shared" si="75"/>
        <v>23.106060606060606</v>
      </c>
      <c r="BG251" s="7">
        <f t="shared" si="76"/>
        <v>16.636363636363637</v>
      </c>
      <c r="BH251" s="5">
        <v>102</v>
      </c>
      <c r="BI251" s="3">
        <v>54.221568627450985</v>
      </c>
      <c r="BJ251" s="3">
        <v>28.323529411764721</v>
      </c>
      <c r="BK251" s="3">
        <v>37.050980392156859</v>
      </c>
      <c r="BL251" s="3">
        <v>39.86535947712418</v>
      </c>
      <c r="BM251" s="3">
        <v>119.5960784313725</v>
      </c>
      <c r="BN251" s="18">
        <v>31</v>
      </c>
      <c r="BO251" s="18">
        <v>166</v>
      </c>
      <c r="BP251" s="4">
        <v>19.607843137254903</v>
      </c>
      <c r="BQ251" s="4">
        <v>63.725490196078432</v>
      </c>
      <c r="BR251" s="7">
        <v>49.019607843137258</v>
      </c>
      <c r="BS251" s="18"/>
      <c r="BT251" s="23">
        <v>64</v>
      </c>
    </row>
    <row r="252" spans="1:72" x14ac:dyDescent="0.25">
      <c r="A252" s="18">
        <v>247</v>
      </c>
      <c r="B252" s="18" t="s">
        <v>30</v>
      </c>
      <c r="C252" s="18">
        <v>86</v>
      </c>
      <c r="D252" s="21" t="s">
        <v>9</v>
      </c>
      <c r="E252" s="5"/>
      <c r="F252" s="3">
        <v>51.333333333333336</v>
      </c>
      <c r="G252" s="3">
        <v>47.2</v>
      </c>
      <c r="H252" s="3">
        <v>44.666666666666664</v>
      </c>
      <c r="I252" s="3">
        <f t="shared" si="63"/>
        <v>47.733333333333327</v>
      </c>
      <c r="J252" s="3">
        <f t="shared" si="64"/>
        <v>143.19999999999999</v>
      </c>
      <c r="K252" s="18">
        <f t="shared" si="77"/>
        <v>21</v>
      </c>
      <c r="L252" s="18">
        <f t="shared" si="62"/>
        <v>114</v>
      </c>
      <c r="M252" s="4"/>
      <c r="N252" s="4"/>
      <c r="O252" s="7"/>
      <c r="P252" s="5">
        <v>117</v>
      </c>
      <c r="Q252" s="3">
        <v>54.900284900284909</v>
      </c>
      <c r="R252" s="3">
        <v>43.931623931623932</v>
      </c>
      <c r="S252" s="3">
        <v>64.558404558404547</v>
      </c>
      <c r="T252" s="3">
        <v>54.46343779677111</v>
      </c>
      <c r="U252" s="3">
        <v>163.39031339031339</v>
      </c>
      <c r="V252" s="18">
        <v>19</v>
      </c>
      <c r="W252" s="18">
        <v>97</v>
      </c>
      <c r="X252" s="4">
        <v>17.948717948717949</v>
      </c>
      <c r="Y252" s="4">
        <v>37.606837606837608</v>
      </c>
      <c r="Z252" s="7">
        <v>15.384615384615385</v>
      </c>
      <c r="AA252" s="5">
        <v>117</v>
      </c>
      <c r="AB252" s="3">
        <v>44.886062533121354</v>
      </c>
      <c r="AC252" s="3">
        <v>32.756756756756758</v>
      </c>
      <c r="AD252" s="3">
        <v>52.607152607152621</v>
      </c>
      <c r="AE252" s="3">
        <v>43.416657299010232</v>
      </c>
      <c r="AF252" s="3">
        <v>130.24997189703072</v>
      </c>
      <c r="AG252" s="18">
        <v>27</v>
      </c>
      <c r="AH252" s="18">
        <v>173</v>
      </c>
      <c r="AI252" s="4">
        <v>24.324324324324323</v>
      </c>
      <c r="AJ252" s="4">
        <v>53.153153153153156</v>
      </c>
      <c r="AK252" s="7">
        <v>23.423423423423422</v>
      </c>
      <c r="AL252" s="5">
        <v>118</v>
      </c>
      <c r="AM252" s="3">
        <v>53.682864450127902</v>
      </c>
      <c r="AN252" s="3">
        <v>26.583850931677016</v>
      </c>
      <c r="AO252" s="3">
        <v>52.710997442455252</v>
      </c>
      <c r="AP252" s="3">
        <v>44.32590427475337</v>
      </c>
      <c r="AQ252" s="3">
        <v>132.97771282426015</v>
      </c>
      <c r="AR252" s="18">
        <v>30</v>
      </c>
      <c r="AS252" s="18">
        <v>222</v>
      </c>
      <c r="AT252" s="4">
        <v>13.913043478260869</v>
      </c>
      <c r="AU252" s="4">
        <v>59.130434782608695</v>
      </c>
      <c r="AV252" s="7">
        <v>23.478260869565219</v>
      </c>
      <c r="AW252" s="10">
        <f t="shared" si="65"/>
        <v>117.33333333333333</v>
      </c>
      <c r="AX252" s="9">
        <f t="shared" si="66"/>
        <v>51.156403961178057</v>
      </c>
      <c r="AY252" s="9">
        <f t="shared" si="67"/>
        <v>34.424077206685901</v>
      </c>
      <c r="AZ252" s="9">
        <f t="shared" si="68"/>
        <v>56.625518202670811</v>
      </c>
      <c r="BA252" s="9">
        <f t="shared" si="69"/>
        <v>47.40199979017823</v>
      </c>
      <c r="BB252" s="9">
        <f t="shared" si="70"/>
        <v>142.20599937053476</v>
      </c>
      <c r="BC252" s="10">
        <f t="shared" si="78"/>
        <v>28</v>
      </c>
      <c r="BD252" s="10">
        <f t="shared" si="71"/>
        <v>158</v>
      </c>
      <c r="BE252" s="4">
        <f t="shared" si="74"/>
        <v>19.118683901292595</v>
      </c>
      <c r="BF252" s="4">
        <f t="shared" si="75"/>
        <v>56.141793967880929</v>
      </c>
      <c r="BG252" s="7">
        <f t="shared" si="76"/>
        <v>23.45084214649432</v>
      </c>
      <c r="BH252" s="5">
        <v>118</v>
      </c>
      <c r="BI252" s="3">
        <v>60.405084745762721</v>
      </c>
      <c r="BJ252" s="3">
        <v>31.894067796610162</v>
      </c>
      <c r="BK252" s="3">
        <v>47.284745762711857</v>
      </c>
      <c r="BL252" s="3">
        <v>46.527966101694908</v>
      </c>
      <c r="BM252" s="3">
        <v>139.58389830508474</v>
      </c>
      <c r="BN252" s="18">
        <v>15</v>
      </c>
      <c r="BO252" s="18">
        <v>70</v>
      </c>
      <c r="BP252" s="4">
        <v>10.169491525423728</v>
      </c>
      <c r="BQ252" s="4">
        <v>58.474576271186443</v>
      </c>
      <c r="BR252" s="7">
        <v>31.35593220338983</v>
      </c>
      <c r="BS252" s="18"/>
      <c r="BT252" s="23">
        <v>86</v>
      </c>
    </row>
    <row r="253" spans="1:72" x14ac:dyDescent="0.25">
      <c r="A253" s="18">
        <v>248</v>
      </c>
      <c r="B253" s="18" t="s">
        <v>30</v>
      </c>
      <c r="C253" s="18">
        <v>95</v>
      </c>
      <c r="D253" s="21" t="s">
        <v>9</v>
      </c>
      <c r="E253" s="5"/>
      <c r="F253" s="3">
        <v>65</v>
      </c>
      <c r="G253" s="3">
        <v>71.2</v>
      </c>
      <c r="H253" s="3">
        <v>70</v>
      </c>
      <c r="I253" s="3">
        <f t="shared" si="63"/>
        <v>68.733333333333334</v>
      </c>
      <c r="J253" s="3">
        <f t="shared" si="64"/>
        <v>206.2</v>
      </c>
      <c r="K253" s="18">
        <f t="shared" si="77"/>
        <v>2</v>
      </c>
      <c r="L253" s="18">
        <f t="shared" si="62"/>
        <v>6</v>
      </c>
      <c r="M253" s="4"/>
      <c r="N253" s="4"/>
      <c r="O253" s="7"/>
      <c r="P253" s="5">
        <v>159</v>
      </c>
      <c r="Q253" s="3">
        <v>60.566037735849058</v>
      </c>
      <c r="R253" s="3">
        <v>59.974842767295598</v>
      </c>
      <c r="S253" s="3">
        <v>61.17400419287214</v>
      </c>
      <c r="T253" s="3">
        <v>60.571628232005608</v>
      </c>
      <c r="U253" s="3">
        <v>181.71488469601678</v>
      </c>
      <c r="V253" s="18">
        <v>12</v>
      </c>
      <c r="W253" s="18">
        <v>55</v>
      </c>
      <c r="X253" s="4">
        <v>4.4025157232704402</v>
      </c>
      <c r="Y253" s="4">
        <v>8.8050314465408803</v>
      </c>
      <c r="Z253" s="7">
        <v>11.320754716981131</v>
      </c>
      <c r="AA253" s="5">
        <v>148</v>
      </c>
      <c r="AB253" s="3">
        <v>45.647853736089019</v>
      </c>
      <c r="AC253" s="3">
        <v>56.54054054054054</v>
      </c>
      <c r="AD253" s="3">
        <v>67.588042588042612</v>
      </c>
      <c r="AE253" s="3">
        <v>56.592145621557393</v>
      </c>
      <c r="AF253" s="3">
        <v>169.77643686467218</v>
      </c>
      <c r="AG253" s="18">
        <v>10</v>
      </c>
      <c r="AH253" s="18">
        <v>43</v>
      </c>
      <c r="AI253" s="4">
        <v>16.216216216216218</v>
      </c>
      <c r="AJ253" s="4">
        <v>6.756756756756757</v>
      </c>
      <c r="AK253" s="7">
        <v>5.6737588652482271</v>
      </c>
      <c r="AL253" s="5">
        <v>137</v>
      </c>
      <c r="AM253" s="3">
        <v>61.614426792614871</v>
      </c>
      <c r="AN253" s="3">
        <v>38.957247132429629</v>
      </c>
      <c r="AO253" s="3">
        <v>66.852726492056675</v>
      </c>
      <c r="AP253" s="3">
        <v>55.808133472367068</v>
      </c>
      <c r="AQ253" s="3">
        <v>167.4244004171012</v>
      </c>
      <c r="AR253" s="18">
        <v>20</v>
      </c>
      <c r="AS253" s="18">
        <v>77</v>
      </c>
      <c r="AT253" s="4">
        <v>8.7591240875912408</v>
      </c>
      <c r="AU253" s="4">
        <v>28.467153284671532</v>
      </c>
      <c r="AV253" s="7">
        <v>6.5693430656934311</v>
      </c>
      <c r="AW253" s="10">
        <f t="shared" si="65"/>
        <v>148</v>
      </c>
      <c r="AX253" s="9">
        <f t="shared" si="66"/>
        <v>55.942772754850978</v>
      </c>
      <c r="AY253" s="9">
        <f t="shared" si="67"/>
        <v>51.824210146755263</v>
      </c>
      <c r="AZ253" s="9">
        <f t="shared" si="68"/>
        <v>65.204924424323806</v>
      </c>
      <c r="BA253" s="9">
        <f t="shared" si="69"/>
        <v>57.65730244197669</v>
      </c>
      <c r="BB253" s="9">
        <f t="shared" si="70"/>
        <v>172.97190732593003</v>
      </c>
      <c r="BC253" s="10">
        <f t="shared" si="78"/>
        <v>12</v>
      </c>
      <c r="BD253" s="10">
        <f t="shared" si="71"/>
        <v>46</v>
      </c>
      <c r="BE253" s="4">
        <f t="shared" si="74"/>
        <v>12.487670151903728</v>
      </c>
      <c r="BF253" s="4">
        <f t="shared" si="75"/>
        <v>17.611955020714145</v>
      </c>
      <c r="BG253" s="7">
        <f t="shared" si="76"/>
        <v>6.1215509654708296</v>
      </c>
      <c r="BH253" s="5">
        <v>160</v>
      </c>
      <c r="BI253" s="3">
        <v>62.686538461538454</v>
      </c>
      <c r="BJ253" s="3">
        <v>33.098717948717955</v>
      </c>
      <c r="BK253" s="3">
        <v>48.471153846153854</v>
      </c>
      <c r="BL253" s="3">
        <v>48.085470085470078</v>
      </c>
      <c r="BM253" s="3">
        <v>144.25641025641022</v>
      </c>
      <c r="BN253" s="18">
        <v>13</v>
      </c>
      <c r="BO253" s="18">
        <v>53</v>
      </c>
      <c r="BP253" s="4">
        <v>8.3333333333333339</v>
      </c>
      <c r="BQ253" s="4">
        <v>55.128205128205131</v>
      </c>
      <c r="BR253" s="7">
        <v>29.487179487179485</v>
      </c>
      <c r="BS253" s="18"/>
      <c r="BT253" s="23">
        <v>95</v>
      </c>
    </row>
    <row r="254" spans="1:72" x14ac:dyDescent="0.25">
      <c r="A254" s="18">
        <v>249</v>
      </c>
      <c r="B254" s="18" t="s">
        <v>30</v>
      </c>
      <c r="C254" s="18">
        <v>98</v>
      </c>
      <c r="D254" s="21" t="s">
        <v>9</v>
      </c>
      <c r="E254" s="5"/>
      <c r="F254" s="3">
        <v>60</v>
      </c>
      <c r="G254" s="3">
        <v>54</v>
      </c>
      <c r="H254" s="3">
        <v>44</v>
      </c>
      <c r="I254" s="3">
        <f t="shared" si="63"/>
        <v>52.666666666666664</v>
      </c>
      <c r="J254" s="3">
        <f t="shared" si="64"/>
        <v>158</v>
      </c>
      <c r="K254" s="18">
        <f t="shared" si="77"/>
        <v>14</v>
      </c>
      <c r="L254" s="18">
        <f t="shared" si="62"/>
        <v>59</v>
      </c>
      <c r="M254" s="4"/>
      <c r="N254" s="4"/>
      <c r="O254" s="7"/>
      <c r="P254" s="5">
        <v>52</v>
      </c>
      <c r="Q254" s="3">
        <v>66.217948717948715</v>
      </c>
      <c r="R254" s="3">
        <v>62.384615384615387</v>
      </c>
      <c r="S254" s="3">
        <v>71.089743589743591</v>
      </c>
      <c r="T254" s="3">
        <v>66.564102564102569</v>
      </c>
      <c r="U254" s="3">
        <v>199.69230769230768</v>
      </c>
      <c r="V254" s="18">
        <v>6</v>
      </c>
      <c r="W254" s="18">
        <v>16</v>
      </c>
      <c r="X254" s="4">
        <v>1.9230769230769231</v>
      </c>
      <c r="Y254" s="4">
        <v>9.615384615384615</v>
      </c>
      <c r="Z254" s="7">
        <v>1.9230769230769231</v>
      </c>
      <c r="AA254" s="5">
        <v>59</v>
      </c>
      <c r="AB254" s="3">
        <v>58.025922233300115</v>
      </c>
      <c r="AC254" s="3">
        <v>56.135593220338983</v>
      </c>
      <c r="AD254" s="3">
        <v>60.246533127889059</v>
      </c>
      <c r="AE254" s="3">
        <v>58.136016193842714</v>
      </c>
      <c r="AF254" s="3">
        <v>174.40804858152816</v>
      </c>
      <c r="AG254" s="18">
        <v>7</v>
      </c>
      <c r="AH254" s="18">
        <v>34</v>
      </c>
      <c r="AI254" s="4">
        <v>3.3898305084745761</v>
      </c>
      <c r="AJ254" s="4">
        <v>10.169491525423728</v>
      </c>
      <c r="AK254" s="7">
        <v>8.4745762711864412</v>
      </c>
      <c r="AL254" s="5">
        <v>61</v>
      </c>
      <c r="AM254" s="3">
        <v>65.118679050567593</v>
      </c>
      <c r="AN254" s="3">
        <v>56.942355889724311</v>
      </c>
      <c r="AO254" s="3">
        <v>63.777089783281731</v>
      </c>
      <c r="AP254" s="3">
        <v>61.94604157452455</v>
      </c>
      <c r="AQ254" s="3">
        <v>185.83812472357363</v>
      </c>
      <c r="AR254" s="18">
        <v>7</v>
      </c>
      <c r="AS254" s="18">
        <v>31</v>
      </c>
      <c r="AT254" s="4">
        <v>1.7543859649122806</v>
      </c>
      <c r="AU254" s="4">
        <v>10.526315789473685</v>
      </c>
      <c r="AV254" s="7">
        <v>5.2631578947368425</v>
      </c>
      <c r="AW254" s="10">
        <f t="shared" si="65"/>
        <v>57.333333333333336</v>
      </c>
      <c r="AX254" s="9">
        <f t="shared" si="66"/>
        <v>63.120850000605479</v>
      </c>
      <c r="AY254" s="9">
        <f t="shared" si="67"/>
        <v>58.487521498226236</v>
      </c>
      <c r="AZ254" s="9">
        <f t="shared" si="68"/>
        <v>65.037788833638118</v>
      </c>
      <c r="BA254" s="9">
        <f t="shared" si="69"/>
        <v>62.215386777489947</v>
      </c>
      <c r="BB254" s="9">
        <f t="shared" si="70"/>
        <v>186.6461603324698</v>
      </c>
      <c r="BC254" s="10">
        <f t="shared" si="78"/>
        <v>7</v>
      </c>
      <c r="BD254" s="10">
        <f t="shared" si="71"/>
        <v>19</v>
      </c>
      <c r="BE254" s="4">
        <f t="shared" si="74"/>
        <v>2.5721082366934285</v>
      </c>
      <c r="BF254" s="4">
        <f t="shared" si="75"/>
        <v>10.347903657448708</v>
      </c>
      <c r="BG254" s="7">
        <f t="shared" si="76"/>
        <v>6.8688670829616418</v>
      </c>
      <c r="BH254" s="5">
        <v>61</v>
      </c>
      <c r="BI254" s="3">
        <v>61.796721311475423</v>
      </c>
      <c r="BJ254" s="3">
        <v>34.419672131147543</v>
      </c>
      <c r="BK254" s="3">
        <v>48.649180327868841</v>
      </c>
      <c r="BL254" s="3">
        <v>48.288524590163931</v>
      </c>
      <c r="BM254" s="3">
        <v>144.86557377049175</v>
      </c>
      <c r="BN254" s="18">
        <v>12</v>
      </c>
      <c r="BO254" s="18">
        <v>49</v>
      </c>
      <c r="BP254" s="4">
        <v>9.8360655737704921</v>
      </c>
      <c r="BQ254" s="4">
        <v>50.819672131147541</v>
      </c>
      <c r="BR254" s="7">
        <v>27.868852459016395</v>
      </c>
      <c r="BS254" s="18"/>
      <c r="BT254" s="23">
        <v>98</v>
      </c>
    </row>
    <row r="255" spans="1:72" x14ac:dyDescent="0.25">
      <c r="A255" s="1">
        <v>250</v>
      </c>
      <c r="B255" s="18" t="s">
        <v>30</v>
      </c>
      <c r="C255" s="18" t="s">
        <v>59</v>
      </c>
      <c r="D255" s="21" t="s">
        <v>12</v>
      </c>
      <c r="E255" s="5"/>
      <c r="F255" s="3"/>
      <c r="G255" s="3"/>
      <c r="H255" s="3"/>
      <c r="I255" s="3" t="str">
        <f t="shared" si="63"/>
        <v/>
      </c>
      <c r="J255" s="3" t="str">
        <f t="shared" si="64"/>
        <v/>
      </c>
      <c r="K255" s="18" t="str">
        <f t="shared" si="77"/>
        <v/>
      </c>
      <c r="L255" s="18" t="str">
        <f t="shared" si="62"/>
        <v/>
      </c>
      <c r="M255" s="4"/>
      <c r="N255" s="4"/>
      <c r="O255" s="7"/>
      <c r="P255" s="5"/>
      <c r="Q255" s="3"/>
      <c r="R255" s="3"/>
      <c r="S255" s="3"/>
      <c r="T255" s="3"/>
      <c r="U255" s="3" t="s">
        <v>35</v>
      </c>
      <c r="V255" s="18" t="s">
        <v>35</v>
      </c>
      <c r="W255" s="18" t="s">
        <v>35</v>
      </c>
      <c r="X255" s="4" t="s">
        <v>35</v>
      </c>
      <c r="Y255" s="4" t="s">
        <v>35</v>
      </c>
      <c r="Z255" s="7" t="s">
        <v>35</v>
      </c>
      <c r="AA255" s="5"/>
      <c r="AB255" s="3"/>
      <c r="AC255" s="3"/>
      <c r="AD255" s="3"/>
      <c r="AE255" s="3"/>
      <c r="AF255" s="3" t="s">
        <v>35</v>
      </c>
      <c r="AG255" s="18" t="s">
        <v>35</v>
      </c>
      <c r="AH255" s="18" t="s">
        <v>35</v>
      </c>
      <c r="AI255" s="4" t="s">
        <v>35</v>
      </c>
      <c r="AJ255" s="4" t="s">
        <v>35</v>
      </c>
      <c r="AK255" s="7" t="s">
        <v>35</v>
      </c>
      <c r="AL255" s="5"/>
      <c r="AM255" s="3"/>
      <c r="AN255" s="3"/>
      <c r="AO255" s="3"/>
      <c r="AP255" s="3"/>
      <c r="AQ255" s="3" t="s">
        <v>35</v>
      </c>
      <c r="AR255" s="18" t="s">
        <v>35</v>
      </c>
      <c r="AS255" s="18" t="s">
        <v>35</v>
      </c>
      <c r="AT255" s="4" t="s">
        <v>35</v>
      </c>
      <c r="AU255" s="4" t="s">
        <v>35</v>
      </c>
      <c r="AV255" s="7" t="s">
        <v>35</v>
      </c>
      <c r="AW255" s="10"/>
      <c r="AX255" s="9"/>
      <c r="AY255" s="9"/>
      <c r="AZ255" s="9"/>
      <c r="BA255" s="9"/>
      <c r="BB255" s="9"/>
      <c r="BC255" s="10" t="str">
        <f t="shared" si="78"/>
        <v/>
      </c>
      <c r="BD255" s="10" t="str">
        <f t="shared" si="71"/>
        <v/>
      </c>
      <c r="BE255" s="4"/>
      <c r="BF255" s="4"/>
      <c r="BG255" s="7"/>
      <c r="BH255" s="5">
        <v>11</v>
      </c>
      <c r="BI255" s="3">
        <v>23.518181818181816</v>
      </c>
      <c r="BJ255" s="3">
        <v>23.509090909090911</v>
      </c>
      <c r="BK255" s="3">
        <v>5.336363636363636</v>
      </c>
      <c r="BL255" s="3">
        <v>17.454545454545453</v>
      </c>
      <c r="BM255" s="3">
        <v>52.363636363636367</v>
      </c>
      <c r="BN255" s="18">
        <v>37</v>
      </c>
      <c r="BO255" s="18">
        <v>313</v>
      </c>
      <c r="BP255" s="4">
        <v>81.818181818181813</v>
      </c>
      <c r="BQ255" s="4">
        <v>81.818181818181813</v>
      </c>
      <c r="BR255" s="7">
        <v>100</v>
      </c>
      <c r="BS255" s="18"/>
      <c r="BT255" s="23">
        <v>103</v>
      </c>
    </row>
    <row r="256" spans="1:72" x14ac:dyDescent="0.25">
      <c r="A256" s="18">
        <v>251</v>
      </c>
      <c r="B256" s="18" t="s">
        <v>30</v>
      </c>
      <c r="C256" s="18">
        <v>116</v>
      </c>
      <c r="D256" s="21" t="s">
        <v>9</v>
      </c>
      <c r="E256" s="5"/>
      <c r="F256" s="3">
        <v>44.333333333333336</v>
      </c>
      <c r="G256" s="3">
        <v>40.799999999999997</v>
      </c>
      <c r="H256" s="3">
        <v>43</v>
      </c>
      <c r="I256" s="3">
        <f t="shared" si="63"/>
        <v>42.711111111111109</v>
      </c>
      <c r="J256" s="3">
        <f t="shared" si="64"/>
        <v>128.13333333333333</v>
      </c>
      <c r="K256" s="18">
        <f t="shared" si="77"/>
        <v>29</v>
      </c>
      <c r="L256" s="18">
        <f t="shared" si="62"/>
        <v>162</v>
      </c>
      <c r="M256" s="4"/>
      <c r="N256" s="4"/>
      <c r="O256" s="7"/>
      <c r="P256" s="5">
        <v>104</v>
      </c>
      <c r="Q256" s="3">
        <v>52.211538461538453</v>
      </c>
      <c r="R256" s="3">
        <v>45.115384615384613</v>
      </c>
      <c r="S256" s="3">
        <v>59.391025641025649</v>
      </c>
      <c r="T256" s="3">
        <v>52.239316239316231</v>
      </c>
      <c r="U256" s="3">
        <v>156.71794871794873</v>
      </c>
      <c r="V256" s="18">
        <v>21</v>
      </c>
      <c r="W256" s="18">
        <v>114</v>
      </c>
      <c r="X256" s="4">
        <v>10.576923076923077</v>
      </c>
      <c r="Y256" s="4">
        <v>28.846153846153847</v>
      </c>
      <c r="Z256" s="7">
        <v>14.423076923076923</v>
      </c>
      <c r="AA256" s="5">
        <v>106</v>
      </c>
      <c r="AB256" s="3">
        <v>40.176470588235311</v>
      </c>
      <c r="AC256" s="3">
        <v>45.04</v>
      </c>
      <c r="AD256" s="3">
        <v>54.393939393939405</v>
      </c>
      <c r="AE256" s="3">
        <v>46.536803327391546</v>
      </c>
      <c r="AF256" s="3">
        <v>139.6104099821747</v>
      </c>
      <c r="AG256" s="18">
        <v>24</v>
      </c>
      <c r="AH256" s="18">
        <v>133</v>
      </c>
      <c r="AI256" s="4">
        <v>15</v>
      </c>
      <c r="AJ256" s="4">
        <v>27</v>
      </c>
      <c r="AK256" s="7">
        <v>16</v>
      </c>
      <c r="AL256" s="5">
        <v>106</v>
      </c>
      <c r="AM256" s="3">
        <v>61.199095022624455</v>
      </c>
      <c r="AN256" s="3">
        <v>42.197802197802197</v>
      </c>
      <c r="AO256" s="3">
        <v>63.235294117647058</v>
      </c>
      <c r="AP256" s="3">
        <v>55.544063779357884</v>
      </c>
      <c r="AQ256" s="3">
        <v>166.63219133807371</v>
      </c>
      <c r="AR256" s="18">
        <v>21</v>
      </c>
      <c r="AS256" s="18">
        <v>78</v>
      </c>
      <c r="AT256" s="4">
        <v>9.615384615384615</v>
      </c>
      <c r="AU256" s="4">
        <v>19.23076923076923</v>
      </c>
      <c r="AV256" s="7">
        <v>7.6923076923076925</v>
      </c>
      <c r="AW256" s="10">
        <f t="shared" si="65"/>
        <v>105.33333333333333</v>
      </c>
      <c r="AX256" s="9">
        <f t="shared" si="66"/>
        <v>51.195701357466071</v>
      </c>
      <c r="AY256" s="9">
        <f t="shared" si="67"/>
        <v>44.117728937728934</v>
      </c>
      <c r="AZ256" s="9">
        <f t="shared" si="68"/>
        <v>59.006753050870707</v>
      </c>
      <c r="BA256" s="9">
        <f t="shared" si="69"/>
        <v>51.440061115355228</v>
      </c>
      <c r="BB256" s="9">
        <f t="shared" si="70"/>
        <v>154.3201833460657</v>
      </c>
      <c r="BC256" s="10">
        <f t="shared" si="78"/>
        <v>21</v>
      </c>
      <c r="BD256" s="10">
        <f t="shared" si="71"/>
        <v>107</v>
      </c>
      <c r="BE256" s="4">
        <f t="shared" si="74"/>
        <v>12.307692307692307</v>
      </c>
      <c r="BF256" s="4">
        <f t="shared" si="75"/>
        <v>23.115384615384613</v>
      </c>
      <c r="BG256" s="7">
        <f t="shared" si="76"/>
        <v>11.846153846153847</v>
      </c>
      <c r="BH256" s="5">
        <v>106</v>
      </c>
      <c r="BI256" s="3">
        <v>60.068269230769225</v>
      </c>
      <c r="BJ256" s="3">
        <v>32.343269230769202</v>
      </c>
      <c r="BK256" s="3">
        <v>46.831730769230759</v>
      </c>
      <c r="BL256" s="3">
        <v>46.414423076923079</v>
      </c>
      <c r="BM256" s="3">
        <v>139.24326923076924</v>
      </c>
      <c r="BN256" s="18">
        <v>16</v>
      </c>
      <c r="BO256" s="18">
        <v>73</v>
      </c>
      <c r="BP256" s="4">
        <v>11.538461538461538</v>
      </c>
      <c r="BQ256" s="4">
        <v>52.884615384615387</v>
      </c>
      <c r="BR256" s="7">
        <v>29.807692307692307</v>
      </c>
      <c r="BS256" s="18"/>
      <c r="BT256" s="23">
        <v>116</v>
      </c>
    </row>
    <row r="257" spans="1:72" x14ac:dyDescent="0.25">
      <c r="A257" s="18">
        <v>252</v>
      </c>
      <c r="B257" s="18" t="s">
        <v>30</v>
      </c>
      <c r="C257" s="18">
        <v>138</v>
      </c>
      <c r="D257" s="21" t="s">
        <v>9</v>
      </c>
      <c r="E257" s="5"/>
      <c r="F257" s="3">
        <v>58.333333333333336</v>
      </c>
      <c r="G257" s="3">
        <v>64</v>
      </c>
      <c r="H257" s="3">
        <v>56.666666666666664</v>
      </c>
      <c r="I257" s="3">
        <f t="shared" si="63"/>
        <v>59.666666666666664</v>
      </c>
      <c r="J257" s="3">
        <f t="shared" si="64"/>
        <v>179</v>
      </c>
      <c r="K257" s="18">
        <f t="shared" si="77"/>
        <v>5</v>
      </c>
      <c r="L257" s="18">
        <f t="shared" si="62"/>
        <v>24</v>
      </c>
      <c r="M257" s="4"/>
      <c r="N257" s="4"/>
      <c r="O257" s="7"/>
      <c r="P257" s="5">
        <v>101</v>
      </c>
      <c r="Q257" s="3">
        <v>54.78547854785478</v>
      </c>
      <c r="R257" s="3">
        <v>42.613861386138616</v>
      </c>
      <c r="S257" s="3">
        <v>57.722772277227733</v>
      </c>
      <c r="T257" s="3">
        <v>51.707370737073745</v>
      </c>
      <c r="U257" s="3">
        <v>155.12211221122112</v>
      </c>
      <c r="V257" s="18">
        <v>23</v>
      </c>
      <c r="W257" s="18">
        <v>119</v>
      </c>
      <c r="X257" s="4">
        <v>10.891089108910892</v>
      </c>
      <c r="Y257" s="4">
        <v>36.633663366336634</v>
      </c>
      <c r="Z257" s="7">
        <v>17.821782178217823</v>
      </c>
      <c r="AA257" s="5">
        <v>111</v>
      </c>
      <c r="AB257" s="3">
        <v>48.199279711884742</v>
      </c>
      <c r="AC257" s="3">
        <v>55.387755102040813</v>
      </c>
      <c r="AD257" s="3">
        <v>56.957328385899828</v>
      </c>
      <c r="AE257" s="3">
        <v>53.514787733275135</v>
      </c>
      <c r="AF257" s="3">
        <v>160.5443631998254</v>
      </c>
      <c r="AG257" s="18">
        <v>13</v>
      </c>
      <c r="AH257" s="18">
        <v>61</v>
      </c>
      <c r="AI257" s="4">
        <v>19.387755102040817</v>
      </c>
      <c r="AJ257" s="4">
        <v>17.346938775510203</v>
      </c>
      <c r="AK257" s="7">
        <v>20.408163265306122</v>
      </c>
      <c r="AL257" s="5">
        <v>112</v>
      </c>
      <c r="AM257" s="3">
        <v>57.366946778711515</v>
      </c>
      <c r="AN257" s="3">
        <v>50.802721088435369</v>
      </c>
      <c r="AO257" s="3">
        <v>60.420168067226911</v>
      </c>
      <c r="AP257" s="3">
        <v>56.196611978124601</v>
      </c>
      <c r="AQ257" s="3">
        <v>168.58983593437381</v>
      </c>
      <c r="AR257" s="18">
        <v>18</v>
      </c>
      <c r="AS257" s="18">
        <v>75</v>
      </c>
      <c r="AT257" s="4">
        <v>11.428571428571429</v>
      </c>
      <c r="AU257" s="4">
        <v>15.238095238095237</v>
      </c>
      <c r="AV257" s="7">
        <v>15.384615384615385</v>
      </c>
      <c r="AW257" s="10">
        <f t="shared" si="65"/>
        <v>108</v>
      </c>
      <c r="AX257" s="9">
        <f t="shared" si="66"/>
        <v>53.450568346150341</v>
      </c>
      <c r="AY257" s="9">
        <f t="shared" si="67"/>
        <v>49.601445858871593</v>
      </c>
      <c r="AZ257" s="9">
        <f t="shared" si="68"/>
        <v>58.366756243451483</v>
      </c>
      <c r="BA257" s="9">
        <f t="shared" si="69"/>
        <v>53.806256816157827</v>
      </c>
      <c r="BB257" s="9">
        <f t="shared" si="70"/>
        <v>161.41877044847345</v>
      </c>
      <c r="BC257" s="10">
        <f t="shared" si="78"/>
        <v>17</v>
      </c>
      <c r="BD257" s="10">
        <f t="shared" si="71"/>
        <v>83</v>
      </c>
      <c r="BE257" s="4">
        <f t="shared" si="74"/>
        <v>15.408163265306122</v>
      </c>
      <c r="BF257" s="4">
        <f t="shared" si="75"/>
        <v>16.292517006802719</v>
      </c>
      <c r="BG257" s="7">
        <f t="shared" si="76"/>
        <v>17.896389324960754</v>
      </c>
      <c r="BH257" s="5">
        <v>112</v>
      </c>
      <c r="BI257" s="3">
        <v>57.489189189189169</v>
      </c>
      <c r="BJ257" s="3">
        <v>29.791891891891908</v>
      </c>
      <c r="BK257" s="3">
        <v>47.185585585585578</v>
      </c>
      <c r="BL257" s="3">
        <v>44.82222222222223</v>
      </c>
      <c r="BM257" s="3">
        <v>134.46666666666667</v>
      </c>
      <c r="BN257" s="18">
        <v>22</v>
      </c>
      <c r="BO257" s="18">
        <v>95</v>
      </c>
      <c r="BP257" s="4">
        <v>16.216216216216218</v>
      </c>
      <c r="BQ257" s="4">
        <v>62.162162162162161</v>
      </c>
      <c r="BR257" s="7">
        <v>36.936936936936938</v>
      </c>
      <c r="BS257" s="18"/>
      <c r="BT257" s="23">
        <v>138</v>
      </c>
    </row>
    <row r="258" spans="1:72" x14ac:dyDescent="0.25">
      <c r="A258" s="18">
        <v>253</v>
      </c>
      <c r="B258" s="18" t="s">
        <v>30</v>
      </c>
      <c r="C258" s="18">
        <v>147</v>
      </c>
      <c r="D258" s="21" t="s">
        <v>19</v>
      </c>
      <c r="E258" s="5"/>
      <c r="F258" s="3">
        <v>45</v>
      </c>
      <c r="G258" s="3">
        <v>41.6</v>
      </c>
      <c r="H258" s="3">
        <v>33.999999999999993</v>
      </c>
      <c r="I258" s="3">
        <f t="shared" si="63"/>
        <v>40.199999999999996</v>
      </c>
      <c r="J258" s="3">
        <f t="shared" si="64"/>
        <v>120.6</v>
      </c>
      <c r="K258" s="18">
        <f t="shared" si="77"/>
        <v>30</v>
      </c>
      <c r="L258" s="18">
        <f t="shared" si="62"/>
        <v>192</v>
      </c>
      <c r="M258" s="4"/>
      <c r="N258" s="4"/>
      <c r="O258" s="7"/>
      <c r="P258" s="5">
        <v>89</v>
      </c>
      <c r="Q258" s="3">
        <v>65.917602996254686</v>
      </c>
      <c r="R258" s="3">
        <v>68.629213483146074</v>
      </c>
      <c r="S258" s="3">
        <v>72.80898876404494</v>
      </c>
      <c r="T258" s="3">
        <v>69.118601747815248</v>
      </c>
      <c r="U258" s="3">
        <v>207.35580524344573</v>
      </c>
      <c r="V258" s="18">
        <v>4</v>
      </c>
      <c r="W258" s="18">
        <v>9</v>
      </c>
      <c r="X258" s="4">
        <v>0</v>
      </c>
      <c r="Y258" s="4">
        <v>1.1235955056179776</v>
      </c>
      <c r="Z258" s="7">
        <v>8.9887640449438209</v>
      </c>
      <c r="AA258" s="5">
        <v>92</v>
      </c>
      <c r="AB258" s="3">
        <v>59.496810772501789</v>
      </c>
      <c r="AC258" s="3">
        <v>64.626506024096386</v>
      </c>
      <c r="AD258" s="3">
        <v>71.668492150419937</v>
      </c>
      <c r="AE258" s="3">
        <v>65.263936315672666</v>
      </c>
      <c r="AF258" s="3">
        <v>195.79180894701813</v>
      </c>
      <c r="AG258" s="18">
        <v>3</v>
      </c>
      <c r="AH258" s="18">
        <v>9</v>
      </c>
      <c r="AI258" s="4">
        <v>4.8192771084337354</v>
      </c>
      <c r="AJ258" s="4">
        <v>10.843373493975903</v>
      </c>
      <c r="AK258" s="7">
        <v>4.8192771084337354</v>
      </c>
      <c r="AL258" s="5">
        <v>89</v>
      </c>
      <c r="AM258" s="3">
        <v>74.437182280319561</v>
      </c>
      <c r="AN258" s="3">
        <v>55.97883597883596</v>
      </c>
      <c r="AO258" s="3">
        <v>75.199709513434968</v>
      </c>
      <c r="AP258" s="3">
        <v>68.538575924196792</v>
      </c>
      <c r="AQ258" s="3">
        <v>205.6157277725905</v>
      </c>
      <c r="AR258" s="18">
        <v>3</v>
      </c>
      <c r="AS258" s="18">
        <v>8</v>
      </c>
      <c r="AT258" s="4">
        <v>0</v>
      </c>
      <c r="AU258" s="4">
        <v>8.6419753086419746</v>
      </c>
      <c r="AV258" s="7">
        <v>0</v>
      </c>
      <c r="AW258" s="10">
        <f t="shared" si="65"/>
        <v>90</v>
      </c>
      <c r="AX258" s="9">
        <f t="shared" si="66"/>
        <v>66.617198683025336</v>
      </c>
      <c r="AY258" s="9">
        <f t="shared" si="67"/>
        <v>63.078185162026138</v>
      </c>
      <c r="AZ258" s="9">
        <f t="shared" si="68"/>
        <v>73.225730142633282</v>
      </c>
      <c r="BA258" s="9">
        <f t="shared" si="69"/>
        <v>67.64037132922823</v>
      </c>
      <c r="BB258" s="9">
        <f t="shared" si="70"/>
        <v>202.92111398768478</v>
      </c>
      <c r="BC258" s="10">
        <f t="shared" si="78"/>
        <v>2</v>
      </c>
      <c r="BD258" s="10">
        <f t="shared" si="71"/>
        <v>5</v>
      </c>
      <c r="BE258" s="4">
        <f t="shared" si="74"/>
        <v>2.4096385542168677</v>
      </c>
      <c r="BF258" s="4">
        <f t="shared" si="75"/>
        <v>9.742674401308939</v>
      </c>
      <c r="BG258" s="7">
        <f t="shared" si="76"/>
        <v>2.4096385542168677</v>
      </c>
      <c r="BH258" s="5">
        <v>89</v>
      </c>
      <c r="BI258" s="3">
        <v>74.265168539325842</v>
      </c>
      <c r="BJ258" s="3">
        <v>50.712359550561807</v>
      </c>
      <c r="BK258" s="3">
        <v>60.776404494382014</v>
      </c>
      <c r="BL258" s="3">
        <v>61.917977528089857</v>
      </c>
      <c r="BM258" s="3">
        <v>185.75393258426968</v>
      </c>
      <c r="BN258" s="18">
        <v>2</v>
      </c>
      <c r="BO258" s="18">
        <v>5</v>
      </c>
      <c r="BP258" s="4">
        <v>1.1235955056179776</v>
      </c>
      <c r="BQ258" s="4">
        <v>23.59550561797753</v>
      </c>
      <c r="BR258" s="7">
        <v>10.112359550561798</v>
      </c>
      <c r="BS258" s="18"/>
      <c r="BT258" s="23">
        <v>147</v>
      </c>
    </row>
    <row r="259" spans="1:72" x14ac:dyDescent="0.25">
      <c r="A259" s="18">
        <v>254</v>
      </c>
      <c r="B259" s="18" t="s">
        <v>30</v>
      </c>
      <c r="C259" s="18">
        <v>152</v>
      </c>
      <c r="D259" s="21" t="s">
        <v>9</v>
      </c>
      <c r="E259" s="5"/>
      <c r="F259" s="3"/>
      <c r="G259" s="3"/>
      <c r="H259" s="3"/>
      <c r="I259" s="3" t="str">
        <f t="shared" si="63"/>
        <v/>
      </c>
      <c r="J259" s="3" t="str">
        <f t="shared" si="64"/>
        <v/>
      </c>
      <c r="K259" s="18" t="str">
        <f t="shared" si="77"/>
        <v/>
      </c>
      <c r="L259" s="18" t="str">
        <f t="shared" si="62"/>
        <v/>
      </c>
      <c r="M259" s="4"/>
      <c r="N259" s="4"/>
      <c r="O259" s="7"/>
      <c r="P259" s="5">
        <v>13</v>
      </c>
      <c r="Q259" s="3">
        <v>58.974358974358971</v>
      </c>
      <c r="R259" s="3">
        <v>39.07692307692308</v>
      </c>
      <c r="S259" s="3">
        <v>51.53846153846154</v>
      </c>
      <c r="T259" s="3">
        <v>49.863247863247871</v>
      </c>
      <c r="U259" s="3">
        <v>149.58974358974359</v>
      </c>
      <c r="V259" s="18">
        <v>24</v>
      </c>
      <c r="W259" s="18">
        <v>147</v>
      </c>
      <c r="X259" s="4">
        <v>0</v>
      </c>
      <c r="Y259" s="4">
        <v>38.46153846153846</v>
      </c>
      <c r="Z259" s="7">
        <v>46.153846153846153</v>
      </c>
      <c r="AA259" s="5">
        <v>12</v>
      </c>
      <c r="AB259" s="3">
        <v>52.205882352941188</v>
      </c>
      <c r="AC259" s="3">
        <v>32.666666666666664</v>
      </c>
      <c r="AD259" s="3">
        <v>52.020202020202021</v>
      </c>
      <c r="AE259" s="3">
        <v>45.630917013269958</v>
      </c>
      <c r="AF259" s="3">
        <v>136.89275103980987</v>
      </c>
      <c r="AG259" s="18">
        <v>25</v>
      </c>
      <c r="AH259" s="18">
        <v>145</v>
      </c>
      <c r="AI259" s="4">
        <v>16.666666666666668</v>
      </c>
      <c r="AJ259" s="4">
        <v>50</v>
      </c>
      <c r="AK259" s="7">
        <v>33.333333333333336</v>
      </c>
      <c r="AL259" s="5">
        <v>12</v>
      </c>
      <c r="AM259" s="3">
        <v>61.274509803921575</v>
      </c>
      <c r="AN259" s="3">
        <v>21.904761904761902</v>
      </c>
      <c r="AO259" s="3">
        <v>52.450980392156858</v>
      </c>
      <c r="AP259" s="3">
        <v>45.210084033613441</v>
      </c>
      <c r="AQ259" s="3">
        <v>135.63025210084032</v>
      </c>
      <c r="AR259" s="18">
        <v>29</v>
      </c>
      <c r="AS259" s="18">
        <v>210</v>
      </c>
      <c r="AT259" s="4">
        <v>8.3333333333333339</v>
      </c>
      <c r="AU259" s="4">
        <v>83.333333333333329</v>
      </c>
      <c r="AV259" s="7">
        <v>33.333333333333336</v>
      </c>
      <c r="AW259" s="10">
        <f t="shared" si="65"/>
        <v>12.333333333333334</v>
      </c>
      <c r="AX259" s="9">
        <f t="shared" si="66"/>
        <v>57.48491704374058</v>
      </c>
      <c r="AY259" s="9">
        <f t="shared" si="67"/>
        <v>31.216117216117215</v>
      </c>
      <c r="AZ259" s="9">
        <f t="shared" si="68"/>
        <v>52.00321465027347</v>
      </c>
      <c r="BA259" s="9">
        <f t="shared" si="69"/>
        <v>46.90141630337709</v>
      </c>
      <c r="BB259" s="9">
        <f t="shared" si="70"/>
        <v>140.70424891013127</v>
      </c>
      <c r="BC259" s="10">
        <f t="shared" si="78"/>
        <v>29</v>
      </c>
      <c r="BD259" s="10">
        <f t="shared" si="71"/>
        <v>164</v>
      </c>
      <c r="BE259" s="4">
        <f t="shared" si="74"/>
        <v>12.5</v>
      </c>
      <c r="BF259" s="4">
        <f t="shared" si="75"/>
        <v>66.666666666666657</v>
      </c>
      <c r="BG259" s="7">
        <f t="shared" si="76"/>
        <v>33.333333333333336</v>
      </c>
      <c r="BH259" s="5">
        <v>12</v>
      </c>
      <c r="BI259" s="3">
        <v>57.183333333333337</v>
      </c>
      <c r="BJ259" s="3">
        <v>28.333333333333332</v>
      </c>
      <c r="BK259" s="3">
        <v>51.466666666666661</v>
      </c>
      <c r="BL259" s="3">
        <v>45.661111111111119</v>
      </c>
      <c r="BM259" s="3">
        <v>136.98333333333332</v>
      </c>
      <c r="BN259" s="18">
        <v>20</v>
      </c>
      <c r="BO259" s="18">
        <v>85</v>
      </c>
      <c r="BP259" s="4">
        <v>8.3333333333333339</v>
      </c>
      <c r="BQ259" s="4">
        <v>66.666666666666671</v>
      </c>
      <c r="BR259" s="7">
        <v>33.333333333333336</v>
      </c>
      <c r="BS259" s="18"/>
      <c r="BT259" s="23">
        <v>152</v>
      </c>
    </row>
    <row r="260" spans="1:72" x14ac:dyDescent="0.25">
      <c r="A260" s="1">
        <v>255</v>
      </c>
      <c r="B260" s="18" t="s">
        <v>30</v>
      </c>
      <c r="C260" s="18">
        <v>165</v>
      </c>
      <c r="D260" s="21" t="s">
        <v>9</v>
      </c>
      <c r="E260" s="5"/>
      <c r="F260" s="3">
        <v>38</v>
      </c>
      <c r="G260" s="3">
        <v>33.200000000000003</v>
      </c>
      <c r="H260" s="3">
        <v>25.333333333333332</v>
      </c>
      <c r="I260" s="3">
        <f t="shared" si="63"/>
        <v>32.177777777777777</v>
      </c>
      <c r="J260" s="3">
        <f t="shared" si="64"/>
        <v>96.533333333333331</v>
      </c>
      <c r="K260" s="18">
        <f t="shared" si="77"/>
        <v>33</v>
      </c>
      <c r="L260" s="18">
        <f t="shared" si="62"/>
        <v>269</v>
      </c>
      <c r="M260" s="4"/>
      <c r="N260" s="4"/>
      <c r="O260" s="7"/>
      <c r="P260" s="5">
        <v>123</v>
      </c>
      <c r="Q260" s="3">
        <v>43.983739837398382</v>
      </c>
      <c r="R260" s="3">
        <v>45.886178861788615</v>
      </c>
      <c r="S260" s="3">
        <v>38.021680216802196</v>
      </c>
      <c r="T260" s="3">
        <v>42.630532971996395</v>
      </c>
      <c r="U260" s="3">
        <v>127.89159891598919</v>
      </c>
      <c r="V260" s="18">
        <v>34</v>
      </c>
      <c r="W260" s="18">
        <v>245</v>
      </c>
      <c r="X260" s="4">
        <v>24.390243902439025</v>
      </c>
      <c r="Y260" s="4">
        <v>31.707317073170731</v>
      </c>
      <c r="Z260" s="7">
        <v>41.463414634146339</v>
      </c>
      <c r="AA260" s="5">
        <v>138</v>
      </c>
      <c r="AB260" s="3">
        <v>33.2036947010209</v>
      </c>
      <c r="AC260" s="3">
        <v>39.140495867768593</v>
      </c>
      <c r="AD260" s="3">
        <v>37.499999999999986</v>
      </c>
      <c r="AE260" s="3">
        <v>36.597147950089131</v>
      </c>
      <c r="AF260" s="3">
        <v>109.84419056878947</v>
      </c>
      <c r="AG260" s="18">
        <v>35</v>
      </c>
      <c r="AH260" s="18">
        <v>251</v>
      </c>
      <c r="AI260" s="4">
        <v>47.107438016528924</v>
      </c>
      <c r="AJ260" s="4">
        <v>43.801652892561982</v>
      </c>
      <c r="AK260" s="7">
        <v>46.666666666666664</v>
      </c>
      <c r="AL260" s="5">
        <v>138</v>
      </c>
      <c r="AM260" s="3">
        <v>47.113798790544273</v>
      </c>
      <c r="AN260" s="3">
        <v>24.218958611481977</v>
      </c>
      <c r="AO260" s="3">
        <v>34.881803188565129</v>
      </c>
      <c r="AP260" s="3">
        <v>35.404853530197137</v>
      </c>
      <c r="AQ260" s="3">
        <v>106.21456059059138</v>
      </c>
      <c r="AR260" s="18">
        <v>36</v>
      </c>
      <c r="AS260" s="18">
        <v>290</v>
      </c>
      <c r="AT260" s="4">
        <v>25.233644859813083</v>
      </c>
      <c r="AU260" s="4">
        <v>70.09345794392523</v>
      </c>
      <c r="AV260" s="7">
        <v>54.205607476635514</v>
      </c>
      <c r="AW260" s="10">
        <f t="shared" si="65"/>
        <v>133</v>
      </c>
      <c r="AX260" s="9">
        <f t="shared" si="66"/>
        <v>41.433744442987852</v>
      </c>
      <c r="AY260" s="9">
        <f t="shared" si="67"/>
        <v>36.415211113679732</v>
      </c>
      <c r="AZ260" s="9">
        <f t="shared" si="68"/>
        <v>36.801161135122435</v>
      </c>
      <c r="BA260" s="9">
        <f t="shared" si="69"/>
        <v>38.210844817427557</v>
      </c>
      <c r="BB260" s="9">
        <f t="shared" si="70"/>
        <v>114.65011669179</v>
      </c>
      <c r="BC260" s="10">
        <f t="shared" si="78"/>
        <v>36</v>
      </c>
      <c r="BD260" s="10">
        <f t="shared" si="71"/>
        <v>281</v>
      </c>
      <c r="BE260" s="4">
        <f t="shared" si="74"/>
        <v>36.170541438171</v>
      </c>
      <c r="BF260" s="4">
        <f t="shared" si="75"/>
        <v>56.94755541824361</v>
      </c>
      <c r="BG260" s="7">
        <f t="shared" si="76"/>
        <v>50.436137071651089</v>
      </c>
      <c r="BH260" s="5">
        <v>134</v>
      </c>
      <c r="BI260" s="3">
        <v>48.587786259542</v>
      </c>
      <c r="BJ260" s="3">
        <v>23.826717557251918</v>
      </c>
      <c r="BK260" s="3">
        <v>32.842748091603028</v>
      </c>
      <c r="BL260" s="3">
        <v>35.085750636132317</v>
      </c>
      <c r="BM260" s="3">
        <v>105.2572519083969</v>
      </c>
      <c r="BN260" s="18">
        <v>36</v>
      </c>
      <c r="BO260" s="18">
        <v>252</v>
      </c>
      <c r="BP260" s="4">
        <v>22.900763358778626</v>
      </c>
      <c r="BQ260" s="4">
        <v>73.282442748091597</v>
      </c>
      <c r="BR260" s="7">
        <v>59.541984732824424</v>
      </c>
      <c r="BS260" s="18"/>
      <c r="BT260" s="23">
        <v>165</v>
      </c>
    </row>
    <row r="261" spans="1:72" x14ac:dyDescent="0.25">
      <c r="A261" s="18">
        <v>256</v>
      </c>
      <c r="B261" s="18" t="s">
        <v>30</v>
      </c>
      <c r="C261" s="18">
        <v>171</v>
      </c>
      <c r="D261" s="21" t="s">
        <v>9</v>
      </c>
      <c r="E261" s="5"/>
      <c r="F261" s="3">
        <v>54.333333333333336</v>
      </c>
      <c r="G261" s="3">
        <v>49.2</v>
      </c>
      <c r="H261" s="3">
        <v>42.333333333333336</v>
      </c>
      <c r="I261" s="3">
        <f t="shared" si="63"/>
        <v>48.622222222222227</v>
      </c>
      <c r="J261" s="3">
        <f t="shared" si="64"/>
        <v>145.86666666666667</v>
      </c>
      <c r="K261" s="18">
        <f t="shared" si="77"/>
        <v>19</v>
      </c>
      <c r="L261" s="18">
        <f t="shared" si="62"/>
        <v>95</v>
      </c>
      <c r="M261" s="4"/>
      <c r="N261" s="4"/>
      <c r="O261" s="7"/>
      <c r="P261" s="5">
        <v>111</v>
      </c>
      <c r="Q261" s="3">
        <v>58.258258258258252</v>
      </c>
      <c r="R261" s="3">
        <v>50.270270270270274</v>
      </c>
      <c r="S261" s="3">
        <v>61.531531531531535</v>
      </c>
      <c r="T261" s="3">
        <v>56.686686686686649</v>
      </c>
      <c r="U261" s="3">
        <v>170.06006006006007</v>
      </c>
      <c r="V261" s="18">
        <v>17</v>
      </c>
      <c r="W261" s="18">
        <v>84</v>
      </c>
      <c r="X261" s="4">
        <v>6.3063063063063067</v>
      </c>
      <c r="Y261" s="4">
        <v>20.72072072072072</v>
      </c>
      <c r="Z261" s="7">
        <v>15.315315315315315</v>
      </c>
      <c r="AA261" s="5">
        <v>121</v>
      </c>
      <c r="AB261" s="3">
        <v>51.140456182472988</v>
      </c>
      <c r="AC261" s="3">
        <v>47.134020618556704</v>
      </c>
      <c r="AD261" s="3">
        <v>54.451733833177137</v>
      </c>
      <c r="AE261" s="3">
        <v>51.043399177852955</v>
      </c>
      <c r="AF261" s="3">
        <v>152.72621063420684</v>
      </c>
      <c r="AG261" s="18">
        <v>19</v>
      </c>
      <c r="AH261" s="18">
        <v>86</v>
      </c>
      <c r="AI261" s="4">
        <v>18.367346938775512</v>
      </c>
      <c r="AJ261" s="4">
        <v>25.773195876288661</v>
      </c>
      <c r="AK261" s="7">
        <v>15.463917525773196</v>
      </c>
      <c r="AL261" s="5">
        <v>120</v>
      </c>
      <c r="AM261" s="3">
        <v>63.768870380010426</v>
      </c>
      <c r="AN261" s="3">
        <v>30.872313527180783</v>
      </c>
      <c r="AO261" s="3">
        <v>62.053571428571438</v>
      </c>
      <c r="AP261" s="3">
        <v>52.186609156937102</v>
      </c>
      <c r="AQ261" s="3">
        <v>156.69475533576264</v>
      </c>
      <c r="AR261" s="18">
        <v>24</v>
      </c>
      <c r="AS261" s="18">
        <v>113</v>
      </c>
      <c r="AT261" s="4">
        <v>2.6548672566371683</v>
      </c>
      <c r="AU261" s="4">
        <v>55.752212389380531</v>
      </c>
      <c r="AV261" s="7">
        <v>13.392857142857142</v>
      </c>
      <c r="AW261" s="10">
        <f t="shared" si="65"/>
        <v>117.33333333333333</v>
      </c>
      <c r="AX261" s="9">
        <f t="shared" si="66"/>
        <v>57.722528273580558</v>
      </c>
      <c r="AY261" s="9">
        <f t="shared" si="67"/>
        <v>42.75886813866925</v>
      </c>
      <c r="AZ261" s="9">
        <f t="shared" si="68"/>
        <v>59.345612264426705</v>
      </c>
      <c r="BA261" s="9">
        <f t="shared" si="69"/>
        <v>53.305565007158897</v>
      </c>
      <c r="BB261" s="9">
        <f t="shared" si="70"/>
        <v>159.82700867667651</v>
      </c>
      <c r="BC261" s="10">
        <f t="shared" si="78"/>
        <v>18</v>
      </c>
      <c r="BD261" s="10">
        <f t="shared" si="71"/>
        <v>87</v>
      </c>
      <c r="BE261" s="4">
        <f t="shared" si="74"/>
        <v>10.51110709770634</v>
      </c>
      <c r="BF261" s="4">
        <f t="shared" si="75"/>
        <v>40.7627041328346</v>
      </c>
      <c r="BG261" s="7">
        <f t="shared" si="76"/>
        <v>14.428387334315168</v>
      </c>
      <c r="BH261" s="5">
        <v>120</v>
      </c>
      <c r="BI261" s="3">
        <v>63.46134453781513</v>
      </c>
      <c r="BJ261" s="3">
        <v>35.394117647058835</v>
      </c>
      <c r="BK261" s="3">
        <v>53.883193277310937</v>
      </c>
      <c r="BL261" s="3">
        <v>50.912885154061634</v>
      </c>
      <c r="BM261" s="3">
        <v>152.73865546218485</v>
      </c>
      <c r="BN261" s="18">
        <v>9</v>
      </c>
      <c r="BO261" s="18">
        <v>28</v>
      </c>
      <c r="BP261" s="4">
        <v>10.084033613445378</v>
      </c>
      <c r="BQ261" s="4">
        <v>49.579831932773111</v>
      </c>
      <c r="BR261" s="7">
        <v>24.369747899159663</v>
      </c>
      <c r="BS261" s="18"/>
      <c r="BT261" s="23">
        <v>171</v>
      </c>
    </row>
    <row r="262" spans="1:72" x14ac:dyDescent="0.25">
      <c r="A262" s="18">
        <v>257</v>
      </c>
      <c r="B262" s="18" t="s">
        <v>30</v>
      </c>
      <c r="C262" s="18">
        <v>191</v>
      </c>
      <c r="D262" s="21" t="s">
        <v>9</v>
      </c>
      <c r="E262" s="5"/>
      <c r="F262" s="3">
        <v>55.666666666666664</v>
      </c>
      <c r="G262" s="3">
        <v>60.4</v>
      </c>
      <c r="H262" s="3">
        <v>56</v>
      </c>
      <c r="I262" s="3">
        <f t="shared" si="63"/>
        <v>57.355555555555554</v>
      </c>
      <c r="J262" s="3">
        <f t="shared" si="64"/>
        <v>172.06666666666666</v>
      </c>
      <c r="K262" s="18">
        <f t="shared" si="77"/>
        <v>7</v>
      </c>
      <c r="L262" s="18">
        <f t="shared" ref="L262:L328" si="79">IF(J262="","",(RANK(J262,$J$6:$J$535)))</f>
        <v>32</v>
      </c>
      <c r="M262" s="4"/>
      <c r="N262" s="4"/>
      <c r="O262" s="7"/>
      <c r="P262" s="5">
        <v>117</v>
      </c>
      <c r="Q262" s="3">
        <v>71.339031339031351</v>
      </c>
      <c r="R262" s="3">
        <v>66.051282051282058</v>
      </c>
      <c r="S262" s="3">
        <v>82.022792022792032</v>
      </c>
      <c r="T262" s="3">
        <v>73.13770180436849</v>
      </c>
      <c r="U262" s="3">
        <v>219.41310541310543</v>
      </c>
      <c r="V262" s="18">
        <v>2</v>
      </c>
      <c r="W262" s="18">
        <v>3</v>
      </c>
      <c r="X262" s="4">
        <v>0</v>
      </c>
      <c r="Y262" s="4">
        <v>3.4188034188034186</v>
      </c>
      <c r="Z262" s="7">
        <v>3.4188034188034186</v>
      </c>
      <c r="AA262" s="5">
        <v>130</v>
      </c>
      <c r="AB262" s="3">
        <v>62.82249742002066</v>
      </c>
      <c r="AC262" s="3">
        <v>60.982456140350877</v>
      </c>
      <c r="AD262" s="3">
        <v>73.870281765018674</v>
      </c>
      <c r="AE262" s="3">
        <v>65.891745108463397</v>
      </c>
      <c r="AF262" s="3">
        <v>197.67523532539019</v>
      </c>
      <c r="AG262" s="18">
        <v>2</v>
      </c>
      <c r="AH262" s="18">
        <v>6</v>
      </c>
      <c r="AI262" s="4">
        <v>0.8771929824561403</v>
      </c>
      <c r="AJ262" s="4">
        <v>10.526315789473685</v>
      </c>
      <c r="AK262" s="7">
        <v>3.5087719298245612</v>
      </c>
      <c r="AL262" s="5">
        <v>132</v>
      </c>
      <c r="AM262" s="3">
        <v>66.76470588235297</v>
      </c>
      <c r="AN262" s="3">
        <v>44.523809523809497</v>
      </c>
      <c r="AO262" s="3">
        <v>74.411764705882391</v>
      </c>
      <c r="AP262" s="3">
        <v>61.90009337068161</v>
      </c>
      <c r="AQ262" s="3">
        <v>185.70028011204488</v>
      </c>
      <c r="AR262" s="18">
        <v>8</v>
      </c>
      <c r="AS262" s="18">
        <v>32</v>
      </c>
      <c r="AT262" s="4">
        <v>5</v>
      </c>
      <c r="AU262" s="4">
        <v>26.666666666666668</v>
      </c>
      <c r="AV262" s="7">
        <v>4.166666666666667</v>
      </c>
      <c r="AW262" s="10">
        <f t="shared" si="65"/>
        <v>126.33333333333333</v>
      </c>
      <c r="AX262" s="9">
        <f t="shared" si="66"/>
        <v>66.975411547134982</v>
      </c>
      <c r="AY262" s="9">
        <f t="shared" si="67"/>
        <v>57.185849238480813</v>
      </c>
      <c r="AZ262" s="9">
        <f t="shared" si="68"/>
        <v>76.768279497897694</v>
      </c>
      <c r="BA262" s="9">
        <f t="shared" si="69"/>
        <v>66.97651342783783</v>
      </c>
      <c r="BB262" s="9">
        <f t="shared" si="70"/>
        <v>200.92954028351349</v>
      </c>
      <c r="BC262" s="10">
        <f t="shared" si="78"/>
        <v>3</v>
      </c>
      <c r="BD262" s="10">
        <f t="shared" si="71"/>
        <v>7</v>
      </c>
      <c r="BE262" s="4">
        <f t="shared" si="74"/>
        <v>2.9385964912280702</v>
      </c>
      <c r="BF262" s="4">
        <f t="shared" si="75"/>
        <v>18.596491228070178</v>
      </c>
      <c r="BG262" s="7">
        <f t="shared" si="76"/>
        <v>3.8377192982456139</v>
      </c>
      <c r="BH262" s="5">
        <v>133</v>
      </c>
      <c r="BI262" s="3">
        <v>64.857894736842098</v>
      </c>
      <c r="BJ262" s="3">
        <v>40.851879699248123</v>
      </c>
      <c r="BK262" s="3">
        <v>51.127067669172945</v>
      </c>
      <c r="BL262" s="3">
        <v>52.278947368421065</v>
      </c>
      <c r="BM262" s="3">
        <v>156.83684210526312</v>
      </c>
      <c r="BN262" s="18">
        <v>5</v>
      </c>
      <c r="BO262" s="18">
        <v>20</v>
      </c>
      <c r="BP262" s="4">
        <v>10.526315789473685</v>
      </c>
      <c r="BQ262" s="4">
        <v>40.601503759398497</v>
      </c>
      <c r="BR262" s="7">
        <v>26.315789473684209</v>
      </c>
      <c r="BS262" s="18"/>
      <c r="BT262" s="23">
        <v>191</v>
      </c>
    </row>
    <row r="263" spans="1:72" x14ac:dyDescent="0.25">
      <c r="A263" s="18">
        <v>258</v>
      </c>
      <c r="B263" s="18" t="s">
        <v>30</v>
      </c>
      <c r="C263" s="18">
        <v>194</v>
      </c>
      <c r="D263" s="21" t="s">
        <v>9</v>
      </c>
      <c r="E263" s="5"/>
      <c r="F263" s="3">
        <v>45</v>
      </c>
      <c r="G263" s="3">
        <v>59.2</v>
      </c>
      <c r="H263" s="3">
        <v>47</v>
      </c>
      <c r="I263" s="3">
        <f t="shared" ref="I263:I326" si="80">IF(F263="","",AVERAGE(F263:H263))</f>
        <v>50.4</v>
      </c>
      <c r="J263" s="3">
        <f t="shared" ref="J263:J326" si="81">IF(F263="","",SUM(F263:H263))</f>
        <v>151.19999999999999</v>
      </c>
      <c r="K263" s="18">
        <f t="shared" si="77"/>
        <v>16</v>
      </c>
      <c r="L263" s="18">
        <f t="shared" si="79"/>
        <v>75</v>
      </c>
      <c r="M263" s="4"/>
      <c r="N263" s="4"/>
      <c r="O263" s="7"/>
      <c r="P263" s="5">
        <v>112</v>
      </c>
      <c r="Q263" s="3">
        <v>54.999999999999993</v>
      </c>
      <c r="R263" s="3">
        <v>58</v>
      </c>
      <c r="S263" s="3">
        <v>61.249999999999993</v>
      </c>
      <c r="T263" s="3">
        <v>58.083333333333314</v>
      </c>
      <c r="U263" s="3">
        <v>174.25</v>
      </c>
      <c r="V263" s="18">
        <v>15</v>
      </c>
      <c r="W263" s="18">
        <v>70</v>
      </c>
      <c r="X263" s="4">
        <v>16.071428571428573</v>
      </c>
      <c r="Y263" s="4">
        <v>13.084112149532711</v>
      </c>
      <c r="Z263" s="7">
        <v>5.3571428571428568</v>
      </c>
      <c r="AA263" s="5">
        <v>118</v>
      </c>
      <c r="AB263" s="3">
        <v>49.89944695827046</v>
      </c>
      <c r="AC263" s="3">
        <v>56.376068376068375</v>
      </c>
      <c r="AD263" s="3">
        <v>54.260554260554287</v>
      </c>
      <c r="AE263" s="3">
        <v>53.512023198297712</v>
      </c>
      <c r="AF263" s="3">
        <v>160.53606959489312</v>
      </c>
      <c r="AG263" s="18">
        <v>14</v>
      </c>
      <c r="AH263" s="18">
        <v>62</v>
      </c>
      <c r="AI263" s="4">
        <v>24.786324786324787</v>
      </c>
      <c r="AJ263" s="4">
        <v>19.298245614035089</v>
      </c>
      <c r="AK263" s="7">
        <v>11.965811965811966</v>
      </c>
      <c r="AL263" s="5">
        <v>115</v>
      </c>
      <c r="AM263" s="3">
        <v>70.664961636828608</v>
      </c>
      <c r="AN263" s="3">
        <v>48.54658385093169</v>
      </c>
      <c r="AO263" s="3">
        <v>70.281329923273645</v>
      </c>
      <c r="AP263" s="3">
        <v>63.164291803677983</v>
      </c>
      <c r="AQ263" s="3">
        <v>189.49287541103394</v>
      </c>
      <c r="AR263" s="18">
        <v>4</v>
      </c>
      <c r="AS263" s="18">
        <v>26</v>
      </c>
      <c r="AT263" s="4">
        <v>0</v>
      </c>
      <c r="AU263" s="4">
        <v>19.130434782608695</v>
      </c>
      <c r="AV263" s="7">
        <v>1.7391304347826086</v>
      </c>
      <c r="AW263" s="10">
        <f t="shared" ref="AW263:AW326" si="82">AVERAGE(P263,AA263,AL263)</f>
        <v>115</v>
      </c>
      <c r="AX263" s="9">
        <f t="shared" ref="AX263:AX326" si="83">AVERAGE(Q263,AB263,AM263)</f>
        <v>58.521469531699687</v>
      </c>
      <c r="AY263" s="9">
        <f t="shared" ref="AY263:AY326" si="84">AVERAGE(R263,AC263,AN263)</f>
        <v>54.307550742333355</v>
      </c>
      <c r="AZ263" s="9">
        <f t="shared" ref="AZ263:AZ326" si="85">AVERAGE(S263,AD263,AO263)</f>
        <v>61.930628061275968</v>
      </c>
      <c r="BA263" s="9">
        <f t="shared" ref="BA263:BA326" si="86">AVERAGE(T263,AE263,AP263)</f>
        <v>58.253216111769667</v>
      </c>
      <c r="BB263" s="9">
        <f t="shared" ref="BB263:BB326" si="87">AVERAGE(U263,AF263,AQ263)</f>
        <v>174.75964833530898</v>
      </c>
      <c r="BC263" s="10">
        <f t="shared" si="78"/>
        <v>11</v>
      </c>
      <c r="BD263" s="10">
        <f t="shared" ref="BD263:BD326" si="88">IF(BB263="","",(RANK(BB263,$BB$6:$BB$535)))</f>
        <v>40</v>
      </c>
      <c r="BE263" s="4">
        <f t="shared" si="74"/>
        <v>12.393162393162394</v>
      </c>
      <c r="BF263" s="4">
        <f t="shared" si="75"/>
        <v>19.214340198321892</v>
      </c>
      <c r="BG263" s="7">
        <f t="shared" si="76"/>
        <v>6.8524712002972876</v>
      </c>
      <c r="BH263" s="5">
        <v>120</v>
      </c>
      <c r="BI263" s="3">
        <v>56.936974789915958</v>
      </c>
      <c r="BJ263" s="3">
        <v>28.115966386554629</v>
      </c>
      <c r="BK263" s="3">
        <v>38.628571428571433</v>
      </c>
      <c r="BL263" s="3">
        <v>41.227170868347315</v>
      </c>
      <c r="BM263" s="3">
        <v>123.68151260504197</v>
      </c>
      <c r="BN263" s="18">
        <v>29</v>
      </c>
      <c r="BO263" s="18">
        <v>143</v>
      </c>
      <c r="BP263" s="4">
        <v>15.126050420168067</v>
      </c>
      <c r="BQ263" s="4">
        <v>60.504201680672267</v>
      </c>
      <c r="BR263" s="7">
        <v>42.857142857142854</v>
      </c>
      <c r="BS263" s="18"/>
      <c r="BT263" s="23">
        <v>194</v>
      </c>
    </row>
    <row r="264" spans="1:72" x14ac:dyDescent="0.25">
      <c r="A264" s="18">
        <v>259</v>
      </c>
      <c r="B264" s="18" t="s">
        <v>30</v>
      </c>
      <c r="C264" s="18">
        <v>204</v>
      </c>
      <c r="D264" s="21" t="s">
        <v>9</v>
      </c>
      <c r="E264" s="5"/>
      <c r="F264" s="3">
        <v>60</v>
      </c>
      <c r="G264" s="3">
        <v>61.6</v>
      </c>
      <c r="H264" s="3">
        <v>53.333333333333336</v>
      </c>
      <c r="I264" s="3">
        <f t="shared" si="80"/>
        <v>58.31111111111111</v>
      </c>
      <c r="J264" s="3">
        <f t="shared" si="81"/>
        <v>174.93333333333334</v>
      </c>
      <c r="K264" s="18">
        <f t="shared" si="77"/>
        <v>6</v>
      </c>
      <c r="L264" s="18">
        <f t="shared" si="79"/>
        <v>28</v>
      </c>
      <c r="M264" s="4"/>
      <c r="N264" s="4"/>
      <c r="O264" s="7"/>
      <c r="P264" s="5">
        <v>118</v>
      </c>
      <c r="Q264" s="3">
        <v>58.361581920903966</v>
      </c>
      <c r="R264" s="3">
        <v>60.881355932203391</v>
      </c>
      <c r="S264" s="3">
        <v>69.491525423728845</v>
      </c>
      <c r="T264" s="3">
        <v>62.911487758945398</v>
      </c>
      <c r="U264" s="3">
        <v>188.73446327683621</v>
      </c>
      <c r="V264" s="18">
        <v>9</v>
      </c>
      <c r="W264" s="18">
        <v>38</v>
      </c>
      <c r="X264" s="4">
        <v>7.6271186440677967</v>
      </c>
      <c r="Y264" s="4">
        <v>6.8376068376068373</v>
      </c>
      <c r="Z264" s="7">
        <v>8.4745762711864412</v>
      </c>
      <c r="AA264" s="5">
        <v>117</v>
      </c>
      <c r="AB264" s="3">
        <v>53.669963560645499</v>
      </c>
      <c r="AC264" s="3">
        <v>64.530973451327441</v>
      </c>
      <c r="AD264" s="3">
        <v>62.724591043175174</v>
      </c>
      <c r="AE264" s="3">
        <v>60.308509351716054</v>
      </c>
      <c r="AF264" s="3">
        <v>180.92552805514811</v>
      </c>
      <c r="AG264" s="18">
        <v>6</v>
      </c>
      <c r="AH264" s="18">
        <v>24</v>
      </c>
      <c r="AI264" s="4">
        <v>7.9646017699115044</v>
      </c>
      <c r="AJ264" s="4">
        <v>7.9646017699115044</v>
      </c>
      <c r="AK264" s="7">
        <v>6.1946902654867255</v>
      </c>
      <c r="AL264" s="5">
        <v>116</v>
      </c>
      <c r="AM264" s="3">
        <v>66.799152093269754</v>
      </c>
      <c r="AN264" s="3">
        <v>48.728702490170349</v>
      </c>
      <c r="AO264" s="3">
        <v>62.263655462184886</v>
      </c>
      <c r="AP264" s="3">
        <v>59.062875150060016</v>
      </c>
      <c r="AQ264" s="3">
        <v>177.79151004562499</v>
      </c>
      <c r="AR264" s="18">
        <v>12</v>
      </c>
      <c r="AS264" s="18">
        <v>48</v>
      </c>
      <c r="AT264" s="4">
        <v>5.4054054054054053</v>
      </c>
      <c r="AU264" s="4">
        <v>25.688073394495412</v>
      </c>
      <c r="AV264" s="7">
        <v>11.607142857142858</v>
      </c>
      <c r="AW264" s="10">
        <f t="shared" si="82"/>
        <v>117</v>
      </c>
      <c r="AX264" s="9">
        <f t="shared" si="83"/>
        <v>59.61023252493974</v>
      </c>
      <c r="AY264" s="9">
        <f t="shared" si="84"/>
        <v>58.047010624567065</v>
      </c>
      <c r="AZ264" s="9">
        <f t="shared" si="85"/>
        <v>64.826590643029633</v>
      </c>
      <c r="BA264" s="9">
        <f t="shared" si="86"/>
        <v>60.760957420240487</v>
      </c>
      <c r="BB264" s="9">
        <f t="shared" si="87"/>
        <v>182.48383379253642</v>
      </c>
      <c r="BC264" s="10">
        <f t="shared" si="78"/>
        <v>10</v>
      </c>
      <c r="BD264" s="10">
        <f t="shared" si="88"/>
        <v>27</v>
      </c>
      <c r="BE264" s="4">
        <f t="shared" si="74"/>
        <v>6.6850035876584553</v>
      </c>
      <c r="BF264" s="4">
        <f t="shared" si="75"/>
        <v>16.826337582203458</v>
      </c>
      <c r="BG264" s="7">
        <f t="shared" si="76"/>
        <v>8.9009165613147907</v>
      </c>
      <c r="BH264" s="5">
        <v>115</v>
      </c>
      <c r="BI264" s="3">
        <v>64.34210526315789</v>
      </c>
      <c r="BJ264" s="3">
        <v>36.777192982456135</v>
      </c>
      <c r="BK264" s="3">
        <v>45.742982456140346</v>
      </c>
      <c r="BL264" s="3">
        <v>48.954093567251441</v>
      </c>
      <c r="BM264" s="3">
        <v>146.86228070175434</v>
      </c>
      <c r="BN264" s="18">
        <v>11</v>
      </c>
      <c r="BO264" s="18">
        <v>42</v>
      </c>
      <c r="BP264" s="4">
        <v>10.526315789473685</v>
      </c>
      <c r="BQ264" s="4">
        <v>48.245614035087719</v>
      </c>
      <c r="BR264" s="7">
        <v>33.333333333333336</v>
      </c>
      <c r="BS264" s="18"/>
      <c r="BT264" s="23">
        <v>204</v>
      </c>
    </row>
    <row r="265" spans="1:72" x14ac:dyDescent="0.25">
      <c r="A265" s="1">
        <v>260</v>
      </c>
      <c r="B265" s="18" t="s">
        <v>30</v>
      </c>
      <c r="C265" s="18">
        <v>221</v>
      </c>
      <c r="D265" s="21" t="s">
        <v>9</v>
      </c>
      <c r="E265" s="5"/>
      <c r="F265" s="3">
        <v>49.333333333333336</v>
      </c>
      <c r="G265" s="3">
        <v>48</v>
      </c>
      <c r="H265" s="3">
        <v>31.333333333333332</v>
      </c>
      <c r="I265" s="3">
        <f t="shared" si="80"/>
        <v>42.888888888888893</v>
      </c>
      <c r="J265" s="3">
        <f t="shared" si="81"/>
        <v>128.66666666666669</v>
      </c>
      <c r="K265" s="18">
        <f t="shared" si="77"/>
        <v>28</v>
      </c>
      <c r="L265" s="18">
        <f t="shared" si="79"/>
        <v>161</v>
      </c>
      <c r="M265" s="4"/>
      <c r="N265" s="4"/>
      <c r="O265" s="7"/>
      <c r="P265" s="5">
        <v>137</v>
      </c>
      <c r="Q265" s="3">
        <v>48.223844282238439</v>
      </c>
      <c r="R265" s="3">
        <v>44.788321167883211</v>
      </c>
      <c r="S265" s="3">
        <v>45.304136253041364</v>
      </c>
      <c r="T265" s="3">
        <v>46.105433901054319</v>
      </c>
      <c r="U265" s="3">
        <v>138.31630170316299</v>
      </c>
      <c r="V265" s="18">
        <v>30</v>
      </c>
      <c r="W265" s="18">
        <v>195</v>
      </c>
      <c r="X265" s="4">
        <v>19.708029197080293</v>
      </c>
      <c r="Y265" s="4">
        <v>27.737226277372262</v>
      </c>
      <c r="Z265" s="7">
        <v>27.737226277372262</v>
      </c>
      <c r="AA265" s="5">
        <v>149</v>
      </c>
      <c r="AB265" s="3">
        <v>40.169759178839328</v>
      </c>
      <c r="AC265" s="3">
        <v>34.067114093959731</v>
      </c>
      <c r="AD265" s="3">
        <v>36.343161343161306</v>
      </c>
      <c r="AE265" s="3">
        <v>36.819633364836655</v>
      </c>
      <c r="AF265" s="3">
        <v>110.58003461596036</v>
      </c>
      <c r="AG265" s="18">
        <v>34</v>
      </c>
      <c r="AH265" s="18">
        <v>250</v>
      </c>
      <c r="AI265" s="4">
        <v>37.583892617449663</v>
      </c>
      <c r="AJ265" s="4">
        <v>47.651006711409394</v>
      </c>
      <c r="AK265" s="7">
        <v>41.891891891891895</v>
      </c>
      <c r="AL265" s="5">
        <v>160</v>
      </c>
      <c r="AM265" s="3">
        <v>48.780959752321962</v>
      </c>
      <c r="AN265" s="3">
        <v>31.210526315789473</v>
      </c>
      <c r="AO265" s="3">
        <v>38.556618819776666</v>
      </c>
      <c r="AP265" s="3">
        <v>39.516034962629391</v>
      </c>
      <c r="AQ265" s="3">
        <v>118.54810488788812</v>
      </c>
      <c r="AR265" s="18">
        <v>34</v>
      </c>
      <c r="AS265" s="18">
        <v>266</v>
      </c>
      <c r="AT265" s="4">
        <v>23.684210526315791</v>
      </c>
      <c r="AU265" s="4">
        <v>40.131578947368418</v>
      </c>
      <c r="AV265" s="7">
        <v>36.842105263157897</v>
      </c>
      <c r="AW265" s="10">
        <f t="shared" si="82"/>
        <v>148.66666666666666</v>
      </c>
      <c r="AX265" s="9">
        <f t="shared" si="83"/>
        <v>45.724854404466576</v>
      </c>
      <c r="AY265" s="9">
        <f t="shared" si="84"/>
        <v>36.688653859210802</v>
      </c>
      <c r="AZ265" s="9">
        <f t="shared" si="85"/>
        <v>40.067972138659776</v>
      </c>
      <c r="BA265" s="9">
        <f t="shared" si="86"/>
        <v>40.813700742840119</v>
      </c>
      <c r="BB265" s="9">
        <f t="shared" si="87"/>
        <v>122.48148040233714</v>
      </c>
      <c r="BC265" s="10">
        <f t="shared" si="78"/>
        <v>33</v>
      </c>
      <c r="BD265" s="10">
        <f t="shared" si="88"/>
        <v>251</v>
      </c>
      <c r="BE265" s="4">
        <f t="shared" si="74"/>
        <v>30.634051571882729</v>
      </c>
      <c r="BF265" s="4">
        <f t="shared" si="75"/>
        <v>43.891292829388902</v>
      </c>
      <c r="BG265" s="7">
        <f t="shared" si="76"/>
        <v>39.366998577524896</v>
      </c>
      <c r="BH265" s="5">
        <v>158</v>
      </c>
      <c r="BI265" s="3">
        <v>53.285350318471345</v>
      </c>
      <c r="BJ265" s="3">
        <v>27.24840764331212</v>
      </c>
      <c r="BK265" s="3">
        <v>33.754140127388524</v>
      </c>
      <c r="BL265" s="3">
        <v>38.095966029723982</v>
      </c>
      <c r="BM265" s="3">
        <v>114.28789808917196</v>
      </c>
      <c r="BN265" s="18">
        <v>35</v>
      </c>
      <c r="BO265" s="18">
        <v>208</v>
      </c>
      <c r="BP265" s="4">
        <v>19.745222929936304</v>
      </c>
      <c r="BQ265" s="4">
        <v>61.783439490445858</v>
      </c>
      <c r="BR265" s="7">
        <v>51.592356687898089</v>
      </c>
      <c r="BS265" s="18"/>
      <c r="BT265" s="23">
        <v>221</v>
      </c>
    </row>
    <row r="266" spans="1:72" x14ac:dyDescent="0.25">
      <c r="A266" s="18">
        <v>261</v>
      </c>
      <c r="B266" s="18" t="s">
        <v>30</v>
      </c>
      <c r="C266" s="18">
        <v>245</v>
      </c>
      <c r="D266" s="21" t="s">
        <v>9</v>
      </c>
      <c r="E266" s="5"/>
      <c r="F266" s="3">
        <v>57.666666666666664</v>
      </c>
      <c r="G266" s="3">
        <v>44</v>
      </c>
      <c r="H266" s="3">
        <v>50.333333333333336</v>
      </c>
      <c r="I266" s="3">
        <f t="shared" si="80"/>
        <v>50.666666666666664</v>
      </c>
      <c r="J266" s="3">
        <f t="shared" si="81"/>
        <v>152</v>
      </c>
      <c r="K266" s="18">
        <f t="shared" si="77"/>
        <v>15</v>
      </c>
      <c r="L266" s="18">
        <f t="shared" si="79"/>
        <v>72</v>
      </c>
      <c r="M266" s="4"/>
      <c r="N266" s="4"/>
      <c r="O266" s="7"/>
      <c r="P266" s="5">
        <v>197</v>
      </c>
      <c r="Q266" s="3">
        <v>71.45516074450083</v>
      </c>
      <c r="R266" s="3">
        <v>63.573604060913702</v>
      </c>
      <c r="S266" s="3">
        <v>79.761904761904745</v>
      </c>
      <c r="T266" s="3">
        <v>71.583050847457656</v>
      </c>
      <c r="U266" s="3">
        <v>214.7906695673193</v>
      </c>
      <c r="V266" s="18">
        <v>3</v>
      </c>
      <c r="W266" s="18">
        <v>6</v>
      </c>
      <c r="X266" s="4">
        <v>7.1065989847715736</v>
      </c>
      <c r="Y266" s="4">
        <v>9.6446700507614214</v>
      </c>
      <c r="Z266" s="7">
        <v>2.0408163265306123</v>
      </c>
      <c r="AA266" s="5">
        <v>215</v>
      </c>
      <c r="AB266" s="3">
        <v>47.831253713606635</v>
      </c>
      <c r="AC266" s="3">
        <v>54.80808080808081</v>
      </c>
      <c r="AD266" s="3">
        <v>62.121212121212125</v>
      </c>
      <c r="AE266" s="3">
        <v>54.920182214299878</v>
      </c>
      <c r="AF266" s="3">
        <v>164.76054664289956</v>
      </c>
      <c r="AG266" s="18">
        <v>12</v>
      </c>
      <c r="AH266" s="18">
        <v>53</v>
      </c>
      <c r="AI266" s="4">
        <v>14.141414141414142</v>
      </c>
      <c r="AJ266" s="4">
        <v>20.105820105820104</v>
      </c>
      <c r="AK266" s="7">
        <v>12.121212121212121</v>
      </c>
      <c r="AL266" s="5">
        <v>215</v>
      </c>
      <c r="AM266" s="3">
        <v>64.539114614918162</v>
      </c>
      <c r="AN266" s="3">
        <v>52.167539267015705</v>
      </c>
      <c r="AO266" s="3">
        <v>69.19461999675903</v>
      </c>
      <c r="AP266" s="3">
        <v>62.103980986333987</v>
      </c>
      <c r="AQ266" s="3">
        <v>185.9012738786929</v>
      </c>
      <c r="AR266" s="18">
        <v>6</v>
      </c>
      <c r="AS266" s="18">
        <v>30</v>
      </c>
      <c r="AT266" s="4">
        <v>5.1546391752577323</v>
      </c>
      <c r="AU266" s="4">
        <v>18.421052631578949</v>
      </c>
      <c r="AV266" s="7">
        <v>5.882352941176471</v>
      </c>
      <c r="AW266" s="10">
        <f t="shared" si="82"/>
        <v>209</v>
      </c>
      <c r="AX266" s="9">
        <f t="shared" si="83"/>
        <v>61.275176357675207</v>
      </c>
      <c r="AY266" s="9">
        <f t="shared" si="84"/>
        <v>56.849741378670075</v>
      </c>
      <c r="AZ266" s="9">
        <f t="shared" si="85"/>
        <v>70.359245626625309</v>
      </c>
      <c r="BA266" s="9">
        <f t="shared" si="86"/>
        <v>62.869071349363843</v>
      </c>
      <c r="BB266" s="9">
        <f t="shared" si="87"/>
        <v>188.48416336297058</v>
      </c>
      <c r="BC266" s="10">
        <f t="shared" si="78"/>
        <v>6</v>
      </c>
      <c r="BD266" s="10">
        <f t="shared" si="88"/>
        <v>17</v>
      </c>
      <c r="BE266" s="4">
        <f t="shared" si="74"/>
        <v>9.6480266583359366</v>
      </c>
      <c r="BF266" s="4">
        <f t="shared" si="75"/>
        <v>19.263436368699526</v>
      </c>
      <c r="BG266" s="7">
        <f t="shared" si="76"/>
        <v>9.0017825311942961</v>
      </c>
      <c r="BH266" s="5">
        <v>215</v>
      </c>
      <c r="BI266" s="3">
        <v>66.382629107981273</v>
      </c>
      <c r="BJ266" s="3">
        <v>39.951173708920187</v>
      </c>
      <c r="BK266" s="3">
        <v>57.195305164319279</v>
      </c>
      <c r="BL266" s="3">
        <v>54.50970266040688</v>
      </c>
      <c r="BM266" s="3">
        <v>163.52910798122068</v>
      </c>
      <c r="BN266" s="18">
        <v>3</v>
      </c>
      <c r="BO266" s="18">
        <v>12</v>
      </c>
      <c r="BP266" s="4">
        <v>7.042253521126761</v>
      </c>
      <c r="BQ266" s="4">
        <v>40.845070422535208</v>
      </c>
      <c r="BR266" s="7">
        <v>19.718309859154928</v>
      </c>
      <c r="BS266" s="18"/>
      <c r="BT266" s="23">
        <v>245</v>
      </c>
    </row>
    <row r="267" spans="1:72" x14ac:dyDescent="0.25">
      <c r="A267" s="18">
        <v>262</v>
      </c>
      <c r="B267" s="18" t="s">
        <v>30</v>
      </c>
      <c r="C267" s="18">
        <v>249</v>
      </c>
      <c r="D267" s="21" t="s">
        <v>9</v>
      </c>
      <c r="E267" s="5"/>
      <c r="F267" s="3">
        <v>45.333333333333336</v>
      </c>
      <c r="G267" s="3">
        <v>39.6</v>
      </c>
      <c r="H267" s="3">
        <v>33</v>
      </c>
      <c r="I267" s="3">
        <f t="shared" si="80"/>
        <v>39.31111111111111</v>
      </c>
      <c r="J267" s="3">
        <f t="shared" si="81"/>
        <v>117.93333333333334</v>
      </c>
      <c r="K267" s="18">
        <f t="shared" si="77"/>
        <v>31</v>
      </c>
      <c r="L267" s="18">
        <f t="shared" si="79"/>
        <v>203</v>
      </c>
      <c r="M267" s="4"/>
      <c r="N267" s="4"/>
      <c r="O267" s="7"/>
      <c r="P267" s="5">
        <v>130</v>
      </c>
      <c r="Q267" s="3">
        <v>45.820512820512825</v>
      </c>
      <c r="R267" s="3">
        <v>42.8</v>
      </c>
      <c r="S267" s="3">
        <v>46.230769230769226</v>
      </c>
      <c r="T267" s="3">
        <v>44.950427350427354</v>
      </c>
      <c r="U267" s="3">
        <v>134.85128205128206</v>
      </c>
      <c r="V267" s="18">
        <v>31</v>
      </c>
      <c r="W267" s="18">
        <v>209</v>
      </c>
      <c r="X267" s="4">
        <v>27.692307692307693</v>
      </c>
      <c r="Y267" s="4">
        <v>31.782945736434108</v>
      </c>
      <c r="Z267" s="7">
        <v>30.76923076923077</v>
      </c>
      <c r="AA267" s="5">
        <v>149</v>
      </c>
      <c r="AB267" s="3">
        <v>35.384615384615415</v>
      </c>
      <c r="AC267" s="3">
        <v>34.615384615384613</v>
      </c>
      <c r="AD267" s="3">
        <v>41.631701631701596</v>
      </c>
      <c r="AE267" s="3">
        <v>37.210567210567213</v>
      </c>
      <c r="AF267" s="3">
        <v>111.63170163170162</v>
      </c>
      <c r="AG267" s="18">
        <v>33</v>
      </c>
      <c r="AH267" s="18">
        <v>245</v>
      </c>
      <c r="AI267" s="4">
        <v>39.230769230769234</v>
      </c>
      <c r="AJ267" s="4">
        <v>48.46153846153846</v>
      </c>
      <c r="AK267" s="7">
        <v>40.769230769230766</v>
      </c>
      <c r="AL267" s="5">
        <v>123</v>
      </c>
      <c r="AM267" s="3">
        <v>49.851705388037551</v>
      </c>
      <c r="AN267" s="3">
        <v>21.269841269841272</v>
      </c>
      <c r="AO267" s="3">
        <v>48.34404349975285</v>
      </c>
      <c r="AP267" s="3">
        <v>39.912788644869714</v>
      </c>
      <c r="AQ267" s="3">
        <v>119.46559015763168</v>
      </c>
      <c r="AR267" s="18">
        <v>33</v>
      </c>
      <c r="AS267" s="18">
        <v>264</v>
      </c>
      <c r="AT267" s="4">
        <v>23.529411764705884</v>
      </c>
      <c r="AU267" s="4">
        <v>76.92307692307692</v>
      </c>
      <c r="AV267" s="7">
        <v>37.815126050420169</v>
      </c>
      <c r="AW267" s="10">
        <f t="shared" si="82"/>
        <v>134</v>
      </c>
      <c r="AX267" s="9">
        <f t="shared" si="83"/>
        <v>43.685611197721926</v>
      </c>
      <c r="AY267" s="9">
        <f t="shared" si="84"/>
        <v>32.895075295075294</v>
      </c>
      <c r="AZ267" s="9">
        <f t="shared" si="85"/>
        <v>45.402171454074555</v>
      </c>
      <c r="BA267" s="9">
        <f t="shared" si="86"/>
        <v>40.691261068621429</v>
      </c>
      <c r="BB267" s="9">
        <f t="shared" si="87"/>
        <v>121.98285794687179</v>
      </c>
      <c r="BC267" s="10">
        <f t="shared" si="78"/>
        <v>34</v>
      </c>
      <c r="BD267" s="10">
        <f t="shared" si="88"/>
        <v>254</v>
      </c>
      <c r="BE267" s="4">
        <f t="shared" si="74"/>
        <v>31.380090497737559</v>
      </c>
      <c r="BF267" s="4">
        <f t="shared" si="75"/>
        <v>62.692307692307693</v>
      </c>
      <c r="BG267" s="7">
        <f t="shared" si="76"/>
        <v>39.292178409825468</v>
      </c>
      <c r="BH267" s="5">
        <v>134</v>
      </c>
      <c r="BI267" s="3">
        <v>55.13134328358209</v>
      </c>
      <c r="BJ267" s="3">
        <v>29.696268656716434</v>
      </c>
      <c r="BK267" s="3">
        <v>43.259701492537317</v>
      </c>
      <c r="BL267" s="3">
        <v>42.695771144278602</v>
      </c>
      <c r="BM267" s="3">
        <v>128.0873134328358</v>
      </c>
      <c r="BN267" s="18">
        <v>25</v>
      </c>
      <c r="BO267" s="18">
        <v>125</v>
      </c>
      <c r="BP267" s="4">
        <v>19.402985074626866</v>
      </c>
      <c r="BQ267" s="4">
        <v>59.701492537313435</v>
      </c>
      <c r="BR267" s="7">
        <v>41.044776119402982</v>
      </c>
      <c r="BS267" s="18"/>
      <c r="BT267" s="23">
        <v>249</v>
      </c>
    </row>
    <row r="268" spans="1:72" x14ac:dyDescent="0.25">
      <c r="A268" s="18">
        <v>263</v>
      </c>
      <c r="B268" s="18" t="s">
        <v>30</v>
      </c>
      <c r="C268" s="18">
        <v>254</v>
      </c>
      <c r="D268" s="21" t="s">
        <v>9</v>
      </c>
      <c r="E268" s="5"/>
      <c r="F268" s="3">
        <v>50.666666666666664</v>
      </c>
      <c r="G268" s="3">
        <v>38.4</v>
      </c>
      <c r="H268" s="3">
        <v>43</v>
      </c>
      <c r="I268" s="3">
        <f t="shared" si="80"/>
        <v>44.022222222222219</v>
      </c>
      <c r="J268" s="3">
        <f t="shared" si="81"/>
        <v>132.06666666666666</v>
      </c>
      <c r="K268" s="18">
        <f t="shared" si="77"/>
        <v>26</v>
      </c>
      <c r="L268" s="18">
        <f t="shared" si="79"/>
        <v>151</v>
      </c>
      <c r="M268" s="4"/>
      <c r="N268" s="4"/>
      <c r="O268" s="7"/>
      <c r="P268" s="5">
        <v>73</v>
      </c>
      <c r="Q268" s="3">
        <v>47.031963470319624</v>
      </c>
      <c r="R268" s="3">
        <v>36.164383561643838</v>
      </c>
      <c r="S268" s="3">
        <v>50.091324200913242</v>
      </c>
      <c r="T268" s="3">
        <v>44.429223744292266</v>
      </c>
      <c r="U268" s="3">
        <v>133.2876712328767</v>
      </c>
      <c r="V268" s="18">
        <v>32</v>
      </c>
      <c r="W268" s="18">
        <v>221</v>
      </c>
      <c r="X268" s="4">
        <v>24.657534246575342</v>
      </c>
      <c r="Y268" s="4">
        <v>50.684931506849317</v>
      </c>
      <c r="Z268" s="7">
        <v>28.767123287671232</v>
      </c>
      <c r="AA268" s="5">
        <v>78</v>
      </c>
      <c r="AB268" s="3">
        <v>42.345399698340898</v>
      </c>
      <c r="AC268" s="3">
        <v>42.820512820512818</v>
      </c>
      <c r="AD268" s="3">
        <v>50.932400932400917</v>
      </c>
      <c r="AE268" s="3">
        <v>45.366104483751535</v>
      </c>
      <c r="AF268" s="3">
        <v>136.09831345125463</v>
      </c>
      <c r="AG268" s="18">
        <v>26</v>
      </c>
      <c r="AH268" s="18">
        <v>151</v>
      </c>
      <c r="AI268" s="4">
        <v>24.358974358974358</v>
      </c>
      <c r="AJ268" s="4">
        <v>33.333333333333336</v>
      </c>
      <c r="AK268" s="7">
        <v>29.487179487179485</v>
      </c>
      <c r="AL268" s="5">
        <v>79</v>
      </c>
      <c r="AM268" s="3">
        <v>54.765450483991046</v>
      </c>
      <c r="AN268" s="3">
        <v>25.75045207956601</v>
      </c>
      <c r="AO268" s="3">
        <v>55.621742367833221</v>
      </c>
      <c r="AP268" s="3">
        <v>45.379214977130083</v>
      </c>
      <c r="AQ268" s="3">
        <v>136.1376449313903</v>
      </c>
      <c r="AR268" s="18">
        <v>27</v>
      </c>
      <c r="AS268" s="18">
        <v>206</v>
      </c>
      <c r="AT268" s="4">
        <v>20.512820512820515</v>
      </c>
      <c r="AU268" s="4">
        <v>67.088607594936704</v>
      </c>
      <c r="AV268" s="7">
        <v>26.582278481012658</v>
      </c>
      <c r="AW268" s="10">
        <f t="shared" si="82"/>
        <v>76.666666666666671</v>
      </c>
      <c r="AX268" s="9">
        <f t="shared" si="83"/>
        <v>48.047604550883854</v>
      </c>
      <c r="AY268" s="9">
        <f t="shared" si="84"/>
        <v>34.911782820574217</v>
      </c>
      <c r="AZ268" s="9">
        <f t="shared" si="85"/>
        <v>52.215155833715791</v>
      </c>
      <c r="BA268" s="9">
        <f t="shared" si="86"/>
        <v>45.058181068391292</v>
      </c>
      <c r="BB268" s="9">
        <f t="shared" si="87"/>
        <v>135.17454320517388</v>
      </c>
      <c r="BC268" s="10">
        <f t="shared" si="78"/>
        <v>31</v>
      </c>
      <c r="BD268" s="10">
        <f t="shared" si="88"/>
        <v>196</v>
      </c>
      <c r="BE268" s="4">
        <f t="shared" si="74"/>
        <v>22.435897435897438</v>
      </c>
      <c r="BF268" s="4">
        <f t="shared" si="75"/>
        <v>50.210970464135016</v>
      </c>
      <c r="BG268" s="7">
        <f t="shared" si="76"/>
        <v>28.03472898409607</v>
      </c>
      <c r="BH268" s="5">
        <v>81</v>
      </c>
      <c r="BI268" s="3">
        <v>60.023456790123454</v>
      </c>
      <c r="BJ268" s="3">
        <v>32.050617283950629</v>
      </c>
      <c r="BK268" s="3">
        <v>47.751851851851846</v>
      </c>
      <c r="BL268" s="3">
        <v>46.60864197530865</v>
      </c>
      <c r="BM268" s="3">
        <v>139.82592592592604</v>
      </c>
      <c r="BN268" s="18">
        <v>14</v>
      </c>
      <c r="BO268" s="18">
        <v>67</v>
      </c>
      <c r="BP268" s="4">
        <v>12.345679012345679</v>
      </c>
      <c r="BQ268" s="4">
        <v>56.790123456790127</v>
      </c>
      <c r="BR268" s="7">
        <v>32.098765432098766</v>
      </c>
      <c r="BS268" s="18"/>
      <c r="BT268" s="23">
        <v>254</v>
      </c>
    </row>
    <row r="269" spans="1:72" x14ac:dyDescent="0.25">
      <c r="A269" s="18">
        <v>264</v>
      </c>
      <c r="B269" s="18" t="s">
        <v>30</v>
      </c>
      <c r="C269" s="18">
        <v>257</v>
      </c>
      <c r="D269" s="21" t="s">
        <v>9</v>
      </c>
      <c r="E269" s="5"/>
      <c r="F269" s="3">
        <v>66</v>
      </c>
      <c r="G269" s="3">
        <v>44</v>
      </c>
      <c r="H269" s="3">
        <v>32.333333333333329</v>
      </c>
      <c r="I269" s="3">
        <f t="shared" si="80"/>
        <v>47.444444444444436</v>
      </c>
      <c r="J269" s="3">
        <f t="shared" si="81"/>
        <v>142.33333333333331</v>
      </c>
      <c r="K269" s="18">
        <f t="shared" si="77"/>
        <v>22</v>
      </c>
      <c r="L269" s="18">
        <f t="shared" si="79"/>
        <v>117</v>
      </c>
      <c r="M269" s="4"/>
      <c r="N269" s="4"/>
      <c r="O269" s="7"/>
      <c r="P269" s="5">
        <v>151</v>
      </c>
      <c r="Q269" s="3">
        <v>60.596026490066201</v>
      </c>
      <c r="R269" s="3">
        <v>59.099337748344368</v>
      </c>
      <c r="S269" s="3">
        <v>67.991169977924912</v>
      </c>
      <c r="T269" s="3">
        <v>62.562178072111884</v>
      </c>
      <c r="U269" s="3">
        <v>187.68653421633547</v>
      </c>
      <c r="V269" s="18">
        <v>10</v>
      </c>
      <c r="W269" s="18">
        <v>40</v>
      </c>
      <c r="X269" s="4">
        <v>8.6092715231788084</v>
      </c>
      <c r="Y269" s="4">
        <v>13.907284768211921</v>
      </c>
      <c r="Z269" s="7">
        <v>11.258278145695364</v>
      </c>
      <c r="AA269" s="5">
        <v>164</v>
      </c>
      <c r="AB269" s="3">
        <v>47.761746207917078</v>
      </c>
      <c r="AC269" s="3">
        <v>54.465408805031444</v>
      </c>
      <c r="AD269" s="3">
        <v>55.4983800266819</v>
      </c>
      <c r="AE269" s="3">
        <v>52.575178346543538</v>
      </c>
      <c r="AF269" s="3">
        <v>157.72553503963042</v>
      </c>
      <c r="AG269" s="18">
        <v>17</v>
      </c>
      <c r="AH269" s="18">
        <v>71</v>
      </c>
      <c r="AI269" s="4">
        <v>15.09433962264151</v>
      </c>
      <c r="AJ269" s="4">
        <v>15.384615384615385</v>
      </c>
      <c r="AK269" s="7">
        <v>15.09433962264151</v>
      </c>
      <c r="AL269" s="5">
        <v>164</v>
      </c>
      <c r="AM269" s="3">
        <v>64.206074586697426</v>
      </c>
      <c r="AN269" s="3">
        <v>41.531279178337989</v>
      </c>
      <c r="AO269" s="3">
        <v>64.052287581699318</v>
      </c>
      <c r="AP269" s="3">
        <v>56.596547115578289</v>
      </c>
      <c r="AQ269" s="3">
        <v>169.78964134673473</v>
      </c>
      <c r="AR269" s="18">
        <v>16</v>
      </c>
      <c r="AS269" s="18">
        <v>67</v>
      </c>
      <c r="AT269" s="4">
        <v>7.8431372549019605</v>
      </c>
      <c r="AU269" s="4">
        <v>33.986928104575163</v>
      </c>
      <c r="AV269" s="7">
        <v>7.1895424836601309</v>
      </c>
      <c r="AW269" s="10">
        <f t="shared" si="82"/>
        <v>159.66666666666666</v>
      </c>
      <c r="AX269" s="9">
        <f t="shared" si="83"/>
        <v>57.521282428226904</v>
      </c>
      <c r="AY269" s="9">
        <f t="shared" si="84"/>
        <v>51.698675243904603</v>
      </c>
      <c r="AZ269" s="9">
        <f t="shared" si="85"/>
        <v>62.513945862102048</v>
      </c>
      <c r="BA269" s="9">
        <f t="shared" si="86"/>
        <v>57.244634511411242</v>
      </c>
      <c r="BB269" s="9">
        <f t="shared" si="87"/>
        <v>171.73390353423352</v>
      </c>
      <c r="BC269" s="10">
        <f t="shared" si="78"/>
        <v>14</v>
      </c>
      <c r="BD269" s="10">
        <f t="shared" si="88"/>
        <v>53</v>
      </c>
      <c r="BE269" s="4">
        <f t="shared" si="74"/>
        <v>11.468738438771735</v>
      </c>
      <c r="BF269" s="4">
        <f t="shared" si="75"/>
        <v>24.685771744595275</v>
      </c>
      <c r="BG269" s="7">
        <f t="shared" si="76"/>
        <v>11.14194105315082</v>
      </c>
      <c r="BH269" s="5">
        <v>165</v>
      </c>
      <c r="BI269" s="3">
        <v>59.407975460122685</v>
      </c>
      <c r="BJ269" s="3">
        <v>34.205521472392633</v>
      </c>
      <c r="BK269" s="3">
        <v>44.85828220858896</v>
      </c>
      <c r="BL269" s="3">
        <v>46.157259713701421</v>
      </c>
      <c r="BM269" s="3">
        <v>138.47177914110429</v>
      </c>
      <c r="BN269" s="18">
        <v>18</v>
      </c>
      <c r="BO269" s="18">
        <v>78</v>
      </c>
      <c r="BP269" s="4">
        <v>12.269938650306749</v>
      </c>
      <c r="BQ269" s="4">
        <v>50.306748466257666</v>
      </c>
      <c r="BR269" s="7">
        <v>35.582822085889568</v>
      </c>
      <c r="BS269" s="18"/>
      <c r="BT269" s="23">
        <v>257</v>
      </c>
    </row>
    <row r="270" spans="1:72" x14ac:dyDescent="0.25">
      <c r="A270" s="1">
        <v>265</v>
      </c>
      <c r="B270" s="18" t="s">
        <v>30</v>
      </c>
      <c r="C270" s="18">
        <v>260</v>
      </c>
      <c r="D270" s="21" t="s">
        <v>9</v>
      </c>
      <c r="E270" s="5"/>
      <c r="F270" s="3">
        <v>40</v>
      </c>
      <c r="G270" s="3">
        <v>34.4</v>
      </c>
      <c r="H270" s="3">
        <v>35</v>
      </c>
      <c r="I270" s="3">
        <f t="shared" si="80"/>
        <v>36.466666666666669</v>
      </c>
      <c r="J270" s="3">
        <f t="shared" si="81"/>
        <v>109.4</v>
      </c>
      <c r="K270" s="18">
        <f t="shared" si="77"/>
        <v>32</v>
      </c>
      <c r="L270" s="18">
        <f t="shared" si="79"/>
        <v>231</v>
      </c>
      <c r="M270" s="4"/>
      <c r="N270" s="4"/>
      <c r="O270" s="7"/>
      <c r="P270" s="5">
        <v>53</v>
      </c>
      <c r="Q270" s="3">
        <v>40.188679245283019</v>
      </c>
      <c r="R270" s="3">
        <v>42.490566037735846</v>
      </c>
      <c r="S270" s="3">
        <v>43.8888888888889</v>
      </c>
      <c r="T270" s="3">
        <v>41.985915492957758</v>
      </c>
      <c r="U270" s="3">
        <v>126.56813417190777</v>
      </c>
      <c r="V270" s="18">
        <v>35</v>
      </c>
      <c r="W270" s="18">
        <v>254</v>
      </c>
      <c r="X270" s="4">
        <v>37.735849056603776</v>
      </c>
      <c r="Y270" s="4">
        <v>37.735849056603776</v>
      </c>
      <c r="Z270" s="7">
        <v>33.333333333333336</v>
      </c>
      <c r="AA270" s="5">
        <v>52</v>
      </c>
      <c r="AB270" s="3">
        <v>38.411764705882355</v>
      </c>
      <c r="AC270" s="3">
        <v>48.32</v>
      </c>
      <c r="AD270" s="3">
        <v>43.045843045843036</v>
      </c>
      <c r="AE270" s="3">
        <v>43.060546642899581</v>
      </c>
      <c r="AF270" s="3">
        <v>129.77760775172538</v>
      </c>
      <c r="AG270" s="18">
        <v>28</v>
      </c>
      <c r="AH270" s="18">
        <v>176</v>
      </c>
      <c r="AI270" s="4">
        <v>30</v>
      </c>
      <c r="AJ270" s="4">
        <v>22</v>
      </c>
      <c r="AK270" s="7">
        <v>35.897435897435898</v>
      </c>
      <c r="AL270" s="5">
        <v>53</v>
      </c>
      <c r="AM270" s="3">
        <v>69.377162629757777</v>
      </c>
      <c r="AN270" s="3">
        <v>35.29411764705884</v>
      </c>
      <c r="AO270" s="3">
        <v>70.924369747899149</v>
      </c>
      <c r="AP270" s="3">
        <v>56.123743615093112</v>
      </c>
      <c r="AQ270" s="3">
        <v>175.59565002471578</v>
      </c>
      <c r="AR270" s="18">
        <v>13</v>
      </c>
      <c r="AS270" s="18">
        <v>53</v>
      </c>
      <c r="AT270" s="4">
        <v>4</v>
      </c>
      <c r="AU270" s="4">
        <v>35.294117647058826</v>
      </c>
      <c r="AV270" s="7">
        <v>8.5714285714285712</v>
      </c>
      <c r="AW270" s="10">
        <f t="shared" si="82"/>
        <v>52.666666666666664</v>
      </c>
      <c r="AX270" s="9">
        <f t="shared" si="83"/>
        <v>49.325868860307715</v>
      </c>
      <c r="AY270" s="9">
        <f t="shared" si="84"/>
        <v>42.034894561598229</v>
      </c>
      <c r="AZ270" s="9">
        <f t="shared" si="85"/>
        <v>52.619700560877028</v>
      </c>
      <c r="BA270" s="9">
        <f t="shared" si="86"/>
        <v>47.056735250316819</v>
      </c>
      <c r="BB270" s="9">
        <f t="shared" si="87"/>
        <v>143.98046398278299</v>
      </c>
      <c r="BC270" s="10">
        <f t="shared" si="78"/>
        <v>24</v>
      </c>
      <c r="BD270" s="10">
        <f t="shared" si="88"/>
        <v>149</v>
      </c>
      <c r="BE270" s="4">
        <f t="shared" si="74"/>
        <v>17</v>
      </c>
      <c r="BF270" s="4">
        <f t="shared" si="75"/>
        <v>28.647058823529413</v>
      </c>
      <c r="BG270" s="7">
        <f t="shared" si="76"/>
        <v>22.234432234432234</v>
      </c>
      <c r="BH270" s="5">
        <v>52</v>
      </c>
      <c r="BI270" s="3">
        <v>59.04807692307692</v>
      </c>
      <c r="BJ270" s="3">
        <v>31.161538461538463</v>
      </c>
      <c r="BK270" s="3">
        <v>40.548076923076913</v>
      </c>
      <c r="BL270" s="3">
        <v>43.585897435897436</v>
      </c>
      <c r="BM270" s="3">
        <v>130.75769230769231</v>
      </c>
      <c r="BN270" s="18">
        <v>23</v>
      </c>
      <c r="BO270" s="18">
        <v>106</v>
      </c>
      <c r="BP270" s="4">
        <v>11.538461538461538</v>
      </c>
      <c r="BQ270" s="4">
        <v>61.53846153846154</v>
      </c>
      <c r="BR270" s="7">
        <v>48.07692307692308</v>
      </c>
      <c r="BS270" s="18"/>
      <c r="BT270" s="23">
        <v>260</v>
      </c>
    </row>
    <row r="271" spans="1:72" x14ac:dyDescent="0.25">
      <c r="A271" s="18">
        <v>266</v>
      </c>
      <c r="B271" s="18" t="s">
        <v>30</v>
      </c>
      <c r="C271" s="18">
        <v>261</v>
      </c>
      <c r="D271" s="21" t="s">
        <v>11</v>
      </c>
      <c r="E271" s="5"/>
      <c r="F271" s="3">
        <v>71.666666666666671</v>
      </c>
      <c r="G271" s="3">
        <v>74.8</v>
      </c>
      <c r="H271" s="3">
        <v>73.333333333333329</v>
      </c>
      <c r="I271" s="3">
        <f t="shared" si="80"/>
        <v>73.266666666666666</v>
      </c>
      <c r="J271" s="3">
        <f t="shared" si="81"/>
        <v>219.8</v>
      </c>
      <c r="K271" s="18">
        <f t="shared" si="77"/>
        <v>1</v>
      </c>
      <c r="L271" s="18">
        <f t="shared" si="79"/>
        <v>1</v>
      </c>
      <c r="M271" s="4"/>
      <c r="N271" s="4"/>
      <c r="O271" s="7"/>
      <c r="P271" s="5">
        <v>121</v>
      </c>
      <c r="Q271" s="3">
        <v>65.509641873278227</v>
      </c>
      <c r="R271" s="3">
        <v>61.123966942148762</v>
      </c>
      <c r="S271" s="3">
        <v>75.564738292011043</v>
      </c>
      <c r="T271" s="3">
        <v>67.399449035812623</v>
      </c>
      <c r="U271" s="3">
        <v>202.19834710743802</v>
      </c>
      <c r="V271" s="18">
        <v>5</v>
      </c>
      <c r="W271" s="18">
        <v>11</v>
      </c>
      <c r="X271" s="4">
        <v>9.9173553719008272</v>
      </c>
      <c r="Y271" s="4">
        <v>14.87603305785124</v>
      </c>
      <c r="Z271" s="7">
        <v>9.0909090909090917</v>
      </c>
      <c r="AA271" s="5">
        <v>122</v>
      </c>
      <c r="AB271" s="3">
        <v>50.4821600771456</v>
      </c>
      <c r="AC271" s="3">
        <v>62.754098360655739</v>
      </c>
      <c r="AD271" s="3">
        <v>60.307998012916073</v>
      </c>
      <c r="AE271" s="3">
        <v>57.848085483572468</v>
      </c>
      <c r="AF271" s="3">
        <v>173.5442564507174</v>
      </c>
      <c r="AG271" s="18">
        <v>8</v>
      </c>
      <c r="AH271" s="18">
        <v>36</v>
      </c>
      <c r="AI271" s="4">
        <v>8.1967213114754092</v>
      </c>
      <c r="AJ271" s="4">
        <v>6.557377049180328</v>
      </c>
      <c r="AK271" s="7">
        <v>9.8360655737704921</v>
      </c>
      <c r="AL271" s="5">
        <v>121</v>
      </c>
      <c r="AM271" s="3">
        <v>69.896193771626287</v>
      </c>
      <c r="AN271" s="3">
        <v>41.608643457382961</v>
      </c>
      <c r="AO271" s="3">
        <v>68.882847256549638</v>
      </c>
      <c r="AP271" s="3">
        <v>60.129228161852971</v>
      </c>
      <c r="AQ271" s="3">
        <v>180.38768448555888</v>
      </c>
      <c r="AR271" s="18">
        <v>11</v>
      </c>
      <c r="AS271" s="18">
        <v>43</v>
      </c>
      <c r="AT271" s="4">
        <v>3.3613445378151261</v>
      </c>
      <c r="AU271" s="4">
        <v>30.252100840336134</v>
      </c>
      <c r="AV271" s="7">
        <v>11.764705882352942</v>
      </c>
      <c r="AW271" s="10">
        <f t="shared" si="82"/>
        <v>121.33333333333333</v>
      </c>
      <c r="AX271" s="9">
        <f t="shared" si="83"/>
        <v>61.962665240683371</v>
      </c>
      <c r="AY271" s="9">
        <f t="shared" si="84"/>
        <v>55.162236253395825</v>
      </c>
      <c r="AZ271" s="9">
        <f t="shared" si="85"/>
        <v>68.251861187158923</v>
      </c>
      <c r="BA271" s="9">
        <f t="shared" si="86"/>
        <v>61.792254227079354</v>
      </c>
      <c r="BB271" s="9">
        <f t="shared" si="87"/>
        <v>185.37676268123812</v>
      </c>
      <c r="BC271" s="10">
        <f t="shared" si="78"/>
        <v>8</v>
      </c>
      <c r="BD271" s="10">
        <f t="shared" si="88"/>
        <v>21</v>
      </c>
      <c r="BE271" s="4">
        <f t="shared" si="74"/>
        <v>5.7790329246452679</v>
      </c>
      <c r="BF271" s="4">
        <f t="shared" si="75"/>
        <v>18.404738944758229</v>
      </c>
      <c r="BG271" s="7">
        <f t="shared" si="76"/>
        <v>10.800385728061716</v>
      </c>
      <c r="BH271" s="5">
        <v>121</v>
      </c>
      <c r="BI271" s="3">
        <v>66.910743801652899</v>
      </c>
      <c r="BJ271" s="3">
        <v>38.514876033057853</v>
      </c>
      <c r="BK271" s="3">
        <v>50.437190082644634</v>
      </c>
      <c r="BL271" s="3">
        <v>51.95426997245179</v>
      </c>
      <c r="BM271" s="3">
        <v>155.86280991735543</v>
      </c>
      <c r="BN271" s="18">
        <v>7</v>
      </c>
      <c r="BO271" s="18">
        <v>23</v>
      </c>
      <c r="BP271" s="4">
        <v>4.1322314049586772</v>
      </c>
      <c r="BQ271" s="4">
        <v>46.280991735537192</v>
      </c>
      <c r="BR271" s="7">
        <v>30.578512396694215</v>
      </c>
      <c r="BS271" s="18"/>
      <c r="BT271" s="23">
        <v>261</v>
      </c>
    </row>
    <row r="272" spans="1:72" x14ac:dyDescent="0.25">
      <c r="A272" s="18">
        <v>267</v>
      </c>
      <c r="B272" s="18" t="s">
        <v>30</v>
      </c>
      <c r="C272" s="18">
        <v>263</v>
      </c>
      <c r="D272" s="21" t="s">
        <v>9</v>
      </c>
      <c r="E272" s="5"/>
      <c r="F272" s="3">
        <v>55.666666666666664</v>
      </c>
      <c r="G272" s="3">
        <v>61.6</v>
      </c>
      <c r="H272" s="3">
        <v>43.666666666666664</v>
      </c>
      <c r="I272" s="3">
        <f t="shared" si="80"/>
        <v>53.644444444444446</v>
      </c>
      <c r="J272" s="3">
        <f t="shared" si="81"/>
        <v>160.93333333333334</v>
      </c>
      <c r="K272" s="18">
        <f t="shared" si="77"/>
        <v>12</v>
      </c>
      <c r="L272" s="18">
        <f t="shared" si="79"/>
        <v>50</v>
      </c>
      <c r="M272" s="4"/>
      <c r="N272" s="4"/>
      <c r="O272" s="7"/>
      <c r="P272" s="5">
        <v>121</v>
      </c>
      <c r="Q272" s="3">
        <v>58.732782369145987</v>
      </c>
      <c r="R272" s="3">
        <v>57.586776859504134</v>
      </c>
      <c r="S272" s="3">
        <v>65.482093663911854</v>
      </c>
      <c r="T272" s="3">
        <v>60.600550964187335</v>
      </c>
      <c r="U272" s="3">
        <v>181.80165289256198</v>
      </c>
      <c r="V272" s="18">
        <v>11</v>
      </c>
      <c r="W272" s="18">
        <v>54</v>
      </c>
      <c r="X272" s="4">
        <v>6.6115702479338845</v>
      </c>
      <c r="Y272" s="4">
        <v>12.396694214876034</v>
      </c>
      <c r="Z272" s="7">
        <v>11.570247933884298</v>
      </c>
      <c r="AA272" s="5">
        <v>122</v>
      </c>
      <c r="AB272" s="3">
        <v>46.11861137897781</v>
      </c>
      <c r="AC272" s="3">
        <v>50.362916902204631</v>
      </c>
      <c r="AD272" s="3">
        <v>57.327372081470443</v>
      </c>
      <c r="AE272" s="3">
        <v>51.269633454217647</v>
      </c>
      <c r="AF272" s="3">
        <v>153.80890036265288</v>
      </c>
      <c r="AG272" s="18">
        <v>18</v>
      </c>
      <c r="AH272" s="18">
        <v>83</v>
      </c>
      <c r="AI272" s="4">
        <v>21.311475409836067</v>
      </c>
      <c r="AJ272" s="4">
        <v>19.672131147540984</v>
      </c>
      <c r="AK272" s="7">
        <v>18.032786885245901</v>
      </c>
      <c r="AL272" s="5">
        <v>125</v>
      </c>
      <c r="AM272" s="3">
        <v>66.499282639885223</v>
      </c>
      <c r="AN272" s="3">
        <v>47.456445993031352</v>
      </c>
      <c r="AO272" s="3">
        <v>68.611378977820664</v>
      </c>
      <c r="AP272" s="3">
        <v>60.803784928605552</v>
      </c>
      <c r="AQ272" s="3">
        <v>182.56710761073725</v>
      </c>
      <c r="AR272" s="18">
        <v>10</v>
      </c>
      <c r="AS272" s="18">
        <v>37</v>
      </c>
      <c r="AT272" s="4">
        <v>6.5040650406504064</v>
      </c>
      <c r="AU272" s="4">
        <v>20.325203252032519</v>
      </c>
      <c r="AV272" s="7">
        <v>8.1967213114754092</v>
      </c>
      <c r="AW272" s="10">
        <f t="shared" si="82"/>
        <v>122.66666666666667</v>
      </c>
      <c r="AX272" s="9">
        <f t="shared" si="83"/>
        <v>57.116892129336343</v>
      </c>
      <c r="AY272" s="9">
        <f t="shared" si="84"/>
        <v>51.802046584913377</v>
      </c>
      <c r="AZ272" s="9">
        <f t="shared" si="85"/>
        <v>63.806948241067651</v>
      </c>
      <c r="BA272" s="9">
        <f t="shared" si="86"/>
        <v>57.557989782336847</v>
      </c>
      <c r="BB272" s="9">
        <f t="shared" si="87"/>
        <v>172.72588695531738</v>
      </c>
      <c r="BC272" s="10">
        <f t="shared" si="78"/>
        <v>13</v>
      </c>
      <c r="BD272" s="10">
        <f t="shared" si="88"/>
        <v>47</v>
      </c>
      <c r="BE272" s="4">
        <f t="shared" si="74"/>
        <v>13.907770225243237</v>
      </c>
      <c r="BF272" s="4">
        <f t="shared" si="75"/>
        <v>19.998667199786752</v>
      </c>
      <c r="BG272" s="7">
        <f t="shared" si="76"/>
        <v>13.114754098360656</v>
      </c>
      <c r="BH272" s="5">
        <v>124</v>
      </c>
      <c r="BI272" s="3">
        <v>61.71707317073168</v>
      </c>
      <c r="BJ272" s="3">
        <v>39.665853658536598</v>
      </c>
      <c r="BK272" s="3">
        <v>48.608943089430923</v>
      </c>
      <c r="BL272" s="3">
        <v>49.997289972899708</v>
      </c>
      <c r="BM272" s="3">
        <v>149.99186991869928</v>
      </c>
      <c r="BN272" s="18">
        <v>10</v>
      </c>
      <c r="BO272" s="18">
        <v>34</v>
      </c>
      <c r="BP272" s="4">
        <v>8.1300813008130088</v>
      </c>
      <c r="BQ272" s="4">
        <v>43.08943089430894</v>
      </c>
      <c r="BR272" s="7">
        <v>32.520325203252035</v>
      </c>
      <c r="BS272" s="18"/>
      <c r="BT272" s="23">
        <v>263</v>
      </c>
    </row>
    <row r="273" spans="1:72" x14ac:dyDescent="0.25">
      <c r="A273" s="18">
        <v>268</v>
      </c>
      <c r="B273" s="18" t="s">
        <v>30</v>
      </c>
      <c r="C273" s="18">
        <v>264</v>
      </c>
      <c r="D273" s="21" t="s">
        <v>11</v>
      </c>
      <c r="E273" s="5"/>
      <c r="F273" s="3">
        <v>57.333333333333336</v>
      </c>
      <c r="G273" s="3">
        <v>51.2</v>
      </c>
      <c r="H273" s="3">
        <v>53.333333333333336</v>
      </c>
      <c r="I273" s="3">
        <f t="shared" si="80"/>
        <v>53.955555555555556</v>
      </c>
      <c r="J273" s="3">
        <f t="shared" si="81"/>
        <v>161.86666666666667</v>
      </c>
      <c r="K273" s="18">
        <f t="shared" si="77"/>
        <v>11</v>
      </c>
      <c r="L273" s="18">
        <f t="shared" si="79"/>
        <v>47</v>
      </c>
      <c r="M273" s="4"/>
      <c r="N273" s="4"/>
      <c r="O273" s="7"/>
      <c r="P273" s="5">
        <v>149</v>
      </c>
      <c r="Q273" s="3">
        <v>64.96644295302012</v>
      </c>
      <c r="R273" s="3">
        <v>57.852348993288594</v>
      </c>
      <c r="S273" s="3">
        <v>66.219239373601781</v>
      </c>
      <c r="T273" s="3">
        <v>63.012677106636851</v>
      </c>
      <c r="U273" s="3">
        <v>189.03803131991049</v>
      </c>
      <c r="V273" s="18">
        <v>8</v>
      </c>
      <c r="W273" s="18">
        <v>37</v>
      </c>
      <c r="X273" s="4">
        <v>9.3959731543624159</v>
      </c>
      <c r="Y273" s="4">
        <v>20.945945945945947</v>
      </c>
      <c r="Z273" s="7">
        <v>17.449664429530202</v>
      </c>
      <c r="AA273" s="5">
        <v>156</v>
      </c>
      <c r="AB273" s="3">
        <v>54.661864745898342</v>
      </c>
      <c r="AC273" s="3">
        <v>57.088435374149661</v>
      </c>
      <c r="AD273" s="3">
        <v>59.616573902288188</v>
      </c>
      <c r="AE273" s="3">
        <v>57.122291340778695</v>
      </c>
      <c r="AF273" s="3">
        <v>171.36687402233619</v>
      </c>
      <c r="AG273" s="18">
        <v>9</v>
      </c>
      <c r="AH273" s="18">
        <v>37</v>
      </c>
      <c r="AI273" s="4">
        <v>12.244897959183673</v>
      </c>
      <c r="AJ273" s="4">
        <v>17.006802721088434</v>
      </c>
      <c r="AK273" s="7">
        <v>19.727891156462587</v>
      </c>
      <c r="AL273" s="5">
        <v>144</v>
      </c>
      <c r="AM273" s="3">
        <v>69.374742904154672</v>
      </c>
      <c r="AN273" s="3">
        <v>47.192807192807187</v>
      </c>
      <c r="AO273" s="3">
        <v>72.439325380501842</v>
      </c>
      <c r="AP273" s="3">
        <v>63.00229182582126</v>
      </c>
      <c r="AQ273" s="3">
        <v>189.00687547746372</v>
      </c>
      <c r="AR273" s="18">
        <v>5</v>
      </c>
      <c r="AS273" s="18">
        <v>27</v>
      </c>
      <c r="AT273" s="4">
        <v>5.5944055944055942</v>
      </c>
      <c r="AU273" s="4">
        <v>18.181818181818183</v>
      </c>
      <c r="AV273" s="7">
        <v>7.6923076923076925</v>
      </c>
      <c r="AW273" s="10">
        <f t="shared" si="82"/>
        <v>149.66666666666666</v>
      </c>
      <c r="AX273" s="9">
        <f t="shared" si="83"/>
        <v>63.001016867691042</v>
      </c>
      <c r="AY273" s="9">
        <f t="shared" si="84"/>
        <v>54.044530520081814</v>
      </c>
      <c r="AZ273" s="9">
        <f t="shared" si="85"/>
        <v>66.091712885463934</v>
      </c>
      <c r="BA273" s="9">
        <f t="shared" si="86"/>
        <v>61.045753424412261</v>
      </c>
      <c r="BB273" s="9">
        <f t="shared" si="87"/>
        <v>183.13726027323682</v>
      </c>
      <c r="BC273" s="10">
        <f t="shared" si="78"/>
        <v>9</v>
      </c>
      <c r="BD273" s="10">
        <f t="shared" si="88"/>
        <v>25</v>
      </c>
      <c r="BE273" s="4">
        <f t="shared" si="74"/>
        <v>8.9196517767946339</v>
      </c>
      <c r="BF273" s="4">
        <f t="shared" si="75"/>
        <v>17.59431045145331</v>
      </c>
      <c r="BG273" s="7">
        <f t="shared" si="76"/>
        <v>13.71009942438514</v>
      </c>
      <c r="BH273" s="5">
        <v>151</v>
      </c>
      <c r="BI273" s="3">
        <v>66.207947019867518</v>
      </c>
      <c r="BJ273" s="3">
        <v>39.39999999999997</v>
      </c>
      <c r="BK273" s="3">
        <v>54.270198675496687</v>
      </c>
      <c r="BL273" s="3">
        <v>53.292715231788087</v>
      </c>
      <c r="BM273" s="3">
        <v>159.8781456953642</v>
      </c>
      <c r="BN273" s="18">
        <v>4</v>
      </c>
      <c r="BO273" s="18">
        <v>16</v>
      </c>
      <c r="BP273" s="4">
        <v>9.2715231788079464</v>
      </c>
      <c r="BQ273" s="4">
        <v>40.397350993377486</v>
      </c>
      <c r="BR273" s="7">
        <v>27.152317880794701</v>
      </c>
      <c r="BS273" s="18"/>
      <c r="BT273" s="23">
        <v>264</v>
      </c>
    </row>
    <row r="274" spans="1:72" x14ac:dyDescent="0.25">
      <c r="A274" s="18">
        <v>269</v>
      </c>
      <c r="B274" s="18" t="s">
        <v>30</v>
      </c>
      <c r="C274" s="18">
        <v>265</v>
      </c>
      <c r="D274" s="21" t="s">
        <v>9</v>
      </c>
      <c r="E274" s="5"/>
      <c r="F274" s="3">
        <v>43.333333333333336</v>
      </c>
      <c r="G274" s="3">
        <v>55.6</v>
      </c>
      <c r="H274" s="3">
        <v>44.333333333333336</v>
      </c>
      <c r="I274" s="3">
        <f t="shared" si="80"/>
        <v>47.75555555555556</v>
      </c>
      <c r="J274" s="3">
        <f t="shared" si="81"/>
        <v>143.26666666666668</v>
      </c>
      <c r="K274" s="18">
        <f t="shared" si="77"/>
        <v>20</v>
      </c>
      <c r="L274" s="18">
        <f t="shared" si="79"/>
        <v>113</v>
      </c>
      <c r="M274" s="4"/>
      <c r="N274" s="4"/>
      <c r="O274" s="7"/>
      <c r="P274" s="5">
        <v>86</v>
      </c>
      <c r="Q274" s="3">
        <v>48.333333333333329</v>
      </c>
      <c r="R274" s="3">
        <v>54.139534883720927</v>
      </c>
      <c r="S274" s="3">
        <v>46.279069767441868</v>
      </c>
      <c r="T274" s="3">
        <v>49.583979328165363</v>
      </c>
      <c r="U274" s="3">
        <v>148.75193798449612</v>
      </c>
      <c r="V274" s="18">
        <v>25</v>
      </c>
      <c r="W274" s="18">
        <v>151</v>
      </c>
      <c r="X274" s="4">
        <v>27.906976744186046</v>
      </c>
      <c r="Y274" s="4">
        <v>11.627906976744185</v>
      </c>
      <c r="Z274" s="7">
        <v>23.255813953488371</v>
      </c>
      <c r="AA274" s="5">
        <v>92</v>
      </c>
      <c r="AB274" s="3">
        <v>48.153214774281828</v>
      </c>
      <c r="AC274" s="3">
        <v>57.720930232558139</v>
      </c>
      <c r="AD274" s="3">
        <v>52.924594785059895</v>
      </c>
      <c r="AE274" s="3">
        <v>52.932913263966626</v>
      </c>
      <c r="AF274" s="3">
        <v>158.79873979189986</v>
      </c>
      <c r="AG274" s="18">
        <v>15</v>
      </c>
      <c r="AH274" s="18">
        <v>66</v>
      </c>
      <c r="AI274" s="4">
        <v>11.627906976744185</v>
      </c>
      <c r="AJ274" s="4">
        <v>9.5238095238095237</v>
      </c>
      <c r="AK274" s="7">
        <v>15.116279069767442</v>
      </c>
      <c r="AL274" s="5">
        <v>94</v>
      </c>
      <c r="AM274" s="3">
        <v>58.78972278566598</v>
      </c>
      <c r="AN274" s="3">
        <v>49.293924466338247</v>
      </c>
      <c r="AO274" s="3">
        <v>59.770114942528714</v>
      </c>
      <c r="AP274" s="3">
        <v>55.951254064844321</v>
      </c>
      <c r="AQ274" s="3">
        <v>167.85376219453295</v>
      </c>
      <c r="AR274" s="18">
        <v>19</v>
      </c>
      <c r="AS274" s="18">
        <v>76</v>
      </c>
      <c r="AT274" s="4">
        <v>16.279069767441861</v>
      </c>
      <c r="AU274" s="4">
        <v>23.255813953488371</v>
      </c>
      <c r="AV274" s="7">
        <v>23.255813953488371</v>
      </c>
      <c r="AW274" s="10">
        <f t="shared" si="82"/>
        <v>90.666666666666671</v>
      </c>
      <c r="AX274" s="9">
        <f t="shared" si="83"/>
        <v>51.75875696442705</v>
      </c>
      <c r="AY274" s="9">
        <f t="shared" si="84"/>
        <v>53.718129860872438</v>
      </c>
      <c r="AZ274" s="9">
        <f t="shared" si="85"/>
        <v>52.991259831676821</v>
      </c>
      <c r="BA274" s="9">
        <f t="shared" si="86"/>
        <v>52.822715552325441</v>
      </c>
      <c r="BB274" s="9">
        <f t="shared" si="87"/>
        <v>158.4681466569763</v>
      </c>
      <c r="BC274" s="10">
        <f t="shared" si="78"/>
        <v>19</v>
      </c>
      <c r="BD274" s="10">
        <f t="shared" si="88"/>
        <v>93</v>
      </c>
      <c r="BE274" s="4">
        <f t="shared" si="74"/>
        <v>13.953488372093023</v>
      </c>
      <c r="BF274" s="4">
        <f t="shared" si="75"/>
        <v>16.389811738648948</v>
      </c>
      <c r="BG274" s="7">
        <f t="shared" si="76"/>
        <v>19.186046511627907</v>
      </c>
      <c r="BH274" s="5">
        <v>93</v>
      </c>
      <c r="BI274" s="3">
        <v>53.032258064516149</v>
      </c>
      <c r="BJ274" s="3">
        <v>25.596774193548402</v>
      </c>
      <c r="BK274" s="3">
        <v>38.392473118279568</v>
      </c>
      <c r="BL274" s="3">
        <v>39.007168458781351</v>
      </c>
      <c r="BM274" s="3">
        <v>117.02150537634412</v>
      </c>
      <c r="BN274" s="18">
        <v>33</v>
      </c>
      <c r="BO274" s="18">
        <v>187</v>
      </c>
      <c r="BP274" s="4">
        <v>19.35483870967742</v>
      </c>
      <c r="BQ274" s="4">
        <v>68.817204301075265</v>
      </c>
      <c r="BR274" s="7">
        <v>46.236559139784944</v>
      </c>
      <c r="BS274" s="18"/>
      <c r="BT274" s="23">
        <v>265</v>
      </c>
    </row>
    <row r="275" spans="1:72" x14ac:dyDescent="0.25">
      <c r="A275" s="1">
        <v>270</v>
      </c>
      <c r="B275" s="18" t="s">
        <v>30</v>
      </c>
      <c r="C275" s="18">
        <v>269</v>
      </c>
      <c r="D275" s="21" t="s">
        <v>9</v>
      </c>
      <c r="E275" s="5"/>
      <c r="F275" s="3">
        <v>55</v>
      </c>
      <c r="G275" s="3">
        <v>59.6</v>
      </c>
      <c r="H275" s="3">
        <v>55.333333333333343</v>
      </c>
      <c r="I275" s="3">
        <f t="shared" si="80"/>
        <v>56.644444444444446</v>
      </c>
      <c r="J275" s="3">
        <f t="shared" si="81"/>
        <v>169.93333333333334</v>
      </c>
      <c r="K275" s="18">
        <f t="shared" si="77"/>
        <v>8</v>
      </c>
      <c r="L275" s="18">
        <f t="shared" si="79"/>
        <v>34</v>
      </c>
      <c r="M275" s="4"/>
      <c r="N275" s="4"/>
      <c r="O275" s="7"/>
      <c r="P275" s="5">
        <v>150</v>
      </c>
      <c r="Q275" s="3">
        <v>65.222222222222229</v>
      </c>
      <c r="R275" s="3">
        <v>60.826666666666668</v>
      </c>
      <c r="S275" s="3">
        <v>73.199999999999974</v>
      </c>
      <c r="T275" s="3">
        <v>66.416296296296267</v>
      </c>
      <c r="U275" s="3">
        <v>199.24888888888887</v>
      </c>
      <c r="V275" s="18">
        <v>7</v>
      </c>
      <c r="W275" s="18">
        <v>17</v>
      </c>
      <c r="X275" s="4">
        <v>12.666666666666666</v>
      </c>
      <c r="Y275" s="4">
        <v>8</v>
      </c>
      <c r="Z275" s="7">
        <v>6</v>
      </c>
      <c r="AA275" s="5">
        <v>149</v>
      </c>
      <c r="AB275" s="3">
        <v>57.97160243407712</v>
      </c>
      <c r="AC275" s="3">
        <v>58.558858501783583</v>
      </c>
      <c r="AD275" s="3">
        <v>69.508881922675002</v>
      </c>
      <c r="AE275" s="3">
        <v>62.013114286178563</v>
      </c>
      <c r="AF275" s="3">
        <v>186.03934285853569</v>
      </c>
      <c r="AG275" s="18">
        <v>5</v>
      </c>
      <c r="AH275" s="18">
        <v>17</v>
      </c>
      <c r="AI275" s="4">
        <v>8.5106382978723403</v>
      </c>
      <c r="AJ275" s="4">
        <v>6.8965517241379306</v>
      </c>
      <c r="AK275" s="7">
        <v>6.2068965517241379</v>
      </c>
      <c r="AL275" s="5">
        <v>151</v>
      </c>
      <c r="AM275" s="3">
        <v>62.593206296603149</v>
      </c>
      <c r="AN275" s="3">
        <v>42.374245472837032</v>
      </c>
      <c r="AO275" s="3">
        <v>77.941176470588232</v>
      </c>
      <c r="AP275" s="3">
        <v>60.969542746676112</v>
      </c>
      <c r="AQ275" s="3">
        <v>182.90862824002841</v>
      </c>
      <c r="AR275" s="18">
        <v>9</v>
      </c>
      <c r="AS275" s="18">
        <v>36</v>
      </c>
      <c r="AT275" s="4">
        <v>3.5460992907801416</v>
      </c>
      <c r="AU275" s="4">
        <v>31.690140845070424</v>
      </c>
      <c r="AV275" s="7">
        <v>7.3770491803278686</v>
      </c>
      <c r="AW275" s="10">
        <f t="shared" si="82"/>
        <v>150</v>
      </c>
      <c r="AX275" s="9">
        <f t="shared" si="83"/>
        <v>61.929010317634159</v>
      </c>
      <c r="AY275" s="9">
        <f t="shared" si="84"/>
        <v>53.919923547095756</v>
      </c>
      <c r="AZ275" s="9">
        <f t="shared" si="85"/>
        <v>73.550019464421069</v>
      </c>
      <c r="BA275" s="9">
        <f t="shared" si="86"/>
        <v>63.132984443050304</v>
      </c>
      <c r="BB275" s="9">
        <f t="shared" si="87"/>
        <v>189.398953329151</v>
      </c>
      <c r="BC275" s="10">
        <f t="shared" si="78"/>
        <v>5</v>
      </c>
      <c r="BD275" s="10">
        <f t="shared" si="88"/>
        <v>15</v>
      </c>
      <c r="BE275" s="4">
        <f t="shared" si="74"/>
        <v>6.0283687943262407</v>
      </c>
      <c r="BF275" s="4">
        <f t="shared" si="75"/>
        <v>19.293346284604176</v>
      </c>
      <c r="BG275" s="7">
        <f t="shared" si="76"/>
        <v>6.7919728660260033</v>
      </c>
      <c r="BH275" s="5">
        <v>149</v>
      </c>
      <c r="BI275" s="3">
        <v>58.724832214765101</v>
      </c>
      <c r="BJ275" s="3">
        <v>35.951677852348993</v>
      </c>
      <c r="BK275" s="3">
        <v>44.075838926174484</v>
      </c>
      <c r="BL275" s="3">
        <v>46.250782997762862</v>
      </c>
      <c r="BM275" s="3">
        <v>138.75234899328854</v>
      </c>
      <c r="BN275" s="18">
        <v>17</v>
      </c>
      <c r="BO275" s="18">
        <v>75</v>
      </c>
      <c r="BP275" s="4">
        <v>14.093959731543624</v>
      </c>
      <c r="BQ275" s="4">
        <v>48.993288590604024</v>
      </c>
      <c r="BR275" s="7">
        <v>42.281879194630875</v>
      </c>
      <c r="BS275" s="18"/>
      <c r="BT275" s="23">
        <v>269</v>
      </c>
    </row>
    <row r="276" spans="1:72" x14ac:dyDescent="0.25">
      <c r="A276" s="18">
        <v>271</v>
      </c>
      <c r="B276" s="18" t="s">
        <v>30</v>
      </c>
      <c r="C276" s="18">
        <v>287</v>
      </c>
      <c r="D276" s="21" t="s">
        <v>16</v>
      </c>
      <c r="E276" s="5"/>
      <c r="F276" s="3">
        <v>68.333333333333329</v>
      </c>
      <c r="G276" s="3">
        <v>70.8</v>
      </c>
      <c r="H276" s="3">
        <v>66.666666666666671</v>
      </c>
      <c r="I276" s="3">
        <f t="shared" si="80"/>
        <v>68.600000000000009</v>
      </c>
      <c r="J276" s="3">
        <f t="shared" si="81"/>
        <v>205.8</v>
      </c>
      <c r="K276" s="18">
        <f t="shared" si="77"/>
        <v>3</v>
      </c>
      <c r="L276" s="18">
        <f t="shared" si="79"/>
        <v>7</v>
      </c>
      <c r="M276" s="4"/>
      <c r="N276" s="4"/>
      <c r="O276" s="7"/>
      <c r="P276" s="5">
        <v>129</v>
      </c>
      <c r="Q276" s="3">
        <v>73.772609819121413</v>
      </c>
      <c r="R276" s="3">
        <v>77.271317829457359</v>
      </c>
      <c r="S276" s="3">
        <v>83.746770025839794</v>
      </c>
      <c r="T276" s="3">
        <v>78.263565891472879</v>
      </c>
      <c r="U276" s="3">
        <v>234.79069767441857</v>
      </c>
      <c r="V276" s="18">
        <v>1</v>
      </c>
      <c r="W276" s="18">
        <v>2</v>
      </c>
      <c r="X276" s="4">
        <v>0</v>
      </c>
      <c r="Y276" s="4">
        <v>0.79365079365079361</v>
      </c>
      <c r="Z276" s="7">
        <v>0</v>
      </c>
      <c r="AA276" s="5">
        <v>123</v>
      </c>
      <c r="AB276" s="3">
        <v>67.622751579970824</v>
      </c>
      <c r="AC276" s="3">
        <v>74.84297520661157</v>
      </c>
      <c r="AD276" s="3">
        <v>79.088404708239423</v>
      </c>
      <c r="AE276" s="3">
        <v>73.851377164940544</v>
      </c>
      <c r="AF276" s="3">
        <v>221.55413149482183</v>
      </c>
      <c r="AG276" s="18">
        <v>1</v>
      </c>
      <c r="AH276" s="18">
        <v>1</v>
      </c>
      <c r="AI276" s="4">
        <v>0.82644628099173556</v>
      </c>
      <c r="AJ276" s="4">
        <v>0</v>
      </c>
      <c r="AK276" s="7">
        <v>1.6666666666666667</v>
      </c>
      <c r="AL276" s="5">
        <v>122</v>
      </c>
      <c r="AM276" s="3">
        <v>80.109670987038896</v>
      </c>
      <c r="AN276" s="3">
        <v>63.733489187609571</v>
      </c>
      <c r="AO276" s="3">
        <v>86.260914227015945</v>
      </c>
      <c r="AP276" s="3">
        <v>76.701358133888135</v>
      </c>
      <c r="AQ276" s="3">
        <v>230.10407440166441</v>
      </c>
      <c r="AR276" s="18">
        <v>1</v>
      </c>
      <c r="AS276" s="18">
        <v>2</v>
      </c>
      <c r="AT276" s="4">
        <v>0</v>
      </c>
      <c r="AU276" s="4">
        <v>6.0344827586206895</v>
      </c>
      <c r="AV276" s="7">
        <v>0</v>
      </c>
      <c r="AW276" s="10">
        <f t="shared" si="82"/>
        <v>124.66666666666667</v>
      </c>
      <c r="AX276" s="9">
        <f t="shared" si="83"/>
        <v>73.835010795377045</v>
      </c>
      <c r="AY276" s="9">
        <f t="shared" si="84"/>
        <v>71.949260741226169</v>
      </c>
      <c r="AZ276" s="9">
        <f t="shared" si="85"/>
        <v>83.032029653698388</v>
      </c>
      <c r="BA276" s="9">
        <f t="shared" si="86"/>
        <v>76.272100396767186</v>
      </c>
      <c r="BB276" s="9">
        <f t="shared" si="87"/>
        <v>228.8163011903016</v>
      </c>
      <c r="BC276" s="10">
        <f t="shared" si="78"/>
        <v>1</v>
      </c>
      <c r="BD276" s="10">
        <f t="shared" si="88"/>
        <v>1</v>
      </c>
      <c r="BE276" s="4">
        <f t="shared" si="74"/>
        <v>0.41322314049586778</v>
      </c>
      <c r="BF276" s="4">
        <f t="shared" si="75"/>
        <v>3.0172413793103448</v>
      </c>
      <c r="BG276" s="7">
        <f t="shared" si="76"/>
        <v>0.83333333333333337</v>
      </c>
      <c r="BH276" s="5">
        <v>121</v>
      </c>
      <c r="BI276" s="3">
        <v>76.320661157024816</v>
      </c>
      <c r="BJ276" s="3">
        <v>59.14876033057849</v>
      </c>
      <c r="BK276" s="3">
        <v>72.166115702479374</v>
      </c>
      <c r="BL276" s="3">
        <v>69.211845730027576</v>
      </c>
      <c r="BM276" s="3">
        <v>207.63553719008266</v>
      </c>
      <c r="BN276" s="18">
        <v>1</v>
      </c>
      <c r="BO276" s="18">
        <v>2</v>
      </c>
      <c r="BP276" s="4">
        <v>0</v>
      </c>
      <c r="BQ276" s="4">
        <v>14.049586776859504</v>
      </c>
      <c r="BR276" s="7">
        <v>4.9586776859504136</v>
      </c>
      <c r="BS276" s="18"/>
      <c r="BT276" s="23">
        <v>287</v>
      </c>
    </row>
    <row r="277" spans="1:72" x14ac:dyDescent="0.25">
      <c r="A277" s="18">
        <v>272</v>
      </c>
      <c r="B277" s="18" t="s">
        <v>31</v>
      </c>
      <c r="C277" s="18" t="s">
        <v>60</v>
      </c>
      <c r="D277" s="21" t="s">
        <v>12</v>
      </c>
      <c r="E277" s="5"/>
      <c r="F277" s="3"/>
      <c r="G277" s="3"/>
      <c r="H277" s="3"/>
      <c r="I277" s="3" t="str">
        <f t="shared" si="80"/>
        <v/>
      </c>
      <c r="J277" s="3" t="str">
        <f t="shared" si="81"/>
        <v/>
      </c>
      <c r="K277" s="18" t="str">
        <f t="shared" ref="K277:K307" si="89">IF(J277="","",(RANK(J277,$J$277:$J$307)))</f>
        <v/>
      </c>
      <c r="L277" s="18" t="str">
        <f t="shared" si="79"/>
        <v/>
      </c>
      <c r="M277" s="4"/>
      <c r="N277" s="4"/>
      <c r="O277" s="7"/>
      <c r="P277" s="5"/>
      <c r="Q277" s="3"/>
      <c r="R277" s="3"/>
      <c r="S277" s="3"/>
      <c r="T277" s="3"/>
      <c r="U277" s="3" t="s">
        <v>35</v>
      </c>
      <c r="V277" s="18" t="s">
        <v>35</v>
      </c>
      <c r="W277" s="18" t="s">
        <v>35</v>
      </c>
      <c r="X277" s="4" t="s">
        <v>35</v>
      </c>
      <c r="Y277" s="4" t="s">
        <v>35</v>
      </c>
      <c r="Z277" s="7" t="s">
        <v>35</v>
      </c>
      <c r="AA277" s="5"/>
      <c r="AB277" s="3"/>
      <c r="AC277" s="3"/>
      <c r="AD277" s="3"/>
      <c r="AE277" s="3"/>
      <c r="AF277" s="3" t="s">
        <v>35</v>
      </c>
      <c r="AG277" s="18" t="s">
        <v>35</v>
      </c>
      <c r="AH277" s="18" t="s">
        <v>35</v>
      </c>
      <c r="AI277" s="4" t="s">
        <v>35</v>
      </c>
      <c r="AJ277" s="4" t="s">
        <v>35</v>
      </c>
      <c r="AK277" s="7" t="s">
        <v>35</v>
      </c>
      <c r="AL277" s="5"/>
      <c r="AM277" s="3"/>
      <c r="AN277" s="3"/>
      <c r="AO277" s="3"/>
      <c r="AP277" s="3"/>
      <c r="AQ277" s="3" t="s">
        <v>35</v>
      </c>
      <c r="AR277" s="18" t="s">
        <v>35</v>
      </c>
      <c r="AS277" s="18" t="s">
        <v>35</v>
      </c>
      <c r="AT277" s="4" t="s">
        <v>35</v>
      </c>
      <c r="AU277" s="4" t="s">
        <v>35</v>
      </c>
      <c r="AV277" s="7" t="s">
        <v>35</v>
      </c>
      <c r="AW277" s="10"/>
      <c r="AX277" s="9"/>
      <c r="AY277" s="9"/>
      <c r="AZ277" s="9"/>
      <c r="BA277" s="9"/>
      <c r="BB277" s="9"/>
      <c r="BC277" s="10" t="str">
        <f>IF(BB277="","",(RANK(BB277,$BB$277:$BB$307)))</f>
        <v/>
      </c>
      <c r="BD277" s="10" t="str">
        <f t="shared" si="88"/>
        <v/>
      </c>
      <c r="BE277" s="4"/>
      <c r="BF277" s="4"/>
      <c r="BG277" s="7"/>
      <c r="BH277" s="5">
        <v>24</v>
      </c>
      <c r="BI277" s="3">
        <v>13.229166666666666</v>
      </c>
      <c r="BJ277" s="3">
        <v>27.287500000000005</v>
      </c>
      <c r="BK277" s="3">
        <v>16.166666666666668</v>
      </c>
      <c r="BL277" s="3">
        <v>18.894444444444446</v>
      </c>
      <c r="BM277" s="3">
        <v>56.683333333333344</v>
      </c>
      <c r="BN277" s="18">
        <v>30</v>
      </c>
      <c r="BO277" s="18">
        <v>312</v>
      </c>
      <c r="BP277" s="4">
        <v>100</v>
      </c>
      <c r="BQ277" s="4">
        <v>58.333333333333336</v>
      </c>
      <c r="BR277" s="7">
        <v>100</v>
      </c>
      <c r="BS277" s="18"/>
      <c r="BT277" s="23">
        <v>20</v>
      </c>
    </row>
    <row r="278" spans="1:72" x14ac:dyDescent="0.25">
      <c r="A278" s="18">
        <v>273</v>
      </c>
      <c r="B278" s="18" t="s">
        <v>31</v>
      </c>
      <c r="C278" s="18">
        <v>26</v>
      </c>
      <c r="D278" s="21" t="s">
        <v>9</v>
      </c>
      <c r="E278" s="5"/>
      <c r="F278" s="3">
        <v>57.999999999999993</v>
      </c>
      <c r="G278" s="3">
        <v>58</v>
      </c>
      <c r="H278" s="3">
        <v>49.333333333333336</v>
      </c>
      <c r="I278" s="3">
        <f t="shared" si="80"/>
        <v>55.111111111111114</v>
      </c>
      <c r="J278" s="3">
        <f t="shared" si="81"/>
        <v>165.33333333333334</v>
      </c>
      <c r="K278" s="18">
        <f t="shared" si="89"/>
        <v>1</v>
      </c>
      <c r="L278" s="18">
        <f t="shared" si="79"/>
        <v>40</v>
      </c>
      <c r="M278" s="4"/>
      <c r="N278" s="4"/>
      <c r="O278" s="7"/>
      <c r="P278" s="5">
        <v>270</v>
      </c>
      <c r="Q278" s="3">
        <v>52.753086419753089</v>
      </c>
      <c r="R278" s="3">
        <v>46.577777777777776</v>
      </c>
      <c r="S278" s="3">
        <v>49.246913580246904</v>
      </c>
      <c r="T278" s="3">
        <v>49.525925925925918</v>
      </c>
      <c r="U278" s="3">
        <v>148.57777777777778</v>
      </c>
      <c r="V278" s="18">
        <v>5</v>
      </c>
      <c r="W278" s="18">
        <v>152</v>
      </c>
      <c r="X278" s="4">
        <v>14.074074074074074</v>
      </c>
      <c r="Y278" s="4">
        <v>28.624535315985131</v>
      </c>
      <c r="Z278" s="7">
        <v>30</v>
      </c>
      <c r="AA278" s="5">
        <v>304</v>
      </c>
      <c r="AB278" s="3">
        <v>43.921568627450952</v>
      </c>
      <c r="AC278" s="3">
        <v>36.547368421052632</v>
      </c>
      <c r="AD278" s="3">
        <v>40.202020202020194</v>
      </c>
      <c r="AE278" s="3">
        <v>40.223652416841283</v>
      </c>
      <c r="AF278" s="3">
        <v>120.67095725052378</v>
      </c>
      <c r="AG278" s="18">
        <v>10</v>
      </c>
      <c r="AH278" s="18">
        <v>210</v>
      </c>
      <c r="AI278" s="4">
        <v>26.666666666666668</v>
      </c>
      <c r="AJ278" s="4">
        <v>42.456140350877192</v>
      </c>
      <c r="AK278" s="7">
        <v>41.549295774647888</v>
      </c>
      <c r="AL278" s="5">
        <v>304</v>
      </c>
      <c r="AM278" s="3">
        <v>59.398242055442907</v>
      </c>
      <c r="AN278" s="3">
        <v>26.710454296661194</v>
      </c>
      <c r="AO278" s="3">
        <v>48.857466063348404</v>
      </c>
      <c r="AP278" s="3">
        <v>44.9857260912028</v>
      </c>
      <c r="AQ278" s="3">
        <v>134.96616241545252</v>
      </c>
      <c r="AR278" s="18">
        <v>10</v>
      </c>
      <c r="AS278" s="18">
        <v>213</v>
      </c>
      <c r="AT278" s="4">
        <v>9.5785440613026829</v>
      </c>
      <c r="AU278" s="4">
        <v>57.854406130268202</v>
      </c>
      <c r="AV278" s="7">
        <v>28.846153846153847</v>
      </c>
      <c r="AW278" s="10">
        <f t="shared" si="82"/>
        <v>292.66666666666669</v>
      </c>
      <c r="AX278" s="9">
        <f t="shared" si="83"/>
        <v>52.024299034215652</v>
      </c>
      <c r="AY278" s="9">
        <f t="shared" si="84"/>
        <v>36.611866831830532</v>
      </c>
      <c r="AZ278" s="9">
        <f t="shared" si="85"/>
        <v>46.102133281871829</v>
      </c>
      <c r="BA278" s="9">
        <f t="shared" si="86"/>
        <v>44.911768144656662</v>
      </c>
      <c r="BB278" s="9">
        <f t="shared" si="87"/>
        <v>134.73829914791801</v>
      </c>
      <c r="BC278" s="10">
        <f t="shared" ref="BC278:BC307" si="90">IF(BB278="","",(RANK(BB278,$BB$277:$BB$307)))</f>
        <v>6</v>
      </c>
      <c r="BD278" s="10">
        <f t="shared" si="88"/>
        <v>198</v>
      </c>
      <c r="BE278" s="4">
        <f t="shared" si="74"/>
        <v>18.122605363984675</v>
      </c>
      <c r="BF278" s="4">
        <f t="shared" si="75"/>
        <v>50.155273240572697</v>
      </c>
      <c r="BG278" s="7">
        <f t="shared" si="76"/>
        <v>35.197724810400871</v>
      </c>
      <c r="BH278" s="5">
        <v>300</v>
      </c>
      <c r="BI278" s="3">
        <v>57.628762541806019</v>
      </c>
      <c r="BJ278" s="3">
        <v>28.115050167224073</v>
      </c>
      <c r="BK278" s="3">
        <v>38.871906354515076</v>
      </c>
      <c r="BL278" s="3">
        <v>41.538573021181712</v>
      </c>
      <c r="BM278" s="3">
        <v>124.61571906354524</v>
      </c>
      <c r="BN278" s="18">
        <v>4</v>
      </c>
      <c r="BO278" s="18">
        <v>140</v>
      </c>
      <c r="BP278" s="4">
        <v>14.381270903010034</v>
      </c>
      <c r="BQ278" s="4">
        <v>63.879598662207357</v>
      </c>
      <c r="BR278" s="7">
        <v>46.153846153846153</v>
      </c>
      <c r="BS278" s="18"/>
      <c r="BT278" s="23">
        <v>26</v>
      </c>
    </row>
    <row r="279" spans="1:72" x14ac:dyDescent="0.25">
      <c r="A279" s="18">
        <v>274</v>
      </c>
      <c r="B279" s="18" t="s">
        <v>31</v>
      </c>
      <c r="C279" s="18">
        <v>33</v>
      </c>
      <c r="D279" s="21" t="s">
        <v>9</v>
      </c>
      <c r="E279" s="5"/>
      <c r="F279" s="3">
        <v>50.333333333333336</v>
      </c>
      <c r="G279" s="3">
        <v>44.4</v>
      </c>
      <c r="H279" s="3">
        <v>38.666666666666664</v>
      </c>
      <c r="I279" s="3">
        <f t="shared" si="80"/>
        <v>44.466666666666669</v>
      </c>
      <c r="J279" s="3">
        <f t="shared" si="81"/>
        <v>133.4</v>
      </c>
      <c r="K279" s="18">
        <f t="shared" si="89"/>
        <v>4</v>
      </c>
      <c r="L279" s="18">
        <f t="shared" si="79"/>
        <v>145</v>
      </c>
      <c r="M279" s="4"/>
      <c r="N279" s="4"/>
      <c r="O279" s="7"/>
      <c r="P279" s="5">
        <v>34</v>
      </c>
      <c r="Q279" s="3">
        <v>48.431372549019613</v>
      </c>
      <c r="R279" s="3">
        <v>45.294117647058826</v>
      </c>
      <c r="S279" s="3">
        <v>50.588235294117638</v>
      </c>
      <c r="T279" s="3">
        <v>48.104575163398714</v>
      </c>
      <c r="U279" s="3">
        <v>144.31372549019608</v>
      </c>
      <c r="V279" s="18">
        <v>9</v>
      </c>
      <c r="W279" s="18">
        <v>171</v>
      </c>
      <c r="X279" s="4">
        <v>8.8235294117647065</v>
      </c>
      <c r="Y279" s="4">
        <v>26.470588235294116</v>
      </c>
      <c r="Z279" s="7">
        <v>26.470588235294116</v>
      </c>
      <c r="AA279" s="5">
        <v>34</v>
      </c>
      <c r="AB279" s="3">
        <v>28.235294117647058</v>
      </c>
      <c r="AC279" s="3">
        <v>24.666666666666668</v>
      </c>
      <c r="AD279" s="3">
        <v>30.404040404040405</v>
      </c>
      <c r="AE279" s="3">
        <v>27.768667062784708</v>
      </c>
      <c r="AF279" s="3">
        <v>83.306001188354131</v>
      </c>
      <c r="AG279" s="18">
        <v>28</v>
      </c>
      <c r="AH279" s="18">
        <v>304</v>
      </c>
      <c r="AI279" s="4">
        <v>53.333333333333336</v>
      </c>
      <c r="AJ279" s="4">
        <v>66.666666666666671</v>
      </c>
      <c r="AK279" s="7">
        <v>53.333333333333336</v>
      </c>
      <c r="AL279" s="5">
        <v>32</v>
      </c>
      <c r="AM279" s="3">
        <v>49.411764705882341</v>
      </c>
      <c r="AN279" s="3">
        <v>69.80952380952381</v>
      </c>
      <c r="AO279" s="3">
        <v>43.921568627450988</v>
      </c>
      <c r="AP279" s="3">
        <v>54.380952380952387</v>
      </c>
      <c r="AQ279" s="3">
        <v>163.14285714285714</v>
      </c>
      <c r="AR279" s="18">
        <v>1</v>
      </c>
      <c r="AS279" s="18">
        <v>89</v>
      </c>
      <c r="AT279" s="4">
        <v>33.333333333333336</v>
      </c>
      <c r="AU279" s="4">
        <v>75</v>
      </c>
      <c r="AV279" s="7">
        <v>36.666666666666664</v>
      </c>
      <c r="AW279" s="10">
        <f t="shared" si="82"/>
        <v>33.333333333333336</v>
      </c>
      <c r="AX279" s="9">
        <f t="shared" si="83"/>
        <v>42.026143790849666</v>
      </c>
      <c r="AY279" s="9">
        <f t="shared" si="84"/>
        <v>46.590102707749772</v>
      </c>
      <c r="AZ279" s="9">
        <f t="shared" si="85"/>
        <v>41.637948108536342</v>
      </c>
      <c r="BA279" s="9">
        <f t="shared" si="86"/>
        <v>43.418064869045274</v>
      </c>
      <c r="BB279" s="9">
        <f t="shared" si="87"/>
        <v>130.25419460713579</v>
      </c>
      <c r="BC279" s="10">
        <f t="shared" si="90"/>
        <v>9</v>
      </c>
      <c r="BD279" s="10">
        <f t="shared" si="88"/>
        <v>217</v>
      </c>
      <c r="BE279" s="4">
        <f t="shared" si="74"/>
        <v>43.333333333333336</v>
      </c>
      <c r="BF279" s="4">
        <f t="shared" si="75"/>
        <v>70.833333333333343</v>
      </c>
      <c r="BG279" s="7">
        <f t="shared" si="76"/>
        <v>45</v>
      </c>
      <c r="BH279" s="5">
        <v>32</v>
      </c>
      <c r="BI279" s="3">
        <v>46.784374999999997</v>
      </c>
      <c r="BJ279" s="3">
        <v>19.312499999999996</v>
      </c>
      <c r="BK279" s="3">
        <v>32.259375000000006</v>
      </c>
      <c r="BL279" s="3">
        <v>32.785416666666677</v>
      </c>
      <c r="BM279" s="3">
        <v>98.356249999999989</v>
      </c>
      <c r="BN279" s="18">
        <v>21</v>
      </c>
      <c r="BO279" s="18">
        <v>271</v>
      </c>
      <c r="BP279" s="4">
        <v>31.25</v>
      </c>
      <c r="BQ279" s="4">
        <v>81.25</v>
      </c>
      <c r="BR279" s="7">
        <v>53.125</v>
      </c>
      <c r="BS279" s="18"/>
      <c r="BT279" s="23">
        <v>33</v>
      </c>
    </row>
    <row r="280" spans="1:72" x14ac:dyDescent="0.25">
      <c r="A280" s="1">
        <v>275</v>
      </c>
      <c r="B280" s="18" t="s">
        <v>31</v>
      </c>
      <c r="C280" s="18">
        <v>92</v>
      </c>
      <c r="D280" s="21" t="s">
        <v>9</v>
      </c>
      <c r="E280" s="5"/>
      <c r="F280" s="3">
        <v>50.333333333333336</v>
      </c>
      <c r="G280" s="3">
        <v>32</v>
      </c>
      <c r="H280" s="3">
        <v>28.666666666666668</v>
      </c>
      <c r="I280" s="3">
        <f t="shared" si="80"/>
        <v>37.000000000000007</v>
      </c>
      <c r="J280" s="3">
        <f t="shared" si="81"/>
        <v>111.00000000000001</v>
      </c>
      <c r="K280" s="18">
        <f t="shared" si="89"/>
        <v>15</v>
      </c>
      <c r="L280" s="18">
        <f t="shared" si="79"/>
        <v>228</v>
      </c>
      <c r="M280" s="4"/>
      <c r="N280" s="4"/>
      <c r="O280" s="7"/>
      <c r="P280" s="5">
        <v>73</v>
      </c>
      <c r="Q280" s="3">
        <v>46.438356164383578</v>
      </c>
      <c r="R280" s="3">
        <v>35.178082191780824</v>
      </c>
      <c r="S280" s="3">
        <v>38.447488584474883</v>
      </c>
      <c r="T280" s="3">
        <v>40.021308980213071</v>
      </c>
      <c r="U280" s="3">
        <v>120.06392694063928</v>
      </c>
      <c r="V280" s="18">
        <v>25</v>
      </c>
      <c r="W280" s="18">
        <v>273</v>
      </c>
      <c r="X280" s="4">
        <v>19.17808219178082</v>
      </c>
      <c r="Y280" s="4">
        <v>45.205479452054796</v>
      </c>
      <c r="Z280" s="7">
        <v>39.726027397260275</v>
      </c>
      <c r="AA280" s="5">
        <v>77</v>
      </c>
      <c r="AB280" s="3">
        <v>39.605157131345692</v>
      </c>
      <c r="AC280" s="3">
        <v>38.630136986301373</v>
      </c>
      <c r="AD280" s="3">
        <v>43.420506434205059</v>
      </c>
      <c r="AE280" s="3">
        <v>40.551933517284048</v>
      </c>
      <c r="AF280" s="3">
        <v>121.65580055185214</v>
      </c>
      <c r="AG280" s="18">
        <v>8</v>
      </c>
      <c r="AH280" s="18">
        <v>205</v>
      </c>
      <c r="AI280" s="4">
        <v>30.136986301369863</v>
      </c>
      <c r="AJ280" s="4">
        <v>34.246575342465754</v>
      </c>
      <c r="AK280" s="7">
        <v>24.657534246575342</v>
      </c>
      <c r="AL280" s="5">
        <v>78</v>
      </c>
      <c r="AM280" s="3">
        <v>53.590527119938869</v>
      </c>
      <c r="AN280" s="3">
        <v>31.985157699443413</v>
      </c>
      <c r="AO280" s="3">
        <v>45.798319327731086</v>
      </c>
      <c r="AP280" s="3">
        <v>43.79133471570448</v>
      </c>
      <c r="AQ280" s="3">
        <v>131.37400414711337</v>
      </c>
      <c r="AR280" s="18">
        <v>13</v>
      </c>
      <c r="AS280" s="18">
        <v>229</v>
      </c>
      <c r="AT280" s="4">
        <v>7.7922077922077921</v>
      </c>
      <c r="AU280" s="4">
        <v>51.948051948051948</v>
      </c>
      <c r="AV280" s="7">
        <v>28.571428571428573</v>
      </c>
      <c r="AW280" s="10">
        <f t="shared" si="82"/>
        <v>76</v>
      </c>
      <c r="AX280" s="9">
        <f t="shared" si="83"/>
        <v>46.544680138556053</v>
      </c>
      <c r="AY280" s="9">
        <f t="shared" si="84"/>
        <v>35.264458959175208</v>
      </c>
      <c r="AZ280" s="9">
        <f t="shared" si="85"/>
        <v>42.555438115470345</v>
      </c>
      <c r="BA280" s="9">
        <f t="shared" si="86"/>
        <v>41.454859071067197</v>
      </c>
      <c r="BB280" s="9">
        <f t="shared" si="87"/>
        <v>124.3645772132016</v>
      </c>
      <c r="BC280" s="10">
        <f t="shared" si="90"/>
        <v>17</v>
      </c>
      <c r="BD280" s="10">
        <f t="shared" si="88"/>
        <v>240</v>
      </c>
      <c r="BE280" s="4">
        <f t="shared" si="74"/>
        <v>18.964597046788828</v>
      </c>
      <c r="BF280" s="4">
        <f t="shared" si="75"/>
        <v>43.097313645258851</v>
      </c>
      <c r="BG280" s="7">
        <f t="shared" si="76"/>
        <v>26.614481409001957</v>
      </c>
      <c r="BH280" s="5">
        <v>77</v>
      </c>
      <c r="BI280" s="3">
        <v>54.485714285714295</v>
      </c>
      <c r="BJ280" s="3">
        <v>24.4051948051948</v>
      </c>
      <c r="BK280" s="3">
        <v>39.149350649350659</v>
      </c>
      <c r="BL280" s="3">
        <v>39.346753246753238</v>
      </c>
      <c r="BM280" s="3">
        <v>118.04025974025977</v>
      </c>
      <c r="BN280" s="18">
        <v>7</v>
      </c>
      <c r="BO280" s="18">
        <v>184</v>
      </c>
      <c r="BP280" s="4">
        <v>15.584415584415584</v>
      </c>
      <c r="BQ280" s="4">
        <v>72.727272727272734</v>
      </c>
      <c r="BR280" s="7">
        <v>40.259740259740262</v>
      </c>
      <c r="BS280" s="18"/>
      <c r="BT280" s="23">
        <v>92</v>
      </c>
    </row>
    <row r="281" spans="1:72" x14ac:dyDescent="0.25">
      <c r="A281" s="18">
        <v>276</v>
      </c>
      <c r="B281" s="18" t="s">
        <v>31</v>
      </c>
      <c r="C281" s="18">
        <v>117</v>
      </c>
      <c r="D281" s="21" t="s">
        <v>9</v>
      </c>
      <c r="E281" s="5"/>
      <c r="F281" s="3">
        <v>53.333333333333336</v>
      </c>
      <c r="G281" s="3">
        <v>35.6</v>
      </c>
      <c r="H281" s="3">
        <v>28.666666666666668</v>
      </c>
      <c r="I281" s="3">
        <f t="shared" si="80"/>
        <v>39.200000000000003</v>
      </c>
      <c r="J281" s="3">
        <f t="shared" si="81"/>
        <v>117.60000000000001</v>
      </c>
      <c r="K281" s="18">
        <f t="shared" si="89"/>
        <v>11</v>
      </c>
      <c r="L281" s="18">
        <f t="shared" si="79"/>
        <v>208</v>
      </c>
      <c r="M281" s="4"/>
      <c r="N281" s="4"/>
      <c r="O281" s="7"/>
      <c r="P281" s="5">
        <v>268</v>
      </c>
      <c r="Q281" s="3">
        <v>47.375621890547286</v>
      </c>
      <c r="R281" s="3">
        <v>44.059925093632955</v>
      </c>
      <c r="S281" s="3">
        <v>44.32835820895523</v>
      </c>
      <c r="T281" s="3">
        <v>45.256122872561235</v>
      </c>
      <c r="U281" s="3">
        <v>135.76390519313546</v>
      </c>
      <c r="V281" s="18">
        <v>14</v>
      </c>
      <c r="W281" s="18">
        <v>205</v>
      </c>
      <c r="X281" s="4">
        <v>23.507462686567163</v>
      </c>
      <c r="Y281" s="4">
        <v>36.329588014981276</v>
      </c>
      <c r="Z281" s="7">
        <v>40.671641791044777</v>
      </c>
      <c r="AA281" s="5">
        <v>274</v>
      </c>
      <c r="AB281" s="3">
        <v>37.462430227565463</v>
      </c>
      <c r="AC281" s="3">
        <v>43.007299270072991</v>
      </c>
      <c r="AD281" s="3">
        <v>39.559831895598258</v>
      </c>
      <c r="AE281" s="3">
        <v>40.009853797745627</v>
      </c>
      <c r="AF281" s="3">
        <v>120.02956139323672</v>
      </c>
      <c r="AG281" s="18">
        <v>11</v>
      </c>
      <c r="AH281" s="18">
        <v>215</v>
      </c>
      <c r="AI281" s="4">
        <v>39.416058394160586</v>
      </c>
      <c r="AJ281" s="4">
        <v>40.875912408759127</v>
      </c>
      <c r="AK281" s="7">
        <v>47.445255474452551</v>
      </c>
      <c r="AL281" s="5">
        <v>263</v>
      </c>
      <c r="AM281" s="3">
        <v>58.353835830910349</v>
      </c>
      <c r="AN281" s="3">
        <v>29.929386203150468</v>
      </c>
      <c r="AO281" s="3">
        <v>45.475976650202099</v>
      </c>
      <c r="AP281" s="3">
        <v>44.593518015571235</v>
      </c>
      <c r="AQ281" s="3">
        <v>133.75919868426291</v>
      </c>
      <c r="AR281" s="18">
        <v>12</v>
      </c>
      <c r="AS281" s="18">
        <v>219</v>
      </c>
      <c r="AT281" s="4">
        <v>12.547528517110266</v>
      </c>
      <c r="AU281" s="4">
        <v>55.343511450381676</v>
      </c>
      <c r="AV281" s="7">
        <v>33.969465648854964</v>
      </c>
      <c r="AW281" s="10">
        <f t="shared" si="82"/>
        <v>268.33333333333331</v>
      </c>
      <c r="AX281" s="9">
        <f t="shared" si="83"/>
        <v>47.730629316341037</v>
      </c>
      <c r="AY281" s="9">
        <f t="shared" si="84"/>
        <v>38.998870188952139</v>
      </c>
      <c r="AZ281" s="9">
        <f t="shared" si="85"/>
        <v>43.12138891825186</v>
      </c>
      <c r="BA281" s="9">
        <f t="shared" si="86"/>
        <v>43.286498228626023</v>
      </c>
      <c r="BB281" s="9">
        <f t="shared" si="87"/>
        <v>129.85088842354503</v>
      </c>
      <c r="BC281" s="10">
        <f t="shared" si="90"/>
        <v>10</v>
      </c>
      <c r="BD281" s="10">
        <f t="shared" si="88"/>
        <v>218</v>
      </c>
      <c r="BE281" s="4">
        <f t="shared" si="74"/>
        <v>25.981793455635426</v>
      </c>
      <c r="BF281" s="4">
        <f t="shared" si="75"/>
        <v>48.109711929570402</v>
      </c>
      <c r="BG281" s="7">
        <f t="shared" si="76"/>
        <v>40.707360561653758</v>
      </c>
      <c r="BH281" s="5">
        <v>296</v>
      </c>
      <c r="BI281" s="3">
        <v>54.281355932203375</v>
      </c>
      <c r="BJ281" s="3">
        <v>25.53288135593219</v>
      </c>
      <c r="BK281" s="3">
        <v>34.972203389830547</v>
      </c>
      <c r="BL281" s="3">
        <v>38.262146892655402</v>
      </c>
      <c r="BM281" s="3">
        <v>114.7864406779661</v>
      </c>
      <c r="BN281" s="18">
        <v>10</v>
      </c>
      <c r="BO281" s="18">
        <v>201</v>
      </c>
      <c r="BP281" s="4">
        <v>18.305084745762713</v>
      </c>
      <c r="BQ281" s="4">
        <v>71.86440677966101</v>
      </c>
      <c r="BR281" s="7">
        <v>57.288135593220339</v>
      </c>
      <c r="BS281" s="18"/>
      <c r="BT281" s="23">
        <v>117</v>
      </c>
    </row>
    <row r="282" spans="1:72" x14ac:dyDescent="0.25">
      <c r="A282" s="18">
        <v>277</v>
      </c>
      <c r="B282" s="18" t="s">
        <v>31</v>
      </c>
      <c r="C282" s="18">
        <v>119</v>
      </c>
      <c r="D282" s="21" t="s">
        <v>9</v>
      </c>
      <c r="E282" s="5"/>
      <c r="F282" s="3">
        <v>43</v>
      </c>
      <c r="G282" s="3">
        <v>38.4</v>
      </c>
      <c r="H282" s="3">
        <v>34.333333333333336</v>
      </c>
      <c r="I282" s="3">
        <f t="shared" si="80"/>
        <v>38.577777777777783</v>
      </c>
      <c r="J282" s="3">
        <f t="shared" si="81"/>
        <v>115.73333333333335</v>
      </c>
      <c r="K282" s="18">
        <f t="shared" si="89"/>
        <v>12</v>
      </c>
      <c r="L282" s="18">
        <f t="shared" si="79"/>
        <v>212</v>
      </c>
      <c r="M282" s="4"/>
      <c r="N282" s="4"/>
      <c r="O282" s="7"/>
      <c r="P282" s="5">
        <v>49</v>
      </c>
      <c r="Q282" s="3">
        <v>45.986394557823132</v>
      </c>
      <c r="R282" s="3">
        <v>48.081632653061227</v>
      </c>
      <c r="S282" s="3">
        <v>52.10884353741497</v>
      </c>
      <c r="T282" s="3">
        <v>48.725623582766417</v>
      </c>
      <c r="U282" s="3">
        <v>146.17687074829934</v>
      </c>
      <c r="V282" s="18">
        <v>8</v>
      </c>
      <c r="W282" s="18">
        <v>161</v>
      </c>
      <c r="X282" s="4">
        <v>12.244897959183673</v>
      </c>
      <c r="Y282" s="4">
        <v>12.244897959183673</v>
      </c>
      <c r="Z282" s="7">
        <v>12.244897959183673</v>
      </c>
      <c r="AA282" s="5">
        <v>48</v>
      </c>
      <c r="AB282" s="3">
        <v>35.477941176470594</v>
      </c>
      <c r="AC282" s="3">
        <v>37.5</v>
      </c>
      <c r="AD282" s="3">
        <v>33.270202020202014</v>
      </c>
      <c r="AE282" s="3">
        <v>35.416047732224214</v>
      </c>
      <c r="AF282" s="3">
        <v>106.2481431966726</v>
      </c>
      <c r="AG282" s="18">
        <v>19</v>
      </c>
      <c r="AH282" s="18">
        <v>265</v>
      </c>
      <c r="AI282" s="4">
        <v>37.5</v>
      </c>
      <c r="AJ282" s="4">
        <v>29.166666666666668</v>
      </c>
      <c r="AK282" s="7">
        <v>50</v>
      </c>
      <c r="AL282" s="5">
        <v>49</v>
      </c>
      <c r="AM282" s="3">
        <v>42.977190876350541</v>
      </c>
      <c r="AN282" s="3">
        <v>35.976676384839649</v>
      </c>
      <c r="AO282" s="3">
        <v>36.914765906362533</v>
      </c>
      <c r="AP282" s="3">
        <v>38.622877722517593</v>
      </c>
      <c r="AQ282" s="3">
        <v>115.86863316755273</v>
      </c>
      <c r="AR282" s="18">
        <v>24</v>
      </c>
      <c r="AS282" s="18">
        <v>272</v>
      </c>
      <c r="AT282" s="4">
        <v>32.653061224489797</v>
      </c>
      <c r="AU282" s="4">
        <v>36.734693877551024</v>
      </c>
      <c r="AV282" s="7">
        <v>38.775510204081634</v>
      </c>
      <c r="AW282" s="10">
        <f t="shared" si="82"/>
        <v>48.666666666666664</v>
      </c>
      <c r="AX282" s="9">
        <f t="shared" si="83"/>
        <v>41.480508870214756</v>
      </c>
      <c r="AY282" s="9">
        <f t="shared" si="84"/>
        <v>40.519436345966959</v>
      </c>
      <c r="AZ282" s="9">
        <f t="shared" si="85"/>
        <v>40.76460382132651</v>
      </c>
      <c r="BA282" s="9">
        <f t="shared" si="86"/>
        <v>40.921516345836075</v>
      </c>
      <c r="BB282" s="9">
        <f t="shared" si="87"/>
        <v>122.76454903750823</v>
      </c>
      <c r="BC282" s="10">
        <f t="shared" si="90"/>
        <v>19</v>
      </c>
      <c r="BD282" s="10">
        <f t="shared" si="88"/>
        <v>249</v>
      </c>
      <c r="BE282" s="4">
        <f t="shared" ref="BE282:BE328" si="91">AVERAGE(M282,AI282,AT282)</f>
        <v>35.076530612244895</v>
      </c>
      <c r="BF282" s="4">
        <f t="shared" ref="BF282:BF328" si="92">AVERAGE(N282,AJ282,AU282)</f>
        <v>32.950680272108848</v>
      </c>
      <c r="BG282" s="7">
        <f t="shared" ref="BG282:BG328" si="93">AVERAGE(O282,AK282,AV282)</f>
        <v>44.387755102040813</v>
      </c>
      <c r="BH282" s="5">
        <v>50</v>
      </c>
      <c r="BI282" s="3">
        <v>43.993478260869558</v>
      </c>
      <c r="BJ282" s="3">
        <v>23.923913043478251</v>
      </c>
      <c r="BK282" s="3">
        <v>28.952173913043481</v>
      </c>
      <c r="BL282" s="3">
        <v>32.289855072463766</v>
      </c>
      <c r="BM282" s="3">
        <v>96.869565217391298</v>
      </c>
      <c r="BN282" s="18">
        <v>22</v>
      </c>
      <c r="BO282" s="18">
        <v>277</v>
      </c>
      <c r="BP282" s="4">
        <v>36.956521739130437</v>
      </c>
      <c r="BQ282" s="4">
        <v>63.043478260869563</v>
      </c>
      <c r="BR282" s="7">
        <v>65.217391304347828</v>
      </c>
      <c r="BS282" s="18"/>
      <c r="BT282" s="23">
        <v>119</v>
      </c>
    </row>
    <row r="283" spans="1:72" x14ac:dyDescent="0.25">
      <c r="A283" s="18">
        <v>278</v>
      </c>
      <c r="B283" s="18" t="s">
        <v>31</v>
      </c>
      <c r="C283" s="18">
        <v>120</v>
      </c>
      <c r="D283" s="21" t="s">
        <v>9</v>
      </c>
      <c r="E283" s="5"/>
      <c r="F283" s="3">
        <v>39.333333333333336</v>
      </c>
      <c r="G283" s="3">
        <v>26</v>
      </c>
      <c r="H283" s="3">
        <v>22.333333333333332</v>
      </c>
      <c r="I283" s="3">
        <f t="shared" si="80"/>
        <v>29.222222222222225</v>
      </c>
      <c r="J283" s="3">
        <f t="shared" si="81"/>
        <v>87.666666666666671</v>
      </c>
      <c r="K283" s="18">
        <f t="shared" si="89"/>
        <v>23</v>
      </c>
      <c r="L283" s="18">
        <f t="shared" si="79"/>
        <v>285</v>
      </c>
      <c r="M283" s="4"/>
      <c r="N283" s="4"/>
      <c r="O283" s="7"/>
      <c r="P283" s="5">
        <v>92</v>
      </c>
      <c r="Q283" s="3">
        <v>45.543478260869563</v>
      </c>
      <c r="R283" s="3">
        <v>43.173913043478258</v>
      </c>
      <c r="S283" s="3">
        <v>39.275362318840585</v>
      </c>
      <c r="T283" s="3">
        <v>42.664251207729478</v>
      </c>
      <c r="U283" s="3">
        <v>127.99275362318841</v>
      </c>
      <c r="V283" s="18">
        <v>18</v>
      </c>
      <c r="W283" s="18">
        <v>244</v>
      </c>
      <c r="X283" s="4">
        <v>29.347826086956523</v>
      </c>
      <c r="Y283" s="4">
        <v>30.434782608695652</v>
      </c>
      <c r="Z283" s="7">
        <v>47.826086956521742</v>
      </c>
      <c r="AA283" s="5">
        <v>96</v>
      </c>
      <c r="AB283" s="3">
        <v>34.930601454064757</v>
      </c>
      <c r="AC283" s="3">
        <v>35.955056179775283</v>
      </c>
      <c r="AD283" s="3">
        <v>43.112947658402184</v>
      </c>
      <c r="AE283" s="3">
        <v>37.97113234125792</v>
      </c>
      <c r="AF283" s="3">
        <v>113.99860529224222</v>
      </c>
      <c r="AG283" s="18">
        <v>12</v>
      </c>
      <c r="AH283" s="18">
        <v>235</v>
      </c>
      <c r="AI283" s="4">
        <v>41.573033707865171</v>
      </c>
      <c r="AJ283" s="4">
        <v>43.820224719101127</v>
      </c>
      <c r="AK283" s="7">
        <v>38.636363636363633</v>
      </c>
      <c r="AL283" s="5">
        <v>95</v>
      </c>
      <c r="AM283" s="3">
        <v>50.236646382691013</v>
      </c>
      <c r="AN283" s="3">
        <v>39.080459770114928</v>
      </c>
      <c r="AO283" s="3">
        <v>40.331304935767399</v>
      </c>
      <c r="AP283" s="3">
        <v>43.216137029524454</v>
      </c>
      <c r="AQ283" s="3">
        <v>129.64841108857334</v>
      </c>
      <c r="AR283" s="18">
        <v>14</v>
      </c>
      <c r="AS283" s="18">
        <v>235</v>
      </c>
      <c r="AT283" s="4">
        <v>17.241379310344829</v>
      </c>
      <c r="AU283" s="4">
        <v>37.931034482758619</v>
      </c>
      <c r="AV283" s="7">
        <v>44.827586206896555</v>
      </c>
      <c r="AW283" s="10">
        <f t="shared" si="82"/>
        <v>94.333333333333329</v>
      </c>
      <c r="AX283" s="9">
        <f t="shared" si="83"/>
        <v>43.570242032541778</v>
      </c>
      <c r="AY283" s="9">
        <f t="shared" si="84"/>
        <v>39.403142997789487</v>
      </c>
      <c r="AZ283" s="9">
        <f t="shared" si="85"/>
        <v>40.906538304336721</v>
      </c>
      <c r="BA283" s="9">
        <f t="shared" si="86"/>
        <v>41.283840192837282</v>
      </c>
      <c r="BB283" s="9">
        <f t="shared" si="87"/>
        <v>123.87992333466798</v>
      </c>
      <c r="BC283" s="10">
        <f t="shared" si="90"/>
        <v>18</v>
      </c>
      <c r="BD283" s="10">
        <f t="shared" si="88"/>
        <v>244</v>
      </c>
      <c r="BE283" s="4">
        <f t="shared" si="91"/>
        <v>29.407206509105002</v>
      </c>
      <c r="BF283" s="4">
        <f t="shared" si="92"/>
        <v>40.875629600929869</v>
      </c>
      <c r="BG283" s="7">
        <f t="shared" si="93"/>
        <v>41.731974921630098</v>
      </c>
      <c r="BH283" s="5">
        <v>95</v>
      </c>
      <c r="BI283" s="3">
        <v>52.670526315789473</v>
      </c>
      <c r="BJ283" s="3">
        <v>37.792631578947372</v>
      </c>
      <c r="BK283" s="3">
        <v>36.097894736842115</v>
      </c>
      <c r="BL283" s="3">
        <v>42.187017543859639</v>
      </c>
      <c r="BM283" s="3">
        <v>126.56105263157897</v>
      </c>
      <c r="BN283" s="18">
        <v>3</v>
      </c>
      <c r="BO283" s="18">
        <v>130</v>
      </c>
      <c r="BP283" s="4">
        <v>22.105263157894736</v>
      </c>
      <c r="BQ283" s="4">
        <v>49.473684210526315</v>
      </c>
      <c r="BR283" s="7">
        <v>54.736842105263158</v>
      </c>
      <c r="BS283" s="18"/>
      <c r="BT283" s="23">
        <v>120</v>
      </c>
    </row>
    <row r="284" spans="1:72" x14ac:dyDescent="0.25">
      <c r="A284" s="18">
        <v>279</v>
      </c>
      <c r="B284" s="18" t="s">
        <v>31</v>
      </c>
      <c r="C284" s="18">
        <v>121</v>
      </c>
      <c r="D284" s="21" t="s">
        <v>9</v>
      </c>
      <c r="E284" s="5"/>
      <c r="F284" s="3">
        <v>53.333333333333336</v>
      </c>
      <c r="G284" s="3">
        <v>42.8</v>
      </c>
      <c r="H284" s="3">
        <v>31.333333333333332</v>
      </c>
      <c r="I284" s="3">
        <f t="shared" si="80"/>
        <v>42.488888888888887</v>
      </c>
      <c r="J284" s="3">
        <f t="shared" si="81"/>
        <v>127.46666666666665</v>
      </c>
      <c r="K284" s="18">
        <f t="shared" si="89"/>
        <v>6</v>
      </c>
      <c r="L284" s="18">
        <f t="shared" si="79"/>
        <v>166</v>
      </c>
      <c r="M284" s="4"/>
      <c r="N284" s="4"/>
      <c r="O284" s="7"/>
      <c r="P284" s="5">
        <v>23</v>
      </c>
      <c r="Q284" s="3">
        <v>37.681159420289859</v>
      </c>
      <c r="R284" s="3">
        <v>38.956521739130437</v>
      </c>
      <c r="S284" s="3">
        <v>27.826086956521735</v>
      </c>
      <c r="T284" s="3">
        <v>34.821256038647334</v>
      </c>
      <c r="U284" s="3">
        <v>104.46376811594203</v>
      </c>
      <c r="V284" s="18">
        <v>28</v>
      </c>
      <c r="W284" s="18">
        <v>295</v>
      </c>
      <c r="X284" s="4">
        <v>30.434782608695652</v>
      </c>
      <c r="Y284" s="4">
        <v>17.391304347826086</v>
      </c>
      <c r="Z284" s="7">
        <v>69.565217391304344</v>
      </c>
      <c r="AA284" s="5">
        <v>158</v>
      </c>
      <c r="AB284" s="3">
        <v>39.353769676884824</v>
      </c>
      <c r="AC284" s="3">
        <v>48.309859154929576</v>
      </c>
      <c r="AD284" s="3">
        <v>38.860435339308523</v>
      </c>
      <c r="AE284" s="3">
        <v>42.174688057040967</v>
      </c>
      <c r="AF284" s="3">
        <v>126.52406417112293</v>
      </c>
      <c r="AG284" s="18">
        <v>6</v>
      </c>
      <c r="AH284" s="18">
        <v>190</v>
      </c>
      <c r="AI284" s="4">
        <v>30.281690140845072</v>
      </c>
      <c r="AJ284" s="4">
        <v>19.014084507042252</v>
      </c>
      <c r="AK284" s="7">
        <v>37.857142857142854</v>
      </c>
      <c r="AL284" s="5">
        <v>156</v>
      </c>
      <c r="AM284" s="3">
        <v>59.854014598540147</v>
      </c>
      <c r="AN284" s="3">
        <v>41.084462982273237</v>
      </c>
      <c r="AO284" s="3">
        <v>47.642733564013874</v>
      </c>
      <c r="AP284" s="3">
        <v>49.521049295630654</v>
      </c>
      <c r="AQ284" s="3">
        <v>148.58121114482725</v>
      </c>
      <c r="AR284" s="18">
        <v>4</v>
      </c>
      <c r="AS284" s="18">
        <v>147</v>
      </c>
      <c r="AT284" s="4">
        <v>8.0291970802919703</v>
      </c>
      <c r="AU284" s="4">
        <v>37.956204379562045</v>
      </c>
      <c r="AV284" s="7">
        <v>28.676470588235293</v>
      </c>
      <c r="AW284" s="10">
        <f t="shared" si="82"/>
        <v>112.33333333333333</v>
      </c>
      <c r="AX284" s="9">
        <f t="shared" si="83"/>
        <v>45.629647898571612</v>
      </c>
      <c r="AY284" s="9">
        <f t="shared" si="84"/>
        <v>42.783614625444415</v>
      </c>
      <c r="AZ284" s="9">
        <f t="shared" si="85"/>
        <v>38.109751953281375</v>
      </c>
      <c r="BA284" s="9">
        <f t="shared" si="86"/>
        <v>42.172331130439652</v>
      </c>
      <c r="BB284" s="9">
        <f t="shared" si="87"/>
        <v>126.52301447729741</v>
      </c>
      <c r="BC284" s="10">
        <f t="shared" si="90"/>
        <v>15</v>
      </c>
      <c r="BD284" s="10">
        <f t="shared" si="88"/>
        <v>231</v>
      </c>
      <c r="BE284" s="4">
        <f t="shared" si="91"/>
        <v>19.155443610568522</v>
      </c>
      <c r="BF284" s="4">
        <f t="shared" si="92"/>
        <v>28.485144443302147</v>
      </c>
      <c r="BG284" s="7">
        <f t="shared" si="93"/>
        <v>33.266806722689076</v>
      </c>
      <c r="BH284" s="5">
        <v>160</v>
      </c>
      <c r="BI284" s="3">
        <v>41.373584905660373</v>
      </c>
      <c r="BJ284" s="3">
        <v>19.186163522012588</v>
      </c>
      <c r="BK284" s="3">
        <v>25.447169811320748</v>
      </c>
      <c r="BL284" s="3">
        <v>28.668972746331239</v>
      </c>
      <c r="BM284" s="3">
        <v>86.006918238993705</v>
      </c>
      <c r="BN284" s="18">
        <v>27</v>
      </c>
      <c r="BO284" s="18">
        <v>293</v>
      </c>
      <c r="BP284" s="4">
        <v>37.106918238993714</v>
      </c>
      <c r="BQ284" s="4">
        <v>81.132075471698116</v>
      </c>
      <c r="BR284" s="7">
        <v>75.471698113207552</v>
      </c>
      <c r="BS284" s="18"/>
      <c r="BT284" s="23">
        <v>121</v>
      </c>
    </row>
    <row r="285" spans="1:72" x14ac:dyDescent="0.25">
      <c r="A285" s="1">
        <v>280</v>
      </c>
      <c r="B285" s="18" t="s">
        <v>31</v>
      </c>
      <c r="C285" s="24">
        <v>122</v>
      </c>
      <c r="D285" s="21" t="s">
        <v>23</v>
      </c>
      <c r="E285" s="25"/>
      <c r="F285" s="26"/>
      <c r="G285" s="26"/>
      <c r="H285" s="26"/>
      <c r="I285" s="3" t="str">
        <f t="shared" si="80"/>
        <v/>
      </c>
      <c r="J285" s="3" t="str">
        <f t="shared" si="81"/>
        <v/>
      </c>
      <c r="K285" s="18" t="str">
        <f t="shared" si="89"/>
        <v/>
      </c>
      <c r="L285" s="18" t="str">
        <f t="shared" si="79"/>
        <v/>
      </c>
      <c r="M285" s="4"/>
      <c r="N285" s="4"/>
      <c r="O285" s="7"/>
      <c r="P285" s="25"/>
      <c r="Q285" s="26"/>
      <c r="R285" s="26"/>
      <c r="S285" s="26"/>
      <c r="T285" s="27"/>
      <c r="U285" s="3" t="s">
        <v>35</v>
      </c>
      <c r="V285" s="18" t="s">
        <v>35</v>
      </c>
      <c r="W285" s="18" t="s">
        <v>35</v>
      </c>
      <c r="X285" s="4" t="s">
        <v>35</v>
      </c>
      <c r="Y285" s="4" t="s">
        <v>35</v>
      </c>
      <c r="Z285" s="7" t="s">
        <v>35</v>
      </c>
      <c r="AA285" s="25"/>
      <c r="AB285" s="26"/>
      <c r="AC285" s="26"/>
      <c r="AD285" s="26"/>
      <c r="AE285" s="27"/>
      <c r="AF285" s="3" t="s">
        <v>35</v>
      </c>
      <c r="AG285" s="18" t="s">
        <v>35</v>
      </c>
      <c r="AH285" s="18" t="s">
        <v>35</v>
      </c>
      <c r="AI285" s="4" t="s">
        <v>35</v>
      </c>
      <c r="AJ285" s="4" t="s">
        <v>35</v>
      </c>
      <c r="AK285" s="7" t="s">
        <v>35</v>
      </c>
      <c r="AL285" s="25"/>
      <c r="AM285" s="26"/>
      <c r="AN285" s="26"/>
      <c r="AO285" s="26"/>
      <c r="AP285" s="27"/>
      <c r="AQ285" s="3" t="s">
        <v>35</v>
      </c>
      <c r="AR285" s="18" t="s">
        <v>35</v>
      </c>
      <c r="AS285" s="18" t="s">
        <v>35</v>
      </c>
      <c r="AT285" s="4" t="s">
        <v>35</v>
      </c>
      <c r="AU285" s="4" t="s">
        <v>35</v>
      </c>
      <c r="AV285" s="7" t="s">
        <v>35</v>
      </c>
      <c r="AW285" s="10"/>
      <c r="AX285" s="9"/>
      <c r="AY285" s="9"/>
      <c r="AZ285" s="9"/>
      <c r="BA285" s="9"/>
      <c r="BB285" s="9"/>
      <c r="BC285" s="10" t="str">
        <f t="shared" si="90"/>
        <v/>
      </c>
      <c r="BD285" s="10" t="str">
        <f t="shared" si="88"/>
        <v/>
      </c>
      <c r="BE285" s="4"/>
      <c r="BF285" s="4"/>
      <c r="BG285" s="7"/>
      <c r="BH285" s="25"/>
      <c r="BI285" s="26"/>
      <c r="BJ285" s="26"/>
      <c r="BK285" s="26"/>
      <c r="BL285" s="27"/>
      <c r="BM285" s="3"/>
      <c r="BN285" s="18"/>
      <c r="BO285" s="18"/>
      <c r="BP285" s="4"/>
      <c r="BQ285" s="4"/>
      <c r="BR285" s="7"/>
      <c r="BS285" s="18"/>
      <c r="BT285" s="23">
        <v>122</v>
      </c>
    </row>
    <row r="286" spans="1:72" x14ac:dyDescent="0.25">
      <c r="A286" s="18">
        <v>281</v>
      </c>
      <c r="B286" s="18" t="s">
        <v>31</v>
      </c>
      <c r="C286" s="18">
        <v>123</v>
      </c>
      <c r="D286" s="21" t="s">
        <v>9</v>
      </c>
      <c r="E286" s="5"/>
      <c r="F286" s="3">
        <v>46.666666666666664</v>
      </c>
      <c r="G286" s="3">
        <v>29.2</v>
      </c>
      <c r="H286" s="3">
        <v>29.333333333333336</v>
      </c>
      <c r="I286" s="3">
        <f t="shared" si="80"/>
        <v>35.066666666666663</v>
      </c>
      <c r="J286" s="3">
        <f t="shared" si="81"/>
        <v>105.19999999999999</v>
      </c>
      <c r="K286" s="18">
        <f t="shared" si="89"/>
        <v>17</v>
      </c>
      <c r="L286" s="18">
        <f t="shared" si="79"/>
        <v>244</v>
      </c>
      <c r="M286" s="4"/>
      <c r="N286" s="4"/>
      <c r="O286" s="7"/>
      <c r="P286" s="5">
        <v>88</v>
      </c>
      <c r="Q286" s="3">
        <v>53.674242424242422</v>
      </c>
      <c r="R286" s="3">
        <v>45.81818181818182</v>
      </c>
      <c r="S286" s="3">
        <v>49.962121212121204</v>
      </c>
      <c r="T286" s="3">
        <v>49.818181818181813</v>
      </c>
      <c r="U286" s="3">
        <v>149.45454545454544</v>
      </c>
      <c r="V286" s="18">
        <v>4</v>
      </c>
      <c r="W286" s="18">
        <v>148</v>
      </c>
      <c r="X286" s="4">
        <v>7.9545454545454541</v>
      </c>
      <c r="Y286" s="4">
        <v>27.272727272727273</v>
      </c>
      <c r="Z286" s="7">
        <v>14.772727272727273</v>
      </c>
      <c r="AA286" s="5">
        <v>91</v>
      </c>
      <c r="AB286" s="3">
        <v>48.495989304812831</v>
      </c>
      <c r="AC286" s="3">
        <v>55.227272727272727</v>
      </c>
      <c r="AD286" s="3">
        <v>53.61570247933885</v>
      </c>
      <c r="AE286" s="3">
        <v>52.446321503808143</v>
      </c>
      <c r="AF286" s="3">
        <v>157.33896451142442</v>
      </c>
      <c r="AG286" s="18">
        <v>2</v>
      </c>
      <c r="AH286" s="18">
        <v>73</v>
      </c>
      <c r="AI286" s="4">
        <v>28.40909090909091</v>
      </c>
      <c r="AJ286" s="4">
        <v>10.227272727272727</v>
      </c>
      <c r="AK286" s="7">
        <v>21.59090909090909</v>
      </c>
      <c r="AL286" s="5">
        <v>91</v>
      </c>
      <c r="AM286" s="3">
        <v>59.857789269553955</v>
      </c>
      <c r="AN286" s="3">
        <v>41.758241758241766</v>
      </c>
      <c r="AO286" s="3">
        <v>53.167420814479627</v>
      </c>
      <c r="AP286" s="3">
        <v>51.594483947425104</v>
      </c>
      <c r="AQ286" s="3">
        <v>154.78345184227533</v>
      </c>
      <c r="AR286" s="18">
        <v>3</v>
      </c>
      <c r="AS286" s="18">
        <v>123</v>
      </c>
      <c r="AT286" s="4">
        <v>10.989010989010989</v>
      </c>
      <c r="AU286" s="4">
        <v>35.164835164835168</v>
      </c>
      <c r="AV286" s="7">
        <v>34.065934065934066</v>
      </c>
      <c r="AW286" s="10">
        <f t="shared" si="82"/>
        <v>90</v>
      </c>
      <c r="AX286" s="9">
        <f t="shared" si="83"/>
        <v>54.009340332869733</v>
      </c>
      <c r="AY286" s="9">
        <f t="shared" si="84"/>
        <v>47.601232101232107</v>
      </c>
      <c r="AZ286" s="9">
        <f t="shared" si="85"/>
        <v>52.248414835313234</v>
      </c>
      <c r="BA286" s="9">
        <f t="shared" si="86"/>
        <v>51.286329089805029</v>
      </c>
      <c r="BB286" s="9">
        <f t="shared" si="87"/>
        <v>153.85898726941505</v>
      </c>
      <c r="BC286" s="10">
        <f t="shared" si="90"/>
        <v>1</v>
      </c>
      <c r="BD286" s="10">
        <f t="shared" si="88"/>
        <v>111</v>
      </c>
      <c r="BE286" s="4">
        <f t="shared" si="91"/>
        <v>19.69905094905095</v>
      </c>
      <c r="BF286" s="4">
        <f t="shared" si="92"/>
        <v>22.696053946053947</v>
      </c>
      <c r="BG286" s="7">
        <f t="shared" si="93"/>
        <v>27.828421578421576</v>
      </c>
      <c r="BH286" s="5">
        <v>91</v>
      </c>
      <c r="BI286" s="3">
        <v>49.748351648351644</v>
      </c>
      <c r="BJ286" s="3">
        <v>23.637362637362628</v>
      </c>
      <c r="BK286" s="3">
        <v>36.9087912087912</v>
      </c>
      <c r="BL286" s="3">
        <v>36.764835164835155</v>
      </c>
      <c r="BM286" s="3">
        <v>110.29450549450547</v>
      </c>
      <c r="BN286" s="18">
        <v>14</v>
      </c>
      <c r="BO286" s="18">
        <v>230</v>
      </c>
      <c r="BP286" s="4">
        <v>26.373626373626372</v>
      </c>
      <c r="BQ286" s="4">
        <v>75.824175824175825</v>
      </c>
      <c r="BR286" s="7">
        <v>51.64835164835165</v>
      </c>
      <c r="BS286" s="18"/>
      <c r="BT286" s="23">
        <v>123</v>
      </c>
    </row>
    <row r="287" spans="1:72" x14ac:dyDescent="0.25">
      <c r="A287" s="18">
        <v>282</v>
      </c>
      <c r="B287" s="18" t="s">
        <v>31</v>
      </c>
      <c r="C287" s="18">
        <v>124</v>
      </c>
      <c r="D287" s="21" t="s">
        <v>9</v>
      </c>
      <c r="E287" s="5"/>
      <c r="F287" s="3">
        <v>38.333333333333336</v>
      </c>
      <c r="G287" s="3">
        <v>30.8</v>
      </c>
      <c r="H287" s="3">
        <v>24.666666666666668</v>
      </c>
      <c r="I287" s="3">
        <f t="shared" si="80"/>
        <v>31.266666666666669</v>
      </c>
      <c r="J287" s="3">
        <f t="shared" si="81"/>
        <v>93.800000000000011</v>
      </c>
      <c r="K287" s="18">
        <f t="shared" si="89"/>
        <v>21</v>
      </c>
      <c r="L287" s="18">
        <f t="shared" si="79"/>
        <v>273</v>
      </c>
      <c r="M287" s="4"/>
      <c r="N287" s="4"/>
      <c r="O287" s="7"/>
      <c r="P287" s="5">
        <v>111</v>
      </c>
      <c r="Q287" s="3">
        <v>48.138138138138139</v>
      </c>
      <c r="R287" s="3">
        <v>47.027027027027025</v>
      </c>
      <c r="S287" s="3">
        <v>42.807807807807819</v>
      </c>
      <c r="T287" s="3">
        <v>45.990990990991008</v>
      </c>
      <c r="U287" s="3">
        <v>137.97297297297297</v>
      </c>
      <c r="V287" s="18">
        <v>13</v>
      </c>
      <c r="W287" s="18">
        <v>197</v>
      </c>
      <c r="X287" s="4">
        <v>29.72972972972973</v>
      </c>
      <c r="Y287" s="4">
        <v>24.324324324324323</v>
      </c>
      <c r="Z287" s="7">
        <v>34.234234234234236</v>
      </c>
      <c r="AA287" s="5">
        <v>129</v>
      </c>
      <c r="AB287" s="3">
        <v>34.545923632610943</v>
      </c>
      <c r="AC287" s="3">
        <v>49.473684210526315</v>
      </c>
      <c r="AD287" s="3">
        <v>38.676236044657074</v>
      </c>
      <c r="AE287" s="3">
        <v>40.898614629264799</v>
      </c>
      <c r="AF287" s="3">
        <v>122.69584388779434</v>
      </c>
      <c r="AG287" s="18">
        <v>7</v>
      </c>
      <c r="AH287" s="18">
        <v>199</v>
      </c>
      <c r="AI287" s="4">
        <v>24.378109452736318</v>
      </c>
      <c r="AJ287" s="4">
        <v>20.17543859649123</v>
      </c>
      <c r="AK287" s="7">
        <v>42.10526315789474</v>
      </c>
      <c r="AL287" s="5">
        <v>130</v>
      </c>
      <c r="AM287" s="3">
        <v>50.509049773755663</v>
      </c>
      <c r="AN287" s="3">
        <v>34.725274725274744</v>
      </c>
      <c r="AO287" s="3">
        <v>49.22901199314677</v>
      </c>
      <c r="AP287" s="3">
        <v>44.761096746390862</v>
      </c>
      <c r="AQ287" s="3">
        <v>134.46333649217718</v>
      </c>
      <c r="AR287" s="18">
        <v>11</v>
      </c>
      <c r="AS287" s="18">
        <v>215</v>
      </c>
      <c r="AT287" s="4">
        <v>21.153846153846153</v>
      </c>
      <c r="AU287" s="4">
        <v>47.115384615384613</v>
      </c>
      <c r="AV287" s="7">
        <v>26.21359223300971</v>
      </c>
      <c r="AW287" s="10">
        <f t="shared" si="82"/>
        <v>123.33333333333333</v>
      </c>
      <c r="AX287" s="9">
        <f t="shared" si="83"/>
        <v>44.397703848168248</v>
      </c>
      <c r="AY287" s="9">
        <f t="shared" si="84"/>
        <v>43.741995320942692</v>
      </c>
      <c r="AZ287" s="9">
        <f t="shared" si="85"/>
        <v>43.57101861520389</v>
      </c>
      <c r="BA287" s="9">
        <f t="shared" si="86"/>
        <v>43.883567455548892</v>
      </c>
      <c r="BB287" s="9">
        <f t="shared" si="87"/>
        <v>131.71071778431482</v>
      </c>
      <c r="BC287" s="10">
        <f t="shared" si="90"/>
        <v>8</v>
      </c>
      <c r="BD287" s="10">
        <f t="shared" si="88"/>
        <v>214</v>
      </c>
      <c r="BE287" s="4">
        <f t="shared" si="91"/>
        <v>22.765977803291236</v>
      </c>
      <c r="BF287" s="4">
        <f t="shared" si="92"/>
        <v>33.645411605937923</v>
      </c>
      <c r="BG287" s="7">
        <f t="shared" si="93"/>
        <v>34.159427695452223</v>
      </c>
      <c r="BH287" s="5">
        <v>127</v>
      </c>
      <c r="BI287" s="3">
        <v>49.926771653543298</v>
      </c>
      <c r="BJ287" s="3">
        <v>25.762992125984258</v>
      </c>
      <c r="BK287" s="3">
        <v>34.856692913385821</v>
      </c>
      <c r="BL287" s="3">
        <v>36.848818897637805</v>
      </c>
      <c r="BM287" s="3">
        <v>110.54645669291338</v>
      </c>
      <c r="BN287" s="18">
        <v>13</v>
      </c>
      <c r="BO287" s="18">
        <v>227</v>
      </c>
      <c r="BP287" s="4">
        <v>23.622047244094489</v>
      </c>
      <c r="BQ287" s="4">
        <v>68.503937007874015</v>
      </c>
      <c r="BR287" s="7">
        <v>58.267716535433074</v>
      </c>
      <c r="BS287" s="18"/>
      <c r="BT287" s="23">
        <v>124</v>
      </c>
    </row>
    <row r="288" spans="1:72" x14ac:dyDescent="0.25">
      <c r="A288" s="18">
        <v>283</v>
      </c>
      <c r="B288" s="18" t="s">
        <v>31</v>
      </c>
      <c r="C288" s="18">
        <v>125</v>
      </c>
      <c r="D288" s="21" t="s">
        <v>9</v>
      </c>
      <c r="E288" s="5"/>
      <c r="F288" s="3">
        <v>27</v>
      </c>
      <c r="G288" s="3">
        <v>30</v>
      </c>
      <c r="H288" s="3">
        <v>24.333333333333332</v>
      </c>
      <c r="I288" s="3">
        <f t="shared" si="80"/>
        <v>27.111111111111111</v>
      </c>
      <c r="J288" s="3">
        <f t="shared" si="81"/>
        <v>81.333333333333329</v>
      </c>
      <c r="K288" s="18">
        <f t="shared" si="89"/>
        <v>24</v>
      </c>
      <c r="L288" s="18">
        <f t="shared" si="79"/>
        <v>291</v>
      </c>
      <c r="M288" s="4"/>
      <c r="N288" s="4"/>
      <c r="O288" s="7"/>
      <c r="P288" s="5">
        <v>53</v>
      </c>
      <c r="Q288" s="3">
        <v>47.861635220125763</v>
      </c>
      <c r="R288" s="3">
        <v>39.622641509433961</v>
      </c>
      <c r="S288" s="3">
        <v>34.935897435897445</v>
      </c>
      <c r="T288" s="3">
        <v>40.843881856540094</v>
      </c>
      <c r="U288" s="3">
        <v>122.42017416545717</v>
      </c>
      <c r="V288" s="18">
        <v>22</v>
      </c>
      <c r="W288" s="18">
        <v>264</v>
      </c>
      <c r="X288" s="4">
        <v>9.433962264150944</v>
      </c>
      <c r="Y288" s="4">
        <v>33.962264150943398</v>
      </c>
      <c r="Z288" s="7">
        <v>57.692307692307693</v>
      </c>
      <c r="AA288" s="5">
        <v>56</v>
      </c>
      <c r="AB288" s="3">
        <v>27.149321266968329</v>
      </c>
      <c r="AC288" s="3">
        <v>25.923076923076923</v>
      </c>
      <c r="AD288" s="3">
        <v>25.291375291375282</v>
      </c>
      <c r="AE288" s="3">
        <v>26.121257827140177</v>
      </c>
      <c r="AF288" s="3">
        <v>78.363773481420537</v>
      </c>
      <c r="AG288" s="18">
        <v>29</v>
      </c>
      <c r="AH288" s="18">
        <v>306</v>
      </c>
      <c r="AI288" s="4">
        <v>65.384615384615387</v>
      </c>
      <c r="AJ288" s="4">
        <v>71.15384615384616</v>
      </c>
      <c r="AK288" s="7">
        <v>63.46153846153846</v>
      </c>
      <c r="AL288" s="5">
        <v>56</v>
      </c>
      <c r="AM288" s="3">
        <v>46.518607442977185</v>
      </c>
      <c r="AN288" s="3">
        <v>15.590062111801242</v>
      </c>
      <c r="AO288" s="3">
        <v>31.692677070828346</v>
      </c>
      <c r="AP288" s="3">
        <v>31.569199108214718</v>
      </c>
      <c r="AQ288" s="3">
        <v>93.801346625606783</v>
      </c>
      <c r="AR288" s="18">
        <v>28</v>
      </c>
      <c r="AS288" s="18">
        <v>298</v>
      </c>
      <c r="AT288" s="4">
        <v>28.571428571428573</v>
      </c>
      <c r="AU288" s="4">
        <v>86.956521739130437</v>
      </c>
      <c r="AV288" s="7">
        <v>59.183673469387756</v>
      </c>
      <c r="AW288" s="10">
        <f t="shared" si="82"/>
        <v>55</v>
      </c>
      <c r="AX288" s="9">
        <f t="shared" si="83"/>
        <v>40.509854643357095</v>
      </c>
      <c r="AY288" s="9">
        <f t="shared" si="84"/>
        <v>27.045260181437374</v>
      </c>
      <c r="AZ288" s="9">
        <f t="shared" si="85"/>
        <v>30.639983266033692</v>
      </c>
      <c r="BA288" s="9">
        <f t="shared" si="86"/>
        <v>32.844779597298327</v>
      </c>
      <c r="BB288" s="9">
        <f t="shared" si="87"/>
        <v>98.195098090828154</v>
      </c>
      <c r="BC288" s="10">
        <f t="shared" si="90"/>
        <v>28</v>
      </c>
      <c r="BD288" s="10">
        <f t="shared" si="88"/>
        <v>300</v>
      </c>
      <c r="BE288" s="4">
        <f t="shared" si="91"/>
        <v>46.978021978021978</v>
      </c>
      <c r="BF288" s="4">
        <f t="shared" si="92"/>
        <v>79.055183946488299</v>
      </c>
      <c r="BG288" s="7">
        <f t="shared" si="93"/>
        <v>61.322605965463111</v>
      </c>
      <c r="BH288" s="5">
        <v>56</v>
      </c>
      <c r="BI288" s="3">
        <v>46.135714285714265</v>
      </c>
      <c r="BJ288" s="3">
        <v>19.419642857142854</v>
      </c>
      <c r="BK288" s="3">
        <v>30.146428571428565</v>
      </c>
      <c r="BL288" s="3">
        <v>31.900595238095239</v>
      </c>
      <c r="BM288" s="3">
        <v>95.701785714285734</v>
      </c>
      <c r="BN288" s="18">
        <v>25</v>
      </c>
      <c r="BO288" s="18">
        <v>280</v>
      </c>
      <c r="BP288" s="4">
        <v>30.357142857142858</v>
      </c>
      <c r="BQ288" s="4">
        <v>75</v>
      </c>
      <c r="BR288" s="7">
        <v>57.142857142857146</v>
      </c>
      <c r="BS288" s="18"/>
      <c r="BT288" s="23">
        <v>125</v>
      </c>
    </row>
    <row r="289" spans="1:72" x14ac:dyDescent="0.25">
      <c r="A289" s="18">
        <v>284</v>
      </c>
      <c r="B289" s="18" t="s">
        <v>31</v>
      </c>
      <c r="C289" s="18">
        <v>136</v>
      </c>
      <c r="D289" s="21" t="s">
        <v>9</v>
      </c>
      <c r="E289" s="5"/>
      <c r="F289" s="3">
        <v>38.666666666666664</v>
      </c>
      <c r="G289" s="3">
        <v>36</v>
      </c>
      <c r="H289" s="3">
        <v>22</v>
      </c>
      <c r="I289" s="3">
        <f t="shared" si="80"/>
        <v>32.222222222222221</v>
      </c>
      <c r="J289" s="3">
        <f t="shared" si="81"/>
        <v>96.666666666666657</v>
      </c>
      <c r="K289" s="18">
        <f t="shared" si="89"/>
        <v>20</v>
      </c>
      <c r="L289" s="18">
        <f t="shared" si="79"/>
        <v>268</v>
      </c>
      <c r="M289" s="4"/>
      <c r="N289" s="4"/>
      <c r="O289" s="7"/>
      <c r="P289" s="5">
        <v>151</v>
      </c>
      <c r="Q289" s="3">
        <v>53.686534216335538</v>
      </c>
      <c r="R289" s="3">
        <v>52.370860927152314</v>
      </c>
      <c r="S289" s="3">
        <v>47.284768211920536</v>
      </c>
      <c r="T289" s="3">
        <v>51.114054451802851</v>
      </c>
      <c r="U289" s="3">
        <v>153.34216335540839</v>
      </c>
      <c r="V289" s="18">
        <v>2</v>
      </c>
      <c r="W289" s="18">
        <v>127</v>
      </c>
      <c r="X289" s="4">
        <v>11.258278145695364</v>
      </c>
      <c r="Y289" s="4">
        <v>13.907284768211921</v>
      </c>
      <c r="Z289" s="7">
        <v>27.814569536423843</v>
      </c>
      <c r="AA289" s="5">
        <v>162</v>
      </c>
      <c r="AB289" s="3">
        <v>35.026737967914443</v>
      </c>
      <c r="AC289" s="3">
        <v>39.944055944055947</v>
      </c>
      <c r="AD289" s="3">
        <v>35.982199618563236</v>
      </c>
      <c r="AE289" s="3">
        <v>36.98433117684457</v>
      </c>
      <c r="AF289" s="3">
        <v>110.95299353053363</v>
      </c>
      <c r="AG289" s="18">
        <v>16</v>
      </c>
      <c r="AH289" s="18">
        <v>249</v>
      </c>
      <c r="AI289" s="4">
        <v>45.454545454545453</v>
      </c>
      <c r="AJ289" s="4">
        <v>34.265734265734267</v>
      </c>
      <c r="AK289" s="7">
        <v>42.65734265734266</v>
      </c>
      <c r="AL289" s="5">
        <v>162</v>
      </c>
      <c r="AM289" s="3">
        <v>49.372837370242195</v>
      </c>
      <c r="AN289" s="3">
        <v>25.252100840336134</v>
      </c>
      <c r="AO289" s="3">
        <v>46.820934256055359</v>
      </c>
      <c r="AP289" s="3">
        <v>40.481957488877903</v>
      </c>
      <c r="AQ289" s="3">
        <v>121.44587246663369</v>
      </c>
      <c r="AR289" s="18">
        <v>20</v>
      </c>
      <c r="AS289" s="18">
        <v>258</v>
      </c>
      <c r="AT289" s="4">
        <v>13.970588235294118</v>
      </c>
      <c r="AU289" s="4">
        <v>68.382352941176464</v>
      </c>
      <c r="AV289" s="7">
        <v>25</v>
      </c>
      <c r="AW289" s="10">
        <f t="shared" si="82"/>
        <v>158.33333333333334</v>
      </c>
      <c r="AX289" s="9">
        <f t="shared" si="83"/>
        <v>46.028703184830725</v>
      </c>
      <c r="AY289" s="9">
        <f t="shared" si="84"/>
        <v>39.189005903848134</v>
      </c>
      <c r="AZ289" s="9">
        <f t="shared" si="85"/>
        <v>43.362634028846372</v>
      </c>
      <c r="BA289" s="9">
        <f t="shared" si="86"/>
        <v>42.860114372508441</v>
      </c>
      <c r="BB289" s="9">
        <f t="shared" si="87"/>
        <v>128.58034311752522</v>
      </c>
      <c r="BC289" s="10">
        <f t="shared" si="90"/>
        <v>11</v>
      </c>
      <c r="BD289" s="10">
        <f t="shared" si="88"/>
        <v>223</v>
      </c>
      <c r="BE289" s="4">
        <f t="shared" si="91"/>
        <v>29.712566844919785</v>
      </c>
      <c r="BF289" s="4">
        <f t="shared" si="92"/>
        <v>51.324043603455365</v>
      </c>
      <c r="BG289" s="7">
        <f t="shared" si="93"/>
        <v>33.828671328671334</v>
      </c>
      <c r="BH289" s="5">
        <v>154</v>
      </c>
      <c r="BI289" s="3">
        <v>51.092763157894737</v>
      </c>
      <c r="BJ289" s="3">
        <v>27.657236842105277</v>
      </c>
      <c r="BK289" s="3">
        <v>32.930921052631582</v>
      </c>
      <c r="BL289" s="3">
        <v>37.226973684210542</v>
      </c>
      <c r="BM289" s="3">
        <v>111.68092105263156</v>
      </c>
      <c r="BN289" s="18">
        <v>12</v>
      </c>
      <c r="BO289" s="18">
        <v>218</v>
      </c>
      <c r="BP289" s="4">
        <v>20.394736842105264</v>
      </c>
      <c r="BQ289" s="4">
        <v>58.55263157894737</v>
      </c>
      <c r="BR289" s="7">
        <v>55.263157894736842</v>
      </c>
      <c r="BS289" s="18"/>
      <c r="BT289" s="23">
        <v>136</v>
      </c>
    </row>
    <row r="290" spans="1:72" x14ac:dyDescent="0.25">
      <c r="A290" s="1">
        <v>285</v>
      </c>
      <c r="B290" s="18" t="s">
        <v>31</v>
      </c>
      <c r="C290" s="18">
        <v>149</v>
      </c>
      <c r="D290" s="21" t="s">
        <v>9</v>
      </c>
      <c r="E290" s="5"/>
      <c r="F290" s="3">
        <v>44.666666666666664</v>
      </c>
      <c r="G290" s="3">
        <v>38</v>
      </c>
      <c r="H290" s="3">
        <v>28.999999999999996</v>
      </c>
      <c r="I290" s="3">
        <f t="shared" si="80"/>
        <v>37.222222222222221</v>
      </c>
      <c r="J290" s="3">
        <f t="shared" si="81"/>
        <v>111.66666666666666</v>
      </c>
      <c r="K290" s="18">
        <f t="shared" si="89"/>
        <v>14</v>
      </c>
      <c r="L290" s="18">
        <f t="shared" si="79"/>
        <v>226</v>
      </c>
      <c r="M290" s="4"/>
      <c r="N290" s="4"/>
      <c r="O290" s="7"/>
      <c r="P290" s="5">
        <v>369</v>
      </c>
      <c r="Q290" s="3">
        <v>52.285456187895271</v>
      </c>
      <c r="R290" s="3">
        <v>49.788617886178862</v>
      </c>
      <c r="S290" s="3">
        <v>45.203252032520318</v>
      </c>
      <c r="T290" s="3">
        <v>49.092442035531413</v>
      </c>
      <c r="U290" s="3">
        <v>147.27732610659444</v>
      </c>
      <c r="V290" s="18">
        <v>7</v>
      </c>
      <c r="W290" s="18">
        <v>157</v>
      </c>
      <c r="X290" s="4">
        <v>14.092140921409214</v>
      </c>
      <c r="Y290" s="4">
        <v>20.108695652173914</v>
      </c>
      <c r="Z290" s="7">
        <v>28.997289972899729</v>
      </c>
      <c r="AA290" s="5">
        <v>393</v>
      </c>
      <c r="AB290" s="3">
        <v>43.056722689075634</v>
      </c>
      <c r="AC290" s="3">
        <v>53.828571428571429</v>
      </c>
      <c r="AD290" s="3">
        <v>44.491341991342004</v>
      </c>
      <c r="AE290" s="3">
        <v>47.125545369663001</v>
      </c>
      <c r="AF290" s="3">
        <v>141.37663610898906</v>
      </c>
      <c r="AG290" s="18">
        <v>3</v>
      </c>
      <c r="AH290" s="18">
        <v>126</v>
      </c>
      <c r="AI290" s="4">
        <v>28.928571428571427</v>
      </c>
      <c r="AJ290" s="4">
        <v>19.642857142857142</v>
      </c>
      <c r="AK290" s="7">
        <v>27.956989247311828</v>
      </c>
      <c r="AL290" s="5">
        <v>390</v>
      </c>
      <c r="AM290" s="3">
        <v>56.321458160729087</v>
      </c>
      <c r="AN290" s="3">
        <v>32.748490945674043</v>
      </c>
      <c r="AO290" s="3">
        <v>51.251035625517829</v>
      </c>
      <c r="AP290" s="3">
        <v>46.773661577307017</v>
      </c>
      <c r="AQ290" s="3">
        <v>140.32098473192096</v>
      </c>
      <c r="AR290" s="18">
        <v>7</v>
      </c>
      <c r="AS290" s="18">
        <v>184</v>
      </c>
      <c r="AT290" s="4">
        <v>12.146892655367232</v>
      </c>
      <c r="AU290" s="4">
        <v>49.577464788732392</v>
      </c>
      <c r="AV290" s="7">
        <v>21.690140845070424</v>
      </c>
      <c r="AW290" s="10">
        <f t="shared" si="82"/>
        <v>384</v>
      </c>
      <c r="AX290" s="9">
        <f t="shared" si="83"/>
        <v>50.554545679233335</v>
      </c>
      <c r="AY290" s="9">
        <f t="shared" si="84"/>
        <v>45.455226753474783</v>
      </c>
      <c r="AZ290" s="9">
        <f t="shared" si="85"/>
        <v>46.981876549793384</v>
      </c>
      <c r="BA290" s="9">
        <f t="shared" si="86"/>
        <v>47.663882994167146</v>
      </c>
      <c r="BB290" s="9">
        <f t="shared" si="87"/>
        <v>142.99164898250149</v>
      </c>
      <c r="BC290" s="10">
        <f t="shared" si="90"/>
        <v>3</v>
      </c>
      <c r="BD290" s="10">
        <f t="shared" si="88"/>
        <v>153</v>
      </c>
      <c r="BE290" s="4">
        <f t="shared" si="91"/>
        <v>20.537732041969328</v>
      </c>
      <c r="BF290" s="4">
        <f t="shared" si="92"/>
        <v>34.610160965794769</v>
      </c>
      <c r="BG290" s="7">
        <f t="shared" si="93"/>
        <v>24.823565046191128</v>
      </c>
      <c r="BH290" s="5">
        <v>379</v>
      </c>
      <c r="BI290" s="3">
        <v>58.136411609498651</v>
      </c>
      <c r="BJ290" s="3">
        <v>31.252770448548759</v>
      </c>
      <c r="BK290" s="3">
        <v>39.381002638522439</v>
      </c>
      <c r="BL290" s="3">
        <v>42.923394898856635</v>
      </c>
      <c r="BM290" s="3">
        <v>128.77018469656991</v>
      </c>
      <c r="BN290" s="18">
        <v>2</v>
      </c>
      <c r="BO290" s="18">
        <v>120</v>
      </c>
      <c r="BP290" s="4">
        <v>12.664907651715039</v>
      </c>
      <c r="BQ290" s="4">
        <v>58.839050131926122</v>
      </c>
      <c r="BR290" s="7">
        <v>43.535620052770447</v>
      </c>
      <c r="BS290" s="18"/>
      <c r="BT290" s="23">
        <v>149</v>
      </c>
    </row>
    <row r="291" spans="1:72" x14ac:dyDescent="0.25">
      <c r="A291" s="18">
        <v>286</v>
      </c>
      <c r="B291" s="18" t="s">
        <v>31</v>
      </c>
      <c r="C291" s="18">
        <v>156</v>
      </c>
      <c r="D291" s="21" t="s">
        <v>9</v>
      </c>
      <c r="E291" s="5"/>
      <c r="F291" s="3">
        <v>36</v>
      </c>
      <c r="G291" s="3">
        <v>46.8</v>
      </c>
      <c r="H291" s="3">
        <v>54</v>
      </c>
      <c r="I291" s="3">
        <f t="shared" si="80"/>
        <v>45.6</v>
      </c>
      <c r="J291" s="3">
        <f t="shared" si="81"/>
        <v>136.80000000000001</v>
      </c>
      <c r="K291" s="18">
        <f t="shared" si="89"/>
        <v>3</v>
      </c>
      <c r="L291" s="18">
        <f t="shared" si="79"/>
        <v>133</v>
      </c>
      <c r="M291" s="4"/>
      <c r="N291" s="4"/>
      <c r="O291" s="7"/>
      <c r="P291" s="5">
        <v>110</v>
      </c>
      <c r="Q291" s="3">
        <v>45.636363636363626</v>
      </c>
      <c r="R291" s="3">
        <v>42.436363636363637</v>
      </c>
      <c r="S291" s="3">
        <v>47.393939393939398</v>
      </c>
      <c r="T291" s="3">
        <v>45.155555555555551</v>
      </c>
      <c r="U291" s="3">
        <v>135.46666666666667</v>
      </c>
      <c r="V291" s="18">
        <v>15</v>
      </c>
      <c r="W291" s="18">
        <v>206</v>
      </c>
      <c r="X291" s="4">
        <v>23.636363636363637</v>
      </c>
      <c r="Y291" s="4">
        <v>32.727272727272727</v>
      </c>
      <c r="Z291" s="7">
        <v>26.363636363636363</v>
      </c>
      <c r="AA291" s="5">
        <v>106</v>
      </c>
      <c r="AB291" s="3">
        <v>30.826859045504996</v>
      </c>
      <c r="AC291" s="3">
        <v>32.075471698113205</v>
      </c>
      <c r="AD291" s="3">
        <v>32.352092352092335</v>
      </c>
      <c r="AE291" s="3">
        <v>31.789952802161448</v>
      </c>
      <c r="AF291" s="3">
        <v>95.254423095710536</v>
      </c>
      <c r="AG291" s="18">
        <v>26</v>
      </c>
      <c r="AH291" s="18">
        <v>291</v>
      </c>
      <c r="AI291" s="4">
        <v>57.547169811320757</v>
      </c>
      <c r="AJ291" s="4">
        <v>59.433962264150942</v>
      </c>
      <c r="AK291" s="7">
        <v>57.142857142857146</v>
      </c>
      <c r="AL291" s="5">
        <v>111</v>
      </c>
      <c r="AM291" s="3">
        <v>48.04837822979659</v>
      </c>
      <c r="AN291" s="3">
        <v>25.180240320427231</v>
      </c>
      <c r="AO291" s="3">
        <v>47.223749312809225</v>
      </c>
      <c r="AP291" s="3">
        <v>40.150789287677682</v>
      </c>
      <c r="AQ291" s="3">
        <v>120.45236786303303</v>
      </c>
      <c r="AR291" s="18">
        <v>21</v>
      </c>
      <c r="AS291" s="18">
        <v>260</v>
      </c>
      <c r="AT291" s="4">
        <v>28.971962616822431</v>
      </c>
      <c r="AU291" s="4">
        <v>65.420560747663558</v>
      </c>
      <c r="AV291" s="7">
        <v>34.579439252336449</v>
      </c>
      <c r="AW291" s="10">
        <f t="shared" si="82"/>
        <v>109</v>
      </c>
      <c r="AX291" s="9">
        <f t="shared" si="83"/>
        <v>41.503866970555066</v>
      </c>
      <c r="AY291" s="9">
        <f t="shared" si="84"/>
        <v>33.230691884968024</v>
      </c>
      <c r="AZ291" s="9">
        <f t="shared" si="85"/>
        <v>42.323260352946988</v>
      </c>
      <c r="BA291" s="9">
        <f t="shared" si="86"/>
        <v>39.032099215131559</v>
      </c>
      <c r="BB291" s="9">
        <f t="shared" si="87"/>
        <v>117.05781920847009</v>
      </c>
      <c r="BC291" s="10">
        <f t="shared" si="90"/>
        <v>23</v>
      </c>
      <c r="BD291" s="10">
        <f t="shared" si="88"/>
        <v>273</v>
      </c>
      <c r="BE291" s="4">
        <f t="shared" si="91"/>
        <v>43.259566214071597</v>
      </c>
      <c r="BF291" s="4">
        <f t="shared" si="92"/>
        <v>62.427261505907254</v>
      </c>
      <c r="BG291" s="7">
        <f t="shared" si="93"/>
        <v>45.861148197596798</v>
      </c>
      <c r="BH291" s="5">
        <v>111</v>
      </c>
      <c r="BI291" s="3">
        <v>48.927927927927918</v>
      </c>
      <c r="BJ291" s="3">
        <v>25.233333333333338</v>
      </c>
      <c r="BK291" s="3">
        <v>34.038738738738729</v>
      </c>
      <c r="BL291" s="3">
        <v>36.06666666666667</v>
      </c>
      <c r="BM291" s="3">
        <v>108.19999999999999</v>
      </c>
      <c r="BN291" s="18">
        <v>16</v>
      </c>
      <c r="BO291" s="18">
        <v>238</v>
      </c>
      <c r="BP291" s="4">
        <v>27.027027027027028</v>
      </c>
      <c r="BQ291" s="4">
        <v>72.072072072072075</v>
      </c>
      <c r="BR291" s="7">
        <v>58.558558558558559</v>
      </c>
      <c r="BS291" s="18"/>
      <c r="BT291" s="23">
        <v>156</v>
      </c>
    </row>
    <row r="292" spans="1:72" x14ac:dyDescent="0.25">
      <c r="A292" s="18">
        <v>287</v>
      </c>
      <c r="B292" s="18" t="s">
        <v>31</v>
      </c>
      <c r="C292" s="18">
        <v>181</v>
      </c>
      <c r="D292" s="21" t="s">
        <v>9</v>
      </c>
      <c r="E292" s="5"/>
      <c r="F292" s="3">
        <v>45</v>
      </c>
      <c r="G292" s="3">
        <v>36</v>
      </c>
      <c r="H292" s="3">
        <v>34.666666666666664</v>
      </c>
      <c r="I292" s="3">
        <f t="shared" si="80"/>
        <v>38.55555555555555</v>
      </c>
      <c r="J292" s="3">
        <f t="shared" si="81"/>
        <v>115.66666666666666</v>
      </c>
      <c r="K292" s="18">
        <f t="shared" si="89"/>
        <v>13</v>
      </c>
      <c r="L292" s="18">
        <f t="shared" si="79"/>
        <v>213</v>
      </c>
      <c r="M292" s="4"/>
      <c r="N292" s="4"/>
      <c r="O292" s="7"/>
      <c r="P292" s="5">
        <v>126</v>
      </c>
      <c r="Q292" s="3">
        <v>54.365079365079374</v>
      </c>
      <c r="R292" s="3">
        <v>39.873015873015873</v>
      </c>
      <c r="S292" s="3">
        <v>53.333333333333343</v>
      </c>
      <c r="T292" s="3">
        <v>49.190476190476168</v>
      </c>
      <c r="U292" s="3">
        <v>147.57142857142858</v>
      </c>
      <c r="V292" s="18">
        <v>6</v>
      </c>
      <c r="W292" s="18">
        <v>156</v>
      </c>
      <c r="X292" s="4">
        <v>19.047619047619047</v>
      </c>
      <c r="Y292" s="4">
        <v>40.476190476190474</v>
      </c>
      <c r="Z292" s="7">
        <v>21.428571428571427</v>
      </c>
      <c r="AA292" s="5">
        <v>128</v>
      </c>
      <c r="AB292" s="3">
        <v>47.134888438133871</v>
      </c>
      <c r="AC292" s="3">
        <v>42.782608695652172</v>
      </c>
      <c r="AD292" s="3">
        <v>46.455862977602102</v>
      </c>
      <c r="AE292" s="3">
        <v>45.26896756612782</v>
      </c>
      <c r="AF292" s="3">
        <v>136.37336011138814</v>
      </c>
      <c r="AG292" s="18">
        <v>4</v>
      </c>
      <c r="AH292" s="18">
        <v>147</v>
      </c>
      <c r="AI292" s="4">
        <v>28.448275862068964</v>
      </c>
      <c r="AJ292" s="4">
        <v>33.043478260869563</v>
      </c>
      <c r="AK292" s="7">
        <v>25.217391304347824</v>
      </c>
      <c r="AL292" s="5">
        <v>128</v>
      </c>
      <c r="AM292" s="3">
        <v>47.959724430312697</v>
      </c>
      <c r="AN292" s="3">
        <v>26.537966537966529</v>
      </c>
      <c r="AO292" s="3">
        <v>50.556438791732901</v>
      </c>
      <c r="AP292" s="3">
        <v>41.684709920004046</v>
      </c>
      <c r="AQ292" s="3">
        <v>125.05412976001213</v>
      </c>
      <c r="AR292" s="18">
        <v>18</v>
      </c>
      <c r="AS292" s="18">
        <v>250</v>
      </c>
      <c r="AT292" s="4">
        <v>21.621621621621621</v>
      </c>
      <c r="AU292" s="4">
        <v>67.567567567567565</v>
      </c>
      <c r="AV292" s="7">
        <v>22.522522522522522</v>
      </c>
      <c r="AW292" s="10">
        <f t="shared" si="82"/>
        <v>127.33333333333333</v>
      </c>
      <c r="AX292" s="9">
        <f t="shared" si="83"/>
        <v>49.819897411175312</v>
      </c>
      <c r="AY292" s="9">
        <f t="shared" si="84"/>
        <v>36.397863702211524</v>
      </c>
      <c r="AZ292" s="9">
        <f t="shared" si="85"/>
        <v>50.115211700889439</v>
      </c>
      <c r="BA292" s="9">
        <f t="shared" si="86"/>
        <v>45.381384558869343</v>
      </c>
      <c r="BB292" s="9">
        <f t="shared" si="87"/>
        <v>136.33297281427627</v>
      </c>
      <c r="BC292" s="10">
        <f t="shared" si="90"/>
        <v>4</v>
      </c>
      <c r="BD292" s="10">
        <f t="shared" si="88"/>
        <v>189</v>
      </c>
      <c r="BE292" s="4">
        <f t="shared" si="91"/>
        <v>25.034948741845291</v>
      </c>
      <c r="BF292" s="4">
        <f t="shared" si="92"/>
        <v>50.305522914218564</v>
      </c>
      <c r="BG292" s="7">
        <f t="shared" si="93"/>
        <v>23.869956913435175</v>
      </c>
      <c r="BH292" s="5">
        <v>131</v>
      </c>
      <c r="BI292" s="3">
        <v>55.923846153846149</v>
      </c>
      <c r="BJ292" s="3">
        <v>25.239230769230772</v>
      </c>
      <c r="BK292" s="3">
        <v>40.136923076923061</v>
      </c>
      <c r="BL292" s="3">
        <v>40.433333333333323</v>
      </c>
      <c r="BM292" s="3">
        <v>121.30000000000004</v>
      </c>
      <c r="BN292" s="18">
        <v>5</v>
      </c>
      <c r="BO292" s="18">
        <v>159</v>
      </c>
      <c r="BP292" s="4">
        <v>15.384615384615385</v>
      </c>
      <c r="BQ292" s="4">
        <v>65.384615384615387</v>
      </c>
      <c r="BR292" s="7">
        <v>43.846153846153847</v>
      </c>
      <c r="BS292" s="18"/>
      <c r="BT292" s="23">
        <v>181</v>
      </c>
    </row>
    <row r="293" spans="1:72" x14ac:dyDescent="0.25">
      <c r="A293" s="18">
        <v>288</v>
      </c>
      <c r="B293" s="18" t="s">
        <v>31</v>
      </c>
      <c r="C293" s="18">
        <v>183</v>
      </c>
      <c r="D293" s="21" t="s">
        <v>9</v>
      </c>
      <c r="E293" s="5"/>
      <c r="F293" s="3">
        <v>41.666666666666664</v>
      </c>
      <c r="G293" s="3">
        <v>39.6</v>
      </c>
      <c r="H293" s="3">
        <v>38</v>
      </c>
      <c r="I293" s="3">
        <f t="shared" si="80"/>
        <v>39.755555555555553</v>
      </c>
      <c r="J293" s="3">
        <f t="shared" si="81"/>
        <v>119.26666666666667</v>
      </c>
      <c r="K293" s="18">
        <f t="shared" si="89"/>
        <v>10</v>
      </c>
      <c r="L293" s="18">
        <f t="shared" si="79"/>
        <v>195</v>
      </c>
      <c r="M293" s="4"/>
      <c r="N293" s="4"/>
      <c r="O293" s="7"/>
      <c r="P293" s="5">
        <v>74</v>
      </c>
      <c r="Q293" s="3">
        <v>58.333333333333364</v>
      </c>
      <c r="R293" s="3">
        <v>44.702702702702702</v>
      </c>
      <c r="S293" s="3">
        <v>66.486486486486498</v>
      </c>
      <c r="T293" s="3">
        <v>56.507507507507547</v>
      </c>
      <c r="U293" s="3">
        <v>169.52252252252256</v>
      </c>
      <c r="V293" s="18">
        <v>1</v>
      </c>
      <c r="W293" s="18">
        <v>86</v>
      </c>
      <c r="X293" s="4">
        <v>0</v>
      </c>
      <c r="Y293" s="4">
        <v>20.27027027027027</v>
      </c>
      <c r="Z293" s="7">
        <v>2.7027027027027026</v>
      </c>
      <c r="AA293" s="5">
        <v>91</v>
      </c>
      <c r="AB293" s="3">
        <v>52.564979480164162</v>
      </c>
      <c r="AC293" s="3">
        <v>53.648757016840456</v>
      </c>
      <c r="AD293" s="3">
        <v>54.756871035940804</v>
      </c>
      <c r="AE293" s="3">
        <v>53.656869177648446</v>
      </c>
      <c r="AF293" s="3">
        <v>160.97060753294542</v>
      </c>
      <c r="AG293" s="18">
        <v>1</v>
      </c>
      <c r="AH293" s="18">
        <v>58</v>
      </c>
      <c r="AI293" s="4">
        <v>5.8139534883720927</v>
      </c>
      <c r="AJ293" s="4">
        <v>5.8139534883720927</v>
      </c>
      <c r="AK293" s="7">
        <v>2.3255813953488373</v>
      </c>
      <c r="AL293" s="5">
        <v>91</v>
      </c>
      <c r="AM293" s="3">
        <v>53.401842664776758</v>
      </c>
      <c r="AN293" s="3">
        <v>16.931216931216937</v>
      </c>
      <c r="AO293" s="3">
        <v>58.321377331420379</v>
      </c>
      <c r="AP293" s="3">
        <v>43.075495258344304</v>
      </c>
      <c r="AQ293" s="3">
        <v>128.65443692741405</v>
      </c>
      <c r="AR293" s="18">
        <v>15</v>
      </c>
      <c r="AS293" s="18">
        <v>237</v>
      </c>
      <c r="AT293" s="4">
        <v>8.4337349397590362</v>
      </c>
      <c r="AU293" s="4">
        <v>91.358024691358025</v>
      </c>
      <c r="AV293" s="7">
        <v>9.7560975609756095</v>
      </c>
      <c r="AW293" s="10">
        <f t="shared" si="82"/>
        <v>85.333333333333329</v>
      </c>
      <c r="AX293" s="9">
        <f t="shared" si="83"/>
        <v>54.766718492758095</v>
      </c>
      <c r="AY293" s="9">
        <f t="shared" si="84"/>
        <v>38.427558883586698</v>
      </c>
      <c r="AZ293" s="9">
        <f t="shared" si="85"/>
        <v>59.854911617949227</v>
      </c>
      <c r="BA293" s="9">
        <f t="shared" si="86"/>
        <v>51.079957314500099</v>
      </c>
      <c r="BB293" s="9">
        <f t="shared" si="87"/>
        <v>153.04918899429401</v>
      </c>
      <c r="BC293" s="10">
        <f t="shared" si="90"/>
        <v>2</v>
      </c>
      <c r="BD293" s="10">
        <f t="shared" si="88"/>
        <v>113</v>
      </c>
      <c r="BE293" s="4">
        <f t="shared" si="91"/>
        <v>7.1238442140655645</v>
      </c>
      <c r="BF293" s="4">
        <f t="shared" si="92"/>
        <v>48.585989089865059</v>
      </c>
      <c r="BG293" s="7">
        <f t="shared" si="93"/>
        <v>6.0408394781622237</v>
      </c>
      <c r="BH293" s="5">
        <v>91</v>
      </c>
      <c r="BI293" s="3">
        <v>51.045555555555559</v>
      </c>
      <c r="BJ293" s="3">
        <v>20.753333333333334</v>
      </c>
      <c r="BK293" s="3">
        <v>36.79</v>
      </c>
      <c r="BL293" s="3">
        <v>36.196296296296282</v>
      </c>
      <c r="BM293" s="3">
        <v>108.58888888888887</v>
      </c>
      <c r="BN293" s="18">
        <v>15</v>
      </c>
      <c r="BO293" s="18">
        <v>237</v>
      </c>
      <c r="BP293" s="4">
        <v>22.222222222222221</v>
      </c>
      <c r="BQ293" s="4">
        <v>75.555555555555557</v>
      </c>
      <c r="BR293" s="7">
        <v>53.333333333333336</v>
      </c>
      <c r="BS293" s="18"/>
      <c r="BT293" s="23">
        <v>183</v>
      </c>
    </row>
    <row r="294" spans="1:72" x14ac:dyDescent="0.25">
      <c r="A294" s="18">
        <v>289</v>
      </c>
      <c r="B294" s="18" t="s">
        <v>31</v>
      </c>
      <c r="C294" s="18">
        <v>185</v>
      </c>
      <c r="D294" s="21" t="s">
        <v>9</v>
      </c>
      <c r="E294" s="5"/>
      <c r="F294" s="3">
        <v>37</v>
      </c>
      <c r="G294" s="3">
        <v>18.8</v>
      </c>
      <c r="H294" s="3">
        <v>18.666666666666668</v>
      </c>
      <c r="I294" s="3">
        <f t="shared" si="80"/>
        <v>24.822222222222223</v>
      </c>
      <c r="J294" s="3">
        <f t="shared" si="81"/>
        <v>74.466666666666669</v>
      </c>
      <c r="K294" s="18">
        <f t="shared" si="89"/>
        <v>27</v>
      </c>
      <c r="L294" s="18">
        <f t="shared" si="79"/>
        <v>299</v>
      </c>
      <c r="M294" s="4"/>
      <c r="N294" s="4"/>
      <c r="O294" s="7"/>
      <c r="P294" s="5">
        <v>57</v>
      </c>
      <c r="Q294" s="3">
        <v>30.877192982456137</v>
      </c>
      <c r="R294" s="3">
        <v>27.087719298245613</v>
      </c>
      <c r="S294" s="3">
        <v>31.988304093567258</v>
      </c>
      <c r="T294" s="3">
        <v>29.984405458089668</v>
      </c>
      <c r="U294" s="3">
        <v>89.953216374269005</v>
      </c>
      <c r="V294" s="18">
        <v>29</v>
      </c>
      <c r="W294" s="18">
        <v>302</v>
      </c>
      <c r="X294" s="4">
        <v>57.89473684210526</v>
      </c>
      <c r="Y294" s="4">
        <v>59.649122807017541</v>
      </c>
      <c r="Z294" s="7">
        <v>61.403508771929822</v>
      </c>
      <c r="AA294" s="5">
        <v>67</v>
      </c>
      <c r="AB294" s="3">
        <v>29.019607843137262</v>
      </c>
      <c r="AC294" s="3">
        <v>38.866666666666667</v>
      </c>
      <c r="AD294" s="3">
        <v>34.090909090909086</v>
      </c>
      <c r="AE294" s="3">
        <v>33.992394533571002</v>
      </c>
      <c r="AF294" s="3">
        <v>101.977183600713</v>
      </c>
      <c r="AG294" s="18">
        <v>21</v>
      </c>
      <c r="AH294" s="18">
        <v>274</v>
      </c>
      <c r="AI294" s="4">
        <v>58.333333333333336</v>
      </c>
      <c r="AJ294" s="4">
        <v>41.666666666666664</v>
      </c>
      <c r="AK294" s="7">
        <v>53.333333333333336</v>
      </c>
      <c r="AL294" s="5">
        <v>68</v>
      </c>
      <c r="AM294" s="3">
        <v>42.572283150548351</v>
      </c>
      <c r="AN294" s="3">
        <v>15.496368038740927</v>
      </c>
      <c r="AO294" s="3">
        <v>34.247258225324032</v>
      </c>
      <c r="AP294" s="3">
        <v>30.771969804871102</v>
      </c>
      <c r="AQ294" s="3">
        <v>92.315909414613316</v>
      </c>
      <c r="AR294" s="18">
        <v>29</v>
      </c>
      <c r="AS294" s="18">
        <v>299</v>
      </c>
      <c r="AT294" s="4">
        <v>35.593220338983052</v>
      </c>
      <c r="AU294" s="4">
        <v>93.220338983050851</v>
      </c>
      <c r="AV294" s="7">
        <v>45.762711864406782</v>
      </c>
      <c r="AW294" s="10">
        <f t="shared" si="82"/>
        <v>64</v>
      </c>
      <c r="AX294" s="9">
        <f t="shared" si="83"/>
        <v>34.15636132538058</v>
      </c>
      <c r="AY294" s="9">
        <f t="shared" si="84"/>
        <v>27.150251334551069</v>
      </c>
      <c r="AZ294" s="9">
        <f t="shared" si="85"/>
        <v>33.442157136600123</v>
      </c>
      <c r="BA294" s="9">
        <f t="shared" si="86"/>
        <v>31.58292326551059</v>
      </c>
      <c r="BB294" s="9">
        <f t="shared" si="87"/>
        <v>94.748769796531789</v>
      </c>
      <c r="BC294" s="10">
        <f t="shared" si="90"/>
        <v>29</v>
      </c>
      <c r="BD294" s="10">
        <f t="shared" si="88"/>
        <v>301</v>
      </c>
      <c r="BE294" s="4">
        <f t="shared" si="91"/>
        <v>46.963276836158194</v>
      </c>
      <c r="BF294" s="4">
        <f t="shared" si="92"/>
        <v>67.443502824858754</v>
      </c>
      <c r="BG294" s="7">
        <f t="shared" si="93"/>
        <v>49.548022598870062</v>
      </c>
      <c r="BH294" s="5">
        <v>64</v>
      </c>
      <c r="BI294" s="3">
        <v>38.09687499999999</v>
      </c>
      <c r="BJ294" s="3">
        <v>15.551562499999992</v>
      </c>
      <c r="BK294" s="3">
        <v>26.834374999999987</v>
      </c>
      <c r="BL294" s="3">
        <v>26.827604166666664</v>
      </c>
      <c r="BM294" s="3">
        <v>80.482812500000009</v>
      </c>
      <c r="BN294" s="18">
        <v>29</v>
      </c>
      <c r="BO294" s="18">
        <v>300</v>
      </c>
      <c r="BP294" s="4">
        <v>42.1875</v>
      </c>
      <c r="BQ294" s="4">
        <v>90.625</v>
      </c>
      <c r="BR294" s="7">
        <v>71.875</v>
      </c>
      <c r="BS294" s="18"/>
      <c r="BT294" s="23">
        <v>185</v>
      </c>
    </row>
    <row r="295" spans="1:72" x14ac:dyDescent="0.25">
      <c r="A295" s="1">
        <v>290</v>
      </c>
      <c r="B295" s="18" t="s">
        <v>31</v>
      </c>
      <c r="C295" s="18">
        <v>206</v>
      </c>
      <c r="D295" s="21" t="s">
        <v>9</v>
      </c>
      <c r="E295" s="5"/>
      <c r="F295" s="3">
        <v>55</v>
      </c>
      <c r="G295" s="3">
        <v>58</v>
      </c>
      <c r="H295" s="3">
        <v>46.666666666666664</v>
      </c>
      <c r="I295" s="3">
        <f t="shared" si="80"/>
        <v>53.222222222222221</v>
      </c>
      <c r="J295" s="3">
        <f t="shared" si="81"/>
        <v>159.66666666666666</v>
      </c>
      <c r="K295" s="18">
        <f t="shared" si="89"/>
        <v>2</v>
      </c>
      <c r="L295" s="18">
        <f t="shared" si="79"/>
        <v>55</v>
      </c>
      <c r="M295" s="4"/>
      <c r="N295" s="4"/>
      <c r="O295" s="7"/>
      <c r="P295" s="5">
        <v>28</v>
      </c>
      <c r="Q295" s="3">
        <v>56.547619047619058</v>
      </c>
      <c r="R295" s="3">
        <v>41.571428571428569</v>
      </c>
      <c r="S295" s="3">
        <v>43.571428571428569</v>
      </c>
      <c r="T295" s="3">
        <v>47.23015873015872</v>
      </c>
      <c r="U295" s="3">
        <v>141.6904761904762</v>
      </c>
      <c r="V295" s="18">
        <v>10</v>
      </c>
      <c r="W295" s="18">
        <v>176</v>
      </c>
      <c r="X295" s="4">
        <v>25</v>
      </c>
      <c r="Y295" s="4">
        <v>28.571428571428573</v>
      </c>
      <c r="Z295" s="7">
        <v>28.571428571428573</v>
      </c>
      <c r="AA295" s="5">
        <v>29</v>
      </c>
      <c r="AB295" s="3">
        <v>41.37931034482758</v>
      </c>
      <c r="AC295" s="3">
        <v>42.344827586206897</v>
      </c>
      <c r="AD295" s="3">
        <v>37.617554858934163</v>
      </c>
      <c r="AE295" s="3">
        <v>40.447230929989544</v>
      </c>
      <c r="AF295" s="3">
        <v>121.34169278996865</v>
      </c>
      <c r="AG295" s="18">
        <v>9</v>
      </c>
      <c r="AH295" s="18">
        <v>208</v>
      </c>
      <c r="AI295" s="4">
        <v>27.586206896551722</v>
      </c>
      <c r="AJ295" s="4">
        <v>37.931034482758619</v>
      </c>
      <c r="AK295" s="7">
        <v>48.275862068965516</v>
      </c>
      <c r="AL295" s="5">
        <v>30</v>
      </c>
      <c r="AM295" s="3">
        <v>58.82352941176471</v>
      </c>
      <c r="AN295" s="3">
        <v>24.761904761904763</v>
      </c>
      <c r="AO295" s="3">
        <v>36.470588235294123</v>
      </c>
      <c r="AP295" s="3">
        <v>40.018674136321195</v>
      </c>
      <c r="AQ295" s="3">
        <v>120.0560224089636</v>
      </c>
      <c r="AR295" s="18">
        <v>22</v>
      </c>
      <c r="AS295" s="18">
        <v>262</v>
      </c>
      <c r="AT295" s="4">
        <v>13.333333333333334</v>
      </c>
      <c r="AU295" s="4">
        <v>66.666666666666671</v>
      </c>
      <c r="AV295" s="7">
        <v>50</v>
      </c>
      <c r="AW295" s="10">
        <f t="shared" si="82"/>
        <v>29</v>
      </c>
      <c r="AX295" s="9">
        <f t="shared" si="83"/>
        <v>52.250152934737116</v>
      </c>
      <c r="AY295" s="9">
        <f t="shared" si="84"/>
        <v>36.226053639846747</v>
      </c>
      <c r="AZ295" s="9">
        <f t="shared" si="85"/>
        <v>39.219857221885611</v>
      </c>
      <c r="BA295" s="9">
        <f t="shared" si="86"/>
        <v>42.565354598823156</v>
      </c>
      <c r="BB295" s="9">
        <f t="shared" si="87"/>
        <v>127.69606379646949</v>
      </c>
      <c r="BC295" s="10">
        <f t="shared" si="90"/>
        <v>12</v>
      </c>
      <c r="BD295" s="10">
        <f t="shared" si="88"/>
        <v>225</v>
      </c>
      <c r="BE295" s="4">
        <f t="shared" si="91"/>
        <v>20.459770114942529</v>
      </c>
      <c r="BF295" s="4">
        <f t="shared" si="92"/>
        <v>52.298850574712645</v>
      </c>
      <c r="BG295" s="7">
        <f t="shared" si="93"/>
        <v>49.137931034482762</v>
      </c>
      <c r="BH295" s="5">
        <v>31</v>
      </c>
      <c r="BI295" s="3">
        <v>58.283870967741933</v>
      </c>
      <c r="BJ295" s="3">
        <v>28.541935483870972</v>
      </c>
      <c r="BK295" s="3">
        <v>32.254838709677415</v>
      </c>
      <c r="BL295" s="3">
        <v>39.69354838709679</v>
      </c>
      <c r="BM295" s="3">
        <v>119.08064516129033</v>
      </c>
      <c r="BN295" s="18">
        <v>6</v>
      </c>
      <c r="BO295" s="18">
        <v>173</v>
      </c>
      <c r="BP295" s="4">
        <v>12.903225806451612</v>
      </c>
      <c r="BQ295" s="4">
        <v>64.516129032258064</v>
      </c>
      <c r="BR295" s="7">
        <v>61.29032258064516</v>
      </c>
      <c r="BS295" s="18"/>
      <c r="BT295" s="23">
        <v>206</v>
      </c>
    </row>
    <row r="296" spans="1:72" x14ac:dyDescent="0.25">
      <c r="A296" s="18">
        <v>291</v>
      </c>
      <c r="B296" s="18" t="s">
        <v>31</v>
      </c>
      <c r="C296" s="18">
        <v>216</v>
      </c>
      <c r="D296" s="21" t="s">
        <v>9</v>
      </c>
      <c r="E296" s="5"/>
      <c r="F296" s="3">
        <v>35.333333333333336</v>
      </c>
      <c r="G296" s="3">
        <v>20.8</v>
      </c>
      <c r="H296" s="3">
        <v>15.333333333333332</v>
      </c>
      <c r="I296" s="3">
        <f t="shared" si="80"/>
        <v>23.822222222222223</v>
      </c>
      <c r="J296" s="3">
        <f t="shared" si="81"/>
        <v>71.466666666666669</v>
      </c>
      <c r="K296" s="18">
        <f t="shared" si="89"/>
        <v>29</v>
      </c>
      <c r="L296" s="18">
        <f t="shared" si="79"/>
        <v>301</v>
      </c>
      <c r="M296" s="4"/>
      <c r="N296" s="4"/>
      <c r="O296" s="7"/>
      <c r="P296" s="5">
        <v>54</v>
      </c>
      <c r="Q296" s="3">
        <v>52.716049382716065</v>
      </c>
      <c r="R296" s="3">
        <v>44.148148148148145</v>
      </c>
      <c r="S296" s="3">
        <v>53.611111111111114</v>
      </c>
      <c r="T296" s="3">
        <v>49.726851851851841</v>
      </c>
      <c r="U296" s="3">
        <v>150.47530864197532</v>
      </c>
      <c r="V296" s="18">
        <v>3</v>
      </c>
      <c r="W296" s="18">
        <v>143</v>
      </c>
      <c r="X296" s="4">
        <v>14.814814814814815</v>
      </c>
      <c r="Y296" s="4">
        <v>31.481481481481481</v>
      </c>
      <c r="Z296" s="7">
        <v>22.222222222222221</v>
      </c>
      <c r="AA296" s="5">
        <v>57</v>
      </c>
      <c r="AB296" s="3">
        <v>31.853496115427308</v>
      </c>
      <c r="AC296" s="3">
        <v>38.490566037735846</v>
      </c>
      <c r="AD296" s="3">
        <v>36.117936117936097</v>
      </c>
      <c r="AE296" s="3">
        <v>35.624558571284439</v>
      </c>
      <c r="AF296" s="3">
        <v>106.46199827109925</v>
      </c>
      <c r="AG296" s="18">
        <v>18</v>
      </c>
      <c r="AH296" s="18">
        <v>263</v>
      </c>
      <c r="AI296" s="4">
        <v>49.056603773584904</v>
      </c>
      <c r="AJ296" s="4">
        <v>37.735849056603776</v>
      </c>
      <c r="AK296" s="7">
        <v>32.432432432432435</v>
      </c>
      <c r="AL296" s="5">
        <v>57</v>
      </c>
      <c r="AM296" s="3">
        <v>48.801742919389973</v>
      </c>
      <c r="AN296" s="3">
        <v>23.915343915343922</v>
      </c>
      <c r="AO296" s="3">
        <v>37.363834422657959</v>
      </c>
      <c r="AP296" s="3">
        <v>36.693640419130624</v>
      </c>
      <c r="AQ296" s="3">
        <v>110.08092125739185</v>
      </c>
      <c r="AR296" s="18">
        <v>25</v>
      </c>
      <c r="AS296" s="18">
        <v>282</v>
      </c>
      <c r="AT296" s="4">
        <v>16.666666666666668</v>
      </c>
      <c r="AU296" s="4">
        <v>74.074074074074076</v>
      </c>
      <c r="AV296" s="7">
        <v>46.296296296296298</v>
      </c>
      <c r="AW296" s="10">
        <f t="shared" si="82"/>
        <v>56</v>
      </c>
      <c r="AX296" s="9">
        <f t="shared" si="83"/>
        <v>44.457096139177786</v>
      </c>
      <c r="AY296" s="9">
        <f t="shared" si="84"/>
        <v>35.518019367075972</v>
      </c>
      <c r="AZ296" s="9">
        <f t="shared" si="85"/>
        <v>42.364293883901723</v>
      </c>
      <c r="BA296" s="9">
        <f t="shared" si="86"/>
        <v>40.681683614088968</v>
      </c>
      <c r="BB296" s="9">
        <f t="shared" si="87"/>
        <v>122.33940939015547</v>
      </c>
      <c r="BC296" s="10">
        <f t="shared" si="90"/>
        <v>20</v>
      </c>
      <c r="BD296" s="10">
        <f t="shared" si="88"/>
        <v>252</v>
      </c>
      <c r="BE296" s="4">
        <f t="shared" si="91"/>
        <v>32.861635220125784</v>
      </c>
      <c r="BF296" s="4">
        <f t="shared" si="92"/>
        <v>55.904961565338922</v>
      </c>
      <c r="BG296" s="7">
        <f t="shared" si="93"/>
        <v>39.364364364364363</v>
      </c>
      <c r="BH296" s="5">
        <v>56</v>
      </c>
      <c r="BI296" s="3">
        <v>46.383928571428562</v>
      </c>
      <c r="BJ296" s="3">
        <v>21.048214285714284</v>
      </c>
      <c r="BK296" s="3">
        <v>28.416071428571431</v>
      </c>
      <c r="BL296" s="3">
        <v>31.949404761904759</v>
      </c>
      <c r="BM296" s="3">
        <v>95.848214285714292</v>
      </c>
      <c r="BN296" s="18">
        <v>24</v>
      </c>
      <c r="BO296" s="18">
        <v>279</v>
      </c>
      <c r="BP296" s="4">
        <v>23.214285714285715</v>
      </c>
      <c r="BQ296" s="4">
        <v>78.571428571428569</v>
      </c>
      <c r="BR296" s="7">
        <v>67.857142857142861</v>
      </c>
      <c r="BS296" s="18"/>
      <c r="BT296" s="23">
        <v>216</v>
      </c>
    </row>
    <row r="297" spans="1:72" x14ac:dyDescent="0.25">
      <c r="A297" s="18">
        <v>292</v>
      </c>
      <c r="B297" s="18" t="s">
        <v>31</v>
      </c>
      <c r="C297" s="18">
        <v>218</v>
      </c>
      <c r="D297" s="21" t="s">
        <v>9</v>
      </c>
      <c r="E297" s="5"/>
      <c r="F297" s="3">
        <v>35.666666666666664</v>
      </c>
      <c r="G297" s="3">
        <v>31.2</v>
      </c>
      <c r="H297" s="3">
        <v>21.333333333333332</v>
      </c>
      <c r="I297" s="3">
        <f t="shared" si="80"/>
        <v>29.399999999999995</v>
      </c>
      <c r="J297" s="3">
        <f t="shared" si="81"/>
        <v>88.199999999999989</v>
      </c>
      <c r="K297" s="18">
        <f t="shared" si="89"/>
        <v>22</v>
      </c>
      <c r="L297" s="18">
        <f t="shared" si="79"/>
        <v>284</v>
      </c>
      <c r="M297" s="4"/>
      <c r="N297" s="4"/>
      <c r="O297" s="7"/>
      <c r="P297" s="5">
        <v>309</v>
      </c>
      <c r="Q297" s="3">
        <v>49.482200647249215</v>
      </c>
      <c r="R297" s="3">
        <v>43.779935275080909</v>
      </c>
      <c r="S297" s="3">
        <v>45.070118662351653</v>
      </c>
      <c r="T297" s="3">
        <v>46.11075152822729</v>
      </c>
      <c r="U297" s="3">
        <v>138.33225458468178</v>
      </c>
      <c r="V297" s="18">
        <v>12</v>
      </c>
      <c r="W297" s="18">
        <v>194</v>
      </c>
      <c r="X297" s="4">
        <v>17.79935275080906</v>
      </c>
      <c r="Y297" s="4">
        <v>28.802588996763753</v>
      </c>
      <c r="Z297" s="7">
        <v>35.59870550161812</v>
      </c>
      <c r="AA297" s="5">
        <v>351</v>
      </c>
      <c r="AB297" s="3">
        <v>32.026143790849673</v>
      </c>
      <c r="AC297" s="3">
        <v>37.754646840148702</v>
      </c>
      <c r="AD297" s="3">
        <v>32.161766362509773</v>
      </c>
      <c r="AE297" s="3">
        <v>33.952633084659226</v>
      </c>
      <c r="AF297" s="3">
        <v>101.94255699350816</v>
      </c>
      <c r="AG297" s="18">
        <v>22</v>
      </c>
      <c r="AH297" s="18">
        <v>275</v>
      </c>
      <c r="AI297" s="4">
        <v>49.629629629629626</v>
      </c>
      <c r="AJ297" s="4">
        <v>43.866171003717469</v>
      </c>
      <c r="AK297" s="7">
        <v>55.018587360594793</v>
      </c>
      <c r="AL297" s="5">
        <v>351</v>
      </c>
      <c r="AM297" s="3">
        <v>68.151567196221507</v>
      </c>
      <c r="AN297" s="3">
        <v>34.77580813347236</v>
      </c>
      <c r="AO297" s="3">
        <v>52.877005347593595</v>
      </c>
      <c r="AP297" s="3">
        <v>52.038197097020635</v>
      </c>
      <c r="AQ297" s="3">
        <v>155.80438067728744</v>
      </c>
      <c r="AR297" s="18">
        <v>2</v>
      </c>
      <c r="AS297" s="18">
        <v>118</v>
      </c>
      <c r="AT297" s="4">
        <v>9.0517241379310338</v>
      </c>
      <c r="AU297" s="4">
        <v>67.2</v>
      </c>
      <c r="AV297" s="7">
        <v>27.559055118110237</v>
      </c>
      <c r="AW297" s="10">
        <f t="shared" si="82"/>
        <v>337</v>
      </c>
      <c r="AX297" s="9">
        <f t="shared" si="83"/>
        <v>49.886637211440132</v>
      </c>
      <c r="AY297" s="9">
        <f t="shared" si="84"/>
        <v>38.770130082900657</v>
      </c>
      <c r="AZ297" s="9">
        <f t="shared" si="85"/>
        <v>43.369630124151676</v>
      </c>
      <c r="BA297" s="9">
        <f t="shared" si="86"/>
        <v>44.03386056996905</v>
      </c>
      <c r="BB297" s="9">
        <f t="shared" si="87"/>
        <v>132.02639741849245</v>
      </c>
      <c r="BC297" s="10">
        <f t="shared" si="90"/>
        <v>7</v>
      </c>
      <c r="BD297" s="10">
        <f t="shared" si="88"/>
        <v>211</v>
      </c>
      <c r="BE297" s="4">
        <f t="shared" si="91"/>
        <v>29.340676883780329</v>
      </c>
      <c r="BF297" s="4">
        <f t="shared" si="92"/>
        <v>55.533085501858736</v>
      </c>
      <c r="BG297" s="7">
        <f t="shared" si="93"/>
        <v>41.288821239352515</v>
      </c>
      <c r="BH297" s="5">
        <v>339</v>
      </c>
      <c r="BI297" s="3">
        <v>51.559226190476203</v>
      </c>
      <c r="BJ297" s="3">
        <v>24.076488095238094</v>
      </c>
      <c r="BK297" s="3">
        <v>30.399404761904758</v>
      </c>
      <c r="BL297" s="3">
        <v>35.345039682539678</v>
      </c>
      <c r="BM297" s="3">
        <v>106.03511904761903</v>
      </c>
      <c r="BN297" s="18">
        <v>17</v>
      </c>
      <c r="BO297" s="18">
        <v>247</v>
      </c>
      <c r="BP297" s="4">
        <v>23.214285714285715</v>
      </c>
      <c r="BQ297" s="4">
        <v>73.511904761904759</v>
      </c>
      <c r="BR297" s="7">
        <v>65.178571428571431</v>
      </c>
      <c r="BS297" s="18"/>
      <c r="BT297" s="23">
        <v>218</v>
      </c>
    </row>
    <row r="298" spans="1:72" x14ac:dyDescent="0.25">
      <c r="A298" s="18">
        <v>293</v>
      </c>
      <c r="B298" s="18" t="s">
        <v>31</v>
      </c>
      <c r="C298" s="18">
        <v>230</v>
      </c>
      <c r="D298" s="21" t="s">
        <v>9</v>
      </c>
      <c r="E298" s="5"/>
      <c r="F298" s="3">
        <v>37</v>
      </c>
      <c r="G298" s="3">
        <v>32</v>
      </c>
      <c r="H298" s="3">
        <v>11.666666666666666</v>
      </c>
      <c r="I298" s="3">
        <f t="shared" si="80"/>
        <v>26.888888888888889</v>
      </c>
      <c r="J298" s="3">
        <f t="shared" si="81"/>
        <v>80.666666666666671</v>
      </c>
      <c r="K298" s="18">
        <f t="shared" si="89"/>
        <v>25</v>
      </c>
      <c r="L298" s="18">
        <f t="shared" si="79"/>
        <v>293</v>
      </c>
      <c r="M298" s="4"/>
      <c r="N298" s="4"/>
      <c r="O298" s="7"/>
      <c r="P298" s="5">
        <v>88</v>
      </c>
      <c r="Q298" s="3">
        <v>44.696969696969681</v>
      </c>
      <c r="R298" s="3">
        <v>40.636363636363633</v>
      </c>
      <c r="S298" s="3">
        <v>31.435897435897431</v>
      </c>
      <c r="T298" s="3">
        <v>39.637621023513127</v>
      </c>
      <c r="U298" s="3">
        <v>116.76923076923075</v>
      </c>
      <c r="V298" s="18">
        <v>26</v>
      </c>
      <c r="W298" s="18">
        <v>276</v>
      </c>
      <c r="X298" s="4">
        <v>28.40909090909091</v>
      </c>
      <c r="Y298" s="4">
        <v>38.636363636363633</v>
      </c>
      <c r="Z298" s="7">
        <v>60</v>
      </c>
      <c r="AA298" s="5">
        <v>95</v>
      </c>
      <c r="AB298" s="3">
        <v>37.592968221771457</v>
      </c>
      <c r="AC298" s="3">
        <v>38.68181818181818</v>
      </c>
      <c r="AD298" s="3">
        <v>34.883720930232535</v>
      </c>
      <c r="AE298" s="3">
        <v>37.007974126289639</v>
      </c>
      <c r="AF298" s="3">
        <v>111.15850733382217</v>
      </c>
      <c r="AG298" s="18">
        <v>15</v>
      </c>
      <c r="AH298" s="18">
        <v>248</v>
      </c>
      <c r="AI298" s="4">
        <v>42.52873563218391</v>
      </c>
      <c r="AJ298" s="4">
        <v>36.363636363636367</v>
      </c>
      <c r="AK298" s="7">
        <v>50</v>
      </c>
      <c r="AL298" s="5">
        <v>94</v>
      </c>
      <c r="AM298" s="3">
        <v>48.838053740014523</v>
      </c>
      <c r="AN298" s="3">
        <v>33.086419753086417</v>
      </c>
      <c r="AO298" s="3">
        <v>34.191176470588239</v>
      </c>
      <c r="AP298" s="3">
        <v>38.767679911470772</v>
      </c>
      <c r="AQ298" s="3">
        <v>116.11564996368918</v>
      </c>
      <c r="AR298" s="18">
        <v>23</v>
      </c>
      <c r="AS298" s="18">
        <v>271</v>
      </c>
      <c r="AT298" s="4">
        <v>19.753086419753085</v>
      </c>
      <c r="AU298" s="4">
        <v>51.851851851851855</v>
      </c>
      <c r="AV298" s="7">
        <v>46.25</v>
      </c>
      <c r="AW298" s="10">
        <f t="shared" si="82"/>
        <v>92.333333333333329</v>
      </c>
      <c r="AX298" s="9">
        <f t="shared" si="83"/>
        <v>43.709330552918551</v>
      </c>
      <c r="AY298" s="9">
        <f t="shared" si="84"/>
        <v>37.468200523756074</v>
      </c>
      <c r="AZ298" s="9">
        <f t="shared" si="85"/>
        <v>33.503598278906061</v>
      </c>
      <c r="BA298" s="9">
        <f t="shared" si="86"/>
        <v>38.471091687091182</v>
      </c>
      <c r="BB298" s="9">
        <f t="shared" si="87"/>
        <v>114.68112935558069</v>
      </c>
      <c r="BC298" s="10">
        <f t="shared" si="90"/>
        <v>25</v>
      </c>
      <c r="BD298" s="10">
        <f t="shared" si="88"/>
        <v>279</v>
      </c>
      <c r="BE298" s="4">
        <f t="shared" si="91"/>
        <v>31.140911025968499</v>
      </c>
      <c r="BF298" s="4">
        <f t="shared" si="92"/>
        <v>44.107744107744111</v>
      </c>
      <c r="BG298" s="7">
        <f t="shared" si="93"/>
        <v>48.125</v>
      </c>
      <c r="BH298" s="5">
        <v>93</v>
      </c>
      <c r="BI298" s="3">
        <v>50.103225806451618</v>
      </c>
      <c r="BJ298" s="3">
        <v>23.035483870967745</v>
      </c>
      <c r="BK298" s="3">
        <v>29.915053763440856</v>
      </c>
      <c r="BL298" s="3">
        <v>34.351254480286748</v>
      </c>
      <c r="BM298" s="3">
        <v>103.05376344086021</v>
      </c>
      <c r="BN298" s="18">
        <v>19</v>
      </c>
      <c r="BO298" s="18">
        <v>260</v>
      </c>
      <c r="BP298" s="4">
        <v>27.956989247311828</v>
      </c>
      <c r="BQ298" s="4">
        <v>73.118279569892479</v>
      </c>
      <c r="BR298" s="7">
        <v>61.29032258064516</v>
      </c>
      <c r="BS298" s="18"/>
      <c r="BT298" s="23">
        <v>230</v>
      </c>
    </row>
    <row r="299" spans="1:72" x14ac:dyDescent="0.25">
      <c r="A299" s="18">
        <v>294</v>
      </c>
      <c r="B299" s="18" t="s">
        <v>31</v>
      </c>
      <c r="C299" s="18">
        <v>234</v>
      </c>
      <c r="D299" s="21" t="s">
        <v>9</v>
      </c>
      <c r="E299" s="5"/>
      <c r="F299" s="3">
        <v>45</v>
      </c>
      <c r="G299" s="3">
        <v>31.2</v>
      </c>
      <c r="H299" s="3">
        <v>31.666666666666668</v>
      </c>
      <c r="I299" s="3">
        <f t="shared" si="80"/>
        <v>35.955555555555556</v>
      </c>
      <c r="J299" s="3">
        <f t="shared" si="81"/>
        <v>107.86666666666667</v>
      </c>
      <c r="K299" s="18">
        <f t="shared" si="89"/>
        <v>16</v>
      </c>
      <c r="L299" s="18">
        <f t="shared" si="79"/>
        <v>237</v>
      </c>
      <c r="M299" s="4"/>
      <c r="N299" s="4"/>
      <c r="O299" s="7"/>
      <c r="P299" s="5">
        <v>85</v>
      </c>
      <c r="Q299" s="3">
        <v>44.98039215686277</v>
      </c>
      <c r="R299" s="3">
        <v>36.564705882352939</v>
      </c>
      <c r="S299" s="3">
        <v>50.8675799086758</v>
      </c>
      <c r="T299" s="3">
        <v>43.805212620027433</v>
      </c>
      <c r="U299" s="3">
        <v>132.4126779478915</v>
      </c>
      <c r="V299" s="18">
        <v>17</v>
      </c>
      <c r="W299" s="18">
        <v>224</v>
      </c>
      <c r="X299" s="4">
        <v>27.058823529411764</v>
      </c>
      <c r="Y299" s="4">
        <v>43.529411764705884</v>
      </c>
      <c r="Z299" s="7">
        <v>30.136986301369863</v>
      </c>
      <c r="AA299" s="5">
        <v>88</v>
      </c>
      <c r="AB299" s="3">
        <v>31.571109456440791</v>
      </c>
      <c r="AC299" s="3">
        <v>32.354430379746837</v>
      </c>
      <c r="AD299" s="3">
        <v>47.489823609226605</v>
      </c>
      <c r="AE299" s="3">
        <v>35.885556984589009</v>
      </c>
      <c r="AF299" s="3">
        <v>111.41536344541423</v>
      </c>
      <c r="AG299" s="18">
        <v>14</v>
      </c>
      <c r="AH299" s="18">
        <v>247</v>
      </c>
      <c r="AI299" s="4">
        <v>20.105820105820104</v>
      </c>
      <c r="AJ299" s="4">
        <v>53.164556962025316</v>
      </c>
      <c r="AK299" s="7">
        <v>17.910447761194028</v>
      </c>
      <c r="AL299" s="5">
        <v>88</v>
      </c>
      <c r="AM299" s="3">
        <v>50.815024805102766</v>
      </c>
      <c r="AN299" s="3">
        <v>25.23809523809523</v>
      </c>
      <c r="AO299" s="3">
        <v>59.831932773109251</v>
      </c>
      <c r="AP299" s="3">
        <v>43.777800276737203</v>
      </c>
      <c r="AQ299" s="3">
        <v>135.88505281630725</v>
      </c>
      <c r="AR299" s="18">
        <v>9</v>
      </c>
      <c r="AS299" s="18">
        <v>207</v>
      </c>
      <c r="AT299" s="4">
        <v>20.481927710843372</v>
      </c>
      <c r="AU299" s="4">
        <v>65.384615384615387</v>
      </c>
      <c r="AV299" s="7">
        <v>15.714285714285714</v>
      </c>
      <c r="AW299" s="10">
        <f t="shared" si="82"/>
        <v>87</v>
      </c>
      <c r="AX299" s="9">
        <f t="shared" si="83"/>
        <v>42.455508806135441</v>
      </c>
      <c r="AY299" s="9">
        <f t="shared" si="84"/>
        <v>31.385743833398337</v>
      </c>
      <c r="AZ299" s="9">
        <f t="shared" si="85"/>
        <v>52.729778763670559</v>
      </c>
      <c r="BA299" s="9">
        <f t="shared" si="86"/>
        <v>41.156189960451208</v>
      </c>
      <c r="BB299" s="9">
        <f t="shared" si="87"/>
        <v>126.57103140320434</v>
      </c>
      <c r="BC299" s="10">
        <f t="shared" si="90"/>
        <v>14</v>
      </c>
      <c r="BD299" s="10">
        <f t="shared" si="88"/>
        <v>230</v>
      </c>
      <c r="BE299" s="4">
        <f t="shared" si="91"/>
        <v>20.29387390833174</v>
      </c>
      <c r="BF299" s="4">
        <f t="shared" si="92"/>
        <v>59.274586173320351</v>
      </c>
      <c r="BG299" s="7">
        <f t="shared" si="93"/>
        <v>16.812366737739872</v>
      </c>
      <c r="BH299" s="5">
        <v>87</v>
      </c>
      <c r="BI299" s="3">
        <v>57.597701149425319</v>
      </c>
      <c r="BJ299" s="3">
        <v>27.988505747126435</v>
      </c>
      <c r="BK299" s="3">
        <v>43.342528735632186</v>
      </c>
      <c r="BL299" s="3">
        <v>42.97624521072796</v>
      </c>
      <c r="BM299" s="3">
        <v>128.92873563218393</v>
      </c>
      <c r="BN299" s="18">
        <v>1</v>
      </c>
      <c r="BO299" s="18">
        <v>117</v>
      </c>
      <c r="BP299" s="4">
        <v>12.64367816091954</v>
      </c>
      <c r="BQ299" s="4">
        <v>62.068965517241381</v>
      </c>
      <c r="BR299" s="7">
        <v>37.931034482758619</v>
      </c>
      <c r="BS299" s="18"/>
      <c r="BT299" s="23">
        <v>234</v>
      </c>
    </row>
    <row r="300" spans="1:72" x14ac:dyDescent="0.25">
      <c r="A300" s="1">
        <v>295</v>
      </c>
      <c r="B300" s="18" t="s">
        <v>31</v>
      </c>
      <c r="C300" s="18">
        <v>237</v>
      </c>
      <c r="D300" s="21" t="s">
        <v>9</v>
      </c>
      <c r="E300" s="5"/>
      <c r="F300" s="3">
        <v>50</v>
      </c>
      <c r="G300" s="3">
        <v>44.4</v>
      </c>
      <c r="H300" s="3">
        <v>28.333333333333332</v>
      </c>
      <c r="I300" s="3">
        <f t="shared" si="80"/>
        <v>40.911111111111111</v>
      </c>
      <c r="J300" s="3">
        <f t="shared" si="81"/>
        <v>122.73333333333333</v>
      </c>
      <c r="K300" s="18">
        <f t="shared" si="89"/>
        <v>8</v>
      </c>
      <c r="L300" s="18">
        <f t="shared" si="79"/>
        <v>182</v>
      </c>
      <c r="M300" s="4"/>
      <c r="N300" s="4"/>
      <c r="O300" s="7"/>
      <c r="P300" s="5">
        <v>60</v>
      </c>
      <c r="Q300" s="3">
        <v>45.388888888888879</v>
      </c>
      <c r="R300" s="3">
        <v>39.666666666666664</v>
      </c>
      <c r="S300" s="3">
        <v>42.033898305084733</v>
      </c>
      <c r="T300" s="3">
        <v>42.364990689013048</v>
      </c>
      <c r="U300" s="3">
        <v>127.08945386064028</v>
      </c>
      <c r="V300" s="18">
        <v>19</v>
      </c>
      <c r="W300" s="18">
        <v>250</v>
      </c>
      <c r="X300" s="4">
        <v>18.333333333333332</v>
      </c>
      <c r="Y300" s="4">
        <v>33.333333333333336</v>
      </c>
      <c r="Z300" s="7">
        <v>38.983050847457626</v>
      </c>
      <c r="AA300" s="5">
        <v>71</v>
      </c>
      <c r="AB300" s="3">
        <v>37.013574660633488</v>
      </c>
      <c r="AC300" s="3">
        <v>37.353846153846156</v>
      </c>
      <c r="AD300" s="3">
        <v>33.566433566433545</v>
      </c>
      <c r="AE300" s="3">
        <v>35.977951460304396</v>
      </c>
      <c r="AF300" s="3">
        <v>107.93385438091319</v>
      </c>
      <c r="AG300" s="18">
        <v>17</v>
      </c>
      <c r="AH300" s="18">
        <v>260</v>
      </c>
      <c r="AI300" s="4">
        <v>36.92307692307692</v>
      </c>
      <c r="AJ300" s="4">
        <v>26.153846153846153</v>
      </c>
      <c r="AK300" s="7">
        <v>46.153846153846153</v>
      </c>
      <c r="AL300" s="5">
        <v>71</v>
      </c>
      <c r="AM300" s="3">
        <v>61.176470588235262</v>
      </c>
      <c r="AN300" s="3">
        <v>39.120879120879124</v>
      </c>
      <c r="AO300" s="3">
        <v>45.656108597285069</v>
      </c>
      <c r="AP300" s="3">
        <v>48.651152768799832</v>
      </c>
      <c r="AQ300" s="3">
        <v>145.95345830639945</v>
      </c>
      <c r="AR300" s="18">
        <v>6</v>
      </c>
      <c r="AS300" s="18">
        <v>161</v>
      </c>
      <c r="AT300" s="4">
        <v>9.2307692307692299</v>
      </c>
      <c r="AU300" s="4">
        <v>36.92307692307692</v>
      </c>
      <c r="AV300" s="7">
        <v>30.76923076923077</v>
      </c>
      <c r="AW300" s="10">
        <f t="shared" si="82"/>
        <v>67.333333333333329</v>
      </c>
      <c r="AX300" s="9">
        <f t="shared" si="83"/>
        <v>47.859644712585883</v>
      </c>
      <c r="AY300" s="9">
        <f t="shared" si="84"/>
        <v>38.713797313797315</v>
      </c>
      <c r="AZ300" s="9">
        <f t="shared" si="85"/>
        <v>40.418813489601114</v>
      </c>
      <c r="BA300" s="9">
        <f t="shared" si="86"/>
        <v>42.331364972705764</v>
      </c>
      <c r="BB300" s="9">
        <f t="shared" si="87"/>
        <v>126.99225551598431</v>
      </c>
      <c r="BC300" s="10">
        <f t="shared" si="90"/>
        <v>13</v>
      </c>
      <c r="BD300" s="10">
        <f t="shared" si="88"/>
        <v>229</v>
      </c>
      <c r="BE300" s="4">
        <f t="shared" si="91"/>
        <v>23.076923076923073</v>
      </c>
      <c r="BF300" s="4">
        <f t="shared" si="92"/>
        <v>31.538461538461537</v>
      </c>
      <c r="BG300" s="7">
        <f t="shared" si="93"/>
        <v>38.46153846153846</v>
      </c>
      <c r="BH300" s="5">
        <v>70</v>
      </c>
      <c r="BI300" s="3">
        <v>50.655714285714275</v>
      </c>
      <c r="BJ300" s="3">
        <v>21.645714285714277</v>
      </c>
      <c r="BK300" s="3">
        <v>30.501428571428569</v>
      </c>
      <c r="BL300" s="3">
        <v>34.267619047619029</v>
      </c>
      <c r="BM300" s="3">
        <v>102.80285714285714</v>
      </c>
      <c r="BN300" s="18">
        <v>20</v>
      </c>
      <c r="BO300" s="18">
        <v>261</v>
      </c>
      <c r="BP300" s="4">
        <v>17.142857142857142</v>
      </c>
      <c r="BQ300" s="4">
        <v>78.571428571428569</v>
      </c>
      <c r="BR300" s="7">
        <v>65.714285714285708</v>
      </c>
      <c r="BS300" s="18"/>
      <c r="BT300" s="23">
        <v>237</v>
      </c>
    </row>
    <row r="301" spans="1:72" x14ac:dyDescent="0.25">
      <c r="A301" s="18">
        <v>296</v>
      </c>
      <c r="B301" s="18" t="s">
        <v>31</v>
      </c>
      <c r="C301" s="18">
        <v>241</v>
      </c>
      <c r="D301" s="21" t="s">
        <v>9</v>
      </c>
      <c r="E301" s="5"/>
      <c r="F301" s="3">
        <v>36.666666666666664</v>
      </c>
      <c r="G301" s="3">
        <v>25.6</v>
      </c>
      <c r="H301" s="3">
        <v>17.666666666666668</v>
      </c>
      <c r="I301" s="3">
        <f t="shared" si="80"/>
        <v>26.644444444444446</v>
      </c>
      <c r="J301" s="3">
        <f t="shared" si="81"/>
        <v>79.933333333333337</v>
      </c>
      <c r="K301" s="18">
        <f t="shared" si="89"/>
        <v>26</v>
      </c>
      <c r="L301" s="18">
        <f t="shared" si="79"/>
        <v>296</v>
      </c>
      <c r="M301" s="4"/>
      <c r="N301" s="4"/>
      <c r="O301" s="7"/>
      <c r="P301" s="5">
        <v>46</v>
      </c>
      <c r="Q301" s="3">
        <v>48.623188405797102</v>
      </c>
      <c r="R301" s="3">
        <v>39.652173913043477</v>
      </c>
      <c r="S301" s="3">
        <v>38.768115942028992</v>
      </c>
      <c r="T301" s="3">
        <v>42.347826086956516</v>
      </c>
      <c r="U301" s="3">
        <v>127.04347826086956</v>
      </c>
      <c r="V301" s="18">
        <v>20</v>
      </c>
      <c r="W301" s="18">
        <v>251</v>
      </c>
      <c r="X301" s="4">
        <v>26.086956521739129</v>
      </c>
      <c r="Y301" s="4">
        <v>39.130434782608695</v>
      </c>
      <c r="Z301" s="7">
        <v>39.130434782608695</v>
      </c>
      <c r="AA301" s="5">
        <v>46</v>
      </c>
      <c r="AB301" s="3">
        <v>36.572890025575433</v>
      </c>
      <c r="AC301" s="3">
        <v>31.043478260869566</v>
      </c>
      <c r="AD301" s="3">
        <v>32.476943346508563</v>
      </c>
      <c r="AE301" s="3">
        <v>33.364437210984526</v>
      </c>
      <c r="AF301" s="3">
        <v>100.09331163295356</v>
      </c>
      <c r="AG301" s="18">
        <v>24</v>
      </c>
      <c r="AH301" s="18">
        <v>280</v>
      </c>
      <c r="AI301" s="4">
        <v>36.956521739130437</v>
      </c>
      <c r="AJ301" s="4">
        <v>50</v>
      </c>
      <c r="AK301" s="7">
        <v>47.826086956521742</v>
      </c>
      <c r="AL301" s="5">
        <v>48</v>
      </c>
      <c r="AM301" s="3">
        <v>59.073842302878617</v>
      </c>
      <c r="AN301" s="3">
        <v>35.440729483282702</v>
      </c>
      <c r="AO301" s="3">
        <v>52.941176470588253</v>
      </c>
      <c r="AP301" s="3">
        <v>49.151916085583174</v>
      </c>
      <c r="AQ301" s="3">
        <v>147.45574825674959</v>
      </c>
      <c r="AR301" s="18">
        <v>5</v>
      </c>
      <c r="AS301" s="18">
        <v>155</v>
      </c>
      <c r="AT301" s="4">
        <v>4.2553191489361701</v>
      </c>
      <c r="AU301" s="4">
        <v>34.042553191489361</v>
      </c>
      <c r="AV301" s="7">
        <v>4.2553191489361701</v>
      </c>
      <c r="AW301" s="10">
        <f t="shared" si="82"/>
        <v>46.666666666666664</v>
      </c>
      <c r="AX301" s="9">
        <f t="shared" si="83"/>
        <v>48.089973578083722</v>
      </c>
      <c r="AY301" s="9">
        <f t="shared" si="84"/>
        <v>35.378793885731916</v>
      </c>
      <c r="AZ301" s="9">
        <f t="shared" si="85"/>
        <v>41.395411919708607</v>
      </c>
      <c r="BA301" s="9">
        <f t="shared" si="86"/>
        <v>41.621393127841401</v>
      </c>
      <c r="BB301" s="9">
        <f t="shared" si="87"/>
        <v>124.86417938352423</v>
      </c>
      <c r="BC301" s="10">
        <f t="shared" si="90"/>
        <v>16</v>
      </c>
      <c r="BD301" s="10">
        <f t="shared" si="88"/>
        <v>239</v>
      </c>
      <c r="BE301" s="4">
        <f t="shared" si="91"/>
        <v>20.605920444033302</v>
      </c>
      <c r="BF301" s="4">
        <f t="shared" si="92"/>
        <v>42.021276595744681</v>
      </c>
      <c r="BG301" s="7">
        <f t="shared" si="93"/>
        <v>26.040703052728958</v>
      </c>
      <c r="BH301" s="5">
        <v>48</v>
      </c>
      <c r="BI301" s="3">
        <v>44.139583333333341</v>
      </c>
      <c r="BJ301" s="3">
        <v>25.15625</v>
      </c>
      <c r="BK301" s="3">
        <v>27.572916666666661</v>
      </c>
      <c r="BL301" s="3">
        <v>32.289583333333333</v>
      </c>
      <c r="BM301" s="3">
        <v>96.86875000000002</v>
      </c>
      <c r="BN301" s="18">
        <v>23</v>
      </c>
      <c r="BO301" s="18">
        <v>278</v>
      </c>
      <c r="BP301" s="4">
        <v>35.416666666666664</v>
      </c>
      <c r="BQ301" s="4">
        <v>72.916666666666671</v>
      </c>
      <c r="BR301" s="7">
        <v>62.5</v>
      </c>
      <c r="BS301" s="18"/>
      <c r="BT301" s="23">
        <v>241</v>
      </c>
    </row>
    <row r="302" spans="1:72" x14ac:dyDescent="0.25">
      <c r="A302" s="18">
        <v>297</v>
      </c>
      <c r="B302" s="18" t="s">
        <v>31</v>
      </c>
      <c r="C302" s="18">
        <v>256</v>
      </c>
      <c r="D302" s="21" t="s">
        <v>9</v>
      </c>
      <c r="E302" s="5"/>
      <c r="F302" s="3">
        <v>41</v>
      </c>
      <c r="G302" s="3">
        <v>40.799999999999997</v>
      </c>
      <c r="H302" s="3">
        <v>41</v>
      </c>
      <c r="I302" s="3">
        <f t="shared" si="80"/>
        <v>40.93333333333333</v>
      </c>
      <c r="J302" s="3">
        <f t="shared" si="81"/>
        <v>122.8</v>
      </c>
      <c r="K302" s="18">
        <f t="shared" si="89"/>
        <v>7</v>
      </c>
      <c r="L302" s="18">
        <f t="shared" si="79"/>
        <v>181</v>
      </c>
      <c r="M302" s="4"/>
      <c r="N302" s="4"/>
      <c r="O302" s="7"/>
      <c r="P302" s="5">
        <v>20</v>
      </c>
      <c r="Q302" s="3">
        <v>46.5</v>
      </c>
      <c r="R302" s="3">
        <v>44.8</v>
      </c>
      <c r="S302" s="3">
        <v>41.833333333333329</v>
      </c>
      <c r="T302" s="3">
        <v>44.377777777777773</v>
      </c>
      <c r="U302" s="3">
        <v>133.13333333333333</v>
      </c>
      <c r="V302" s="18">
        <v>16</v>
      </c>
      <c r="W302" s="18">
        <v>222</v>
      </c>
      <c r="X302" s="4">
        <v>30</v>
      </c>
      <c r="Y302" s="4">
        <v>30</v>
      </c>
      <c r="Z302" s="7">
        <v>45</v>
      </c>
      <c r="AA302" s="5">
        <v>25</v>
      </c>
      <c r="AB302" s="3">
        <v>27.673796791443859</v>
      </c>
      <c r="AC302" s="3">
        <v>40.727272727272727</v>
      </c>
      <c r="AD302" s="3">
        <v>26.721763085399445</v>
      </c>
      <c r="AE302" s="3">
        <v>31.707610868038671</v>
      </c>
      <c r="AF302" s="3">
        <v>95.122832604116027</v>
      </c>
      <c r="AG302" s="18">
        <v>27</v>
      </c>
      <c r="AH302" s="18">
        <v>292</v>
      </c>
      <c r="AI302" s="4">
        <v>68.181818181818187</v>
      </c>
      <c r="AJ302" s="4">
        <v>40.909090909090907</v>
      </c>
      <c r="AK302" s="7">
        <v>72.727272727272734</v>
      </c>
      <c r="AL302" s="5">
        <v>25</v>
      </c>
      <c r="AM302" s="3">
        <v>57.486631016042772</v>
      </c>
      <c r="AN302" s="3">
        <v>28.7012987012987</v>
      </c>
      <c r="AO302" s="3">
        <v>37.299465240641716</v>
      </c>
      <c r="AP302" s="3">
        <v>41.162464985994397</v>
      </c>
      <c r="AQ302" s="3">
        <v>123.48739495798318</v>
      </c>
      <c r="AR302" s="18">
        <v>19</v>
      </c>
      <c r="AS302" s="18">
        <v>252</v>
      </c>
      <c r="AT302" s="4">
        <v>4.5454545454545459</v>
      </c>
      <c r="AU302" s="4">
        <v>63.636363636363633</v>
      </c>
      <c r="AV302" s="7">
        <v>40.909090909090907</v>
      </c>
      <c r="AW302" s="10">
        <f t="shared" si="82"/>
        <v>23.333333333333332</v>
      </c>
      <c r="AX302" s="9">
        <f t="shared" si="83"/>
        <v>43.886809269162207</v>
      </c>
      <c r="AY302" s="9">
        <f t="shared" si="84"/>
        <v>38.076190476190476</v>
      </c>
      <c r="AZ302" s="9">
        <f t="shared" si="85"/>
        <v>35.284853886458166</v>
      </c>
      <c r="BA302" s="9">
        <f t="shared" si="86"/>
        <v>39.08261787727028</v>
      </c>
      <c r="BB302" s="9">
        <f t="shared" si="87"/>
        <v>117.24785363181086</v>
      </c>
      <c r="BC302" s="10">
        <f t="shared" si="90"/>
        <v>22</v>
      </c>
      <c r="BD302" s="10">
        <f t="shared" si="88"/>
        <v>272</v>
      </c>
      <c r="BE302" s="4">
        <f t="shared" si="91"/>
        <v>36.363636363636367</v>
      </c>
      <c r="BF302" s="4">
        <f t="shared" si="92"/>
        <v>52.272727272727266</v>
      </c>
      <c r="BG302" s="7">
        <f t="shared" si="93"/>
        <v>56.81818181818182</v>
      </c>
      <c r="BH302" s="5">
        <v>25</v>
      </c>
      <c r="BI302" s="3">
        <v>50.867999999999995</v>
      </c>
      <c r="BJ302" s="3">
        <v>29.503999999999991</v>
      </c>
      <c r="BK302" s="3">
        <v>31.524000000000001</v>
      </c>
      <c r="BL302" s="3">
        <v>37.298666666666669</v>
      </c>
      <c r="BM302" s="3">
        <v>111.89599999999999</v>
      </c>
      <c r="BN302" s="18">
        <v>11</v>
      </c>
      <c r="BO302" s="18">
        <v>217</v>
      </c>
      <c r="BP302" s="4">
        <v>28</v>
      </c>
      <c r="BQ302" s="4">
        <v>60</v>
      </c>
      <c r="BR302" s="7">
        <v>64</v>
      </c>
      <c r="BS302" s="18"/>
      <c r="BT302" s="23">
        <v>256</v>
      </c>
    </row>
    <row r="303" spans="1:72" x14ac:dyDescent="0.25">
      <c r="A303" s="18">
        <v>298</v>
      </c>
      <c r="B303" s="18" t="s">
        <v>31</v>
      </c>
      <c r="C303" s="18">
        <v>262</v>
      </c>
      <c r="D303" s="21" t="s">
        <v>9</v>
      </c>
      <c r="E303" s="5"/>
      <c r="F303" s="3">
        <v>48</v>
      </c>
      <c r="G303" s="3">
        <v>44</v>
      </c>
      <c r="H303" s="3">
        <v>29.333333333333336</v>
      </c>
      <c r="I303" s="3">
        <f t="shared" si="80"/>
        <v>40.44444444444445</v>
      </c>
      <c r="J303" s="3">
        <f t="shared" si="81"/>
        <v>121.33333333333334</v>
      </c>
      <c r="K303" s="18">
        <f t="shared" si="89"/>
        <v>9</v>
      </c>
      <c r="L303" s="18">
        <f t="shared" si="79"/>
        <v>188</v>
      </c>
      <c r="M303" s="4"/>
      <c r="N303" s="4"/>
      <c r="O303" s="7"/>
      <c r="P303" s="5">
        <v>66</v>
      </c>
      <c r="Q303" s="3">
        <v>45.303030303030297</v>
      </c>
      <c r="R303" s="3">
        <v>41.151515151515149</v>
      </c>
      <c r="S303" s="3">
        <v>35.707070707070699</v>
      </c>
      <c r="T303" s="3">
        <v>40.72053872053872</v>
      </c>
      <c r="U303" s="3">
        <v>122.16161616161614</v>
      </c>
      <c r="V303" s="18">
        <v>23</v>
      </c>
      <c r="W303" s="18">
        <v>265</v>
      </c>
      <c r="X303" s="4">
        <v>31.818181818181817</v>
      </c>
      <c r="Y303" s="4">
        <v>27.272727272727273</v>
      </c>
      <c r="Z303" s="7">
        <v>50</v>
      </c>
      <c r="AA303" s="5">
        <v>69</v>
      </c>
      <c r="AB303" s="3">
        <v>37.029893924783018</v>
      </c>
      <c r="AC303" s="3">
        <v>41.311475409836063</v>
      </c>
      <c r="AD303" s="3">
        <v>33.432687531048188</v>
      </c>
      <c r="AE303" s="3">
        <v>37.258018955222433</v>
      </c>
      <c r="AF303" s="3">
        <v>111.77405686566728</v>
      </c>
      <c r="AG303" s="18">
        <v>13</v>
      </c>
      <c r="AH303" s="18">
        <v>244</v>
      </c>
      <c r="AI303" s="4">
        <v>40.983606557377051</v>
      </c>
      <c r="AJ303" s="4">
        <v>22.950819672131146</v>
      </c>
      <c r="AK303" s="7">
        <v>52.459016393442624</v>
      </c>
      <c r="AL303" s="5">
        <v>69</v>
      </c>
      <c r="AM303" s="3">
        <v>50.606909430438854</v>
      </c>
      <c r="AN303" s="3">
        <v>33.87096774193548</v>
      </c>
      <c r="AO303" s="3">
        <v>40.989729225023339</v>
      </c>
      <c r="AP303" s="3">
        <v>41.75225645813881</v>
      </c>
      <c r="AQ303" s="3">
        <v>125.46760639739767</v>
      </c>
      <c r="AR303" s="18">
        <v>17</v>
      </c>
      <c r="AS303" s="18">
        <v>247</v>
      </c>
      <c r="AT303" s="4">
        <v>26.984126984126984</v>
      </c>
      <c r="AU303" s="4">
        <v>56.451612903225808</v>
      </c>
      <c r="AV303" s="7">
        <v>38.095238095238095</v>
      </c>
      <c r="AW303" s="10">
        <f t="shared" si="82"/>
        <v>68</v>
      </c>
      <c r="AX303" s="9">
        <f t="shared" si="83"/>
        <v>44.313277886084059</v>
      </c>
      <c r="AY303" s="9">
        <f t="shared" si="84"/>
        <v>38.777986101095564</v>
      </c>
      <c r="AZ303" s="9">
        <f t="shared" si="85"/>
        <v>36.709829154380742</v>
      </c>
      <c r="BA303" s="9">
        <f t="shared" si="86"/>
        <v>39.910271377966659</v>
      </c>
      <c r="BB303" s="9">
        <f t="shared" si="87"/>
        <v>119.80109314156037</v>
      </c>
      <c r="BC303" s="10">
        <f t="shared" si="90"/>
        <v>21</v>
      </c>
      <c r="BD303" s="10">
        <f t="shared" si="88"/>
        <v>263</v>
      </c>
      <c r="BE303" s="4">
        <f t="shared" si="91"/>
        <v>33.983866770752016</v>
      </c>
      <c r="BF303" s="4">
        <f t="shared" si="92"/>
        <v>39.701216287678477</v>
      </c>
      <c r="BG303" s="7">
        <f t="shared" si="93"/>
        <v>45.277127244340363</v>
      </c>
      <c r="BH303" s="5">
        <v>67</v>
      </c>
      <c r="BI303" s="3">
        <v>42.316417910447761</v>
      </c>
      <c r="BJ303" s="3">
        <v>17.63880597014926</v>
      </c>
      <c r="BK303" s="3">
        <v>28.65820895522387</v>
      </c>
      <c r="BL303" s="3">
        <v>29.537810945273623</v>
      </c>
      <c r="BM303" s="3">
        <v>88.613432835820888</v>
      </c>
      <c r="BN303" s="18">
        <v>26</v>
      </c>
      <c r="BO303" s="18">
        <v>289</v>
      </c>
      <c r="BP303" s="4">
        <v>43.28358208955224</v>
      </c>
      <c r="BQ303" s="4">
        <v>80.597014925373131</v>
      </c>
      <c r="BR303" s="7">
        <v>65.671641791044777</v>
      </c>
      <c r="BS303" s="18"/>
      <c r="BT303" s="23">
        <v>262</v>
      </c>
    </row>
    <row r="304" spans="1:72" x14ac:dyDescent="0.25">
      <c r="A304" s="18">
        <v>299</v>
      </c>
      <c r="B304" s="18" t="s">
        <v>31</v>
      </c>
      <c r="C304" s="18">
        <v>322</v>
      </c>
      <c r="D304" s="21" t="s">
        <v>9</v>
      </c>
      <c r="E304" s="5"/>
      <c r="F304" s="3">
        <v>36</v>
      </c>
      <c r="G304" s="3">
        <v>48.8</v>
      </c>
      <c r="H304" s="3">
        <v>47.333333333333336</v>
      </c>
      <c r="I304" s="3">
        <f t="shared" si="80"/>
        <v>44.044444444444444</v>
      </c>
      <c r="J304" s="3">
        <f t="shared" si="81"/>
        <v>132.13333333333333</v>
      </c>
      <c r="K304" s="18">
        <f t="shared" si="89"/>
        <v>5</v>
      </c>
      <c r="L304" s="18">
        <f t="shared" si="79"/>
        <v>150</v>
      </c>
      <c r="M304" s="4"/>
      <c r="N304" s="4"/>
      <c r="O304" s="7"/>
      <c r="P304" s="5">
        <v>246</v>
      </c>
      <c r="Q304" s="3">
        <v>49.214092140921345</v>
      </c>
      <c r="R304" s="3">
        <v>52.227642276422763</v>
      </c>
      <c r="S304" s="3">
        <v>37.371273712737107</v>
      </c>
      <c r="T304" s="3">
        <v>46.271002710027069</v>
      </c>
      <c r="U304" s="3">
        <v>138.81300813008122</v>
      </c>
      <c r="V304" s="18">
        <v>11</v>
      </c>
      <c r="W304" s="18">
        <v>188</v>
      </c>
      <c r="X304" s="4">
        <v>19.512195121951219</v>
      </c>
      <c r="Y304" s="4">
        <v>15.853658536585366</v>
      </c>
      <c r="Z304" s="7">
        <v>38.617886178861788</v>
      </c>
      <c r="AA304" s="5">
        <v>261</v>
      </c>
      <c r="AB304" s="3">
        <v>38.223714682723468</v>
      </c>
      <c r="AC304" s="3">
        <v>46.346456692913385</v>
      </c>
      <c r="AD304" s="3">
        <v>44.094488188976378</v>
      </c>
      <c r="AE304" s="3">
        <v>42.888219854871089</v>
      </c>
      <c r="AF304" s="3">
        <v>128.66465956461323</v>
      </c>
      <c r="AG304" s="18">
        <v>5</v>
      </c>
      <c r="AH304" s="18">
        <v>184</v>
      </c>
      <c r="AI304" s="4">
        <v>31.889763779527559</v>
      </c>
      <c r="AJ304" s="4">
        <v>21.653543307086615</v>
      </c>
      <c r="AK304" s="7">
        <v>31.889763779527559</v>
      </c>
      <c r="AL304" s="5">
        <v>261</v>
      </c>
      <c r="AM304" s="3">
        <v>56.223529411764716</v>
      </c>
      <c r="AN304" s="3">
        <v>35.077452667814129</v>
      </c>
      <c r="AO304" s="3">
        <v>47.460429955114563</v>
      </c>
      <c r="AP304" s="3">
        <v>46.214341736694685</v>
      </c>
      <c r="AQ304" s="3">
        <v>138.76141203469342</v>
      </c>
      <c r="AR304" s="18">
        <v>8</v>
      </c>
      <c r="AS304" s="18">
        <v>196</v>
      </c>
      <c r="AT304" s="4">
        <v>14.4</v>
      </c>
      <c r="AU304" s="4">
        <v>44.979919678714857</v>
      </c>
      <c r="AV304" s="7">
        <v>22.891566265060241</v>
      </c>
      <c r="AW304" s="10">
        <f t="shared" si="82"/>
        <v>256</v>
      </c>
      <c r="AX304" s="9">
        <f t="shared" si="83"/>
        <v>47.887112078469841</v>
      </c>
      <c r="AY304" s="9">
        <f t="shared" si="84"/>
        <v>44.550517212383426</v>
      </c>
      <c r="AZ304" s="9">
        <f t="shared" si="85"/>
        <v>42.975397285609347</v>
      </c>
      <c r="BA304" s="9">
        <f t="shared" si="86"/>
        <v>45.124521433864281</v>
      </c>
      <c r="BB304" s="9">
        <f t="shared" si="87"/>
        <v>135.41302657646261</v>
      </c>
      <c r="BC304" s="10">
        <f t="shared" si="90"/>
        <v>5</v>
      </c>
      <c r="BD304" s="10">
        <f t="shared" si="88"/>
        <v>193</v>
      </c>
      <c r="BE304" s="4">
        <f t="shared" si="91"/>
        <v>23.144881889763781</v>
      </c>
      <c r="BF304" s="4">
        <f t="shared" si="92"/>
        <v>33.316731492900736</v>
      </c>
      <c r="BG304" s="7">
        <f t="shared" si="93"/>
        <v>27.390665022293902</v>
      </c>
      <c r="BH304" s="5">
        <v>259</v>
      </c>
      <c r="BI304" s="3">
        <v>50.40352941176473</v>
      </c>
      <c r="BJ304" s="3">
        <v>26.122352941176466</v>
      </c>
      <c r="BK304" s="3">
        <v>29.352941176470623</v>
      </c>
      <c r="BL304" s="3">
        <v>35.292941176470563</v>
      </c>
      <c r="BM304" s="3">
        <v>105.87882352941176</v>
      </c>
      <c r="BN304" s="18">
        <v>18</v>
      </c>
      <c r="BO304" s="18">
        <v>248</v>
      </c>
      <c r="BP304" s="4">
        <v>25.882352941176471</v>
      </c>
      <c r="BQ304" s="4">
        <v>67.058823529411768</v>
      </c>
      <c r="BR304" s="7">
        <v>61.176470588235297</v>
      </c>
      <c r="BS304" s="18"/>
      <c r="BT304" s="23">
        <v>322</v>
      </c>
    </row>
    <row r="305" spans="1:72" x14ac:dyDescent="0.25">
      <c r="A305" s="1">
        <v>300</v>
      </c>
      <c r="B305" s="18" t="s">
        <v>31</v>
      </c>
      <c r="C305" s="18">
        <v>323</v>
      </c>
      <c r="D305" s="21" t="s">
        <v>9</v>
      </c>
      <c r="E305" s="5"/>
      <c r="F305" s="3">
        <v>33.999999999999993</v>
      </c>
      <c r="G305" s="3">
        <v>26.8</v>
      </c>
      <c r="H305" s="3">
        <v>12.333333333333334</v>
      </c>
      <c r="I305" s="3">
        <f t="shared" si="80"/>
        <v>24.377777777777776</v>
      </c>
      <c r="J305" s="3">
        <f t="shared" si="81"/>
        <v>73.133333333333326</v>
      </c>
      <c r="K305" s="18">
        <f t="shared" si="89"/>
        <v>28</v>
      </c>
      <c r="L305" s="18">
        <f t="shared" si="79"/>
        <v>300</v>
      </c>
      <c r="M305" s="4"/>
      <c r="N305" s="4"/>
      <c r="O305" s="7"/>
      <c r="P305" s="5">
        <v>56</v>
      </c>
      <c r="Q305" s="3">
        <v>42.857142857142847</v>
      </c>
      <c r="R305" s="3">
        <v>40.642857142857146</v>
      </c>
      <c r="S305" s="3">
        <v>39.107142857142868</v>
      </c>
      <c r="T305" s="3">
        <v>40.869047619047642</v>
      </c>
      <c r="U305" s="3">
        <v>122.60714285714286</v>
      </c>
      <c r="V305" s="18">
        <v>21</v>
      </c>
      <c r="W305" s="18">
        <v>263</v>
      </c>
      <c r="X305" s="4">
        <v>28.571428571428573</v>
      </c>
      <c r="Y305" s="4">
        <v>32.142857142857146</v>
      </c>
      <c r="Z305" s="7">
        <v>35.714285714285715</v>
      </c>
      <c r="AA305" s="5">
        <v>62</v>
      </c>
      <c r="AB305" s="3">
        <v>29.960119641076759</v>
      </c>
      <c r="AC305" s="3">
        <v>42.237288135593218</v>
      </c>
      <c r="AD305" s="3">
        <v>32.306111967128913</v>
      </c>
      <c r="AE305" s="3">
        <v>34.834506581266304</v>
      </c>
      <c r="AF305" s="3">
        <v>104.50351974379889</v>
      </c>
      <c r="AG305" s="18">
        <v>20</v>
      </c>
      <c r="AH305" s="18">
        <v>269</v>
      </c>
      <c r="AI305" s="4">
        <v>47.457627118644069</v>
      </c>
      <c r="AJ305" s="4">
        <v>30.508474576271187</v>
      </c>
      <c r="AK305" s="7">
        <v>49.152542372881356</v>
      </c>
      <c r="AL305" s="5">
        <v>62</v>
      </c>
      <c r="AM305" s="3">
        <v>48.311546840958627</v>
      </c>
      <c r="AN305" s="3">
        <v>23.333333333333329</v>
      </c>
      <c r="AO305" s="3">
        <v>36.056644880174296</v>
      </c>
      <c r="AP305" s="3">
        <v>35.900508351488739</v>
      </c>
      <c r="AQ305" s="3">
        <v>107.70152505446626</v>
      </c>
      <c r="AR305" s="18">
        <v>26</v>
      </c>
      <c r="AS305" s="18">
        <v>286</v>
      </c>
      <c r="AT305" s="4">
        <v>18.518518518518519</v>
      </c>
      <c r="AU305" s="4">
        <v>75.925925925925924</v>
      </c>
      <c r="AV305" s="7">
        <v>45.283018867924525</v>
      </c>
      <c r="AW305" s="10">
        <f t="shared" si="82"/>
        <v>60</v>
      </c>
      <c r="AX305" s="9">
        <f t="shared" si="83"/>
        <v>40.37626977972608</v>
      </c>
      <c r="AY305" s="9">
        <f t="shared" si="84"/>
        <v>35.404492870594559</v>
      </c>
      <c r="AZ305" s="9">
        <f t="shared" si="85"/>
        <v>35.823299901482024</v>
      </c>
      <c r="BA305" s="9">
        <f t="shared" si="86"/>
        <v>37.201354183934228</v>
      </c>
      <c r="BB305" s="9">
        <f t="shared" si="87"/>
        <v>111.60406255180267</v>
      </c>
      <c r="BC305" s="10">
        <f t="shared" si="90"/>
        <v>26</v>
      </c>
      <c r="BD305" s="10">
        <f t="shared" si="88"/>
        <v>286</v>
      </c>
      <c r="BE305" s="4">
        <f t="shared" si="91"/>
        <v>32.988072818581294</v>
      </c>
      <c r="BF305" s="4">
        <f t="shared" si="92"/>
        <v>53.217200251098554</v>
      </c>
      <c r="BG305" s="7">
        <f t="shared" si="93"/>
        <v>47.217780620402941</v>
      </c>
      <c r="BH305" s="5">
        <v>61</v>
      </c>
      <c r="BI305" s="3">
        <v>51.814754098360659</v>
      </c>
      <c r="BJ305" s="3">
        <v>28.063934426229508</v>
      </c>
      <c r="BK305" s="3">
        <v>34.911475409836072</v>
      </c>
      <c r="BL305" s="3">
        <v>38.263387978142084</v>
      </c>
      <c r="BM305" s="3">
        <v>114.7901639344262</v>
      </c>
      <c r="BN305" s="18">
        <v>9</v>
      </c>
      <c r="BO305" s="18">
        <v>200</v>
      </c>
      <c r="BP305" s="4">
        <v>22.950819672131146</v>
      </c>
      <c r="BQ305" s="4">
        <v>65.573770491803273</v>
      </c>
      <c r="BR305" s="7">
        <v>50.819672131147541</v>
      </c>
      <c r="BS305" s="18"/>
      <c r="BT305" s="23">
        <v>323</v>
      </c>
    </row>
    <row r="306" spans="1:72" x14ac:dyDescent="0.25">
      <c r="A306" s="18">
        <v>301</v>
      </c>
      <c r="B306" s="18" t="s">
        <v>31</v>
      </c>
      <c r="C306" s="18">
        <v>324</v>
      </c>
      <c r="D306" s="21" t="s">
        <v>9</v>
      </c>
      <c r="E306" s="5"/>
      <c r="F306" s="3">
        <v>41.666666666666664</v>
      </c>
      <c r="G306" s="3">
        <v>42</v>
      </c>
      <c r="H306" s="3">
        <v>17.333333333333332</v>
      </c>
      <c r="I306" s="3">
        <f t="shared" si="80"/>
        <v>33.666666666666664</v>
      </c>
      <c r="J306" s="3">
        <f t="shared" si="81"/>
        <v>100.99999999999999</v>
      </c>
      <c r="K306" s="18">
        <f t="shared" si="89"/>
        <v>19</v>
      </c>
      <c r="L306" s="18">
        <f t="shared" si="79"/>
        <v>259</v>
      </c>
      <c r="M306" s="4"/>
      <c r="N306" s="4"/>
      <c r="O306" s="7"/>
      <c r="P306" s="5">
        <v>36</v>
      </c>
      <c r="Q306" s="3">
        <v>39.722222222222221</v>
      </c>
      <c r="R306" s="3">
        <v>36.222222222222221</v>
      </c>
      <c r="S306" s="3">
        <v>31.018518518518508</v>
      </c>
      <c r="T306" s="3">
        <v>35.654320987654309</v>
      </c>
      <c r="U306" s="3">
        <v>106.96296296296295</v>
      </c>
      <c r="V306" s="18">
        <v>27</v>
      </c>
      <c r="W306" s="18">
        <v>291</v>
      </c>
      <c r="X306" s="4">
        <v>36.111111111111114</v>
      </c>
      <c r="Y306" s="4">
        <v>44.444444444444443</v>
      </c>
      <c r="Z306" s="7">
        <v>66.666666666666671</v>
      </c>
      <c r="AA306" s="5">
        <v>34</v>
      </c>
      <c r="AB306" s="3">
        <v>37.716262975778534</v>
      </c>
      <c r="AC306" s="3">
        <v>34.352941176470587</v>
      </c>
      <c r="AD306" s="3">
        <v>29.322638146167556</v>
      </c>
      <c r="AE306" s="3">
        <v>33.797280766138897</v>
      </c>
      <c r="AF306" s="3">
        <v>101.39184229841666</v>
      </c>
      <c r="AG306" s="18">
        <v>23</v>
      </c>
      <c r="AH306" s="18">
        <v>276</v>
      </c>
      <c r="AI306" s="4">
        <v>41.176470588235297</v>
      </c>
      <c r="AJ306" s="4">
        <v>44.117647058823529</v>
      </c>
      <c r="AK306" s="7">
        <v>52.941176470588232</v>
      </c>
      <c r="AL306" s="5">
        <v>36</v>
      </c>
      <c r="AM306" s="3">
        <v>44.362745098039213</v>
      </c>
      <c r="AN306" s="3">
        <v>21.825396825396826</v>
      </c>
      <c r="AO306" s="3">
        <v>27.941176470588239</v>
      </c>
      <c r="AP306" s="3">
        <v>31.376439464674757</v>
      </c>
      <c r="AQ306" s="3">
        <v>94.129318394024267</v>
      </c>
      <c r="AR306" s="18">
        <v>27</v>
      </c>
      <c r="AS306" s="18">
        <v>297</v>
      </c>
      <c r="AT306" s="4">
        <v>36.111111111111114</v>
      </c>
      <c r="AU306" s="4">
        <v>77.777777777777771</v>
      </c>
      <c r="AV306" s="7">
        <v>72.222222222222229</v>
      </c>
      <c r="AW306" s="10">
        <f t="shared" si="82"/>
        <v>35.333333333333336</v>
      </c>
      <c r="AX306" s="9">
        <f t="shared" si="83"/>
        <v>40.600410098679994</v>
      </c>
      <c r="AY306" s="9">
        <f t="shared" si="84"/>
        <v>30.800186741363209</v>
      </c>
      <c r="AZ306" s="9">
        <f t="shared" si="85"/>
        <v>29.42744437842477</v>
      </c>
      <c r="BA306" s="9">
        <f t="shared" si="86"/>
        <v>33.609347072822651</v>
      </c>
      <c r="BB306" s="9">
        <f t="shared" si="87"/>
        <v>100.82804121846796</v>
      </c>
      <c r="BC306" s="10">
        <f t="shared" si="90"/>
        <v>27</v>
      </c>
      <c r="BD306" s="10">
        <f t="shared" si="88"/>
        <v>297</v>
      </c>
      <c r="BE306" s="4">
        <f t="shared" si="91"/>
        <v>38.643790849673209</v>
      </c>
      <c r="BF306" s="4">
        <f t="shared" si="92"/>
        <v>60.947712418300654</v>
      </c>
      <c r="BG306" s="7">
        <f t="shared" si="93"/>
        <v>62.58169934640523</v>
      </c>
      <c r="BH306" s="5">
        <v>37</v>
      </c>
      <c r="BI306" s="3">
        <v>39.92702702702703</v>
      </c>
      <c r="BJ306" s="3">
        <v>21.729729729729733</v>
      </c>
      <c r="BK306" s="3">
        <v>20.586486486486486</v>
      </c>
      <c r="BL306" s="3">
        <v>27.414414414414413</v>
      </c>
      <c r="BM306" s="3">
        <v>82.243243243243256</v>
      </c>
      <c r="BN306" s="18">
        <v>28</v>
      </c>
      <c r="BO306" s="18">
        <v>298</v>
      </c>
      <c r="BP306" s="4">
        <v>37.837837837837839</v>
      </c>
      <c r="BQ306" s="4">
        <v>75.675675675675677</v>
      </c>
      <c r="BR306" s="7">
        <v>83.78378378378379</v>
      </c>
      <c r="BS306" s="18"/>
      <c r="BT306" s="23">
        <v>324</v>
      </c>
    </row>
    <row r="307" spans="1:72" x14ac:dyDescent="0.25">
      <c r="A307" s="18">
        <v>302</v>
      </c>
      <c r="B307" s="18" t="s">
        <v>31</v>
      </c>
      <c r="C307" s="18">
        <v>326</v>
      </c>
      <c r="D307" s="21" t="s">
        <v>9</v>
      </c>
      <c r="E307" s="5"/>
      <c r="F307" s="3">
        <v>46.666666666666664</v>
      </c>
      <c r="G307" s="3">
        <v>33.6</v>
      </c>
      <c r="H307" s="3">
        <v>24</v>
      </c>
      <c r="I307" s="3">
        <f t="shared" si="80"/>
        <v>34.755555555555553</v>
      </c>
      <c r="J307" s="3">
        <f t="shared" si="81"/>
        <v>104.26666666666667</v>
      </c>
      <c r="K307" s="18">
        <f t="shared" si="89"/>
        <v>18</v>
      </c>
      <c r="L307" s="18">
        <f t="shared" si="79"/>
        <v>248</v>
      </c>
      <c r="M307" s="4"/>
      <c r="N307" s="4"/>
      <c r="O307" s="7"/>
      <c r="P307" s="5">
        <v>181</v>
      </c>
      <c r="Q307" s="3">
        <v>45.488029465930033</v>
      </c>
      <c r="R307" s="3">
        <v>38.983425414364639</v>
      </c>
      <c r="S307" s="3">
        <v>36.040515653775337</v>
      </c>
      <c r="T307" s="3">
        <v>40.170656844690022</v>
      </c>
      <c r="U307" s="3">
        <v>120.51197053407</v>
      </c>
      <c r="V307" s="18">
        <v>24</v>
      </c>
      <c r="W307" s="18">
        <v>271</v>
      </c>
      <c r="X307" s="4">
        <v>21.546961325966851</v>
      </c>
      <c r="Y307" s="4">
        <v>41.111111111111114</v>
      </c>
      <c r="Z307" s="7">
        <v>50.828729281767956</v>
      </c>
      <c r="AA307" s="5">
        <v>197</v>
      </c>
      <c r="AB307" s="3">
        <v>32.752557544757046</v>
      </c>
      <c r="AC307" s="3">
        <v>33.260869565217391</v>
      </c>
      <c r="AD307" s="3">
        <v>31.999341238471608</v>
      </c>
      <c r="AE307" s="3">
        <v>32.670922782815367</v>
      </c>
      <c r="AF307" s="3">
        <v>98.012768348446031</v>
      </c>
      <c r="AG307" s="18">
        <v>25</v>
      </c>
      <c r="AH307" s="18">
        <v>287</v>
      </c>
      <c r="AI307" s="4">
        <v>45.108695652173914</v>
      </c>
      <c r="AJ307" s="4">
        <v>49.456521739130437</v>
      </c>
      <c r="AK307" s="7">
        <v>53.804347826086953</v>
      </c>
      <c r="AL307" s="5">
        <v>196</v>
      </c>
      <c r="AM307" s="3">
        <v>57.764705882352978</v>
      </c>
      <c r="AN307" s="3">
        <v>26.176713459950438</v>
      </c>
      <c r="AO307" s="3">
        <v>44.252100840336148</v>
      </c>
      <c r="AP307" s="3">
        <v>42.761093073593038</v>
      </c>
      <c r="AQ307" s="3">
        <v>128.19352018263956</v>
      </c>
      <c r="AR307" s="18">
        <v>16</v>
      </c>
      <c r="AS307" s="18">
        <v>239</v>
      </c>
      <c r="AT307" s="4">
        <v>9.7142857142857135</v>
      </c>
      <c r="AU307" s="4">
        <v>66.473988439306353</v>
      </c>
      <c r="AV307" s="7">
        <v>29.142857142857142</v>
      </c>
      <c r="AW307" s="10">
        <f t="shared" si="82"/>
        <v>191.33333333333334</v>
      </c>
      <c r="AX307" s="9">
        <f t="shared" si="83"/>
        <v>45.335097631013355</v>
      </c>
      <c r="AY307" s="9">
        <f t="shared" si="84"/>
        <v>32.80700281317749</v>
      </c>
      <c r="AZ307" s="9">
        <f t="shared" si="85"/>
        <v>37.430652577527695</v>
      </c>
      <c r="BA307" s="9">
        <f t="shared" si="86"/>
        <v>38.534224233699469</v>
      </c>
      <c r="BB307" s="9">
        <f t="shared" si="87"/>
        <v>115.57275302171854</v>
      </c>
      <c r="BC307" s="10">
        <f t="shared" si="90"/>
        <v>24</v>
      </c>
      <c r="BD307" s="10">
        <f t="shared" si="88"/>
        <v>277</v>
      </c>
      <c r="BE307" s="4">
        <f t="shared" si="91"/>
        <v>27.411490683229815</v>
      </c>
      <c r="BF307" s="4">
        <f t="shared" si="92"/>
        <v>57.965255089218395</v>
      </c>
      <c r="BG307" s="7">
        <f t="shared" si="93"/>
        <v>41.473602484472046</v>
      </c>
      <c r="BH307" s="5">
        <v>192</v>
      </c>
      <c r="BI307" s="3">
        <v>54.879687500000017</v>
      </c>
      <c r="BJ307" s="3">
        <v>25.233854166666678</v>
      </c>
      <c r="BK307" s="3">
        <v>35.275000000000013</v>
      </c>
      <c r="BL307" s="3">
        <v>38.462847222222244</v>
      </c>
      <c r="BM307" s="3">
        <v>115.38854166666671</v>
      </c>
      <c r="BN307" s="18">
        <v>8</v>
      </c>
      <c r="BO307" s="18">
        <v>196</v>
      </c>
      <c r="BP307" s="4">
        <v>14.583333333333334</v>
      </c>
      <c r="BQ307" s="4">
        <v>66.666666666666671</v>
      </c>
      <c r="BR307" s="7">
        <v>50.520833333333336</v>
      </c>
      <c r="BS307" s="18"/>
      <c r="BT307" s="23">
        <v>326</v>
      </c>
    </row>
    <row r="308" spans="1:72" x14ac:dyDescent="0.25">
      <c r="A308" s="18">
        <v>303</v>
      </c>
      <c r="B308" s="18" t="s">
        <v>32</v>
      </c>
      <c r="C308" s="18" t="s">
        <v>61</v>
      </c>
      <c r="D308" s="21" t="s">
        <v>10</v>
      </c>
      <c r="E308" s="5"/>
      <c r="F308" s="3"/>
      <c r="G308" s="3"/>
      <c r="H308" s="3"/>
      <c r="I308" s="3" t="str">
        <f t="shared" si="80"/>
        <v/>
      </c>
      <c r="J308" s="3" t="str">
        <f t="shared" si="81"/>
        <v/>
      </c>
      <c r="K308" s="18" t="str">
        <f t="shared" ref="K308:K328" si="94">IF(J308="","",(RANK(J308,$J$308:$J$328)))</f>
        <v/>
      </c>
      <c r="L308" s="18" t="str">
        <f t="shared" si="79"/>
        <v/>
      </c>
      <c r="M308" s="4"/>
      <c r="N308" s="4"/>
      <c r="O308" s="7"/>
      <c r="P308" s="5"/>
      <c r="Q308" s="3"/>
      <c r="R308" s="3"/>
      <c r="S308" s="3"/>
      <c r="T308" s="3"/>
      <c r="U308" s="3" t="s">
        <v>35</v>
      </c>
      <c r="V308" s="18" t="s">
        <v>35</v>
      </c>
      <c r="W308" s="18" t="s">
        <v>35</v>
      </c>
      <c r="X308" s="4" t="s">
        <v>35</v>
      </c>
      <c r="Y308" s="4" t="s">
        <v>35</v>
      </c>
      <c r="Z308" s="7" t="s">
        <v>35</v>
      </c>
      <c r="AA308" s="5"/>
      <c r="AB308" s="3"/>
      <c r="AC308" s="3"/>
      <c r="AD308" s="3"/>
      <c r="AE308" s="3"/>
      <c r="AF308" s="3" t="s">
        <v>35</v>
      </c>
      <c r="AG308" s="18" t="s">
        <v>35</v>
      </c>
      <c r="AH308" s="18" t="s">
        <v>35</v>
      </c>
      <c r="AI308" s="4" t="s">
        <v>35</v>
      </c>
      <c r="AJ308" s="4" t="s">
        <v>35</v>
      </c>
      <c r="AK308" s="7" t="s">
        <v>35</v>
      </c>
      <c r="AL308" s="5"/>
      <c r="AM308" s="3"/>
      <c r="AN308" s="3"/>
      <c r="AO308" s="3"/>
      <c r="AP308" s="3"/>
      <c r="AQ308" s="3" t="s">
        <v>35</v>
      </c>
      <c r="AR308" s="18" t="s">
        <v>35</v>
      </c>
      <c r="AS308" s="18" t="s">
        <v>35</v>
      </c>
      <c r="AT308" s="4" t="s">
        <v>35</v>
      </c>
      <c r="AU308" s="4" t="s">
        <v>35</v>
      </c>
      <c r="AV308" s="7" t="s">
        <v>35</v>
      </c>
      <c r="AW308" s="10"/>
      <c r="AX308" s="9"/>
      <c r="AY308" s="9"/>
      <c r="AZ308" s="9"/>
      <c r="BA308" s="9"/>
      <c r="BB308" s="9"/>
      <c r="BC308" s="10" t="str">
        <f>IF(BB308="","",(RANK(BB308,$BB$308:$BB$328)))</f>
        <v/>
      </c>
      <c r="BD308" s="10" t="str">
        <f t="shared" si="88"/>
        <v/>
      </c>
      <c r="BE308" s="4"/>
      <c r="BF308" s="4"/>
      <c r="BG308" s="7"/>
      <c r="BH308" s="5"/>
      <c r="BI308" s="3"/>
      <c r="BJ308" s="3"/>
      <c r="BK308" s="3"/>
      <c r="BL308" s="3"/>
      <c r="BM308" s="3"/>
      <c r="BN308" s="18"/>
      <c r="BO308" s="18"/>
      <c r="BP308" s="4"/>
      <c r="BQ308" s="4"/>
      <c r="BR308" s="7"/>
      <c r="BS308" s="18"/>
      <c r="BT308" s="23">
        <v>4</v>
      </c>
    </row>
    <row r="309" spans="1:72" x14ac:dyDescent="0.25">
      <c r="A309" s="18">
        <v>304</v>
      </c>
      <c r="B309" s="18" t="s">
        <v>32</v>
      </c>
      <c r="C309" s="18">
        <v>13</v>
      </c>
      <c r="D309" s="21" t="s">
        <v>9</v>
      </c>
      <c r="E309" s="5"/>
      <c r="F309" s="3">
        <v>53.666666666666671</v>
      </c>
      <c r="G309" s="3">
        <v>39.6</v>
      </c>
      <c r="H309" s="3">
        <v>35.666666666666664</v>
      </c>
      <c r="I309" s="3">
        <f t="shared" si="80"/>
        <v>42.977777777777781</v>
      </c>
      <c r="J309" s="3">
        <f t="shared" si="81"/>
        <v>128.93333333333334</v>
      </c>
      <c r="K309" s="18">
        <f t="shared" si="94"/>
        <v>10</v>
      </c>
      <c r="L309" s="18">
        <f t="shared" si="79"/>
        <v>160</v>
      </c>
      <c r="M309" s="4"/>
      <c r="N309" s="4"/>
      <c r="O309" s="7"/>
      <c r="P309" s="5">
        <v>115</v>
      </c>
      <c r="Q309" s="3">
        <v>50.14492753623189</v>
      </c>
      <c r="R309" s="3">
        <v>39.478260869565219</v>
      </c>
      <c r="S309" s="3">
        <v>63.681159420289852</v>
      </c>
      <c r="T309" s="3">
        <v>51.10144927536232</v>
      </c>
      <c r="U309" s="3">
        <v>153.30434782608697</v>
      </c>
      <c r="V309" s="18">
        <v>9</v>
      </c>
      <c r="W309" s="18">
        <v>128</v>
      </c>
      <c r="X309" s="4">
        <v>10.434782608695652</v>
      </c>
      <c r="Y309" s="4">
        <v>29.565217391304348</v>
      </c>
      <c r="Z309" s="7">
        <v>7.8260869565217392</v>
      </c>
      <c r="AA309" s="5">
        <v>115</v>
      </c>
      <c r="AB309" s="3">
        <v>35.2685421994885</v>
      </c>
      <c r="AC309" s="3">
        <v>35.895652173913042</v>
      </c>
      <c r="AD309" s="3">
        <v>51.436100131752333</v>
      </c>
      <c r="AE309" s="3">
        <v>40.866764835051278</v>
      </c>
      <c r="AF309" s="3">
        <v>122.60029450515387</v>
      </c>
      <c r="AG309" s="18">
        <v>16</v>
      </c>
      <c r="AH309" s="18">
        <v>201</v>
      </c>
      <c r="AI309" s="4">
        <v>31.304347826086957</v>
      </c>
      <c r="AJ309" s="4">
        <v>40.869565217391305</v>
      </c>
      <c r="AK309" s="7">
        <v>19.130434782608695</v>
      </c>
      <c r="AL309" s="5">
        <v>118</v>
      </c>
      <c r="AM309" s="3">
        <v>55.806943187531438</v>
      </c>
      <c r="AN309" s="3">
        <v>35.544794188861978</v>
      </c>
      <c r="AO309" s="3">
        <v>54.361914257228328</v>
      </c>
      <c r="AP309" s="3">
        <v>48.516950814223996</v>
      </c>
      <c r="AQ309" s="3">
        <v>145.71365163362174</v>
      </c>
      <c r="AR309" s="18">
        <v>11</v>
      </c>
      <c r="AS309" s="18">
        <v>163</v>
      </c>
      <c r="AT309" s="4">
        <v>7.6923076923076925</v>
      </c>
      <c r="AU309" s="4">
        <v>40.677966101694913</v>
      </c>
      <c r="AV309" s="7">
        <v>11.864406779661017</v>
      </c>
      <c r="AW309" s="10">
        <f t="shared" si="82"/>
        <v>116</v>
      </c>
      <c r="AX309" s="9">
        <f t="shared" si="83"/>
        <v>47.073470974417269</v>
      </c>
      <c r="AY309" s="9">
        <f t="shared" si="84"/>
        <v>36.97290241078008</v>
      </c>
      <c r="AZ309" s="9">
        <f t="shared" si="85"/>
        <v>56.493057936423504</v>
      </c>
      <c r="BA309" s="9">
        <f t="shared" si="86"/>
        <v>46.828388308212531</v>
      </c>
      <c r="BB309" s="9">
        <f t="shared" si="87"/>
        <v>140.53943132162087</v>
      </c>
      <c r="BC309" s="10">
        <f t="shared" ref="BC309:BC328" si="95">IF(BB309="","",(RANK(BB309,$BB$308:$BB$328)))</f>
        <v>14</v>
      </c>
      <c r="BD309" s="10">
        <f t="shared" si="88"/>
        <v>165</v>
      </c>
      <c r="BE309" s="4">
        <f t="shared" si="91"/>
        <v>19.498327759197323</v>
      </c>
      <c r="BF309" s="4">
        <f t="shared" si="92"/>
        <v>40.773765659543109</v>
      </c>
      <c r="BG309" s="7">
        <f t="shared" si="93"/>
        <v>15.497420781134856</v>
      </c>
      <c r="BH309" s="5">
        <v>120</v>
      </c>
      <c r="BI309" s="3">
        <v>53.929999999999993</v>
      </c>
      <c r="BJ309" s="3">
        <v>32.547499999999985</v>
      </c>
      <c r="BK309" s="3">
        <v>41.249999999999993</v>
      </c>
      <c r="BL309" s="3">
        <v>42.575833333333321</v>
      </c>
      <c r="BM309" s="3">
        <v>127.72749999999994</v>
      </c>
      <c r="BN309" s="18">
        <v>13</v>
      </c>
      <c r="BO309" s="18">
        <v>128</v>
      </c>
      <c r="BP309" s="4">
        <v>10.833333333333334</v>
      </c>
      <c r="BQ309" s="4">
        <v>57.5</v>
      </c>
      <c r="BR309" s="7">
        <v>44.166666666666664</v>
      </c>
      <c r="BS309" s="18"/>
      <c r="BT309" s="23">
        <v>13</v>
      </c>
    </row>
    <row r="310" spans="1:72" x14ac:dyDescent="0.25">
      <c r="A310" s="1">
        <v>305</v>
      </c>
      <c r="B310" s="18" t="s">
        <v>32</v>
      </c>
      <c r="C310" s="18">
        <v>18</v>
      </c>
      <c r="D310" s="21" t="s">
        <v>9</v>
      </c>
      <c r="E310" s="5"/>
      <c r="F310" s="3">
        <v>57.999999999999993</v>
      </c>
      <c r="G310" s="3">
        <v>52</v>
      </c>
      <c r="H310" s="3">
        <v>50</v>
      </c>
      <c r="I310" s="3">
        <f t="shared" si="80"/>
        <v>53.333333333333336</v>
      </c>
      <c r="J310" s="3">
        <f t="shared" si="81"/>
        <v>160</v>
      </c>
      <c r="K310" s="18">
        <f t="shared" si="94"/>
        <v>2</v>
      </c>
      <c r="L310" s="18">
        <f t="shared" si="79"/>
        <v>54</v>
      </c>
      <c r="M310" s="4"/>
      <c r="N310" s="4"/>
      <c r="O310" s="7"/>
      <c r="P310" s="5">
        <v>136</v>
      </c>
      <c r="Q310" s="3">
        <v>49.632352941176485</v>
      </c>
      <c r="R310" s="3">
        <v>41.382352941176471</v>
      </c>
      <c r="S310" s="3">
        <v>50.34313725490194</v>
      </c>
      <c r="T310" s="3">
        <v>47.119281045751656</v>
      </c>
      <c r="U310" s="3">
        <v>141.35784313725489</v>
      </c>
      <c r="V310" s="18">
        <v>17</v>
      </c>
      <c r="W310" s="18">
        <v>177</v>
      </c>
      <c r="X310" s="4">
        <v>16.911764705882351</v>
      </c>
      <c r="Y310" s="4">
        <v>36.029411764705884</v>
      </c>
      <c r="Z310" s="7">
        <v>29.411764705882351</v>
      </c>
      <c r="AA310" s="5">
        <v>189</v>
      </c>
      <c r="AB310" s="3">
        <v>41.176470588235297</v>
      </c>
      <c r="AC310" s="3">
        <v>41.428571428571431</v>
      </c>
      <c r="AD310" s="3">
        <v>48.09949203012787</v>
      </c>
      <c r="AE310" s="3">
        <v>43.355369106890393</v>
      </c>
      <c r="AF310" s="3">
        <v>130.70453404693458</v>
      </c>
      <c r="AG310" s="18">
        <v>12</v>
      </c>
      <c r="AH310" s="18">
        <v>170</v>
      </c>
      <c r="AI310" s="4">
        <v>30.459770114942529</v>
      </c>
      <c r="AJ310" s="4">
        <v>36.30952380952381</v>
      </c>
      <c r="AK310" s="7">
        <v>27.167630057803468</v>
      </c>
      <c r="AL310" s="5">
        <v>188</v>
      </c>
      <c r="AM310" s="3">
        <v>53.614457831325268</v>
      </c>
      <c r="AN310" s="3">
        <v>43.993115318416528</v>
      </c>
      <c r="AO310" s="3">
        <v>57.600992204110547</v>
      </c>
      <c r="AP310" s="3">
        <v>51.736188451284136</v>
      </c>
      <c r="AQ310" s="3">
        <v>155.20856535385235</v>
      </c>
      <c r="AR310" s="18">
        <v>8</v>
      </c>
      <c r="AS310" s="18">
        <v>121</v>
      </c>
      <c r="AT310" s="4">
        <v>10.843373493975903</v>
      </c>
      <c r="AU310" s="4">
        <v>21.686746987951807</v>
      </c>
      <c r="AV310" s="7">
        <v>13.855421686746988</v>
      </c>
      <c r="AW310" s="10">
        <f t="shared" si="82"/>
        <v>171</v>
      </c>
      <c r="AX310" s="9">
        <f t="shared" si="83"/>
        <v>48.141093786912357</v>
      </c>
      <c r="AY310" s="9">
        <f t="shared" si="84"/>
        <v>42.268013229388146</v>
      </c>
      <c r="AZ310" s="9">
        <f t="shared" si="85"/>
        <v>52.014540496380114</v>
      </c>
      <c r="BA310" s="9">
        <f t="shared" si="86"/>
        <v>47.403612867975397</v>
      </c>
      <c r="BB310" s="9">
        <f t="shared" si="87"/>
        <v>142.42364751268062</v>
      </c>
      <c r="BC310" s="10">
        <f t="shared" si="95"/>
        <v>11</v>
      </c>
      <c r="BD310" s="10">
        <f t="shared" si="88"/>
        <v>156</v>
      </c>
      <c r="BE310" s="4">
        <f t="shared" si="91"/>
        <v>20.651571804459216</v>
      </c>
      <c r="BF310" s="4">
        <f t="shared" si="92"/>
        <v>28.998135398737809</v>
      </c>
      <c r="BG310" s="7">
        <f t="shared" si="93"/>
        <v>20.511525872275229</v>
      </c>
      <c r="BH310" s="5">
        <v>187</v>
      </c>
      <c r="BI310" s="3">
        <v>59.057526881720413</v>
      </c>
      <c r="BJ310" s="3">
        <v>33.591935483870976</v>
      </c>
      <c r="BK310" s="3">
        <v>44.152150537634427</v>
      </c>
      <c r="BL310" s="3">
        <v>45.600537634408603</v>
      </c>
      <c r="BM310" s="3">
        <v>136.80161290322584</v>
      </c>
      <c r="BN310" s="18">
        <v>12</v>
      </c>
      <c r="BO310" s="18">
        <v>88</v>
      </c>
      <c r="BP310" s="4">
        <v>11.827956989247312</v>
      </c>
      <c r="BQ310" s="4">
        <v>55.376344086021504</v>
      </c>
      <c r="BR310" s="7">
        <v>40.322580645161288</v>
      </c>
      <c r="BS310" s="18"/>
      <c r="BT310" s="23">
        <v>18</v>
      </c>
    </row>
    <row r="311" spans="1:72" x14ac:dyDescent="0.25">
      <c r="A311" s="18">
        <v>306</v>
      </c>
      <c r="B311" s="18" t="s">
        <v>32</v>
      </c>
      <c r="C311" s="18">
        <v>20</v>
      </c>
      <c r="D311" s="21" t="s">
        <v>11</v>
      </c>
      <c r="E311" s="5"/>
      <c r="F311" s="3">
        <v>61</v>
      </c>
      <c r="G311" s="3">
        <v>62.4</v>
      </c>
      <c r="H311" s="3">
        <v>58.666666666666671</v>
      </c>
      <c r="I311" s="3">
        <f t="shared" si="80"/>
        <v>60.68888888888889</v>
      </c>
      <c r="J311" s="3">
        <f t="shared" si="81"/>
        <v>182.06666666666666</v>
      </c>
      <c r="K311" s="18">
        <f t="shared" si="94"/>
        <v>1</v>
      </c>
      <c r="L311" s="18">
        <f t="shared" si="79"/>
        <v>20</v>
      </c>
      <c r="M311" s="4"/>
      <c r="N311" s="4"/>
      <c r="O311" s="7"/>
      <c r="P311" s="5">
        <v>282</v>
      </c>
      <c r="Q311" s="3">
        <v>63.676122931442073</v>
      </c>
      <c r="R311" s="3">
        <v>61.361702127659576</v>
      </c>
      <c r="S311" s="3">
        <v>73.026004728132463</v>
      </c>
      <c r="T311" s="3">
        <v>66.021276595744652</v>
      </c>
      <c r="U311" s="3">
        <v>198.06382978723411</v>
      </c>
      <c r="V311" s="18">
        <v>1</v>
      </c>
      <c r="W311" s="18">
        <v>19</v>
      </c>
      <c r="X311" s="4">
        <v>3.9007092198581561</v>
      </c>
      <c r="Y311" s="4">
        <v>7.0921985815602833</v>
      </c>
      <c r="Z311" s="7">
        <v>2.4822695035460991</v>
      </c>
      <c r="AA311" s="5">
        <v>20</v>
      </c>
      <c r="AB311" s="3">
        <v>52.487346800810009</v>
      </c>
      <c r="AC311" s="3">
        <v>49.263157894736842</v>
      </c>
      <c r="AD311" s="3">
        <v>69.475475341591604</v>
      </c>
      <c r="AE311" s="3">
        <v>46.622447384057295</v>
      </c>
      <c r="AF311" s="3">
        <v>171.22598003713847</v>
      </c>
      <c r="AG311" s="18">
        <v>2</v>
      </c>
      <c r="AH311" s="18">
        <v>39</v>
      </c>
      <c r="AI311" s="4">
        <v>21.05263157894737</v>
      </c>
      <c r="AJ311" s="4">
        <v>5.2631578947368425</v>
      </c>
      <c r="AK311" s="7">
        <v>21.05263157894737</v>
      </c>
      <c r="AL311" s="5">
        <v>348</v>
      </c>
      <c r="AM311" s="3">
        <v>60.464490674318512</v>
      </c>
      <c r="AN311" s="3">
        <v>43.066841415465241</v>
      </c>
      <c r="AO311" s="3">
        <v>67.692030940816736</v>
      </c>
      <c r="AP311" s="3">
        <v>56.961894513903168</v>
      </c>
      <c r="AQ311" s="3">
        <v>171.22336303060047</v>
      </c>
      <c r="AR311" s="18">
        <v>3</v>
      </c>
      <c r="AS311" s="18">
        <v>63</v>
      </c>
      <c r="AT311" s="4">
        <v>8.8414634146341466</v>
      </c>
      <c r="AU311" s="4">
        <v>22.01834862385321</v>
      </c>
      <c r="AV311" s="7">
        <v>8.5626911314984717</v>
      </c>
      <c r="AW311" s="10">
        <f t="shared" si="82"/>
        <v>216.66666666666666</v>
      </c>
      <c r="AX311" s="9">
        <f t="shared" si="83"/>
        <v>58.875986802190198</v>
      </c>
      <c r="AY311" s="9">
        <f t="shared" si="84"/>
        <v>51.230567145953891</v>
      </c>
      <c r="AZ311" s="9">
        <f t="shared" si="85"/>
        <v>70.064503670180272</v>
      </c>
      <c r="BA311" s="9">
        <f t="shared" si="86"/>
        <v>56.535206164568372</v>
      </c>
      <c r="BB311" s="9">
        <f t="shared" si="87"/>
        <v>180.17105761832434</v>
      </c>
      <c r="BC311" s="10">
        <f t="shared" si="95"/>
        <v>1</v>
      </c>
      <c r="BD311" s="10">
        <f t="shared" si="88"/>
        <v>29</v>
      </c>
      <c r="BE311" s="4">
        <f t="shared" si="91"/>
        <v>14.947047496790759</v>
      </c>
      <c r="BF311" s="4">
        <f t="shared" si="92"/>
        <v>13.640753259295026</v>
      </c>
      <c r="BG311" s="7">
        <f t="shared" si="93"/>
        <v>14.807661355222921</v>
      </c>
      <c r="BH311" s="5">
        <v>347</v>
      </c>
      <c r="BI311" s="3">
        <v>65.226589595375742</v>
      </c>
      <c r="BJ311" s="3">
        <v>44.905491329479787</v>
      </c>
      <c r="BK311" s="3">
        <v>55.551734104046297</v>
      </c>
      <c r="BL311" s="3">
        <v>55.227938342967263</v>
      </c>
      <c r="BM311" s="3">
        <v>165.68381502890165</v>
      </c>
      <c r="BN311" s="18">
        <v>1</v>
      </c>
      <c r="BO311" s="18">
        <v>11</v>
      </c>
      <c r="BP311" s="4">
        <v>3.7572254335260116</v>
      </c>
      <c r="BQ311" s="4">
        <v>34.682080924855491</v>
      </c>
      <c r="BR311" s="7">
        <v>21.676300578034681</v>
      </c>
      <c r="BS311" s="18"/>
      <c r="BT311" s="23">
        <v>20</v>
      </c>
    </row>
    <row r="312" spans="1:72" x14ac:dyDescent="0.25">
      <c r="A312" s="18">
        <v>307</v>
      </c>
      <c r="B312" s="18" t="s">
        <v>32</v>
      </c>
      <c r="C312" s="18">
        <v>21</v>
      </c>
      <c r="D312" s="21" t="s">
        <v>9</v>
      </c>
      <c r="E312" s="5"/>
      <c r="F312" s="3">
        <v>39.333333333333336</v>
      </c>
      <c r="G312" s="3">
        <v>40</v>
      </c>
      <c r="H312" s="3">
        <v>39.666666666666664</v>
      </c>
      <c r="I312" s="3">
        <f t="shared" si="80"/>
        <v>39.666666666666664</v>
      </c>
      <c r="J312" s="3">
        <f t="shared" si="81"/>
        <v>119</v>
      </c>
      <c r="K312" s="18">
        <f t="shared" si="94"/>
        <v>16</v>
      </c>
      <c r="L312" s="18">
        <f t="shared" si="79"/>
        <v>196</v>
      </c>
      <c r="M312" s="4"/>
      <c r="N312" s="4"/>
      <c r="O312" s="7"/>
      <c r="P312" s="5">
        <v>86</v>
      </c>
      <c r="Q312" s="3">
        <v>46.356589147286826</v>
      </c>
      <c r="R312" s="3">
        <v>44.325581395348834</v>
      </c>
      <c r="S312" s="3">
        <v>54.186046511627914</v>
      </c>
      <c r="T312" s="3">
        <v>48.289405684754541</v>
      </c>
      <c r="U312" s="3">
        <v>144.86821705426357</v>
      </c>
      <c r="V312" s="18">
        <v>15</v>
      </c>
      <c r="W312" s="18">
        <v>166</v>
      </c>
      <c r="X312" s="4">
        <v>19.767441860465116</v>
      </c>
      <c r="Y312" s="4">
        <v>22.093023255813954</v>
      </c>
      <c r="Z312" s="7">
        <v>11.627906976744185</v>
      </c>
      <c r="AA312" s="5">
        <v>95</v>
      </c>
      <c r="AB312" s="3">
        <v>33.026222537207644</v>
      </c>
      <c r="AC312" s="3">
        <v>36.433734939759034</v>
      </c>
      <c r="AD312" s="3">
        <v>45.198977729098218</v>
      </c>
      <c r="AE312" s="3">
        <v>38.219645068688315</v>
      </c>
      <c r="AF312" s="3">
        <v>114.6589352060649</v>
      </c>
      <c r="AG312" s="18">
        <v>17</v>
      </c>
      <c r="AH312" s="18">
        <v>233</v>
      </c>
      <c r="AI312" s="4">
        <v>42.168674698795179</v>
      </c>
      <c r="AJ312" s="4">
        <v>37.349397590361448</v>
      </c>
      <c r="AK312" s="7">
        <v>15.662650602409638</v>
      </c>
      <c r="AL312" s="5">
        <v>92</v>
      </c>
      <c r="AM312" s="3">
        <v>55.568627450980408</v>
      </c>
      <c r="AN312" s="3">
        <v>34.74285714285714</v>
      </c>
      <c r="AO312" s="3">
        <v>53.139904610492856</v>
      </c>
      <c r="AP312" s="3">
        <v>47.872082166199831</v>
      </c>
      <c r="AQ312" s="3">
        <v>143.45138920433041</v>
      </c>
      <c r="AR312" s="18">
        <v>13</v>
      </c>
      <c r="AS312" s="18">
        <v>169</v>
      </c>
      <c r="AT312" s="4">
        <v>8</v>
      </c>
      <c r="AU312" s="4">
        <v>34.666666666666664</v>
      </c>
      <c r="AV312" s="7">
        <v>16.216216216216218</v>
      </c>
      <c r="AW312" s="10">
        <f t="shared" si="82"/>
        <v>91</v>
      </c>
      <c r="AX312" s="9">
        <f t="shared" si="83"/>
        <v>44.983813045158293</v>
      </c>
      <c r="AY312" s="9">
        <f t="shared" si="84"/>
        <v>38.500724492655003</v>
      </c>
      <c r="AZ312" s="9">
        <f t="shared" si="85"/>
        <v>50.841642950406332</v>
      </c>
      <c r="BA312" s="9">
        <f t="shared" si="86"/>
        <v>44.793710973214239</v>
      </c>
      <c r="BB312" s="9">
        <f t="shared" si="87"/>
        <v>134.32618048821962</v>
      </c>
      <c r="BC312" s="10">
        <f t="shared" si="95"/>
        <v>18</v>
      </c>
      <c r="BD312" s="10">
        <f t="shared" si="88"/>
        <v>201</v>
      </c>
      <c r="BE312" s="4">
        <f t="shared" si="91"/>
        <v>25.08433734939759</v>
      </c>
      <c r="BF312" s="4">
        <f t="shared" si="92"/>
        <v>36.00803212851406</v>
      </c>
      <c r="BG312" s="7">
        <f t="shared" si="93"/>
        <v>15.939433409312928</v>
      </c>
      <c r="BH312" s="5">
        <v>92</v>
      </c>
      <c r="BI312" s="3">
        <v>54.776923076923076</v>
      </c>
      <c r="BJ312" s="3">
        <v>33.628571428571433</v>
      </c>
      <c r="BK312" s="3">
        <v>37.94835164835164</v>
      </c>
      <c r="BL312" s="3">
        <v>42.117948717948714</v>
      </c>
      <c r="BM312" s="3">
        <v>126.35384615384621</v>
      </c>
      <c r="BN312" s="18">
        <v>14</v>
      </c>
      <c r="BO312" s="18">
        <v>132</v>
      </c>
      <c r="BP312" s="4">
        <v>10.989010989010989</v>
      </c>
      <c r="BQ312" s="4">
        <v>54.945054945054942</v>
      </c>
      <c r="BR312" s="7">
        <v>43.956043956043956</v>
      </c>
      <c r="BS312" s="18"/>
      <c r="BT312" s="23">
        <v>21</v>
      </c>
    </row>
    <row r="313" spans="1:72" x14ac:dyDescent="0.25">
      <c r="A313" s="18">
        <v>308</v>
      </c>
      <c r="B313" s="18" t="s">
        <v>32</v>
      </c>
      <c r="C313" s="18">
        <v>31</v>
      </c>
      <c r="D313" s="21" t="s">
        <v>9</v>
      </c>
      <c r="E313" s="5"/>
      <c r="F313" s="3">
        <v>49</v>
      </c>
      <c r="G313" s="3">
        <v>30.4</v>
      </c>
      <c r="H313" s="3">
        <v>27.666666666666671</v>
      </c>
      <c r="I313" s="3">
        <f t="shared" si="80"/>
        <v>35.68888888888889</v>
      </c>
      <c r="J313" s="3">
        <f t="shared" si="81"/>
        <v>107.06666666666668</v>
      </c>
      <c r="K313" s="18">
        <f t="shared" si="94"/>
        <v>18</v>
      </c>
      <c r="L313" s="18">
        <f t="shared" si="79"/>
        <v>240</v>
      </c>
      <c r="M313" s="4"/>
      <c r="N313" s="4"/>
      <c r="O313" s="7"/>
      <c r="P313" s="5">
        <v>46</v>
      </c>
      <c r="Q313" s="3">
        <v>48.985507246376812</v>
      </c>
      <c r="R313" s="3">
        <v>49.391304347826086</v>
      </c>
      <c r="S313" s="3">
        <v>46.376811594202884</v>
      </c>
      <c r="T313" s="3">
        <v>48.251207729468582</v>
      </c>
      <c r="U313" s="3">
        <v>144.75362318840578</v>
      </c>
      <c r="V313" s="18">
        <v>16</v>
      </c>
      <c r="W313" s="18">
        <v>169</v>
      </c>
      <c r="X313" s="4">
        <v>17.391304347826086</v>
      </c>
      <c r="Y313" s="4">
        <v>6.5217391304347823</v>
      </c>
      <c r="Z313" s="7">
        <v>30.434782608695652</v>
      </c>
      <c r="AA313" s="5">
        <v>62</v>
      </c>
      <c r="AB313" s="3">
        <v>51.944971537001877</v>
      </c>
      <c r="AC313" s="3">
        <v>55.935483870967744</v>
      </c>
      <c r="AD313" s="3">
        <v>53.030303030302996</v>
      </c>
      <c r="AE313" s="3">
        <v>53.636919479424222</v>
      </c>
      <c r="AF313" s="3">
        <v>160.91075843827261</v>
      </c>
      <c r="AG313" s="18">
        <v>4</v>
      </c>
      <c r="AH313" s="18">
        <v>59</v>
      </c>
      <c r="AI313" s="4">
        <v>22.580645161290324</v>
      </c>
      <c r="AJ313" s="4">
        <v>14.516129032258064</v>
      </c>
      <c r="AK313" s="7">
        <v>22.580645161290324</v>
      </c>
      <c r="AL313" s="5">
        <v>60</v>
      </c>
      <c r="AM313" s="3">
        <v>52.892156862745111</v>
      </c>
      <c r="AN313" s="3">
        <v>43.809523809523817</v>
      </c>
      <c r="AO313" s="3">
        <v>55.245098039215677</v>
      </c>
      <c r="AP313" s="3">
        <v>50.648926237161525</v>
      </c>
      <c r="AQ313" s="3">
        <v>151.94677871148463</v>
      </c>
      <c r="AR313" s="18">
        <v>10</v>
      </c>
      <c r="AS313" s="18">
        <v>134</v>
      </c>
      <c r="AT313" s="4">
        <v>18.333333333333332</v>
      </c>
      <c r="AU313" s="4">
        <v>35</v>
      </c>
      <c r="AV313" s="7">
        <v>20</v>
      </c>
      <c r="AW313" s="10">
        <f t="shared" si="82"/>
        <v>56</v>
      </c>
      <c r="AX313" s="9">
        <f t="shared" si="83"/>
        <v>51.274211882041264</v>
      </c>
      <c r="AY313" s="9">
        <f t="shared" si="84"/>
        <v>49.712104009439223</v>
      </c>
      <c r="AZ313" s="9">
        <f t="shared" si="85"/>
        <v>51.550737554573857</v>
      </c>
      <c r="BA313" s="9">
        <f t="shared" si="86"/>
        <v>50.845684482018108</v>
      </c>
      <c r="BB313" s="9">
        <f t="shared" si="87"/>
        <v>152.53705344605433</v>
      </c>
      <c r="BC313" s="10">
        <f t="shared" si="95"/>
        <v>7</v>
      </c>
      <c r="BD313" s="10">
        <f t="shared" si="88"/>
        <v>116</v>
      </c>
      <c r="BE313" s="4">
        <f t="shared" si="91"/>
        <v>20.456989247311828</v>
      </c>
      <c r="BF313" s="4">
        <f t="shared" si="92"/>
        <v>24.758064516129032</v>
      </c>
      <c r="BG313" s="7">
        <f t="shared" si="93"/>
        <v>21.29032258064516</v>
      </c>
      <c r="BH313" s="5">
        <v>63</v>
      </c>
      <c r="BI313" s="3">
        <v>53.214285714285708</v>
      </c>
      <c r="BJ313" s="3">
        <v>29.398412698412685</v>
      </c>
      <c r="BK313" s="3">
        <v>37.303174603174597</v>
      </c>
      <c r="BL313" s="3">
        <v>39.971957671957668</v>
      </c>
      <c r="BM313" s="3">
        <v>119.91587301587305</v>
      </c>
      <c r="BN313" s="18">
        <v>15</v>
      </c>
      <c r="BO313" s="18">
        <v>164</v>
      </c>
      <c r="BP313" s="4">
        <v>19.047619047619047</v>
      </c>
      <c r="BQ313" s="4">
        <v>73.015873015873012</v>
      </c>
      <c r="BR313" s="7">
        <v>47.61904761904762</v>
      </c>
      <c r="BS313" s="18"/>
      <c r="BT313" s="23">
        <v>31</v>
      </c>
    </row>
    <row r="314" spans="1:72" x14ac:dyDescent="0.25">
      <c r="A314" s="18">
        <v>309</v>
      </c>
      <c r="B314" s="18" t="s">
        <v>32</v>
      </c>
      <c r="C314" s="18">
        <v>38</v>
      </c>
      <c r="D314" s="21" t="s">
        <v>9</v>
      </c>
      <c r="E314" s="5"/>
      <c r="F314" s="3">
        <v>51.666666666666664</v>
      </c>
      <c r="G314" s="3">
        <v>46.4</v>
      </c>
      <c r="H314" s="3">
        <v>44.666666666666664</v>
      </c>
      <c r="I314" s="3">
        <f t="shared" si="80"/>
        <v>47.577777777777776</v>
      </c>
      <c r="J314" s="3">
        <f t="shared" si="81"/>
        <v>142.73333333333332</v>
      </c>
      <c r="K314" s="18">
        <f t="shared" si="94"/>
        <v>7</v>
      </c>
      <c r="L314" s="18">
        <f t="shared" si="79"/>
        <v>116</v>
      </c>
      <c r="M314" s="4"/>
      <c r="N314" s="4"/>
      <c r="O314" s="7"/>
      <c r="P314" s="5">
        <v>60</v>
      </c>
      <c r="Q314" s="3">
        <v>49.83333333333335</v>
      </c>
      <c r="R314" s="3">
        <v>43.266666666666666</v>
      </c>
      <c r="S314" s="3">
        <v>52.833333333333343</v>
      </c>
      <c r="T314" s="3">
        <v>48.644444444444431</v>
      </c>
      <c r="U314" s="3">
        <v>145.93333333333337</v>
      </c>
      <c r="V314" s="18">
        <v>14</v>
      </c>
      <c r="W314" s="18">
        <v>163</v>
      </c>
      <c r="X314" s="4">
        <v>15</v>
      </c>
      <c r="Y314" s="4">
        <v>33.333333333333336</v>
      </c>
      <c r="Z314" s="7">
        <v>30</v>
      </c>
      <c r="AA314" s="5">
        <v>66</v>
      </c>
      <c r="AB314" s="3">
        <v>34.345351043643248</v>
      </c>
      <c r="AC314" s="3">
        <v>34.774193548387096</v>
      </c>
      <c r="AD314" s="3">
        <v>35.9726295210166</v>
      </c>
      <c r="AE314" s="3">
        <v>35.030724704348984</v>
      </c>
      <c r="AF314" s="3">
        <v>105.09217411304694</v>
      </c>
      <c r="AG314" s="18">
        <v>18</v>
      </c>
      <c r="AH314" s="18">
        <v>268</v>
      </c>
      <c r="AI314" s="4">
        <v>46.774193548387096</v>
      </c>
      <c r="AJ314" s="4">
        <v>46.774193548387096</v>
      </c>
      <c r="AK314" s="7">
        <v>51.612903225806448</v>
      </c>
      <c r="AL314" s="5">
        <v>66</v>
      </c>
      <c r="AM314" s="3">
        <v>59.837728194726175</v>
      </c>
      <c r="AN314" s="3">
        <v>44.827586206896562</v>
      </c>
      <c r="AO314" s="3">
        <v>48.171368861024057</v>
      </c>
      <c r="AP314" s="3">
        <v>50.94556108754891</v>
      </c>
      <c r="AQ314" s="3">
        <v>152.8366832626468</v>
      </c>
      <c r="AR314" s="18">
        <v>9</v>
      </c>
      <c r="AS314" s="18">
        <v>133</v>
      </c>
      <c r="AT314" s="4">
        <v>8.6206896551724146</v>
      </c>
      <c r="AU314" s="4">
        <v>18.96551724137931</v>
      </c>
      <c r="AV314" s="7">
        <v>17.241379310344829</v>
      </c>
      <c r="AW314" s="10">
        <f t="shared" si="82"/>
        <v>64</v>
      </c>
      <c r="AX314" s="9">
        <f t="shared" si="83"/>
        <v>48.005470857234258</v>
      </c>
      <c r="AY314" s="9">
        <f t="shared" si="84"/>
        <v>40.956148807316772</v>
      </c>
      <c r="AZ314" s="9">
        <f t="shared" si="85"/>
        <v>45.659110571791331</v>
      </c>
      <c r="BA314" s="9">
        <f t="shared" si="86"/>
        <v>44.873576745447444</v>
      </c>
      <c r="BB314" s="9">
        <f t="shared" si="87"/>
        <v>134.62073023634238</v>
      </c>
      <c r="BC314" s="10">
        <f t="shared" si="95"/>
        <v>17</v>
      </c>
      <c r="BD314" s="10">
        <f t="shared" si="88"/>
        <v>200</v>
      </c>
      <c r="BE314" s="4">
        <f t="shared" si="91"/>
        <v>27.697441601779754</v>
      </c>
      <c r="BF314" s="4">
        <f t="shared" si="92"/>
        <v>32.869855394883203</v>
      </c>
      <c r="BG314" s="7">
        <f t="shared" si="93"/>
        <v>34.427141268075637</v>
      </c>
      <c r="BH314" s="5">
        <v>66</v>
      </c>
      <c r="BI314" s="3">
        <v>50.483076923076908</v>
      </c>
      <c r="BJ314" s="3">
        <v>28.884615384615394</v>
      </c>
      <c r="BK314" s="3">
        <v>32.123076923076923</v>
      </c>
      <c r="BL314" s="3">
        <v>37.163589743589746</v>
      </c>
      <c r="BM314" s="3">
        <v>111.49076923076926</v>
      </c>
      <c r="BN314" s="18">
        <v>18</v>
      </c>
      <c r="BO314" s="18">
        <v>221</v>
      </c>
      <c r="BP314" s="4">
        <v>24.615384615384617</v>
      </c>
      <c r="BQ314" s="4">
        <v>70.769230769230774</v>
      </c>
      <c r="BR314" s="7">
        <v>66.15384615384616</v>
      </c>
      <c r="BS314" s="18"/>
      <c r="BT314" s="23">
        <v>38</v>
      </c>
    </row>
    <row r="315" spans="1:72" x14ac:dyDescent="0.25">
      <c r="A315" s="1">
        <v>310</v>
      </c>
      <c r="B315" s="18" t="s">
        <v>32</v>
      </c>
      <c r="C315" s="18">
        <v>52</v>
      </c>
      <c r="D315" s="21" t="s">
        <v>9</v>
      </c>
      <c r="E315" s="5"/>
      <c r="F315" s="3">
        <v>51.333333333333336</v>
      </c>
      <c r="G315" s="3">
        <v>53.2</v>
      </c>
      <c r="H315" s="3">
        <v>35</v>
      </c>
      <c r="I315" s="3">
        <f t="shared" si="80"/>
        <v>46.511111111111113</v>
      </c>
      <c r="J315" s="3">
        <f t="shared" si="81"/>
        <v>139.53333333333333</v>
      </c>
      <c r="K315" s="18">
        <f t="shared" si="94"/>
        <v>8</v>
      </c>
      <c r="L315" s="18">
        <f t="shared" si="79"/>
        <v>125</v>
      </c>
      <c r="M315" s="4"/>
      <c r="N315" s="4"/>
      <c r="O315" s="7"/>
      <c r="P315" s="5">
        <v>55</v>
      </c>
      <c r="Q315" s="3">
        <v>52.666666666666664</v>
      </c>
      <c r="R315" s="3">
        <v>50.690909090909088</v>
      </c>
      <c r="S315" s="3">
        <v>56.060606060606062</v>
      </c>
      <c r="T315" s="3">
        <v>53.139393939393941</v>
      </c>
      <c r="U315" s="3">
        <v>159.41818181818181</v>
      </c>
      <c r="V315" s="18">
        <v>7</v>
      </c>
      <c r="W315" s="18">
        <v>108</v>
      </c>
      <c r="X315" s="4">
        <v>20</v>
      </c>
      <c r="Y315" s="4">
        <v>25.454545454545453</v>
      </c>
      <c r="Z315" s="7">
        <v>27.272727272727273</v>
      </c>
      <c r="AA315" s="5">
        <v>58</v>
      </c>
      <c r="AB315" s="3">
        <v>49.329205366357058</v>
      </c>
      <c r="AC315" s="3">
        <v>45.684210526315788</v>
      </c>
      <c r="AD315" s="3">
        <v>54.066985645933016</v>
      </c>
      <c r="AE315" s="3">
        <v>49.69346717953529</v>
      </c>
      <c r="AF315" s="3">
        <v>149.08040153860586</v>
      </c>
      <c r="AG315" s="18">
        <v>7</v>
      </c>
      <c r="AH315" s="18">
        <v>99</v>
      </c>
      <c r="AI315" s="4">
        <v>10.526315789473685</v>
      </c>
      <c r="AJ315" s="4">
        <v>26.315789473684209</v>
      </c>
      <c r="AK315" s="7">
        <v>7.0175438596491224</v>
      </c>
      <c r="AL315" s="5">
        <v>59</v>
      </c>
      <c r="AM315" s="3">
        <v>58.771008403361343</v>
      </c>
      <c r="AN315" s="3">
        <v>33.071428571428569</v>
      </c>
      <c r="AO315" s="3">
        <v>64.393939393939419</v>
      </c>
      <c r="AP315" s="3">
        <v>52.078792122909768</v>
      </c>
      <c r="AQ315" s="3">
        <v>156.23637636872934</v>
      </c>
      <c r="AR315" s="18">
        <v>7</v>
      </c>
      <c r="AS315" s="18">
        <v>116</v>
      </c>
      <c r="AT315" s="4">
        <v>18.181818181818183</v>
      </c>
      <c r="AU315" s="4">
        <v>46.428571428571431</v>
      </c>
      <c r="AV315" s="7">
        <v>9.0909090909090917</v>
      </c>
      <c r="AW315" s="10">
        <f t="shared" si="82"/>
        <v>57.333333333333336</v>
      </c>
      <c r="AX315" s="9">
        <f t="shared" si="83"/>
        <v>53.588960145461691</v>
      </c>
      <c r="AY315" s="9">
        <f t="shared" si="84"/>
        <v>43.148849396217805</v>
      </c>
      <c r="AZ315" s="9">
        <f t="shared" si="85"/>
        <v>58.173843700159502</v>
      </c>
      <c r="BA315" s="9">
        <f t="shared" si="86"/>
        <v>51.637217747279664</v>
      </c>
      <c r="BB315" s="9">
        <f t="shared" si="87"/>
        <v>154.91165324183899</v>
      </c>
      <c r="BC315" s="10">
        <f t="shared" si="95"/>
        <v>6</v>
      </c>
      <c r="BD315" s="10">
        <f t="shared" si="88"/>
        <v>103</v>
      </c>
      <c r="BE315" s="4">
        <f t="shared" si="91"/>
        <v>14.354066985645934</v>
      </c>
      <c r="BF315" s="4">
        <f t="shared" si="92"/>
        <v>36.372180451127818</v>
      </c>
      <c r="BG315" s="7">
        <f t="shared" si="93"/>
        <v>8.0542264752791066</v>
      </c>
      <c r="BH315" s="5">
        <v>59</v>
      </c>
      <c r="BI315" s="3">
        <v>52.454237288135594</v>
      </c>
      <c r="BJ315" s="3">
        <v>28.688135593220338</v>
      </c>
      <c r="BK315" s="3">
        <v>36.988135593220335</v>
      </c>
      <c r="BL315" s="3">
        <v>39.376836158192084</v>
      </c>
      <c r="BM315" s="3">
        <v>118.13050847457623</v>
      </c>
      <c r="BN315" s="18">
        <v>16</v>
      </c>
      <c r="BO315" s="18">
        <v>183</v>
      </c>
      <c r="BP315" s="4">
        <v>18.64406779661017</v>
      </c>
      <c r="BQ315" s="4">
        <v>62.711864406779661</v>
      </c>
      <c r="BR315" s="7">
        <v>55.932203389830505</v>
      </c>
      <c r="BS315" s="18"/>
      <c r="BT315" s="23">
        <v>52</v>
      </c>
    </row>
    <row r="316" spans="1:72" x14ac:dyDescent="0.25">
      <c r="A316" s="18">
        <v>311</v>
      </c>
      <c r="B316" s="18" t="s">
        <v>32</v>
      </c>
      <c r="C316" s="18">
        <v>53</v>
      </c>
      <c r="D316" s="21" t="s">
        <v>9</v>
      </c>
      <c r="E316" s="5"/>
      <c r="F316" s="3">
        <v>49.333333333333336</v>
      </c>
      <c r="G316" s="3">
        <v>42.8</v>
      </c>
      <c r="H316" s="3">
        <v>44.666666666666664</v>
      </c>
      <c r="I316" s="3">
        <f t="shared" si="80"/>
        <v>45.599999999999994</v>
      </c>
      <c r="J316" s="3">
        <f t="shared" si="81"/>
        <v>136.79999999999998</v>
      </c>
      <c r="K316" s="18">
        <f t="shared" si="94"/>
        <v>9</v>
      </c>
      <c r="L316" s="18">
        <f t="shared" si="79"/>
        <v>134</v>
      </c>
      <c r="M316" s="4"/>
      <c r="N316" s="4"/>
      <c r="O316" s="7"/>
      <c r="P316" s="5">
        <v>171</v>
      </c>
      <c r="Q316" s="3">
        <v>56.31578947368422</v>
      </c>
      <c r="R316" s="3">
        <v>47.298245614035089</v>
      </c>
      <c r="S316" s="3">
        <v>60.701754385964911</v>
      </c>
      <c r="T316" s="3">
        <v>54.771929824561433</v>
      </c>
      <c r="U316" s="3">
        <v>164.31578947368422</v>
      </c>
      <c r="V316" s="18">
        <v>5</v>
      </c>
      <c r="W316" s="18">
        <v>96</v>
      </c>
      <c r="X316" s="4">
        <v>10.526315789473685</v>
      </c>
      <c r="Y316" s="4">
        <v>18.128654970760234</v>
      </c>
      <c r="Z316" s="7">
        <v>9.9415204678362574</v>
      </c>
      <c r="AA316" s="5">
        <v>177</v>
      </c>
      <c r="AB316" s="3">
        <v>49.693251533742341</v>
      </c>
      <c r="AC316" s="3">
        <v>43.484662576687114</v>
      </c>
      <c r="AD316" s="3">
        <v>53.857594348391899</v>
      </c>
      <c r="AE316" s="3">
        <v>49.011836152940447</v>
      </c>
      <c r="AF316" s="3">
        <v>147.03550845882137</v>
      </c>
      <c r="AG316" s="18">
        <v>8</v>
      </c>
      <c r="AH316" s="18">
        <v>104</v>
      </c>
      <c r="AI316" s="4">
        <v>21.472392638036808</v>
      </c>
      <c r="AJ316" s="4">
        <v>26.993865030674847</v>
      </c>
      <c r="AK316" s="7">
        <v>14.723926380368098</v>
      </c>
      <c r="AL316" s="5">
        <v>177</v>
      </c>
      <c r="AM316" s="3">
        <v>59.732620320855595</v>
      </c>
      <c r="AN316" s="3">
        <v>40.502164502164518</v>
      </c>
      <c r="AO316" s="3">
        <v>63.038020086083257</v>
      </c>
      <c r="AP316" s="3">
        <v>54.329343858755621</v>
      </c>
      <c r="AQ316" s="3">
        <v>163.27280490910337</v>
      </c>
      <c r="AR316" s="18">
        <v>4</v>
      </c>
      <c r="AS316" s="18">
        <v>87</v>
      </c>
      <c r="AT316" s="4">
        <v>10.909090909090908</v>
      </c>
      <c r="AU316" s="4">
        <v>38.787878787878789</v>
      </c>
      <c r="AV316" s="7">
        <v>9.7560975609756095</v>
      </c>
      <c r="AW316" s="10">
        <f t="shared" si="82"/>
        <v>175</v>
      </c>
      <c r="AX316" s="9">
        <f t="shared" si="83"/>
        <v>55.247220442760721</v>
      </c>
      <c r="AY316" s="9">
        <f t="shared" si="84"/>
        <v>43.76169089762891</v>
      </c>
      <c r="AZ316" s="9">
        <f t="shared" si="85"/>
        <v>59.199122940146687</v>
      </c>
      <c r="BA316" s="9">
        <f t="shared" si="86"/>
        <v>52.70436994541916</v>
      </c>
      <c r="BB316" s="9">
        <f t="shared" si="87"/>
        <v>158.20803428053634</v>
      </c>
      <c r="BC316" s="10">
        <f t="shared" si="95"/>
        <v>5</v>
      </c>
      <c r="BD316" s="10">
        <f t="shared" si="88"/>
        <v>94</v>
      </c>
      <c r="BE316" s="4">
        <f t="shared" si="91"/>
        <v>16.190741773563857</v>
      </c>
      <c r="BF316" s="4">
        <f t="shared" si="92"/>
        <v>32.890871909276818</v>
      </c>
      <c r="BG316" s="7">
        <f t="shared" si="93"/>
        <v>12.240011970671855</v>
      </c>
      <c r="BH316" s="5">
        <v>176</v>
      </c>
      <c r="BI316" s="3">
        <v>59.368181818181846</v>
      </c>
      <c r="BJ316" s="3">
        <v>35.165909090909082</v>
      </c>
      <c r="BK316" s="3">
        <v>47.713636363636354</v>
      </c>
      <c r="BL316" s="3">
        <v>47.415909090909096</v>
      </c>
      <c r="BM316" s="3">
        <v>142.24772727272725</v>
      </c>
      <c r="BN316" s="18">
        <v>9</v>
      </c>
      <c r="BO316" s="18">
        <v>59</v>
      </c>
      <c r="BP316" s="4">
        <v>10.227272727272727</v>
      </c>
      <c r="BQ316" s="4">
        <v>50</v>
      </c>
      <c r="BR316" s="7">
        <v>34.659090909090907</v>
      </c>
      <c r="BS316" s="18"/>
      <c r="BT316" s="23">
        <v>53</v>
      </c>
    </row>
    <row r="317" spans="1:72" x14ac:dyDescent="0.25">
      <c r="A317" s="18">
        <v>312</v>
      </c>
      <c r="B317" s="18" t="s">
        <v>32</v>
      </c>
      <c r="C317" s="18">
        <v>60</v>
      </c>
      <c r="D317" s="21" t="s">
        <v>9</v>
      </c>
      <c r="E317" s="5"/>
      <c r="F317" s="3">
        <v>39.333333333333336</v>
      </c>
      <c r="G317" s="3">
        <v>38.4</v>
      </c>
      <c r="H317" s="3">
        <v>42.666666666666664</v>
      </c>
      <c r="I317" s="3">
        <f t="shared" si="80"/>
        <v>40.133333333333333</v>
      </c>
      <c r="J317" s="3">
        <f t="shared" si="81"/>
        <v>120.4</v>
      </c>
      <c r="K317" s="18">
        <f t="shared" si="94"/>
        <v>15</v>
      </c>
      <c r="L317" s="18">
        <f t="shared" si="79"/>
        <v>193</v>
      </c>
      <c r="M317" s="4"/>
      <c r="N317" s="4"/>
      <c r="O317" s="7"/>
      <c r="P317" s="5">
        <v>168</v>
      </c>
      <c r="Q317" s="3">
        <v>53.115079365079367</v>
      </c>
      <c r="R317" s="3">
        <v>43.88095238095238</v>
      </c>
      <c r="S317" s="3">
        <v>63.333333333333321</v>
      </c>
      <c r="T317" s="3">
        <v>53.443121693121732</v>
      </c>
      <c r="U317" s="3">
        <v>160.32936507936506</v>
      </c>
      <c r="V317" s="18">
        <v>6</v>
      </c>
      <c r="W317" s="18">
        <v>104</v>
      </c>
      <c r="X317" s="4">
        <v>10.119047619047619</v>
      </c>
      <c r="Y317" s="4">
        <v>27.38095238095238</v>
      </c>
      <c r="Z317" s="7">
        <v>11.30952380952381</v>
      </c>
      <c r="AA317" s="5">
        <v>219</v>
      </c>
      <c r="AB317" s="3">
        <v>50.630252100840345</v>
      </c>
      <c r="AC317" s="3">
        <v>45.976190476190474</v>
      </c>
      <c r="AD317" s="3">
        <v>63.780663780663772</v>
      </c>
      <c r="AE317" s="3">
        <v>53.462368785898192</v>
      </c>
      <c r="AF317" s="3">
        <v>160.38710635769459</v>
      </c>
      <c r="AG317" s="18">
        <v>5</v>
      </c>
      <c r="AH317" s="18">
        <v>63</v>
      </c>
      <c r="AI317" s="4">
        <v>22.023809523809526</v>
      </c>
      <c r="AJ317" s="4">
        <v>29.761904761904763</v>
      </c>
      <c r="AK317" s="7">
        <v>9.5238095238095237</v>
      </c>
      <c r="AL317" s="5">
        <v>217</v>
      </c>
      <c r="AM317" s="3">
        <v>47.76876267748483</v>
      </c>
      <c r="AN317" s="3">
        <v>24.170771756978656</v>
      </c>
      <c r="AO317" s="3">
        <v>58.41550493029581</v>
      </c>
      <c r="AP317" s="3">
        <v>43.434672719662565</v>
      </c>
      <c r="AQ317" s="3">
        <v>130.35503936475931</v>
      </c>
      <c r="AR317" s="18">
        <v>18</v>
      </c>
      <c r="AS317" s="18">
        <v>232</v>
      </c>
      <c r="AT317" s="4">
        <v>14.942528735632184</v>
      </c>
      <c r="AU317" s="4">
        <v>64.94252873563218</v>
      </c>
      <c r="AV317" s="7">
        <v>11.560693641618498</v>
      </c>
      <c r="AW317" s="10">
        <f t="shared" si="82"/>
        <v>201.33333333333334</v>
      </c>
      <c r="AX317" s="9">
        <f t="shared" si="83"/>
        <v>50.504698047801519</v>
      </c>
      <c r="AY317" s="9">
        <f t="shared" si="84"/>
        <v>38.009304871373836</v>
      </c>
      <c r="AZ317" s="9">
        <f t="shared" si="85"/>
        <v>61.843167348097637</v>
      </c>
      <c r="BA317" s="9">
        <f t="shared" si="86"/>
        <v>50.113387732894161</v>
      </c>
      <c r="BB317" s="9">
        <f t="shared" si="87"/>
        <v>150.35717026727301</v>
      </c>
      <c r="BC317" s="10">
        <f t="shared" si="95"/>
        <v>8</v>
      </c>
      <c r="BD317" s="10">
        <f t="shared" si="88"/>
        <v>124</v>
      </c>
      <c r="BE317" s="4">
        <f t="shared" si="91"/>
        <v>18.483169129720856</v>
      </c>
      <c r="BF317" s="4">
        <f t="shared" si="92"/>
        <v>47.35221674876847</v>
      </c>
      <c r="BG317" s="7">
        <f t="shared" si="93"/>
        <v>10.542251582714011</v>
      </c>
      <c r="BH317" s="5">
        <v>217</v>
      </c>
      <c r="BI317" s="3">
        <v>63.270046082949293</v>
      </c>
      <c r="BJ317" s="3">
        <v>41.427649769585265</v>
      </c>
      <c r="BK317" s="3">
        <v>58.543317972350209</v>
      </c>
      <c r="BL317" s="3">
        <v>54.413671274961594</v>
      </c>
      <c r="BM317" s="3">
        <v>163.24101382488485</v>
      </c>
      <c r="BN317" s="18">
        <v>2</v>
      </c>
      <c r="BO317" s="18">
        <v>13</v>
      </c>
      <c r="BP317" s="4">
        <v>8.7557603686635943</v>
      </c>
      <c r="BQ317" s="4">
        <v>35.483870967741936</v>
      </c>
      <c r="BR317" s="7">
        <v>17.05069124423963</v>
      </c>
      <c r="BS317" s="18"/>
      <c r="BT317" s="23">
        <v>60</v>
      </c>
    </row>
    <row r="318" spans="1:72" x14ac:dyDescent="0.25">
      <c r="A318" s="18">
        <v>313</v>
      </c>
      <c r="B318" s="18" t="s">
        <v>32</v>
      </c>
      <c r="C318" s="18">
        <v>150</v>
      </c>
      <c r="D318" s="21" t="s">
        <v>9</v>
      </c>
      <c r="E318" s="5"/>
      <c r="F318" s="3">
        <v>55.666666666666664</v>
      </c>
      <c r="G318" s="3">
        <v>40.799999999999997</v>
      </c>
      <c r="H318" s="3">
        <v>24.333333333333332</v>
      </c>
      <c r="I318" s="3">
        <f t="shared" si="80"/>
        <v>40.266666666666666</v>
      </c>
      <c r="J318" s="3">
        <f t="shared" si="81"/>
        <v>120.8</v>
      </c>
      <c r="K318" s="18">
        <f t="shared" si="94"/>
        <v>14</v>
      </c>
      <c r="L318" s="18">
        <f t="shared" si="79"/>
        <v>191</v>
      </c>
      <c r="M318" s="4"/>
      <c r="N318" s="4"/>
      <c r="O318" s="7"/>
      <c r="P318" s="5">
        <v>43</v>
      </c>
      <c r="Q318" s="3">
        <v>35.813953488372107</v>
      </c>
      <c r="R318" s="3">
        <v>27.534883720930232</v>
      </c>
      <c r="S318" s="3">
        <v>31.782945736434105</v>
      </c>
      <c r="T318" s="3">
        <v>31.710594315245473</v>
      </c>
      <c r="U318" s="3">
        <v>95.131782945736447</v>
      </c>
      <c r="V318" s="18">
        <v>20</v>
      </c>
      <c r="W318" s="18">
        <v>300</v>
      </c>
      <c r="X318" s="4">
        <v>37.209302325581397</v>
      </c>
      <c r="Y318" s="4">
        <v>72.093023255813947</v>
      </c>
      <c r="Z318" s="7">
        <v>60.465116279069768</v>
      </c>
      <c r="AA318" s="5">
        <v>52</v>
      </c>
      <c r="AB318" s="3">
        <v>33.52941176470587</v>
      </c>
      <c r="AC318" s="3">
        <v>28.512820512820515</v>
      </c>
      <c r="AD318" s="3">
        <v>32.727272727272734</v>
      </c>
      <c r="AE318" s="3">
        <v>31.501886512180629</v>
      </c>
      <c r="AF318" s="3">
        <v>94.769505004799115</v>
      </c>
      <c r="AG318" s="18">
        <v>20</v>
      </c>
      <c r="AH318" s="18">
        <v>294</v>
      </c>
      <c r="AI318" s="4">
        <v>42.5</v>
      </c>
      <c r="AJ318" s="4">
        <v>66.666666666666671</v>
      </c>
      <c r="AK318" s="7">
        <v>52.5</v>
      </c>
      <c r="AL318" s="5">
        <v>52</v>
      </c>
      <c r="AM318" s="3">
        <v>43.400286944045916</v>
      </c>
      <c r="AN318" s="3">
        <v>12.125435540069684</v>
      </c>
      <c r="AO318" s="3">
        <v>35.150645624103291</v>
      </c>
      <c r="AP318" s="3">
        <v>30.225456036072973</v>
      </c>
      <c r="AQ318" s="3">
        <v>90.676368108218895</v>
      </c>
      <c r="AR318" s="18">
        <v>19</v>
      </c>
      <c r="AS318" s="18">
        <v>300</v>
      </c>
      <c r="AT318" s="4">
        <v>26.829268292682926</v>
      </c>
      <c r="AU318" s="4">
        <v>92.682926829268297</v>
      </c>
      <c r="AV318" s="7">
        <v>48.780487804878049</v>
      </c>
      <c r="AW318" s="10">
        <f t="shared" si="82"/>
        <v>49</v>
      </c>
      <c r="AX318" s="9">
        <f t="shared" si="83"/>
        <v>37.5812173990413</v>
      </c>
      <c r="AY318" s="9">
        <f t="shared" si="84"/>
        <v>22.724379924606811</v>
      </c>
      <c r="AZ318" s="9">
        <f t="shared" si="85"/>
        <v>33.220288029270044</v>
      </c>
      <c r="BA318" s="9">
        <f t="shared" si="86"/>
        <v>31.145978954499693</v>
      </c>
      <c r="BB318" s="9">
        <f t="shared" si="87"/>
        <v>93.525885352918138</v>
      </c>
      <c r="BC318" s="10">
        <f t="shared" si="95"/>
        <v>19</v>
      </c>
      <c r="BD318" s="10">
        <f t="shared" si="88"/>
        <v>303</v>
      </c>
      <c r="BE318" s="4">
        <f t="shared" si="91"/>
        <v>34.664634146341463</v>
      </c>
      <c r="BF318" s="4">
        <f t="shared" si="92"/>
        <v>79.674796747967491</v>
      </c>
      <c r="BG318" s="7">
        <f t="shared" si="93"/>
        <v>50.640243902439025</v>
      </c>
      <c r="BH318" s="5">
        <v>50</v>
      </c>
      <c r="BI318" s="3">
        <v>49.997916666666669</v>
      </c>
      <c r="BJ318" s="3">
        <v>23.691666666666659</v>
      </c>
      <c r="BK318" s="3">
        <v>33.327083333333334</v>
      </c>
      <c r="BL318" s="3">
        <v>35.67222222222221</v>
      </c>
      <c r="BM318" s="3">
        <v>107.01666666666667</v>
      </c>
      <c r="BN318" s="18">
        <v>19</v>
      </c>
      <c r="BO318" s="18">
        <v>242</v>
      </c>
      <c r="BP318" s="4">
        <v>12.5</v>
      </c>
      <c r="BQ318" s="4">
        <v>75</v>
      </c>
      <c r="BR318" s="7">
        <v>56.25</v>
      </c>
      <c r="BS318" s="18"/>
      <c r="BT318" s="23">
        <v>150</v>
      </c>
    </row>
    <row r="319" spans="1:72" x14ac:dyDescent="0.25">
      <c r="A319" s="18">
        <v>314</v>
      </c>
      <c r="B319" s="18" t="s">
        <v>32</v>
      </c>
      <c r="C319" s="18">
        <v>153</v>
      </c>
      <c r="D319" s="21" t="s">
        <v>9</v>
      </c>
      <c r="E319" s="5"/>
      <c r="F319" s="3">
        <v>45.666666666666664</v>
      </c>
      <c r="G319" s="3">
        <v>8</v>
      </c>
      <c r="H319" s="3">
        <v>51.333333333333336</v>
      </c>
      <c r="I319" s="3">
        <f t="shared" si="80"/>
        <v>35</v>
      </c>
      <c r="J319" s="3">
        <f t="shared" si="81"/>
        <v>105</v>
      </c>
      <c r="K319" s="18">
        <f t="shared" si="94"/>
        <v>19</v>
      </c>
      <c r="L319" s="18">
        <f t="shared" si="79"/>
        <v>245</v>
      </c>
      <c r="M319" s="4"/>
      <c r="N319" s="4"/>
      <c r="O319" s="7"/>
      <c r="P319" s="5">
        <v>73</v>
      </c>
      <c r="Q319" s="3">
        <v>50.776255707762566</v>
      </c>
      <c r="R319" s="3">
        <v>41.972602739726028</v>
      </c>
      <c r="S319" s="3">
        <v>56.484018264840188</v>
      </c>
      <c r="T319" s="3">
        <v>49.74429223744292</v>
      </c>
      <c r="U319" s="3">
        <v>149.23287671232879</v>
      </c>
      <c r="V319" s="18">
        <v>13</v>
      </c>
      <c r="W319" s="18">
        <v>150</v>
      </c>
      <c r="X319" s="4">
        <v>16.438356164383563</v>
      </c>
      <c r="Y319" s="4">
        <v>35.61643835616438</v>
      </c>
      <c r="Z319" s="7">
        <v>20.547945205479451</v>
      </c>
      <c r="AA319" s="5">
        <v>70</v>
      </c>
      <c r="AB319" s="3">
        <v>41.008403361344527</v>
      </c>
      <c r="AC319" s="3">
        <v>43.25714285714286</v>
      </c>
      <c r="AD319" s="3">
        <v>51.168831168831183</v>
      </c>
      <c r="AE319" s="3">
        <v>45.144792462439526</v>
      </c>
      <c r="AF319" s="3">
        <v>135.43437738731856</v>
      </c>
      <c r="AG319" s="18">
        <v>10</v>
      </c>
      <c r="AH319" s="18">
        <v>155</v>
      </c>
      <c r="AI319" s="4">
        <v>20</v>
      </c>
      <c r="AJ319" s="4">
        <v>28.571428571428573</v>
      </c>
      <c r="AK319" s="7">
        <v>10</v>
      </c>
      <c r="AL319" s="5">
        <v>70</v>
      </c>
      <c r="AM319" s="3">
        <v>53.655462184873954</v>
      </c>
      <c r="AN319" s="3">
        <v>32.204081632653065</v>
      </c>
      <c r="AO319" s="3">
        <v>55.252100840336148</v>
      </c>
      <c r="AP319" s="3">
        <v>47.037214885954377</v>
      </c>
      <c r="AQ319" s="3">
        <v>141.11164465786317</v>
      </c>
      <c r="AR319" s="18">
        <v>15</v>
      </c>
      <c r="AS319" s="18">
        <v>181</v>
      </c>
      <c r="AT319" s="4">
        <v>11.428571428571429</v>
      </c>
      <c r="AU319" s="4">
        <v>55.714285714285715</v>
      </c>
      <c r="AV319" s="7">
        <v>15.714285714285714</v>
      </c>
      <c r="AW319" s="10">
        <f t="shared" si="82"/>
        <v>71</v>
      </c>
      <c r="AX319" s="9">
        <f t="shared" si="83"/>
        <v>48.480040417993678</v>
      </c>
      <c r="AY319" s="9">
        <f t="shared" si="84"/>
        <v>39.144609076507322</v>
      </c>
      <c r="AZ319" s="9">
        <f t="shared" si="85"/>
        <v>54.301650091335837</v>
      </c>
      <c r="BA319" s="9">
        <f t="shared" si="86"/>
        <v>47.308766528612274</v>
      </c>
      <c r="BB319" s="9">
        <f t="shared" si="87"/>
        <v>141.92629958583686</v>
      </c>
      <c r="BC319" s="10">
        <f t="shared" si="95"/>
        <v>12</v>
      </c>
      <c r="BD319" s="10">
        <f t="shared" si="88"/>
        <v>159</v>
      </c>
      <c r="BE319" s="4">
        <f t="shared" si="91"/>
        <v>15.714285714285715</v>
      </c>
      <c r="BF319" s="4">
        <f t="shared" si="92"/>
        <v>42.142857142857146</v>
      </c>
      <c r="BG319" s="7">
        <f t="shared" si="93"/>
        <v>12.857142857142858</v>
      </c>
      <c r="BH319" s="5">
        <v>75</v>
      </c>
      <c r="BI319" s="3">
        <v>58.318666666666672</v>
      </c>
      <c r="BJ319" s="3">
        <v>37.186666666666667</v>
      </c>
      <c r="BK319" s="3">
        <v>50.074666666666658</v>
      </c>
      <c r="BL319" s="3">
        <v>48.526666666666635</v>
      </c>
      <c r="BM319" s="3">
        <v>145.58000000000001</v>
      </c>
      <c r="BN319" s="18">
        <v>8</v>
      </c>
      <c r="BO319" s="18">
        <v>47</v>
      </c>
      <c r="BP319" s="4">
        <v>16</v>
      </c>
      <c r="BQ319" s="4">
        <v>48</v>
      </c>
      <c r="BR319" s="7">
        <v>33.333333333333336</v>
      </c>
      <c r="BS319" s="18"/>
      <c r="BT319" s="23">
        <v>153</v>
      </c>
    </row>
    <row r="320" spans="1:72" x14ac:dyDescent="0.25">
      <c r="A320" s="1">
        <v>315</v>
      </c>
      <c r="B320" s="18" t="s">
        <v>32</v>
      </c>
      <c r="C320" s="18">
        <v>158</v>
      </c>
      <c r="D320" s="21" t="s">
        <v>9</v>
      </c>
      <c r="E320" s="5"/>
      <c r="F320" s="3">
        <v>52.333333333333336</v>
      </c>
      <c r="G320" s="3">
        <v>50.8</v>
      </c>
      <c r="H320" s="3">
        <v>52</v>
      </c>
      <c r="I320" s="3">
        <f t="shared" si="80"/>
        <v>51.711111111111109</v>
      </c>
      <c r="J320" s="3">
        <f t="shared" si="81"/>
        <v>155.13333333333333</v>
      </c>
      <c r="K320" s="18">
        <f t="shared" si="94"/>
        <v>3</v>
      </c>
      <c r="L320" s="18">
        <f t="shared" si="79"/>
        <v>64</v>
      </c>
      <c r="M320" s="4"/>
      <c r="N320" s="4"/>
      <c r="O320" s="7"/>
      <c r="P320" s="5">
        <v>207</v>
      </c>
      <c r="Q320" s="3">
        <v>54.71819645732689</v>
      </c>
      <c r="R320" s="3">
        <v>58.89855072463768</v>
      </c>
      <c r="S320" s="3">
        <v>67.165861513687616</v>
      </c>
      <c r="T320" s="3">
        <v>60.260869565217391</v>
      </c>
      <c r="U320" s="3">
        <v>180.78260869565219</v>
      </c>
      <c r="V320" s="18">
        <v>3</v>
      </c>
      <c r="W320" s="18">
        <v>58</v>
      </c>
      <c r="X320" s="4">
        <v>7.7294685990338161</v>
      </c>
      <c r="Y320" s="4">
        <v>11.16504854368932</v>
      </c>
      <c r="Z320" s="7">
        <v>7.7294685990338161</v>
      </c>
      <c r="AA320" s="5">
        <v>180</v>
      </c>
      <c r="AB320" s="3">
        <v>47.232857640097471</v>
      </c>
      <c r="AC320" s="3">
        <v>59.597633136094672</v>
      </c>
      <c r="AD320" s="3">
        <v>70.28868567330106</v>
      </c>
      <c r="AE320" s="3">
        <v>59.039725483164396</v>
      </c>
      <c r="AF320" s="3">
        <v>177.11917644949318</v>
      </c>
      <c r="AG320" s="18">
        <v>1</v>
      </c>
      <c r="AH320" s="18">
        <v>29</v>
      </c>
      <c r="AI320" s="4">
        <v>18.934911242603551</v>
      </c>
      <c r="AJ320" s="4">
        <v>14.285714285714286</v>
      </c>
      <c r="AK320" s="7">
        <v>7.8787878787878789</v>
      </c>
      <c r="AL320" s="5">
        <v>220</v>
      </c>
      <c r="AM320" s="3">
        <v>62.361466325660679</v>
      </c>
      <c r="AN320" s="3">
        <v>49.772256728778466</v>
      </c>
      <c r="AO320" s="3">
        <v>65.8141517476556</v>
      </c>
      <c r="AP320" s="3">
        <v>59.31595826736492</v>
      </c>
      <c r="AQ320" s="3">
        <v>177.94787480209476</v>
      </c>
      <c r="AR320" s="18">
        <v>2</v>
      </c>
      <c r="AS320" s="18">
        <v>47</v>
      </c>
      <c r="AT320" s="4">
        <v>7.2463768115942031</v>
      </c>
      <c r="AU320" s="4">
        <v>23.03921568627451</v>
      </c>
      <c r="AV320" s="7">
        <v>12.621359223300971</v>
      </c>
      <c r="AW320" s="10">
        <f t="shared" si="82"/>
        <v>202.33333333333334</v>
      </c>
      <c r="AX320" s="9">
        <f t="shared" si="83"/>
        <v>54.770840141028344</v>
      </c>
      <c r="AY320" s="9">
        <f t="shared" si="84"/>
        <v>56.089480196503608</v>
      </c>
      <c r="AZ320" s="9">
        <f t="shared" si="85"/>
        <v>67.756232978214769</v>
      </c>
      <c r="BA320" s="9">
        <f t="shared" si="86"/>
        <v>59.538851105248902</v>
      </c>
      <c r="BB320" s="9">
        <f t="shared" si="87"/>
        <v>178.6165533157467</v>
      </c>
      <c r="BC320" s="10">
        <f t="shared" si="95"/>
        <v>2</v>
      </c>
      <c r="BD320" s="10">
        <f t="shared" si="88"/>
        <v>35</v>
      </c>
      <c r="BE320" s="4">
        <f t="shared" si="91"/>
        <v>13.090644027098877</v>
      </c>
      <c r="BF320" s="4">
        <f t="shared" si="92"/>
        <v>18.662464985994397</v>
      </c>
      <c r="BG320" s="7">
        <f t="shared" si="93"/>
        <v>10.250073551044425</v>
      </c>
      <c r="BH320" s="5">
        <v>221</v>
      </c>
      <c r="BI320" s="3">
        <v>58.200454545454534</v>
      </c>
      <c r="BJ320" s="3">
        <v>41.948181818181808</v>
      </c>
      <c r="BK320" s="3">
        <v>45.776363636363669</v>
      </c>
      <c r="BL320" s="3">
        <v>48.641666666666659</v>
      </c>
      <c r="BM320" s="3">
        <v>145.9250000000001</v>
      </c>
      <c r="BN320" s="18">
        <v>7</v>
      </c>
      <c r="BO320" s="18">
        <v>45</v>
      </c>
      <c r="BP320" s="4">
        <v>11.818181818181818</v>
      </c>
      <c r="BQ320" s="4">
        <v>45.454545454545453</v>
      </c>
      <c r="BR320" s="7">
        <v>38.636363636363633</v>
      </c>
      <c r="BS320" s="18"/>
      <c r="BT320" s="23">
        <v>158</v>
      </c>
    </row>
    <row r="321" spans="1:72" x14ac:dyDescent="0.25">
      <c r="A321" s="18">
        <v>316</v>
      </c>
      <c r="B321" s="18" t="s">
        <v>32</v>
      </c>
      <c r="C321" s="18">
        <v>161</v>
      </c>
      <c r="D321" s="21" t="s">
        <v>9</v>
      </c>
      <c r="E321" s="5"/>
      <c r="F321" s="3"/>
      <c r="G321" s="3"/>
      <c r="H321" s="3"/>
      <c r="I321" s="3" t="str">
        <f t="shared" si="80"/>
        <v/>
      </c>
      <c r="J321" s="3" t="str">
        <f t="shared" si="81"/>
        <v/>
      </c>
      <c r="K321" s="18" t="str">
        <f t="shared" si="94"/>
        <v/>
      </c>
      <c r="L321" s="18" t="str">
        <f t="shared" si="79"/>
        <v/>
      </c>
      <c r="M321" s="4"/>
      <c r="N321" s="4"/>
      <c r="O321" s="7"/>
      <c r="P321" s="5">
        <v>21</v>
      </c>
      <c r="Q321" s="3">
        <v>54.603174603174608</v>
      </c>
      <c r="R321" s="3">
        <v>43.61904761904762</v>
      </c>
      <c r="S321" s="3">
        <v>60.634920634920654</v>
      </c>
      <c r="T321" s="3">
        <v>52.952380952380935</v>
      </c>
      <c r="U321" s="3">
        <v>158.85714285714289</v>
      </c>
      <c r="V321" s="18">
        <v>8</v>
      </c>
      <c r="W321" s="18">
        <v>109</v>
      </c>
      <c r="X321" s="4">
        <v>14.285714285714286</v>
      </c>
      <c r="Y321" s="4">
        <v>38.095238095238095</v>
      </c>
      <c r="Z321" s="7">
        <v>9.5238095238095237</v>
      </c>
      <c r="AA321" s="5">
        <v>21</v>
      </c>
      <c r="AB321" s="3">
        <v>48.599439775910362</v>
      </c>
      <c r="AC321" s="3">
        <v>64.761904761904759</v>
      </c>
      <c r="AD321" s="3">
        <v>57.864357864357871</v>
      </c>
      <c r="AE321" s="3">
        <v>57.075234134057666</v>
      </c>
      <c r="AF321" s="3">
        <v>171.225702402173</v>
      </c>
      <c r="AG321" s="18">
        <v>3</v>
      </c>
      <c r="AH321" s="18">
        <v>40</v>
      </c>
      <c r="AI321" s="4">
        <v>4.7619047619047619</v>
      </c>
      <c r="AJ321" s="4">
        <v>4.7619047619047619</v>
      </c>
      <c r="AK321" s="7">
        <v>0</v>
      </c>
      <c r="AL321" s="5">
        <v>22</v>
      </c>
      <c r="AM321" s="3">
        <v>64.438502673796791</v>
      </c>
      <c r="AN321" s="3">
        <v>43.506493506493499</v>
      </c>
      <c r="AO321" s="3">
        <v>71.122994652406433</v>
      </c>
      <c r="AP321" s="3">
        <v>59.689330277565567</v>
      </c>
      <c r="AQ321" s="3">
        <v>179.06799083269672</v>
      </c>
      <c r="AR321" s="18">
        <v>1</v>
      </c>
      <c r="AS321" s="18">
        <v>44</v>
      </c>
      <c r="AT321" s="4">
        <v>4.5454545454545459</v>
      </c>
      <c r="AU321" s="4">
        <v>31.818181818181817</v>
      </c>
      <c r="AV321" s="7">
        <v>4.5454545454545459</v>
      </c>
      <c r="AW321" s="10">
        <f t="shared" si="82"/>
        <v>21.333333333333332</v>
      </c>
      <c r="AX321" s="9">
        <f t="shared" si="83"/>
        <v>55.880372350960585</v>
      </c>
      <c r="AY321" s="9">
        <f t="shared" si="84"/>
        <v>50.629148629148631</v>
      </c>
      <c r="AZ321" s="9">
        <f t="shared" si="85"/>
        <v>63.207424383894988</v>
      </c>
      <c r="BA321" s="9">
        <f t="shared" si="86"/>
        <v>56.572315121334725</v>
      </c>
      <c r="BB321" s="9">
        <f t="shared" si="87"/>
        <v>169.7169453640042</v>
      </c>
      <c r="BC321" s="10">
        <f t="shared" si="95"/>
        <v>3</v>
      </c>
      <c r="BD321" s="10">
        <f t="shared" si="88"/>
        <v>58</v>
      </c>
      <c r="BE321" s="4">
        <f t="shared" si="91"/>
        <v>4.6536796536796539</v>
      </c>
      <c r="BF321" s="4">
        <f t="shared" si="92"/>
        <v>18.29004329004329</v>
      </c>
      <c r="BG321" s="7">
        <f t="shared" si="93"/>
        <v>2.2727272727272729</v>
      </c>
      <c r="BH321" s="5">
        <v>23</v>
      </c>
      <c r="BI321" s="3">
        <v>60.665217391304346</v>
      </c>
      <c r="BJ321" s="3">
        <v>44.926086956521736</v>
      </c>
      <c r="BK321" s="3">
        <v>52.182608695652178</v>
      </c>
      <c r="BL321" s="3">
        <v>52.591304347826096</v>
      </c>
      <c r="BM321" s="3">
        <v>157.77391304347827</v>
      </c>
      <c r="BN321" s="18">
        <v>3</v>
      </c>
      <c r="BO321" s="18">
        <v>19</v>
      </c>
      <c r="BP321" s="4">
        <v>13.043478260869565</v>
      </c>
      <c r="BQ321" s="4">
        <v>34.782608695652172</v>
      </c>
      <c r="BR321" s="7">
        <v>30.434782608695652</v>
      </c>
      <c r="BS321" s="18"/>
      <c r="BT321" s="23">
        <v>161</v>
      </c>
    </row>
    <row r="322" spans="1:72" x14ac:dyDescent="0.25">
      <c r="A322" s="18">
        <v>317</v>
      </c>
      <c r="B322" s="18" t="s">
        <v>32</v>
      </c>
      <c r="C322" s="18">
        <v>167</v>
      </c>
      <c r="D322" s="21" t="s">
        <v>9</v>
      </c>
      <c r="E322" s="5"/>
      <c r="F322" s="3">
        <v>44</v>
      </c>
      <c r="G322" s="3">
        <v>39.6</v>
      </c>
      <c r="H322" s="3">
        <v>38.666666666666664</v>
      </c>
      <c r="I322" s="3">
        <f t="shared" si="80"/>
        <v>40.755555555555553</v>
      </c>
      <c r="J322" s="3">
        <f t="shared" si="81"/>
        <v>122.26666666666665</v>
      </c>
      <c r="K322" s="18">
        <f t="shared" si="94"/>
        <v>12</v>
      </c>
      <c r="L322" s="18">
        <f t="shared" si="79"/>
        <v>185</v>
      </c>
      <c r="M322" s="4"/>
      <c r="N322" s="4"/>
      <c r="O322" s="7"/>
      <c r="P322" s="5">
        <v>203</v>
      </c>
      <c r="Q322" s="3">
        <v>46.584564860426909</v>
      </c>
      <c r="R322" s="3">
        <v>48.78817733990148</v>
      </c>
      <c r="S322" s="3">
        <v>55.680473372781087</v>
      </c>
      <c r="T322" s="3">
        <v>50.035942028985552</v>
      </c>
      <c r="U322" s="3">
        <v>151.05321557310947</v>
      </c>
      <c r="V322" s="18">
        <v>11</v>
      </c>
      <c r="W322" s="18">
        <v>141</v>
      </c>
      <c r="X322" s="4">
        <v>27.093596059113299</v>
      </c>
      <c r="Y322" s="4">
        <v>25.373134328358208</v>
      </c>
      <c r="Z322" s="7">
        <v>23.668639053254438</v>
      </c>
      <c r="AA322" s="5">
        <v>213</v>
      </c>
      <c r="AB322" s="3">
        <v>38.963449457452889</v>
      </c>
      <c r="AC322" s="3">
        <v>38.601941747572816</v>
      </c>
      <c r="AD322" s="3">
        <v>52.245989304812817</v>
      </c>
      <c r="AE322" s="3">
        <v>42.086608518076254</v>
      </c>
      <c r="AF322" s="3">
        <v>129.81138050983853</v>
      </c>
      <c r="AG322" s="18">
        <v>13</v>
      </c>
      <c r="AH322" s="18">
        <v>175</v>
      </c>
      <c r="AI322" s="4">
        <v>34.466019417475728</v>
      </c>
      <c r="AJ322" s="4">
        <v>28.640776699029125</v>
      </c>
      <c r="AK322" s="7">
        <v>27.647058823529413</v>
      </c>
      <c r="AL322" s="5">
        <v>213</v>
      </c>
      <c r="AM322" s="3">
        <v>48.232323232323232</v>
      </c>
      <c r="AN322" s="3">
        <v>34.646464646464715</v>
      </c>
      <c r="AO322" s="3">
        <v>49.459783913565445</v>
      </c>
      <c r="AP322" s="3">
        <v>44.046204340322021</v>
      </c>
      <c r="AQ322" s="3">
        <v>132.33857179235338</v>
      </c>
      <c r="AR322" s="18">
        <v>17</v>
      </c>
      <c r="AS322" s="18">
        <v>225</v>
      </c>
      <c r="AT322" s="4">
        <v>19.19191919191919</v>
      </c>
      <c r="AU322" s="4">
        <v>26.767676767676768</v>
      </c>
      <c r="AV322" s="7">
        <v>29.591836734693878</v>
      </c>
      <c r="AW322" s="10">
        <f t="shared" si="82"/>
        <v>209.66666666666666</v>
      </c>
      <c r="AX322" s="9">
        <f t="shared" si="83"/>
        <v>44.593445850067674</v>
      </c>
      <c r="AY322" s="9">
        <f t="shared" si="84"/>
        <v>40.678861244646335</v>
      </c>
      <c r="AZ322" s="9">
        <f t="shared" si="85"/>
        <v>52.462082197053121</v>
      </c>
      <c r="BA322" s="9">
        <f t="shared" si="86"/>
        <v>45.389584962461278</v>
      </c>
      <c r="BB322" s="9">
        <f t="shared" si="87"/>
        <v>137.73438929176712</v>
      </c>
      <c r="BC322" s="10">
        <f t="shared" si="95"/>
        <v>15</v>
      </c>
      <c r="BD322" s="10">
        <f t="shared" si="88"/>
        <v>178</v>
      </c>
      <c r="BE322" s="4">
        <f t="shared" si="91"/>
        <v>26.828969304697459</v>
      </c>
      <c r="BF322" s="4">
        <f t="shared" si="92"/>
        <v>27.704226733352947</v>
      </c>
      <c r="BG322" s="7">
        <f t="shared" si="93"/>
        <v>28.619447779111646</v>
      </c>
      <c r="BH322" s="5">
        <v>213</v>
      </c>
      <c r="BI322" s="3">
        <v>57.123584905660358</v>
      </c>
      <c r="BJ322" s="3">
        <v>35.938207547169803</v>
      </c>
      <c r="BK322" s="3">
        <v>44.519339622641503</v>
      </c>
      <c r="BL322" s="3">
        <v>45.860377358490567</v>
      </c>
      <c r="BM322" s="3">
        <v>137.58113207547174</v>
      </c>
      <c r="BN322" s="18">
        <v>11</v>
      </c>
      <c r="BO322" s="18">
        <v>83</v>
      </c>
      <c r="BP322" s="4">
        <v>14.150943396226415</v>
      </c>
      <c r="BQ322" s="4">
        <v>52.358490566037737</v>
      </c>
      <c r="BR322" s="7">
        <v>39.622641509433961</v>
      </c>
      <c r="BS322" s="18"/>
      <c r="BT322" s="23">
        <v>167</v>
      </c>
    </row>
    <row r="323" spans="1:72" x14ac:dyDescent="0.25">
      <c r="A323" s="18">
        <v>318</v>
      </c>
      <c r="B323" s="18" t="s">
        <v>32</v>
      </c>
      <c r="C323" s="18">
        <v>173</v>
      </c>
      <c r="D323" s="21" t="s">
        <v>9</v>
      </c>
      <c r="E323" s="5"/>
      <c r="F323" s="3">
        <v>43.333333333333336</v>
      </c>
      <c r="G323" s="3">
        <v>39.6</v>
      </c>
      <c r="H323" s="3">
        <v>30.666666666666664</v>
      </c>
      <c r="I323" s="3">
        <f t="shared" si="80"/>
        <v>37.866666666666667</v>
      </c>
      <c r="J323" s="3">
        <f t="shared" si="81"/>
        <v>113.6</v>
      </c>
      <c r="K323" s="18">
        <f t="shared" si="94"/>
        <v>17</v>
      </c>
      <c r="L323" s="18">
        <f t="shared" si="79"/>
        <v>222</v>
      </c>
      <c r="M323" s="4"/>
      <c r="N323" s="4"/>
      <c r="O323" s="7"/>
      <c r="P323" s="5">
        <v>26</v>
      </c>
      <c r="Q323" s="3">
        <v>35.384615384615394</v>
      </c>
      <c r="R323" s="3">
        <v>39.384615384615387</v>
      </c>
      <c r="S323" s="3">
        <v>30.38461538461538</v>
      </c>
      <c r="T323" s="3">
        <v>35.051282051282058</v>
      </c>
      <c r="U323" s="3">
        <v>105.15384615384616</v>
      </c>
      <c r="V323" s="18">
        <v>19</v>
      </c>
      <c r="W323" s="18">
        <v>293</v>
      </c>
      <c r="X323" s="4">
        <v>42.307692307692307</v>
      </c>
      <c r="Y323" s="4">
        <v>26.923076923076923</v>
      </c>
      <c r="Z323" s="7">
        <v>69.230769230769226</v>
      </c>
      <c r="AA323" s="5">
        <v>36</v>
      </c>
      <c r="AB323" s="3">
        <v>36.308316430020277</v>
      </c>
      <c r="AC323" s="3">
        <v>25.931034482758619</v>
      </c>
      <c r="AD323" s="3">
        <v>32.601880877742943</v>
      </c>
      <c r="AE323" s="3">
        <v>31.61374393017395</v>
      </c>
      <c r="AF323" s="3">
        <v>94.841231790521846</v>
      </c>
      <c r="AG323" s="18">
        <v>19</v>
      </c>
      <c r="AH323" s="18">
        <v>293</v>
      </c>
      <c r="AI323" s="4">
        <v>37.931034482758619</v>
      </c>
      <c r="AJ323" s="4">
        <v>68.965517241379317</v>
      </c>
      <c r="AK323" s="7">
        <v>41.379310344827587</v>
      </c>
      <c r="AL323" s="5">
        <v>30</v>
      </c>
      <c r="AM323" s="3">
        <v>34.705882352941181</v>
      </c>
      <c r="AN323" s="3">
        <v>17.931034482758616</v>
      </c>
      <c r="AO323" s="3">
        <v>23.420479302832241</v>
      </c>
      <c r="AP323" s="3">
        <v>25.166666666666671</v>
      </c>
      <c r="AQ323" s="3">
        <v>76.057396138532027</v>
      </c>
      <c r="AR323" s="18">
        <v>20</v>
      </c>
      <c r="AS323" s="18">
        <v>304</v>
      </c>
      <c r="AT323" s="4">
        <v>60</v>
      </c>
      <c r="AU323" s="4">
        <v>82.758620689655174</v>
      </c>
      <c r="AV323" s="7">
        <v>77.777777777777771</v>
      </c>
      <c r="AW323" s="10">
        <f t="shared" si="82"/>
        <v>30.666666666666668</v>
      </c>
      <c r="AX323" s="9">
        <f t="shared" si="83"/>
        <v>35.466271389192286</v>
      </c>
      <c r="AY323" s="9">
        <f t="shared" si="84"/>
        <v>27.748894783377541</v>
      </c>
      <c r="AZ323" s="9">
        <f t="shared" si="85"/>
        <v>28.802325188396853</v>
      </c>
      <c r="BA323" s="9">
        <f t="shared" si="86"/>
        <v>30.610564216040896</v>
      </c>
      <c r="BB323" s="9">
        <f t="shared" si="87"/>
        <v>92.017491360966687</v>
      </c>
      <c r="BC323" s="10">
        <f t="shared" si="95"/>
        <v>20</v>
      </c>
      <c r="BD323" s="10">
        <f t="shared" si="88"/>
        <v>304</v>
      </c>
      <c r="BE323" s="4">
        <f t="shared" si="91"/>
        <v>48.96551724137931</v>
      </c>
      <c r="BF323" s="4">
        <f t="shared" si="92"/>
        <v>75.862068965517238</v>
      </c>
      <c r="BG323" s="7">
        <f t="shared" si="93"/>
        <v>59.578544061302679</v>
      </c>
      <c r="BH323" s="5">
        <v>34</v>
      </c>
      <c r="BI323" s="3">
        <v>41.5</v>
      </c>
      <c r="BJ323" s="3">
        <v>24.091176470588234</v>
      </c>
      <c r="BK323" s="3">
        <v>21.79117647058824</v>
      </c>
      <c r="BL323" s="3">
        <v>29.127450980392162</v>
      </c>
      <c r="BM323" s="3">
        <v>87.382352941176464</v>
      </c>
      <c r="BN323" s="18">
        <v>20</v>
      </c>
      <c r="BO323" s="18">
        <v>290</v>
      </c>
      <c r="BP323" s="4">
        <v>26.470588235294116</v>
      </c>
      <c r="BQ323" s="4">
        <v>76.470588235294116</v>
      </c>
      <c r="BR323" s="7">
        <v>85.294117647058826</v>
      </c>
      <c r="BS323" s="18"/>
      <c r="BT323" s="23">
        <v>173</v>
      </c>
    </row>
    <row r="324" spans="1:72" x14ac:dyDescent="0.25">
      <c r="A324" s="18">
        <v>319</v>
      </c>
      <c r="B324" s="18" t="s">
        <v>32</v>
      </c>
      <c r="C324" s="18">
        <v>175</v>
      </c>
      <c r="D324" s="21" t="s">
        <v>9</v>
      </c>
      <c r="E324" s="5"/>
      <c r="F324" s="3">
        <v>49</v>
      </c>
      <c r="G324" s="3">
        <v>51.2</v>
      </c>
      <c r="H324" s="3">
        <v>44.666666666666664</v>
      </c>
      <c r="I324" s="3">
        <f t="shared" si="80"/>
        <v>48.288888888888891</v>
      </c>
      <c r="J324" s="3">
        <f t="shared" si="81"/>
        <v>144.86666666666667</v>
      </c>
      <c r="K324" s="18">
        <f t="shared" si="94"/>
        <v>5</v>
      </c>
      <c r="L324" s="18">
        <f t="shared" si="79"/>
        <v>105</v>
      </c>
      <c r="M324" s="4"/>
      <c r="N324" s="4"/>
      <c r="O324" s="7"/>
      <c r="P324" s="5">
        <v>90</v>
      </c>
      <c r="Q324" s="3">
        <v>63.259259259259267</v>
      </c>
      <c r="R324" s="3">
        <v>55.6</v>
      </c>
      <c r="S324" s="3">
        <v>67.074074074074034</v>
      </c>
      <c r="T324" s="3">
        <v>61.977777777777789</v>
      </c>
      <c r="U324" s="3">
        <v>185.93333333333328</v>
      </c>
      <c r="V324" s="18">
        <v>2</v>
      </c>
      <c r="W324" s="18">
        <v>45</v>
      </c>
      <c r="X324" s="4">
        <v>8.8888888888888893</v>
      </c>
      <c r="Y324" s="4">
        <v>8.8888888888888893</v>
      </c>
      <c r="Z324" s="7">
        <v>7.7777777777777777</v>
      </c>
      <c r="AA324" s="5">
        <v>93</v>
      </c>
      <c r="AB324" s="3">
        <v>53.873744619799119</v>
      </c>
      <c r="AC324" s="3">
        <v>46.146341463414636</v>
      </c>
      <c r="AD324" s="3">
        <v>56.490834268612041</v>
      </c>
      <c r="AE324" s="3">
        <v>52.092032230482737</v>
      </c>
      <c r="AF324" s="3">
        <v>156.5109203518258</v>
      </c>
      <c r="AG324" s="18">
        <v>6</v>
      </c>
      <c r="AH324" s="18">
        <v>78</v>
      </c>
      <c r="AI324" s="4">
        <v>18.292682926829269</v>
      </c>
      <c r="AJ324" s="4">
        <v>28.048780487804876</v>
      </c>
      <c r="AK324" s="7">
        <v>11.111111111111111</v>
      </c>
      <c r="AL324" s="5">
        <v>93</v>
      </c>
      <c r="AM324" s="3">
        <v>57.37155621742366</v>
      </c>
      <c r="AN324" s="3">
        <v>33.562386980108499</v>
      </c>
      <c r="AO324" s="3">
        <v>65.648567119155388</v>
      </c>
      <c r="AP324" s="3">
        <v>52.162713186540458</v>
      </c>
      <c r="AQ324" s="3">
        <v>156.58251031668755</v>
      </c>
      <c r="AR324" s="18">
        <v>6</v>
      </c>
      <c r="AS324" s="18">
        <v>114</v>
      </c>
      <c r="AT324" s="4">
        <v>8.8607594936708853</v>
      </c>
      <c r="AU324" s="4">
        <v>43.037974683544306</v>
      </c>
      <c r="AV324" s="7">
        <v>3.8461538461538463</v>
      </c>
      <c r="AW324" s="10">
        <f t="shared" si="82"/>
        <v>92</v>
      </c>
      <c r="AX324" s="9">
        <f t="shared" si="83"/>
        <v>58.168186698827348</v>
      </c>
      <c r="AY324" s="9">
        <f t="shared" si="84"/>
        <v>45.102909481174379</v>
      </c>
      <c r="AZ324" s="9">
        <f t="shared" si="85"/>
        <v>63.071158487280485</v>
      </c>
      <c r="BA324" s="9">
        <f t="shared" si="86"/>
        <v>55.410841064933663</v>
      </c>
      <c r="BB324" s="9">
        <f t="shared" si="87"/>
        <v>166.34225466728222</v>
      </c>
      <c r="BC324" s="10">
        <f t="shared" si="95"/>
        <v>4</v>
      </c>
      <c r="BD324" s="10">
        <f t="shared" si="88"/>
        <v>70</v>
      </c>
      <c r="BE324" s="4">
        <f t="shared" si="91"/>
        <v>13.576721210250078</v>
      </c>
      <c r="BF324" s="4">
        <f t="shared" si="92"/>
        <v>35.543377585674591</v>
      </c>
      <c r="BG324" s="7">
        <f t="shared" si="93"/>
        <v>7.4786324786324787</v>
      </c>
      <c r="BH324" s="5">
        <v>93</v>
      </c>
      <c r="BI324" s="3">
        <v>61.963440860215044</v>
      </c>
      <c r="BJ324" s="3">
        <v>39.162365591397858</v>
      </c>
      <c r="BK324" s="3">
        <v>53.977419354838709</v>
      </c>
      <c r="BL324" s="3">
        <v>51.701075268817192</v>
      </c>
      <c r="BM324" s="3">
        <v>155.10322580645169</v>
      </c>
      <c r="BN324" s="18">
        <v>4</v>
      </c>
      <c r="BO324" s="18">
        <v>24</v>
      </c>
      <c r="BP324" s="4">
        <v>10.75268817204301</v>
      </c>
      <c r="BQ324" s="4">
        <v>48.387096774193552</v>
      </c>
      <c r="BR324" s="7">
        <v>30.107526881720432</v>
      </c>
      <c r="BS324" s="18"/>
      <c r="BT324" s="23">
        <v>175</v>
      </c>
    </row>
    <row r="325" spans="1:72" x14ac:dyDescent="0.25">
      <c r="A325" s="1">
        <v>320</v>
      </c>
      <c r="B325" s="18" t="s">
        <v>32</v>
      </c>
      <c r="C325" s="18">
        <v>176</v>
      </c>
      <c r="D325" s="21" t="s">
        <v>9</v>
      </c>
      <c r="E325" s="5"/>
      <c r="F325" s="3">
        <v>47.666666666666664</v>
      </c>
      <c r="G325" s="3">
        <v>49.6</v>
      </c>
      <c r="H325" s="3">
        <v>46.666666666666664</v>
      </c>
      <c r="I325" s="3">
        <f t="shared" si="80"/>
        <v>47.977777777777781</v>
      </c>
      <c r="J325" s="3">
        <f t="shared" si="81"/>
        <v>143.93333333333334</v>
      </c>
      <c r="K325" s="18">
        <f t="shared" si="94"/>
        <v>6</v>
      </c>
      <c r="L325" s="18">
        <f t="shared" si="79"/>
        <v>111</v>
      </c>
      <c r="M325" s="4"/>
      <c r="N325" s="4"/>
      <c r="O325" s="7"/>
      <c r="P325" s="5">
        <v>60</v>
      </c>
      <c r="Q325" s="3">
        <v>50.500000000000014</v>
      </c>
      <c r="R325" s="3">
        <v>46.6</v>
      </c>
      <c r="S325" s="3">
        <v>54.3888888888889</v>
      </c>
      <c r="T325" s="3">
        <v>50.496296296296286</v>
      </c>
      <c r="U325" s="3">
        <v>151.48888888888894</v>
      </c>
      <c r="V325" s="18">
        <v>10</v>
      </c>
      <c r="W325" s="18">
        <v>138</v>
      </c>
      <c r="X325" s="4">
        <v>21.666666666666668</v>
      </c>
      <c r="Y325" s="4">
        <v>36.666666666666664</v>
      </c>
      <c r="Z325" s="7">
        <v>13.333333333333334</v>
      </c>
      <c r="AA325" s="5">
        <v>70</v>
      </c>
      <c r="AB325" s="3">
        <v>38.193277310924373</v>
      </c>
      <c r="AC325" s="3">
        <v>46</v>
      </c>
      <c r="AD325" s="3">
        <v>48.4375</v>
      </c>
      <c r="AE325" s="3">
        <v>43.629131652661052</v>
      </c>
      <c r="AF325" s="3">
        <v>132.63077731092437</v>
      </c>
      <c r="AG325" s="18">
        <v>11</v>
      </c>
      <c r="AH325" s="18">
        <v>167</v>
      </c>
      <c r="AI325" s="4">
        <v>38.571428571428569</v>
      </c>
      <c r="AJ325" s="4">
        <v>24.242424242424242</v>
      </c>
      <c r="AK325" s="7">
        <v>29.6875</v>
      </c>
      <c r="AL325" s="5">
        <v>71</v>
      </c>
      <c r="AM325" s="3">
        <v>54.127134724857711</v>
      </c>
      <c r="AN325" s="3">
        <v>41.105990783410135</v>
      </c>
      <c r="AO325" s="3">
        <v>49.373191899710704</v>
      </c>
      <c r="AP325" s="3">
        <v>48.561580882352942</v>
      </c>
      <c r="AQ325" s="3">
        <v>144.60631740797857</v>
      </c>
      <c r="AR325" s="18">
        <v>12</v>
      </c>
      <c r="AS325" s="18">
        <v>167</v>
      </c>
      <c r="AT325" s="4">
        <v>17.741935483870968</v>
      </c>
      <c r="AU325" s="4">
        <v>32.258064516129032</v>
      </c>
      <c r="AV325" s="7">
        <v>27.868852459016395</v>
      </c>
      <c r="AW325" s="10">
        <f t="shared" si="82"/>
        <v>67</v>
      </c>
      <c r="AX325" s="9">
        <f t="shared" si="83"/>
        <v>47.606804011927373</v>
      </c>
      <c r="AY325" s="9">
        <f t="shared" si="84"/>
        <v>44.568663594470046</v>
      </c>
      <c r="AZ325" s="9">
        <f t="shared" si="85"/>
        <v>50.733193596199868</v>
      </c>
      <c r="BA325" s="9">
        <f t="shared" si="86"/>
        <v>47.562336277103419</v>
      </c>
      <c r="BB325" s="9">
        <f t="shared" si="87"/>
        <v>142.9086612025973</v>
      </c>
      <c r="BC325" s="10">
        <f t="shared" si="95"/>
        <v>10</v>
      </c>
      <c r="BD325" s="10">
        <f t="shared" si="88"/>
        <v>154</v>
      </c>
      <c r="BE325" s="4">
        <f t="shared" si="91"/>
        <v>28.156682027649769</v>
      </c>
      <c r="BF325" s="4">
        <f t="shared" si="92"/>
        <v>28.250244379276637</v>
      </c>
      <c r="BG325" s="7">
        <f t="shared" si="93"/>
        <v>28.778176229508198</v>
      </c>
      <c r="BH325" s="5">
        <v>69</v>
      </c>
      <c r="BI325" s="3">
        <v>48.497058823529422</v>
      </c>
      <c r="BJ325" s="3">
        <v>32.39411764705882</v>
      </c>
      <c r="BK325" s="3">
        <v>33.732352941176458</v>
      </c>
      <c r="BL325" s="3">
        <v>38.207843137254898</v>
      </c>
      <c r="BM325" s="3">
        <v>114.62352941176472</v>
      </c>
      <c r="BN325" s="18">
        <v>17</v>
      </c>
      <c r="BO325" s="18">
        <v>204</v>
      </c>
      <c r="BP325" s="4">
        <v>33.823529411764703</v>
      </c>
      <c r="BQ325" s="4">
        <v>57.352941176470587</v>
      </c>
      <c r="BR325" s="7">
        <v>60.294117647058826</v>
      </c>
      <c r="BS325" s="18"/>
      <c r="BT325" s="23">
        <v>176</v>
      </c>
    </row>
    <row r="326" spans="1:72" x14ac:dyDescent="0.25">
      <c r="A326" s="18">
        <v>321</v>
      </c>
      <c r="B326" s="18" t="s">
        <v>32</v>
      </c>
      <c r="C326" s="18">
        <v>225</v>
      </c>
      <c r="D326" s="21" t="s">
        <v>9</v>
      </c>
      <c r="E326" s="5"/>
      <c r="F326" s="3">
        <v>45.333333333333336</v>
      </c>
      <c r="G326" s="3">
        <v>40</v>
      </c>
      <c r="H326" s="3">
        <v>38</v>
      </c>
      <c r="I326" s="3">
        <f t="shared" si="80"/>
        <v>41.111111111111114</v>
      </c>
      <c r="J326" s="3">
        <f t="shared" si="81"/>
        <v>123.33333333333334</v>
      </c>
      <c r="K326" s="18">
        <f t="shared" si="94"/>
        <v>11</v>
      </c>
      <c r="L326" s="18">
        <f t="shared" si="79"/>
        <v>177</v>
      </c>
      <c r="M326" s="4"/>
      <c r="N326" s="4"/>
      <c r="O326" s="7"/>
      <c r="P326" s="5">
        <v>110</v>
      </c>
      <c r="Q326" s="3">
        <v>56</v>
      </c>
      <c r="R326" s="3">
        <v>39.854545454545452</v>
      </c>
      <c r="S326" s="3">
        <v>53.454545454545475</v>
      </c>
      <c r="T326" s="3">
        <v>49.769696969696959</v>
      </c>
      <c r="U326" s="3">
        <v>149.30909090909091</v>
      </c>
      <c r="V326" s="18">
        <v>12</v>
      </c>
      <c r="W326" s="18">
        <v>149</v>
      </c>
      <c r="X326" s="4">
        <v>6.3636363636363633</v>
      </c>
      <c r="Y326" s="4">
        <v>30.90909090909091</v>
      </c>
      <c r="Z326" s="7">
        <v>21.818181818181817</v>
      </c>
      <c r="AA326" s="5">
        <v>93</v>
      </c>
      <c r="AB326" s="3">
        <v>41.24909222948439</v>
      </c>
      <c r="AC326" s="3">
        <v>36.049382716049379</v>
      </c>
      <c r="AD326" s="3">
        <v>51.402918069584715</v>
      </c>
      <c r="AE326" s="3">
        <v>42.900464338372835</v>
      </c>
      <c r="AF326" s="3">
        <v>128.70139301511847</v>
      </c>
      <c r="AG326" s="18">
        <v>14</v>
      </c>
      <c r="AH326" s="18">
        <v>182</v>
      </c>
      <c r="AI326" s="4">
        <v>23.456790123456791</v>
      </c>
      <c r="AJ326" s="4">
        <v>41.97530864197531</v>
      </c>
      <c r="AK326" s="7">
        <v>16.25</v>
      </c>
      <c r="AL326" s="5">
        <v>115</v>
      </c>
      <c r="AM326" s="3">
        <v>49.703184025903944</v>
      </c>
      <c r="AN326" s="3">
        <v>26.684141546526867</v>
      </c>
      <c r="AO326" s="3">
        <v>58.175930922827838</v>
      </c>
      <c r="AP326" s="3">
        <v>44.854418831752866</v>
      </c>
      <c r="AQ326" s="3">
        <v>134.56325649525866</v>
      </c>
      <c r="AR326" s="18">
        <v>16</v>
      </c>
      <c r="AS326" s="18">
        <v>214</v>
      </c>
      <c r="AT326" s="4">
        <v>20.183486238532112</v>
      </c>
      <c r="AU326" s="4">
        <v>63.302752293577981</v>
      </c>
      <c r="AV326" s="7">
        <v>20.183486238532112</v>
      </c>
      <c r="AW326" s="10">
        <f t="shared" si="82"/>
        <v>106</v>
      </c>
      <c r="AX326" s="9">
        <f t="shared" si="83"/>
        <v>48.984092085129447</v>
      </c>
      <c r="AY326" s="9">
        <f t="shared" si="84"/>
        <v>34.196023239040564</v>
      </c>
      <c r="AZ326" s="9">
        <f t="shared" si="85"/>
        <v>54.344464815652678</v>
      </c>
      <c r="BA326" s="9">
        <f t="shared" si="86"/>
        <v>45.84152671327422</v>
      </c>
      <c r="BB326" s="9">
        <f t="shared" si="87"/>
        <v>137.52458013982269</v>
      </c>
      <c r="BC326" s="10">
        <f t="shared" si="95"/>
        <v>16</v>
      </c>
      <c r="BD326" s="10">
        <f t="shared" si="88"/>
        <v>181</v>
      </c>
      <c r="BE326" s="4">
        <f t="shared" si="91"/>
        <v>21.820138180994451</v>
      </c>
      <c r="BF326" s="4">
        <f t="shared" si="92"/>
        <v>52.639030467776649</v>
      </c>
      <c r="BG326" s="7">
        <f t="shared" si="93"/>
        <v>18.216743119266056</v>
      </c>
      <c r="BH326" s="5">
        <v>115</v>
      </c>
      <c r="BI326" s="3">
        <v>62.571929824561401</v>
      </c>
      <c r="BJ326" s="3">
        <v>39.314912280701762</v>
      </c>
      <c r="BK326" s="3">
        <v>47.442982456140378</v>
      </c>
      <c r="BL326" s="3">
        <v>49.776608187134507</v>
      </c>
      <c r="BM326" s="3">
        <v>149.32982456140343</v>
      </c>
      <c r="BN326" s="18">
        <v>5</v>
      </c>
      <c r="BO326" s="18">
        <v>38</v>
      </c>
      <c r="BP326" s="4">
        <v>6.1403508771929829</v>
      </c>
      <c r="BQ326" s="4">
        <v>46.491228070175438</v>
      </c>
      <c r="BR326" s="7">
        <v>30.701754385964911</v>
      </c>
      <c r="BS326" s="18"/>
      <c r="BT326" s="23">
        <v>225</v>
      </c>
    </row>
    <row r="327" spans="1:72" x14ac:dyDescent="0.25">
      <c r="A327" s="18">
        <v>322</v>
      </c>
      <c r="B327" s="18" t="s">
        <v>32</v>
      </c>
      <c r="C327" s="18">
        <v>286</v>
      </c>
      <c r="D327" s="21" t="s">
        <v>9</v>
      </c>
      <c r="E327" s="5"/>
      <c r="F327" s="3">
        <v>50.333333333333336</v>
      </c>
      <c r="G327" s="3">
        <v>54</v>
      </c>
      <c r="H327" s="3">
        <v>47</v>
      </c>
      <c r="I327" s="3">
        <f t="shared" ref="I327:I329" si="96">IF(F327="","",AVERAGE(F327:H327))</f>
        <v>50.44444444444445</v>
      </c>
      <c r="J327" s="3">
        <f t="shared" ref="J327:J329" si="97">IF(F327="","",SUM(F327:H327))</f>
        <v>151.33333333333334</v>
      </c>
      <c r="K327" s="18">
        <f t="shared" si="94"/>
        <v>4</v>
      </c>
      <c r="L327" s="18">
        <f t="shared" si="79"/>
        <v>73</v>
      </c>
      <c r="M327" s="4"/>
      <c r="N327" s="4"/>
      <c r="O327" s="7"/>
      <c r="P327" s="5">
        <v>175</v>
      </c>
      <c r="Q327" s="3">
        <v>54.59047619047616</v>
      </c>
      <c r="R327" s="3">
        <v>49.691428571428574</v>
      </c>
      <c r="S327" s="3">
        <v>61.580952380952368</v>
      </c>
      <c r="T327" s="3">
        <v>55.287619047619053</v>
      </c>
      <c r="U327" s="3">
        <v>165.86285714285711</v>
      </c>
      <c r="V327" s="18">
        <v>4</v>
      </c>
      <c r="W327" s="18">
        <v>92</v>
      </c>
      <c r="X327" s="4">
        <v>12.571428571428571</v>
      </c>
      <c r="Y327" s="4">
        <v>23.428571428571427</v>
      </c>
      <c r="Z327" s="7">
        <v>14.285714285714286</v>
      </c>
      <c r="AA327" s="5">
        <v>208</v>
      </c>
      <c r="AB327" s="3">
        <v>38.860103626942987</v>
      </c>
      <c r="AC327" s="3">
        <v>42.880829015544045</v>
      </c>
      <c r="AD327" s="3">
        <v>57.811273355314768</v>
      </c>
      <c r="AE327" s="3">
        <v>46.517401999267278</v>
      </c>
      <c r="AF327" s="3">
        <v>139.55220599780179</v>
      </c>
      <c r="AG327" s="18">
        <v>9</v>
      </c>
      <c r="AH327" s="18">
        <v>134</v>
      </c>
      <c r="AI327" s="4">
        <v>36.269430051813472</v>
      </c>
      <c r="AJ327" s="4">
        <v>27.461139896373059</v>
      </c>
      <c r="AK327" s="7">
        <v>12.953367875647668</v>
      </c>
      <c r="AL327" s="5">
        <v>209</v>
      </c>
      <c r="AM327" s="3">
        <v>52.957248473159773</v>
      </c>
      <c r="AN327" s="3">
        <v>32.989851678376262</v>
      </c>
      <c r="AO327" s="3">
        <v>57.280617164898757</v>
      </c>
      <c r="AP327" s="3">
        <v>47.74257243881155</v>
      </c>
      <c r="AQ327" s="3">
        <v>143.22771731643479</v>
      </c>
      <c r="AR327" s="18">
        <v>14</v>
      </c>
      <c r="AS327" s="18">
        <v>171</v>
      </c>
      <c r="AT327" s="4">
        <v>14.207650273224044</v>
      </c>
      <c r="AU327" s="4">
        <v>51.912568306010932</v>
      </c>
      <c r="AV327" s="7">
        <v>19.125683060109289</v>
      </c>
      <c r="AW327" s="10">
        <f t="shared" ref="AW327:AW328" si="98">AVERAGE(P327,AA327,AL327)</f>
        <v>197.33333333333334</v>
      </c>
      <c r="AX327" s="9">
        <f t="shared" ref="AX327:AX328" si="99">AVERAGE(Q327,AB327,AM327)</f>
        <v>48.802609430192973</v>
      </c>
      <c r="AY327" s="9">
        <f t="shared" ref="AY327:AY328" si="100">AVERAGE(R327,AC327,AN327)</f>
        <v>41.854036421782958</v>
      </c>
      <c r="AZ327" s="9">
        <f t="shared" ref="AZ327:AZ328" si="101">AVERAGE(S327,AD327,AO327)</f>
        <v>58.890947633721964</v>
      </c>
      <c r="BA327" s="9">
        <f t="shared" ref="BA327:BA328" si="102">AVERAGE(T327,AE327,AP327)</f>
        <v>49.849197828565963</v>
      </c>
      <c r="BB327" s="9">
        <f t="shared" ref="BB327:BB328" si="103">AVERAGE(U327,AF327,AQ327)</f>
        <v>149.54759348569789</v>
      </c>
      <c r="BC327" s="10">
        <f t="shared" si="95"/>
        <v>9</v>
      </c>
      <c r="BD327" s="10">
        <f t="shared" ref="BD327:BD328" si="104">IF(BB327="","",(RANK(BB327,$BB$6:$BB$535)))</f>
        <v>127</v>
      </c>
      <c r="BE327" s="4">
        <f t="shared" si="91"/>
        <v>25.23854016251876</v>
      </c>
      <c r="BF327" s="4">
        <f t="shared" si="92"/>
        <v>39.686854101191997</v>
      </c>
      <c r="BG327" s="7">
        <f t="shared" si="93"/>
        <v>16.039525467878477</v>
      </c>
      <c r="BH327" s="5">
        <v>206</v>
      </c>
      <c r="BI327" s="3">
        <v>56.983414634146378</v>
      </c>
      <c r="BJ327" s="3">
        <v>36.605853658536581</v>
      </c>
      <c r="BK327" s="3">
        <v>44.104390243902436</v>
      </c>
      <c r="BL327" s="3">
        <v>45.897886178861803</v>
      </c>
      <c r="BM327" s="3">
        <v>137.69365853658542</v>
      </c>
      <c r="BN327" s="18">
        <v>10</v>
      </c>
      <c r="BO327" s="18">
        <v>82</v>
      </c>
      <c r="BP327" s="4">
        <v>15.121951219512194</v>
      </c>
      <c r="BQ327" s="4">
        <v>48.292682926829265</v>
      </c>
      <c r="BR327" s="7">
        <v>40</v>
      </c>
      <c r="BS327" s="18"/>
      <c r="BT327" s="23">
        <v>286</v>
      </c>
    </row>
    <row r="328" spans="1:72" x14ac:dyDescent="0.25">
      <c r="A328" s="18">
        <v>323</v>
      </c>
      <c r="B328" s="18" t="s">
        <v>32</v>
      </c>
      <c r="C328" s="18">
        <v>308</v>
      </c>
      <c r="D328" s="21" t="s">
        <v>9</v>
      </c>
      <c r="E328" s="5"/>
      <c r="F328" s="3">
        <v>46.666666666666664</v>
      </c>
      <c r="G328" s="3">
        <v>39.200000000000003</v>
      </c>
      <c r="H328" s="3">
        <v>36</v>
      </c>
      <c r="I328" s="3">
        <f t="shared" si="96"/>
        <v>40.622222222222227</v>
      </c>
      <c r="J328" s="3">
        <f t="shared" si="97"/>
        <v>121.86666666666667</v>
      </c>
      <c r="K328" s="18">
        <f t="shared" si="94"/>
        <v>13</v>
      </c>
      <c r="L328" s="18">
        <f t="shared" si="79"/>
        <v>187</v>
      </c>
      <c r="M328" s="4"/>
      <c r="N328" s="4"/>
      <c r="O328" s="7"/>
      <c r="P328" s="5">
        <v>118</v>
      </c>
      <c r="Q328" s="3">
        <v>46.694915254237287</v>
      </c>
      <c r="R328" s="3">
        <v>40.745762711864408</v>
      </c>
      <c r="S328" s="3">
        <v>47.71186440677964</v>
      </c>
      <c r="T328" s="3">
        <v>45.050847457627142</v>
      </c>
      <c r="U328" s="3">
        <v>135.15254237288133</v>
      </c>
      <c r="V328" s="18">
        <v>18</v>
      </c>
      <c r="W328" s="18">
        <v>208</v>
      </c>
      <c r="X328" s="4">
        <v>27.118644067796609</v>
      </c>
      <c r="Y328" s="4">
        <v>44.444444444444443</v>
      </c>
      <c r="Z328" s="7">
        <v>29.661016949152543</v>
      </c>
      <c r="AA328" s="5">
        <v>141</v>
      </c>
      <c r="AB328" s="3">
        <v>36.800573888091805</v>
      </c>
      <c r="AC328" s="3">
        <v>39.284552845528452</v>
      </c>
      <c r="AD328" s="3">
        <v>50.652870165065259</v>
      </c>
      <c r="AE328" s="3">
        <v>42.245998966228527</v>
      </c>
      <c r="AF328" s="3">
        <v>126.73799689868551</v>
      </c>
      <c r="AG328" s="18">
        <v>15</v>
      </c>
      <c r="AH328" s="18">
        <v>189</v>
      </c>
      <c r="AI328" s="4">
        <v>25.203252032520325</v>
      </c>
      <c r="AJ328" s="4">
        <v>33.333333333333336</v>
      </c>
      <c r="AK328" s="7">
        <v>21.311475409836067</v>
      </c>
      <c r="AL328" s="5">
        <v>141</v>
      </c>
      <c r="AM328" s="3">
        <v>63.677666188426592</v>
      </c>
      <c r="AN328" s="3">
        <v>36.697504906083537</v>
      </c>
      <c r="AO328" s="3">
        <v>61.271249076127113</v>
      </c>
      <c r="AP328" s="3">
        <v>53.882140056879081</v>
      </c>
      <c r="AQ328" s="3">
        <v>161.64642017063724</v>
      </c>
      <c r="AR328" s="18">
        <v>5</v>
      </c>
      <c r="AS328" s="18">
        <v>95</v>
      </c>
      <c r="AT328" s="4">
        <v>5.691056910569106</v>
      </c>
      <c r="AU328" s="4">
        <v>38.211382113821138</v>
      </c>
      <c r="AV328" s="7">
        <v>11.764705882352942</v>
      </c>
      <c r="AW328" s="10">
        <f t="shared" si="98"/>
        <v>133.33333333333334</v>
      </c>
      <c r="AX328" s="9">
        <f t="shared" si="99"/>
        <v>49.05771844358523</v>
      </c>
      <c r="AY328" s="9">
        <f t="shared" si="100"/>
        <v>38.909273487825466</v>
      </c>
      <c r="AZ328" s="9">
        <f t="shared" si="101"/>
        <v>53.211994549324004</v>
      </c>
      <c r="BA328" s="9">
        <f t="shared" si="102"/>
        <v>47.059662160244919</v>
      </c>
      <c r="BB328" s="9">
        <f t="shared" si="103"/>
        <v>141.17898648073469</v>
      </c>
      <c r="BC328" s="10">
        <f t="shared" si="95"/>
        <v>13</v>
      </c>
      <c r="BD328" s="10">
        <f t="shared" si="104"/>
        <v>162</v>
      </c>
      <c r="BE328" s="4">
        <f t="shared" si="91"/>
        <v>15.447154471544716</v>
      </c>
      <c r="BF328" s="4">
        <f t="shared" si="92"/>
        <v>35.772357723577237</v>
      </c>
      <c r="BG328" s="7">
        <f t="shared" si="93"/>
        <v>16.538090646094503</v>
      </c>
      <c r="BH328" s="5">
        <v>141</v>
      </c>
      <c r="BI328" s="3">
        <v>59.961702127659578</v>
      </c>
      <c r="BJ328" s="3">
        <v>39.995035460992881</v>
      </c>
      <c r="BK328" s="3">
        <v>47.287943262411353</v>
      </c>
      <c r="BL328" s="3">
        <v>49.081560283687921</v>
      </c>
      <c r="BM328" s="3">
        <v>147.24468085106389</v>
      </c>
      <c r="BN328" s="18">
        <v>6</v>
      </c>
      <c r="BO328" s="18">
        <v>40</v>
      </c>
      <c r="BP328" s="4">
        <v>7.0921985815602833</v>
      </c>
      <c r="BQ328" s="4">
        <v>41.843971631205676</v>
      </c>
      <c r="BR328" s="7">
        <v>37.588652482269502</v>
      </c>
      <c r="BS328" s="18"/>
      <c r="BT328" s="23">
        <v>308</v>
      </c>
    </row>
    <row r="329" spans="1:72" x14ac:dyDescent="0.25">
      <c r="A329" s="18">
        <v>324</v>
      </c>
      <c r="B329" s="18"/>
      <c r="C329" s="18"/>
      <c r="D329" s="21"/>
      <c r="E329" s="5"/>
      <c r="F329" s="3"/>
      <c r="G329" s="3"/>
      <c r="H329" s="3"/>
      <c r="I329" s="3" t="str">
        <f t="shared" si="96"/>
        <v/>
      </c>
      <c r="J329" s="3" t="str">
        <f t="shared" si="97"/>
        <v/>
      </c>
      <c r="K329" s="18"/>
      <c r="L329" s="18"/>
      <c r="M329" s="4"/>
      <c r="N329" s="4"/>
      <c r="O329" s="7"/>
      <c r="P329" s="5"/>
      <c r="Q329" s="3"/>
      <c r="R329" s="3"/>
      <c r="S329" s="3"/>
      <c r="T329" s="3"/>
      <c r="U329" s="3" t="s">
        <v>35</v>
      </c>
      <c r="V329" s="18" t="s">
        <v>35</v>
      </c>
      <c r="W329" s="18" t="s">
        <v>35</v>
      </c>
      <c r="X329" s="4" t="s">
        <v>35</v>
      </c>
      <c r="Y329" s="4" t="s">
        <v>35</v>
      </c>
      <c r="Z329" s="7" t="s">
        <v>35</v>
      </c>
      <c r="AA329" s="5"/>
      <c r="AB329" s="3"/>
      <c r="AC329" s="3"/>
      <c r="AD329" s="3"/>
      <c r="AE329" s="3"/>
      <c r="AF329" s="3" t="s">
        <v>35</v>
      </c>
      <c r="AG329" s="18" t="s">
        <v>35</v>
      </c>
      <c r="AH329" s="18" t="s">
        <v>35</v>
      </c>
      <c r="AI329" s="4" t="s">
        <v>35</v>
      </c>
      <c r="AJ329" s="4" t="s">
        <v>35</v>
      </c>
      <c r="AK329" s="7" t="s">
        <v>35</v>
      </c>
      <c r="AL329" s="5"/>
      <c r="AM329" s="3"/>
      <c r="AN329" s="3"/>
      <c r="AO329" s="3"/>
      <c r="AP329" s="3"/>
      <c r="AQ329" s="3" t="s">
        <v>35</v>
      </c>
      <c r="AR329" s="18" t="s">
        <v>35</v>
      </c>
      <c r="AS329" s="18" t="s">
        <v>35</v>
      </c>
      <c r="AT329" s="4" t="s">
        <v>35</v>
      </c>
      <c r="AU329" s="4" t="s">
        <v>35</v>
      </c>
      <c r="AV329" s="7" t="s">
        <v>35</v>
      </c>
      <c r="AW329" s="5"/>
      <c r="AX329" s="3"/>
      <c r="AY329" s="3"/>
      <c r="AZ329" s="3"/>
      <c r="BA329" s="3"/>
      <c r="BB329" s="3"/>
      <c r="BC329" s="18" t="str">
        <f t="shared" ref="BC329:BC330" si="105">IF(BB329="","",(RANK(BB329,$BK$5:$BK$534)))</f>
        <v/>
      </c>
      <c r="BD329" s="18" t="str">
        <f t="shared" ref="BD329:BD330" si="106">IF(BB329="","",(RANK(BB329,$BK$5:$BK$534)))</f>
        <v/>
      </c>
      <c r="BE329" s="4"/>
      <c r="BF329" s="4"/>
      <c r="BG329" s="7"/>
      <c r="BH329" s="5"/>
      <c r="BI329" s="3"/>
      <c r="BJ329" s="3"/>
      <c r="BK329" s="3"/>
      <c r="BL329" s="3"/>
      <c r="BM329" s="3"/>
      <c r="BN329" s="18"/>
      <c r="BO329" s="18"/>
      <c r="BP329" s="4"/>
      <c r="BQ329" s="4"/>
      <c r="BR329" s="7"/>
      <c r="BS329" s="18"/>
    </row>
    <row r="330" spans="1:72" x14ac:dyDescent="0.25">
      <c r="A330" s="1">
        <v>325</v>
      </c>
      <c r="B330" s="18"/>
      <c r="C330" s="18"/>
      <c r="D330" s="21"/>
      <c r="E330" s="5"/>
      <c r="F330" s="3"/>
      <c r="G330" s="3"/>
      <c r="H330" s="3"/>
      <c r="I330" s="3"/>
      <c r="J330" s="3"/>
      <c r="K330" s="18"/>
      <c r="L330" s="18"/>
      <c r="M330" s="4"/>
      <c r="N330" s="4"/>
      <c r="O330" s="7"/>
      <c r="P330" s="5"/>
      <c r="Q330" s="3"/>
      <c r="R330" s="3"/>
      <c r="S330" s="3"/>
      <c r="T330" s="3"/>
      <c r="U330" s="3" t="s">
        <v>35</v>
      </c>
      <c r="V330" s="18" t="s">
        <v>35</v>
      </c>
      <c r="W330" s="18" t="s">
        <v>35</v>
      </c>
      <c r="X330" s="4" t="s">
        <v>35</v>
      </c>
      <c r="Y330" s="4" t="s">
        <v>35</v>
      </c>
      <c r="Z330" s="7" t="s">
        <v>35</v>
      </c>
      <c r="AA330" s="5"/>
      <c r="AB330" s="3"/>
      <c r="AC330" s="3"/>
      <c r="AD330" s="3"/>
      <c r="AE330" s="3"/>
      <c r="AF330" s="3" t="s">
        <v>35</v>
      </c>
      <c r="AG330" s="18" t="s">
        <v>35</v>
      </c>
      <c r="AH330" s="18" t="s">
        <v>35</v>
      </c>
      <c r="AI330" s="4" t="s">
        <v>35</v>
      </c>
      <c r="AJ330" s="4" t="s">
        <v>35</v>
      </c>
      <c r="AK330" s="7" t="s">
        <v>35</v>
      </c>
      <c r="AL330" s="5"/>
      <c r="AM330" s="3"/>
      <c r="AN330" s="3"/>
      <c r="AO330" s="3"/>
      <c r="AP330" s="3"/>
      <c r="AQ330" s="3" t="s">
        <v>35</v>
      </c>
      <c r="AR330" s="18" t="s">
        <v>35</v>
      </c>
      <c r="AS330" s="18" t="s">
        <v>35</v>
      </c>
      <c r="AT330" s="4" t="s">
        <v>35</v>
      </c>
      <c r="AU330" s="4" t="s">
        <v>35</v>
      </c>
      <c r="AV330" s="7" t="s">
        <v>35</v>
      </c>
      <c r="AW330" s="5"/>
      <c r="AX330" s="3"/>
      <c r="AY330" s="3"/>
      <c r="AZ330" s="3"/>
      <c r="BA330" s="3"/>
      <c r="BB330" s="3"/>
      <c r="BC330" s="18" t="str">
        <f t="shared" si="105"/>
        <v/>
      </c>
      <c r="BD330" s="18" t="str">
        <f t="shared" si="106"/>
        <v/>
      </c>
      <c r="BE330" s="4"/>
      <c r="BF330" s="4"/>
      <c r="BG330" s="7"/>
      <c r="BH330" s="5"/>
      <c r="BI330" s="3"/>
      <c r="BJ330" s="3"/>
      <c r="BK330" s="3"/>
      <c r="BL330" s="3"/>
      <c r="BM330" s="3"/>
      <c r="BN330" s="18"/>
      <c r="BO330" s="18"/>
      <c r="BP330" s="4"/>
      <c r="BQ330" s="4"/>
      <c r="BR330" s="7"/>
      <c r="BS330" s="18"/>
    </row>
    <row r="331" spans="1:72" x14ac:dyDescent="0.25">
      <c r="A331" s="18">
        <v>326</v>
      </c>
      <c r="B331" s="18"/>
      <c r="C331" s="18"/>
      <c r="D331" s="21"/>
      <c r="E331" s="5"/>
      <c r="F331" s="3"/>
      <c r="G331" s="3"/>
      <c r="H331" s="3"/>
      <c r="I331" s="3"/>
      <c r="J331" s="3"/>
      <c r="K331" s="18"/>
      <c r="L331" s="18"/>
      <c r="M331" s="4"/>
      <c r="N331" s="4"/>
      <c r="O331" s="7"/>
      <c r="P331" s="5"/>
      <c r="Q331" s="3"/>
      <c r="R331" s="3"/>
      <c r="S331" s="3"/>
      <c r="T331" s="3"/>
      <c r="U331" s="3" t="s">
        <v>35</v>
      </c>
      <c r="V331" s="18" t="s">
        <v>35</v>
      </c>
      <c r="W331" s="18" t="s">
        <v>35</v>
      </c>
      <c r="X331" s="4" t="s">
        <v>35</v>
      </c>
      <c r="Y331" s="4" t="s">
        <v>35</v>
      </c>
      <c r="Z331" s="7" t="s">
        <v>35</v>
      </c>
      <c r="AA331" s="5"/>
      <c r="AB331" s="3"/>
      <c r="AC331" s="3"/>
      <c r="AD331" s="3"/>
      <c r="AE331" s="3"/>
      <c r="AF331" s="3" t="s">
        <v>35</v>
      </c>
      <c r="AG331" s="18" t="s">
        <v>35</v>
      </c>
      <c r="AH331" s="18" t="s">
        <v>35</v>
      </c>
      <c r="AI331" s="4" t="s">
        <v>35</v>
      </c>
      <c r="AJ331" s="4" t="s">
        <v>35</v>
      </c>
      <c r="AK331" s="7" t="s">
        <v>35</v>
      </c>
      <c r="AL331" s="5"/>
      <c r="AM331" s="3"/>
      <c r="AN331" s="3"/>
      <c r="AO331" s="3"/>
      <c r="AP331" s="3"/>
      <c r="AQ331" s="3" t="s">
        <v>35</v>
      </c>
      <c r="AR331" s="18" t="s">
        <v>35</v>
      </c>
      <c r="AS331" s="18" t="s">
        <v>35</v>
      </c>
      <c r="AT331" s="4" t="s">
        <v>35</v>
      </c>
      <c r="AU331" s="4" t="s">
        <v>35</v>
      </c>
      <c r="AV331" s="7" t="s">
        <v>35</v>
      </c>
      <c r="AW331" s="5"/>
      <c r="AX331" s="3"/>
      <c r="AY331" s="3"/>
      <c r="AZ331" s="3"/>
      <c r="BA331" s="3"/>
      <c r="BB331" s="3"/>
      <c r="BC331" s="18"/>
      <c r="BD331" s="18"/>
      <c r="BE331" s="4"/>
      <c r="BF331" s="4"/>
      <c r="BG331" s="7"/>
      <c r="BH331" s="5"/>
      <c r="BI331" s="3"/>
      <c r="BJ331" s="3"/>
      <c r="BK331" s="3"/>
      <c r="BL331" s="3"/>
      <c r="BM331" s="3"/>
      <c r="BN331" s="18"/>
      <c r="BO331" s="18"/>
      <c r="BP331" s="4"/>
      <c r="BQ331" s="4"/>
      <c r="BR331" s="7"/>
      <c r="BS331" s="18"/>
    </row>
    <row r="332" spans="1:72" x14ac:dyDescent="0.25">
      <c r="A332" s="18">
        <v>327</v>
      </c>
      <c r="B332" s="18"/>
      <c r="C332" s="18"/>
      <c r="D332" s="21"/>
      <c r="E332" s="5"/>
      <c r="F332" s="3"/>
      <c r="G332" s="3"/>
      <c r="H332" s="3"/>
      <c r="I332" s="3"/>
      <c r="J332" s="3"/>
      <c r="K332" s="18"/>
      <c r="L332" s="18"/>
      <c r="M332" s="4"/>
      <c r="N332" s="4"/>
      <c r="O332" s="7"/>
      <c r="P332" s="5"/>
      <c r="Q332" s="3"/>
      <c r="R332" s="3"/>
      <c r="S332" s="3"/>
      <c r="T332" s="3"/>
      <c r="U332" s="3" t="s">
        <v>35</v>
      </c>
      <c r="V332" s="18" t="s">
        <v>35</v>
      </c>
      <c r="W332" s="18" t="s">
        <v>35</v>
      </c>
      <c r="X332" s="4" t="s">
        <v>35</v>
      </c>
      <c r="Y332" s="4" t="s">
        <v>35</v>
      </c>
      <c r="Z332" s="7" t="s">
        <v>35</v>
      </c>
      <c r="AA332" s="5"/>
      <c r="AB332" s="3"/>
      <c r="AC332" s="3"/>
      <c r="AD332" s="3"/>
      <c r="AE332" s="3"/>
      <c r="AF332" s="3" t="s">
        <v>35</v>
      </c>
      <c r="AG332" s="18" t="s">
        <v>35</v>
      </c>
      <c r="AH332" s="18" t="s">
        <v>35</v>
      </c>
      <c r="AI332" s="4" t="s">
        <v>35</v>
      </c>
      <c r="AJ332" s="4" t="s">
        <v>35</v>
      </c>
      <c r="AK332" s="7" t="s">
        <v>35</v>
      </c>
      <c r="AL332" s="5"/>
      <c r="AM332" s="3"/>
      <c r="AN332" s="3"/>
      <c r="AO332" s="3"/>
      <c r="AP332" s="3"/>
      <c r="AQ332" s="3" t="s">
        <v>35</v>
      </c>
      <c r="AR332" s="18" t="s">
        <v>35</v>
      </c>
      <c r="AS332" s="18" t="s">
        <v>35</v>
      </c>
      <c r="AT332" s="4" t="s">
        <v>35</v>
      </c>
      <c r="AU332" s="4" t="s">
        <v>35</v>
      </c>
      <c r="AV332" s="7" t="s">
        <v>35</v>
      </c>
      <c r="AW332" s="5"/>
      <c r="AX332" s="3"/>
      <c r="AY332" s="3"/>
      <c r="AZ332" s="3"/>
      <c r="BA332" s="3"/>
      <c r="BB332" s="3"/>
      <c r="BC332" s="18"/>
      <c r="BD332" s="18"/>
      <c r="BE332" s="4"/>
      <c r="BF332" s="4"/>
      <c r="BG332" s="7"/>
      <c r="BH332" s="5"/>
      <c r="BI332" s="3"/>
      <c r="BJ332" s="3"/>
      <c r="BK332" s="3"/>
      <c r="BL332" s="3"/>
      <c r="BM332" s="3"/>
      <c r="BN332" s="18"/>
      <c r="BO332" s="18"/>
      <c r="BP332" s="4"/>
      <c r="BQ332" s="4"/>
      <c r="BR332" s="7"/>
      <c r="BS332" s="18"/>
    </row>
    <row r="333" spans="1:72" x14ac:dyDescent="0.25">
      <c r="A333" s="18">
        <v>328</v>
      </c>
      <c r="B333" s="18"/>
      <c r="C333" s="18"/>
      <c r="D333" s="21"/>
      <c r="E333" s="5"/>
      <c r="F333" s="3"/>
      <c r="G333" s="3"/>
      <c r="H333" s="3"/>
      <c r="I333" s="3"/>
      <c r="J333" s="3"/>
      <c r="K333" s="18"/>
      <c r="L333" s="18"/>
      <c r="M333" s="4"/>
      <c r="N333" s="4"/>
      <c r="O333" s="7"/>
      <c r="P333" s="5"/>
      <c r="Q333" s="3"/>
      <c r="R333" s="3"/>
      <c r="S333" s="3"/>
      <c r="T333" s="3"/>
      <c r="U333" s="3" t="s">
        <v>35</v>
      </c>
      <c r="V333" s="18" t="s">
        <v>35</v>
      </c>
      <c r="W333" s="18" t="s">
        <v>35</v>
      </c>
      <c r="X333" s="4" t="s">
        <v>35</v>
      </c>
      <c r="Y333" s="4" t="s">
        <v>35</v>
      </c>
      <c r="Z333" s="7" t="s">
        <v>35</v>
      </c>
      <c r="AA333" s="5"/>
      <c r="AB333" s="3"/>
      <c r="AC333" s="3"/>
      <c r="AD333" s="3"/>
      <c r="AE333" s="3"/>
      <c r="AF333" s="3"/>
      <c r="AG333" s="18"/>
      <c r="AH333" s="18"/>
      <c r="AI333" s="4"/>
      <c r="AJ333" s="4"/>
      <c r="AK333" s="7"/>
      <c r="AL333" s="5"/>
      <c r="AM333" s="3"/>
      <c r="AN333" s="3"/>
      <c r="AO333" s="3"/>
      <c r="AP333" s="3"/>
      <c r="AQ333" s="3" t="s">
        <v>35</v>
      </c>
      <c r="AR333" s="18" t="s">
        <v>35</v>
      </c>
      <c r="AS333" s="18" t="s">
        <v>35</v>
      </c>
      <c r="AT333" s="4" t="s">
        <v>35</v>
      </c>
      <c r="AU333" s="4" t="s">
        <v>35</v>
      </c>
      <c r="AV333" s="7" t="s">
        <v>35</v>
      </c>
      <c r="AW333" s="5"/>
      <c r="AX333" s="3"/>
      <c r="AY333" s="3"/>
      <c r="AZ333" s="3"/>
      <c r="BA333" s="3"/>
      <c r="BB333" s="3"/>
      <c r="BC333" s="18"/>
      <c r="BD333" s="18"/>
      <c r="BE333" s="4"/>
      <c r="BF333" s="4"/>
      <c r="BG333" s="7"/>
      <c r="BH333" s="5"/>
      <c r="BI333" s="3"/>
      <c r="BJ333" s="3"/>
      <c r="BK333" s="3"/>
      <c r="BL333" s="3"/>
      <c r="BM333" s="3"/>
      <c r="BN333" s="18"/>
      <c r="BO333" s="18"/>
      <c r="BP333" s="4"/>
      <c r="BQ333" s="4"/>
      <c r="BR333" s="7"/>
      <c r="BS333" s="18"/>
    </row>
    <row r="334" spans="1:72" x14ac:dyDescent="0.25">
      <c r="A334" s="18">
        <v>329</v>
      </c>
      <c r="B334" s="18"/>
      <c r="C334" s="18"/>
      <c r="D334" s="21"/>
      <c r="E334" s="5"/>
      <c r="F334" s="3"/>
      <c r="G334" s="3"/>
      <c r="H334" s="3"/>
      <c r="I334" s="3"/>
      <c r="J334" s="3"/>
      <c r="K334" s="18"/>
      <c r="L334" s="18"/>
      <c r="M334" s="4"/>
      <c r="N334" s="4"/>
      <c r="O334" s="7"/>
      <c r="P334" s="5"/>
      <c r="Q334" s="3"/>
      <c r="R334" s="3"/>
      <c r="S334" s="3"/>
      <c r="T334" s="3"/>
      <c r="U334" s="3" t="s">
        <v>35</v>
      </c>
      <c r="V334" s="18" t="s">
        <v>35</v>
      </c>
      <c r="W334" s="18" t="s">
        <v>35</v>
      </c>
      <c r="X334" s="4" t="s">
        <v>35</v>
      </c>
      <c r="Y334" s="4" t="s">
        <v>35</v>
      </c>
      <c r="Z334" s="7" t="s">
        <v>35</v>
      </c>
      <c r="AA334" s="5"/>
      <c r="AB334" s="3"/>
      <c r="AC334" s="3"/>
      <c r="AD334" s="3"/>
      <c r="AE334" s="3"/>
      <c r="AF334" s="3"/>
      <c r="AG334" s="18"/>
      <c r="AH334" s="18"/>
      <c r="AI334" s="4"/>
      <c r="AJ334" s="4"/>
      <c r="AK334" s="7"/>
      <c r="AL334" s="5"/>
      <c r="AM334" s="3"/>
      <c r="AN334" s="3"/>
      <c r="AO334" s="3"/>
      <c r="AP334" s="3"/>
      <c r="AQ334" s="3" t="s">
        <v>35</v>
      </c>
      <c r="AR334" s="18" t="s">
        <v>35</v>
      </c>
      <c r="AS334" s="18" t="s">
        <v>35</v>
      </c>
      <c r="AT334" s="4" t="s">
        <v>35</v>
      </c>
      <c r="AU334" s="4" t="s">
        <v>35</v>
      </c>
      <c r="AV334" s="7" t="s">
        <v>35</v>
      </c>
      <c r="AW334" s="5"/>
      <c r="AX334" s="3"/>
      <c r="AY334" s="3"/>
      <c r="AZ334" s="3"/>
      <c r="BA334" s="3"/>
      <c r="BB334" s="3"/>
      <c r="BC334" s="18"/>
      <c r="BD334" s="18"/>
      <c r="BE334" s="4"/>
      <c r="BF334" s="4"/>
      <c r="BG334" s="7"/>
      <c r="BH334" s="5"/>
      <c r="BI334" s="3"/>
      <c r="BJ334" s="3"/>
      <c r="BK334" s="3"/>
      <c r="BL334" s="3"/>
      <c r="BM334" s="3"/>
      <c r="BN334" s="18"/>
      <c r="BO334" s="18"/>
      <c r="BP334" s="4"/>
      <c r="BQ334" s="4"/>
      <c r="BR334" s="7"/>
      <c r="BS334" s="18"/>
    </row>
    <row r="335" spans="1:72" x14ac:dyDescent="0.25">
      <c r="A335" s="1">
        <v>330</v>
      </c>
      <c r="B335" s="18"/>
      <c r="C335" s="18"/>
      <c r="D335" s="21"/>
      <c r="E335" s="5"/>
      <c r="F335" s="3"/>
      <c r="G335" s="3"/>
      <c r="H335" s="3"/>
      <c r="I335" s="3"/>
      <c r="J335" s="3"/>
      <c r="K335" s="18"/>
      <c r="L335" s="18"/>
      <c r="M335" s="4"/>
      <c r="N335" s="4"/>
      <c r="O335" s="7"/>
      <c r="P335" s="5"/>
      <c r="Q335" s="3"/>
      <c r="R335" s="3"/>
      <c r="S335" s="3"/>
      <c r="T335" s="3"/>
      <c r="U335" s="3" t="s">
        <v>35</v>
      </c>
      <c r="V335" s="18" t="s">
        <v>35</v>
      </c>
      <c r="W335" s="18" t="s">
        <v>35</v>
      </c>
      <c r="X335" s="4" t="s">
        <v>35</v>
      </c>
      <c r="Y335" s="4" t="s">
        <v>35</v>
      </c>
      <c r="Z335" s="7" t="s">
        <v>35</v>
      </c>
      <c r="AA335" s="5"/>
      <c r="AB335" s="3"/>
      <c r="AC335" s="3"/>
      <c r="AD335" s="3"/>
      <c r="AE335" s="3"/>
      <c r="AF335" s="3"/>
      <c r="AG335" s="18"/>
      <c r="AH335" s="18"/>
      <c r="AI335" s="4"/>
      <c r="AJ335" s="4"/>
      <c r="AK335" s="7"/>
      <c r="AL335" s="5"/>
      <c r="AM335" s="3"/>
      <c r="AN335" s="3"/>
      <c r="AO335" s="3"/>
      <c r="AP335" s="3"/>
      <c r="AQ335" s="3" t="s">
        <v>35</v>
      </c>
      <c r="AR335" s="18" t="s">
        <v>35</v>
      </c>
      <c r="AS335" s="18" t="s">
        <v>35</v>
      </c>
      <c r="AT335" s="4" t="s">
        <v>35</v>
      </c>
      <c r="AU335" s="4" t="s">
        <v>35</v>
      </c>
      <c r="AV335" s="7" t="s">
        <v>35</v>
      </c>
      <c r="AW335" s="5"/>
      <c r="AX335" s="3"/>
      <c r="AY335" s="3"/>
      <c r="AZ335" s="3"/>
      <c r="BA335" s="3"/>
      <c r="BB335" s="3"/>
      <c r="BC335" s="18"/>
      <c r="BD335" s="18"/>
      <c r="BE335" s="4"/>
      <c r="BF335" s="4"/>
      <c r="BG335" s="7"/>
      <c r="BH335" s="5"/>
      <c r="BI335" s="3"/>
      <c r="BJ335" s="3"/>
      <c r="BK335" s="3"/>
      <c r="BL335" s="3"/>
      <c r="BM335" s="3"/>
      <c r="BN335" s="18"/>
      <c r="BO335" s="18"/>
      <c r="BP335" s="4"/>
      <c r="BQ335" s="4"/>
      <c r="BR335" s="7"/>
      <c r="BS335" s="18"/>
    </row>
    <row r="336" spans="1:72" x14ac:dyDescent="0.25">
      <c r="A336" s="18">
        <v>331</v>
      </c>
      <c r="B336" s="18"/>
      <c r="C336" s="18"/>
      <c r="D336" s="21"/>
      <c r="E336" s="5"/>
      <c r="F336" s="3"/>
      <c r="G336" s="3"/>
      <c r="H336" s="3"/>
      <c r="I336" s="3"/>
      <c r="J336" s="3"/>
      <c r="K336" s="18"/>
      <c r="L336" s="18"/>
      <c r="M336" s="4"/>
      <c r="N336" s="4"/>
      <c r="O336" s="7"/>
      <c r="P336" s="5"/>
      <c r="Q336" s="3"/>
      <c r="R336" s="3"/>
      <c r="S336" s="3"/>
      <c r="T336" s="3"/>
      <c r="U336" s="3" t="s">
        <v>35</v>
      </c>
      <c r="V336" s="18" t="s">
        <v>35</v>
      </c>
      <c r="W336" s="18" t="s">
        <v>35</v>
      </c>
      <c r="X336" s="4" t="s">
        <v>35</v>
      </c>
      <c r="Y336" s="4" t="s">
        <v>35</v>
      </c>
      <c r="Z336" s="7" t="s">
        <v>35</v>
      </c>
      <c r="AA336" s="5"/>
      <c r="AB336" s="3"/>
      <c r="AC336" s="3"/>
      <c r="AD336" s="3"/>
      <c r="AE336" s="3"/>
      <c r="AF336" s="3"/>
      <c r="AG336" s="18"/>
      <c r="AH336" s="18"/>
      <c r="AI336" s="4"/>
      <c r="AJ336" s="4"/>
      <c r="AK336" s="7"/>
      <c r="AL336" s="5"/>
      <c r="AM336" s="3"/>
      <c r="AN336" s="3"/>
      <c r="AO336" s="3"/>
      <c r="AP336" s="3"/>
      <c r="AQ336" s="3" t="s">
        <v>35</v>
      </c>
      <c r="AR336" s="18" t="s">
        <v>35</v>
      </c>
      <c r="AS336" s="18" t="s">
        <v>35</v>
      </c>
      <c r="AT336" s="4" t="s">
        <v>35</v>
      </c>
      <c r="AU336" s="4" t="s">
        <v>35</v>
      </c>
      <c r="AV336" s="7" t="s">
        <v>35</v>
      </c>
      <c r="AW336" s="5"/>
      <c r="AX336" s="3"/>
      <c r="AY336" s="3"/>
      <c r="AZ336" s="3"/>
      <c r="BA336" s="3"/>
      <c r="BB336" s="3"/>
      <c r="BC336" s="18"/>
      <c r="BD336" s="18"/>
      <c r="BE336" s="4"/>
      <c r="BF336" s="4"/>
      <c r="BG336" s="7"/>
      <c r="BH336" s="5"/>
      <c r="BI336" s="3"/>
      <c r="BJ336" s="3"/>
      <c r="BK336" s="3"/>
      <c r="BL336" s="3"/>
      <c r="BM336" s="3"/>
      <c r="BN336" s="18"/>
      <c r="BO336" s="18"/>
      <c r="BP336" s="4"/>
      <c r="BQ336" s="4"/>
      <c r="BR336" s="7"/>
      <c r="BS336" s="18"/>
    </row>
    <row r="337" spans="1:71" x14ac:dyDescent="0.25">
      <c r="A337" s="18">
        <v>332</v>
      </c>
      <c r="B337" s="18"/>
      <c r="C337" s="18"/>
      <c r="D337" s="21"/>
      <c r="E337" s="5"/>
      <c r="F337" s="3"/>
      <c r="G337" s="3"/>
      <c r="H337" s="3"/>
      <c r="I337" s="3"/>
      <c r="J337" s="3"/>
      <c r="K337" s="18"/>
      <c r="L337" s="18"/>
      <c r="M337" s="4"/>
      <c r="N337" s="4"/>
      <c r="O337" s="7"/>
      <c r="P337" s="5"/>
      <c r="Q337" s="3"/>
      <c r="R337" s="3"/>
      <c r="S337" s="3"/>
      <c r="T337" s="3"/>
      <c r="U337" s="3" t="s">
        <v>35</v>
      </c>
      <c r="V337" s="18" t="s">
        <v>35</v>
      </c>
      <c r="W337" s="18" t="s">
        <v>35</v>
      </c>
      <c r="X337" s="4" t="s">
        <v>35</v>
      </c>
      <c r="Y337" s="4" t="s">
        <v>35</v>
      </c>
      <c r="Z337" s="7" t="s">
        <v>35</v>
      </c>
      <c r="AA337" s="5"/>
      <c r="AB337" s="3"/>
      <c r="AC337" s="3"/>
      <c r="AD337" s="3"/>
      <c r="AE337" s="3"/>
      <c r="AF337" s="3"/>
      <c r="AG337" s="18"/>
      <c r="AH337" s="18"/>
      <c r="AI337" s="4"/>
      <c r="AJ337" s="4"/>
      <c r="AK337" s="7"/>
      <c r="AL337" s="5"/>
      <c r="AM337" s="3"/>
      <c r="AN337" s="3"/>
      <c r="AO337" s="3"/>
      <c r="AP337" s="3"/>
      <c r="AQ337" s="3" t="s">
        <v>35</v>
      </c>
      <c r="AR337" s="18" t="s">
        <v>35</v>
      </c>
      <c r="AS337" s="18" t="s">
        <v>35</v>
      </c>
      <c r="AT337" s="4" t="s">
        <v>35</v>
      </c>
      <c r="AU337" s="4" t="s">
        <v>35</v>
      </c>
      <c r="AV337" s="7" t="s">
        <v>35</v>
      </c>
      <c r="AW337" s="5"/>
      <c r="AX337" s="3"/>
      <c r="AY337" s="3"/>
      <c r="AZ337" s="3"/>
      <c r="BA337" s="3"/>
      <c r="BB337" s="3"/>
      <c r="BC337" s="18"/>
      <c r="BD337" s="18"/>
      <c r="BE337" s="4"/>
      <c r="BF337" s="4"/>
      <c r="BG337" s="7"/>
      <c r="BH337" s="5"/>
      <c r="BI337" s="3"/>
      <c r="BJ337" s="3"/>
      <c r="BK337" s="3"/>
      <c r="BL337" s="3"/>
      <c r="BM337" s="3"/>
      <c r="BN337" s="18"/>
      <c r="BO337" s="18"/>
      <c r="BP337" s="4"/>
      <c r="BQ337" s="4"/>
      <c r="BR337" s="7"/>
      <c r="BS337" s="18"/>
    </row>
    <row r="338" spans="1:71" x14ac:dyDescent="0.25">
      <c r="A338" s="18">
        <v>333</v>
      </c>
      <c r="B338" s="18"/>
      <c r="C338" s="18"/>
      <c r="D338" s="21"/>
      <c r="E338" s="5"/>
      <c r="F338" s="3"/>
      <c r="G338" s="3"/>
      <c r="H338" s="3"/>
      <c r="I338" s="3"/>
      <c r="J338" s="3"/>
      <c r="K338" s="18"/>
      <c r="L338" s="18"/>
      <c r="M338" s="4"/>
      <c r="N338" s="4"/>
      <c r="O338" s="7"/>
      <c r="P338" s="5"/>
      <c r="Q338" s="3"/>
      <c r="R338" s="3"/>
      <c r="S338" s="3"/>
      <c r="T338" s="3"/>
      <c r="U338" s="3" t="s">
        <v>35</v>
      </c>
      <c r="V338" s="18" t="s">
        <v>35</v>
      </c>
      <c r="W338" s="18" t="s">
        <v>35</v>
      </c>
      <c r="X338" s="4" t="s">
        <v>35</v>
      </c>
      <c r="Y338" s="4" t="s">
        <v>35</v>
      </c>
      <c r="Z338" s="7" t="s">
        <v>35</v>
      </c>
      <c r="AA338" s="5"/>
      <c r="AB338" s="3"/>
      <c r="AC338" s="3"/>
      <c r="AD338" s="3"/>
      <c r="AE338" s="3"/>
      <c r="AF338" s="3"/>
      <c r="AG338" s="18"/>
      <c r="AH338" s="18"/>
      <c r="AI338" s="4"/>
      <c r="AJ338" s="4"/>
      <c r="AK338" s="7"/>
      <c r="AL338" s="5"/>
      <c r="AM338" s="3"/>
      <c r="AN338" s="3"/>
      <c r="AO338" s="3"/>
      <c r="AP338" s="3"/>
      <c r="AQ338" s="3" t="s">
        <v>35</v>
      </c>
      <c r="AR338" s="18" t="s">
        <v>35</v>
      </c>
      <c r="AS338" s="18" t="s">
        <v>35</v>
      </c>
      <c r="AT338" s="4" t="s">
        <v>35</v>
      </c>
      <c r="AU338" s="4" t="s">
        <v>35</v>
      </c>
      <c r="AV338" s="7" t="s">
        <v>35</v>
      </c>
      <c r="AW338" s="5"/>
      <c r="AX338" s="3"/>
      <c r="AY338" s="3"/>
      <c r="AZ338" s="3"/>
      <c r="BA338" s="3"/>
      <c r="BB338" s="3"/>
      <c r="BC338" s="18"/>
      <c r="BD338" s="18"/>
      <c r="BE338" s="4"/>
      <c r="BF338" s="4"/>
      <c r="BG338" s="7"/>
      <c r="BH338" s="5"/>
      <c r="BI338" s="3"/>
      <c r="BJ338" s="3"/>
      <c r="BK338" s="3"/>
      <c r="BL338" s="3"/>
      <c r="BM338" s="3"/>
      <c r="BN338" s="18"/>
      <c r="BO338" s="18"/>
      <c r="BP338" s="4"/>
      <c r="BQ338" s="4"/>
      <c r="BR338" s="7"/>
      <c r="BS338" s="18"/>
    </row>
    <row r="339" spans="1:71" x14ac:dyDescent="0.25">
      <c r="A339" s="18">
        <v>334</v>
      </c>
      <c r="B339" s="18"/>
      <c r="C339" s="18"/>
      <c r="D339" s="21"/>
      <c r="E339" s="5"/>
      <c r="F339" s="3"/>
      <c r="G339" s="3"/>
      <c r="H339" s="3"/>
      <c r="I339" s="3"/>
      <c r="J339" s="3"/>
      <c r="K339" s="18"/>
      <c r="L339" s="18"/>
      <c r="M339" s="4"/>
      <c r="N339" s="4"/>
      <c r="O339" s="7"/>
      <c r="P339" s="5"/>
      <c r="Q339" s="3"/>
      <c r="R339" s="3"/>
      <c r="S339" s="3"/>
      <c r="T339" s="3"/>
      <c r="U339" s="3" t="s">
        <v>35</v>
      </c>
      <c r="V339" s="18" t="s">
        <v>35</v>
      </c>
      <c r="W339" s="18" t="s">
        <v>35</v>
      </c>
      <c r="X339" s="4" t="s">
        <v>35</v>
      </c>
      <c r="Y339" s="4" t="s">
        <v>35</v>
      </c>
      <c r="Z339" s="7" t="s">
        <v>35</v>
      </c>
      <c r="AA339" s="5"/>
      <c r="AB339" s="3"/>
      <c r="AC339" s="3"/>
      <c r="AD339" s="3"/>
      <c r="AE339" s="3"/>
      <c r="AF339" s="3"/>
      <c r="AG339" s="18"/>
      <c r="AH339" s="18"/>
      <c r="AI339" s="4"/>
      <c r="AJ339" s="4"/>
      <c r="AK339" s="7"/>
      <c r="AL339" s="5"/>
      <c r="AM339" s="3"/>
      <c r="AN339" s="3"/>
      <c r="AO339" s="3"/>
      <c r="AP339" s="3"/>
      <c r="AQ339" s="3" t="s">
        <v>35</v>
      </c>
      <c r="AR339" s="18" t="s">
        <v>35</v>
      </c>
      <c r="AS339" s="18" t="s">
        <v>35</v>
      </c>
      <c r="AT339" s="4" t="s">
        <v>35</v>
      </c>
      <c r="AU339" s="4" t="s">
        <v>35</v>
      </c>
      <c r="AV339" s="7" t="s">
        <v>35</v>
      </c>
      <c r="AW339" s="5"/>
      <c r="AX339" s="3"/>
      <c r="AY339" s="3"/>
      <c r="AZ339" s="3"/>
      <c r="BA339" s="3"/>
      <c r="BB339" s="3"/>
      <c r="BC339" s="18"/>
      <c r="BD339" s="18"/>
      <c r="BE339" s="4"/>
      <c r="BF339" s="4"/>
      <c r="BG339" s="7"/>
      <c r="BH339" s="5"/>
      <c r="BI339" s="3"/>
      <c r="BJ339" s="3"/>
      <c r="BK339" s="3"/>
      <c r="BL339" s="3"/>
      <c r="BM339" s="3"/>
      <c r="BN339" s="18"/>
      <c r="BO339" s="18"/>
      <c r="BP339" s="4"/>
      <c r="BQ339" s="4"/>
      <c r="BR339" s="7"/>
      <c r="BS339" s="18"/>
    </row>
    <row r="340" spans="1:71" x14ac:dyDescent="0.25">
      <c r="A340" s="1">
        <v>335</v>
      </c>
      <c r="B340" s="18"/>
      <c r="C340" s="18"/>
      <c r="D340" s="21"/>
      <c r="E340" s="5"/>
      <c r="F340" s="3"/>
      <c r="G340" s="3"/>
      <c r="H340" s="3"/>
      <c r="I340" s="3"/>
      <c r="J340" s="3"/>
      <c r="K340" s="18"/>
      <c r="L340" s="18"/>
      <c r="M340" s="4"/>
      <c r="N340" s="4"/>
      <c r="O340" s="7"/>
      <c r="P340" s="5"/>
      <c r="Q340" s="3"/>
      <c r="R340" s="3"/>
      <c r="S340" s="3"/>
      <c r="T340" s="3"/>
      <c r="U340" s="3" t="s">
        <v>35</v>
      </c>
      <c r="V340" s="18" t="s">
        <v>35</v>
      </c>
      <c r="W340" s="18" t="s">
        <v>35</v>
      </c>
      <c r="X340" s="4" t="s">
        <v>35</v>
      </c>
      <c r="Y340" s="4" t="s">
        <v>35</v>
      </c>
      <c r="Z340" s="7" t="s">
        <v>35</v>
      </c>
      <c r="AA340" s="5"/>
      <c r="AB340" s="3"/>
      <c r="AC340" s="3"/>
      <c r="AD340" s="3"/>
      <c r="AE340" s="3"/>
      <c r="AF340" s="3"/>
      <c r="AG340" s="18"/>
      <c r="AH340" s="18"/>
      <c r="AI340" s="4"/>
      <c r="AJ340" s="4"/>
      <c r="AK340" s="7"/>
      <c r="AL340" s="5"/>
      <c r="AM340" s="3"/>
      <c r="AN340" s="3"/>
      <c r="AO340" s="3"/>
      <c r="AP340" s="3"/>
      <c r="AQ340" s="3" t="s">
        <v>35</v>
      </c>
      <c r="AR340" s="18" t="s">
        <v>35</v>
      </c>
      <c r="AS340" s="18" t="s">
        <v>35</v>
      </c>
      <c r="AT340" s="4" t="s">
        <v>35</v>
      </c>
      <c r="AU340" s="4" t="s">
        <v>35</v>
      </c>
      <c r="AV340" s="7" t="s">
        <v>35</v>
      </c>
      <c r="AW340" s="5"/>
      <c r="AX340" s="3"/>
      <c r="AY340" s="3"/>
      <c r="AZ340" s="3"/>
      <c r="BA340" s="3"/>
      <c r="BB340" s="3"/>
      <c r="BC340" s="18"/>
      <c r="BD340" s="18"/>
      <c r="BE340" s="4"/>
      <c r="BF340" s="4"/>
      <c r="BG340" s="7"/>
      <c r="BH340" s="5"/>
      <c r="BI340" s="3"/>
      <c r="BJ340" s="3"/>
      <c r="BK340" s="3"/>
      <c r="BL340" s="3"/>
      <c r="BM340" s="3"/>
      <c r="BN340" s="18"/>
      <c r="BO340" s="18"/>
      <c r="BP340" s="4"/>
      <c r="BQ340" s="4"/>
      <c r="BR340" s="7"/>
      <c r="BS340" s="18"/>
    </row>
    <row r="341" spans="1:71" x14ac:dyDescent="0.25">
      <c r="A341" s="18">
        <v>336</v>
      </c>
      <c r="B341" s="18"/>
      <c r="C341" s="18"/>
      <c r="D341" s="21"/>
      <c r="E341" s="5"/>
      <c r="F341" s="3"/>
      <c r="G341" s="3"/>
      <c r="H341" s="3"/>
      <c r="I341" s="3"/>
      <c r="J341" s="3"/>
      <c r="K341" s="18"/>
      <c r="L341" s="18"/>
      <c r="M341" s="4"/>
      <c r="N341" s="4"/>
      <c r="O341" s="7"/>
      <c r="P341" s="5"/>
      <c r="Q341" s="3"/>
      <c r="R341" s="3"/>
      <c r="S341" s="3"/>
      <c r="T341" s="3"/>
      <c r="U341" s="3" t="s">
        <v>35</v>
      </c>
      <c r="V341" s="18" t="s">
        <v>35</v>
      </c>
      <c r="W341" s="18" t="s">
        <v>35</v>
      </c>
      <c r="X341" s="4" t="s">
        <v>35</v>
      </c>
      <c r="Y341" s="4" t="s">
        <v>35</v>
      </c>
      <c r="Z341" s="7" t="s">
        <v>35</v>
      </c>
      <c r="AA341" s="5"/>
      <c r="AB341" s="3"/>
      <c r="AC341" s="3"/>
      <c r="AD341" s="3"/>
      <c r="AE341" s="3"/>
      <c r="AF341" s="3"/>
      <c r="AG341" s="18"/>
      <c r="AH341" s="18"/>
      <c r="AI341" s="4"/>
      <c r="AJ341" s="4"/>
      <c r="AK341" s="7"/>
      <c r="AL341" s="5"/>
      <c r="AM341" s="3"/>
      <c r="AN341" s="3"/>
      <c r="AO341" s="3"/>
      <c r="AP341" s="3"/>
      <c r="AQ341" s="3" t="s">
        <v>35</v>
      </c>
      <c r="AR341" s="18" t="s">
        <v>35</v>
      </c>
      <c r="AS341" s="18" t="s">
        <v>35</v>
      </c>
      <c r="AT341" s="4" t="s">
        <v>35</v>
      </c>
      <c r="AU341" s="4" t="s">
        <v>35</v>
      </c>
      <c r="AV341" s="7" t="s">
        <v>35</v>
      </c>
      <c r="AW341" s="5"/>
      <c r="AX341" s="3"/>
      <c r="AY341" s="3"/>
      <c r="AZ341" s="3"/>
      <c r="BA341" s="3"/>
      <c r="BB341" s="3"/>
      <c r="BC341" s="18"/>
      <c r="BD341" s="18"/>
      <c r="BE341" s="4"/>
      <c r="BF341" s="4"/>
      <c r="BG341" s="7"/>
      <c r="BH341" s="5"/>
      <c r="BI341" s="3"/>
      <c r="BJ341" s="3"/>
      <c r="BK341" s="3"/>
      <c r="BL341" s="3"/>
      <c r="BM341" s="3"/>
      <c r="BN341" s="18"/>
      <c r="BO341" s="18"/>
      <c r="BP341" s="4"/>
      <c r="BQ341" s="4"/>
      <c r="BR341" s="7"/>
      <c r="BS341" s="18"/>
    </row>
    <row r="342" spans="1:71" x14ac:dyDescent="0.25">
      <c r="A342" s="18">
        <v>337</v>
      </c>
      <c r="B342" s="18"/>
      <c r="C342" s="18"/>
      <c r="D342" s="21"/>
      <c r="E342" s="5"/>
      <c r="F342" s="3"/>
      <c r="G342" s="3"/>
      <c r="H342" s="3"/>
      <c r="I342" s="3"/>
      <c r="J342" s="3"/>
      <c r="K342" s="18"/>
      <c r="L342" s="18"/>
      <c r="M342" s="4"/>
      <c r="N342" s="4"/>
      <c r="O342" s="7"/>
      <c r="P342" s="5"/>
      <c r="Q342" s="3"/>
      <c r="R342" s="3"/>
      <c r="S342" s="3"/>
      <c r="T342" s="3"/>
      <c r="U342" s="3" t="s">
        <v>35</v>
      </c>
      <c r="V342" s="18" t="s">
        <v>35</v>
      </c>
      <c r="W342" s="18" t="s">
        <v>35</v>
      </c>
      <c r="X342" s="4" t="s">
        <v>35</v>
      </c>
      <c r="Y342" s="4" t="s">
        <v>35</v>
      </c>
      <c r="Z342" s="7" t="s">
        <v>35</v>
      </c>
      <c r="AA342" s="5"/>
      <c r="AB342" s="3"/>
      <c r="AC342" s="3"/>
      <c r="AD342" s="3"/>
      <c r="AE342" s="3"/>
      <c r="AF342" s="3"/>
      <c r="AG342" s="18"/>
      <c r="AH342" s="18"/>
      <c r="AI342" s="4"/>
      <c r="AJ342" s="4"/>
      <c r="AK342" s="7"/>
      <c r="AL342" s="5"/>
      <c r="AM342" s="3"/>
      <c r="AN342" s="3"/>
      <c r="AO342" s="3"/>
      <c r="AP342" s="3"/>
      <c r="AQ342" s="3" t="s">
        <v>35</v>
      </c>
      <c r="AR342" s="18" t="s">
        <v>35</v>
      </c>
      <c r="AS342" s="18" t="s">
        <v>35</v>
      </c>
      <c r="AT342" s="4" t="s">
        <v>35</v>
      </c>
      <c r="AU342" s="4" t="s">
        <v>35</v>
      </c>
      <c r="AV342" s="7" t="s">
        <v>35</v>
      </c>
      <c r="AW342" s="5"/>
      <c r="AX342" s="3"/>
      <c r="AY342" s="3"/>
      <c r="AZ342" s="3"/>
      <c r="BA342" s="3"/>
      <c r="BB342" s="3"/>
      <c r="BC342" s="18"/>
      <c r="BD342" s="18"/>
      <c r="BE342" s="4"/>
      <c r="BF342" s="4"/>
      <c r="BG342" s="7"/>
      <c r="BH342" s="5"/>
      <c r="BI342" s="3"/>
      <c r="BJ342" s="3"/>
      <c r="BK342" s="3"/>
      <c r="BL342" s="3"/>
      <c r="BM342" s="3"/>
      <c r="BN342" s="18"/>
      <c r="BO342" s="18"/>
      <c r="BP342" s="4"/>
      <c r="BQ342" s="4"/>
      <c r="BR342" s="7"/>
      <c r="BS342" s="18"/>
    </row>
    <row r="343" spans="1:71" x14ac:dyDescent="0.25">
      <c r="A343" s="18">
        <v>338</v>
      </c>
      <c r="B343" s="18"/>
      <c r="C343" s="18"/>
      <c r="D343" s="21"/>
      <c r="E343" s="5"/>
      <c r="F343" s="3"/>
      <c r="G343" s="3"/>
      <c r="H343" s="3"/>
      <c r="I343" s="3"/>
      <c r="J343" s="3"/>
      <c r="K343" s="18"/>
      <c r="L343" s="18"/>
      <c r="M343" s="4"/>
      <c r="N343" s="4"/>
      <c r="O343" s="7"/>
      <c r="P343" s="5"/>
      <c r="Q343" s="3"/>
      <c r="R343" s="3"/>
      <c r="S343" s="3"/>
      <c r="T343" s="3"/>
      <c r="U343" s="3" t="s">
        <v>35</v>
      </c>
      <c r="V343" s="18" t="s">
        <v>35</v>
      </c>
      <c r="W343" s="18" t="s">
        <v>35</v>
      </c>
      <c r="X343" s="4" t="s">
        <v>35</v>
      </c>
      <c r="Y343" s="4" t="s">
        <v>35</v>
      </c>
      <c r="Z343" s="7" t="s">
        <v>35</v>
      </c>
      <c r="AA343" s="5"/>
      <c r="AB343" s="3"/>
      <c r="AC343" s="3"/>
      <c r="AD343" s="3"/>
      <c r="AE343" s="3"/>
      <c r="AF343" s="3"/>
      <c r="AG343" s="18"/>
      <c r="AH343" s="18"/>
      <c r="AI343" s="4"/>
      <c r="AJ343" s="4"/>
      <c r="AK343" s="7"/>
      <c r="AL343" s="5"/>
      <c r="AM343" s="3"/>
      <c r="AN343" s="3"/>
      <c r="AO343" s="3"/>
      <c r="AP343" s="3"/>
      <c r="AQ343" s="3" t="s">
        <v>35</v>
      </c>
      <c r="AR343" s="18" t="s">
        <v>35</v>
      </c>
      <c r="AS343" s="18" t="s">
        <v>35</v>
      </c>
      <c r="AT343" s="4" t="s">
        <v>35</v>
      </c>
      <c r="AU343" s="4" t="s">
        <v>35</v>
      </c>
      <c r="AV343" s="7" t="s">
        <v>35</v>
      </c>
      <c r="AW343" s="5"/>
      <c r="AX343" s="3"/>
      <c r="AY343" s="3"/>
      <c r="AZ343" s="3"/>
      <c r="BA343" s="3"/>
      <c r="BB343" s="3"/>
      <c r="BC343" s="18"/>
      <c r="BD343" s="18"/>
      <c r="BE343" s="4"/>
      <c r="BF343" s="4"/>
      <c r="BG343" s="7"/>
      <c r="BH343" s="5"/>
      <c r="BI343" s="3"/>
      <c r="BJ343" s="3"/>
      <c r="BK343" s="3"/>
      <c r="BL343" s="3"/>
      <c r="BM343" s="3"/>
      <c r="BN343" s="18"/>
      <c r="BO343" s="18"/>
      <c r="BP343" s="4"/>
      <c r="BQ343" s="4"/>
      <c r="BR343" s="7"/>
      <c r="BS343" s="18"/>
    </row>
    <row r="344" spans="1:71" x14ac:dyDescent="0.25">
      <c r="A344" s="18">
        <v>339</v>
      </c>
      <c r="B344" s="18"/>
      <c r="C344" s="18"/>
      <c r="D344" s="21"/>
      <c r="E344" s="5"/>
      <c r="F344" s="3"/>
      <c r="G344" s="3"/>
      <c r="H344" s="3"/>
      <c r="I344" s="3"/>
      <c r="J344" s="3"/>
      <c r="K344" s="18"/>
      <c r="L344" s="18"/>
      <c r="M344" s="4"/>
      <c r="N344" s="4"/>
      <c r="O344" s="7"/>
      <c r="P344" s="5"/>
      <c r="Q344" s="3"/>
      <c r="R344" s="3"/>
      <c r="S344" s="3"/>
      <c r="T344" s="3"/>
      <c r="U344" s="3" t="s">
        <v>35</v>
      </c>
      <c r="V344" s="18" t="s">
        <v>35</v>
      </c>
      <c r="W344" s="18" t="s">
        <v>35</v>
      </c>
      <c r="X344" s="4" t="s">
        <v>35</v>
      </c>
      <c r="Y344" s="4" t="s">
        <v>35</v>
      </c>
      <c r="Z344" s="7" t="s">
        <v>35</v>
      </c>
      <c r="AA344" s="5"/>
      <c r="AB344" s="3"/>
      <c r="AC344" s="3"/>
      <c r="AD344" s="3"/>
      <c r="AE344" s="3"/>
      <c r="AF344" s="3"/>
      <c r="AG344" s="18"/>
      <c r="AH344" s="18"/>
      <c r="AI344" s="4"/>
      <c r="AJ344" s="4"/>
      <c r="AK344" s="7"/>
      <c r="AL344" s="5"/>
      <c r="AM344" s="3"/>
      <c r="AN344" s="3"/>
      <c r="AO344" s="3"/>
      <c r="AP344" s="3"/>
      <c r="AQ344" s="3" t="s">
        <v>35</v>
      </c>
      <c r="AR344" s="18" t="s">
        <v>35</v>
      </c>
      <c r="AS344" s="18" t="s">
        <v>35</v>
      </c>
      <c r="AT344" s="4" t="s">
        <v>35</v>
      </c>
      <c r="AU344" s="4" t="s">
        <v>35</v>
      </c>
      <c r="AV344" s="7" t="s">
        <v>35</v>
      </c>
      <c r="AW344" s="5"/>
      <c r="AX344" s="3"/>
      <c r="AY344" s="3"/>
      <c r="AZ344" s="3"/>
      <c r="BA344" s="3"/>
      <c r="BB344" s="3"/>
      <c r="BC344" s="18"/>
      <c r="BD344" s="18"/>
      <c r="BE344" s="4"/>
      <c r="BF344" s="4"/>
      <c r="BG344" s="7"/>
      <c r="BH344" s="5"/>
      <c r="BI344" s="3"/>
      <c r="BJ344" s="3"/>
      <c r="BK344" s="3"/>
      <c r="BL344" s="3"/>
      <c r="BM344" s="3"/>
      <c r="BN344" s="18"/>
      <c r="BO344" s="18"/>
      <c r="BP344" s="4"/>
      <c r="BQ344" s="4"/>
      <c r="BR344" s="7"/>
      <c r="BS344" s="18"/>
    </row>
    <row r="345" spans="1:71" x14ac:dyDescent="0.25">
      <c r="A345" s="1">
        <v>340</v>
      </c>
      <c r="B345" s="18"/>
      <c r="C345" s="18"/>
      <c r="D345" s="21"/>
      <c r="E345" s="5"/>
      <c r="F345" s="3"/>
      <c r="G345" s="3"/>
      <c r="H345" s="3"/>
      <c r="I345" s="3"/>
      <c r="J345" s="3"/>
      <c r="K345" s="18"/>
      <c r="L345" s="18"/>
      <c r="M345" s="4"/>
      <c r="N345" s="4"/>
      <c r="O345" s="7"/>
      <c r="P345" s="5"/>
      <c r="Q345" s="3"/>
      <c r="R345" s="3"/>
      <c r="S345" s="3"/>
      <c r="T345" s="3"/>
      <c r="U345" s="3" t="s">
        <v>35</v>
      </c>
      <c r="V345" s="18" t="s">
        <v>35</v>
      </c>
      <c r="W345" s="18" t="s">
        <v>35</v>
      </c>
      <c r="X345" s="4" t="s">
        <v>35</v>
      </c>
      <c r="Y345" s="4" t="s">
        <v>35</v>
      </c>
      <c r="Z345" s="7" t="s">
        <v>35</v>
      </c>
      <c r="AA345" s="5"/>
      <c r="AB345" s="3"/>
      <c r="AC345" s="3"/>
      <c r="AD345" s="3"/>
      <c r="AE345" s="3"/>
      <c r="AF345" s="3"/>
      <c r="AG345" s="18"/>
      <c r="AH345" s="18"/>
      <c r="AI345" s="4"/>
      <c r="AJ345" s="4"/>
      <c r="AK345" s="7"/>
      <c r="AL345" s="5"/>
      <c r="AM345" s="3"/>
      <c r="AN345" s="3"/>
      <c r="AO345" s="3"/>
      <c r="AP345" s="3"/>
      <c r="AQ345" s="3" t="s">
        <v>35</v>
      </c>
      <c r="AR345" s="18" t="s">
        <v>35</v>
      </c>
      <c r="AS345" s="18" t="s">
        <v>35</v>
      </c>
      <c r="AT345" s="4" t="s">
        <v>35</v>
      </c>
      <c r="AU345" s="4" t="s">
        <v>35</v>
      </c>
      <c r="AV345" s="7" t="s">
        <v>35</v>
      </c>
      <c r="AW345" s="5"/>
      <c r="AX345" s="3"/>
      <c r="AY345" s="3"/>
      <c r="AZ345" s="3"/>
      <c r="BA345" s="3"/>
      <c r="BB345" s="3"/>
      <c r="BC345" s="18"/>
      <c r="BD345" s="18"/>
      <c r="BE345" s="4"/>
      <c r="BF345" s="4"/>
      <c r="BG345" s="7"/>
      <c r="BH345" s="5"/>
      <c r="BI345" s="3"/>
      <c r="BJ345" s="3"/>
      <c r="BK345" s="3"/>
      <c r="BL345" s="3"/>
      <c r="BM345" s="3"/>
      <c r="BN345" s="18"/>
      <c r="BO345" s="18"/>
      <c r="BP345" s="4"/>
      <c r="BQ345" s="4"/>
      <c r="BR345" s="7"/>
      <c r="BS345" s="18"/>
    </row>
    <row r="346" spans="1:71" x14ac:dyDescent="0.25">
      <c r="A346" s="18">
        <v>341</v>
      </c>
      <c r="B346" s="18"/>
      <c r="C346" s="18"/>
      <c r="D346" s="21"/>
      <c r="E346" s="5"/>
      <c r="F346" s="3"/>
      <c r="G346" s="3"/>
      <c r="H346" s="3"/>
      <c r="I346" s="3"/>
      <c r="J346" s="3"/>
      <c r="K346" s="18"/>
      <c r="L346" s="18"/>
      <c r="M346" s="4"/>
      <c r="N346" s="4"/>
      <c r="O346" s="7"/>
      <c r="P346" s="5"/>
      <c r="Q346" s="3"/>
      <c r="R346" s="3"/>
      <c r="S346" s="3"/>
      <c r="T346" s="3"/>
      <c r="U346" s="3" t="s">
        <v>35</v>
      </c>
      <c r="V346" s="18" t="s">
        <v>35</v>
      </c>
      <c r="W346" s="18" t="s">
        <v>35</v>
      </c>
      <c r="X346" s="4" t="s">
        <v>35</v>
      </c>
      <c r="Y346" s="4" t="s">
        <v>35</v>
      </c>
      <c r="Z346" s="7" t="s">
        <v>35</v>
      </c>
      <c r="AA346" s="5"/>
      <c r="AB346" s="3"/>
      <c r="AC346" s="3"/>
      <c r="AD346" s="3"/>
      <c r="AE346" s="3"/>
      <c r="AF346" s="3"/>
      <c r="AG346" s="18"/>
      <c r="AH346" s="18"/>
      <c r="AI346" s="4"/>
      <c r="AJ346" s="4"/>
      <c r="AK346" s="7"/>
      <c r="AL346" s="5"/>
      <c r="AM346" s="3"/>
      <c r="AN346" s="3"/>
      <c r="AO346" s="3"/>
      <c r="AP346" s="3"/>
      <c r="AQ346" s="3" t="s">
        <v>35</v>
      </c>
      <c r="AR346" s="18" t="s">
        <v>35</v>
      </c>
      <c r="AS346" s="18" t="s">
        <v>35</v>
      </c>
      <c r="AT346" s="4" t="s">
        <v>35</v>
      </c>
      <c r="AU346" s="4" t="s">
        <v>35</v>
      </c>
      <c r="AV346" s="7" t="s">
        <v>35</v>
      </c>
      <c r="AW346" s="5"/>
      <c r="AX346" s="3"/>
      <c r="AY346" s="3"/>
      <c r="AZ346" s="3"/>
      <c r="BA346" s="3"/>
      <c r="BB346" s="3"/>
      <c r="BC346" s="18"/>
      <c r="BD346" s="18"/>
      <c r="BE346" s="4"/>
      <c r="BF346" s="4"/>
      <c r="BG346" s="7"/>
      <c r="BH346" s="5"/>
      <c r="BI346" s="3"/>
      <c r="BJ346" s="3"/>
      <c r="BK346" s="3"/>
      <c r="BL346" s="3"/>
      <c r="BM346" s="3"/>
      <c r="BN346" s="18"/>
      <c r="BO346" s="18"/>
      <c r="BP346" s="4"/>
      <c r="BQ346" s="4"/>
      <c r="BR346" s="7"/>
      <c r="BS346" s="18"/>
    </row>
    <row r="347" spans="1:71" x14ac:dyDescent="0.25">
      <c r="A347" s="18">
        <v>342</v>
      </c>
      <c r="B347" s="18"/>
      <c r="C347" s="18"/>
      <c r="D347" s="21"/>
      <c r="E347" s="5"/>
      <c r="F347" s="3"/>
      <c r="G347" s="3"/>
      <c r="H347" s="3"/>
      <c r="I347" s="3"/>
      <c r="J347" s="3"/>
      <c r="K347" s="18"/>
      <c r="L347" s="18"/>
      <c r="M347" s="4"/>
      <c r="N347" s="4"/>
      <c r="O347" s="7"/>
      <c r="P347" s="5"/>
      <c r="Q347" s="3"/>
      <c r="R347" s="3"/>
      <c r="S347" s="3"/>
      <c r="T347" s="3"/>
      <c r="U347" s="3" t="s">
        <v>35</v>
      </c>
      <c r="V347" s="18" t="s">
        <v>35</v>
      </c>
      <c r="W347" s="18" t="s">
        <v>35</v>
      </c>
      <c r="X347" s="4" t="s">
        <v>35</v>
      </c>
      <c r="Y347" s="4" t="s">
        <v>35</v>
      </c>
      <c r="Z347" s="7" t="s">
        <v>35</v>
      </c>
      <c r="AA347" s="5"/>
      <c r="AB347" s="3"/>
      <c r="AC347" s="3"/>
      <c r="AD347" s="3"/>
      <c r="AE347" s="3"/>
      <c r="AF347" s="3"/>
      <c r="AG347" s="18"/>
      <c r="AH347" s="18"/>
      <c r="AI347" s="4"/>
      <c r="AJ347" s="4"/>
      <c r="AK347" s="7"/>
      <c r="AL347" s="5"/>
      <c r="AM347" s="3"/>
      <c r="AN347" s="3"/>
      <c r="AO347" s="3"/>
      <c r="AP347" s="3"/>
      <c r="AQ347" s="3" t="s">
        <v>35</v>
      </c>
      <c r="AR347" s="18" t="s">
        <v>35</v>
      </c>
      <c r="AS347" s="18" t="s">
        <v>35</v>
      </c>
      <c r="AT347" s="4" t="s">
        <v>35</v>
      </c>
      <c r="AU347" s="4" t="s">
        <v>35</v>
      </c>
      <c r="AV347" s="7" t="s">
        <v>35</v>
      </c>
      <c r="AW347" s="5"/>
      <c r="AX347" s="3"/>
      <c r="AY347" s="3"/>
      <c r="AZ347" s="3"/>
      <c r="BA347" s="3"/>
      <c r="BB347" s="3"/>
      <c r="BC347" s="18"/>
      <c r="BD347" s="18"/>
      <c r="BE347" s="4"/>
      <c r="BF347" s="4"/>
      <c r="BG347" s="7"/>
      <c r="BH347" s="5"/>
      <c r="BI347" s="3"/>
      <c r="BJ347" s="3"/>
      <c r="BK347" s="3"/>
      <c r="BL347" s="3"/>
      <c r="BM347" s="3"/>
      <c r="BN347" s="18"/>
      <c r="BO347" s="18"/>
      <c r="BP347" s="4"/>
      <c r="BQ347" s="4"/>
      <c r="BR347" s="7"/>
      <c r="BS347" s="18"/>
    </row>
    <row r="348" spans="1:71" x14ac:dyDescent="0.25">
      <c r="A348" s="18">
        <v>343</v>
      </c>
      <c r="B348" s="18"/>
      <c r="C348" s="18"/>
      <c r="D348" s="21"/>
      <c r="E348" s="5"/>
      <c r="F348" s="3"/>
      <c r="G348" s="3"/>
      <c r="H348" s="3"/>
      <c r="I348" s="3"/>
      <c r="J348" s="3"/>
      <c r="K348" s="18"/>
      <c r="L348" s="18"/>
      <c r="M348" s="4"/>
      <c r="N348" s="4"/>
      <c r="O348" s="7"/>
      <c r="P348" s="5"/>
      <c r="Q348" s="3"/>
      <c r="R348" s="3"/>
      <c r="S348" s="3"/>
      <c r="T348" s="3"/>
      <c r="U348" s="3" t="s">
        <v>35</v>
      </c>
      <c r="V348" s="18" t="s">
        <v>35</v>
      </c>
      <c r="W348" s="18" t="s">
        <v>35</v>
      </c>
      <c r="X348" s="4" t="s">
        <v>35</v>
      </c>
      <c r="Y348" s="4" t="s">
        <v>35</v>
      </c>
      <c r="Z348" s="7" t="s">
        <v>35</v>
      </c>
      <c r="AA348" s="5"/>
      <c r="AB348" s="3"/>
      <c r="AC348" s="3"/>
      <c r="AD348" s="3"/>
      <c r="AE348" s="3"/>
      <c r="AF348" s="3"/>
      <c r="AG348" s="18"/>
      <c r="AH348" s="18"/>
      <c r="AI348" s="4"/>
      <c r="AJ348" s="4"/>
      <c r="AK348" s="7"/>
      <c r="AL348" s="5"/>
      <c r="AM348" s="3"/>
      <c r="AN348" s="3"/>
      <c r="AO348" s="3"/>
      <c r="AP348" s="3"/>
      <c r="AQ348" s="3" t="s">
        <v>35</v>
      </c>
      <c r="AR348" s="18" t="s">
        <v>35</v>
      </c>
      <c r="AS348" s="18" t="s">
        <v>35</v>
      </c>
      <c r="AT348" s="4" t="s">
        <v>35</v>
      </c>
      <c r="AU348" s="4" t="s">
        <v>35</v>
      </c>
      <c r="AV348" s="7" t="s">
        <v>35</v>
      </c>
      <c r="AW348" s="5"/>
      <c r="AX348" s="3"/>
      <c r="AY348" s="3"/>
      <c r="AZ348" s="3"/>
      <c r="BA348" s="3"/>
      <c r="BB348" s="3"/>
      <c r="BC348" s="18"/>
      <c r="BD348" s="18"/>
      <c r="BE348" s="4"/>
      <c r="BF348" s="4"/>
      <c r="BG348" s="7"/>
      <c r="BH348" s="5"/>
      <c r="BI348" s="3"/>
      <c r="BJ348" s="3"/>
      <c r="BK348" s="3"/>
      <c r="BL348" s="3"/>
      <c r="BM348" s="3"/>
      <c r="BN348" s="18"/>
      <c r="BO348" s="18"/>
      <c r="BP348" s="4"/>
      <c r="BQ348" s="4"/>
      <c r="BR348" s="7"/>
      <c r="BS348" s="18"/>
    </row>
    <row r="349" spans="1:71" x14ac:dyDescent="0.25">
      <c r="A349" s="18">
        <v>344</v>
      </c>
      <c r="B349" s="18"/>
      <c r="C349" s="18"/>
      <c r="D349" s="21"/>
      <c r="E349" s="5"/>
      <c r="F349" s="3"/>
      <c r="G349" s="3"/>
      <c r="H349" s="3"/>
      <c r="I349" s="3"/>
      <c r="J349" s="3"/>
      <c r="K349" s="18"/>
      <c r="L349" s="18"/>
      <c r="M349" s="4"/>
      <c r="N349" s="4"/>
      <c r="O349" s="7"/>
      <c r="P349" s="5"/>
      <c r="Q349" s="3"/>
      <c r="R349" s="3"/>
      <c r="S349" s="3"/>
      <c r="T349" s="3"/>
      <c r="U349" s="3" t="s">
        <v>35</v>
      </c>
      <c r="V349" s="18" t="s">
        <v>35</v>
      </c>
      <c r="W349" s="18" t="s">
        <v>35</v>
      </c>
      <c r="X349" s="4" t="s">
        <v>35</v>
      </c>
      <c r="Y349" s="4" t="s">
        <v>35</v>
      </c>
      <c r="Z349" s="7" t="s">
        <v>35</v>
      </c>
      <c r="AA349" s="5"/>
      <c r="AB349" s="3"/>
      <c r="AC349" s="3"/>
      <c r="AD349" s="3"/>
      <c r="AE349" s="3"/>
      <c r="AF349" s="3"/>
      <c r="AG349" s="18"/>
      <c r="AH349" s="18"/>
      <c r="AI349" s="4"/>
      <c r="AJ349" s="4"/>
      <c r="AK349" s="7"/>
      <c r="AL349" s="5"/>
      <c r="AM349" s="3"/>
      <c r="AN349" s="3"/>
      <c r="AO349" s="3"/>
      <c r="AP349" s="3"/>
      <c r="AQ349" s="3" t="s">
        <v>35</v>
      </c>
      <c r="AR349" s="18" t="s">
        <v>35</v>
      </c>
      <c r="AS349" s="18" t="s">
        <v>35</v>
      </c>
      <c r="AT349" s="4" t="s">
        <v>35</v>
      </c>
      <c r="AU349" s="4" t="s">
        <v>35</v>
      </c>
      <c r="AV349" s="7" t="s">
        <v>35</v>
      </c>
      <c r="AW349" s="5"/>
      <c r="AX349" s="3"/>
      <c r="AY349" s="3"/>
      <c r="AZ349" s="3"/>
      <c r="BA349" s="3"/>
      <c r="BB349" s="3"/>
      <c r="BC349" s="18"/>
      <c r="BD349" s="18"/>
      <c r="BE349" s="4"/>
      <c r="BF349" s="4"/>
      <c r="BG349" s="7"/>
      <c r="BH349" s="5"/>
      <c r="BI349" s="3"/>
      <c r="BJ349" s="3"/>
      <c r="BK349" s="3"/>
      <c r="BL349" s="3"/>
      <c r="BM349" s="3"/>
      <c r="BN349" s="18"/>
      <c r="BO349" s="18"/>
      <c r="BP349" s="4"/>
      <c r="BQ349" s="4"/>
      <c r="BR349" s="7"/>
      <c r="BS349" s="18"/>
    </row>
    <row r="350" spans="1:71" x14ac:dyDescent="0.25">
      <c r="A350" s="1">
        <v>345</v>
      </c>
      <c r="B350" s="18"/>
      <c r="C350" s="18"/>
      <c r="D350" s="21"/>
      <c r="E350" s="5"/>
      <c r="F350" s="3"/>
      <c r="G350" s="3"/>
      <c r="H350" s="3"/>
      <c r="I350" s="3"/>
      <c r="J350" s="3"/>
      <c r="K350" s="18"/>
      <c r="L350" s="18"/>
      <c r="M350" s="4"/>
      <c r="N350" s="4"/>
      <c r="O350" s="7"/>
      <c r="P350" s="5"/>
      <c r="Q350" s="3"/>
      <c r="R350" s="3"/>
      <c r="S350" s="3"/>
      <c r="T350" s="3"/>
      <c r="U350" s="3" t="s">
        <v>35</v>
      </c>
      <c r="V350" s="18" t="s">
        <v>35</v>
      </c>
      <c r="W350" s="18" t="s">
        <v>35</v>
      </c>
      <c r="X350" s="4" t="s">
        <v>35</v>
      </c>
      <c r="Y350" s="4" t="s">
        <v>35</v>
      </c>
      <c r="Z350" s="7" t="s">
        <v>35</v>
      </c>
      <c r="AA350" s="5"/>
      <c r="AB350" s="3"/>
      <c r="AC350" s="3"/>
      <c r="AD350" s="3"/>
      <c r="AE350" s="3"/>
      <c r="AF350" s="3"/>
      <c r="AG350" s="18"/>
      <c r="AH350" s="18"/>
      <c r="AI350" s="4"/>
      <c r="AJ350" s="4"/>
      <c r="AK350" s="7"/>
      <c r="AL350" s="5"/>
      <c r="AM350" s="3"/>
      <c r="AN350" s="3"/>
      <c r="AO350" s="3"/>
      <c r="AP350" s="3"/>
      <c r="AQ350" s="3" t="s">
        <v>35</v>
      </c>
      <c r="AR350" s="18" t="s">
        <v>35</v>
      </c>
      <c r="AS350" s="18" t="s">
        <v>35</v>
      </c>
      <c r="AT350" s="4" t="s">
        <v>35</v>
      </c>
      <c r="AU350" s="4" t="s">
        <v>35</v>
      </c>
      <c r="AV350" s="7" t="s">
        <v>35</v>
      </c>
      <c r="AW350" s="5"/>
      <c r="AX350" s="3"/>
      <c r="AY350" s="3"/>
      <c r="AZ350" s="3"/>
      <c r="BA350" s="3"/>
      <c r="BB350" s="3"/>
      <c r="BC350" s="18"/>
      <c r="BD350" s="18"/>
      <c r="BE350" s="4"/>
      <c r="BF350" s="4"/>
      <c r="BG350" s="7"/>
      <c r="BH350" s="5"/>
      <c r="BI350" s="3"/>
      <c r="BJ350" s="3"/>
      <c r="BK350" s="3"/>
      <c r="BL350" s="3"/>
      <c r="BM350" s="3"/>
      <c r="BN350" s="18"/>
      <c r="BO350" s="18"/>
      <c r="BP350" s="4"/>
      <c r="BQ350" s="4"/>
      <c r="BR350" s="7"/>
      <c r="BS350" s="18"/>
    </row>
    <row r="351" spans="1:71" x14ac:dyDescent="0.25">
      <c r="A351" s="18">
        <v>346</v>
      </c>
      <c r="B351" s="18"/>
      <c r="C351" s="18"/>
      <c r="D351" s="21"/>
      <c r="E351" s="5"/>
      <c r="F351" s="3"/>
      <c r="G351" s="3"/>
      <c r="H351" s="3"/>
      <c r="I351" s="3"/>
      <c r="J351" s="3"/>
      <c r="K351" s="18"/>
      <c r="L351" s="18"/>
      <c r="M351" s="4"/>
      <c r="N351" s="4"/>
      <c r="O351" s="7"/>
      <c r="P351" s="5"/>
      <c r="Q351" s="3"/>
      <c r="R351" s="3"/>
      <c r="S351" s="3"/>
      <c r="T351" s="3"/>
      <c r="U351" s="3" t="s">
        <v>35</v>
      </c>
      <c r="V351" s="18" t="s">
        <v>35</v>
      </c>
      <c r="W351" s="18" t="s">
        <v>35</v>
      </c>
      <c r="X351" s="4" t="s">
        <v>35</v>
      </c>
      <c r="Y351" s="4" t="s">
        <v>35</v>
      </c>
      <c r="Z351" s="7" t="s">
        <v>35</v>
      </c>
      <c r="AA351" s="5"/>
      <c r="AB351" s="3"/>
      <c r="AC351" s="3"/>
      <c r="AD351" s="3"/>
      <c r="AE351" s="3"/>
      <c r="AF351" s="3"/>
      <c r="AG351" s="18"/>
      <c r="AH351" s="18"/>
      <c r="AI351" s="4"/>
      <c r="AJ351" s="4"/>
      <c r="AK351" s="7"/>
      <c r="AL351" s="5"/>
      <c r="AM351" s="3"/>
      <c r="AN351" s="3"/>
      <c r="AO351" s="3"/>
      <c r="AP351" s="3"/>
      <c r="AQ351" s="3" t="s">
        <v>35</v>
      </c>
      <c r="AR351" s="18" t="s">
        <v>35</v>
      </c>
      <c r="AS351" s="18" t="s">
        <v>35</v>
      </c>
      <c r="AT351" s="4" t="s">
        <v>35</v>
      </c>
      <c r="AU351" s="4" t="s">
        <v>35</v>
      </c>
      <c r="AV351" s="7" t="s">
        <v>35</v>
      </c>
      <c r="AW351" s="5"/>
      <c r="AX351" s="3"/>
      <c r="AY351" s="3"/>
      <c r="AZ351" s="3"/>
      <c r="BA351" s="3"/>
      <c r="BB351" s="3"/>
      <c r="BC351" s="18"/>
      <c r="BD351" s="18"/>
      <c r="BE351" s="4"/>
      <c r="BF351" s="4"/>
      <c r="BG351" s="7"/>
      <c r="BH351" s="5"/>
      <c r="BI351" s="3"/>
      <c r="BJ351" s="3"/>
      <c r="BK351" s="3"/>
      <c r="BL351" s="3"/>
      <c r="BM351" s="3"/>
      <c r="BN351" s="18"/>
      <c r="BO351" s="18"/>
      <c r="BP351" s="4"/>
      <c r="BQ351" s="4"/>
      <c r="BR351" s="7"/>
      <c r="BS351" s="18"/>
    </row>
    <row r="352" spans="1:71" x14ac:dyDescent="0.25">
      <c r="A352" s="18">
        <v>347</v>
      </c>
      <c r="B352" s="18"/>
      <c r="C352" s="18"/>
      <c r="D352" s="21"/>
      <c r="E352" s="5"/>
      <c r="F352" s="3"/>
      <c r="G352" s="3"/>
      <c r="H352" s="3"/>
      <c r="I352" s="3"/>
      <c r="J352" s="3"/>
      <c r="K352" s="18"/>
      <c r="L352" s="18"/>
      <c r="M352" s="4"/>
      <c r="N352" s="4"/>
      <c r="O352" s="7"/>
      <c r="P352" s="5"/>
      <c r="Q352" s="3"/>
      <c r="R352" s="3"/>
      <c r="S352" s="3"/>
      <c r="T352" s="3"/>
      <c r="U352" s="3" t="s">
        <v>35</v>
      </c>
      <c r="V352" s="18" t="s">
        <v>35</v>
      </c>
      <c r="W352" s="18" t="s">
        <v>35</v>
      </c>
      <c r="X352" s="4" t="s">
        <v>35</v>
      </c>
      <c r="Y352" s="4" t="s">
        <v>35</v>
      </c>
      <c r="Z352" s="7" t="s">
        <v>35</v>
      </c>
      <c r="AA352" s="5"/>
      <c r="AB352" s="3"/>
      <c r="AC352" s="3"/>
      <c r="AD352" s="3"/>
      <c r="AE352" s="3"/>
      <c r="AF352" s="3"/>
      <c r="AG352" s="18"/>
      <c r="AH352" s="18"/>
      <c r="AI352" s="4"/>
      <c r="AJ352" s="4"/>
      <c r="AK352" s="7"/>
      <c r="AL352" s="5"/>
      <c r="AM352" s="3"/>
      <c r="AN352" s="3"/>
      <c r="AO352" s="3"/>
      <c r="AP352" s="3"/>
      <c r="AQ352" s="3" t="s">
        <v>35</v>
      </c>
      <c r="AR352" s="18" t="s">
        <v>35</v>
      </c>
      <c r="AS352" s="18" t="s">
        <v>35</v>
      </c>
      <c r="AT352" s="4" t="s">
        <v>35</v>
      </c>
      <c r="AU352" s="4" t="s">
        <v>35</v>
      </c>
      <c r="AV352" s="7" t="s">
        <v>35</v>
      </c>
      <c r="AW352" s="5"/>
      <c r="AX352" s="3"/>
      <c r="AY352" s="3"/>
      <c r="AZ352" s="3"/>
      <c r="BA352" s="3"/>
      <c r="BB352" s="3"/>
      <c r="BC352" s="18"/>
      <c r="BD352" s="18"/>
      <c r="BE352" s="4"/>
      <c r="BF352" s="4"/>
      <c r="BG352" s="7"/>
      <c r="BH352" s="5"/>
      <c r="BI352" s="3"/>
      <c r="BJ352" s="3"/>
      <c r="BK352" s="3"/>
      <c r="BL352" s="3"/>
      <c r="BM352" s="3"/>
      <c r="BN352" s="18"/>
      <c r="BO352" s="18"/>
      <c r="BP352" s="4"/>
      <c r="BQ352" s="4"/>
      <c r="BR352" s="7"/>
      <c r="BS352" s="18"/>
    </row>
    <row r="353" spans="1:71" x14ac:dyDescent="0.25">
      <c r="A353" s="18">
        <v>348</v>
      </c>
      <c r="B353" s="18"/>
      <c r="C353" s="18"/>
      <c r="D353" s="21"/>
      <c r="E353" s="5"/>
      <c r="F353" s="3"/>
      <c r="G353" s="3"/>
      <c r="H353" s="3"/>
      <c r="I353" s="3"/>
      <c r="J353" s="3"/>
      <c r="K353" s="18"/>
      <c r="L353" s="18"/>
      <c r="M353" s="4"/>
      <c r="N353" s="4"/>
      <c r="O353" s="7"/>
      <c r="P353" s="5"/>
      <c r="Q353" s="3"/>
      <c r="R353" s="3"/>
      <c r="S353" s="3"/>
      <c r="T353" s="3"/>
      <c r="U353" s="3" t="s">
        <v>35</v>
      </c>
      <c r="V353" s="18" t="s">
        <v>35</v>
      </c>
      <c r="W353" s="18" t="s">
        <v>35</v>
      </c>
      <c r="X353" s="4" t="s">
        <v>35</v>
      </c>
      <c r="Y353" s="4" t="s">
        <v>35</v>
      </c>
      <c r="Z353" s="7" t="s">
        <v>35</v>
      </c>
      <c r="AA353" s="5"/>
      <c r="AB353" s="3"/>
      <c r="AC353" s="3"/>
      <c r="AD353" s="3"/>
      <c r="AE353" s="3"/>
      <c r="AF353" s="3"/>
      <c r="AG353" s="18"/>
      <c r="AH353" s="18"/>
      <c r="AI353" s="4"/>
      <c r="AJ353" s="4"/>
      <c r="AK353" s="7"/>
      <c r="AL353" s="5"/>
      <c r="AM353" s="3"/>
      <c r="AN353" s="3"/>
      <c r="AO353" s="3"/>
      <c r="AP353" s="3"/>
      <c r="AQ353" s="3" t="s">
        <v>35</v>
      </c>
      <c r="AR353" s="18" t="s">
        <v>35</v>
      </c>
      <c r="AS353" s="18" t="s">
        <v>35</v>
      </c>
      <c r="AT353" s="4" t="s">
        <v>35</v>
      </c>
      <c r="AU353" s="4" t="s">
        <v>35</v>
      </c>
      <c r="AV353" s="7" t="s">
        <v>35</v>
      </c>
      <c r="AW353" s="5"/>
      <c r="AX353" s="3"/>
      <c r="AY353" s="3"/>
      <c r="AZ353" s="3"/>
      <c r="BA353" s="3"/>
      <c r="BB353" s="3"/>
      <c r="BC353" s="18"/>
      <c r="BD353" s="18"/>
      <c r="BE353" s="4"/>
      <c r="BF353" s="4"/>
      <c r="BG353" s="7"/>
      <c r="BH353" s="5"/>
      <c r="BI353" s="3"/>
      <c r="BJ353" s="3"/>
      <c r="BK353" s="3"/>
      <c r="BL353" s="3"/>
      <c r="BM353" s="3"/>
      <c r="BN353" s="18"/>
      <c r="BO353" s="18"/>
      <c r="BP353" s="4"/>
      <c r="BQ353" s="4"/>
      <c r="BR353" s="7"/>
      <c r="BS353" s="18"/>
    </row>
    <row r="354" spans="1:71" x14ac:dyDescent="0.25">
      <c r="A354" s="18">
        <v>349</v>
      </c>
      <c r="B354" s="18"/>
      <c r="C354" s="18"/>
      <c r="D354" s="21"/>
      <c r="E354" s="5"/>
      <c r="F354" s="3"/>
      <c r="G354" s="3"/>
      <c r="H354" s="3"/>
      <c r="I354" s="3"/>
      <c r="J354" s="3"/>
      <c r="K354" s="18"/>
      <c r="L354" s="18"/>
      <c r="M354" s="4"/>
      <c r="N354" s="4"/>
      <c r="O354" s="7"/>
      <c r="P354" s="5"/>
      <c r="Q354" s="3"/>
      <c r="R354" s="3"/>
      <c r="S354" s="3"/>
      <c r="T354" s="3"/>
      <c r="U354" s="3" t="s">
        <v>35</v>
      </c>
      <c r="V354" s="18" t="s">
        <v>35</v>
      </c>
      <c r="W354" s="18" t="s">
        <v>35</v>
      </c>
      <c r="X354" s="4" t="s">
        <v>35</v>
      </c>
      <c r="Y354" s="4" t="s">
        <v>35</v>
      </c>
      <c r="Z354" s="7" t="s">
        <v>35</v>
      </c>
      <c r="AA354" s="5"/>
      <c r="AB354" s="3"/>
      <c r="AC354" s="3"/>
      <c r="AD354" s="3"/>
      <c r="AE354" s="3"/>
      <c r="AF354" s="3"/>
      <c r="AG354" s="18"/>
      <c r="AH354" s="18"/>
      <c r="AI354" s="4"/>
      <c r="AJ354" s="4"/>
      <c r="AK354" s="7"/>
      <c r="AL354" s="5"/>
      <c r="AM354" s="3"/>
      <c r="AN354" s="3"/>
      <c r="AO354" s="3"/>
      <c r="AP354" s="3"/>
      <c r="AQ354" s="3" t="s">
        <v>35</v>
      </c>
      <c r="AR354" s="18" t="s">
        <v>35</v>
      </c>
      <c r="AS354" s="18" t="s">
        <v>35</v>
      </c>
      <c r="AT354" s="4" t="s">
        <v>35</v>
      </c>
      <c r="AU354" s="4" t="s">
        <v>35</v>
      </c>
      <c r="AV354" s="7" t="s">
        <v>35</v>
      </c>
      <c r="AW354" s="5"/>
      <c r="AX354" s="3"/>
      <c r="AY354" s="3"/>
      <c r="AZ354" s="3"/>
      <c r="BA354" s="3"/>
      <c r="BB354" s="3"/>
      <c r="BC354" s="18"/>
      <c r="BD354" s="18"/>
      <c r="BE354" s="4"/>
      <c r="BF354" s="4"/>
      <c r="BG354" s="7"/>
      <c r="BH354" s="5"/>
      <c r="BI354" s="3"/>
      <c r="BJ354" s="3"/>
      <c r="BK354" s="3"/>
      <c r="BL354" s="3"/>
      <c r="BM354" s="3"/>
      <c r="BN354" s="18"/>
      <c r="BO354" s="18"/>
      <c r="BP354" s="4"/>
      <c r="BQ354" s="4"/>
      <c r="BR354" s="7"/>
      <c r="BS354" s="18"/>
    </row>
    <row r="355" spans="1:71" x14ac:dyDescent="0.25">
      <c r="A355" s="1">
        <v>350</v>
      </c>
      <c r="B355" s="18"/>
      <c r="C355" s="18"/>
      <c r="D355" s="21"/>
      <c r="E355" s="5"/>
      <c r="F355" s="3"/>
      <c r="G355" s="3"/>
      <c r="H355" s="3"/>
      <c r="I355" s="3"/>
      <c r="J355" s="3"/>
      <c r="K355" s="18"/>
      <c r="L355" s="18"/>
      <c r="M355" s="4"/>
      <c r="N355" s="4"/>
      <c r="O355" s="7"/>
      <c r="P355" s="5"/>
      <c r="Q355" s="3"/>
      <c r="R355" s="3"/>
      <c r="S355" s="3"/>
      <c r="T355" s="3"/>
      <c r="U355" s="3" t="s">
        <v>35</v>
      </c>
      <c r="V355" s="18" t="s">
        <v>35</v>
      </c>
      <c r="W355" s="18" t="s">
        <v>35</v>
      </c>
      <c r="X355" s="4" t="s">
        <v>35</v>
      </c>
      <c r="Y355" s="4" t="s">
        <v>35</v>
      </c>
      <c r="Z355" s="7" t="s">
        <v>35</v>
      </c>
      <c r="AA355" s="5"/>
      <c r="AB355" s="3"/>
      <c r="AC355" s="3"/>
      <c r="AD355" s="3"/>
      <c r="AE355" s="3"/>
      <c r="AF355" s="3"/>
      <c r="AG355" s="18"/>
      <c r="AH355" s="18"/>
      <c r="AI355" s="4"/>
      <c r="AJ355" s="4"/>
      <c r="AK355" s="7"/>
      <c r="AL355" s="5"/>
      <c r="AM355" s="3"/>
      <c r="AN355" s="3"/>
      <c r="AO355" s="3"/>
      <c r="AP355" s="3"/>
      <c r="AQ355" s="3" t="s">
        <v>35</v>
      </c>
      <c r="AR355" s="18" t="s">
        <v>35</v>
      </c>
      <c r="AS355" s="18" t="s">
        <v>35</v>
      </c>
      <c r="AT355" s="4" t="s">
        <v>35</v>
      </c>
      <c r="AU355" s="4" t="s">
        <v>35</v>
      </c>
      <c r="AV355" s="7" t="s">
        <v>35</v>
      </c>
      <c r="AW355" s="5"/>
      <c r="AX355" s="3"/>
      <c r="AY355" s="3"/>
      <c r="AZ355" s="3"/>
      <c r="BA355" s="3"/>
      <c r="BB355" s="3"/>
      <c r="BC355" s="18"/>
      <c r="BD355" s="18"/>
      <c r="BE355" s="4"/>
      <c r="BF355" s="4"/>
      <c r="BG355" s="7"/>
      <c r="BH355" s="5"/>
      <c r="BI355" s="3"/>
      <c r="BJ355" s="3"/>
      <c r="BK355" s="3"/>
      <c r="BL355" s="3"/>
      <c r="BM355" s="3"/>
      <c r="BN355" s="18"/>
      <c r="BO355" s="18"/>
      <c r="BP355" s="4"/>
      <c r="BQ355" s="4"/>
      <c r="BR355" s="7"/>
      <c r="BS355" s="18"/>
    </row>
    <row r="356" spans="1:71" x14ac:dyDescent="0.25">
      <c r="A356" s="18">
        <v>351</v>
      </c>
      <c r="B356" s="18"/>
      <c r="C356" s="18"/>
      <c r="D356" s="21"/>
      <c r="E356" s="5"/>
      <c r="F356" s="3"/>
      <c r="G356" s="3"/>
      <c r="H356" s="3"/>
      <c r="I356" s="3"/>
      <c r="J356" s="3"/>
      <c r="K356" s="18"/>
      <c r="L356" s="18"/>
      <c r="M356" s="4"/>
      <c r="N356" s="4"/>
      <c r="O356" s="7"/>
      <c r="P356" s="5"/>
      <c r="Q356" s="3"/>
      <c r="R356" s="3"/>
      <c r="S356" s="3"/>
      <c r="T356" s="3"/>
      <c r="U356" s="3" t="s">
        <v>35</v>
      </c>
      <c r="V356" s="18" t="s">
        <v>35</v>
      </c>
      <c r="W356" s="18" t="s">
        <v>35</v>
      </c>
      <c r="X356" s="4" t="s">
        <v>35</v>
      </c>
      <c r="Y356" s="4" t="s">
        <v>35</v>
      </c>
      <c r="Z356" s="7" t="s">
        <v>35</v>
      </c>
      <c r="AA356" s="5"/>
      <c r="AB356" s="3"/>
      <c r="AC356" s="3"/>
      <c r="AD356" s="3"/>
      <c r="AE356" s="3"/>
      <c r="AF356" s="3"/>
      <c r="AG356" s="18"/>
      <c r="AH356" s="18"/>
      <c r="AI356" s="4"/>
      <c r="AJ356" s="4"/>
      <c r="AK356" s="7"/>
      <c r="AL356" s="5"/>
      <c r="AM356" s="3"/>
      <c r="AN356" s="3"/>
      <c r="AO356" s="3"/>
      <c r="AP356" s="3"/>
      <c r="AQ356" s="3" t="s">
        <v>35</v>
      </c>
      <c r="AR356" s="18" t="s">
        <v>35</v>
      </c>
      <c r="AS356" s="18" t="s">
        <v>35</v>
      </c>
      <c r="AT356" s="4" t="s">
        <v>35</v>
      </c>
      <c r="AU356" s="4" t="s">
        <v>35</v>
      </c>
      <c r="AV356" s="7" t="s">
        <v>35</v>
      </c>
      <c r="AW356" s="5"/>
      <c r="AX356" s="3"/>
      <c r="AY356" s="3"/>
      <c r="AZ356" s="3"/>
      <c r="BA356" s="3"/>
      <c r="BB356" s="3"/>
      <c r="BC356" s="18"/>
      <c r="BD356" s="18"/>
      <c r="BE356" s="4"/>
      <c r="BF356" s="4"/>
      <c r="BG356" s="7"/>
      <c r="BH356" s="5"/>
      <c r="BI356" s="3"/>
      <c r="BJ356" s="3"/>
      <c r="BK356" s="3"/>
      <c r="BL356" s="3"/>
      <c r="BM356" s="3"/>
      <c r="BN356" s="18"/>
      <c r="BO356" s="18"/>
      <c r="BP356" s="4"/>
      <c r="BQ356" s="4"/>
      <c r="BR356" s="7"/>
      <c r="BS356" s="18"/>
    </row>
    <row r="357" spans="1:71" x14ac:dyDescent="0.25">
      <c r="A357" s="18">
        <v>352</v>
      </c>
      <c r="B357" s="18"/>
      <c r="C357" s="18"/>
      <c r="D357" s="21"/>
      <c r="E357" s="5"/>
      <c r="F357" s="3"/>
      <c r="G357" s="3"/>
      <c r="H357" s="3"/>
      <c r="I357" s="3"/>
      <c r="J357" s="3"/>
      <c r="K357" s="18"/>
      <c r="L357" s="18"/>
      <c r="M357" s="4"/>
      <c r="N357" s="4"/>
      <c r="O357" s="7"/>
      <c r="P357" s="5"/>
      <c r="Q357" s="3"/>
      <c r="R357" s="3"/>
      <c r="S357" s="3"/>
      <c r="T357" s="3"/>
      <c r="U357" s="3" t="s">
        <v>35</v>
      </c>
      <c r="V357" s="18" t="s">
        <v>35</v>
      </c>
      <c r="W357" s="18" t="s">
        <v>35</v>
      </c>
      <c r="X357" s="4" t="s">
        <v>35</v>
      </c>
      <c r="Y357" s="4" t="s">
        <v>35</v>
      </c>
      <c r="Z357" s="7" t="s">
        <v>35</v>
      </c>
      <c r="AA357" s="5"/>
      <c r="AB357" s="3"/>
      <c r="AC357" s="3"/>
      <c r="AD357" s="3"/>
      <c r="AE357" s="3"/>
      <c r="AF357" s="3"/>
      <c r="AG357" s="18"/>
      <c r="AH357" s="18"/>
      <c r="AI357" s="4"/>
      <c r="AJ357" s="4"/>
      <c r="AK357" s="7"/>
      <c r="AL357" s="5"/>
      <c r="AM357" s="3"/>
      <c r="AN357" s="3"/>
      <c r="AO357" s="3"/>
      <c r="AP357" s="3"/>
      <c r="AQ357" s="3" t="s">
        <v>35</v>
      </c>
      <c r="AR357" s="18" t="s">
        <v>35</v>
      </c>
      <c r="AS357" s="18" t="s">
        <v>35</v>
      </c>
      <c r="AT357" s="4" t="s">
        <v>35</v>
      </c>
      <c r="AU357" s="4" t="s">
        <v>35</v>
      </c>
      <c r="AV357" s="7" t="s">
        <v>35</v>
      </c>
      <c r="AW357" s="5"/>
      <c r="AX357" s="3"/>
      <c r="AY357" s="3"/>
      <c r="AZ357" s="3"/>
      <c r="BA357" s="3"/>
      <c r="BB357" s="3"/>
      <c r="BC357" s="18"/>
      <c r="BD357" s="18"/>
      <c r="BE357" s="4"/>
      <c r="BF357" s="4"/>
      <c r="BG357" s="7"/>
      <c r="BH357" s="5"/>
      <c r="BI357" s="3"/>
      <c r="BJ357" s="3"/>
      <c r="BK357" s="3"/>
      <c r="BL357" s="3"/>
      <c r="BM357" s="3"/>
      <c r="BN357" s="18"/>
      <c r="BO357" s="18"/>
      <c r="BP357" s="4"/>
      <c r="BQ357" s="4"/>
      <c r="BR357" s="7"/>
      <c r="BS357" s="18"/>
    </row>
    <row r="358" spans="1:71" x14ac:dyDescent="0.25">
      <c r="A358" s="18">
        <v>353</v>
      </c>
      <c r="B358" s="18"/>
      <c r="C358" s="18"/>
      <c r="D358" s="21"/>
      <c r="E358" s="5"/>
      <c r="F358" s="3"/>
      <c r="G358" s="3"/>
      <c r="H358" s="3"/>
      <c r="I358" s="3"/>
      <c r="J358" s="3"/>
      <c r="K358" s="18"/>
      <c r="L358" s="18"/>
      <c r="M358" s="4"/>
      <c r="N358" s="4"/>
      <c r="O358" s="7"/>
      <c r="P358" s="5"/>
      <c r="Q358" s="3"/>
      <c r="R358" s="3"/>
      <c r="S358" s="3"/>
      <c r="T358" s="3"/>
      <c r="U358" s="3" t="s">
        <v>35</v>
      </c>
      <c r="V358" s="18" t="s">
        <v>35</v>
      </c>
      <c r="W358" s="18" t="s">
        <v>35</v>
      </c>
      <c r="X358" s="4" t="s">
        <v>35</v>
      </c>
      <c r="Y358" s="4" t="s">
        <v>35</v>
      </c>
      <c r="Z358" s="7" t="s">
        <v>35</v>
      </c>
      <c r="AA358" s="5"/>
      <c r="AB358" s="3"/>
      <c r="AC358" s="3"/>
      <c r="AD358" s="3"/>
      <c r="AE358" s="3"/>
      <c r="AF358" s="3"/>
      <c r="AG358" s="18"/>
      <c r="AH358" s="18"/>
      <c r="AI358" s="4"/>
      <c r="AJ358" s="4"/>
      <c r="AK358" s="7"/>
      <c r="AL358" s="5"/>
      <c r="AM358" s="3"/>
      <c r="AN358" s="3"/>
      <c r="AO358" s="3"/>
      <c r="AP358" s="3"/>
      <c r="AQ358" s="3" t="s">
        <v>35</v>
      </c>
      <c r="AR358" s="18" t="s">
        <v>35</v>
      </c>
      <c r="AS358" s="18" t="s">
        <v>35</v>
      </c>
      <c r="AT358" s="4" t="s">
        <v>35</v>
      </c>
      <c r="AU358" s="4" t="s">
        <v>35</v>
      </c>
      <c r="AV358" s="7" t="s">
        <v>35</v>
      </c>
      <c r="AW358" s="5"/>
      <c r="AX358" s="3"/>
      <c r="AY358" s="3"/>
      <c r="AZ358" s="3"/>
      <c r="BA358" s="3"/>
      <c r="BB358" s="3"/>
      <c r="BC358" s="18"/>
      <c r="BD358" s="18"/>
      <c r="BE358" s="4"/>
      <c r="BF358" s="4"/>
      <c r="BG358" s="7"/>
      <c r="BH358" s="5"/>
      <c r="BI358" s="3"/>
      <c r="BJ358" s="3"/>
      <c r="BK358" s="3"/>
      <c r="BL358" s="3"/>
      <c r="BM358" s="3"/>
      <c r="BN358" s="18"/>
      <c r="BO358" s="18"/>
      <c r="BP358" s="4"/>
      <c r="BQ358" s="4"/>
      <c r="BR358" s="7"/>
      <c r="BS358" s="18"/>
    </row>
    <row r="359" spans="1:71" x14ac:dyDescent="0.25">
      <c r="A359" s="18">
        <v>354</v>
      </c>
      <c r="B359" s="18"/>
      <c r="C359" s="18"/>
      <c r="D359" s="21"/>
      <c r="E359" s="5"/>
      <c r="F359" s="3"/>
      <c r="G359" s="3"/>
      <c r="H359" s="3"/>
      <c r="I359" s="3"/>
      <c r="J359" s="3"/>
      <c r="K359" s="18"/>
      <c r="L359" s="18"/>
      <c r="M359" s="4"/>
      <c r="N359" s="4"/>
      <c r="O359" s="7"/>
      <c r="P359" s="5"/>
      <c r="Q359" s="3"/>
      <c r="R359" s="3"/>
      <c r="S359" s="3"/>
      <c r="T359" s="3"/>
      <c r="U359" s="3" t="s">
        <v>35</v>
      </c>
      <c r="V359" s="18" t="s">
        <v>35</v>
      </c>
      <c r="W359" s="18" t="s">
        <v>35</v>
      </c>
      <c r="X359" s="4" t="s">
        <v>35</v>
      </c>
      <c r="Y359" s="4" t="s">
        <v>35</v>
      </c>
      <c r="Z359" s="7" t="s">
        <v>35</v>
      </c>
      <c r="AA359" s="5"/>
      <c r="AB359" s="3"/>
      <c r="AC359" s="3"/>
      <c r="AD359" s="3"/>
      <c r="AE359" s="3"/>
      <c r="AF359" s="3"/>
      <c r="AG359" s="18"/>
      <c r="AH359" s="18"/>
      <c r="AI359" s="4"/>
      <c r="AJ359" s="4"/>
      <c r="AK359" s="7"/>
      <c r="AL359" s="5"/>
      <c r="AM359" s="3"/>
      <c r="AN359" s="3"/>
      <c r="AO359" s="3"/>
      <c r="AP359" s="3"/>
      <c r="AQ359" s="3" t="s">
        <v>35</v>
      </c>
      <c r="AR359" s="18" t="s">
        <v>35</v>
      </c>
      <c r="AS359" s="18" t="s">
        <v>35</v>
      </c>
      <c r="AT359" s="4" t="s">
        <v>35</v>
      </c>
      <c r="AU359" s="4" t="s">
        <v>35</v>
      </c>
      <c r="AV359" s="7" t="s">
        <v>35</v>
      </c>
      <c r="AW359" s="5"/>
      <c r="AX359" s="3"/>
      <c r="AY359" s="3"/>
      <c r="AZ359" s="3"/>
      <c r="BA359" s="3"/>
      <c r="BB359" s="3"/>
      <c r="BC359" s="18"/>
      <c r="BD359" s="18"/>
      <c r="BE359" s="4"/>
      <c r="BF359" s="4"/>
      <c r="BG359" s="7"/>
      <c r="BH359" s="5"/>
      <c r="BI359" s="3"/>
      <c r="BJ359" s="3"/>
      <c r="BK359" s="3"/>
      <c r="BL359" s="3"/>
      <c r="BM359" s="3"/>
      <c r="BN359" s="18"/>
      <c r="BO359" s="18"/>
      <c r="BP359" s="4"/>
      <c r="BQ359" s="4"/>
      <c r="BR359" s="7"/>
      <c r="BS359" s="18"/>
    </row>
    <row r="360" spans="1:71" x14ac:dyDescent="0.25">
      <c r="A360" s="1">
        <v>355</v>
      </c>
      <c r="B360" s="18"/>
      <c r="C360" s="18"/>
      <c r="D360" s="21"/>
      <c r="E360" s="5"/>
      <c r="F360" s="3"/>
      <c r="G360" s="3"/>
      <c r="H360" s="3"/>
      <c r="I360" s="3"/>
      <c r="J360" s="3"/>
      <c r="K360" s="18"/>
      <c r="L360" s="18"/>
      <c r="M360" s="4"/>
      <c r="N360" s="4"/>
      <c r="O360" s="7"/>
      <c r="P360" s="5"/>
      <c r="Q360" s="3"/>
      <c r="R360" s="3"/>
      <c r="S360" s="3"/>
      <c r="T360" s="3"/>
      <c r="U360" s="3" t="s">
        <v>35</v>
      </c>
      <c r="V360" s="18" t="s">
        <v>35</v>
      </c>
      <c r="W360" s="18" t="s">
        <v>35</v>
      </c>
      <c r="X360" s="4" t="s">
        <v>35</v>
      </c>
      <c r="Y360" s="4" t="s">
        <v>35</v>
      </c>
      <c r="Z360" s="7" t="s">
        <v>35</v>
      </c>
      <c r="AA360" s="5"/>
      <c r="AB360" s="3"/>
      <c r="AC360" s="3"/>
      <c r="AD360" s="3"/>
      <c r="AE360" s="3"/>
      <c r="AF360" s="3"/>
      <c r="AG360" s="18"/>
      <c r="AH360" s="18"/>
      <c r="AI360" s="4"/>
      <c r="AJ360" s="4"/>
      <c r="AK360" s="7"/>
      <c r="AL360" s="5"/>
      <c r="AM360" s="3"/>
      <c r="AN360" s="3"/>
      <c r="AO360" s="3"/>
      <c r="AP360" s="3"/>
      <c r="AQ360" s="3" t="s">
        <v>35</v>
      </c>
      <c r="AR360" s="18" t="s">
        <v>35</v>
      </c>
      <c r="AS360" s="18" t="s">
        <v>35</v>
      </c>
      <c r="AT360" s="4" t="s">
        <v>35</v>
      </c>
      <c r="AU360" s="4" t="s">
        <v>35</v>
      </c>
      <c r="AV360" s="7" t="s">
        <v>35</v>
      </c>
      <c r="AW360" s="5"/>
      <c r="AX360" s="3"/>
      <c r="AY360" s="3"/>
      <c r="AZ360" s="3"/>
      <c r="BA360" s="3"/>
      <c r="BB360" s="3"/>
      <c r="BC360" s="18"/>
      <c r="BD360" s="18"/>
      <c r="BE360" s="4"/>
      <c r="BF360" s="4"/>
      <c r="BG360" s="7"/>
      <c r="BH360" s="5"/>
      <c r="BI360" s="3"/>
      <c r="BJ360" s="3"/>
      <c r="BK360" s="3"/>
      <c r="BL360" s="3"/>
      <c r="BM360" s="3"/>
      <c r="BN360" s="18"/>
      <c r="BO360" s="18"/>
      <c r="BP360" s="4"/>
      <c r="BQ360" s="4"/>
      <c r="BR360" s="7"/>
      <c r="BS360" s="18"/>
    </row>
    <row r="361" spans="1:71" x14ac:dyDescent="0.25">
      <c r="A361" s="18">
        <v>356</v>
      </c>
      <c r="B361" s="18"/>
      <c r="C361" s="18"/>
      <c r="D361" s="21"/>
      <c r="E361" s="5"/>
      <c r="F361" s="3"/>
      <c r="G361" s="3"/>
      <c r="H361" s="3"/>
      <c r="I361" s="3"/>
      <c r="J361" s="3"/>
      <c r="K361" s="18"/>
      <c r="L361" s="18"/>
      <c r="M361" s="4"/>
      <c r="N361" s="4"/>
      <c r="O361" s="7"/>
      <c r="P361" s="5"/>
      <c r="Q361" s="3"/>
      <c r="R361" s="3"/>
      <c r="S361" s="3"/>
      <c r="T361" s="3"/>
      <c r="U361" s="3" t="s">
        <v>35</v>
      </c>
      <c r="V361" s="18" t="s">
        <v>35</v>
      </c>
      <c r="W361" s="18" t="s">
        <v>35</v>
      </c>
      <c r="X361" s="4" t="s">
        <v>35</v>
      </c>
      <c r="Y361" s="4" t="s">
        <v>35</v>
      </c>
      <c r="Z361" s="7" t="s">
        <v>35</v>
      </c>
      <c r="AA361" s="5"/>
      <c r="AB361" s="3"/>
      <c r="AC361" s="3"/>
      <c r="AD361" s="3"/>
      <c r="AE361" s="3"/>
      <c r="AF361" s="3"/>
      <c r="AG361" s="18"/>
      <c r="AH361" s="18"/>
      <c r="AI361" s="4"/>
      <c r="AJ361" s="4"/>
      <c r="AK361" s="7"/>
      <c r="AL361" s="5"/>
      <c r="AM361" s="3"/>
      <c r="AN361" s="3"/>
      <c r="AO361" s="3"/>
      <c r="AP361" s="3"/>
      <c r="AQ361" s="3" t="s">
        <v>35</v>
      </c>
      <c r="AR361" s="18" t="s">
        <v>35</v>
      </c>
      <c r="AS361" s="18" t="s">
        <v>35</v>
      </c>
      <c r="AT361" s="4" t="s">
        <v>35</v>
      </c>
      <c r="AU361" s="4" t="s">
        <v>35</v>
      </c>
      <c r="AV361" s="7" t="s">
        <v>35</v>
      </c>
      <c r="AW361" s="5"/>
      <c r="AX361" s="3"/>
      <c r="AY361" s="3"/>
      <c r="AZ361" s="3"/>
      <c r="BA361" s="3"/>
      <c r="BB361" s="3"/>
      <c r="BC361" s="18"/>
      <c r="BD361" s="18"/>
      <c r="BE361" s="4"/>
      <c r="BF361" s="4"/>
      <c r="BG361" s="7"/>
      <c r="BH361" s="5"/>
      <c r="BI361" s="3"/>
      <c r="BJ361" s="3"/>
      <c r="BK361" s="3"/>
      <c r="BL361" s="3"/>
      <c r="BM361" s="3"/>
      <c r="BN361" s="18"/>
      <c r="BO361" s="18"/>
      <c r="BP361" s="4"/>
      <c r="BQ361" s="4"/>
      <c r="BR361" s="7"/>
      <c r="BS361" s="18"/>
    </row>
    <row r="362" spans="1:71" x14ac:dyDescent="0.25">
      <c r="A362" s="18">
        <v>357</v>
      </c>
      <c r="B362" s="18"/>
      <c r="C362" s="18"/>
      <c r="D362" s="21"/>
      <c r="E362" s="5"/>
      <c r="F362" s="3"/>
      <c r="G362" s="3"/>
      <c r="H362" s="3"/>
      <c r="I362" s="3"/>
      <c r="J362" s="3"/>
      <c r="K362" s="18"/>
      <c r="L362" s="18"/>
      <c r="M362" s="4"/>
      <c r="N362" s="4"/>
      <c r="O362" s="7"/>
      <c r="P362" s="5"/>
      <c r="Q362" s="3"/>
      <c r="R362" s="3"/>
      <c r="S362" s="3"/>
      <c r="T362" s="3"/>
      <c r="U362" s="3" t="s">
        <v>35</v>
      </c>
      <c r="V362" s="18" t="s">
        <v>35</v>
      </c>
      <c r="W362" s="18" t="s">
        <v>35</v>
      </c>
      <c r="X362" s="4" t="s">
        <v>35</v>
      </c>
      <c r="Y362" s="4" t="s">
        <v>35</v>
      </c>
      <c r="Z362" s="7" t="s">
        <v>35</v>
      </c>
      <c r="AA362" s="5"/>
      <c r="AB362" s="3"/>
      <c r="AC362" s="3"/>
      <c r="AD362" s="3"/>
      <c r="AE362" s="3"/>
      <c r="AF362" s="3"/>
      <c r="AG362" s="18"/>
      <c r="AH362" s="18"/>
      <c r="AI362" s="4"/>
      <c r="AJ362" s="4"/>
      <c r="AK362" s="7"/>
      <c r="AL362" s="5"/>
      <c r="AM362" s="3"/>
      <c r="AN362" s="3"/>
      <c r="AO362" s="3"/>
      <c r="AP362" s="3"/>
      <c r="AQ362" s="3" t="s">
        <v>35</v>
      </c>
      <c r="AR362" s="18" t="s">
        <v>35</v>
      </c>
      <c r="AS362" s="18" t="s">
        <v>35</v>
      </c>
      <c r="AT362" s="4" t="s">
        <v>35</v>
      </c>
      <c r="AU362" s="4" t="s">
        <v>35</v>
      </c>
      <c r="AV362" s="7" t="s">
        <v>35</v>
      </c>
      <c r="AW362" s="5"/>
      <c r="AX362" s="3"/>
      <c r="AY362" s="3"/>
      <c r="AZ362" s="3"/>
      <c r="BA362" s="3"/>
      <c r="BB362" s="3"/>
      <c r="BC362" s="18"/>
      <c r="BD362" s="18"/>
      <c r="BE362" s="4"/>
      <c r="BF362" s="4"/>
      <c r="BG362" s="7"/>
      <c r="BH362" s="5"/>
      <c r="BI362" s="3"/>
      <c r="BJ362" s="3"/>
      <c r="BK362" s="3"/>
      <c r="BL362" s="3"/>
      <c r="BM362" s="3"/>
      <c r="BN362" s="18"/>
      <c r="BO362" s="18"/>
      <c r="BP362" s="4"/>
      <c r="BQ362" s="4"/>
      <c r="BR362" s="7"/>
      <c r="BS362" s="18"/>
    </row>
    <row r="363" spans="1:71" x14ac:dyDescent="0.25">
      <c r="A363" s="18">
        <v>358</v>
      </c>
      <c r="B363" s="18"/>
      <c r="C363" s="18"/>
      <c r="D363" s="21"/>
      <c r="E363" s="5"/>
      <c r="F363" s="3"/>
      <c r="G363" s="3"/>
      <c r="H363" s="3"/>
      <c r="I363" s="3"/>
      <c r="J363" s="3"/>
      <c r="K363" s="18"/>
      <c r="L363" s="18"/>
      <c r="M363" s="4"/>
      <c r="N363" s="4"/>
      <c r="O363" s="7"/>
      <c r="P363" s="5"/>
      <c r="Q363" s="3"/>
      <c r="R363" s="3"/>
      <c r="S363" s="3"/>
      <c r="T363" s="3"/>
      <c r="U363" s="3" t="s">
        <v>35</v>
      </c>
      <c r="V363" s="18" t="s">
        <v>35</v>
      </c>
      <c r="W363" s="18" t="s">
        <v>35</v>
      </c>
      <c r="X363" s="4" t="s">
        <v>35</v>
      </c>
      <c r="Y363" s="4" t="s">
        <v>35</v>
      </c>
      <c r="Z363" s="7" t="s">
        <v>35</v>
      </c>
      <c r="AA363" s="5"/>
      <c r="AB363" s="3"/>
      <c r="AC363" s="3"/>
      <c r="AD363" s="3"/>
      <c r="AE363" s="3"/>
      <c r="AF363" s="3"/>
      <c r="AG363" s="18"/>
      <c r="AH363" s="18"/>
      <c r="AI363" s="4"/>
      <c r="AJ363" s="4"/>
      <c r="AK363" s="7"/>
      <c r="AL363" s="5"/>
      <c r="AM363" s="3"/>
      <c r="AN363" s="3"/>
      <c r="AO363" s="3"/>
      <c r="AP363" s="3"/>
      <c r="AQ363" s="3" t="s">
        <v>35</v>
      </c>
      <c r="AR363" s="18" t="s">
        <v>35</v>
      </c>
      <c r="AS363" s="18" t="s">
        <v>35</v>
      </c>
      <c r="AT363" s="4" t="s">
        <v>35</v>
      </c>
      <c r="AU363" s="4" t="s">
        <v>35</v>
      </c>
      <c r="AV363" s="7" t="s">
        <v>35</v>
      </c>
      <c r="AW363" s="5"/>
      <c r="AX363" s="3"/>
      <c r="AY363" s="3"/>
      <c r="AZ363" s="3"/>
      <c r="BA363" s="3"/>
      <c r="BB363" s="3"/>
      <c r="BC363" s="18"/>
      <c r="BD363" s="18"/>
      <c r="BE363" s="4"/>
      <c r="BF363" s="4"/>
      <c r="BG363" s="7"/>
      <c r="BH363" s="5"/>
      <c r="BI363" s="3"/>
      <c r="BJ363" s="3"/>
      <c r="BK363" s="3"/>
      <c r="BL363" s="3"/>
      <c r="BM363" s="3"/>
      <c r="BN363" s="18"/>
      <c r="BO363" s="18"/>
      <c r="BP363" s="4"/>
      <c r="BQ363" s="4"/>
      <c r="BR363" s="7"/>
      <c r="BS363" s="18"/>
    </row>
    <row r="364" spans="1:71" x14ac:dyDescent="0.25">
      <c r="A364" s="18">
        <v>359</v>
      </c>
      <c r="B364" s="18"/>
      <c r="C364" s="18"/>
      <c r="D364" s="21"/>
      <c r="E364" s="5"/>
      <c r="F364" s="3"/>
      <c r="G364" s="3"/>
      <c r="H364" s="3"/>
      <c r="I364" s="3"/>
      <c r="J364" s="3"/>
      <c r="K364" s="18"/>
      <c r="L364" s="18"/>
      <c r="M364" s="4"/>
      <c r="N364" s="4"/>
      <c r="O364" s="7"/>
      <c r="P364" s="5"/>
      <c r="Q364" s="3"/>
      <c r="R364" s="3"/>
      <c r="S364" s="3"/>
      <c r="T364" s="3"/>
      <c r="U364" s="3" t="s">
        <v>35</v>
      </c>
      <c r="V364" s="18" t="s">
        <v>35</v>
      </c>
      <c r="W364" s="18" t="s">
        <v>35</v>
      </c>
      <c r="X364" s="4" t="s">
        <v>35</v>
      </c>
      <c r="Y364" s="4" t="s">
        <v>35</v>
      </c>
      <c r="Z364" s="7" t="s">
        <v>35</v>
      </c>
      <c r="AA364" s="5"/>
      <c r="AB364" s="3"/>
      <c r="AC364" s="3"/>
      <c r="AD364" s="3"/>
      <c r="AE364" s="3"/>
      <c r="AF364" s="3"/>
      <c r="AG364" s="18"/>
      <c r="AH364" s="18"/>
      <c r="AI364" s="4"/>
      <c r="AJ364" s="4"/>
      <c r="AK364" s="7"/>
      <c r="AL364" s="5"/>
      <c r="AM364" s="3"/>
      <c r="AN364" s="3"/>
      <c r="AO364" s="3"/>
      <c r="AP364" s="3"/>
      <c r="AQ364" s="3" t="s">
        <v>35</v>
      </c>
      <c r="AR364" s="18" t="s">
        <v>35</v>
      </c>
      <c r="AS364" s="18" t="s">
        <v>35</v>
      </c>
      <c r="AT364" s="4" t="s">
        <v>35</v>
      </c>
      <c r="AU364" s="4" t="s">
        <v>35</v>
      </c>
      <c r="AV364" s="7" t="s">
        <v>35</v>
      </c>
      <c r="AW364" s="5"/>
      <c r="AX364" s="3"/>
      <c r="AY364" s="3"/>
      <c r="AZ364" s="3"/>
      <c r="BA364" s="3"/>
      <c r="BB364" s="3"/>
      <c r="BC364" s="18"/>
      <c r="BD364" s="18"/>
      <c r="BE364" s="4"/>
      <c r="BF364" s="4"/>
      <c r="BG364" s="7"/>
      <c r="BH364" s="5"/>
      <c r="BI364" s="3"/>
      <c r="BJ364" s="3"/>
      <c r="BK364" s="3"/>
      <c r="BL364" s="3"/>
      <c r="BM364" s="3"/>
      <c r="BN364" s="18"/>
      <c r="BO364" s="18"/>
      <c r="BP364" s="4"/>
      <c r="BQ364" s="4"/>
      <c r="BR364" s="7"/>
      <c r="BS364" s="18"/>
    </row>
    <row r="365" spans="1:71" x14ac:dyDescent="0.25">
      <c r="A365" s="1">
        <v>360</v>
      </c>
      <c r="B365" s="18"/>
      <c r="C365" s="18"/>
      <c r="D365" s="21"/>
      <c r="E365" s="5"/>
      <c r="F365" s="3"/>
      <c r="G365" s="3"/>
      <c r="H365" s="3"/>
      <c r="I365" s="3"/>
      <c r="J365" s="3"/>
      <c r="K365" s="18"/>
      <c r="L365" s="18"/>
      <c r="M365" s="4"/>
      <c r="N365" s="4"/>
      <c r="O365" s="7"/>
      <c r="P365" s="5"/>
      <c r="Q365" s="3"/>
      <c r="R365" s="3"/>
      <c r="S365" s="3"/>
      <c r="T365" s="3"/>
      <c r="U365" s="3" t="s">
        <v>35</v>
      </c>
      <c r="V365" s="18" t="s">
        <v>35</v>
      </c>
      <c r="W365" s="18" t="s">
        <v>35</v>
      </c>
      <c r="X365" s="4" t="s">
        <v>35</v>
      </c>
      <c r="Y365" s="4" t="s">
        <v>35</v>
      </c>
      <c r="Z365" s="7" t="s">
        <v>35</v>
      </c>
      <c r="AA365" s="5"/>
      <c r="AB365" s="3"/>
      <c r="AC365" s="3"/>
      <c r="AD365" s="3"/>
      <c r="AE365" s="3"/>
      <c r="AF365" s="3"/>
      <c r="AG365" s="18"/>
      <c r="AH365" s="18"/>
      <c r="AI365" s="4"/>
      <c r="AJ365" s="4"/>
      <c r="AK365" s="7"/>
      <c r="AL365" s="5"/>
      <c r="AM365" s="3"/>
      <c r="AN365" s="3"/>
      <c r="AO365" s="3"/>
      <c r="AP365" s="3"/>
      <c r="AQ365" s="3" t="s">
        <v>35</v>
      </c>
      <c r="AR365" s="18" t="s">
        <v>35</v>
      </c>
      <c r="AS365" s="18" t="s">
        <v>35</v>
      </c>
      <c r="AT365" s="4" t="s">
        <v>35</v>
      </c>
      <c r="AU365" s="4" t="s">
        <v>35</v>
      </c>
      <c r="AV365" s="7" t="s">
        <v>35</v>
      </c>
      <c r="AW365" s="5"/>
      <c r="AX365" s="3"/>
      <c r="AY365" s="3"/>
      <c r="AZ365" s="3"/>
      <c r="BA365" s="3"/>
      <c r="BB365" s="3"/>
      <c r="BC365" s="18"/>
      <c r="BD365" s="18"/>
      <c r="BE365" s="4"/>
      <c r="BF365" s="4"/>
      <c r="BG365" s="7"/>
      <c r="BH365" s="5"/>
      <c r="BI365" s="3"/>
      <c r="BJ365" s="3"/>
      <c r="BK365" s="3"/>
      <c r="BL365" s="3"/>
      <c r="BM365" s="3"/>
      <c r="BN365" s="18"/>
      <c r="BO365" s="18"/>
      <c r="BP365" s="4"/>
      <c r="BQ365" s="4"/>
      <c r="BR365" s="7"/>
      <c r="BS365" s="18"/>
    </row>
    <row r="366" spans="1:71" x14ac:dyDescent="0.25">
      <c r="A366" s="18">
        <v>361</v>
      </c>
      <c r="B366" s="18"/>
      <c r="C366" s="18"/>
      <c r="D366" s="21"/>
      <c r="E366" s="5"/>
      <c r="F366" s="3"/>
      <c r="G366" s="3"/>
      <c r="H366" s="3"/>
      <c r="I366" s="3"/>
      <c r="J366" s="3"/>
      <c r="K366" s="18"/>
      <c r="L366" s="18"/>
      <c r="M366" s="4"/>
      <c r="N366" s="4"/>
      <c r="O366" s="7"/>
      <c r="P366" s="5"/>
      <c r="Q366" s="3"/>
      <c r="R366" s="3"/>
      <c r="S366" s="3"/>
      <c r="T366" s="3"/>
      <c r="U366" s="3" t="s">
        <v>35</v>
      </c>
      <c r="V366" s="18" t="s">
        <v>35</v>
      </c>
      <c r="W366" s="18" t="s">
        <v>35</v>
      </c>
      <c r="X366" s="4" t="s">
        <v>35</v>
      </c>
      <c r="Y366" s="4" t="s">
        <v>35</v>
      </c>
      <c r="Z366" s="7" t="s">
        <v>35</v>
      </c>
      <c r="AA366" s="5"/>
      <c r="AB366" s="3"/>
      <c r="AC366" s="3"/>
      <c r="AD366" s="3"/>
      <c r="AE366" s="3"/>
      <c r="AF366" s="3"/>
      <c r="AG366" s="18"/>
      <c r="AH366" s="18"/>
      <c r="AI366" s="4"/>
      <c r="AJ366" s="4"/>
      <c r="AK366" s="7"/>
      <c r="AL366" s="5"/>
      <c r="AM366" s="3"/>
      <c r="AN366" s="3"/>
      <c r="AO366" s="3"/>
      <c r="AP366" s="3"/>
      <c r="AQ366" s="3" t="s">
        <v>35</v>
      </c>
      <c r="AR366" s="18" t="s">
        <v>35</v>
      </c>
      <c r="AS366" s="18" t="s">
        <v>35</v>
      </c>
      <c r="AT366" s="4" t="s">
        <v>35</v>
      </c>
      <c r="AU366" s="4" t="s">
        <v>35</v>
      </c>
      <c r="AV366" s="7" t="s">
        <v>35</v>
      </c>
      <c r="AW366" s="5"/>
      <c r="AX366" s="3"/>
      <c r="AY366" s="3"/>
      <c r="AZ366" s="3"/>
      <c r="BA366" s="3"/>
      <c r="BB366" s="3"/>
      <c r="BC366" s="18"/>
      <c r="BD366" s="18"/>
      <c r="BE366" s="4"/>
      <c r="BF366" s="4"/>
      <c r="BG366" s="7"/>
      <c r="BH366" s="5"/>
      <c r="BI366" s="3"/>
      <c r="BJ366" s="3"/>
      <c r="BK366" s="3"/>
      <c r="BL366" s="3"/>
      <c r="BM366" s="3"/>
      <c r="BN366" s="18"/>
      <c r="BO366" s="18"/>
      <c r="BP366" s="4"/>
      <c r="BQ366" s="4"/>
      <c r="BR366" s="7"/>
      <c r="BS366" s="18"/>
    </row>
    <row r="367" spans="1:71" x14ac:dyDescent="0.25">
      <c r="A367" s="18">
        <v>362</v>
      </c>
      <c r="B367" s="18"/>
      <c r="C367" s="18"/>
      <c r="D367" s="21"/>
      <c r="E367" s="5"/>
      <c r="F367" s="3"/>
      <c r="G367" s="3"/>
      <c r="H367" s="3"/>
      <c r="I367" s="3"/>
      <c r="J367" s="3"/>
      <c r="K367" s="18"/>
      <c r="L367" s="18"/>
      <c r="M367" s="4"/>
      <c r="N367" s="4"/>
      <c r="O367" s="7"/>
      <c r="P367" s="5"/>
      <c r="Q367" s="3"/>
      <c r="R367" s="3"/>
      <c r="S367" s="3"/>
      <c r="T367" s="3"/>
      <c r="U367" s="3" t="s">
        <v>35</v>
      </c>
      <c r="V367" s="18" t="s">
        <v>35</v>
      </c>
      <c r="W367" s="18" t="s">
        <v>35</v>
      </c>
      <c r="X367" s="4" t="s">
        <v>35</v>
      </c>
      <c r="Y367" s="4" t="s">
        <v>35</v>
      </c>
      <c r="Z367" s="7" t="s">
        <v>35</v>
      </c>
      <c r="AA367" s="5"/>
      <c r="AB367" s="3"/>
      <c r="AC367" s="3"/>
      <c r="AD367" s="3"/>
      <c r="AE367" s="3"/>
      <c r="AF367" s="3"/>
      <c r="AG367" s="18"/>
      <c r="AH367" s="18"/>
      <c r="AI367" s="4"/>
      <c r="AJ367" s="4"/>
      <c r="AK367" s="7"/>
      <c r="AL367" s="5"/>
      <c r="AM367" s="3"/>
      <c r="AN367" s="3"/>
      <c r="AO367" s="3"/>
      <c r="AP367" s="3"/>
      <c r="AQ367" s="3" t="s">
        <v>35</v>
      </c>
      <c r="AR367" s="18" t="s">
        <v>35</v>
      </c>
      <c r="AS367" s="18" t="s">
        <v>35</v>
      </c>
      <c r="AT367" s="4" t="s">
        <v>35</v>
      </c>
      <c r="AU367" s="4" t="s">
        <v>35</v>
      </c>
      <c r="AV367" s="7" t="s">
        <v>35</v>
      </c>
      <c r="AW367" s="5"/>
      <c r="AX367" s="3"/>
      <c r="AY367" s="3"/>
      <c r="AZ367" s="3"/>
      <c r="BA367" s="3"/>
      <c r="BB367" s="3"/>
      <c r="BC367" s="18"/>
      <c r="BD367" s="18"/>
      <c r="BE367" s="4"/>
      <c r="BF367" s="4"/>
      <c r="BG367" s="7"/>
      <c r="BH367" s="5"/>
      <c r="BI367" s="3"/>
      <c r="BJ367" s="3"/>
      <c r="BK367" s="3"/>
      <c r="BL367" s="3"/>
      <c r="BM367" s="3"/>
      <c r="BN367" s="18"/>
      <c r="BO367" s="18"/>
      <c r="BP367" s="4"/>
      <c r="BQ367" s="4"/>
      <c r="BR367" s="7"/>
      <c r="BS367" s="18"/>
    </row>
    <row r="368" spans="1:71" x14ac:dyDescent="0.25">
      <c r="A368" s="18">
        <v>363</v>
      </c>
      <c r="B368" s="18"/>
      <c r="C368" s="18"/>
      <c r="D368" s="21"/>
      <c r="E368" s="5"/>
      <c r="F368" s="3"/>
      <c r="G368" s="3"/>
      <c r="H368" s="3"/>
      <c r="I368" s="3"/>
      <c r="J368" s="3"/>
      <c r="K368" s="18"/>
      <c r="L368" s="18"/>
      <c r="M368" s="4"/>
      <c r="N368" s="4"/>
      <c r="O368" s="7"/>
      <c r="P368" s="5"/>
      <c r="Q368" s="3"/>
      <c r="R368" s="3"/>
      <c r="S368" s="3"/>
      <c r="T368" s="3"/>
      <c r="U368" s="3" t="s">
        <v>35</v>
      </c>
      <c r="V368" s="18" t="s">
        <v>35</v>
      </c>
      <c r="W368" s="18" t="s">
        <v>35</v>
      </c>
      <c r="X368" s="4" t="s">
        <v>35</v>
      </c>
      <c r="Y368" s="4" t="s">
        <v>35</v>
      </c>
      <c r="Z368" s="7" t="s">
        <v>35</v>
      </c>
      <c r="AA368" s="5"/>
      <c r="AB368" s="3"/>
      <c r="AC368" s="3"/>
      <c r="AD368" s="3"/>
      <c r="AE368" s="3"/>
      <c r="AF368" s="3"/>
      <c r="AG368" s="18"/>
      <c r="AH368" s="18"/>
      <c r="AI368" s="4"/>
      <c r="AJ368" s="4"/>
      <c r="AK368" s="7"/>
      <c r="AL368" s="5"/>
      <c r="AM368" s="3"/>
      <c r="AN368" s="3"/>
      <c r="AO368" s="3"/>
      <c r="AP368" s="3"/>
      <c r="AQ368" s="3" t="s">
        <v>35</v>
      </c>
      <c r="AR368" s="18" t="s">
        <v>35</v>
      </c>
      <c r="AS368" s="18" t="s">
        <v>35</v>
      </c>
      <c r="AT368" s="4" t="s">
        <v>35</v>
      </c>
      <c r="AU368" s="4" t="s">
        <v>35</v>
      </c>
      <c r="AV368" s="7" t="s">
        <v>35</v>
      </c>
      <c r="AW368" s="5"/>
      <c r="AX368" s="3"/>
      <c r="AY368" s="3"/>
      <c r="AZ368" s="3"/>
      <c r="BA368" s="3"/>
      <c r="BB368" s="3"/>
      <c r="BC368" s="18"/>
      <c r="BD368" s="18"/>
      <c r="BE368" s="4"/>
      <c r="BF368" s="4"/>
      <c r="BG368" s="7"/>
      <c r="BH368" s="5"/>
      <c r="BI368" s="3"/>
      <c r="BJ368" s="3"/>
      <c r="BK368" s="3"/>
      <c r="BL368" s="3"/>
      <c r="BM368" s="3"/>
      <c r="BN368" s="18"/>
      <c r="BO368" s="18"/>
      <c r="BP368" s="4"/>
      <c r="BQ368" s="4"/>
      <c r="BR368" s="7"/>
      <c r="BS368" s="18"/>
    </row>
    <row r="369" spans="1:71" x14ac:dyDescent="0.25">
      <c r="A369" s="18">
        <v>364</v>
      </c>
      <c r="B369" s="18"/>
      <c r="C369" s="18"/>
      <c r="D369" s="21"/>
      <c r="E369" s="5"/>
      <c r="F369" s="3"/>
      <c r="G369" s="3"/>
      <c r="H369" s="3"/>
      <c r="I369" s="3"/>
      <c r="J369" s="3"/>
      <c r="K369" s="18"/>
      <c r="L369" s="18"/>
      <c r="M369" s="4"/>
      <c r="N369" s="4"/>
      <c r="O369" s="7"/>
      <c r="P369" s="5"/>
      <c r="Q369" s="3"/>
      <c r="R369" s="3"/>
      <c r="S369" s="3"/>
      <c r="T369" s="3"/>
      <c r="U369" s="3" t="s">
        <v>35</v>
      </c>
      <c r="V369" s="18" t="s">
        <v>35</v>
      </c>
      <c r="W369" s="18" t="s">
        <v>35</v>
      </c>
      <c r="X369" s="4" t="s">
        <v>35</v>
      </c>
      <c r="Y369" s="4" t="s">
        <v>35</v>
      </c>
      <c r="Z369" s="7" t="s">
        <v>35</v>
      </c>
      <c r="AA369" s="5"/>
      <c r="AB369" s="3"/>
      <c r="AC369" s="3"/>
      <c r="AD369" s="3"/>
      <c r="AE369" s="3"/>
      <c r="AF369" s="3"/>
      <c r="AG369" s="18"/>
      <c r="AH369" s="18"/>
      <c r="AI369" s="4"/>
      <c r="AJ369" s="4"/>
      <c r="AK369" s="7"/>
      <c r="AL369" s="5"/>
      <c r="AM369" s="3"/>
      <c r="AN369" s="3"/>
      <c r="AO369" s="3"/>
      <c r="AP369" s="3"/>
      <c r="AQ369" s="3" t="s">
        <v>35</v>
      </c>
      <c r="AR369" s="18" t="s">
        <v>35</v>
      </c>
      <c r="AS369" s="18" t="s">
        <v>35</v>
      </c>
      <c r="AT369" s="4" t="s">
        <v>35</v>
      </c>
      <c r="AU369" s="4" t="s">
        <v>35</v>
      </c>
      <c r="AV369" s="7" t="s">
        <v>35</v>
      </c>
      <c r="AW369" s="5"/>
      <c r="AX369" s="3"/>
      <c r="AY369" s="3"/>
      <c r="AZ369" s="3"/>
      <c r="BA369" s="3"/>
      <c r="BB369" s="3"/>
      <c r="BC369" s="18"/>
      <c r="BD369" s="18"/>
      <c r="BE369" s="4"/>
      <c r="BF369" s="4"/>
      <c r="BG369" s="7"/>
      <c r="BH369" s="5"/>
      <c r="BI369" s="3"/>
      <c r="BJ369" s="3"/>
      <c r="BK369" s="3"/>
      <c r="BL369" s="3"/>
      <c r="BM369" s="3"/>
      <c r="BN369" s="18"/>
      <c r="BO369" s="18"/>
      <c r="BP369" s="4"/>
      <c r="BQ369" s="4"/>
      <c r="BR369" s="7"/>
      <c r="BS369" s="18"/>
    </row>
    <row r="370" spans="1:71" x14ac:dyDescent="0.25">
      <c r="A370" s="1">
        <v>365</v>
      </c>
      <c r="B370" s="18"/>
      <c r="C370" s="18"/>
      <c r="D370" s="21"/>
      <c r="E370" s="5"/>
      <c r="F370" s="3"/>
      <c r="G370" s="3"/>
      <c r="H370" s="3"/>
      <c r="I370" s="3"/>
      <c r="J370" s="3"/>
      <c r="K370" s="18"/>
      <c r="L370" s="18"/>
      <c r="M370" s="4"/>
      <c r="N370" s="4"/>
      <c r="O370" s="7"/>
      <c r="P370" s="5"/>
      <c r="Q370" s="3"/>
      <c r="R370" s="3"/>
      <c r="S370" s="3"/>
      <c r="T370" s="3"/>
      <c r="U370" s="3" t="s">
        <v>35</v>
      </c>
      <c r="V370" s="18" t="s">
        <v>35</v>
      </c>
      <c r="W370" s="18" t="s">
        <v>35</v>
      </c>
      <c r="X370" s="4" t="s">
        <v>35</v>
      </c>
      <c r="Y370" s="4" t="s">
        <v>35</v>
      </c>
      <c r="Z370" s="7" t="s">
        <v>35</v>
      </c>
      <c r="AA370" s="5"/>
      <c r="AB370" s="3"/>
      <c r="AC370" s="3"/>
      <c r="AD370" s="3"/>
      <c r="AE370" s="3"/>
      <c r="AF370" s="3"/>
      <c r="AG370" s="18"/>
      <c r="AH370" s="18"/>
      <c r="AI370" s="4"/>
      <c r="AJ370" s="4"/>
      <c r="AK370" s="7"/>
      <c r="AL370" s="5"/>
      <c r="AM370" s="3"/>
      <c r="AN370" s="3"/>
      <c r="AO370" s="3"/>
      <c r="AP370" s="3"/>
      <c r="AQ370" s="3" t="s">
        <v>35</v>
      </c>
      <c r="AR370" s="18" t="s">
        <v>35</v>
      </c>
      <c r="AS370" s="18" t="s">
        <v>35</v>
      </c>
      <c r="AT370" s="4" t="s">
        <v>35</v>
      </c>
      <c r="AU370" s="4" t="s">
        <v>35</v>
      </c>
      <c r="AV370" s="7" t="s">
        <v>35</v>
      </c>
      <c r="AW370" s="5"/>
      <c r="AX370" s="3"/>
      <c r="AY370" s="3"/>
      <c r="AZ370" s="3"/>
      <c r="BA370" s="3"/>
      <c r="BB370" s="3"/>
      <c r="BC370" s="18"/>
      <c r="BD370" s="18"/>
      <c r="BE370" s="4"/>
      <c r="BF370" s="4"/>
      <c r="BG370" s="7"/>
      <c r="BH370" s="5"/>
      <c r="BI370" s="3"/>
      <c r="BJ370" s="3"/>
      <c r="BK370" s="3"/>
      <c r="BL370" s="3"/>
      <c r="BM370" s="3"/>
      <c r="BN370" s="18"/>
      <c r="BO370" s="18"/>
      <c r="BP370" s="4"/>
      <c r="BQ370" s="4"/>
      <c r="BR370" s="7"/>
      <c r="BS370" s="18"/>
    </row>
    <row r="371" spans="1:71" x14ac:dyDescent="0.25">
      <c r="A371" s="18">
        <v>366</v>
      </c>
      <c r="B371" s="18"/>
      <c r="C371" s="18"/>
      <c r="D371" s="21"/>
      <c r="E371" s="5"/>
      <c r="F371" s="3"/>
      <c r="G371" s="3"/>
      <c r="H371" s="3"/>
      <c r="I371" s="3"/>
      <c r="J371" s="3"/>
      <c r="K371" s="18"/>
      <c r="L371" s="18"/>
      <c r="M371" s="4"/>
      <c r="N371" s="4"/>
      <c r="O371" s="7"/>
      <c r="P371" s="5"/>
      <c r="Q371" s="3"/>
      <c r="R371" s="3"/>
      <c r="S371" s="3"/>
      <c r="T371" s="3"/>
      <c r="U371" s="3" t="s">
        <v>35</v>
      </c>
      <c r="V371" s="18" t="s">
        <v>35</v>
      </c>
      <c r="W371" s="18" t="s">
        <v>35</v>
      </c>
      <c r="X371" s="4" t="s">
        <v>35</v>
      </c>
      <c r="Y371" s="4" t="s">
        <v>35</v>
      </c>
      <c r="Z371" s="7" t="s">
        <v>35</v>
      </c>
      <c r="AA371" s="5"/>
      <c r="AB371" s="3"/>
      <c r="AC371" s="3"/>
      <c r="AD371" s="3"/>
      <c r="AE371" s="3"/>
      <c r="AF371" s="3"/>
      <c r="AG371" s="18"/>
      <c r="AH371" s="18"/>
      <c r="AI371" s="4"/>
      <c r="AJ371" s="4"/>
      <c r="AK371" s="7"/>
      <c r="AL371" s="5"/>
      <c r="AM371" s="3"/>
      <c r="AN371" s="3"/>
      <c r="AO371" s="3"/>
      <c r="AP371" s="3"/>
      <c r="AQ371" s="3" t="s">
        <v>35</v>
      </c>
      <c r="AR371" s="18" t="s">
        <v>35</v>
      </c>
      <c r="AS371" s="18" t="s">
        <v>35</v>
      </c>
      <c r="AT371" s="4" t="s">
        <v>35</v>
      </c>
      <c r="AU371" s="4" t="s">
        <v>35</v>
      </c>
      <c r="AV371" s="7" t="s">
        <v>35</v>
      </c>
      <c r="AW371" s="5"/>
      <c r="AX371" s="3"/>
      <c r="AY371" s="3"/>
      <c r="AZ371" s="3"/>
      <c r="BA371" s="3"/>
      <c r="BB371" s="3"/>
      <c r="BC371" s="18"/>
      <c r="BD371" s="18"/>
      <c r="BE371" s="4"/>
      <c r="BF371" s="4"/>
      <c r="BG371" s="7"/>
      <c r="BH371" s="5"/>
      <c r="BI371" s="3"/>
      <c r="BJ371" s="3"/>
      <c r="BK371" s="3"/>
      <c r="BL371" s="3"/>
      <c r="BM371" s="3"/>
      <c r="BN371" s="18"/>
      <c r="BO371" s="18"/>
      <c r="BP371" s="4"/>
      <c r="BQ371" s="4"/>
      <c r="BR371" s="7"/>
      <c r="BS371" s="18"/>
    </row>
    <row r="372" spans="1:71" x14ac:dyDescent="0.25">
      <c r="A372" s="18">
        <v>367</v>
      </c>
      <c r="B372" s="18"/>
      <c r="C372" s="18"/>
      <c r="D372" s="21"/>
      <c r="E372" s="5"/>
      <c r="F372" s="3"/>
      <c r="G372" s="3"/>
      <c r="H372" s="3"/>
      <c r="I372" s="3"/>
      <c r="J372" s="3"/>
      <c r="K372" s="18"/>
      <c r="L372" s="18"/>
      <c r="M372" s="4"/>
      <c r="N372" s="4"/>
      <c r="O372" s="7"/>
      <c r="P372" s="5"/>
      <c r="Q372" s="3"/>
      <c r="R372" s="3"/>
      <c r="S372" s="3"/>
      <c r="T372" s="3"/>
      <c r="U372" s="3" t="s">
        <v>35</v>
      </c>
      <c r="V372" s="18" t="s">
        <v>35</v>
      </c>
      <c r="W372" s="18" t="s">
        <v>35</v>
      </c>
      <c r="X372" s="4" t="s">
        <v>35</v>
      </c>
      <c r="Y372" s="4" t="s">
        <v>35</v>
      </c>
      <c r="Z372" s="7" t="s">
        <v>35</v>
      </c>
      <c r="AA372" s="5"/>
      <c r="AB372" s="3"/>
      <c r="AC372" s="3"/>
      <c r="AD372" s="3"/>
      <c r="AE372" s="3"/>
      <c r="AF372" s="3"/>
      <c r="AG372" s="18"/>
      <c r="AH372" s="18"/>
      <c r="AI372" s="4"/>
      <c r="AJ372" s="4"/>
      <c r="AK372" s="7"/>
      <c r="AL372" s="5"/>
      <c r="AM372" s="3"/>
      <c r="AN372" s="3"/>
      <c r="AO372" s="3"/>
      <c r="AP372" s="3"/>
      <c r="AQ372" s="3" t="s">
        <v>35</v>
      </c>
      <c r="AR372" s="18" t="s">
        <v>35</v>
      </c>
      <c r="AS372" s="18" t="s">
        <v>35</v>
      </c>
      <c r="AT372" s="4" t="s">
        <v>35</v>
      </c>
      <c r="AU372" s="4" t="s">
        <v>35</v>
      </c>
      <c r="AV372" s="7" t="s">
        <v>35</v>
      </c>
      <c r="AW372" s="5"/>
      <c r="AX372" s="3"/>
      <c r="AY372" s="3"/>
      <c r="AZ372" s="3"/>
      <c r="BA372" s="3"/>
      <c r="BB372" s="3"/>
      <c r="BC372" s="18"/>
      <c r="BD372" s="18"/>
      <c r="BE372" s="4"/>
      <c r="BF372" s="4"/>
      <c r="BG372" s="7"/>
      <c r="BH372" s="5"/>
      <c r="BI372" s="3"/>
      <c r="BJ372" s="3"/>
      <c r="BK372" s="3"/>
      <c r="BL372" s="3"/>
      <c r="BM372" s="3"/>
      <c r="BN372" s="18"/>
      <c r="BO372" s="18"/>
      <c r="BP372" s="4"/>
      <c r="BQ372" s="4"/>
      <c r="BR372" s="7"/>
      <c r="BS372" s="18"/>
    </row>
    <row r="373" spans="1:71" x14ac:dyDescent="0.25">
      <c r="A373" s="18">
        <v>368</v>
      </c>
      <c r="B373" s="18"/>
      <c r="C373" s="18"/>
      <c r="D373" s="21"/>
      <c r="E373" s="5"/>
      <c r="F373" s="3"/>
      <c r="G373" s="3"/>
      <c r="H373" s="3"/>
      <c r="I373" s="3"/>
      <c r="J373" s="3"/>
      <c r="K373" s="18"/>
      <c r="L373" s="18"/>
      <c r="M373" s="4"/>
      <c r="N373" s="4"/>
      <c r="O373" s="7"/>
      <c r="P373" s="5"/>
      <c r="Q373" s="3"/>
      <c r="R373" s="3"/>
      <c r="S373" s="3"/>
      <c r="T373" s="3"/>
      <c r="U373" s="3" t="s">
        <v>35</v>
      </c>
      <c r="V373" s="18" t="s">
        <v>35</v>
      </c>
      <c r="W373" s="18" t="s">
        <v>35</v>
      </c>
      <c r="X373" s="4" t="s">
        <v>35</v>
      </c>
      <c r="Y373" s="4" t="s">
        <v>35</v>
      </c>
      <c r="Z373" s="7" t="s">
        <v>35</v>
      </c>
      <c r="AA373" s="5"/>
      <c r="AB373" s="3"/>
      <c r="AC373" s="3"/>
      <c r="AD373" s="3"/>
      <c r="AE373" s="3"/>
      <c r="AF373" s="3"/>
      <c r="AG373" s="18"/>
      <c r="AH373" s="18"/>
      <c r="AI373" s="4"/>
      <c r="AJ373" s="4"/>
      <c r="AK373" s="7"/>
      <c r="AL373" s="5"/>
      <c r="AM373" s="3"/>
      <c r="AN373" s="3"/>
      <c r="AO373" s="3"/>
      <c r="AP373" s="3"/>
      <c r="AQ373" s="3" t="s">
        <v>35</v>
      </c>
      <c r="AR373" s="18" t="s">
        <v>35</v>
      </c>
      <c r="AS373" s="18" t="s">
        <v>35</v>
      </c>
      <c r="AT373" s="4" t="s">
        <v>35</v>
      </c>
      <c r="AU373" s="4" t="s">
        <v>35</v>
      </c>
      <c r="AV373" s="7" t="s">
        <v>35</v>
      </c>
      <c r="AW373" s="5"/>
      <c r="AX373" s="3"/>
      <c r="AY373" s="3"/>
      <c r="AZ373" s="3"/>
      <c r="BA373" s="3"/>
      <c r="BB373" s="3"/>
      <c r="BC373" s="18"/>
      <c r="BD373" s="18"/>
      <c r="BE373" s="4"/>
      <c r="BF373" s="4"/>
      <c r="BG373" s="7"/>
      <c r="BH373" s="5"/>
      <c r="BI373" s="3"/>
      <c r="BJ373" s="3"/>
      <c r="BK373" s="3"/>
      <c r="BL373" s="3"/>
      <c r="BM373" s="3"/>
      <c r="BN373" s="18"/>
      <c r="BO373" s="18"/>
      <c r="BP373" s="4"/>
      <c r="BQ373" s="4"/>
      <c r="BR373" s="7"/>
      <c r="BS373" s="18"/>
    </row>
    <row r="374" spans="1:71" x14ac:dyDescent="0.25">
      <c r="A374" s="18">
        <v>369</v>
      </c>
      <c r="B374" s="18"/>
      <c r="C374" s="18"/>
      <c r="D374" s="21"/>
      <c r="E374" s="5"/>
      <c r="F374" s="3"/>
      <c r="G374" s="3"/>
      <c r="H374" s="3"/>
      <c r="I374" s="3"/>
      <c r="J374" s="3"/>
      <c r="K374" s="18"/>
      <c r="L374" s="18"/>
      <c r="M374" s="4"/>
      <c r="N374" s="4"/>
      <c r="O374" s="7"/>
      <c r="P374" s="5"/>
      <c r="Q374" s="3"/>
      <c r="R374" s="3"/>
      <c r="S374" s="3"/>
      <c r="T374" s="3"/>
      <c r="U374" s="3" t="s">
        <v>35</v>
      </c>
      <c r="V374" s="18" t="s">
        <v>35</v>
      </c>
      <c r="W374" s="18" t="s">
        <v>35</v>
      </c>
      <c r="X374" s="4" t="s">
        <v>35</v>
      </c>
      <c r="Y374" s="4" t="s">
        <v>35</v>
      </c>
      <c r="Z374" s="7" t="s">
        <v>35</v>
      </c>
      <c r="AA374" s="5"/>
      <c r="AB374" s="3"/>
      <c r="AC374" s="3"/>
      <c r="AD374" s="3"/>
      <c r="AE374" s="3"/>
      <c r="AF374" s="3"/>
      <c r="AG374" s="18"/>
      <c r="AH374" s="18"/>
      <c r="AI374" s="4"/>
      <c r="AJ374" s="4"/>
      <c r="AK374" s="7"/>
      <c r="AL374" s="5"/>
      <c r="AM374" s="3"/>
      <c r="AN374" s="3"/>
      <c r="AO374" s="3"/>
      <c r="AP374" s="3"/>
      <c r="AQ374" s="3" t="s">
        <v>35</v>
      </c>
      <c r="AR374" s="18" t="s">
        <v>35</v>
      </c>
      <c r="AS374" s="18" t="s">
        <v>35</v>
      </c>
      <c r="AT374" s="4" t="s">
        <v>35</v>
      </c>
      <c r="AU374" s="4" t="s">
        <v>35</v>
      </c>
      <c r="AV374" s="7" t="s">
        <v>35</v>
      </c>
      <c r="AW374" s="5"/>
      <c r="AX374" s="3"/>
      <c r="AY374" s="3"/>
      <c r="AZ374" s="3"/>
      <c r="BA374" s="3"/>
      <c r="BB374" s="3"/>
      <c r="BC374" s="18"/>
      <c r="BD374" s="18"/>
      <c r="BE374" s="4"/>
      <c r="BF374" s="4"/>
      <c r="BG374" s="7"/>
      <c r="BH374" s="5"/>
      <c r="BI374" s="3"/>
      <c r="BJ374" s="3"/>
      <c r="BK374" s="3"/>
      <c r="BL374" s="3"/>
      <c r="BM374" s="3"/>
      <c r="BN374" s="18"/>
      <c r="BO374" s="18"/>
      <c r="BP374" s="4"/>
      <c r="BQ374" s="4"/>
      <c r="BR374" s="7"/>
      <c r="BS374" s="18"/>
    </row>
    <row r="375" spans="1:71" x14ac:dyDescent="0.25">
      <c r="A375" s="1">
        <v>370</v>
      </c>
      <c r="B375" s="18"/>
      <c r="C375" s="18"/>
      <c r="D375" s="21"/>
      <c r="E375" s="5"/>
      <c r="F375" s="3"/>
      <c r="G375" s="3"/>
      <c r="H375" s="3"/>
      <c r="I375" s="3"/>
      <c r="J375" s="3"/>
      <c r="K375" s="18"/>
      <c r="L375" s="18"/>
      <c r="M375" s="4"/>
      <c r="N375" s="4"/>
      <c r="O375" s="7"/>
      <c r="P375" s="5"/>
      <c r="Q375" s="3"/>
      <c r="R375" s="3"/>
      <c r="S375" s="3"/>
      <c r="T375" s="3"/>
      <c r="U375" s="3" t="s">
        <v>35</v>
      </c>
      <c r="V375" s="18" t="s">
        <v>35</v>
      </c>
      <c r="W375" s="18" t="s">
        <v>35</v>
      </c>
      <c r="X375" s="4" t="s">
        <v>35</v>
      </c>
      <c r="Y375" s="4" t="s">
        <v>35</v>
      </c>
      <c r="Z375" s="7" t="s">
        <v>35</v>
      </c>
      <c r="AA375" s="5"/>
      <c r="AB375" s="3"/>
      <c r="AC375" s="3"/>
      <c r="AD375" s="3"/>
      <c r="AE375" s="3"/>
      <c r="AF375" s="3"/>
      <c r="AG375" s="18"/>
      <c r="AH375" s="18"/>
      <c r="AI375" s="4"/>
      <c r="AJ375" s="4"/>
      <c r="AK375" s="7"/>
      <c r="AL375" s="5"/>
      <c r="AM375" s="3"/>
      <c r="AN375" s="3"/>
      <c r="AO375" s="3"/>
      <c r="AP375" s="3"/>
      <c r="AQ375" s="3" t="s">
        <v>35</v>
      </c>
      <c r="AR375" s="18" t="s">
        <v>35</v>
      </c>
      <c r="AS375" s="18" t="s">
        <v>35</v>
      </c>
      <c r="AT375" s="4" t="s">
        <v>35</v>
      </c>
      <c r="AU375" s="4" t="s">
        <v>35</v>
      </c>
      <c r="AV375" s="7" t="s">
        <v>35</v>
      </c>
      <c r="AW375" s="5"/>
      <c r="AX375" s="3"/>
      <c r="AY375" s="3"/>
      <c r="AZ375" s="3"/>
      <c r="BA375" s="3"/>
      <c r="BB375" s="3"/>
      <c r="BC375" s="18"/>
      <c r="BD375" s="18"/>
      <c r="BE375" s="4"/>
      <c r="BF375" s="4"/>
      <c r="BG375" s="7"/>
      <c r="BH375" s="5"/>
      <c r="BI375" s="3"/>
      <c r="BJ375" s="3"/>
      <c r="BK375" s="3"/>
      <c r="BL375" s="3"/>
      <c r="BM375" s="3"/>
      <c r="BN375" s="18"/>
      <c r="BO375" s="18"/>
      <c r="BP375" s="4"/>
      <c r="BQ375" s="4"/>
      <c r="BR375" s="7"/>
      <c r="BS375" s="18"/>
    </row>
    <row r="376" spans="1:71" x14ac:dyDescent="0.25">
      <c r="A376" s="18">
        <v>371</v>
      </c>
      <c r="B376" s="18"/>
      <c r="C376" s="18"/>
      <c r="D376" s="21"/>
      <c r="E376" s="5"/>
      <c r="F376" s="3"/>
      <c r="G376" s="3"/>
      <c r="H376" s="3"/>
      <c r="I376" s="3"/>
      <c r="J376" s="3"/>
      <c r="K376" s="18"/>
      <c r="L376" s="18"/>
      <c r="M376" s="4"/>
      <c r="N376" s="4"/>
      <c r="O376" s="7"/>
      <c r="P376" s="5"/>
      <c r="Q376" s="3"/>
      <c r="R376" s="3"/>
      <c r="S376" s="3"/>
      <c r="T376" s="3"/>
      <c r="U376" s="3" t="s">
        <v>35</v>
      </c>
      <c r="V376" s="18" t="s">
        <v>35</v>
      </c>
      <c r="W376" s="18" t="s">
        <v>35</v>
      </c>
      <c r="X376" s="4" t="s">
        <v>35</v>
      </c>
      <c r="Y376" s="4" t="s">
        <v>35</v>
      </c>
      <c r="Z376" s="7" t="s">
        <v>35</v>
      </c>
      <c r="AA376" s="5"/>
      <c r="AB376" s="3"/>
      <c r="AC376" s="3"/>
      <c r="AD376" s="3"/>
      <c r="AE376" s="3"/>
      <c r="AF376" s="3"/>
      <c r="AG376" s="18"/>
      <c r="AH376" s="18"/>
      <c r="AI376" s="4"/>
      <c r="AJ376" s="4"/>
      <c r="AK376" s="7"/>
      <c r="AL376" s="5"/>
      <c r="AM376" s="3"/>
      <c r="AN376" s="3"/>
      <c r="AO376" s="3"/>
      <c r="AP376" s="3"/>
      <c r="AQ376" s="3" t="s">
        <v>35</v>
      </c>
      <c r="AR376" s="18" t="s">
        <v>35</v>
      </c>
      <c r="AS376" s="18" t="s">
        <v>35</v>
      </c>
      <c r="AT376" s="4" t="s">
        <v>35</v>
      </c>
      <c r="AU376" s="4" t="s">
        <v>35</v>
      </c>
      <c r="AV376" s="7" t="s">
        <v>35</v>
      </c>
      <c r="AW376" s="5"/>
      <c r="AX376" s="3"/>
      <c r="AY376" s="3"/>
      <c r="AZ376" s="3"/>
      <c r="BA376" s="3"/>
      <c r="BB376" s="3"/>
      <c r="BC376" s="18"/>
      <c r="BD376" s="18"/>
      <c r="BE376" s="4"/>
      <c r="BF376" s="4"/>
      <c r="BG376" s="7"/>
      <c r="BH376" s="5"/>
      <c r="BI376" s="3"/>
      <c r="BJ376" s="3"/>
      <c r="BK376" s="3"/>
      <c r="BL376" s="3"/>
      <c r="BM376" s="3"/>
      <c r="BN376" s="18"/>
      <c r="BO376" s="18"/>
      <c r="BP376" s="4"/>
      <c r="BQ376" s="4"/>
      <c r="BR376" s="7"/>
      <c r="BS376" s="18"/>
    </row>
    <row r="377" spans="1:71" x14ac:dyDescent="0.25">
      <c r="A377" s="18">
        <v>372</v>
      </c>
      <c r="B377" s="18"/>
      <c r="C377" s="18"/>
      <c r="D377" s="21"/>
      <c r="E377" s="5"/>
      <c r="F377" s="3"/>
      <c r="G377" s="3"/>
      <c r="H377" s="3"/>
      <c r="I377" s="3"/>
      <c r="J377" s="3"/>
      <c r="K377" s="18"/>
      <c r="L377" s="18"/>
      <c r="M377" s="4"/>
      <c r="N377" s="4"/>
      <c r="O377" s="7"/>
      <c r="P377" s="5"/>
      <c r="Q377" s="3"/>
      <c r="R377" s="3"/>
      <c r="S377" s="3"/>
      <c r="T377" s="3"/>
      <c r="U377" s="3" t="s">
        <v>35</v>
      </c>
      <c r="V377" s="18" t="s">
        <v>35</v>
      </c>
      <c r="W377" s="18" t="s">
        <v>35</v>
      </c>
      <c r="X377" s="4" t="s">
        <v>35</v>
      </c>
      <c r="Y377" s="4" t="s">
        <v>35</v>
      </c>
      <c r="Z377" s="7" t="s">
        <v>35</v>
      </c>
      <c r="AA377" s="5"/>
      <c r="AB377" s="3"/>
      <c r="AC377" s="3"/>
      <c r="AD377" s="3"/>
      <c r="AE377" s="3"/>
      <c r="AF377" s="3"/>
      <c r="AG377" s="18"/>
      <c r="AH377" s="18"/>
      <c r="AI377" s="4"/>
      <c r="AJ377" s="4"/>
      <c r="AK377" s="7"/>
      <c r="AL377" s="5"/>
      <c r="AM377" s="3"/>
      <c r="AN377" s="3"/>
      <c r="AO377" s="3"/>
      <c r="AP377" s="3"/>
      <c r="AQ377" s="3" t="s">
        <v>35</v>
      </c>
      <c r="AR377" s="18" t="s">
        <v>35</v>
      </c>
      <c r="AS377" s="18" t="s">
        <v>35</v>
      </c>
      <c r="AT377" s="4" t="s">
        <v>35</v>
      </c>
      <c r="AU377" s="4" t="s">
        <v>35</v>
      </c>
      <c r="AV377" s="7" t="s">
        <v>35</v>
      </c>
      <c r="AW377" s="5"/>
      <c r="AX377" s="3"/>
      <c r="AY377" s="3"/>
      <c r="AZ377" s="3"/>
      <c r="BA377" s="3"/>
      <c r="BB377" s="3"/>
      <c r="BC377" s="18"/>
      <c r="BD377" s="18"/>
      <c r="BE377" s="4"/>
      <c r="BF377" s="4"/>
      <c r="BG377" s="7"/>
      <c r="BH377" s="5"/>
      <c r="BI377" s="3"/>
      <c r="BJ377" s="3"/>
      <c r="BK377" s="3"/>
      <c r="BL377" s="3"/>
      <c r="BM377" s="3"/>
      <c r="BN377" s="18"/>
      <c r="BO377" s="18"/>
      <c r="BP377" s="4"/>
      <c r="BQ377" s="4"/>
      <c r="BR377" s="7"/>
      <c r="BS377" s="18"/>
    </row>
    <row r="378" spans="1:71" x14ac:dyDescent="0.25">
      <c r="A378" s="18">
        <v>373</v>
      </c>
      <c r="B378" s="18"/>
      <c r="C378" s="18"/>
      <c r="D378" s="21"/>
      <c r="E378" s="5"/>
      <c r="F378" s="3"/>
      <c r="G378" s="3"/>
      <c r="H378" s="3"/>
      <c r="I378" s="3"/>
      <c r="J378" s="3"/>
      <c r="K378" s="18"/>
      <c r="L378" s="18"/>
      <c r="M378" s="4"/>
      <c r="N378" s="4"/>
      <c r="O378" s="7"/>
      <c r="P378" s="5"/>
      <c r="Q378" s="3"/>
      <c r="R378" s="3"/>
      <c r="S378" s="3"/>
      <c r="T378" s="3"/>
      <c r="U378" s="3" t="s">
        <v>35</v>
      </c>
      <c r="V378" s="18" t="s">
        <v>35</v>
      </c>
      <c r="W378" s="18" t="s">
        <v>35</v>
      </c>
      <c r="X378" s="4" t="s">
        <v>35</v>
      </c>
      <c r="Y378" s="4" t="s">
        <v>35</v>
      </c>
      <c r="Z378" s="7" t="s">
        <v>35</v>
      </c>
      <c r="AA378" s="5"/>
      <c r="AB378" s="3"/>
      <c r="AC378" s="3"/>
      <c r="AD378" s="3"/>
      <c r="AE378" s="3"/>
      <c r="AF378" s="3"/>
      <c r="AG378" s="18"/>
      <c r="AH378" s="18"/>
      <c r="AI378" s="4"/>
      <c r="AJ378" s="4"/>
      <c r="AK378" s="7"/>
      <c r="AL378" s="5"/>
      <c r="AM378" s="3"/>
      <c r="AN378" s="3"/>
      <c r="AO378" s="3"/>
      <c r="AP378" s="3"/>
      <c r="AQ378" s="3" t="s">
        <v>35</v>
      </c>
      <c r="AR378" s="18" t="s">
        <v>35</v>
      </c>
      <c r="AS378" s="18" t="s">
        <v>35</v>
      </c>
      <c r="AT378" s="4" t="s">
        <v>35</v>
      </c>
      <c r="AU378" s="4" t="s">
        <v>35</v>
      </c>
      <c r="AV378" s="7" t="s">
        <v>35</v>
      </c>
      <c r="AW378" s="5"/>
      <c r="AX378" s="3"/>
      <c r="AY378" s="3"/>
      <c r="AZ378" s="3"/>
      <c r="BA378" s="3"/>
      <c r="BB378" s="3"/>
      <c r="BC378" s="18"/>
      <c r="BD378" s="18"/>
      <c r="BE378" s="4"/>
      <c r="BF378" s="4"/>
      <c r="BG378" s="7"/>
      <c r="BH378" s="5"/>
      <c r="BI378" s="3"/>
      <c r="BJ378" s="3"/>
      <c r="BK378" s="3"/>
      <c r="BL378" s="3"/>
      <c r="BM378" s="3"/>
      <c r="BN378" s="18"/>
      <c r="BO378" s="18"/>
      <c r="BP378" s="4"/>
      <c r="BQ378" s="4"/>
      <c r="BR378" s="7"/>
      <c r="BS378" s="18"/>
    </row>
    <row r="379" spans="1:71" x14ac:dyDescent="0.25">
      <c r="A379" s="18">
        <v>374</v>
      </c>
      <c r="B379" s="18"/>
      <c r="C379" s="18"/>
      <c r="D379" s="21"/>
      <c r="E379" s="5"/>
      <c r="F379" s="3"/>
      <c r="G379" s="3"/>
      <c r="H379" s="3"/>
      <c r="I379" s="3"/>
      <c r="J379" s="3"/>
      <c r="K379" s="18"/>
      <c r="L379" s="18"/>
      <c r="M379" s="4"/>
      <c r="N379" s="4"/>
      <c r="O379" s="7"/>
      <c r="P379" s="5"/>
      <c r="Q379" s="3"/>
      <c r="R379" s="3"/>
      <c r="S379" s="3"/>
      <c r="T379" s="3"/>
      <c r="U379" s="3" t="s">
        <v>35</v>
      </c>
      <c r="V379" s="18" t="s">
        <v>35</v>
      </c>
      <c r="W379" s="18" t="s">
        <v>35</v>
      </c>
      <c r="X379" s="4" t="s">
        <v>35</v>
      </c>
      <c r="Y379" s="4" t="s">
        <v>35</v>
      </c>
      <c r="Z379" s="7" t="s">
        <v>35</v>
      </c>
      <c r="AA379" s="5"/>
      <c r="AB379" s="3"/>
      <c r="AC379" s="3"/>
      <c r="AD379" s="3"/>
      <c r="AE379" s="3"/>
      <c r="AF379" s="3"/>
      <c r="AG379" s="18"/>
      <c r="AH379" s="18"/>
      <c r="AI379" s="4"/>
      <c r="AJ379" s="4"/>
      <c r="AK379" s="7"/>
      <c r="AL379" s="5"/>
      <c r="AM379" s="3"/>
      <c r="AN379" s="3"/>
      <c r="AO379" s="3"/>
      <c r="AP379" s="3"/>
      <c r="AQ379" s="3" t="s">
        <v>35</v>
      </c>
      <c r="AR379" s="18" t="s">
        <v>35</v>
      </c>
      <c r="AS379" s="18" t="s">
        <v>35</v>
      </c>
      <c r="AT379" s="4" t="s">
        <v>35</v>
      </c>
      <c r="AU379" s="4" t="s">
        <v>35</v>
      </c>
      <c r="AV379" s="7" t="s">
        <v>35</v>
      </c>
      <c r="AW379" s="5"/>
      <c r="AX379" s="3"/>
      <c r="AY379" s="3"/>
      <c r="AZ379" s="3"/>
      <c r="BA379" s="3"/>
      <c r="BB379" s="3"/>
      <c r="BC379" s="18"/>
      <c r="BD379" s="18"/>
      <c r="BE379" s="4"/>
      <c r="BF379" s="4"/>
      <c r="BG379" s="7"/>
      <c r="BH379" s="5"/>
      <c r="BI379" s="3"/>
      <c r="BJ379" s="3"/>
      <c r="BK379" s="3"/>
      <c r="BL379" s="3"/>
      <c r="BM379" s="3"/>
      <c r="BN379" s="18"/>
      <c r="BO379" s="18"/>
      <c r="BP379" s="4"/>
      <c r="BQ379" s="4"/>
      <c r="BR379" s="7"/>
      <c r="BS379" s="18"/>
    </row>
    <row r="380" spans="1:71" x14ac:dyDescent="0.25">
      <c r="A380" s="1">
        <v>375</v>
      </c>
      <c r="B380" s="18"/>
      <c r="C380" s="18"/>
      <c r="D380" s="21"/>
      <c r="E380" s="5"/>
      <c r="F380" s="3"/>
      <c r="G380" s="3"/>
      <c r="H380" s="3"/>
      <c r="I380" s="3"/>
      <c r="J380" s="3"/>
      <c r="K380" s="18"/>
      <c r="L380" s="18"/>
      <c r="M380" s="4"/>
      <c r="N380" s="4"/>
      <c r="O380" s="7"/>
      <c r="P380" s="5"/>
      <c r="Q380" s="3"/>
      <c r="R380" s="3"/>
      <c r="S380" s="3"/>
      <c r="T380" s="3"/>
      <c r="U380" s="3" t="s">
        <v>35</v>
      </c>
      <c r="V380" s="18" t="s">
        <v>35</v>
      </c>
      <c r="W380" s="18" t="s">
        <v>35</v>
      </c>
      <c r="X380" s="4" t="s">
        <v>35</v>
      </c>
      <c r="Y380" s="4" t="s">
        <v>35</v>
      </c>
      <c r="Z380" s="7" t="s">
        <v>35</v>
      </c>
      <c r="AA380" s="5"/>
      <c r="AB380" s="3"/>
      <c r="AC380" s="3"/>
      <c r="AD380" s="3"/>
      <c r="AE380" s="3"/>
      <c r="AF380" s="3"/>
      <c r="AG380" s="18"/>
      <c r="AH380" s="18"/>
      <c r="AI380" s="4"/>
      <c r="AJ380" s="4"/>
      <c r="AK380" s="7"/>
      <c r="AL380" s="5"/>
      <c r="AM380" s="3"/>
      <c r="AN380" s="3"/>
      <c r="AO380" s="3"/>
      <c r="AP380" s="3"/>
      <c r="AQ380" s="3" t="s">
        <v>35</v>
      </c>
      <c r="AR380" s="18" t="s">
        <v>35</v>
      </c>
      <c r="AS380" s="18" t="s">
        <v>35</v>
      </c>
      <c r="AT380" s="4" t="s">
        <v>35</v>
      </c>
      <c r="AU380" s="4" t="s">
        <v>35</v>
      </c>
      <c r="AV380" s="7" t="s">
        <v>35</v>
      </c>
      <c r="AW380" s="5"/>
      <c r="AX380" s="3"/>
      <c r="AY380" s="3"/>
      <c r="AZ380" s="3"/>
      <c r="BA380" s="3"/>
      <c r="BB380" s="3"/>
      <c r="BC380" s="18"/>
      <c r="BD380" s="18"/>
      <c r="BE380" s="4"/>
      <c r="BF380" s="4"/>
      <c r="BG380" s="7"/>
      <c r="BH380" s="5"/>
      <c r="BI380" s="3"/>
      <c r="BJ380" s="3"/>
      <c r="BK380" s="3"/>
      <c r="BL380" s="3"/>
      <c r="BM380" s="3"/>
      <c r="BN380" s="18"/>
      <c r="BO380" s="18"/>
      <c r="BP380" s="4"/>
      <c r="BQ380" s="4"/>
      <c r="BR380" s="7"/>
      <c r="BS380" s="18"/>
    </row>
    <row r="381" spans="1:71" x14ac:dyDescent="0.25">
      <c r="A381" s="18">
        <v>376</v>
      </c>
      <c r="B381" s="18"/>
      <c r="C381" s="18"/>
      <c r="D381" s="21"/>
      <c r="E381" s="5"/>
      <c r="F381" s="3"/>
      <c r="G381" s="3"/>
      <c r="H381" s="3"/>
      <c r="I381" s="3"/>
      <c r="J381" s="3"/>
      <c r="K381" s="18"/>
      <c r="L381" s="18"/>
      <c r="M381" s="4"/>
      <c r="N381" s="4"/>
      <c r="O381" s="7"/>
      <c r="P381" s="5"/>
      <c r="Q381" s="3"/>
      <c r="R381" s="3"/>
      <c r="S381" s="3"/>
      <c r="T381" s="3"/>
      <c r="U381" s="3" t="s">
        <v>35</v>
      </c>
      <c r="V381" s="18" t="s">
        <v>35</v>
      </c>
      <c r="W381" s="18" t="s">
        <v>35</v>
      </c>
      <c r="X381" s="4" t="s">
        <v>35</v>
      </c>
      <c r="Y381" s="4" t="s">
        <v>35</v>
      </c>
      <c r="Z381" s="7" t="s">
        <v>35</v>
      </c>
      <c r="AA381" s="5"/>
      <c r="AB381" s="3"/>
      <c r="AC381" s="3"/>
      <c r="AD381" s="3"/>
      <c r="AE381" s="3"/>
      <c r="AF381" s="3"/>
      <c r="AG381" s="18"/>
      <c r="AH381" s="18"/>
      <c r="AI381" s="4"/>
      <c r="AJ381" s="4"/>
      <c r="AK381" s="7"/>
      <c r="AL381" s="5"/>
      <c r="AM381" s="3"/>
      <c r="AN381" s="3"/>
      <c r="AO381" s="3"/>
      <c r="AP381" s="3"/>
      <c r="AQ381" s="3" t="s">
        <v>35</v>
      </c>
      <c r="AR381" s="18" t="s">
        <v>35</v>
      </c>
      <c r="AS381" s="18" t="s">
        <v>35</v>
      </c>
      <c r="AT381" s="4" t="s">
        <v>35</v>
      </c>
      <c r="AU381" s="4" t="s">
        <v>35</v>
      </c>
      <c r="AV381" s="7" t="s">
        <v>35</v>
      </c>
      <c r="AW381" s="5"/>
      <c r="AX381" s="3"/>
      <c r="AY381" s="3"/>
      <c r="AZ381" s="3"/>
      <c r="BA381" s="3"/>
      <c r="BB381" s="3"/>
      <c r="BC381" s="18"/>
      <c r="BD381" s="18"/>
      <c r="BE381" s="4"/>
      <c r="BF381" s="4"/>
      <c r="BG381" s="7"/>
      <c r="BH381" s="5"/>
      <c r="BI381" s="3"/>
      <c r="BJ381" s="3"/>
      <c r="BK381" s="3"/>
      <c r="BL381" s="3"/>
      <c r="BM381" s="3"/>
      <c r="BN381" s="18"/>
      <c r="BO381" s="18"/>
      <c r="BP381" s="4"/>
      <c r="BQ381" s="4"/>
      <c r="BR381" s="7"/>
      <c r="BS381" s="18"/>
    </row>
    <row r="382" spans="1:71" x14ac:dyDescent="0.25">
      <c r="A382" s="18">
        <v>377</v>
      </c>
      <c r="B382" s="18"/>
      <c r="C382" s="18"/>
      <c r="D382" s="21"/>
      <c r="E382" s="5"/>
      <c r="F382" s="3"/>
      <c r="G382" s="3"/>
      <c r="H382" s="3"/>
      <c r="I382" s="3"/>
      <c r="J382" s="3"/>
      <c r="K382" s="18"/>
      <c r="L382" s="18"/>
      <c r="M382" s="4"/>
      <c r="N382" s="4"/>
      <c r="O382" s="7"/>
      <c r="P382" s="5"/>
      <c r="Q382" s="3"/>
      <c r="R382" s="3"/>
      <c r="S382" s="3"/>
      <c r="T382" s="3"/>
      <c r="U382" s="3" t="s">
        <v>35</v>
      </c>
      <c r="V382" s="18" t="s">
        <v>35</v>
      </c>
      <c r="W382" s="18" t="s">
        <v>35</v>
      </c>
      <c r="X382" s="4" t="s">
        <v>35</v>
      </c>
      <c r="Y382" s="4" t="s">
        <v>35</v>
      </c>
      <c r="Z382" s="7" t="s">
        <v>35</v>
      </c>
      <c r="AA382" s="5"/>
      <c r="AB382" s="3"/>
      <c r="AC382" s="3"/>
      <c r="AD382" s="3"/>
      <c r="AE382" s="3"/>
      <c r="AF382" s="3"/>
      <c r="AG382" s="18"/>
      <c r="AH382" s="18"/>
      <c r="AI382" s="4"/>
      <c r="AJ382" s="4"/>
      <c r="AK382" s="7"/>
      <c r="AL382" s="5"/>
      <c r="AM382" s="3"/>
      <c r="AN382" s="3"/>
      <c r="AO382" s="3"/>
      <c r="AP382" s="3"/>
      <c r="AQ382" s="3" t="s">
        <v>35</v>
      </c>
      <c r="AR382" s="18" t="s">
        <v>35</v>
      </c>
      <c r="AS382" s="18" t="s">
        <v>35</v>
      </c>
      <c r="AT382" s="4" t="s">
        <v>35</v>
      </c>
      <c r="AU382" s="4" t="s">
        <v>35</v>
      </c>
      <c r="AV382" s="7" t="s">
        <v>35</v>
      </c>
      <c r="AW382" s="5"/>
      <c r="AX382" s="3"/>
      <c r="AY382" s="3"/>
      <c r="AZ382" s="3"/>
      <c r="BA382" s="3"/>
      <c r="BB382" s="3"/>
      <c r="BC382" s="18"/>
      <c r="BD382" s="18"/>
      <c r="BE382" s="4"/>
      <c r="BF382" s="4"/>
      <c r="BG382" s="7"/>
      <c r="BH382" s="5"/>
      <c r="BI382" s="3"/>
      <c r="BJ382" s="3"/>
      <c r="BK382" s="3"/>
      <c r="BL382" s="3"/>
      <c r="BM382" s="3"/>
      <c r="BN382" s="18"/>
      <c r="BO382" s="18"/>
      <c r="BP382" s="4"/>
      <c r="BQ382" s="4"/>
      <c r="BR382" s="7"/>
      <c r="BS382" s="18"/>
    </row>
    <row r="383" spans="1:71" x14ac:dyDescent="0.25">
      <c r="A383" s="18">
        <v>378</v>
      </c>
      <c r="B383" s="18"/>
      <c r="C383" s="18"/>
      <c r="D383" s="21"/>
      <c r="E383" s="5"/>
      <c r="F383" s="3"/>
      <c r="G383" s="3"/>
      <c r="H383" s="3"/>
      <c r="I383" s="3"/>
      <c r="J383" s="3"/>
      <c r="K383" s="18"/>
      <c r="L383" s="18"/>
      <c r="M383" s="4"/>
      <c r="N383" s="4"/>
      <c r="O383" s="7"/>
      <c r="P383" s="5"/>
      <c r="Q383" s="3"/>
      <c r="R383" s="3"/>
      <c r="S383" s="3"/>
      <c r="T383" s="3"/>
      <c r="U383" s="3" t="s">
        <v>35</v>
      </c>
      <c r="V383" s="18" t="s">
        <v>35</v>
      </c>
      <c r="W383" s="18" t="s">
        <v>35</v>
      </c>
      <c r="X383" s="4" t="s">
        <v>35</v>
      </c>
      <c r="Y383" s="4" t="s">
        <v>35</v>
      </c>
      <c r="Z383" s="7" t="s">
        <v>35</v>
      </c>
      <c r="AA383" s="5"/>
      <c r="AB383" s="3"/>
      <c r="AC383" s="3"/>
      <c r="AD383" s="3"/>
      <c r="AE383" s="3"/>
      <c r="AF383" s="3"/>
      <c r="AG383" s="18"/>
      <c r="AH383" s="18"/>
      <c r="AI383" s="4"/>
      <c r="AJ383" s="4"/>
      <c r="AK383" s="7"/>
      <c r="AL383" s="5"/>
      <c r="AM383" s="3"/>
      <c r="AN383" s="3"/>
      <c r="AO383" s="3"/>
      <c r="AP383" s="3"/>
      <c r="AQ383" s="3" t="s">
        <v>35</v>
      </c>
      <c r="AR383" s="18" t="s">
        <v>35</v>
      </c>
      <c r="AS383" s="18" t="s">
        <v>35</v>
      </c>
      <c r="AT383" s="4" t="s">
        <v>35</v>
      </c>
      <c r="AU383" s="4" t="s">
        <v>35</v>
      </c>
      <c r="AV383" s="7" t="s">
        <v>35</v>
      </c>
      <c r="AW383" s="5"/>
      <c r="AX383" s="3"/>
      <c r="AY383" s="3"/>
      <c r="AZ383" s="3"/>
      <c r="BA383" s="3"/>
      <c r="BB383" s="3"/>
      <c r="BC383" s="18"/>
      <c r="BD383" s="18"/>
      <c r="BE383" s="4"/>
      <c r="BF383" s="4"/>
      <c r="BG383" s="7"/>
      <c r="BH383" s="5"/>
      <c r="BI383" s="3"/>
      <c r="BJ383" s="3"/>
      <c r="BK383" s="3"/>
      <c r="BL383" s="3"/>
      <c r="BM383" s="3"/>
      <c r="BN383" s="18"/>
      <c r="BO383" s="18"/>
      <c r="BP383" s="4"/>
      <c r="BQ383" s="4"/>
      <c r="BR383" s="7"/>
      <c r="BS383" s="18"/>
    </row>
    <row r="384" spans="1:71" x14ac:dyDescent="0.25">
      <c r="A384" s="18">
        <v>379</v>
      </c>
      <c r="B384" s="18"/>
      <c r="C384" s="18"/>
      <c r="D384" s="21"/>
      <c r="E384" s="5"/>
      <c r="F384" s="3"/>
      <c r="G384" s="3"/>
      <c r="H384" s="3"/>
      <c r="I384" s="3"/>
      <c r="J384" s="3"/>
      <c r="K384" s="18"/>
      <c r="L384" s="18"/>
      <c r="M384" s="4"/>
      <c r="N384" s="4"/>
      <c r="O384" s="7"/>
      <c r="P384" s="5"/>
      <c r="Q384" s="3"/>
      <c r="R384" s="3"/>
      <c r="S384" s="3"/>
      <c r="T384" s="3"/>
      <c r="U384" s="3" t="s">
        <v>35</v>
      </c>
      <c r="V384" s="18" t="s">
        <v>35</v>
      </c>
      <c r="W384" s="18" t="s">
        <v>35</v>
      </c>
      <c r="X384" s="4" t="s">
        <v>35</v>
      </c>
      <c r="Y384" s="4" t="s">
        <v>35</v>
      </c>
      <c r="Z384" s="7" t="s">
        <v>35</v>
      </c>
      <c r="AA384" s="5"/>
      <c r="AB384" s="3"/>
      <c r="AC384" s="3"/>
      <c r="AD384" s="3"/>
      <c r="AE384" s="3"/>
      <c r="AF384" s="3"/>
      <c r="AG384" s="18"/>
      <c r="AH384" s="18"/>
      <c r="AI384" s="4"/>
      <c r="AJ384" s="4"/>
      <c r="AK384" s="7"/>
      <c r="AL384" s="5"/>
      <c r="AM384" s="3"/>
      <c r="AN384" s="3"/>
      <c r="AO384" s="3"/>
      <c r="AP384" s="3"/>
      <c r="AQ384" s="3" t="s">
        <v>35</v>
      </c>
      <c r="AR384" s="18" t="s">
        <v>35</v>
      </c>
      <c r="AS384" s="18" t="s">
        <v>35</v>
      </c>
      <c r="AT384" s="4" t="s">
        <v>35</v>
      </c>
      <c r="AU384" s="4" t="s">
        <v>35</v>
      </c>
      <c r="AV384" s="7" t="s">
        <v>35</v>
      </c>
      <c r="AW384" s="5"/>
      <c r="AX384" s="3"/>
      <c r="AY384" s="3"/>
      <c r="AZ384" s="3"/>
      <c r="BA384" s="3"/>
      <c r="BB384" s="3"/>
      <c r="BC384" s="18"/>
      <c r="BD384" s="18"/>
      <c r="BE384" s="4"/>
      <c r="BF384" s="4"/>
      <c r="BG384" s="7"/>
      <c r="BH384" s="5"/>
      <c r="BI384" s="3"/>
      <c r="BJ384" s="3"/>
      <c r="BK384" s="3"/>
      <c r="BL384" s="3"/>
      <c r="BM384" s="3"/>
      <c r="BN384" s="18"/>
      <c r="BO384" s="18"/>
      <c r="BP384" s="4"/>
      <c r="BQ384" s="4"/>
      <c r="BR384" s="7"/>
      <c r="BS384" s="18"/>
    </row>
    <row r="385" spans="1:71" x14ac:dyDescent="0.25">
      <c r="A385" s="1">
        <v>380</v>
      </c>
      <c r="B385" s="18"/>
      <c r="C385" s="18"/>
      <c r="D385" s="21"/>
      <c r="E385" s="5"/>
      <c r="F385" s="3"/>
      <c r="G385" s="3"/>
      <c r="H385" s="3"/>
      <c r="I385" s="3"/>
      <c r="J385" s="3"/>
      <c r="K385" s="18"/>
      <c r="L385" s="18"/>
      <c r="M385" s="4"/>
      <c r="N385" s="4"/>
      <c r="O385" s="7"/>
      <c r="P385" s="5"/>
      <c r="Q385" s="3"/>
      <c r="R385" s="3"/>
      <c r="S385" s="3"/>
      <c r="T385" s="3"/>
      <c r="U385" s="3" t="s">
        <v>35</v>
      </c>
      <c r="V385" s="18" t="s">
        <v>35</v>
      </c>
      <c r="W385" s="18" t="s">
        <v>35</v>
      </c>
      <c r="X385" s="4" t="s">
        <v>35</v>
      </c>
      <c r="Y385" s="4" t="s">
        <v>35</v>
      </c>
      <c r="Z385" s="7" t="s">
        <v>35</v>
      </c>
      <c r="AA385" s="5"/>
      <c r="AB385" s="3"/>
      <c r="AC385" s="3"/>
      <c r="AD385" s="3"/>
      <c r="AE385" s="3"/>
      <c r="AF385" s="3"/>
      <c r="AG385" s="18"/>
      <c r="AH385" s="18"/>
      <c r="AI385" s="4"/>
      <c r="AJ385" s="4"/>
      <c r="AK385" s="7"/>
      <c r="AL385" s="5"/>
      <c r="AM385" s="3"/>
      <c r="AN385" s="3"/>
      <c r="AO385" s="3"/>
      <c r="AP385" s="3"/>
      <c r="AQ385" s="3" t="s">
        <v>35</v>
      </c>
      <c r="AR385" s="18" t="s">
        <v>35</v>
      </c>
      <c r="AS385" s="18" t="s">
        <v>35</v>
      </c>
      <c r="AT385" s="4" t="s">
        <v>35</v>
      </c>
      <c r="AU385" s="4" t="s">
        <v>35</v>
      </c>
      <c r="AV385" s="7" t="s">
        <v>35</v>
      </c>
      <c r="AW385" s="5"/>
      <c r="AX385" s="3"/>
      <c r="AY385" s="3"/>
      <c r="AZ385" s="3"/>
      <c r="BA385" s="3"/>
      <c r="BB385" s="3"/>
      <c r="BC385" s="18"/>
      <c r="BD385" s="18"/>
      <c r="BE385" s="4"/>
      <c r="BF385" s="4"/>
      <c r="BG385" s="7"/>
      <c r="BH385" s="5"/>
      <c r="BI385" s="3"/>
      <c r="BJ385" s="3"/>
      <c r="BK385" s="3"/>
      <c r="BL385" s="3"/>
      <c r="BM385" s="3"/>
      <c r="BN385" s="18"/>
      <c r="BO385" s="18"/>
      <c r="BP385" s="4"/>
      <c r="BQ385" s="4"/>
      <c r="BR385" s="7"/>
      <c r="BS385" s="18"/>
    </row>
    <row r="386" spans="1:71" x14ac:dyDescent="0.25">
      <c r="A386" s="18">
        <v>381</v>
      </c>
      <c r="B386" s="18"/>
      <c r="C386" s="18"/>
      <c r="D386" s="21"/>
      <c r="E386" s="5"/>
      <c r="F386" s="3"/>
      <c r="G386" s="3"/>
      <c r="H386" s="3"/>
      <c r="I386" s="3"/>
      <c r="J386" s="3"/>
      <c r="K386" s="18"/>
      <c r="L386" s="18"/>
      <c r="M386" s="4"/>
      <c r="N386" s="4"/>
      <c r="O386" s="7"/>
      <c r="P386" s="5"/>
      <c r="Q386" s="3"/>
      <c r="R386" s="3"/>
      <c r="S386" s="3"/>
      <c r="T386" s="3"/>
      <c r="U386" s="3" t="s">
        <v>35</v>
      </c>
      <c r="V386" s="18" t="s">
        <v>35</v>
      </c>
      <c r="W386" s="18" t="s">
        <v>35</v>
      </c>
      <c r="X386" s="4" t="s">
        <v>35</v>
      </c>
      <c r="Y386" s="4" t="s">
        <v>35</v>
      </c>
      <c r="Z386" s="7" t="s">
        <v>35</v>
      </c>
      <c r="AA386" s="5"/>
      <c r="AB386" s="3"/>
      <c r="AC386" s="3"/>
      <c r="AD386" s="3"/>
      <c r="AE386" s="3"/>
      <c r="AF386" s="3"/>
      <c r="AG386" s="18"/>
      <c r="AH386" s="18"/>
      <c r="AI386" s="4"/>
      <c r="AJ386" s="4"/>
      <c r="AK386" s="7"/>
      <c r="AL386" s="5"/>
      <c r="AM386" s="3"/>
      <c r="AN386" s="3"/>
      <c r="AO386" s="3"/>
      <c r="AP386" s="3"/>
      <c r="AQ386" s="3" t="s">
        <v>35</v>
      </c>
      <c r="AR386" s="18" t="s">
        <v>35</v>
      </c>
      <c r="AS386" s="18" t="s">
        <v>35</v>
      </c>
      <c r="AT386" s="4" t="s">
        <v>35</v>
      </c>
      <c r="AU386" s="4" t="s">
        <v>35</v>
      </c>
      <c r="AV386" s="7" t="s">
        <v>35</v>
      </c>
      <c r="AW386" s="5"/>
      <c r="AX386" s="3"/>
      <c r="AY386" s="3"/>
      <c r="AZ386" s="3"/>
      <c r="BA386" s="3"/>
      <c r="BB386" s="3"/>
      <c r="BC386" s="18"/>
      <c r="BD386" s="18"/>
      <c r="BE386" s="4"/>
      <c r="BF386" s="4"/>
      <c r="BG386" s="7"/>
      <c r="BH386" s="5"/>
      <c r="BI386" s="3"/>
      <c r="BJ386" s="3"/>
      <c r="BK386" s="3"/>
      <c r="BL386" s="3"/>
      <c r="BM386" s="3"/>
      <c r="BN386" s="18"/>
      <c r="BO386" s="18"/>
      <c r="BP386" s="4"/>
      <c r="BQ386" s="4"/>
      <c r="BR386" s="7"/>
      <c r="BS386" s="18"/>
    </row>
    <row r="387" spans="1:71" x14ac:dyDescent="0.25">
      <c r="A387" s="18">
        <v>382</v>
      </c>
      <c r="B387" s="18"/>
      <c r="C387" s="18"/>
      <c r="D387" s="21"/>
      <c r="E387" s="5"/>
      <c r="F387" s="3"/>
      <c r="G387" s="3"/>
      <c r="H387" s="3"/>
      <c r="I387" s="3"/>
      <c r="J387" s="3"/>
      <c r="K387" s="18"/>
      <c r="L387" s="18"/>
      <c r="M387" s="4"/>
      <c r="N387" s="4"/>
      <c r="O387" s="7"/>
      <c r="P387" s="5"/>
      <c r="Q387" s="3"/>
      <c r="R387" s="3"/>
      <c r="S387" s="3"/>
      <c r="T387" s="3"/>
      <c r="U387" s="3" t="s">
        <v>35</v>
      </c>
      <c r="V387" s="18" t="s">
        <v>35</v>
      </c>
      <c r="W387" s="18" t="s">
        <v>35</v>
      </c>
      <c r="X387" s="4" t="s">
        <v>35</v>
      </c>
      <c r="Y387" s="4" t="s">
        <v>35</v>
      </c>
      <c r="Z387" s="7" t="s">
        <v>35</v>
      </c>
      <c r="AA387" s="5"/>
      <c r="AB387" s="3"/>
      <c r="AC387" s="3"/>
      <c r="AD387" s="3"/>
      <c r="AE387" s="3"/>
      <c r="AF387" s="3"/>
      <c r="AG387" s="18"/>
      <c r="AH387" s="18"/>
      <c r="AI387" s="4"/>
      <c r="AJ387" s="4"/>
      <c r="AK387" s="7"/>
      <c r="AL387" s="5"/>
      <c r="AM387" s="3"/>
      <c r="AN387" s="3"/>
      <c r="AO387" s="3"/>
      <c r="AP387" s="3"/>
      <c r="AQ387" s="3" t="s">
        <v>35</v>
      </c>
      <c r="AR387" s="18" t="s">
        <v>35</v>
      </c>
      <c r="AS387" s="18" t="s">
        <v>35</v>
      </c>
      <c r="AT387" s="4" t="s">
        <v>35</v>
      </c>
      <c r="AU387" s="4" t="s">
        <v>35</v>
      </c>
      <c r="AV387" s="7" t="s">
        <v>35</v>
      </c>
      <c r="AW387" s="5"/>
      <c r="AX387" s="3"/>
      <c r="AY387" s="3"/>
      <c r="AZ387" s="3"/>
      <c r="BA387" s="3"/>
      <c r="BB387" s="3"/>
      <c r="BC387" s="18"/>
      <c r="BD387" s="18"/>
      <c r="BE387" s="4"/>
      <c r="BF387" s="4"/>
      <c r="BG387" s="7"/>
      <c r="BH387" s="5"/>
      <c r="BI387" s="3"/>
      <c r="BJ387" s="3"/>
      <c r="BK387" s="3"/>
      <c r="BL387" s="3"/>
      <c r="BM387" s="3"/>
      <c r="BN387" s="18"/>
      <c r="BO387" s="18"/>
      <c r="BP387" s="4"/>
      <c r="BQ387" s="4"/>
      <c r="BR387" s="7"/>
      <c r="BS387" s="18"/>
    </row>
    <row r="388" spans="1:71" x14ac:dyDescent="0.25">
      <c r="A388" s="18">
        <v>383</v>
      </c>
      <c r="B388" s="18"/>
      <c r="C388" s="18"/>
      <c r="D388" s="21"/>
      <c r="E388" s="5"/>
      <c r="F388" s="3"/>
      <c r="G388" s="3"/>
      <c r="H388" s="3"/>
      <c r="I388" s="3"/>
      <c r="J388" s="3"/>
      <c r="K388" s="18"/>
      <c r="L388" s="18"/>
      <c r="M388" s="4"/>
      <c r="N388" s="4"/>
      <c r="O388" s="7"/>
      <c r="P388" s="5"/>
      <c r="Q388" s="3"/>
      <c r="R388" s="3"/>
      <c r="S388" s="3"/>
      <c r="T388" s="3"/>
      <c r="U388" s="3" t="s">
        <v>35</v>
      </c>
      <c r="V388" s="18" t="s">
        <v>35</v>
      </c>
      <c r="W388" s="18" t="s">
        <v>35</v>
      </c>
      <c r="X388" s="4" t="s">
        <v>35</v>
      </c>
      <c r="Y388" s="4" t="s">
        <v>35</v>
      </c>
      <c r="Z388" s="7" t="s">
        <v>35</v>
      </c>
      <c r="AA388" s="5"/>
      <c r="AB388" s="3"/>
      <c r="AC388" s="3"/>
      <c r="AD388" s="3"/>
      <c r="AE388" s="3"/>
      <c r="AF388" s="3"/>
      <c r="AG388" s="18"/>
      <c r="AH388" s="18"/>
      <c r="AI388" s="4"/>
      <c r="AJ388" s="4"/>
      <c r="AK388" s="7"/>
      <c r="AL388" s="5"/>
      <c r="AM388" s="3"/>
      <c r="AN388" s="3"/>
      <c r="AO388" s="3"/>
      <c r="AP388" s="3"/>
      <c r="AQ388" s="3" t="s">
        <v>35</v>
      </c>
      <c r="AR388" s="18" t="s">
        <v>35</v>
      </c>
      <c r="AS388" s="18" t="s">
        <v>35</v>
      </c>
      <c r="AT388" s="4" t="s">
        <v>35</v>
      </c>
      <c r="AU388" s="4" t="s">
        <v>35</v>
      </c>
      <c r="AV388" s="7" t="s">
        <v>35</v>
      </c>
      <c r="AW388" s="5"/>
      <c r="AX388" s="3"/>
      <c r="AY388" s="3"/>
      <c r="AZ388" s="3"/>
      <c r="BA388" s="3"/>
      <c r="BB388" s="3"/>
      <c r="BC388" s="18"/>
      <c r="BD388" s="18"/>
      <c r="BE388" s="4"/>
      <c r="BF388" s="4"/>
      <c r="BG388" s="7"/>
      <c r="BH388" s="5"/>
      <c r="BI388" s="3"/>
      <c r="BJ388" s="3"/>
      <c r="BK388" s="3"/>
      <c r="BL388" s="3"/>
      <c r="BM388" s="3"/>
      <c r="BN388" s="18"/>
      <c r="BO388" s="18"/>
      <c r="BP388" s="4"/>
      <c r="BQ388" s="4"/>
      <c r="BR388" s="7"/>
      <c r="BS388" s="18"/>
    </row>
    <row r="389" spans="1:71" x14ac:dyDescent="0.25">
      <c r="A389" s="18">
        <v>384</v>
      </c>
      <c r="B389" s="18"/>
      <c r="C389" s="18"/>
      <c r="D389" s="21"/>
      <c r="E389" s="5"/>
      <c r="F389" s="3"/>
      <c r="G389" s="3"/>
      <c r="H389" s="3"/>
      <c r="I389" s="3"/>
      <c r="J389" s="3"/>
      <c r="K389" s="18"/>
      <c r="L389" s="18"/>
      <c r="M389" s="4"/>
      <c r="N389" s="4"/>
      <c r="O389" s="7"/>
      <c r="P389" s="5"/>
      <c r="Q389" s="3"/>
      <c r="R389" s="3"/>
      <c r="S389" s="3"/>
      <c r="T389" s="3"/>
      <c r="U389" s="3" t="s">
        <v>35</v>
      </c>
      <c r="V389" s="18" t="s">
        <v>35</v>
      </c>
      <c r="W389" s="18" t="s">
        <v>35</v>
      </c>
      <c r="X389" s="4" t="s">
        <v>35</v>
      </c>
      <c r="Y389" s="4" t="s">
        <v>35</v>
      </c>
      <c r="Z389" s="7" t="s">
        <v>35</v>
      </c>
      <c r="AA389" s="5"/>
      <c r="AB389" s="3"/>
      <c r="AC389" s="3"/>
      <c r="AD389" s="3"/>
      <c r="AE389" s="3"/>
      <c r="AF389" s="3"/>
      <c r="AG389" s="18"/>
      <c r="AH389" s="18"/>
      <c r="AI389" s="4"/>
      <c r="AJ389" s="4"/>
      <c r="AK389" s="7"/>
      <c r="AL389" s="5"/>
      <c r="AM389" s="3"/>
      <c r="AN389" s="3"/>
      <c r="AO389" s="3"/>
      <c r="AP389" s="3"/>
      <c r="AQ389" s="3" t="s">
        <v>35</v>
      </c>
      <c r="AR389" s="18" t="s">
        <v>35</v>
      </c>
      <c r="AS389" s="18" t="s">
        <v>35</v>
      </c>
      <c r="AT389" s="4" t="s">
        <v>35</v>
      </c>
      <c r="AU389" s="4" t="s">
        <v>35</v>
      </c>
      <c r="AV389" s="7" t="s">
        <v>35</v>
      </c>
      <c r="AW389" s="5"/>
      <c r="AX389" s="3"/>
      <c r="AY389" s="3"/>
      <c r="AZ389" s="3"/>
      <c r="BA389" s="3"/>
      <c r="BB389" s="3"/>
      <c r="BC389" s="18"/>
      <c r="BD389" s="18"/>
      <c r="BE389" s="4"/>
      <c r="BF389" s="4"/>
      <c r="BG389" s="7"/>
      <c r="BH389" s="5"/>
      <c r="BI389" s="3"/>
      <c r="BJ389" s="3"/>
      <c r="BK389" s="3"/>
      <c r="BL389" s="3"/>
      <c r="BM389" s="3"/>
      <c r="BN389" s="18"/>
      <c r="BO389" s="18"/>
      <c r="BP389" s="4"/>
      <c r="BQ389" s="4"/>
      <c r="BR389" s="7"/>
      <c r="BS389" s="18"/>
    </row>
    <row r="390" spans="1:71" x14ac:dyDescent="0.25">
      <c r="A390" s="1">
        <v>385</v>
      </c>
      <c r="B390" s="18"/>
      <c r="C390" s="18"/>
      <c r="D390" s="21"/>
      <c r="E390" s="5"/>
      <c r="F390" s="3"/>
      <c r="G390" s="3"/>
      <c r="H390" s="3"/>
      <c r="I390" s="3"/>
      <c r="J390" s="3"/>
      <c r="K390" s="18"/>
      <c r="L390" s="18"/>
      <c r="M390" s="4"/>
      <c r="N390" s="4"/>
      <c r="O390" s="7"/>
      <c r="P390" s="5"/>
      <c r="Q390" s="3"/>
      <c r="R390" s="3"/>
      <c r="S390" s="3"/>
      <c r="T390" s="3"/>
      <c r="U390" s="3" t="s">
        <v>35</v>
      </c>
      <c r="V390" s="18" t="s">
        <v>35</v>
      </c>
      <c r="W390" s="18" t="s">
        <v>35</v>
      </c>
      <c r="X390" s="4" t="s">
        <v>35</v>
      </c>
      <c r="Y390" s="4" t="s">
        <v>35</v>
      </c>
      <c r="Z390" s="7" t="s">
        <v>35</v>
      </c>
      <c r="AA390" s="5"/>
      <c r="AB390" s="3"/>
      <c r="AC390" s="3"/>
      <c r="AD390" s="3"/>
      <c r="AE390" s="3"/>
      <c r="AF390" s="3"/>
      <c r="AG390" s="18"/>
      <c r="AH390" s="18"/>
      <c r="AI390" s="4"/>
      <c r="AJ390" s="4"/>
      <c r="AK390" s="7"/>
      <c r="AL390" s="5"/>
      <c r="AM390" s="3"/>
      <c r="AN390" s="3"/>
      <c r="AO390" s="3"/>
      <c r="AP390" s="3"/>
      <c r="AQ390" s="3" t="s">
        <v>35</v>
      </c>
      <c r="AR390" s="18" t="s">
        <v>35</v>
      </c>
      <c r="AS390" s="18" t="s">
        <v>35</v>
      </c>
      <c r="AT390" s="4" t="s">
        <v>35</v>
      </c>
      <c r="AU390" s="4" t="s">
        <v>35</v>
      </c>
      <c r="AV390" s="7" t="s">
        <v>35</v>
      </c>
      <c r="AW390" s="5"/>
      <c r="AX390" s="3"/>
      <c r="AY390" s="3"/>
      <c r="AZ390" s="3"/>
      <c r="BA390" s="3"/>
      <c r="BB390" s="3"/>
      <c r="BC390" s="18"/>
      <c r="BD390" s="18"/>
      <c r="BE390" s="4"/>
      <c r="BF390" s="4"/>
      <c r="BG390" s="7"/>
      <c r="BH390" s="5"/>
      <c r="BI390" s="3"/>
      <c r="BJ390" s="3"/>
      <c r="BK390" s="3"/>
      <c r="BL390" s="3"/>
      <c r="BM390" s="3"/>
      <c r="BN390" s="18"/>
      <c r="BO390" s="18"/>
      <c r="BP390" s="4"/>
      <c r="BQ390" s="4"/>
      <c r="BR390" s="7"/>
      <c r="BS390" s="18"/>
    </row>
    <row r="391" spans="1:71" x14ac:dyDescent="0.25">
      <c r="A391" s="18">
        <v>386</v>
      </c>
      <c r="B391" s="18"/>
      <c r="C391" s="18"/>
      <c r="D391" s="21"/>
      <c r="E391" s="5"/>
      <c r="F391" s="3"/>
      <c r="G391" s="3"/>
      <c r="H391" s="3"/>
      <c r="I391" s="3"/>
      <c r="J391" s="3"/>
      <c r="K391" s="18"/>
      <c r="L391" s="18"/>
      <c r="M391" s="4"/>
      <c r="N391" s="4"/>
      <c r="O391" s="7"/>
      <c r="P391" s="5"/>
      <c r="Q391" s="3"/>
      <c r="R391" s="3"/>
      <c r="S391" s="3"/>
      <c r="T391" s="3"/>
      <c r="U391" s="3" t="s">
        <v>35</v>
      </c>
      <c r="V391" s="18" t="s">
        <v>35</v>
      </c>
      <c r="W391" s="18" t="s">
        <v>35</v>
      </c>
      <c r="X391" s="4" t="s">
        <v>35</v>
      </c>
      <c r="Y391" s="4" t="s">
        <v>35</v>
      </c>
      <c r="Z391" s="7" t="s">
        <v>35</v>
      </c>
      <c r="AA391" s="5"/>
      <c r="AB391" s="3"/>
      <c r="AC391" s="3"/>
      <c r="AD391" s="3"/>
      <c r="AE391" s="3"/>
      <c r="AF391" s="3"/>
      <c r="AG391" s="18"/>
      <c r="AH391" s="18"/>
      <c r="AI391" s="4"/>
      <c r="AJ391" s="4"/>
      <c r="AK391" s="7"/>
      <c r="AL391" s="5"/>
      <c r="AM391" s="3"/>
      <c r="AN391" s="3"/>
      <c r="AO391" s="3"/>
      <c r="AP391" s="3"/>
      <c r="AQ391" s="3" t="s">
        <v>35</v>
      </c>
      <c r="AR391" s="18" t="s">
        <v>35</v>
      </c>
      <c r="AS391" s="18" t="s">
        <v>35</v>
      </c>
      <c r="AT391" s="4" t="s">
        <v>35</v>
      </c>
      <c r="AU391" s="4" t="s">
        <v>35</v>
      </c>
      <c r="AV391" s="7" t="s">
        <v>35</v>
      </c>
      <c r="AW391" s="5"/>
      <c r="AX391" s="3"/>
      <c r="AY391" s="3"/>
      <c r="AZ391" s="3"/>
      <c r="BA391" s="3"/>
      <c r="BB391" s="3"/>
      <c r="BC391" s="18"/>
      <c r="BD391" s="18"/>
      <c r="BE391" s="4"/>
      <c r="BF391" s="4"/>
      <c r="BG391" s="7"/>
      <c r="BH391" s="5"/>
      <c r="BI391" s="3"/>
      <c r="BJ391" s="3"/>
      <c r="BK391" s="3"/>
      <c r="BL391" s="3"/>
      <c r="BM391" s="3"/>
      <c r="BN391" s="18"/>
      <c r="BO391" s="18"/>
      <c r="BP391" s="4"/>
      <c r="BQ391" s="4"/>
      <c r="BR391" s="7"/>
      <c r="BS391" s="18"/>
    </row>
    <row r="392" spans="1:71" x14ac:dyDescent="0.25">
      <c r="A392" s="18">
        <v>387</v>
      </c>
      <c r="B392" s="18"/>
      <c r="C392" s="18"/>
      <c r="D392" s="21"/>
      <c r="E392" s="5"/>
      <c r="F392" s="3"/>
      <c r="G392" s="3"/>
      <c r="H392" s="3"/>
      <c r="I392" s="3"/>
      <c r="J392" s="3"/>
      <c r="K392" s="18"/>
      <c r="L392" s="18"/>
      <c r="M392" s="4"/>
      <c r="N392" s="4"/>
      <c r="O392" s="7"/>
      <c r="P392" s="5"/>
      <c r="Q392" s="3"/>
      <c r="R392" s="3"/>
      <c r="S392" s="3"/>
      <c r="T392" s="3"/>
      <c r="U392" s="3" t="s">
        <v>35</v>
      </c>
      <c r="V392" s="18" t="s">
        <v>35</v>
      </c>
      <c r="W392" s="18" t="s">
        <v>35</v>
      </c>
      <c r="X392" s="4" t="s">
        <v>35</v>
      </c>
      <c r="Y392" s="4" t="s">
        <v>35</v>
      </c>
      <c r="Z392" s="7" t="s">
        <v>35</v>
      </c>
      <c r="AA392" s="5"/>
      <c r="AB392" s="3"/>
      <c r="AC392" s="3"/>
      <c r="AD392" s="3"/>
      <c r="AE392" s="3"/>
      <c r="AF392" s="3"/>
      <c r="AG392" s="18"/>
      <c r="AH392" s="18"/>
      <c r="AI392" s="4"/>
      <c r="AJ392" s="4"/>
      <c r="AK392" s="7"/>
      <c r="AL392" s="5"/>
      <c r="AM392" s="3"/>
      <c r="AN392" s="3"/>
      <c r="AO392" s="3"/>
      <c r="AP392" s="3"/>
      <c r="AQ392" s="3" t="s">
        <v>35</v>
      </c>
      <c r="AR392" s="18" t="s">
        <v>35</v>
      </c>
      <c r="AS392" s="18" t="s">
        <v>35</v>
      </c>
      <c r="AT392" s="4" t="s">
        <v>35</v>
      </c>
      <c r="AU392" s="4" t="s">
        <v>35</v>
      </c>
      <c r="AV392" s="7" t="s">
        <v>35</v>
      </c>
      <c r="AW392" s="5"/>
      <c r="AX392" s="3"/>
      <c r="AY392" s="3"/>
      <c r="AZ392" s="3"/>
      <c r="BA392" s="3"/>
      <c r="BB392" s="3"/>
      <c r="BC392" s="18"/>
      <c r="BD392" s="18"/>
      <c r="BE392" s="4"/>
      <c r="BF392" s="4"/>
      <c r="BG392" s="7"/>
      <c r="BH392" s="5"/>
      <c r="BI392" s="3"/>
      <c r="BJ392" s="3"/>
      <c r="BK392" s="3"/>
      <c r="BL392" s="3"/>
      <c r="BM392" s="3"/>
      <c r="BN392" s="18"/>
      <c r="BO392" s="18"/>
      <c r="BP392" s="4"/>
      <c r="BQ392" s="4"/>
      <c r="BR392" s="7"/>
      <c r="BS392" s="18"/>
    </row>
    <row r="393" spans="1:71" x14ac:dyDescent="0.25">
      <c r="A393" s="18">
        <v>388</v>
      </c>
      <c r="B393" s="18"/>
      <c r="C393" s="18"/>
      <c r="D393" s="21"/>
      <c r="E393" s="5"/>
      <c r="F393" s="3"/>
      <c r="G393" s="3"/>
      <c r="H393" s="3"/>
      <c r="I393" s="3"/>
      <c r="J393" s="3"/>
      <c r="K393" s="18"/>
      <c r="L393" s="18"/>
      <c r="M393" s="4"/>
      <c r="N393" s="4"/>
      <c r="O393" s="7"/>
      <c r="P393" s="5"/>
      <c r="Q393" s="3"/>
      <c r="R393" s="3"/>
      <c r="S393" s="3"/>
      <c r="T393" s="3"/>
      <c r="U393" s="3" t="s">
        <v>35</v>
      </c>
      <c r="V393" s="18" t="s">
        <v>35</v>
      </c>
      <c r="W393" s="18" t="s">
        <v>35</v>
      </c>
      <c r="X393" s="4" t="s">
        <v>35</v>
      </c>
      <c r="Y393" s="4" t="s">
        <v>35</v>
      </c>
      <c r="Z393" s="7" t="s">
        <v>35</v>
      </c>
      <c r="AA393" s="5"/>
      <c r="AB393" s="3"/>
      <c r="AC393" s="3"/>
      <c r="AD393" s="3"/>
      <c r="AE393" s="3"/>
      <c r="AF393" s="3"/>
      <c r="AG393" s="18"/>
      <c r="AH393" s="18"/>
      <c r="AI393" s="4"/>
      <c r="AJ393" s="4"/>
      <c r="AK393" s="7"/>
      <c r="AL393" s="5"/>
      <c r="AM393" s="3"/>
      <c r="AN393" s="3"/>
      <c r="AO393" s="3"/>
      <c r="AP393" s="3"/>
      <c r="AQ393" s="3" t="s">
        <v>35</v>
      </c>
      <c r="AR393" s="18" t="s">
        <v>35</v>
      </c>
      <c r="AS393" s="18" t="s">
        <v>35</v>
      </c>
      <c r="AT393" s="4" t="s">
        <v>35</v>
      </c>
      <c r="AU393" s="4" t="s">
        <v>35</v>
      </c>
      <c r="AV393" s="7" t="s">
        <v>35</v>
      </c>
      <c r="AW393" s="5"/>
      <c r="AX393" s="3"/>
      <c r="AY393" s="3"/>
      <c r="AZ393" s="3"/>
      <c r="BA393" s="3"/>
      <c r="BB393" s="3"/>
      <c r="BC393" s="18"/>
      <c r="BD393" s="18"/>
      <c r="BE393" s="4"/>
      <c r="BF393" s="4"/>
      <c r="BG393" s="7"/>
      <c r="BH393" s="5"/>
      <c r="BI393" s="3"/>
      <c r="BJ393" s="3"/>
      <c r="BK393" s="3"/>
      <c r="BL393" s="3"/>
      <c r="BM393" s="3"/>
      <c r="BN393" s="18"/>
      <c r="BO393" s="18"/>
      <c r="BP393" s="4"/>
      <c r="BQ393" s="4"/>
      <c r="BR393" s="7"/>
      <c r="BS393" s="18"/>
    </row>
    <row r="394" spans="1:71" x14ac:dyDescent="0.25">
      <c r="A394" s="18">
        <v>389</v>
      </c>
      <c r="B394" s="18"/>
      <c r="C394" s="18"/>
      <c r="D394" s="21"/>
      <c r="E394" s="5"/>
      <c r="F394" s="3"/>
      <c r="G394" s="3"/>
      <c r="H394" s="3"/>
      <c r="I394" s="3"/>
      <c r="J394" s="3"/>
      <c r="K394" s="18"/>
      <c r="L394" s="18"/>
      <c r="M394" s="4"/>
      <c r="N394" s="4"/>
      <c r="O394" s="7"/>
      <c r="P394" s="5"/>
      <c r="Q394" s="3"/>
      <c r="R394" s="3"/>
      <c r="S394" s="3"/>
      <c r="T394" s="3"/>
      <c r="U394" s="3" t="s">
        <v>35</v>
      </c>
      <c r="V394" s="18" t="s">
        <v>35</v>
      </c>
      <c r="W394" s="18" t="s">
        <v>35</v>
      </c>
      <c r="X394" s="4" t="s">
        <v>35</v>
      </c>
      <c r="Y394" s="4" t="s">
        <v>35</v>
      </c>
      <c r="Z394" s="7" t="s">
        <v>35</v>
      </c>
      <c r="AA394" s="5"/>
      <c r="AB394" s="3"/>
      <c r="AC394" s="3"/>
      <c r="AD394" s="3"/>
      <c r="AE394" s="3"/>
      <c r="AF394" s="3"/>
      <c r="AG394" s="18"/>
      <c r="AH394" s="18"/>
      <c r="AI394" s="4"/>
      <c r="AJ394" s="4"/>
      <c r="AK394" s="7"/>
      <c r="AL394" s="5"/>
      <c r="AM394" s="3"/>
      <c r="AN394" s="3"/>
      <c r="AO394" s="3"/>
      <c r="AP394" s="3"/>
      <c r="AQ394" s="3" t="s">
        <v>35</v>
      </c>
      <c r="AR394" s="18" t="s">
        <v>35</v>
      </c>
      <c r="AS394" s="18" t="s">
        <v>35</v>
      </c>
      <c r="AT394" s="4" t="s">
        <v>35</v>
      </c>
      <c r="AU394" s="4" t="s">
        <v>35</v>
      </c>
      <c r="AV394" s="7" t="s">
        <v>35</v>
      </c>
      <c r="AW394" s="5"/>
      <c r="AX394" s="3"/>
      <c r="AY394" s="3"/>
      <c r="AZ394" s="3"/>
      <c r="BA394" s="3"/>
      <c r="BB394" s="3"/>
      <c r="BC394" s="18"/>
      <c r="BD394" s="18"/>
      <c r="BE394" s="4"/>
      <c r="BF394" s="4"/>
      <c r="BG394" s="7"/>
      <c r="BH394" s="5"/>
      <c r="BI394" s="3"/>
      <c r="BJ394" s="3"/>
      <c r="BK394" s="3"/>
      <c r="BL394" s="3"/>
      <c r="BM394" s="3"/>
      <c r="BN394" s="18"/>
      <c r="BO394" s="18"/>
      <c r="BP394" s="4"/>
      <c r="BQ394" s="4"/>
      <c r="BR394" s="7"/>
      <c r="BS394" s="18"/>
    </row>
    <row r="395" spans="1:71" x14ac:dyDescent="0.25">
      <c r="A395" s="1">
        <v>390</v>
      </c>
      <c r="B395" s="18"/>
      <c r="C395" s="18"/>
      <c r="D395" s="21"/>
      <c r="E395" s="5"/>
      <c r="F395" s="3"/>
      <c r="G395" s="3"/>
      <c r="H395" s="3"/>
      <c r="I395" s="3"/>
      <c r="J395" s="3"/>
      <c r="K395" s="18"/>
      <c r="L395" s="18"/>
      <c r="M395" s="4"/>
      <c r="N395" s="4"/>
      <c r="O395" s="7"/>
      <c r="P395" s="5"/>
      <c r="Q395" s="3"/>
      <c r="R395" s="3"/>
      <c r="S395" s="3"/>
      <c r="T395" s="3"/>
      <c r="U395" s="3" t="s">
        <v>35</v>
      </c>
      <c r="V395" s="18" t="s">
        <v>35</v>
      </c>
      <c r="W395" s="18" t="s">
        <v>35</v>
      </c>
      <c r="X395" s="4" t="s">
        <v>35</v>
      </c>
      <c r="Y395" s="4" t="s">
        <v>35</v>
      </c>
      <c r="Z395" s="7" t="s">
        <v>35</v>
      </c>
      <c r="AA395" s="5"/>
      <c r="AB395" s="3"/>
      <c r="AC395" s="3"/>
      <c r="AD395" s="3"/>
      <c r="AE395" s="3"/>
      <c r="AF395" s="3"/>
      <c r="AG395" s="18"/>
      <c r="AH395" s="18"/>
      <c r="AI395" s="4"/>
      <c r="AJ395" s="4"/>
      <c r="AK395" s="7"/>
      <c r="AL395" s="5"/>
      <c r="AM395" s="3"/>
      <c r="AN395" s="3"/>
      <c r="AO395" s="3"/>
      <c r="AP395" s="3"/>
      <c r="AQ395" s="3" t="s">
        <v>35</v>
      </c>
      <c r="AR395" s="18" t="s">
        <v>35</v>
      </c>
      <c r="AS395" s="18" t="s">
        <v>35</v>
      </c>
      <c r="AT395" s="4" t="s">
        <v>35</v>
      </c>
      <c r="AU395" s="4" t="s">
        <v>35</v>
      </c>
      <c r="AV395" s="7" t="s">
        <v>35</v>
      </c>
      <c r="AW395" s="5"/>
      <c r="AX395" s="3"/>
      <c r="AY395" s="3"/>
      <c r="AZ395" s="3"/>
      <c r="BA395" s="3"/>
      <c r="BB395" s="3"/>
      <c r="BC395" s="18"/>
      <c r="BD395" s="18"/>
      <c r="BE395" s="4"/>
      <c r="BF395" s="4"/>
      <c r="BG395" s="7"/>
      <c r="BH395" s="5"/>
      <c r="BI395" s="3"/>
      <c r="BJ395" s="3"/>
      <c r="BK395" s="3"/>
      <c r="BL395" s="3"/>
      <c r="BM395" s="3"/>
      <c r="BN395" s="18"/>
      <c r="BO395" s="18"/>
      <c r="BP395" s="4"/>
      <c r="BQ395" s="4"/>
      <c r="BR395" s="7"/>
      <c r="BS395" s="18"/>
    </row>
    <row r="396" spans="1:71" x14ac:dyDescent="0.25">
      <c r="A396" s="18">
        <v>391</v>
      </c>
      <c r="B396" s="18"/>
      <c r="C396" s="18"/>
      <c r="D396" s="21"/>
      <c r="E396" s="5"/>
      <c r="F396" s="3"/>
      <c r="G396" s="3"/>
      <c r="H396" s="3"/>
      <c r="I396" s="3"/>
      <c r="J396" s="3"/>
      <c r="K396" s="18"/>
      <c r="L396" s="18"/>
      <c r="M396" s="4"/>
      <c r="N396" s="4"/>
      <c r="O396" s="7"/>
      <c r="P396" s="5"/>
      <c r="Q396" s="3"/>
      <c r="R396" s="3"/>
      <c r="S396" s="3"/>
      <c r="T396" s="3"/>
      <c r="U396" s="3" t="s">
        <v>35</v>
      </c>
      <c r="V396" s="18" t="s">
        <v>35</v>
      </c>
      <c r="W396" s="18" t="s">
        <v>35</v>
      </c>
      <c r="X396" s="4" t="s">
        <v>35</v>
      </c>
      <c r="Y396" s="4" t="s">
        <v>35</v>
      </c>
      <c r="Z396" s="7" t="s">
        <v>35</v>
      </c>
      <c r="AA396" s="5"/>
      <c r="AB396" s="3"/>
      <c r="AC396" s="3"/>
      <c r="AD396" s="3"/>
      <c r="AE396" s="3"/>
      <c r="AF396" s="3"/>
      <c r="AG396" s="18"/>
      <c r="AH396" s="18"/>
      <c r="AI396" s="4"/>
      <c r="AJ396" s="4"/>
      <c r="AK396" s="7"/>
      <c r="AL396" s="5"/>
      <c r="AM396" s="3"/>
      <c r="AN396" s="3"/>
      <c r="AO396" s="3"/>
      <c r="AP396" s="3"/>
      <c r="AQ396" s="3" t="s">
        <v>35</v>
      </c>
      <c r="AR396" s="18" t="s">
        <v>35</v>
      </c>
      <c r="AS396" s="18" t="s">
        <v>35</v>
      </c>
      <c r="AT396" s="4" t="s">
        <v>35</v>
      </c>
      <c r="AU396" s="4" t="s">
        <v>35</v>
      </c>
      <c r="AV396" s="7" t="s">
        <v>35</v>
      </c>
      <c r="AW396" s="5"/>
      <c r="AX396" s="3"/>
      <c r="AY396" s="3"/>
      <c r="AZ396" s="3"/>
      <c r="BA396" s="3"/>
      <c r="BB396" s="3"/>
      <c r="BC396" s="18"/>
      <c r="BD396" s="18"/>
      <c r="BE396" s="4"/>
      <c r="BF396" s="4"/>
      <c r="BG396" s="7"/>
      <c r="BH396" s="5"/>
      <c r="BI396" s="3"/>
      <c r="BJ396" s="3"/>
      <c r="BK396" s="3"/>
      <c r="BL396" s="3"/>
      <c r="BM396" s="3"/>
      <c r="BN396" s="18"/>
      <c r="BO396" s="18"/>
      <c r="BP396" s="4"/>
      <c r="BQ396" s="4"/>
      <c r="BR396" s="7"/>
      <c r="BS396" s="18"/>
    </row>
    <row r="397" spans="1:71" x14ac:dyDescent="0.25">
      <c r="A397" s="18">
        <v>392</v>
      </c>
      <c r="B397" s="18"/>
      <c r="C397" s="18"/>
      <c r="D397" s="21"/>
      <c r="E397" s="5"/>
      <c r="F397" s="3"/>
      <c r="G397" s="3"/>
      <c r="H397" s="3"/>
      <c r="I397" s="3"/>
      <c r="J397" s="3"/>
      <c r="K397" s="18"/>
      <c r="L397" s="18"/>
      <c r="M397" s="4"/>
      <c r="N397" s="4"/>
      <c r="O397" s="7"/>
      <c r="P397" s="5"/>
      <c r="Q397" s="3"/>
      <c r="R397" s="3"/>
      <c r="S397" s="3"/>
      <c r="T397" s="3"/>
      <c r="U397" s="3" t="s">
        <v>35</v>
      </c>
      <c r="V397" s="18" t="s">
        <v>35</v>
      </c>
      <c r="W397" s="18" t="s">
        <v>35</v>
      </c>
      <c r="X397" s="4" t="s">
        <v>35</v>
      </c>
      <c r="Y397" s="4" t="s">
        <v>35</v>
      </c>
      <c r="Z397" s="7" t="s">
        <v>35</v>
      </c>
      <c r="AA397" s="5"/>
      <c r="AB397" s="3"/>
      <c r="AC397" s="3"/>
      <c r="AD397" s="3"/>
      <c r="AE397" s="3"/>
      <c r="AF397" s="3"/>
      <c r="AG397" s="18"/>
      <c r="AH397" s="18"/>
      <c r="AI397" s="4"/>
      <c r="AJ397" s="4"/>
      <c r="AK397" s="7"/>
      <c r="AL397" s="5"/>
      <c r="AM397" s="3"/>
      <c r="AN397" s="3"/>
      <c r="AO397" s="3"/>
      <c r="AP397" s="3"/>
      <c r="AQ397" s="3" t="s">
        <v>35</v>
      </c>
      <c r="AR397" s="18" t="s">
        <v>35</v>
      </c>
      <c r="AS397" s="18" t="s">
        <v>35</v>
      </c>
      <c r="AT397" s="4" t="s">
        <v>35</v>
      </c>
      <c r="AU397" s="4" t="s">
        <v>35</v>
      </c>
      <c r="AV397" s="7" t="s">
        <v>35</v>
      </c>
      <c r="AW397" s="5"/>
      <c r="AX397" s="3"/>
      <c r="AY397" s="3"/>
      <c r="AZ397" s="3"/>
      <c r="BA397" s="3"/>
      <c r="BB397" s="3"/>
      <c r="BC397" s="18"/>
      <c r="BD397" s="18"/>
      <c r="BE397" s="4"/>
      <c r="BF397" s="4"/>
      <c r="BG397" s="7"/>
      <c r="BH397" s="5"/>
      <c r="BI397" s="3"/>
      <c r="BJ397" s="3"/>
      <c r="BK397" s="3"/>
      <c r="BL397" s="3"/>
      <c r="BM397" s="3"/>
      <c r="BN397" s="18"/>
      <c r="BO397" s="18"/>
      <c r="BP397" s="4"/>
      <c r="BQ397" s="4"/>
      <c r="BR397" s="7"/>
      <c r="BS397" s="18"/>
    </row>
    <row r="398" spans="1:71" x14ac:dyDescent="0.25">
      <c r="A398" s="18">
        <v>393</v>
      </c>
      <c r="B398" s="18"/>
      <c r="C398" s="18"/>
      <c r="D398" s="21"/>
      <c r="E398" s="5"/>
      <c r="F398" s="3"/>
      <c r="G398" s="3"/>
      <c r="H398" s="3"/>
      <c r="I398" s="3"/>
      <c r="J398" s="3"/>
      <c r="K398" s="18"/>
      <c r="L398" s="18"/>
      <c r="M398" s="4"/>
      <c r="N398" s="4"/>
      <c r="O398" s="7"/>
      <c r="P398" s="5"/>
      <c r="Q398" s="3"/>
      <c r="R398" s="3"/>
      <c r="S398" s="3"/>
      <c r="T398" s="3"/>
      <c r="U398" s="3" t="s">
        <v>35</v>
      </c>
      <c r="V398" s="18" t="s">
        <v>35</v>
      </c>
      <c r="W398" s="18" t="s">
        <v>35</v>
      </c>
      <c r="X398" s="4" t="s">
        <v>35</v>
      </c>
      <c r="Y398" s="4" t="s">
        <v>35</v>
      </c>
      <c r="Z398" s="7" t="s">
        <v>35</v>
      </c>
      <c r="AA398" s="5"/>
      <c r="AB398" s="3"/>
      <c r="AC398" s="3"/>
      <c r="AD398" s="3"/>
      <c r="AE398" s="3"/>
      <c r="AF398" s="3"/>
      <c r="AG398" s="18"/>
      <c r="AH398" s="18"/>
      <c r="AI398" s="4"/>
      <c r="AJ398" s="4"/>
      <c r="AK398" s="7"/>
      <c r="AL398" s="5"/>
      <c r="AM398" s="3"/>
      <c r="AN398" s="3"/>
      <c r="AO398" s="3"/>
      <c r="AP398" s="3"/>
      <c r="AQ398" s="3" t="s">
        <v>35</v>
      </c>
      <c r="AR398" s="18" t="s">
        <v>35</v>
      </c>
      <c r="AS398" s="18" t="s">
        <v>35</v>
      </c>
      <c r="AT398" s="4" t="s">
        <v>35</v>
      </c>
      <c r="AU398" s="4" t="s">
        <v>35</v>
      </c>
      <c r="AV398" s="7" t="s">
        <v>35</v>
      </c>
      <c r="AW398" s="5"/>
      <c r="AX398" s="3"/>
      <c r="AY398" s="3"/>
      <c r="AZ398" s="3"/>
      <c r="BA398" s="3"/>
      <c r="BB398" s="3"/>
      <c r="BC398" s="18"/>
      <c r="BD398" s="18"/>
      <c r="BE398" s="4"/>
      <c r="BF398" s="4"/>
      <c r="BG398" s="7"/>
      <c r="BH398" s="5"/>
      <c r="BI398" s="3"/>
      <c r="BJ398" s="3"/>
      <c r="BK398" s="3"/>
      <c r="BL398" s="3"/>
      <c r="BM398" s="3"/>
      <c r="BN398" s="18"/>
      <c r="BO398" s="18"/>
      <c r="BP398" s="4"/>
      <c r="BQ398" s="4"/>
      <c r="BR398" s="7"/>
      <c r="BS398" s="18"/>
    </row>
    <row r="399" spans="1:71" x14ac:dyDescent="0.25">
      <c r="A399" s="18">
        <v>394</v>
      </c>
      <c r="B399" s="18"/>
      <c r="C399" s="18"/>
      <c r="D399" s="21"/>
      <c r="E399" s="5"/>
      <c r="F399" s="3"/>
      <c r="G399" s="3"/>
      <c r="H399" s="3"/>
      <c r="I399" s="3"/>
      <c r="J399" s="3"/>
      <c r="K399" s="18"/>
      <c r="L399" s="18"/>
      <c r="M399" s="4"/>
      <c r="N399" s="4"/>
      <c r="O399" s="7"/>
      <c r="P399" s="5"/>
      <c r="Q399" s="3"/>
      <c r="R399" s="3"/>
      <c r="S399" s="3"/>
      <c r="T399" s="3"/>
      <c r="U399" s="3" t="s">
        <v>35</v>
      </c>
      <c r="V399" s="18" t="s">
        <v>35</v>
      </c>
      <c r="W399" s="18" t="s">
        <v>35</v>
      </c>
      <c r="X399" s="4" t="s">
        <v>35</v>
      </c>
      <c r="Y399" s="4" t="s">
        <v>35</v>
      </c>
      <c r="Z399" s="7" t="s">
        <v>35</v>
      </c>
      <c r="AA399" s="5"/>
      <c r="AB399" s="3"/>
      <c r="AC399" s="3"/>
      <c r="AD399" s="3"/>
      <c r="AE399" s="3"/>
      <c r="AF399" s="3"/>
      <c r="AG399" s="18"/>
      <c r="AH399" s="18"/>
      <c r="AI399" s="4"/>
      <c r="AJ399" s="4"/>
      <c r="AK399" s="7"/>
      <c r="AL399" s="5"/>
      <c r="AM399" s="3"/>
      <c r="AN399" s="3"/>
      <c r="AO399" s="3"/>
      <c r="AP399" s="3"/>
      <c r="AQ399" s="3" t="s">
        <v>35</v>
      </c>
      <c r="AR399" s="18" t="s">
        <v>35</v>
      </c>
      <c r="AS399" s="18" t="s">
        <v>35</v>
      </c>
      <c r="AT399" s="4" t="s">
        <v>35</v>
      </c>
      <c r="AU399" s="4" t="s">
        <v>35</v>
      </c>
      <c r="AV399" s="7" t="s">
        <v>35</v>
      </c>
      <c r="AW399" s="5"/>
      <c r="AX399" s="3"/>
      <c r="AY399" s="3"/>
      <c r="AZ399" s="3"/>
      <c r="BA399" s="3"/>
      <c r="BB399" s="3"/>
      <c r="BC399" s="18"/>
      <c r="BD399" s="18"/>
      <c r="BE399" s="4"/>
      <c r="BF399" s="4"/>
      <c r="BG399" s="7"/>
      <c r="BH399" s="5"/>
      <c r="BI399" s="3"/>
      <c r="BJ399" s="3"/>
      <c r="BK399" s="3"/>
      <c r="BL399" s="3"/>
      <c r="BM399" s="3"/>
      <c r="BN399" s="18"/>
      <c r="BO399" s="18"/>
      <c r="BP399" s="4"/>
      <c r="BQ399" s="4"/>
      <c r="BR399" s="7"/>
      <c r="BS399" s="18"/>
    </row>
    <row r="400" spans="1:71" x14ac:dyDescent="0.25">
      <c r="A400" s="1">
        <v>395</v>
      </c>
      <c r="B400" s="18"/>
      <c r="C400" s="18"/>
      <c r="D400" s="21"/>
      <c r="E400" s="5"/>
      <c r="F400" s="3"/>
      <c r="G400" s="3"/>
      <c r="H400" s="3"/>
      <c r="I400" s="3"/>
      <c r="J400" s="3"/>
      <c r="K400" s="18"/>
      <c r="L400" s="18"/>
      <c r="M400" s="4"/>
      <c r="N400" s="4"/>
      <c r="O400" s="7"/>
      <c r="P400" s="5"/>
      <c r="Q400" s="3"/>
      <c r="R400" s="3"/>
      <c r="S400" s="3"/>
      <c r="T400" s="3"/>
      <c r="U400" s="3" t="s">
        <v>35</v>
      </c>
      <c r="V400" s="18" t="s">
        <v>35</v>
      </c>
      <c r="W400" s="18" t="s">
        <v>35</v>
      </c>
      <c r="X400" s="4" t="s">
        <v>35</v>
      </c>
      <c r="Y400" s="4" t="s">
        <v>35</v>
      </c>
      <c r="Z400" s="7" t="s">
        <v>35</v>
      </c>
      <c r="AA400" s="5"/>
      <c r="AB400" s="3"/>
      <c r="AC400" s="3"/>
      <c r="AD400" s="3"/>
      <c r="AE400" s="3"/>
      <c r="AF400" s="3"/>
      <c r="AG400" s="18"/>
      <c r="AH400" s="18"/>
      <c r="AI400" s="4"/>
      <c r="AJ400" s="4"/>
      <c r="AK400" s="7"/>
      <c r="AL400" s="5"/>
      <c r="AM400" s="3"/>
      <c r="AN400" s="3"/>
      <c r="AO400" s="3"/>
      <c r="AP400" s="3"/>
      <c r="AQ400" s="3" t="s">
        <v>35</v>
      </c>
      <c r="AR400" s="18" t="s">
        <v>35</v>
      </c>
      <c r="AS400" s="18" t="s">
        <v>35</v>
      </c>
      <c r="AT400" s="4" t="s">
        <v>35</v>
      </c>
      <c r="AU400" s="4" t="s">
        <v>35</v>
      </c>
      <c r="AV400" s="7" t="s">
        <v>35</v>
      </c>
      <c r="AW400" s="5"/>
      <c r="AX400" s="3"/>
      <c r="AY400" s="3"/>
      <c r="AZ400" s="3"/>
      <c r="BA400" s="3"/>
      <c r="BB400" s="3"/>
      <c r="BC400" s="18"/>
      <c r="BD400" s="18"/>
      <c r="BE400" s="4"/>
      <c r="BF400" s="4"/>
      <c r="BG400" s="7"/>
      <c r="BH400" s="5"/>
      <c r="BI400" s="3"/>
      <c r="BJ400" s="3"/>
      <c r="BK400" s="3"/>
      <c r="BL400" s="3"/>
      <c r="BM400" s="3"/>
      <c r="BN400" s="18"/>
      <c r="BO400" s="18"/>
      <c r="BP400" s="4"/>
      <c r="BQ400" s="4"/>
      <c r="BR400" s="7"/>
      <c r="BS400" s="18"/>
    </row>
    <row r="401" spans="1:71" x14ac:dyDescent="0.25">
      <c r="A401" s="18">
        <v>396</v>
      </c>
      <c r="B401" s="18"/>
      <c r="C401" s="18"/>
      <c r="D401" s="21"/>
      <c r="E401" s="5"/>
      <c r="F401" s="3"/>
      <c r="G401" s="3"/>
      <c r="H401" s="3"/>
      <c r="I401" s="3"/>
      <c r="J401" s="3"/>
      <c r="K401" s="18"/>
      <c r="L401" s="18"/>
      <c r="M401" s="4"/>
      <c r="N401" s="4"/>
      <c r="O401" s="7"/>
      <c r="P401" s="5"/>
      <c r="Q401" s="3"/>
      <c r="R401" s="3"/>
      <c r="S401" s="3"/>
      <c r="T401" s="3"/>
      <c r="U401" s="3" t="s">
        <v>35</v>
      </c>
      <c r="V401" s="18" t="s">
        <v>35</v>
      </c>
      <c r="W401" s="18" t="s">
        <v>35</v>
      </c>
      <c r="X401" s="4" t="s">
        <v>35</v>
      </c>
      <c r="Y401" s="4" t="s">
        <v>35</v>
      </c>
      <c r="Z401" s="7" t="s">
        <v>35</v>
      </c>
      <c r="AA401" s="5"/>
      <c r="AB401" s="3"/>
      <c r="AC401" s="3"/>
      <c r="AD401" s="3"/>
      <c r="AE401" s="3"/>
      <c r="AF401" s="3"/>
      <c r="AG401" s="18"/>
      <c r="AH401" s="18"/>
      <c r="AI401" s="4"/>
      <c r="AJ401" s="4"/>
      <c r="AK401" s="7"/>
      <c r="AL401" s="5"/>
      <c r="AM401" s="3"/>
      <c r="AN401" s="3"/>
      <c r="AO401" s="3"/>
      <c r="AP401" s="3"/>
      <c r="AQ401" s="3" t="s">
        <v>35</v>
      </c>
      <c r="AR401" s="18" t="s">
        <v>35</v>
      </c>
      <c r="AS401" s="18" t="s">
        <v>35</v>
      </c>
      <c r="AT401" s="4" t="s">
        <v>35</v>
      </c>
      <c r="AU401" s="4" t="s">
        <v>35</v>
      </c>
      <c r="AV401" s="7" t="s">
        <v>35</v>
      </c>
      <c r="AW401" s="5"/>
      <c r="AX401" s="3"/>
      <c r="AY401" s="3"/>
      <c r="AZ401" s="3"/>
      <c r="BA401" s="3"/>
      <c r="BB401" s="3"/>
      <c r="BC401" s="18"/>
      <c r="BD401" s="18"/>
      <c r="BE401" s="4"/>
      <c r="BF401" s="4"/>
      <c r="BG401" s="7"/>
      <c r="BH401" s="5"/>
      <c r="BI401" s="3"/>
      <c r="BJ401" s="3"/>
      <c r="BK401" s="3"/>
      <c r="BL401" s="3"/>
      <c r="BM401" s="3"/>
      <c r="BN401" s="18"/>
      <c r="BO401" s="18"/>
      <c r="BP401" s="4"/>
      <c r="BQ401" s="4"/>
      <c r="BR401" s="7"/>
      <c r="BS401" s="18"/>
    </row>
    <row r="402" spans="1:71" x14ac:dyDescent="0.25">
      <c r="A402" s="18">
        <v>397</v>
      </c>
      <c r="B402" s="18"/>
      <c r="C402" s="18"/>
      <c r="D402" s="21"/>
      <c r="E402" s="5"/>
      <c r="F402" s="3"/>
      <c r="G402" s="3"/>
      <c r="H402" s="3"/>
      <c r="I402" s="3"/>
      <c r="J402" s="3"/>
      <c r="K402" s="18"/>
      <c r="L402" s="18"/>
      <c r="M402" s="4"/>
      <c r="N402" s="4"/>
      <c r="O402" s="7"/>
      <c r="P402" s="5"/>
      <c r="Q402" s="3"/>
      <c r="R402" s="3"/>
      <c r="S402" s="3"/>
      <c r="T402" s="3"/>
      <c r="U402" s="3" t="s">
        <v>35</v>
      </c>
      <c r="V402" s="18" t="s">
        <v>35</v>
      </c>
      <c r="W402" s="18" t="s">
        <v>35</v>
      </c>
      <c r="X402" s="4" t="s">
        <v>35</v>
      </c>
      <c r="Y402" s="4" t="s">
        <v>35</v>
      </c>
      <c r="Z402" s="7" t="s">
        <v>35</v>
      </c>
      <c r="AA402" s="5"/>
      <c r="AB402" s="3"/>
      <c r="AC402" s="3"/>
      <c r="AD402" s="3"/>
      <c r="AE402" s="3"/>
      <c r="AF402" s="3"/>
      <c r="AG402" s="18"/>
      <c r="AH402" s="18"/>
      <c r="AI402" s="4"/>
      <c r="AJ402" s="4"/>
      <c r="AK402" s="7"/>
      <c r="AL402" s="5"/>
      <c r="AM402" s="3"/>
      <c r="AN402" s="3"/>
      <c r="AO402" s="3"/>
      <c r="AP402" s="3"/>
      <c r="AQ402" s="3" t="s">
        <v>35</v>
      </c>
      <c r="AR402" s="18" t="s">
        <v>35</v>
      </c>
      <c r="AS402" s="18" t="s">
        <v>35</v>
      </c>
      <c r="AT402" s="4" t="s">
        <v>35</v>
      </c>
      <c r="AU402" s="4" t="s">
        <v>35</v>
      </c>
      <c r="AV402" s="7" t="s">
        <v>35</v>
      </c>
      <c r="AW402" s="5"/>
      <c r="AX402" s="3"/>
      <c r="AY402" s="3"/>
      <c r="AZ402" s="3"/>
      <c r="BA402" s="3"/>
      <c r="BB402" s="3"/>
      <c r="BC402" s="18"/>
      <c r="BD402" s="18"/>
      <c r="BE402" s="4"/>
      <c r="BF402" s="4"/>
      <c r="BG402" s="7"/>
      <c r="BH402" s="5"/>
      <c r="BI402" s="3"/>
      <c r="BJ402" s="3"/>
      <c r="BK402" s="3"/>
      <c r="BL402" s="3"/>
      <c r="BM402" s="3"/>
      <c r="BN402" s="18"/>
      <c r="BO402" s="18"/>
      <c r="BP402" s="4"/>
      <c r="BQ402" s="4"/>
      <c r="BR402" s="7"/>
      <c r="BS402" s="18"/>
    </row>
    <row r="403" spans="1:71" x14ac:dyDescent="0.25">
      <c r="A403" s="18">
        <v>398</v>
      </c>
      <c r="B403" s="18"/>
      <c r="C403" s="18"/>
      <c r="D403" s="21"/>
      <c r="E403" s="5"/>
      <c r="F403" s="3"/>
      <c r="G403" s="3"/>
      <c r="H403" s="3"/>
      <c r="I403" s="3"/>
      <c r="J403" s="3"/>
      <c r="K403" s="18"/>
      <c r="L403" s="18"/>
      <c r="M403" s="4"/>
      <c r="N403" s="4"/>
      <c r="O403" s="7"/>
      <c r="P403" s="5"/>
      <c r="Q403" s="3"/>
      <c r="R403" s="3"/>
      <c r="S403" s="3"/>
      <c r="T403" s="3"/>
      <c r="U403" s="3" t="s">
        <v>35</v>
      </c>
      <c r="V403" s="18" t="s">
        <v>35</v>
      </c>
      <c r="W403" s="18" t="s">
        <v>35</v>
      </c>
      <c r="X403" s="4" t="s">
        <v>35</v>
      </c>
      <c r="Y403" s="4" t="s">
        <v>35</v>
      </c>
      <c r="Z403" s="7" t="s">
        <v>35</v>
      </c>
      <c r="AA403" s="5"/>
      <c r="AB403" s="3"/>
      <c r="AC403" s="3"/>
      <c r="AD403" s="3"/>
      <c r="AE403" s="3"/>
      <c r="AF403" s="3"/>
      <c r="AG403" s="18"/>
      <c r="AH403" s="18"/>
      <c r="AI403" s="4"/>
      <c r="AJ403" s="4"/>
      <c r="AK403" s="7"/>
      <c r="AL403" s="5"/>
      <c r="AM403" s="3"/>
      <c r="AN403" s="3"/>
      <c r="AO403" s="3"/>
      <c r="AP403" s="3"/>
      <c r="AQ403" s="3" t="s">
        <v>35</v>
      </c>
      <c r="AR403" s="18" t="s">
        <v>35</v>
      </c>
      <c r="AS403" s="18" t="s">
        <v>35</v>
      </c>
      <c r="AT403" s="4" t="s">
        <v>35</v>
      </c>
      <c r="AU403" s="4" t="s">
        <v>35</v>
      </c>
      <c r="AV403" s="7" t="s">
        <v>35</v>
      </c>
      <c r="AW403" s="5"/>
      <c r="AX403" s="3"/>
      <c r="AY403" s="3"/>
      <c r="AZ403" s="3"/>
      <c r="BA403" s="3"/>
      <c r="BB403" s="3"/>
      <c r="BC403" s="18"/>
      <c r="BD403" s="18"/>
      <c r="BE403" s="4"/>
      <c r="BF403" s="4"/>
      <c r="BG403" s="7"/>
      <c r="BH403" s="5"/>
      <c r="BI403" s="3"/>
      <c r="BJ403" s="3"/>
      <c r="BK403" s="3"/>
      <c r="BL403" s="3"/>
      <c r="BM403" s="3"/>
      <c r="BN403" s="18"/>
      <c r="BO403" s="18"/>
      <c r="BP403" s="4"/>
      <c r="BQ403" s="4"/>
      <c r="BR403" s="7"/>
      <c r="BS403" s="18"/>
    </row>
    <row r="404" spans="1:71" x14ac:dyDescent="0.25">
      <c r="A404" s="18">
        <v>399</v>
      </c>
      <c r="B404" s="18"/>
      <c r="C404" s="18"/>
      <c r="D404" s="21"/>
      <c r="E404" s="5"/>
      <c r="F404" s="3"/>
      <c r="G404" s="3"/>
      <c r="H404" s="3"/>
      <c r="I404" s="3"/>
      <c r="J404" s="3"/>
      <c r="K404" s="18"/>
      <c r="L404" s="18"/>
      <c r="M404" s="4"/>
      <c r="N404" s="4"/>
      <c r="O404" s="7"/>
      <c r="P404" s="5"/>
      <c r="Q404" s="3"/>
      <c r="R404" s="3"/>
      <c r="S404" s="3"/>
      <c r="T404" s="3"/>
      <c r="U404" s="3" t="s">
        <v>35</v>
      </c>
      <c r="V404" s="18" t="s">
        <v>35</v>
      </c>
      <c r="W404" s="18" t="s">
        <v>35</v>
      </c>
      <c r="X404" s="4" t="s">
        <v>35</v>
      </c>
      <c r="Y404" s="4" t="s">
        <v>35</v>
      </c>
      <c r="Z404" s="7" t="s">
        <v>35</v>
      </c>
      <c r="AA404" s="5"/>
      <c r="AB404" s="3"/>
      <c r="AC404" s="3"/>
      <c r="AD404" s="3"/>
      <c r="AE404" s="3"/>
      <c r="AF404" s="3"/>
      <c r="AG404" s="18"/>
      <c r="AH404" s="18"/>
      <c r="AI404" s="4"/>
      <c r="AJ404" s="4"/>
      <c r="AK404" s="7"/>
      <c r="AL404" s="5"/>
      <c r="AM404" s="3"/>
      <c r="AN404" s="3"/>
      <c r="AO404" s="3"/>
      <c r="AP404" s="3"/>
      <c r="AQ404" s="3" t="s">
        <v>35</v>
      </c>
      <c r="AR404" s="18" t="s">
        <v>35</v>
      </c>
      <c r="AS404" s="18" t="s">
        <v>35</v>
      </c>
      <c r="AT404" s="4" t="s">
        <v>35</v>
      </c>
      <c r="AU404" s="4" t="s">
        <v>35</v>
      </c>
      <c r="AV404" s="7" t="s">
        <v>35</v>
      </c>
      <c r="AW404" s="5"/>
      <c r="AX404" s="3"/>
      <c r="AY404" s="3"/>
      <c r="AZ404" s="3"/>
      <c r="BA404" s="3"/>
      <c r="BB404" s="3"/>
      <c r="BC404" s="18"/>
      <c r="BD404" s="18"/>
      <c r="BE404" s="4"/>
      <c r="BF404" s="4"/>
      <c r="BG404" s="7"/>
      <c r="BH404" s="5"/>
      <c r="BI404" s="3"/>
      <c r="BJ404" s="3"/>
      <c r="BK404" s="3"/>
      <c r="BL404" s="3"/>
      <c r="BM404" s="3"/>
      <c r="BN404" s="18"/>
      <c r="BO404" s="18"/>
      <c r="BP404" s="4"/>
      <c r="BQ404" s="4"/>
      <c r="BR404" s="7"/>
      <c r="BS404" s="18"/>
    </row>
    <row r="405" spans="1:71" x14ac:dyDescent="0.25">
      <c r="A405" s="1">
        <v>400</v>
      </c>
      <c r="B405" s="18"/>
      <c r="C405" s="18"/>
      <c r="D405" s="21"/>
      <c r="E405" s="5"/>
      <c r="F405" s="3"/>
      <c r="G405" s="3"/>
      <c r="H405" s="3"/>
      <c r="I405" s="3"/>
      <c r="J405" s="3"/>
      <c r="K405" s="18"/>
      <c r="L405" s="18"/>
      <c r="M405" s="4"/>
      <c r="N405" s="4"/>
      <c r="O405" s="7"/>
      <c r="P405" s="5"/>
      <c r="Q405" s="3"/>
      <c r="R405" s="3"/>
      <c r="S405" s="3"/>
      <c r="T405" s="3"/>
      <c r="U405" s="3" t="s">
        <v>35</v>
      </c>
      <c r="V405" s="18" t="s">
        <v>35</v>
      </c>
      <c r="W405" s="18" t="s">
        <v>35</v>
      </c>
      <c r="X405" s="4" t="s">
        <v>35</v>
      </c>
      <c r="Y405" s="4" t="s">
        <v>35</v>
      </c>
      <c r="Z405" s="7" t="s">
        <v>35</v>
      </c>
      <c r="AA405" s="5"/>
      <c r="AB405" s="3"/>
      <c r="AC405" s="3"/>
      <c r="AD405" s="3"/>
      <c r="AE405" s="3"/>
      <c r="AF405" s="3"/>
      <c r="AG405" s="18"/>
      <c r="AH405" s="18"/>
      <c r="AI405" s="4"/>
      <c r="AJ405" s="4"/>
      <c r="AK405" s="7"/>
      <c r="AL405" s="5"/>
      <c r="AM405" s="3"/>
      <c r="AN405" s="3"/>
      <c r="AO405" s="3"/>
      <c r="AP405" s="3"/>
      <c r="AQ405" s="3" t="s">
        <v>35</v>
      </c>
      <c r="AR405" s="18" t="s">
        <v>35</v>
      </c>
      <c r="AS405" s="18" t="s">
        <v>35</v>
      </c>
      <c r="AT405" s="4" t="s">
        <v>35</v>
      </c>
      <c r="AU405" s="4" t="s">
        <v>35</v>
      </c>
      <c r="AV405" s="7" t="s">
        <v>35</v>
      </c>
      <c r="AW405" s="5"/>
      <c r="AX405" s="3"/>
      <c r="AY405" s="3"/>
      <c r="AZ405" s="3"/>
      <c r="BA405" s="3"/>
      <c r="BB405" s="3"/>
      <c r="BC405" s="18"/>
      <c r="BD405" s="18"/>
      <c r="BE405" s="4"/>
      <c r="BF405" s="4"/>
      <c r="BG405" s="7"/>
      <c r="BH405" s="5"/>
      <c r="BI405" s="3"/>
      <c r="BJ405" s="3"/>
      <c r="BK405" s="3"/>
      <c r="BL405" s="3"/>
      <c r="BM405" s="3"/>
      <c r="BN405" s="18"/>
      <c r="BO405" s="18"/>
      <c r="BP405" s="4"/>
      <c r="BQ405" s="4"/>
      <c r="BR405" s="7"/>
      <c r="BS405" s="18"/>
    </row>
    <row r="406" spans="1:71" x14ac:dyDescent="0.25">
      <c r="A406" s="18">
        <v>401</v>
      </c>
      <c r="B406" s="18"/>
      <c r="C406" s="18"/>
      <c r="D406" s="21"/>
      <c r="E406" s="5"/>
      <c r="F406" s="3"/>
      <c r="G406" s="3"/>
      <c r="H406" s="3"/>
      <c r="I406" s="3"/>
      <c r="J406" s="3"/>
      <c r="K406" s="18"/>
      <c r="L406" s="18"/>
      <c r="M406" s="4"/>
      <c r="N406" s="4"/>
      <c r="O406" s="7"/>
      <c r="P406" s="5"/>
      <c r="Q406" s="3"/>
      <c r="R406" s="3"/>
      <c r="S406" s="3"/>
      <c r="T406" s="3"/>
      <c r="U406" s="3" t="s">
        <v>35</v>
      </c>
      <c r="V406" s="18" t="s">
        <v>35</v>
      </c>
      <c r="W406" s="18" t="s">
        <v>35</v>
      </c>
      <c r="X406" s="4" t="s">
        <v>35</v>
      </c>
      <c r="Y406" s="4" t="s">
        <v>35</v>
      </c>
      <c r="Z406" s="7" t="s">
        <v>35</v>
      </c>
      <c r="AA406" s="5"/>
      <c r="AB406" s="3"/>
      <c r="AC406" s="3"/>
      <c r="AD406" s="3"/>
      <c r="AE406" s="3"/>
      <c r="AF406" s="3"/>
      <c r="AG406" s="18"/>
      <c r="AH406" s="18"/>
      <c r="AI406" s="4"/>
      <c r="AJ406" s="4"/>
      <c r="AK406" s="7"/>
      <c r="AL406" s="5"/>
      <c r="AM406" s="3"/>
      <c r="AN406" s="3"/>
      <c r="AO406" s="3"/>
      <c r="AP406" s="3"/>
      <c r="AQ406" s="3" t="s">
        <v>35</v>
      </c>
      <c r="AR406" s="18" t="s">
        <v>35</v>
      </c>
      <c r="AS406" s="18" t="s">
        <v>35</v>
      </c>
      <c r="AT406" s="4" t="s">
        <v>35</v>
      </c>
      <c r="AU406" s="4" t="s">
        <v>35</v>
      </c>
      <c r="AV406" s="7" t="s">
        <v>35</v>
      </c>
      <c r="AW406" s="5"/>
      <c r="AX406" s="3"/>
      <c r="AY406" s="3"/>
      <c r="AZ406" s="3"/>
      <c r="BA406" s="3"/>
      <c r="BB406" s="3"/>
      <c r="BC406" s="18"/>
      <c r="BD406" s="18"/>
      <c r="BE406" s="4"/>
      <c r="BF406" s="4"/>
      <c r="BG406" s="7"/>
      <c r="BH406" s="5"/>
      <c r="BI406" s="3"/>
      <c r="BJ406" s="3"/>
      <c r="BK406" s="3"/>
      <c r="BL406" s="3"/>
      <c r="BM406" s="3"/>
      <c r="BN406" s="18"/>
      <c r="BO406" s="18"/>
      <c r="BP406" s="4"/>
      <c r="BQ406" s="4"/>
      <c r="BR406" s="7"/>
      <c r="BS406" s="18"/>
    </row>
    <row r="407" spans="1:71" x14ac:dyDescent="0.25">
      <c r="A407" s="18">
        <v>402</v>
      </c>
      <c r="B407" s="18"/>
      <c r="C407" s="18"/>
      <c r="D407" s="21"/>
      <c r="E407" s="5"/>
      <c r="F407" s="3"/>
      <c r="G407" s="3"/>
      <c r="H407" s="3"/>
      <c r="I407" s="3"/>
      <c r="J407" s="3"/>
      <c r="K407" s="18"/>
      <c r="L407" s="18"/>
      <c r="M407" s="4"/>
      <c r="N407" s="4"/>
      <c r="O407" s="7"/>
      <c r="P407" s="5"/>
      <c r="Q407" s="3"/>
      <c r="R407" s="3"/>
      <c r="S407" s="3"/>
      <c r="T407" s="3"/>
      <c r="U407" s="3" t="s">
        <v>35</v>
      </c>
      <c r="V407" s="18" t="s">
        <v>35</v>
      </c>
      <c r="W407" s="18" t="s">
        <v>35</v>
      </c>
      <c r="X407" s="4" t="s">
        <v>35</v>
      </c>
      <c r="Y407" s="4" t="s">
        <v>35</v>
      </c>
      <c r="Z407" s="7" t="s">
        <v>35</v>
      </c>
      <c r="AA407" s="5"/>
      <c r="AB407" s="3"/>
      <c r="AC407" s="3"/>
      <c r="AD407" s="3"/>
      <c r="AE407" s="3"/>
      <c r="AF407" s="3"/>
      <c r="AG407" s="18"/>
      <c r="AH407" s="18"/>
      <c r="AI407" s="4"/>
      <c r="AJ407" s="4"/>
      <c r="AK407" s="7"/>
      <c r="AL407" s="5"/>
      <c r="AM407" s="3"/>
      <c r="AN407" s="3"/>
      <c r="AO407" s="3"/>
      <c r="AP407" s="3"/>
      <c r="AQ407" s="3" t="s">
        <v>35</v>
      </c>
      <c r="AR407" s="18" t="s">
        <v>35</v>
      </c>
      <c r="AS407" s="18" t="s">
        <v>35</v>
      </c>
      <c r="AT407" s="4" t="s">
        <v>35</v>
      </c>
      <c r="AU407" s="4" t="s">
        <v>35</v>
      </c>
      <c r="AV407" s="7" t="s">
        <v>35</v>
      </c>
      <c r="AW407" s="5"/>
      <c r="AX407" s="3"/>
      <c r="AY407" s="3"/>
      <c r="AZ407" s="3"/>
      <c r="BA407" s="3"/>
      <c r="BB407" s="3"/>
      <c r="BC407" s="18"/>
      <c r="BD407" s="18"/>
      <c r="BE407" s="4"/>
      <c r="BF407" s="4"/>
      <c r="BG407" s="7"/>
      <c r="BH407" s="5"/>
      <c r="BI407" s="3"/>
      <c r="BJ407" s="3"/>
      <c r="BK407" s="3"/>
      <c r="BL407" s="3"/>
      <c r="BM407" s="3"/>
      <c r="BN407" s="18"/>
      <c r="BO407" s="18"/>
      <c r="BP407" s="4"/>
      <c r="BQ407" s="4"/>
      <c r="BR407" s="7"/>
      <c r="BS407" s="18"/>
    </row>
    <row r="408" spans="1:71" x14ac:dyDescent="0.25">
      <c r="A408" s="18">
        <v>403</v>
      </c>
      <c r="B408" s="18"/>
      <c r="C408" s="18"/>
      <c r="D408" s="21"/>
      <c r="E408" s="5"/>
      <c r="F408" s="3"/>
      <c r="G408" s="3"/>
      <c r="H408" s="3"/>
      <c r="I408" s="3"/>
      <c r="J408" s="3"/>
      <c r="K408" s="18"/>
      <c r="L408" s="18"/>
      <c r="M408" s="4"/>
      <c r="N408" s="4"/>
      <c r="O408" s="7"/>
      <c r="P408" s="5"/>
      <c r="Q408" s="3"/>
      <c r="R408" s="3"/>
      <c r="S408" s="3"/>
      <c r="T408" s="3"/>
      <c r="U408" s="3" t="s">
        <v>35</v>
      </c>
      <c r="V408" s="18" t="s">
        <v>35</v>
      </c>
      <c r="W408" s="18" t="s">
        <v>35</v>
      </c>
      <c r="X408" s="4" t="s">
        <v>35</v>
      </c>
      <c r="Y408" s="4" t="s">
        <v>35</v>
      </c>
      <c r="Z408" s="7" t="s">
        <v>35</v>
      </c>
      <c r="AA408" s="5"/>
      <c r="AB408" s="3"/>
      <c r="AC408" s="3"/>
      <c r="AD408" s="3"/>
      <c r="AE408" s="3"/>
      <c r="AF408" s="3"/>
      <c r="AG408" s="18"/>
      <c r="AH408" s="18"/>
      <c r="AI408" s="4"/>
      <c r="AJ408" s="4"/>
      <c r="AK408" s="7"/>
      <c r="AL408" s="5"/>
      <c r="AM408" s="3"/>
      <c r="AN408" s="3"/>
      <c r="AO408" s="3"/>
      <c r="AP408" s="3"/>
      <c r="AQ408" s="3" t="s">
        <v>35</v>
      </c>
      <c r="AR408" s="18" t="s">
        <v>35</v>
      </c>
      <c r="AS408" s="18" t="s">
        <v>35</v>
      </c>
      <c r="AT408" s="4" t="s">
        <v>35</v>
      </c>
      <c r="AU408" s="4" t="s">
        <v>35</v>
      </c>
      <c r="AV408" s="7" t="s">
        <v>35</v>
      </c>
      <c r="AW408" s="5"/>
      <c r="AX408" s="3"/>
      <c r="AY408" s="3"/>
      <c r="AZ408" s="3"/>
      <c r="BA408" s="3"/>
      <c r="BB408" s="3"/>
      <c r="BC408" s="18"/>
      <c r="BD408" s="18"/>
      <c r="BE408" s="4"/>
      <c r="BF408" s="4"/>
      <c r="BG408" s="7"/>
      <c r="BH408" s="5"/>
      <c r="BI408" s="3"/>
      <c r="BJ408" s="3"/>
      <c r="BK408" s="3"/>
      <c r="BL408" s="3"/>
      <c r="BM408" s="3"/>
      <c r="BN408" s="18"/>
      <c r="BO408" s="18"/>
      <c r="BP408" s="4"/>
      <c r="BQ408" s="4"/>
      <c r="BR408" s="7"/>
      <c r="BS408" s="18"/>
    </row>
    <row r="409" spans="1:71" x14ac:dyDescent="0.25">
      <c r="A409" s="18">
        <v>404</v>
      </c>
      <c r="B409" s="18"/>
      <c r="C409" s="18"/>
      <c r="D409" s="21"/>
      <c r="E409" s="5"/>
      <c r="F409" s="3"/>
      <c r="G409" s="3"/>
      <c r="H409" s="3"/>
      <c r="I409" s="3"/>
      <c r="J409" s="3"/>
      <c r="K409" s="18"/>
      <c r="L409" s="18"/>
      <c r="M409" s="4"/>
      <c r="N409" s="4"/>
      <c r="O409" s="7"/>
      <c r="P409" s="5"/>
      <c r="Q409" s="3"/>
      <c r="R409" s="3"/>
      <c r="S409" s="3"/>
      <c r="T409" s="3"/>
      <c r="U409" s="3" t="s">
        <v>35</v>
      </c>
      <c r="V409" s="18" t="s">
        <v>35</v>
      </c>
      <c r="W409" s="18" t="s">
        <v>35</v>
      </c>
      <c r="X409" s="4" t="s">
        <v>35</v>
      </c>
      <c r="Y409" s="4" t="s">
        <v>35</v>
      </c>
      <c r="Z409" s="7" t="s">
        <v>35</v>
      </c>
      <c r="AA409" s="5"/>
      <c r="AB409" s="3"/>
      <c r="AC409" s="3"/>
      <c r="AD409" s="3"/>
      <c r="AE409" s="3"/>
      <c r="AF409" s="3"/>
      <c r="AG409" s="18"/>
      <c r="AH409" s="18"/>
      <c r="AI409" s="4"/>
      <c r="AJ409" s="4"/>
      <c r="AK409" s="7"/>
      <c r="AL409" s="5"/>
      <c r="AM409" s="3"/>
      <c r="AN409" s="3"/>
      <c r="AO409" s="3"/>
      <c r="AP409" s="3"/>
      <c r="AQ409" s="3" t="s">
        <v>35</v>
      </c>
      <c r="AR409" s="18" t="s">
        <v>35</v>
      </c>
      <c r="AS409" s="18" t="s">
        <v>35</v>
      </c>
      <c r="AT409" s="4" t="s">
        <v>35</v>
      </c>
      <c r="AU409" s="4" t="s">
        <v>35</v>
      </c>
      <c r="AV409" s="7" t="s">
        <v>35</v>
      </c>
      <c r="AW409" s="5"/>
      <c r="AX409" s="3"/>
      <c r="AY409" s="3"/>
      <c r="AZ409" s="3"/>
      <c r="BA409" s="3"/>
      <c r="BB409" s="3"/>
      <c r="BC409" s="18"/>
      <c r="BD409" s="18"/>
      <c r="BE409" s="4"/>
      <c r="BF409" s="4"/>
      <c r="BG409" s="7"/>
      <c r="BH409" s="5"/>
      <c r="BI409" s="3"/>
      <c r="BJ409" s="3"/>
      <c r="BK409" s="3"/>
      <c r="BL409" s="3"/>
      <c r="BM409" s="3"/>
      <c r="BN409" s="18"/>
      <c r="BO409" s="18"/>
      <c r="BP409" s="4"/>
      <c r="BQ409" s="4"/>
      <c r="BR409" s="7"/>
      <c r="BS409" s="18"/>
    </row>
    <row r="410" spans="1:71" x14ac:dyDescent="0.25">
      <c r="A410" s="1">
        <v>405</v>
      </c>
      <c r="B410" s="18"/>
      <c r="C410" s="18"/>
      <c r="D410" s="21"/>
      <c r="E410" s="5"/>
      <c r="F410" s="3"/>
      <c r="G410" s="3"/>
      <c r="H410" s="3"/>
      <c r="I410" s="3"/>
      <c r="J410" s="3"/>
      <c r="K410" s="18"/>
      <c r="L410" s="18"/>
      <c r="M410" s="4"/>
      <c r="N410" s="4"/>
      <c r="O410" s="7"/>
      <c r="P410" s="5"/>
      <c r="Q410" s="3"/>
      <c r="R410" s="3"/>
      <c r="S410" s="3"/>
      <c r="T410" s="3"/>
      <c r="U410" s="3" t="s">
        <v>35</v>
      </c>
      <c r="V410" s="18" t="s">
        <v>35</v>
      </c>
      <c r="W410" s="18" t="s">
        <v>35</v>
      </c>
      <c r="X410" s="4" t="s">
        <v>35</v>
      </c>
      <c r="Y410" s="4" t="s">
        <v>35</v>
      </c>
      <c r="Z410" s="7" t="s">
        <v>35</v>
      </c>
      <c r="AA410" s="5"/>
      <c r="AB410" s="3"/>
      <c r="AC410" s="3"/>
      <c r="AD410" s="3"/>
      <c r="AE410" s="3"/>
      <c r="AF410" s="3"/>
      <c r="AG410" s="18"/>
      <c r="AH410" s="18"/>
      <c r="AI410" s="4"/>
      <c r="AJ410" s="4"/>
      <c r="AK410" s="7"/>
      <c r="AL410" s="5"/>
      <c r="AM410" s="3"/>
      <c r="AN410" s="3"/>
      <c r="AO410" s="3"/>
      <c r="AP410" s="3"/>
      <c r="AQ410" s="3" t="s">
        <v>35</v>
      </c>
      <c r="AR410" s="18" t="s">
        <v>35</v>
      </c>
      <c r="AS410" s="18" t="s">
        <v>35</v>
      </c>
      <c r="AT410" s="4" t="s">
        <v>35</v>
      </c>
      <c r="AU410" s="4" t="s">
        <v>35</v>
      </c>
      <c r="AV410" s="7" t="s">
        <v>35</v>
      </c>
      <c r="AW410" s="5"/>
      <c r="AX410" s="3"/>
      <c r="AY410" s="3"/>
      <c r="AZ410" s="3"/>
      <c r="BA410" s="3"/>
      <c r="BB410" s="3"/>
      <c r="BC410" s="18"/>
      <c r="BD410" s="18"/>
      <c r="BE410" s="4"/>
      <c r="BF410" s="4"/>
      <c r="BG410" s="7"/>
      <c r="BH410" s="5"/>
      <c r="BI410" s="3"/>
      <c r="BJ410" s="3"/>
      <c r="BK410" s="3"/>
      <c r="BL410" s="3"/>
      <c r="BM410" s="3"/>
      <c r="BN410" s="18"/>
      <c r="BO410" s="18"/>
      <c r="BP410" s="4"/>
      <c r="BQ410" s="4"/>
      <c r="BR410" s="7"/>
      <c r="BS410" s="18"/>
    </row>
    <row r="411" spans="1:71" x14ac:dyDescent="0.25">
      <c r="A411" s="18">
        <v>406</v>
      </c>
      <c r="B411" s="18"/>
      <c r="C411" s="18"/>
      <c r="D411" s="21"/>
      <c r="E411" s="5"/>
      <c r="F411" s="3"/>
      <c r="G411" s="3"/>
      <c r="H411" s="3"/>
      <c r="I411" s="3"/>
      <c r="J411" s="3"/>
      <c r="K411" s="18"/>
      <c r="L411" s="18"/>
      <c r="M411" s="4"/>
      <c r="N411" s="4"/>
      <c r="O411" s="7"/>
      <c r="P411" s="5"/>
      <c r="Q411" s="3"/>
      <c r="R411" s="3"/>
      <c r="S411" s="3"/>
      <c r="T411" s="3"/>
      <c r="U411" s="3" t="s">
        <v>35</v>
      </c>
      <c r="V411" s="18" t="s">
        <v>35</v>
      </c>
      <c r="W411" s="18" t="s">
        <v>35</v>
      </c>
      <c r="X411" s="4" t="s">
        <v>35</v>
      </c>
      <c r="Y411" s="4" t="s">
        <v>35</v>
      </c>
      <c r="Z411" s="7" t="s">
        <v>35</v>
      </c>
      <c r="AA411" s="5"/>
      <c r="AB411" s="3"/>
      <c r="AC411" s="3"/>
      <c r="AD411" s="3"/>
      <c r="AE411" s="3"/>
      <c r="AF411" s="3"/>
      <c r="AG411" s="18"/>
      <c r="AH411" s="18"/>
      <c r="AI411" s="4"/>
      <c r="AJ411" s="4"/>
      <c r="AK411" s="7"/>
      <c r="AL411" s="5"/>
      <c r="AM411" s="3"/>
      <c r="AN411" s="3"/>
      <c r="AO411" s="3"/>
      <c r="AP411" s="3"/>
      <c r="AQ411" s="3" t="s">
        <v>35</v>
      </c>
      <c r="AR411" s="18" t="s">
        <v>35</v>
      </c>
      <c r="AS411" s="18" t="s">
        <v>35</v>
      </c>
      <c r="AT411" s="4" t="s">
        <v>35</v>
      </c>
      <c r="AU411" s="4" t="s">
        <v>35</v>
      </c>
      <c r="AV411" s="7" t="s">
        <v>35</v>
      </c>
      <c r="AW411" s="5"/>
      <c r="AX411" s="3"/>
      <c r="AY411" s="3"/>
      <c r="AZ411" s="3"/>
      <c r="BA411" s="3"/>
      <c r="BB411" s="3"/>
      <c r="BC411" s="18"/>
      <c r="BD411" s="18"/>
      <c r="BE411" s="4"/>
      <c r="BF411" s="4"/>
      <c r="BG411" s="7"/>
      <c r="BH411" s="5"/>
      <c r="BI411" s="3"/>
      <c r="BJ411" s="3"/>
      <c r="BK411" s="3"/>
      <c r="BL411" s="3"/>
      <c r="BM411" s="3"/>
      <c r="BN411" s="18"/>
      <c r="BO411" s="18"/>
      <c r="BP411" s="4"/>
      <c r="BQ411" s="4"/>
      <c r="BR411" s="7"/>
      <c r="BS411" s="18"/>
    </row>
    <row r="412" spans="1:71" x14ac:dyDescent="0.25">
      <c r="A412" s="18">
        <v>407</v>
      </c>
      <c r="B412" s="18"/>
      <c r="C412" s="18"/>
      <c r="D412" s="21"/>
      <c r="E412" s="5"/>
      <c r="F412" s="3"/>
      <c r="G412" s="3"/>
      <c r="H412" s="3"/>
      <c r="I412" s="3"/>
      <c r="J412" s="3"/>
      <c r="K412" s="18"/>
      <c r="L412" s="18"/>
      <c r="M412" s="4"/>
      <c r="N412" s="4"/>
      <c r="O412" s="7"/>
      <c r="P412" s="5"/>
      <c r="Q412" s="3"/>
      <c r="R412" s="3"/>
      <c r="S412" s="3"/>
      <c r="T412" s="3"/>
      <c r="U412" s="3" t="s">
        <v>35</v>
      </c>
      <c r="V412" s="18" t="s">
        <v>35</v>
      </c>
      <c r="W412" s="18" t="s">
        <v>35</v>
      </c>
      <c r="X412" s="4" t="s">
        <v>35</v>
      </c>
      <c r="Y412" s="4" t="s">
        <v>35</v>
      </c>
      <c r="Z412" s="7" t="s">
        <v>35</v>
      </c>
      <c r="AA412" s="5"/>
      <c r="AB412" s="3"/>
      <c r="AC412" s="3"/>
      <c r="AD412" s="3"/>
      <c r="AE412" s="3"/>
      <c r="AF412" s="3"/>
      <c r="AG412" s="18"/>
      <c r="AH412" s="18"/>
      <c r="AI412" s="4"/>
      <c r="AJ412" s="4"/>
      <c r="AK412" s="7"/>
      <c r="AL412" s="5"/>
      <c r="AM412" s="3"/>
      <c r="AN412" s="3"/>
      <c r="AO412" s="3"/>
      <c r="AP412" s="3"/>
      <c r="AQ412" s="3" t="s">
        <v>35</v>
      </c>
      <c r="AR412" s="18" t="s">
        <v>35</v>
      </c>
      <c r="AS412" s="18" t="s">
        <v>35</v>
      </c>
      <c r="AT412" s="4" t="s">
        <v>35</v>
      </c>
      <c r="AU412" s="4" t="s">
        <v>35</v>
      </c>
      <c r="AV412" s="7" t="s">
        <v>35</v>
      </c>
      <c r="AW412" s="5"/>
      <c r="AX412" s="3"/>
      <c r="AY412" s="3"/>
      <c r="AZ412" s="3"/>
      <c r="BA412" s="3"/>
      <c r="BB412" s="3"/>
      <c r="BC412" s="18"/>
      <c r="BD412" s="18"/>
      <c r="BE412" s="4"/>
      <c r="BF412" s="4"/>
      <c r="BG412" s="7"/>
      <c r="BH412" s="5"/>
      <c r="BI412" s="3"/>
      <c r="BJ412" s="3"/>
      <c r="BK412" s="3"/>
      <c r="BL412" s="3"/>
      <c r="BM412" s="3"/>
      <c r="BN412" s="18"/>
      <c r="BO412" s="18"/>
      <c r="BP412" s="4"/>
      <c r="BQ412" s="4"/>
      <c r="BR412" s="7"/>
      <c r="BS412" s="18"/>
    </row>
    <row r="413" spans="1:71" x14ac:dyDescent="0.25">
      <c r="A413" s="18">
        <v>408</v>
      </c>
      <c r="B413" s="18"/>
      <c r="C413" s="18"/>
      <c r="D413" s="21"/>
      <c r="E413" s="5"/>
      <c r="F413" s="3"/>
      <c r="G413" s="3"/>
      <c r="H413" s="3"/>
      <c r="I413" s="3"/>
      <c r="J413" s="3"/>
      <c r="K413" s="18"/>
      <c r="L413" s="18"/>
      <c r="M413" s="4"/>
      <c r="N413" s="4"/>
      <c r="O413" s="7"/>
      <c r="P413" s="5"/>
      <c r="Q413" s="3"/>
      <c r="R413" s="3"/>
      <c r="S413" s="3"/>
      <c r="T413" s="3"/>
      <c r="U413" s="3" t="s">
        <v>35</v>
      </c>
      <c r="V413" s="18" t="s">
        <v>35</v>
      </c>
      <c r="W413" s="18" t="s">
        <v>35</v>
      </c>
      <c r="X413" s="4" t="s">
        <v>35</v>
      </c>
      <c r="Y413" s="4" t="s">
        <v>35</v>
      </c>
      <c r="Z413" s="7" t="s">
        <v>35</v>
      </c>
      <c r="AA413" s="5"/>
      <c r="AB413" s="3"/>
      <c r="AC413" s="3"/>
      <c r="AD413" s="3"/>
      <c r="AE413" s="3"/>
      <c r="AF413" s="3"/>
      <c r="AG413" s="18"/>
      <c r="AH413" s="18"/>
      <c r="AI413" s="4"/>
      <c r="AJ413" s="4"/>
      <c r="AK413" s="7"/>
      <c r="AL413" s="5"/>
      <c r="AM413" s="3"/>
      <c r="AN413" s="3"/>
      <c r="AO413" s="3"/>
      <c r="AP413" s="3"/>
      <c r="AQ413" s="3" t="s">
        <v>35</v>
      </c>
      <c r="AR413" s="18" t="s">
        <v>35</v>
      </c>
      <c r="AS413" s="18" t="s">
        <v>35</v>
      </c>
      <c r="AT413" s="4" t="s">
        <v>35</v>
      </c>
      <c r="AU413" s="4" t="s">
        <v>35</v>
      </c>
      <c r="AV413" s="7" t="s">
        <v>35</v>
      </c>
      <c r="AW413" s="5"/>
      <c r="AX413" s="3"/>
      <c r="AY413" s="3"/>
      <c r="AZ413" s="3"/>
      <c r="BA413" s="3"/>
      <c r="BB413" s="3"/>
      <c r="BC413" s="18"/>
      <c r="BD413" s="18"/>
      <c r="BE413" s="4"/>
      <c r="BF413" s="4"/>
      <c r="BG413" s="7"/>
      <c r="BH413" s="5"/>
      <c r="BI413" s="3"/>
      <c r="BJ413" s="3"/>
      <c r="BK413" s="3"/>
      <c r="BL413" s="3"/>
      <c r="BM413" s="3"/>
      <c r="BN413" s="18"/>
      <c r="BO413" s="18"/>
      <c r="BP413" s="4"/>
      <c r="BQ413" s="4"/>
      <c r="BR413" s="7"/>
      <c r="BS413" s="18"/>
    </row>
    <row r="414" spans="1:71" x14ac:dyDescent="0.25">
      <c r="A414" s="18">
        <v>409</v>
      </c>
      <c r="B414" s="18"/>
      <c r="C414" s="18"/>
      <c r="D414" s="21"/>
      <c r="E414" s="5"/>
      <c r="F414" s="3"/>
      <c r="G414" s="3"/>
      <c r="H414" s="3"/>
      <c r="I414" s="3"/>
      <c r="J414" s="3"/>
      <c r="K414" s="18"/>
      <c r="L414" s="18"/>
      <c r="M414" s="4"/>
      <c r="N414" s="4"/>
      <c r="O414" s="7"/>
      <c r="P414" s="5"/>
      <c r="Q414" s="3"/>
      <c r="R414" s="3"/>
      <c r="S414" s="3"/>
      <c r="T414" s="3"/>
      <c r="U414" s="3" t="s">
        <v>35</v>
      </c>
      <c r="V414" s="18" t="s">
        <v>35</v>
      </c>
      <c r="W414" s="18" t="s">
        <v>35</v>
      </c>
      <c r="X414" s="4" t="s">
        <v>35</v>
      </c>
      <c r="Y414" s="4" t="s">
        <v>35</v>
      </c>
      <c r="Z414" s="7" t="s">
        <v>35</v>
      </c>
      <c r="AA414" s="5"/>
      <c r="AB414" s="3"/>
      <c r="AC414" s="3"/>
      <c r="AD414" s="3"/>
      <c r="AE414" s="3"/>
      <c r="AF414" s="3"/>
      <c r="AG414" s="18"/>
      <c r="AH414" s="18"/>
      <c r="AI414" s="4"/>
      <c r="AJ414" s="4"/>
      <c r="AK414" s="7"/>
      <c r="AL414" s="5"/>
      <c r="AM414" s="3"/>
      <c r="AN414" s="3"/>
      <c r="AO414" s="3"/>
      <c r="AP414" s="3"/>
      <c r="AQ414" s="3" t="s">
        <v>35</v>
      </c>
      <c r="AR414" s="18" t="s">
        <v>35</v>
      </c>
      <c r="AS414" s="18" t="s">
        <v>35</v>
      </c>
      <c r="AT414" s="4" t="s">
        <v>35</v>
      </c>
      <c r="AU414" s="4" t="s">
        <v>35</v>
      </c>
      <c r="AV414" s="7" t="s">
        <v>35</v>
      </c>
      <c r="AW414" s="5"/>
      <c r="AX414" s="3"/>
      <c r="AY414" s="3"/>
      <c r="AZ414" s="3"/>
      <c r="BA414" s="3"/>
      <c r="BB414" s="3"/>
      <c r="BC414" s="18"/>
      <c r="BD414" s="18"/>
      <c r="BE414" s="4"/>
      <c r="BF414" s="4"/>
      <c r="BG414" s="7"/>
      <c r="BH414" s="5"/>
      <c r="BI414" s="3"/>
      <c r="BJ414" s="3"/>
      <c r="BK414" s="3"/>
      <c r="BL414" s="3"/>
      <c r="BM414" s="3"/>
      <c r="BN414" s="18"/>
      <c r="BO414" s="18"/>
      <c r="BP414" s="4"/>
      <c r="BQ414" s="4"/>
      <c r="BR414" s="7"/>
      <c r="BS414" s="18"/>
    </row>
    <row r="415" spans="1:71" x14ac:dyDescent="0.25">
      <c r="A415" s="1">
        <v>410</v>
      </c>
      <c r="B415" s="18"/>
      <c r="C415" s="18"/>
      <c r="D415" s="21"/>
      <c r="E415" s="5"/>
      <c r="F415" s="3"/>
      <c r="G415" s="3"/>
      <c r="H415" s="3"/>
      <c r="I415" s="3"/>
      <c r="J415" s="3"/>
      <c r="K415" s="18"/>
      <c r="L415" s="18"/>
      <c r="M415" s="4"/>
      <c r="N415" s="4"/>
      <c r="O415" s="7"/>
      <c r="P415" s="5"/>
      <c r="Q415" s="3"/>
      <c r="R415" s="3"/>
      <c r="S415" s="3"/>
      <c r="T415" s="3"/>
      <c r="U415" s="3" t="s">
        <v>35</v>
      </c>
      <c r="V415" s="18" t="s">
        <v>35</v>
      </c>
      <c r="W415" s="18" t="s">
        <v>35</v>
      </c>
      <c r="X415" s="4" t="s">
        <v>35</v>
      </c>
      <c r="Y415" s="4" t="s">
        <v>35</v>
      </c>
      <c r="Z415" s="7" t="s">
        <v>35</v>
      </c>
      <c r="AA415" s="5"/>
      <c r="AB415" s="3"/>
      <c r="AC415" s="3"/>
      <c r="AD415" s="3"/>
      <c r="AE415" s="3"/>
      <c r="AF415" s="3"/>
      <c r="AG415" s="18"/>
      <c r="AH415" s="18"/>
      <c r="AI415" s="4"/>
      <c r="AJ415" s="4"/>
      <c r="AK415" s="7"/>
      <c r="AL415" s="5"/>
      <c r="AM415" s="3"/>
      <c r="AN415" s="3"/>
      <c r="AO415" s="3"/>
      <c r="AP415" s="3"/>
      <c r="AQ415" s="3" t="s">
        <v>35</v>
      </c>
      <c r="AR415" s="18" t="s">
        <v>35</v>
      </c>
      <c r="AS415" s="18" t="s">
        <v>35</v>
      </c>
      <c r="AT415" s="4" t="s">
        <v>35</v>
      </c>
      <c r="AU415" s="4" t="s">
        <v>35</v>
      </c>
      <c r="AV415" s="7" t="s">
        <v>35</v>
      </c>
      <c r="AW415" s="5"/>
      <c r="AX415" s="3"/>
      <c r="AY415" s="3"/>
      <c r="AZ415" s="3"/>
      <c r="BA415" s="3"/>
      <c r="BB415" s="3"/>
      <c r="BC415" s="18"/>
      <c r="BD415" s="18"/>
      <c r="BE415" s="4"/>
      <c r="BF415" s="4"/>
      <c r="BG415" s="7"/>
      <c r="BH415" s="5"/>
      <c r="BI415" s="3"/>
      <c r="BJ415" s="3"/>
      <c r="BK415" s="3"/>
      <c r="BL415" s="3"/>
      <c r="BM415" s="3"/>
      <c r="BN415" s="18"/>
      <c r="BO415" s="18"/>
      <c r="BP415" s="4"/>
      <c r="BQ415" s="4"/>
      <c r="BR415" s="7"/>
      <c r="BS415" s="18"/>
    </row>
    <row r="416" spans="1:71" x14ac:dyDescent="0.25">
      <c r="A416" s="18">
        <v>411</v>
      </c>
      <c r="B416" s="18"/>
      <c r="C416" s="18"/>
      <c r="D416" s="21"/>
      <c r="E416" s="5"/>
      <c r="F416" s="3"/>
      <c r="G416" s="3"/>
      <c r="H416" s="3"/>
      <c r="I416" s="3"/>
      <c r="J416" s="3"/>
      <c r="K416" s="18"/>
      <c r="L416" s="18"/>
      <c r="M416" s="4"/>
      <c r="N416" s="4"/>
      <c r="O416" s="7"/>
      <c r="P416" s="5"/>
      <c r="Q416" s="3"/>
      <c r="R416" s="3"/>
      <c r="S416" s="3"/>
      <c r="T416" s="3"/>
      <c r="U416" s="3" t="s">
        <v>35</v>
      </c>
      <c r="V416" s="18" t="s">
        <v>35</v>
      </c>
      <c r="W416" s="18" t="s">
        <v>35</v>
      </c>
      <c r="X416" s="4" t="s">
        <v>35</v>
      </c>
      <c r="Y416" s="4" t="s">
        <v>35</v>
      </c>
      <c r="Z416" s="7" t="s">
        <v>35</v>
      </c>
      <c r="AA416" s="5"/>
      <c r="AB416" s="3"/>
      <c r="AC416" s="3"/>
      <c r="AD416" s="3"/>
      <c r="AE416" s="3"/>
      <c r="AF416" s="3"/>
      <c r="AG416" s="18"/>
      <c r="AH416" s="18"/>
      <c r="AI416" s="4"/>
      <c r="AJ416" s="4"/>
      <c r="AK416" s="7"/>
      <c r="AL416" s="5"/>
      <c r="AM416" s="3"/>
      <c r="AN416" s="3"/>
      <c r="AO416" s="3"/>
      <c r="AP416" s="3"/>
      <c r="AQ416" s="3" t="s">
        <v>35</v>
      </c>
      <c r="AR416" s="18" t="s">
        <v>35</v>
      </c>
      <c r="AS416" s="18" t="s">
        <v>35</v>
      </c>
      <c r="AT416" s="4" t="s">
        <v>35</v>
      </c>
      <c r="AU416" s="4" t="s">
        <v>35</v>
      </c>
      <c r="AV416" s="7" t="s">
        <v>35</v>
      </c>
      <c r="AW416" s="5"/>
      <c r="AX416" s="3"/>
      <c r="AY416" s="3"/>
      <c r="AZ416" s="3"/>
      <c r="BA416" s="3"/>
      <c r="BB416" s="3"/>
      <c r="BC416" s="18"/>
      <c r="BD416" s="18"/>
      <c r="BE416" s="4"/>
      <c r="BF416" s="4"/>
      <c r="BG416" s="7"/>
      <c r="BH416" s="5"/>
      <c r="BI416" s="3"/>
      <c r="BJ416" s="3"/>
      <c r="BK416" s="3"/>
      <c r="BL416" s="3"/>
      <c r="BM416" s="3"/>
      <c r="BN416" s="18"/>
      <c r="BO416" s="18"/>
      <c r="BP416" s="4"/>
      <c r="BQ416" s="4"/>
      <c r="BR416" s="7"/>
      <c r="BS416" s="18"/>
    </row>
    <row r="417" spans="1:71" x14ac:dyDescent="0.25">
      <c r="A417" s="18">
        <v>412</v>
      </c>
      <c r="B417" s="18"/>
      <c r="C417" s="18"/>
      <c r="D417" s="21"/>
      <c r="E417" s="5"/>
      <c r="F417" s="3"/>
      <c r="G417" s="3"/>
      <c r="H417" s="3"/>
      <c r="I417" s="3"/>
      <c r="J417" s="3"/>
      <c r="K417" s="18"/>
      <c r="L417" s="18"/>
      <c r="M417" s="4"/>
      <c r="N417" s="4"/>
      <c r="O417" s="7"/>
      <c r="P417" s="5"/>
      <c r="Q417" s="3"/>
      <c r="R417" s="3"/>
      <c r="S417" s="3"/>
      <c r="T417" s="3"/>
      <c r="U417" s="3" t="s">
        <v>35</v>
      </c>
      <c r="V417" s="18" t="s">
        <v>35</v>
      </c>
      <c r="W417" s="18" t="s">
        <v>35</v>
      </c>
      <c r="X417" s="4" t="s">
        <v>35</v>
      </c>
      <c r="Y417" s="4" t="s">
        <v>35</v>
      </c>
      <c r="Z417" s="7" t="s">
        <v>35</v>
      </c>
      <c r="AA417" s="5"/>
      <c r="AB417" s="3"/>
      <c r="AC417" s="3"/>
      <c r="AD417" s="3"/>
      <c r="AE417" s="3"/>
      <c r="AF417" s="3"/>
      <c r="AG417" s="18"/>
      <c r="AH417" s="18"/>
      <c r="AI417" s="4"/>
      <c r="AJ417" s="4"/>
      <c r="AK417" s="7"/>
      <c r="AL417" s="5"/>
      <c r="AM417" s="3"/>
      <c r="AN417" s="3"/>
      <c r="AO417" s="3"/>
      <c r="AP417" s="3"/>
      <c r="AQ417" s="3" t="s">
        <v>35</v>
      </c>
      <c r="AR417" s="18" t="s">
        <v>35</v>
      </c>
      <c r="AS417" s="18" t="s">
        <v>35</v>
      </c>
      <c r="AT417" s="4" t="s">
        <v>35</v>
      </c>
      <c r="AU417" s="4" t="s">
        <v>35</v>
      </c>
      <c r="AV417" s="7" t="s">
        <v>35</v>
      </c>
      <c r="AW417" s="5"/>
      <c r="AX417" s="3"/>
      <c r="AY417" s="3"/>
      <c r="AZ417" s="3"/>
      <c r="BA417" s="3"/>
      <c r="BB417" s="3"/>
      <c r="BC417" s="18"/>
      <c r="BD417" s="18"/>
      <c r="BE417" s="4"/>
      <c r="BF417" s="4"/>
      <c r="BG417" s="7"/>
      <c r="BH417" s="5"/>
      <c r="BI417" s="3"/>
      <c r="BJ417" s="3"/>
      <c r="BK417" s="3"/>
      <c r="BL417" s="3"/>
      <c r="BM417" s="3"/>
      <c r="BN417" s="18"/>
      <c r="BO417" s="18"/>
      <c r="BP417" s="4"/>
      <c r="BQ417" s="4"/>
      <c r="BR417" s="7"/>
      <c r="BS417" s="18"/>
    </row>
    <row r="418" spans="1:71" x14ac:dyDescent="0.25">
      <c r="A418" s="18">
        <v>413</v>
      </c>
      <c r="B418" s="18"/>
      <c r="C418" s="18"/>
      <c r="D418" s="21"/>
      <c r="E418" s="5"/>
      <c r="F418" s="3"/>
      <c r="G418" s="3"/>
      <c r="H418" s="3"/>
      <c r="I418" s="3"/>
      <c r="J418" s="3"/>
      <c r="K418" s="18"/>
      <c r="L418" s="18"/>
      <c r="M418" s="4"/>
      <c r="N418" s="4"/>
      <c r="O418" s="7"/>
      <c r="P418" s="5"/>
      <c r="Q418" s="3"/>
      <c r="R418" s="3"/>
      <c r="S418" s="3"/>
      <c r="T418" s="3"/>
      <c r="U418" s="3" t="s">
        <v>35</v>
      </c>
      <c r="V418" s="18" t="s">
        <v>35</v>
      </c>
      <c r="W418" s="18" t="s">
        <v>35</v>
      </c>
      <c r="X418" s="4" t="s">
        <v>35</v>
      </c>
      <c r="Y418" s="4" t="s">
        <v>35</v>
      </c>
      <c r="Z418" s="7" t="s">
        <v>35</v>
      </c>
      <c r="AA418" s="5"/>
      <c r="AB418" s="3"/>
      <c r="AC418" s="3"/>
      <c r="AD418" s="3"/>
      <c r="AE418" s="3"/>
      <c r="AF418" s="3"/>
      <c r="AG418" s="18"/>
      <c r="AH418" s="18"/>
      <c r="AI418" s="4"/>
      <c r="AJ418" s="4"/>
      <c r="AK418" s="7"/>
      <c r="AL418" s="5"/>
      <c r="AM418" s="3"/>
      <c r="AN418" s="3"/>
      <c r="AO418" s="3"/>
      <c r="AP418" s="3"/>
      <c r="AQ418" s="3" t="s">
        <v>35</v>
      </c>
      <c r="AR418" s="18" t="s">
        <v>35</v>
      </c>
      <c r="AS418" s="18" t="s">
        <v>35</v>
      </c>
      <c r="AT418" s="4" t="s">
        <v>35</v>
      </c>
      <c r="AU418" s="4" t="s">
        <v>35</v>
      </c>
      <c r="AV418" s="7" t="s">
        <v>35</v>
      </c>
      <c r="AW418" s="5"/>
      <c r="AX418" s="3"/>
      <c r="AY418" s="3"/>
      <c r="AZ418" s="3"/>
      <c r="BA418" s="3"/>
      <c r="BB418" s="3"/>
      <c r="BC418" s="18"/>
      <c r="BD418" s="18"/>
      <c r="BE418" s="4"/>
      <c r="BF418" s="4"/>
      <c r="BG418" s="7"/>
      <c r="BH418" s="5"/>
      <c r="BI418" s="3"/>
      <c r="BJ418" s="3"/>
      <c r="BK418" s="3"/>
      <c r="BL418" s="3"/>
      <c r="BM418" s="3"/>
      <c r="BN418" s="18"/>
      <c r="BO418" s="18"/>
      <c r="BP418" s="4"/>
      <c r="BQ418" s="4"/>
      <c r="BR418" s="7"/>
      <c r="BS418" s="18"/>
    </row>
    <row r="419" spans="1:71" x14ac:dyDescent="0.25">
      <c r="A419" s="18">
        <v>414</v>
      </c>
      <c r="B419" s="18"/>
      <c r="C419" s="18"/>
      <c r="D419" s="21"/>
      <c r="E419" s="5"/>
      <c r="F419" s="3"/>
      <c r="G419" s="3"/>
      <c r="H419" s="3"/>
      <c r="I419" s="3"/>
      <c r="J419" s="3"/>
      <c r="K419" s="18"/>
      <c r="L419" s="18"/>
      <c r="M419" s="4"/>
      <c r="N419" s="4"/>
      <c r="O419" s="7"/>
      <c r="P419" s="5"/>
      <c r="Q419" s="3"/>
      <c r="R419" s="3"/>
      <c r="S419" s="3"/>
      <c r="T419" s="3"/>
      <c r="U419" s="3" t="s">
        <v>35</v>
      </c>
      <c r="V419" s="18" t="s">
        <v>35</v>
      </c>
      <c r="W419" s="18" t="s">
        <v>35</v>
      </c>
      <c r="X419" s="4" t="s">
        <v>35</v>
      </c>
      <c r="Y419" s="4" t="s">
        <v>35</v>
      </c>
      <c r="Z419" s="7" t="s">
        <v>35</v>
      </c>
      <c r="AA419" s="5"/>
      <c r="AB419" s="3"/>
      <c r="AC419" s="3"/>
      <c r="AD419" s="3"/>
      <c r="AE419" s="3"/>
      <c r="AF419" s="3"/>
      <c r="AG419" s="18"/>
      <c r="AH419" s="18"/>
      <c r="AI419" s="4"/>
      <c r="AJ419" s="4"/>
      <c r="AK419" s="7"/>
      <c r="AL419" s="5"/>
      <c r="AM419" s="3"/>
      <c r="AN419" s="3"/>
      <c r="AO419" s="3"/>
      <c r="AP419" s="3"/>
      <c r="AQ419" s="3" t="s">
        <v>35</v>
      </c>
      <c r="AR419" s="18" t="s">
        <v>35</v>
      </c>
      <c r="AS419" s="18" t="s">
        <v>35</v>
      </c>
      <c r="AT419" s="4" t="s">
        <v>35</v>
      </c>
      <c r="AU419" s="4" t="s">
        <v>35</v>
      </c>
      <c r="AV419" s="7" t="s">
        <v>35</v>
      </c>
      <c r="AW419" s="5"/>
      <c r="AX419" s="3"/>
      <c r="AY419" s="3"/>
      <c r="AZ419" s="3"/>
      <c r="BA419" s="3"/>
      <c r="BB419" s="3"/>
      <c r="BC419" s="18"/>
      <c r="BD419" s="18"/>
      <c r="BE419" s="4"/>
      <c r="BF419" s="4"/>
      <c r="BG419" s="7"/>
      <c r="BH419" s="5"/>
      <c r="BI419" s="3"/>
      <c r="BJ419" s="3"/>
      <c r="BK419" s="3"/>
      <c r="BL419" s="3"/>
      <c r="BM419" s="3"/>
      <c r="BN419" s="18"/>
      <c r="BO419" s="18"/>
      <c r="BP419" s="4"/>
      <c r="BQ419" s="4"/>
      <c r="BR419" s="7"/>
      <c r="BS419" s="18"/>
    </row>
    <row r="420" spans="1:71" x14ac:dyDescent="0.25">
      <c r="A420" s="1">
        <v>415</v>
      </c>
      <c r="B420" s="18"/>
      <c r="C420" s="18"/>
      <c r="D420" s="21"/>
      <c r="E420" s="5"/>
      <c r="F420" s="3"/>
      <c r="G420" s="3"/>
      <c r="H420" s="3"/>
      <c r="I420" s="3"/>
      <c r="J420" s="3"/>
      <c r="K420" s="18"/>
      <c r="L420" s="18"/>
      <c r="M420" s="4"/>
      <c r="N420" s="4"/>
      <c r="O420" s="7"/>
      <c r="P420" s="5"/>
      <c r="Q420" s="3"/>
      <c r="R420" s="3"/>
      <c r="S420" s="3"/>
      <c r="T420" s="3"/>
      <c r="U420" s="3" t="s">
        <v>35</v>
      </c>
      <c r="V420" s="18" t="s">
        <v>35</v>
      </c>
      <c r="W420" s="18" t="s">
        <v>35</v>
      </c>
      <c r="X420" s="4" t="s">
        <v>35</v>
      </c>
      <c r="Y420" s="4" t="s">
        <v>35</v>
      </c>
      <c r="Z420" s="7" t="s">
        <v>35</v>
      </c>
      <c r="AA420" s="5"/>
      <c r="AB420" s="3"/>
      <c r="AC420" s="3"/>
      <c r="AD420" s="3"/>
      <c r="AE420" s="3"/>
      <c r="AF420" s="3"/>
      <c r="AG420" s="18"/>
      <c r="AH420" s="18"/>
      <c r="AI420" s="4"/>
      <c r="AJ420" s="4"/>
      <c r="AK420" s="7"/>
      <c r="AL420" s="5"/>
      <c r="AM420" s="3"/>
      <c r="AN420" s="3"/>
      <c r="AO420" s="3"/>
      <c r="AP420" s="3"/>
      <c r="AQ420" s="3" t="s">
        <v>35</v>
      </c>
      <c r="AR420" s="18" t="s">
        <v>35</v>
      </c>
      <c r="AS420" s="18" t="s">
        <v>35</v>
      </c>
      <c r="AT420" s="4" t="s">
        <v>35</v>
      </c>
      <c r="AU420" s="4" t="s">
        <v>35</v>
      </c>
      <c r="AV420" s="7" t="s">
        <v>35</v>
      </c>
      <c r="AW420" s="5"/>
      <c r="AX420" s="3"/>
      <c r="AY420" s="3"/>
      <c r="AZ420" s="3"/>
      <c r="BA420" s="3"/>
      <c r="BB420" s="3"/>
      <c r="BC420" s="18"/>
      <c r="BD420" s="18"/>
      <c r="BE420" s="4"/>
      <c r="BF420" s="4"/>
      <c r="BG420" s="7"/>
      <c r="BH420" s="5"/>
      <c r="BI420" s="3"/>
      <c r="BJ420" s="3"/>
      <c r="BK420" s="3"/>
      <c r="BL420" s="3"/>
      <c r="BM420" s="3"/>
      <c r="BN420" s="18"/>
      <c r="BO420" s="18"/>
      <c r="BP420" s="4"/>
      <c r="BQ420" s="4"/>
      <c r="BR420" s="7"/>
      <c r="BS420" s="18"/>
    </row>
    <row r="421" spans="1:71" x14ac:dyDescent="0.25">
      <c r="A421" s="18">
        <v>416</v>
      </c>
      <c r="B421" s="18"/>
      <c r="C421" s="18"/>
      <c r="D421" s="21"/>
      <c r="E421" s="5"/>
      <c r="F421" s="3"/>
      <c r="G421" s="3"/>
      <c r="H421" s="3"/>
      <c r="I421" s="3"/>
      <c r="J421" s="3"/>
      <c r="K421" s="18"/>
      <c r="L421" s="18"/>
      <c r="M421" s="4"/>
      <c r="N421" s="4"/>
      <c r="O421" s="7"/>
      <c r="P421" s="5"/>
      <c r="Q421" s="3"/>
      <c r="R421" s="3"/>
      <c r="S421" s="3"/>
      <c r="T421" s="3"/>
      <c r="U421" s="3" t="s">
        <v>35</v>
      </c>
      <c r="V421" s="18" t="s">
        <v>35</v>
      </c>
      <c r="W421" s="18" t="s">
        <v>35</v>
      </c>
      <c r="X421" s="4" t="s">
        <v>35</v>
      </c>
      <c r="Y421" s="4" t="s">
        <v>35</v>
      </c>
      <c r="Z421" s="7" t="s">
        <v>35</v>
      </c>
      <c r="AA421" s="5"/>
      <c r="AB421" s="3"/>
      <c r="AC421" s="3"/>
      <c r="AD421" s="3"/>
      <c r="AE421" s="3"/>
      <c r="AF421" s="3"/>
      <c r="AG421" s="18"/>
      <c r="AH421" s="18"/>
      <c r="AI421" s="4"/>
      <c r="AJ421" s="4"/>
      <c r="AK421" s="7"/>
      <c r="AL421" s="5"/>
      <c r="AM421" s="3"/>
      <c r="AN421" s="3"/>
      <c r="AO421" s="3"/>
      <c r="AP421" s="3"/>
      <c r="AQ421" s="3" t="s">
        <v>35</v>
      </c>
      <c r="AR421" s="18" t="s">
        <v>35</v>
      </c>
      <c r="AS421" s="18" t="s">
        <v>35</v>
      </c>
      <c r="AT421" s="4" t="s">
        <v>35</v>
      </c>
      <c r="AU421" s="4" t="s">
        <v>35</v>
      </c>
      <c r="AV421" s="7" t="s">
        <v>35</v>
      </c>
      <c r="AW421" s="5"/>
      <c r="AX421" s="3"/>
      <c r="AY421" s="3"/>
      <c r="AZ421" s="3"/>
      <c r="BA421" s="3"/>
      <c r="BB421" s="3"/>
      <c r="BC421" s="18"/>
      <c r="BD421" s="18"/>
      <c r="BE421" s="4"/>
      <c r="BF421" s="4"/>
      <c r="BG421" s="7"/>
      <c r="BH421" s="5"/>
      <c r="BI421" s="3"/>
      <c r="BJ421" s="3"/>
      <c r="BK421" s="3"/>
      <c r="BL421" s="3"/>
      <c r="BM421" s="3"/>
      <c r="BN421" s="18"/>
      <c r="BO421" s="18"/>
      <c r="BP421" s="4"/>
      <c r="BQ421" s="4"/>
      <c r="BR421" s="7"/>
      <c r="BS421" s="18"/>
    </row>
    <row r="422" spans="1:71" x14ac:dyDescent="0.25">
      <c r="A422" s="18">
        <v>417</v>
      </c>
      <c r="B422" s="18"/>
      <c r="C422" s="18"/>
      <c r="D422" s="21"/>
      <c r="E422" s="5"/>
      <c r="F422" s="3"/>
      <c r="G422" s="3"/>
      <c r="H422" s="3"/>
      <c r="I422" s="3"/>
      <c r="J422" s="3"/>
      <c r="K422" s="18"/>
      <c r="L422" s="18"/>
      <c r="M422" s="4"/>
      <c r="N422" s="4"/>
      <c r="O422" s="7"/>
      <c r="P422" s="5"/>
      <c r="Q422" s="3"/>
      <c r="R422" s="3"/>
      <c r="S422" s="3"/>
      <c r="T422" s="3"/>
      <c r="U422" s="3" t="s">
        <v>35</v>
      </c>
      <c r="V422" s="18" t="s">
        <v>35</v>
      </c>
      <c r="W422" s="18" t="s">
        <v>35</v>
      </c>
      <c r="X422" s="4" t="s">
        <v>35</v>
      </c>
      <c r="Y422" s="4" t="s">
        <v>35</v>
      </c>
      <c r="Z422" s="7" t="s">
        <v>35</v>
      </c>
      <c r="AA422" s="5"/>
      <c r="AB422" s="3"/>
      <c r="AC422" s="3"/>
      <c r="AD422" s="3"/>
      <c r="AE422" s="3"/>
      <c r="AF422" s="3"/>
      <c r="AG422" s="18"/>
      <c r="AH422" s="18"/>
      <c r="AI422" s="4"/>
      <c r="AJ422" s="4"/>
      <c r="AK422" s="7"/>
      <c r="AL422" s="5"/>
      <c r="AM422" s="3"/>
      <c r="AN422" s="3"/>
      <c r="AO422" s="3"/>
      <c r="AP422" s="3"/>
      <c r="AQ422" s="3" t="s">
        <v>35</v>
      </c>
      <c r="AR422" s="18" t="s">
        <v>35</v>
      </c>
      <c r="AS422" s="18" t="s">
        <v>35</v>
      </c>
      <c r="AT422" s="4" t="s">
        <v>35</v>
      </c>
      <c r="AU422" s="4" t="s">
        <v>35</v>
      </c>
      <c r="AV422" s="7" t="s">
        <v>35</v>
      </c>
      <c r="AW422" s="5"/>
      <c r="AX422" s="3"/>
      <c r="AY422" s="3"/>
      <c r="AZ422" s="3"/>
      <c r="BA422" s="3"/>
      <c r="BB422" s="3"/>
      <c r="BC422" s="18"/>
      <c r="BD422" s="18"/>
      <c r="BE422" s="4"/>
      <c r="BF422" s="4"/>
      <c r="BG422" s="7"/>
      <c r="BH422" s="5"/>
      <c r="BI422" s="3"/>
      <c r="BJ422" s="3"/>
      <c r="BK422" s="3"/>
      <c r="BL422" s="3"/>
      <c r="BM422" s="3"/>
      <c r="BN422" s="18"/>
      <c r="BO422" s="18"/>
      <c r="BP422" s="4"/>
      <c r="BQ422" s="4"/>
      <c r="BR422" s="7"/>
      <c r="BS422" s="18"/>
    </row>
    <row r="423" spans="1:71" x14ac:dyDescent="0.25">
      <c r="A423" s="18">
        <v>418</v>
      </c>
      <c r="B423" s="18"/>
      <c r="C423" s="18"/>
      <c r="D423" s="21"/>
      <c r="E423" s="5"/>
      <c r="F423" s="3"/>
      <c r="G423" s="3"/>
      <c r="H423" s="3"/>
      <c r="I423" s="3"/>
      <c r="J423" s="3"/>
      <c r="K423" s="18"/>
      <c r="L423" s="18"/>
      <c r="M423" s="4"/>
      <c r="N423" s="4"/>
      <c r="O423" s="7"/>
      <c r="P423" s="5"/>
      <c r="Q423" s="3"/>
      <c r="R423" s="3"/>
      <c r="S423" s="3"/>
      <c r="T423" s="3"/>
      <c r="U423" s="3" t="s">
        <v>35</v>
      </c>
      <c r="V423" s="18" t="s">
        <v>35</v>
      </c>
      <c r="W423" s="18" t="s">
        <v>35</v>
      </c>
      <c r="X423" s="4" t="s">
        <v>35</v>
      </c>
      <c r="Y423" s="4" t="s">
        <v>35</v>
      </c>
      <c r="Z423" s="7" t="s">
        <v>35</v>
      </c>
      <c r="AA423" s="5"/>
      <c r="AB423" s="3"/>
      <c r="AC423" s="3"/>
      <c r="AD423" s="3"/>
      <c r="AE423" s="3"/>
      <c r="AF423" s="3"/>
      <c r="AG423" s="18"/>
      <c r="AH423" s="18"/>
      <c r="AI423" s="4"/>
      <c r="AJ423" s="4"/>
      <c r="AK423" s="7"/>
      <c r="AL423" s="5"/>
      <c r="AM423" s="3"/>
      <c r="AN423" s="3"/>
      <c r="AO423" s="3"/>
      <c r="AP423" s="3"/>
      <c r="AQ423" s="3" t="s">
        <v>35</v>
      </c>
      <c r="AR423" s="18" t="s">
        <v>35</v>
      </c>
      <c r="AS423" s="18" t="s">
        <v>35</v>
      </c>
      <c r="AT423" s="4" t="s">
        <v>35</v>
      </c>
      <c r="AU423" s="4" t="s">
        <v>35</v>
      </c>
      <c r="AV423" s="7" t="s">
        <v>35</v>
      </c>
      <c r="AW423" s="5"/>
      <c r="AX423" s="3"/>
      <c r="AY423" s="3"/>
      <c r="AZ423" s="3"/>
      <c r="BA423" s="3"/>
      <c r="BB423" s="3"/>
      <c r="BC423" s="18"/>
      <c r="BD423" s="18"/>
      <c r="BE423" s="4"/>
      <c r="BF423" s="4"/>
      <c r="BG423" s="7"/>
      <c r="BH423" s="5"/>
      <c r="BI423" s="3"/>
      <c r="BJ423" s="3"/>
      <c r="BK423" s="3"/>
      <c r="BL423" s="3"/>
      <c r="BM423" s="3"/>
      <c r="BN423" s="18"/>
      <c r="BO423" s="18"/>
      <c r="BP423" s="4"/>
      <c r="BQ423" s="4"/>
      <c r="BR423" s="7"/>
      <c r="BS423" s="18"/>
    </row>
    <row r="424" spans="1:71" x14ac:dyDescent="0.25">
      <c r="A424" s="18">
        <v>419</v>
      </c>
      <c r="B424" s="18"/>
      <c r="C424" s="18"/>
      <c r="D424" s="21"/>
      <c r="E424" s="5"/>
      <c r="F424" s="3"/>
      <c r="G424" s="3"/>
      <c r="H424" s="3"/>
      <c r="I424" s="3"/>
      <c r="J424" s="3"/>
      <c r="K424" s="18"/>
      <c r="L424" s="18"/>
      <c r="M424" s="4"/>
      <c r="N424" s="4"/>
      <c r="O424" s="7"/>
      <c r="P424" s="5"/>
      <c r="Q424" s="3"/>
      <c r="R424" s="3"/>
      <c r="S424" s="3"/>
      <c r="T424" s="3"/>
      <c r="U424" s="3" t="s">
        <v>35</v>
      </c>
      <c r="V424" s="18" t="s">
        <v>35</v>
      </c>
      <c r="W424" s="18" t="s">
        <v>35</v>
      </c>
      <c r="X424" s="4" t="s">
        <v>35</v>
      </c>
      <c r="Y424" s="4" t="s">
        <v>35</v>
      </c>
      <c r="Z424" s="7" t="s">
        <v>35</v>
      </c>
      <c r="AA424" s="5"/>
      <c r="AB424" s="3"/>
      <c r="AC424" s="3"/>
      <c r="AD424" s="3"/>
      <c r="AE424" s="3"/>
      <c r="AF424" s="3"/>
      <c r="AG424" s="18"/>
      <c r="AH424" s="18"/>
      <c r="AI424" s="4"/>
      <c r="AJ424" s="4"/>
      <c r="AK424" s="7"/>
      <c r="AL424" s="5"/>
      <c r="AM424" s="3"/>
      <c r="AN424" s="3"/>
      <c r="AO424" s="3"/>
      <c r="AP424" s="3"/>
      <c r="AQ424" s="3" t="s">
        <v>35</v>
      </c>
      <c r="AR424" s="18" t="s">
        <v>35</v>
      </c>
      <c r="AS424" s="18" t="s">
        <v>35</v>
      </c>
      <c r="AT424" s="4" t="s">
        <v>35</v>
      </c>
      <c r="AU424" s="4" t="s">
        <v>35</v>
      </c>
      <c r="AV424" s="7" t="s">
        <v>35</v>
      </c>
      <c r="AW424" s="5"/>
      <c r="AX424" s="3"/>
      <c r="AY424" s="3"/>
      <c r="AZ424" s="3"/>
      <c r="BA424" s="3"/>
      <c r="BB424" s="3"/>
      <c r="BC424" s="18"/>
      <c r="BD424" s="18"/>
      <c r="BE424" s="4"/>
      <c r="BF424" s="4"/>
      <c r="BG424" s="7"/>
      <c r="BH424" s="5"/>
      <c r="BI424" s="3"/>
      <c r="BJ424" s="3"/>
      <c r="BK424" s="3"/>
      <c r="BL424" s="3"/>
      <c r="BM424" s="3"/>
      <c r="BN424" s="18"/>
      <c r="BO424" s="18"/>
      <c r="BP424" s="4"/>
      <c r="BQ424" s="4"/>
      <c r="BR424" s="7"/>
      <c r="BS424" s="18"/>
    </row>
    <row r="425" spans="1:71" x14ac:dyDescent="0.25">
      <c r="A425" s="1">
        <v>420</v>
      </c>
      <c r="B425" s="18"/>
      <c r="C425" s="18"/>
      <c r="D425" s="21"/>
      <c r="E425" s="5"/>
      <c r="F425" s="3"/>
      <c r="G425" s="3"/>
      <c r="H425" s="3"/>
      <c r="I425" s="3"/>
      <c r="J425" s="3"/>
      <c r="K425" s="18"/>
      <c r="L425" s="18"/>
      <c r="M425" s="4"/>
      <c r="N425" s="4"/>
      <c r="O425" s="7"/>
      <c r="P425" s="5"/>
      <c r="Q425" s="3"/>
      <c r="R425" s="3"/>
      <c r="S425" s="3"/>
      <c r="T425" s="3"/>
      <c r="U425" s="3" t="s">
        <v>35</v>
      </c>
      <c r="V425" s="18" t="s">
        <v>35</v>
      </c>
      <c r="W425" s="18" t="s">
        <v>35</v>
      </c>
      <c r="X425" s="4" t="s">
        <v>35</v>
      </c>
      <c r="Y425" s="4" t="s">
        <v>35</v>
      </c>
      <c r="Z425" s="7" t="s">
        <v>35</v>
      </c>
      <c r="AA425" s="5"/>
      <c r="AB425" s="3"/>
      <c r="AC425" s="3"/>
      <c r="AD425" s="3"/>
      <c r="AE425" s="3"/>
      <c r="AF425" s="3"/>
      <c r="AG425" s="18"/>
      <c r="AH425" s="18"/>
      <c r="AI425" s="4"/>
      <c r="AJ425" s="4"/>
      <c r="AK425" s="7"/>
      <c r="AL425" s="5"/>
      <c r="AM425" s="3"/>
      <c r="AN425" s="3"/>
      <c r="AO425" s="3"/>
      <c r="AP425" s="3"/>
      <c r="AQ425" s="3" t="s">
        <v>35</v>
      </c>
      <c r="AR425" s="18" t="s">
        <v>35</v>
      </c>
      <c r="AS425" s="18" t="s">
        <v>35</v>
      </c>
      <c r="AT425" s="4" t="s">
        <v>35</v>
      </c>
      <c r="AU425" s="4" t="s">
        <v>35</v>
      </c>
      <c r="AV425" s="7" t="s">
        <v>35</v>
      </c>
      <c r="AW425" s="5"/>
      <c r="AX425" s="3"/>
      <c r="AY425" s="3"/>
      <c r="AZ425" s="3"/>
      <c r="BA425" s="3"/>
      <c r="BB425" s="3"/>
      <c r="BC425" s="18"/>
      <c r="BD425" s="18"/>
      <c r="BE425" s="4"/>
      <c r="BF425" s="4"/>
      <c r="BG425" s="7"/>
      <c r="BH425" s="5"/>
      <c r="BI425" s="3"/>
      <c r="BJ425" s="3"/>
      <c r="BK425" s="3"/>
      <c r="BL425" s="3"/>
      <c r="BM425" s="3"/>
      <c r="BN425" s="18"/>
      <c r="BO425" s="18"/>
      <c r="BP425" s="4"/>
      <c r="BQ425" s="4"/>
      <c r="BR425" s="7"/>
      <c r="BS425" s="18"/>
    </row>
    <row r="426" spans="1:71" x14ac:dyDescent="0.25">
      <c r="A426" s="18">
        <v>421</v>
      </c>
      <c r="B426" s="18"/>
      <c r="C426" s="18"/>
      <c r="D426" s="21"/>
      <c r="E426" s="5"/>
      <c r="F426" s="3"/>
      <c r="G426" s="3"/>
      <c r="H426" s="3"/>
      <c r="I426" s="3"/>
      <c r="J426" s="3"/>
      <c r="K426" s="18"/>
      <c r="L426" s="18"/>
      <c r="M426" s="4"/>
      <c r="N426" s="4"/>
      <c r="O426" s="7"/>
      <c r="P426" s="5"/>
      <c r="Q426" s="3"/>
      <c r="R426" s="3"/>
      <c r="S426" s="3"/>
      <c r="T426" s="3"/>
      <c r="U426" s="3" t="s">
        <v>35</v>
      </c>
      <c r="V426" s="18" t="s">
        <v>35</v>
      </c>
      <c r="W426" s="18" t="s">
        <v>35</v>
      </c>
      <c r="X426" s="4" t="s">
        <v>35</v>
      </c>
      <c r="Y426" s="4" t="s">
        <v>35</v>
      </c>
      <c r="Z426" s="7" t="s">
        <v>35</v>
      </c>
      <c r="AA426" s="5"/>
      <c r="AB426" s="3"/>
      <c r="AC426" s="3"/>
      <c r="AD426" s="3"/>
      <c r="AE426" s="3"/>
      <c r="AF426" s="3"/>
      <c r="AG426" s="18"/>
      <c r="AH426" s="18"/>
      <c r="AI426" s="4"/>
      <c r="AJ426" s="4"/>
      <c r="AK426" s="7"/>
      <c r="AL426" s="5"/>
      <c r="AM426" s="3"/>
      <c r="AN426" s="3"/>
      <c r="AO426" s="3"/>
      <c r="AP426" s="3"/>
      <c r="AQ426" s="3" t="s">
        <v>35</v>
      </c>
      <c r="AR426" s="18" t="s">
        <v>35</v>
      </c>
      <c r="AS426" s="18" t="s">
        <v>35</v>
      </c>
      <c r="AT426" s="4" t="s">
        <v>35</v>
      </c>
      <c r="AU426" s="4" t="s">
        <v>35</v>
      </c>
      <c r="AV426" s="7" t="s">
        <v>35</v>
      </c>
      <c r="AW426" s="5"/>
      <c r="AX426" s="3"/>
      <c r="AY426" s="3"/>
      <c r="AZ426" s="3"/>
      <c r="BA426" s="3"/>
      <c r="BB426" s="3"/>
      <c r="BC426" s="18"/>
      <c r="BD426" s="18"/>
      <c r="BE426" s="4"/>
      <c r="BF426" s="4"/>
      <c r="BG426" s="7"/>
      <c r="BH426" s="5"/>
      <c r="BI426" s="3"/>
      <c r="BJ426" s="3"/>
      <c r="BK426" s="3"/>
      <c r="BL426" s="3"/>
      <c r="BM426" s="3"/>
      <c r="BN426" s="18"/>
      <c r="BO426" s="18"/>
      <c r="BP426" s="4"/>
      <c r="BQ426" s="4"/>
      <c r="BR426" s="7"/>
      <c r="BS426" s="18"/>
    </row>
    <row r="427" spans="1:71" x14ac:dyDescent="0.25">
      <c r="A427" s="18">
        <v>422</v>
      </c>
      <c r="B427" s="18"/>
      <c r="C427" s="18"/>
      <c r="D427" s="21"/>
      <c r="E427" s="5"/>
      <c r="F427" s="3"/>
      <c r="G427" s="3"/>
      <c r="H427" s="3"/>
      <c r="I427" s="3"/>
      <c r="J427" s="3"/>
      <c r="K427" s="18"/>
      <c r="L427" s="18"/>
      <c r="M427" s="4"/>
      <c r="N427" s="4"/>
      <c r="O427" s="7"/>
      <c r="P427" s="5"/>
      <c r="Q427" s="3"/>
      <c r="R427" s="3"/>
      <c r="S427" s="3"/>
      <c r="T427" s="3"/>
      <c r="U427" s="3" t="s">
        <v>35</v>
      </c>
      <c r="V427" s="18" t="s">
        <v>35</v>
      </c>
      <c r="W427" s="18" t="s">
        <v>35</v>
      </c>
      <c r="X427" s="4" t="s">
        <v>35</v>
      </c>
      <c r="Y427" s="4" t="s">
        <v>35</v>
      </c>
      <c r="Z427" s="7" t="s">
        <v>35</v>
      </c>
      <c r="AA427" s="5"/>
      <c r="AB427" s="3"/>
      <c r="AC427" s="3"/>
      <c r="AD427" s="3"/>
      <c r="AE427" s="3"/>
      <c r="AF427" s="3"/>
      <c r="AG427" s="18"/>
      <c r="AH427" s="18"/>
      <c r="AI427" s="4"/>
      <c r="AJ427" s="4"/>
      <c r="AK427" s="7"/>
      <c r="AL427" s="5"/>
      <c r="AM427" s="3"/>
      <c r="AN427" s="3"/>
      <c r="AO427" s="3"/>
      <c r="AP427" s="3"/>
      <c r="AQ427" s="3" t="s">
        <v>35</v>
      </c>
      <c r="AR427" s="18" t="s">
        <v>35</v>
      </c>
      <c r="AS427" s="18" t="s">
        <v>35</v>
      </c>
      <c r="AT427" s="4" t="s">
        <v>35</v>
      </c>
      <c r="AU427" s="4" t="s">
        <v>35</v>
      </c>
      <c r="AV427" s="7" t="s">
        <v>35</v>
      </c>
      <c r="AW427" s="5"/>
      <c r="AX427" s="3"/>
      <c r="AY427" s="3"/>
      <c r="AZ427" s="3"/>
      <c r="BA427" s="3"/>
      <c r="BB427" s="3"/>
      <c r="BC427" s="18"/>
      <c r="BD427" s="18"/>
      <c r="BE427" s="4"/>
      <c r="BF427" s="4"/>
      <c r="BG427" s="7"/>
      <c r="BH427" s="5"/>
      <c r="BI427" s="3"/>
      <c r="BJ427" s="3"/>
      <c r="BK427" s="3"/>
      <c r="BL427" s="3"/>
      <c r="BM427" s="3"/>
      <c r="BN427" s="18"/>
      <c r="BO427" s="18"/>
      <c r="BP427" s="4"/>
      <c r="BQ427" s="4"/>
      <c r="BR427" s="7"/>
      <c r="BS427" s="18"/>
    </row>
    <row r="428" spans="1:71" x14ac:dyDescent="0.25">
      <c r="A428" s="18">
        <v>423</v>
      </c>
      <c r="B428" s="18"/>
      <c r="C428" s="18"/>
      <c r="D428" s="21"/>
      <c r="E428" s="5"/>
      <c r="F428" s="3"/>
      <c r="G428" s="3"/>
      <c r="H428" s="3"/>
      <c r="I428" s="3"/>
      <c r="J428" s="3"/>
      <c r="K428" s="18"/>
      <c r="L428" s="18"/>
      <c r="M428" s="4"/>
      <c r="N428" s="4"/>
      <c r="O428" s="7"/>
      <c r="P428" s="5"/>
      <c r="Q428" s="3"/>
      <c r="R428" s="3"/>
      <c r="S428" s="3"/>
      <c r="T428" s="3"/>
      <c r="U428" s="3" t="s">
        <v>35</v>
      </c>
      <c r="V428" s="18" t="s">
        <v>35</v>
      </c>
      <c r="W428" s="18" t="s">
        <v>35</v>
      </c>
      <c r="X428" s="4" t="s">
        <v>35</v>
      </c>
      <c r="Y428" s="4" t="s">
        <v>35</v>
      </c>
      <c r="Z428" s="7" t="s">
        <v>35</v>
      </c>
      <c r="AA428" s="5"/>
      <c r="AB428" s="3"/>
      <c r="AC428" s="3"/>
      <c r="AD428" s="3"/>
      <c r="AE428" s="3"/>
      <c r="AF428" s="3"/>
      <c r="AG428" s="18"/>
      <c r="AH428" s="18"/>
      <c r="AI428" s="4"/>
      <c r="AJ428" s="4"/>
      <c r="AK428" s="7"/>
      <c r="AL428" s="5"/>
      <c r="AM428" s="3"/>
      <c r="AN428" s="3"/>
      <c r="AO428" s="3"/>
      <c r="AP428" s="3"/>
      <c r="AQ428" s="3" t="s">
        <v>35</v>
      </c>
      <c r="AR428" s="18" t="s">
        <v>35</v>
      </c>
      <c r="AS428" s="18" t="s">
        <v>35</v>
      </c>
      <c r="AT428" s="4" t="s">
        <v>35</v>
      </c>
      <c r="AU428" s="4" t="s">
        <v>35</v>
      </c>
      <c r="AV428" s="7" t="s">
        <v>35</v>
      </c>
      <c r="AW428" s="5"/>
      <c r="AX428" s="3"/>
      <c r="AY428" s="3"/>
      <c r="AZ428" s="3"/>
      <c r="BA428" s="3"/>
      <c r="BB428" s="3"/>
      <c r="BC428" s="18"/>
      <c r="BD428" s="18"/>
      <c r="BE428" s="4"/>
      <c r="BF428" s="4"/>
      <c r="BG428" s="7"/>
      <c r="BH428" s="5"/>
      <c r="BI428" s="3"/>
      <c r="BJ428" s="3"/>
      <c r="BK428" s="3"/>
      <c r="BL428" s="3"/>
      <c r="BM428" s="3"/>
      <c r="BN428" s="18"/>
      <c r="BO428" s="18"/>
      <c r="BP428" s="4"/>
      <c r="BQ428" s="4"/>
      <c r="BR428" s="7"/>
      <c r="BS428" s="18"/>
    </row>
    <row r="429" spans="1:71" x14ac:dyDescent="0.25">
      <c r="A429" s="18">
        <v>424</v>
      </c>
      <c r="B429" s="18"/>
      <c r="C429" s="18"/>
      <c r="D429" s="21"/>
      <c r="E429" s="5"/>
      <c r="F429" s="3"/>
      <c r="G429" s="3"/>
      <c r="H429" s="3"/>
      <c r="I429" s="3"/>
      <c r="J429" s="3"/>
      <c r="K429" s="18"/>
      <c r="L429" s="18"/>
      <c r="M429" s="4"/>
      <c r="N429" s="4"/>
      <c r="O429" s="7"/>
      <c r="P429" s="5"/>
      <c r="Q429" s="3"/>
      <c r="R429" s="3"/>
      <c r="S429" s="3"/>
      <c r="T429" s="3"/>
      <c r="U429" s="3" t="s">
        <v>35</v>
      </c>
      <c r="V429" s="18" t="s">
        <v>35</v>
      </c>
      <c r="W429" s="18" t="s">
        <v>35</v>
      </c>
      <c r="X429" s="4" t="s">
        <v>35</v>
      </c>
      <c r="Y429" s="4" t="s">
        <v>35</v>
      </c>
      <c r="Z429" s="7" t="s">
        <v>35</v>
      </c>
      <c r="AA429" s="5"/>
      <c r="AB429" s="3"/>
      <c r="AC429" s="3"/>
      <c r="AD429" s="3"/>
      <c r="AE429" s="3"/>
      <c r="AF429" s="3"/>
      <c r="AG429" s="18"/>
      <c r="AH429" s="18"/>
      <c r="AI429" s="4"/>
      <c r="AJ429" s="4"/>
      <c r="AK429" s="7"/>
      <c r="AL429" s="5"/>
      <c r="AM429" s="3"/>
      <c r="AN429" s="3"/>
      <c r="AO429" s="3"/>
      <c r="AP429" s="3"/>
      <c r="AQ429" s="3" t="s">
        <v>35</v>
      </c>
      <c r="AR429" s="18" t="s">
        <v>35</v>
      </c>
      <c r="AS429" s="18" t="s">
        <v>35</v>
      </c>
      <c r="AT429" s="4" t="s">
        <v>35</v>
      </c>
      <c r="AU429" s="4" t="s">
        <v>35</v>
      </c>
      <c r="AV429" s="7" t="s">
        <v>35</v>
      </c>
      <c r="AW429" s="5"/>
      <c r="AX429" s="3"/>
      <c r="AY429" s="3"/>
      <c r="AZ429" s="3"/>
      <c r="BA429" s="3"/>
      <c r="BB429" s="3"/>
      <c r="BC429" s="18"/>
      <c r="BD429" s="18"/>
      <c r="BE429" s="4"/>
      <c r="BF429" s="4"/>
      <c r="BG429" s="7"/>
      <c r="BH429" s="5"/>
      <c r="BI429" s="3"/>
      <c r="BJ429" s="3"/>
      <c r="BK429" s="3"/>
      <c r="BL429" s="3"/>
      <c r="BM429" s="3"/>
      <c r="BN429" s="18"/>
      <c r="BO429" s="18"/>
      <c r="BP429" s="4"/>
      <c r="BQ429" s="4"/>
      <c r="BR429" s="7"/>
      <c r="BS429" s="18"/>
    </row>
    <row r="430" spans="1:71" x14ac:dyDescent="0.25">
      <c r="A430" s="1">
        <v>425</v>
      </c>
      <c r="B430" s="18"/>
      <c r="C430" s="18"/>
      <c r="D430" s="21"/>
      <c r="E430" s="5"/>
      <c r="F430" s="3"/>
      <c r="G430" s="3"/>
      <c r="H430" s="3"/>
      <c r="I430" s="3"/>
      <c r="J430" s="3"/>
      <c r="K430" s="18"/>
      <c r="L430" s="18"/>
      <c r="M430" s="4"/>
      <c r="N430" s="4"/>
      <c r="O430" s="7"/>
      <c r="P430" s="5"/>
      <c r="Q430" s="3"/>
      <c r="R430" s="3"/>
      <c r="S430" s="3"/>
      <c r="T430" s="3"/>
      <c r="U430" s="3" t="s">
        <v>35</v>
      </c>
      <c r="V430" s="18" t="s">
        <v>35</v>
      </c>
      <c r="W430" s="18" t="s">
        <v>35</v>
      </c>
      <c r="X430" s="4" t="s">
        <v>35</v>
      </c>
      <c r="Y430" s="4" t="s">
        <v>35</v>
      </c>
      <c r="Z430" s="7" t="s">
        <v>35</v>
      </c>
      <c r="AA430" s="5"/>
      <c r="AB430" s="3"/>
      <c r="AC430" s="3"/>
      <c r="AD430" s="3"/>
      <c r="AE430" s="3"/>
      <c r="AF430" s="3"/>
      <c r="AG430" s="18"/>
      <c r="AH430" s="18"/>
      <c r="AI430" s="4"/>
      <c r="AJ430" s="4"/>
      <c r="AK430" s="7"/>
      <c r="AL430" s="5"/>
      <c r="AM430" s="3"/>
      <c r="AN430" s="3"/>
      <c r="AO430" s="3"/>
      <c r="AP430" s="3"/>
      <c r="AQ430" s="3" t="s">
        <v>35</v>
      </c>
      <c r="AR430" s="18" t="s">
        <v>35</v>
      </c>
      <c r="AS430" s="18" t="s">
        <v>35</v>
      </c>
      <c r="AT430" s="4" t="s">
        <v>35</v>
      </c>
      <c r="AU430" s="4" t="s">
        <v>35</v>
      </c>
      <c r="AV430" s="7" t="s">
        <v>35</v>
      </c>
      <c r="AW430" s="5"/>
      <c r="AX430" s="3"/>
      <c r="AY430" s="3"/>
      <c r="AZ430" s="3"/>
      <c r="BA430" s="3"/>
      <c r="BB430" s="3"/>
      <c r="BC430" s="18"/>
      <c r="BD430" s="18"/>
      <c r="BE430" s="4"/>
      <c r="BF430" s="4"/>
      <c r="BG430" s="7"/>
      <c r="BH430" s="5"/>
      <c r="BI430" s="3"/>
      <c r="BJ430" s="3"/>
      <c r="BK430" s="3"/>
      <c r="BL430" s="3"/>
      <c r="BM430" s="3"/>
      <c r="BN430" s="18"/>
      <c r="BO430" s="18"/>
      <c r="BP430" s="4"/>
      <c r="BQ430" s="4"/>
      <c r="BR430" s="7"/>
      <c r="BS430" s="18"/>
    </row>
    <row r="431" spans="1:71" x14ac:dyDescent="0.25">
      <c r="A431" s="18">
        <v>426</v>
      </c>
      <c r="B431" s="18"/>
      <c r="C431" s="18"/>
      <c r="D431" s="21"/>
      <c r="E431" s="5"/>
      <c r="F431" s="3"/>
      <c r="G431" s="3"/>
      <c r="H431" s="3"/>
      <c r="I431" s="3"/>
      <c r="J431" s="3"/>
      <c r="K431" s="18"/>
      <c r="L431" s="18"/>
      <c r="M431" s="4"/>
      <c r="N431" s="4"/>
      <c r="O431" s="7"/>
      <c r="P431" s="5"/>
      <c r="Q431" s="3"/>
      <c r="R431" s="3"/>
      <c r="S431" s="3"/>
      <c r="T431" s="3"/>
      <c r="U431" s="3" t="s">
        <v>35</v>
      </c>
      <c r="V431" s="18" t="s">
        <v>35</v>
      </c>
      <c r="W431" s="18" t="s">
        <v>35</v>
      </c>
      <c r="X431" s="4" t="s">
        <v>35</v>
      </c>
      <c r="Y431" s="4" t="s">
        <v>35</v>
      </c>
      <c r="Z431" s="7" t="s">
        <v>35</v>
      </c>
      <c r="AA431" s="5"/>
      <c r="AB431" s="3"/>
      <c r="AC431" s="3"/>
      <c r="AD431" s="3"/>
      <c r="AE431" s="3"/>
      <c r="AF431" s="3"/>
      <c r="AG431" s="18"/>
      <c r="AH431" s="18"/>
      <c r="AI431" s="4"/>
      <c r="AJ431" s="4"/>
      <c r="AK431" s="7"/>
      <c r="AL431" s="5"/>
      <c r="AM431" s="3"/>
      <c r="AN431" s="3"/>
      <c r="AO431" s="3"/>
      <c r="AP431" s="3"/>
      <c r="AQ431" s="3" t="s">
        <v>35</v>
      </c>
      <c r="AR431" s="18" t="s">
        <v>35</v>
      </c>
      <c r="AS431" s="18" t="s">
        <v>35</v>
      </c>
      <c r="AT431" s="4" t="s">
        <v>35</v>
      </c>
      <c r="AU431" s="4" t="s">
        <v>35</v>
      </c>
      <c r="AV431" s="7" t="s">
        <v>35</v>
      </c>
      <c r="AW431" s="5"/>
      <c r="AX431" s="3"/>
      <c r="AY431" s="3"/>
      <c r="AZ431" s="3"/>
      <c r="BA431" s="3"/>
      <c r="BB431" s="3"/>
      <c r="BC431" s="18"/>
      <c r="BD431" s="18"/>
      <c r="BE431" s="4"/>
      <c r="BF431" s="4"/>
      <c r="BG431" s="7"/>
      <c r="BH431" s="5"/>
      <c r="BI431" s="3"/>
      <c r="BJ431" s="3"/>
      <c r="BK431" s="3"/>
      <c r="BL431" s="3"/>
      <c r="BM431" s="3"/>
      <c r="BN431" s="18"/>
      <c r="BO431" s="18"/>
      <c r="BP431" s="4"/>
      <c r="BQ431" s="4"/>
      <c r="BR431" s="7"/>
      <c r="BS431" s="18"/>
    </row>
    <row r="432" spans="1:71" x14ac:dyDescent="0.25">
      <c r="A432" s="18">
        <v>427</v>
      </c>
      <c r="B432" s="18"/>
      <c r="C432" s="18"/>
      <c r="D432" s="21"/>
      <c r="E432" s="5"/>
      <c r="F432" s="3"/>
      <c r="G432" s="3"/>
      <c r="H432" s="3"/>
      <c r="I432" s="3"/>
      <c r="J432" s="3"/>
      <c r="K432" s="18"/>
      <c r="L432" s="18"/>
      <c r="M432" s="4"/>
      <c r="N432" s="4"/>
      <c r="O432" s="7"/>
      <c r="P432" s="5"/>
      <c r="Q432" s="3"/>
      <c r="R432" s="3"/>
      <c r="S432" s="3"/>
      <c r="T432" s="3"/>
      <c r="U432" s="3" t="s">
        <v>35</v>
      </c>
      <c r="V432" s="18" t="s">
        <v>35</v>
      </c>
      <c r="W432" s="18" t="s">
        <v>35</v>
      </c>
      <c r="X432" s="4" t="s">
        <v>35</v>
      </c>
      <c r="Y432" s="4" t="s">
        <v>35</v>
      </c>
      <c r="Z432" s="7" t="s">
        <v>35</v>
      </c>
      <c r="AA432" s="5"/>
      <c r="AB432" s="3"/>
      <c r="AC432" s="3"/>
      <c r="AD432" s="3"/>
      <c r="AE432" s="3"/>
      <c r="AF432" s="3"/>
      <c r="AG432" s="18"/>
      <c r="AH432" s="18"/>
      <c r="AI432" s="4"/>
      <c r="AJ432" s="4"/>
      <c r="AK432" s="7"/>
      <c r="AL432" s="5"/>
      <c r="AM432" s="3"/>
      <c r="AN432" s="3"/>
      <c r="AO432" s="3"/>
      <c r="AP432" s="3"/>
      <c r="AQ432" s="3" t="s">
        <v>35</v>
      </c>
      <c r="AR432" s="18" t="s">
        <v>35</v>
      </c>
      <c r="AS432" s="18" t="s">
        <v>35</v>
      </c>
      <c r="AT432" s="4" t="s">
        <v>35</v>
      </c>
      <c r="AU432" s="4" t="s">
        <v>35</v>
      </c>
      <c r="AV432" s="7" t="s">
        <v>35</v>
      </c>
      <c r="AW432" s="5"/>
      <c r="AX432" s="3"/>
      <c r="AY432" s="3"/>
      <c r="AZ432" s="3"/>
      <c r="BA432" s="3"/>
      <c r="BB432" s="3"/>
      <c r="BC432" s="18"/>
      <c r="BD432" s="18"/>
      <c r="BE432" s="4"/>
      <c r="BF432" s="4"/>
      <c r="BG432" s="7"/>
      <c r="BH432" s="5"/>
      <c r="BI432" s="3"/>
      <c r="BJ432" s="3"/>
      <c r="BK432" s="3"/>
      <c r="BL432" s="3"/>
      <c r="BM432" s="3"/>
      <c r="BN432" s="18"/>
      <c r="BO432" s="18"/>
      <c r="BP432" s="4"/>
      <c r="BQ432" s="4"/>
      <c r="BR432" s="7"/>
      <c r="BS432" s="18"/>
    </row>
    <row r="433" spans="1:71" x14ac:dyDescent="0.25">
      <c r="A433" s="18">
        <v>428</v>
      </c>
      <c r="B433" s="18"/>
      <c r="C433" s="18"/>
      <c r="D433" s="21"/>
      <c r="E433" s="5"/>
      <c r="F433" s="3"/>
      <c r="G433" s="3"/>
      <c r="H433" s="3"/>
      <c r="I433" s="3"/>
      <c r="J433" s="3"/>
      <c r="K433" s="18"/>
      <c r="L433" s="18"/>
      <c r="M433" s="4"/>
      <c r="N433" s="4"/>
      <c r="O433" s="7"/>
      <c r="P433" s="5"/>
      <c r="Q433" s="3"/>
      <c r="R433" s="3"/>
      <c r="S433" s="3"/>
      <c r="T433" s="3"/>
      <c r="U433" s="3" t="s">
        <v>35</v>
      </c>
      <c r="V433" s="18" t="s">
        <v>35</v>
      </c>
      <c r="W433" s="18" t="s">
        <v>35</v>
      </c>
      <c r="X433" s="4" t="s">
        <v>35</v>
      </c>
      <c r="Y433" s="4" t="s">
        <v>35</v>
      </c>
      <c r="Z433" s="7" t="s">
        <v>35</v>
      </c>
      <c r="AA433" s="5"/>
      <c r="AB433" s="3"/>
      <c r="AC433" s="3"/>
      <c r="AD433" s="3"/>
      <c r="AE433" s="3"/>
      <c r="AF433" s="3"/>
      <c r="AG433" s="18"/>
      <c r="AH433" s="18"/>
      <c r="AI433" s="4"/>
      <c r="AJ433" s="4"/>
      <c r="AK433" s="7"/>
      <c r="AL433" s="5"/>
      <c r="AM433" s="3"/>
      <c r="AN433" s="3"/>
      <c r="AO433" s="3"/>
      <c r="AP433" s="3"/>
      <c r="AQ433" s="3" t="s">
        <v>35</v>
      </c>
      <c r="AR433" s="18" t="s">
        <v>35</v>
      </c>
      <c r="AS433" s="18" t="s">
        <v>35</v>
      </c>
      <c r="AT433" s="4" t="s">
        <v>35</v>
      </c>
      <c r="AU433" s="4" t="s">
        <v>35</v>
      </c>
      <c r="AV433" s="7" t="s">
        <v>35</v>
      </c>
      <c r="AW433" s="5"/>
      <c r="AX433" s="3"/>
      <c r="AY433" s="3"/>
      <c r="AZ433" s="3"/>
      <c r="BA433" s="3"/>
      <c r="BB433" s="3"/>
      <c r="BC433" s="18"/>
      <c r="BD433" s="18"/>
      <c r="BE433" s="4"/>
      <c r="BF433" s="4"/>
      <c r="BG433" s="7"/>
      <c r="BH433" s="5"/>
      <c r="BI433" s="3"/>
      <c r="BJ433" s="3"/>
      <c r="BK433" s="3"/>
      <c r="BL433" s="3"/>
      <c r="BM433" s="3"/>
      <c r="BN433" s="18"/>
      <c r="BO433" s="18"/>
      <c r="BP433" s="4"/>
      <c r="BQ433" s="4"/>
      <c r="BR433" s="7"/>
      <c r="BS433" s="18"/>
    </row>
    <row r="434" spans="1:71" x14ac:dyDescent="0.25">
      <c r="A434" s="18">
        <v>429</v>
      </c>
      <c r="B434" s="18"/>
      <c r="C434" s="18"/>
      <c r="D434" s="21"/>
      <c r="E434" s="5"/>
      <c r="F434" s="3"/>
      <c r="G434" s="3"/>
      <c r="H434" s="3"/>
      <c r="I434" s="3"/>
      <c r="J434" s="3"/>
      <c r="K434" s="18"/>
      <c r="L434" s="18"/>
      <c r="M434" s="4"/>
      <c r="N434" s="4"/>
      <c r="O434" s="7"/>
      <c r="P434" s="5"/>
      <c r="Q434" s="3"/>
      <c r="R434" s="3"/>
      <c r="S434" s="3"/>
      <c r="T434" s="3"/>
      <c r="U434" s="3" t="s">
        <v>35</v>
      </c>
      <c r="V434" s="18" t="s">
        <v>35</v>
      </c>
      <c r="W434" s="18" t="s">
        <v>35</v>
      </c>
      <c r="X434" s="4" t="s">
        <v>35</v>
      </c>
      <c r="Y434" s="4" t="s">
        <v>35</v>
      </c>
      <c r="Z434" s="7" t="s">
        <v>35</v>
      </c>
      <c r="AA434" s="5"/>
      <c r="AB434" s="3"/>
      <c r="AC434" s="3"/>
      <c r="AD434" s="3"/>
      <c r="AE434" s="3"/>
      <c r="AF434" s="3"/>
      <c r="AG434" s="18"/>
      <c r="AH434" s="18"/>
      <c r="AI434" s="4"/>
      <c r="AJ434" s="4"/>
      <c r="AK434" s="7"/>
      <c r="AL434" s="5"/>
      <c r="AM434" s="3"/>
      <c r="AN434" s="3"/>
      <c r="AO434" s="3"/>
      <c r="AP434" s="3"/>
      <c r="AQ434" s="3" t="s">
        <v>35</v>
      </c>
      <c r="AR434" s="18" t="s">
        <v>35</v>
      </c>
      <c r="AS434" s="18" t="s">
        <v>35</v>
      </c>
      <c r="AT434" s="4" t="s">
        <v>35</v>
      </c>
      <c r="AU434" s="4" t="s">
        <v>35</v>
      </c>
      <c r="AV434" s="7" t="s">
        <v>35</v>
      </c>
      <c r="AW434" s="5"/>
      <c r="AX434" s="3"/>
      <c r="AY434" s="3"/>
      <c r="AZ434" s="3"/>
      <c r="BA434" s="3"/>
      <c r="BB434" s="3"/>
      <c r="BC434" s="18"/>
      <c r="BD434" s="18"/>
      <c r="BE434" s="4"/>
      <c r="BF434" s="4"/>
      <c r="BG434" s="7"/>
      <c r="BH434" s="5"/>
      <c r="BI434" s="3"/>
      <c r="BJ434" s="3"/>
      <c r="BK434" s="3"/>
      <c r="BL434" s="3"/>
      <c r="BM434" s="3"/>
      <c r="BN434" s="18"/>
      <c r="BO434" s="18"/>
      <c r="BP434" s="4"/>
      <c r="BQ434" s="4"/>
      <c r="BR434" s="7"/>
      <c r="BS434" s="18"/>
    </row>
    <row r="435" spans="1:71" x14ac:dyDescent="0.25">
      <c r="A435" s="1">
        <v>430</v>
      </c>
      <c r="B435" s="18"/>
      <c r="C435" s="18"/>
      <c r="D435" s="21"/>
      <c r="E435" s="5"/>
      <c r="F435" s="3"/>
      <c r="G435" s="3"/>
      <c r="H435" s="3"/>
      <c r="I435" s="3"/>
      <c r="J435" s="3"/>
      <c r="K435" s="18"/>
      <c r="L435" s="18"/>
      <c r="M435" s="4"/>
      <c r="N435" s="4"/>
      <c r="O435" s="7"/>
      <c r="P435" s="5"/>
      <c r="Q435" s="3"/>
      <c r="R435" s="3"/>
      <c r="S435" s="3"/>
      <c r="T435" s="3"/>
      <c r="U435" s="3" t="s">
        <v>35</v>
      </c>
      <c r="V435" s="18" t="s">
        <v>35</v>
      </c>
      <c r="W435" s="18" t="s">
        <v>35</v>
      </c>
      <c r="X435" s="4" t="s">
        <v>35</v>
      </c>
      <c r="Y435" s="4" t="s">
        <v>35</v>
      </c>
      <c r="Z435" s="7" t="s">
        <v>35</v>
      </c>
      <c r="AA435" s="5"/>
      <c r="AB435" s="3"/>
      <c r="AC435" s="3"/>
      <c r="AD435" s="3"/>
      <c r="AE435" s="3"/>
      <c r="AF435" s="3"/>
      <c r="AG435" s="18"/>
      <c r="AH435" s="18"/>
      <c r="AI435" s="4"/>
      <c r="AJ435" s="4"/>
      <c r="AK435" s="7"/>
      <c r="AL435" s="5"/>
      <c r="AM435" s="3"/>
      <c r="AN435" s="3"/>
      <c r="AO435" s="3"/>
      <c r="AP435" s="3"/>
      <c r="AQ435" s="3" t="s">
        <v>35</v>
      </c>
      <c r="AR435" s="18" t="s">
        <v>35</v>
      </c>
      <c r="AS435" s="18" t="s">
        <v>35</v>
      </c>
      <c r="AT435" s="4" t="s">
        <v>35</v>
      </c>
      <c r="AU435" s="4" t="s">
        <v>35</v>
      </c>
      <c r="AV435" s="7" t="s">
        <v>35</v>
      </c>
      <c r="AW435" s="5"/>
      <c r="AX435" s="3"/>
      <c r="AY435" s="3"/>
      <c r="AZ435" s="3"/>
      <c r="BA435" s="3"/>
      <c r="BB435" s="3"/>
      <c r="BC435" s="18"/>
      <c r="BD435" s="18"/>
      <c r="BE435" s="4"/>
      <c r="BF435" s="4"/>
      <c r="BG435" s="7"/>
      <c r="BH435" s="5"/>
      <c r="BI435" s="3"/>
      <c r="BJ435" s="3"/>
      <c r="BK435" s="3"/>
      <c r="BL435" s="3"/>
      <c r="BM435" s="3"/>
      <c r="BN435" s="18"/>
      <c r="BO435" s="18"/>
      <c r="BP435" s="4"/>
      <c r="BQ435" s="4"/>
      <c r="BR435" s="7"/>
      <c r="BS435" s="18"/>
    </row>
    <row r="436" spans="1:71" x14ac:dyDescent="0.25">
      <c r="A436" s="18">
        <v>431</v>
      </c>
      <c r="B436" s="18"/>
      <c r="C436" s="18"/>
      <c r="D436" s="21"/>
      <c r="E436" s="5"/>
      <c r="F436" s="3"/>
      <c r="G436" s="3"/>
      <c r="H436" s="3"/>
      <c r="I436" s="3"/>
      <c r="J436" s="3"/>
      <c r="K436" s="18"/>
      <c r="L436" s="18"/>
      <c r="M436" s="4"/>
      <c r="N436" s="4"/>
      <c r="O436" s="7"/>
      <c r="P436" s="5"/>
      <c r="Q436" s="3"/>
      <c r="R436" s="3"/>
      <c r="S436" s="3"/>
      <c r="T436" s="3"/>
      <c r="U436" s="3" t="s">
        <v>35</v>
      </c>
      <c r="V436" s="18" t="s">
        <v>35</v>
      </c>
      <c r="W436" s="18" t="s">
        <v>35</v>
      </c>
      <c r="X436" s="4" t="s">
        <v>35</v>
      </c>
      <c r="Y436" s="4" t="s">
        <v>35</v>
      </c>
      <c r="Z436" s="7" t="s">
        <v>35</v>
      </c>
      <c r="AA436" s="5"/>
      <c r="AB436" s="3"/>
      <c r="AC436" s="3"/>
      <c r="AD436" s="3"/>
      <c r="AE436" s="3"/>
      <c r="AF436" s="3"/>
      <c r="AG436" s="18"/>
      <c r="AH436" s="18"/>
      <c r="AI436" s="4"/>
      <c r="AJ436" s="4"/>
      <c r="AK436" s="7"/>
      <c r="AL436" s="5"/>
      <c r="AM436" s="3"/>
      <c r="AN436" s="3"/>
      <c r="AO436" s="3"/>
      <c r="AP436" s="3"/>
      <c r="AQ436" s="3" t="s">
        <v>35</v>
      </c>
      <c r="AR436" s="18" t="s">
        <v>35</v>
      </c>
      <c r="AS436" s="18" t="s">
        <v>35</v>
      </c>
      <c r="AT436" s="4" t="s">
        <v>35</v>
      </c>
      <c r="AU436" s="4" t="s">
        <v>35</v>
      </c>
      <c r="AV436" s="7" t="s">
        <v>35</v>
      </c>
      <c r="AW436" s="5"/>
      <c r="AX436" s="3"/>
      <c r="AY436" s="3"/>
      <c r="AZ436" s="3"/>
      <c r="BA436" s="3"/>
      <c r="BB436" s="3"/>
      <c r="BC436" s="18"/>
      <c r="BD436" s="18"/>
      <c r="BE436" s="4"/>
      <c r="BF436" s="4"/>
      <c r="BG436" s="7"/>
      <c r="BH436" s="5"/>
      <c r="BI436" s="3"/>
      <c r="BJ436" s="3"/>
      <c r="BK436" s="3"/>
      <c r="BL436" s="3"/>
      <c r="BM436" s="3"/>
      <c r="BN436" s="18"/>
      <c r="BO436" s="18"/>
      <c r="BP436" s="4"/>
      <c r="BQ436" s="4"/>
      <c r="BR436" s="7"/>
      <c r="BS436" s="18"/>
    </row>
    <row r="437" spans="1:71" x14ac:dyDescent="0.25">
      <c r="A437" s="18">
        <v>432</v>
      </c>
      <c r="B437" s="18"/>
      <c r="C437" s="18"/>
      <c r="D437" s="21"/>
      <c r="E437" s="5"/>
      <c r="F437" s="3"/>
      <c r="G437" s="3"/>
      <c r="H437" s="3"/>
      <c r="I437" s="3"/>
      <c r="J437" s="3"/>
      <c r="K437" s="18"/>
      <c r="L437" s="18"/>
      <c r="M437" s="4"/>
      <c r="N437" s="4"/>
      <c r="O437" s="7"/>
      <c r="P437" s="5"/>
      <c r="Q437" s="3"/>
      <c r="R437" s="3"/>
      <c r="S437" s="3"/>
      <c r="T437" s="3"/>
      <c r="U437" s="3" t="s">
        <v>35</v>
      </c>
      <c r="V437" s="18" t="s">
        <v>35</v>
      </c>
      <c r="W437" s="18" t="s">
        <v>35</v>
      </c>
      <c r="X437" s="4" t="s">
        <v>35</v>
      </c>
      <c r="Y437" s="4" t="s">
        <v>35</v>
      </c>
      <c r="Z437" s="7" t="s">
        <v>35</v>
      </c>
      <c r="AA437" s="5"/>
      <c r="AB437" s="3"/>
      <c r="AC437" s="3"/>
      <c r="AD437" s="3"/>
      <c r="AE437" s="3"/>
      <c r="AF437" s="3"/>
      <c r="AG437" s="18"/>
      <c r="AH437" s="18"/>
      <c r="AI437" s="4"/>
      <c r="AJ437" s="4"/>
      <c r="AK437" s="7"/>
      <c r="AL437" s="5"/>
      <c r="AM437" s="3"/>
      <c r="AN437" s="3"/>
      <c r="AO437" s="3"/>
      <c r="AP437" s="3"/>
      <c r="AQ437" s="3" t="s">
        <v>35</v>
      </c>
      <c r="AR437" s="18" t="s">
        <v>35</v>
      </c>
      <c r="AS437" s="18" t="s">
        <v>35</v>
      </c>
      <c r="AT437" s="4" t="s">
        <v>35</v>
      </c>
      <c r="AU437" s="4" t="s">
        <v>35</v>
      </c>
      <c r="AV437" s="7" t="s">
        <v>35</v>
      </c>
      <c r="AW437" s="5"/>
      <c r="AX437" s="3"/>
      <c r="AY437" s="3"/>
      <c r="AZ437" s="3"/>
      <c r="BA437" s="3"/>
      <c r="BB437" s="3"/>
      <c r="BC437" s="18"/>
      <c r="BD437" s="18"/>
      <c r="BE437" s="4"/>
      <c r="BF437" s="4"/>
      <c r="BG437" s="7"/>
      <c r="BH437" s="5"/>
      <c r="BI437" s="3"/>
      <c r="BJ437" s="3"/>
      <c r="BK437" s="3"/>
      <c r="BL437" s="3"/>
      <c r="BM437" s="3"/>
      <c r="BN437" s="18"/>
      <c r="BO437" s="18"/>
      <c r="BP437" s="4"/>
      <c r="BQ437" s="4"/>
      <c r="BR437" s="7"/>
      <c r="BS437" s="18"/>
    </row>
    <row r="438" spans="1:71" x14ac:dyDescent="0.25">
      <c r="A438" s="18">
        <v>433</v>
      </c>
      <c r="B438" s="18"/>
      <c r="C438" s="18"/>
      <c r="D438" s="21"/>
      <c r="E438" s="5"/>
      <c r="F438" s="3"/>
      <c r="G438" s="3"/>
      <c r="H438" s="3"/>
      <c r="I438" s="3"/>
      <c r="J438" s="3"/>
      <c r="K438" s="18"/>
      <c r="L438" s="18"/>
      <c r="M438" s="4"/>
      <c r="N438" s="4"/>
      <c r="O438" s="7"/>
      <c r="P438" s="5"/>
      <c r="Q438" s="3"/>
      <c r="R438" s="3"/>
      <c r="S438" s="3"/>
      <c r="T438" s="3"/>
      <c r="U438" s="3" t="s">
        <v>35</v>
      </c>
      <c r="V438" s="18" t="s">
        <v>35</v>
      </c>
      <c r="W438" s="18" t="s">
        <v>35</v>
      </c>
      <c r="X438" s="4" t="s">
        <v>35</v>
      </c>
      <c r="Y438" s="4" t="s">
        <v>35</v>
      </c>
      <c r="Z438" s="7" t="s">
        <v>35</v>
      </c>
      <c r="AA438" s="5"/>
      <c r="AB438" s="3"/>
      <c r="AC438" s="3"/>
      <c r="AD438" s="3"/>
      <c r="AE438" s="3"/>
      <c r="AF438" s="3"/>
      <c r="AG438" s="18"/>
      <c r="AH438" s="18"/>
      <c r="AI438" s="4"/>
      <c r="AJ438" s="4"/>
      <c r="AK438" s="7"/>
      <c r="AL438" s="5"/>
      <c r="AM438" s="3"/>
      <c r="AN438" s="3"/>
      <c r="AO438" s="3"/>
      <c r="AP438" s="3"/>
      <c r="AQ438" s="3" t="s">
        <v>35</v>
      </c>
      <c r="AR438" s="18" t="s">
        <v>35</v>
      </c>
      <c r="AS438" s="18" t="s">
        <v>35</v>
      </c>
      <c r="AT438" s="4" t="s">
        <v>35</v>
      </c>
      <c r="AU438" s="4" t="s">
        <v>35</v>
      </c>
      <c r="AV438" s="7" t="s">
        <v>35</v>
      </c>
      <c r="AW438" s="5"/>
      <c r="AX438" s="3"/>
      <c r="AY438" s="3"/>
      <c r="AZ438" s="3"/>
      <c r="BA438" s="3"/>
      <c r="BB438" s="3"/>
      <c r="BC438" s="18"/>
      <c r="BD438" s="18"/>
      <c r="BE438" s="4"/>
      <c r="BF438" s="4"/>
      <c r="BG438" s="7"/>
      <c r="BH438" s="5"/>
      <c r="BI438" s="3"/>
      <c r="BJ438" s="3"/>
      <c r="BK438" s="3"/>
      <c r="BL438" s="3"/>
      <c r="BM438" s="3"/>
      <c r="BN438" s="18"/>
      <c r="BO438" s="18"/>
      <c r="BP438" s="4"/>
      <c r="BQ438" s="4"/>
      <c r="BR438" s="7"/>
      <c r="BS438" s="18"/>
    </row>
    <row r="439" spans="1:71" x14ac:dyDescent="0.25">
      <c r="A439" s="18">
        <v>434</v>
      </c>
      <c r="B439" s="18"/>
      <c r="C439" s="18"/>
      <c r="D439" s="21"/>
      <c r="E439" s="5"/>
      <c r="F439" s="3"/>
      <c r="G439" s="3"/>
      <c r="H439" s="3"/>
      <c r="I439" s="3"/>
      <c r="J439" s="3"/>
      <c r="K439" s="18"/>
      <c r="L439" s="18"/>
      <c r="M439" s="4"/>
      <c r="N439" s="4"/>
      <c r="O439" s="7"/>
      <c r="P439" s="5"/>
      <c r="Q439" s="3"/>
      <c r="R439" s="3"/>
      <c r="S439" s="3"/>
      <c r="T439" s="3"/>
      <c r="U439" s="3" t="s">
        <v>35</v>
      </c>
      <c r="V439" s="18" t="s">
        <v>35</v>
      </c>
      <c r="W439" s="18" t="s">
        <v>35</v>
      </c>
      <c r="X439" s="4" t="s">
        <v>35</v>
      </c>
      <c r="Y439" s="4" t="s">
        <v>35</v>
      </c>
      <c r="Z439" s="7" t="s">
        <v>35</v>
      </c>
      <c r="AA439" s="5"/>
      <c r="AB439" s="3"/>
      <c r="AC439" s="3"/>
      <c r="AD439" s="3"/>
      <c r="AE439" s="3"/>
      <c r="AF439" s="3"/>
      <c r="AG439" s="18"/>
      <c r="AH439" s="18"/>
      <c r="AI439" s="4"/>
      <c r="AJ439" s="4"/>
      <c r="AK439" s="7"/>
      <c r="AL439" s="5"/>
      <c r="AM439" s="3"/>
      <c r="AN439" s="3"/>
      <c r="AO439" s="3"/>
      <c r="AP439" s="3"/>
      <c r="AQ439" s="3" t="s">
        <v>35</v>
      </c>
      <c r="AR439" s="18" t="s">
        <v>35</v>
      </c>
      <c r="AS439" s="18" t="s">
        <v>35</v>
      </c>
      <c r="AT439" s="4" t="s">
        <v>35</v>
      </c>
      <c r="AU439" s="4" t="s">
        <v>35</v>
      </c>
      <c r="AV439" s="7" t="s">
        <v>35</v>
      </c>
      <c r="AW439" s="5"/>
      <c r="AX439" s="3"/>
      <c r="AY439" s="3"/>
      <c r="AZ439" s="3"/>
      <c r="BA439" s="3"/>
      <c r="BB439" s="3"/>
      <c r="BC439" s="18"/>
      <c r="BD439" s="18"/>
      <c r="BE439" s="4"/>
      <c r="BF439" s="4"/>
      <c r="BG439" s="7"/>
      <c r="BH439" s="5"/>
      <c r="BI439" s="3"/>
      <c r="BJ439" s="3"/>
      <c r="BK439" s="3"/>
      <c r="BL439" s="3"/>
      <c r="BM439" s="3"/>
      <c r="BN439" s="18"/>
      <c r="BO439" s="18"/>
      <c r="BP439" s="4"/>
      <c r="BQ439" s="4"/>
      <c r="BR439" s="7"/>
      <c r="BS439" s="18"/>
    </row>
    <row r="440" spans="1:71" x14ac:dyDescent="0.25">
      <c r="A440" s="1">
        <v>435</v>
      </c>
      <c r="B440" s="18"/>
      <c r="C440" s="18"/>
      <c r="D440" s="21"/>
      <c r="E440" s="5"/>
      <c r="F440" s="3"/>
      <c r="G440" s="3"/>
      <c r="H440" s="3"/>
      <c r="I440" s="3"/>
      <c r="J440" s="3"/>
      <c r="K440" s="18"/>
      <c r="L440" s="18"/>
      <c r="M440" s="4"/>
      <c r="N440" s="4"/>
      <c r="O440" s="7"/>
      <c r="P440" s="5"/>
      <c r="Q440" s="3"/>
      <c r="R440" s="3"/>
      <c r="S440" s="3"/>
      <c r="T440" s="3"/>
      <c r="U440" s="3" t="s">
        <v>35</v>
      </c>
      <c r="V440" s="18" t="s">
        <v>35</v>
      </c>
      <c r="W440" s="18" t="s">
        <v>35</v>
      </c>
      <c r="X440" s="4" t="s">
        <v>35</v>
      </c>
      <c r="Y440" s="4" t="s">
        <v>35</v>
      </c>
      <c r="Z440" s="7" t="s">
        <v>35</v>
      </c>
      <c r="AA440" s="5"/>
      <c r="AB440" s="3"/>
      <c r="AC440" s="3"/>
      <c r="AD440" s="3"/>
      <c r="AE440" s="3"/>
      <c r="AF440" s="3"/>
      <c r="AG440" s="18"/>
      <c r="AH440" s="18"/>
      <c r="AI440" s="4"/>
      <c r="AJ440" s="4"/>
      <c r="AK440" s="7"/>
      <c r="AL440" s="5"/>
      <c r="AM440" s="3"/>
      <c r="AN440" s="3"/>
      <c r="AO440" s="3"/>
      <c r="AP440" s="3"/>
      <c r="AQ440" s="3" t="s">
        <v>35</v>
      </c>
      <c r="AR440" s="18" t="s">
        <v>35</v>
      </c>
      <c r="AS440" s="18" t="s">
        <v>35</v>
      </c>
      <c r="AT440" s="4"/>
      <c r="AU440" s="4"/>
      <c r="AV440" s="7"/>
      <c r="AW440" s="5"/>
      <c r="AX440" s="3"/>
      <c r="AY440" s="3"/>
      <c r="AZ440" s="3"/>
      <c r="BA440" s="3"/>
      <c r="BB440" s="3"/>
      <c r="BC440" s="18"/>
      <c r="BD440" s="18"/>
      <c r="BE440" s="4"/>
      <c r="BF440" s="4"/>
      <c r="BG440" s="7"/>
      <c r="BH440" s="5"/>
      <c r="BI440" s="3"/>
      <c r="BJ440" s="3"/>
      <c r="BK440" s="3"/>
      <c r="BL440" s="3"/>
      <c r="BM440" s="3"/>
      <c r="BN440" s="18"/>
      <c r="BO440" s="18"/>
      <c r="BP440" s="4"/>
      <c r="BQ440" s="4"/>
      <c r="BR440" s="7"/>
      <c r="BS440" s="18"/>
    </row>
    <row r="441" spans="1:71" x14ac:dyDescent="0.25">
      <c r="A441" s="18">
        <v>436</v>
      </c>
      <c r="B441" s="18"/>
      <c r="C441" s="18"/>
      <c r="D441" s="21"/>
      <c r="E441" s="5"/>
      <c r="F441" s="3"/>
      <c r="G441" s="3"/>
      <c r="H441" s="3"/>
      <c r="I441" s="3"/>
      <c r="J441" s="3"/>
      <c r="K441" s="18"/>
      <c r="L441" s="18"/>
      <c r="M441" s="4"/>
      <c r="N441" s="4"/>
      <c r="O441" s="7"/>
      <c r="P441" s="5"/>
      <c r="Q441" s="3"/>
      <c r="R441" s="3"/>
      <c r="S441" s="3"/>
      <c r="T441" s="3"/>
      <c r="U441" s="3" t="s">
        <v>35</v>
      </c>
      <c r="V441" s="18" t="s">
        <v>35</v>
      </c>
      <c r="W441" s="18" t="s">
        <v>35</v>
      </c>
      <c r="X441" s="4" t="s">
        <v>35</v>
      </c>
      <c r="Y441" s="4" t="s">
        <v>35</v>
      </c>
      <c r="Z441" s="7" t="s">
        <v>35</v>
      </c>
      <c r="AA441" s="5"/>
      <c r="AB441" s="3"/>
      <c r="AC441" s="3"/>
      <c r="AD441" s="3"/>
      <c r="AE441" s="3"/>
      <c r="AF441" s="3"/>
      <c r="AG441" s="18"/>
      <c r="AH441" s="18"/>
      <c r="AI441" s="4"/>
      <c r="AJ441" s="4"/>
      <c r="AK441" s="7"/>
      <c r="AL441" s="5"/>
      <c r="AM441" s="3"/>
      <c r="AN441" s="3"/>
      <c r="AO441" s="3"/>
      <c r="AP441" s="3"/>
      <c r="AQ441" s="3" t="s">
        <v>35</v>
      </c>
      <c r="AR441" s="18" t="s">
        <v>35</v>
      </c>
      <c r="AS441" s="18" t="s">
        <v>35</v>
      </c>
      <c r="AT441" s="4"/>
      <c r="AU441" s="4"/>
      <c r="AV441" s="7"/>
      <c r="AW441" s="5"/>
      <c r="AX441" s="3"/>
      <c r="AY441" s="3"/>
      <c r="AZ441" s="3"/>
      <c r="BA441" s="3"/>
      <c r="BB441" s="3"/>
      <c r="BC441" s="18"/>
      <c r="BD441" s="18"/>
      <c r="BE441" s="4"/>
      <c r="BF441" s="4"/>
      <c r="BG441" s="7"/>
      <c r="BH441" s="5"/>
      <c r="BI441" s="3"/>
      <c r="BJ441" s="3"/>
      <c r="BK441" s="3"/>
      <c r="BL441" s="3"/>
      <c r="BM441" s="3"/>
      <c r="BN441" s="18"/>
      <c r="BO441" s="18"/>
      <c r="BP441" s="4"/>
      <c r="BQ441" s="4"/>
      <c r="BR441" s="7"/>
      <c r="BS441" s="18"/>
    </row>
    <row r="442" spans="1:71" x14ac:dyDescent="0.25">
      <c r="A442" s="18">
        <v>437</v>
      </c>
      <c r="B442" s="18"/>
      <c r="C442" s="18"/>
      <c r="D442" s="21"/>
      <c r="E442" s="5"/>
      <c r="F442" s="3"/>
      <c r="G442" s="3"/>
      <c r="H442" s="3"/>
      <c r="I442" s="3"/>
      <c r="J442" s="3"/>
      <c r="K442" s="18"/>
      <c r="L442" s="18"/>
      <c r="M442" s="4"/>
      <c r="N442" s="4"/>
      <c r="O442" s="7"/>
      <c r="P442" s="5"/>
      <c r="Q442" s="3"/>
      <c r="R442" s="3"/>
      <c r="S442" s="3"/>
      <c r="T442" s="3"/>
      <c r="U442" s="3" t="s">
        <v>35</v>
      </c>
      <c r="V442" s="18" t="s">
        <v>35</v>
      </c>
      <c r="W442" s="18" t="s">
        <v>35</v>
      </c>
      <c r="X442" s="4" t="s">
        <v>35</v>
      </c>
      <c r="Y442" s="4" t="s">
        <v>35</v>
      </c>
      <c r="Z442" s="7" t="s">
        <v>35</v>
      </c>
      <c r="AA442" s="5"/>
      <c r="AB442" s="3"/>
      <c r="AC442" s="3"/>
      <c r="AD442" s="3"/>
      <c r="AE442" s="3"/>
      <c r="AF442" s="3"/>
      <c r="AG442" s="18"/>
      <c r="AH442" s="18"/>
      <c r="AI442" s="4"/>
      <c r="AJ442" s="4"/>
      <c r="AK442" s="7"/>
      <c r="AL442" s="5"/>
      <c r="AM442" s="3"/>
      <c r="AN442" s="3"/>
      <c r="AO442" s="3"/>
      <c r="AP442" s="3"/>
      <c r="AQ442" s="3" t="s">
        <v>35</v>
      </c>
      <c r="AR442" s="18" t="s">
        <v>35</v>
      </c>
      <c r="AS442" s="18" t="s">
        <v>35</v>
      </c>
      <c r="AT442" s="4"/>
      <c r="AU442" s="4"/>
      <c r="AV442" s="7"/>
      <c r="AW442" s="5"/>
      <c r="AX442" s="3"/>
      <c r="AY442" s="3"/>
      <c r="AZ442" s="3"/>
      <c r="BA442" s="3"/>
      <c r="BB442" s="3"/>
      <c r="BC442" s="18"/>
      <c r="BD442" s="18"/>
      <c r="BE442" s="4"/>
      <c r="BF442" s="4"/>
      <c r="BG442" s="7"/>
      <c r="BH442" s="5"/>
      <c r="BI442" s="3"/>
      <c r="BJ442" s="3"/>
      <c r="BK442" s="3"/>
      <c r="BL442" s="3"/>
      <c r="BM442" s="3"/>
      <c r="BN442" s="18"/>
      <c r="BO442" s="18"/>
      <c r="BP442" s="4"/>
      <c r="BQ442" s="4"/>
      <c r="BR442" s="7"/>
      <c r="BS442" s="18"/>
    </row>
    <row r="443" spans="1:71" x14ac:dyDescent="0.25">
      <c r="A443" s="18">
        <v>438</v>
      </c>
      <c r="B443" s="18"/>
      <c r="C443" s="18"/>
      <c r="D443" s="21"/>
      <c r="E443" s="5"/>
      <c r="F443" s="3"/>
      <c r="G443" s="3"/>
      <c r="H443" s="3"/>
      <c r="I443" s="3"/>
      <c r="J443" s="3"/>
      <c r="K443" s="18"/>
      <c r="L443" s="18"/>
      <c r="M443" s="4"/>
      <c r="N443" s="4"/>
      <c r="O443" s="7"/>
      <c r="P443" s="5"/>
      <c r="Q443" s="3"/>
      <c r="R443" s="3"/>
      <c r="S443" s="3"/>
      <c r="T443" s="3"/>
      <c r="U443" s="3" t="s">
        <v>35</v>
      </c>
      <c r="V443" s="18" t="s">
        <v>35</v>
      </c>
      <c r="W443" s="18" t="s">
        <v>35</v>
      </c>
      <c r="X443" s="4" t="s">
        <v>35</v>
      </c>
      <c r="Y443" s="4" t="s">
        <v>35</v>
      </c>
      <c r="Z443" s="7" t="s">
        <v>35</v>
      </c>
      <c r="AA443" s="5"/>
      <c r="AB443" s="3"/>
      <c r="AC443" s="3"/>
      <c r="AD443" s="3"/>
      <c r="AE443" s="3"/>
      <c r="AF443" s="3"/>
      <c r="AG443" s="18"/>
      <c r="AH443" s="18"/>
      <c r="AI443" s="4"/>
      <c r="AJ443" s="4"/>
      <c r="AK443" s="7"/>
      <c r="AL443" s="5"/>
      <c r="AM443" s="3"/>
      <c r="AN443" s="3"/>
      <c r="AO443" s="3"/>
      <c r="AP443" s="3"/>
      <c r="AQ443" s="3" t="s">
        <v>35</v>
      </c>
      <c r="AR443" s="18" t="s">
        <v>35</v>
      </c>
      <c r="AS443" s="18" t="s">
        <v>35</v>
      </c>
      <c r="AT443" s="4"/>
      <c r="AU443" s="4"/>
      <c r="AV443" s="7"/>
      <c r="AW443" s="5"/>
      <c r="AX443" s="3"/>
      <c r="AY443" s="3"/>
      <c r="AZ443" s="3"/>
      <c r="BA443" s="3"/>
      <c r="BB443" s="3"/>
      <c r="BC443" s="18"/>
      <c r="BD443" s="18"/>
      <c r="BE443" s="4"/>
      <c r="BF443" s="4"/>
      <c r="BG443" s="7"/>
      <c r="BH443" s="5"/>
      <c r="BI443" s="3"/>
      <c r="BJ443" s="3"/>
      <c r="BK443" s="3"/>
      <c r="BL443" s="3"/>
      <c r="BM443" s="3"/>
      <c r="BN443" s="18"/>
      <c r="BO443" s="18"/>
      <c r="BP443" s="4"/>
      <c r="BQ443" s="4"/>
      <c r="BR443" s="7"/>
      <c r="BS443" s="18"/>
    </row>
    <row r="444" spans="1:71" x14ac:dyDescent="0.25">
      <c r="A444" s="18">
        <v>439</v>
      </c>
      <c r="B444" s="18"/>
      <c r="C444" s="18"/>
      <c r="D444" s="21"/>
      <c r="E444" s="5"/>
      <c r="F444" s="3"/>
      <c r="G444" s="3"/>
      <c r="H444" s="3"/>
      <c r="I444" s="3"/>
      <c r="J444" s="3"/>
      <c r="K444" s="18"/>
      <c r="L444" s="18"/>
      <c r="M444" s="4"/>
      <c r="N444" s="4"/>
      <c r="O444" s="7"/>
      <c r="P444" s="5"/>
      <c r="Q444" s="3"/>
      <c r="R444" s="3"/>
      <c r="S444" s="3"/>
      <c r="T444" s="3"/>
      <c r="U444" s="3" t="s">
        <v>35</v>
      </c>
      <c r="V444" s="18" t="s">
        <v>35</v>
      </c>
      <c r="W444" s="18" t="s">
        <v>35</v>
      </c>
      <c r="X444" s="4" t="s">
        <v>35</v>
      </c>
      <c r="Y444" s="4" t="s">
        <v>35</v>
      </c>
      <c r="Z444" s="7" t="s">
        <v>35</v>
      </c>
      <c r="AA444" s="5"/>
      <c r="AB444" s="3"/>
      <c r="AC444" s="3"/>
      <c r="AD444" s="3"/>
      <c r="AE444" s="3"/>
      <c r="AF444" s="3"/>
      <c r="AG444" s="18"/>
      <c r="AH444" s="18"/>
      <c r="AI444" s="4"/>
      <c r="AJ444" s="4"/>
      <c r="AK444" s="7"/>
      <c r="AL444" s="5"/>
      <c r="AM444" s="3"/>
      <c r="AN444" s="3"/>
      <c r="AO444" s="3"/>
      <c r="AP444" s="3"/>
      <c r="AQ444" s="3" t="s">
        <v>35</v>
      </c>
      <c r="AR444" s="18" t="s">
        <v>35</v>
      </c>
      <c r="AS444" s="18" t="s">
        <v>35</v>
      </c>
      <c r="AT444" s="4"/>
      <c r="AU444" s="4"/>
      <c r="AV444" s="7"/>
      <c r="AW444" s="5"/>
      <c r="AX444" s="3"/>
      <c r="AY444" s="3"/>
      <c r="AZ444" s="3"/>
      <c r="BA444" s="3"/>
      <c r="BB444" s="3"/>
      <c r="BC444" s="18"/>
      <c r="BD444" s="18"/>
      <c r="BE444" s="4"/>
      <c r="BF444" s="4"/>
      <c r="BG444" s="7"/>
      <c r="BH444" s="5"/>
      <c r="BI444" s="3"/>
      <c r="BJ444" s="3"/>
      <c r="BK444" s="3"/>
      <c r="BL444" s="3"/>
      <c r="BM444" s="3"/>
      <c r="BN444" s="18"/>
      <c r="BO444" s="18"/>
      <c r="BP444" s="4"/>
      <c r="BQ444" s="4"/>
      <c r="BR444" s="7"/>
      <c r="BS444" s="18"/>
    </row>
    <row r="445" spans="1:71" x14ac:dyDescent="0.25">
      <c r="A445" s="1">
        <v>440</v>
      </c>
      <c r="B445" s="18"/>
      <c r="C445" s="18"/>
      <c r="D445" s="21"/>
      <c r="E445" s="5"/>
      <c r="F445" s="3"/>
      <c r="G445" s="3"/>
      <c r="H445" s="3"/>
      <c r="I445" s="3"/>
      <c r="J445" s="3"/>
      <c r="K445" s="18"/>
      <c r="L445" s="18"/>
      <c r="M445" s="4"/>
      <c r="N445" s="4"/>
      <c r="O445" s="7"/>
      <c r="P445" s="5"/>
      <c r="Q445" s="3"/>
      <c r="R445" s="3"/>
      <c r="S445" s="3"/>
      <c r="T445" s="3"/>
      <c r="U445" s="3" t="s">
        <v>35</v>
      </c>
      <c r="V445" s="18" t="s">
        <v>35</v>
      </c>
      <c r="W445" s="18" t="s">
        <v>35</v>
      </c>
      <c r="X445" s="4" t="s">
        <v>35</v>
      </c>
      <c r="Y445" s="4" t="s">
        <v>35</v>
      </c>
      <c r="Z445" s="7" t="s">
        <v>35</v>
      </c>
      <c r="AA445" s="5"/>
      <c r="AB445" s="3"/>
      <c r="AC445" s="3"/>
      <c r="AD445" s="3"/>
      <c r="AE445" s="3"/>
      <c r="AF445" s="3"/>
      <c r="AG445" s="18"/>
      <c r="AH445" s="18"/>
      <c r="AI445" s="4"/>
      <c r="AJ445" s="4"/>
      <c r="AK445" s="7"/>
      <c r="AL445" s="5"/>
      <c r="AM445" s="3"/>
      <c r="AN445" s="3"/>
      <c r="AO445" s="3"/>
      <c r="AP445" s="3"/>
      <c r="AQ445" s="3" t="s">
        <v>35</v>
      </c>
      <c r="AR445" s="18" t="s">
        <v>35</v>
      </c>
      <c r="AS445" s="18" t="s">
        <v>35</v>
      </c>
      <c r="AT445" s="4"/>
      <c r="AU445" s="4"/>
      <c r="AV445" s="7"/>
      <c r="AW445" s="5"/>
      <c r="AX445" s="3"/>
      <c r="AY445" s="3"/>
      <c r="AZ445" s="3"/>
      <c r="BA445" s="3"/>
      <c r="BB445" s="3"/>
      <c r="BC445" s="18"/>
      <c r="BD445" s="18"/>
      <c r="BE445" s="4"/>
      <c r="BF445" s="4"/>
      <c r="BG445" s="7"/>
      <c r="BH445" s="5"/>
      <c r="BI445" s="3"/>
      <c r="BJ445" s="3"/>
      <c r="BK445" s="3"/>
      <c r="BL445" s="3"/>
      <c r="BM445" s="3"/>
      <c r="BN445" s="18"/>
      <c r="BO445" s="18"/>
      <c r="BP445" s="4"/>
      <c r="BQ445" s="4"/>
      <c r="BR445" s="7"/>
      <c r="BS445" s="18"/>
    </row>
    <row r="446" spans="1:71" x14ac:dyDescent="0.25">
      <c r="A446" s="18">
        <v>441</v>
      </c>
      <c r="B446" s="18"/>
      <c r="C446" s="18"/>
      <c r="D446" s="21"/>
      <c r="E446" s="5"/>
      <c r="F446" s="3"/>
      <c r="G446" s="3"/>
      <c r="H446" s="3"/>
      <c r="I446" s="3"/>
      <c r="J446" s="3"/>
      <c r="K446" s="18"/>
      <c r="L446" s="18"/>
      <c r="M446" s="4"/>
      <c r="N446" s="4"/>
      <c r="O446" s="7"/>
      <c r="P446" s="5"/>
      <c r="Q446" s="3"/>
      <c r="R446" s="3"/>
      <c r="S446" s="3"/>
      <c r="T446" s="3"/>
      <c r="U446" s="3" t="s">
        <v>35</v>
      </c>
      <c r="V446" s="18" t="s">
        <v>35</v>
      </c>
      <c r="W446" s="18" t="s">
        <v>35</v>
      </c>
      <c r="X446" s="4" t="s">
        <v>35</v>
      </c>
      <c r="Y446" s="4" t="s">
        <v>35</v>
      </c>
      <c r="Z446" s="7" t="s">
        <v>35</v>
      </c>
      <c r="AA446" s="5"/>
      <c r="AB446" s="3"/>
      <c r="AC446" s="3"/>
      <c r="AD446" s="3"/>
      <c r="AE446" s="3"/>
      <c r="AF446" s="3"/>
      <c r="AG446" s="18"/>
      <c r="AH446" s="18"/>
      <c r="AI446" s="4"/>
      <c r="AJ446" s="4"/>
      <c r="AK446" s="7"/>
      <c r="AL446" s="5"/>
      <c r="AM446" s="3"/>
      <c r="AN446" s="3"/>
      <c r="AO446" s="3"/>
      <c r="AP446" s="3"/>
      <c r="AQ446" s="3" t="s">
        <v>35</v>
      </c>
      <c r="AR446" s="18" t="s">
        <v>35</v>
      </c>
      <c r="AS446" s="18" t="s">
        <v>35</v>
      </c>
      <c r="AT446" s="4"/>
      <c r="AU446" s="4"/>
      <c r="AV446" s="7"/>
      <c r="AW446" s="5"/>
      <c r="AX446" s="3"/>
      <c r="AY446" s="3"/>
      <c r="AZ446" s="3"/>
      <c r="BA446" s="3"/>
      <c r="BB446" s="3"/>
      <c r="BC446" s="18"/>
      <c r="BD446" s="18"/>
      <c r="BE446" s="4"/>
      <c r="BF446" s="4"/>
      <c r="BG446" s="7"/>
      <c r="BH446" s="5"/>
      <c r="BI446" s="3"/>
      <c r="BJ446" s="3"/>
      <c r="BK446" s="3"/>
      <c r="BL446" s="3"/>
      <c r="BM446" s="3"/>
      <c r="BN446" s="18"/>
      <c r="BO446" s="18"/>
      <c r="BP446" s="4"/>
      <c r="BQ446" s="4"/>
      <c r="BR446" s="7"/>
      <c r="BS446" s="18"/>
    </row>
    <row r="447" spans="1:71" x14ac:dyDescent="0.25">
      <c r="A447" s="18">
        <v>442</v>
      </c>
      <c r="B447" s="18"/>
      <c r="C447" s="18"/>
      <c r="D447" s="21"/>
      <c r="E447" s="5"/>
      <c r="F447" s="3"/>
      <c r="G447" s="3"/>
      <c r="H447" s="3"/>
      <c r="I447" s="3"/>
      <c r="J447" s="3"/>
      <c r="K447" s="18"/>
      <c r="L447" s="18"/>
      <c r="M447" s="4"/>
      <c r="N447" s="4"/>
      <c r="O447" s="7"/>
      <c r="P447" s="5"/>
      <c r="Q447" s="3"/>
      <c r="R447" s="3"/>
      <c r="S447" s="3"/>
      <c r="T447" s="3"/>
      <c r="U447" s="3" t="s">
        <v>35</v>
      </c>
      <c r="V447" s="18" t="s">
        <v>35</v>
      </c>
      <c r="W447" s="18" t="s">
        <v>35</v>
      </c>
      <c r="X447" s="4" t="s">
        <v>35</v>
      </c>
      <c r="Y447" s="4" t="s">
        <v>35</v>
      </c>
      <c r="Z447" s="7" t="s">
        <v>35</v>
      </c>
      <c r="AA447" s="5"/>
      <c r="AB447" s="3"/>
      <c r="AC447" s="3"/>
      <c r="AD447" s="3"/>
      <c r="AE447" s="3"/>
      <c r="AF447" s="3"/>
      <c r="AG447" s="18"/>
      <c r="AH447" s="18"/>
      <c r="AI447" s="4"/>
      <c r="AJ447" s="4"/>
      <c r="AK447" s="7"/>
      <c r="AL447" s="5"/>
      <c r="AM447" s="3"/>
      <c r="AN447" s="3"/>
      <c r="AO447" s="3"/>
      <c r="AP447" s="3"/>
      <c r="AQ447" s="3" t="s">
        <v>35</v>
      </c>
      <c r="AR447" s="18" t="s">
        <v>35</v>
      </c>
      <c r="AS447" s="18" t="s">
        <v>35</v>
      </c>
      <c r="AT447" s="4"/>
      <c r="AU447" s="4"/>
      <c r="AV447" s="7"/>
      <c r="AW447" s="5"/>
      <c r="AX447" s="3"/>
      <c r="AY447" s="3"/>
      <c r="AZ447" s="3"/>
      <c r="BA447" s="3"/>
      <c r="BB447" s="3"/>
      <c r="BC447" s="18"/>
      <c r="BD447" s="18"/>
      <c r="BE447" s="4"/>
      <c r="BF447" s="4"/>
      <c r="BG447" s="7"/>
      <c r="BH447" s="5"/>
      <c r="BI447" s="3"/>
      <c r="BJ447" s="3"/>
      <c r="BK447" s="3"/>
      <c r="BL447" s="3"/>
      <c r="BM447" s="3"/>
      <c r="BN447" s="18"/>
      <c r="BO447" s="18"/>
      <c r="BP447" s="4"/>
      <c r="BQ447" s="4"/>
      <c r="BR447" s="7"/>
      <c r="BS447" s="18"/>
    </row>
    <row r="448" spans="1:71" x14ac:dyDescent="0.25">
      <c r="A448" s="18">
        <v>443</v>
      </c>
      <c r="B448" s="18"/>
      <c r="C448" s="18"/>
      <c r="D448" s="21"/>
      <c r="E448" s="5"/>
      <c r="F448" s="3"/>
      <c r="G448" s="3"/>
      <c r="H448" s="3"/>
      <c r="I448" s="3"/>
      <c r="J448" s="3"/>
      <c r="K448" s="18"/>
      <c r="L448" s="18"/>
      <c r="M448" s="4"/>
      <c r="N448" s="4"/>
      <c r="O448" s="7"/>
      <c r="P448" s="5"/>
      <c r="Q448" s="3"/>
      <c r="R448" s="3"/>
      <c r="S448" s="3"/>
      <c r="T448" s="3"/>
      <c r="U448" s="3" t="s">
        <v>35</v>
      </c>
      <c r="V448" s="18" t="s">
        <v>35</v>
      </c>
      <c r="W448" s="18" t="s">
        <v>35</v>
      </c>
      <c r="X448" s="4" t="s">
        <v>35</v>
      </c>
      <c r="Y448" s="4" t="s">
        <v>35</v>
      </c>
      <c r="Z448" s="7" t="s">
        <v>35</v>
      </c>
      <c r="AA448" s="5"/>
      <c r="AB448" s="3"/>
      <c r="AC448" s="3"/>
      <c r="AD448" s="3"/>
      <c r="AE448" s="3"/>
      <c r="AF448" s="3"/>
      <c r="AG448" s="18"/>
      <c r="AH448" s="18"/>
      <c r="AI448" s="4"/>
      <c r="AJ448" s="4"/>
      <c r="AK448" s="7"/>
      <c r="AL448" s="5"/>
      <c r="AM448" s="3"/>
      <c r="AN448" s="3"/>
      <c r="AO448" s="3"/>
      <c r="AP448" s="3"/>
      <c r="AQ448" s="3" t="s">
        <v>35</v>
      </c>
      <c r="AR448" s="18" t="s">
        <v>35</v>
      </c>
      <c r="AS448" s="18" t="s">
        <v>35</v>
      </c>
      <c r="AT448" s="4"/>
      <c r="AU448" s="4"/>
      <c r="AV448" s="7"/>
      <c r="AW448" s="5"/>
      <c r="AX448" s="3"/>
      <c r="AY448" s="3"/>
      <c r="AZ448" s="3"/>
      <c r="BA448" s="3"/>
      <c r="BB448" s="3"/>
      <c r="BC448" s="18"/>
      <c r="BD448" s="18"/>
      <c r="BE448" s="4"/>
      <c r="BF448" s="4"/>
      <c r="BG448" s="7"/>
      <c r="BH448" s="5"/>
      <c r="BI448" s="3"/>
      <c r="BJ448" s="3"/>
      <c r="BK448" s="3"/>
      <c r="BL448" s="3"/>
      <c r="BM448" s="3"/>
      <c r="BN448" s="18"/>
      <c r="BO448" s="18"/>
      <c r="BP448" s="4"/>
      <c r="BQ448" s="4"/>
      <c r="BR448" s="7"/>
      <c r="BS448" s="18"/>
    </row>
    <row r="449" spans="1:71" x14ac:dyDescent="0.25">
      <c r="A449" s="18">
        <v>444</v>
      </c>
      <c r="B449" s="18"/>
      <c r="C449" s="18"/>
      <c r="D449" s="21"/>
      <c r="E449" s="5"/>
      <c r="F449" s="3"/>
      <c r="G449" s="3"/>
      <c r="H449" s="3"/>
      <c r="I449" s="3"/>
      <c r="J449" s="3" t="s">
        <v>35</v>
      </c>
      <c r="K449" s="18"/>
      <c r="L449" s="18"/>
      <c r="M449" s="4"/>
      <c r="N449" s="4"/>
      <c r="O449" s="7"/>
      <c r="P449" s="5"/>
      <c r="Q449" s="3"/>
      <c r="R449" s="3"/>
      <c r="S449" s="3"/>
      <c r="T449" s="3"/>
      <c r="U449" s="3" t="s">
        <v>35</v>
      </c>
      <c r="V449" s="18" t="s">
        <v>35</v>
      </c>
      <c r="W449" s="18" t="s">
        <v>35</v>
      </c>
      <c r="X449" s="4" t="s">
        <v>35</v>
      </c>
      <c r="Y449" s="4" t="s">
        <v>35</v>
      </c>
      <c r="Z449" s="7" t="s">
        <v>35</v>
      </c>
      <c r="AA449" s="5"/>
      <c r="AB449" s="3"/>
      <c r="AC449" s="3"/>
      <c r="AD449" s="3"/>
      <c r="AE449" s="3"/>
      <c r="AF449" s="3"/>
      <c r="AG449" s="18"/>
      <c r="AH449" s="18"/>
      <c r="AI449" s="4"/>
      <c r="AJ449" s="4"/>
      <c r="AK449" s="7"/>
      <c r="AL449" s="5"/>
      <c r="AM449" s="3"/>
      <c r="AN449" s="3"/>
      <c r="AO449" s="3"/>
      <c r="AP449" s="3"/>
      <c r="AQ449" s="3" t="s">
        <v>35</v>
      </c>
      <c r="AR449" s="18" t="s">
        <v>35</v>
      </c>
      <c r="AS449" s="18" t="s">
        <v>35</v>
      </c>
      <c r="AT449" s="4"/>
      <c r="AU449" s="4"/>
      <c r="AV449" s="7"/>
      <c r="AW449" s="5"/>
      <c r="AX449" s="3"/>
      <c r="AY449" s="3"/>
      <c r="AZ449" s="3"/>
      <c r="BA449" s="3"/>
      <c r="BB449" s="3"/>
      <c r="BC449" s="18"/>
      <c r="BD449" s="18"/>
      <c r="BE449" s="4"/>
      <c r="BF449" s="4"/>
      <c r="BG449" s="7"/>
      <c r="BH449" s="5"/>
      <c r="BI449" s="3"/>
      <c r="BJ449" s="3"/>
      <c r="BK449" s="3"/>
      <c r="BL449" s="3"/>
      <c r="BM449" s="3"/>
      <c r="BN449" s="18"/>
      <c r="BO449" s="18"/>
      <c r="BP449" s="4"/>
      <c r="BQ449" s="4"/>
      <c r="BR449" s="7"/>
      <c r="BS449" s="18"/>
    </row>
    <row r="450" spans="1:71" x14ac:dyDescent="0.25">
      <c r="A450" s="1">
        <v>445</v>
      </c>
      <c r="B450" s="18"/>
      <c r="C450" s="18"/>
      <c r="D450" s="21"/>
      <c r="E450" s="5"/>
      <c r="F450" s="3"/>
      <c r="G450" s="3"/>
      <c r="H450" s="3"/>
      <c r="I450" s="3"/>
      <c r="J450" s="3" t="s">
        <v>35</v>
      </c>
      <c r="K450" s="18"/>
      <c r="L450" s="18"/>
      <c r="M450" s="4"/>
      <c r="N450" s="4"/>
      <c r="O450" s="7"/>
      <c r="P450" s="5"/>
      <c r="Q450" s="3"/>
      <c r="R450" s="3"/>
      <c r="S450" s="3"/>
      <c r="T450" s="3"/>
      <c r="U450" s="3" t="s">
        <v>35</v>
      </c>
      <c r="V450" s="18" t="s">
        <v>35</v>
      </c>
      <c r="W450" s="18" t="s">
        <v>35</v>
      </c>
      <c r="X450" s="4" t="s">
        <v>35</v>
      </c>
      <c r="Y450" s="4" t="s">
        <v>35</v>
      </c>
      <c r="Z450" s="7" t="s">
        <v>35</v>
      </c>
      <c r="AA450" s="5"/>
      <c r="AB450" s="3"/>
      <c r="AC450" s="3"/>
      <c r="AD450" s="3"/>
      <c r="AE450" s="3"/>
      <c r="AF450" s="3"/>
      <c r="AG450" s="18"/>
      <c r="AH450" s="18"/>
      <c r="AI450" s="4"/>
      <c r="AJ450" s="4"/>
      <c r="AK450" s="7"/>
      <c r="AL450" s="5"/>
      <c r="AM450" s="3"/>
      <c r="AN450" s="3"/>
      <c r="AO450" s="3"/>
      <c r="AP450" s="3"/>
      <c r="AQ450" s="3" t="s">
        <v>35</v>
      </c>
      <c r="AR450" s="18" t="s">
        <v>35</v>
      </c>
      <c r="AS450" s="18" t="s">
        <v>35</v>
      </c>
      <c r="AT450" s="4"/>
      <c r="AU450" s="4"/>
      <c r="AV450" s="7"/>
      <c r="AW450" s="5"/>
      <c r="AX450" s="3"/>
      <c r="AY450" s="3"/>
      <c r="AZ450" s="3"/>
      <c r="BA450" s="3"/>
      <c r="BB450" s="3"/>
      <c r="BC450" s="18"/>
      <c r="BD450" s="18"/>
      <c r="BE450" s="4"/>
      <c r="BF450" s="4"/>
      <c r="BG450" s="7"/>
      <c r="BH450" s="5"/>
      <c r="BI450" s="3"/>
      <c r="BJ450" s="3"/>
      <c r="BK450" s="3"/>
      <c r="BL450" s="3"/>
      <c r="BM450" s="3"/>
      <c r="BN450" s="18"/>
      <c r="BO450" s="18"/>
      <c r="BP450" s="4"/>
      <c r="BQ450" s="4"/>
      <c r="BR450" s="7"/>
      <c r="BS450" s="18"/>
    </row>
    <row r="451" spans="1:71" x14ac:dyDescent="0.25">
      <c r="A451" s="18">
        <v>446</v>
      </c>
      <c r="B451" s="18"/>
      <c r="C451" s="18"/>
      <c r="D451" s="21"/>
      <c r="E451" s="5"/>
      <c r="F451" s="3"/>
      <c r="G451" s="3"/>
      <c r="H451" s="3"/>
      <c r="I451" s="3"/>
      <c r="J451" s="3" t="s">
        <v>35</v>
      </c>
      <c r="K451" s="18"/>
      <c r="L451" s="18"/>
      <c r="M451" s="4"/>
      <c r="N451" s="4"/>
      <c r="O451" s="7"/>
      <c r="P451" s="5"/>
      <c r="Q451" s="3"/>
      <c r="R451" s="3"/>
      <c r="S451" s="3"/>
      <c r="T451" s="3"/>
      <c r="U451" s="3" t="s">
        <v>35</v>
      </c>
      <c r="V451" s="18" t="s">
        <v>35</v>
      </c>
      <c r="W451" s="18" t="s">
        <v>35</v>
      </c>
      <c r="X451" s="4" t="s">
        <v>35</v>
      </c>
      <c r="Y451" s="4" t="s">
        <v>35</v>
      </c>
      <c r="Z451" s="7" t="s">
        <v>35</v>
      </c>
      <c r="AA451" s="5"/>
      <c r="AB451" s="3"/>
      <c r="AC451" s="3"/>
      <c r="AD451" s="3"/>
      <c r="AE451" s="3"/>
      <c r="AF451" s="3"/>
      <c r="AG451" s="18"/>
      <c r="AH451" s="18"/>
      <c r="AI451" s="4"/>
      <c r="AJ451" s="4"/>
      <c r="AK451" s="7"/>
      <c r="AL451" s="5"/>
      <c r="AM451" s="3"/>
      <c r="AN451" s="3"/>
      <c r="AO451" s="3"/>
      <c r="AP451" s="3"/>
      <c r="AQ451" s="3" t="s">
        <v>35</v>
      </c>
      <c r="AR451" s="18" t="s">
        <v>35</v>
      </c>
      <c r="AS451" s="18" t="s">
        <v>35</v>
      </c>
      <c r="AT451" s="4"/>
      <c r="AU451" s="4"/>
      <c r="AV451" s="7"/>
      <c r="AW451" s="5"/>
      <c r="AX451" s="3"/>
      <c r="AY451" s="3"/>
      <c r="AZ451" s="3"/>
      <c r="BA451" s="3"/>
      <c r="BB451" s="3"/>
      <c r="BC451" s="18"/>
      <c r="BD451" s="18"/>
      <c r="BE451" s="4"/>
      <c r="BF451" s="4"/>
      <c r="BG451" s="7"/>
      <c r="BH451" s="5"/>
      <c r="BI451" s="3"/>
      <c r="BJ451" s="3"/>
      <c r="BK451" s="3"/>
      <c r="BL451" s="3"/>
      <c r="BM451" s="3"/>
      <c r="BN451" s="18"/>
      <c r="BO451" s="18"/>
      <c r="BP451" s="4"/>
      <c r="BQ451" s="4"/>
      <c r="BR451" s="7"/>
      <c r="BS451" s="18"/>
    </row>
    <row r="452" spans="1:71" x14ac:dyDescent="0.25">
      <c r="A452" s="18">
        <v>447</v>
      </c>
      <c r="B452" s="18"/>
      <c r="C452" s="18"/>
      <c r="D452" s="21"/>
      <c r="E452" s="5"/>
      <c r="F452" s="3"/>
      <c r="G452" s="3"/>
      <c r="H452" s="3"/>
      <c r="I452" s="3"/>
      <c r="J452" s="3" t="s">
        <v>35</v>
      </c>
      <c r="K452" s="18"/>
      <c r="L452" s="18"/>
      <c r="M452" s="4"/>
      <c r="N452" s="4"/>
      <c r="O452" s="7"/>
      <c r="P452" s="5"/>
      <c r="Q452" s="3"/>
      <c r="R452" s="3"/>
      <c r="S452" s="3"/>
      <c r="T452" s="3"/>
      <c r="U452" s="3" t="s">
        <v>35</v>
      </c>
      <c r="V452" s="18" t="s">
        <v>35</v>
      </c>
      <c r="W452" s="18" t="s">
        <v>35</v>
      </c>
      <c r="X452" s="4" t="s">
        <v>35</v>
      </c>
      <c r="Y452" s="4" t="s">
        <v>35</v>
      </c>
      <c r="Z452" s="7" t="s">
        <v>35</v>
      </c>
      <c r="AA452" s="5"/>
      <c r="AB452" s="3"/>
      <c r="AC452" s="3"/>
      <c r="AD452" s="3"/>
      <c r="AE452" s="3"/>
      <c r="AF452" s="3"/>
      <c r="AG452" s="18"/>
      <c r="AH452" s="18"/>
      <c r="AI452" s="4"/>
      <c r="AJ452" s="4"/>
      <c r="AK452" s="7"/>
      <c r="AL452" s="5"/>
      <c r="AM452" s="3"/>
      <c r="AN452" s="3"/>
      <c r="AO452" s="3"/>
      <c r="AP452" s="3"/>
      <c r="AQ452" s="3" t="s">
        <v>35</v>
      </c>
      <c r="AR452" s="18" t="s">
        <v>35</v>
      </c>
      <c r="AS452" s="18" t="s">
        <v>35</v>
      </c>
      <c r="AT452" s="4"/>
      <c r="AU452" s="4"/>
      <c r="AV452" s="7"/>
      <c r="AW452" s="5"/>
      <c r="AX452" s="3"/>
      <c r="AY452" s="3"/>
      <c r="AZ452" s="3"/>
      <c r="BA452" s="3"/>
      <c r="BB452" s="3"/>
      <c r="BC452" s="18"/>
      <c r="BD452" s="18"/>
      <c r="BE452" s="4"/>
      <c r="BF452" s="4"/>
      <c r="BG452" s="7"/>
      <c r="BH452" s="5"/>
      <c r="BI452" s="3"/>
      <c r="BJ452" s="3"/>
      <c r="BK452" s="3"/>
      <c r="BL452" s="3"/>
      <c r="BM452" s="3"/>
      <c r="BN452" s="18"/>
      <c r="BO452" s="18"/>
      <c r="BP452" s="4"/>
      <c r="BQ452" s="4"/>
      <c r="BR452" s="7"/>
      <c r="BS452" s="18"/>
    </row>
    <row r="453" spans="1:71" x14ac:dyDescent="0.25">
      <c r="A453" s="18">
        <v>448</v>
      </c>
      <c r="B453" s="18"/>
      <c r="C453" s="18"/>
      <c r="D453" s="21"/>
      <c r="E453" s="5"/>
      <c r="F453" s="3"/>
      <c r="G453" s="3"/>
      <c r="H453" s="3"/>
      <c r="I453" s="3"/>
      <c r="J453" s="3" t="s">
        <v>35</v>
      </c>
      <c r="K453" s="18"/>
      <c r="L453" s="18"/>
      <c r="M453" s="4"/>
      <c r="N453" s="4"/>
      <c r="O453" s="7"/>
      <c r="P453" s="5"/>
      <c r="Q453" s="3"/>
      <c r="R453" s="3"/>
      <c r="S453" s="3"/>
      <c r="T453" s="3"/>
      <c r="U453" s="3" t="s">
        <v>35</v>
      </c>
      <c r="V453" s="18" t="s">
        <v>35</v>
      </c>
      <c r="W453" s="18" t="s">
        <v>35</v>
      </c>
      <c r="X453" s="4" t="s">
        <v>35</v>
      </c>
      <c r="Y453" s="4" t="s">
        <v>35</v>
      </c>
      <c r="Z453" s="7" t="s">
        <v>35</v>
      </c>
      <c r="AA453" s="5"/>
      <c r="AB453" s="3"/>
      <c r="AC453" s="3"/>
      <c r="AD453" s="3"/>
      <c r="AE453" s="3"/>
      <c r="AF453" s="3"/>
      <c r="AG453" s="18"/>
      <c r="AH453" s="18"/>
      <c r="AI453" s="4"/>
      <c r="AJ453" s="4"/>
      <c r="AK453" s="7"/>
      <c r="AL453" s="5"/>
      <c r="AM453" s="3"/>
      <c r="AN453" s="3"/>
      <c r="AO453" s="3"/>
      <c r="AP453" s="3"/>
      <c r="AQ453" s="3" t="s">
        <v>35</v>
      </c>
      <c r="AR453" s="18" t="s">
        <v>35</v>
      </c>
      <c r="AS453" s="18" t="s">
        <v>35</v>
      </c>
      <c r="AT453" s="4"/>
      <c r="AU453" s="4"/>
      <c r="AV453" s="7"/>
      <c r="AW453" s="5"/>
      <c r="AX453" s="3"/>
      <c r="AY453" s="3"/>
      <c r="AZ453" s="3"/>
      <c r="BA453" s="3"/>
      <c r="BB453" s="3"/>
      <c r="BC453" s="18"/>
      <c r="BD453" s="18"/>
      <c r="BE453" s="4"/>
      <c r="BF453" s="4"/>
      <c r="BG453" s="7"/>
      <c r="BH453" s="5"/>
      <c r="BI453" s="3"/>
      <c r="BJ453" s="3"/>
      <c r="BK453" s="3"/>
      <c r="BL453" s="3"/>
      <c r="BM453" s="3"/>
      <c r="BN453" s="18"/>
      <c r="BO453" s="18"/>
      <c r="BP453" s="4"/>
      <c r="BQ453" s="4"/>
      <c r="BR453" s="7"/>
      <c r="BS453" s="18"/>
    </row>
    <row r="454" spans="1:71" x14ac:dyDescent="0.25">
      <c r="A454" s="18">
        <v>449</v>
      </c>
      <c r="B454" s="18"/>
      <c r="C454" s="18"/>
      <c r="D454" s="21"/>
      <c r="E454" s="5"/>
      <c r="F454" s="3"/>
      <c r="G454" s="3"/>
      <c r="H454" s="3"/>
      <c r="I454" s="3"/>
      <c r="J454" s="3" t="s">
        <v>35</v>
      </c>
      <c r="K454" s="18"/>
      <c r="L454" s="18"/>
      <c r="M454" s="4"/>
      <c r="N454" s="4"/>
      <c r="O454" s="7"/>
      <c r="P454" s="5"/>
      <c r="Q454" s="3"/>
      <c r="R454" s="3"/>
      <c r="S454" s="3"/>
      <c r="T454" s="3"/>
      <c r="U454" s="3" t="s">
        <v>35</v>
      </c>
      <c r="V454" s="18" t="s">
        <v>35</v>
      </c>
      <c r="W454" s="18" t="s">
        <v>35</v>
      </c>
      <c r="X454" s="4" t="s">
        <v>35</v>
      </c>
      <c r="Y454" s="4" t="s">
        <v>35</v>
      </c>
      <c r="Z454" s="7" t="s">
        <v>35</v>
      </c>
      <c r="AA454" s="5"/>
      <c r="AB454" s="3"/>
      <c r="AC454" s="3"/>
      <c r="AD454" s="3"/>
      <c r="AE454" s="3"/>
      <c r="AF454" s="3"/>
      <c r="AG454" s="18"/>
      <c r="AH454" s="18"/>
      <c r="AI454" s="4"/>
      <c r="AJ454" s="4"/>
      <c r="AK454" s="7"/>
      <c r="AL454" s="5"/>
      <c r="AM454" s="3"/>
      <c r="AN454" s="3"/>
      <c r="AO454" s="3"/>
      <c r="AP454" s="3"/>
      <c r="AQ454" s="3" t="s">
        <v>35</v>
      </c>
      <c r="AR454" s="18" t="s">
        <v>35</v>
      </c>
      <c r="AS454" s="18" t="s">
        <v>35</v>
      </c>
      <c r="AT454" s="4"/>
      <c r="AU454" s="4"/>
      <c r="AV454" s="7"/>
      <c r="AW454" s="5"/>
      <c r="AX454" s="3"/>
      <c r="AY454" s="3"/>
      <c r="AZ454" s="3"/>
      <c r="BA454" s="3"/>
      <c r="BB454" s="3"/>
      <c r="BC454" s="18"/>
      <c r="BD454" s="18"/>
      <c r="BE454" s="4"/>
      <c r="BF454" s="4"/>
      <c r="BG454" s="7"/>
      <c r="BH454" s="5"/>
      <c r="BI454" s="3"/>
      <c r="BJ454" s="3"/>
      <c r="BK454" s="3"/>
      <c r="BL454" s="3"/>
      <c r="BM454" s="3"/>
      <c r="BN454" s="18"/>
      <c r="BO454" s="18"/>
      <c r="BP454" s="4"/>
      <c r="BQ454" s="4"/>
      <c r="BR454" s="7"/>
      <c r="BS454" s="18"/>
    </row>
    <row r="455" spans="1:71" x14ac:dyDescent="0.25">
      <c r="A455" s="1">
        <v>450</v>
      </c>
      <c r="B455" s="18"/>
      <c r="C455" s="18"/>
      <c r="D455" s="21"/>
      <c r="E455" s="5"/>
      <c r="F455" s="3"/>
      <c r="G455" s="3"/>
      <c r="H455" s="3"/>
      <c r="I455" s="3"/>
      <c r="J455" s="3" t="s">
        <v>35</v>
      </c>
      <c r="K455" s="18"/>
      <c r="L455" s="18"/>
      <c r="M455" s="4"/>
      <c r="N455" s="4"/>
      <c r="O455" s="7"/>
      <c r="P455" s="5"/>
      <c r="Q455" s="3"/>
      <c r="R455" s="3"/>
      <c r="S455" s="3"/>
      <c r="T455" s="3"/>
      <c r="U455" s="3" t="s">
        <v>35</v>
      </c>
      <c r="V455" s="18" t="s">
        <v>35</v>
      </c>
      <c r="W455" s="18" t="s">
        <v>35</v>
      </c>
      <c r="X455" s="4" t="s">
        <v>35</v>
      </c>
      <c r="Y455" s="4" t="s">
        <v>35</v>
      </c>
      <c r="Z455" s="7" t="s">
        <v>35</v>
      </c>
      <c r="AA455" s="5"/>
      <c r="AB455" s="3"/>
      <c r="AC455" s="3"/>
      <c r="AD455" s="3"/>
      <c r="AE455" s="3"/>
      <c r="AF455" s="3"/>
      <c r="AG455" s="18"/>
      <c r="AH455" s="18"/>
      <c r="AI455" s="4"/>
      <c r="AJ455" s="4"/>
      <c r="AK455" s="7"/>
      <c r="AL455" s="5"/>
      <c r="AM455" s="3"/>
      <c r="AN455" s="3"/>
      <c r="AO455" s="3"/>
      <c r="AP455" s="3"/>
      <c r="AQ455" s="3" t="s">
        <v>35</v>
      </c>
      <c r="AR455" s="18" t="s">
        <v>35</v>
      </c>
      <c r="AS455" s="18" t="s">
        <v>35</v>
      </c>
      <c r="AT455" s="4"/>
      <c r="AU455" s="4"/>
      <c r="AV455" s="7"/>
      <c r="AW455" s="5"/>
      <c r="AX455" s="3"/>
      <c r="AY455" s="3"/>
      <c r="AZ455" s="3"/>
      <c r="BA455" s="3"/>
      <c r="BB455" s="3"/>
      <c r="BC455" s="18"/>
      <c r="BD455" s="18"/>
      <c r="BE455" s="4"/>
      <c r="BF455" s="4"/>
      <c r="BG455" s="7"/>
      <c r="BH455" s="5"/>
      <c r="BI455" s="3"/>
      <c r="BJ455" s="3"/>
      <c r="BK455" s="3"/>
      <c r="BL455" s="3"/>
      <c r="BM455" s="3"/>
      <c r="BN455" s="18"/>
      <c r="BO455" s="18"/>
      <c r="BP455" s="4"/>
      <c r="BQ455" s="4"/>
      <c r="BR455" s="7"/>
      <c r="BS455" s="18"/>
    </row>
    <row r="456" spans="1:71" x14ac:dyDescent="0.25">
      <c r="A456" s="18">
        <v>451</v>
      </c>
      <c r="B456" s="18"/>
      <c r="C456" s="18"/>
      <c r="D456" s="21"/>
      <c r="E456" s="5"/>
      <c r="F456" s="3"/>
      <c r="G456" s="3"/>
      <c r="H456" s="3"/>
      <c r="I456" s="3"/>
      <c r="J456" s="3" t="s">
        <v>35</v>
      </c>
      <c r="K456" s="18"/>
      <c r="L456" s="18"/>
      <c r="M456" s="4"/>
      <c r="N456" s="4"/>
      <c r="O456" s="7"/>
      <c r="P456" s="5"/>
      <c r="Q456" s="3"/>
      <c r="R456" s="3"/>
      <c r="S456" s="3"/>
      <c r="T456" s="3"/>
      <c r="U456" s="3" t="s">
        <v>35</v>
      </c>
      <c r="V456" s="18" t="s">
        <v>35</v>
      </c>
      <c r="W456" s="18" t="s">
        <v>35</v>
      </c>
      <c r="X456" s="4" t="s">
        <v>35</v>
      </c>
      <c r="Y456" s="4" t="s">
        <v>35</v>
      </c>
      <c r="Z456" s="7" t="s">
        <v>35</v>
      </c>
      <c r="AA456" s="5"/>
      <c r="AB456" s="3"/>
      <c r="AC456" s="3"/>
      <c r="AD456" s="3"/>
      <c r="AE456" s="3"/>
      <c r="AF456" s="3"/>
      <c r="AG456" s="18"/>
      <c r="AH456" s="18"/>
      <c r="AI456" s="4"/>
      <c r="AJ456" s="4"/>
      <c r="AK456" s="7"/>
      <c r="AL456" s="5"/>
      <c r="AM456" s="3"/>
      <c r="AN456" s="3"/>
      <c r="AO456" s="3"/>
      <c r="AP456" s="3"/>
      <c r="AQ456" s="3" t="s">
        <v>35</v>
      </c>
      <c r="AR456" s="18" t="s">
        <v>35</v>
      </c>
      <c r="AS456" s="18" t="s">
        <v>35</v>
      </c>
      <c r="AT456" s="4"/>
      <c r="AU456" s="4"/>
      <c r="AV456" s="7"/>
      <c r="AW456" s="5"/>
      <c r="AX456" s="3"/>
      <c r="AY456" s="3"/>
      <c r="AZ456" s="3"/>
      <c r="BA456" s="3"/>
      <c r="BB456" s="3"/>
      <c r="BC456" s="18"/>
      <c r="BD456" s="18"/>
      <c r="BE456" s="4"/>
      <c r="BF456" s="4"/>
      <c r="BG456" s="7"/>
      <c r="BH456" s="5"/>
      <c r="BI456" s="3"/>
      <c r="BJ456" s="3"/>
      <c r="BK456" s="3"/>
      <c r="BL456" s="3"/>
      <c r="BM456" s="3"/>
      <c r="BN456" s="18"/>
      <c r="BO456" s="18"/>
      <c r="BP456" s="4"/>
      <c r="BQ456" s="4"/>
      <c r="BR456" s="7"/>
      <c r="BS456" s="18"/>
    </row>
    <row r="457" spans="1:71" x14ac:dyDescent="0.25">
      <c r="A457" s="18">
        <v>452</v>
      </c>
      <c r="B457" s="18"/>
      <c r="C457" s="18"/>
      <c r="D457" s="21"/>
      <c r="E457" s="5"/>
      <c r="F457" s="3"/>
      <c r="G457" s="3"/>
      <c r="H457" s="3"/>
      <c r="I457" s="3"/>
      <c r="J457" s="3" t="s">
        <v>35</v>
      </c>
      <c r="K457" s="18"/>
      <c r="L457" s="18"/>
      <c r="M457" s="4"/>
      <c r="N457" s="4"/>
      <c r="O457" s="7"/>
      <c r="P457" s="5"/>
      <c r="Q457" s="3"/>
      <c r="R457" s="3"/>
      <c r="S457" s="3"/>
      <c r="T457" s="3"/>
      <c r="U457" s="3" t="s">
        <v>35</v>
      </c>
      <c r="V457" s="18" t="s">
        <v>35</v>
      </c>
      <c r="W457" s="18" t="s">
        <v>35</v>
      </c>
      <c r="X457" s="4" t="s">
        <v>35</v>
      </c>
      <c r="Y457" s="4" t="s">
        <v>35</v>
      </c>
      <c r="Z457" s="7" t="s">
        <v>35</v>
      </c>
      <c r="AA457" s="5"/>
      <c r="AB457" s="3"/>
      <c r="AC457" s="3"/>
      <c r="AD457" s="3"/>
      <c r="AE457" s="3"/>
      <c r="AF457" s="3"/>
      <c r="AG457" s="18"/>
      <c r="AH457" s="18"/>
      <c r="AI457" s="4"/>
      <c r="AJ457" s="4"/>
      <c r="AK457" s="7"/>
      <c r="AL457" s="5"/>
      <c r="AM457" s="3"/>
      <c r="AN457" s="3"/>
      <c r="AO457" s="3"/>
      <c r="AP457" s="3"/>
      <c r="AQ457" s="3" t="s">
        <v>35</v>
      </c>
      <c r="AR457" s="18" t="s">
        <v>35</v>
      </c>
      <c r="AS457" s="18" t="s">
        <v>35</v>
      </c>
      <c r="AT457" s="4"/>
      <c r="AU457" s="4"/>
      <c r="AV457" s="7"/>
      <c r="AW457" s="5"/>
      <c r="AX457" s="3"/>
      <c r="AY457" s="3"/>
      <c r="AZ457" s="3"/>
      <c r="BA457" s="3"/>
      <c r="BB457" s="3"/>
      <c r="BC457" s="18"/>
      <c r="BD457" s="18"/>
      <c r="BE457" s="4"/>
      <c r="BF457" s="4"/>
      <c r="BG457" s="7"/>
      <c r="BH457" s="5"/>
      <c r="BI457" s="3"/>
      <c r="BJ457" s="3"/>
      <c r="BK457" s="3"/>
      <c r="BL457" s="3"/>
      <c r="BM457" s="3"/>
      <c r="BN457" s="18"/>
      <c r="BO457" s="18"/>
      <c r="BP457" s="4"/>
      <c r="BQ457" s="4"/>
      <c r="BR457" s="7"/>
      <c r="BS457" s="18"/>
    </row>
    <row r="458" spans="1:71" x14ac:dyDescent="0.25">
      <c r="A458" s="18">
        <v>453</v>
      </c>
      <c r="B458" s="18"/>
      <c r="C458" s="18"/>
      <c r="D458" s="21"/>
      <c r="E458" s="5"/>
      <c r="F458" s="3"/>
      <c r="G458" s="3"/>
      <c r="H458" s="3"/>
      <c r="I458" s="3"/>
      <c r="J458" s="3" t="s">
        <v>35</v>
      </c>
      <c r="K458" s="18"/>
      <c r="L458" s="18"/>
      <c r="M458" s="4"/>
      <c r="N458" s="4"/>
      <c r="O458" s="7"/>
      <c r="P458" s="5"/>
      <c r="Q458" s="3"/>
      <c r="R458" s="3"/>
      <c r="S458" s="3"/>
      <c r="T458" s="3"/>
      <c r="U458" s="3" t="s">
        <v>35</v>
      </c>
      <c r="V458" s="18" t="s">
        <v>35</v>
      </c>
      <c r="W458" s="18" t="s">
        <v>35</v>
      </c>
      <c r="X458" s="4" t="s">
        <v>35</v>
      </c>
      <c r="Y458" s="4" t="s">
        <v>35</v>
      </c>
      <c r="Z458" s="7" t="s">
        <v>35</v>
      </c>
      <c r="AA458" s="5"/>
      <c r="AB458" s="3"/>
      <c r="AC458" s="3"/>
      <c r="AD458" s="3"/>
      <c r="AE458" s="3"/>
      <c r="AF458" s="3"/>
      <c r="AG458" s="18"/>
      <c r="AH458" s="18"/>
      <c r="AI458" s="4"/>
      <c r="AJ458" s="4"/>
      <c r="AK458" s="7"/>
      <c r="AL458" s="5"/>
      <c r="AM458" s="3"/>
      <c r="AN458" s="3"/>
      <c r="AO458" s="3"/>
      <c r="AP458" s="3"/>
      <c r="AQ458" s="3" t="s">
        <v>35</v>
      </c>
      <c r="AR458" s="18" t="s">
        <v>35</v>
      </c>
      <c r="AS458" s="18" t="s">
        <v>35</v>
      </c>
      <c r="AT458" s="4"/>
      <c r="AU458" s="4"/>
      <c r="AV458" s="7"/>
      <c r="AW458" s="5"/>
      <c r="AX458" s="3"/>
      <c r="AY458" s="3"/>
      <c r="AZ458" s="3"/>
      <c r="BA458" s="3"/>
      <c r="BB458" s="3"/>
      <c r="BC458" s="18"/>
      <c r="BD458" s="18"/>
      <c r="BE458" s="4"/>
      <c r="BF458" s="4"/>
      <c r="BG458" s="7"/>
      <c r="BH458" s="5"/>
      <c r="BI458" s="3"/>
      <c r="BJ458" s="3"/>
      <c r="BK458" s="3"/>
      <c r="BL458" s="3"/>
      <c r="BM458" s="3"/>
      <c r="BN458" s="18"/>
      <c r="BO458" s="18"/>
      <c r="BP458" s="4"/>
      <c r="BQ458" s="4"/>
      <c r="BR458" s="7"/>
      <c r="BS458" s="18"/>
    </row>
    <row r="459" spans="1:71" x14ac:dyDescent="0.25">
      <c r="A459" s="18">
        <v>454</v>
      </c>
      <c r="B459" s="18"/>
      <c r="C459" s="18"/>
      <c r="D459" s="21"/>
      <c r="E459" s="5"/>
      <c r="F459" s="3"/>
      <c r="G459" s="3"/>
      <c r="H459" s="3"/>
      <c r="I459" s="3"/>
      <c r="J459" s="3" t="s">
        <v>35</v>
      </c>
      <c r="K459" s="18"/>
      <c r="L459" s="18"/>
      <c r="M459" s="4"/>
      <c r="N459" s="4"/>
      <c r="O459" s="7"/>
      <c r="P459" s="5"/>
      <c r="Q459" s="3"/>
      <c r="R459" s="3"/>
      <c r="S459" s="3"/>
      <c r="T459" s="3"/>
      <c r="U459" s="3" t="s">
        <v>35</v>
      </c>
      <c r="V459" s="18" t="s">
        <v>35</v>
      </c>
      <c r="W459" s="18" t="s">
        <v>35</v>
      </c>
      <c r="X459" s="4" t="s">
        <v>35</v>
      </c>
      <c r="Y459" s="4" t="s">
        <v>35</v>
      </c>
      <c r="Z459" s="7" t="s">
        <v>35</v>
      </c>
      <c r="AA459" s="5"/>
      <c r="AB459" s="3"/>
      <c r="AC459" s="3"/>
      <c r="AD459" s="3"/>
      <c r="AE459" s="3"/>
      <c r="AF459" s="3"/>
      <c r="AG459" s="18"/>
      <c r="AH459" s="18"/>
      <c r="AI459" s="4"/>
      <c r="AJ459" s="4"/>
      <c r="AK459" s="7"/>
      <c r="AL459" s="5"/>
      <c r="AM459" s="3"/>
      <c r="AN459" s="3"/>
      <c r="AO459" s="3"/>
      <c r="AP459" s="3"/>
      <c r="AQ459" s="3" t="s">
        <v>35</v>
      </c>
      <c r="AR459" s="18" t="s">
        <v>35</v>
      </c>
      <c r="AS459" s="18" t="s">
        <v>35</v>
      </c>
      <c r="AT459" s="4"/>
      <c r="AU459" s="4"/>
      <c r="AV459" s="7"/>
      <c r="AW459" s="5"/>
      <c r="AX459" s="3"/>
      <c r="AY459" s="3"/>
      <c r="AZ459" s="3"/>
      <c r="BA459" s="3"/>
      <c r="BB459" s="3"/>
      <c r="BC459" s="18"/>
      <c r="BD459" s="18"/>
      <c r="BE459" s="4"/>
      <c r="BF459" s="4"/>
      <c r="BG459" s="7"/>
      <c r="BH459" s="5"/>
      <c r="BI459" s="3"/>
      <c r="BJ459" s="3"/>
      <c r="BK459" s="3"/>
      <c r="BL459" s="3"/>
      <c r="BM459" s="3"/>
      <c r="BN459" s="18"/>
      <c r="BO459" s="18"/>
      <c r="BP459" s="4"/>
      <c r="BQ459" s="4"/>
      <c r="BR459" s="7"/>
      <c r="BS459" s="18"/>
    </row>
    <row r="460" spans="1:71" x14ac:dyDescent="0.25">
      <c r="A460" s="1">
        <v>455</v>
      </c>
      <c r="B460" s="18"/>
      <c r="C460" s="18"/>
      <c r="D460" s="21"/>
      <c r="E460" s="5"/>
      <c r="F460" s="3"/>
      <c r="G460" s="3"/>
      <c r="H460" s="3"/>
      <c r="I460" s="3"/>
      <c r="J460" s="3" t="s">
        <v>35</v>
      </c>
      <c r="K460" s="18"/>
      <c r="L460" s="18"/>
      <c r="M460" s="4"/>
      <c r="N460" s="4"/>
      <c r="O460" s="7"/>
      <c r="P460" s="5"/>
      <c r="Q460" s="3"/>
      <c r="R460" s="3"/>
      <c r="S460" s="3"/>
      <c r="T460" s="3"/>
      <c r="U460" s="3" t="s">
        <v>35</v>
      </c>
      <c r="V460" s="18" t="s">
        <v>35</v>
      </c>
      <c r="W460" s="18" t="s">
        <v>35</v>
      </c>
      <c r="X460" s="4" t="s">
        <v>35</v>
      </c>
      <c r="Y460" s="4" t="s">
        <v>35</v>
      </c>
      <c r="Z460" s="7" t="s">
        <v>35</v>
      </c>
      <c r="AA460" s="5"/>
      <c r="AB460" s="3"/>
      <c r="AC460" s="3"/>
      <c r="AD460" s="3"/>
      <c r="AE460" s="3"/>
      <c r="AF460" s="3" t="s">
        <v>35</v>
      </c>
      <c r="AG460" s="18" t="s">
        <v>35</v>
      </c>
      <c r="AH460" s="18" t="s">
        <v>35</v>
      </c>
      <c r="AI460" s="4" t="s">
        <v>35</v>
      </c>
      <c r="AJ460" s="4" t="s">
        <v>35</v>
      </c>
      <c r="AK460" s="7" t="s">
        <v>35</v>
      </c>
      <c r="AL460" s="5"/>
      <c r="AM460" s="3"/>
      <c r="AN460" s="3"/>
      <c r="AO460" s="3"/>
      <c r="AP460" s="3"/>
      <c r="AQ460" s="3" t="s">
        <v>35</v>
      </c>
      <c r="AR460" s="18" t="s">
        <v>35</v>
      </c>
      <c r="AS460" s="18" t="s">
        <v>35</v>
      </c>
      <c r="AT460" s="4" t="s">
        <v>35</v>
      </c>
      <c r="AU460" s="4" t="s">
        <v>35</v>
      </c>
      <c r="AV460" s="7" t="s">
        <v>35</v>
      </c>
      <c r="AW460" s="5"/>
      <c r="AX460" s="3"/>
      <c r="AY460" s="3"/>
      <c r="AZ460" s="3"/>
      <c r="BA460" s="3"/>
      <c r="BB460" s="3" t="s">
        <v>35</v>
      </c>
      <c r="BC460" s="18"/>
      <c r="BD460" s="18"/>
      <c r="BE460" s="4" t="s">
        <v>35</v>
      </c>
      <c r="BF460" s="4" t="s">
        <v>35</v>
      </c>
      <c r="BG460" s="7" t="s">
        <v>35</v>
      </c>
      <c r="BH460" s="5"/>
      <c r="BI460" s="3"/>
      <c r="BJ460" s="3"/>
      <c r="BK460" s="3"/>
      <c r="BL460" s="3"/>
      <c r="BM460" s="3" t="s">
        <v>35</v>
      </c>
      <c r="BN460" s="18" t="s">
        <v>35</v>
      </c>
      <c r="BO460" s="18" t="s">
        <v>35</v>
      </c>
      <c r="BP460" s="4" t="s">
        <v>35</v>
      </c>
      <c r="BQ460" s="4" t="s">
        <v>35</v>
      </c>
      <c r="BR460" s="7" t="s">
        <v>35</v>
      </c>
      <c r="BS460" s="18" t="s">
        <v>35</v>
      </c>
    </row>
    <row r="461" spans="1:71" x14ac:dyDescent="0.25">
      <c r="A461" s="18">
        <v>456</v>
      </c>
      <c r="B461" s="18"/>
      <c r="C461" s="18"/>
      <c r="D461" s="21"/>
      <c r="E461" s="5"/>
      <c r="F461" s="3"/>
      <c r="G461" s="3"/>
      <c r="H461" s="3"/>
      <c r="I461" s="3"/>
      <c r="J461" s="3" t="s">
        <v>35</v>
      </c>
      <c r="K461" s="18"/>
      <c r="L461" s="18"/>
      <c r="M461" s="4"/>
      <c r="N461" s="4"/>
      <c r="O461" s="7"/>
      <c r="P461" s="5"/>
      <c r="Q461" s="3"/>
      <c r="R461" s="3"/>
      <c r="S461" s="3"/>
      <c r="T461" s="3"/>
      <c r="U461" s="3" t="s">
        <v>35</v>
      </c>
      <c r="V461" s="18" t="s">
        <v>35</v>
      </c>
      <c r="W461" s="18" t="s">
        <v>35</v>
      </c>
      <c r="X461" s="4" t="s">
        <v>35</v>
      </c>
      <c r="Y461" s="4" t="s">
        <v>35</v>
      </c>
      <c r="Z461" s="7" t="s">
        <v>35</v>
      </c>
      <c r="AA461" s="5"/>
      <c r="AB461" s="3"/>
      <c r="AC461" s="3"/>
      <c r="AD461" s="3"/>
      <c r="AE461" s="3"/>
      <c r="AF461" s="3" t="s">
        <v>35</v>
      </c>
      <c r="AG461" s="18" t="s">
        <v>35</v>
      </c>
      <c r="AH461" s="18" t="s">
        <v>35</v>
      </c>
      <c r="AI461" s="4" t="s">
        <v>35</v>
      </c>
      <c r="AJ461" s="4" t="s">
        <v>35</v>
      </c>
      <c r="AK461" s="7" t="s">
        <v>35</v>
      </c>
      <c r="AL461" s="5"/>
      <c r="AM461" s="3"/>
      <c r="AN461" s="3"/>
      <c r="AO461" s="3"/>
      <c r="AP461" s="3"/>
      <c r="AQ461" s="3" t="s">
        <v>35</v>
      </c>
      <c r="AR461" s="18" t="s">
        <v>35</v>
      </c>
      <c r="AS461" s="18" t="s">
        <v>35</v>
      </c>
      <c r="AT461" s="4" t="s">
        <v>35</v>
      </c>
      <c r="AU461" s="4" t="s">
        <v>35</v>
      </c>
      <c r="AV461" s="7" t="s">
        <v>35</v>
      </c>
      <c r="AW461" s="5"/>
      <c r="AX461" s="3"/>
      <c r="AY461" s="3"/>
      <c r="AZ461" s="3"/>
      <c r="BA461" s="3"/>
      <c r="BB461" s="3" t="s">
        <v>35</v>
      </c>
      <c r="BC461" s="18"/>
      <c r="BD461" s="18"/>
      <c r="BE461" s="4" t="s">
        <v>35</v>
      </c>
      <c r="BF461" s="4" t="s">
        <v>35</v>
      </c>
      <c r="BG461" s="7" t="s">
        <v>35</v>
      </c>
      <c r="BH461" s="5"/>
      <c r="BI461" s="3"/>
      <c r="BJ461" s="3"/>
      <c r="BK461" s="3"/>
      <c r="BL461" s="3"/>
      <c r="BM461" s="3" t="s">
        <v>35</v>
      </c>
      <c r="BN461" s="18" t="s">
        <v>35</v>
      </c>
      <c r="BO461" s="18" t="s">
        <v>35</v>
      </c>
      <c r="BP461" s="4" t="s">
        <v>35</v>
      </c>
      <c r="BQ461" s="4" t="s">
        <v>35</v>
      </c>
      <c r="BR461" s="7" t="s">
        <v>35</v>
      </c>
      <c r="BS461" s="18" t="s">
        <v>35</v>
      </c>
    </row>
    <row r="462" spans="1:71" x14ac:dyDescent="0.25">
      <c r="A462" s="18">
        <v>457</v>
      </c>
      <c r="B462" s="18"/>
      <c r="C462" s="18"/>
      <c r="D462" s="21"/>
      <c r="E462" s="5"/>
      <c r="F462" s="3"/>
      <c r="G462" s="3"/>
      <c r="H462" s="3"/>
      <c r="I462" s="3"/>
      <c r="J462" s="3" t="s">
        <v>35</v>
      </c>
      <c r="K462" s="18"/>
      <c r="L462" s="18"/>
      <c r="M462" s="4"/>
      <c r="N462" s="4"/>
      <c r="O462" s="7"/>
      <c r="P462" s="5"/>
      <c r="Q462" s="3"/>
      <c r="R462" s="3"/>
      <c r="S462" s="3"/>
      <c r="T462" s="3"/>
      <c r="U462" s="3" t="s">
        <v>35</v>
      </c>
      <c r="V462" s="18" t="s">
        <v>35</v>
      </c>
      <c r="W462" s="18" t="s">
        <v>35</v>
      </c>
      <c r="X462" s="4" t="s">
        <v>35</v>
      </c>
      <c r="Y462" s="4" t="s">
        <v>35</v>
      </c>
      <c r="Z462" s="7" t="s">
        <v>35</v>
      </c>
      <c r="AA462" s="5"/>
      <c r="AB462" s="3"/>
      <c r="AC462" s="3"/>
      <c r="AD462" s="3"/>
      <c r="AE462" s="3"/>
      <c r="AF462" s="3" t="s">
        <v>35</v>
      </c>
      <c r="AG462" s="18" t="s">
        <v>35</v>
      </c>
      <c r="AH462" s="18" t="s">
        <v>35</v>
      </c>
      <c r="AI462" s="4" t="s">
        <v>35</v>
      </c>
      <c r="AJ462" s="4" t="s">
        <v>35</v>
      </c>
      <c r="AK462" s="7" t="s">
        <v>35</v>
      </c>
      <c r="AL462" s="5"/>
      <c r="AM462" s="3"/>
      <c r="AN462" s="3"/>
      <c r="AO462" s="3"/>
      <c r="AP462" s="3"/>
      <c r="AQ462" s="3" t="s">
        <v>35</v>
      </c>
      <c r="AR462" s="18" t="s">
        <v>35</v>
      </c>
      <c r="AS462" s="18" t="s">
        <v>35</v>
      </c>
      <c r="AT462" s="4" t="s">
        <v>35</v>
      </c>
      <c r="AU462" s="4" t="s">
        <v>35</v>
      </c>
      <c r="AV462" s="7" t="s">
        <v>35</v>
      </c>
      <c r="AW462" s="5"/>
      <c r="AX462" s="3"/>
      <c r="AY462" s="3"/>
      <c r="AZ462" s="3"/>
      <c r="BA462" s="3"/>
      <c r="BB462" s="3" t="s">
        <v>35</v>
      </c>
      <c r="BC462" s="18"/>
      <c r="BD462" s="18"/>
      <c r="BE462" s="4" t="s">
        <v>35</v>
      </c>
      <c r="BF462" s="4" t="s">
        <v>35</v>
      </c>
      <c r="BG462" s="7" t="s">
        <v>35</v>
      </c>
      <c r="BH462" s="5"/>
      <c r="BI462" s="3"/>
      <c r="BJ462" s="3"/>
      <c r="BK462" s="3"/>
      <c r="BL462" s="3"/>
      <c r="BM462" s="3" t="s">
        <v>35</v>
      </c>
      <c r="BN462" s="18" t="s">
        <v>35</v>
      </c>
      <c r="BO462" s="18" t="s">
        <v>35</v>
      </c>
      <c r="BP462" s="4" t="s">
        <v>35</v>
      </c>
      <c r="BQ462" s="4" t="s">
        <v>35</v>
      </c>
      <c r="BR462" s="7" t="s">
        <v>35</v>
      </c>
      <c r="BS462" s="18" t="s">
        <v>35</v>
      </c>
    </row>
    <row r="463" spans="1:71" x14ac:dyDescent="0.25">
      <c r="A463" s="18">
        <v>458</v>
      </c>
      <c r="B463" s="18"/>
      <c r="C463" s="18"/>
      <c r="D463" s="21"/>
      <c r="E463" s="5"/>
      <c r="F463" s="3"/>
      <c r="G463" s="3"/>
      <c r="H463" s="3"/>
      <c r="I463" s="3"/>
      <c r="J463" s="3" t="s">
        <v>35</v>
      </c>
      <c r="K463" s="18"/>
      <c r="L463" s="18"/>
      <c r="M463" s="4"/>
      <c r="N463" s="4"/>
      <c r="O463" s="7"/>
      <c r="P463" s="5"/>
      <c r="Q463" s="3"/>
      <c r="R463" s="3"/>
      <c r="S463" s="3"/>
      <c r="T463" s="3"/>
      <c r="U463" s="3" t="s">
        <v>35</v>
      </c>
      <c r="V463" s="18" t="s">
        <v>35</v>
      </c>
      <c r="W463" s="18" t="s">
        <v>35</v>
      </c>
      <c r="X463" s="4" t="s">
        <v>35</v>
      </c>
      <c r="Y463" s="4" t="s">
        <v>35</v>
      </c>
      <c r="Z463" s="7" t="s">
        <v>35</v>
      </c>
      <c r="AA463" s="5"/>
      <c r="AB463" s="3"/>
      <c r="AC463" s="3"/>
      <c r="AD463" s="3"/>
      <c r="AE463" s="3"/>
      <c r="AF463" s="3" t="s">
        <v>35</v>
      </c>
      <c r="AG463" s="18" t="s">
        <v>35</v>
      </c>
      <c r="AH463" s="18" t="s">
        <v>35</v>
      </c>
      <c r="AI463" s="4" t="s">
        <v>35</v>
      </c>
      <c r="AJ463" s="4" t="s">
        <v>35</v>
      </c>
      <c r="AK463" s="7" t="s">
        <v>35</v>
      </c>
      <c r="AL463" s="5"/>
      <c r="AM463" s="3"/>
      <c r="AN463" s="3"/>
      <c r="AO463" s="3"/>
      <c r="AP463" s="3"/>
      <c r="AQ463" s="3" t="s">
        <v>35</v>
      </c>
      <c r="AR463" s="18" t="s">
        <v>35</v>
      </c>
      <c r="AS463" s="18" t="s">
        <v>35</v>
      </c>
      <c r="AT463" s="4" t="s">
        <v>35</v>
      </c>
      <c r="AU463" s="4" t="s">
        <v>35</v>
      </c>
      <c r="AV463" s="7" t="s">
        <v>35</v>
      </c>
      <c r="AW463" s="5"/>
      <c r="AX463" s="3"/>
      <c r="AY463" s="3"/>
      <c r="AZ463" s="3"/>
      <c r="BA463" s="3"/>
      <c r="BB463" s="3" t="s">
        <v>35</v>
      </c>
      <c r="BC463" s="18"/>
      <c r="BD463" s="18"/>
      <c r="BE463" s="4" t="s">
        <v>35</v>
      </c>
      <c r="BF463" s="4" t="s">
        <v>35</v>
      </c>
      <c r="BG463" s="7" t="s">
        <v>35</v>
      </c>
      <c r="BH463" s="5"/>
      <c r="BI463" s="3"/>
      <c r="BJ463" s="3"/>
      <c r="BK463" s="3"/>
      <c r="BL463" s="3"/>
      <c r="BM463" s="3" t="s">
        <v>35</v>
      </c>
      <c r="BN463" s="18" t="s">
        <v>35</v>
      </c>
      <c r="BO463" s="18" t="s">
        <v>35</v>
      </c>
      <c r="BP463" s="4" t="s">
        <v>35</v>
      </c>
      <c r="BQ463" s="4" t="s">
        <v>35</v>
      </c>
      <c r="BR463" s="7" t="s">
        <v>35</v>
      </c>
      <c r="BS463" s="18" t="s">
        <v>35</v>
      </c>
    </row>
    <row r="464" spans="1:71" x14ac:dyDescent="0.25">
      <c r="A464" s="18">
        <v>459</v>
      </c>
      <c r="B464" s="18"/>
      <c r="C464" s="18"/>
      <c r="D464" s="21"/>
      <c r="E464" s="5"/>
      <c r="F464" s="3"/>
      <c r="G464" s="3"/>
      <c r="H464" s="3"/>
      <c r="I464" s="3"/>
      <c r="J464" s="3" t="s">
        <v>35</v>
      </c>
      <c r="K464" s="18"/>
      <c r="L464" s="18"/>
      <c r="M464" s="4"/>
      <c r="N464" s="4"/>
      <c r="O464" s="7"/>
      <c r="P464" s="5"/>
      <c r="Q464" s="3"/>
      <c r="R464" s="3"/>
      <c r="S464" s="3"/>
      <c r="T464" s="3"/>
      <c r="U464" s="3" t="s">
        <v>35</v>
      </c>
      <c r="V464" s="18" t="s">
        <v>35</v>
      </c>
      <c r="W464" s="18" t="s">
        <v>35</v>
      </c>
      <c r="X464" s="4" t="s">
        <v>35</v>
      </c>
      <c r="Y464" s="4" t="s">
        <v>35</v>
      </c>
      <c r="Z464" s="7" t="s">
        <v>35</v>
      </c>
      <c r="AA464" s="5"/>
      <c r="AB464" s="3"/>
      <c r="AC464" s="3"/>
      <c r="AD464" s="3"/>
      <c r="AE464" s="3"/>
      <c r="AF464" s="3" t="s">
        <v>35</v>
      </c>
      <c r="AG464" s="18" t="s">
        <v>35</v>
      </c>
      <c r="AH464" s="18" t="s">
        <v>35</v>
      </c>
      <c r="AI464" s="4" t="s">
        <v>35</v>
      </c>
      <c r="AJ464" s="4" t="s">
        <v>35</v>
      </c>
      <c r="AK464" s="7" t="s">
        <v>35</v>
      </c>
      <c r="AL464" s="5"/>
      <c r="AM464" s="3"/>
      <c r="AN464" s="3"/>
      <c r="AO464" s="3"/>
      <c r="AP464" s="3"/>
      <c r="AQ464" s="3" t="s">
        <v>35</v>
      </c>
      <c r="AR464" s="18" t="s">
        <v>35</v>
      </c>
      <c r="AS464" s="18" t="s">
        <v>35</v>
      </c>
      <c r="AT464" s="4" t="s">
        <v>35</v>
      </c>
      <c r="AU464" s="4" t="s">
        <v>35</v>
      </c>
      <c r="AV464" s="7" t="s">
        <v>35</v>
      </c>
      <c r="AW464" s="5"/>
      <c r="AX464" s="3"/>
      <c r="AY464" s="3"/>
      <c r="AZ464" s="3"/>
      <c r="BA464" s="3"/>
      <c r="BB464" s="3" t="s">
        <v>35</v>
      </c>
      <c r="BC464" s="18"/>
      <c r="BD464" s="18"/>
      <c r="BE464" s="4" t="s">
        <v>35</v>
      </c>
      <c r="BF464" s="4" t="s">
        <v>35</v>
      </c>
      <c r="BG464" s="7" t="s">
        <v>35</v>
      </c>
      <c r="BH464" s="5"/>
      <c r="BI464" s="3"/>
      <c r="BJ464" s="3"/>
      <c r="BK464" s="3"/>
      <c r="BL464" s="3"/>
      <c r="BM464" s="3" t="s">
        <v>35</v>
      </c>
      <c r="BN464" s="18" t="s">
        <v>35</v>
      </c>
      <c r="BO464" s="18" t="s">
        <v>35</v>
      </c>
      <c r="BP464" s="4" t="s">
        <v>35</v>
      </c>
      <c r="BQ464" s="4" t="s">
        <v>35</v>
      </c>
      <c r="BR464" s="7" t="s">
        <v>35</v>
      </c>
      <c r="BS464" s="18" t="s">
        <v>35</v>
      </c>
    </row>
    <row r="465" spans="1:71" x14ac:dyDescent="0.25">
      <c r="A465" s="1">
        <v>460</v>
      </c>
      <c r="B465" s="18"/>
      <c r="C465" s="18"/>
      <c r="D465" s="21"/>
      <c r="E465" s="5"/>
      <c r="F465" s="3"/>
      <c r="G465" s="3"/>
      <c r="H465" s="3"/>
      <c r="I465" s="3"/>
      <c r="J465" s="3" t="s">
        <v>35</v>
      </c>
      <c r="K465" s="18"/>
      <c r="L465" s="18"/>
      <c r="M465" s="4"/>
      <c r="N465" s="4"/>
      <c r="O465" s="7"/>
      <c r="P465" s="5"/>
      <c r="Q465" s="3"/>
      <c r="R465" s="3"/>
      <c r="S465" s="3"/>
      <c r="T465" s="3"/>
      <c r="U465" s="3" t="s">
        <v>35</v>
      </c>
      <c r="V465" s="18" t="s">
        <v>35</v>
      </c>
      <c r="W465" s="18" t="s">
        <v>35</v>
      </c>
      <c r="X465" s="4" t="s">
        <v>35</v>
      </c>
      <c r="Y465" s="4" t="s">
        <v>35</v>
      </c>
      <c r="Z465" s="7" t="s">
        <v>35</v>
      </c>
      <c r="AA465" s="5"/>
      <c r="AB465" s="3"/>
      <c r="AC465" s="3"/>
      <c r="AD465" s="3"/>
      <c r="AE465" s="3"/>
      <c r="AF465" s="3" t="s">
        <v>35</v>
      </c>
      <c r="AG465" s="18" t="s">
        <v>35</v>
      </c>
      <c r="AH465" s="18" t="s">
        <v>35</v>
      </c>
      <c r="AI465" s="4" t="s">
        <v>35</v>
      </c>
      <c r="AJ465" s="4" t="s">
        <v>35</v>
      </c>
      <c r="AK465" s="7" t="s">
        <v>35</v>
      </c>
      <c r="AL465" s="5"/>
      <c r="AM465" s="3"/>
      <c r="AN465" s="3"/>
      <c r="AO465" s="3"/>
      <c r="AP465" s="3"/>
      <c r="AQ465" s="3" t="s">
        <v>35</v>
      </c>
      <c r="AR465" s="18" t="s">
        <v>35</v>
      </c>
      <c r="AS465" s="18" t="s">
        <v>35</v>
      </c>
      <c r="AT465" s="4" t="s">
        <v>35</v>
      </c>
      <c r="AU465" s="4" t="s">
        <v>35</v>
      </c>
      <c r="AV465" s="7" t="s">
        <v>35</v>
      </c>
      <c r="AW465" s="5"/>
      <c r="AX465" s="3"/>
      <c r="AY465" s="3"/>
      <c r="AZ465" s="3"/>
      <c r="BA465" s="3"/>
      <c r="BB465" s="3" t="s">
        <v>35</v>
      </c>
      <c r="BC465" s="18"/>
      <c r="BD465" s="18"/>
      <c r="BE465" s="4" t="s">
        <v>35</v>
      </c>
      <c r="BF465" s="4" t="s">
        <v>35</v>
      </c>
      <c r="BG465" s="7" t="s">
        <v>35</v>
      </c>
      <c r="BH465" s="5"/>
      <c r="BI465" s="3"/>
      <c r="BJ465" s="3"/>
      <c r="BK465" s="3"/>
      <c r="BL465" s="3"/>
      <c r="BM465" s="3" t="s">
        <v>35</v>
      </c>
      <c r="BN465" s="18" t="s">
        <v>35</v>
      </c>
      <c r="BO465" s="18" t="s">
        <v>35</v>
      </c>
      <c r="BP465" s="4" t="s">
        <v>35</v>
      </c>
      <c r="BQ465" s="4" t="s">
        <v>35</v>
      </c>
      <c r="BR465" s="7" t="s">
        <v>35</v>
      </c>
      <c r="BS465" s="18" t="s">
        <v>35</v>
      </c>
    </row>
    <row r="466" spans="1:71" x14ac:dyDescent="0.25">
      <c r="A466" s="18">
        <v>461</v>
      </c>
      <c r="B466" s="18"/>
      <c r="C466" s="18"/>
      <c r="D466" s="21"/>
      <c r="E466" s="5"/>
      <c r="F466" s="3"/>
      <c r="G466" s="3"/>
      <c r="H466" s="3"/>
      <c r="I466" s="3"/>
      <c r="J466" s="3" t="s">
        <v>35</v>
      </c>
      <c r="K466" s="18"/>
      <c r="L466" s="18"/>
      <c r="M466" s="4"/>
      <c r="N466" s="4"/>
      <c r="O466" s="7"/>
      <c r="P466" s="5"/>
      <c r="Q466" s="3"/>
      <c r="R466" s="3"/>
      <c r="S466" s="3"/>
      <c r="T466" s="3"/>
      <c r="U466" s="3" t="s">
        <v>35</v>
      </c>
      <c r="V466" s="18" t="s">
        <v>35</v>
      </c>
      <c r="W466" s="18" t="s">
        <v>35</v>
      </c>
      <c r="X466" s="4" t="s">
        <v>35</v>
      </c>
      <c r="Y466" s="4" t="s">
        <v>35</v>
      </c>
      <c r="Z466" s="7" t="s">
        <v>35</v>
      </c>
      <c r="AA466" s="5"/>
      <c r="AB466" s="3"/>
      <c r="AC466" s="3"/>
      <c r="AD466" s="3"/>
      <c r="AE466" s="3"/>
      <c r="AF466" s="3" t="s">
        <v>35</v>
      </c>
      <c r="AG466" s="18" t="s">
        <v>35</v>
      </c>
      <c r="AH466" s="18" t="s">
        <v>35</v>
      </c>
      <c r="AI466" s="4" t="s">
        <v>35</v>
      </c>
      <c r="AJ466" s="4" t="s">
        <v>35</v>
      </c>
      <c r="AK466" s="7" t="s">
        <v>35</v>
      </c>
      <c r="AL466" s="5"/>
      <c r="AM466" s="3"/>
      <c r="AN466" s="3"/>
      <c r="AO466" s="3"/>
      <c r="AP466" s="3"/>
      <c r="AQ466" s="3" t="s">
        <v>35</v>
      </c>
      <c r="AR466" s="18" t="s">
        <v>35</v>
      </c>
      <c r="AS466" s="18" t="s">
        <v>35</v>
      </c>
      <c r="AT466" s="4" t="s">
        <v>35</v>
      </c>
      <c r="AU466" s="4" t="s">
        <v>35</v>
      </c>
      <c r="AV466" s="7" t="s">
        <v>35</v>
      </c>
      <c r="AW466" s="5"/>
      <c r="AX466" s="3"/>
      <c r="AY466" s="3"/>
      <c r="AZ466" s="3"/>
      <c r="BA466" s="3"/>
      <c r="BB466" s="3" t="s">
        <v>35</v>
      </c>
      <c r="BC466" s="18"/>
      <c r="BD466" s="18"/>
      <c r="BE466" s="4" t="s">
        <v>35</v>
      </c>
      <c r="BF466" s="4" t="s">
        <v>35</v>
      </c>
      <c r="BG466" s="7" t="s">
        <v>35</v>
      </c>
      <c r="BH466" s="5"/>
      <c r="BI466" s="3"/>
      <c r="BJ466" s="3"/>
      <c r="BK466" s="3"/>
      <c r="BL466" s="3"/>
      <c r="BM466" s="3" t="s">
        <v>35</v>
      </c>
      <c r="BN466" s="18" t="s">
        <v>35</v>
      </c>
      <c r="BO466" s="18" t="s">
        <v>35</v>
      </c>
      <c r="BP466" s="4" t="s">
        <v>35</v>
      </c>
      <c r="BQ466" s="4" t="s">
        <v>35</v>
      </c>
      <c r="BR466" s="7" t="s">
        <v>35</v>
      </c>
      <c r="BS466" s="18" t="s">
        <v>35</v>
      </c>
    </row>
    <row r="467" spans="1:71" x14ac:dyDescent="0.25">
      <c r="A467" s="18">
        <v>462</v>
      </c>
      <c r="B467" s="18"/>
      <c r="C467" s="18"/>
      <c r="D467" s="21"/>
      <c r="E467" s="5"/>
      <c r="F467" s="3"/>
      <c r="G467" s="3"/>
      <c r="H467" s="3"/>
      <c r="I467" s="3"/>
      <c r="J467" s="3" t="s">
        <v>35</v>
      </c>
      <c r="K467" s="18"/>
      <c r="L467" s="18"/>
      <c r="M467" s="4"/>
      <c r="N467" s="4"/>
      <c r="O467" s="7"/>
      <c r="P467" s="5"/>
      <c r="Q467" s="3"/>
      <c r="R467" s="3"/>
      <c r="S467" s="3"/>
      <c r="T467" s="3"/>
      <c r="U467" s="3" t="s">
        <v>35</v>
      </c>
      <c r="V467" s="18" t="s">
        <v>35</v>
      </c>
      <c r="W467" s="18" t="s">
        <v>35</v>
      </c>
      <c r="X467" s="4" t="s">
        <v>35</v>
      </c>
      <c r="Y467" s="4" t="s">
        <v>35</v>
      </c>
      <c r="Z467" s="7" t="s">
        <v>35</v>
      </c>
      <c r="AA467" s="5"/>
      <c r="AB467" s="3"/>
      <c r="AC467" s="3"/>
      <c r="AD467" s="3"/>
      <c r="AE467" s="3"/>
      <c r="AF467" s="3" t="s">
        <v>35</v>
      </c>
      <c r="AG467" s="18" t="s">
        <v>35</v>
      </c>
      <c r="AH467" s="18" t="s">
        <v>35</v>
      </c>
      <c r="AI467" s="4" t="s">
        <v>35</v>
      </c>
      <c r="AJ467" s="4" t="s">
        <v>35</v>
      </c>
      <c r="AK467" s="7" t="s">
        <v>35</v>
      </c>
      <c r="AL467" s="5"/>
      <c r="AM467" s="3"/>
      <c r="AN467" s="3"/>
      <c r="AO467" s="3"/>
      <c r="AP467" s="3"/>
      <c r="AQ467" s="3" t="s">
        <v>35</v>
      </c>
      <c r="AR467" s="18" t="s">
        <v>35</v>
      </c>
      <c r="AS467" s="18" t="s">
        <v>35</v>
      </c>
      <c r="AT467" s="4" t="s">
        <v>35</v>
      </c>
      <c r="AU467" s="4" t="s">
        <v>35</v>
      </c>
      <c r="AV467" s="7" t="s">
        <v>35</v>
      </c>
      <c r="AW467" s="5"/>
      <c r="AX467" s="3"/>
      <c r="AY467" s="3"/>
      <c r="AZ467" s="3"/>
      <c r="BA467" s="3"/>
      <c r="BB467" s="3" t="s">
        <v>35</v>
      </c>
      <c r="BC467" s="18"/>
      <c r="BD467" s="18"/>
      <c r="BE467" s="4" t="s">
        <v>35</v>
      </c>
      <c r="BF467" s="4" t="s">
        <v>35</v>
      </c>
      <c r="BG467" s="7" t="s">
        <v>35</v>
      </c>
      <c r="BH467" s="5"/>
      <c r="BI467" s="3"/>
      <c r="BJ467" s="3"/>
      <c r="BK467" s="3"/>
      <c r="BL467" s="3"/>
      <c r="BM467" s="3" t="s">
        <v>35</v>
      </c>
      <c r="BN467" s="18" t="s">
        <v>35</v>
      </c>
      <c r="BO467" s="18" t="s">
        <v>35</v>
      </c>
      <c r="BP467" s="4" t="s">
        <v>35</v>
      </c>
      <c r="BQ467" s="4" t="s">
        <v>35</v>
      </c>
      <c r="BR467" s="7" t="s">
        <v>35</v>
      </c>
      <c r="BS467" s="18" t="s">
        <v>35</v>
      </c>
    </row>
    <row r="468" spans="1:71" x14ac:dyDescent="0.25">
      <c r="A468" s="18">
        <v>463</v>
      </c>
      <c r="B468" s="18"/>
      <c r="C468" s="18"/>
      <c r="D468" s="21"/>
      <c r="E468" s="5"/>
      <c r="F468" s="3"/>
      <c r="G468" s="3"/>
      <c r="H468" s="3"/>
      <c r="I468" s="3"/>
      <c r="J468" s="3" t="s">
        <v>35</v>
      </c>
      <c r="K468" s="18"/>
      <c r="L468" s="18"/>
      <c r="M468" s="4"/>
      <c r="N468" s="4"/>
      <c r="O468" s="7"/>
      <c r="P468" s="5"/>
      <c r="Q468" s="3"/>
      <c r="R468" s="3"/>
      <c r="S468" s="3"/>
      <c r="T468" s="3"/>
      <c r="U468" s="3" t="s">
        <v>35</v>
      </c>
      <c r="V468" s="18" t="s">
        <v>35</v>
      </c>
      <c r="W468" s="18" t="s">
        <v>35</v>
      </c>
      <c r="X468" s="4" t="s">
        <v>35</v>
      </c>
      <c r="Y468" s="4" t="s">
        <v>35</v>
      </c>
      <c r="Z468" s="7" t="s">
        <v>35</v>
      </c>
      <c r="AA468" s="5"/>
      <c r="AB468" s="3"/>
      <c r="AC468" s="3"/>
      <c r="AD468" s="3"/>
      <c r="AE468" s="3"/>
      <c r="AF468" s="3" t="s">
        <v>35</v>
      </c>
      <c r="AG468" s="18" t="s">
        <v>35</v>
      </c>
      <c r="AH468" s="18" t="s">
        <v>35</v>
      </c>
      <c r="AI468" s="4" t="s">
        <v>35</v>
      </c>
      <c r="AJ468" s="4" t="s">
        <v>35</v>
      </c>
      <c r="AK468" s="7" t="s">
        <v>35</v>
      </c>
      <c r="AL468" s="5"/>
      <c r="AM468" s="3"/>
      <c r="AN468" s="3"/>
      <c r="AO468" s="3"/>
      <c r="AP468" s="3"/>
      <c r="AQ468" s="3" t="s">
        <v>35</v>
      </c>
      <c r="AR468" s="18" t="s">
        <v>35</v>
      </c>
      <c r="AS468" s="18" t="s">
        <v>35</v>
      </c>
      <c r="AT468" s="4" t="s">
        <v>35</v>
      </c>
      <c r="AU468" s="4" t="s">
        <v>35</v>
      </c>
      <c r="AV468" s="7" t="s">
        <v>35</v>
      </c>
      <c r="AW468" s="5"/>
      <c r="AX468" s="3"/>
      <c r="AY468" s="3"/>
      <c r="AZ468" s="3"/>
      <c r="BA468" s="3"/>
      <c r="BB468" s="3" t="s">
        <v>35</v>
      </c>
      <c r="BC468" s="18"/>
      <c r="BD468" s="18"/>
      <c r="BE468" s="4" t="s">
        <v>35</v>
      </c>
      <c r="BF468" s="4" t="s">
        <v>35</v>
      </c>
      <c r="BG468" s="7" t="s">
        <v>35</v>
      </c>
      <c r="BH468" s="5"/>
      <c r="BI468" s="3"/>
      <c r="BJ468" s="3"/>
      <c r="BK468" s="3"/>
      <c r="BL468" s="3"/>
      <c r="BM468" s="3" t="s">
        <v>35</v>
      </c>
      <c r="BN468" s="18" t="s">
        <v>35</v>
      </c>
      <c r="BO468" s="18" t="s">
        <v>35</v>
      </c>
      <c r="BP468" s="4" t="s">
        <v>35</v>
      </c>
      <c r="BQ468" s="4" t="s">
        <v>35</v>
      </c>
      <c r="BR468" s="7" t="s">
        <v>35</v>
      </c>
      <c r="BS468" s="18" t="s">
        <v>35</v>
      </c>
    </row>
    <row r="469" spans="1:71" x14ac:dyDescent="0.25">
      <c r="A469" s="18">
        <v>464</v>
      </c>
      <c r="B469" s="18"/>
      <c r="C469" s="18"/>
      <c r="D469" s="21"/>
      <c r="E469" s="5"/>
      <c r="F469" s="3"/>
      <c r="G469" s="3"/>
      <c r="H469" s="3"/>
      <c r="I469" s="3"/>
      <c r="J469" s="3" t="s">
        <v>35</v>
      </c>
      <c r="K469" s="18"/>
      <c r="L469" s="18"/>
      <c r="M469" s="4"/>
      <c r="N469" s="4"/>
      <c r="O469" s="7"/>
      <c r="P469" s="5"/>
      <c r="Q469" s="3"/>
      <c r="R469" s="3"/>
      <c r="S469" s="3"/>
      <c r="T469" s="3"/>
      <c r="U469" s="3" t="s">
        <v>35</v>
      </c>
      <c r="V469" s="18" t="s">
        <v>35</v>
      </c>
      <c r="W469" s="18" t="s">
        <v>35</v>
      </c>
      <c r="X469" s="4" t="s">
        <v>35</v>
      </c>
      <c r="Y469" s="4" t="s">
        <v>35</v>
      </c>
      <c r="Z469" s="7" t="s">
        <v>35</v>
      </c>
      <c r="AA469" s="5"/>
      <c r="AB469" s="3"/>
      <c r="AC469" s="3"/>
      <c r="AD469" s="3"/>
      <c r="AE469" s="3"/>
      <c r="AF469" s="3" t="s">
        <v>35</v>
      </c>
      <c r="AG469" s="18" t="s">
        <v>35</v>
      </c>
      <c r="AH469" s="18" t="s">
        <v>35</v>
      </c>
      <c r="AI469" s="4" t="s">
        <v>35</v>
      </c>
      <c r="AJ469" s="4" t="s">
        <v>35</v>
      </c>
      <c r="AK469" s="7" t="s">
        <v>35</v>
      </c>
      <c r="AL469" s="5"/>
      <c r="AM469" s="3"/>
      <c r="AN469" s="3"/>
      <c r="AO469" s="3"/>
      <c r="AP469" s="3"/>
      <c r="AQ469" s="3" t="s">
        <v>35</v>
      </c>
      <c r="AR469" s="18" t="s">
        <v>35</v>
      </c>
      <c r="AS469" s="18" t="s">
        <v>35</v>
      </c>
      <c r="AT469" s="4" t="s">
        <v>35</v>
      </c>
      <c r="AU469" s="4" t="s">
        <v>35</v>
      </c>
      <c r="AV469" s="7" t="s">
        <v>35</v>
      </c>
      <c r="AW469" s="5"/>
      <c r="AX469" s="3"/>
      <c r="AY469" s="3"/>
      <c r="AZ469" s="3"/>
      <c r="BA469" s="3"/>
      <c r="BB469" s="3" t="s">
        <v>35</v>
      </c>
      <c r="BC469" s="18"/>
      <c r="BD469" s="18"/>
      <c r="BE469" s="4" t="s">
        <v>35</v>
      </c>
      <c r="BF469" s="4" t="s">
        <v>35</v>
      </c>
      <c r="BG469" s="7" t="s">
        <v>35</v>
      </c>
      <c r="BH469" s="5"/>
      <c r="BI469" s="3"/>
      <c r="BJ469" s="3"/>
      <c r="BK469" s="3"/>
      <c r="BL469" s="3"/>
      <c r="BM469" s="3" t="s">
        <v>35</v>
      </c>
      <c r="BN469" s="18" t="s">
        <v>35</v>
      </c>
      <c r="BO469" s="18" t="s">
        <v>35</v>
      </c>
      <c r="BP469" s="4" t="s">
        <v>35</v>
      </c>
      <c r="BQ469" s="4" t="s">
        <v>35</v>
      </c>
      <c r="BR469" s="7" t="s">
        <v>35</v>
      </c>
      <c r="BS469" s="18" t="s">
        <v>35</v>
      </c>
    </row>
    <row r="470" spans="1:71" x14ac:dyDescent="0.25">
      <c r="A470" s="1">
        <v>465</v>
      </c>
      <c r="B470" s="18"/>
      <c r="C470" s="18"/>
      <c r="D470" s="21"/>
      <c r="E470" s="5"/>
      <c r="F470" s="3"/>
      <c r="G470" s="3"/>
      <c r="H470" s="3"/>
      <c r="I470" s="3"/>
      <c r="J470" s="3" t="s">
        <v>35</v>
      </c>
      <c r="K470" s="18"/>
      <c r="L470" s="18"/>
      <c r="M470" s="4"/>
      <c r="N470" s="4"/>
      <c r="O470" s="7"/>
      <c r="P470" s="5"/>
      <c r="Q470" s="3"/>
      <c r="R470" s="3"/>
      <c r="S470" s="3"/>
      <c r="T470" s="3"/>
      <c r="U470" s="3" t="s">
        <v>35</v>
      </c>
      <c r="V470" s="18" t="s">
        <v>35</v>
      </c>
      <c r="W470" s="18" t="s">
        <v>35</v>
      </c>
      <c r="X470" s="4" t="s">
        <v>35</v>
      </c>
      <c r="Y470" s="4" t="s">
        <v>35</v>
      </c>
      <c r="Z470" s="7" t="s">
        <v>35</v>
      </c>
      <c r="AA470" s="5"/>
      <c r="AB470" s="3"/>
      <c r="AC470" s="3"/>
      <c r="AD470" s="3"/>
      <c r="AE470" s="3"/>
      <c r="AF470" s="3" t="s">
        <v>35</v>
      </c>
      <c r="AG470" s="18" t="s">
        <v>35</v>
      </c>
      <c r="AH470" s="18" t="s">
        <v>35</v>
      </c>
      <c r="AI470" s="4" t="s">
        <v>35</v>
      </c>
      <c r="AJ470" s="4" t="s">
        <v>35</v>
      </c>
      <c r="AK470" s="7" t="s">
        <v>35</v>
      </c>
      <c r="AL470" s="5"/>
      <c r="AM470" s="3"/>
      <c r="AN470" s="3"/>
      <c r="AO470" s="3"/>
      <c r="AP470" s="3"/>
      <c r="AQ470" s="3" t="s">
        <v>35</v>
      </c>
      <c r="AR470" s="18" t="s">
        <v>35</v>
      </c>
      <c r="AS470" s="18" t="s">
        <v>35</v>
      </c>
      <c r="AT470" s="4" t="s">
        <v>35</v>
      </c>
      <c r="AU470" s="4" t="s">
        <v>35</v>
      </c>
      <c r="AV470" s="7" t="s">
        <v>35</v>
      </c>
      <c r="AW470" s="5"/>
      <c r="AX470" s="3"/>
      <c r="AY470" s="3"/>
      <c r="AZ470" s="3"/>
      <c r="BA470" s="3"/>
      <c r="BB470" s="3" t="s">
        <v>35</v>
      </c>
      <c r="BC470" s="18"/>
      <c r="BD470" s="18"/>
      <c r="BE470" s="4" t="s">
        <v>35</v>
      </c>
      <c r="BF470" s="4" t="s">
        <v>35</v>
      </c>
      <c r="BG470" s="7" t="s">
        <v>35</v>
      </c>
      <c r="BH470" s="5"/>
      <c r="BI470" s="3"/>
      <c r="BJ470" s="3"/>
      <c r="BK470" s="3"/>
      <c r="BL470" s="3"/>
      <c r="BM470" s="3" t="s">
        <v>35</v>
      </c>
      <c r="BN470" s="18" t="s">
        <v>35</v>
      </c>
      <c r="BO470" s="18" t="s">
        <v>35</v>
      </c>
      <c r="BP470" s="4" t="s">
        <v>35</v>
      </c>
      <c r="BQ470" s="4" t="s">
        <v>35</v>
      </c>
      <c r="BR470" s="7" t="s">
        <v>35</v>
      </c>
      <c r="BS470" s="18" t="s">
        <v>35</v>
      </c>
    </row>
    <row r="471" spans="1:71" x14ac:dyDescent="0.25">
      <c r="A471" s="18">
        <v>466</v>
      </c>
      <c r="B471" s="18"/>
      <c r="C471" s="18"/>
      <c r="D471" s="21"/>
      <c r="E471" s="5"/>
      <c r="F471" s="3"/>
      <c r="G471" s="3"/>
      <c r="H471" s="3"/>
      <c r="I471" s="3"/>
      <c r="J471" s="3" t="s">
        <v>35</v>
      </c>
      <c r="K471" s="18"/>
      <c r="L471" s="18"/>
      <c r="M471" s="4"/>
      <c r="N471" s="4"/>
      <c r="O471" s="7"/>
      <c r="P471" s="5"/>
      <c r="Q471" s="3"/>
      <c r="R471" s="3"/>
      <c r="S471" s="3"/>
      <c r="T471" s="3"/>
      <c r="U471" s="3" t="s">
        <v>35</v>
      </c>
      <c r="V471" s="18" t="s">
        <v>35</v>
      </c>
      <c r="W471" s="18" t="s">
        <v>35</v>
      </c>
      <c r="X471" s="4" t="s">
        <v>35</v>
      </c>
      <c r="Y471" s="4" t="s">
        <v>35</v>
      </c>
      <c r="Z471" s="7" t="s">
        <v>35</v>
      </c>
      <c r="AA471" s="5"/>
      <c r="AB471" s="3"/>
      <c r="AC471" s="3"/>
      <c r="AD471" s="3"/>
      <c r="AE471" s="3"/>
      <c r="AF471" s="3" t="s">
        <v>35</v>
      </c>
      <c r="AG471" s="18" t="s">
        <v>35</v>
      </c>
      <c r="AH471" s="18" t="s">
        <v>35</v>
      </c>
      <c r="AI471" s="4" t="s">
        <v>35</v>
      </c>
      <c r="AJ471" s="4" t="s">
        <v>35</v>
      </c>
      <c r="AK471" s="7" t="s">
        <v>35</v>
      </c>
      <c r="AL471" s="5"/>
      <c r="AM471" s="3"/>
      <c r="AN471" s="3"/>
      <c r="AO471" s="3"/>
      <c r="AP471" s="3"/>
      <c r="AQ471" s="3" t="s">
        <v>35</v>
      </c>
      <c r="AR471" s="18" t="s">
        <v>35</v>
      </c>
      <c r="AS471" s="18" t="s">
        <v>35</v>
      </c>
      <c r="AT471" s="4" t="s">
        <v>35</v>
      </c>
      <c r="AU471" s="4" t="s">
        <v>35</v>
      </c>
      <c r="AV471" s="7" t="s">
        <v>35</v>
      </c>
      <c r="AW471" s="5"/>
      <c r="AX471" s="3"/>
      <c r="AY471" s="3"/>
      <c r="AZ471" s="3"/>
      <c r="BA471" s="3"/>
      <c r="BB471" s="3" t="s">
        <v>35</v>
      </c>
      <c r="BC471" s="18"/>
      <c r="BD471" s="18"/>
      <c r="BE471" s="4" t="s">
        <v>35</v>
      </c>
      <c r="BF471" s="4" t="s">
        <v>35</v>
      </c>
      <c r="BG471" s="7" t="s">
        <v>35</v>
      </c>
      <c r="BH471" s="5"/>
      <c r="BI471" s="3"/>
      <c r="BJ471" s="3"/>
      <c r="BK471" s="3"/>
      <c r="BL471" s="3"/>
      <c r="BM471" s="3" t="s">
        <v>35</v>
      </c>
      <c r="BN471" s="18" t="s">
        <v>35</v>
      </c>
      <c r="BO471" s="18" t="s">
        <v>35</v>
      </c>
      <c r="BP471" s="4" t="s">
        <v>35</v>
      </c>
      <c r="BQ471" s="4" t="s">
        <v>35</v>
      </c>
      <c r="BR471" s="7" t="s">
        <v>35</v>
      </c>
      <c r="BS471" s="18" t="s">
        <v>35</v>
      </c>
    </row>
    <row r="472" spans="1:71" x14ac:dyDescent="0.25">
      <c r="A472" s="18">
        <v>467</v>
      </c>
      <c r="B472" s="18"/>
      <c r="C472" s="18"/>
      <c r="D472" s="21"/>
      <c r="E472" s="5"/>
      <c r="F472" s="3"/>
      <c r="G472" s="3"/>
      <c r="H472" s="3"/>
      <c r="I472" s="3"/>
      <c r="J472" s="3" t="s">
        <v>35</v>
      </c>
      <c r="K472" s="18"/>
      <c r="L472" s="18"/>
      <c r="M472" s="4"/>
      <c r="N472" s="4"/>
      <c r="O472" s="7"/>
      <c r="P472" s="5"/>
      <c r="Q472" s="3"/>
      <c r="R472" s="3"/>
      <c r="S472" s="3"/>
      <c r="T472" s="3"/>
      <c r="U472" s="3" t="s">
        <v>35</v>
      </c>
      <c r="V472" s="18" t="s">
        <v>35</v>
      </c>
      <c r="W472" s="18" t="s">
        <v>35</v>
      </c>
      <c r="X472" s="4" t="s">
        <v>35</v>
      </c>
      <c r="Y472" s="4" t="s">
        <v>35</v>
      </c>
      <c r="Z472" s="7" t="s">
        <v>35</v>
      </c>
      <c r="AA472" s="5"/>
      <c r="AB472" s="3"/>
      <c r="AC472" s="3"/>
      <c r="AD472" s="3"/>
      <c r="AE472" s="3"/>
      <c r="AF472" s="3" t="s">
        <v>35</v>
      </c>
      <c r="AG472" s="18" t="s">
        <v>35</v>
      </c>
      <c r="AH472" s="18" t="s">
        <v>35</v>
      </c>
      <c r="AI472" s="4" t="s">
        <v>35</v>
      </c>
      <c r="AJ472" s="4" t="s">
        <v>35</v>
      </c>
      <c r="AK472" s="7" t="s">
        <v>35</v>
      </c>
      <c r="AL472" s="5"/>
      <c r="AM472" s="3"/>
      <c r="AN472" s="3"/>
      <c r="AO472" s="3"/>
      <c r="AP472" s="3"/>
      <c r="AQ472" s="3" t="s">
        <v>35</v>
      </c>
      <c r="AR472" s="18" t="s">
        <v>35</v>
      </c>
      <c r="AS472" s="18" t="s">
        <v>35</v>
      </c>
      <c r="AT472" s="4" t="s">
        <v>35</v>
      </c>
      <c r="AU472" s="4" t="s">
        <v>35</v>
      </c>
      <c r="AV472" s="7" t="s">
        <v>35</v>
      </c>
      <c r="AW472" s="5"/>
      <c r="AX472" s="3"/>
      <c r="AY472" s="3"/>
      <c r="AZ472" s="3"/>
      <c r="BA472" s="3"/>
      <c r="BB472" s="3" t="s">
        <v>35</v>
      </c>
      <c r="BC472" s="18"/>
      <c r="BD472" s="18"/>
      <c r="BE472" s="4" t="s">
        <v>35</v>
      </c>
      <c r="BF472" s="4" t="s">
        <v>35</v>
      </c>
      <c r="BG472" s="7" t="s">
        <v>35</v>
      </c>
      <c r="BH472" s="5"/>
      <c r="BI472" s="3"/>
      <c r="BJ472" s="3"/>
      <c r="BK472" s="3"/>
      <c r="BL472" s="3"/>
      <c r="BM472" s="3" t="s">
        <v>35</v>
      </c>
      <c r="BN472" s="18" t="s">
        <v>35</v>
      </c>
      <c r="BO472" s="18" t="s">
        <v>35</v>
      </c>
      <c r="BP472" s="4" t="s">
        <v>35</v>
      </c>
      <c r="BQ472" s="4" t="s">
        <v>35</v>
      </c>
      <c r="BR472" s="7" t="s">
        <v>35</v>
      </c>
      <c r="BS472" s="18" t="s">
        <v>35</v>
      </c>
    </row>
    <row r="473" spans="1:71" x14ac:dyDescent="0.25">
      <c r="A473" s="18">
        <v>468</v>
      </c>
      <c r="B473" s="18"/>
      <c r="C473" s="18"/>
      <c r="D473" s="21"/>
      <c r="E473" s="5"/>
      <c r="F473" s="3"/>
      <c r="G473" s="3"/>
      <c r="H473" s="3"/>
      <c r="I473" s="3"/>
      <c r="J473" s="3" t="s">
        <v>35</v>
      </c>
      <c r="K473" s="18"/>
      <c r="L473" s="18"/>
      <c r="M473" s="4"/>
      <c r="N473" s="4"/>
      <c r="O473" s="7"/>
      <c r="P473" s="5"/>
      <c r="Q473" s="3"/>
      <c r="R473" s="3"/>
      <c r="S473" s="3"/>
      <c r="T473" s="3"/>
      <c r="U473" s="3" t="s">
        <v>35</v>
      </c>
      <c r="V473" s="18" t="s">
        <v>35</v>
      </c>
      <c r="W473" s="18" t="s">
        <v>35</v>
      </c>
      <c r="X473" s="4" t="s">
        <v>35</v>
      </c>
      <c r="Y473" s="4" t="s">
        <v>35</v>
      </c>
      <c r="Z473" s="7" t="s">
        <v>35</v>
      </c>
      <c r="AA473" s="5"/>
      <c r="AB473" s="3"/>
      <c r="AC473" s="3"/>
      <c r="AD473" s="3"/>
      <c r="AE473" s="3"/>
      <c r="AF473" s="3" t="s">
        <v>35</v>
      </c>
      <c r="AG473" s="18" t="s">
        <v>35</v>
      </c>
      <c r="AH473" s="18" t="s">
        <v>35</v>
      </c>
      <c r="AI473" s="4" t="s">
        <v>35</v>
      </c>
      <c r="AJ473" s="4" t="s">
        <v>35</v>
      </c>
      <c r="AK473" s="7" t="s">
        <v>35</v>
      </c>
      <c r="AL473" s="5"/>
      <c r="AM473" s="3"/>
      <c r="AN473" s="3"/>
      <c r="AO473" s="3"/>
      <c r="AP473" s="3"/>
      <c r="AQ473" s="3" t="s">
        <v>35</v>
      </c>
      <c r="AR473" s="18" t="s">
        <v>35</v>
      </c>
      <c r="AS473" s="18" t="s">
        <v>35</v>
      </c>
      <c r="AT473" s="4" t="s">
        <v>35</v>
      </c>
      <c r="AU473" s="4" t="s">
        <v>35</v>
      </c>
      <c r="AV473" s="7" t="s">
        <v>35</v>
      </c>
      <c r="AW473" s="5"/>
      <c r="AX473" s="3"/>
      <c r="AY473" s="3"/>
      <c r="AZ473" s="3"/>
      <c r="BA473" s="3"/>
      <c r="BB473" s="3" t="s">
        <v>35</v>
      </c>
      <c r="BC473" s="18"/>
      <c r="BD473" s="18"/>
      <c r="BE473" s="4" t="s">
        <v>35</v>
      </c>
      <c r="BF473" s="4" t="s">
        <v>35</v>
      </c>
      <c r="BG473" s="7" t="s">
        <v>35</v>
      </c>
      <c r="BH473" s="5"/>
      <c r="BI473" s="3"/>
      <c r="BJ473" s="3"/>
      <c r="BK473" s="3"/>
      <c r="BL473" s="3"/>
      <c r="BM473" s="3" t="s">
        <v>35</v>
      </c>
      <c r="BN473" s="18" t="s">
        <v>35</v>
      </c>
      <c r="BO473" s="18" t="s">
        <v>35</v>
      </c>
      <c r="BP473" s="4" t="s">
        <v>35</v>
      </c>
      <c r="BQ473" s="4" t="s">
        <v>35</v>
      </c>
      <c r="BR473" s="7" t="s">
        <v>35</v>
      </c>
      <c r="BS473" s="18" t="s">
        <v>35</v>
      </c>
    </row>
    <row r="474" spans="1:71" x14ac:dyDescent="0.25">
      <c r="A474" s="18">
        <v>469</v>
      </c>
      <c r="B474" s="18"/>
      <c r="C474" s="18"/>
      <c r="D474" s="21"/>
      <c r="E474" s="5"/>
      <c r="F474" s="3"/>
      <c r="G474" s="3"/>
      <c r="H474" s="3"/>
      <c r="I474" s="3"/>
      <c r="J474" s="3" t="s">
        <v>35</v>
      </c>
      <c r="K474" s="18"/>
      <c r="L474" s="18"/>
      <c r="M474" s="4"/>
      <c r="N474" s="4"/>
      <c r="O474" s="7"/>
      <c r="P474" s="5"/>
      <c r="Q474" s="3"/>
      <c r="R474" s="3"/>
      <c r="S474" s="3"/>
      <c r="T474" s="3"/>
      <c r="U474" s="3" t="s">
        <v>35</v>
      </c>
      <c r="V474" s="18" t="s">
        <v>35</v>
      </c>
      <c r="W474" s="18" t="s">
        <v>35</v>
      </c>
      <c r="X474" s="4" t="s">
        <v>35</v>
      </c>
      <c r="Y474" s="4" t="s">
        <v>35</v>
      </c>
      <c r="Z474" s="7" t="s">
        <v>35</v>
      </c>
      <c r="AA474" s="5"/>
      <c r="AB474" s="3"/>
      <c r="AC474" s="3"/>
      <c r="AD474" s="3"/>
      <c r="AE474" s="3"/>
      <c r="AF474" s="3" t="s">
        <v>35</v>
      </c>
      <c r="AG474" s="18" t="s">
        <v>35</v>
      </c>
      <c r="AH474" s="18" t="s">
        <v>35</v>
      </c>
      <c r="AI474" s="4" t="s">
        <v>35</v>
      </c>
      <c r="AJ474" s="4" t="s">
        <v>35</v>
      </c>
      <c r="AK474" s="7" t="s">
        <v>35</v>
      </c>
      <c r="AL474" s="5"/>
      <c r="AM474" s="3"/>
      <c r="AN474" s="3"/>
      <c r="AO474" s="3"/>
      <c r="AP474" s="3"/>
      <c r="AQ474" s="3" t="s">
        <v>35</v>
      </c>
      <c r="AR474" s="18" t="s">
        <v>35</v>
      </c>
      <c r="AS474" s="18" t="s">
        <v>35</v>
      </c>
      <c r="AT474" s="4" t="s">
        <v>35</v>
      </c>
      <c r="AU474" s="4" t="s">
        <v>35</v>
      </c>
      <c r="AV474" s="7" t="s">
        <v>35</v>
      </c>
      <c r="AW474" s="5"/>
      <c r="AX474" s="3"/>
      <c r="AY474" s="3"/>
      <c r="AZ474" s="3"/>
      <c r="BA474" s="3"/>
      <c r="BB474" s="3" t="s">
        <v>35</v>
      </c>
      <c r="BC474" s="18"/>
      <c r="BD474" s="18"/>
      <c r="BE474" s="4" t="s">
        <v>35</v>
      </c>
      <c r="BF474" s="4" t="s">
        <v>35</v>
      </c>
      <c r="BG474" s="7" t="s">
        <v>35</v>
      </c>
      <c r="BH474" s="5"/>
      <c r="BI474" s="3"/>
      <c r="BJ474" s="3"/>
      <c r="BK474" s="3"/>
      <c r="BL474" s="3"/>
      <c r="BM474" s="3" t="s">
        <v>35</v>
      </c>
      <c r="BN474" s="18" t="s">
        <v>35</v>
      </c>
      <c r="BO474" s="18" t="s">
        <v>35</v>
      </c>
      <c r="BP474" s="4" t="s">
        <v>35</v>
      </c>
      <c r="BQ474" s="4" t="s">
        <v>35</v>
      </c>
      <c r="BR474" s="7" t="s">
        <v>35</v>
      </c>
      <c r="BS474" s="18" t="s">
        <v>35</v>
      </c>
    </row>
    <row r="475" spans="1:71" x14ac:dyDescent="0.25">
      <c r="A475" s="1">
        <v>470</v>
      </c>
      <c r="B475" s="18"/>
      <c r="C475" s="18"/>
      <c r="D475" s="21"/>
      <c r="E475" s="5"/>
      <c r="F475" s="3"/>
      <c r="G475" s="3"/>
      <c r="H475" s="3"/>
      <c r="I475" s="3"/>
      <c r="J475" s="3" t="s">
        <v>35</v>
      </c>
      <c r="K475" s="18"/>
      <c r="L475" s="18"/>
      <c r="M475" s="4"/>
      <c r="N475" s="4"/>
      <c r="O475" s="7"/>
      <c r="P475" s="5"/>
      <c r="Q475" s="3"/>
      <c r="R475" s="3"/>
      <c r="S475" s="3"/>
      <c r="T475" s="3"/>
      <c r="U475" s="3" t="s">
        <v>35</v>
      </c>
      <c r="V475" s="18" t="s">
        <v>35</v>
      </c>
      <c r="W475" s="18" t="s">
        <v>35</v>
      </c>
      <c r="X475" s="4" t="s">
        <v>35</v>
      </c>
      <c r="Y475" s="4" t="s">
        <v>35</v>
      </c>
      <c r="Z475" s="7" t="s">
        <v>35</v>
      </c>
      <c r="AA475" s="5"/>
      <c r="AB475" s="3"/>
      <c r="AC475" s="3"/>
      <c r="AD475" s="3"/>
      <c r="AE475" s="3"/>
      <c r="AF475" s="3" t="s">
        <v>35</v>
      </c>
      <c r="AG475" s="18" t="s">
        <v>35</v>
      </c>
      <c r="AH475" s="18" t="s">
        <v>35</v>
      </c>
      <c r="AI475" s="4" t="s">
        <v>35</v>
      </c>
      <c r="AJ475" s="4" t="s">
        <v>35</v>
      </c>
      <c r="AK475" s="7" t="s">
        <v>35</v>
      </c>
      <c r="AL475" s="5"/>
      <c r="AM475" s="3"/>
      <c r="AN475" s="3"/>
      <c r="AO475" s="3"/>
      <c r="AP475" s="3"/>
      <c r="AQ475" s="3" t="s">
        <v>35</v>
      </c>
      <c r="AR475" s="18" t="s">
        <v>35</v>
      </c>
      <c r="AS475" s="18" t="s">
        <v>35</v>
      </c>
      <c r="AT475" s="4" t="s">
        <v>35</v>
      </c>
      <c r="AU475" s="4" t="s">
        <v>35</v>
      </c>
      <c r="AV475" s="7" t="s">
        <v>35</v>
      </c>
      <c r="AW475" s="5"/>
      <c r="AX475" s="3"/>
      <c r="AY475" s="3"/>
      <c r="AZ475" s="3"/>
      <c r="BA475" s="3"/>
      <c r="BB475" s="3" t="s">
        <v>35</v>
      </c>
      <c r="BC475" s="18"/>
      <c r="BD475" s="18"/>
      <c r="BE475" s="4" t="s">
        <v>35</v>
      </c>
      <c r="BF475" s="4" t="s">
        <v>35</v>
      </c>
      <c r="BG475" s="7" t="s">
        <v>35</v>
      </c>
      <c r="BH475" s="5"/>
      <c r="BI475" s="3"/>
      <c r="BJ475" s="3"/>
      <c r="BK475" s="3"/>
      <c r="BL475" s="3"/>
      <c r="BM475" s="3" t="s">
        <v>35</v>
      </c>
      <c r="BN475" s="18" t="s">
        <v>35</v>
      </c>
      <c r="BO475" s="18" t="s">
        <v>35</v>
      </c>
      <c r="BP475" s="4" t="s">
        <v>35</v>
      </c>
      <c r="BQ475" s="4" t="s">
        <v>35</v>
      </c>
      <c r="BR475" s="7" t="s">
        <v>35</v>
      </c>
      <c r="BS475" s="18" t="s">
        <v>35</v>
      </c>
    </row>
    <row r="476" spans="1:71" x14ac:dyDescent="0.25">
      <c r="A476" s="18">
        <v>471</v>
      </c>
      <c r="B476" s="18"/>
      <c r="C476" s="18"/>
      <c r="D476" s="21"/>
      <c r="E476" s="5"/>
      <c r="F476" s="3"/>
      <c r="G476" s="3"/>
      <c r="H476" s="3"/>
      <c r="I476" s="3"/>
      <c r="J476" s="3" t="s">
        <v>35</v>
      </c>
      <c r="K476" s="18"/>
      <c r="L476" s="18"/>
      <c r="M476" s="4"/>
      <c r="N476" s="4"/>
      <c r="O476" s="7"/>
      <c r="P476" s="5"/>
      <c r="Q476" s="3"/>
      <c r="R476" s="3"/>
      <c r="S476" s="3"/>
      <c r="T476" s="3"/>
      <c r="U476" s="3" t="s">
        <v>35</v>
      </c>
      <c r="V476" s="18" t="s">
        <v>35</v>
      </c>
      <c r="W476" s="18" t="s">
        <v>35</v>
      </c>
      <c r="X476" s="4" t="s">
        <v>35</v>
      </c>
      <c r="Y476" s="4" t="s">
        <v>35</v>
      </c>
      <c r="Z476" s="7" t="s">
        <v>35</v>
      </c>
      <c r="AA476" s="5"/>
      <c r="AB476" s="3"/>
      <c r="AC476" s="3"/>
      <c r="AD476" s="3"/>
      <c r="AE476" s="3"/>
      <c r="AF476" s="3" t="s">
        <v>35</v>
      </c>
      <c r="AG476" s="18" t="s">
        <v>35</v>
      </c>
      <c r="AH476" s="18" t="s">
        <v>35</v>
      </c>
      <c r="AI476" s="4" t="s">
        <v>35</v>
      </c>
      <c r="AJ476" s="4" t="s">
        <v>35</v>
      </c>
      <c r="AK476" s="7" t="s">
        <v>35</v>
      </c>
      <c r="AL476" s="5"/>
      <c r="AM476" s="3"/>
      <c r="AN476" s="3"/>
      <c r="AO476" s="3"/>
      <c r="AP476" s="3"/>
      <c r="AQ476" s="3" t="s">
        <v>35</v>
      </c>
      <c r="AR476" s="18" t="s">
        <v>35</v>
      </c>
      <c r="AS476" s="18" t="s">
        <v>35</v>
      </c>
      <c r="AT476" s="4" t="s">
        <v>35</v>
      </c>
      <c r="AU476" s="4" t="s">
        <v>35</v>
      </c>
      <c r="AV476" s="7" t="s">
        <v>35</v>
      </c>
      <c r="AW476" s="5"/>
      <c r="AX476" s="3"/>
      <c r="AY476" s="3"/>
      <c r="AZ476" s="3"/>
      <c r="BA476" s="3"/>
      <c r="BB476" s="3" t="s">
        <v>35</v>
      </c>
      <c r="BC476" s="18"/>
      <c r="BD476" s="18"/>
      <c r="BE476" s="4" t="s">
        <v>35</v>
      </c>
      <c r="BF476" s="4" t="s">
        <v>35</v>
      </c>
      <c r="BG476" s="7" t="s">
        <v>35</v>
      </c>
      <c r="BH476" s="5"/>
      <c r="BI476" s="3"/>
      <c r="BJ476" s="3"/>
      <c r="BK476" s="3"/>
      <c r="BL476" s="3"/>
      <c r="BM476" s="3" t="s">
        <v>35</v>
      </c>
      <c r="BN476" s="18" t="s">
        <v>35</v>
      </c>
      <c r="BO476" s="18" t="s">
        <v>35</v>
      </c>
      <c r="BP476" s="4" t="s">
        <v>35</v>
      </c>
      <c r="BQ476" s="4" t="s">
        <v>35</v>
      </c>
      <c r="BR476" s="7" t="s">
        <v>35</v>
      </c>
      <c r="BS476" s="18" t="s">
        <v>35</v>
      </c>
    </row>
    <row r="477" spans="1:71" x14ac:dyDescent="0.25">
      <c r="A477" s="18">
        <v>472</v>
      </c>
      <c r="B477" s="18"/>
      <c r="C477" s="18"/>
      <c r="D477" s="21"/>
      <c r="E477" s="5"/>
      <c r="F477" s="3"/>
      <c r="G477" s="3"/>
      <c r="H477" s="3"/>
      <c r="I477" s="3"/>
      <c r="J477" s="3" t="s">
        <v>35</v>
      </c>
      <c r="K477" s="18"/>
      <c r="L477" s="18"/>
      <c r="M477" s="4"/>
      <c r="N477" s="4"/>
      <c r="O477" s="7"/>
      <c r="P477" s="5"/>
      <c r="Q477" s="3"/>
      <c r="R477" s="3"/>
      <c r="S477" s="3"/>
      <c r="T477" s="3"/>
      <c r="U477" s="3" t="s">
        <v>35</v>
      </c>
      <c r="V477" s="18" t="s">
        <v>35</v>
      </c>
      <c r="W477" s="18" t="s">
        <v>35</v>
      </c>
      <c r="X477" s="4" t="s">
        <v>35</v>
      </c>
      <c r="Y477" s="4" t="s">
        <v>35</v>
      </c>
      <c r="Z477" s="7" t="s">
        <v>35</v>
      </c>
      <c r="AA477" s="5"/>
      <c r="AB477" s="3"/>
      <c r="AC477" s="3"/>
      <c r="AD477" s="3"/>
      <c r="AE477" s="3"/>
      <c r="AF477" s="3" t="s">
        <v>35</v>
      </c>
      <c r="AG477" s="18" t="s">
        <v>35</v>
      </c>
      <c r="AH477" s="18" t="s">
        <v>35</v>
      </c>
      <c r="AI477" s="4" t="s">
        <v>35</v>
      </c>
      <c r="AJ477" s="4" t="s">
        <v>35</v>
      </c>
      <c r="AK477" s="7" t="s">
        <v>35</v>
      </c>
      <c r="AL477" s="5"/>
      <c r="AM477" s="3"/>
      <c r="AN477" s="3"/>
      <c r="AO477" s="3"/>
      <c r="AP477" s="3"/>
      <c r="AQ477" s="3" t="s">
        <v>35</v>
      </c>
      <c r="AR477" s="18" t="s">
        <v>35</v>
      </c>
      <c r="AS477" s="18" t="s">
        <v>35</v>
      </c>
      <c r="AT477" s="4" t="s">
        <v>35</v>
      </c>
      <c r="AU477" s="4" t="s">
        <v>35</v>
      </c>
      <c r="AV477" s="7" t="s">
        <v>35</v>
      </c>
      <c r="AW477" s="5"/>
      <c r="AX477" s="3"/>
      <c r="AY477" s="3"/>
      <c r="AZ477" s="3"/>
      <c r="BA477" s="3"/>
      <c r="BB477" s="3" t="s">
        <v>35</v>
      </c>
      <c r="BC477" s="18"/>
      <c r="BD477" s="18"/>
      <c r="BE477" s="4" t="s">
        <v>35</v>
      </c>
      <c r="BF477" s="4" t="s">
        <v>35</v>
      </c>
      <c r="BG477" s="7" t="s">
        <v>35</v>
      </c>
      <c r="BH477" s="5"/>
      <c r="BI477" s="3"/>
      <c r="BJ477" s="3"/>
      <c r="BK477" s="3"/>
      <c r="BL477" s="3"/>
      <c r="BM477" s="3" t="s">
        <v>35</v>
      </c>
      <c r="BN477" s="18" t="s">
        <v>35</v>
      </c>
      <c r="BO477" s="18" t="s">
        <v>35</v>
      </c>
      <c r="BP477" s="4" t="s">
        <v>35</v>
      </c>
      <c r="BQ477" s="4" t="s">
        <v>35</v>
      </c>
      <c r="BR477" s="7" t="s">
        <v>35</v>
      </c>
      <c r="BS477" s="18" t="s">
        <v>35</v>
      </c>
    </row>
    <row r="478" spans="1:71" x14ac:dyDescent="0.25">
      <c r="A478" s="18">
        <v>473</v>
      </c>
      <c r="B478" s="18"/>
      <c r="C478" s="18"/>
      <c r="D478" s="21"/>
      <c r="E478" s="5"/>
      <c r="F478" s="3"/>
      <c r="G478" s="3"/>
      <c r="H478" s="3"/>
      <c r="I478" s="3"/>
      <c r="J478" s="3" t="s">
        <v>35</v>
      </c>
      <c r="K478" s="18"/>
      <c r="L478" s="18"/>
      <c r="M478" s="4"/>
      <c r="N478" s="4"/>
      <c r="O478" s="7"/>
      <c r="P478" s="5"/>
      <c r="Q478" s="3"/>
      <c r="R478" s="3"/>
      <c r="S478" s="3"/>
      <c r="T478" s="3"/>
      <c r="U478" s="3" t="s">
        <v>35</v>
      </c>
      <c r="V478" s="18" t="s">
        <v>35</v>
      </c>
      <c r="W478" s="18" t="s">
        <v>35</v>
      </c>
      <c r="X478" s="4" t="s">
        <v>35</v>
      </c>
      <c r="Y478" s="4" t="s">
        <v>35</v>
      </c>
      <c r="Z478" s="7" t="s">
        <v>35</v>
      </c>
      <c r="AA478" s="5"/>
      <c r="AB478" s="3"/>
      <c r="AC478" s="3"/>
      <c r="AD478" s="3"/>
      <c r="AE478" s="3"/>
      <c r="AF478" s="3" t="s">
        <v>35</v>
      </c>
      <c r="AG478" s="18" t="s">
        <v>35</v>
      </c>
      <c r="AH478" s="18" t="s">
        <v>35</v>
      </c>
      <c r="AI478" s="4" t="s">
        <v>35</v>
      </c>
      <c r="AJ478" s="4" t="s">
        <v>35</v>
      </c>
      <c r="AK478" s="7" t="s">
        <v>35</v>
      </c>
      <c r="AL478" s="5"/>
      <c r="AM478" s="3"/>
      <c r="AN478" s="3"/>
      <c r="AO478" s="3"/>
      <c r="AP478" s="3"/>
      <c r="AQ478" s="3" t="s">
        <v>35</v>
      </c>
      <c r="AR478" s="18" t="s">
        <v>35</v>
      </c>
      <c r="AS478" s="18" t="s">
        <v>35</v>
      </c>
      <c r="AT478" s="4" t="s">
        <v>35</v>
      </c>
      <c r="AU478" s="4" t="s">
        <v>35</v>
      </c>
      <c r="AV478" s="7" t="s">
        <v>35</v>
      </c>
      <c r="AW478" s="5"/>
      <c r="AX478" s="3"/>
      <c r="AY478" s="3"/>
      <c r="AZ478" s="3"/>
      <c r="BA478" s="3"/>
      <c r="BB478" s="3" t="s">
        <v>35</v>
      </c>
      <c r="BC478" s="18"/>
      <c r="BD478" s="18"/>
      <c r="BE478" s="4" t="s">
        <v>35</v>
      </c>
      <c r="BF478" s="4" t="s">
        <v>35</v>
      </c>
      <c r="BG478" s="7" t="s">
        <v>35</v>
      </c>
      <c r="BH478" s="5"/>
      <c r="BI478" s="3"/>
      <c r="BJ478" s="3"/>
      <c r="BK478" s="3"/>
      <c r="BL478" s="3"/>
      <c r="BM478" s="3" t="s">
        <v>35</v>
      </c>
      <c r="BN478" s="18" t="s">
        <v>35</v>
      </c>
      <c r="BO478" s="18" t="s">
        <v>35</v>
      </c>
      <c r="BP478" s="4" t="s">
        <v>35</v>
      </c>
      <c r="BQ478" s="4" t="s">
        <v>35</v>
      </c>
      <c r="BR478" s="7" t="s">
        <v>35</v>
      </c>
      <c r="BS478" s="18" t="s">
        <v>35</v>
      </c>
    </row>
    <row r="479" spans="1:71" x14ac:dyDescent="0.25">
      <c r="A479" s="18">
        <v>474</v>
      </c>
      <c r="B479" s="18"/>
      <c r="C479" s="18"/>
      <c r="D479" s="21"/>
      <c r="E479" s="5"/>
      <c r="F479" s="3"/>
      <c r="G479" s="3"/>
      <c r="H479" s="3"/>
      <c r="I479" s="3"/>
      <c r="J479" s="3" t="s">
        <v>35</v>
      </c>
      <c r="K479" s="18"/>
      <c r="L479" s="18"/>
      <c r="M479" s="4"/>
      <c r="N479" s="4"/>
      <c r="O479" s="7"/>
      <c r="P479" s="5"/>
      <c r="Q479" s="3"/>
      <c r="R479" s="3"/>
      <c r="S479" s="3"/>
      <c r="T479" s="3"/>
      <c r="U479" s="3" t="s">
        <v>35</v>
      </c>
      <c r="V479" s="18" t="s">
        <v>35</v>
      </c>
      <c r="W479" s="18" t="s">
        <v>35</v>
      </c>
      <c r="X479" s="4" t="s">
        <v>35</v>
      </c>
      <c r="Y479" s="4" t="s">
        <v>35</v>
      </c>
      <c r="Z479" s="7" t="s">
        <v>35</v>
      </c>
      <c r="AA479" s="5"/>
      <c r="AB479" s="3"/>
      <c r="AC479" s="3"/>
      <c r="AD479" s="3"/>
      <c r="AE479" s="3"/>
      <c r="AF479" s="3" t="s">
        <v>35</v>
      </c>
      <c r="AG479" s="18" t="s">
        <v>35</v>
      </c>
      <c r="AH479" s="18" t="s">
        <v>35</v>
      </c>
      <c r="AI479" s="4" t="s">
        <v>35</v>
      </c>
      <c r="AJ479" s="4" t="s">
        <v>35</v>
      </c>
      <c r="AK479" s="7" t="s">
        <v>35</v>
      </c>
      <c r="AL479" s="5"/>
      <c r="AM479" s="3"/>
      <c r="AN479" s="3"/>
      <c r="AO479" s="3"/>
      <c r="AP479" s="3"/>
      <c r="AQ479" s="3" t="s">
        <v>35</v>
      </c>
      <c r="AR479" s="18" t="s">
        <v>35</v>
      </c>
      <c r="AS479" s="18" t="s">
        <v>35</v>
      </c>
      <c r="AT479" s="4" t="s">
        <v>35</v>
      </c>
      <c r="AU479" s="4" t="s">
        <v>35</v>
      </c>
      <c r="AV479" s="7" t="s">
        <v>35</v>
      </c>
      <c r="AW479" s="5"/>
      <c r="AX479" s="3"/>
      <c r="AY479" s="3"/>
      <c r="AZ479" s="3"/>
      <c r="BA479" s="3"/>
      <c r="BB479" s="3" t="s">
        <v>35</v>
      </c>
      <c r="BC479" s="18"/>
      <c r="BD479" s="18"/>
      <c r="BE479" s="4" t="s">
        <v>35</v>
      </c>
      <c r="BF479" s="4" t="s">
        <v>35</v>
      </c>
      <c r="BG479" s="7" t="s">
        <v>35</v>
      </c>
      <c r="BH479" s="5"/>
      <c r="BI479" s="3"/>
      <c r="BJ479" s="3"/>
      <c r="BK479" s="3"/>
      <c r="BL479" s="3"/>
      <c r="BM479" s="3" t="s">
        <v>35</v>
      </c>
      <c r="BN479" s="18" t="s">
        <v>35</v>
      </c>
      <c r="BO479" s="18" t="s">
        <v>35</v>
      </c>
      <c r="BP479" s="4" t="s">
        <v>35</v>
      </c>
      <c r="BQ479" s="4" t="s">
        <v>35</v>
      </c>
      <c r="BR479" s="7" t="s">
        <v>35</v>
      </c>
      <c r="BS479" s="18" t="s">
        <v>35</v>
      </c>
    </row>
    <row r="480" spans="1:71" x14ac:dyDescent="0.25">
      <c r="A480" s="1">
        <v>475</v>
      </c>
      <c r="B480" s="18"/>
      <c r="C480" s="18"/>
      <c r="D480" s="21"/>
      <c r="E480" s="5"/>
      <c r="F480" s="3"/>
      <c r="G480" s="3"/>
      <c r="H480" s="3"/>
      <c r="I480" s="3"/>
      <c r="J480" s="3" t="s">
        <v>35</v>
      </c>
      <c r="K480" s="18"/>
      <c r="L480" s="18"/>
      <c r="M480" s="4"/>
      <c r="N480" s="4"/>
      <c r="O480" s="7"/>
      <c r="P480" s="5"/>
      <c r="Q480" s="3"/>
      <c r="R480" s="3"/>
      <c r="S480" s="3"/>
      <c r="T480" s="3"/>
      <c r="U480" s="3" t="s">
        <v>35</v>
      </c>
      <c r="V480" s="18" t="s">
        <v>35</v>
      </c>
      <c r="W480" s="18" t="s">
        <v>35</v>
      </c>
      <c r="X480" s="4" t="s">
        <v>35</v>
      </c>
      <c r="Y480" s="4" t="s">
        <v>35</v>
      </c>
      <c r="Z480" s="7" t="s">
        <v>35</v>
      </c>
      <c r="AA480" s="5"/>
      <c r="AB480" s="3"/>
      <c r="AC480" s="3"/>
      <c r="AD480" s="3"/>
      <c r="AE480" s="3"/>
      <c r="AF480" s="3" t="s">
        <v>35</v>
      </c>
      <c r="AG480" s="18" t="s">
        <v>35</v>
      </c>
      <c r="AH480" s="18" t="s">
        <v>35</v>
      </c>
      <c r="AI480" s="4" t="s">
        <v>35</v>
      </c>
      <c r="AJ480" s="4" t="s">
        <v>35</v>
      </c>
      <c r="AK480" s="7" t="s">
        <v>35</v>
      </c>
      <c r="AL480" s="5"/>
      <c r="AM480" s="3"/>
      <c r="AN480" s="3"/>
      <c r="AO480" s="3"/>
      <c r="AP480" s="3"/>
      <c r="AQ480" s="3" t="s">
        <v>35</v>
      </c>
      <c r="AR480" s="18" t="s">
        <v>35</v>
      </c>
      <c r="AS480" s="18" t="s">
        <v>35</v>
      </c>
      <c r="AT480" s="4" t="s">
        <v>35</v>
      </c>
      <c r="AU480" s="4" t="s">
        <v>35</v>
      </c>
      <c r="AV480" s="7" t="s">
        <v>35</v>
      </c>
      <c r="AW480" s="5"/>
      <c r="AX480" s="3"/>
      <c r="AY480" s="3"/>
      <c r="AZ480" s="3"/>
      <c r="BA480" s="3"/>
      <c r="BB480" s="3" t="s">
        <v>35</v>
      </c>
      <c r="BC480" s="18"/>
      <c r="BD480" s="18"/>
      <c r="BE480" s="4" t="s">
        <v>35</v>
      </c>
      <c r="BF480" s="4" t="s">
        <v>35</v>
      </c>
      <c r="BG480" s="7" t="s">
        <v>35</v>
      </c>
      <c r="BH480" s="5"/>
      <c r="BI480" s="3"/>
      <c r="BJ480" s="3"/>
      <c r="BK480" s="3"/>
      <c r="BL480" s="3"/>
      <c r="BM480" s="3" t="s">
        <v>35</v>
      </c>
      <c r="BN480" s="18" t="s">
        <v>35</v>
      </c>
      <c r="BO480" s="18" t="s">
        <v>35</v>
      </c>
      <c r="BP480" s="4" t="s">
        <v>35</v>
      </c>
      <c r="BQ480" s="4" t="s">
        <v>35</v>
      </c>
      <c r="BR480" s="7" t="s">
        <v>35</v>
      </c>
      <c r="BS480" s="18" t="s">
        <v>35</v>
      </c>
    </row>
    <row r="481" spans="1:71" x14ac:dyDescent="0.25">
      <c r="A481" s="18">
        <v>476</v>
      </c>
      <c r="B481" s="18"/>
      <c r="C481" s="18"/>
      <c r="D481" s="21"/>
      <c r="E481" s="5"/>
      <c r="F481" s="3"/>
      <c r="G481" s="3"/>
      <c r="H481" s="3"/>
      <c r="I481" s="3"/>
      <c r="J481" s="3"/>
      <c r="K481" s="18"/>
      <c r="L481" s="18"/>
      <c r="M481" s="4"/>
      <c r="N481" s="4"/>
      <c r="O481" s="7"/>
      <c r="P481" s="5"/>
      <c r="Q481" s="3"/>
      <c r="R481" s="3"/>
      <c r="S481" s="3"/>
      <c r="T481" s="3"/>
      <c r="U481" s="3"/>
      <c r="V481" s="18"/>
      <c r="W481" s="18"/>
      <c r="X481" s="4"/>
      <c r="Y481" s="4"/>
      <c r="Z481" s="7"/>
      <c r="AA481" s="5"/>
      <c r="AB481" s="3"/>
      <c r="AC481" s="3"/>
      <c r="AD481" s="3"/>
      <c r="AE481" s="3"/>
      <c r="AF481" s="3"/>
      <c r="AG481" s="18"/>
      <c r="AH481" s="18"/>
      <c r="AI481" s="4"/>
      <c r="AJ481" s="4"/>
      <c r="AK481" s="7"/>
      <c r="AL481" s="5"/>
      <c r="AM481" s="3"/>
      <c r="AN481" s="3"/>
      <c r="AO481" s="3"/>
      <c r="AP481" s="3"/>
      <c r="AQ481" s="3" t="s">
        <v>35</v>
      </c>
      <c r="AR481" s="18" t="s">
        <v>35</v>
      </c>
      <c r="AS481" s="18" t="s">
        <v>35</v>
      </c>
      <c r="AT481" s="4"/>
      <c r="AU481" s="4"/>
      <c r="AV481" s="7"/>
      <c r="AW481" s="5"/>
      <c r="AX481" s="3"/>
      <c r="AY481" s="3"/>
      <c r="AZ481" s="3"/>
      <c r="BA481" s="3"/>
      <c r="BB481" s="3"/>
      <c r="BC481" s="18"/>
      <c r="BD481" s="18"/>
      <c r="BE481" s="4"/>
      <c r="BF481" s="4"/>
      <c r="BG481" s="7"/>
      <c r="BH481" s="5"/>
      <c r="BI481" s="3"/>
      <c r="BJ481" s="3"/>
      <c r="BK481" s="3"/>
      <c r="BL481" s="3"/>
      <c r="BM481" s="3"/>
      <c r="BN481" s="18"/>
      <c r="BO481" s="18"/>
      <c r="BP481" s="4"/>
      <c r="BQ481" s="4"/>
      <c r="BR481" s="7"/>
      <c r="BS481" s="18"/>
    </row>
    <row r="482" spans="1:71" x14ac:dyDescent="0.25">
      <c r="A482" s="18">
        <v>477</v>
      </c>
      <c r="B482" s="18"/>
      <c r="C482" s="18"/>
      <c r="D482" s="21"/>
      <c r="E482" s="5"/>
      <c r="F482" s="3"/>
      <c r="G482" s="3"/>
      <c r="H482" s="3"/>
      <c r="I482" s="3"/>
      <c r="J482" s="3"/>
      <c r="K482" s="18"/>
      <c r="L482" s="18"/>
      <c r="M482" s="4"/>
      <c r="N482" s="4"/>
      <c r="O482" s="7"/>
      <c r="P482" s="5"/>
      <c r="Q482" s="3"/>
      <c r="R482" s="3"/>
      <c r="S482" s="3"/>
      <c r="T482" s="3"/>
      <c r="U482" s="3"/>
      <c r="V482" s="18"/>
      <c r="W482" s="18"/>
      <c r="X482" s="4"/>
      <c r="Y482" s="4"/>
      <c r="Z482" s="7"/>
      <c r="AA482" s="5"/>
      <c r="AB482" s="3"/>
      <c r="AC482" s="3"/>
      <c r="AD482" s="3"/>
      <c r="AE482" s="3"/>
      <c r="AF482" s="3"/>
      <c r="AG482" s="18"/>
      <c r="AH482" s="18"/>
      <c r="AI482" s="4"/>
      <c r="AJ482" s="4"/>
      <c r="AK482" s="7"/>
      <c r="AL482" s="5"/>
      <c r="AM482" s="3"/>
      <c r="AN482" s="3"/>
      <c r="AO482" s="3"/>
      <c r="AP482" s="3"/>
      <c r="AQ482" s="3" t="s">
        <v>35</v>
      </c>
      <c r="AR482" s="18" t="s">
        <v>35</v>
      </c>
      <c r="AS482" s="18" t="s">
        <v>35</v>
      </c>
      <c r="AT482" s="4"/>
      <c r="AU482" s="4"/>
      <c r="AV482" s="7"/>
      <c r="AW482" s="5"/>
      <c r="AX482" s="3"/>
      <c r="AY482" s="3"/>
      <c r="AZ482" s="3"/>
      <c r="BA482" s="3"/>
      <c r="BB482" s="3"/>
      <c r="BC482" s="18"/>
      <c r="BD482" s="18"/>
      <c r="BE482" s="4"/>
      <c r="BF482" s="4"/>
      <c r="BG482" s="7"/>
      <c r="BH482" s="5"/>
      <c r="BI482" s="3"/>
      <c r="BJ482" s="3"/>
      <c r="BK482" s="3"/>
      <c r="BL482" s="3"/>
      <c r="BM482" s="3"/>
      <c r="BN482" s="18"/>
      <c r="BO482" s="18"/>
      <c r="BP482" s="4"/>
      <c r="BQ482" s="4"/>
      <c r="BR482" s="7"/>
      <c r="BS482" s="18"/>
    </row>
    <row r="483" spans="1:71" x14ac:dyDescent="0.25">
      <c r="A483" s="18">
        <v>478</v>
      </c>
      <c r="B483" s="18"/>
      <c r="C483" s="18"/>
      <c r="D483" s="21"/>
      <c r="E483" s="5"/>
      <c r="F483" s="3"/>
      <c r="G483" s="3"/>
      <c r="H483" s="3"/>
      <c r="I483" s="3"/>
      <c r="J483" s="3"/>
      <c r="K483" s="18"/>
      <c r="L483" s="18"/>
      <c r="M483" s="4"/>
      <c r="N483" s="4"/>
      <c r="O483" s="7"/>
      <c r="P483" s="5"/>
      <c r="Q483" s="3"/>
      <c r="R483" s="3"/>
      <c r="S483" s="3"/>
      <c r="T483" s="3"/>
      <c r="U483" s="3"/>
      <c r="V483" s="18"/>
      <c r="W483" s="18"/>
      <c r="X483" s="4"/>
      <c r="Y483" s="4"/>
      <c r="Z483" s="7"/>
      <c r="AA483" s="5"/>
      <c r="AB483" s="3"/>
      <c r="AC483" s="3"/>
      <c r="AD483" s="3"/>
      <c r="AE483" s="3"/>
      <c r="AF483" s="3"/>
      <c r="AG483" s="18"/>
      <c r="AH483" s="18"/>
      <c r="AI483" s="4"/>
      <c r="AJ483" s="4"/>
      <c r="AK483" s="7"/>
      <c r="AL483" s="5"/>
      <c r="AM483" s="3"/>
      <c r="AN483" s="3"/>
      <c r="AO483" s="3"/>
      <c r="AP483" s="3"/>
      <c r="AQ483" s="3" t="s">
        <v>35</v>
      </c>
      <c r="AR483" s="18" t="s">
        <v>35</v>
      </c>
      <c r="AS483" s="18" t="s">
        <v>35</v>
      </c>
      <c r="AT483" s="4"/>
      <c r="AU483" s="4"/>
      <c r="AV483" s="7"/>
      <c r="AW483" s="5"/>
      <c r="AX483" s="3"/>
      <c r="AY483" s="3"/>
      <c r="AZ483" s="3"/>
      <c r="BA483" s="3"/>
      <c r="BB483" s="3"/>
      <c r="BC483" s="18"/>
      <c r="BD483" s="18"/>
      <c r="BE483" s="4"/>
      <c r="BF483" s="4"/>
      <c r="BG483" s="7"/>
      <c r="BH483" s="5"/>
      <c r="BI483" s="3"/>
      <c r="BJ483" s="3"/>
      <c r="BK483" s="3"/>
      <c r="BL483" s="3"/>
      <c r="BM483" s="3"/>
      <c r="BN483" s="18"/>
      <c r="BO483" s="18"/>
      <c r="BP483" s="4"/>
      <c r="BQ483" s="4"/>
      <c r="BR483" s="7"/>
      <c r="BS483" s="18"/>
    </row>
    <row r="484" spans="1:71" x14ac:dyDescent="0.25">
      <c r="A484" s="18">
        <v>479</v>
      </c>
      <c r="B484" s="18"/>
      <c r="C484" s="18"/>
      <c r="D484" s="21"/>
      <c r="E484" s="5"/>
      <c r="F484" s="3"/>
      <c r="G484" s="3"/>
      <c r="H484" s="3"/>
      <c r="I484" s="3"/>
      <c r="J484" s="3"/>
      <c r="K484" s="18"/>
      <c r="L484" s="18"/>
      <c r="M484" s="4"/>
      <c r="N484" s="4"/>
      <c r="O484" s="7"/>
      <c r="P484" s="5"/>
      <c r="Q484" s="3"/>
      <c r="R484" s="3"/>
      <c r="S484" s="3"/>
      <c r="T484" s="3"/>
      <c r="U484" s="3"/>
      <c r="V484" s="18"/>
      <c r="W484" s="18"/>
      <c r="X484" s="4"/>
      <c r="Y484" s="4"/>
      <c r="Z484" s="7"/>
      <c r="AA484" s="5"/>
      <c r="AB484" s="3"/>
      <c r="AC484" s="3"/>
      <c r="AD484" s="3"/>
      <c r="AE484" s="3"/>
      <c r="AF484" s="3"/>
      <c r="AG484" s="18"/>
      <c r="AH484" s="18"/>
      <c r="AI484" s="4"/>
      <c r="AJ484" s="4"/>
      <c r="AK484" s="7"/>
      <c r="AL484" s="5"/>
      <c r="AM484" s="3"/>
      <c r="AN484" s="3"/>
      <c r="AO484" s="3"/>
      <c r="AP484" s="3"/>
      <c r="AQ484" s="3" t="s">
        <v>35</v>
      </c>
      <c r="AR484" s="18" t="s">
        <v>35</v>
      </c>
      <c r="AS484" s="18" t="s">
        <v>35</v>
      </c>
      <c r="AT484" s="4"/>
      <c r="AU484" s="4"/>
      <c r="AV484" s="7"/>
      <c r="AW484" s="5"/>
      <c r="AX484" s="3"/>
      <c r="AY484" s="3"/>
      <c r="AZ484" s="3"/>
      <c r="BA484" s="3"/>
      <c r="BB484" s="3"/>
      <c r="BC484" s="18"/>
      <c r="BD484" s="18"/>
      <c r="BE484" s="4"/>
      <c r="BF484" s="4"/>
      <c r="BG484" s="7"/>
      <c r="BH484" s="5"/>
      <c r="BI484" s="3"/>
      <c r="BJ484" s="3"/>
      <c r="BK484" s="3"/>
      <c r="BL484" s="3"/>
      <c r="BM484" s="3"/>
      <c r="BN484" s="18"/>
      <c r="BO484" s="18"/>
      <c r="BP484" s="4"/>
      <c r="BQ484" s="4"/>
      <c r="BR484" s="7"/>
      <c r="BS484" s="18"/>
    </row>
    <row r="485" spans="1:71" x14ac:dyDescent="0.25">
      <c r="A485" s="1">
        <v>480</v>
      </c>
      <c r="B485" s="18"/>
      <c r="C485" s="18"/>
      <c r="D485" s="21"/>
      <c r="E485" s="5"/>
      <c r="F485" s="3"/>
      <c r="G485" s="3"/>
      <c r="H485" s="3"/>
      <c r="I485" s="3"/>
      <c r="J485" s="3"/>
      <c r="K485" s="18"/>
      <c r="L485" s="18"/>
      <c r="M485" s="4"/>
      <c r="N485" s="4"/>
      <c r="O485" s="7"/>
      <c r="P485" s="5"/>
      <c r="Q485" s="3"/>
      <c r="R485" s="3"/>
      <c r="S485" s="3"/>
      <c r="T485" s="3"/>
      <c r="U485" s="3"/>
      <c r="V485" s="18"/>
      <c r="W485" s="18"/>
      <c r="X485" s="4"/>
      <c r="Y485" s="4"/>
      <c r="Z485" s="7"/>
      <c r="AA485" s="5"/>
      <c r="AB485" s="3"/>
      <c r="AC485" s="3"/>
      <c r="AD485" s="3"/>
      <c r="AE485" s="3"/>
      <c r="AF485" s="3"/>
      <c r="AG485" s="18"/>
      <c r="AH485" s="18"/>
      <c r="AI485" s="4"/>
      <c r="AJ485" s="4"/>
      <c r="AK485" s="7"/>
      <c r="AL485" s="5"/>
      <c r="AM485" s="3"/>
      <c r="AN485" s="3"/>
      <c r="AO485" s="3"/>
      <c r="AP485" s="3"/>
      <c r="AQ485" s="3" t="s">
        <v>35</v>
      </c>
      <c r="AR485" s="18" t="s">
        <v>35</v>
      </c>
      <c r="AS485" s="18" t="s">
        <v>35</v>
      </c>
      <c r="AT485" s="4"/>
      <c r="AU485" s="4"/>
      <c r="AV485" s="7"/>
      <c r="AW485" s="5"/>
      <c r="AX485" s="3"/>
      <c r="AY485" s="3"/>
      <c r="AZ485" s="3"/>
      <c r="BA485" s="3"/>
      <c r="BB485" s="3"/>
      <c r="BC485" s="18"/>
      <c r="BD485" s="18"/>
      <c r="BE485" s="4"/>
      <c r="BF485" s="4"/>
      <c r="BG485" s="7"/>
      <c r="BH485" s="5"/>
      <c r="BI485" s="3"/>
      <c r="BJ485" s="3"/>
      <c r="BK485" s="3"/>
      <c r="BL485" s="3"/>
      <c r="BM485" s="3"/>
      <c r="BN485" s="18"/>
      <c r="BO485" s="18"/>
      <c r="BP485" s="4"/>
      <c r="BQ485" s="4"/>
      <c r="BR485" s="7"/>
      <c r="BS485" s="18"/>
    </row>
    <row r="486" spans="1:71" x14ac:dyDescent="0.25">
      <c r="A486" s="18">
        <v>481</v>
      </c>
      <c r="B486" s="18"/>
      <c r="C486" s="18"/>
      <c r="D486" s="21"/>
      <c r="E486" s="5"/>
      <c r="F486" s="3"/>
      <c r="G486" s="3"/>
      <c r="H486" s="3"/>
      <c r="I486" s="3"/>
      <c r="J486" s="3"/>
      <c r="K486" s="18"/>
      <c r="L486" s="18"/>
      <c r="M486" s="4"/>
      <c r="N486" s="4"/>
      <c r="O486" s="7"/>
      <c r="P486" s="5"/>
      <c r="Q486" s="3"/>
      <c r="R486" s="3"/>
      <c r="S486" s="3"/>
      <c r="T486" s="3"/>
      <c r="U486" s="3"/>
      <c r="V486" s="18"/>
      <c r="W486" s="18"/>
      <c r="X486" s="4"/>
      <c r="Y486" s="4"/>
      <c r="Z486" s="7"/>
      <c r="AA486" s="5"/>
      <c r="AB486" s="3"/>
      <c r="AC486" s="3"/>
      <c r="AD486" s="3"/>
      <c r="AE486" s="3"/>
      <c r="AF486" s="3"/>
      <c r="AG486" s="18"/>
      <c r="AH486" s="18"/>
      <c r="AI486" s="4"/>
      <c r="AJ486" s="4"/>
      <c r="AK486" s="7"/>
      <c r="AL486" s="5"/>
      <c r="AM486" s="3"/>
      <c r="AN486" s="3"/>
      <c r="AO486" s="3"/>
      <c r="AP486" s="3"/>
      <c r="AQ486" s="3" t="s">
        <v>35</v>
      </c>
      <c r="AR486" s="18" t="s">
        <v>35</v>
      </c>
      <c r="AS486" s="18" t="s">
        <v>35</v>
      </c>
      <c r="AT486" s="4"/>
      <c r="AU486" s="4"/>
      <c r="AV486" s="7"/>
      <c r="AW486" s="5"/>
      <c r="AX486" s="3"/>
      <c r="AY486" s="3"/>
      <c r="AZ486" s="3"/>
      <c r="BA486" s="3"/>
      <c r="BB486" s="3"/>
      <c r="BC486" s="18"/>
      <c r="BD486" s="18"/>
      <c r="BE486" s="4"/>
      <c r="BF486" s="4"/>
      <c r="BG486" s="7"/>
      <c r="BH486" s="5"/>
      <c r="BI486" s="3"/>
      <c r="BJ486" s="3"/>
      <c r="BK486" s="3"/>
      <c r="BL486" s="3"/>
      <c r="BM486" s="3"/>
      <c r="BN486" s="18"/>
      <c r="BO486" s="18"/>
      <c r="BP486" s="4"/>
      <c r="BQ486" s="4"/>
      <c r="BR486" s="7"/>
      <c r="BS486" s="18"/>
    </row>
    <row r="487" spans="1:71" x14ac:dyDescent="0.25">
      <c r="A487" s="18">
        <v>482</v>
      </c>
      <c r="B487" s="18"/>
      <c r="C487" s="18"/>
      <c r="D487" s="21"/>
      <c r="E487" s="5"/>
      <c r="F487" s="3"/>
      <c r="G487" s="3"/>
      <c r="H487" s="3"/>
      <c r="I487" s="3"/>
      <c r="J487" s="3"/>
      <c r="K487" s="18"/>
      <c r="L487" s="18"/>
      <c r="M487" s="4"/>
      <c r="N487" s="4"/>
      <c r="O487" s="7"/>
      <c r="P487" s="5"/>
      <c r="Q487" s="3"/>
      <c r="R487" s="3"/>
      <c r="S487" s="3"/>
      <c r="T487" s="3"/>
      <c r="U487" s="3"/>
      <c r="V487" s="18"/>
      <c r="W487" s="18"/>
      <c r="X487" s="4"/>
      <c r="Y487" s="4"/>
      <c r="Z487" s="7"/>
      <c r="AA487" s="5"/>
      <c r="AB487" s="3"/>
      <c r="AC487" s="3"/>
      <c r="AD487" s="3"/>
      <c r="AE487" s="3"/>
      <c r="AF487" s="3"/>
      <c r="AG487" s="18"/>
      <c r="AH487" s="18"/>
      <c r="AI487" s="4"/>
      <c r="AJ487" s="4"/>
      <c r="AK487" s="7"/>
      <c r="AL487" s="5"/>
      <c r="AM487" s="3"/>
      <c r="AN487" s="3"/>
      <c r="AO487" s="3"/>
      <c r="AP487" s="3"/>
      <c r="AQ487" s="3" t="s">
        <v>35</v>
      </c>
      <c r="AR487" s="18" t="s">
        <v>35</v>
      </c>
      <c r="AS487" s="18" t="s">
        <v>35</v>
      </c>
      <c r="AT487" s="4"/>
      <c r="AU487" s="4"/>
      <c r="AV487" s="7"/>
      <c r="AW487" s="5"/>
      <c r="AX487" s="3"/>
      <c r="AY487" s="3"/>
      <c r="AZ487" s="3"/>
      <c r="BA487" s="3"/>
      <c r="BB487" s="3"/>
      <c r="BC487" s="18"/>
      <c r="BD487" s="18"/>
      <c r="BE487" s="4"/>
      <c r="BF487" s="4"/>
      <c r="BG487" s="7"/>
      <c r="BH487" s="5"/>
      <c r="BI487" s="3"/>
      <c r="BJ487" s="3"/>
      <c r="BK487" s="3"/>
      <c r="BL487" s="3"/>
      <c r="BM487" s="3"/>
      <c r="BN487" s="18"/>
      <c r="BO487" s="18"/>
      <c r="BP487" s="4"/>
      <c r="BQ487" s="4"/>
      <c r="BR487" s="7"/>
      <c r="BS487" s="18"/>
    </row>
    <row r="488" spans="1:71" x14ac:dyDescent="0.25">
      <c r="A488" s="18">
        <v>483</v>
      </c>
      <c r="B488" s="18"/>
      <c r="C488" s="18"/>
      <c r="D488" s="21"/>
      <c r="E488" s="5"/>
      <c r="F488" s="3"/>
      <c r="G488" s="3"/>
      <c r="H488" s="3"/>
      <c r="I488" s="3"/>
      <c r="J488" s="3"/>
      <c r="K488" s="18"/>
      <c r="L488" s="18"/>
      <c r="M488" s="4"/>
      <c r="N488" s="4"/>
      <c r="O488" s="7"/>
      <c r="P488" s="5"/>
      <c r="Q488" s="3"/>
      <c r="R488" s="3"/>
      <c r="S488" s="3"/>
      <c r="T488" s="3"/>
      <c r="U488" s="3"/>
      <c r="V488" s="18"/>
      <c r="W488" s="18"/>
      <c r="X488" s="4"/>
      <c r="Y488" s="4"/>
      <c r="Z488" s="7"/>
      <c r="AA488" s="5"/>
      <c r="AB488" s="3"/>
      <c r="AC488" s="3"/>
      <c r="AD488" s="3"/>
      <c r="AE488" s="3"/>
      <c r="AF488" s="3"/>
      <c r="AG488" s="18"/>
      <c r="AH488" s="18"/>
      <c r="AI488" s="4"/>
      <c r="AJ488" s="4"/>
      <c r="AK488" s="7"/>
      <c r="AL488" s="5"/>
      <c r="AM488" s="3"/>
      <c r="AN488" s="3"/>
      <c r="AO488" s="3"/>
      <c r="AP488" s="3"/>
      <c r="AQ488" s="3" t="s">
        <v>35</v>
      </c>
      <c r="AR488" s="18" t="s">
        <v>35</v>
      </c>
      <c r="AS488" s="18" t="s">
        <v>35</v>
      </c>
      <c r="AT488" s="4"/>
      <c r="AU488" s="4"/>
      <c r="AV488" s="7"/>
      <c r="AW488" s="5"/>
      <c r="AX488" s="3"/>
      <c r="AY488" s="3"/>
      <c r="AZ488" s="3"/>
      <c r="BA488" s="3"/>
      <c r="BB488" s="3"/>
      <c r="BC488" s="18"/>
      <c r="BD488" s="18"/>
      <c r="BE488" s="4"/>
      <c r="BF488" s="4"/>
      <c r="BG488" s="7"/>
      <c r="BH488" s="5"/>
      <c r="BI488" s="3"/>
      <c r="BJ488" s="3"/>
      <c r="BK488" s="3"/>
      <c r="BL488" s="3"/>
      <c r="BM488" s="3"/>
      <c r="BN488" s="18"/>
      <c r="BO488" s="18"/>
      <c r="BP488" s="4"/>
      <c r="BQ488" s="4"/>
      <c r="BR488" s="7"/>
      <c r="BS488" s="18"/>
    </row>
    <row r="489" spans="1:71" x14ac:dyDescent="0.25">
      <c r="A489" s="18">
        <v>484</v>
      </c>
      <c r="B489" s="18"/>
      <c r="C489" s="18"/>
      <c r="D489" s="21"/>
      <c r="E489" s="5"/>
      <c r="F489" s="3"/>
      <c r="G489" s="3"/>
      <c r="H489" s="3"/>
      <c r="I489" s="3"/>
      <c r="J489" s="3"/>
      <c r="K489" s="18"/>
      <c r="L489" s="18"/>
      <c r="M489" s="4"/>
      <c r="N489" s="4"/>
      <c r="O489" s="7"/>
      <c r="P489" s="5"/>
      <c r="Q489" s="3"/>
      <c r="R489" s="3"/>
      <c r="S489" s="3"/>
      <c r="T489" s="3"/>
      <c r="U489" s="3"/>
      <c r="V489" s="18"/>
      <c r="W489" s="18"/>
      <c r="X489" s="4"/>
      <c r="Y489" s="4"/>
      <c r="Z489" s="7"/>
      <c r="AA489" s="5"/>
      <c r="AB489" s="3"/>
      <c r="AC489" s="3"/>
      <c r="AD489" s="3"/>
      <c r="AE489" s="3"/>
      <c r="AF489" s="3"/>
      <c r="AG489" s="18"/>
      <c r="AH489" s="18"/>
      <c r="AI489" s="4"/>
      <c r="AJ489" s="4"/>
      <c r="AK489" s="7"/>
      <c r="AL489" s="5"/>
      <c r="AM489" s="3"/>
      <c r="AN489" s="3"/>
      <c r="AO489" s="3"/>
      <c r="AP489" s="3"/>
      <c r="AQ489" s="3" t="s">
        <v>35</v>
      </c>
      <c r="AR489" s="18" t="s">
        <v>35</v>
      </c>
      <c r="AS489" s="18" t="s">
        <v>35</v>
      </c>
      <c r="AT489" s="4"/>
      <c r="AU489" s="4"/>
      <c r="AV489" s="7"/>
      <c r="AW489" s="5"/>
      <c r="AX489" s="3"/>
      <c r="AY489" s="3"/>
      <c r="AZ489" s="3"/>
      <c r="BA489" s="3"/>
      <c r="BB489" s="3"/>
      <c r="BC489" s="18"/>
      <c r="BD489" s="18"/>
      <c r="BE489" s="4"/>
      <c r="BF489" s="4"/>
      <c r="BG489" s="7"/>
      <c r="BH489" s="5"/>
      <c r="BI489" s="3"/>
      <c r="BJ489" s="3"/>
      <c r="BK489" s="3"/>
      <c r="BL489" s="3"/>
      <c r="BM489" s="3"/>
      <c r="BN489" s="18"/>
      <c r="BO489" s="18"/>
      <c r="BP489" s="4"/>
      <c r="BQ489" s="4"/>
      <c r="BR489" s="7"/>
      <c r="BS489" s="18"/>
    </row>
    <row r="490" spans="1:71" x14ac:dyDescent="0.25">
      <c r="A490" s="1">
        <v>485</v>
      </c>
      <c r="B490" s="18"/>
      <c r="C490" s="18"/>
      <c r="D490" s="21"/>
      <c r="E490" s="5"/>
      <c r="F490" s="3"/>
      <c r="G490" s="3"/>
      <c r="H490" s="3"/>
      <c r="I490" s="3"/>
      <c r="J490" s="3"/>
      <c r="K490" s="18"/>
      <c r="L490" s="18"/>
      <c r="M490" s="4"/>
      <c r="N490" s="4"/>
      <c r="O490" s="7"/>
      <c r="P490" s="5"/>
      <c r="Q490" s="3"/>
      <c r="R490" s="3"/>
      <c r="S490" s="3"/>
      <c r="T490" s="3"/>
      <c r="U490" s="3"/>
      <c r="V490" s="18"/>
      <c r="W490" s="18"/>
      <c r="X490" s="4"/>
      <c r="Y490" s="4"/>
      <c r="Z490" s="7"/>
      <c r="AA490" s="5"/>
      <c r="AB490" s="3"/>
      <c r="AC490" s="3"/>
      <c r="AD490" s="3"/>
      <c r="AE490" s="3"/>
      <c r="AF490" s="3"/>
      <c r="AG490" s="18"/>
      <c r="AH490" s="18"/>
      <c r="AI490" s="4"/>
      <c r="AJ490" s="4"/>
      <c r="AK490" s="7"/>
      <c r="AL490" s="5"/>
      <c r="AM490" s="3"/>
      <c r="AN490" s="3"/>
      <c r="AO490" s="3"/>
      <c r="AP490" s="3"/>
      <c r="AQ490" s="3" t="s">
        <v>35</v>
      </c>
      <c r="AR490" s="18" t="s">
        <v>35</v>
      </c>
      <c r="AS490" s="18" t="s">
        <v>35</v>
      </c>
      <c r="AT490" s="4"/>
      <c r="AU490" s="4"/>
      <c r="AV490" s="7"/>
      <c r="AW490" s="5"/>
      <c r="AX490" s="3"/>
      <c r="AY490" s="3"/>
      <c r="AZ490" s="3"/>
      <c r="BA490" s="3"/>
      <c r="BB490" s="3"/>
      <c r="BC490" s="18"/>
      <c r="BD490" s="18"/>
      <c r="BE490" s="4"/>
      <c r="BF490" s="4"/>
      <c r="BG490" s="7"/>
      <c r="BH490" s="5"/>
      <c r="BI490" s="3"/>
      <c r="BJ490" s="3"/>
      <c r="BK490" s="3"/>
      <c r="BL490" s="3"/>
      <c r="BM490" s="3"/>
      <c r="BN490" s="18"/>
      <c r="BO490" s="18"/>
      <c r="BP490" s="4"/>
      <c r="BQ490" s="4"/>
      <c r="BR490" s="7"/>
      <c r="BS490" s="18"/>
    </row>
    <row r="491" spans="1:71" x14ac:dyDescent="0.25">
      <c r="A491" s="18">
        <v>486</v>
      </c>
      <c r="B491" s="18"/>
      <c r="C491" s="18"/>
      <c r="D491" s="21"/>
      <c r="E491" s="5"/>
      <c r="F491" s="3"/>
      <c r="G491" s="3"/>
      <c r="H491" s="3"/>
      <c r="I491" s="3"/>
      <c r="J491" s="3"/>
      <c r="K491" s="18"/>
      <c r="L491" s="18"/>
      <c r="M491" s="4"/>
      <c r="N491" s="4"/>
      <c r="O491" s="7"/>
      <c r="P491" s="5"/>
      <c r="Q491" s="3"/>
      <c r="R491" s="3"/>
      <c r="S491" s="3"/>
      <c r="T491" s="3"/>
      <c r="U491" s="3"/>
      <c r="V491" s="18"/>
      <c r="W491" s="18"/>
      <c r="X491" s="4"/>
      <c r="Y491" s="4"/>
      <c r="Z491" s="7"/>
      <c r="AA491" s="5"/>
      <c r="AB491" s="3"/>
      <c r="AC491" s="3"/>
      <c r="AD491" s="3"/>
      <c r="AE491" s="3"/>
      <c r="AF491" s="3"/>
      <c r="AG491" s="18"/>
      <c r="AH491" s="18"/>
      <c r="AI491" s="4"/>
      <c r="AJ491" s="4"/>
      <c r="AK491" s="7"/>
      <c r="AL491" s="5"/>
      <c r="AM491" s="3"/>
      <c r="AN491" s="3"/>
      <c r="AO491" s="3"/>
      <c r="AP491" s="3"/>
      <c r="AQ491" s="3" t="s">
        <v>35</v>
      </c>
      <c r="AR491" s="18" t="s">
        <v>35</v>
      </c>
      <c r="AS491" s="18" t="s">
        <v>35</v>
      </c>
      <c r="AT491" s="4"/>
      <c r="AU491" s="4"/>
      <c r="AV491" s="7"/>
      <c r="AW491" s="5"/>
      <c r="AX491" s="3"/>
      <c r="AY491" s="3"/>
      <c r="AZ491" s="3"/>
      <c r="BA491" s="3"/>
      <c r="BB491" s="3"/>
      <c r="BC491" s="18"/>
      <c r="BD491" s="18"/>
      <c r="BE491" s="4"/>
      <c r="BF491" s="4"/>
      <c r="BG491" s="7"/>
      <c r="BH491" s="5"/>
      <c r="BI491" s="3"/>
      <c r="BJ491" s="3"/>
      <c r="BK491" s="3"/>
      <c r="BL491" s="3"/>
      <c r="BM491" s="3"/>
      <c r="BN491" s="18"/>
      <c r="BO491" s="18"/>
      <c r="BP491" s="4"/>
      <c r="BQ491" s="4"/>
      <c r="BR491" s="7"/>
      <c r="BS491" s="18"/>
    </row>
    <row r="492" spans="1:71" x14ac:dyDescent="0.25">
      <c r="A492" s="18">
        <v>487</v>
      </c>
      <c r="B492" s="18"/>
      <c r="C492" s="18"/>
      <c r="D492" s="21"/>
      <c r="E492" s="5"/>
      <c r="F492" s="3"/>
      <c r="G492" s="3"/>
      <c r="H492" s="3"/>
      <c r="I492" s="3"/>
      <c r="J492" s="3"/>
      <c r="K492" s="18"/>
      <c r="L492" s="18"/>
      <c r="M492" s="4"/>
      <c r="N492" s="4"/>
      <c r="O492" s="7"/>
      <c r="P492" s="5"/>
      <c r="Q492" s="3"/>
      <c r="R492" s="3"/>
      <c r="S492" s="3"/>
      <c r="T492" s="3"/>
      <c r="U492" s="3"/>
      <c r="V492" s="18"/>
      <c r="W492" s="18"/>
      <c r="X492" s="4"/>
      <c r="Y492" s="4"/>
      <c r="Z492" s="7"/>
      <c r="AA492" s="5"/>
      <c r="AB492" s="3"/>
      <c r="AC492" s="3"/>
      <c r="AD492" s="3"/>
      <c r="AE492" s="3"/>
      <c r="AF492" s="3"/>
      <c r="AG492" s="18"/>
      <c r="AH492" s="18"/>
      <c r="AI492" s="4"/>
      <c r="AJ492" s="4"/>
      <c r="AK492" s="7"/>
      <c r="AL492" s="5"/>
      <c r="AM492" s="3"/>
      <c r="AN492" s="3"/>
      <c r="AO492" s="3"/>
      <c r="AP492" s="3"/>
      <c r="AQ492" s="3" t="s">
        <v>35</v>
      </c>
      <c r="AR492" s="18" t="s">
        <v>35</v>
      </c>
      <c r="AS492" s="18" t="s">
        <v>35</v>
      </c>
      <c r="AT492" s="4"/>
      <c r="AU492" s="4"/>
      <c r="AV492" s="7"/>
      <c r="AW492" s="5"/>
      <c r="AX492" s="3"/>
      <c r="AY492" s="3"/>
      <c r="AZ492" s="3"/>
      <c r="BA492" s="3"/>
      <c r="BB492" s="3"/>
      <c r="BC492" s="18"/>
      <c r="BD492" s="18"/>
      <c r="BE492" s="4"/>
      <c r="BF492" s="4"/>
      <c r="BG492" s="7"/>
      <c r="BH492" s="5"/>
      <c r="BI492" s="3"/>
      <c r="BJ492" s="3"/>
      <c r="BK492" s="3"/>
      <c r="BL492" s="3"/>
      <c r="BM492" s="3"/>
      <c r="BN492" s="18"/>
      <c r="BO492" s="18"/>
      <c r="BP492" s="4"/>
      <c r="BQ492" s="4"/>
      <c r="BR492" s="7"/>
      <c r="BS492" s="18"/>
    </row>
    <row r="493" spans="1:71" x14ac:dyDescent="0.25">
      <c r="A493" s="18">
        <v>488</v>
      </c>
      <c r="B493" s="18"/>
      <c r="C493" s="18"/>
      <c r="D493" s="21"/>
      <c r="E493" s="5"/>
      <c r="F493" s="3"/>
      <c r="G493" s="3"/>
      <c r="H493" s="3"/>
      <c r="I493" s="3"/>
      <c r="J493" s="3"/>
      <c r="K493" s="18"/>
      <c r="L493" s="18"/>
      <c r="M493" s="4"/>
      <c r="N493" s="4"/>
      <c r="O493" s="7"/>
      <c r="P493" s="5"/>
      <c r="Q493" s="3"/>
      <c r="R493" s="3"/>
      <c r="S493" s="3"/>
      <c r="T493" s="3"/>
      <c r="U493" s="3"/>
      <c r="V493" s="18"/>
      <c r="W493" s="18"/>
      <c r="X493" s="4"/>
      <c r="Y493" s="4"/>
      <c r="Z493" s="7"/>
      <c r="AA493" s="5"/>
      <c r="AB493" s="3"/>
      <c r="AC493" s="3"/>
      <c r="AD493" s="3"/>
      <c r="AE493" s="3"/>
      <c r="AF493" s="3"/>
      <c r="AG493" s="18"/>
      <c r="AH493" s="18"/>
      <c r="AI493" s="4"/>
      <c r="AJ493" s="4"/>
      <c r="AK493" s="7"/>
      <c r="AL493" s="5"/>
      <c r="AM493" s="3"/>
      <c r="AN493" s="3"/>
      <c r="AO493" s="3"/>
      <c r="AP493" s="3"/>
      <c r="AQ493" s="3" t="s">
        <v>35</v>
      </c>
      <c r="AR493" s="18" t="s">
        <v>35</v>
      </c>
      <c r="AS493" s="18" t="s">
        <v>35</v>
      </c>
      <c r="AT493" s="4"/>
      <c r="AU493" s="4"/>
      <c r="AV493" s="7"/>
      <c r="AW493" s="5"/>
      <c r="AX493" s="3"/>
      <c r="AY493" s="3"/>
      <c r="AZ493" s="3"/>
      <c r="BA493" s="3"/>
      <c r="BB493" s="3"/>
      <c r="BC493" s="18"/>
      <c r="BD493" s="18"/>
      <c r="BE493" s="4"/>
      <c r="BF493" s="4"/>
      <c r="BG493" s="7"/>
      <c r="BH493" s="5"/>
      <c r="BI493" s="3"/>
      <c r="BJ493" s="3"/>
      <c r="BK493" s="3"/>
      <c r="BL493" s="3"/>
      <c r="BM493" s="3"/>
      <c r="BN493" s="18"/>
      <c r="BO493" s="18"/>
      <c r="BP493" s="4"/>
      <c r="BQ493" s="4"/>
      <c r="BR493" s="7"/>
      <c r="BS493" s="18"/>
    </row>
    <row r="494" spans="1:71" x14ac:dyDescent="0.25">
      <c r="A494" s="18">
        <v>489</v>
      </c>
      <c r="B494" s="18"/>
      <c r="C494" s="18"/>
      <c r="D494" s="21"/>
      <c r="E494" s="5"/>
      <c r="F494" s="3"/>
      <c r="G494" s="3"/>
      <c r="H494" s="3"/>
      <c r="I494" s="3"/>
      <c r="J494" s="3"/>
      <c r="K494" s="18"/>
      <c r="L494" s="18"/>
      <c r="M494" s="4"/>
      <c r="N494" s="4"/>
      <c r="O494" s="7"/>
      <c r="P494" s="5"/>
      <c r="Q494" s="3"/>
      <c r="R494" s="3"/>
      <c r="S494" s="3"/>
      <c r="T494" s="3"/>
      <c r="U494" s="3"/>
      <c r="V494" s="18"/>
      <c r="W494" s="18"/>
      <c r="X494" s="4"/>
      <c r="Y494" s="4"/>
      <c r="Z494" s="7"/>
      <c r="AA494" s="5"/>
      <c r="AB494" s="3"/>
      <c r="AC494" s="3"/>
      <c r="AD494" s="3"/>
      <c r="AE494" s="3"/>
      <c r="AF494" s="3"/>
      <c r="AG494" s="18"/>
      <c r="AH494" s="18"/>
      <c r="AI494" s="4"/>
      <c r="AJ494" s="4"/>
      <c r="AK494" s="7"/>
      <c r="AL494" s="5"/>
      <c r="AM494" s="3"/>
      <c r="AN494" s="3"/>
      <c r="AO494" s="3"/>
      <c r="AP494" s="3"/>
      <c r="AQ494" s="3" t="s">
        <v>35</v>
      </c>
      <c r="AR494" s="18" t="s">
        <v>35</v>
      </c>
      <c r="AS494" s="18" t="s">
        <v>35</v>
      </c>
      <c r="AT494" s="4"/>
      <c r="AU494" s="4"/>
      <c r="AV494" s="7"/>
      <c r="AW494" s="5"/>
      <c r="AX494" s="3"/>
      <c r="AY494" s="3"/>
      <c r="AZ494" s="3"/>
      <c r="BA494" s="3"/>
      <c r="BB494" s="3"/>
      <c r="BC494" s="18"/>
      <c r="BD494" s="18"/>
      <c r="BE494" s="4"/>
      <c r="BF494" s="4"/>
      <c r="BG494" s="7"/>
      <c r="BH494" s="5"/>
      <c r="BI494" s="3"/>
      <c r="BJ494" s="3"/>
      <c r="BK494" s="3"/>
      <c r="BL494" s="3"/>
      <c r="BM494" s="3"/>
      <c r="BN494" s="18"/>
      <c r="BO494" s="18"/>
      <c r="BP494" s="4"/>
      <c r="BQ494" s="4"/>
      <c r="BR494" s="7"/>
      <c r="BS494" s="18"/>
    </row>
    <row r="495" spans="1:71" x14ac:dyDescent="0.25">
      <c r="A495" s="1">
        <v>490</v>
      </c>
      <c r="B495" s="18"/>
      <c r="C495" s="18"/>
      <c r="D495" s="21"/>
      <c r="E495" s="5"/>
      <c r="F495" s="3"/>
      <c r="G495" s="3"/>
      <c r="H495" s="3"/>
      <c r="I495" s="3"/>
      <c r="J495" s="3"/>
      <c r="K495" s="18"/>
      <c r="L495" s="18"/>
      <c r="M495" s="4"/>
      <c r="N495" s="4"/>
      <c r="O495" s="7"/>
      <c r="P495" s="5"/>
      <c r="Q495" s="3"/>
      <c r="R495" s="3"/>
      <c r="S495" s="3"/>
      <c r="T495" s="3"/>
      <c r="U495" s="3"/>
      <c r="V495" s="18"/>
      <c r="W495" s="18"/>
      <c r="X495" s="4"/>
      <c r="Y495" s="4"/>
      <c r="Z495" s="7"/>
      <c r="AA495" s="5"/>
      <c r="AB495" s="3"/>
      <c r="AC495" s="3"/>
      <c r="AD495" s="3"/>
      <c r="AE495" s="3"/>
      <c r="AF495" s="3"/>
      <c r="AG495" s="18"/>
      <c r="AH495" s="18"/>
      <c r="AI495" s="4"/>
      <c r="AJ495" s="4"/>
      <c r="AK495" s="7"/>
      <c r="AL495" s="5"/>
      <c r="AM495" s="3"/>
      <c r="AN495" s="3"/>
      <c r="AO495" s="3"/>
      <c r="AP495" s="3"/>
      <c r="AQ495" s="3" t="s">
        <v>35</v>
      </c>
      <c r="AR495" s="18" t="s">
        <v>35</v>
      </c>
      <c r="AS495" s="18" t="s">
        <v>35</v>
      </c>
      <c r="AT495" s="4"/>
      <c r="AU495" s="4"/>
      <c r="AV495" s="7"/>
      <c r="AW495" s="5"/>
      <c r="AX495" s="3"/>
      <c r="AY495" s="3"/>
      <c r="AZ495" s="3"/>
      <c r="BA495" s="3"/>
      <c r="BB495" s="3"/>
      <c r="BC495" s="18"/>
      <c r="BD495" s="18"/>
      <c r="BE495" s="4"/>
      <c r="BF495" s="4"/>
      <c r="BG495" s="7"/>
      <c r="BH495" s="5"/>
      <c r="BI495" s="3"/>
      <c r="BJ495" s="3"/>
      <c r="BK495" s="3"/>
      <c r="BL495" s="3"/>
      <c r="BM495" s="3"/>
      <c r="BN495" s="18"/>
      <c r="BO495" s="18"/>
      <c r="BP495" s="4"/>
      <c r="BQ495" s="4"/>
      <c r="BR495" s="7"/>
      <c r="BS495" s="18"/>
    </row>
    <row r="496" spans="1:71" x14ac:dyDescent="0.25">
      <c r="A496" s="18">
        <v>491</v>
      </c>
      <c r="B496" s="18"/>
      <c r="C496" s="18"/>
      <c r="D496" s="21"/>
      <c r="E496" s="5"/>
      <c r="F496" s="3"/>
      <c r="G496" s="3"/>
      <c r="H496" s="3"/>
      <c r="I496" s="3"/>
      <c r="J496" s="3"/>
      <c r="K496" s="18"/>
      <c r="L496" s="18"/>
      <c r="M496" s="4"/>
      <c r="N496" s="4"/>
      <c r="O496" s="7"/>
      <c r="P496" s="5"/>
      <c r="Q496" s="3"/>
      <c r="R496" s="3"/>
      <c r="S496" s="3"/>
      <c r="T496" s="3"/>
      <c r="U496" s="3"/>
      <c r="V496" s="18"/>
      <c r="W496" s="18"/>
      <c r="X496" s="4"/>
      <c r="Y496" s="4"/>
      <c r="Z496" s="7"/>
      <c r="AA496" s="5"/>
      <c r="AB496" s="3"/>
      <c r="AC496" s="3"/>
      <c r="AD496" s="3"/>
      <c r="AE496" s="3"/>
      <c r="AF496" s="3"/>
      <c r="AG496" s="18"/>
      <c r="AH496" s="18"/>
      <c r="AI496" s="4"/>
      <c r="AJ496" s="4"/>
      <c r="AK496" s="7"/>
      <c r="AL496" s="5"/>
      <c r="AM496" s="3"/>
      <c r="AN496" s="3"/>
      <c r="AO496" s="3"/>
      <c r="AP496" s="3"/>
      <c r="AQ496" s="3" t="s">
        <v>35</v>
      </c>
      <c r="AR496" s="18" t="s">
        <v>35</v>
      </c>
      <c r="AS496" s="18" t="s">
        <v>35</v>
      </c>
      <c r="AT496" s="4"/>
      <c r="AU496" s="4"/>
      <c r="AV496" s="7"/>
      <c r="AW496" s="5"/>
      <c r="AX496" s="3"/>
      <c r="AY496" s="3"/>
      <c r="AZ496" s="3"/>
      <c r="BA496" s="3"/>
      <c r="BB496" s="3"/>
      <c r="BC496" s="18"/>
      <c r="BD496" s="18"/>
      <c r="BE496" s="4"/>
      <c r="BF496" s="4"/>
      <c r="BG496" s="7"/>
      <c r="BH496" s="5"/>
      <c r="BI496" s="3"/>
      <c r="BJ496" s="3"/>
      <c r="BK496" s="3"/>
      <c r="BL496" s="3"/>
      <c r="BM496" s="3"/>
      <c r="BN496" s="18"/>
      <c r="BO496" s="18"/>
      <c r="BP496" s="4"/>
      <c r="BQ496" s="4"/>
      <c r="BR496" s="7"/>
      <c r="BS496" s="18"/>
    </row>
    <row r="497" spans="1:71" x14ac:dyDescent="0.25">
      <c r="A497" s="18">
        <v>492</v>
      </c>
      <c r="B497" s="18"/>
      <c r="C497" s="18"/>
      <c r="D497" s="21"/>
      <c r="E497" s="5"/>
      <c r="F497" s="3"/>
      <c r="G497" s="3"/>
      <c r="H497" s="3"/>
      <c r="I497" s="3"/>
      <c r="J497" s="3"/>
      <c r="K497" s="18"/>
      <c r="L497" s="18"/>
      <c r="M497" s="4"/>
      <c r="N497" s="4"/>
      <c r="O497" s="7"/>
      <c r="P497" s="5"/>
      <c r="Q497" s="3"/>
      <c r="R497" s="3"/>
      <c r="S497" s="3"/>
      <c r="T497" s="3"/>
      <c r="U497" s="3"/>
      <c r="V497" s="18"/>
      <c r="W497" s="18"/>
      <c r="X497" s="4"/>
      <c r="Y497" s="4"/>
      <c r="Z497" s="7"/>
      <c r="AA497" s="5"/>
      <c r="AB497" s="3"/>
      <c r="AC497" s="3"/>
      <c r="AD497" s="3"/>
      <c r="AE497" s="3"/>
      <c r="AF497" s="3"/>
      <c r="AG497" s="18"/>
      <c r="AH497" s="18"/>
      <c r="AI497" s="4"/>
      <c r="AJ497" s="4"/>
      <c r="AK497" s="7"/>
      <c r="AL497" s="5"/>
      <c r="AM497" s="3"/>
      <c r="AN497" s="3"/>
      <c r="AO497" s="3"/>
      <c r="AP497" s="3"/>
      <c r="AQ497" s="3" t="s">
        <v>35</v>
      </c>
      <c r="AR497" s="18" t="s">
        <v>35</v>
      </c>
      <c r="AS497" s="18" t="s">
        <v>35</v>
      </c>
      <c r="AT497" s="4"/>
      <c r="AU497" s="4"/>
      <c r="AV497" s="7"/>
      <c r="AW497" s="5"/>
      <c r="AX497" s="3"/>
      <c r="AY497" s="3"/>
      <c r="AZ497" s="3"/>
      <c r="BA497" s="3"/>
      <c r="BB497" s="3"/>
      <c r="BC497" s="18"/>
      <c r="BD497" s="18"/>
      <c r="BE497" s="4"/>
      <c r="BF497" s="4"/>
      <c r="BG497" s="7"/>
      <c r="BH497" s="5"/>
      <c r="BI497" s="3"/>
      <c r="BJ497" s="3"/>
      <c r="BK497" s="3"/>
      <c r="BL497" s="3"/>
      <c r="BM497" s="3"/>
      <c r="BN497" s="18"/>
      <c r="BO497" s="18"/>
      <c r="BP497" s="4"/>
      <c r="BQ497" s="4"/>
      <c r="BR497" s="7"/>
      <c r="BS497" s="18"/>
    </row>
    <row r="498" spans="1:71" x14ac:dyDescent="0.25">
      <c r="A498" s="18">
        <v>493</v>
      </c>
      <c r="B498" s="18"/>
      <c r="C498" s="18"/>
      <c r="D498" s="21"/>
      <c r="E498" s="5"/>
      <c r="F498" s="3"/>
      <c r="G498" s="3"/>
      <c r="H498" s="3"/>
      <c r="I498" s="3"/>
      <c r="J498" s="3"/>
      <c r="K498" s="18"/>
      <c r="L498" s="18"/>
      <c r="M498" s="4"/>
      <c r="N498" s="4"/>
      <c r="O498" s="7"/>
      <c r="P498" s="5"/>
      <c r="Q498" s="3"/>
      <c r="R498" s="3"/>
      <c r="S498" s="3"/>
      <c r="T498" s="3"/>
      <c r="U498" s="3"/>
      <c r="V498" s="18"/>
      <c r="W498" s="18"/>
      <c r="X498" s="4"/>
      <c r="Y498" s="4"/>
      <c r="Z498" s="7"/>
      <c r="AA498" s="5"/>
      <c r="AB498" s="3"/>
      <c r="AC498" s="3"/>
      <c r="AD498" s="3"/>
      <c r="AE498" s="3"/>
      <c r="AF498" s="3"/>
      <c r="AG498" s="18"/>
      <c r="AH498" s="18"/>
      <c r="AI498" s="4"/>
      <c r="AJ498" s="4"/>
      <c r="AK498" s="7"/>
      <c r="AL498" s="5"/>
      <c r="AM498" s="3"/>
      <c r="AN498" s="3"/>
      <c r="AO498" s="3"/>
      <c r="AP498" s="3"/>
      <c r="AQ498" s="3" t="s">
        <v>35</v>
      </c>
      <c r="AR498" s="18" t="s">
        <v>35</v>
      </c>
      <c r="AS498" s="18" t="s">
        <v>35</v>
      </c>
      <c r="AT498" s="4"/>
      <c r="AU498" s="4"/>
      <c r="AV498" s="7"/>
      <c r="AW498" s="5"/>
      <c r="AX498" s="3"/>
      <c r="AY498" s="3"/>
      <c r="AZ498" s="3"/>
      <c r="BA498" s="3"/>
      <c r="BB498" s="3"/>
      <c r="BC498" s="18"/>
      <c r="BD498" s="18"/>
      <c r="BE498" s="4"/>
      <c r="BF498" s="4"/>
      <c r="BG498" s="7"/>
      <c r="BH498" s="5"/>
      <c r="BI498" s="3"/>
      <c r="BJ498" s="3"/>
      <c r="BK498" s="3"/>
      <c r="BL498" s="3"/>
      <c r="BM498" s="3"/>
      <c r="BN498" s="18"/>
      <c r="BO498" s="18"/>
      <c r="BP498" s="4"/>
      <c r="BQ498" s="4"/>
      <c r="BR498" s="7"/>
      <c r="BS498" s="18"/>
    </row>
    <row r="499" spans="1:71" x14ac:dyDescent="0.25">
      <c r="A499" s="18">
        <v>494</v>
      </c>
      <c r="B499" s="18"/>
      <c r="C499" s="18"/>
      <c r="D499" s="21"/>
      <c r="E499" s="5"/>
      <c r="F499" s="3"/>
      <c r="G499" s="3"/>
      <c r="H499" s="3"/>
      <c r="I499" s="3"/>
      <c r="J499" s="3"/>
      <c r="K499" s="18"/>
      <c r="L499" s="18"/>
      <c r="M499" s="4"/>
      <c r="N499" s="4"/>
      <c r="O499" s="7"/>
      <c r="P499" s="5"/>
      <c r="Q499" s="3"/>
      <c r="R499" s="3"/>
      <c r="S499" s="3"/>
      <c r="T499" s="3"/>
      <c r="U499" s="3"/>
      <c r="V499" s="18"/>
      <c r="W499" s="18"/>
      <c r="X499" s="4"/>
      <c r="Y499" s="4"/>
      <c r="Z499" s="7"/>
      <c r="AA499" s="5"/>
      <c r="AB499" s="3"/>
      <c r="AC499" s="3"/>
      <c r="AD499" s="3"/>
      <c r="AE499" s="3"/>
      <c r="AF499" s="3"/>
      <c r="AG499" s="18"/>
      <c r="AH499" s="18"/>
      <c r="AI499" s="4"/>
      <c r="AJ499" s="4"/>
      <c r="AK499" s="7"/>
      <c r="AL499" s="5"/>
      <c r="AM499" s="3"/>
      <c r="AN499" s="3"/>
      <c r="AO499" s="3"/>
      <c r="AP499" s="3"/>
      <c r="AQ499" s="3" t="s">
        <v>35</v>
      </c>
      <c r="AR499" s="18" t="s">
        <v>35</v>
      </c>
      <c r="AS499" s="18" t="s">
        <v>35</v>
      </c>
      <c r="AT499" s="4"/>
      <c r="AU499" s="4"/>
      <c r="AV499" s="7"/>
      <c r="AW499" s="5"/>
      <c r="AX499" s="3"/>
      <c r="AY499" s="3"/>
      <c r="AZ499" s="3"/>
      <c r="BA499" s="3"/>
      <c r="BB499" s="3"/>
      <c r="BC499" s="18"/>
      <c r="BD499" s="18"/>
      <c r="BE499" s="4"/>
      <c r="BF499" s="4"/>
      <c r="BG499" s="7"/>
      <c r="BH499" s="5"/>
      <c r="BI499" s="3"/>
      <c r="BJ499" s="3"/>
      <c r="BK499" s="3"/>
      <c r="BL499" s="3"/>
      <c r="BM499" s="3"/>
      <c r="BN499" s="18"/>
      <c r="BO499" s="18"/>
      <c r="BP499" s="4"/>
      <c r="BQ499" s="4"/>
      <c r="BR499" s="7"/>
      <c r="BS499" s="18"/>
    </row>
    <row r="500" spans="1:71" x14ac:dyDescent="0.25">
      <c r="A500" s="1">
        <v>495</v>
      </c>
      <c r="B500" s="18"/>
      <c r="C500" s="18"/>
      <c r="D500" s="21"/>
      <c r="E500" s="5"/>
      <c r="F500" s="3"/>
      <c r="G500" s="3"/>
      <c r="H500" s="3"/>
      <c r="I500" s="3"/>
      <c r="J500" s="3"/>
      <c r="K500" s="18"/>
      <c r="L500" s="18"/>
      <c r="M500" s="4"/>
      <c r="N500" s="4"/>
      <c r="O500" s="7"/>
      <c r="P500" s="5"/>
      <c r="Q500" s="3"/>
      <c r="R500" s="3"/>
      <c r="S500" s="3"/>
      <c r="T500" s="3"/>
      <c r="U500" s="3"/>
      <c r="V500" s="18"/>
      <c r="W500" s="18"/>
      <c r="X500" s="4"/>
      <c r="Y500" s="4"/>
      <c r="Z500" s="7"/>
      <c r="AA500" s="5"/>
      <c r="AB500" s="3"/>
      <c r="AC500" s="3"/>
      <c r="AD500" s="3"/>
      <c r="AE500" s="3"/>
      <c r="AF500" s="3"/>
      <c r="AG500" s="18"/>
      <c r="AH500" s="18"/>
      <c r="AI500" s="4"/>
      <c r="AJ500" s="4"/>
      <c r="AK500" s="7"/>
      <c r="AL500" s="5"/>
      <c r="AM500" s="3"/>
      <c r="AN500" s="3"/>
      <c r="AO500" s="3"/>
      <c r="AP500" s="3"/>
      <c r="AQ500" s="3" t="s">
        <v>35</v>
      </c>
      <c r="AR500" s="18" t="s">
        <v>35</v>
      </c>
      <c r="AS500" s="18" t="s">
        <v>35</v>
      </c>
      <c r="AT500" s="4"/>
      <c r="AU500" s="4"/>
      <c r="AV500" s="7"/>
      <c r="AW500" s="5"/>
      <c r="AX500" s="3"/>
      <c r="AY500" s="3"/>
      <c r="AZ500" s="3"/>
      <c r="BA500" s="3"/>
      <c r="BB500" s="3"/>
      <c r="BC500" s="18"/>
      <c r="BD500" s="18"/>
      <c r="BE500" s="4"/>
      <c r="BF500" s="4"/>
      <c r="BG500" s="7"/>
      <c r="BH500" s="5"/>
      <c r="BI500" s="3"/>
      <c r="BJ500" s="3"/>
      <c r="BK500" s="3"/>
      <c r="BL500" s="3"/>
      <c r="BM500" s="3"/>
      <c r="BN500" s="18"/>
      <c r="BO500" s="18"/>
      <c r="BP500" s="4"/>
      <c r="BQ500" s="4"/>
      <c r="BR500" s="7"/>
      <c r="BS500" s="18"/>
    </row>
    <row r="501" spans="1:71" x14ac:dyDescent="0.25">
      <c r="A501" s="18">
        <v>496</v>
      </c>
      <c r="B501" s="18"/>
      <c r="C501" s="18"/>
      <c r="D501" s="21"/>
      <c r="E501" s="5"/>
      <c r="F501" s="3"/>
      <c r="G501" s="3"/>
      <c r="H501" s="3"/>
      <c r="I501" s="3"/>
      <c r="J501" s="3"/>
      <c r="K501" s="18"/>
      <c r="L501" s="18"/>
      <c r="M501" s="4"/>
      <c r="N501" s="4"/>
      <c r="O501" s="7"/>
      <c r="P501" s="5"/>
      <c r="Q501" s="3"/>
      <c r="R501" s="3"/>
      <c r="S501" s="3"/>
      <c r="T501" s="3"/>
      <c r="U501" s="3"/>
      <c r="V501" s="18"/>
      <c r="W501" s="18"/>
      <c r="X501" s="4"/>
      <c r="Y501" s="4"/>
      <c r="Z501" s="7"/>
      <c r="AA501" s="5"/>
      <c r="AB501" s="3"/>
      <c r="AC501" s="3"/>
      <c r="AD501" s="3"/>
      <c r="AE501" s="3"/>
      <c r="AF501" s="3"/>
      <c r="AG501" s="18"/>
      <c r="AH501" s="18"/>
      <c r="AI501" s="4"/>
      <c r="AJ501" s="4"/>
      <c r="AK501" s="7"/>
      <c r="AL501" s="5"/>
      <c r="AM501" s="3"/>
      <c r="AN501" s="3"/>
      <c r="AO501" s="3"/>
      <c r="AP501" s="3"/>
      <c r="AQ501" s="3" t="s">
        <v>35</v>
      </c>
      <c r="AR501" s="18" t="s">
        <v>35</v>
      </c>
      <c r="AS501" s="18" t="s">
        <v>35</v>
      </c>
      <c r="AT501" s="4"/>
      <c r="AU501" s="4"/>
      <c r="AV501" s="7"/>
      <c r="AW501" s="5"/>
      <c r="AX501" s="3"/>
      <c r="AY501" s="3"/>
      <c r="AZ501" s="3"/>
      <c r="BA501" s="3"/>
      <c r="BB501" s="3"/>
      <c r="BC501" s="18"/>
      <c r="BD501" s="18"/>
      <c r="BE501" s="4"/>
      <c r="BF501" s="4"/>
      <c r="BG501" s="7"/>
      <c r="BH501" s="5"/>
      <c r="BI501" s="3"/>
      <c r="BJ501" s="3"/>
      <c r="BK501" s="3"/>
      <c r="BL501" s="3"/>
      <c r="BM501" s="3"/>
      <c r="BN501" s="18"/>
      <c r="BO501" s="18"/>
      <c r="BP501" s="4"/>
      <c r="BQ501" s="4"/>
      <c r="BR501" s="7"/>
      <c r="BS501" s="18"/>
    </row>
    <row r="502" spans="1:71" x14ac:dyDescent="0.25">
      <c r="A502" s="18">
        <v>497</v>
      </c>
      <c r="B502" s="18"/>
      <c r="C502" s="18"/>
      <c r="D502" s="21"/>
      <c r="E502" s="5"/>
      <c r="F502" s="3"/>
      <c r="G502" s="3"/>
      <c r="H502" s="3"/>
      <c r="I502" s="3"/>
      <c r="J502" s="3"/>
      <c r="K502" s="18"/>
      <c r="L502" s="18"/>
      <c r="M502" s="4"/>
      <c r="N502" s="4"/>
      <c r="O502" s="7"/>
      <c r="P502" s="5"/>
      <c r="Q502" s="3"/>
      <c r="R502" s="3"/>
      <c r="S502" s="3"/>
      <c r="T502" s="3"/>
      <c r="U502" s="3"/>
      <c r="V502" s="18"/>
      <c r="W502" s="18"/>
      <c r="X502" s="4"/>
      <c r="Y502" s="4"/>
      <c r="Z502" s="7"/>
      <c r="AA502" s="5"/>
      <c r="AB502" s="3"/>
      <c r="AC502" s="3"/>
      <c r="AD502" s="3"/>
      <c r="AE502" s="3"/>
      <c r="AF502" s="3"/>
      <c r="AG502" s="18"/>
      <c r="AH502" s="18"/>
      <c r="AI502" s="4"/>
      <c r="AJ502" s="4"/>
      <c r="AK502" s="7"/>
      <c r="AL502" s="5"/>
      <c r="AM502" s="3"/>
      <c r="AN502" s="3"/>
      <c r="AO502" s="3"/>
      <c r="AP502" s="3"/>
      <c r="AQ502" s="3" t="s">
        <v>35</v>
      </c>
      <c r="AR502" s="18" t="s">
        <v>35</v>
      </c>
      <c r="AS502" s="18" t="s">
        <v>35</v>
      </c>
      <c r="AT502" s="4"/>
      <c r="AU502" s="4"/>
      <c r="AV502" s="7"/>
      <c r="AW502" s="5"/>
      <c r="AX502" s="3"/>
      <c r="AY502" s="3"/>
      <c r="AZ502" s="3"/>
      <c r="BA502" s="3"/>
      <c r="BB502" s="3"/>
      <c r="BC502" s="18"/>
      <c r="BD502" s="18"/>
      <c r="BE502" s="4"/>
      <c r="BF502" s="4"/>
      <c r="BG502" s="7"/>
      <c r="BH502" s="5"/>
      <c r="BI502" s="3"/>
      <c r="BJ502" s="3"/>
      <c r="BK502" s="3"/>
      <c r="BL502" s="3"/>
      <c r="BM502" s="3"/>
      <c r="BN502" s="18"/>
      <c r="BO502" s="18"/>
      <c r="BP502" s="4"/>
      <c r="BQ502" s="4"/>
      <c r="BR502" s="7"/>
      <c r="BS502" s="18"/>
    </row>
    <row r="503" spans="1:71" x14ac:dyDescent="0.25">
      <c r="A503" s="18">
        <v>498</v>
      </c>
      <c r="B503" s="18"/>
      <c r="C503" s="18"/>
      <c r="D503" s="21"/>
      <c r="E503" s="5"/>
      <c r="F503" s="3"/>
      <c r="G503" s="3"/>
      <c r="H503" s="3"/>
      <c r="I503" s="3"/>
      <c r="J503" s="3"/>
      <c r="K503" s="18"/>
      <c r="L503" s="18"/>
      <c r="M503" s="4"/>
      <c r="N503" s="4"/>
      <c r="O503" s="7"/>
      <c r="P503" s="5"/>
      <c r="Q503" s="3"/>
      <c r="R503" s="3"/>
      <c r="S503" s="3"/>
      <c r="T503" s="3"/>
      <c r="U503" s="3"/>
      <c r="V503" s="18"/>
      <c r="W503" s="18"/>
      <c r="X503" s="4"/>
      <c r="Y503" s="4"/>
      <c r="Z503" s="7"/>
      <c r="AA503" s="5"/>
      <c r="AB503" s="3"/>
      <c r="AC503" s="3"/>
      <c r="AD503" s="3"/>
      <c r="AE503" s="3"/>
      <c r="AF503" s="3"/>
      <c r="AG503" s="18"/>
      <c r="AH503" s="18"/>
      <c r="AI503" s="4"/>
      <c r="AJ503" s="4"/>
      <c r="AK503" s="7"/>
      <c r="AL503" s="5"/>
      <c r="AM503" s="3"/>
      <c r="AN503" s="3"/>
      <c r="AO503" s="3"/>
      <c r="AP503" s="3"/>
      <c r="AQ503" s="3" t="s">
        <v>35</v>
      </c>
      <c r="AR503" s="18" t="s">
        <v>35</v>
      </c>
      <c r="AS503" s="18" t="s">
        <v>35</v>
      </c>
      <c r="AT503" s="4"/>
      <c r="AU503" s="4"/>
      <c r="AV503" s="7"/>
      <c r="AW503" s="5"/>
      <c r="AX503" s="3"/>
      <c r="AY503" s="3"/>
      <c r="AZ503" s="3"/>
      <c r="BA503" s="3"/>
      <c r="BB503" s="3"/>
      <c r="BC503" s="18"/>
      <c r="BD503" s="18"/>
      <c r="BE503" s="4"/>
      <c r="BF503" s="4"/>
      <c r="BG503" s="7"/>
      <c r="BH503" s="5"/>
      <c r="BI503" s="3"/>
      <c r="BJ503" s="3"/>
      <c r="BK503" s="3"/>
      <c r="BL503" s="3"/>
      <c r="BM503" s="3"/>
      <c r="BN503" s="18"/>
      <c r="BO503" s="18"/>
      <c r="BP503" s="4"/>
      <c r="BQ503" s="4"/>
      <c r="BR503" s="7"/>
      <c r="BS503" s="18"/>
    </row>
    <row r="504" spans="1:71" x14ac:dyDescent="0.25">
      <c r="A504" s="18">
        <v>499</v>
      </c>
      <c r="B504" s="18"/>
      <c r="C504" s="18"/>
      <c r="D504" s="21"/>
      <c r="E504" s="5"/>
      <c r="F504" s="3"/>
      <c r="G504" s="3"/>
      <c r="H504" s="3"/>
      <c r="I504" s="3"/>
      <c r="J504" s="3"/>
      <c r="K504" s="18"/>
      <c r="L504" s="18"/>
      <c r="M504" s="4"/>
      <c r="N504" s="4"/>
      <c r="O504" s="7"/>
      <c r="P504" s="5"/>
      <c r="Q504" s="3"/>
      <c r="R504" s="3"/>
      <c r="S504" s="3"/>
      <c r="T504" s="3"/>
      <c r="U504" s="3"/>
      <c r="V504" s="18"/>
      <c r="W504" s="18"/>
      <c r="X504" s="4"/>
      <c r="Y504" s="4"/>
      <c r="Z504" s="7"/>
      <c r="AA504" s="5"/>
      <c r="AB504" s="3"/>
      <c r="AC504" s="3"/>
      <c r="AD504" s="3"/>
      <c r="AE504" s="3"/>
      <c r="AF504" s="3"/>
      <c r="AG504" s="18"/>
      <c r="AH504" s="18"/>
      <c r="AI504" s="4"/>
      <c r="AJ504" s="4"/>
      <c r="AK504" s="7"/>
      <c r="AL504" s="5"/>
      <c r="AM504" s="3"/>
      <c r="AN504" s="3"/>
      <c r="AO504" s="3"/>
      <c r="AP504" s="3"/>
      <c r="AQ504" s="3" t="s">
        <v>35</v>
      </c>
      <c r="AR504" s="18" t="s">
        <v>35</v>
      </c>
      <c r="AS504" s="18" t="s">
        <v>35</v>
      </c>
      <c r="AT504" s="4"/>
      <c r="AU504" s="4"/>
      <c r="AV504" s="7"/>
      <c r="AW504" s="5"/>
      <c r="AX504" s="3"/>
      <c r="AY504" s="3"/>
      <c r="AZ504" s="3"/>
      <c r="BA504" s="3"/>
      <c r="BB504" s="3"/>
      <c r="BC504" s="18"/>
      <c r="BD504" s="18"/>
      <c r="BE504" s="4"/>
      <c r="BF504" s="4"/>
      <c r="BG504" s="7"/>
      <c r="BH504" s="5"/>
      <c r="BI504" s="3"/>
      <c r="BJ504" s="3"/>
      <c r="BK504" s="3"/>
      <c r="BL504" s="3"/>
      <c r="BM504" s="3"/>
      <c r="BN504" s="18"/>
      <c r="BO504" s="18"/>
      <c r="BP504" s="4"/>
      <c r="BQ504" s="4"/>
      <c r="BR504" s="7"/>
      <c r="BS504" s="18"/>
    </row>
    <row r="505" spans="1:71" x14ac:dyDescent="0.25">
      <c r="A505" s="1">
        <v>500</v>
      </c>
      <c r="B505" s="18"/>
      <c r="C505" s="18"/>
      <c r="D505" s="21"/>
      <c r="E505" s="5"/>
      <c r="F505" s="3"/>
      <c r="G505" s="3"/>
      <c r="H505" s="3"/>
      <c r="I505" s="3"/>
      <c r="J505" s="3"/>
      <c r="K505" s="18"/>
      <c r="L505" s="18"/>
      <c r="M505" s="4"/>
      <c r="N505" s="4"/>
      <c r="O505" s="7"/>
      <c r="P505" s="5"/>
      <c r="Q505" s="3"/>
      <c r="R505" s="3"/>
      <c r="S505" s="3"/>
      <c r="T505" s="3"/>
      <c r="U505" s="3"/>
      <c r="V505" s="18"/>
      <c r="W505" s="18"/>
      <c r="X505" s="4"/>
      <c r="Y505" s="4"/>
      <c r="Z505" s="7"/>
      <c r="AA505" s="5"/>
      <c r="AB505" s="3"/>
      <c r="AC505" s="3"/>
      <c r="AD505" s="3"/>
      <c r="AE505" s="3"/>
      <c r="AF505" s="3"/>
      <c r="AG505" s="18"/>
      <c r="AH505" s="18"/>
      <c r="AI505" s="4"/>
      <c r="AJ505" s="4"/>
      <c r="AK505" s="7"/>
      <c r="AL505" s="5"/>
      <c r="AM505" s="3"/>
      <c r="AN505" s="3"/>
      <c r="AO505" s="3"/>
      <c r="AP505" s="3"/>
      <c r="AQ505" s="3" t="s">
        <v>35</v>
      </c>
      <c r="AR505" s="18" t="s">
        <v>35</v>
      </c>
      <c r="AS505" s="18" t="s">
        <v>35</v>
      </c>
      <c r="AT505" s="4"/>
      <c r="AU505" s="4"/>
      <c r="AV505" s="7"/>
      <c r="AW505" s="5"/>
      <c r="AX505" s="3"/>
      <c r="AY505" s="3"/>
      <c r="AZ505" s="3"/>
      <c r="BA505" s="3"/>
      <c r="BB505" s="3"/>
      <c r="BC505" s="18"/>
      <c r="BD505" s="18"/>
      <c r="BE505" s="4"/>
      <c r="BF505" s="4"/>
      <c r="BG505" s="7"/>
      <c r="BH505" s="5"/>
      <c r="BI505" s="3"/>
      <c r="BJ505" s="3"/>
      <c r="BK505" s="3"/>
      <c r="BL505" s="3"/>
      <c r="BM505" s="3"/>
      <c r="BN505" s="18"/>
      <c r="BO505" s="18"/>
      <c r="BP505" s="4"/>
      <c r="BQ505" s="4"/>
      <c r="BR505" s="7"/>
      <c r="BS505" s="18"/>
    </row>
    <row r="506" spans="1:71" x14ac:dyDescent="0.25">
      <c r="A506" s="18">
        <v>501</v>
      </c>
      <c r="B506" s="18"/>
      <c r="C506" s="18"/>
      <c r="D506" s="21"/>
      <c r="E506" s="5"/>
      <c r="F506" s="3"/>
      <c r="G506" s="3"/>
      <c r="H506" s="3"/>
      <c r="I506" s="3"/>
      <c r="J506" s="3"/>
      <c r="K506" s="18"/>
      <c r="L506" s="18"/>
      <c r="M506" s="4"/>
      <c r="N506" s="4"/>
      <c r="O506" s="7"/>
      <c r="P506" s="5"/>
      <c r="Q506" s="3"/>
      <c r="R506" s="3"/>
      <c r="S506" s="3"/>
      <c r="T506" s="3"/>
      <c r="U506" s="3"/>
      <c r="V506" s="18"/>
      <c r="W506" s="18"/>
      <c r="X506" s="4"/>
      <c r="Y506" s="4"/>
      <c r="Z506" s="7"/>
      <c r="AA506" s="5"/>
      <c r="AB506" s="3"/>
      <c r="AC506" s="3"/>
      <c r="AD506" s="3"/>
      <c r="AE506" s="3"/>
      <c r="AF506" s="3"/>
      <c r="AG506" s="18"/>
      <c r="AH506" s="18"/>
      <c r="AI506" s="4"/>
      <c r="AJ506" s="4"/>
      <c r="AK506" s="7"/>
      <c r="AL506" s="5"/>
      <c r="AM506" s="3"/>
      <c r="AN506" s="3"/>
      <c r="AO506" s="3"/>
      <c r="AP506" s="3"/>
      <c r="AQ506" s="3" t="s">
        <v>35</v>
      </c>
      <c r="AR506" s="18" t="s">
        <v>35</v>
      </c>
      <c r="AS506" s="18" t="s">
        <v>35</v>
      </c>
      <c r="AT506" s="4"/>
      <c r="AU506" s="4"/>
      <c r="AV506" s="7"/>
      <c r="AW506" s="5"/>
      <c r="AX506" s="3"/>
      <c r="AY506" s="3"/>
      <c r="AZ506" s="3"/>
      <c r="BA506" s="3"/>
      <c r="BB506" s="3"/>
      <c r="BC506" s="18"/>
      <c r="BD506" s="18"/>
      <c r="BE506" s="4"/>
      <c r="BF506" s="4"/>
      <c r="BG506" s="7"/>
      <c r="BH506" s="5"/>
      <c r="BI506" s="3"/>
      <c r="BJ506" s="3"/>
      <c r="BK506" s="3"/>
      <c r="BL506" s="3"/>
      <c r="BM506" s="3"/>
      <c r="BN506" s="18"/>
      <c r="BO506" s="18"/>
      <c r="BP506" s="4"/>
      <c r="BQ506" s="4"/>
      <c r="BR506" s="7"/>
      <c r="BS506" s="18"/>
    </row>
    <row r="507" spans="1:71" x14ac:dyDescent="0.25">
      <c r="A507" s="18">
        <v>502</v>
      </c>
      <c r="B507" s="18"/>
      <c r="C507" s="18"/>
      <c r="D507" s="21"/>
      <c r="E507" s="5"/>
      <c r="F507" s="3"/>
      <c r="G507" s="3"/>
      <c r="H507" s="3"/>
      <c r="I507" s="3"/>
      <c r="J507" s="3"/>
      <c r="K507" s="18"/>
      <c r="L507" s="18"/>
      <c r="M507" s="4"/>
      <c r="N507" s="4"/>
      <c r="O507" s="7"/>
      <c r="P507" s="5"/>
      <c r="Q507" s="3"/>
      <c r="R507" s="3"/>
      <c r="S507" s="3"/>
      <c r="T507" s="3"/>
      <c r="U507" s="3"/>
      <c r="V507" s="18"/>
      <c r="W507" s="18"/>
      <c r="X507" s="4"/>
      <c r="Y507" s="4"/>
      <c r="Z507" s="7"/>
      <c r="AA507" s="5"/>
      <c r="AB507" s="3"/>
      <c r="AC507" s="3"/>
      <c r="AD507" s="3"/>
      <c r="AE507" s="3"/>
      <c r="AF507" s="3"/>
      <c r="AG507" s="18"/>
      <c r="AH507" s="18"/>
      <c r="AI507" s="4"/>
      <c r="AJ507" s="4"/>
      <c r="AK507" s="7"/>
      <c r="AL507" s="5"/>
      <c r="AM507" s="3"/>
      <c r="AN507" s="3"/>
      <c r="AO507" s="3"/>
      <c r="AP507" s="3"/>
      <c r="AQ507" s="3" t="s">
        <v>35</v>
      </c>
      <c r="AR507" s="18" t="s">
        <v>35</v>
      </c>
      <c r="AS507" s="18" t="s">
        <v>35</v>
      </c>
      <c r="AT507" s="4"/>
      <c r="AU507" s="4"/>
      <c r="AV507" s="7"/>
      <c r="AW507" s="5"/>
      <c r="AX507" s="3"/>
      <c r="AY507" s="3"/>
      <c r="AZ507" s="3"/>
      <c r="BA507" s="3"/>
      <c r="BB507" s="3"/>
      <c r="BC507" s="18"/>
      <c r="BD507" s="18"/>
      <c r="BE507" s="4"/>
      <c r="BF507" s="4"/>
      <c r="BG507" s="7"/>
      <c r="BH507" s="5"/>
      <c r="BI507" s="3"/>
      <c r="BJ507" s="3"/>
      <c r="BK507" s="3"/>
      <c r="BL507" s="3"/>
      <c r="BM507" s="3"/>
      <c r="BN507" s="18"/>
      <c r="BO507" s="18"/>
      <c r="BP507" s="4"/>
      <c r="BQ507" s="4"/>
      <c r="BR507" s="7"/>
      <c r="BS507" s="18"/>
    </row>
    <row r="508" spans="1:71" x14ac:dyDescent="0.25">
      <c r="A508" s="18">
        <v>503</v>
      </c>
      <c r="B508" s="18"/>
      <c r="C508" s="18"/>
      <c r="D508" s="21"/>
      <c r="E508" s="5"/>
      <c r="F508" s="3"/>
      <c r="G508" s="3"/>
      <c r="H508" s="3"/>
      <c r="I508" s="3"/>
      <c r="J508" s="3"/>
      <c r="K508" s="18"/>
      <c r="L508" s="18"/>
      <c r="M508" s="4"/>
      <c r="N508" s="4"/>
      <c r="O508" s="7"/>
      <c r="P508" s="5"/>
      <c r="Q508" s="3"/>
      <c r="R508" s="3"/>
      <c r="S508" s="3"/>
      <c r="T508" s="3"/>
      <c r="U508" s="3"/>
      <c r="V508" s="18"/>
      <c r="W508" s="18"/>
      <c r="X508" s="4"/>
      <c r="Y508" s="4"/>
      <c r="Z508" s="7"/>
      <c r="AA508" s="5"/>
      <c r="AB508" s="3"/>
      <c r="AC508" s="3"/>
      <c r="AD508" s="3"/>
      <c r="AE508" s="3"/>
      <c r="AF508" s="3"/>
      <c r="AG508" s="18"/>
      <c r="AH508" s="18"/>
      <c r="AI508" s="4"/>
      <c r="AJ508" s="4"/>
      <c r="AK508" s="7"/>
      <c r="AL508" s="5"/>
      <c r="AM508" s="3"/>
      <c r="AN508" s="3"/>
      <c r="AO508" s="3"/>
      <c r="AP508" s="3"/>
      <c r="AQ508" s="3" t="s">
        <v>35</v>
      </c>
      <c r="AR508" s="18" t="s">
        <v>35</v>
      </c>
      <c r="AS508" s="18" t="s">
        <v>35</v>
      </c>
      <c r="AT508" s="4"/>
      <c r="AU508" s="4"/>
      <c r="AV508" s="7"/>
      <c r="AW508" s="5"/>
      <c r="AX508" s="3"/>
      <c r="AY508" s="3"/>
      <c r="AZ508" s="3"/>
      <c r="BA508" s="3"/>
      <c r="BB508" s="3"/>
      <c r="BC508" s="18"/>
      <c r="BD508" s="18"/>
      <c r="BE508" s="4"/>
      <c r="BF508" s="4"/>
      <c r="BG508" s="7"/>
      <c r="BH508" s="5"/>
      <c r="BI508" s="3"/>
      <c r="BJ508" s="3"/>
      <c r="BK508" s="3"/>
      <c r="BL508" s="3"/>
      <c r="BM508" s="3"/>
      <c r="BN508" s="18"/>
      <c r="BO508" s="18"/>
      <c r="BP508" s="4"/>
      <c r="BQ508" s="4"/>
      <c r="BR508" s="7"/>
      <c r="BS508" s="18"/>
    </row>
    <row r="509" spans="1:71" x14ac:dyDescent="0.25">
      <c r="A509" s="18">
        <v>504</v>
      </c>
      <c r="B509" s="18"/>
      <c r="C509" s="18"/>
      <c r="D509" s="21"/>
      <c r="E509" s="5"/>
      <c r="F509" s="3"/>
      <c r="G509" s="3"/>
      <c r="H509" s="3"/>
      <c r="I509" s="3"/>
      <c r="J509" s="3"/>
      <c r="K509" s="18"/>
      <c r="L509" s="18"/>
      <c r="M509" s="4"/>
      <c r="N509" s="4"/>
      <c r="O509" s="7"/>
      <c r="P509" s="5"/>
      <c r="Q509" s="3"/>
      <c r="R509" s="3"/>
      <c r="S509" s="3"/>
      <c r="T509" s="3"/>
      <c r="U509" s="3"/>
      <c r="V509" s="18"/>
      <c r="W509" s="18"/>
      <c r="X509" s="4"/>
      <c r="Y509" s="4"/>
      <c r="Z509" s="7"/>
      <c r="AA509" s="5"/>
      <c r="AB509" s="3"/>
      <c r="AC509" s="3"/>
      <c r="AD509" s="3"/>
      <c r="AE509" s="3"/>
      <c r="AF509" s="3"/>
      <c r="AG509" s="18"/>
      <c r="AH509" s="18"/>
      <c r="AI509" s="4"/>
      <c r="AJ509" s="4"/>
      <c r="AK509" s="7"/>
      <c r="AL509" s="5"/>
      <c r="AM509" s="3"/>
      <c r="AN509" s="3"/>
      <c r="AO509" s="3"/>
      <c r="AP509" s="3"/>
      <c r="AQ509" s="3"/>
      <c r="AR509" s="18"/>
      <c r="AS509" s="18"/>
      <c r="AT509" s="4"/>
      <c r="AU509" s="4"/>
      <c r="AV509" s="7"/>
      <c r="AW509" s="5"/>
      <c r="AX509" s="3"/>
      <c r="AY509" s="3"/>
      <c r="AZ509" s="3"/>
      <c r="BA509" s="3"/>
      <c r="BB509" s="3"/>
      <c r="BC509" s="18"/>
      <c r="BD509" s="18"/>
      <c r="BE509" s="4"/>
      <c r="BF509" s="4"/>
      <c r="BG509" s="7"/>
      <c r="BH509" s="5"/>
      <c r="BI509" s="3"/>
      <c r="BJ509" s="3"/>
      <c r="BK509" s="3"/>
      <c r="BL509" s="3"/>
      <c r="BM509" s="3"/>
      <c r="BN509" s="18"/>
      <c r="BO509" s="18"/>
      <c r="BP509" s="4"/>
      <c r="BQ509" s="4"/>
      <c r="BR509" s="7"/>
      <c r="BS509" s="18"/>
    </row>
    <row r="510" spans="1:71" x14ac:dyDescent="0.25">
      <c r="A510" s="1">
        <v>505</v>
      </c>
      <c r="B510" s="18"/>
      <c r="C510" s="18"/>
      <c r="D510" s="21"/>
      <c r="E510" s="5"/>
      <c r="F510" s="3"/>
      <c r="G510" s="3"/>
      <c r="H510" s="3"/>
      <c r="I510" s="3"/>
      <c r="J510" s="3"/>
      <c r="K510" s="18"/>
      <c r="L510" s="18"/>
      <c r="M510" s="4"/>
      <c r="N510" s="4"/>
      <c r="O510" s="7"/>
      <c r="P510" s="5"/>
      <c r="Q510" s="3"/>
      <c r="R510" s="3"/>
      <c r="S510" s="3"/>
      <c r="T510" s="3"/>
      <c r="U510" s="3"/>
      <c r="V510" s="18"/>
      <c r="W510" s="18"/>
      <c r="X510" s="4"/>
      <c r="Y510" s="4"/>
      <c r="Z510" s="7"/>
      <c r="AA510" s="5"/>
      <c r="AB510" s="3"/>
      <c r="AC510" s="3"/>
      <c r="AD510" s="3"/>
      <c r="AE510" s="3"/>
      <c r="AF510" s="3"/>
      <c r="AG510" s="18"/>
      <c r="AH510" s="18"/>
      <c r="AI510" s="4"/>
      <c r="AJ510" s="4"/>
      <c r="AK510" s="7"/>
      <c r="AL510" s="5"/>
      <c r="AM510" s="3"/>
      <c r="AN510" s="3"/>
      <c r="AO510" s="3"/>
      <c r="AP510" s="3"/>
      <c r="AQ510" s="3"/>
      <c r="AR510" s="18"/>
      <c r="AS510" s="18"/>
      <c r="AT510" s="4"/>
      <c r="AU510" s="4"/>
      <c r="AV510" s="7"/>
      <c r="AW510" s="5"/>
      <c r="AX510" s="3"/>
      <c r="AY510" s="3"/>
      <c r="AZ510" s="3"/>
      <c r="BA510" s="3"/>
      <c r="BB510" s="3"/>
      <c r="BC510" s="18"/>
      <c r="BD510" s="18"/>
      <c r="BE510" s="4"/>
      <c r="BF510" s="4"/>
      <c r="BG510" s="7"/>
      <c r="BH510" s="5"/>
      <c r="BI510" s="3"/>
      <c r="BJ510" s="3"/>
      <c r="BK510" s="3"/>
      <c r="BL510" s="3"/>
      <c r="BM510" s="3"/>
      <c r="BN510" s="18"/>
      <c r="BO510" s="18"/>
      <c r="BP510" s="4"/>
      <c r="BQ510" s="4"/>
      <c r="BR510" s="7"/>
      <c r="BS510" s="18"/>
    </row>
    <row r="511" spans="1:71" x14ac:dyDescent="0.25">
      <c r="A511" s="18">
        <v>506</v>
      </c>
      <c r="B511" s="18"/>
      <c r="C511" s="18"/>
      <c r="D511" s="21"/>
      <c r="E511" s="5"/>
      <c r="F511" s="3"/>
      <c r="G511" s="3"/>
      <c r="H511" s="3"/>
      <c r="I511" s="3"/>
      <c r="J511" s="3"/>
      <c r="K511" s="18"/>
      <c r="L511" s="18"/>
      <c r="M511" s="4"/>
      <c r="N511" s="4"/>
      <c r="O511" s="7"/>
      <c r="P511" s="5"/>
      <c r="Q511" s="3"/>
      <c r="R511" s="3"/>
      <c r="S511" s="3"/>
      <c r="T511" s="3"/>
      <c r="U511" s="3"/>
      <c r="V511" s="18"/>
      <c r="W511" s="18"/>
      <c r="X511" s="4"/>
      <c r="Y511" s="4"/>
      <c r="Z511" s="7"/>
      <c r="AA511" s="5"/>
      <c r="AB511" s="3"/>
      <c r="AC511" s="3"/>
      <c r="AD511" s="3"/>
      <c r="AE511" s="3"/>
      <c r="AF511" s="3"/>
      <c r="AG511" s="18"/>
      <c r="AH511" s="18"/>
      <c r="AI511" s="4"/>
      <c r="AJ511" s="4"/>
      <c r="AK511" s="7"/>
      <c r="AL511" s="5"/>
      <c r="AM511" s="3"/>
      <c r="AN511" s="3"/>
      <c r="AO511" s="3"/>
      <c r="AP511" s="3"/>
      <c r="AQ511" s="3"/>
      <c r="AR511" s="18"/>
      <c r="AS511" s="18"/>
      <c r="AT511" s="4"/>
      <c r="AU511" s="4"/>
      <c r="AV511" s="7"/>
      <c r="AW511" s="5"/>
      <c r="AX511" s="3"/>
      <c r="AY511" s="3"/>
      <c r="AZ511" s="3"/>
      <c r="BA511" s="3"/>
      <c r="BB511" s="3"/>
      <c r="BC511" s="18"/>
      <c r="BD511" s="18"/>
      <c r="BE511" s="4"/>
      <c r="BF511" s="4"/>
      <c r="BG511" s="7"/>
      <c r="BH511" s="5"/>
      <c r="BI511" s="3"/>
      <c r="BJ511" s="3"/>
      <c r="BK511" s="3"/>
      <c r="BL511" s="3"/>
      <c r="BM511" s="3"/>
      <c r="BN511" s="18"/>
      <c r="BO511" s="18"/>
      <c r="BP511" s="4"/>
      <c r="BQ511" s="4"/>
      <c r="BR511" s="7"/>
      <c r="BS511" s="18"/>
    </row>
    <row r="512" spans="1:71" x14ac:dyDescent="0.25">
      <c r="A512" s="18">
        <v>507</v>
      </c>
      <c r="B512" s="18"/>
      <c r="C512" s="18"/>
      <c r="D512" s="21"/>
      <c r="E512" s="5"/>
      <c r="F512" s="3"/>
      <c r="G512" s="3"/>
      <c r="H512" s="3"/>
      <c r="I512" s="3"/>
      <c r="J512" s="3"/>
      <c r="K512" s="18"/>
      <c r="L512" s="18"/>
      <c r="M512" s="4"/>
      <c r="N512" s="4"/>
      <c r="O512" s="7"/>
      <c r="P512" s="5"/>
      <c r="Q512" s="3"/>
      <c r="R512" s="3"/>
      <c r="S512" s="3"/>
      <c r="T512" s="3"/>
      <c r="U512" s="3"/>
      <c r="V512" s="18"/>
      <c r="W512" s="18"/>
      <c r="X512" s="4"/>
      <c r="Y512" s="4"/>
      <c r="Z512" s="7"/>
      <c r="AA512" s="5"/>
      <c r="AB512" s="3"/>
      <c r="AC512" s="3"/>
      <c r="AD512" s="3"/>
      <c r="AE512" s="3"/>
      <c r="AF512" s="3"/>
      <c r="AG512" s="18"/>
      <c r="AH512" s="18"/>
      <c r="AI512" s="4"/>
      <c r="AJ512" s="4"/>
      <c r="AK512" s="7"/>
      <c r="AL512" s="5"/>
      <c r="AM512" s="3"/>
      <c r="AN512" s="3"/>
      <c r="AO512" s="3"/>
      <c r="AP512" s="3"/>
      <c r="AQ512" s="3"/>
      <c r="AR512" s="18"/>
      <c r="AS512" s="18"/>
      <c r="AT512" s="4"/>
      <c r="AU512" s="4"/>
      <c r="AV512" s="7"/>
      <c r="AW512" s="5"/>
      <c r="AX512" s="3"/>
      <c r="AY512" s="3"/>
      <c r="AZ512" s="3"/>
      <c r="BA512" s="3"/>
      <c r="BB512" s="3"/>
      <c r="BC512" s="18"/>
      <c r="BD512" s="18"/>
      <c r="BE512" s="4"/>
      <c r="BF512" s="4"/>
      <c r="BG512" s="7"/>
      <c r="BH512" s="5"/>
      <c r="BI512" s="3"/>
      <c r="BJ512" s="3"/>
      <c r="BK512" s="3"/>
      <c r="BL512" s="3"/>
      <c r="BM512" s="3"/>
      <c r="BN512" s="18"/>
      <c r="BO512" s="18"/>
      <c r="BP512" s="4"/>
      <c r="BQ512" s="4"/>
      <c r="BR512" s="7"/>
      <c r="BS512" s="18"/>
    </row>
    <row r="513" spans="1:71" x14ac:dyDescent="0.25">
      <c r="A513" s="18">
        <v>508</v>
      </c>
      <c r="B513" s="18"/>
      <c r="C513" s="18"/>
      <c r="D513" s="21"/>
      <c r="E513" s="5"/>
      <c r="F513" s="3"/>
      <c r="G513" s="3"/>
      <c r="H513" s="3"/>
      <c r="I513" s="3"/>
      <c r="J513" s="3"/>
      <c r="K513" s="18"/>
      <c r="L513" s="18"/>
      <c r="M513" s="4"/>
      <c r="N513" s="4"/>
      <c r="O513" s="7"/>
      <c r="P513" s="5"/>
      <c r="Q513" s="3"/>
      <c r="R513" s="3"/>
      <c r="S513" s="3"/>
      <c r="T513" s="3"/>
      <c r="U513" s="3"/>
      <c r="V513" s="18"/>
      <c r="W513" s="18"/>
      <c r="X513" s="4"/>
      <c r="Y513" s="4"/>
      <c r="Z513" s="7"/>
      <c r="AA513" s="5"/>
      <c r="AB513" s="3"/>
      <c r="AC513" s="3"/>
      <c r="AD513" s="3"/>
      <c r="AE513" s="3"/>
      <c r="AF513" s="3"/>
      <c r="AG513" s="18"/>
      <c r="AH513" s="18"/>
      <c r="AI513" s="4"/>
      <c r="AJ513" s="4"/>
      <c r="AK513" s="7"/>
      <c r="AL513" s="5"/>
      <c r="AM513" s="3"/>
      <c r="AN513" s="3"/>
      <c r="AO513" s="3"/>
      <c r="AP513" s="3"/>
      <c r="AQ513" s="3"/>
      <c r="AR513" s="18"/>
      <c r="AS513" s="18"/>
      <c r="AT513" s="4"/>
      <c r="AU513" s="4"/>
      <c r="AV513" s="7"/>
      <c r="AW513" s="5"/>
      <c r="AX513" s="3"/>
      <c r="AY513" s="3"/>
      <c r="AZ513" s="3"/>
      <c r="BA513" s="3"/>
      <c r="BB513" s="3"/>
      <c r="BC513" s="18"/>
      <c r="BD513" s="18"/>
      <c r="BE513" s="4"/>
      <c r="BF513" s="4"/>
      <c r="BG513" s="7"/>
      <c r="BH513" s="5"/>
      <c r="BI513" s="3"/>
      <c r="BJ513" s="3"/>
      <c r="BK513" s="3"/>
      <c r="BL513" s="3"/>
      <c r="BM513" s="3"/>
      <c r="BN513" s="18"/>
      <c r="BO513" s="18"/>
      <c r="BP513" s="4"/>
      <c r="BQ513" s="4"/>
      <c r="BR513" s="7"/>
      <c r="BS513" s="18"/>
    </row>
    <row r="514" spans="1:71" x14ac:dyDescent="0.25">
      <c r="A514" s="18">
        <v>509</v>
      </c>
      <c r="B514" s="18"/>
      <c r="C514" s="18"/>
      <c r="D514" s="21"/>
      <c r="E514" s="5"/>
      <c r="F514" s="3"/>
      <c r="G514" s="3"/>
      <c r="H514" s="3"/>
      <c r="I514" s="3"/>
      <c r="J514" s="3"/>
      <c r="K514" s="18"/>
      <c r="L514" s="18"/>
      <c r="M514" s="4"/>
      <c r="N514" s="4"/>
      <c r="O514" s="7"/>
      <c r="P514" s="5"/>
      <c r="Q514" s="3"/>
      <c r="R514" s="3"/>
      <c r="S514" s="3"/>
      <c r="T514" s="3"/>
      <c r="U514" s="3"/>
      <c r="V514" s="18"/>
      <c r="W514" s="18"/>
      <c r="X514" s="4"/>
      <c r="Y514" s="4"/>
      <c r="Z514" s="7"/>
      <c r="AA514" s="5"/>
      <c r="AB514" s="3"/>
      <c r="AC514" s="3"/>
      <c r="AD514" s="3"/>
      <c r="AE514" s="3"/>
      <c r="AF514" s="3"/>
      <c r="AG514" s="18"/>
      <c r="AH514" s="18"/>
      <c r="AI514" s="4"/>
      <c r="AJ514" s="4"/>
      <c r="AK514" s="7"/>
      <c r="AL514" s="5"/>
      <c r="AM514" s="3"/>
      <c r="AN514" s="3"/>
      <c r="AO514" s="3"/>
      <c r="AP514" s="3"/>
      <c r="AQ514" s="3"/>
      <c r="AR514" s="18"/>
      <c r="AS514" s="18"/>
      <c r="AT514" s="4"/>
      <c r="AU514" s="4"/>
      <c r="AV514" s="7"/>
      <c r="AW514" s="5"/>
      <c r="AX514" s="3"/>
      <c r="AY514" s="3"/>
      <c r="AZ514" s="3"/>
      <c r="BA514" s="3"/>
      <c r="BB514" s="3"/>
      <c r="BC514" s="18"/>
      <c r="BD514" s="18"/>
      <c r="BE514" s="4"/>
      <c r="BF514" s="4"/>
      <c r="BG514" s="7"/>
      <c r="BH514" s="5"/>
      <c r="BI514" s="3"/>
      <c r="BJ514" s="3"/>
      <c r="BK514" s="3"/>
      <c r="BL514" s="3"/>
      <c r="BM514" s="3"/>
      <c r="BN514" s="18"/>
      <c r="BO514" s="18"/>
      <c r="BP514" s="4"/>
      <c r="BQ514" s="4"/>
      <c r="BR514" s="7"/>
      <c r="BS514" s="18"/>
    </row>
    <row r="515" spans="1:71" x14ac:dyDescent="0.25">
      <c r="A515" s="1">
        <v>510</v>
      </c>
      <c r="B515" s="18"/>
      <c r="C515" s="18"/>
      <c r="D515" s="21"/>
      <c r="E515" s="5"/>
      <c r="F515" s="3"/>
      <c r="G515" s="3"/>
      <c r="H515" s="3"/>
      <c r="I515" s="3"/>
      <c r="J515" s="3"/>
      <c r="K515" s="18"/>
      <c r="L515" s="18"/>
      <c r="M515" s="4"/>
      <c r="N515" s="4"/>
      <c r="O515" s="7"/>
      <c r="P515" s="5"/>
      <c r="Q515" s="3"/>
      <c r="R515" s="3"/>
      <c r="S515" s="3"/>
      <c r="T515" s="3"/>
      <c r="U515" s="3"/>
      <c r="V515" s="18"/>
      <c r="W515" s="18"/>
      <c r="X515" s="4"/>
      <c r="Y515" s="4"/>
      <c r="Z515" s="7"/>
      <c r="AA515" s="5"/>
      <c r="AB515" s="3"/>
      <c r="AC515" s="3"/>
      <c r="AD515" s="3"/>
      <c r="AE515" s="3"/>
      <c r="AF515" s="3"/>
      <c r="AG515" s="18"/>
      <c r="AH515" s="18"/>
      <c r="AI515" s="4"/>
      <c r="AJ515" s="4"/>
      <c r="AK515" s="7"/>
      <c r="AL515" s="5"/>
      <c r="AM515" s="3"/>
      <c r="AN515" s="3"/>
      <c r="AO515" s="3"/>
      <c r="AP515" s="3"/>
      <c r="AQ515" s="3"/>
      <c r="AR515" s="18"/>
      <c r="AS515" s="18"/>
      <c r="AT515" s="4"/>
      <c r="AU515" s="4"/>
      <c r="AV515" s="7"/>
      <c r="AW515" s="5"/>
      <c r="AX515" s="3"/>
      <c r="AY515" s="3"/>
      <c r="AZ515" s="3"/>
      <c r="BA515" s="3"/>
      <c r="BB515" s="3"/>
      <c r="BC515" s="18"/>
      <c r="BD515" s="18"/>
      <c r="BE515" s="4"/>
      <c r="BF515" s="4"/>
      <c r="BG515" s="7"/>
      <c r="BH515" s="5"/>
      <c r="BI515" s="3"/>
      <c r="BJ515" s="3"/>
      <c r="BK515" s="3"/>
      <c r="BL515" s="3"/>
      <c r="BM515" s="3"/>
      <c r="BN515" s="18"/>
      <c r="BO515" s="18"/>
      <c r="BP515" s="4"/>
      <c r="BQ515" s="4"/>
      <c r="BR515" s="7"/>
      <c r="BS515" s="18"/>
    </row>
    <row r="516" spans="1:71" x14ac:dyDescent="0.25">
      <c r="A516" s="18">
        <v>511</v>
      </c>
      <c r="B516" s="18"/>
      <c r="C516" s="18"/>
      <c r="D516" s="21"/>
      <c r="E516" s="5"/>
      <c r="F516" s="3"/>
      <c r="G516" s="3"/>
      <c r="H516" s="3"/>
      <c r="I516" s="3"/>
      <c r="J516" s="3"/>
      <c r="K516" s="18"/>
      <c r="L516" s="18"/>
      <c r="M516" s="4"/>
      <c r="N516" s="4"/>
      <c r="O516" s="7"/>
      <c r="P516" s="5"/>
      <c r="Q516" s="3"/>
      <c r="R516" s="3"/>
      <c r="S516" s="3"/>
      <c r="T516" s="3"/>
      <c r="U516" s="3"/>
      <c r="V516" s="18"/>
      <c r="W516" s="18"/>
      <c r="X516" s="4"/>
      <c r="Y516" s="4"/>
      <c r="Z516" s="7"/>
      <c r="AA516" s="5"/>
      <c r="AB516" s="3"/>
      <c r="AC516" s="3"/>
      <c r="AD516" s="3"/>
      <c r="AE516" s="3"/>
      <c r="AF516" s="3"/>
      <c r="AG516" s="18"/>
      <c r="AH516" s="18"/>
      <c r="AI516" s="4"/>
      <c r="AJ516" s="4"/>
      <c r="AK516" s="7"/>
      <c r="AL516" s="5"/>
      <c r="AM516" s="3"/>
      <c r="AN516" s="3"/>
      <c r="AO516" s="3"/>
      <c r="AP516" s="3"/>
      <c r="AQ516" s="3"/>
      <c r="AR516" s="18"/>
      <c r="AS516" s="18"/>
      <c r="AT516" s="4"/>
      <c r="AU516" s="4"/>
      <c r="AV516" s="7"/>
      <c r="AW516" s="5"/>
      <c r="AX516" s="3"/>
      <c r="AY516" s="3"/>
      <c r="AZ516" s="3"/>
      <c r="BA516" s="3"/>
      <c r="BB516" s="3"/>
      <c r="BC516" s="18"/>
      <c r="BD516" s="18"/>
      <c r="BE516" s="4"/>
      <c r="BF516" s="4"/>
      <c r="BG516" s="7"/>
      <c r="BH516" s="5"/>
      <c r="BI516" s="3"/>
      <c r="BJ516" s="3"/>
      <c r="BK516" s="3"/>
      <c r="BL516" s="3"/>
      <c r="BM516" s="3"/>
      <c r="BN516" s="18"/>
      <c r="BO516" s="18"/>
      <c r="BP516" s="4"/>
      <c r="BQ516" s="4"/>
      <c r="BR516" s="7"/>
      <c r="BS516" s="18"/>
    </row>
    <row r="517" spans="1:71" x14ac:dyDescent="0.25">
      <c r="A517" s="18">
        <v>512</v>
      </c>
      <c r="B517" s="18"/>
      <c r="C517" s="18"/>
      <c r="D517" s="21"/>
      <c r="E517" s="5"/>
      <c r="F517" s="3"/>
      <c r="G517" s="3"/>
      <c r="H517" s="3"/>
      <c r="I517" s="3"/>
      <c r="J517" s="3"/>
      <c r="K517" s="18"/>
      <c r="L517" s="18"/>
      <c r="M517" s="4"/>
      <c r="N517" s="4"/>
      <c r="O517" s="7"/>
      <c r="P517" s="5"/>
      <c r="Q517" s="3"/>
      <c r="R517" s="3"/>
      <c r="S517" s="3"/>
      <c r="T517" s="3"/>
      <c r="U517" s="3"/>
      <c r="V517" s="18"/>
      <c r="W517" s="18"/>
      <c r="X517" s="4"/>
      <c r="Y517" s="4"/>
      <c r="Z517" s="7"/>
      <c r="AA517" s="5"/>
      <c r="AB517" s="3"/>
      <c r="AC517" s="3"/>
      <c r="AD517" s="3"/>
      <c r="AE517" s="3"/>
      <c r="AF517" s="3"/>
      <c r="AG517" s="18"/>
      <c r="AH517" s="18"/>
      <c r="AI517" s="4"/>
      <c r="AJ517" s="4"/>
      <c r="AK517" s="7"/>
      <c r="AL517" s="5"/>
      <c r="AM517" s="3"/>
      <c r="AN517" s="3"/>
      <c r="AO517" s="3"/>
      <c r="AP517" s="3"/>
      <c r="AQ517" s="3"/>
      <c r="AR517" s="18"/>
      <c r="AS517" s="18"/>
      <c r="AT517" s="4"/>
      <c r="AU517" s="4"/>
      <c r="AV517" s="7"/>
      <c r="AW517" s="5"/>
      <c r="AX517" s="3"/>
      <c r="AY517" s="3"/>
      <c r="AZ517" s="3"/>
      <c r="BA517" s="3"/>
      <c r="BB517" s="3"/>
      <c r="BC517" s="18"/>
      <c r="BD517" s="18"/>
      <c r="BE517" s="4"/>
      <c r="BF517" s="4"/>
      <c r="BG517" s="7"/>
      <c r="BH517" s="5"/>
      <c r="BI517" s="3"/>
      <c r="BJ517" s="3"/>
      <c r="BK517" s="3"/>
      <c r="BL517" s="3"/>
      <c r="BM517" s="3"/>
      <c r="BN517" s="18"/>
      <c r="BO517" s="18"/>
      <c r="BP517" s="4"/>
      <c r="BQ517" s="4"/>
      <c r="BR517" s="7"/>
      <c r="BS517" s="18"/>
    </row>
    <row r="518" spans="1:71" x14ac:dyDescent="0.25">
      <c r="A518" s="18">
        <v>513</v>
      </c>
      <c r="B518" s="18"/>
      <c r="C518" s="18"/>
      <c r="D518" s="21"/>
      <c r="E518" s="5"/>
      <c r="F518" s="3"/>
      <c r="G518" s="3"/>
      <c r="H518" s="3"/>
      <c r="I518" s="3"/>
      <c r="J518" s="3"/>
      <c r="K518" s="18"/>
      <c r="L518" s="18"/>
      <c r="M518" s="4"/>
      <c r="N518" s="4"/>
      <c r="O518" s="7"/>
      <c r="P518" s="5"/>
      <c r="Q518" s="3"/>
      <c r="R518" s="3"/>
      <c r="S518" s="3"/>
      <c r="T518" s="3"/>
      <c r="U518" s="3"/>
      <c r="V518" s="18"/>
      <c r="W518" s="18"/>
      <c r="X518" s="4"/>
      <c r="Y518" s="4"/>
      <c r="Z518" s="7"/>
      <c r="AA518" s="5"/>
      <c r="AB518" s="3"/>
      <c r="AC518" s="3"/>
      <c r="AD518" s="3"/>
      <c r="AE518" s="3"/>
      <c r="AF518" s="3"/>
      <c r="AG518" s="18"/>
      <c r="AH518" s="18"/>
      <c r="AI518" s="4"/>
      <c r="AJ518" s="4"/>
      <c r="AK518" s="7"/>
      <c r="AL518" s="5"/>
      <c r="AM518" s="3"/>
      <c r="AN518" s="3"/>
      <c r="AO518" s="3"/>
      <c r="AP518" s="3"/>
      <c r="AQ518" s="3"/>
      <c r="AR518" s="18"/>
      <c r="AS518" s="18"/>
      <c r="AT518" s="4"/>
      <c r="AU518" s="4"/>
      <c r="AV518" s="7"/>
      <c r="AW518" s="5"/>
      <c r="AX518" s="3"/>
      <c r="AY518" s="3"/>
      <c r="AZ518" s="3"/>
      <c r="BA518" s="3"/>
      <c r="BB518" s="3"/>
      <c r="BC518" s="18"/>
      <c r="BD518" s="18"/>
      <c r="BE518" s="4"/>
      <c r="BF518" s="4"/>
      <c r="BG518" s="7"/>
      <c r="BH518" s="5"/>
      <c r="BI518" s="3"/>
      <c r="BJ518" s="3"/>
      <c r="BK518" s="3"/>
      <c r="BL518" s="3"/>
      <c r="BM518" s="3"/>
      <c r="BN518" s="18"/>
      <c r="BO518" s="18"/>
      <c r="BP518" s="4"/>
      <c r="BQ518" s="4"/>
      <c r="BR518" s="7"/>
      <c r="BS518" s="18"/>
    </row>
    <row r="519" spans="1:71" x14ac:dyDescent="0.25">
      <c r="A519" s="18">
        <v>514</v>
      </c>
      <c r="B519" s="18"/>
      <c r="C519" s="18"/>
      <c r="D519" s="21"/>
      <c r="E519" s="5"/>
      <c r="F519" s="3"/>
      <c r="G519" s="3"/>
      <c r="H519" s="3"/>
      <c r="I519" s="3"/>
      <c r="J519" s="3"/>
      <c r="K519" s="18"/>
      <c r="L519" s="18"/>
      <c r="M519" s="4"/>
      <c r="N519" s="4"/>
      <c r="O519" s="7"/>
      <c r="P519" s="5"/>
      <c r="Q519" s="3"/>
      <c r="R519" s="3"/>
      <c r="S519" s="3"/>
      <c r="T519" s="3"/>
      <c r="U519" s="3"/>
      <c r="V519" s="18"/>
      <c r="W519" s="18"/>
      <c r="X519" s="4"/>
      <c r="Y519" s="4"/>
      <c r="Z519" s="7"/>
      <c r="AA519" s="5"/>
      <c r="AB519" s="3"/>
      <c r="AC519" s="3"/>
      <c r="AD519" s="3"/>
      <c r="AE519" s="3"/>
      <c r="AF519" s="3"/>
      <c r="AG519" s="18"/>
      <c r="AH519" s="18"/>
      <c r="AI519" s="4"/>
      <c r="AJ519" s="4"/>
      <c r="AK519" s="7"/>
      <c r="AL519" s="5"/>
      <c r="AM519" s="3"/>
      <c r="AN519" s="3"/>
      <c r="AO519" s="3"/>
      <c r="AP519" s="3"/>
      <c r="AQ519" s="3"/>
      <c r="AR519" s="18"/>
      <c r="AS519" s="18"/>
      <c r="AT519" s="4"/>
      <c r="AU519" s="4"/>
      <c r="AV519" s="7"/>
      <c r="AW519" s="5"/>
      <c r="AX519" s="3"/>
      <c r="AY519" s="3"/>
      <c r="AZ519" s="3"/>
      <c r="BA519" s="3"/>
      <c r="BB519" s="3"/>
      <c r="BC519" s="18"/>
      <c r="BD519" s="18"/>
      <c r="BE519" s="4"/>
      <c r="BF519" s="4"/>
      <c r="BG519" s="7"/>
      <c r="BH519" s="5"/>
      <c r="BI519" s="3"/>
      <c r="BJ519" s="3"/>
      <c r="BK519" s="3"/>
      <c r="BL519" s="3"/>
      <c r="BM519" s="3"/>
      <c r="BN519" s="18"/>
      <c r="BO519" s="18"/>
      <c r="BP519" s="4"/>
      <c r="BQ519" s="4"/>
      <c r="BR519" s="7"/>
      <c r="BS519" s="18"/>
    </row>
    <row r="520" spans="1:71" x14ac:dyDescent="0.25">
      <c r="A520" s="1">
        <v>515</v>
      </c>
      <c r="B520" s="18"/>
      <c r="C520" s="18"/>
      <c r="D520" s="21"/>
      <c r="E520" s="5"/>
      <c r="F520" s="3"/>
      <c r="G520" s="3"/>
      <c r="H520" s="3"/>
      <c r="I520" s="3"/>
      <c r="J520" s="3"/>
      <c r="K520" s="18"/>
      <c r="L520" s="18"/>
      <c r="M520" s="4"/>
      <c r="N520" s="4"/>
      <c r="O520" s="7"/>
      <c r="P520" s="5"/>
      <c r="Q520" s="3"/>
      <c r="R520" s="3"/>
      <c r="S520" s="3"/>
      <c r="T520" s="3"/>
      <c r="U520" s="3"/>
      <c r="V520" s="18"/>
      <c r="W520" s="18"/>
      <c r="X520" s="4"/>
      <c r="Y520" s="4"/>
      <c r="Z520" s="7"/>
      <c r="AA520" s="5"/>
      <c r="AB520" s="3"/>
      <c r="AC520" s="3"/>
      <c r="AD520" s="3"/>
      <c r="AE520" s="3"/>
      <c r="AF520" s="3"/>
      <c r="AG520" s="18"/>
      <c r="AH520" s="18"/>
      <c r="AI520" s="4"/>
      <c r="AJ520" s="4"/>
      <c r="AK520" s="7"/>
      <c r="AL520" s="5"/>
      <c r="AM520" s="3"/>
      <c r="AN520" s="3"/>
      <c r="AO520" s="3"/>
      <c r="AP520" s="3"/>
      <c r="AQ520" s="3"/>
      <c r="AR520" s="18"/>
      <c r="AS520" s="18"/>
      <c r="AT520" s="4"/>
      <c r="AU520" s="4"/>
      <c r="AV520" s="7"/>
      <c r="AW520" s="5"/>
      <c r="AX520" s="3"/>
      <c r="AY520" s="3"/>
      <c r="AZ520" s="3"/>
      <c r="BA520" s="3"/>
      <c r="BB520" s="3"/>
      <c r="BC520" s="18"/>
      <c r="BD520" s="18"/>
      <c r="BE520" s="4"/>
      <c r="BF520" s="4"/>
      <c r="BG520" s="7"/>
      <c r="BH520" s="5"/>
      <c r="BI520" s="3"/>
      <c r="BJ520" s="3"/>
      <c r="BK520" s="3"/>
      <c r="BL520" s="3"/>
      <c r="BM520" s="3"/>
      <c r="BN520" s="18"/>
      <c r="BO520" s="18"/>
      <c r="BP520" s="4"/>
      <c r="BQ520" s="4"/>
      <c r="BR520" s="7"/>
      <c r="BS520" s="18"/>
    </row>
    <row r="521" spans="1:71" x14ac:dyDescent="0.25">
      <c r="A521" s="18">
        <v>516</v>
      </c>
      <c r="B521" s="18"/>
      <c r="C521" s="18"/>
      <c r="D521" s="21"/>
      <c r="E521" s="5"/>
      <c r="F521" s="3"/>
      <c r="G521" s="3"/>
      <c r="H521" s="3"/>
      <c r="I521" s="3"/>
      <c r="J521" s="3"/>
      <c r="K521" s="18"/>
      <c r="L521" s="18"/>
      <c r="M521" s="4"/>
      <c r="N521" s="4"/>
      <c r="O521" s="7"/>
      <c r="P521" s="5"/>
      <c r="Q521" s="3"/>
      <c r="R521" s="3"/>
      <c r="S521" s="3"/>
      <c r="T521" s="3"/>
      <c r="U521" s="3"/>
      <c r="V521" s="18"/>
      <c r="W521" s="18"/>
      <c r="X521" s="4"/>
      <c r="Y521" s="4"/>
      <c r="Z521" s="7"/>
      <c r="AA521" s="5"/>
      <c r="AB521" s="3"/>
      <c r="AC521" s="3"/>
      <c r="AD521" s="3"/>
      <c r="AE521" s="3"/>
      <c r="AF521" s="3"/>
      <c r="AG521" s="18"/>
      <c r="AH521" s="18"/>
      <c r="AI521" s="4"/>
      <c r="AJ521" s="4"/>
      <c r="AK521" s="7"/>
      <c r="AL521" s="5"/>
      <c r="AM521" s="3"/>
      <c r="AN521" s="3"/>
      <c r="AO521" s="3"/>
      <c r="AP521" s="3"/>
      <c r="AQ521" s="3"/>
      <c r="AR521" s="18"/>
      <c r="AS521" s="18"/>
      <c r="AT521" s="4"/>
      <c r="AU521" s="4"/>
      <c r="AV521" s="7"/>
      <c r="AW521" s="5"/>
      <c r="AX521" s="3"/>
      <c r="AY521" s="3"/>
      <c r="AZ521" s="3"/>
      <c r="BA521" s="3"/>
      <c r="BB521" s="3"/>
      <c r="BC521" s="18"/>
      <c r="BD521" s="18"/>
      <c r="BE521" s="4"/>
      <c r="BF521" s="4"/>
      <c r="BG521" s="7"/>
      <c r="BH521" s="5"/>
      <c r="BI521" s="3"/>
      <c r="BJ521" s="3"/>
      <c r="BK521" s="3"/>
      <c r="BL521" s="3"/>
      <c r="BM521" s="3"/>
      <c r="BN521" s="18"/>
      <c r="BO521" s="18"/>
      <c r="BP521" s="4"/>
      <c r="BQ521" s="4"/>
      <c r="BR521" s="7"/>
      <c r="BS521" s="18"/>
    </row>
    <row r="522" spans="1:71" x14ac:dyDescent="0.25">
      <c r="A522" s="18">
        <v>517</v>
      </c>
      <c r="B522" s="18"/>
      <c r="C522" s="18"/>
      <c r="D522" s="21"/>
      <c r="E522" s="5"/>
      <c r="F522" s="3"/>
      <c r="G522" s="3"/>
      <c r="H522" s="3"/>
      <c r="I522" s="3"/>
      <c r="J522" s="3"/>
      <c r="K522" s="18"/>
      <c r="L522" s="18"/>
      <c r="M522" s="4"/>
      <c r="N522" s="4"/>
      <c r="O522" s="7"/>
      <c r="P522" s="5"/>
      <c r="Q522" s="3"/>
      <c r="R522" s="3"/>
      <c r="S522" s="3"/>
      <c r="T522" s="3"/>
      <c r="U522" s="3"/>
      <c r="V522" s="18"/>
      <c r="W522" s="18"/>
      <c r="X522" s="4"/>
      <c r="Y522" s="4"/>
      <c r="Z522" s="7"/>
      <c r="AA522" s="5"/>
      <c r="AB522" s="3"/>
      <c r="AC522" s="3"/>
      <c r="AD522" s="3"/>
      <c r="AE522" s="3"/>
      <c r="AF522" s="3"/>
      <c r="AG522" s="18"/>
      <c r="AH522" s="18"/>
      <c r="AI522" s="4"/>
      <c r="AJ522" s="4"/>
      <c r="AK522" s="7"/>
      <c r="AL522" s="5"/>
      <c r="AM522" s="3"/>
      <c r="AN522" s="3"/>
      <c r="AO522" s="3"/>
      <c r="AP522" s="3"/>
      <c r="AQ522" s="3"/>
      <c r="AR522" s="18"/>
      <c r="AS522" s="18"/>
      <c r="AT522" s="4"/>
      <c r="AU522" s="4"/>
      <c r="AV522" s="7"/>
      <c r="AW522" s="5"/>
      <c r="AX522" s="3"/>
      <c r="AY522" s="3"/>
      <c r="AZ522" s="3"/>
      <c r="BA522" s="3"/>
      <c r="BB522" s="3"/>
      <c r="BC522" s="18"/>
      <c r="BD522" s="18"/>
      <c r="BE522" s="4"/>
      <c r="BF522" s="4"/>
      <c r="BG522" s="7"/>
      <c r="BH522" s="5"/>
      <c r="BI522" s="3"/>
      <c r="BJ522" s="3"/>
      <c r="BK522" s="3"/>
      <c r="BL522" s="3"/>
      <c r="BM522" s="3"/>
      <c r="BN522" s="18"/>
      <c r="BO522" s="18"/>
      <c r="BP522" s="4"/>
      <c r="BQ522" s="4"/>
      <c r="BR522" s="7"/>
      <c r="BS522" s="18"/>
    </row>
    <row r="523" spans="1:71" x14ac:dyDescent="0.25">
      <c r="A523" s="18">
        <v>518</v>
      </c>
      <c r="B523" s="18"/>
      <c r="C523" s="18"/>
      <c r="D523" s="21"/>
      <c r="E523" s="5"/>
      <c r="F523" s="3"/>
      <c r="G523" s="3"/>
      <c r="H523" s="3"/>
      <c r="I523" s="3"/>
      <c r="J523" s="3"/>
      <c r="K523" s="18"/>
      <c r="L523" s="18"/>
      <c r="M523" s="4"/>
      <c r="N523" s="4"/>
      <c r="O523" s="7"/>
      <c r="P523" s="5"/>
      <c r="Q523" s="3"/>
      <c r="R523" s="3"/>
      <c r="S523" s="3"/>
      <c r="T523" s="3"/>
      <c r="U523" s="3"/>
      <c r="V523" s="18"/>
      <c r="W523" s="18"/>
      <c r="X523" s="4"/>
      <c r="Y523" s="4"/>
      <c r="Z523" s="7"/>
      <c r="AA523" s="5"/>
      <c r="AB523" s="3"/>
      <c r="AC523" s="3"/>
      <c r="AD523" s="3"/>
      <c r="AE523" s="3"/>
      <c r="AF523" s="3"/>
      <c r="AG523" s="18"/>
      <c r="AH523" s="18"/>
      <c r="AI523" s="4"/>
      <c r="AJ523" s="4"/>
      <c r="AK523" s="7"/>
      <c r="AL523" s="5"/>
      <c r="AM523" s="3"/>
      <c r="AN523" s="3"/>
      <c r="AO523" s="3"/>
      <c r="AP523" s="3"/>
      <c r="AQ523" s="3"/>
      <c r="AR523" s="18"/>
      <c r="AS523" s="18"/>
      <c r="AT523" s="4"/>
      <c r="AU523" s="4"/>
      <c r="AV523" s="7"/>
      <c r="AW523" s="5"/>
      <c r="AX523" s="3"/>
      <c r="AY523" s="3"/>
      <c r="AZ523" s="3"/>
      <c r="BA523" s="3"/>
      <c r="BB523" s="3"/>
      <c r="BC523" s="18"/>
      <c r="BD523" s="18"/>
      <c r="BE523" s="4"/>
      <c r="BF523" s="4"/>
      <c r="BG523" s="7"/>
      <c r="BH523" s="5"/>
      <c r="BI523" s="3"/>
      <c r="BJ523" s="3"/>
      <c r="BK523" s="3"/>
      <c r="BL523" s="3"/>
      <c r="BM523" s="3"/>
      <c r="BN523" s="18"/>
      <c r="BO523" s="18"/>
      <c r="BP523" s="4"/>
      <c r="BQ523" s="4"/>
      <c r="BR523" s="7"/>
      <c r="BS523" s="18"/>
    </row>
    <row r="524" spans="1:71" x14ac:dyDescent="0.25">
      <c r="A524" s="18">
        <v>519</v>
      </c>
      <c r="B524" s="18"/>
      <c r="C524" s="18"/>
      <c r="D524" s="21"/>
      <c r="E524" s="5"/>
      <c r="F524" s="3"/>
      <c r="G524" s="3"/>
      <c r="H524" s="3"/>
      <c r="I524" s="3"/>
      <c r="J524" s="3"/>
      <c r="K524" s="18"/>
      <c r="L524" s="18"/>
      <c r="M524" s="4"/>
      <c r="N524" s="4"/>
      <c r="O524" s="7"/>
      <c r="P524" s="5"/>
      <c r="Q524" s="3"/>
      <c r="R524" s="3"/>
      <c r="S524" s="3"/>
      <c r="T524" s="3"/>
      <c r="U524" s="3"/>
      <c r="V524" s="18"/>
      <c r="W524" s="18"/>
      <c r="X524" s="4"/>
      <c r="Y524" s="4"/>
      <c r="Z524" s="7"/>
      <c r="AA524" s="5"/>
      <c r="AB524" s="3"/>
      <c r="AC524" s="3"/>
      <c r="AD524" s="3"/>
      <c r="AE524" s="3"/>
      <c r="AF524" s="3"/>
      <c r="AG524" s="18"/>
      <c r="AH524" s="18"/>
      <c r="AI524" s="4"/>
      <c r="AJ524" s="4"/>
      <c r="AK524" s="7"/>
      <c r="AL524" s="5"/>
      <c r="AM524" s="3"/>
      <c r="AN524" s="3"/>
      <c r="AO524" s="3"/>
      <c r="AP524" s="3"/>
      <c r="AQ524" s="3"/>
      <c r="AR524" s="18"/>
      <c r="AS524" s="18"/>
      <c r="AT524" s="4"/>
      <c r="AU524" s="4"/>
      <c r="AV524" s="7"/>
      <c r="AW524" s="5"/>
      <c r="AX524" s="3"/>
      <c r="AY524" s="3"/>
      <c r="AZ524" s="3"/>
      <c r="BA524" s="3"/>
      <c r="BB524" s="3"/>
      <c r="BC524" s="18"/>
      <c r="BD524" s="18"/>
      <c r="BE524" s="4"/>
      <c r="BF524" s="4"/>
      <c r="BG524" s="7"/>
      <c r="BH524" s="5"/>
      <c r="BI524" s="3"/>
      <c r="BJ524" s="3"/>
      <c r="BK524" s="3"/>
      <c r="BL524" s="3"/>
      <c r="BM524" s="3"/>
      <c r="BN524" s="18"/>
      <c r="BO524" s="18"/>
      <c r="BP524" s="4"/>
      <c r="BQ524" s="4"/>
      <c r="BR524" s="7"/>
      <c r="BS524" s="18"/>
    </row>
    <row r="525" spans="1:71" x14ac:dyDescent="0.25">
      <c r="A525" s="1">
        <v>520</v>
      </c>
      <c r="B525" s="18"/>
      <c r="C525" s="18"/>
      <c r="D525" s="21"/>
      <c r="E525" s="5"/>
      <c r="F525" s="3"/>
      <c r="G525" s="3"/>
      <c r="H525" s="3"/>
      <c r="I525" s="3"/>
      <c r="J525" s="3"/>
      <c r="K525" s="18"/>
      <c r="L525" s="18"/>
      <c r="M525" s="4"/>
      <c r="N525" s="4"/>
      <c r="O525" s="7"/>
      <c r="P525" s="5"/>
      <c r="Q525" s="3"/>
      <c r="R525" s="3"/>
      <c r="S525" s="3"/>
      <c r="T525" s="3"/>
      <c r="U525" s="3"/>
      <c r="V525" s="18"/>
      <c r="W525" s="18"/>
      <c r="X525" s="4"/>
      <c r="Y525" s="4"/>
      <c r="Z525" s="7"/>
      <c r="AA525" s="5"/>
      <c r="AB525" s="3"/>
      <c r="AC525" s="3"/>
      <c r="AD525" s="3"/>
      <c r="AE525" s="3"/>
      <c r="AF525" s="3"/>
      <c r="AG525" s="18"/>
      <c r="AH525" s="18"/>
      <c r="AI525" s="4"/>
      <c r="AJ525" s="4"/>
      <c r="AK525" s="7"/>
      <c r="AL525" s="5"/>
      <c r="AM525" s="3"/>
      <c r="AN525" s="3"/>
      <c r="AO525" s="3"/>
      <c r="AP525" s="3"/>
      <c r="AQ525" s="3"/>
      <c r="AR525" s="18"/>
      <c r="AS525" s="18"/>
      <c r="AT525" s="4"/>
      <c r="AU525" s="4"/>
      <c r="AV525" s="7"/>
      <c r="AW525" s="5"/>
      <c r="AX525" s="3"/>
      <c r="AY525" s="3"/>
      <c r="AZ525" s="3"/>
      <c r="BA525" s="3"/>
      <c r="BB525" s="3"/>
      <c r="BC525" s="18"/>
      <c r="BD525" s="18"/>
      <c r="BE525" s="4"/>
      <c r="BF525" s="4"/>
      <c r="BG525" s="7"/>
      <c r="BH525" s="5"/>
      <c r="BI525" s="3"/>
      <c r="BJ525" s="3"/>
      <c r="BK525" s="3"/>
      <c r="BL525" s="3"/>
      <c r="BM525" s="3"/>
      <c r="BN525" s="18"/>
      <c r="BO525" s="18"/>
      <c r="BP525" s="4"/>
      <c r="BQ525" s="4"/>
      <c r="BR525" s="7"/>
      <c r="BS525" s="18"/>
    </row>
    <row r="526" spans="1:71" x14ac:dyDescent="0.25">
      <c r="A526" s="18">
        <v>521</v>
      </c>
      <c r="B526" s="18"/>
      <c r="C526" s="18"/>
      <c r="D526" s="21"/>
      <c r="E526" s="5"/>
      <c r="F526" s="3"/>
      <c r="G526" s="3"/>
      <c r="H526" s="3"/>
      <c r="I526" s="3"/>
      <c r="J526" s="3"/>
      <c r="K526" s="18"/>
      <c r="L526" s="18"/>
      <c r="M526" s="4"/>
      <c r="N526" s="4"/>
      <c r="O526" s="7"/>
      <c r="P526" s="5"/>
      <c r="Q526" s="3"/>
      <c r="R526" s="3"/>
      <c r="S526" s="3"/>
      <c r="T526" s="3"/>
      <c r="U526" s="3"/>
      <c r="V526" s="18"/>
      <c r="W526" s="18"/>
      <c r="X526" s="4"/>
      <c r="Y526" s="4"/>
      <c r="Z526" s="7"/>
      <c r="AA526" s="5"/>
      <c r="AB526" s="3"/>
      <c r="AC526" s="3"/>
      <c r="AD526" s="3"/>
      <c r="AE526" s="3"/>
      <c r="AF526" s="3"/>
      <c r="AG526" s="18"/>
      <c r="AH526" s="18"/>
      <c r="AI526" s="4"/>
      <c r="AJ526" s="4"/>
      <c r="AK526" s="7"/>
      <c r="AL526" s="5"/>
      <c r="AM526" s="3"/>
      <c r="AN526" s="3"/>
      <c r="AO526" s="3"/>
      <c r="AP526" s="3"/>
      <c r="AQ526" s="3"/>
      <c r="AR526" s="18"/>
      <c r="AS526" s="18"/>
      <c r="AT526" s="4"/>
      <c r="AU526" s="4"/>
      <c r="AV526" s="7"/>
      <c r="AW526" s="5"/>
      <c r="AX526" s="3"/>
      <c r="AY526" s="3"/>
      <c r="AZ526" s="3"/>
      <c r="BA526" s="3"/>
      <c r="BB526" s="3"/>
      <c r="BC526" s="18"/>
      <c r="BD526" s="18"/>
      <c r="BE526" s="4"/>
      <c r="BF526" s="4"/>
      <c r="BG526" s="7"/>
      <c r="BH526" s="5"/>
      <c r="BI526" s="3"/>
      <c r="BJ526" s="3"/>
      <c r="BK526" s="3"/>
      <c r="BL526" s="3"/>
      <c r="BM526" s="3"/>
      <c r="BN526" s="18"/>
      <c r="BO526" s="18"/>
      <c r="BP526" s="4"/>
      <c r="BQ526" s="4"/>
      <c r="BR526" s="7"/>
      <c r="BS526" s="18"/>
    </row>
    <row r="527" spans="1:71" x14ac:dyDescent="0.25">
      <c r="A527" s="18">
        <v>522</v>
      </c>
      <c r="B527" s="18"/>
      <c r="C527" s="18"/>
      <c r="D527" s="21"/>
      <c r="E527" s="5"/>
      <c r="F527" s="3"/>
      <c r="G527" s="3"/>
      <c r="H527" s="3"/>
      <c r="I527" s="3"/>
      <c r="J527" s="3"/>
      <c r="K527" s="18"/>
      <c r="L527" s="18"/>
      <c r="M527" s="4"/>
      <c r="N527" s="4"/>
      <c r="O527" s="7"/>
      <c r="P527" s="5"/>
      <c r="Q527" s="3"/>
      <c r="R527" s="3"/>
      <c r="S527" s="3"/>
      <c r="T527" s="3"/>
      <c r="U527" s="3"/>
      <c r="V527" s="18"/>
      <c r="W527" s="18"/>
      <c r="X527" s="4"/>
      <c r="Y527" s="4"/>
      <c r="Z527" s="7"/>
      <c r="AA527" s="5"/>
      <c r="AB527" s="3"/>
      <c r="AC527" s="3"/>
      <c r="AD527" s="3"/>
      <c r="AE527" s="3"/>
      <c r="AF527" s="3"/>
      <c r="AG527" s="18"/>
      <c r="AH527" s="18"/>
      <c r="AI527" s="4"/>
      <c r="AJ527" s="4"/>
      <c r="AK527" s="7"/>
      <c r="AL527" s="5"/>
      <c r="AM527" s="3"/>
      <c r="AN527" s="3"/>
      <c r="AO527" s="3"/>
      <c r="AP527" s="3"/>
      <c r="AQ527" s="3"/>
      <c r="AR527" s="18"/>
      <c r="AS527" s="18"/>
      <c r="AT527" s="4"/>
      <c r="AU527" s="4"/>
      <c r="AV527" s="7"/>
      <c r="AW527" s="5"/>
      <c r="AX527" s="3"/>
      <c r="AY527" s="3"/>
      <c r="AZ527" s="3"/>
      <c r="BA527" s="3"/>
      <c r="BB527" s="3"/>
      <c r="BC527" s="18"/>
      <c r="BD527" s="18"/>
      <c r="BE527" s="4"/>
      <c r="BF527" s="4"/>
      <c r="BG527" s="7"/>
      <c r="BH527" s="5"/>
      <c r="BI527" s="3"/>
      <c r="BJ527" s="3"/>
      <c r="BK527" s="3"/>
      <c r="BL527" s="3"/>
      <c r="BM527" s="3"/>
      <c r="BN527" s="18"/>
      <c r="BO527" s="18"/>
      <c r="BP527" s="4"/>
      <c r="BQ527" s="4"/>
      <c r="BR527" s="7"/>
      <c r="BS527" s="18"/>
    </row>
    <row r="528" spans="1:71" x14ac:dyDescent="0.25">
      <c r="A528" s="18">
        <v>523</v>
      </c>
      <c r="B528" s="18"/>
      <c r="C528" s="18"/>
      <c r="D528" s="21"/>
      <c r="E528" s="5"/>
      <c r="F528" s="3"/>
      <c r="G528" s="3"/>
      <c r="H528" s="3"/>
      <c r="I528" s="3"/>
      <c r="J528" s="3"/>
      <c r="K528" s="18"/>
      <c r="L528" s="18"/>
      <c r="M528" s="4"/>
      <c r="N528" s="4"/>
      <c r="O528" s="7"/>
      <c r="P528" s="5"/>
      <c r="Q528" s="3"/>
      <c r="R528" s="3"/>
      <c r="S528" s="3"/>
      <c r="T528" s="3"/>
      <c r="U528" s="3"/>
      <c r="V528" s="18"/>
      <c r="W528" s="18"/>
      <c r="X528" s="4"/>
      <c r="Y528" s="4"/>
      <c r="Z528" s="7"/>
      <c r="AA528" s="5"/>
      <c r="AB528" s="3"/>
      <c r="AC528" s="3"/>
      <c r="AD528" s="3"/>
      <c r="AE528" s="3"/>
      <c r="AF528" s="3"/>
      <c r="AG528" s="18"/>
      <c r="AH528" s="18"/>
      <c r="AI528" s="4"/>
      <c r="AJ528" s="4"/>
      <c r="AK528" s="7"/>
      <c r="AL528" s="5"/>
      <c r="AM528" s="3"/>
      <c r="AN528" s="3"/>
      <c r="AO528" s="3"/>
      <c r="AP528" s="3"/>
      <c r="AQ528" s="3"/>
      <c r="AR528" s="18"/>
      <c r="AS528" s="18"/>
      <c r="AT528" s="4"/>
      <c r="AU528" s="4"/>
      <c r="AV528" s="7"/>
      <c r="AW528" s="5"/>
      <c r="AX528" s="3"/>
      <c r="AY528" s="3"/>
      <c r="AZ528" s="3"/>
      <c r="BA528" s="3"/>
      <c r="BB528" s="3"/>
      <c r="BC528" s="18"/>
      <c r="BD528" s="18"/>
      <c r="BE528" s="4"/>
      <c r="BF528" s="4"/>
      <c r="BG528" s="7"/>
      <c r="BH528" s="5"/>
      <c r="BI528" s="3"/>
      <c r="BJ528" s="3"/>
      <c r="BK528" s="3"/>
      <c r="BL528" s="3"/>
      <c r="BM528" s="3"/>
      <c r="BN528" s="18"/>
      <c r="BO528" s="18"/>
      <c r="BP528" s="4"/>
      <c r="BQ528" s="4"/>
      <c r="BR528" s="7"/>
      <c r="BS528" s="18"/>
    </row>
    <row r="529" spans="1:71" x14ac:dyDescent="0.25">
      <c r="A529" s="18">
        <v>524</v>
      </c>
      <c r="B529" s="18"/>
      <c r="C529" s="18"/>
      <c r="D529" s="21"/>
      <c r="E529" s="5"/>
      <c r="F529" s="3"/>
      <c r="G529" s="3"/>
      <c r="H529" s="3"/>
      <c r="I529" s="3"/>
      <c r="J529" s="3"/>
      <c r="K529" s="18"/>
      <c r="L529" s="18"/>
      <c r="M529" s="4"/>
      <c r="N529" s="4"/>
      <c r="O529" s="7"/>
      <c r="P529" s="5"/>
      <c r="Q529" s="3"/>
      <c r="R529" s="3"/>
      <c r="S529" s="3"/>
      <c r="T529" s="3"/>
      <c r="U529" s="3"/>
      <c r="V529" s="18"/>
      <c r="W529" s="18"/>
      <c r="X529" s="4"/>
      <c r="Y529" s="4"/>
      <c r="Z529" s="7"/>
      <c r="AA529" s="5"/>
      <c r="AB529" s="3"/>
      <c r="AC529" s="3"/>
      <c r="AD529" s="3"/>
      <c r="AE529" s="3"/>
      <c r="AF529" s="3"/>
      <c r="AG529" s="18"/>
      <c r="AH529" s="18"/>
      <c r="AI529" s="4"/>
      <c r="AJ529" s="4"/>
      <c r="AK529" s="7"/>
      <c r="AL529" s="5"/>
      <c r="AM529" s="3"/>
      <c r="AN529" s="3"/>
      <c r="AO529" s="3"/>
      <c r="AP529" s="3"/>
      <c r="AQ529" s="3"/>
      <c r="AR529" s="18"/>
      <c r="AS529" s="18"/>
      <c r="AT529" s="4"/>
      <c r="AU529" s="4"/>
      <c r="AV529" s="7"/>
      <c r="AW529" s="5"/>
      <c r="AX529" s="3"/>
      <c r="AY529" s="3"/>
      <c r="AZ529" s="3"/>
      <c r="BA529" s="3"/>
      <c r="BB529" s="3"/>
      <c r="BC529" s="18"/>
      <c r="BD529" s="18"/>
      <c r="BE529" s="4"/>
      <c r="BF529" s="4"/>
      <c r="BG529" s="7"/>
      <c r="BH529" s="5"/>
      <c r="BI529" s="3"/>
      <c r="BJ529" s="3"/>
      <c r="BK529" s="3"/>
      <c r="BL529" s="3"/>
      <c r="BM529" s="3"/>
      <c r="BN529" s="18"/>
      <c r="BO529" s="18"/>
      <c r="BP529" s="4"/>
      <c r="BQ529" s="4"/>
      <c r="BR529" s="7"/>
      <c r="BS529" s="18"/>
    </row>
    <row r="530" spans="1:71" x14ac:dyDescent="0.25">
      <c r="A530" s="1">
        <v>525</v>
      </c>
      <c r="B530" s="18"/>
      <c r="C530" s="18"/>
      <c r="D530" s="21"/>
      <c r="E530" s="5"/>
      <c r="F530" s="3"/>
      <c r="G530" s="3"/>
      <c r="H530" s="3"/>
      <c r="I530" s="3"/>
      <c r="J530" s="3"/>
      <c r="K530" s="18"/>
      <c r="L530" s="18"/>
      <c r="M530" s="4"/>
      <c r="N530" s="4"/>
      <c r="O530" s="7"/>
      <c r="P530" s="5"/>
      <c r="Q530" s="3"/>
      <c r="R530" s="3"/>
      <c r="S530" s="3"/>
      <c r="T530" s="3"/>
      <c r="U530" s="3"/>
      <c r="V530" s="18"/>
      <c r="W530" s="18"/>
      <c r="X530" s="4"/>
      <c r="Y530" s="4"/>
      <c r="Z530" s="7"/>
      <c r="AA530" s="5"/>
      <c r="AB530" s="3"/>
      <c r="AC530" s="3"/>
      <c r="AD530" s="3"/>
      <c r="AE530" s="3"/>
      <c r="AF530" s="3"/>
      <c r="AG530" s="18"/>
      <c r="AH530" s="18"/>
      <c r="AI530" s="4"/>
      <c r="AJ530" s="4"/>
      <c r="AK530" s="7"/>
      <c r="AL530" s="5"/>
      <c r="AM530" s="3"/>
      <c r="AN530" s="3"/>
      <c r="AO530" s="3"/>
      <c r="AP530" s="3"/>
      <c r="AQ530" s="3"/>
      <c r="AR530" s="18"/>
      <c r="AS530" s="18"/>
      <c r="AT530" s="4"/>
      <c r="AU530" s="4"/>
      <c r="AV530" s="7"/>
      <c r="AW530" s="5"/>
      <c r="AX530" s="3"/>
      <c r="AY530" s="3"/>
      <c r="AZ530" s="3"/>
      <c r="BA530" s="3"/>
      <c r="BB530" s="3"/>
      <c r="BC530" s="18"/>
      <c r="BD530" s="18"/>
      <c r="BE530" s="4"/>
      <c r="BF530" s="4"/>
      <c r="BG530" s="7"/>
      <c r="BH530" s="5"/>
      <c r="BI530" s="3"/>
      <c r="BJ530" s="3"/>
      <c r="BK530" s="3"/>
      <c r="BL530" s="3"/>
      <c r="BM530" s="3"/>
      <c r="BN530" s="18"/>
      <c r="BO530" s="18"/>
      <c r="BP530" s="4"/>
      <c r="BQ530" s="4"/>
      <c r="BR530" s="7"/>
      <c r="BS530" s="18"/>
    </row>
    <row r="531" spans="1:71" x14ac:dyDescent="0.25">
      <c r="A531" s="18">
        <v>526</v>
      </c>
      <c r="B531" s="18"/>
      <c r="C531" s="18"/>
      <c r="D531" s="21"/>
      <c r="E531" s="5"/>
      <c r="F531" s="3"/>
      <c r="G531" s="3"/>
      <c r="H531" s="3"/>
      <c r="I531" s="3"/>
      <c r="J531" s="3"/>
      <c r="K531" s="18"/>
      <c r="L531" s="18"/>
      <c r="M531" s="4"/>
      <c r="N531" s="4"/>
      <c r="O531" s="7"/>
      <c r="P531" s="5"/>
      <c r="Q531" s="3"/>
      <c r="R531" s="3"/>
      <c r="S531" s="3"/>
      <c r="T531" s="3"/>
      <c r="U531" s="3"/>
      <c r="V531" s="18"/>
      <c r="W531" s="18"/>
      <c r="X531" s="4"/>
      <c r="Y531" s="4"/>
      <c r="Z531" s="7"/>
      <c r="AA531" s="5"/>
      <c r="AB531" s="3"/>
      <c r="AC531" s="3"/>
      <c r="AD531" s="3"/>
      <c r="AE531" s="3"/>
      <c r="AF531" s="3"/>
      <c r="AG531" s="18"/>
      <c r="AH531" s="18"/>
      <c r="AI531" s="4"/>
      <c r="AJ531" s="4"/>
      <c r="AK531" s="7"/>
      <c r="AL531" s="5"/>
      <c r="AM531" s="3"/>
      <c r="AN531" s="3"/>
      <c r="AO531" s="3"/>
      <c r="AP531" s="3"/>
      <c r="AQ531" s="3"/>
      <c r="AR531" s="18"/>
      <c r="AS531" s="18"/>
      <c r="AT531" s="4"/>
      <c r="AU531" s="4"/>
      <c r="AV531" s="7"/>
      <c r="AW531" s="5"/>
      <c r="AX531" s="3"/>
      <c r="AY531" s="3"/>
      <c r="AZ531" s="3"/>
      <c r="BA531" s="3"/>
      <c r="BB531" s="3"/>
      <c r="BC531" s="18"/>
      <c r="BD531" s="18"/>
      <c r="BE531" s="4"/>
      <c r="BF531" s="4"/>
      <c r="BG531" s="7"/>
      <c r="BH531" s="5"/>
      <c r="BI531" s="3"/>
      <c r="BJ531" s="3"/>
      <c r="BK531" s="3"/>
      <c r="BL531" s="3"/>
      <c r="BM531" s="3"/>
      <c r="BN531" s="18"/>
      <c r="BO531" s="18"/>
      <c r="BP531" s="4"/>
      <c r="BQ531" s="4"/>
      <c r="BR531" s="7"/>
      <c r="BS531" s="18"/>
    </row>
    <row r="532" spans="1:71" x14ac:dyDescent="0.25">
      <c r="A532" s="18">
        <v>527</v>
      </c>
      <c r="B532" s="18"/>
      <c r="C532" s="18"/>
      <c r="D532" s="21"/>
      <c r="E532" s="5"/>
      <c r="F532" s="3"/>
      <c r="G532" s="3"/>
      <c r="H532" s="3"/>
      <c r="I532" s="3"/>
      <c r="J532" s="3"/>
      <c r="K532" s="18"/>
      <c r="L532" s="18"/>
      <c r="M532" s="4"/>
      <c r="N532" s="4"/>
      <c r="O532" s="7"/>
      <c r="P532" s="5"/>
      <c r="Q532" s="3"/>
      <c r="R532" s="3"/>
      <c r="S532" s="3"/>
      <c r="T532" s="3"/>
      <c r="U532" s="3"/>
      <c r="V532" s="18"/>
      <c r="W532" s="18"/>
      <c r="X532" s="4"/>
      <c r="Y532" s="4"/>
      <c r="Z532" s="7"/>
      <c r="AA532" s="5"/>
      <c r="AB532" s="3"/>
      <c r="AC532" s="3"/>
      <c r="AD532" s="3"/>
      <c r="AE532" s="3"/>
      <c r="AF532" s="3"/>
      <c r="AG532" s="18"/>
      <c r="AH532" s="18"/>
      <c r="AI532" s="4"/>
      <c r="AJ532" s="4"/>
      <c r="AK532" s="7"/>
      <c r="AL532" s="5"/>
      <c r="AM532" s="3"/>
      <c r="AN532" s="3"/>
      <c r="AO532" s="3"/>
      <c r="AP532" s="3"/>
      <c r="AQ532" s="3"/>
      <c r="AR532" s="18"/>
      <c r="AS532" s="18"/>
      <c r="AT532" s="4"/>
      <c r="AU532" s="4"/>
      <c r="AV532" s="7"/>
      <c r="AW532" s="5"/>
      <c r="AX532" s="3"/>
      <c r="AY532" s="3"/>
      <c r="AZ532" s="3"/>
      <c r="BA532" s="3"/>
      <c r="BB532" s="3"/>
      <c r="BC532" s="18"/>
      <c r="BD532" s="18"/>
      <c r="BE532" s="4"/>
      <c r="BF532" s="4"/>
      <c r="BG532" s="7"/>
      <c r="BH532" s="5"/>
      <c r="BI532" s="3"/>
      <c r="BJ532" s="3"/>
      <c r="BK532" s="3"/>
      <c r="BL532" s="3"/>
      <c r="BM532" s="3"/>
      <c r="BN532" s="18"/>
      <c r="BO532" s="18"/>
      <c r="BP532" s="4"/>
      <c r="BQ532" s="4"/>
      <c r="BR532" s="7"/>
      <c r="BS532" s="18"/>
    </row>
    <row r="533" spans="1:71" x14ac:dyDescent="0.25">
      <c r="A533" s="18">
        <v>528</v>
      </c>
      <c r="B533" s="18"/>
      <c r="C533" s="18"/>
      <c r="D533" s="21"/>
      <c r="E533" s="5"/>
      <c r="F533" s="3"/>
      <c r="G533" s="3"/>
      <c r="H533" s="3"/>
      <c r="I533" s="3"/>
      <c r="J533" s="3"/>
      <c r="K533" s="18"/>
      <c r="L533" s="18"/>
      <c r="M533" s="4"/>
      <c r="N533" s="4"/>
      <c r="O533" s="7"/>
      <c r="P533" s="5"/>
      <c r="Q533" s="3"/>
      <c r="R533" s="3"/>
      <c r="S533" s="3"/>
      <c r="T533" s="3"/>
      <c r="U533" s="3"/>
      <c r="V533" s="18"/>
      <c r="W533" s="18"/>
      <c r="X533" s="4"/>
      <c r="Y533" s="4"/>
      <c r="Z533" s="7"/>
      <c r="AA533" s="5"/>
      <c r="AB533" s="3"/>
      <c r="AC533" s="3"/>
      <c r="AD533" s="3"/>
      <c r="AE533" s="3"/>
      <c r="AF533" s="3"/>
      <c r="AG533" s="18"/>
      <c r="AH533" s="18"/>
      <c r="AI533" s="4"/>
      <c r="AJ533" s="4"/>
      <c r="AK533" s="7"/>
      <c r="AL533" s="5"/>
      <c r="AM533" s="3"/>
      <c r="AN533" s="3"/>
      <c r="AO533" s="3"/>
      <c r="AP533" s="3"/>
      <c r="AQ533" s="3"/>
      <c r="AR533" s="18"/>
      <c r="AS533" s="18"/>
      <c r="AT533" s="4"/>
      <c r="AU533" s="4"/>
      <c r="AV533" s="7"/>
      <c r="AW533" s="5"/>
      <c r="AX533" s="3"/>
      <c r="AY533" s="3"/>
      <c r="AZ533" s="3"/>
      <c r="BA533" s="3"/>
      <c r="BB533" s="3"/>
      <c r="BC533" s="18"/>
      <c r="BD533" s="18"/>
      <c r="BE533" s="4"/>
      <c r="BF533" s="4"/>
      <c r="BG533" s="7"/>
      <c r="BH533" s="5"/>
      <c r="BI533" s="3"/>
      <c r="BJ533" s="3"/>
      <c r="BK533" s="3"/>
      <c r="BL533" s="3"/>
      <c r="BM533" s="3"/>
      <c r="BN533" s="18"/>
      <c r="BO533" s="18"/>
      <c r="BP533" s="4"/>
      <c r="BQ533" s="4"/>
      <c r="BR533" s="7"/>
      <c r="BS533" s="18"/>
    </row>
    <row r="534" spans="1:71" x14ac:dyDescent="0.25">
      <c r="A534" s="18">
        <v>529</v>
      </c>
      <c r="B534" s="18"/>
      <c r="C534" s="18"/>
      <c r="D534" s="21"/>
      <c r="E534" s="5"/>
      <c r="F534" s="3"/>
      <c r="G534" s="3"/>
      <c r="H534" s="3"/>
      <c r="I534" s="3"/>
      <c r="J534" s="3"/>
      <c r="K534" s="18"/>
      <c r="L534" s="18"/>
      <c r="M534" s="4"/>
      <c r="N534" s="4"/>
      <c r="O534" s="7"/>
      <c r="P534" s="5"/>
      <c r="Q534" s="3"/>
      <c r="R534" s="3"/>
      <c r="S534" s="3"/>
      <c r="T534" s="3"/>
      <c r="U534" s="3"/>
      <c r="V534" s="18"/>
      <c r="W534" s="18"/>
      <c r="X534" s="4"/>
      <c r="Y534" s="4"/>
      <c r="Z534" s="7"/>
      <c r="AA534" s="5"/>
      <c r="AB534" s="3"/>
      <c r="AC534" s="3"/>
      <c r="AD534" s="3"/>
      <c r="AE534" s="3"/>
      <c r="AF534" s="3"/>
      <c r="AG534" s="18"/>
      <c r="AH534" s="18"/>
      <c r="AI534" s="4"/>
      <c r="AJ534" s="4"/>
      <c r="AK534" s="7"/>
      <c r="AL534" s="5"/>
      <c r="AM534" s="3"/>
      <c r="AN534" s="3"/>
      <c r="AO534" s="3"/>
      <c r="AP534" s="3"/>
      <c r="AQ534" s="3"/>
      <c r="AR534" s="18"/>
      <c r="AS534" s="18"/>
      <c r="AT534" s="4"/>
      <c r="AU534" s="4"/>
      <c r="AV534" s="7"/>
      <c r="AW534" s="5"/>
      <c r="AX534" s="3"/>
      <c r="AY534" s="3"/>
      <c r="AZ534" s="3"/>
      <c r="BA534" s="3"/>
      <c r="BB534" s="3"/>
      <c r="BC534" s="18"/>
      <c r="BD534" s="18"/>
      <c r="BE534" s="4"/>
      <c r="BF534" s="4"/>
      <c r="BG534" s="7"/>
      <c r="BH534" s="5"/>
      <c r="BI534" s="3"/>
      <c r="BJ534" s="3"/>
      <c r="BK534" s="3"/>
      <c r="BL534" s="3"/>
      <c r="BM534" s="3"/>
      <c r="BN534" s="18"/>
      <c r="BO534" s="18"/>
      <c r="BP534" s="4"/>
      <c r="BQ534" s="4"/>
      <c r="BR534" s="7"/>
      <c r="BS534" s="18"/>
    </row>
    <row r="535" spans="1:71" x14ac:dyDescent="0.25">
      <c r="A535" s="1">
        <v>530</v>
      </c>
      <c r="B535" s="18"/>
      <c r="C535" s="18"/>
      <c r="D535" s="21"/>
      <c r="E535" s="5"/>
      <c r="F535" s="3"/>
      <c r="G535" s="3"/>
      <c r="H535" s="3"/>
      <c r="I535" s="3"/>
      <c r="J535" s="3"/>
      <c r="K535" s="18"/>
      <c r="L535" s="18"/>
      <c r="M535" s="4"/>
      <c r="N535" s="4"/>
      <c r="O535" s="7"/>
      <c r="P535" s="5"/>
      <c r="Q535" s="3"/>
      <c r="R535" s="3"/>
      <c r="S535" s="3"/>
      <c r="T535" s="3"/>
      <c r="U535" s="3"/>
      <c r="V535" s="18"/>
      <c r="W535" s="18"/>
      <c r="X535" s="4"/>
      <c r="Y535" s="4"/>
      <c r="Z535" s="7"/>
      <c r="AA535" s="5"/>
      <c r="AB535" s="3"/>
      <c r="AC535" s="3"/>
      <c r="AD535" s="3"/>
      <c r="AE535" s="3"/>
      <c r="AF535" s="3"/>
      <c r="AG535" s="18"/>
      <c r="AH535" s="18"/>
      <c r="AI535" s="4"/>
      <c r="AJ535" s="4"/>
      <c r="AK535" s="7"/>
      <c r="AL535" s="5"/>
      <c r="AM535" s="3"/>
      <c r="AN535" s="3"/>
      <c r="AO535" s="3"/>
      <c r="AP535" s="3"/>
      <c r="AQ535" s="3"/>
      <c r="AR535" s="18"/>
      <c r="AS535" s="18"/>
      <c r="AT535" s="4"/>
      <c r="AU535" s="4"/>
      <c r="AV535" s="7"/>
      <c r="AW535" s="5"/>
      <c r="AX535" s="3"/>
      <c r="AY535" s="3"/>
      <c r="AZ535" s="3"/>
      <c r="BA535" s="3"/>
      <c r="BB535" s="3"/>
      <c r="BC535" s="18"/>
      <c r="BD535" s="18"/>
      <c r="BE535" s="4"/>
      <c r="BF535" s="4"/>
      <c r="BG535" s="7"/>
      <c r="BH535" s="5"/>
      <c r="BI535" s="3"/>
      <c r="BJ535" s="3"/>
      <c r="BK535" s="3"/>
      <c r="BL535" s="3"/>
      <c r="BM535" s="3"/>
      <c r="BN535" s="18"/>
      <c r="BO535" s="18"/>
      <c r="BP535" s="4"/>
      <c r="BQ535" s="4"/>
      <c r="BR535" s="7"/>
      <c r="BS535" s="18"/>
    </row>
  </sheetData>
  <sheetProtection algorithmName="SHA-512" hashValue="mtl7J7yR4vkgOYHW3xqNUd8tXb9urBQ8uCYgaX9cmd/DUNu8F34YLIL1gdBVvz9/YwVTBoHuazwXtV763qIxOw==" saltValue="WQ48y8zHLxZekZBP0Yblyw==" spinCount="100000" sheet="1" objects="1" scenarios="1"/>
  <mergeCells count="66">
    <mergeCell ref="AZ3:AZ4"/>
    <mergeCell ref="BA3:BA4"/>
    <mergeCell ref="BB3:BB4"/>
    <mergeCell ref="BC3:BC4"/>
    <mergeCell ref="BD3:BD4"/>
    <mergeCell ref="AT3:AV3"/>
    <mergeCell ref="BH2:BR2"/>
    <mergeCell ref="BH3:BH4"/>
    <mergeCell ref="BI3:BI4"/>
    <mergeCell ref="BJ3:BJ4"/>
    <mergeCell ref="BK3:BK4"/>
    <mergeCell ref="BL3:BL4"/>
    <mergeCell ref="BM3:BM4"/>
    <mergeCell ref="BN3:BN4"/>
    <mergeCell ref="BO3:BO4"/>
    <mergeCell ref="BE3:BG3"/>
    <mergeCell ref="BP3:BR3"/>
    <mergeCell ref="AW2:BG2"/>
    <mergeCell ref="AW3:AW4"/>
    <mergeCell ref="AX3:AX4"/>
    <mergeCell ref="AY3:AY4"/>
    <mergeCell ref="AQ3:AQ4"/>
    <mergeCell ref="AR3:AR4"/>
    <mergeCell ref="AS3:AS4"/>
    <mergeCell ref="AD3:AD4"/>
    <mergeCell ref="AE3:AE4"/>
    <mergeCell ref="AF3:AF4"/>
    <mergeCell ref="AG3:AG4"/>
    <mergeCell ref="AH3:AH4"/>
    <mergeCell ref="AI3:AK3"/>
    <mergeCell ref="AL3:AL4"/>
    <mergeCell ref="AM3:AM4"/>
    <mergeCell ref="AN3:AN4"/>
    <mergeCell ref="AO3:AO4"/>
    <mergeCell ref="AP3:AP4"/>
    <mergeCell ref="A2:A4"/>
    <mergeCell ref="B2:B4"/>
    <mergeCell ref="C2:C4"/>
    <mergeCell ref="D2:D4"/>
    <mergeCell ref="A1:AK1"/>
    <mergeCell ref="P2:Z2"/>
    <mergeCell ref="P3:P4"/>
    <mergeCell ref="Q3:Q4"/>
    <mergeCell ref="R3:R4"/>
    <mergeCell ref="S3:S4"/>
    <mergeCell ref="T3:T4"/>
    <mergeCell ref="U3:U4"/>
    <mergeCell ref="V3:V4"/>
    <mergeCell ref="W3:W4"/>
    <mergeCell ref="X3:Z3"/>
    <mergeCell ref="BS2:BS4"/>
    <mergeCell ref="M3:O3"/>
    <mergeCell ref="AA2:AK2"/>
    <mergeCell ref="J3:J4"/>
    <mergeCell ref="I3:I4"/>
    <mergeCell ref="K3:K4"/>
    <mergeCell ref="E2:O2"/>
    <mergeCell ref="AA3:AA4"/>
    <mergeCell ref="AB3:AB4"/>
    <mergeCell ref="AC3:AC4"/>
    <mergeCell ref="E3:E4"/>
    <mergeCell ref="F3:F4"/>
    <mergeCell ref="G3:G4"/>
    <mergeCell ref="H3:H4"/>
    <mergeCell ref="L3:L4"/>
    <mergeCell ref="AL2:AV2"/>
  </mergeCells>
  <conditionalFormatting sqref="M6:O535">
    <cfRule type="cellIs" dxfId="6" priority="7" operator="between">
      <formula>25</formula>
      <formula>100</formula>
    </cfRule>
  </conditionalFormatting>
  <conditionalFormatting sqref="AI6:AK535">
    <cfRule type="cellIs" dxfId="5" priority="6" operator="between">
      <formula>25</formula>
      <formula>100</formula>
    </cfRule>
  </conditionalFormatting>
  <conditionalFormatting sqref="AT6:AV535">
    <cfRule type="cellIs" dxfId="4" priority="5" operator="between">
      <formula>25</formula>
      <formula>100</formula>
    </cfRule>
  </conditionalFormatting>
  <conditionalFormatting sqref="BP6:BR535">
    <cfRule type="cellIs" dxfId="3" priority="4" operator="between">
      <formula>25</formula>
      <formula>100</formula>
    </cfRule>
  </conditionalFormatting>
  <conditionalFormatting sqref="BE497:BG535">
    <cfRule type="cellIs" dxfId="2" priority="3" operator="between">
      <formula>25</formula>
      <formula>100</formula>
    </cfRule>
  </conditionalFormatting>
  <conditionalFormatting sqref="BE6:BG496">
    <cfRule type="cellIs" dxfId="1" priority="2" operator="between">
      <formula>25</formula>
      <formula>100</formula>
    </cfRule>
  </conditionalFormatting>
  <conditionalFormatting sqref="X6:Z535">
    <cfRule type="cellIs" dxfId="0" priority="1" operator="between">
      <formula>25</formula>
      <formula>100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Müqayisəli təhlil</vt:lpstr>
      <vt:lpstr>İndekslər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2022-08-10T06:42:55Z</dcterms:modified>
</cp:coreProperties>
</file>