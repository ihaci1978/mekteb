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0" yWindow="0" windowWidth="17256" windowHeight="5916"/>
  </bookViews>
  <sheets>
    <sheet name="Məzmun tərkibi və təhlil" sheetId="1" r:id="rId1"/>
    <sheet name="Şagirdlərin nəticələri" sheetId="3" r:id="rId2"/>
    <sheet name="Protokol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L4" i="5"/>
  <c r="L3" i="5"/>
  <c r="K84" i="5"/>
  <c r="K81" i="5"/>
  <c r="K78" i="5"/>
  <c r="K75" i="5"/>
  <c r="A8" i="5"/>
  <c r="H2" i="5" l="1"/>
  <c r="A6" i="5" s="1"/>
  <c r="N44" i="1" l="1"/>
  <c r="N43" i="1"/>
  <c r="N42" i="1"/>
  <c r="N41" i="1"/>
  <c r="O42" i="1" l="1"/>
  <c r="O44" i="1"/>
  <c r="O43" i="1"/>
  <c r="O41" i="1"/>
  <c r="D51" i="3" l="1"/>
  <c r="D55" i="5" s="1"/>
  <c r="D52" i="3"/>
  <c r="D56" i="5" s="1"/>
  <c r="D53" i="3"/>
  <c r="D57" i="5" s="1"/>
  <c r="D54" i="3"/>
  <c r="D58" i="5" s="1"/>
  <c r="D55" i="3"/>
  <c r="D59" i="5" s="1"/>
  <c r="D56" i="3"/>
  <c r="D60" i="5" s="1"/>
  <c r="D57" i="3"/>
  <c r="D61" i="5" s="1"/>
  <c r="D6" i="3"/>
  <c r="D19" i="3" s="1"/>
  <c r="D23" i="5" s="1"/>
  <c r="L49" i="1"/>
  <c r="L50" i="1"/>
  <c r="L51" i="1"/>
  <c r="L52" i="1"/>
  <c r="L48" i="1"/>
  <c r="Q54" i="1" s="1"/>
  <c r="D44" i="1"/>
  <c r="D43" i="1"/>
  <c r="D42" i="1"/>
  <c r="D41" i="1"/>
  <c r="E41" i="1" l="1"/>
  <c r="E43" i="1"/>
  <c r="E42" i="1"/>
  <c r="E44" i="1"/>
  <c r="D48" i="3"/>
  <c r="D52" i="5" s="1"/>
  <c r="D42" i="3"/>
  <c r="D46" i="5" s="1"/>
  <c r="D34" i="3"/>
  <c r="D38" i="5" s="1"/>
  <c r="D26" i="3"/>
  <c r="D30" i="5" s="1"/>
  <c r="D18" i="3"/>
  <c r="D22" i="5" s="1"/>
  <c r="D32" i="3"/>
  <c r="D36" i="5" s="1"/>
  <c r="D13" i="3"/>
  <c r="D17" i="5" s="1"/>
  <c r="D12" i="3"/>
  <c r="D16" i="5" s="1"/>
  <c r="D11" i="3"/>
  <c r="D15" i="5" s="1"/>
  <c r="D10" i="3"/>
  <c r="D14" i="5" s="1"/>
  <c r="D9" i="3"/>
  <c r="D13" i="5" s="1"/>
  <c r="D49" i="3"/>
  <c r="D53" i="5" s="1"/>
  <c r="D41" i="3"/>
  <c r="D45" i="5" s="1"/>
  <c r="D33" i="3"/>
  <c r="D37" i="5" s="1"/>
  <c r="D25" i="3"/>
  <c r="D29" i="5" s="1"/>
  <c r="D17" i="3"/>
  <c r="D21" i="5" s="1"/>
  <c r="D16" i="3"/>
  <c r="D20" i="5" s="1"/>
  <c r="D8" i="3"/>
  <c r="D12" i="5" s="1"/>
  <c r="D47" i="3"/>
  <c r="D51" i="5" s="1"/>
  <c r="D39" i="3"/>
  <c r="D43" i="5" s="1"/>
  <c r="D31" i="3"/>
  <c r="D35" i="5" s="1"/>
  <c r="D23" i="3"/>
  <c r="D27" i="5" s="1"/>
  <c r="D15" i="3"/>
  <c r="D19" i="5" s="1"/>
  <c r="D40" i="3"/>
  <c r="D44" i="5" s="1"/>
  <c r="D14" i="3"/>
  <c r="D18" i="5" s="1"/>
  <c r="D46" i="3"/>
  <c r="D50" i="5" s="1"/>
  <c r="D38" i="3"/>
  <c r="D42" i="5" s="1"/>
  <c r="D30" i="3"/>
  <c r="D34" i="5" s="1"/>
  <c r="D22" i="3"/>
  <c r="D26" i="5" s="1"/>
  <c r="D50" i="3"/>
  <c r="D54" i="5" s="1"/>
  <c r="D24" i="3"/>
  <c r="D28" i="5" s="1"/>
  <c r="D45" i="3"/>
  <c r="D49" i="5" s="1"/>
  <c r="D37" i="3"/>
  <c r="D41" i="5" s="1"/>
  <c r="D29" i="3"/>
  <c r="D33" i="5" s="1"/>
  <c r="D21" i="3"/>
  <c r="D25" i="5" s="1"/>
  <c r="D44" i="3"/>
  <c r="D48" i="5" s="1"/>
  <c r="D36" i="3"/>
  <c r="D40" i="5" s="1"/>
  <c r="D28" i="3"/>
  <c r="D32" i="5" s="1"/>
  <c r="D20" i="3"/>
  <c r="D24" i="5" s="1"/>
  <c r="D43" i="3"/>
  <c r="D47" i="5" s="1"/>
  <c r="D35" i="3"/>
  <c r="D39" i="5" s="1"/>
  <c r="D27" i="3"/>
  <c r="D31" i="5" s="1"/>
  <c r="A7" i="5"/>
  <c r="E6" i="3"/>
  <c r="C6" i="3"/>
  <c r="B6" i="3"/>
  <c r="F13" i="5" l="1"/>
  <c r="G13" i="5"/>
  <c r="H13" i="5"/>
  <c r="I13" i="5"/>
  <c r="J13" i="5"/>
  <c r="F14" i="5"/>
  <c r="G14" i="5"/>
  <c r="H14" i="5"/>
  <c r="I14" i="5"/>
  <c r="J14" i="5"/>
  <c r="F15" i="5"/>
  <c r="G15" i="5"/>
  <c r="H15" i="5"/>
  <c r="I15" i="5"/>
  <c r="J15" i="5"/>
  <c r="F16" i="5"/>
  <c r="G16" i="5"/>
  <c r="H16" i="5"/>
  <c r="I16" i="5"/>
  <c r="J16" i="5"/>
  <c r="F17" i="5"/>
  <c r="G17" i="5"/>
  <c r="H17" i="5"/>
  <c r="I17" i="5"/>
  <c r="J17" i="5"/>
  <c r="F18" i="5"/>
  <c r="G18" i="5"/>
  <c r="H18" i="5"/>
  <c r="I18" i="5"/>
  <c r="J18" i="5"/>
  <c r="F19" i="5"/>
  <c r="G19" i="5"/>
  <c r="H19" i="5"/>
  <c r="I19" i="5"/>
  <c r="J19" i="5"/>
  <c r="F20" i="5"/>
  <c r="G20" i="5"/>
  <c r="H20" i="5"/>
  <c r="I20" i="5"/>
  <c r="J20" i="5"/>
  <c r="F21" i="5"/>
  <c r="G21" i="5"/>
  <c r="H21" i="5"/>
  <c r="I21" i="5"/>
  <c r="J21" i="5"/>
  <c r="F22" i="5"/>
  <c r="G22" i="5"/>
  <c r="H22" i="5"/>
  <c r="I22" i="5"/>
  <c r="J22" i="5"/>
  <c r="F23" i="5"/>
  <c r="G23" i="5"/>
  <c r="H23" i="5"/>
  <c r="I23" i="5"/>
  <c r="J23" i="5"/>
  <c r="F24" i="5"/>
  <c r="G24" i="5"/>
  <c r="H24" i="5"/>
  <c r="I24" i="5"/>
  <c r="J24" i="5"/>
  <c r="F25" i="5"/>
  <c r="G25" i="5"/>
  <c r="H25" i="5"/>
  <c r="I25" i="5"/>
  <c r="J25" i="5"/>
  <c r="F26" i="5"/>
  <c r="G26" i="5"/>
  <c r="H26" i="5"/>
  <c r="I26" i="5"/>
  <c r="J26" i="5"/>
  <c r="F27" i="5"/>
  <c r="G27" i="5"/>
  <c r="H27" i="5"/>
  <c r="I27" i="5"/>
  <c r="J27" i="5"/>
  <c r="F28" i="5"/>
  <c r="G28" i="5"/>
  <c r="H28" i="5"/>
  <c r="I28" i="5"/>
  <c r="J28" i="5"/>
  <c r="F29" i="5"/>
  <c r="G29" i="5"/>
  <c r="H29" i="5"/>
  <c r="I29" i="5"/>
  <c r="J29" i="5"/>
  <c r="F30" i="5"/>
  <c r="G30" i="5"/>
  <c r="H30" i="5"/>
  <c r="I30" i="5"/>
  <c r="J30" i="5"/>
  <c r="F31" i="5"/>
  <c r="G31" i="5"/>
  <c r="H31" i="5"/>
  <c r="I31" i="5"/>
  <c r="J31" i="5"/>
  <c r="F32" i="5"/>
  <c r="G32" i="5"/>
  <c r="H32" i="5"/>
  <c r="I32" i="5"/>
  <c r="J32" i="5"/>
  <c r="F33" i="5"/>
  <c r="G33" i="5"/>
  <c r="H33" i="5"/>
  <c r="I33" i="5"/>
  <c r="J33" i="5"/>
  <c r="F34" i="5"/>
  <c r="G34" i="5"/>
  <c r="H34" i="5"/>
  <c r="I34" i="5"/>
  <c r="J34" i="5"/>
  <c r="F35" i="5"/>
  <c r="G35" i="5"/>
  <c r="H35" i="5"/>
  <c r="I35" i="5"/>
  <c r="J35" i="5"/>
  <c r="F36" i="5"/>
  <c r="G36" i="5"/>
  <c r="H36" i="5"/>
  <c r="I36" i="5"/>
  <c r="J36" i="5"/>
  <c r="F37" i="5"/>
  <c r="G37" i="5"/>
  <c r="H37" i="5"/>
  <c r="I37" i="5"/>
  <c r="J37" i="5"/>
  <c r="F38" i="5"/>
  <c r="G38" i="5"/>
  <c r="H38" i="5"/>
  <c r="I38" i="5"/>
  <c r="J38" i="5"/>
  <c r="F39" i="5"/>
  <c r="G39" i="5"/>
  <c r="H39" i="5"/>
  <c r="I39" i="5"/>
  <c r="J39" i="5"/>
  <c r="F40" i="5"/>
  <c r="G40" i="5"/>
  <c r="H40" i="5"/>
  <c r="I40" i="5"/>
  <c r="J40" i="5"/>
  <c r="F41" i="5"/>
  <c r="G41" i="5"/>
  <c r="H41" i="5"/>
  <c r="I41" i="5"/>
  <c r="J41" i="5"/>
  <c r="F42" i="5"/>
  <c r="G42" i="5"/>
  <c r="H42" i="5"/>
  <c r="I42" i="5"/>
  <c r="J42" i="5"/>
  <c r="F43" i="5"/>
  <c r="G43" i="5"/>
  <c r="H43" i="5"/>
  <c r="I43" i="5"/>
  <c r="J43" i="5"/>
  <c r="F44" i="5"/>
  <c r="G44" i="5"/>
  <c r="H44" i="5"/>
  <c r="I44" i="5"/>
  <c r="J44" i="5"/>
  <c r="F45" i="5"/>
  <c r="G45" i="5"/>
  <c r="H45" i="5"/>
  <c r="I45" i="5"/>
  <c r="J45" i="5"/>
  <c r="F46" i="5"/>
  <c r="G46" i="5"/>
  <c r="H46" i="5"/>
  <c r="I46" i="5"/>
  <c r="J46" i="5"/>
  <c r="F47" i="5"/>
  <c r="G47" i="5"/>
  <c r="H47" i="5"/>
  <c r="I47" i="5"/>
  <c r="J47" i="5"/>
  <c r="F48" i="5"/>
  <c r="G48" i="5"/>
  <c r="H48" i="5"/>
  <c r="I48" i="5"/>
  <c r="J48" i="5"/>
  <c r="F49" i="5"/>
  <c r="G49" i="5"/>
  <c r="H49" i="5"/>
  <c r="I49" i="5"/>
  <c r="J49" i="5"/>
  <c r="F50" i="5"/>
  <c r="G50" i="5"/>
  <c r="H50" i="5"/>
  <c r="I50" i="5"/>
  <c r="J50" i="5"/>
  <c r="F51" i="5"/>
  <c r="G51" i="5"/>
  <c r="H51" i="5"/>
  <c r="I51" i="5"/>
  <c r="J51" i="5"/>
  <c r="F52" i="5"/>
  <c r="G52" i="5"/>
  <c r="H52" i="5"/>
  <c r="I52" i="5"/>
  <c r="J52" i="5"/>
  <c r="F53" i="5"/>
  <c r="G53" i="5"/>
  <c r="H53" i="5"/>
  <c r="I53" i="5"/>
  <c r="J53" i="5"/>
  <c r="F54" i="5"/>
  <c r="G54" i="5"/>
  <c r="H54" i="5"/>
  <c r="I54" i="5"/>
  <c r="J54" i="5"/>
  <c r="F55" i="5"/>
  <c r="G55" i="5"/>
  <c r="H55" i="5"/>
  <c r="I55" i="5"/>
  <c r="M55" i="5" s="1"/>
  <c r="J55" i="5"/>
  <c r="F56" i="5"/>
  <c r="G56" i="5"/>
  <c r="H56" i="5"/>
  <c r="I56" i="5"/>
  <c r="J56" i="5"/>
  <c r="F57" i="5"/>
  <c r="G57" i="5"/>
  <c r="H57" i="5"/>
  <c r="I57" i="5"/>
  <c r="J57" i="5"/>
  <c r="F58" i="5"/>
  <c r="G58" i="5"/>
  <c r="H58" i="5"/>
  <c r="I58" i="5"/>
  <c r="J58" i="5"/>
  <c r="F59" i="5"/>
  <c r="G59" i="5"/>
  <c r="H59" i="5"/>
  <c r="I59" i="5"/>
  <c r="J59" i="5"/>
  <c r="F60" i="5"/>
  <c r="G60" i="5"/>
  <c r="H60" i="5"/>
  <c r="I60" i="5"/>
  <c r="J60" i="5"/>
  <c r="F61" i="5"/>
  <c r="G61" i="5"/>
  <c r="H61" i="5"/>
  <c r="I61" i="5"/>
  <c r="M61" i="5" s="1"/>
  <c r="J61" i="5"/>
  <c r="F12" i="5"/>
  <c r="G12" i="5"/>
  <c r="H12" i="5"/>
  <c r="I12" i="5"/>
  <c r="J12" i="5"/>
  <c r="M58" i="5" l="1"/>
  <c r="M57" i="5"/>
  <c r="M56" i="5"/>
  <c r="M59" i="5"/>
  <c r="M60" i="5"/>
  <c r="L64" i="5"/>
  <c r="K64" i="5"/>
  <c r="K66" i="5"/>
  <c r="L65" i="5"/>
  <c r="K65" i="5"/>
  <c r="L66" i="5"/>
  <c r="M64" i="5" l="1"/>
  <c r="K67" i="5"/>
  <c r="L67" i="5"/>
  <c r="M66" i="5"/>
  <c r="M65" i="5"/>
  <c r="M67" i="5" l="1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AT51" i="3"/>
  <c r="AT52" i="3"/>
  <c r="AT53" i="3"/>
  <c r="AT54" i="3"/>
  <c r="AT55" i="3"/>
  <c r="AT56" i="3"/>
  <c r="AT57" i="3"/>
  <c r="AT2" i="3"/>
  <c r="AP9" i="3" l="1"/>
  <c r="AQ9" i="3"/>
  <c r="AR9" i="3"/>
  <c r="AS9" i="3"/>
  <c r="AP10" i="3"/>
  <c r="AQ10" i="3"/>
  <c r="AR10" i="3"/>
  <c r="AS10" i="3"/>
  <c r="AP11" i="3"/>
  <c r="AQ11" i="3"/>
  <c r="AR11" i="3"/>
  <c r="AS11" i="3"/>
  <c r="AP12" i="3"/>
  <c r="AQ12" i="3"/>
  <c r="AR12" i="3"/>
  <c r="AS12" i="3"/>
  <c r="AP13" i="3"/>
  <c r="AQ13" i="3"/>
  <c r="AR13" i="3"/>
  <c r="AS13" i="3"/>
  <c r="AP14" i="3"/>
  <c r="AQ14" i="3"/>
  <c r="AR14" i="3"/>
  <c r="AS14" i="3"/>
  <c r="AP15" i="3"/>
  <c r="AQ15" i="3"/>
  <c r="AR15" i="3"/>
  <c r="AS15" i="3"/>
  <c r="AP16" i="3"/>
  <c r="AQ16" i="3"/>
  <c r="AR16" i="3"/>
  <c r="AS16" i="3"/>
  <c r="AP17" i="3"/>
  <c r="AQ17" i="3"/>
  <c r="AR17" i="3"/>
  <c r="AS17" i="3"/>
  <c r="AP18" i="3"/>
  <c r="AQ18" i="3"/>
  <c r="AR18" i="3"/>
  <c r="AS18" i="3"/>
  <c r="AP19" i="3"/>
  <c r="AQ19" i="3"/>
  <c r="AR19" i="3"/>
  <c r="AS19" i="3"/>
  <c r="AP20" i="3"/>
  <c r="AQ20" i="3"/>
  <c r="AR20" i="3"/>
  <c r="AS20" i="3"/>
  <c r="AP21" i="3"/>
  <c r="AQ21" i="3"/>
  <c r="AR21" i="3"/>
  <c r="AS21" i="3"/>
  <c r="AP22" i="3"/>
  <c r="AQ22" i="3"/>
  <c r="AR22" i="3"/>
  <c r="AS22" i="3"/>
  <c r="AP23" i="3"/>
  <c r="AQ23" i="3"/>
  <c r="AR23" i="3"/>
  <c r="AS23" i="3"/>
  <c r="AP24" i="3"/>
  <c r="AQ24" i="3"/>
  <c r="AR24" i="3"/>
  <c r="AS24" i="3"/>
  <c r="AP25" i="3"/>
  <c r="AQ25" i="3"/>
  <c r="AR25" i="3"/>
  <c r="AS25" i="3"/>
  <c r="AP26" i="3"/>
  <c r="AQ26" i="3"/>
  <c r="AR26" i="3"/>
  <c r="AS26" i="3"/>
  <c r="AP27" i="3"/>
  <c r="AQ27" i="3"/>
  <c r="AR27" i="3"/>
  <c r="AS27" i="3"/>
  <c r="AP28" i="3"/>
  <c r="AQ28" i="3"/>
  <c r="AR28" i="3"/>
  <c r="AS28" i="3"/>
  <c r="AP29" i="3"/>
  <c r="AQ29" i="3"/>
  <c r="AR29" i="3"/>
  <c r="AS29" i="3"/>
  <c r="AP30" i="3"/>
  <c r="AQ30" i="3"/>
  <c r="AR30" i="3"/>
  <c r="AS30" i="3"/>
  <c r="AP31" i="3"/>
  <c r="AQ31" i="3"/>
  <c r="AR31" i="3"/>
  <c r="AS31" i="3"/>
  <c r="AP32" i="3"/>
  <c r="AQ32" i="3"/>
  <c r="AR32" i="3"/>
  <c r="AS32" i="3"/>
  <c r="AP33" i="3"/>
  <c r="AQ33" i="3"/>
  <c r="AR33" i="3"/>
  <c r="AS33" i="3"/>
  <c r="AP34" i="3"/>
  <c r="AQ34" i="3"/>
  <c r="AR34" i="3"/>
  <c r="AS34" i="3"/>
  <c r="AP35" i="3"/>
  <c r="AQ35" i="3"/>
  <c r="AR35" i="3"/>
  <c r="AS35" i="3"/>
  <c r="AP36" i="3"/>
  <c r="AQ36" i="3"/>
  <c r="AR36" i="3"/>
  <c r="AS36" i="3"/>
  <c r="AP37" i="3"/>
  <c r="AQ37" i="3"/>
  <c r="AR37" i="3"/>
  <c r="AS37" i="3"/>
  <c r="AP38" i="3"/>
  <c r="AQ38" i="3"/>
  <c r="AR38" i="3"/>
  <c r="AS38" i="3"/>
  <c r="AP39" i="3"/>
  <c r="AQ39" i="3"/>
  <c r="AR39" i="3"/>
  <c r="AS39" i="3"/>
  <c r="AP40" i="3"/>
  <c r="AQ40" i="3"/>
  <c r="AR40" i="3"/>
  <c r="AS40" i="3"/>
  <c r="AP41" i="3"/>
  <c r="AQ41" i="3"/>
  <c r="AR41" i="3"/>
  <c r="AS41" i="3"/>
  <c r="AP42" i="3"/>
  <c r="AQ42" i="3"/>
  <c r="AR42" i="3"/>
  <c r="AS42" i="3"/>
  <c r="AP43" i="3"/>
  <c r="AQ43" i="3"/>
  <c r="AR43" i="3"/>
  <c r="AS43" i="3"/>
  <c r="AP44" i="3"/>
  <c r="AQ44" i="3"/>
  <c r="AR44" i="3"/>
  <c r="AS44" i="3"/>
  <c r="AP45" i="3"/>
  <c r="AQ45" i="3"/>
  <c r="AR45" i="3"/>
  <c r="AS45" i="3"/>
  <c r="AP46" i="3"/>
  <c r="AQ46" i="3"/>
  <c r="AR46" i="3"/>
  <c r="AS46" i="3"/>
  <c r="AP47" i="3"/>
  <c r="AQ47" i="3"/>
  <c r="AR47" i="3"/>
  <c r="AS47" i="3"/>
  <c r="AP48" i="3"/>
  <c r="AQ48" i="3"/>
  <c r="AR48" i="3"/>
  <c r="AS48" i="3"/>
  <c r="AP49" i="3"/>
  <c r="AQ49" i="3"/>
  <c r="AR49" i="3"/>
  <c r="AS49" i="3"/>
  <c r="AP50" i="3"/>
  <c r="AQ50" i="3"/>
  <c r="AR50" i="3"/>
  <c r="AS50" i="3"/>
  <c r="AP51" i="3"/>
  <c r="AQ51" i="3"/>
  <c r="AR51" i="3"/>
  <c r="AS51" i="3"/>
  <c r="BX51" i="3" s="1"/>
  <c r="AP52" i="3"/>
  <c r="AQ52" i="3"/>
  <c r="AR52" i="3"/>
  <c r="AS52" i="3"/>
  <c r="AP53" i="3"/>
  <c r="AQ53" i="3"/>
  <c r="AR53" i="3"/>
  <c r="AS53" i="3"/>
  <c r="BX53" i="3" s="1"/>
  <c r="AP54" i="3"/>
  <c r="AQ54" i="3"/>
  <c r="AR54" i="3"/>
  <c r="AS54" i="3"/>
  <c r="BX54" i="3" s="1"/>
  <c r="AP55" i="3"/>
  <c r="AQ55" i="3"/>
  <c r="AR55" i="3"/>
  <c r="AS55" i="3"/>
  <c r="BX55" i="3" s="1"/>
  <c r="AP56" i="3"/>
  <c r="AQ56" i="3"/>
  <c r="AR56" i="3"/>
  <c r="AS56" i="3"/>
  <c r="BX56" i="3" s="1"/>
  <c r="AP57" i="3"/>
  <c r="AQ57" i="3"/>
  <c r="AR57" i="3"/>
  <c r="AS57" i="3"/>
  <c r="BX57" i="3" s="1"/>
  <c r="AQ8" i="3"/>
  <c r="AR8" i="3"/>
  <c r="AS8" i="3"/>
  <c r="AP8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E42" i="3" s="1"/>
  <c r="BD4" i="3"/>
  <c r="BD42" i="3" s="1"/>
  <c r="BC4" i="3"/>
  <c r="BB4" i="3"/>
  <c r="BA4" i="3"/>
  <c r="AZ4" i="3"/>
  <c r="AY4" i="3"/>
  <c r="AX4" i="3"/>
  <c r="AW4" i="3"/>
  <c r="AV4" i="3"/>
  <c r="AU4" i="3"/>
  <c r="AT4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E41" i="3" s="1"/>
  <c r="BD2" i="3"/>
  <c r="BD41" i="3" s="1"/>
  <c r="BC2" i="3"/>
  <c r="BB2" i="3"/>
  <c r="BA2" i="3"/>
  <c r="AZ2" i="3"/>
  <c r="AY2" i="3"/>
  <c r="AX2" i="3"/>
  <c r="AW2" i="3"/>
  <c r="AV2" i="3"/>
  <c r="AU2" i="3"/>
  <c r="A51" i="3"/>
  <c r="A55" i="5" s="1"/>
  <c r="A52" i="3"/>
  <c r="A56" i="5" s="1"/>
  <c r="A53" i="3"/>
  <c r="A57" i="5" s="1"/>
  <c r="A54" i="3"/>
  <c r="A58" i="5" s="1"/>
  <c r="A55" i="3"/>
  <c r="A59" i="5" s="1"/>
  <c r="A56" i="3"/>
  <c r="A60" i="5" s="1"/>
  <c r="A57" i="3"/>
  <c r="A61" i="5" s="1"/>
  <c r="A8" i="3"/>
  <c r="B17" i="3"/>
  <c r="B21" i="5" s="1"/>
  <c r="C17" i="3"/>
  <c r="C21" i="5" s="1"/>
  <c r="E17" i="3"/>
  <c r="E21" i="5" s="1"/>
  <c r="B18" i="3"/>
  <c r="B22" i="5" s="1"/>
  <c r="C18" i="3"/>
  <c r="C22" i="5" s="1"/>
  <c r="E18" i="3"/>
  <c r="E22" i="5" s="1"/>
  <c r="B19" i="3"/>
  <c r="B23" i="5" s="1"/>
  <c r="C19" i="3"/>
  <c r="C23" i="5" s="1"/>
  <c r="E19" i="3"/>
  <c r="E23" i="5" s="1"/>
  <c r="B20" i="3"/>
  <c r="B24" i="5" s="1"/>
  <c r="C20" i="3"/>
  <c r="C24" i="5" s="1"/>
  <c r="E20" i="3"/>
  <c r="E24" i="5" s="1"/>
  <c r="B21" i="3"/>
  <c r="B25" i="5" s="1"/>
  <c r="C21" i="3"/>
  <c r="C25" i="5" s="1"/>
  <c r="E21" i="3"/>
  <c r="E25" i="5" s="1"/>
  <c r="B22" i="3"/>
  <c r="B26" i="5" s="1"/>
  <c r="C22" i="3"/>
  <c r="C26" i="5" s="1"/>
  <c r="E22" i="3"/>
  <c r="E26" i="5" s="1"/>
  <c r="B23" i="3"/>
  <c r="B27" i="5" s="1"/>
  <c r="C23" i="3"/>
  <c r="C27" i="5" s="1"/>
  <c r="E23" i="3"/>
  <c r="E27" i="5" s="1"/>
  <c r="B24" i="3"/>
  <c r="B28" i="5" s="1"/>
  <c r="C24" i="3"/>
  <c r="C28" i="5" s="1"/>
  <c r="E24" i="3"/>
  <c r="E28" i="5" s="1"/>
  <c r="B25" i="3"/>
  <c r="B29" i="5" s="1"/>
  <c r="C25" i="3"/>
  <c r="C29" i="5" s="1"/>
  <c r="E25" i="3"/>
  <c r="E29" i="5" s="1"/>
  <c r="B26" i="3"/>
  <c r="B30" i="5" s="1"/>
  <c r="C26" i="3"/>
  <c r="C30" i="5" s="1"/>
  <c r="E26" i="3"/>
  <c r="E30" i="5" s="1"/>
  <c r="B27" i="3"/>
  <c r="B31" i="5" s="1"/>
  <c r="C27" i="3"/>
  <c r="C31" i="5" s="1"/>
  <c r="E27" i="3"/>
  <c r="E31" i="5" s="1"/>
  <c r="B28" i="3"/>
  <c r="B32" i="5" s="1"/>
  <c r="C28" i="3"/>
  <c r="C32" i="5" s="1"/>
  <c r="E28" i="3"/>
  <c r="E32" i="5" s="1"/>
  <c r="B29" i="3"/>
  <c r="B33" i="5" s="1"/>
  <c r="C29" i="3"/>
  <c r="C33" i="5" s="1"/>
  <c r="E29" i="3"/>
  <c r="E33" i="5" s="1"/>
  <c r="B30" i="3"/>
  <c r="B34" i="5" s="1"/>
  <c r="C30" i="3"/>
  <c r="C34" i="5" s="1"/>
  <c r="E30" i="3"/>
  <c r="E34" i="5" s="1"/>
  <c r="B31" i="3"/>
  <c r="B35" i="5" s="1"/>
  <c r="C31" i="3"/>
  <c r="C35" i="5" s="1"/>
  <c r="E31" i="3"/>
  <c r="E35" i="5" s="1"/>
  <c r="B32" i="3"/>
  <c r="B36" i="5" s="1"/>
  <c r="C32" i="3"/>
  <c r="C36" i="5" s="1"/>
  <c r="E32" i="3"/>
  <c r="E36" i="5" s="1"/>
  <c r="B33" i="3"/>
  <c r="B37" i="5" s="1"/>
  <c r="C33" i="3"/>
  <c r="C37" i="5" s="1"/>
  <c r="E33" i="3"/>
  <c r="E37" i="5" s="1"/>
  <c r="B34" i="3"/>
  <c r="B38" i="5" s="1"/>
  <c r="C34" i="3"/>
  <c r="C38" i="5" s="1"/>
  <c r="E34" i="3"/>
  <c r="E38" i="5" s="1"/>
  <c r="B35" i="3"/>
  <c r="B39" i="5" s="1"/>
  <c r="C35" i="3"/>
  <c r="C39" i="5" s="1"/>
  <c r="E35" i="3"/>
  <c r="E39" i="5" s="1"/>
  <c r="B36" i="3"/>
  <c r="B40" i="5" s="1"/>
  <c r="C36" i="3"/>
  <c r="C40" i="5" s="1"/>
  <c r="E36" i="3"/>
  <c r="E40" i="5" s="1"/>
  <c r="B37" i="3"/>
  <c r="B41" i="5" s="1"/>
  <c r="C37" i="3"/>
  <c r="C41" i="5" s="1"/>
  <c r="E37" i="3"/>
  <c r="E41" i="5" s="1"/>
  <c r="B38" i="3"/>
  <c r="B42" i="5" s="1"/>
  <c r="C38" i="3"/>
  <c r="C42" i="5" s="1"/>
  <c r="E38" i="3"/>
  <c r="E42" i="5" s="1"/>
  <c r="B39" i="3"/>
  <c r="B43" i="5" s="1"/>
  <c r="C39" i="3"/>
  <c r="C43" i="5" s="1"/>
  <c r="E39" i="3"/>
  <c r="E43" i="5" s="1"/>
  <c r="B40" i="3"/>
  <c r="B44" i="5" s="1"/>
  <c r="C40" i="3"/>
  <c r="C44" i="5" s="1"/>
  <c r="E40" i="3"/>
  <c r="E44" i="5" s="1"/>
  <c r="B41" i="3"/>
  <c r="B45" i="5" s="1"/>
  <c r="C41" i="3"/>
  <c r="C45" i="5" s="1"/>
  <c r="E41" i="3"/>
  <c r="E45" i="5" s="1"/>
  <c r="B42" i="3"/>
  <c r="B46" i="5" s="1"/>
  <c r="C42" i="3"/>
  <c r="C46" i="5" s="1"/>
  <c r="E42" i="3"/>
  <c r="E46" i="5" s="1"/>
  <c r="B43" i="3"/>
  <c r="B47" i="5" s="1"/>
  <c r="C43" i="3"/>
  <c r="C47" i="5" s="1"/>
  <c r="E43" i="3"/>
  <c r="E47" i="5" s="1"/>
  <c r="B44" i="3"/>
  <c r="B48" i="5" s="1"/>
  <c r="C44" i="3"/>
  <c r="C48" i="5" s="1"/>
  <c r="E44" i="3"/>
  <c r="E48" i="5" s="1"/>
  <c r="B45" i="3"/>
  <c r="B49" i="5" s="1"/>
  <c r="C45" i="3"/>
  <c r="C49" i="5" s="1"/>
  <c r="E45" i="3"/>
  <c r="E49" i="5" s="1"/>
  <c r="B46" i="3"/>
  <c r="B50" i="5" s="1"/>
  <c r="C46" i="3"/>
  <c r="C50" i="5" s="1"/>
  <c r="E46" i="3"/>
  <c r="E50" i="5" s="1"/>
  <c r="B47" i="3"/>
  <c r="B51" i="5" s="1"/>
  <c r="C47" i="3"/>
  <c r="C51" i="5" s="1"/>
  <c r="E47" i="3"/>
  <c r="E51" i="5" s="1"/>
  <c r="B48" i="3"/>
  <c r="B52" i="5" s="1"/>
  <c r="C48" i="3"/>
  <c r="C52" i="5" s="1"/>
  <c r="E48" i="3"/>
  <c r="E52" i="5" s="1"/>
  <c r="B49" i="3"/>
  <c r="B53" i="5" s="1"/>
  <c r="C49" i="3"/>
  <c r="C53" i="5" s="1"/>
  <c r="E49" i="3"/>
  <c r="E53" i="5" s="1"/>
  <c r="B50" i="3"/>
  <c r="B54" i="5" s="1"/>
  <c r="C50" i="3"/>
  <c r="C54" i="5" s="1"/>
  <c r="E50" i="3"/>
  <c r="E54" i="5" s="1"/>
  <c r="B51" i="3"/>
  <c r="B55" i="5" s="1"/>
  <c r="C51" i="3"/>
  <c r="C55" i="5" s="1"/>
  <c r="E51" i="3"/>
  <c r="E55" i="5" s="1"/>
  <c r="B52" i="3"/>
  <c r="B56" i="5" s="1"/>
  <c r="C52" i="3"/>
  <c r="C56" i="5" s="1"/>
  <c r="E52" i="3"/>
  <c r="E56" i="5" s="1"/>
  <c r="B53" i="3"/>
  <c r="B57" i="5" s="1"/>
  <c r="C53" i="3"/>
  <c r="C57" i="5" s="1"/>
  <c r="E53" i="3"/>
  <c r="E57" i="5" s="1"/>
  <c r="B54" i="3"/>
  <c r="B58" i="5" s="1"/>
  <c r="C54" i="3"/>
  <c r="C58" i="5" s="1"/>
  <c r="E54" i="3"/>
  <c r="E58" i="5" s="1"/>
  <c r="B55" i="3"/>
  <c r="B59" i="5" s="1"/>
  <c r="C55" i="3"/>
  <c r="C59" i="5" s="1"/>
  <c r="E55" i="3"/>
  <c r="E59" i="5" s="1"/>
  <c r="B56" i="3"/>
  <c r="B60" i="5" s="1"/>
  <c r="C56" i="3"/>
  <c r="C60" i="5" s="1"/>
  <c r="E56" i="3"/>
  <c r="E60" i="5" s="1"/>
  <c r="B57" i="3"/>
  <c r="B61" i="5" s="1"/>
  <c r="C57" i="3"/>
  <c r="C61" i="5" s="1"/>
  <c r="E57" i="3"/>
  <c r="E61" i="5" s="1"/>
  <c r="B9" i="3"/>
  <c r="B13" i="5" s="1"/>
  <c r="C9" i="3"/>
  <c r="C13" i="5" s="1"/>
  <c r="E9" i="3"/>
  <c r="E13" i="5" s="1"/>
  <c r="B10" i="3"/>
  <c r="B14" i="5" s="1"/>
  <c r="C10" i="3"/>
  <c r="C14" i="5" s="1"/>
  <c r="E10" i="3"/>
  <c r="E14" i="5" s="1"/>
  <c r="B11" i="3"/>
  <c r="B15" i="5" s="1"/>
  <c r="C11" i="3"/>
  <c r="C15" i="5" s="1"/>
  <c r="E11" i="3"/>
  <c r="E15" i="5" s="1"/>
  <c r="B12" i="3"/>
  <c r="B16" i="5" s="1"/>
  <c r="C12" i="3"/>
  <c r="C16" i="5" s="1"/>
  <c r="E12" i="3"/>
  <c r="E16" i="5" s="1"/>
  <c r="B13" i="3"/>
  <c r="B17" i="5" s="1"/>
  <c r="C13" i="3"/>
  <c r="C17" i="5" s="1"/>
  <c r="E13" i="3"/>
  <c r="E17" i="5" s="1"/>
  <c r="B14" i="3"/>
  <c r="B18" i="5" s="1"/>
  <c r="C14" i="3"/>
  <c r="C18" i="5" s="1"/>
  <c r="E14" i="3"/>
  <c r="E18" i="5" s="1"/>
  <c r="B15" i="3"/>
  <c r="B19" i="5" s="1"/>
  <c r="C15" i="3"/>
  <c r="C19" i="5" s="1"/>
  <c r="E15" i="3"/>
  <c r="E19" i="5" s="1"/>
  <c r="B16" i="3"/>
  <c r="B20" i="5" s="1"/>
  <c r="C16" i="3"/>
  <c r="C20" i="5" s="1"/>
  <c r="E16" i="3"/>
  <c r="E20" i="5" s="1"/>
  <c r="E8" i="3"/>
  <c r="E12" i="5" s="1"/>
  <c r="C8" i="3"/>
  <c r="C12" i="5" s="1"/>
  <c r="B8" i="3"/>
  <c r="B12" i="5" s="1"/>
  <c r="BY56" i="3" l="1"/>
  <c r="L60" i="5" s="1"/>
  <c r="K60" i="5"/>
  <c r="BY54" i="3"/>
  <c r="L58" i="5" s="1"/>
  <c r="K58" i="5"/>
  <c r="BY57" i="3"/>
  <c r="L61" i="5" s="1"/>
  <c r="K61" i="5"/>
  <c r="BY55" i="3"/>
  <c r="L59" i="5" s="1"/>
  <c r="K59" i="5"/>
  <c r="BY51" i="3"/>
  <c r="L55" i="5" s="1"/>
  <c r="K55" i="5"/>
  <c r="A9" i="3"/>
  <c r="A12" i="5"/>
  <c r="BY53" i="3"/>
  <c r="L57" i="5" s="1"/>
  <c r="K57" i="5"/>
  <c r="BX52" i="3"/>
  <c r="BL41" i="3"/>
  <c r="BL40" i="3"/>
  <c r="BF42" i="3"/>
  <c r="BF39" i="3"/>
  <c r="BO42" i="3"/>
  <c r="BO39" i="3"/>
  <c r="BF40" i="3"/>
  <c r="BF41" i="3"/>
  <c r="BN41" i="3"/>
  <c r="BN40" i="3"/>
  <c r="BP39" i="3"/>
  <c r="BP42" i="3"/>
  <c r="BN42" i="3"/>
  <c r="BN39" i="3"/>
  <c r="BO40" i="3"/>
  <c r="BO41" i="3"/>
  <c r="BI39" i="3"/>
  <c r="BI42" i="3"/>
  <c r="BQ39" i="3"/>
  <c r="BQ42" i="3"/>
  <c r="BP40" i="3"/>
  <c r="BP41" i="3"/>
  <c r="BJ39" i="3"/>
  <c r="BJ42" i="3"/>
  <c r="BI40" i="3"/>
  <c r="BI41" i="3"/>
  <c r="BQ40" i="3"/>
  <c r="BQ41" i="3"/>
  <c r="BK39" i="3"/>
  <c r="BK42" i="3"/>
  <c r="BJ40" i="3"/>
  <c r="BJ41" i="3"/>
  <c r="BL39" i="3"/>
  <c r="BL42" i="3"/>
  <c r="BK41" i="3"/>
  <c r="BK40" i="3"/>
  <c r="AU29" i="3"/>
  <c r="AU42" i="3"/>
  <c r="AU34" i="3"/>
  <c r="AU47" i="3"/>
  <c r="AU44" i="3"/>
  <c r="AU39" i="3"/>
  <c r="AU32" i="3"/>
  <c r="AU37" i="3"/>
  <c r="AU49" i="3"/>
  <c r="BK29" i="3"/>
  <c r="BK47" i="3"/>
  <c r="BK27" i="3"/>
  <c r="BK44" i="3"/>
  <c r="BK37" i="3"/>
  <c r="BK49" i="3"/>
  <c r="BP32" i="3"/>
  <c r="BP47" i="3"/>
  <c r="BI47" i="3"/>
  <c r="BI27" i="3"/>
  <c r="BI49" i="3"/>
  <c r="BI44" i="3"/>
  <c r="BI37" i="3"/>
  <c r="BI29" i="3"/>
  <c r="AV37" i="3"/>
  <c r="AV49" i="3"/>
  <c r="AV42" i="3"/>
  <c r="AV39" i="3"/>
  <c r="AV34" i="3"/>
  <c r="AV47" i="3"/>
  <c r="AV32" i="3"/>
  <c r="AV44" i="3"/>
  <c r="BD49" i="3"/>
  <c r="BD47" i="3"/>
  <c r="BD39" i="3"/>
  <c r="BD44" i="3"/>
  <c r="BL37" i="3"/>
  <c r="BL49" i="3"/>
  <c r="BL29" i="3"/>
  <c r="BL47" i="3"/>
  <c r="BL27" i="3"/>
  <c r="BL44" i="3"/>
  <c r="BA34" i="3"/>
  <c r="BA47" i="3"/>
  <c r="BA39" i="3"/>
  <c r="BA44" i="3"/>
  <c r="BA37" i="3"/>
  <c r="BA49" i="3"/>
  <c r="BA42" i="3"/>
  <c r="BB39" i="3"/>
  <c r="BE49" i="3"/>
  <c r="BE47" i="3"/>
  <c r="BE39" i="3"/>
  <c r="BE44" i="3"/>
  <c r="BJ47" i="3"/>
  <c r="BJ27" i="3"/>
  <c r="BJ44" i="3"/>
  <c r="BJ37" i="3"/>
  <c r="BJ49" i="3"/>
  <c r="AY39" i="3"/>
  <c r="AY32" i="3"/>
  <c r="AY44" i="3"/>
  <c r="AY37" i="3"/>
  <c r="AY49" i="3"/>
  <c r="AY42" i="3"/>
  <c r="AY34" i="3"/>
  <c r="AY47" i="3"/>
  <c r="BI50" i="3"/>
  <c r="AV50" i="3"/>
  <c r="AV31" i="3"/>
  <c r="AV33" i="3"/>
  <c r="AV38" i="3"/>
  <c r="AV46" i="3"/>
  <c r="AV36" i="3"/>
  <c r="AV40" i="3"/>
  <c r="AV43" i="3"/>
  <c r="AV48" i="3"/>
  <c r="AV41" i="3"/>
  <c r="AV35" i="3"/>
  <c r="AV45" i="3"/>
  <c r="BD50" i="3"/>
  <c r="BD38" i="3"/>
  <c r="BD46" i="3"/>
  <c r="BD40" i="3"/>
  <c r="BD43" i="3"/>
  <c r="BD45" i="3"/>
  <c r="BD48" i="3"/>
  <c r="BQ18" i="3"/>
  <c r="BQ26" i="3"/>
  <c r="BQ20" i="3"/>
  <c r="BQ25" i="3"/>
  <c r="BQ33" i="3"/>
  <c r="BQ30" i="3"/>
  <c r="BQ38" i="3"/>
  <c r="BQ16" i="3"/>
  <c r="BQ13" i="3"/>
  <c r="BQ21" i="3"/>
  <c r="BQ45" i="3"/>
  <c r="BQ48" i="3"/>
  <c r="BQ28" i="3"/>
  <c r="BQ35" i="3"/>
  <c r="BQ50" i="3"/>
  <c r="BQ23" i="3"/>
  <c r="BQ31" i="3"/>
  <c r="BQ43" i="3"/>
  <c r="BQ46" i="3"/>
  <c r="BQ15" i="3"/>
  <c r="BQ36" i="3"/>
  <c r="BJ36" i="3"/>
  <c r="BJ33" i="3"/>
  <c r="BJ48" i="3"/>
  <c r="BJ46" i="3"/>
  <c r="BJ43" i="3"/>
  <c r="BJ45" i="3"/>
  <c r="BJ31" i="3"/>
  <c r="BJ35" i="3"/>
  <c r="BJ38" i="3"/>
  <c r="BJ50" i="3"/>
  <c r="AU31" i="3"/>
  <c r="AU36" i="3"/>
  <c r="AU33" i="3"/>
  <c r="AU35" i="3"/>
  <c r="AU43" i="3"/>
  <c r="AU41" i="3"/>
  <c r="AU50" i="3"/>
  <c r="AU48" i="3"/>
  <c r="AU46" i="3"/>
  <c r="AU45" i="3"/>
  <c r="AU38" i="3"/>
  <c r="AU40" i="3"/>
  <c r="BK31" i="3"/>
  <c r="BK36" i="3"/>
  <c r="BK33" i="3"/>
  <c r="BK35" i="3"/>
  <c r="BK43" i="3"/>
  <c r="BK38" i="3"/>
  <c r="BK46" i="3"/>
  <c r="BK45" i="3"/>
  <c r="BK48" i="3"/>
  <c r="BK50" i="3"/>
  <c r="BF48" i="3"/>
  <c r="BF31" i="3"/>
  <c r="BF28" i="3"/>
  <c r="BF36" i="3"/>
  <c r="BF50" i="3"/>
  <c r="BF33" i="3"/>
  <c r="BF43" i="3"/>
  <c r="BF45" i="3"/>
  <c r="BF35" i="3"/>
  <c r="BF46" i="3"/>
  <c r="BF38" i="3"/>
  <c r="AY35" i="3"/>
  <c r="AY43" i="3"/>
  <c r="AY40" i="3"/>
  <c r="AY31" i="3"/>
  <c r="AY36" i="3"/>
  <c r="AY38" i="3"/>
  <c r="AY45" i="3"/>
  <c r="AY48" i="3"/>
  <c r="AY33" i="3"/>
  <c r="AY41" i="3"/>
  <c r="AY46" i="3"/>
  <c r="AY50" i="3"/>
  <c r="BO28" i="3"/>
  <c r="BO35" i="3"/>
  <c r="BO43" i="3"/>
  <c r="BO31" i="3"/>
  <c r="BO50" i="3"/>
  <c r="BO33" i="3"/>
  <c r="BO36" i="3"/>
  <c r="BO38" i="3"/>
  <c r="BO46" i="3"/>
  <c r="BO48" i="3"/>
  <c r="BO30" i="3"/>
  <c r="BO45" i="3"/>
  <c r="BA41" i="3"/>
  <c r="BA38" i="3"/>
  <c r="BA45" i="3"/>
  <c r="BA35" i="3"/>
  <c r="BA46" i="3"/>
  <c r="BA40" i="3"/>
  <c r="BA43" i="3"/>
  <c r="BA36" i="3"/>
  <c r="BA48" i="3"/>
  <c r="BA50" i="3"/>
  <c r="BB36" i="3"/>
  <c r="BB41" i="3"/>
  <c r="BB40" i="3"/>
  <c r="BB48" i="3"/>
  <c r="BB35" i="3"/>
  <c r="BB46" i="3"/>
  <c r="BB38" i="3"/>
  <c r="BB43" i="3"/>
  <c r="BB45" i="3"/>
  <c r="BB50" i="3"/>
  <c r="BN9" i="3"/>
  <c r="BN48" i="3"/>
  <c r="BN31" i="3"/>
  <c r="BN36" i="3"/>
  <c r="BN35" i="3"/>
  <c r="BN33" i="3"/>
  <c r="BN38" i="3"/>
  <c r="BN46" i="3"/>
  <c r="BN43" i="3"/>
  <c r="BN45" i="3"/>
  <c r="BN50" i="3"/>
  <c r="AZ38" i="3"/>
  <c r="AZ46" i="3"/>
  <c r="AZ35" i="3"/>
  <c r="AZ43" i="3"/>
  <c r="AZ50" i="3"/>
  <c r="AZ40" i="3"/>
  <c r="AZ36" i="3"/>
  <c r="AZ45" i="3"/>
  <c r="AZ48" i="3"/>
  <c r="AZ41" i="3"/>
  <c r="BP15" i="3"/>
  <c r="BP23" i="3"/>
  <c r="BP31" i="3"/>
  <c r="BP30" i="3"/>
  <c r="BP38" i="3"/>
  <c r="BP46" i="3"/>
  <c r="BP35" i="3"/>
  <c r="BP43" i="3"/>
  <c r="BP16" i="3"/>
  <c r="BP13" i="3"/>
  <c r="BP21" i="3"/>
  <c r="BP18" i="3"/>
  <c r="BP26" i="3"/>
  <c r="BP50" i="3"/>
  <c r="BP20" i="3"/>
  <c r="BP48" i="3"/>
  <c r="BP28" i="3"/>
  <c r="BP33" i="3"/>
  <c r="BP36" i="3"/>
  <c r="BP45" i="3"/>
  <c r="BP25" i="3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8" i="1"/>
  <c r="P9" i="1"/>
  <c r="AU5" i="3" s="1"/>
  <c r="AU14" i="3" s="1"/>
  <c r="P10" i="1"/>
  <c r="AV5" i="3" s="1"/>
  <c r="P11" i="1"/>
  <c r="AW5" i="3" s="1"/>
  <c r="AW24" i="3" s="1"/>
  <c r="P12" i="1"/>
  <c r="AX5" i="3" s="1"/>
  <c r="AX47" i="3" s="1"/>
  <c r="P13" i="1"/>
  <c r="P14" i="1"/>
  <c r="AZ5" i="3" s="1"/>
  <c r="AZ27" i="3" s="1"/>
  <c r="P15" i="1"/>
  <c r="P16" i="1"/>
  <c r="BB5" i="3" s="1"/>
  <c r="BB12" i="3" s="1"/>
  <c r="P17" i="1"/>
  <c r="BC5" i="3" s="1"/>
  <c r="BC14" i="3" s="1"/>
  <c r="P18" i="1"/>
  <c r="BD5" i="3" s="1"/>
  <c r="BD14" i="3" s="1"/>
  <c r="P19" i="1"/>
  <c r="P20" i="1"/>
  <c r="P21" i="1"/>
  <c r="BG5" i="3" s="1"/>
  <c r="BG44" i="3" s="1"/>
  <c r="P22" i="1"/>
  <c r="BH5" i="3" s="1"/>
  <c r="BH19" i="3" s="1"/>
  <c r="P23" i="1"/>
  <c r="BI5" i="3" s="1"/>
  <c r="BI14" i="3" s="1"/>
  <c r="P24" i="1"/>
  <c r="BJ5" i="3" s="1"/>
  <c r="BJ8" i="3" s="1"/>
  <c r="P25" i="1"/>
  <c r="BK5" i="3" s="1"/>
  <c r="BK22" i="3" s="1"/>
  <c r="P26" i="1"/>
  <c r="BL5" i="3" s="1"/>
  <c r="BL22" i="3" s="1"/>
  <c r="P27" i="1"/>
  <c r="BM5" i="3" s="1"/>
  <c r="BM49" i="3" s="1"/>
  <c r="P28" i="1"/>
  <c r="P29" i="1"/>
  <c r="BO5" i="3" s="1"/>
  <c r="BO19" i="3" s="1"/>
  <c r="P30" i="1"/>
  <c r="BP5" i="3" s="1"/>
  <c r="BP8" i="3" s="1"/>
  <c r="P31" i="1"/>
  <c r="BQ5" i="3" s="1"/>
  <c r="BQ8" i="3" s="1"/>
  <c r="P32" i="1"/>
  <c r="BR5" i="3" s="1"/>
  <c r="BR32" i="3" s="1"/>
  <c r="P33" i="1"/>
  <c r="BS5" i="3" s="1"/>
  <c r="BS47" i="3" s="1"/>
  <c r="P34" i="1"/>
  <c r="BT5" i="3" s="1"/>
  <c r="BT22" i="3" s="1"/>
  <c r="P35" i="1"/>
  <c r="P36" i="1"/>
  <c r="BV5" i="3" s="1"/>
  <c r="BV8" i="3" s="1"/>
  <c r="P37" i="1"/>
  <c r="BW5" i="3" s="1"/>
  <c r="BW8" i="3" s="1"/>
  <c r="P8" i="1"/>
  <c r="F9" i="1"/>
  <c r="AU3" i="3" s="1"/>
  <c r="AU9" i="3" s="1"/>
  <c r="F10" i="1"/>
  <c r="AV3" i="3" s="1"/>
  <c r="AV9" i="3" s="1"/>
  <c r="F11" i="1"/>
  <c r="AW3" i="3" s="1"/>
  <c r="AW16" i="3" s="1"/>
  <c r="F12" i="1"/>
  <c r="AX3" i="3" s="1"/>
  <c r="AX23" i="3" s="1"/>
  <c r="F13" i="1"/>
  <c r="F14" i="1"/>
  <c r="AZ3" i="3" s="1"/>
  <c r="AZ9" i="3" s="1"/>
  <c r="F15" i="1"/>
  <c r="BA3" i="3" s="1"/>
  <c r="BA17" i="3" s="1"/>
  <c r="F16" i="1"/>
  <c r="BB3" i="3" s="1"/>
  <c r="BB9" i="3" s="1"/>
  <c r="F17" i="1"/>
  <c r="BC3" i="3" s="1"/>
  <c r="BC9" i="3" s="1"/>
  <c r="F18" i="1"/>
  <c r="BD3" i="3" s="1"/>
  <c r="BD18" i="3" s="1"/>
  <c r="F19" i="1"/>
  <c r="F20" i="1"/>
  <c r="BF3" i="3" s="1"/>
  <c r="BF9" i="3" s="1"/>
  <c r="F21" i="1"/>
  <c r="BG3" i="3" s="1"/>
  <c r="F22" i="1"/>
  <c r="BH3" i="3" s="1"/>
  <c r="BH50" i="3" s="1"/>
  <c r="F23" i="1"/>
  <c r="BI3" i="3" s="1"/>
  <c r="BI10" i="3" s="1"/>
  <c r="F24" i="1"/>
  <c r="F25" i="1"/>
  <c r="BK3" i="3" s="1"/>
  <c r="BK11" i="3" s="1"/>
  <c r="F26" i="1"/>
  <c r="BL3" i="3" s="1"/>
  <c r="BL13" i="3" s="1"/>
  <c r="F27" i="1"/>
  <c r="BM3" i="3" s="1"/>
  <c r="BM10" i="3" s="1"/>
  <c r="F28" i="1"/>
  <c r="BN3" i="3" s="1"/>
  <c r="BN25" i="3" s="1"/>
  <c r="F29" i="1"/>
  <c r="BO3" i="3" s="1"/>
  <c r="BO13" i="3" s="1"/>
  <c r="F30" i="1"/>
  <c r="BP3" i="3" s="1"/>
  <c r="BP9" i="3" s="1"/>
  <c r="F31" i="1"/>
  <c r="BQ3" i="3" s="1"/>
  <c r="BQ9" i="3" s="1"/>
  <c r="F32" i="1"/>
  <c r="BR3" i="3" s="1"/>
  <c r="BR13" i="3" s="1"/>
  <c r="F33" i="1"/>
  <c r="BS3" i="3" s="1"/>
  <c r="BS16" i="3" s="1"/>
  <c r="F34" i="1"/>
  <c r="BT3" i="3" s="1"/>
  <c r="BT41" i="3" s="1"/>
  <c r="F35" i="1"/>
  <c r="BU3" i="3" s="1"/>
  <c r="BU41" i="3" s="1"/>
  <c r="F36" i="1"/>
  <c r="BV3" i="3" s="1"/>
  <c r="BV45" i="3" s="1"/>
  <c r="F37" i="1"/>
  <c r="BW3" i="3" s="1"/>
  <c r="BW40" i="3" s="1"/>
  <c r="F8" i="1"/>
  <c r="AV30" i="3" l="1"/>
  <c r="AV22" i="3"/>
  <c r="BD12" i="3"/>
  <c r="AV29" i="3"/>
  <c r="BG16" i="3"/>
  <c r="AU30" i="3"/>
  <c r="BG27" i="3"/>
  <c r="O49" i="1"/>
  <c r="O50" i="1"/>
  <c r="P50" i="1" s="1"/>
  <c r="O48" i="1"/>
  <c r="O52" i="1"/>
  <c r="P52" i="1" s="1"/>
  <c r="O51" i="1"/>
  <c r="BF30" i="3"/>
  <c r="BF5" i="3"/>
  <c r="BF12" i="3" s="1"/>
  <c r="P43" i="1"/>
  <c r="BA5" i="3"/>
  <c r="BA33" i="3" s="1"/>
  <c r="P42" i="1"/>
  <c r="AY5" i="3"/>
  <c r="P44" i="1"/>
  <c r="P41" i="1"/>
  <c r="F44" i="1"/>
  <c r="F43" i="1"/>
  <c r="F42" i="1"/>
  <c r="F41" i="1"/>
  <c r="A10" i="3"/>
  <c r="A13" i="5"/>
  <c r="E48" i="1"/>
  <c r="E49" i="1"/>
  <c r="BG22" i="3"/>
  <c r="AV16" i="3"/>
  <c r="BD35" i="3"/>
  <c r="BB33" i="3"/>
  <c r="BO25" i="3"/>
  <c r="AX11" i="3"/>
  <c r="BR12" i="3"/>
  <c r="AZ23" i="3"/>
  <c r="BO16" i="3"/>
  <c r="AV15" i="3"/>
  <c r="BR40" i="3"/>
  <c r="BA31" i="3"/>
  <c r="BK28" i="3"/>
  <c r="AU16" i="3"/>
  <c r="BT11" i="3"/>
  <c r="BD31" i="3"/>
  <c r="BD16" i="3"/>
  <c r="BN18" i="3"/>
  <c r="BA28" i="3"/>
  <c r="AU26" i="3"/>
  <c r="BS9" i="3"/>
  <c r="BT27" i="3"/>
  <c r="BB19" i="3"/>
  <c r="AZ21" i="3"/>
  <c r="BB26" i="3"/>
  <c r="BI12" i="3"/>
  <c r="E51" i="1"/>
  <c r="E52" i="1"/>
  <c r="F52" i="1" s="1"/>
  <c r="E50" i="1"/>
  <c r="F50" i="1" s="1"/>
  <c r="BN10" i="3"/>
  <c r="BC11" i="3"/>
  <c r="BB31" i="3"/>
  <c r="BB25" i="3"/>
  <c r="BA9" i="3"/>
  <c r="BO23" i="3"/>
  <c r="BF21" i="3"/>
  <c r="BK13" i="3"/>
  <c r="BK20" i="3"/>
  <c r="AU21" i="3"/>
  <c r="AU28" i="3"/>
  <c r="BL9" i="3"/>
  <c r="BD23" i="3"/>
  <c r="BR9" i="3"/>
  <c r="BL34" i="3"/>
  <c r="BD32" i="3"/>
  <c r="BD29" i="3"/>
  <c r="AV27" i="3"/>
  <c r="BI8" i="3"/>
  <c r="BK32" i="3"/>
  <c r="BK8" i="3"/>
  <c r="AU22" i="3"/>
  <c r="BD15" i="3"/>
  <c r="BB17" i="3"/>
  <c r="BS40" i="3"/>
  <c r="BN28" i="3"/>
  <c r="BN21" i="3"/>
  <c r="BB10" i="3"/>
  <c r="BA21" i="3"/>
  <c r="BA20" i="3"/>
  <c r="BO15" i="3"/>
  <c r="BF20" i="3"/>
  <c r="BF13" i="3"/>
  <c r="BK26" i="3"/>
  <c r="AU20" i="3"/>
  <c r="AV26" i="3"/>
  <c r="BJ34" i="3"/>
  <c r="BA22" i="3"/>
  <c r="BA32" i="3"/>
  <c r="BL14" i="3"/>
  <c r="BD24" i="3"/>
  <c r="BD8" i="3"/>
  <c r="AV19" i="3"/>
  <c r="AV8" i="3"/>
  <c r="BI22" i="3"/>
  <c r="BS8" i="3"/>
  <c r="BK12" i="3"/>
  <c r="BC27" i="3"/>
  <c r="AU19" i="3"/>
  <c r="BA13" i="3"/>
  <c r="BD13" i="3"/>
  <c r="AZ19" i="3"/>
  <c r="BB14" i="3"/>
  <c r="BS41" i="3"/>
  <c r="AZ25" i="3"/>
  <c r="AZ11" i="3"/>
  <c r="BN20" i="3"/>
  <c r="BN13" i="3"/>
  <c r="BB28" i="3"/>
  <c r="BA11" i="3"/>
  <c r="BO26" i="3"/>
  <c r="BO11" i="3"/>
  <c r="BK30" i="3"/>
  <c r="BK23" i="3"/>
  <c r="BD30" i="3"/>
  <c r="BD26" i="3"/>
  <c r="AV25" i="3"/>
  <c r="AV18" i="3"/>
  <c r="BI9" i="3"/>
  <c r="BV27" i="3"/>
  <c r="BJ14" i="3"/>
  <c r="BA12" i="3"/>
  <c r="BL32" i="3"/>
  <c r="BD27" i="3"/>
  <c r="BI19" i="3"/>
  <c r="BC22" i="3"/>
  <c r="BB18" i="3"/>
  <c r="AZ18" i="3"/>
  <c r="AZ17" i="3"/>
  <c r="AY19" i="3"/>
  <c r="BS42" i="3"/>
  <c r="BR42" i="3"/>
  <c r="AZ20" i="3"/>
  <c r="BN30" i="3"/>
  <c r="BB20" i="3"/>
  <c r="BO18" i="3"/>
  <c r="BF23" i="3"/>
  <c r="BK15" i="3"/>
  <c r="AU13" i="3"/>
  <c r="AU11" i="3"/>
  <c r="AU23" i="3"/>
  <c r="BD33" i="3"/>
  <c r="BD25" i="3"/>
  <c r="BD10" i="3"/>
  <c r="AV28" i="3"/>
  <c r="AV10" i="3"/>
  <c r="BW27" i="3"/>
  <c r="BV22" i="3"/>
  <c r="BJ32" i="3"/>
  <c r="BA29" i="3"/>
  <c r="BL24" i="3"/>
  <c r="BL8" i="3"/>
  <c r="BD37" i="3"/>
  <c r="BI17" i="3"/>
  <c r="BK34" i="3"/>
  <c r="AU24" i="3"/>
  <c r="AU12" i="3"/>
  <c r="AU8" i="3"/>
  <c r="BB16" i="3"/>
  <c r="AZ16" i="3"/>
  <c r="AZ14" i="3"/>
  <c r="BS39" i="3"/>
  <c r="BR39" i="3"/>
  <c r="BP11" i="3"/>
  <c r="BN23" i="3"/>
  <c r="BN16" i="3"/>
  <c r="BB11" i="3"/>
  <c r="BB23" i="3"/>
  <c r="BA23" i="3"/>
  <c r="BA30" i="3"/>
  <c r="BW11" i="3"/>
  <c r="BO10" i="3"/>
  <c r="BO20" i="3"/>
  <c r="BF11" i="3"/>
  <c r="BK25" i="3"/>
  <c r="BK18" i="3"/>
  <c r="AU15" i="3"/>
  <c r="BQ11" i="3"/>
  <c r="BQ10" i="3"/>
  <c r="BD9" i="3"/>
  <c r="BD21" i="3"/>
  <c r="AV20" i="3"/>
  <c r="AV21" i="3"/>
  <c r="BW22" i="3"/>
  <c r="BB29" i="3"/>
  <c r="BA27" i="3"/>
  <c r="AV24" i="3"/>
  <c r="AV14" i="3"/>
  <c r="AV17" i="3"/>
  <c r="BI24" i="3"/>
  <c r="BK17" i="3"/>
  <c r="BK14" i="3"/>
  <c r="AU17" i="3"/>
  <c r="AU27" i="3"/>
  <c r="AZ29" i="3"/>
  <c r="BB15" i="3"/>
  <c r="AZ15" i="3"/>
  <c r="BD19" i="3"/>
  <c r="AY14" i="3"/>
  <c r="AZ33" i="3"/>
  <c r="AZ26" i="3"/>
  <c r="AZ30" i="3"/>
  <c r="BN15" i="3"/>
  <c r="BN11" i="3"/>
  <c r="BB30" i="3"/>
  <c r="BB21" i="3"/>
  <c r="BO9" i="3"/>
  <c r="BO21" i="3"/>
  <c r="BG11" i="3"/>
  <c r="BF25" i="3"/>
  <c r="BK21" i="3"/>
  <c r="BK9" i="3"/>
  <c r="BK10" i="3"/>
  <c r="AU18" i="3"/>
  <c r="BU11" i="3"/>
  <c r="BD28" i="3"/>
  <c r="BD11" i="3"/>
  <c r="AV13" i="3"/>
  <c r="BO8" i="3"/>
  <c r="BJ24" i="3"/>
  <c r="BB8" i="3"/>
  <c r="BL12" i="3"/>
  <c r="BD34" i="3"/>
  <c r="AV12" i="3"/>
  <c r="BR37" i="3"/>
  <c r="BI34" i="3"/>
  <c r="BK24" i="3"/>
  <c r="AZ8" i="3"/>
  <c r="BB13" i="3"/>
  <c r="AZ13" i="3"/>
  <c r="BD17" i="3"/>
  <c r="BT17" i="3"/>
  <c r="BP10" i="3"/>
  <c r="AZ28" i="3"/>
  <c r="AZ10" i="3"/>
  <c r="AZ31" i="3"/>
  <c r="BN26" i="3"/>
  <c r="BV11" i="3"/>
  <c r="BF18" i="3"/>
  <c r="BK16" i="3"/>
  <c r="AU25" i="3"/>
  <c r="AU10" i="3"/>
  <c r="BD36" i="3"/>
  <c r="BD20" i="3"/>
  <c r="AV23" i="3"/>
  <c r="AV11" i="3"/>
  <c r="BJ19" i="3"/>
  <c r="BM27" i="3"/>
  <c r="BL19" i="3"/>
  <c r="BL17" i="3"/>
  <c r="BD22" i="3"/>
  <c r="BR8" i="3"/>
  <c r="BI32" i="3"/>
  <c r="BK19" i="3"/>
  <c r="BA18" i="3"/>
  <c r="BR41" i="3"/>
  <c r="AT5" i="3"/>
  <c r="AT10" i="3" s="1"/>
  <c r="BN5" i="3"/>
  <c r="BU5" i="3"/>
  <c r="BE5" i="3"/>
  <c r="BY52" i="3"/>
  <c r="L56" i="5" s="1"/>
  <c r="K56" i="5"/>
  <c r="AW9" i="3"/>
  <c r="BJ3" i="3"/>
  <c r="BJ29" i="3" s="1"/>
  <c r="BE3" i="3"/>
  <c r="BE35" i="3" s="1"/>
  <c r="AY3" i="3"/>
  <c r="AT3" i="3"/>
  <c r="AT9" i="3" s="1"/>
  <c r="BH43" i="3"/>
  <c r="BW10" i="3"/>
  <c r="BG36" i="3"/>
  <c r="BG35" i="3"/>
  <c r="BU25" i="3"/>
  <c r="BH11" i="3"/>
  <c r="BC30" i="3"/>
  <c r="BW48" i="3"/>
  <c r="BW13" i="3"/>
  <c r="BG30" i="3"/>
  <c r="BU20" i="3"/>
  <c r="BH28" i="3"/>
  <c r="BH46" i="3"/>
  <c r="BC36" i="3"/>
  <c r="BW46" i="3"/>
  <c r="BW43" i="3"/>
  <c r="BG33" i="3"/>
  <c r="BG20" i="3"/>
  <c r="BU23" i="3"/>
  <c r="BH48" i="3"/>
  <c r="BH9" i="3"/>
  <c r="BC48" i="3"/>
  <c r="BC20" i="3"/>
  <c r="BW38" i="3"/>
  <c r="BW35" i="3"/>
  <c r="BG23" i="3"/>
  <c r="BU46" i="3"/>
  <c r="BU26" i="3"/>
  <c r="BH33" i="3"/>
  <c r="BH23" i="3"/>
  <c r="BC40" i="3"/>
  <c r="BC23" i="3"/>
  <c r="BW33" i="3"/>
  <c r="BG15" i="3"/>
  <c r="BU18" i="3"/>
  <c r="BH26" i="3"/>
  <c r="BC38" i="3"/>
  <c r="BC10" i="3"/>
  <c r="BW9" i="3"/>
  <c r="BW20" i="3"/>
  <c r="BG10" i="3"/>
  <c r="BU38" i="3"/>
  <c r="BU21" i="3"/>
  <c r="BH18" i="3"/>
  <c r="BC21" i="3"/>
  <c r="BW23" i="3"/>
  <c r="BG9" i="3"/>
  <c r="BG13" i="3"/>
  <c r="BU43" i="3"/>
  <c r="BU16" i="3"/>
  <c r="BH13" i="3"/>
  <c r="BC43" i="3"/>
  <c r="BW15" i="3"/>
  <c r="BG38" i="3"/>
  <c r="BG43" i="3"/>
  <c r="BM9" i="3"/>
  <c r="BV23" i="3"/>
  <c r="BH25" i="3"/>
  <c r="BH10" i="3"/>
  <c r="BH38" i="3"/>
  <c r="BC46" i="3"/>
  <c r="BC33" i="3"/>
  <c r="BW36" i="3"/>
  <c r="BW26" i="3"/>
  <c r="BG50" i="3"/>
  <c r="BG26" i="3"/>
  <c r="BV46" i="3"/>
  <c r="BV15" i="3"/>
  <c r="BU50" i="3"/>
  <c r="BU9" i="3"/>
  <c r="BU10" i="3"/>
  <c r="BT46" i="3"/>
  <c r="BT23" i="3"/>
  <c r="BW32" i="3"/>
  <c r="BG32" i="3"/>
  <c r="BV47" i="3"/>
  <c r="BU44" i="3"/>
  <c r="BM47" i="3"/>
  <c r="BM37" i="3"/>
  <c r="BT34" i="3"/>
  <c r="BC47" i="3"/>
  <c r="AX13" i="3"/>
  <c r="BC41" i="3"/>
  <c r="BG41" i="3"/>
  <c r="BM40" i="3"/>
  <c r="BV16" i="3"/>
  <c r="BH20" i="3"/>
  <c r="BH21" i="3"/>
  <c r="BH30" i="3"/>
  <c r="BC26" i="3"/>
  <c r="BC25" i="3"/>
  <c r="BW50" i="3"/>
  <c r="BW18" i="3"/>
  <c r="BW28" i="3"/>
  <c r="BG25" i="3"/>
  <c r="BG18" i="3"/>
  <c r="BG28" i="3"/>
  <c r="BV43" i="3"/>
  <c r="BV26" i="3"/>
  <c r="BV25" i="3"/>
  <c r="BU35" i="3"/>
  <c r="BU28" i="3"/>
  <c r="BU45" i="3"/>
  <c r="BT43" i="3"/>
  <c r="BT38" i="3"/>
  <c r="BT15" i="3"/>
  <c r="BW29" i="3"/>
  <c r="BW12" i="3"/>
  <c r="BG29" i="3"/>
  <c r="BG12" i="3"/>
  <c r="BV34" i="3"/>
  <c r="BV24" i="3"/>
  <c r="BU32" i="3"/>
  <c r="BM34" i="3"/>
  <c r="BM17" i="3"/>
  <c r="BT32" i="3"/>
  <c r="BT14" i="3"/>
  <c r="BC24" i="3"/>
  <c r="BC34" i="3"/>
  <c r="BC18" i="3"/>
  <c r="AX19" i="3"/>
  <c r="BT42" i="3"/>
  <c r="BG40" i="3"/>
  <c r="BM41" i="3"/>
  <c r="BV38" i="3"/>
  <c r="BV9" i="3"/>
  <c r="BT33" i="3"/>
  <c r="BT30" i="3"/>
  <c r="BT50" i="3"/>
  <c r="BW49" i="3"/>
  <c r="BW19" i="3"/>
  <c r="BG8" i="3"/>
  <c r="BG19" i="3"/>
  <c r="BV44" i="3"/>
  <c r="BU17" i="3"/>
  <c r="BM14" i="3"/>
  <c r="BM24" i="3"/>
  <c r="BT24" i="3"/>
  <c r="BC49" i="3"/>
  <c r="BC44" i="3"/>
  <c r="BC16" i="3"/>
  <c r="AX17" i="3"/>
  <c r="BM42" i="3"/>
  <c r="BT39" i="3"/>
  <c r="BG39" i="3"/>
  <c r="BH42" i="3"/>
  <c r="BW39" i="3"/>
  <c r="BV39" i="3"/>
  <c r="BV18" i="3"/>
  <c r="BH45" i="3"/>
  <c r="BH16" i="3"/>
  <c r="BH31" i="3"/>
  <c r="BC50" i="3"/>
  <c r="BC28" i="3"/>
  <c r="BW30" i="3"/>
  <c r="BW25" i="3"/>
  <c r="BW21" i="3"/>
  <c r="BG46" i="3"/>
  <c r="BG45" i="3"/>
  <c r="BG21" i="3"/>
  <c r="BV50" i="3"/>
  <c r="BV36" i="3"/>
  <c r="BV10" i="3"/>
  <c r="AX10" i="3"/>
  <c r="BU48" i="3"/>
  <c r="BU31" i="3"/>
  <c r="BU13" i="3"/>
  <c r="BT35" i="3"/>
  <c r="BT25" i="3"/>
  <c r="BT26" i="3"/>
  <c r="BW37" i="3"/>
  <c r="BG49" i="3"/>
  <c r="BV14" i="3"/>
  <c r="BV32" i="3"/>
  <c r="BT44" i="3"/>
  <c r="BT29" i="3"/>
  <c r="BC37" i="3"/>
  <c r="BC15" i="3"/>
  <c r="AX14" i="3"/>
  <c r="BM39" i="3"/>
  <c r="BG42" i="3"/>
  <c r="BH39" i="3"/>
  <c r="BW42" i="3"/>
  <c r="BV42" i="3"/>
  <c r="BV28" i="3"/>
  <c r="BT9" i="3"/>
  <c r="BT18" i="3"/>
  <c r="BW17" i="3"/>
  <c r="BG47" i="3"/>
  <c r="BG37" i="3"/>
  <c r="BV29" i="3"/>
  <c r="BV12" i="3"/>
  <c r="BM44" i="3"/>
  <c r="BM22" i="3"/>
  <c r="BT12" i="3"/>
  <c r="BT8" i="3"/>
  <c r="BC32" i="3"/>
  <c r="BC29" i="3"/>
  <c r="BC13" i="3"/>
  <c r="BW41" i="3"/>
  <c r="BV40" i="3"/>
  <c r="BV35" i="3"/>
  <c r="BV21" i="3"/>
  <c r="BT36" i="3"/>
  <c r="BH36" i="3"/>
  <c r="BH35" i="3"/>
  <c r="BH15" i="3"/>
  <c r="BC45" i="3"/>
  <c r="BC35" i="3"/>
  <c r="BC31" i="3"/>
  <c r="BW45" i="3"/>
  <c r="BW31" i="3"/>
  <c r="BW16" i="3"/>
  <c r="BG48" i="3"/>
  <c r="BG31" i="3"/>
  <c r="BV33" i="3"/>
  <c r="BV20" i="3"/>
  <c r="BV13" i="3"/>
  <c r="AX9" i="3"/>
  <c r="BU36" i="3"/>
  <c r="BU15" i="3"/>
  <c r="BU30" i="3"/>
  <c r="BT48" i="3"/>
  <c r="BT28" i="3"/>
  <c r="BT10" i="3"/>
  <c r="BW34" i="3"/>
  <c r="BW14" i="3"/>
  <c r="BG34" i="3"/>
  <c r="BG17" i="3"/>
  <c r="BH8" i="3"/>
  <c r="BV49" i="3"/>
  <c r="BM32" i="3"/>
  <c r="BM29" i="3"/>
  <c r="BT19" i="3"/>
  <c r="BT49" i="3"/>
  <c r="BC12" i="3"/>
  <c r="BC8" i="3"/>
  <c r="AX18" i="3"/>
  <c r="BC42" i="3"/>
  <c r="BV41" i="3"/>
  <c r="BV30" i="3"/>
  <c r="BV31" i="3"/>
  <c r="BV48" i="3"/>
  <c r="BT45" i="3"/>
  <c r="BT20" i="3"/>
  <c r="BT21" i="3"/>
  <c r="BW24" i="3"/>
  <c r="BG24" i="3"/>
  <c r="BH49" i="3"/>
  <c r="BV37" i="3"/>
  <c r="BM12" i="3"/>
  <c r="BM8" i="3"/>
  <c r="BT37" i="3"/>
  <c r="BC39" i="3"/>
  <c r="AX16" i="3"/>
  <c r="BH41" i="3"/>
  <c r="BT40" i="3"/>
  <c r="BU40" i="3"/>
  <c r="BT16" i="3"/>
  <c r="BT31" i="3"/>
  <c r="BT13" i="3"/>
  <c r="BW47" i="3"/>
  <c r="BW44" i="3"/>
  <c r="BG14" i="3"/>
  <c r="BV19" i="3"/>
  <c r="BV17" i="3"/>
  <c r="AX8" i="3"/>
  <c r="BM19" i="3"/>
  <c r="BT47" i="3"/>
  <c r="AX15" i="3"/>
  <c r="BH40" i="3"/>
  <c r="BF49" i="3"/>
  <c r="BQ49" i="3"/>
  <c r="BQ27" i="3"/>
  <c r="BB37" i="3"/>
  <c r="BB27" i="3"/>
  <c r="BR17" i="3"/>
  <c r="BR19" i="3"/>
  <c r="BP34" i="3"/>
  <c r="BP12" i="3"/>
  <c r="BF19" i="3"/>
  <c r="BF37" i="3"/>
  <c r="BQ24" i="3"/>
  <c r="BQ47" i="3"/>
  <c r="BB49" i="3"/>
  <c r="BB47" i="3"/>
  <c r="BR27" i="3"/>
  <c r="BP49" i="3"/>
  <c r="BP19" i="3"/>
  <c r="AZ22" i="3"/>
  <c r="AZ24" i="3"/>
  <c r="BF34" i="3"/>
  <c r="BF17" i="3"/>
  <c r="BQ17" i="3"/>
  <c r="BQ61" i="3" s="1"/>
  <c r="I31" i="1" s="1"/>
  <c r="BQ34" i="3"/>
  <c r="BB34" i="3"/>
  <c r="BR49" i="3"/>
  <c r="BR47" i="3"/>
  <c r="BP37" i="3"/>
  <c r="BP27" i="3"/>
  <c r="AZ47" i="3"/>
  <c r="AZ44" i="3"/>
  <c r="BQ44" i="3"/>
  <c r="BQ14" i="3"/>
  <c r="BB24" i="3"/>
  <c r="BB22" i="3"/>
  <c r="BR29" i="3"/>
  <c r="BR34" i="3"/>
  <c r="BP17" i="3"/>
  <c r="AZ34" i="3"/>
  <c r="AZ32" i="3"/>
  <c r="BC19" i="3"/>
  <c r="BQ37" i="3"/>
  <c r="BF22" i="3"/>
  <c r="BF44" i="3"/>
  <c r="BQ32" i="3"/>
  <c r="BB44" i="3"/>
  <c r="BR24" i="3"/>
  <c r="BR14" i="3"/>
  <c r="BP29" i="3"/>
  <c r="AZ49" i="3"/>
  <c r="AZ12" i="3"/>
  <c r="BC17" i="3"/>
  <c r="BF47" i="3"/>
  <c r="BF32" i="3"/>
  <c r="BQ12" i="3"/>
  <c r="BB32" i="3"/>
  <c r="BR44" i="3"/>
  <c r="BR22" i="3"/>
  <c r="BP22" i="3"/>
  <c r="BP24" i="3"/>
  <c r="AZ37" i="3"/>
  <c r="AZ39" i="3"/>
  <c r="BQ29" i="3"/>
  <c r="BF29" i="3"/>
  <c r="BQ22" i="3"/>
  <c r="BQ19" i="3"/>
  <c r="BB42" i="3"/>
  <c r="BP14" i="3"/>
  <c r="BP44" i="3"/>
  <c r="AZ42" i="3"/>
  <c r="BQ59" i="3"/>
  <c r="G31" i="1" s="1"/>
  <c r="AT11" i="3"/>
  <c r="AT35" i="3"/>
  <c r="AT21" i="3"/>
  <c r="AT18" i="3"/>
  <c r="AT31" i="3"/>
  <c r="AT13" i="3"/>
  <c r="AT46" i="3"/>
  <c r="AT25" i="3"/>
  <c r="AT43" i="3"/>
  <c r="AT41" i="3"/>
  <c r="AT50" i="3"/>
  <c r="AT48" i="3"/>
  <c r="AT38" i="3"/>
  <c r="AX37" i="3"/>
  <c r="BO17" i="3"/>
  <c r="BH47" i="3"/>
  <c r="BN47" i="3"/>
  <c r="BH17" i="3"/>
  <c r="BO47" i="3"/>
  <c r="BN49" i="3"/>
  <c r="BO49" i="3"/>
  <c r="BH27" i="3"/>
  <c r="BN27" i="3"/>
  <c r="BN37" i="3"/>
  <c r="BS24" i="3"/>
  <c r="BS34" i="3"/>
  <c r="BO34" i="3"/>
  <c r="BO37" i="3"/>
  <c r="BH37" i="3"/>
  <c r="BN19" i="3"/>
  <c r="BN17" i="3"/>
  <c r="BN61" i="3" s="1"/>
  <c r="I28" i="1" s="1"/>
  <c r="AX49" i="3"/>
  <c r="BS17" i="3"/>
  <c r="BS14" i="3"/>
  <c r="BS44" i="3"/>
  <c r="BO27" i="3"/>
  <c r="BO24" i="3"/>
  <c r="BH34" i="3"/>
  <c r="BH24" i="3"/>
  <c r="BN14" i="3"/>
  <c r="BN24" i="3"/>
  <c r="BS32" i="3"/>
  <c r="BS29" i="3"/>
  <c r="BO14" i="3"/>
  <c r="BO44" i="3"/>
  <c r="AY8" i="3"/>
  <c r="BH22" i="3"/>
  <c r="BH44" i="3"/>
  <c r="BN22" i="3"/>
  <c r="BN44" i="3"/>
  <c r="AW12" i="3"/>
  <c r="BS12" i="3"/>
  <c r="BO29" i="3"/>
  <c r="BO32" i="3"/>
  <c r="BH14" i="3"/>
  <c r="BH32" i="3"/>
  <c r="BN34" i="3"/>
  <c r="BN32" i="3"/>
  <c r="AW44" i="3"/>
  <c r="BS19" i="3"/>
  <c r="BS22" i="3"/>
  <c r="BO12" i="3"/>
  <c r="BH29" i="3"/>
  <c r="BH12" i="3"/>
  <c r="BN29" i="3"/>
  <c r="AX27" i="3"/>
  <c r="AW22" i="3"/>
  <c r="BS49" i="3"/>
  <c r="BS27" i="3"/>
  <c r="BO22" i="3"/>
  <c r="AX39" i="3"/>
  <c r="AW42" i="3"/>
  <c r="BS37" i="3"/>
  <c r="AX22" i="3"/>
  <c r="AX24" i="3"/>
  <c r="AW32" i="3"/>
  <c r="AW29" i="3"/>
  <c r="AX34" i="3"/>
  <c r="AX44" i="3"/>
  <c r="AW19" i="3"/>
  <c r="AW8" i="3"/>
  <c r="AX42" i="3"/>
  <c r="AX32" i="3"/>
  <c r="AW47" i="3"/>
  <c r="AW49" i="3"/>
  <c r="AX29" i="3"/>
  <c r="AX12" i="3"/>
  <c r="AW34" i="3"/>
  <c r="AW37" i="3"/>
  <c r="AW14" i="3"/>
  <c r="AW17" i="3"/>
  <c r="AW39" i="3"/>
  <c r="AW27" i="3"/>
  <c r="BM43" i="3"/>
  <c r="BM28" i="3"/>
  <c r="BM45" i="3"/>
  <c r="AW30" i="3"/>
  <c r="BL46" i="3"/>
  <c r="BL23" i="3"/>
  <c r="BL11" i="3"/>
  <c r="BS13" i="3"/>
  <c r="BS43" i="3"/>
  <c r="BS28" i="3"/>
  <c r="BR45" i="3"/>
  <c r="BR10" i="3"/>
  <c r="BI43" i="3"/>
  <c r="BI36" i="3"/>
  <c r="BI30" i="3"/>
  <c r="BM36" i="3"/>
  <c r="BM20" i="3"/>
  <c r="BM21" i="3"/>
  <c r="BE38" i="3"/>
  <c r="BL48" i="3"/>
  <c r="BL38" i="3"/>
  <c r="BL15" i="3"/>
  <c r="BS38" i="3"/>
  <c r="BS35" i="3"/>
  <c r="BS20" i="3"/>
  <c r="BR46" i="3"/>
  <c r="BR18" i="3"/>
  <c r="BR36" i="3"/>
  <c r="BI35" i="3"/>
  <c r="BI28" i="3"/>
  <c r="BI33" i="3"/>
  <c r="BM46" i="3"/>
  <c r="BM31" i="3"/>
  <c r="BM13" i="3"/>
  <c r="AW35" i="3"/>
  <c r="BL45" i="3"/>
  <c r="BL30" i="3"/>
  <c r="BL50" i="3"/>
  <c r="BS46" i="3"/>
  <c r="BS11" i="3"/>
  <c r="BS31" i="3"/>
  <c r="BR43" i="3"/>
  <c r="BR48" i="3"/>
  <c r="BR28" i="3"/>
  <c r="BI45" i="3"/>
  <c r="BI25" i="3"/>
  <c r="BM38" i="3"/>
  <c r="BM23" i="3"/>
  <c r="BM16" i="3"/>
  <c r="BE46" i="3"/>
  <c r="BE31" i="3"/>
  <c r="AW11" i="3"/>
  <c r="BL43" i="3"/>
  <c r="BL25" i="3"/>
  <c r="BL26" i="3"/>
  <c r="BS50" i="3"/>
  <c r="BS30" i="3"/>
  <c r="BS23" i="3"/>
  <c r="BR26" i="3"/>
  <c r="BR16" i="3"/>
  <c r="BR20" i="3"/>
  <c r="BI15" i="3"/>
  <c r="BI21" i="3"/>
  <c r="AX33" i="3"/>
  <c r="BM35" i="3"/>
  <c r="BM15" i="3"/>
  <c r="BM30" i="3"/>
  <c r="AW41" i="3"/>
  <c r="BL36" i="3"/>
  <c r="BL18" i="3"/>
  <c r="BS26" i="3"/>
  <c r="BS33" i="3"/>
  <c r="BS15" i="3"/>
  <c r="BR38" i="3"/>
  <c r="BR11" i="3"/>
  <c r="BR23" i="3"/>
  <c r="BI46" i="3"/>
  <c r="BI13" i="3"/>
  <c r="BI20" i="3"/>
  <c r="AX43" i="3"/>
  <c r="BM50" i="3"/>
  <c r="BM33" i="3"/>
  <c r="BM26" i="3"/>
  <c r="BE48" i="3"/>
  <c r="BE50" i="3"/>
  <c r="BL33" i="3"/>
  <c r="BL28" i="3"/>
  <c r="BL10" i="3"/>
  <c r="BS21" i="3"/>
  <c r="BS25" i="3"/>
  <c r="BS18" i="3"/>
  <c r="BR31" i="3"/>
  <c r="BR30" i="3"/>
  <c r="BR15" i="3"/>
  <c r="BI48" i="3"/>
  <c r="BI16" i="3"/>
  <c r="BI26" i="3"/>
  <c r="AX38" i="3"/>
  <c r="BM48" i="3"/>
  <c r="BM25" i="3"/>
  <c r="BM18" i="3"/>
  <c r="BE43" i="3"/>
  <c r="BE33" i="3"/>
  <c r="BE10" i="3"/>
  <c r="AW15" i="3"/>
  <c r="BL35" i="3"/>
  <c r="BL20" i="3"/>
  <c r="BL21" i="3"/>
  <c r="BS48" i="3"/>
  <c r="BS10" i="3"/>
  <c r="BR50" i="3"/>
  <c r="BR33" i="3"/>
  <c r="BR21" i="3"/>
  <c r="BI23" i="3"/>
  <c r="BI11" i="3"/>
  <c r="BI18" i="3"/>
  <c r="AX26" i="3"/>
  <c r="BM11" i="3"/>
  <c r="BE40" i="3"/>
  <c r="BE25" i="3"/>
  <c r="AW10" i="3"/>
  <c r="BL16" i="3"/>
  <c r="BL31" i="3"/>
  <c r="BS45" i="3"/>
  <c r="BS36" i="3"/>
  <c r="BR35" i="3"/>
  <c r="BR25" i="3"/>
  <c r="BI31" i="3"/>
  <c r="BI38" i="3"/>
  <c r="AY23" i="3"/>
  <c r="AY26" i="3"/>
  <c r="AX35" i="3"/>
  <c r="AW50" i="3"/>
  <c r="AW33" i="3"/>
  <c r="AW26" i="3"/>
  <c r="AX46" i="3"/>
  <c r="AX30" i="3"/>
  <c r="AX21" i="3"/>
  <c r="AW25" i="3"/>
  <c r="AW18" i="3"/>
  <c r="AX50" i="3"/>
  <c r="AX36" i="3"/>
  <c r="AX48" i="3"/>
  <c r="AW48" i="3"/>
  <c r="AX41" i="3"/>
  <c r="AX28" i="3"/>
  <c r="AX40" i="3"/>
  <c r="AW43" i="3"/>
  <c r="AW28" i="3"/>
  <c r="AW45" i="3"/>
  <c r="AX20" i="3"/>
  <c r="AW40" i="3"/>
  <c r="AW20" i="3"/>
  <c r="AW21" i="3"/>
  <c r="AX31" i="3"/>
  <c r="AX25" i="3"/>
  <c r="AW36" i="3"/>
  <c r="AW31" i="3"/>
  <c r="AW13" i="3"/>
  <c r="AX45" i="3"/>
  <c r="AW46" i="3"/>
  <c r="AW38" i="3"/>
  <c r="AW23" i="3"/>
  <c r="BF14" i="3" l="1"/>
  <c r="BF27" i="3"/>
  <c r="BF8" i="3"/>
  <c r="BF15" i="3"/>
  <c r="P48" i="1"/>
  <c r="S48" i="1" s="1"/>
  <c r="O53" i="1"/>
  <c r="E53" i="1"/>
  <c r="BA16" i="3"/>
  <c r="BF26" i="3"/>
  <c r="BF10" i="3"/>
  <c r="AT26" i="3"/>
  <c r="BF16" i="3"/>
  <c r="BF24" i="3"/>
  <c r="AT20" i="3"/>
  <c r="AT28" i="3"/>
  <c r="AT30" i="3"/>
  <c r="AY29" i="3"/>
  <c r="AY30" i="3"/>
  <c r="AY28" i="3"/>
  <c r="BA19" i="3"/>
  <c r="BJ22" i="3"/>
  <c r="BA10" i="3"/>
  <c r="BA25" i="3"/>
  <c r="BA8" i="3"/>
  <c r="BA15" i="3"/>
  <c r="AY21" i="3"/>
  <c r="AY20" i="3"/>
  <c r="AY22" i="3"/>
  <c r="BA24" i="3"/>
  <c r="BA26" i="3"/>
  <c r="AY12" i="3"/>
  <c r="BJ12" i="3"/>
  <c r="BA14" i="3"/>
  <c r="P51" i="1"/>
  <c r="P49" i="1"/>
  <c r="F51" i="1"/>
  <c r="R52" i="1"/>
  <c r="S52" i="1" s="1"/>
  <c r="Q52" i="1"/>
  <c r="AY24" i="3"/>
  <c r="AY27" i="3"/>
  <c r="S50" i="1"/>
  <c r="Q50" i="1"/>
  <c r="R50" i="1"/>
  <c r="H52" i="1"/>
  <c r="I52" i="1" s="1"/>
  <c r="G52" i="1"/>
  <c r="H50" i="1"/>
  <c r="G50" i="1"/>
  <c r="I50" i="1"/>
  <c r="BK61" i="3"/>
  <c r="I25" i="1" s="1"/>
  <c r="AU62" i="3"/>
  <c r="Q9" i="1" s="1"/>
  <c r="AU63" i="3"/>
  <c r="R9" i="1" s="1"/>
  <c r="AU64" i="3"/>
  <c r="S9" i="1" s="1"/>
  <c r="AV62" i="3"/>
  <c r="Q10" i="1" s="1"/>
  <c r="BD59" i="3"/>
  <c r="G18" i="1" s="1"/>
  <c r="BB61" i="3"/>
  <c r="I16" i="1" s="1"/>
  <c r="BK64" i="3"/>
  <c r="S25" i="1" s="1"/>
  <c r="BD62" i="3"/>
  <c r="Q18" i="1" s="1"/>
  <c r="BD61" i="3"/>
  <c r="I18" i="1" s="1"/>
  <c r="A11" i="3"/>
  <c r="A14" i="5"/>
  <c r="F49" i="1"/>
  <c r="F48" i="1"/>
  <c r="BK62" i="3"/>
  <c r="Q25" i="1" s="1"/>
  <c r="BE20" i="3"/>
  <c r="BD60" i="3"/>
  <c r="H18" i="1" s="1"/>
  <c r="BK63" i="3"/>
  <c r="R25" i="1" s="1"/>
  <c r="BE30" i="3"/>
  <c r="AU60" i="3"/>
  <c r="H9" i="1" s="1"/>
  <c r="BK60" i="3"/>
  <c r="H25" i="1" s="1"/>
  <c r="AZ60" i="3"/>
  <c r="H14" i="1" s="1"/>
  <c r="AV60" i="3"/>
  <c r="H10" i="1" s="1"/>
  <c r="BF60" i="3"/>
  <c r="H20" i="1" s="1"/>
  <c r="BE11" i="3"/>
  <c r="AV63" i="3"/>
  <c r="R10" i="1" s="1"/>
  <c r="BE26" i="3"/>
  <c r="BE28" i="3"/>
  <c r="AV64" i="3"/>
  <c r="S10" i="1" s="1"/>
  <c r="BE21" i="3"/>
  <c r="BE36" i="3"/>
  <c r="BD63" i="3"/>
  <c r="R18" i="1" s="1"/>
  <c r="BD64" i="3"/>
  <c r="S18" i="1" s="1"/>
  <c r="BB60" i="3"/>
  <c r="H16" i="1" s="1"/>
  <c r="BA60" i="3"/>
  <c r="H15" i="1" s="1"/>
  <c r="BE23" i="3"/>
  <c r="BK59" i="3"/>
  <c r="G25" i="1" s="1"/>
  <c r="AZ61" i="3"/>
  <c r="I14" i="1" s="1"/>
  <c r="BA61" i="3"/>
  <c r="I15" i="1" s="1"/>
  <c r="BP61" i="3"/>
  <c r="I30" i="1" s="1"/>
  <c r="BN12" i="3"/>
  <c r="BN64" i="3" s="1"/>
  <c r="S28" i="1" s="1"/>
  <c r="BN8" i="3"/>
  <c r="BO59" i="3"/>
  <c r="G29" i="1" s="1"/>
  <c r="AZ59" i="3"/>
  <c r="G14" i="1" s="1"/>
  <c r="BA59" i="3"/>
  <c r="G15" i="1" s="1"/>
  <c r="BL63" i="3"/>
  <c r="R26" i="1" s="1"/>
  <c r="AU61" i="3"/>
  <c r="I9" i="1" s="1"/>
  <c r="AT8" i="3"/>
  <c r="AT27" i="3"/>
  <c r="AT22" i="3"/>
  <c r="AV61" i="3"/>
  <c r="I10" i="1" s="1"/>
  <c r="AU59" i="3"/>
  <c r="G9" i="1" s="1"/>
  <c r="AY25" i="3"/>
  <c r="AY13" i="3"/>
  <c r="AY15" i="3"/>
  <c r="AY11" i="3"/>
  <c r="AY17" i="3"/>
  <c r="AY16" i="3"/>
  <c r="AY18" i="3"/>
  <c r="AY10" i="3"/>
  <c r="AV59" i="3"/>
  <c r="G10" i="1" s="1"/>
  <c r="BF61" i="3"/>
  <c r="I20" i="1" s="1"/>
  <c r="BE19" i="3"/>
  <c r="BE22" i="3"/>
  <c r="BE34" i="3"/>
  <c r="BE24" i="3"/>
  <c r="BE27" i="3"/>
  <c r="BE29" i="3"/>
  <c r="BE37" i="3"/>
  <c r="BE32" i="3"/>
  <c r="BE14" i="3"/>
  <c r="BE8" i="3"/>
  <c r="BE12" i="3"/>
  <c r="BJ9" i="3"/>
  <c r="BJ25" i="3"/>
  <c r="BJ13" i="3"/>
  <c r="BJ21" i="3"/>
  <c r="BJ30" i="3"/>
  <c r="BJ26" i="3"/>
  <c r="BJ15" i="3"/>
  <c r="BJ16" i="3"/>
  <c r="BJ23" i="3"/>
  <c r="BJ20" i="3"/>
  <c r="BJ18" i="3"/>
  <c r="BJ10" i="3"/>
  <c r="BJ17" i="3"/>
  <c r="BJ28" i="3"/>
  <c r="BF59" i="3"/>
  <c r="G20" i="1" s="1"/>
  <c r="BB59" i="3"/>
  <c r="G16" i="1" s="1"/>
  <c r="BE45" i="3"/>
  <c r="BE18" i="3"/>
  <c r="BE9" i="3"/>
  <c r="BE17" i="3"/>
  <c r="BE16" i="3"/>
  <c r="BE13" i="3"/>
  <c r="BE15" i="3"/>
  <c r="BI64" i="3"/>
  <c r="S23" i="1" s="1"/>
  <c r="BU8" i="3"/>
  <c r="BU22" i="3"/>
  <c r="BU27" i="3"/>
  <c r="BO60" i="3"/>
  <c r="H29" i="1" s="1"/>
  <c r="BP59" i="3"/>
  <c r="G30" i="1" s="1"/>
  <c r="BO61" i="3"/>
  <c r="I29" i="1" s="1"/>
  <c r="BP60" i="3"/>
  <c r="H30" i="1" s="1"/>
  <c r="BQ60" i="3"/>
  <c r="H31" i="1" s="1"/>
  <c r="BN59" i="3"/>
  <c r="G28" i="1" s="1"/>
  <c r="BN60" i="3"/>
  <c r="H28" i="1" s="1"/>
  <c r="AT19" i="3"/>
  <c r="AT29" i="3"/>
  <c r="AT14" i="3"/>
  <c r="BU39" i="3"/>
  <c r="AT24" i="3"/>
  <c r="BU47" i="3"/>
  <c r="BX47" i="3" s="1"/>
  <c r="AT37" i="3"/>
  <c r="BX37" i="3" s="1"/>
  <c r="AT33" i="3"/>
  <c r="AT32" i="3"/>
  <c r="AT34" i="3"/>
  <c r="AT49" i="3"/>
  <c r="BU29" i="3"/>
  <c r="AT17" i="3"/>
  <c r="BU14" i="3"/>
  <c r="BU19" i="3"/>
  <c r="BU34" i="3"/>
  <c r="BU37" i="3"/>
  <c r="BU42" i="3"/>
  <c r="BU49" i="3"/>
  <c r="BX49" i="3" s="1"/>
  <c r="BU12" i="3"/>
  <c r="AT42" i="3"/>
  <c r="AT44" i="3"/>
  <c r="BX44" i="3" s="1"/>
  <c r="BU24" i="3"/>
  <c r="AT47" i="3"/>
  <c r="AT39" i="3"/>
  <c r="AT12" i="3"/>
  <c r="BU33" i="3"/>
  <c r="BL64" i="3"/>
  <c r="S26" i="1" s="1"/>
  <c r="BL62" i="3"/>
  <c r="Q26" i="1" s="1"/>
  <c r="BI62" i="3"/>
  <c r="Q23" i="1" s="1"/>
  <c r="BI63" i="3"/>
  <c r="R23" i="1" s="1"/>
  <c r="AT45" i="3"/>
  <c r="AT36" i="3"/>
  <c r="AT15" i="3"/>
  <c r="AT40" i="3"/>
  <c r="BX40" i="3" s="1"/>
  <c r="AT23" i="3"/>
  <c r="AT16" i="3"/>
  <c r="BJ11" i="3"/>
  <c r="BX38" i="3"/>
  <c r="BY38" i="3" s="1"/>
  <c r="L42" i="5" s="1"/>
  <c r="AY9" i="3"/>
  <c r="BT59" i="3"/>
  <c r="G34" i="1" s="1"/>
  <c r="BC61" i="3"/>
  <c r="I17" i="1" s="1"/>
  <c r="BU61" i="3"/>
  <c r="I35" i="1" s="1"/>
  <c r="BT61" i="3"/>
  <c r="I34" i="1" s="1"/>
  <c r="BW61" i="3"/>
  <c r="I37" i="1" s="1"/>
  <c r="BX43" i="3"/>
  <c r="K47" i="5" s="1"/>
  <c r="M47" i="5" s="1"/>
  <c r="BV61" i="3"/>
  <c r="I36" i="1" s="1"/>
  <c r="BG61" i="3"/>
  <c r="I21" i="1" s="1"/>
  <c r="BX46" i="3"/>
  <c r="BX31" i="3"/>
  <c r="BW60" i="3"/>
  <c r="H37" i="1" s="1"/>
  <c r="BX41" i="3"/>
  <c r="BX35" i="3"/>
  <c r="BX48" i="3"/>
  <c r="BT60" i="3"/>
  <c r="H34" i="1" s="1"/>
  <c r="BX50" i="3"/>
  <c r="BC60" i="3"/>
  <c r="H17" i="1" s="1"/>
  <c r="BW59" i="3"/>
  <c r="G37" i="1" s="1"/>
  <c r="BR64" i="3"/>
  <c r="S32" i="1" s="1"/>
  <c r="BC62" i="3"/>
  <c r="Q17" i="1" s="1"/>
  <c r="BM63" i="3"/>
  <c r="R27" i="1" s="1"/>
  <c r="BW64" i="3"/>
  <c r="S37" i="1" s="1"/>
  <c r="BR62" i="3"/>
  <c r="Q32" i="1" s="1"/>
  <c r="BR63" i="3"/>
  <c r="R32" i="1" s="1"/>
  <c r="BM62" i="3"/>
  <c r="Q27" i="1" s="1"/>
  <c r="AZ62" i="3"/>
  <c r="Q14" i="1" s="1"/>
  <c r="BQ64" i="3"/>
  <c r="S31" i="1" s="1"/>
  <c r="BT64" i="3"/>
  <c r="S34" i="1" s="1"/>
  <c r="BG63" i="3"/>
  <c r="R21" i="1" s="1"/>
  <c r="BC64" i="3"/>
  <c r="S17" i="1" s="1"/>
  <c r="BV63" i="3"/>
  <c r="R36" i="1" s="1"/>
  <c r="BM64" i="3"/>
  <c r="S27" i="1" s="1"/>
  <c r="BW63" i="3"/>
  <c r="R37" i="1" s="1"/>
  <c r="BB63" i="3"/>
  <c r="R16" i="1" s="1"/>
  <c r="BG64" i="3"/>
  <c r="S21" i="1" s="1"/>
  <c r="BH59" i="3"/>
  <c r="G22" i="1" s="1"/>
  <c r="BV60" i="3"/>
  <c r="H36" i="1" s="1"/>
  <c r="BU59" i="3"/>
  <c r="G35" i="1" s="1"/>
  <c r="BT63" i="3"/>
  <c r="R34" i="1" s="1"/>
  <c r="BT62" i="3"/>
  <c r="Q34" i="1" s="1"/>
  <c r="BG59" i="3"/>
  <c r="G21" i="1" s="1"/>
  <c r="BQ62" i="3"/>
  <c r="Q31" i="1" s="1"/>
  <c r="BG62" i="3"/>
  <c r="Q21" i="1" s="1"/>
  <c r="BH60" i="3"/>
  <c r="H22" i="1" s="1"/>
  <c r="BC59" i="3"/>
  <c r="G17" i="1" s="1"/>
  <c r="BB64" i="3"/>
  <c r="S16" i="1" s="1"/>
  <c r="BV64" i="3"/>
  <c r="S36" i="1" s="1"/>
  <c r="BW62" i="3"/>
  <c r="Q37" i="1" s="1"/>
  <c r="BG60" i="3"/>
  <c r="H21" i="1" s="1"/>
  <c r="BQ63" i="3"/>
  <c r="R31" i="1" s="1"/>
  <c r="BH61" i="3"/>
  <c r="I22" i="1" s="1"/>
  <c r="BB62" i="3"/>
  <c r="Q16" i="1" s="1"/>
  <c r="BV62" i="3"/>
  <c r="Q36" i="1" s="1"/>
  <c r="BC63" i="3"/>
  <c r="R17" i="1" s="1"/>
  <c r="BV59" i="3"/>
  <c r="G36" i="1" s="1"/>
  <c r="AZ63" i="3"/>
  <c r="R14" i="1" s="1"/>
  <c r="BU60" i="3"/>
  <c r="H35" i="1" s="1"/>
  <c r="BP64" i="3"/>
  <c r="S30" i="1" s="1"/>
  <c r="AZ64" i="3"/>
  <c r="S14" i="1" s="1"/>
  <c r="BP63" i="3"/>
  <c r="R30" i="1" s="1"/>
  <c r="BP62" i="3"/>
  <c r="Q30" i="1" s="1"/>
  <c r="BL60" i="3"/>
  <c r="H26" i="1" s="1"/>
  <c r="BH63" i="3"/>
  <c r="R22" i="1" s="1"/>
  <c r="BM59" i="3"/>
  <c r="G27" i="1" s="1"/>
  <c r="BI60" i="3"/>
  <c r="H23" i="1" s="1"/>
  <c r="BS63" i="3"/>
  <c r="R33" i="1" s="1"/>
  <c r="AX60" i="3"/>
  <c r="H12" i="1" s="1"/>
  <c r="BI61" i="3"/>
  <c r="I23" i="1" s="1"/>
  <c r="BM60" i="3"/>
  <c r="H27" i="1" s="1"/>
  <c r="BS62" i="3"/>
  <c r="Q33" i="1" s="1"/>
  <c r="AX59" i="3"/>
  <c r="G12" i="1" s="1"/>
  <c r="AW61" i="3"/>
  <c r="I11" i="1" s="1"/>
  <c r="BS60" i="3"/>
  <c r="H33" i="1" s="1"/>
  <c r="BO64" i="3"/>
  <c r="S29" i="1" s="1"/>
  <c r="BR60" i="3"/>
  <c r="H32" i="1" s="1"/>
  <c r="AW62" i="3"/>
  <c r="Q11" i="1" s="1"/>
  <c r="AW64" i="3"/>
  <c r="S11" i="1" s="1"/>
  <c r="AW63" i="3"/>
  <c r="R11" i="1" s="1"/>
  <c r="BI59" i="3"/>
  <c r="G23" i="1" s="1"/>
  <c r="BR61" i="3"/>
  <c r="I32" i="1" s="1"/>
  <c r="BS61" i="3"/>
  <c r="I33" i="1" s="1"/>
  <c r="BM61" i="3"/>
  <c r="I27" i="1" s="1"/>
  <c r="BR59" i="3"/>
  <c r="G32" i="1" s="1"/>
  <c r="BS59" i="3"/>
  <c r="G33" i="1" s="1"/>
  <c r="AX64" i="3"/>
  <c r="S12" i="1" s="1"/>
  <c r="BL59" i="3"/>
  <c r="G26" i="1" s="1"/>
  <c r="AX62" i="3"/>
  <c r="Q12" i="1" s="1"/>
  <c r="BL61" i="3"/>
  <c r="I26" i="1" s="1"/>
  <c r="AW59" i="3"/>
  <c r="G11" i="1" s="1"/>
  <c r="AX63" i="3"/>
  <c r="R12" i="1" s="1"/>
  <c r="BO62" i="3"/>
  <c r="Q29" i="1" s="1"/>
  <c r="BH64" i="3"/>
  <c r="S22" i="1" s="1"/>
  <c r="AX61" i="3"/>
  <c r="I12" i="1" s="1"/>
  <c r="AW60" i="3"/>
  <c r="H11" i="1" s="1"/>
  <c r="BO63" i="3"/>
  <c r="R29" i="1" s="1"/>
  <c r="BH62" i="3"/>
  <c r="Q22" i="1" s="1"/>
  <c r="BS64" i="3"/>
  <c r="S33" i="1" s="1"/>
  <c r="BF64" i="3" l="1"/>
  <c r="S20" i="1" s="1"/>
  <c r="P53" i="1"/>
  <c r="BF63" i="3"/>
  <c r="R20" i="1" s="1"/>
  <c r="Q48" i="1"/>
  <c r="R48" i="1"/>
  <c r="F53" i="1"/>
  <c r="BF62" i="3"/>
  <c r="Q20" i="1" s="1"/>
  <c r="BA63" i="3"/>
  <c r="R15" i="1" s="1"/>
  <c r="BA62" i="3"/>
  <c r="Q15" i="1" s="1"/>
  <c r="BX20" i="3"/>
  <c r="BY20" i="3" s="1"/>
  <c r="L24" i="5" s="1"/>
  <c r="BA64" i="3"/>
  <c r="S15" i="1" s="1"/>
  <c r="BJ63" i="3"/>
  <c r="R24" i="1" s="1"/>
  <c r="R43" i="1" s="1"/>
  <c r="BX25" i="3"/>
  <c r="BY25" i="3" s="1"/>
  <c r="L29" i="5" s="1"/>
  <c r="BJ61" i="3"/>
  <c r="I24" i="1" s="1"/>
  <c r="AY63" i="3"/>
  <c r="R13" i="1" s="1"/>
  <c r="R44" i="1" s="1"/>
  <c r="BX10" i="3"/>
  <c r="BY10" i="3" s="1"/>
  <c r="L14" i="5" s="1"/>
  <c r="BJ64" i="3"/>
  <c r="S24" i="1" s="1"/>
  <c r="BX26" i="3"/>
  <c r="K30" i="5" s="1"/>
  <c r="M30" i="5" s="1"/>
  <c r="BX28" i="3"/>
  <c r="K32" i="5" s="1"/>
  <c r="M32" i="5" s="1"/>
  <c r="BJ62" i="3"/>
  <c r="Q24" i="1" s="1"/>
  <c r="Q43" i="1" s="1"/>
  <c r="AY64" i="3"/>
  <c r="S13" i="1" s="1"/>
  <c r="S44" i="1" s="1"/>
  <c r="AY62" i="3"/>
  <c r="Q13" i="1" s="1"/>
  <c r="Q44" i="1" s="1"/>
  <c r="BE63" i="3"/>
  <c r="R19" i="1" s="1"/>
  <c r="A12" i="3"/>
  <c r="A15" i="5"/>
  <c r="BX30" i="3"/>
  <c r="BY30" i="3" s="1"/>
  <c r="L34" i="5" s="1"/>
  <c r="BX14" i="3"/>
  <c r="BY14" i="3" s="1"/>
  <c r="L18" i="5" s="1"/>
  <c r="BX16" i="3"/>
  <c r="K20" i="5" s="1"/>
  <c r="M20" i="5" s="1"/>
  <c r="BX21" i="3"/>
  <c r="K25" i="5" s="1"/>
  <c r="M25" i="5" s="1"/>
  <c r="BX23" i="3"/>
  <c r="K27" i="5" s="1"/>
  <c r="M27" i="5" s="1"/>
  <c r="BX32" i="3"/>
  <c r="BY32" i="3" s="1"/>
  <c r="L36" i="5" s="1"/>
  <c r="BX33" i="3"/>
  <c r="K37" i="5" s="1"/>
  <c r="M37" i="5" s="1"/>
  <c r="BN63" i="3"/>
  <c r="R28" i="1" s="1"/>
  <c r="BX15" i="3"/>
  <c r="BY15" i="3" s="1"/>
  <c r="L19" i="5" s="1"/>
  <c r="BX36" i="3"/>
  <c r="BY36" i="3" s="1"/>
  <c r="L40" i="5" s="1"/>
  <c r="BX18" i="3"/>
  <c r="K22" i="5" s="1"/>
  <c r="M22" i="5" s="1"/>
  <c r="BX27" i="3"/>
  <c r="K31" i="5" s="1"/>
  <c r="M31" i="5" s="1"/>
  <c r="BN62" i="3"/>
  <c r="Q28" i="1" s="1"/>
  <c r="BX22" i="3"/>
  <c r="BY22" i="3" s="1"/>
  <c r="L26" i="5" s="1"/>
  <c r="BX8" i="3"/>
  <c r="BE62" i="3"/>
  <c r="Q19" i="1" s="1"/>
  <c r="BX29" i="3"/>
  <c r="BY29" i="3" s="1"/>
  <c r="L33" i="5" s="1"/>
  <c r="AY60" i="3"/>
  <c r="H13" i="1" s="1"/>
  <c r="BX34" i="3"/>
  <c r="BY34" i="3" s="1"/>
  <c r="L38" i="5" s="1"/>
  <c r="BE60" i="3"/>
  <c r="H19" i="1" s="1"/>
  <c r="BJ59" i="3"/>
  <c r="G24" i="1" s="1"/>
  <c r="BU63" i="3"/>
  <c r="R35" i="1" s="1"/>
  <c r="AY59" i="3"/>
  <c r="G13" i="1" s="1"/>
  <c r="BX13" i="3"/>
  <c r="BY13" i="3" s="1"/>
  <c r="L17" i="5" s="1"/>
  <c r="BE59" i="3"/>
  <c r="G19" i="1" s="1"/>
  <c r="AY61" i="3"/>
  <c r="I13" i="1" s="1"/>
  <c r="BE61" i="3"/>
  <c r="I19" i="1" s="1"/>
  <c r="BX9" i="3"/>
  <c r="BX45" i="3"/>
  <c r="K49" i="5" s="1"/>
  <c r="M49" i="5" s="1"/>
  <c r="BJ60" i="3"/>
  <c r="H24" i="1" s="1"/>
  <c r="BE64" i="3"/>
  <c r="S19" i="1" s="1"/>
  <c r="S42" i="1" s="1"/>
  <c r="BX19" i="3"/>
  <c r="BY19" i="3" s="1"/>
  <c r="L23" i="5" s="1"/>
  <c r="BX42" i="3"/>
  <c r="BY42" i="3" s="1"/>
  <c r="L46" i="5" s="1"/>
  <c r="BU64" i="3"/>
  <c r="S35" i="1" s="1"/>
  <c r="BX39" i="3"/>
  <c r="BY39" i="3" s="1"/>
  <c r="L43" i="5" s="1"/>
  <c r="BU62" i="3"/>
  <c r="Q35" i="1" s="1"/>
  <c r="BX24" i="3"/>
  <c r="K28" i="5" s="1"/>
  <c r="M28" i="5" s="1"/>
  <c r="BY43" i="3"/>
  <c r="L47" i="5" s="1"/>
  <c r="AT62" i="3"/>
  <c r="Q8" i="1" s="1"/>
  <c r="AT63" i="3"/>
  <c r="R8" i="1" s="1"/>
  <c r="AT64" i="3"/>
  <c r="S8" i="1" s="1"/>
  <c r="BX17" i="3"/>
  <c r="BX11" i="3"/>
  <c r="K15" i="5" s="1"/>
  <c r="M15" i="5" s="1"/>
  <c r="AT61" i="3"/>
  <c r="I8" i="1" s="1"/>
  <c r="I48" i="1" s="1"/>
  <c r="AT59" i="3"/>
  <c r="G8" i="1" s="1"/>
  <c r="G48" i="1" s="1"/>
  <c r="BX12" i="3"/>
  <c r="BY12" i="3" s="1"/>
  <c r="L16" i="5" s="1"/>
  <c r="AT60" i="3"/>
  <c r="H8" i="1" s="1"/>
  <c r="H48" i="1" s="1"/>
  <c r="K42" i="5"/>
  <c r="M42" i="5" s="1"/>
  <c r="BY31" i="3"/>
  <c r="L35" i="5" s="1"/>
  <c r="K35" i="5"/>
  <c r="M35" i="5" s="1"/>
  <c r="BY47" i="3"/>
  <c r="L51" i="5" s="1"/>
  <c r="K51" i="5"/>
  <c r="M51" i="5" s="1"/>
  <c r="BY41" i="3"/>
  <c r="L45" i="5" s="1"/>
  <c r="K45" i="5"/>
  <c r="M45" i="5" s="1"/>
  <c r="BY44" i="3"/>
  <c r="L48" i="5" s="1"/>
  <c r="K48" i="5"/>
  <c r="M48" i="5" s="1"/>
  <c r="BY49" i="3"/>
  <c r="L53" i="5" s="1"/>
  <c r="K53" i="5"/>
  <c r="M53" i="5" s="1"/>
  <c r="BY35" i="3"/>
  <c r="L39" i="5" s="1"/>
  <c r="K39" i="5"/>
  <c r="M39" i="5" s="1"/>
  <c r="BY40" i="3"/>
  <c r="L44" i="5" s="1"/>
  <c r="K44" i="5"/>
  <c r="M44" i="5" s="1"/>
  <c r="BY50" i="3"/>
  <c r="L54" i="5" s="1"/>
  <c r="K54" i="5"/>
  <c r="M54" i="5" s="1"/>
  <c r="BY48" i="3"/>
  <c r="L52" i="5" s="1"/>
  <c r="K52" i="5"/>
  <c r="M52" i="5" s="1"/>
  <c r="BY37" i="3"/>
  <c r="L41" i="5" s="1"/>
  <c r="K41" i="5"/>
  <c r="M41" i="5" s="1"/>
  <c r="BY46" i="3"/>
  <c r="L50" i="5" s="1"/>
  <c r="K50" i="5"/>
  <c r="M50" i="5" s="1"/>
  <c r="H42" i="1" l="1"/>
  <c r="I42" i="1"/>
  <c r="G42" i="1"/>
  <c r="H43" i="1"/>
  <c r="I43" i="1"/>
  <c r="G43" i="1"/>
  <c r="K24" i="5"/>
  <c r="M24" i="5" s="1"/>
  <c r="G44" i="1"/>
  <c r="I44" i="1"/>
  <c r="S43" i="1"/>
  <c r="R53" i="1"/>
  <c r="R42" i="1"/>
  <c r="S53" i="1"/>
  <c r="Q53" i="1"/>
  <c r="K12" i="5"/>
  <c r="BY9" i="3"/>
  <c r="L13" i="5" s="1"/>
  <c r="S49" i="1"/>
  <c r="G53" i="1"/>
  <c r="I53" i="1"/>
  <c r="H53" i="1"/>
  <c r="Q42" i="1"/>
  <c r="H49" i="1"/>
  <c r="I49" i="1"/>
  <c r="R49" i="1"/>
  <c r="Q49" i="1"/>
  <c r="G49" i="1"/>
  <c r="S51" i="1"/>
  <c r="G51" i="1"/>
  <c r="I51" i="1"/>
  <c r="H51" i="1"/>
  <c r="Q51" i="1"/>
  <c r="R51" i="1"/>
  <c r="K29" i="5"/>
  <c r="M29" i="5" s="1"/>
  <c r="K14" i="5"/>
  <c r="M14" i="5" s="1"/>
  <c r="BY26" i="3"/>
  <c r="L30" i="5" s="1"/>
  <c r="BY28" i="3"/>
  <c r="L32" i="5" s="1"/>
  <c r="R41" i="1"/>
  <c r="G41" i="1"/>
  <c r="Q41" i="1"/>
  <c r="S41" i="1"/>
  <c r="H44" i="1"/>
  <c r="BY23" i="3"/>
  <c r="L27" i="5" s="1"/>
  <c r="BY27" i="3"/>
  <c r="L31" i="5" s="1"/>
  <c r="K19" i="5"/>
  <c r="M19" i="5" s="1"/>
  <c r="K34" i="5"/>
  <c r="M34" i="5" s="1"/>
  <c r="K18" i="5"/>
  <c r="M18" i="5" s="1"/>
  <c r="M12" i="5"/>
  <c r="H41" i="1"/>
  <c r="I41" i="1"/>
  <c r="BY8" i="3"/>
  <c r="L12" i="5" s="1"/>
  <c r="A13" i="3"/>
  <c r="A16" i="5"/>
  <c r="K36" i="5"/>
  <c r="M36" i="5" s="1"/>
  <c r="BY33" i="3"/>
  <c r="L37" i="5" s="1"/>
  <c r="K13" i="5"/>
  <c r="M13" i="5" s="1"/>
  <c r="K46" i="5"/>
  <c r="M46" i="5" s="1"/>
  <c r="BY45" i="3"/>
  <c r="L49" i="5" s="1"/>
  <c r="BY24" i="3"/>
  <c r="L28" i="5" s="1"/>
  <c r="BY18" i="3"/>
  <c r="L22" i="5" s="1"/>
  <c r="BY16" i="3"/>
  <c r="L20" i="5" s="1"/>
  <c r="K40" i="5"/>
  <c r="M40" i="5" s="1"/>
  <c r="K17" i="5"/>
  <c r="M17" i="5" s="1"/>
  <c r="K38" i="5"/>
  <c r="M38" i="5" s="1"/>
  <c r="BY21" i="3"/>
  <c r="L25" i="5" s="1"/>
  <c r="K26" i="5"/>
  <c r="M26" i="5" s="1"/>
  <c r="K43" i="5"/>
  <c r="M43" i="5" s="1"/>
  <c r="K23" i="5"/>
  <c r="M23" i="5" s="1"/>
  <c r="K33" i="5"/>
  <c r="M33" i="5" s="1"/>
  <c r="BY11" i="3"/>
  <c r="L15" i="5" s="1"/>
  <c r="K16" i="5"/>
  <c r="BY17" i="3"/>
  <c r="L21" i="5" s="1"/>
  <c r="K21" i="5"/>
  <c r="L68" i="5" l="1"/>
  <c r="M68" i="5"/>
  <c r="K68" i="5"/>
  <c r="A14" i="3"/>
  <c r="A17" i="5"/>
  <c r="L72" i="5"/>
  <c r="L71" i="5"/>
  <c r="M16" i="5"/>
  <c r="L69" i="5"/>
  <c r="L70" i="5"/>
  <c r="K69" i="5"/>
  <c r="M21" i="5"/>
  <c r="K72" i="5"/>
  <c r="K71" i="5"/>
  <c r="K70" i="5"/>
  <c r="M71" i="5" l="1"/>
  <c r="M69" i="5"/>
  <c r="A15" i="3"/>
  <c r="A18" i="5"/>
  <c r="M70" i="5"/>
  <c r="M72" i="5"/>
  <c r="A16" i="3" l="1"/>
  <c r="A19" i="5"/>
  <c r="A17" i="3" l="1"/>
  <c r="A20" i="5"/>
  <c r="A18" i="3" l="1"/>
  <c r="A21" i="5"/>
  <c r="A19" i="3" l="1"/>
  <c r="A22" i="5"/>
  <c r="A20" i="3" l="1"/>
  <c r="A23" i="5"/>
  <c r="A21" i="3" l="1"/>
  <c r="A24" i="5"/>
  <c r="A22" i="3" l="1"/>
  <c r="A25" i="5"/>
  <c r="A23" i="3" l="1"/>
  <c r="A26" i="5"/>
  <c r="A24" i="3" l="1"/>
  <c r="A27" i="5"/>
  <c r="A25" i="3" l="1"/>
  <c r="A28" i="5"/>
  <c r="A26" i="3" l="1"/>
  <c r="A29" i="5"/>
  <c r="A27" i="3" l="1"/>
  <c r="A30" i="5"/>
  <c r="A28" i="3" l="1"/>
  <c r="A31" i="5"/>
  <c r="A29" i="3" l="1"/>
  <c r="A32" i="5"/>
  <c r="A30" i="3" l="1"/>
  <c r="A33" i="5"/>
  <c r="A31" i="3" l="1"/>
  <c r="A34" i="5"/>
  <c r="A32" i="3" l="1"/>
  <c r="A35" i="5"/>
  <c r="A33" i="3" l="1"/>
  <c r="A36" i="5"/>
  <c r="A34" i="3" l="1"/>
  <c r="A37" i="5"/>
  <c r="A35" i="3" l="1"/>
  <c r="A38" i="5"/>
  <c r="A36" i="3" l="1"/>
  <c r="A39" i="5"/>
  <c r="A37" i="3" l="1"/>
  <c r="A40" i="5"/>
  <c r="A38" i="3" l="1"/>
  <c r="A41" i="5"/>
  <c r="A39" i="3" l="1"/>
  <c r="A42" i="5"/>
  <c r="A40" i="3" l="1"/>
  <c r="A43" i="5"/>
  <c r="A41" i="3" l="1"/>
  <c r="A44" i="5"/>
  <c r="A42" i="3" l="1"/>
  <c r="A45" i="5"/>
  <c r="A43" i="3" l="1"/>
  <c r="A46" i="5"/>
  <c r="A44" i="3" l="1"/>
  <c r="A47" i="5"/>
  <c r="A45" i="3" l="1"/>
  <c r="A48" i="5"/>
  <c r="A46" i="3" l="1"/>
  <c r="A49" i="5"/>
  <c r="A47" i="3" l="1"/>
  <c r="A50" i="5"/>
  <c r="A48" i="3" l="1"/>
  <c r="A51" i="5"/>
  <c r="A49" i="3" l="1"/>
  <c r="A52" i="5"/>
  <c r="A50" i="3" l="1"/>
  <c r="A54" i="5" s="1"/>
  <c r="A53" i="5"/>
</calcChain>
</file>

<file path=xl/sharedStrings.xml><?xml version="1.0" encoding="utf-8"?>
<sst xmlns="http://schemas.openxmlformats.org/spreadsheetml/2006/main" count="183" uniqueCount="92">
  <si>
    <t>№</t>
  </si>
  <si>
    <t>Şagird</t>
  </si>
  <si>
    <t>Səviyyə</t>
  </si>
  <si>
    <t>Bal</t>
  </si>
  <si>
    <t>B</t>
  </si>
  <si>
    <t>Doğru cavab</t>
  </si>
  <si>
    <t>A</t>
  </si>
  <si>
    <t>Tapşırıqlar</t>
  </si>
  <si>
    <t>Sinif</t>
  </si>
  <si>
    <t>İndeks</t>
  </si>
  <si>
    <t>Fənn</t>
  </si>
  <si>
    <t>A variantı</t>
  </si>
  <si>
    <t>B variantı</t>
  </si>
  <si>
    <t>Məzmun standartı</t>
  </si>
  <si>
    <t>Məzmun xətti</t>
  </si>
  <si>
    <t xml:space="preserve">Bal </t>
  </si>
  <si>
    <t>Variant</t>
  </si>
  <si>
    <t>Doğru</t>
  </si>
  <si>
    <t>Yanlış</t>
  </si>
  <si>
    <t>Soyad</t>
  </si>
  <si>
    <t>Ad</t>
  </si>
  <si>
    <t>Ata adı</t>
  </si>
  <si>
    <t>Cavabsız</t>
  </si>
  <si>
    <t>Doğru 
(%)</t>
  </si>
  <si>
    <t>Yanlış 
(%)</t>
  </si>
  <si>
    <t>Cavabsız (%)</t>
  </si>
  <si>
    <t>Cins</t>
  </si>
  <si>
    <t>Asan</t>
  </si>
  <si>
    <t>Orta</t>
  </si>
  <si>
    <t>Çətin</t>
  </si>
  <si>
    <t>Ən çətin</t>
  </si>
  <si>
    <t>Doğru payı</t>
  </si>
  <si>
    <r>
      <t>(75-100</t>
    </r>
    <r>
      <rPr>
        <sz val="11"/>
        <color theme="1"/>
        <rFont val="Calibri"/>
        <family val="2"/>
      </rPr>
      <t>]</t>
    </r>
  </si>
  <si>
    <r>
      <t>(50-75</t>
    </r>
    <r>
      <rPr>
        <sz val="11"/>
        <color theme="1"/>
        <rFont val="Calibri"/>
        <family val="2"/>
      </rPr>
      <t>]</t>
    </r>
  </si>
  <si>
    <r>
      <t>(25-50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</si>
  <si>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[</t>
    </r>
    <r>
      <rPr>
        <sz val="11"/>
        <color theme="1"/>
        <rFont val="Palatino Linotype"/>
        <family val="1"/>
      </rPr>
      <t>0-25</t>
    </r>
    <r>
      <rPr>
        <sz val="11"/>
        <color theme="1"/>
        <rFont val="Calibri"/>
        <family val="2"/>
      </rPr>
      <t>]</t>
    </r>
  </si>
  <si>
    <t>Qiymət</t>
  </si>
  <si>
    <t>Qeyd</t>
  </si>
  <si>
    <t>Səviyyə göstəriciləri</t>
  </si>
  <si>
    <t>Məktəb</t>
  </si>
  <si>
    <t>Tarix</t>
  </si>
  <si>
    <t>gün</t>
  </si>
  <si>
    <t>ay</t>
  </si>
  <si>
    <t>il</t>
  </si>
  <si>
    <t>rəqəm</t>
  </si>
  <si>
    <t>indeks</t>
  </si>
  <si>
    <t>direktoru</t>
  </si>
  <si>
    <t>Təsdiq edirəm:</t>
  </si>
  <si>
    <t>İdarə</t>
  </si>
  <si>
    <t>Bakı Şəhəri üzrə Təhsil İdarəsi</t>
  </si>
  <si>
    <t>Azərbaycan Respublikası Elm və Təhsil Nazirliyi</t>
  </si>
  <si>
    <t>Nazirlik</t>
  </si>
  <si>
    <t>PROTOKOL №</t>
  </si>
  <si>
    <t>Summativ qiymətləndirmə tapşırıqlarının məzmun tərkibi və təhlili</t>
  </si>
  <si>
    <t>Qız</t>
  </si>
  <si>
    <t>Oğlan</t>
  </si>
  <si>
    <t>Ümumi</t>
  </si>
  <si>
    <t>Davamiyyət faizi</t>
  </si>
  <si>
    <t>Mənimsəmə faizi</t>
  </si>
  <si>
    <t>Davamiyyət və nailiyyət üzrə göstəricilər</t>
  </si>
  <si>
    <t>Fənn müəllimi:</t>
  </si>
  <si>
    <t>Sinif rəhbəri:</t>
  </si>
  <si>
    <t>Tapşırıq sayı</t>
  </si>
  <si>
    <t>Tapşırıq faizlə</t>
  </si>
  <si>
    <t>Siyahı üzrə say</t>
  </si>
  <si>
    <t>Bölmə</t>
  </si>
  <si>
    <r>
      <t>Azərbaycan-</t>
    </r>
    <r>
      <rPr>
        <b/>
        <sz val="9"/>
        <color theme="1"/>
        <rFont val="Palatino Linotype"/>
        <family val="1"/>
      </rPr>
      <t>A</t>
    </r>
    <r>
      <rPr>
        <i/>
        <sz val="8"/>
        <color theme="1"/>
        <rFont val="Palatino Linotype"/>
        <family val="1"/>
      </rPr>
      <t>, Rus-</t>
    </r>
    <r>
      <rPr>
        <b/>
        <sz val="9"/>
        <color theme="1"/>
        <rFont val="Palatino Linotype"/>
        <family val="1"/>
      </rPr>
      <t>R</t>
    </r>
  </si>
  <si>
    <r>
      <rPr>
        <sz val="12"/>
        <color theme="1"/>
        <rFont val="Calibri"/>
        <family val="2"/>
      </rPr>
      <t>[</t>
    </r>
    <r>
      <rPr>
        <sz val="12"/>
        <color theme="1"/>
        <rFont val="Palatino Linotype"/>
        <family val="1"/>
      </rPr>
      <t>0-30</t>
    </r>
    <r>
      <rPr>
        <sz val="12"/>
        <color theme="1"/>
        <rFont val="Calibri"/>
        <family val="2"/>
      </rPr>
      <t>]</t>
    </r>
  </si>
  <si>
    <r>
      <t>(30-60</t>
    </r>
    <r>
      <rPr>
        <sz val="12"/>
        <color theme="1"/>
        <rFont val="Calibri"/>
        <family val="2"/>
      </rPr>
      <t>]</t>
    </r>
  </si>
  <si>
    <r>
      <t>(60-80</t>
    </r>
    <r>
      <rPr>
        <sz val="12"/>
        <color theme="1"/>
        <rFont val="Calibri"/>
        <family val="2"/>
      </rPr>
      <t>]</t>
    </r>
  </si>
  <si>
    <r>
      <t>(80-100</t>
    </r>
    <r>
      <rPr>
        <sz val="12"/>
        <color theme="1"/>
        <rFont val="Calibri"/>
        <family val="2"/>
      </rPr>
      <t>]</t>
    </r>
  </si>
  <si>
    <t>Direktor müavini:</t>
  </si>
  <si>
    <r>
      <t xml:space="preserve">Məzmun xətləri üzrə mənimsəmə faizləri
</t>
    </r>
    <r>
      <rPr>
        <b/>
        <sz val="10"/>
        <color theme="1"/>
        <rFont val="Palatino Linotype"/>
        <family val="1"/>
      </rPr>
      <t>Variant A</t>
    </r>
    <r>
      <rPr>
        <sz val="10"/>
        <color theme="1"/>
        <rFont val="Palatino Linotype"/>
        <family val="1"/>
      </rPr>
      <t xml:space="preserve"> </t>
    </r>
  </si>
  <si>
    <r>
      <t xml:space="preserve">Məzmun xətləri üzrə mənimsəmə faizləri
</t>
    </r>
    <r>
      <rPr>
        <b/>
        <sz val="10"/>
        <color theme="1"/>
        <rFont val="Palatino Linotype"/>
        <family val="1"/>
      </rPr>
      <t xml:space="preserve">Variant B </t>
    </r>
  </si>
  <si>
    <r>
      <t xml:space="preserve">Məzmun xətləri üzrə mənimsəmə faizləri
</t>
    </r>
    <r>
      <rPr>
        <b/>
        <sz val="12"/>
        <color theme="1"/>
        <rFont val="Palatino Linotype"/>
        <family val="1"/>
      </rPr>
      <t>Variant A</t>
    </r>
    <r>
      <rPr>
        <sz val="12"/>
        <color theme="1"/>
        <rFont val="Palatino Linotype"/>
        <family val="1"/>
      </rPr>
      <t xml:space="preserve"> </t>
    </r>
  </si>
  <si>
    <r>
      <t xml:space="preserve">Məzmun xətləri üzrə mənimsəmə faizləri
</t>
    </r>
    <r>
      <rPr>
        <b/>
        <sz val="12"/>
        <color theme="1"/>
        <rFont val="Palatino Linotype"/>
        <family val="1"/>
      </rPr>
      <t>Variant B</t>
    </r>
    <r>
      <rPr>
        <sz val="12"/>
        <color theme="1"/>
        <rFont val="Palatino Linotype"/>
        <family val="1"/>
      </rPr>
      <t xml:space="preserve"> </t>
    </r>
  </si>
  <si>
    <t>Summativ qiymətləndirmə üzrə nəticələr</t>
  </si>
  <si>
    <t>Göstəricilər</t>
  </si>
  <si>
    <t>İştirak etdi</t>
  </si>
  <si>
    <t>İştirak etmədi</t>
  </si>
  <si>
    <t>Məzmun xətləri üzrə ümumi nəticə</t>
  </si>
  <si>
    <t>Orta bal</t>
  </si>
  <si>
    <t>Məzmun xətti üzrə nəticələr</t>
  </si>
  <si>
    <t>______</t>
  </si>
  <si>
    <t>Fənn müəllimi</t>
  </si>
  <si>
    <t>Sinif rəhbəri</t>
  </si>
  <si>
    <t>Direktor müavini</t>
  </si>
  <si>
    <t>Direktor</t>
  </si>
  <si>
    <t>Protokolun tərtib olunma tarixi</t>
  </si>
  <si>
    <t>I yarımil</t>
  </si>
  <si>
    <t>2.2.3.</t>
  </si>
  <si>
    <t>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</si>
</sst>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9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8"/>
      <color theme="1"/>
      <name val="Palatino Linotype"/>
      <family val="1"/>
    </font>
    <font>
      <i/>
      <sz val="9"/>
      <color theme="1"/>
      <name val="Palatino Linotype"/>
      <family val="1"/>
    </font>
    <font>
      <b/>
      <sz val="14"/>
      <color theme="1"/>
      <name val="Palatino Linotype"/>
      <family val="1"/>
    </font>
    <font>
      <sz val="12"/>
      <color theme="1"/>
      <name val="Palatino Linotype"/>
      <family val="1"/>
    </font>
    <font>
      <b/>
      <sz val="9"/>
      <color theme="1"/>
      <name val="Palatino Linotype"/>
      <family val="1"/>
    </font>
    <font>
      <i/>
      <sz val="8"/>
      <color theme="1"/>
      <name val="Palatino Linotype"/>
      <family val="1"/>
    </font>
    <font>
      <sz val="12"/>
      <color theme="1"/>
      <name val="Calibri"/>
      <family val="2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16"/>
      <color theme="1"/>
      <name val="Palatino Linotype"/>
      <family val="1"/>
    </font>
    <font>
      <i/>
      <sz val="12"/>
      <color theme="1"/>
      <name val="Palatino Linotype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6F4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2" fontId="1" fillId="5" borderId="1" xfId="0" applyNumberFormat="1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right" vertical="center"/>
      <protection hidden="1"/>
    </xf>
    <xf numFmtId="164" fontId="1" fillId="2" borderId="1" xfId="0" applyNumberFormat="1" applyFont="1" applyFill="1" applyBorder="1" applyAlignment="1" applyProtection="1">
      <alignment vertical="center"/>
      <protection hidden="1"/>
    </xf>
    <xf numFmtId="0" fontId="4" fillId="4" borderId="1" xfId="0" applyFont="1" applyFill="1" applyBorder="1" applyAlignment="1" applyProtection="1">
      <alignment vertical="center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2" fontId="1" fillId="2" borderId="1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2" fontId="1" fillId="0" borderId="5" xfId="0" applyNumberFormat="1" applyFont="1" applyBorder="1" applyAlignment="1" applyProtection="1">
      <alignment horizontal="center" vertical="center"/>
      <protection hidden="1"/>
    </xf>
    <xf numFmtId="2" fontId="1" fillId="2" borderId="5" xfId="0" applyNumberFormat="1" applyFont="1" applyFill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right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2" fontId="1" fillId="0" borderId="12" xfId="0" applyNumberFormat="1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164" fontId="9" fillId="2" borderId="12" xfId="0" applyNumberFormat="1" applyFont="1" applyFill="1" applyBorder="1" applyAlignment="1" applyProtection="1">
      <alignment horizontal="center" vertical="center"/>
      <protection hidden="1"/>
    </xf>
    <xf numFmtId="164" fontId="5" fillId="2" borderId="12" xfId="0" applyNumberFormat="1" applyFont="1" applyFill="1" applyBorder="1" applyAlignment="1" applyProtection="1">
      <alignment horizontal="center" vertical="center"/>
      <protection hidden="1"/>
    </xf>
    <xf numFmtId="2" fontId="5" fillId="8" borderId="12" xfId="0" applyNumberFormat="1" applyFont="1" applyFill="1" applyBorder="1" applyAlignment="1" applyProtection="1">
      <alignment horizontal="center" vertical="center"/>
      <protection hidden="1"/>
    </xf>
    <xf numFmtId="0" fontId="5" fillId="9" borderId="12" xfId="0" applyFont="1" applyFill="1" applyBorder="1" applyAlignment="1" applyProtection="1">
      <alignment horizontal="center" vertical="center"/>
      <protection hidden="1"/>
    </xf>
    <xf numFmtId="0" fontId="5" fillId="10" borderId="12" xfId="0" applyFont="1" applyFill="1" applyBorder="1" applyAlignment="1" applyProtection="1">
      <alignment horizontal="center" vertical="center"/>
      <protection hidden="1"/>
    </xf>
    <xf numFmtId="0" fontId="5" fillId="6" borderId="12" xfId="0" applyFont="1" applyFill="1" applyBorder="1" applyAlignment="1" applyProtection="1">
      <alignment horizontal="center" vertical="center"/>
      <protection hidden="1"/>
    </xf>
    <xf numFmtId="0" fontId="5" fillId="7" borderId="12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164" fontId="4" fillId="2" borderId="1" xfId="0" applyNumberFormat="1" applyFont="1" applyFill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9" fillId="10" borderId="12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5" fillId="8" borderId="12" xfId="0" applyFont="1" applyFill="1" applyBorder="1" applyAlignment="1" applyProtection="1">
      <alignment horizontal="center" vertical="center"/>
      <protection hidden="1"/>
    </xf>
    <xf numFmtId="0" fontId="9" fillId="9" borderId="12" xfId="0" applyFont="1" applyFill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9" fillId="6" borderId="12" xfId="0" applyFont="1" applyFill="1" applyBorder="1" applyAlignment="1" applyProtection="1">
      <alignment horizontal="center" vertical="center"/>
      <protection hidden="1"/>
    </xf>
    <xf numFmtId="0" fontId="9" fillId="7" borderId="12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right" vertical="center" wrapText="1"/>
      <protection hidden="1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3" borderId="4" xfId="0" applyFont="1" applyFill="1" applyBorder="1" applyAlignment="1" applyProtection="1">
      <alignment horizontal="center" vertical="center"/>
      <protection hidden="1"/>
    </xf>
    <xf numFmtId="0" fontId="4" fillId="3" borderId="14" xfId="0" applyFont="1" applyFill="1" applyBorder="1" applyAlignment="1" applyProtection="1">
      <alignment horizontal="center" vertical="center"/>
      <protection hidden="1"/>
    </xf>
    <xf numFmtId="164" fontId="5" fillId="5" borderId="3" xfId="0" applyNumberFormat="1" applyFont="1" applyFill="1" applyBorder="1" applyAlignment="1" applyProtection="1">
      <alignment horizontal="center" vertical="center"/>
      <protection hidden="1"/>
    </xf>
    <xf numFmtId="164" fontId="5" fillId="5" borderId="4" xfId="0" applyNumberFormat="1" applyFont="1" applyFill="1" applyBorder="1" applyAlignment="1" applyProtection="1">
      <alignment horizontal="center" vertical="center"/>
      <protection hidden="1"/>
    </xf>
    <xf numFmtId="164" fontId="5" fillId="5" borderId="14" xfId="0" applyNumberFormat="1" applyFont="1" applyFill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left" vertical="center"/>
      <protection hidden="1"/>
    </xf>
    <xf numFmtId="0" fontId="5" fillId="4" borderId="1" xfId="0" applyFont="1" applyFill="1" applyBorder="1" applyAlignment="1" applyProtection="1">
      <alignment horizontal="left" vertical="center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1" fillId="3" borderId="19" xfId="0" applyFont="1" applyFill="1" applyBorder="1" applyAlignment="1" applyProtection="1">
      <alignment horizontal="center" vertical="center" wrapText="1"/>
      <protection hidden="1"/>
    </xf>
    <xf numFmtId="0" fontId="1" fillId="3" borderId="20" xfId="0" applyFont="1" applyFill="1" applyBorder="1" applyAlignment="1" applyProtection="1">
      <alignment horizontal="center" vertical="center" wrapText="1"/>
      <protection hidden="1"/>
    </xf>
    <xf numFmtId="0" fontId="1" fillId="3" borderId="10" xfId="0" applyFont="1" applyFill="1" applyBorder="1" applyAlignment="1" applyProtection="1">
      <alignment horizontal="center" vertical="center" wrapText="1"/>
      <protection hidden="1"/>
    </xf>
    <xf numFmtId="0" fontId="1" fillId="3" borderId="9" xfId="0" applyFont="1" applyFill="1" applyBorder="1" applyAlignment="1" applyProtection="1">
      <alignment horizontal="center" vertical="center" wrapText="1"/>
      <protection hidden="1"/>
    </xf>
    <xf numFmtId="0" fontId="2" fillId="3" borderId="5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 vertical="center" wrapText="1"/>
      <protection hidden="1"/>
    </xf>
    <xf numFmtId="0" fontId="1" fillId="3" borderId="19" xfId="0" applyFont="1" applyFill="1" applyBorder="1" applyAlignment="1" applyProtection="1">
      <alignment horizontal="center" vertical="center"/>
      <protection hidden="1"/>
    </xf>
    <xf numFmtId="0" fontId="1" fillId="3" borderId="21" xfId="0" applyFont="1" applyFill="1" applyBorder="1" applyAlignment="1" applyProtection="1">
      <alignment horizontal="center" vertical="center"/>
      <protection hidden="1"/>
    </xf>
    <xf numFmtId="0" fontId="1" fillId="3" borderId="20" xfId="0" applyFont="1" applyFill="1" applyBorder="1" applyAlignment="1" applyProtection="1">
      <alignment horizontal="center" vertical="center"/>
      <protection hidden="1"/>
    </xf>
    <xf numFmtId="0" fontId="1" fillId="3" borderId="10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top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5" fillId="3" borderId="7" xfId="0" applyFont="1" applyFill="1" applyBorder="1" applyAlignment="1" applyProtection="1">
      <alignment horizontal="center" vertical="top"/>
      <protection hidden="1"/>
    </xf>
    <xf numFmtId="0" fontId="5" fillId="3" borderId="8" xfId="0" applyFont="1" applyFill="1" applyBorder="1" applyAlignment="1" applyProtection="1">
      <alignment horizontal="center" vertical="top"/>
      <protection hidden="1"/>
    </xf>
    <xf numFmtId="0" fontId="5" fillId="3" borderId="10" xfId="0" applyFont="1" applyFill="1" applyBorder="1" applyAlignment="1" applyProtection="1">
      <alignment horizontal="center" vertical="top"/>
      <protection hidden="1"/>
    </xf>
    <xf numFmtId="0" fontId="5" fillId="3" borderId="9" xfId="0" applyFont="1" applyFill="1" applyBorder="1" applyAlignment="1" applyProtection="1">
      <alignment horizontal="center" vertical="top"/>
      <protection hidden="1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9" fillId="11" borderId="0" xfId="0" applyFont="1" applyFill="1" applyAlignment="1" applyProtection="1">
      <alignment horizontal="left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5" fillId="3" borderId="12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" fillId="8" borderId="15" xfId="0" applyFont="1" applyFill="1" applyBorder="1" applyAlignment="1" applyProtection="1">
      <alignment horizontal="center" vertical="center"/>
      <protection hidden="1"/>
    </xf>
    <xf numFmtId="0" fontId="5" fillId="8" borderId="16" xfId="0" applyFont="1" applyFill="1" applyBorder="1" applyAlignment="1" applyProtection="1">
      <alignment horizontal="center" vertical="center"/>
      <protection hidden="1"/>
    </xf>
    <xf numFmtId="0" fontId="9" fillId="6" borderId="12" xfId="0" applyFont="1" applyFill="1" applyBorder="1" applyAlignment="1" applyProtection="1">
      <alignment horizontal="center" vertical="center"/>
      <protection hidden="1"/>
    </xf>
    <xf numFmtId="0" fontId="9" fillId="7" borderId="12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5" fillId="8" borderId="12" xfId="0" applyFont="1" applyFill="1" applyBorder="1" applyAlignment="1" applyProtection="1">
      <alignment horizontal="center" vertical="center"/>
      <protection hidden="1"/>
    </xf>
    <xf numFmtId="0" fontId="9" fillId="9" borderId="12" xfId="0" applyFont="1" applyFill="1" applyBorder="1" applyAlignment="1" applyProtection="1">
      <alignment horizontal="center" vertical="center"/>
      <protection hidden="1"/>
    </xf>
    <xf numFmtId="0" fontId="9" fillId="10" borderId="12" xfId="0" applyFont="1" applyFill="1" applyBorder="1" applyAlignment="1" applyProtection="1">
      <alignment horizontal="center" vertic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F7F7"/>
      <color rgb="FFFBFBFB"/>
      <color rgb="FFFF0066"/>
      <color rgb="FFCCFF99"/>
      <color rgb="FFCCFFFF"/>
      <color rgb="FFFFABAB"/>
      <color rgb="FFF6F4C6"/>
      <color rgb="FFF0EC9A"/>
      <color rgb="FFFFCC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təhlil'!$Q$46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təhlil'!$Q$48:$Q$52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22-4553-AD60-EC31E044F3D5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təhlil'!$L$48:$N$52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170208824"/>
        <c:axId val="298095696"/>
      </c:barChart>
      <c:catAx>
        <c:axId val="17020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98095696"/>
        <c:crosses val="autoZero"/>
        <c:auto val="1"/>
        <c:lblAlgn val="ctr"/>
        <c:lblOffset val="100"/>
        <c:noMultiLvlLbl val="0"/>
      </c:catAx>
      <c:valAx>
        <c:axId val="298095696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170208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təhlil'!$G$46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təhlil'!$G$48:$G$52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CE-4A8E-8AAB-FA06A1AB3798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təhlil'!$B$48:$D$52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298096088"/>
        <c:axId val="298096480"/>
      </c:barChart>
      <c:catAx>
        <c:axId val="29809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98096480"/>
        <c:crosses val="autoZero"/>
        <c:auto val="1"/>
        <c:lblAlgn val="ctr"/>
        <c:lblOffset val="100"/>
        <c:noMultiLvlLbl val="0"/>
      </c:catAx>
      <c:valAx>
        <c:axId val="298096480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29809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(qızlar)</a:t>
            </a:r>
            <a:endParaRPr lang="en-US" sz="10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9C-485A-B8DF-3A87F0A084C0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9C-485A-B8DF-3A87F0A084C0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B9C-485A-B8DF-3A87F0A084C0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B9C-485A-B8DF-3A87F0A08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Protokol!$K$69:$K$72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9C-485A-B8DF-3A87F0A084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(oğlanlar)</a:t>
            </a:r>
            <a:endParaRPr lang="en-US" sz="10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9C-4E27-8F06-85D918E78EF2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9C-4E27-8F06-85D918E78EF2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9C-4E27-8F06-85D918E78EF2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9C-4E27-8F06-85D918E78E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Protokol!$L$69:$L$72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89C-4E27-8F06-85D918E78E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000" b="1" baseline="0"/>
              <a:t>Qiymətləndirmə səviyyələri üzrə paylanma </a:t>
            </a:r>
            <a:r>
              <a:rPr lang="az-Latn-AZ" sz="1000" b="0" i="1" baseline="0"/>
              <a:t>(ümumi)</a:t>
            </a:r>
            <a:endParaRPr lang="en-US" sz="10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66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A09-4215-8C7C-ACFAE0087475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A09-4215-8C7C-ACFAE008747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A09-4215-8C7C-ACFAE0087475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A09-4215-8C7C-ACFAE00874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Protokol!$I$69:$J$72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Protokol!$M$69:$M$72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A09-4215-8C7C-ACFAE00874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təhlil'!$G$46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təhlil'!$G$48:$G$52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00-4EC1-80D2-A044ECBDDEB8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təhlil'!$B$48:$D$52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298092168"/>
        <c:axId val="298098440"/>
      </c:barChart>
      <c:catAx>
        <c:axId val="29809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98098440"/>
        <c:crosses val="autoZero"/>
        <c:auto val="1"/>
        <c:lblAlgn val="ctr"/>
        <c:lblOffset val="100"/>
        <c:noMultiLvlLbl val="0"/>
      </c:catAx>
      <c:valAx>
        <c:axId val="298098440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29809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'Məzmun tərkibi və təhlil'!$Q$46</c:f>
              <c:strCache>
                <c:ptCount val="1"/>
                <c:pt idx="0">
                  <c:v>Doğru 
(%)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'Məzmun tərkibi və təhlil'!$Q$48:$Q$52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4A-4DDA-B154-70167D2CBD22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'Məzmun tərkibi və təhlil'!$L$48:$N$52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298092952"/>
        <c:axId val="298095304"/>
      </c:barChart>
      <c:catAx>
        <c:axId val="29809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98095304"/>
        <c:crosses val="autoZero"/>
        <c:auto val="1"/>
        <c:lblAlgn val="ctr"/>
        <c:lblOffset val="100"/>
        <c:noMultiLvlLbl val="0"/>
      </c:catAx>
      <c:valAx>
        <c:axId val="298095304"/>
        <c:scaling>
          <c:orientation val="minMax"/>
          <c:max val="110"/>
        </c:scaling>
        <c:delete val="1"/>
        <c:axPos val="l"/>
        <c:numFmt formatCode="0.0" sourceLinked="1"/>
        <c:majorTickMark val="out"/>
        <c:minorTickMark val="none"/>
        <c:tickLblPos val="nextTo"/>
        <c:crossAx val="298092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55</xdr:row>
      <xdr:rowOff>0</xdr:rowOff>
    </xdr:from>
    <xdr:to>
      <xdr:col>16</xdr:col>
      <xdr:colOff>0</xdr:colOff>
      <xdr:row>65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0</xdr:colOff>
      <xdr:row>65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359407</xdr:colOff>
      <xdr:row>68</xdr:row>
      <xdr:rowOff>47624</xdr:rowOff>
    </xdr:from>
    <xdr:to>
      <xdr:col>19</xdr:col>
      <xdr:colOff>57151</xdr:colOff>
      <xdr:row>74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4007" y="14449424"/>
          <a:ext cx="4574544" cy="1504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71120</xdr:rowOff>
    </xdr:from>
    <xdr:to>
      <xdr:col>7</xdr:col>
      <xdr:colOff>924856</xdr:colOff>
      <xdr:row>78</xdr:row>
      <xdr:rowOff>165032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6960"/>
          <a:ext cx="6462056" cy="21259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19050</xdr:rowOff>
    </xdr:from>
    <xdr:to>
      <xdr:col>4</xdr:col>
      <xdr:colOff>624840</xdr:colOff>
      <xdr:row>73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61</xdr:row>
      <xdr:rowOff>22860</xdr:rowOff>
    </xdr:from>
    <xdr:to>
      <xdr:col>6</xdr:col>
      <xdr:colOff>60960</xdr:colOff>
      <xdr:row>73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60960</xdr:colOff>
      <xdr:row>61</xdr:row>
      <xdr:rowOff>22860</xdr:rowOff>
    </xdr:from>
    <xdr:to>
      <xdr:col>7</xdr:col>
      <xdr:colOff>1592580</xdr:colOff>
      <xdr:row>73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4</xdr:col>
      <xdr:colOff>1356360</xdr:colOff>
      <xdr:row>84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76</xdr:row>
      <xdr:rowOff>1</xdr:rowOff>
    </xdr:from>
    <xdr:to>
      <xdr:col>6</xdr:col>
      <xdr:colOff>1584960</xdr:colOff>
      <xdr:row>84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0</xdr:row>
      <xdr:rowOff>144822</xdr:rowOff>
    </xdr:from>
    <xdr:to>
      <xdr:col>5</xdr:col>
      <xdr:colOff>236009</xdr:colOff>
      <xdr:row>4</xdr:row>
      <xdr:rowOff>289560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4822"/>
          <a:ext cx="3497369" cy="1150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8"/>
  <sheetViews>
    <sheetView showGridLines="0" tabSelected="1" zoomScale="90" zoomScaleNormal="90" workbookViewId="0">
      <selection activeCell="D13" sqref="D13"/>
    </sheetView>
  </sheetViews>
  <sheetFormatPr defaultRowHeight="15.6"/>
  <cols>
    <col min="1" max="9" width="8.88671875" style="1"/>
    <col min="10" max="10" width="3.33203125" style="1" customWidth="1"/>
    <col min="11" max="16384" width="8.88671875" style="1"/>
  </cols>
  <sheetData>
    <row r="1" spans="1:19" ht="18" customHeight="1">
      <c r="A1" s="94" t="s">
        <v>51</v>
      </c>
      <c r="B1" s="94"/>
      <c r="C1" s="95" t="s">
        <v>50</v>
      </c>
      <c r="D1" s="95"/>
      <c r="E1" s="95"/>
      <c r="F1" s="95"/>
      <c r="G1" s="95"/>
      <c r="H1" s="95"/>
      <c r="I1" s="95"/>
      <c r="J1" s="96"/>
      <c r="K1" s="101" t="s">
        <v>89</v>
      </c>
      <c r="L1" s="101"/>
      <c r="M1" s="101"/>
      <c r="N1" s="101"/>
      <c r="O1" s="101"/>
      <c r="P1" s="103" t="s">
        <v>65</v>
      </c>
      <c r="Q1" s="103"/>
      <c r="R1" s="98"/>
      <c r="S1" s="98"/>
    </row>
    <row r="2" spans="1:19" ht="18" customHeight="1">
      <c r="A2" s="94" t="s">
        <v>48</v>
      </c>
      <c r="B2" s="94"/>
      <c r="C2" s="95" t="s">
        <v>49</v>
      </c>
      <c r="D2" s="95"/>
      <c r="E2" s="95"/>
      <c r="F2" s="95"/>
      <c r="G2" s="95"/>
      <c r="H2" s="95"/>
      <c r="I2" s="95"/>
      <c r="J2" s="96"/>
      <c r="K2" s="102"/>
      <c r="L2" s="102"/>
      <c r="M2" s="102"/>
      <c r="N2" s="102"/>
      <c r="O2" s="102"/>
      <c r="P2" s="103"/>
      <c r="Q2" s="103"/>
      <c r="R2" s="104" t="s">
        <v>66</v>
      </c>
      <c r="S2" s="104"/>
    </row>
    <row r="3" spans="1:19" ht="18" customHeight="1">
      <c r="A3" s="94" t="s">
        <v>39</v>
      </c>
      <c r="B3" s="94"/>
      <c r="C3" s="113">
        <v>99</v>
      </c>
      <c r="D3" s="113"/>
      <c r="E3" s="113"/>
      <c r="F3" s="113"/>
      <c r="G3" s="113"/>
      <c r="H3" s="113"/>
      <c r="I3" s="113"/>
      <c r="J3" s="96"/>
      <c r="K3" s="106" t="s">
        <v>40</v>
      </c>
      <c r="L3" s="107"/>
      <c r="M3" s="17"/>
      <c r="N3" s="17"/>
      <c r="O3" s="18"/>
      <c r="P3" s="106" t="s">
        <v>8</v>
      </c>
      <c r="Q3" s="107"/>
      <c r="R3" s="17"/>
      <c r="S3" s="17"/>
    </row>
    <row r="4" spans="1:19" ht="18" customHeight="1">
      <c r="A4" s="94" t="s">
        <v>10</v>
      </c>
      <c r="B4" s="94"/>
      <c r="C4" s="113" t="s">
        <v>50</v>
      </c>
      <c r="D4" s="113"/>
      <c r="E4" s="113"/>
      <c r="F4" s="113"/>
      <c r="G4" s="113"/>
      <c r="H4" s="113"/>
      <c r="I4" s="113"/>
      <c r="J4" s="96"/>
      <c r="K4" s="108"/>
      <c r="L4" s="109"/>
      <c r="M4" s="2" t="s">
        <v>41</v>
      </c>
      <c r="N4" s="2" t="s">
        <v>42</v>
      </c>
      <c r="O4" s="2" t="s">
        <v>43</v>
      </c>
      <c r="P4" s="108"/>
      <c r="Q4" s="109"/>
      <c r="R4" s="2" t="s">
        <v>44</v>
      </c>
      <c r="S4" s="2" t="s">
        <v>45</v>
      </c>
    </row>
    <row r="5" spans="1:19" ht="31.8" customHeight="1">
      <c r="A5" s="97" t="s">
        <v>53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1:19" ht="25.05" customHeight="1">
      <c r="A6" s="3" t="s">
        <v>16</v>
      </c>
      <c r="B6" s="79" t="s">
        <v>6</v>
      </c>
      <c r="C6" s="79"/>
      <c r="D6" s="79"/>
      <c r="E6" s="79"/>
      <c r="F6" s="79"/>
      <c r="G6" s="79"/>
      <c r="H6" s="79"/>
      <c r="I6" s="79"/>
      <c r="J6" s="77"/>
      <c r="K6" s="3" t="s">
        <v>16</v>
      </c>
      <c r="L6" s="79" t="s">
        <v>4</v>
      </c>
      <c r="M6" s="79"/>
      <c r="N6" s="79"/>
      <c r="O6" s="79"/>
      <c r="P6" s="79"/>
      <c r="Q6" s="79"/>
      <c r="R6" s="79"/>
      <c r="S6" s="79"/>
    </row>
    <row r="7" spans="1:19" ht="26.4">
      <c r="A7" s="4" t="s">
        <v>0</v>
      </c>
      <c r="B7" s="5" t="s">
        <v>14</v>
      </c>
      <c r="C7" s="6" t="s">
        <v>13</v>
      </c>
      <c r="D7" s="6" t="s">
        <v>2</v>
      </c>
      <c r="E7" s="6" t="s">
        <v>5</v>
      </c>
      <c r="F7" s="7" t="s">
        <v>15</v>
      </c>
      <c r="G7" s="6" t="s">
        <v>23</v>
      </c>
      <c r="H7" s="6" t="s">
        <v>24</v>
      </c>
      <c r="I7" s="6" t="s">
        <v>25</v>
      </c>
      <c r="J7" s="77"/>
      <c r="K7" s="5" t="s">
        <v>0</v>
      </c>
      <c r="L7" s="5" t="s">
        <v>14</v>
      </c>
      <c r="M7" s="6" t="s">
        <v>13</v>
      </c>
      <c r="N7" s="6" t="s">
        <v>2</v>
      </c>
      <c r="O7" s="6" t="s">
        <v>5</v>
      </c>
      <c r="P7" s="7" t="s">
        <v>15</v>
      </c>
      <c r="Q7" s="6" t="s">
        <v>23</v>
      </c>
      <c r="R7" s="6" t="s">
        <v>24</v>
      </c>
      <c r="S7" s="6" t="s">
        <v>25</v>
      </c>
    </row>
    <row r="8" spans="1:19" ht="15.6" customHeight="1">
      <c r="A8" s="54">
        <v>1</v>
      </c>
      <c r="B8" s="8" t="str">
        <f>LEFT(C8)</f>
        <v>2</v>
      </c>
      <c r="C8" s="19" t="s">
        <v>90</v>
      </c>
      <c r="D8" s="19">
        <v>1</v>
      </c>
      <c r="E8" s="19"/>
      <c r="F8" s="10">
        <f>IF(D8="","",IF(D8=1,20/COUNTIF($D$8:$D$37,"1"),IF(D8=2,30/COUNTIF($D$8:$D$37,"2"),IF(D8=3,30/COUNTIF($D$8:$D$37,"3"),IF(D8=4,20/COUNTIF($D$8:$D$37,"4"))))))</f>
        <v>20</v>
      </c>
      <c r="G8" s="11" t="str">
        <f>IF('Şagirdlərin nəticələri'!AT$59="","",'Şagirdlərin nəticələri'!AT$59)</f>
        <v/>
      </c>
      <c r="H8" s="11" t="str">
        <f>IF('Şagirdlərin nəticələri'!AT$60="","",'Şagirdlərin nəticələri'!AT$60)</f>
        <v/>
      </c>
      <c r="I8" s="11" t="str">
        <f>IF('Şagirdlərin nəticələri'!AT$61="","",'Şagirdlərin nəticələri'!AT$61)</f>
        <v/>
      </c>
      <c r="J8" s="77"/>
      <c r="K8" s="8">
        <v>1</v>
      </c>
      <c r="L8" s="8" t="str">
        <f>LEFT(M8)</f>
        <v/>
      </c>
      <c r="M8" s="19"/>
      <c r="N8" s="19"/>
      <c r="O8" s="19"/>
      <c r="P8" s="10" t="str">
        <f>IF(N8="","",IF(N8=1,20/COUNTIF($N$8:$N$37,"1"),IF(N8=2,30/COUNTIF($N$8:$N$37,"2"),IF(N8=3,30/COUNTIF($N$8:$N$37,"3"),IF(N8=4,20/COUNTIF($N$8:$N$37,"4"))))))</f>
        <v/>
      </c>
      <c r="Q8" s="12" t="str">
        <f>IF('Şagirdlərin nəticələri'!AT$62="","",'Şagirdlərin nəticələri'!AT$62)</f>
        <v/>
      </c>
      <c r="R8" s="12" t="str">
        <f>IF('Şagirdlərin nəticələri'!AT$63="","",'Şagirdlərin nəticələri'!AT$63)</f>
        <v/>
      </c>
      <c r="S8" s="12" t="str">
        <f>IF('Şagirdlərin nəticələri'!AT$64="","",'Şagirdlərin nəticələri'!AT$64)</f>
        <v/>
      </c>
    </row>
    <row r="9" spans="1:19" ht="15.6" customHeight="1">
      <c r="A9" s="54">
        <v>2</v>
      </c>
      <c r="B9" s="8" t="str">
        <f t="shared" ref="B9:B37" si="0">LEFT(C9)</f>
        <v>2</v>
      </c>
      <c r="C9" s="19" t="s">
        <v>91</v>
      </c>
      <c r="D9" s="19"/>
      <c r="E9" s="19"/>
      <c r="F9" s="10" t="str">
        <f t="shared" ref="F9:F37" si="1">IF(D9="","",IF(D9=1,20/COUNTIF($D$8:$D$37,"1"),IF(D9=2,30/COUNTIF($D$8:$D$37,"2"),IF(D9=3,30/COUNTIF($D$8:$D$37,"3"),IF(D9=4,20/COUNTIF($D$8:$D$37,"4"))))))</f>
        <v/>
      </c>
      <c r="G9" s="11" t="str">
        <f>IF('Şagirdlərin nəticələri'!AU$59="","",'Şagirdlərin nəticələri'!AU$59)</f>
        <v/>
      </c>
      <c r="H9" s="11" t="str">
        <f>IF('Şagirdlərin nəticələri'!AU$60="","",'Şagirdlərin nəticələri'!AU$60)</f>
        <v/>
      </c>
      <c r="I9" s="11" t="str">
        <f>IF('Şagirdlərin nəticələri'!AU$61="","",'Şagirdlərin nəticələri'!AU$61)</f>
        <v/>
      </c>
      <c r="J9" s="77"/>
      <c r="K9" s="8">
        <v>2</v>
      </c>
      <c r="L9" s="8" t="str">
        <f t="shared" ref="L9:L37" si="2">LEFT(M9)</f>
        <v/>
      </c>
      <c r="M9" s="19"/>
      <c r="N9" s="19"/>
      <c r="O9" s="19"/>
      <c r="P9" s="10" t="str">
        <f t="shared" ref="P9:P37" si="3">IF(N9="","",IF(N9=1,20/COUNTIF($N$8:$N$37,"1"),IF(N9=2,30/COUNTIF($N$8:$N$37,"2"),IF(N9=3,30/COUNTIF($N$8:$N$37,"3"),IF(N9=4,20/COUNTIF($N$8:$N$37,"4"))))))</f>
        <v/>
      </c>
      <c r="Q9" s="12" t="str">
        <f>IF('Şagirdlərin nəticələri'!AU$62="","",'Şagirdlərin nəticələri'!AU$62)</f>
        <v/>
      </c>
      <c r="R9" s="12" t="str">
        <f>IF('Şagirdlərin nəticələri'!AU$63="","",'Şagirdlərin nəticələri'!AU$63)</f>
        <v/>
      </c>
      <c r="S9" s="12" t="str">
        <f>IF('Şagirdlərin nəticələri'!AU$64="","",'Şagirdlərin nəticələri'!AU$64)</f>
        <v/>
      </c>
    </row>
    <row r="10" spans="1:19" ht="15.6" customHeight="1">
      <c r="A10" s="54">
        <v>3</v>
      </c>
      <c r="B10" s="8" t="str">
        <f t="shared" si="0"/>
        <v/>
      </c>
      <c r="C10" s="19"/>
      <c r="D10" s="19"/>
      <c r="E10" s="19"/>
      <c r="F10" s="10" t="str">
        <f t="shared" si="1"/>
        <v/>
      </c>
      <c r="G10" s="11" t="str">
        <f>IF('Şagirdlərin nəticələri'!AV$59="","",'Şagirdlərin nəticələri'!AV$59)</f>
        <v/>
      </c>
      <c r="H10" s="11" t="str">
        <f>IF('Şagirdlərin nəticələri'!AV$60="","",'Şagirdlərin nəticələri'!AV$60)</f>
        <v/>
      </c>
      <c r="I10" s="11" t="str">
        <f>IF('Şagirdlərin nəticələri'!AV$61="","",'Şagirdlərin nəticələri'!AV$61)</f>
        <v/>
      </c>
      <c r="J10" s="77"/>
      <c r="K10" s="8">
        <v>3</v>
      </c>
      <c r="L10" s="8" t="str">
        <f t="shared" si="2"/>
        <v/>
      </c>
      <c r="M10" s="19"/>
      <c r="N10" s="19"/>
      <c r="O10" s="19"/>
      <c r="P10" s="10" t="str">
        <f t="shared" si="3"/>
        <v/>
      </c>
      <c r="Q10" s="12" t="str">
        <f>IF('Şagirdlərin nəticələri'!AV$62="","",'Şagirdlərin nəticələri'!AV$62)</f>
        <v/>
      </c>
      <c r="R10" s="12" t="str">
        <f>IF('Şagirdlərin nəticələri'!AV$63="","",'Şagirdlərin nəticələri'!AV$63)</f>
        <v/>
      </c>
      <c r="S10" s="12" t="str">
        <f>IF('Şagirdlərin nəticələri'!AV$64="","",'Şagirdlərin nəticələri'!AV$64)</f>
        <v/>
      </c>
    </row>
    <row r="11" spans="1:19" ht="15.6" customHeight="1">
      <c r="A11" s="54">
        <v>4</v>
      </c>
      <c r="B11" s="8" t="str">
        <f t="shared" si="0"/>
        <v/>
      </c>
      <c r="C11" s="19"/>
      <c r="D11" s="19"/>
      <c r="E11" s="19"/>
      <c r="F11" s="10" t="str">
        <f t="shared" si="1"/>
        <v/>
      </c>
      <c r="G11" s="11" t="str">
        <f>IF('Şagirdlərin nəticələri'!AW$59="","",'Şagirdlərin nəticələri'!AW$59)</f>
        <v/>
      </c>
      <c r="H11" s="11" t="str">
        <f>IF('Şagirdlərin nəticələri'!AW$60="","",'Şagirdlərin nəticələri'!AW$60)</f>
        <v/>
      </c>
      <c r="I11" s="11" t="str">
        <f>IF('Şagirdlərin nəticələri'!AW$61="","",'Şagirdlərin nəticələri'!AW$61)</f>
        <v/>
      </c>
      <c r="J11" s="77"/>
      <c r="K11" s="8">
        <v>4</v>
      </c>
      <c r="L11" s="8" t="str">
        <f t="shared" si="2"/>
        <v/>
      </c>
      <c r="M11" s="19"/>
      <c r="N11" s="19"/>
      <c r="O11" s="19"/>
      <c r="P11" s="10" t="str">
        <f t="shared" si="3"/>
        <v/>
      </c>
      <c r="Q11" s="12" t="str">
        <f>IF('Şagirdlərin nəticələri'!AW$62="","",'Şagirdlərin nəticələri'!AW$62)</f>
        <v/>
      </c>
      <c r="R11" s="12" t="str">
        <f>IF('Şagirdlərin nəticələri'!AW$63="","",'Şagirdlərin nəticələri'!AW$63)</f>
        <v/>
      </c>
      <c r="S11" s="12" t="str">
        <f>IF('Şagirdlərin nəticələri'!AW$64="","",'Şagirdlərin nəticələri'!AW$64)</f>
        <v/>
      </c>
    </row>
    <row r="12" spans="1:19" ht="15.6" customHeight="1">
      <c r="A12" s="54">
        <v>5</v>
      </c>
      <c r="B12" s="8" t="str">
        <f t="shared" si="0"/>
        <v/>
      </c>
      <c r="C12" s="19"/>
      <c r="D12" s="19"/>
      <c r="E12" s="19"/>
      <c r="F12" s="10" t="str">
        <f t="shared" si="1"/>
        <v/>
      </c>
      <c r="G12" s="11" t="str">
        <f>IF('Şagirdlərin nəticələri'!AX$59="","",'Şagirdlərin nəticələri'!AX$59)</f>
        <v/>
      </c>
      <c r="H12" s="11" t="str">
        <f>IF('Şagirdlərin nəticələri'!AX$60="","",'Şagirdlərin nəticələri'!AX$60)</f>
        <v/>
      </c>
      <c r="I12" s="11" t="str">
        <f>IF('Şagirdlərin nəticələri'!AX$61="","",'Şagirdlərin nəticələri'!AX$61)</f>
        <v/>
      </c>
      <c r="J12" s="77"/>
      <c r="K12" s="8">
        <v>5</v>
      </c>
      <c r="L12" s="8" t="str">
        <f t="shared" si="2"/>
        <v/>
      </c>
      <c r="M12" s="19"/>
      <c r="N12" s="19"/>
      <c r="O12" s="19"/>
      <c r="P12" s="10" t="str">
        <f t="shared" si="3"/>
        <v/>
      </c>
      <c r="Q12" s="12" t="str">
        <f>IF('Şagirdlərin nəticələri'!AX$62="","",'Şagirdlərin nəticələri'!AX$62)</f>
        <v/>
      </c>
      <c r="R12" s="12" t="str">
        <f>IF('Şagirdlərin nəticələri'!AX$63="","",'Şagirdlərin nəticələri'!AX$63)</f>
        <v/>
      </c>
      <c r="S12" s="12" t="str">
        <f>IF('Şagirdlərin nəticələri'!AX$64="","",'Şagirdlərin nəticələri'!AX$64)</f>
        <v/>
      </c>
    </row>
    <row r="13" spans="1:19" ht="15.6" customHeight="1">
      <c r="A13" s="54">
        <v>6</v>
      </c>
      <c r="B13" s="8" t="str">
        <f t="shared" si="0"/>
        <v/>
      </c>
      <c r="C13" s="19"/>
      <c r="D13" s="19"/>
      <c r="E13" s="19"/>
      <c r="F13" s="10" t="str">
        <f t="shared" si="1"/>
        <v/>
      </c>
      <c r="G13" s="11" t="str">
        <f>IF('Şagirdlərin nəticələri'!AY$59="","",'Şagirdlərin nəticələri'!AY$59)</f>
        <v/>
      </c>
      <c r="H13" s="11" t="str">
        <f>IF('Şagirdlərin nəticələri'!AY$60="","",'Şagirdlərin nəticələri'!AY$60)</f>
        <v/>
      </c>
      <c r="I13" s="11" t="str">
        <f>IF('Şagirdlərin nəticələri'!AY$61="","",'Şagirdlərin nəticələri'!AY$61)</f>
        <v/>
      </c>
      <c r="J13" s="77"/>
      <c r="K13" s="8">
        <v>6</v>
      </c>
      <c r="L13" s="8" t="str">
        <f t="shared" si="2"/>
        <v/>
      </c>
      <c r="M13" s="19"/>
      <c r="N13" s="19"/>
      <c r="O13" s="19"/>
      <c r="P13" s="10" t="str">
        <f t="shared" si="3"/>
        <v/>
      </c>
      <c r="Q13" s="12" t="str">
        <f>IF('Şagirdlərin nəticələri'!AY$62="","",'Şagirdlərin nəticələri'!AY$62)</f>
        <v/>
      </c>
      <c r="R13" s="12" t="str">
        <f>IF('Şagirdlərin nəticələri'!AY$63="","",'Şagirdlərin nəticələri'!AY$63)</f>
        <v/>
      </c>
      <c r="S13" s="12" t="str">
        <f>IF('Şagirdlərin nəticələri'!AY$64="","",'Şagirdlərin nəticələri'!AY$64)</f>
        <v/>
      </c>
    </row>
    <row r="14" spans="1:19" ht="15.6" customHeight="1">
      <c r="A14" s="54">
        <v>7</v>
      </c>
      <c r="B14" s="8" t="str">
        <f t="shared" si="0"/>
        <v/>
      </c>
      <c r="C14" s="19"/>
      <c r="D14" s="19"/>
      <c r="E14" s="19"/>
      <c r="F14" s="10" t="str">
        <f t="shared" si="1"/>
        <v/>
      </c>
      <c r="G14" s="11" t="str">
        <f>IF('Şagirdlərin nəticələri'!AZ$59="","",'Şagirdlərin nəticələri'!AZ$59)</f>
        <v/>
      </c>
      <c r="H14" s="11" t="str">
        <f>IF('Şagirdlərin nəticələri'!AZ$60="","",'Şagirdlərin nəticələri'!AZ$60)</f>
        <v/>
      </c>
      <c r="I14" s="11" t="str">
        <f>IF('Şagirdlərin nəticələri'!AZ$61="","",'Şagirdlərin nəticələri'!AZ$61)</f>
        <v/>
      </c>
      <c r="J14" s="77"/>
      <c r="K14" s="8">
        <v>7</v>
      </c>
      <c r="L14" s="8" t="str">
        <f t="shared" si="2"/>
        <v/>
      </c>
      <c r="M14" s="19"/>
      <c r="N14" s="19"/>
      <c r="O14" s="19"/>
      <c r="P14" s="10" t="str">
        <f t="shared" si="3"/>
        <v/>
      </c>
      <c r="Q14" s="12" t="str">
        <f>IF('Şagirdlərin nəticələri'!AZ$62="","",'Şagirdlərin nəticələri'!AZ$62)</f>
        <v/>
      </c>
      <c r="R14" s="12" t="str">
        <f>IF('Şagirdlərin nəticələri'!AZ$63="","",'Şagirdlərin nəticələri'!AZ$63)</f>
        <v/>
      </c>
      <c r="S14" s="12" t="str">
        <f>IF('Şagirdlərin nəticələri'!AZ$64="","",'Şagirdlərin nəticələri'!AZ$64)</f>
        <v/>
      </c>
    </row>
    <row r="15" spans="1:19" ht="15.6" customHeight="1">
      <c r="A15" s="54">
        <v>8</v>
      </c>
      <c r="B15" s="8" t="str">
        <f t="shared" si="0"/>
        <v/>
      </c>
      <c r="C15" s="19"/>
      <c r="D15" s="19"/>
      <c r="E15" s="19"/>
      <c r="F15" s="10" t="str">
        <f t="shared" si="1"/>
        <v/>
      </c>
      <c r="G15" s="11" t="str">
        <f>IF('Şagirdlərin nəticələri'!BA$59="","",'Şagirdlərin nəticələri'!BA$59)</f>
        <v/>
      </c>
      <c r="H15" s="11" t="str">
        <f>IF('Şagirdlərin nəticələri'!BA$60="","",'Şagirdlərin nəticələri'!BA$60)</f>
        <v/>
      </c>
      <c r="I15" s="11" t="str">
        <f>IF('Şagirdlərin nəticələri'!BA$61="","",'Şagirdlərin nəticələri'!BA$61)</f>
        <v/>
      </c>
      <c r="J15" s="77"/>
      <c r="K15" s="8">
        <v>8</v>
      </c>
      <c r="L15" s="8" t="str">
        <f t="shared" si="2"/>
        <v/>
      </c>
      <c r="M15" s="19"/>
      <c r="N15" s="19"/>
      <c r="O15" s="19"/>
      <c r="P15" s="10" t="str">
        <f t="shared" si="3"/>
        <v/>
      </c>
      <c r="Q15" s="12" t="str">
        <f>IF('Şagirdlərin nəticələri'!BA$62="","",'Şagirdlərin nəticələri'!BA$62)</f>
        <v/>
      </c>
      <c r="R15" s="12" t="str">
        <f>IF('Şagirdlərin nəticələri'!BA$63="","",'Şagirdlərin nəticələri'!BA$63)</f>
        <v/>
      </c>
      <c r="S15" s="12" t="str">
        <f>IF('Şagirdlərin nəticələri'!BA$64="","",'Şagirdlərin nəticələri'!BA$64)</f>
        <v/>
      </c>
    </row>
    <row r="16" spans="1:19" ht="15.6" customHeight="1">
      <c r="A16" s="54">
        <v>9</v>
      </c>
      <c r="B16" s="8" t="str">
        <f t="shared" si="0"/>
        <v/>
      </c>
      <c r="C16" s="19"/>
      <c r="D16" s="19"/>
      <c r="E16" s="19"/>
      <c r="F16" s="10" t="str">
        <f t="shared" si="1"/>
        <v/>
      </c>
      <c r="G16" s="11" t="str">
        <f>IF('Şagirdlərin nəticələri'!BB$59="","",'Şagirdlərin nəticələri'!BB$59)</f>
        <v/>
      </c>
      <c r="H16" s="11" t="str">
        <f>IF('Şagirdlərin nəticələri'!BB$60="","",'Şagirdlərin nəticələri'!BB$60)</f>
        <v/>
      </c>
      <c r="I16" s="11" t="str">
        <f>IF('Şagirdlərin nəticələri'!BB$61="","",'Şagirdlərin nəticələri'!BB$61)</f>
        <v/>
      </c>
      <c r="J16" s="77"/>
      <c r="K16" s="8">
        <v>9</v>
      </c>
      <c r="L16" s="8" t="str">
        <f t="shared" si="2"/>
        <v/>
      </c>
      <c r="M16" s="19"/>
      <c r="N16" s="19"/>
      <c r="O16" s="19"/>
      <c r="P16" s="10" t="str">
        <f t="shared" si="3"/>
        <v/>
      </c>
      <c r="Q16" s="12" t="str">
        <f>IF('Şagirdlərin nəticələri'!BB$62="","",'Şagirdlərin nəticələri'!BB$62)</f>
        <v/>
      </c>
      <c r="R16" s="12" t="str">
        <f>IF('Şagirdlərin nəticələri'!BB$63="","",'Şagirdlərin nəticələri'!BB$63)</f>
        <v/>
      </c>
      <c r="S16" s="12" t="str">
        <f>IF('Şagirdlərin nəticələri'!BB$64="","",'Şagirdlərin nəticələri'!BB$64)</f>
        <v/>
      </c>
    </row>
    <row r="17" spans="1:19" ht="15.6" customHeight="1">
      <c r="A17" s="54">
        <v>10</v>
      </c>
      <c r="B17" s="8" t="str">
        <f t="shared" si="0"/>
        <v/>
      </c>
      <c r="C17" s="19"/>
      <c r="D17" s="19"/>
      <c r="E17" s="19"/>
      <c r="F17" s="10" t="str">
        <f t="shared" si="1"/>
        <v/>
      </c>
      <c r="G17" s="11" t="str">
        <f>IF('Şagirdlərin nəticələri'!BC$59="","",'Şagirdlərin nəticələri'!BC$59)</f>
        <v/>
      </c>
      <c r="H17" s="11" t="str">
        <f>IF('Şagirdlərin nəticələri'!BC$60="","",'Şagirdlərin nəticələri'!BC$60)</f>
        <v/>
      </c>
      <c r="I17" s="11" t="str">
        <f>IF('Şagirdlərin nəticələri'!BC$61="","",'Şagirdlərin nəticələri'!BC$61)</f>
        <v/>
      </c>
      <c r="J17" s="77"/>
      <c r="K17" s="8">
        <v>10</v>
      </c>
      <c r="L17" s="8" t="str">
        <f t="shared" si="2"/>
        <v/>
      </c>
      <c r="M17" s="19"/>
      <c r="N17" s="19"/>
      <c r="O17" s="19"/>
      <c r="P17" s="10" t="str">
        <f t="shared" si="3"/>
        <v/>
      </c>
      <c r="Q17" s="12" t="str">
        <f>IF('Şagirdlərin nəticələri'!BC$62="","",'Şagirdlərin nəticələri'!BC$62)</f>
        <v/>
      </c>
      <c r="R17" s="12" t="str">
        <f>IF('Şagirdlərin nəticələri'!BC$63="","",'Şagirdlərin nəticələri'!BC$63)</f>
        <v/>
      </c>
      <c r="S17" s="12" t="str">
        <f>IF('Şagirdlərin nəticələri'!BC$64="","",'Şagirdlərin nəticələri'!BC$64)</f>
        <v/>
      </c>
    </row>
    <row r="18" spans="1:19" ht="15.6" customHeight="1">
      <c r="A18" s="54">
        <v>11</v>
      </c>
      <c r="B18" s="8" t="str">
        <f t="shared" si="0"/>
        <v/>
      </c>
      <c r="C18" s="19"/>
      <c r="D18" s="19"/>
      <c r="E18" s="19"/>
      <c r="F18" s="10" t="str">
        <f t="shared" si="1"/>
        <v/>
      </c>
      <c r="G18" s="11" t="str">
        <f>IF('Şagirdlərin nəticələri'!BD$59="","",'Şagirdlərin nəticələri'!BD$59)</f>
        <v/>
      </c>
      <c r="H18" s="11" t="str">
        <f>IF('Şagirdlərin nəticələri'!BD$60="","",'Şagirdlərin nəticələri'!BD$60)</f>
        <v/>
      </c>
      <c r="I18" s="11" t="str">
        <f>IF('Şagirdlərin nəticələri'!BD$61="","",'Şagirdlərin nəticələri'!BD$61)</f>
        <v/>
      </c>
      <c r="J18" s="77"/>
      <c r="K18" s="8">
        <v>11</v>
      </c>
      <c r="L18" s="8" t="str">
        <f t="shared" si="2"/>
        <v/>
      </c>
      <c r="M18" s="19"/>
      <c r="N18" s="19"/>
      <c r="O18" s="19"/>
      <c r="P18" s="10" t="str">
        <f t="shared" si="3"/>
        <v/>
      </c>
      <c r="Q18" s="12" t="str">
        <f>IF('Şagirdlərin nəticələri'!BD$62="","",'Şagirdlərin nəticələri'!BD$62)</f>
        <v/>
      </c>
      <c r="R18" s="12" t="str">
        <f>IF('Şagirdlərin nəticələri'!BD$63="","",'Şagirdlərin nəticələri'!BD$63)</f>
        <v/>
      </c>
      <c r="S18" s="12" t="str">
        <f>IF('Şagirdlərin nəticələri'!BD$64="","",'Şagirdlərin nəticələri'!BD$64)</f>
        <v/>
      </c>
    </row>
    <row r="19" spans="1:19" ht="15.6" customHeight="1">
      <c r="A19" s="54">
        <v>12</v>
      </c>
      <c r="B19" s="8" t="str">
        <f t="shared" si="0"/>
        <v/>
      </c>
      <c r="C19" s="19"/>
      <c r="D19" s="19"/>
      <c r="E19" s="19"/>
      <c r="F19" s="10" t="str">
        <f t="shared" si="1"/>
        <v/>
      </c>
      <c r="G19" s="11" t="str">
        <f>IF('Şagirdlərin nəticələri'!BE$59="","",'Şagirdlərin nəticələri'!BE$59)</f>
        <v/>
      </c>
      <c r="H19" s="11" t="str">
        <f>IF('Şagirdlərin nəticələri'!BE$60="","",'Şagirdlərin nəticələri'!BE$60)</f>
        <v/>
      </c>
      <c r="I19" s="11" t="str">
        <f>IF('Şagirdlərin nəticələri'!BE$61="","",'Şagirdlərin nəticələri'!BE$61)</f>
        <v/>
      </c>
      <c r="J19" s="77"/>
      <c r="K19" s="8">
        <v>12</v>
      </c>
      <c r="L19" s="8" t="str">
        <f t="shared" si="2"/>
        <v/>
      </c>
      <c r="M19" s="19"/>
      <c r="N19" s="19"/>
      <c r="O19" s="19"/>
      <c r="P19" s="10" t="str">
        <f t="shared" si="3"/>
        <v/>
      </c>
      <c r="Q19" s="12" t="str">
        <f>IF('Şagirdlərin nəticələri'!BE$62="","",'Şagirdlərin nəticələri'!BE$62)</f>
        <v/>
      </c>
      <c r="R19" s="12" t="str">
        <f>IF('Şagirdlərin nəticələri'!BE$63="","",'Şagirdlərin nəticələri'!BE$63)</f>
        <v/>
      </c>
      <c r="S19" s="12" t="str">
        <f>IF('Şagirdlərin nəticələri'!BE$64="","",'Şagirdlərin nəticələri'!BE$64)</f>
        <v/>
      </c>
    </row>
    <row r="20" spans="1:19" ht="15.6" customHeight="1">
      <c r="A20" s="54">
        <v>13</v>
      </c>
      <c r="B20" s="8" t="str">
        <f t="shared" si="0"/>
        <v/>
      </c>
      <c r="C20" s="19"/>
      <c r="D20" s="19"/>
      <c r="E20" s="19"/>
      <c r="F20" s="10" t="str">
        <f t="shared" si="1"/>
        <v/>
      </c>
      <c r="G20" s="11" t="str">
        <f>IF('Şagirdlərin nəticələri'!BF$59="","",'Şagirdlərin nəticələri'!BF$59)</f>
        <v/>
      </c>
      <c r="H20" s="11" t="str">
        <f>IF('Şagirdlərin nəticələri'!BF$60="","",'Şagirdlərin nəticələri'!BF$60)</f>
        <v/>
      </c>
      <c r="I20" s="11" t="str">
        <f>IF('Şagirdlərin nəticələri'!BF$61="","",'Şagirdlərin nəticələri'!BF$61)</f>
        <v/>
      </c>
      <c r="J20" s="77"/>
      <c r="K20" s="8">
        <v>13</v>
      </c>
      <c r="L20" s="8" t="str">
        <f t="shared" si="2"/>
        <v/>
      </c>
      <c r="M20" s="19"/>
      <c r="N20" s="19"/>
      <c r="O20" s="19"/>
      <c r="P20" s="10" t="str">
        <f t="shared" si="3"/>
        <v/>
      </c>
      <c r="Q20" s="12" t="str">
        <f>IF('Şagirdlərin nəticələri'!BF$62="","",'Şagirdlərin nəticələri'!BF$62)</f>
        <v/>
      </c>
      <c r="R20" s="12" t="str">
        <f>IF('Şagirdlərin nəticələri'!BF$63="","",'Şagirdlərin nəticələri'!BF$63)</f>
        <v/>
      </c>
      <c r="S20" s="12" t="str">
        <f>IF('Şagirdlərin nəticələri'!BF$64="","",'Şagirdlərin nəticələri'!BF$64)</f>
        <v/>
      </c>
    </row>
    <row r="21" spans="1:19" ht="15.6" customHeight="1">
      <c r="A21" s="54">
        <v>14</v>
      </c>
      <c r="B21" s="8" t="str">
        <f t="shared" si="0"/>
        <v/>
      </c>
      <c r="C21" s="19"/>
      <c r="D21" s="19"/>
      <c r="E21" s="19"/>
      <c r="F21" s="10" t="str">
        <f t="shared" si="1"/>
        <v/>
      </c>
      <c r="G21" s="11" t="str">
        <f>IF('Şagirdlərin nəticələri'!BG$59="","",'Şagirdlərin nəticələri'!BG$59)</f>
        <v/>
      </c>
      <c r="H21" s="11" t="str">
        <f>IF('Şagirdlərin nəticələri'!BG$60="","",'Şagirdlərin nəticələri'!BG$60)</f>
        <v/>
      </c>
      <c r="I21" s="11" t="str">
        <f>IF('Şagirdlərin nəticələri'!BG$61="","",'Şagirdlərin nəticələri'!BG$61)</f>
        <v/>
      </c>
      <c r="J21" s="77"/>
      <c r="K21" s="8">
        <v>14</v>
      </c>
      <c r="L21" s="8" t="str">
        <f t="shared" si="2"/>
        <v/>
      </c>
      <c r="M21" s="19"/>
      <c r="N21" s="19"/>
      <c r="O21" s="19"/>
      <c r="P21" s="10" t="str">
        <f t="shared" si="3"/>
        <v/>
      </c>
      <c r="Q21" s="12" t="str">
        <f>IF('Şagirdlərin nəticələri'!BG$62="","",'Şagirdlərin nəticələri'!BG$62)</f>
        <v/>
      </c>
      <c r="R21" s="12" t="str">
        <f>IF('Şagirdlərin nəticələri'!BG$63="","",'Şagirdlərin nəticələri'!BG$63)</f>
        <v/>
      </c>
      <c r="S21" s="12" t="str">
        <f>IF('Şagirdlərin nəticələri'!BG$64="","",'Şagirdlərin nəticələri'!BG$64)</f>
        <v/>
      </c>
    </row>
    <row r="22" spans="1:19" ht="15.6" customHeight="1">
      <c r="A22" s="54">
        <v>15</v>
      </c>
      <c r="B22" s="8" t="str">
        <f t="shared" si="0"/>
        <v/>
      </c>
      <c r="C22" s="19"/>
      <c r="D22" s="19"/>
      <c r="E22" s="19"/>
      <c r="F22" s="10" t="str">
        <f t="shared" si="1"/>
        <v/>
      </c>
      <c r="G22" s="11" t="str">
        <f>IF('Şagirdlərin nəticələri'!BH$59="","",'Şagirdlərin nəticələri'!BH$59)</f>
        <v/>
      </c>
      <c r="H22" s="11" t="str">
        <f>IF('Şagirdlərin nəticələri'!BH$60="","",'Şagirdlərin nəticələri'!BH$60)</f>
        <v/>
      </c>
      <c r="I22" s="11" t="str">
        <f>IF('Şagirdlərin nəticələri'!BH$61="","",'Şagirdlərin nəticələri'!BH$61)</f>
        <v/>
      </c>
      <c r="J22" s="77"/>
      <c r="K22" s="8">
        <v>15</v>
      </c>
      <c r="L22" s="8" t="str">
        <f t="shared" si="2"/>
        <v/>
      </c>
      <c r="M22" s="19"/>
      <c r="N22" s="19"/>
      <c r="O22" s="19"/>
      <c r="P22" s="10" t="str">
        <f t="shared" si="3"/>
        <v/>
      </c>
      <c r="Q22" s="12" t="str">
        <f>IF('Şagirdlərin nəticələri'!BH$62="","",'Şagirdlərin nəticələri'!BH$62)</f>
        <v/>
      </c>
      <c r="R22" s="12" t="str">
        <f>IF('Şagirdlərin nəticələri'!BH$63="","",'Şagirdlərin nəticələri'!BH$63)</f>
        <v/>
      </c>
      <c r="S22" s="12" t="str">
        <f>IF('Şagirdlərin nəticələri'!BH$64="","",'Şagirdlərin nəticələri'!BH$64)</f>
        <v/>
      </c>
    </row>
    <row r="23" spans="1:19" ht="15.6" customHeight="1">
      <c r="A23" s="54">
        <v>16</v>
      </c>
      <c r="B23" s="8" t="str">
        <f t="shared" si="0"/>
        <v/>
      </c>
      <c r="C23" s="19"/>
      <c r="D23" s="19"/>
      <c r="E23" s="19"/>
      <c r="F23" s="10" t="str">
        <f t="shared" si="1"/>
        <v/>
      </c>
      <c r="G23" s="11" t="str">
        <f>IF('Şagirdlərin nəticələri'!BI$59="","",'Şagirdlərin nəticələri'!BI$59)</f>
        <v/>
      </c>
      <c r="H23" s="11" t="str">
        <f>IF('Şagirdlərin nəticələri'!BI$60="","",'Şagirdlərin nəticələri'!BI$60)</f>
        <v/>
      </c>
      <c r="I23" s="11" t="str">
        <f>IF('Şagirdlərin nəticələri'!BI$61="","",'Şagirdlərin nəticələri'!BI$61)</f>
        <v/>
      </c>
      <c r="J23" s="77"/>
      <c r="K23" s="8">
        <v>16</v>
      </c>
      <c r="L23" s="8" t="str">
        <f t="shared" si="2"/>
        <v/>
      </c>
      <c r="M23" s="19"/>
      <c r="N23" s="19"/>
      <c r="O23" s="19"/>
      <c r="P23" s="10" t="str">
        <f t="shared" si="3"/>
        <v/>
      </c>
      <c r="Q23" s="12" t="str">
        <f>IF('Şagirdlərin nəticələri'!BI$62="","",'Şagirdlərin nəticələri'!BI$62)</f>
        <v/>
      </c>
      <c r="R23" s="12" t="str">
        <f>IF('Şagirdlərin nəticələri'!BI$63="","",'Şagirdlərin nəticələri'!BI$63)</f>
        <v/>
      </c>
      <c r="S23" s="12" t="str">
        <f>IF('Şagirdlərin nəticələri'!BI$64="","",'Şagirdlərin nəticələri'!BI$64)</f>
        <v/>
      </c>
    </row>
    <row r="24" spans="1:19" ht="15.6" customHeight="1">
      <c r="A24" s="54">
        <v>17</v>
      </c>
      <c r="B24" s="8" t="str">
        <f t="shared" si="0"/>
        <v/>
      </c>
      <c r="C24" s="19"/>
      <c r="D24" s="19"/>
      <c r="E24" s="19"/>
      <c r="F24" s="10" t="str">
        <f t="shared" si="1"/>
        <v/>
      </c>
      <c r="G24" s="11" t="str">
        <f>IF('Şagirdlərin nəticələri'!BJ$59="","",'Şagirdlərin nəticələri'!BJ$59)</f>
        <v/>
      </c>
      <c r="H24" s="11" t="str">
        <f>IF('Şagirdlərin nəticələri'!BJ$60="","",'Şagirdlərin nəticələri'!BJ$60)</f>
        <v/>
      </c>
      <c r="I24" s="11" t="str">
        <f>IF('Şagirdlərin nəticələri'!BJ$61="","",'Şagirdlərin nəticələri'!BJ$61)</f>
        <v/>
      </c>
      <c r="J24" s="77"/>
      <c r="K24" s="8">
        <v>17</v>
      </c>
      <c r="L24" s="8" t="str">
        <f t="shared" si="2"/>
        <v/>
      </c>
      <c r="M24" s="19"/>
      <c r="N24" s="19"/>
      <c r="O24" s="19"/>
      <c r="P24" s="10" t="str">
        <f t="shared" si="3"/>
        <v/>
      </c>
      <c r="Q24" s="12" t="str">
        <f>IF('Şagirdlərin nəticələri'!BJ$62="","",'Şagirdlərin nəticələri'!BJ$62)</f>
        <v/>
      </c>
      <c r="R24" s="12" t="str">
        <f>IF('Şagirdlərin nəticələri'!BJ$63="","",'Şagirdlərin nəticələri'!BJ$63)</f>
        <v/>
      </c>
      <c r="S24" s="12" t="str">
        <f>IF('Şagirdlərin nəticələri'!BJ$64="","",'Şagirdlərin nəticələri'!BJ$64)</f>
        <v/>
      </c>
    </row>
    <row r="25" spans="1:19" ht="15.6" customHeight="1">
      <c r="A25" s="54">
        <v>18</v>
      </c>
      <c r="B25" s="8" t="str">
        <f t="shared" si="0"/>
        <v/>
      </c>
      <c r="C25" s="19"/>
      <c r="D25" s="19"/>
      <c r="E25" s="19"/>
      <c r="F25" s="10" t="str">
        <f t="shared" si="1"/>
        <v/>
      </c>
      <c r="G25" s="11" t="str">
        <f>IF('Şagirdlərin nəticələri'!BK$59="","",'Şagirdlərin nəticələri'!BK$59)</f>
        <v/>
      </c>
      <c r="H25" s="11" t="str">
        <f>IF('Şagirdlərin nəticələri'!BK$60="","",'Şagirdlərin nəticələri'!BK$60)</f>
        <v/>
      </c>
      <c r="I25" s="11" t="str">
        <f>IF('Şagirdlərin nəticələri'!BK$61="","",'Şagirdlərin nəticələri'!BK$61)</f>
        <v/>
      </c>
      <c r="J25" s="77"/>
      <c r="K25" s="8">
        <v>18</v>
      </c>
      <c r="L25" s="8" t="str">
        <f t="shared" si="2"/>
        <v/>
      </c>
      <c r="M25" s="19"/>
      <c r="N25" s="19"/>
      <c r="O25" s="19"/>
      <c r="P25" s="10" t="str">
        <f t="shared" si="3"/>
        <v/>
      </c>
      <c r="Q25" s="12" t="str">
        <f>IF('Şagirdlərin nəticələri'!BK$62="","",'Şagirdlərin nəticələri'!BK$62)</f>
        <v/>
      </c>
      <c r="R25" s="12" t="str">
        <f>IF('Şagirdlərin nəticələri'!BK$63="","",'Şagirdlərin nəticələri'!BK$63)</f>
        <v/>
      </c>
      <c r="S25" s="12" t="str">
        <f>IF('Şagirdlərin nəticələri'!BK$64="","",'Şagirdlərin nəticələri'!BK$64)</f>
        <v/>
      </c>
    </row>
    <row r="26" spans="1:19" ht="15.6" customHeight="1">
      <c r="A26" s="54">
        <v>19</v>
      </c>
      <c r="B26" s="8" t="str">
        <f t="shared" si="0"/>
        <v/>
      </c>
      <c r="C26" s="19"/>
      <c r="D26" s="19"/>
      <c r="E26" s="19"/>
      <c r="F26" s="10" t="str">
        <f t="shared" si="1"/>
        <v/>
      </c>
      <c r="G26" s="11" t="str">
        <f>IF('Şagirdlərin nəticələri'!BL$59="","",'Şagirdlərin nəticələri'!BL$59)</f>
        <v/>
      </c>
      <c r="H26" s="11" t="str">
        <f>IF('Şagirdlərin nəticələri'!BL$60="","",'Şagirdlərin nəticələri'!BL$60)</f>
        <v/>
      </c>
      <c r="I26" s="11" t="str">
        <f>IF('Şagirdlərin nəticələri'!BL$61="","",'Şagirdlərin nəticələri'!BL$61)</f>
        <v/>
      </c>
      <c r="J26" s="77"/>
      <c r="K26" s="8">
        <v>19</v>
      </c>
      <c r="L26" s="8" t="str">
        <f t="shared" si="2"/>
        <v/>
      </c>
      <c r="M26" s="19"/>
      <c r="N26" s="19"/>
      <c r="O26" s="19"/>
      <c r="P26" s="10" t="str">
        <f t="shared" si="3"/>
        <v/>
      </c>
      <c r="Q26" s="12" t="str">
        <f>IF('Şagirdlərin nəticələri'!BL$62="","",'Şagirdlərin nəticələri'!BL$62)</f>
        <v/>
      </c>
      <c r="R26" s="12" t="str">
        <f>IF('Şagirdlərin nəticələri'!BL$63="","",'Şagirdlərin nəticələri'!BL$63)</f>
        <v/>
      </c>
      <c r="S26" s="12" t="str">
        <f>IF('Şagirdlərin nəticələri'!BL$64="","",'Şagirdlərin nəticələri'!BL$64)</f>
        <v/>
      </c>
    </row>
    <row r="27" spans="1:19" ht="15.6" customHeight="1">
      <c r="A27" s="54">
        <v>20</v>
      </c>
      <c r="B27" s="8" t="str">
        <f t="shared" si="0"/>
        <v/>
      </c>
      <c r="C27" s="19"/>
      <c r="D27" s="19"/>
      <c r="E27" s="19"/>
      <c r="F27" s="10" t="str">
        <f t="shared" si="1"/>
        <v/>
      </c>
      <c r="G27" s="11" t="str">
        <f>IF('Şagirdlərin nəticələri'!BM$59="","",'Şagirdlərin nəticələri'!BM$59)</f>
        <v/>
      </c>
      <c r="H27" s="11" t="str">
        <f>IF('Şagirdlərin nəticələri'!BM$60="","",'Şagirdlərin nəticələri'!BM$60)</f>
        <v/>
      </c>
      <c r="I27" s="11" t="str">
        <f>IF('Şagirdlərin nəticələri'!BM$61="","",'Şagirdlərin nəticələri'!BM$61)</f>
        <v/>
      </c>
      <c r="J27" s="77"/>
      <c r="K27" s="8">
        <v>20</v>
      </c>
      <c r="L27" s="8" t="str">
        <f t="shared" si="2"/>
        <v/>
      </c>
      <c r="M27" s="19"/>
      <c r="N27" s="19"/>
      <c r="O27" s="19"/>
      <c r="P27" s="10" t="str">
        <f t="shared" si="3"/>
        <v/>
      </c>
      <c r="Q27" s="12" t="str">
        <f>IF('Şagirdlərin nəticələri'!BM$62="","",'Şagirdlərin nəticələri'!BM$62)</f>
        <v/>
      </c>
      <c r="R27" s="12" t="str">
        <f>IF('Şagirdlərin nəticələri'!BM$63="","",'Şagirdlərin nəticələri'!BM$63)</f>
        <v/>
      </c>
      <c r="S27" s="12" t="str">
        <f>IF('Şagirdlərin nəticələri'!BM$64="","",'Şagirdlərin nəticələri'!BM$64)</f>
        <v/>
      </c>
    </row>
    <row r="28" spans="1:19" ht="15.6" customHeight="1">
      <c r="A28" s="54">
        <v>21</v>
      </c>
      <c r="B28" s="8" t="str">
        <f t="shared" si="0"/>
        <v/>
      </c>
      <c r="C28" s="19"/>
      <c r="D28" s="19"/>
      <c r="E28" s="19"/>
      <c r="F28" s="10" t="str">
        <f t="shared" si="1"/>
        <v/>
      </c>
      <c r="G28" s="11" t="str">
        <f>IF('Şagirdlərin nəticələri'!BN$59="","",'Şagirdlərin nəticələri'!BN$59)</f>
        <v/>
      </c>
      <c r="H28" s="11" t="str">
        <f>IF('Şagirdlərin nəticələri'!BN$60="","",'Şagirdlərin nəticələri'!BN$60)</f>
        <v/>
      </c>
      <c r="I28" s="11" t="str">
        <f>IF('Şagirdlərin nəticələri'!BN$61="","",'Şagirdlərin nəticələri'!BN$61)</f>
        <v/>
      </c>
      <c r="J28" s="77"/>
      <c r="K28" s="8">
        <v>21</v>
      </c>
      <c r="L28" s="8" t="str">
        <f t="shared" si="2"/>
        <v/>
      </c>
      <c r="M28" s="19"/>
      <c r="N28" s="19"/>
      <c r="O28" s="19"/>
      <c r="P28" s="10" t="str">
        <f t="shared" si="3"/>
        <v/>
      </c>
      <c r="Q28" s="12" t="str">
        <f>IF('Şagirdlərin nəticələri'!BN$62="","",'Şagirdlərin nəticələri'!BN$62)</f>
        <v/>
      </c>
      <c r="R28" s="12" t="str">
        <f>IF('Şagirdlərin nəticələri'!BN$63="","",'Şagirdlərin nəticələri'!BN$63)</f>
        <v/>
      </c>
      <c r="S28" s="12" t="str">
        <f>IF('Şagirdlərin nəticələri'!BN$64="","",'Şagirdlərin nəticələri'!BN$64)</f>
        <v/>
      </c>
    </row>
    <row r="29" spans="1:19" ht="15.6" customHeight="1">
      <c r="A29" s="54">
        <v>22</v>
      </c>
      <c r="B29" s="8" t="str">
        <f t="shared" si="0"/>
        <v/>
      </c>
      <c r="C29" s="19"/>
      <c r="D29" s="19"/>
      <c r="E29" s="19"/>
      <c r="F29" s="10" t="str">
        <f t="shared" si="1"/>
        <v/>
      </c>
      <c r="G29" s="11" t="str">
        <f>IF('Şagirdlərin nəticələri'!BO$59="","",'Şagirdlərin nəticələri'!BO$59)</f>
        <v/>
      </c>
      <c r="H29" s="11" t="str">
        <f>IF('Şagirdlərin nəticələri'!BO$60="","",'Şagirdlərin nəticələri'!BO$60)</f>
        <v/>
      </c>
      <c r="I29" s="11" t="str">
        <f>IF('Şagirdlərin nəticələri'!BO$61="","",'Şagirdlərin nəticələri'!BO$61)</f>
        <v/>
      </c>
      <c r="J29" s="77"/>
      <c r="K29" s="8">
        <v>22</v>
      </c>
      <c r="L29" s="8" t="str">
        <f t="shared" si="2"/>
        <v/>
      </c>
      <c r="M29" s="19"/>
      <c r="N29" s="19"/>
      <c r="O29" s="19"/>
      <c r="P29" s="10" t="str">
        <f t="shared" si="3"/>
        <v/>
      </c>
      <c r="Q29" s="12" t="str">
        <f>IF('Şagirdlərin nəticələri'!BO$62="","",'Şagirdlərin nəticələri'!BO$62)</f>
        <v/>
      </c>
      <c r="R29" s="12" t="str">
        <f>IF('Şagirdlərin nəticələri'!BO$63="","",'Şagirdlərin nəticələri'!BO$63)</f>
        <v/>
      </c>
      <c r="S29" s="12" t="str">
        <f>IF('Şagirdlərin nəticələri'!BO$64="","",'Şagirdlərin nəticələri'!BO$64)</f>
        <v/>
      </c>
    </row>
    <row r="30" spans="1:19" ht="15.6" customHeight="1">
      <c r="A30" s="54">
        <v>23</v>
      </c>
      <c r="B30" s="8" t="str">
        <f t="shared" si="0"/>
        <v/>
      </c>
      <c r="C30" s="19"/>
      <c r="D30" s="19"/>
      <c r="E30" s="19"/>
      <c r="F30" s="10" t="str">
        <f t="shared" si="1"/>
        <v/>
      </c>
      <c r="G30" s="11" t="str">
        <f>IF('Şagirdlərin nəticələri'!BP$59="","",'Şagirdlərin nəticələri'!BP$59)</f>
        <v/>
      </c>
      <c r="H30" s="11" t="str">
        <f>IF('Şagirdlərin nəticələri'!BP$60="","",'Şagirdlərin nəticələri'!BP$60)</f>
        <v/>
      </c>
      <c r="I30" s="11" t="str">
        <f>IF('Şagirdlərin nəticələri'!BP$61="","",'Şagirdlərin nəticələri'!BP$61)</f>
        <v/>
      </c>
      <c r="J30" s="77"/>
      <c r="K30" s="8">
        <v>23</v>
      </c>
      <c r="L30" s="8" t="str">
        <f t="shared" si="2"/>
        <v/>
      </c>
      <c r="M30" s="19"/>
      <c r="N30" s="19"/>
      <c r="O30" s="19"/>
      <c r="P30" s="10" t="str">
        <f t="shared" si="3"/>
        <v/>
      </c>
      <c r="Q30" s="12" t="str">
        <f>IF('Şagirdlərin nəticələri'!BP$62="","",'Şagirdlərin nəticələri'!BP$62)</f>
        <v/>
      </c>
      <c r="R30" s="12" t="str">
        <f>IF('Şagirdlərin nəticələri'!BP$63="","",'Şagirdlərin nəticələri'!BP$63)</f>
        <v/>
      </c>
      <c r="S30" s="12" t="str">
        <f>IF('Şagirdlərin nəticələri'!BP$64="","",'Şagirdlərin nəticələri'!BP$64)</f>
        <v/>
      </c>
    </row>
    <row r="31" spans="1:19" ht="15.6" customHeight="1">
      <c r="A31" s="54">
        <v>24</v>
      </c>
      <c r="B31" s="8" t="str">
        <f t="shared" si="0"/>
        <v/>
      </c>
      <c r="C31" s="19"/>
      <c r="D31" s="19"/>
      <c r="E31" s="19"/>
      <c r="F31" s="10" t="str">
        <f t="shared" si="1"/>
        <v/>
      </c>
      <c r="G31" s="11" t="str">
        <f>IF('Şagirdlərin nəticələri'!BQ$59="","",'Şagirdlərin nəticələri'!BQ$59)</f>
        <v/>
      </c>
      <c r="H31" s="11" t="str">
        <f>IF('Şagirdlərin nəticələri'!BQ$60="","",'Şagirdlərin nəticələri'!BQ$60)</f>
        <v/>
      </c>
      <c r="I31" s="11" t="str">
        <f>IF('Şagirdlərin nəticələri'!BQ$61="","",'Şagirdlərin nəticələri'!BQ$61)</f>
        <v/>
      </c>
      <c r="J31" s="77"/>
      <c r="K31" s="8">
        <v>24</v>
      </c>
      <c r="L31" s="8" t="str">
        <f t="shared" si="2"/>
        <v/>
      </c>
      <c r="M31" s="19"/>
      <c r="N31" s="19"/>
      <c r="O31" s="19"/>
      <c r="P31" s="10" t="str">
        <f t="shared" si="3"/>
        <v/>
      </c>
      <c r="Q31" s="12" t="str">
        <f>IF('Şagirdlərin nəticələri'!BQ$62="","",'Şagirdlərin nəticələri'!BQ$62)</f>
        <v/>
      </c>
      <c r="R31" s="12" t="str">
        <f>IF('Şagirdlərin nəticələri'!BQ$63="","",'Şagirdlərin nəticələri'!BQ$63)</f>
        <v/>
      </c>
      <c r="S31" s="12" t="str">
        <f>IF('Şagirdlərin nəticələri'!BQ$64="","",'Şagirdlərin nəticələri'!BQ$64)</f>
        <v/>
      </c>
    </row>
    <row r="32" spans="1:19" ht="15.6" customHeight="1">
      <c r="A32" s="54">
        <v>25</v>
      </c>
      <c r="B32" s="8" t="str">
        <f t="shared" si="0"/>
        <v/>
      </c>
      <c r="C32" s="19"/>
      <c r="D32" s="19"/>
      <c r="E32" s="19"/>
      <c r="F32" s="10" t="str">
        <f t="shared" si="1"/>
        <v/>
      </c>
      <c r="G32" s="11" t="str">
        <f>IF('Şagirdlərin nəticələri'!BR$59="","",'Şagirdlərin nəticələri'!BR$59)</f>
        <v/>
      </c>
      <c r="H32" s="11" t="str">
        <f>IF('Şagirdlərin nəticələri'!BR$60="","",'Şagirdlərin nəticələri'!BR$60)</f>
        <v/>
      </c>
      <c r="I32" s="11" t="str">
        <f>IF('Şagirdlərin nəticələri'!BR$61="","",'Şagirdlərin nəticələri'!BR$61)</f>
        <v/>
      </c>
      <c r="J32" s="77"/>
      <c r="K32" s="8">
        <v>25</v>
      </c>
      <c r="L32" s="8" t="str">
        <f t="shared" si="2"/>
        <v/>
      </c>
      <c r="M32" s="19"/>
      <c r="N32" s="19"/>
      <c r="O32" s="19"/>
      <c r="P32" s="10" t="str">
        <f t="shared" si="3"/>
        <v/>
      </c>
      <c r="Q32" s="12" t="str">
        <f>IF('Şagirdlərin nəticələri'!BR$62="","",'Şagirdlərin nəticələri'!BR$62)</f>
        <v/>
      </c>
      <c r="R32" s="12" t="str">
        <f>IF('Şagirdlərin nəticələri'!BR$63="","",'Şagirdlərin nəticələri'!BR$63)</f>
        <v/>
      </c>
      <c r="S32" s="12" t="str">
        <f>IF('Şagirdlərin nəticələri'!BR$64="","",'Şagirdlərin nəticələri'!BR$64)</f>
        <v/>
      </c>
    </row>
    <row r="33" spans="1:19" ht="15.6" customHeight="1">
      <c r="A33" s="54">
        <v>26</v>
      </c>
      <c r="B33" s="8" t="str">
        <f t="shared" si="0"/>
        <v/>
      </c>
      <c r="C33" s="19"/>
      <c r="D33" s="19"/>
      <c r="E33" s="19"/>
      <c r="F33" s="10" t="str">
        <f t="shared" si="1"/>
        <v/>
      </c>
      <c r="G33" s="11" t="str">
        <f>IF('Şagirdlərin nəticələri'!BS$59="","",'Şagirdlərin nəticələri'!BS$59)</f>
        <v/>
      </c>
      <c r="H33" s="11" t="str">
        <f>IF('Şagirdlərin nəticələri'!BS$60="","",'Şagirdlərin nəticələri'!BS$60)</f>
        <v/>
      </c>
      <c r="I33" s="11" t="str">
        <f>IF('Şagirdlərin nəticələri'!BS$61="","",'Şagirdlərin nəticələri'!BS$61)</f>
        <v/>
      </c>
      <c r="J33" s="77"/>
      <c r="K33" s="8">
        <v>26</v>
      </c>
      <c r="L33" s="8" t="str">
        <f t="shared" si="2"/>
        <v/>
      </c>
      <c r="M33" s="19"/>
      <c r="N33" s="19"/>
      <c r="O33" s="19"/>
      <c r="P33" s="10" t="str">
        <f t="shared" si="3"/>
        <v/>
      </c>
      <c r="Q33" s="12" t="str">
        <f>IF('Şagirdlərin nəticələri'!BS$62="","",'Şagirdlərin nəticələri'!BS$62)</f>
        <v/>
      </c>
      <c r="R33" s="12" t="str">
        <f>IF('Şagirdlərin nəticələri'!BS$63="","",'Şagirdlərin nəticələri'!BS$63)</f>
        <v/>
      </c>
      <c r="S33" s="12" t="str">
        <f>IF('Şagirdlərin nəticələri'!BS$64="","",'Şagirdlərin nəticələri'!BS$64)</f>
        <v/>
      </c>
    </row>
    <row r="34" spans="1:19" ht="15.6" customHeight="1">
      <c r="A34" s="54">
        <v>27</v>
      </c>
      <c r="B34" s="8" t="str">
        <f t="shared" si="0"/>
        <v/>
      </c>
      <c r="C34" s="19"/>
      <c r="D34" s="19"/>
      <c r="E34" s="19"/>
      <c r="F34" s="10" t="str">
        <f t="shared" si="1"/>
        <v/>
      </c>
      <c r="G34" s="11" t="str">
        <f>IF('Şagirdlərin nəticələri'!BT$59="","",'Şagirdlərin nəticələri'!BT$59)</f>
        <v/>
      </c>
      <c r="H34" s="11" t="str">
        <f>IF('Şagirdlərin nəticələri'!BT$60="","",'Şagirdlərin nəticələri'!BT$60)</f>
        <v/>
      </c>
      <c r="I34" s="11" t="str">
        <f>IF('Şagirdlərin nəticələri'!BT$61="","",'Şagirdlərin nəticələri'!BT$61)</f>
        <v/>
      </c>
      <c r="J34" s="77"/>
      <c r="K34" s="8">
        <v>27</v>
      </c>
      <c r="L34" s="8" t="str">
        <f t="shared" si="2"/>
        <v/>
      </c>
      <c r="M34" s="19"/>
      <c r="N34" s="19"/>
      <c r="O34" s="19"/>
      <c r="P34" s="10" t="str">
        <f t="shared" si="3"/>
        <v/>
      </c>
      <c r="Q34" s="12" t="str">
        <f>IF('Şagirdlərin nəticələri'!BT$62="","",'Şagirdlərin nəticələri'!BT$62)</f>
        <v/>
      </c>
      <c r="R34" s="12" t="str">
        <f>IF('Şagirdlərin nəticələri'!BT$63="","",'Şagirdlərin nəticələri'!BT$63)</f>
        <v/>
      </c>
      <c r="S34" s="12" t="str">
        <f>IF('Şagirdlərin nəticələri'!BT$64="","",'Şagirdlərin nəticələri'!BT$64)</f>
        <v/>
      </c>
    </row>
    <row r="35" spans="1:19" ht="15.6" customHeight="1">
      <c r="A35" s="54">
        <v>28</v>
      </c>
      <c r="B35" s="8" t="str">
        <f t="shared" si="0"/>
        <v/>
      </c>
      <c r="C35" s="19"/>
      <c r="D35" s="19"/>
      <c r="E35" s="19"/>
      <c r="F35" s="10" t="str">
        <f t="shared" si="1"/>
        <v/>
      </c>
      <c r="G35" s="11" t="str">
        <f>IF('Şagirdlərin nəticələri'!BU$59="","",'Şagirdlərin nəticələri'!BU$59)</f>
        <v/>
      </c>
      <c r="H35" s="11" t="str">
        <f>IF('Şagirdlərin nəticələri'!BU$60="","",'Şagirdlərin nəticələri'!BU$60)</f>
        <v/>
      </c>
      <c r="I35" s="11" t="str">
        <f>IF('Şagirdlərin nəticələri'!BU$61="","",'Şagirdlərin nəticələri'!BU$61)</f>
        <v/>
      </c>
      <c r="J35" s="77"/>
      <c r="K35" s="8">
        <v>28</v>
      </c>
      <c r="L35" s="8" t="str">
        <f t="shared" si="2"/>
        <v/>
      </c>
      <c r="M35" s="19"/>
      <c r="N35" s="19"/>
      <c r="O35" s="19"/>
      <c r="P35" s="10" t="str">
        <f t="shared" si="3"/>
        <v/>
      </c>
      <c r="Q35" s="12" t="str">
        <f>IF('Şagirdlərin nəticələri'!BU$62="","",'Şagirdlərin nəticələri'!BU$62)</f>
        <v/>
      </c>
      <c r="R35" s="12" t="str">
        <f>IF('Şagirdlərin nəticələri'!BU$63="","",'Şagirdlərin nəticələri'!BU$63)</f>
        <v/>
      </c>
      <c r="S35" s="12" t="str">
        <f>IF('Şagirdlərin nəticələri'!BU$64="","",'Şagirdlərin nəticələri'!BU$64)</f>
        <v/>
      </c>
    </row>
    <row r="36" spans="1:19" ht="15.6" customHeight="1">
      <c r="A36" s="54">
        <v>29</v>
      </c>
      <c r="B36" s="8" t="str">
        <f t="shared" si="0"/>
        <v/>
      </c>
      <c r="C36" s="19"/>
      <c r="D36" s="19"/>
      <c r="E36" s="19"/>
      <c r="F36" s="10" t="str">
        <f t="shared" si="1"/>
        <v/>
      </c>
      <c r="G36" s="11" t="str">
        <f>IF('Şagirdlərin nəticələri'!BV$59="","",'Şagirdlərin nəticələri'!BV$59)</f>
        <v/>
      </c>
      <c r="H36" s="11" t="str">
        <f>IF('Şagirdlərin nəticələri'!BV$60="","",'Şagirdlərin nəticələri'!BV$60)</f>
        <v/>
      </c>
      <c r="I36" s="11" t="str">
        <f>IF('Şagirdlərin nəticələri'!BV$61="","",'Şagirdlərin nəticələri'!BV$61)</f>
        <v/>
      </c>
      <c r="J36" s="77"/>
      <c r="K36" s="8">
        <v>29</v>
      </c>
      <c r="L36" s="8" t="str">
        <f t="shared" si="2"/>
        <v/>
      </c>
      <c r="M36" s="19"/>
      <c r="N36" s="19"/>
      <c r="O36" s="19"/>
      <c r="P36" s="10" t="str">
        <f t="shared" si="3"/>
        <v/>
      </c>
      <c r="Q36" s="12" t="str">
        <f>IF('Şagirdlərin nəticələri'!BV$62="","",'Şagirdlərin nəticələri'!BV$62)</f>
        <v/>
      </c>
      <c r="R36" s="12" t="str">
        <f>IF('Şagirdlərin nəticələri'!BV$63="","",'Şagirdlərin nəticələri'!BV$63)</f>
        <v/>
      </c>
      <c r="S36" s="12" t="str">
        <f>IF('Şagirdlərin nəticələri'!BV$64="","",'Şagirdlərin nəticələri'!BV$64)</f>
        <v/>
      </c>
    </row>
    <row r="37" spans="1:19" ht="15.6" customHeight="1">
      <c r="A37" s="54">
        <v>30</v>
      </c>
      <c r="B37" s="8" t="str">
        <f t="shared" si="0"/>
        <v/>
      </c>
      <c r="C37" s="19"/>
      <c r="D37" s="19"/>
      <c r="E37" s="19"/>
      <c r="F37" s="10" t="str">
        <f t="shared" si="1"/>
        <v/>
      </c>
      <c r="G37" s="11" t="str">
        <f>IF('Şagirdlərin nəticələri'!BW$59="","",'Şagirdlərin nəticələri'!BW$59)</f>
        <v/>
      </c>
      <c r="H37" s="11" t="str">
        <f>IF('Şagirdlərin nəticələri'!BW$60="","",'Şagirdlərin nəticələri'!BW$60)</f>
        <v/>
      </c>
      <c r="I37" s="11" t="str">
        <f>IF('Şagirdlərin nəticələri'!BW$61="","",'Şagirdlərin nəticələri'!BW$61)</f>
        <v/>
      </c>
      <c r="J37" s="77"/>
      <c r="K37" s="8">
        <v>30</v>
      </c>
      <c r="L37" s="8" t="str">
        <f t="shared" si="2"/>
        <v/>
      </c>
      <c r="M37" s="19"/>
      <c r="N37" s="19"/>
      <c r="O37" s="19"/>
      <c r="P37" s="10" t="str">
        <f t="shared" si="3"/>
        <v/>
      </c>
      <c r="Q37" s="12" t="str">
        <f>IF('Şagirdlərin nəticələri'!BW$62="","",'Şagirdlərin nəticələri'!BW$62)</f>
        <v/>
      </c>
      <c r="R37" s="12" t="str">
        <f>IF('Şagirdlərin nəticələri'!BW$63="","",'Şagirdlərin nəticələri'!BW$63)</f>
        <v/>
      </c>
      <c r="S37" s="12" t="str">
        <f>IF('Şagirdlərin nəticələri'!BW$64="","",'Şagirdlərin nəticələri'!BW$64)</f>
        <v/>
      </c>
    </row>
    <row r="38" spans="1:19">
      <c r="A38" s="13" t="s">
        <v>16</v>
      </c>
      <c r="B38" s="78" t="s">
        <v>6</v>
      </c>
      <c r="C38" s="78"/>
      <c r="D38" s="78"/>
      <c r="E38" s="78"/>
      <c r="F38" s="78"/>
      <c r="G38" s="78"/>
      <c r="H38" s="78"/>
      <c r="I38" s="78"/>
      <c r="J38" s="77"/>
      <c r="K38" s="13" t="s">
        <v>16</v>
      </c>
      <c r="L38" s="78" t="s">
        <v>4</v>
      </c>
      <c r="M38" s="78"/>
      <c r="N38" s="78"/>
      <c r="O38" s="78"/>
      <c r="P38" s="78"/>
      <c r="Q38" s="78"/>
      <c r="R38" s="78"/>
      <c r="S38" s="78"/>
    </row>
    <row r="39" spans="1:19">
      <c r="A39" s="82" t="s">
        <v>38</v>
      </c>
      <c r="B39" s="83"/>
      <c r="C39" s="86" t="s">
        <v>31</v>
      </c>
      <c r="D39" s="80" t="s">
        <v>62</v>
      </c>
      <c r="E39" s="80" t="s">
        <v>63</v>
      </c>
      <c r="F39" s="99" t="s">
        <v>3</v>
      </c>
      <c r="G39" s="80" t="s">
        <v>23</v>
      </c>
      <c r="H39" s="80" t="s">
        <v>24</v>
      </c>
      <c r="I39" s="80" t="s">
        <v>25</v>
      </c>
      <c r="J39" s="77"/>
      <c r="K39" s="82" t="s">
        <v>38</v>
      </c>
      <c r="L39" s="83"/>
      <c r="M39" s="86" t="s">
        <v>31</v>
      </c>
      <c r="N39" s="80" t="s">
        <v>62</v>
      </c>
      <c r="O39" s="80" t="s">
        <v>63</v>
      </c>
      <c r="P39" s="99" t="s">
        <v>3</v>
      </c>
      <c r="Q39" s="80" t="s">
        <v>23</v>
      </c>
      <c r="R39" s="80" t="s">
        <v>24</v>
      </c>
      <c r="S39" s="80" t="s">
        <v>25</v>
      </c>
    </row>
    <row r="40" spans="1:19">
      <c r="A40" s="84"/>
      <c r="B40" s="85"/>
      <c r="C40" s="87"/>
      <c r="D40" s="81"/>
      <c r="E40" s="81"/>
      <c r="F40" s="100"/>
      <c r="G40" s="81"/>
      <c r="H40" s="81"/>
      <c r="I40" s="81"/>
      <c r="J40" s="77"/>
      <c r="K40" s="84"/>
      <c r="L40" s="85"/>
      <c r="M40" s="87"/>
      <c r="N40" s="81"/>
      <c r="O40" s="81"/>
      <c r="P40" s="100"/>
      <c r="Q40" s="81"/>
      <c r="R40" s="81"/>
      <c r="S40" s="81"/>
    </row>
    <row r="41" spans="1:19">
      <c r="A41" s="14">
        <v>1</v>
      </c>
      <c r="B41" s="8" t="s">
        <v>27</v>
      </c>
      <c r="C41" s="8" t="s">
        <v>32</v>
      </c>
      <c r="D41" s="15">
        <f>COUNTIF(D8:D37,"1")</f>
        <v>1</v>
      </c>
      <c r="E41" s="16">
        <f>IF(D41=0,"",D41*100/(SUM(D41:D44)))</f>
        <v>100</v>
      </c>
      <c r="F41" s="10">
        <f>IF(D41=0,"",AVERAGEIF(D8:D37,1,F8:F37))</f>
        <v>20</v>
      </c>
      <c r="G41" s="16" t="e">
        <f>IF(D41=0,"",AVERAGEIF(D8:D37,1,G8:G37))</f>
        <v>#DIV/0!</v>
      </c>
      <c r="H41" s="16" t="e">
        <f>IF(D41=0,"",AVERAGEIF(D8:D37,1,H8:H37))</f>
        <v>#DIV/0!</v>
      </c>
      <c r="I41" s="16" t="e">
        <f>IF(D41=0,"",AVERAGEIF(D8:D37,1,I8:I37))</f>
        <v>#DIV/0!</v>
      </c>
      <c r="J41" s="77"/>
      <c r="K41" s="14">
        <v>1</v>
      </c>
      <c r="L41" s="8" t="s">
        <v>27</v>
      </c>
      <c r="M41" s="8" t="s">
        <v>32</v>
      </c>
      <c r="N41" s="15">
        <f>COUNTIF(N8:N37,"1")</f>
        <v>0</v>
      </c>
      <c r="O41" s="16" t="str">
        <f>IF(N41=0,"",N41*100/(SUM(N41:N44)))</f>
        <v/>
      </c>
      <c r="P41" s="10" t="str">
        <f>IF(N41=0,"",AVERAGEIF(N8:N37,1,P8:P37))</f>
        <v/>
      </c>
      <c r="Q41" s="16" t="str">
        <f>IF(N41=0,"",AVERAGEIF(N8:N37,1,Q8:Q37))</f>
        <v/>
      </c>
      <c r="R41" s="16" t="str">
        <f>IF(N41=0,"",AVERAGEIF(N8:N37,1,R8:R37))</f>
        <v/>
      </c>
      <c r="S41" s="16" t="str">
        <f>IF(N41=0,"",AVERAGEIF(N8:N37,1,S8:S37))</f>
        <v/>
      </c>
    </row>
    <row r="42" spans="1:19">
      <c r="A42" s="14">
        <v>2</v>
      </c>
      <c r="B42" s="8" t="s">
        <v>28</v>
      </c>
      <c r="C42" s="8" t="s">
        <v>33</v>
      </c>
      <c r="D42" s="15">
        <f>COUNTIF(D8:D37,"2")</f>
        <v>0</v>
      </c>
      <c r="E42" s="16" t="str">
        <f>IF(D42=0,"",D42*100/(SUM(D41:D44)))</f>
        <v/>
      </c>
      <c r="F42" s="10" t="str">
        <f>IF(D42=0,"",AVERAGEIF(D8:D37,2,F8:F37))</f>
        <v/>
      </c>
      <c r="G42" s="16" t="str">
        <f>IF(D42=0,"",AVERAGEIF(D8:D37,2,G8:G37))</f>
        <v/>
      </c>
      <c r="H42" s="16" t="str">
        <f>IF(D42=0,"",AVERAGEIF(D8:D37,2,H8:H37))</f>
        <v/>
      </c>
      <c r="I42" s="16" t="str">
        <f>IF(D42=0,"",AVERAGEIF(D8:D37,2,I8:I37))</f>
        <v/>
      </c>
      <c r="J42" s="77"/>
      <c r="K42" s="14">
        <v>2</v>
      </c>
      <c r="L42" s="8" t="s">
        <v>28</v>
      </c>
      <c r="M42" s="8" t="s">
        <v>33</v>
      </c>
      <c r="N42" s="15">
        <f>COUNTIF(N8:N37,"2")</f>
        <v>0</v>
      </c>
      <c r="O42" s="16" t="str">
        <f>IF(N42=0,"",N42*100/(SUM(N41:N44)))</f>
        <v/>
      </c>
      <c r="P42" s="10" t="str">
        <f>IF(N42=0,"",AVERAGEIF(N8:N37,2,P8:P37))</f>
        <v/>
      </c>
      <c r="Q42" s="16" t="str">
        <f>IF(N42=0,"",AVERAGEIF(N8:N37,2,Q8:Q37))</f>
        <v/>
      </c>
      <c r="R42" s="16" t="str">
        <f>IF(N42=0,"",AVERAGEIF(N8:N37,2,R8:R37))</f>
        <v/>
      </c>
      <c r="S42" s="16" t="str">
        <f>IF(N42=0,"",AVERAGEIF(N8:N37,2,S8:S37))</f>
        <v/>
      </c>
    </row>
    <row r="43" spans="1:19">
      <c r="A43" s="14">
        <v>3</v>
      </c>
      <c r="B43" s="8" t="s">
        <v>29</v>
      </c>
      <c r="C43" s="8" t="s">
        <v>34</v>
      </c>
      <c r="D43" s="15">
        <f>COUNTIF(D8:D37,"3")</f>
        <v>0</v>
      </c>
      <c r="E43" s="16" t="str">
        <f>IF(D43=0,"",D43*100/(SUM(D41:D44)))</f>
        <v/>
      </c>
      <c r="F43" s="10" t="str">
        <f>IF(D43=0,"",AVERAGEIF(D8:D37,3,F8:F37))</f>
        <v/>
      </c>
      <c r="G43" s="16" t="str">
        <f>IF(D43=0,"",AVERAGEIF(D8:D37,3,G8:G37))</f>
        <v/>
      </c>
      <c r="H43" s="16" t="str">
        <f>IF(D43=0,"",AVERAGEIF(D8:D37,3,H8:H37))</f>
        <v/>
      </c>
      <c r="I43" s="16" t="str">
        <f>IF(D43=0,"",AVERAGEIF(D8:D37,3,I8:I37))</f>
        <v/>
      </c>
      <c r="J43" s="77"/>
      <c r="K43" s="14">
        <v>3</v>
      </c>
      <c r="L43" s="8" t="s">
        <v>29</v>
      </c>
      <c r="M43" s="8" t="s">
        <v>34</v>
      </c>
      <c r="N43" s="15">
        <f>COUNTIF(N8:N37,"3")</f>
        <v>0</v>
      </c>
      <c r="O43" s="16" t="str">
        <f>IF(N43=0,"",N43*100/(SUM(N41:N44)))</f>
        <v/>
      </c>
      <c r="P43" s="10" t="str">
        <f>IF(N43=0,"",AVERAGEIF(N8:N37,3,P8:P37))</f>
        <v/>
      </c>
      <c r="Q43" s="16" t="str">
        <f>IF(N43=0,"",AVERAGEIF(N8:N37,3,Q8:Q37))</f>
        <v/>
      </c>
      <c r="R43" s="16" t="str">
        <f>IF(N43=0,"",AVERAGEIF(N8:N37,3,R8:R37))</f>
        <v/>
      </c>
      <c r="S43" s="16" t="str">
        <f>IF(N43=0,"",AVERAGEIF(N8:N37,3,S8:S37))</f>
        <v/>
      </c>
    </row>
    <row r="44" spans="1:19">
      <c r="A44" s="14">
        <v>4</v>
      </c>
      <c r="B44" s="8" t="s">
        <v>30</v>
      </c>
      <c r="C44" s="8" t="s">
        <v>35</v>
      </c>
      <c r="D44" s="15">
        <f>COUNTIF(D8:D37,"4")</f>
        <v>0</v>
      </c>
      <c r="E44" s="16" t="str">
        <f>IF(D44=0,"",D44*100/(SUM(D41:D44)))</f>
        <v/>
      </c>
      <c r="F44" s="10" t="str">
        <f>IF(D44=0,"",AVERAGEIF(D8:D37,4,F8:F37))</f>
        <v/>
      </c>
      <c r="G44" s="16" t="str">
        <f>IF(D44=0,"",AVERAGEIF(D8:D37,4,G8:G37))</f>
        <v/>
      </c>
      <c r="H44" s="16" t="str">
        <f>IF(D44=0,"",AVERAGEIF(D8:D37,4,H8:H37))</f>
        <v/>
      </c>
      <c r="I44" s="16" t="str">
        <f>IF(D44=0,"",AVERAGEIF(D8:D37,4,I8:I37))</f>
        <v/>
      </c>
      <c r="J44" s="77"/>
      <c r="K44" s="14">
        <v>4</v>
      </c>
      <c r="L44" s="8" t="s">
        <v>30</v>
      </c>
      <c r="M44" s="8" t="s">
        <v>35</v>
      </c>
      <c r="N44" s="15">
        <f>COUNTIF(N8:N37,"4")</f>
        <v>0</v>
      </c>
      <c r="O44" s="16" t="str">
        <f>IF(N44=0,"",N44*100/(SUM(N41:N44)))</f>
        <v/>
      </c>
      <c r="P44" s="10" t="str">
        <f>IF(N44=0,"",AVERAGEIF(N8:N37,4,P8:P37))</f>
        <v/>
      </c>
      <c r="Q44" s="16" t="str">
        <f>IF(N44=0,"",AVERAGEIF(N8:N37,4,Q8:Q37))</f>
        <v/>
      </c>
      <c r="R44" s="16" t="str">
        <f>IF(N44=0,"",AVERAGEIF(N8:N37,4,R8:R37))</f>
        <v/>
      </c>
      <c r="S44" s="16" t="str">
        <f>IF(N44=0,"",AVERAGEIF(N8:N37,4,S8:S37))</f>
        <v/>
      </c>
    </row>
    <row r="45" spans="1:19">
      <c r="A45" s="13" t="s">
        <v>16</v>
      </c>
      <c r="B45" s="78" t="s">
        <v>6</v>
      </c>
      <c r="C45" s="78"/>
      <c r="D45" s="78"/>
      <c r="E45" s="78"/>
      <c r="F45" s="78"/>
      <c r="G45" s="78"/>
      <c r="H45" s="78"/>
      <c r="I45" s="78"/>
      <c r="J45" s="77"/>
      <c r="K45" s="13" t="s">
        <v>16</v>
      </c>
      <c r="L45" s="78" t="s">
        <v>4</v>
      </c>
      <c r="M45" s="78"/>
      <c r="N45" s="78"/>
      <c r="O45" s="78"/>
      <c r="P45" s="78"/>
      <c r="Q45" s="78"/>
      <c r="R45" s="78"/>
      <c r="S45" s="78"/>
    </row>
    <row r="46" spans="1:19">
      <c r="A46" s="88" t="s">
        <v>82</v>
      </c>
      <c r="B46" s="89"/>
      <c r="C46" s="89"/>
      <c r="D46" s="90"/>
      <c r="E46" s="80" t="s">
        <v>62</v>
      </c>
      <c r="F46" s="80" t="s">
        <v>63</v>
      </c>
      <c r="G46" s="80" t="s">
        <v>23</v>
      </c>
      <c r="H46" s="80" t="s">
        <v>24</v>
      </c>
      <c r="I46" s="80" t="s">
        <v>25</v>
      </c>
      <c r="J46" s="77"/>
      <c r="K46" s="88" t="s">
        <v>82</v>
      </c>
      <c r="L46" s="89"/>
      <c r="M46" s="89"/>
      <c r="N46" s="90"/>
      <c r="O46" s="80" t="s">
        <v>62</v>
      </c>
      <c r="P46" s="80" t="s">
        <v>63</v>
      </c>
      <c r="Q46" s="80" t="s">
        <v>23</v>
      </c>
      <c r="R46" s="80" t="s">
        <v>24</v>
      </c>
      <c r="S46" s="80" t="s">
        <v>25</v>
      </c>
    </row>
    <row r="47" spans="1:19">
      <c r="A47" s="91"/>
      <c r="B47" s="92"/>
      <c r="C47" s="92"/>
      <c r="D47" s="93"/>
      <c r="E47" s="81"/>
      <c r="F47" s="81"/>
      <c r="G47" s="81"/>
      <c r="H47" s="81"/>
      <c r="I47" s="81"/>
      <c r="J47" s="77"/>
      <c r="K47" s="91"/>
      <c r="L47" s="92"/>
      <c r="M47" s="92"/>
      <c r="N47" s="93"/>
      <c r="O47" s="81"/>
      <c r="P47" s="81"/>
      <c r="Q47" s="81"/>
      <c r="R47" s="81"/>
      <c r="S47" s="81"/>
    </row>
    <row r="48" spans="1:19">
      <c r="A48" s="8">
        <v>1</v>
      </c>
      <c r="B48" s="110"/>
      <c r="C48" s="111"/>
      <c r="D48" s="112"/>
      <c r="E48" s="15">
        <f>COUNTIF(B7:B36,"1")</f>
        <v>0</v>
      </c>
      <c r="F48" s="16" t="str">
        <f>IF(E48=0,"",E48*100/(SUM(E48:E52)))</f>
        <v/>
      </c>
      <c r="G48" s="16" t="str">
        <f>IF(F48="","",AVERAGEIF(B8:B37,1,G8:G37))</f>
        <v/>
      </c>
      <c r="H48" s="16" t="str">
        <f>IF(F48="","",AVERAGEIF(B8:B37,1,H8:H37))</f>
        <v/>
      </c>
      <c r="I48" s="16" t="str">
        <f>IF(F48="","",AVERAGEIF(B8:B37,1,I8:I37))</f>
        <v/>
      </c>
      <c r="J48" s="77"/>
      <c r="K48" s="8">
        <v>1</v>
      </c>
      <c r="L48" s="74" t="str">
        <f>IF(B48="","",B48)</f>
        <v/>
      </c>
      <c r="M48" s="75"/>
      <c r="N48" s="76"/>
      <c r="O48" s="15">
        <f>COUNTIF(L7:L36,"1")</f>
        <v>0</v>
      </c>
      <c r="P48" s="16" t="str">
        <f>IF(O48=0,"",O48*100/(SUM(O48:O52)))</f>
        <v/>
      </c>
      <c r="Q48" s="16" t="str">
        <f>IF(P48="","",AVERAGEIF(L8:L37,1,Q8:Q37))</f>
        <v/>
      </c>
      <c r="R48" s="16" t="str">
        <f>IF(P48="","",AVERAGEIF(L8:L37,1,R8:R37))</f>
        <v/>
      </c>
      <c r="S48" s="16" t="str">
        <f>IF(P48="","",AVERAGEIF(L8:L37,1,S8:S37))</f>
        <v/>
      </c>
    </row>
    <row r="49" spans="1:19">
      <c r="A49" s="8">
        <v>2</v>
      </c>
      <c r="B49" s="110"/>
      <c r="C49" s="111"/>
      <c r="D49" s="112"/>
      <c r="E49" s="15">
        <f>COUNTIF(B8:B37,"2")</f>
        <v>2</v>
      </c>
      <c r="F49" s="16">
        <f>IF(E49=0,"",E49*100/(SUM(E48:E52)))</f>
        <v>100</v>
      </c>
      <c r="G49" s="16" t="e">
        <f>IF(F49="","",AVERAGEIF(B8:B37,2,G8:G37))</f>
        <v>#DIV/0!</v>
      </c>
      <c r="H49" s="16" t="e">
        <f>IF(F49="","",AVERAGEIF(B8:B37,2,H8:H37))</f>
        <v>#DIV/0!</v>
      </c>
      <c r="I49" s="16" t="e">
        <f>IF(F49="","",AVERAGEIF(B8:B37,2,I8:I37))</f>
        <v>#DIV/0!</v>
      </c>
      <c r="J49" s="77"/>
      <c r="K49" s="8">
        <v>2</v>
      </c>
      <c r="L49" s="74" t="str">
        <f t="shared" ref="L49:L52" si="4">IF(B49="","",B49)</f>
        <v/>
      </c>
      <c r="M49" s="75"/>
      <c r="N49" s="76"/>
      <c r="O49" s="15">
        <f>COUNTIF(L8:L37,"2")</f>
        <v>0</v>
      </c>
      <c r="P49" s="16" t="str">
        <f>IF(O49=0,"",O49*100/(SUM(O48:O52)))</f>
        <v/>
      </c>
      <c r="Q49" s="16" t="str">
        <f>IF(P49="","",AVERAGEIF(L8:L37,2,Q8:Q37))</f>
        <v/>
      </c>
      <c r="R49" s="16" t="str">
        <f>IF(P49="","",AVERAGEIF(L8:L37,2,R8:R37))</f>
        <v/>
      </c>
      <c r="S49" s="16" t="str">
        <f>IF(P49="","",AVERAGEIF(L8:L37,2,S8:S37))</f>
        <v/>
      </c>
    </row>
    <row r="50" spans="1:19">
      <c r="A50" s="8">
        <v>3</v>
      </c>
      <c r="B50" s="110"/>
      <c r="C50" s="111"/>
      <c r="D50" s="112"/>
      <c r="E50" s="15">
        <f>COUNTIF(B8:B37,"3")</f>
        <v>0</v>
      </c>
      <c r="F50" s="16" t="str">
        <f>IF(E50=0,"",E50*100/(SUM(E48:E52)))</f>
        <v/>
      </c>
      <c r="G50" s="16" t="str">
        <f>IF(F50="","",AVERAGEIF(B8:B37,3,G8:G37))</f>
        <v/>
      </c>
      <c r="H50" s="16" t="str">
        <f>IF(F50="","",AVERAGEIF(B8:B37,3,H8:H37))</f>
        <v/>
      </c>
      <c r="I50" s="16" t="str">
        <f>IF(F50="","",AVERAGEIF(B8:B37,3,I8:I37))</f>
        <v/>
      </c>
      <c r="J50" s="77"/>
      <c r="K50" s="8">
        <v>3</v>
      </c>
      <c r="L50" s="74" t="str">
        <f t="shared" si="4"/>
        <v/>
      </c>
      <c r="M50" s="75"/>
      <c r="N50" s="76"/>
      <c r="O50" s="15">
        <f>COUNTIF(L8:L37,"3")</f>
        <v>0</v>
      </c>
      <c r="P50" s="16" t="str">
        <f>IF(O50=0,"",O50*100/(SUM(O48:O52)))</f>
        <v/>
      </c>
      <c r="Q50" s="16" t="str">
        <f>IF(P50="","",AVERAGEIF(L8:L37,3,Q8:Q37))</f>
        <v/>
      </c>
      <c r="R50" s="16" t="str">
        <f>IF(P50="","",AVERAGEIF(L8:L37,3,R8:R37))</f>
        <v/>
      </c>
      <c r="S50" s="16" t="str">
        <f>IF(P50="","",AVERAGEIF(L8:L37,3,S8:S37))</f>
        <v/>
      </c>
    </row>
    <row r="51" spans="1:19">
      <c r="A51" s="8">
        <v>4</v>
      </c>
      <c r="B51" s="110"/>
      <c r="C51" s="111"/>
      <c r="D51" s="112"/>
      <c r="E51" s="15">
        <f>COUNTIF(B8:B37,"4")</f>
        <v>0</v>
      </c>
      <c r="F51" s="16" t="str">
        <f>IF(E51=0,"",E51*100/(SUM(E48:E52)))</f>
        <v/>
      </c>
      <c r="G51" s="16" t="str">
        <f>IF(F51="","",AVERAGEIF(B8:B37,4,G8:G37))</f>
        <v/>
      </c>
      <c r="H51" s="16" t="str">
        <f>IF(F51="","",AVERAGEIF(B8:B37,4,H8:H37))</f>
        <v/>
      </c>
      <c r="I51" s="16" t="str">
        <f>IF(F51="","",AVERAGEIF(B8:B37,4,I8:I37))</f>
        <v/>
      </c>
      <c r="J51" s="77"/>
      <c r="K51" s="8">
        <v>4</v>
      </c>
      <c r="L51" s="74" t="str">
        <f t="shared" si="4"/>
        <v/>
      </c>
      <c r="M51" s="75"/>
      <c r="N51" s="76"/>
      <c r="O51" s="15">
        <f>COUNTIF(L8:L37,"4")</f>
        <v>0</v>
      </c>
      <c r="P51" s="16" t="str">
        <f>IF(O51=0,"",O51*100/(SUM(O48:O52)))</f>
        <v/>
      </c>
      <c r="Q51" s="16" t="str">
        <f>IF(P51="","",AVERAGEIF(L8:L37,4,Q8:Q37))</f>
        <v/>
      </c>
      <c r="R51" s="16" t="str">
        <f>IF(P51="","",AVERAGEIF(L8:L37,4,R8:R37))</f>
        <v/>
      </c>
      <c r="S51" s="16" t="str">
        <f>IF(P51="","",AVERAGEIF(L8:L37,4,S8:S37))</f>
        <v/>
      </c>
    </row>
    <row r="52" spans="1:19">
      <c r="A52" s="8">
        <v>5</v>
      </c>
      <c r="B52" s="110"/>
      <c r="C52" s="111"/>
      <c r="D52" s="112"/>
      <c r="E52" s="15">
        <f>COUNTIF(B8:B37,"5")</f>
        <v>0</v>
      </c>
      <c r="F52" s="16" t="str">
        <f>IF(E52=0,"",E52*100/(SUM(E48:E52)))</f>
        <v/>
      </c>
      <c r="G52" s="16" t="str">
        <f>IF(F52="","",AVERAGEIF(B8:B37,5,G8:G37))</f>
        <v/>
      </c>
      <c r="H52" s="16" t="str">
        <f>IF(F52="","",AVERAGEIF(B8:B37,5,H8:H37))</f>
        <v/>
      </c>
      <c r="I52" s="16" t="str">
        <f>IF(H52="","",AVERAGEIF(B8:B37,5,I8:I37))</f>
        <v/>
      </c>
      <c r="J52" s="77"/>
      <c r="K52" s="8">
        <v>5</v>
      </c>
      <c r="L52" s="74" t="str">
        <f t="shared" si="4"/>
        <v/>
      </c>
      <c r="M52" s="75"/>
      <c r="N52" s="76"/>
      <c r="O52" s="15">
        <f>COUNTIF(L8:L37,"5")</f>
        <v>0</v>
      </c>
      <c r="P52" s="16" t="str">
        <f>IF(O52=0,"",O52*100/(SUM(O48:O52)))</f>
        <v/>
      </c>
      <c r="Q52" s="16" t="str">
        <f>IF(P52="","",AVERAGEIF(L8:L37,5,Q8:Q37))</f>
        <v/>
      </c>
      <c r="R52" s="16" t="str">
        <f>IF(P52="","",AVERAGEIF(L8:L37,5,R8:R37))</f>
        <v/>
      </c>
      <c r="S52" s="16" t="str">
        <f>IF(R52="","",AVERAGEIF(L8:L37,5,S8:S37))</f>
        <v/>
      </c>
    </row>
    <row r="53" spans="1:19" ht="17.399999999999999">
      <c r="A53" s="68" t="s">
        <v>80</v>
      </c>
      <c r="B53" s="69"/>
      <c r="C53" s="69"/>
      <c r="D53" s="70"/>
      <c r="E53" s="22">
        <f>SUM(E48:E52)</f>
        <v>2</v>
      </c>
      <c r="F53" s="51">
        <f>IF(E53=0,"",SUM(F48:F52))</f>
        <v>100</v>
      </c>
      <c r="G53" s="51" t="e">
        <f>IF(F53="","",AVERAGE(G8:G37))</f>
        <v>#DIV/0!</v>
      </c>
      <c r="H53" s="51" t="e">
        <f>IF(F53="","",AVERAGE(H8:H37))</f>
        <v>#DIV/0!</v>
      </c>
      <c r="I53" s="51" t="e">
        <f>IF(F53="","",AVERAGE(I8:I37))</f>
        <v>#DIV/0!</v>
      </c>
      <c r="J53" s="20"/>
      <c r="K53" s="68" t="s">
        <v>80</v>
      </c>
      <c r="L53" s="69"/>
      <c r="M53" s="69"/>
      <c r="N53" s="70"/>
      <c r="O53" s="22">
        <f>SUM(O48:O52)</f>
        <v>0</v>
      </c>
      <c r="P53" s="51" t="str">
        <f>IF(O53=0,"",SUM(P48:P52))</f>
        <v/>
      </c>
      <c r="Q53" s="51" t="str">
        <f>IF(P53="","",AVERAGE(Q8:Q37))</f>
        <v/>
      </c>
      <c r="R53" s="51" t="str">
        <f>IF(P53="","",AVERAGE(R8:R37))</f>
        <v/>
      </c>
      <c r="S53" s="51" t="str">
        <f>IF(P53="","",AVERAGE(S8:S37))</f>
        <v/>
      </c>
    </row>
    <row r="54" spans="1:19" ht="17.399999999999999">
      <c r="A54" s="68" t="s">
        <v>81</v>
      </c>
      <c r="B54" s="69"/>
      <c r="C54" s="69"/>
      <c r="D54" s="69"/>
      <c r="E54" s="69"/>
      <c r="F54" s="70"/>
      <c r="G54" s="71" t="str">
        <f>IF(B48="","",AVERAGEIF('Şagirdlərin nəticələri'!J8:J57,"A",'Şagirdlərin nəticələri'!BX8:BX57))</f>
        <v/>
      </c>
      <c r="H54" s="72"/>
      <c r="I54" s="73"/>
      <c r="J54" s="20"/>
      <c r="K54" s="68" t="s">
        <v>81</v>
      </c>
      <c r="L54" s="69"/>
      <c r="M54" s="69"/>
      <c r="N54" s="69"/>
      <c r="O54" s="69"/>
      <c r="P54" s="70"/>
      <c r="Q54" s="71" t="str">
        <f>IF(L48="","",AVERAGEIF('Şagirdlərin nəticələri'!J8:J57,"B",'Şagirdlərin nəticələri'!BX8:BX57))</f>
        <v/>
      </c>
      <c r="R54" s="72"/>
      <c r="S54" s="73"/>
    </row>
    <row r="56" spans="1:19" ht="15.6" customHeight="1">
      <c r="G56" s="105" t="s">
        <v>74</v>
      </c>
      <c r="H56" s="105"/>
      <c r="I56" s="105"/>
      <c r="Q56" s="105" t="s">
        <v>75</v>
      </c>
      <c r="R56" s="105"/>
      <c r="S56" s="105"/>
    </row>
    <row r="57" spans="1:19">
      <c r="G57" s="105"/>
      <c r="H57" s="105"/>
      <c r="I57" s="105"/>
      <c r="Q57" s="105"/>
      <c r="R57" s="105"/>
      <c r="S57" s="105"/>
    </row>
    <row r="58" spans="1:19">
      <c r="G58" s="105"/>
      <c r="H58" s="105"/>
      <c r="I58" s="105"/>
      <c r="Q58" s="105"/>
      <c r="R58" s="105"/>
      <c r="S58" s="105"/>
    </row>
    <row r="59" spans="1:19">
      <c r="G59" s="105"/>
      <c r="H59" s="105"/>
      <c r="I59" s="105"/>
      <c r="Q59" s="105"/>
      <c r="R59" s="105"/>
      <c r="S59" s="105"/>
    </row>
    <row r="60" spans="1:19">
      <c r="G60" s="105"/>
      <c r="H60" s="105"/>
      <c r="I60" s="105"/>
      <c r="Q60" s="105"/>
      <c r="R60" s="105"/>
      <c r="S60" s="105"/>
    </row>
    <row r="61" spans="1:19">
      <c r="G61" s="105"/>
      <c r="H61" s="105"/>
      <c r="I61" s="105"/>
      <c r="Q61" s="105"/>
      <c r="R61" s="105"/>
      <c r="S61" s="105"/>
    </row>
    <row r="62" spans="1:19">
      <c r="G62" s="105"/>
      <c r="H62" s="105"/>
      <c r="I62" s="105"/>
      <c r="Q62" s="105"/>
      <c r="R62" s="105"/>
      <c r="S62" s="105"/>
    </row>
    <row r="63" spans="1:19">
      <c r="G63" s="105"/>
      <c r="H63" s="105"/>
      <c r="I63" s="105"/>
      <c r="Q63" s="105"/>
      <c r="R63" s="105"/>
      <c r="S63" s="105"/>
    </row>
    <row r="64" spans="1:19">
      <c r="G64" s="105"/>
      <c r="H64" s="105"/>
      <c r="I64" s="105"/>
      <c r="Q64" s="105"/>
      <c r="R64" s="105"/>
      <c r="S64" s="105"/>
    </row>
    <row r="65" spans="1:19">
      <c r="G65" s="105"/>
      <c r="H65" s="105"/>
      <c r="I65" s="105"/>
      <c r="Q65" s="105"/>
      <c r="R65" s="105"/>
      <c r="S65" s="105"/>
    </row>
    <row r="68" spans="1:19" ht="18" customHeight="1">
      <c r="A68" s="67" t="s">
        <v>84</v>
      </c>
      <c r="B68" s="67"/>
      <c r="C68" s="65"/>
      <c r="D68" s="65"/>
      <c r="E68" s="65"/>
      <c r="F68" s="65"/>
      <c r="G68" s="65"/>
    </row>
    <row r="69" spans="1:19" ht="18" customHeight="1">
      <c r="A69" s="67" t="s">
        <v>84</v>
      </c>
      <c r="B69" s="67"/>
      <c r="C69" s="65"/>
      <c r="D69" s="65"/>
      <c r="E69" s="65"/>
      <c r="F69" s="65"/>
      <c r="G69" s="65"/>
    </row>
    <row r="70" spans="1:19" ht="18" customHeight="1">
      <c r="A70" s="63"/>
      <c r="B70" s="63"/>
      <c r="C70" s="66"/>
      <c r="D70" s="66"/>
      <c r="E70" s="66"/>
      <c r="F70" s="66"/>
      <c r="G70" s="66"/>
    </row>
    <row r="71" spans="1:19" ht="18" customHeight="1">
      <c r="A71" s="67" t="s">
        <v>85</v>
      </c>
      <c r="B71" s="67"/>
      <c r="C71" s="65"/>
      <c r="D71" s="65"/>
      <c r="E71" s="65"/>
      <c r="F71" s="65"/>
      <c r="G71" s="65"/>
    </row>
    <row r="72" spans="1:19" ht="18" customHeight="1">
      <c r="A72" s="63"/>
      <c r="B72" s="63"/>
      <c r="C72" s="66"/>
      <c r="D72" s="66"/>
      <c r="E72" s="66"/>
      <c r="F72" s="66"/>
      <c r="G72" s="66"/>
    </row>
    <row r="73" spans="1:19" ht="18" customHeight="1">
      <c r="A73" s="67" t="s">
        <v>86</v>
      </c>
      <c r="B73" s="67"/>
      <c r="C73" s="65"/>
      <c r="D73" s="65"/>
      <c r="E73" s="65"/>
      <c r="F73" s="65"/>
      <c r="G73" s="65"/>
    </row>
    <row r="74" spans="1:19" ht="18" customHeight="1">
      <c r="A74" s="63"/>
      <c r="B74" s="63"/>
      <c r="C74" s="66"/>
      <c r="D74" s="66"/>
      <c r="E74" s="66"/>
      <c r="F74" s="66"/>
      <c r="G74" s="66"/>
    </row>
    <row r="75" spans="1:19" ht="18" customHeight="1">
      <c r="A75" s="67" t="s">
        <v>87</v>
      </c>
      <c r="B75" s="67"/>
      <c r="C75" s="65"/>
      <c r="D75" s="65"/>
      <c r="E75" s="65"/>
      <c r="F75" s="65"/>
      <c r="G75" s="65"/>
    </row>
    <row r="76" spans="1:19" ht="18" customHeight="1">
      <c r="A76" s="63"/>
      <c r="B76" s="63"/>
      <c r="C76" s="66"/>
      <c r="D76" s="66"/>
      <c r="E76" s="66"/>
      <c r="F76" s="66"/>
      <c r="G76" s="66"/>
    </row>
    <row r="77" spans="1:19" ht="18" customHeight="1">
      <c r="A77" s="64" t="s">
        <v>88</v>
      </c>
      <c r="B77" s="64"/>
      <c r="C77" s="53"/>
      <c r="D77" s="53"/>
      <c r="E77" s="53"/>
      <c r="F77" s="53"/>
      <c r="G77" s="53"/>
    </row>
    <row r="78" spans="1:19" ht="18" customHeight="1">
      <c r="A78" s="64"/>
      <c r="B78" s="64"/>
      <c r="C78" s="65"/>
      <c r="D78" s="65"/>
      <c r="E78" s="53"/>
      <c r="F78" s="53"/>
      <c r="G78" s="53"/>
    </row>
  </sheetData>
  <sheetProtection algorithmName="SHA-512" hashValue="QZLuh3C177rbKPb1hTPS+Z0HlRPT8Dn4AknCYxzDU7qw5kZnx1C7dkFK5lNyTnzwSnx3Ss89+BRT8gZNgaJpsA==" saltValue="a8doREg3lXljqVAHUK6JVA==" spinCount="100000" sheet="1" objects="1" scenarios="1"/>
  <mergeCells count="85">
    <mergeCell ref="Q56:S65"/>
    <mergeCell ref="P3:Q4"/>
    <mergeCell ref="K3:L4"/>
    <mergeCell ref="G56:I65"/>
    <mergeCell ref="B52:D52"/>
    <mergeCell ref="A3:B3"/>
    <mergeCell ref="A4:B4"/>
    <mergeCell ref="C3:I3"/>
    <mergeCell ref="C4:I4"/>
    <mergeCell ref="B48:D48"/>
    <mergeCell ref="B49:D49"/>
    <mergeCell ref="B50:D50"/>
    <mergeCell ref="B51:D51"/>
    <mergeCell ref="B45:I45"/>
    <mergeCell ref="Q54:S54"/>
    <mergeCell ref="A53:D53"/>
    <mergeCell ref="R46:R47"/>
    <mergeCell ref="S46:S47"/>
    <mergeCell ref="P1:Q2"/>
    <mergeCell ref="O46:O47"/>
    <mergeCell ref="P46:P47"/>
    <mergeCell ref="R2:S2"/>
    <mergeCell ref="L38:S38"/>
    <mergeCell ref="N39:N40"/>
    <mergeCell ref="O39:O40"/>
    <mergeCell ref="P39:P40"/>
    <mergeCell ref="Q39:Q40"/>
    <mergeCell ref="R39:R40"/>
    <mergeCell ref="S39:S40"/>
    <mergeCell ref="G46:G47"/>
    <mergeCell ref="K54:P54"/>
    <mergeCell ref="K53:N53"/>
    <mergeCell ref="L52:N52"/>
    <mergeCell ref="K1:O2"/>
    <mergeCell ref="L48:N48"/>
    <mergeCell ref="L49:N49"/>
    <mergeCell ref="L50:N50"/>
    <mergeCell ref="I46:I47"/>
    <mergeCell ref="K46:N47"/>
    <mergeCell ref="D39:D40"/>
    <mergeCell ref="A1:B1"/>
    <mergeCell ref="C1:I1"/>
    <mergeCell ref="A2:B2"/>
    <mergeCell ref="C2:I2"/>
    <mergeCell ref="J1:J4"/>
    <mergeCell ref="A5:S5"/>
    <mergeCell ref="R1:S1"/>
    <mergeCell ref="E39:E40"/>
    <mergeCell ref="F39:F40"/>
    <mergeCell ref="G39:G40"/>
    <mergeCell ref="A46:D47"/>
    <mergeCell ref="E46:E47"/>
    <mergeCell ref="F46:F47"/>
    <mergeCell ref="A54:F54"/>
    <mergeCell ref="G54:I54"/>
    <mergeCell ref="L51:N51"/>
    <mergeCell ref="J6:J52"/>
    <mergeCell ref="L45:S45"/>
    <mergeCell ref="B6:I6"/>
    <mergeCell ref="L6:S6"/>
    <mergeCell ref="B38:I38"/>
    <mergeCell ref="H39:H40"/>
    <mergeCell ref="I39:I40"/>
    <mergeCell ref="A39:B40"/>
    <mergeCell ref="K39:L40"/>
    <mergeCell ref="M39:M40"/>
    <mergeCell ref="C39:C40"/>
    <mergeCell ref="Q46:Q47"/>
    <mergeCell ref="H46:H47"/>
    <mergeCell ref="A77:B78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8:D78"/>
    <mergeCell ref="A68:B68"/>
    <mergeCell ref="A69:B69"/>
    <mergeCell ref="A71:B71"/>
    <mergeCell ref="A73:B73"/>
    <mergeCell ref="A75:B75"/>
  </mergeCells>
  <pageMargins left="0.25" right="0.25" top="0.25" bottom="0.25" header="0" footer="0"/>
  <pageSetup paperSize="9"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68"/>
  <sheetViews>
    <sheetView showGridLines="0" zoomScale="75" zoomScaleNormal="75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T8" sqref="T8"/>
    </sheetView>
  </sheetViews>
  <sheetFormatPr defaultRowHeight="15.6"/>
  <cols>
    <col min="1" max="1" width="5.21875" style="1" customWidth="1"/>
    <col min="2" max="4" width="7.21875" style="1" customWidth="1"/>
    <col min="5" max="5" width="15.77734375" style="1" customWidth="1"/>
    <col min="6" max="8" width="18.88671875" style="1" customWidth="1"/>
    <col min="9" max="9" width="6.44140625" style="1" customWidth="1"/>
    <col min="10" max="10" width="9.33203125" style="1" customWidth="1"/>
    <col min="11" max="40" width="4.88671875" style="1" customWidth="1"/>
    <col min="41" max="41" width="8.88671875" style="1" customWidth="1"/>
    <col min="42" max="44" width="18.88671875" style="1" customWidth="1"/>
    <col min="45" max="45" width="9.33203125" style="1" customWidth="1"/>
    <col min="46" max="75" width="5.88671875" style="1" customWidth="1"/>
    <col min="76" max="16384" width="8.88671875" style="1"/>
  </cols>
  <sheetData>
    <row r="1" spans="1:77" ht="31.2" customHeight="1">
      <c r="A1" s="115" t="s">
        <v>76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77" ht="17.399999999999999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P2" s="20"/>
      <c r="AQ2" s="20"/>
      <c r="AR2" s="20" t="s">
        <v>16</v>
      </c>
      <c r="AS2" s="20" t="s">
        <v>6</v>
      </c>
      <c r="AT2" s="1">
        <f>'Məzmun tərkibi və təhlil'!$E8</f>
        <v>0</v>
      </c>
      <c r="AU2" s="1">
        <f>'Məzmun tərkibi və təhlil'!$E9</f>
        <v>0</v>
      </c>
      <c r="AV2" s="1">
        <f>'Məzmun tərkibi və təhlil'!$E10</f>
        <v>0</v>
      </c>
      <c r="AW2" s="1">
        <f>'Məzmun tərkibi və təhlil'!$E11</f>
        <v>0</v>
      </c>
      <c r="AX2" s="1">
        <f>'Məzmun tərkibi və təhlil'!$E12</f>
        <v>0</v>
      </c>
      <c r="AY2" s="1">
        <f>'Məzmun tərkibi və təhlil'!$E13</f>
        <v>0</v>
      </c>
      <c r="AZ2" s="1">
        <f>'Məzmun tərkibi və təhlil'!$E14</f>
        <v>0</v>
      </c>
      <c r="BA2" s="1">
        <f>'Məzmun tərkibi və təhlil'!$E15</f>
        <v>0</v>
      </c>
      <c r="BB2" s="1">
        <f>'Məzmun tərkibi və təhlil'!$E16</f>
        <v>0</v>
      </c>
      <c r="BC2" s="1">
        <f>'Məzmun tərkibi və təhlil'!$E17</f>
        <v>0</v>
      </c>
      <c r="BD2" s="1">
        <f>'Məzmun tərkibi və təhlil'!$E18</f>
        <v>0</v>
      </c>
      <c r="BE2" s="1">
        <f>'Məzmun tərkibi və təhlil'!$E19</f>
        <v>0</v>
      </c>
      <c r="BF2" s="1">
        <f>'Məzmun tərkibi və təhlil'!$E20</f>
        <v>0</v>
      </c>
      <c r="BG2" s="1">
        <f>'Məzmun tərkibi və təhlil'!$E21</f>
        <v>0</v>
      </c>
      <c r="BH2" s="1">
        <f>'Məzmun tərkibi və təhlil'!$E22</f>
        <v>0</v>
      </c>
      <c r="BI2" s="1">
        <f>'Məzmun tərkibi və təhlil'!$E23</f>
        <v>0</v>
      </c>
      <c r="BJ2" s="1">
        <f>'Məzmun tərkibi və təhlil'!$E24</f>
        <v>0</v>
      </c>
      <c r="BK2" s="1">
        <f>'Məzmun tərkibi və təhlil'!$E25</f>
        <v>0</v>
      </c>
      <c r="BL2" s="1">
        <f>'Məzmun tərkibi və təhlil'!$E26</f>
        <v>0</v>
      </c>
      <c r="BM2" s="1">
        <f>'Məzmun tərkibi və təhlil'!$E27</f>
        <v>0</v>
      </c>
      <c r="BN2" s="1">
        <f>'Məzmun tərkibi və təhlil'!$E28</f>
        <v>0</v>
      </c>
      <c r="BO2" s="1">
        <f>'Məzmun tərkibi və təhlil'!$E29</f>
        <v>0</v>
      </c>
      <c r="BP2" s="1">
        <f>'Məzmun tərkibi və təhlil'!$E30</f>
        <v>0</v>
      </c>
      <c r="BQ2" s="1">
        <f>'Məzmun tərkibi və təhlil'!$E31</f>
        <v>0</v>
      </c>
      <c r="BR2" s="1">
        <f>'Məzmun tərkibi və təhlil'!$E32</f>
        <v>0</v>
      </c>
      <c r="BS2" s="1">
        <f>'Məzmun tərkibi və təhlil'!$E33</f>
        <v>0</v>
      </c>
      <c r="BT2" s="1">
        <f>'Məzmun tərkibi və təhlil'!$E34</f>
        <v>0</v>
      </c>
      <c r="BU2" s="1">
        <f>'Məzmun tərkibi və təhlil'!$E35</f>
        <v>0</v>
      </c>
      <c r="BV2" s="1">
        <f>'Məzmun tərkibi və təhlil'!$E36</f>
        <v>0</v>
      </c>
      <c r="BW2" s="1">
        <f>'Məzmun tərkibi və təhlil'!$E37</f>
        <v>0</v>
      </c>
    </row>
    <row r="3" spans="1:77" ht="17.399999999999999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P3" s="20"/>
      <c r="AQ3" s="20"/>
      <c r="AR3" s="20" t="s">
        <v>16</v>
      </c>
      <c r="AS3" s="20" t="s">
        <v>6</v>
      </c>
      <c r="AT3" s="21">
        <f>'Məzmun tərkibi və təhlil'!$F8</f>
        <v>20</v>
      </c>
      <c r="AU3" s="21" t="str">
        <f>'Məzmun tərkibi və təhlil'!$F9</f>
        <v/>
      </c>
      <c r="AV3" s="21" t="str">
        <f>'Məzmun tərkibi və təhlil'!$F10</f>
        <v/>
      </c>
      <c r="AW3" s="21" t="str">
        <f>'Məzmun tərkibi və təhlil'!$F11</f>
        <v/>
      </c>
      <c r="AX3" s="21" t="str">
        <f>'Məzmun tərkibi və təhlil'!$F12</f>
        <v/>
      </c>
      <c r="AY3" s="21" t="str">
        <f>'Məzmun tərkibi və təhlil'!$F13</f>
        <v/>
      </c>
      <c r="AZ3" s="21" t="str">
        <f>'Məzmun tərkibi və təhlil'!$F14</f>
        <v/>
      </c>
      <c r="BA3" s="21" t="str">
        <f>'Məzmun tərkibi və təhlil'!$F15</f>
        <v/>
      </c>
      <c r="BB3" s="21" t="str">
        <f>'Məzmun tərkibi və təhlil'!$F16</f>
        <v/>
      </c>
      <c r="BC3" s="21" t="str">
        <f>'Məzmun tərkibi və təhlil'!$F17</f>
        <v/>
      </c>
      <c r="BD3" s="21" t="str">
        <f>'Məzmun tərkibi və təhlil'!$F18</f>
        <v/>
      </c>
      <c r="BE3" s="21" t="str">
        <f>'Məzmun tərkibi və təhlil'!$F19</f>
        <v/>
      </c>
      <c r="BF3" s="21" t="str">
        <f>'Məzmun tərkibi və təhlil'!$F20</f>
        <v/>
      </c>
      <c r="BG3" s="21" t="str">
        <f>'Məzmun tərkibi və təhlil'!$F21</f>
        <v/>
      </c>
      <c r="BH3" s="21" t="str">
        <f>'Məzmun tərkibi və təhlil'!$F22</f>
        <v/>
      </c>
      <c r="BI3" s="21" t="str">
        <f>'Məzmun tərkibi və təhlil'!$F23</f>
        <v/>
      </c>
      <c r="BJ3" s="21" t="str">
        <f>'Məzmun tərkibi və təhlil'!$F24</f>
        <v/>
      </c>
      <c r="BK3" s="21" t="str">
        <f>'Məzmun tərkibi və təhlil'!$F25</f>
        <v/>
      </c>
      <c r="BL3" s="21" t="str">
        <f>'Məzmun tərkibi və təhlil'!$F26</f>
        <v/>
      </c>
      <c r="BM3" s="21" t="str">
        <f>'Məzmun tərkibi və təhlil'!$F27</f>
        <v/>
      </c>
      <c r="BN3" s="21" t="str">
        <f>'Məzmun tərkibi və təhlil'!$F28</f>
        <v/>
      </c>
      <c r="BO3" s="21" t="str">
        <f>'Məzmun tərkibi və təhlil'!$F29</f>
        <v/>
      </c>
      <c r="BP3" s="21" t="str">
        <f>'Məzmun tərkibi və təhlil'!$F30</f>
        <v/>
      </c>
      <c r="BQ3" s="21" t="str">
        <f>'Məzmun tərkibi və təhlil'!$F31</f>
        <v/>
      </c>
      <c r="BR3" s="21" t="str">
        <f>'Məzmun tərkibi və təhlil'!$F32</f>
        <v/>
      </c>
      <c r="BS3" s="21" t="str">
        <f>'Məzmun tərkibi və təhlil'!$F33</f>
        <v/>
      </c>
      <c r="BT3" s="21" t="str">
        <f>'Məzmun tərkibi və təhlil'!$F34</f>
        <v/>
      </c>
      <c r="BU3" s="21" t="str">
        <f>'Məzmun tərkibi və təhlil'!$F35</f>
        <v/>
      </c>
      <c r="BV3" s="21" t="str">
        <f>'Məzmun tərkibi və təhlil'!$F36</f>
        <v/>
      </c>
      <c r="BW3" s="21" t="str">
        <f>'Məzmun tərkibi və təhlil'!$F37</f>
        <v/>
      </c>
    </row>
    <row r="4" spans="1:77" ht="17.399999999999999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P4" s="20"/>
      <c r="AQ4" s="20"/>
      <c r="AR4" s="20" t="s">
        <v>16</v>
      </c>
      <c r="AS4" s="20" t="s">
        <v>4</v>
      </c>
      <c r="AT4" s="1">
        <f>'Məzmun tərkibi və təhlil'!$O8</f>
        <v>0</v>
      </c>
      <c r="AU4" s="1">
        <f>'Məzmun tərkibi və təhlil'!$O9</f>
        <v>0</v>
      </c>
      <c r="AV4" s="1">
        <f>'Məzmun tərkibi və təhlil'!$O10</f>
        <v>0</v>
      </c>
      <c r="AW4" s="1">
        <f>'Məzmun tərkibi və təhlil'!$O11</f>
        <v>0</v>
      </c>
      <c r="AX4" s="1">
        <f>'Məzmun tərkibi və təhlil'!$O12</f>
        <v>0</v>
      </c>
      <c r="AY4" s="1">
        <f>'Məzmun tərkibi və təhlil'!$O13</f>
        <v>0</v>
      </c>
      <c r="AZ4" s="1">
        <f>'Məzmun tərkibi və təhlil'!$O14</f>
        <v>0</v>
      </c>
      <c r="BA4" s="1">
        <f>'Məzmun tərkibi və təhlil'!$O15</f>
        <v>0</v>
      </c>
      <c r="BB4" s="1">
        <f>'Məzmun tərkibi və təhlil'!$O16</f>
        <v>0</v>
      </c>
      <c r="BC4" s="1">
        <f>'Məzmun tərkibi və təhlil'!$O17</f>
        <v>0</v>
      </c>
      <c r="BD4" s="1">
        <f>'Məzmun tərkibi və təhlil'!$O18</f>
        <v>0</v>
      </c>
      <c r="BE4" s="1">
        <f>'Məzmun tərkibi və təhlil'!$O19</f>
        <v>0</v>
      </c>
      <c r="BF4" s="1">
        <f>'Məzmun tərkibi və təhlil'!$O20</f>
        <v>0</v>
      </c>
      <c r="BG4" s="1">
        <f>'Məzmun tərkibi və təhlil'!$O21</f>
        <v>0</v>
      </c>
      <c r="BH4" s="1">
        <f>'Məzmun tərkibi və təhlil'!$O22</f>
        <v>0</v>
      </c>
      <c r="BI4" s="1">
        <f>'Məzmun tərkibi və təhlil'!$O23</f>
        <v>0</v>
      </c>
      <c r="BJ4" s="1">
        <f>'Məzmun tərkibi və təhlil'!$O24</f>
        <v>0</v>
      </c>
      <c r="BK4" s="1">
        <f>'Məzmun tərkibi və təhlil'!$O25</f>
        <v>0</v>
      </c>
      <c r="BL4" s="1">
        <f>'Məzmun tərkibi və təhlil'!$O26</f>
        <v>0</v>
      </c>
      <c r="BM4" s="1">
        <f>'Məzmun tərkibi və təhlil'!$O27</f>
        <v>0</v>
      </c>
      <c r="BN4" s="1">
        <f>'Məzmun tərkibi və təhlil'!$O28</f>
        <v>0</v>
      </c>
      <c r="BO4" s="1">
        <f>'Məzmun tərkibi və təhlil'!$O29</f>
        <v>0</v>
      </c>
      <c r="BP4" s="1">
        <f>'Məzmun tərkibi və təhlil'!$O30</f>
        <v>0</v>
      </c>
      <c r="BQ4" s="1">
        <f>'Məzmun tərkibi və təhlil'!$O31</f>
        <v>0</v>
      </c>
      <c r="BR4" s="1">
        <f>'Məzmun tərkibi və təhlil'!$O32</f>
        <v>0</v>
      </c>
      <c r="BS4" s="1">
        <f>'Məzmun tərkibi və təhlil'!$O33</f>
        <v>0</v>
      </c>
      <c r="BT4" s="1">
        <f>'Məzmun tərkibi və təhlil'!$O34</f>
        <v>0</v>
      </c>
      <c r="BU4" s="1">
        <f>'Məzmun tərkibi və təhlil'!$O35</f>
        <v>0</v>
      </c>
      <c r="BV4" s="1">
        <f>'Məzmun tərkibi və təhlil'!$O36</f>
        <v>0</v>
      </c>
      <c r="BW4" s="1">
        <f>'Məzmun tərkibi və təhlil'!$O37</f>
        <v>0</v>
      </c>
    </row>
    <row r="5" spans="1:77" ht="17.399999999999999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P5" s="20"/>
      <c r="AQ5" s="20"/>
      <c r="AR5" s="20" t="s">
        <v>16</v>
      </c>
      <c r="AS5" s="20" t="s">
        <v>4</v>
      </c>
      <c r="AT5" s="21" t="str">
        <f>'Məzmun tərkibi və təhlil'!$P8</f>
        <v/>
      </c>
      <c r="AU5" s="21" t="str">
        <f>'Məzmun tərkibi və təhlil'!$P9</f>
        <v/>
      </c>
      <c r="AV5" s="21" t="str">
        <f>'Məzmun tərkibi və təhlil'!$P10</f>
        <v/>
      </c>
      <c r="AW5" s="21" t="str">
        <f>'Məzmun tərkibi və təhlil'!$P11</f>
        <v/>
      </c>
      <c r="AX5" s="21" t="str">
        <f>'Məzmun tərkibi və təhlil'!$P12</f>
        <v/>
      </c>
      <c r="AY5" s="21" t="str">
        <f>'Məzmun tərkibi və təhlil'!$P13</f>
        <v/>
      </c>
      <c r="AZ5" s="21" t="str">
        <f>'Məzmun tərkibi və təhlil'!$P14</f>
        <v/>
      </c>
      <c r="BA5" s="21" t="str">
        <f>'Məzmun tərkibi və təhlil'!$P15</f>
        <v/>
      </c>
      <c r="BB5" s="21" t="str">
        <f>'Məzmun tərkibi və təhlil'!$P16</f>
        <v/>
      </c>
      <c r="BC5" s="21" t="str">
        <f>'Məzmun tərkibi və təhlil'!$P17</f>
        <v/>
      </c>
      <c r="BD5" s="21" t="str">
        <f>'Məzmun tərkibi və təhlil'!$P18</f>
        <v/>
      </c>
      <c r="BE5" s="21" t="str">
        <f>'Məzmun tərkibi və təhlil'!$P19</f>
        <v/>
      </c>
      <c r="BF5" s="21" t="str">
        <f>'Məzmun tərkibi və təhlil'!$P20</f>
        <v/>
      </c>
      <c r="BG5" s="21" t="str">
        <f>'Məzmun tərkibi və təhlil'!$P21</f>
        <v/>
      </c>
      <c r="BH5" s="21" t="str">
        <f>'Məzmun tərkibi və təhlil'!$P22</f>
        <v/>
      </c>
      <c r="BI5" s="21" t="str">
        <f>'Məzmun tərkibi və təhlil'!$P23</f>
        <v/>
      </c>
      <c r="BJ5" s="21" t="str">
        <f>'Məzmun tərkibi və təhlil'!$P24</f>
        <v/>
      </c>
      <c r="BK5" s="21" t="str">
        <f>'Məzmun tərkibi və təhlil'!$P25</f>
        <v/>
      </c>
      <c r="BL5" s="21" t="str">
        <f>'Məzmun tərkibi və təhlil'!$P26</f>
        <v/>
      </c>
      <c r="BM5" s="21" t="str">
        <f>'Məzmun tərkibi və təhlil'!$P27</f>
        <v/>
      </c>
      <c r="BN5" s="21" t="str">
        <f>'Məzmun tərkibi və təhlil'!$P28</f>
        <v/>
      </c>
      <c r="BO5" s="21" t="str">
        <f>'Məzmun tərkibi və təhlil'!$P29</f>
        <v/>
      </c>
      <c r="BP5" s="21" t="str">
        <f>'Məzmun tərkibi və təhlil'!$P30</f>
        <v/>
      </c>
      <c r="BQ5" s="21" t="str">
        <f>'Məzmun tərkibi və təhlil'!$P31</f>
        <v/>
      </c>
      <c r="BR5" s="21" t="str">
        <f>'Məzmun tərkibi və təhlil'!$P32</f>
        <v/>
      </c>
      <c r="BS5" s="21" t="str">
        <f>'Məzmun tərkibi və təhlil'!$P33</f>
        <v/>
      </c>
      <c r="BT5" s="21" t="str">
        <f>'Məzmun tərkibi və təhlil'!$P34</f>
        <v/>
      </c>
      <c r="BU5" s="21" t="str">
        <f>'Məzmun tərkibi və təhlil'!$P35</f>
        <v/>
      </c>
      <c r="BV5" s="21" t="str">
        <f>'Məzmun tərkibi və təhlil'!$P36</f>
        <v/>
      </c>
      <c r="BW5" s="21" t="str">
        <f>'Məzmun tərkibi və təhlil'!$P37</f>
        <v/>
      </c>
    </row>
    <row r="6" spans="1:77" ht="15.6" customHeight="1">
      <c r="A6" s="114" t="s">
        <v>0</v>
      </c>
      <c r="B6" s="22" t="str">
        <f>IF('Məzmun tərkibi və təhlil'!R3="","",'Məzmun tərkibi və təhlil'!R3)</f>
        <v/>
      </c>
      <c r="C6" s="22" t="str">
        <f>IF('Məzmun tərkibi və təhlil'!S3="","",'Məzmun tərkibi və təhlil'!S3)</f>
        <v/>
      </c>
      <c r="D6" s="22" t="str">
        <f>IF('Məzmun tərkibi və təhlil'!R1="","",'Məzmun tərkibi və təhlil'!R1)</f>
        <v/>
      </c>
      <c r="E6" s="22" t="str">
        <f>IF('Məzmun tərkibi və təhlil'!C4="","",'Məzmun tərkibi və təhlil'!C4)</f>
        <v>Azərbaycan Respublikası Elm və Təhsil Nazirliyi</v>
      </c>
      <c r="F6" s="114" t="s">
        <v>1</v>
      </c>
      <c r="G6" s="114"/>
      <c r="H6" s="114"/>
      <c r="I6" s="118" t="s">
        <v>26</v>
      </c>
      <c r="J6" s="118" t="s">
        <v>16</v>
      </c>
      <c r="K6" s="114" t="s">
        <v>7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P6" s="116" t="s">
        <v>1</v>
      </c>
      <c r="AQ6" s="116"/>
      <c r="AR6" s="116"/>
      <c r="AS6" s="23"/>
      <c r="AT6" s="116" t="s">
        <v>7</v>
      </c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7"/>
      <c r="BX6" s="95" t="s">
        <v>3</v>
      </c>
      <c r="BY6" s="95" t="s">
        <v>36</v>
      </c>
    </row>
    <row r="7" spans="1:77" ht="15.6" customHeight="1">
      <c r="A7" s="114"/>
      <c r="B7" s="22" t="s">
        <v>8</v>
      </c>
      <c r="C7" s="22" t="s">
        <v>9</v>
      </c>
      <c r="D7" s="22" t="s">
        <v>65</v>
      </c>
      <c r="E7" s="22" t="s">
        <v>10</v>
      </c>
      <c r="F7" s="22" t="s">
        <v>19</v>
      </c>
      <c r="G7" s="22" t="s">
        <v>20</v>
      </c>
      <c r="H7" s="22" t="s">
        <v>21</v>
      </c>
      <c r="I7" s="119"/>
      <c r="J7" s="119"/>
      <c r="K7" s="22">
        <v>1</v>
      </c>
      <c r="L7" s="22">
        <v>2</v>
      </c>
      <c r="M7" s="22">
        <v>3</v>
      </c>
      <c r="N7" s="22">
        <v>4</v>
      </c>
      <c r="O7" s="22">
        <v>5</v>
      </c>
      <c r="P7" s="22">
        <v>6</v>
      </c>
      <c r="Q7" s="22">
        <v>7</v>
      </c>
      <c r="R7" s="22">
        <v>8</v>
      </c>
      <c r="S7" s="22">
        <v>9</v>
      </c>
      <c r="T7" s="22">
        <v>10</v>
      </c>
      <c r="U7" s="22">
        <v>11</v>
      </c>
      <c r="V7" s="22">
        <v>12</v>
      </c>
      <c r="W7" s="22">
        <v>13</v>
      </c>
      <c r="X7" s="22">
        <v>14</v>
      </c>
      <c r="Y7" s="22">
        <v>15</v>
      </c>
      <c r="Z7" s="22">
        <v>16</v>
      </c>
      <c r="AA7" s="22">
        <v>17</v>
      </c>
      <c r="AB7" s="22">
        <v>18</v>
      </c>
      <c r="AC7" s="22">
        <v>19</v>
      </c>
      <c r="AD7" s="22">
        <v>20</v>
      </c>
      <c r="AE7" s="22">
        <v>21</v>
      </c>
      <c r="AF7" s="22">
        <v>22</v>
      </c>
      <c r="AG7" s="22">
        <v>23</v>
      </c>
      <c r="AH7" s="22">
        <v>24</v>
      </c>
      <c r="AI7" s="22">
        <v>25</v>
      </c>
      <c r="AJ7" s="22">
        <v>26</v>
      </c>
      <c r="AK7" s="22">
        <v>27</v>
      </c>
      <c r="AL7" s="22">
        <v>28</v>
      </c>
      <c r="AM7" s="22">
        <v>29</v>
      </c>
      <c r="AN7" s="22">
        <v>30</v>
      </c>
      <c r="AP7" s="23" t="s">
        <v>19</v>
      </c>
      <c r="AQ7" s="23" t="s">
        <v>20</v>
      </c>
      <c r="AR7" s="23" t="s">
        <v>21</v>
      </c>
      <c r="AS7" s="23" t="s">
        <v>16</v>
      </c>
      <c r="AT7" s="23">
        <v>1</v>
      </c>
      <c r="AU7" s="23">
        <v>2</v>
      </c>
      <c r="AV7" s="23">
        <v>3</v>
      </c>
      <c r="AW7" s="23">
        <v>4</v>
      </c>
      <c r="AX7" s="23">
        <v>5</v>
      </c>
      <c r="AY7" s="23">
        <v>6</v>
      </c>
      <c r="AZ7" s="23">
        <v>7</v>
      </c>
      <c r="BA7" s="23">
        <v>8</v>
      </c>
      <c r="BB7" s="23">
        <v>9</v>
      </c>
      <c r="BC7" s="23">
        <v>10</v>
      </c>
      <c r="BD7" s="23">
        <v>11</v>
      </c>
      <c r="BE7" s="23">
        <v>12</v>
      </c>
      <c r="BF7" s="23">
        <v>13</v>
      </c>
      <c r="BG7" s="23">
        <v>14</v>
      </c>
      <c r="BH7" s="23">
        <v>15</v>
      </c>
      <c r="BI7" s="23">
        <v>16</v>
      </c>
      <c r="BJ7" s="23">
        <v>17</v>
      </c>
      <c r="BK7" s="23">
        <v>18</v>
      </c>
      <c r="BL7" s="23">
        <v>19</v>
      </c>
      <c r="BM7" s="23">
        <v>20</v>
      </c>
      <c r="BN7" s="23">
        <v>21</v>
      </c>
      <c r="BO7" s="23">
        <v>22</v>
      </c>
      <c r="BP7" s="23">
        <v>23</v>
      </c>
      <c r="BQ7" s="23">
        <v>24</v>
      </c>
      <c r="BR7" s="23">
        <v>25</v>
      </c>
      <c r="BS7" s="23">
        <v>26</v>
      </c>
      <c r="BT7" s="23">
        <v>27</v>
      </c>
      <c r="BU7" s="23">
        <v>28</v>
      </c>
      <c r="BV7" s="23">
        <v>29</v>
      </c>
      <c r="BW7" s="24">
        <v>30</v>
      </c>
      <c r="BX7" s="95"/>
      <c r="BY7" s="95"/>
    </row>
    <row r="8" spans="1:77">
      <c r="A8" s="15" t="str">
        <f>IF(F8="","",K7)</f>
        <v/>
      </c>
      <c r="B8" s="15" t="str">
        <f>IF(F8="","",$B$6)</f>
        <v/>
      </c>
      <c r="C8" s="15" t="str">
        <f>IF(F8="","",$C$6)</f>
        <v/>
      </c>
      <c r="D8" s="15" t="str">
        <f>IF(F8="","",$D$6)</f>
        <v/>
      </c>
      <c r="E8" s="15" t="str">
        <f>IF(F8="","",$E$6)</f>
        <v/>
      </c>
      <c r="F8" s="19"/>
      <c r="G8" s="19"/>
      <c r="H8" s="19"/>
      <c r="I8" s="19"/>
      <c r="J8" s="19"/>
      <c r="K8" s="19" t="s">
        <v>6</v>
      </c>
      <c r="L8" s="19" t="s">
        <v>4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P8" s="9" t="str">
        <f>IF(F8="","",F8)</f>
        <v/>
      </c>
      <c r="AQ8" s="9" t="str">
        <f>IF(G8="","",G8)</f>
        <v/>
      </c>
      <c r="AR8" s="9" t="str">
        <f>IF(H8="","",H8)</f>
        <v/>
      </c>
      <c r="AS8" s="9" t="str">
        <f t="shared" ref="AS8" si="0">IF(J8="","",J8)</f>
        <v/>
      </c>
      <c r="AT8" s="25">
        <f>IF(K8="","",IF($AS8="A",IF(K8=AT$2,AT$3,IF(K8&lt;3.9999,AT$3*K8/4,0)),IF(K8=AT$4,AT$5,IF(K8&lt;3.9999,AT$5*K8/4,0))))</f>
        <v>0</v>
      </c>
      <c r="AU8" s="25">
        <f t="shared" ref="AU8:BW16" si="1">IF(L8="","",IF($AS8="A",IF(L8=AU$2,AU$3,IF(L8&lt;3.9999,AU$3*L8/4,0)),IF(L8=AU$4,AU$5,IF(L8&lt;3.9999,AU$5*L8/4,0))))</f>
        <v>0</v>
      </c>
      <c r="AV8" s="25" t="str">
        <f t="shared" si="1"/>
        <v/>
      </c>
      <c r="AW8" s="25" t="str">
        <f t="shared" si="1"/>
        <v/>
      </c>
      <c r="AX8" s="25" t="str">
        <f t="shared" si="1"/>
        <v/>
      </c>
      <c r="AY8" s="25" t="str">
        <f t="shared" si="1"/>
        <v/>
      </c>
      <c r="AZ8" s="25" t="str">
        <f t="shared" si="1"/>
        <v/>
      </c>
      <c r="BA8" s="25" t="str">
        <f t="shared" si="1"/>
        <v/>
      </c>
      <c r="BB8" s="25" t="str">
        <f t="shared" si="1"/>
        <v/>
      </c>
      <c r="BC8" s="25" t="str">
        <f t="shared" si="1"/>
        <v/>
      </c>
      <c r="BD8" s="25" t="str">
        <f t="shared" si="1"/>
        <v/>
      </c>
      <c r="BE8" s="25" t="str">
        <f t="shared" si="1"/>
        <v/>
      </c>
      <c r="BF8" s="25" t="str">
        <f t="shared" si="1"/>
        <v/>
      </c>
      <c r="BG8" s="25" t="str">
        <f t="shared" si="1"/>
        <v/>
      </c>
      <c r="BH8" s="25" t="str">
        <f t="shared" si="1"/>
        <v/>
      </c>
      <c r="BI8" s="25" t="str">
        <f t="shared" si="1"/>
        <v/>
      </c>
      <c r="BJ8" s="25" t="str">
        <f t="shared" si="1"/>
        <v/>
      </c>
      <c r="BK8" s="25" t="str">
        <f t="shared" si="1"/>
        <v/>
      </c>
      <c r="BL8" s="25" t="str">
        <f t="shared" si="1"/>
        <v/>
      </c>
      <c r="BM8" s="25" t="str">
        <f t="shared" si="1"/>
        <v/>
      </c>
      <c r="BN8" s="25" t="str">
        <f t="shared" si="1"/>
        <v/>
      </c>
      <c r="BO8" s="25" t="str">
        <f t="shared" si="1"/>
        <v/>
      </c>
      <c r="BP8" s="25" t="str">
        <f t="shared" si="1"/>
        <v/>
      </c>
      <c r="BQ8" s="25" t="str">
        <f t="shared" si="1"/>
        <v/>
      </c>
      <c r="BR8" s="25" t="str">
        <f t="shared" si="1"/>
        <v/>
      </c>
      <c r="BS8" s="25" t="str">
        <f t="shared" si="1"/>
        <v/>
      </c>
      <c r="BT8" s="25" t="str">
        <f t="shared" si="1"/>
        <v/>
      </c>
      <c r="BU8" s="25" t="str">
        <f t="shared" si="1"/>
        <v/>
      </c>
      <c r="BV8" s="25" t="str">
        <f t="shared" si="1"/>
        <v/>
      </c>
      <c r="BW8" s="26" t="str">
        <f t="shared" si="1"/>
        <v/>
      </c>
      <c r="BX8" s="27" t="str">
        <f>IF(AS8="","",SUM(AT8:BW8))</f>
        <v/>
      </c>
      <c r="BY8" s="15" t="str">
        <f>IF(BX8&lt;=30,2,IF(BX8&lt;=60,3,IF(BX8&lt;=80,4,IF(BX8&lt;=100,5,""))))</f>
        <v/>
      </c>
    </row>
    <row r="9" spans="1:77">
      <c r="A9" s="15" t="str">
        <f>IF(F9="","",A8+1)</f>
        <v/>
      </c>
      <c r="B9" s="15" t="str">
        <f t="shared" ref="B9:B17" si="2">IF(F9="","",$B$6)</f>
        <v/>
      </c>
      <c r="C9" s="15" t="str">
        <f t="shared" ref="C9:C17" si="3">IF(F9="","",$C$6)</f>
        <v/>
      </c>
      <c r="D9" s="15" t="str">
        <f t="shared" ref="D9:D57" si="4">IF(F9="","",$D$6)</f>
        <v/>
      </c>
      <c r="E9" s="15" t="str">
        <f t="shared" ref="E9:E57" si="5">IF(F9="","",$E$6)</f>
        <v/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P9" s="9" t="str">
        <f t="shared" ref="AP9:AP57" si="6">IF(F9="","",F9)</f>
        <v/>
      </c>
      <c r="AQ9" s="9" t="str">
        <f t="shared" ref="AQ9:AQ57" si="7">IF(G9="","",G9)</f>
        <v/>
      </c>
      <c r="AR9" s="9" t="str">
        <f t="shared" ref="AR9:AR57" si="8">IF(H9="","",H9)</f>
        <v/>
      </c>
      <c r="AS9" s="9" t="str">
        <f t="shared" ref="AS9:AS57" si="9">IF(J9="","",J9)</f>
        <v/>
      </c>
      <c r="AT9" s="25" t="str">
        <f t="shared" ref="AT9:AT12" si="10">IF(K9="","",IF($AS9="A",IF(K9=AT$2,AT$3,IF(K9&lt;3.9999,AT$3*K9/4,0)),IF(K9=AT$4,AT$5,IF(K9&lt;3.9999,AT$5*K9/4,0))))</f>
        <v/>
      </c>
      <c r="AU9" s="25" t="str">
        <f t="shared" si="1"/>
        <v/>
      </c>
      <c r="AV9" s="25" t="str">
        <f t="shared" si="1"/>
        <v/>
      </c>
      <c r="AW9" s="25" t="str">
        <f t="shared" si="1"/>
        <v/>
      </c>
      <c r="AX9" s="25" t="str">
        <f t="shared" si="1"/>
        <v/>
      </c>
      <c r="AY9" s="25" t="str">
        <f t="shared" si="1"/>
        <v/>
      </c>
      <c r="AZ9" s="25" t="str">
        <f t="shared" si="1"/>
        <v/>
      </c>
      <c r="BA9" s="25" t="str">
        <f t="shared" si="1"/>
        <v/>
      </c>
      <c r="BB9" s="25" t="str">
        <f t="shared" si="1"/>
        <v/>
      </c>
      <c r="BC9" s="25" t="str">
        <f t="shared" si="1"/>
        <v/>
      </c>
      <c r="BD9" s="25" t="str">
        <f t="shared" si="1"/>
        <v/>
      </c>
      <c r="BE9" s="25" t="str">
        <f t="shared" si="1"/>
        <v/>
      </c>
      <c r="BF9" s="25" t="str">
        <f t="shared" si="1"/>
        <v/>
      </c>
      <c r="BG9" s="25" t="str">
        <f t="shared" si="1"/>
        <v/>
      </c>
      <c r="BH9" s="25" t="str">
        <f t="shared" si="1"/>
        <v/>
      </c>
      <c r="BI9" s="25" t="str">
        <f t="shared" si="1"/>
        <v/>
      </c>
      <c r="BJ9" s="25" t="str">
        <f t="shared" si="1"/>
        <v/>
      </c>
      <c r="BK9" s="25" t="str">
        <f t="shared" si="1"/>
        <v/>
      </c>
      <c r="BL9" s="25" t="str">
        <f t="shared" si="1"/>
        <v/>
      </c>
      <c r="BM9" s="25" t="str">
        <f t="shared" si="1"/>
        <v/>
      </c>
      <c r="BN9" s="25" t="str">
        <f t="shared" si="1"/>
        <v/>
      </c>
      <c r="BO9" s="25" t="str">
        <f t="shared" si="1"/>
        <v/>
      </c>
      <c r="BP9" s="25" t="str">
        <f t="shared" si="1"/>
        <v/>
      </c>
      <c r="BQ9" s="25" t="str">
        <f t="shared" si="1"/>
        <v/>
      </c>
      <c r="BR9" s="25" t="str">
        <f t="shared" si="1"/>
        <v/>
      </c>
      <c r="BS9" s="25" t="str">
        <f t="shared" si="1"/>
        <v/>
      </c>
      <c r="BT9" s="25" t="str">
        <f t="shared" si="1"/>
        <v/>
      </c>
      <c r="BU9" s="25" t="str">
        <f t="shared" si="1"/>
        <v/>
      </c>
      <c r="BV9" s="25" t="str">
        <f t="shared" si="1"/>
        <v/>
      </c>
      <c r="BW9" s="26" t="str">
        <f t="shared" si="1"/>
        <v/>
      </c>
      <c r="BX9" s="27" t="str">
        <f t="shared" ref="BX9:BX57" si="11">IF(AS9="","",SUM(AT9:BW9))</f>
        <v/>
      </c>
      <c r="BY9" s="15" t="str">
        <f t="shared" ref="BY9:BY57" si="12">IF(BX9&lt;=30,2,IF(BX9&lt;=60,3,IF(BX9&lt;=80,4,IF(BX9&lt;=100,5,""))))</f>
        <v/>
      </c>
    </row>
    <row r="10" spans="1:77">
      <c r="A10" s="15" t="str">
        <f>IF(F10="","",A9+1)</f>
        <v/>
      </c>
      <c r="B10" s="15" t="str">
        <f t="shared" si="2"/>
        <v/>
      </c>
      <c r="C10" s="15" t="str">
        <f t="shared" si="3"/>
        <v/>
      </c>
      <c r="D10" s="15" t="str">
        <f t="shared" si="4"/>
        <v/>
      </c>
      <c r="E10" s="15" t="str">
        <f t="shared" si="5"/>
        <v/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P10" s="9" t="str">
        <f t="shared" si="6"/>
        <v/>
      </c>
      <c r="AQ10" s="9" t="str">
        <f t="shared" si="7"/>
        <v/>
      </c>
      <c r="AR10" s="9" t="str">
        <f t="shared" si="8"/>
        <v/>
      </c>
      <c r="AS10" s="9" t="str">
        <f t="shared" si="9"/>
        <v/>
      </c>
      <c r="AT10" s="25" t="str">
        <f t="shared" si="10"/>
        <v/>
      </c>
      <c r="AU10" s="25" t="str">
        <f t="shared" si="1"/>
        <v/>
      </c>
      <c r="AV10" s="25" t="str">
        <f t="shared" si="1"/>
        <v/>
      </c>
      <c r="AW10" s="25" t="str">
        <f t="shared" si="1"/>
        <v/>
      </c>
      <c r="AX10" s="25" t="str">
        <f t="shared" si="1"/>
        <v/>
      </c>
      <c r="AY10" s="25" t="str">
        <f t="shared" si="1"/>
        <v/>
      </c>
      <c r="AZ10" s="25" t="str">
        <f t="shared" si="1"/>
        <v/>
      </c>
      <c r="BA10" s="25" t="str">
        <f t="shared" si="1"/>
        <v/>
      </c>
      <c r="BB10" s="25" t="str">
        <f t="shared" si="1"/>
        <v/>
      </c>
      <c r="BC10" s="25" t="str">
        <f t="shared" si="1"/>
        <v/>
      </c>
      <c r="BD10" s="25" t="str">
        <f t="shared" si="1"/>
        <v/>
      </c>
      <c r="BE10" s="25" t="str">
        <f t="shared" si="1"/>
        <v/>
      </c>
      <c r="BF10" s="25" t="str">
        <f t="shared" si="1"/>
        <v/>
      </c>
      <c r="BG10" s="25" t="str">
        <f t="shared" si="1"/>
        <v/>
      </c>
      <c r="BH10" s="25" t="str">
        <f t="shared" si="1"/>
        <v/>
      </c>
      <c r="BI10" s="25" t="str">
        <f t="shared" si="1"/>
        <v/>
      </c>
      <c r="BJ10" s="25" t="str">
        <f t="shared" si="1"/>
        <v/>
      </c>
      <c r="BK10" s="25" t="str">
        <f t="shared" si="1"/>
        <v/>
      </c>
      <c r="BL10" s="25" t="str">
        <f t="shared" si="1"/>
        <v/>
      </c>
      <c r="BM10" s="25" t="str">
        <f t="shared" si="1"/>
        <v/>
      </c>
      <c r="BN10" s="25" t="str">
        <f t="shared" si="1"/>
        <v/>
      </c>
      <c r="BO10" s="25" t="str">
        <f t="shared" si="1"/>
        <v/>
      </c>
      <c r="BP10" s="25" t="str">
        <f t="shared" si="1"/>
        <v/>
      </c>
      <c r="BQ10" s="25" t="str">
        <f t="shared" si="1"/>
        <v/>
      </c>
      <c r="BR10" s="25" t="str">
        <f t="shared" si="1"/>
        <v/>
      </c>
      <c r="BS10" s="25" t="str">
        <f t="shared" si="1"/>
        <v/>
      </c>
      <c r="BT10" s="25" t="str">
        <f t="shared" si="1"/>
        <v/>
      </c>
      <c r="BU10" s="25" t="str">
        <f t="shared" si="1"/>
        <v/>
      </c>
      <c r="BV10" s="25" t="str">
        <f t="shared" si="1"/>
        <v/>
      </c>
      <c r="BW10" s="26" t="str">
        <f t="shared" si="1"/>
        <v/>
      </c>
      <c r="BX10" s="27" t="str">
        <f t="shared" si="11"/>
        <v/>
      </c>
      <c r="BY10" s="15" t="str">
        <f t="shared" si="12"/>
        <v/>
      </c>
    </row>
    <row r="11" spans="1:77">
      <c r="A11" s="15" t="str">
        <f t="shared" ref="A11:A57" si="13">IF(F11="","",A10+1)</f>
        <v/>
      </c>
      <c r="B11" s="15" t="str">
        <f t="shared" si="2"/>
        <v/>
      </c>
      <c r="C11" s="15" t="str">
        <f t="shared" si="3"/>
        <v/>
      </c>
      <c r="D11" s="15" t="str">
        <f t="shared" si="4"/>
        <v/>
      </c>
      <c r="E11" s="15" t="str">
        <f t="shared" si="5"/>
        <v/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P11" s="9" t="str">
        <f t="shared" si="6"/>
        <v/>
      </c>
      <c r="AQ11" s="9" t="str">
        <f t="shared" si="7"/>
        <v/>
      </c>
      <c r="AR11" s="9" t="str">
        <f t="shared" si="8"/>
        <v/>
      </c>
      <c r="AS11" s="9" t="str">
        <f t="shared" si="9"/>
        <v/>
      </c>
      <c r="AT11" s="25" t="str">
        <f t="shared" si="10"/>
        <v/>
      </c>
      <c r="AU11" s="25" t="str">
        <f t="shared" si="1"/>
        <v/>
      </c>
      <c r="AV11" s="25" t="str">
        <f t="shared" si="1"/>
        <v/>
      </c>
      <c r="AW11" s="25" t="str">
        <f t="shared" si="1"/>
        <v/>
      </c>
      <c r="AX11" s="25" t="str">
        <f t="shared" si="1"/>
        <v/>
      </c>
      <c r="AY11" s="25" t="str">
        <f t="shared" si="1"/>
        <v/>
      </c>
      <c r="AZ11" s="25" t="str">
        <f t="shared" si="1"/>
        <v/>
      </c>
      <c r="BA11" s="25" t="str">
        <f t="shared" si="1"/>
        <v/>
      </c>
      <c r="BB11" s="25" t="str">
        <f t="shared" si="1"/>
        <v/>
      </c>
      <c r="BC11" s="25" t="str">
        <f t="shared" si="1"/>
        <v/>
      </c>
      <c r="BD11" s="25" t="str">
        <f t="shared" si="1"/>
        <v/>
      </c>
      <c r="BE11" s="25" t="str">
        <f t="shared" si="1"/>
        <v/>
      </c>
      <c r="BF11" s="25" t="str">
        <f t="shared" si="1"/>
        <v/>
      </c>
      <c r="BG11" s="25" t="str">
        <f t="shared" si="1"/>
        <v/>
      </c>
      <c r="BH11" s="25" t="str">
        <f t="shared" si="1"/>
        <v/>
      </c>
      <c r="BI11" s="25" t="str">
        <f t="shared" si="1"/>
        <v/>
      </c>
      <c r="BJ11" s="25" t="str">
        <f t="shared" si="1"/>
        <v/>
      </c>
      <c r="BK11" s="25" t="str">
        <f t="shared" si="1"/>
        <v/>
      </c>
      <c r="BL11" s="25" t="str">
        <f t="shared" si="1"/>
        <v/>
      </c>
      <c r="BM11" s="25" t="str">
        <f t="shared" si="1"/>
        <v/>
      </c>
      <c r="BN11" s="25" t="str">
        <f t="shared" si="1"/>
        <v/>
      </c>
      <c r="BO11" s="25" t="str">
        <f t="shared" si="1"/>
        <v/>
      </c>
      <c r="BP11" s="25" t="str">
        <f t="shared" si="1"/>
        <v/>
      </c>
      <c r="BQ11" s="25" t="str">
        <f t="shared" si="1"/>
        <v/>
      </c>
      <c r="BR11" s="25" t="str">
        <f t="shared" si="1"/>
        <v/>
      </c>
      <c r="BS11" s="25" t="str">
        <f t="shared" si="1"/>
        <v/>
      </c>
      <c r="BT11" s="25" t="str">
        <f t="shared" si="1"/>
        <v/>
      </c>
      <c r="BU11" s="25" t="str">
        <f t="shared" si="1"/>
        <v/>
      </c>
      <c r="BV11" s="25" t="str">
        <f t="shared" si="1"/>
        <v/>
      </c>
      <c r="BW11" s="26" t="str">
        <f t="shared" si="1"/>
        <v/>
      </c>
      <c r="BX11" s="27" t="str">
        <f t="shared" si="11"/>
        <v/>
      </c>
      <c r="BY11" s="15" t="str">
        <f t="shared" si="12"/>
        <v/>
      </c>
    </row>
    <row r="12" spans="1:77">
      <c r="A12" s="15" t="str">
        <f t="shared" si="13"/>
        <v/>
      </c>
      <c r="B12" s="15" t="str">
        <f t="shared" si="2"/>
        <v/>
      </c>
      <c r="C12" s="15" t="str">
        <f t="shared" si="3"/>
        <v/>
      </c>
      <c r="D12" s="15" t="str">
        <f t="shared" si="4"/>
        <v/>
      </c>
      <c r="E12" s="15" t="str">
        <f t="shared" si="5"/>
        <v/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P12" s="9" t="str">
        <f t="shared" si="6"/>
        <v/>
      </c>
      <c r="AQ12" s="9" t="str">
        <f t="shared" si="7"/>
        <v/>
      </c>
      <c r="AR12" s="9" t="str">
        <f t="shared" si="8"/>
        <v/>
      </c>
      <c r="AS12" s="9" t="str">
        <f t="shared" si="9"/>
        <v/>
      </c>
      <c r="AT12" s="25" t="str">
        <f t="shared" si="10"/>
        <v/>
      </c>
      <c r="AU12" s="25" t="str">
        <f t="shared" si="1"/>
        <v/>
      </c>
      <c r="AV12" s="25" t="str">
        <f t="shared" si="1"/>
        <v/>
      </c>
      <c r="AW12" s="25" t="str">
        <f t="shared" si="1"/>
        <v/>
      </c>
      <c r="AX12" s="25" t="str">
        <f t="shared" si="1"/>
        <v/>
      </c>
      <c r="AY12" s="25" t="str">
        <f t="shared" si="1"/>
        <v/>
      </c>
      <c r="AZ12" s="25" t="str">
        <f t="shared" si="1"/>
        <v/>
      </c>
      <c r="BA12" s="25" t="str">
        <f t="shared" si="1"/>
        <v/>
      </c>
      <c r="BB12" s="25" t="str">
        <f t="shared" si="1"/>
        <v/>
      </c>
      <c r="BC12" s="25" t="str">
        <f t="shared" si="1"/>
        <v/>
      </c>
      <c r="BD12" s="25" t="str">
        <f t="shared" si="1"/>
        <v/>
      </c>
      <c r="BE12" s="25" t="str">
        <f t="shared" si="1"/>
        <v/>
      </c>
      <c r="BF12" s="25" t="str">
        <f t="shared" si="1"/>
        <v/>
      </c>
      <c r="BG12" s="25" t="str">
        <f t="shared" si="1"/>
        <v/>
      </c>
      <c r="BH12" s="25" t="str">
        <f t="shared" si="1"/>
        <v/>
      </c>
      <c r="BI12" s="25" t="str">
        <f t="shared" si="1"/>
        <v/>
      </c>
      <c r="BJ12" s="25" t="str">
        <f t="shared" si="1"/>
        <v/>
      </c>
      <c r="BK12" s="25" t="str">
        <f t="shared" si="1"/>
        <v/>
      </c>
      <c r="BL12" s="25" t="str">
        <f t="shared" si="1"/>
        <v/>
      </c>
      <c r="BM12" s="25" t="str">
        <f t="shared" si="1"/>
        <v/>
      </c>
      <c r="BN12" s="25" t="str">
        <f t="shared" si="1"/>
        <v/>
      </c>
      <c r="BO12" s="25" t="str">
        <f t="shared" si="1"/>
        <v/>
      </c>
      <c r="BP12" s="25" t="str">
        <f t="shared" si="1"/>
        <v/>
      </c>
      <c r="BQ12" s="25" t="str">
        <f t="shared" si="1"/>
        <v/>
      </c>
      <c r="BR12" s="25" t="str">
        <f t="shared" si="1"/>
        <v/>
      </c>
      <c r="BS12" s="25" t="str">
        <f t="shared" si="1"/>
        <v/>
      </c>
      <c r="BT12" s="25" t="str">
        <f t="shared" si="1"/>
        <v/>
      </c>
      <c r="BU12" s="25" t="str">
        <f t="shared" si="1"/>
        <v/>
      </c>
      <c r="BV12" s="25" t="str">
        <f t="shared" si="1"/>
        <v/>
      </c>
      <c r="BW12" s="26" t="str">
        <f t="shared" si="1"/>
        <v/>
      </c>
      <c r="BX12" s="27" t="str">
        <f t="shared" si="11"/>
        <v/>
      </c>
      <c r="BY12" s="15" t="str">
        <f t="shared" si="12"/>
        <v/>
      </c>
    </row>
    <row r="13" spans="1:77">
      <c r="A13" s="15" t="str">
        <f t="shared" si="13"/>
        <v/>
      </c>
      <c r="B13" s="15" t="str">
        <f t="shared" si="2"/>
        <v/>
      </c>
      <c r="C13" s="15" t="str">
        <f t="shared" si="3"/>
        <v/>
      </c>
      <c r="D13" s="15" t="str">
        <f t="shared" si="4"/>
        <v/>
      </c>
      <c r="E13" s="15" t="str">
        <f t="shared" si="5"/>
        <v/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P13" s="9" t="str">
        <f t="shared" si="6"/>
        <v/>
      </c>
      <c r="AQ13" s="9" t="str">
        <f t="shared" si="7"/>
        <v/>
      </c>
      <c r="AR13" s="9" t="str">
        <f t="shared" si="8"/>
        <v/>
      </c>
      <c r="AS13" s="9" t="str">
        <f t="shared" si="9"/>
        <v/>
      </c>
      <c r="AT13" s="25" t="str">
        <f>IF(K13="","",IF($AS13="A",IF(K13=AT$2,AT$3,IF(K13&lt;3.9999,AT$3*K13/4,0)),IF(K13=AT$4,AT$5,IF(K13&lt;3.9999,AT$5*K13/4,0))))</f>
        <v/>
      </c>
      <c r="AU13" s="25" t="str">
        <f t="shared" si="1"/>
        <v/>
      </c>
      <c r="AV13" s="25" t="str">
        <f t="shared" si="1"/>
        <v/>
      </c>
      <c r="AW13" s="25" t="str">
        <f t="shared" si="1"/>
        <v/>
      </c>
      <c r="AX13" s="25" t="str">
        <f t="shared" si="1"/>
        <v/>
      </c>
      <c r="AY13" s="25" t="str">
        <f t="shared" si="1"/>
        <v/>
      </c>
      <c r="AZ13" s="25" t="str">
        <f t="shared" si="1"/>
        <v/>
      </c>
      <c r="BA13" s="25" t="str">
        <f t="shared" si="1"/>
        <v/>
      </c>
      <c r="BB13" s="25" t="str">
        <f t="shared" si="1"/>
        <v/>
      </c>
      <c r="BC13" s="25" t="str">
        <f t="shared" si="1"/>
        <v/>
      </c>
      <c r="BD13" s="25" t="str">
        <f t="shared" si="1"/>
        <v/>
      </c>
      <c r="BE13" s="25" t="str">
        <f t="shared" si="1"/>
        <v/>
      </c>
      <c r="BF13" s="25" t="str">
        <f t="shared" si="1"/>
        <v/>
      </c>
      <c r="BG13" s="25" t="str">
        <f t="shared" si="1"/>
        <v/>
      </c>
      <c r="BH13" s="25" t="str">
        <f t="shared" si="1"/>
        <v/>
      </c>
      <c r="BI13" s="25" t="str">
        <f t="shared" si="1"/>
        <v/>
      </c>
      <c r="BJ13" s="25" t="str">
        <f t="shared" si="1"/>
        <v/>
      </c>
      <c r="BK13" s="25" t="str">
        <f t="shared" si="1"/>
        <v/>
      </c>
      <c r="BL13" s="25" t="str">
        <f t="shared" si="1"/>
        <v/>
      </c>
      <c r="BM13" s="25" t="str">
        <f t="shared" si="1"/>
        <v/>
      </c>
      <c r="BN13" s="25" t="str">
        <f t="shared" si="1"/>
        <v/>
      </c>
      <c r="BO13" s="25" t="str">
        <f t="shared" si="1"/>
        <v/>
      </c>
      <c r="BP13" s="25" t="str">
        <f t="shared" si="1"/>
        <v/>
      </c>
      <c r="BQ13" s="25" t="str">
        <f t="shared" si="1"/>
        <v/>
      </c>
      <c r="BR13" s="25" t="str">
        <f t="shared" si="1"/>
        <v/>
      </c>
      <c r="BS13" s="25" t="str">
        <f t="shared" si="1"/>
        <v/>
      </c>
      <c r="BT13" s="25" t="str">
        <f t="shared" si="1"/>
        <v/>
      </c>
      <c r="BU13" s="25" t="str">
        <f t="shared" si="1"/>
        <v/>
      </c>
      <c r="BV13" s="25" t="str">
        <f t="shared" si="1"/>
        <v/>
      </c>
      <c r="BW13" s="26" t="str">
        <f t="shared" si="1"/>
        <v/>
      </c>
      <c r="BX13" s="27" t="str">
        <f t="shared" si="11"/>
        <v/>
      </c>
      <c r="BY13" s="15" t="str">
        <f t="shared" si="12"/>
        <v/>
      </c>
    </row>
    <row r="14" spans="1:77">
      <c r="A14" s="15" t="str">
        <f t="shared" si="13"/>
        <v/>
      </c>
      <c r="B14" s="15" t="str">
        <f t="shared" si="2"/>
        <v/>
      </c>
      <c r="C14" s="15" t="str">
        <f t="shared" si="3"/>
        <v/>
      </c>
      <c r="D14" s="15" t="str">
        <f t="shared" si="4"/>
        <v/>
      </c>
      <c r="E14" s="15" t="str">
        <f t="shared" si="5"/>
        <v/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P14" s="9" t="str">
        <f t="shared" si="6"/>
        <v/>
      </c>
      <c r="AQ14" s="9" t="str">
        <f t="shared" si="7"/>
        <v/>
      </c>
      <c r="AR14" s="9" t="str">
        <f t="shared" si="8"/>
        <v/>
      </c>
      <c r="AS14" s="9" t="str">
        <f t="shared" si="9"/>
        <v/>
      </c>
      <c r="AT14" s="25" t="str">
        <f>IF(K14="","",IF($AS14="A",IF(K14=AT$2,AT$3,IF(K14&lt;3.9999,AT$3*K14/4,0)),IF(K14=AT$4,AT$5,IF(K14&lt;3.9999,AT$5*K14/4,0))))</f>
        <v/>
      </c>
      <c r="AU14" s="25" t="str">
        <f t="shared" si="1"/>
        <v/>
      </c>
      <c r="AV14" s="25" t="str">
        <f t="shared" si="1"/>
        <v/>
      </c>
      <c r="AW14" s="25" t="str">
        <f t="shared" si="1"/>
        <v/>
      </c>
      <c r="AX14" s="25" t="str">
        <f t="shared" si="1"/>
        <v/>
      </c>
      <c r="AY14" s="25" t="str">
        <f t="shared" si="1"/>
        <v/>
      </c>
      <c r="AZ14" s="25" t="str">
        <f t="shared" si="1"/>
        <v/>
      </c>
      <c r="BA14" s="25" t="str">
        <f t="shared" si="1"/>
        <v/>
      </c>
      <c r="BB14" s="25" t="str">
        <f t="shared" si="1"/>
        <v/>
      </c>
      <c r="BC14" s="25" t="str">
        <f t="shared" si="1"/>
        <v/>
      </c>
      <c r="BD14" s="25" t="str">
        <f t="shared" si="1"/>
        <v/>
      </c>
      <c r="BE14" s="25" t="str">
        <f t="shared" si="1"/>
        <v/>
      </c>
      <c r="BF14" s="25" t="str">
        <f t="shared" si="1"/>
        <v/>
      </c>
      <c r="BG14" s="25" t="str">
        <f t="shared" si="1"/>
        <v/>
      </c>
      <c r="BH14" s="25" t="str">
        <f t="shared" si="1"/>
        <v/>
      </c>
      <c r="BI14" s="25" t="str">
        <f t="shared" si="1"/>
        <v/>
      </c>
      <c r="BJ14" s="25" t="str">
        <f t="shared" si="1"/>
        <v/>
      </c>
      <c r="BK14" s="25" t="str">
        <f t="shared" si="1"/>
        <v/>
      </c>
      <c r="BL14" s="25" t="str">
        <f t="shared" si="1"/>
        <v/>
      </c>
      <c r="BM14" s="25" t="str">
        <f t="shared" si="1"/>
        <v/>
      </c>
      <c r="BN14" s="25" t="str">
        <f t="shared" si="1"/>
        <v/>
      </c>
      <c r="BO14" s="25" t="str">
        <f t="shared" si="1"/>
        <v/>
      </c>
      <c r="BP14" s="25" t="str">
        <f t="shared" si="1"/>
        <v/>
      </c>
      <c r="BQ14" s="25" t="str">
        <f t="shared" si="1"/>
        <v/>
      </c>
      <c r="BR14" s="25" t="str">
        <f t="shared" si="1"/>
        <v/>
      </c>
      <c r="BS14" s="25" t="str">
        <f t="shared" si="1"/>
        <v/>
      </c>
      <c r="BT14" s="25" t="str">
        <f t="shared" si="1"/>
        <v/>
      </c>
      <c r="BU14" s="25" t="str">
        <f t="shared" si="1"/>
        <v/>
      </c>
      <c r="BV14" s="25" t="str">
        <f t="shared" si="1"/>
        <v/>
      </c>
      <c r="BW14" s="26" t="str">
        <f t="shared" si="1"/>
        <v/>
      </c>
      <c r="BX14" s="27" t="str">
        <f t="shared" si="11"/>
        <v/>
      </c>
      <c r="BY14" s="15" t="str">
        <f t="shared" si="12"/>
        <v/>
      </c>
    </row>
    <row r="15" spans="1:77">
      <c r="A15" s="15" t="str">
        <f t="shared" si="13"/>
        <v/>
      </c>
      <c r="B15" s="15" t="str">
        <f t="shared" si="2"/>
        <v/>
      </c>
      <c r="C15" s="15" t="str">
        <f t="shared" si="3"/>
        <v/>
      </c>
      <c r="D15" s="15" t="str">
        <f t="shared" si="4"/>
        <v/>
      </c>
      <c r="E15" s="15" t="str">
        <f t="shared" si="5"/>
        <v/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P15" s="9" t="str">
        <f t="shared" si="6"/>
        <v/>
      </c>
      <c r="AQ15" s="9" t="str">
        <f t="shared" si="7"/>
        <v/>
      </c>
      <c r="AR15" s="9" t="str">
        <f t="shared" si="8"/>
        <v/>
      </c>
      <c r="AS15" s="9" t="str">
        <f t="shared" si="9"/>
        <v/>
      </c>
      <c r="AT15" s="25" t="str">
        <f t="shared" ref="AT15:AT57" si="14">IF(K15="","",IF($AS15="A",IF(K15=AT$2,AT$3,IF(K15&lt;3.9999,AT$3*K15/4,0)),IF(K15=AT$4,AT$5,IF(K15&lt;3.9999,AT$5*K15/4,0))))</f>
        <v/>
      </c>
      <c r="AU15" s="25" t="str">
        <f t="shared" si="1"/>
        <v/>
      </c>
      <c r="AV15" s="25" t="str">
        <f t="shared" si="1"/>
        <v/>
      </c>
      <c r="AW15" s="25" t="str">
        <f t="shared" si="1"/>
        <v/>
      </c>
      <c r="AX15" s="25" t="str">
        <f t="shared" si="1"/>
        <v/>
      </c>
      <c r="AY15" s="25" t="str">
        <f t="shared" si="1"/>
        <v/>
      </c>
      <c r="AZ15" s="25" t="str">
        <f t="shared" si="1"/>
        <v/>
      </c>
      <c r="BA15" s="25" t="str">
        <f t="shared" si="1"/>
        <v/>
      </c>
      <c r="BB15" s="25" t="str">
        <f t="shared" si="1"/>
        <v/>
      </c>
      <c r="BC15" s="25" t="str">
        <f t="shared" si="1"/>
        <v/>
      </c>
      <c r="BD15" s="25" t="str">
        <f t="shared" si="1"/>
        <v/>
      </c>
      <c r="BE15" s="25" t="str">
        <f t="shared" si="1"/>
        <v/>
      </c>
      <c r="BF15" s="25" t="str">
        <f t="shared" si="1"/>
        <v/>
      </c>
      <c r="BG15" s="25" t="str">
        <f t="shared" si="1"/>
        <v/>
      </c>
      <c r="BH15" s="25" t="str">
        <f t="shared" si="1"/>
        <v/>
      </c>
      <c r="BI15" s="25" t="str">
        <f t="shared" si="1"/>
        <v/>
      </c>
      <c r="BJ15" s="25" t="str">
        <f t="shared" si="1"/>
        <v/>
      </c>
      <c r="BK15" s="25" t="str">
        <f t="shared" si="1"/>
        <v/>
      </c>
      <c r="BL15" s="25" t="str">
        <f t="shared" si="1"/>
        <v/>
      </c>
      <c r="BM15" s="25" t="str">
        <f t="shared" si="1"/>
        <v/>
      </c>
      <c r="BN15" s="25" t="str">
        <f t="shared" si="1"/>
        <v/>
      </c>
      <c r="BO15" s="25" t="str">
        <f t="shared" si="1"/>
        <v/>
      </c>
      <c r="BP15" s="25" t="str">
        <f t="shared" si="1"/>
        <v/>
      </c>
      <c r="BQ15" s="25" t="str">
        <f t="shared" si="1"/>
        <v/>
      </c>
      <c r="BR15" s="25" t="str">
        <f t="shared" si="1"/>
        <v/>
      </c>
      <c r="BS15" s="25" t="str">
        <f t="shared" si="1"/>
        <v/>
      </c>
      <c r="BT15" s="25" t="str">
        <f t="shared" si="1"/>
        <v/>
      </c>
      <c r="BU15" s="25" t="str">
        <f t="shared" si="1"/>
        <v/>
      </c>
      <c r="BV15" s="25" t="str">
        <f t="shared" si="1"/>
        <v/>
      </c>
      <c r="BW15" s="26" t="str">
        <f t="shared" si="1"/>
        <v/>
      </c>
      <c r="BX15" s="27" t="str">
        <f t="shared" si="11"/>
        <v/>
      </c>
      <c r="BY15" s="15" t="str">
        <f t="shared" si="12"/>
        <v/>
      </c>
    </row>
    <row r="16" spans="1:77">
      <c r="A16" s="15" t="str">
        <f t="shared" si="13"/>
        <v/>
      </c>
      <c r="B16" s="15" t="str">
        <f t="shared" si="2"/>
        <v/>
      </c>
      <c r="C16" s="15" t="str">
        <f t="shared" si="3"/>
        <v/>
      </c>
      <c r="D16" s="15" t="str">
        <f t="shared" si="4"/>
        <v/>
      </c>
      <c r="E16" s="15" t="str">
        <f t="shared" si="5"/>
        <v/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P16" s="9" t="str">
        <f t="shared" si="6"/>
        <v/>
      </c>
      <c r="AQ16" s="9" t="str">
        <f t="shared" si="7"/>
        <v/>
      </c>
      <c r="AR16" s="9" t="str">
        <f t="shared" si="8"/>
        <v/>
      </c>
      <c r="AS16" s="9" t="str">
        <f t="shared" si="9"/>
        <v/>
      </c>
      <c r="AT16" s="25" t="str">
        <f t="shared" si="14"/>
        <v/>
      </c>
      <c r="AU16" s="25" t="str">
        <f t="shared" si="1"/>
        <v/>
      </c>
      <c r="AV16" s="25" t="str">
        <f t="shared" si="1"/>
        <v/>
      </c>
      <c r="AW16" s="25" t="str">
        <f t="shared" si="1"/>
        <v/>
      </c>
      <c r="AX16" s="25" t="str">
        <f t="shared" si="1"/>
        <v/>
      </c>
      <c r="AY16" s="25" t="str">
        <f t="shared" si="1"/>
        <v/>
      </c>
      <c r="AZ16" s="25" t="str">
        <f t="shared" si="1"/>
        <v/>
      </c>
      <c r="BA16" s="25" t="str">
        <f t="shared" si="1"/>
        <v/>
      </c>
      <c r="BB16" s="25" t="str">
        <f t="shared" si="1"/>
        <v/>
      </c>
      <c r="BC16" s="25" t="str">
        <f t="shared" si="1"/>
        <v/>
      </c>
      <c r="BD16" s="25" t="str">
        <f t="shared" si="1"/>
        <v/>
      </c>
      <c r="BE16" s="25" t="str">
        <f t="shared" si="1"/>
        <v/>
      </c>
      <c r="BF16" s="25" t="str">
        <f t="shared" si="1"/>
        <v/>
      </c>
      <c r="BG16" s="25" t="str">
        <f t="shared" si="1"/>
        <v/>
      </c>
      <c r="BH16" s="25" t="str">
        <f t="shared" si="1"/>
        <v/>
      </c>
      <c r="BI16" s="25" t="str">
        <f t="shared" si="1"/>
        <v/>
      </c>
      <c r="BJ16" s="25" t="str">
        <f t="shared" si="1"/>
        <v/>
      </c>
      <c r="BK16" s="25" t="str">
        <f t="shared" si="1"/>
        <v/>
      </c>
      <c r="BL16" s="25" t="str">
        <f t="shared" si="1"/>
        <v/>
      </c>
      <c r="BM16" s="25" t="str">
        <f t="shared" si="1"/>
        <v/>
      </c>
      <c r="BN16" s="25" t="str">
        <f t="shared" si="1"/>
        <v/>
      </c>
      <c r="BO16" s="25" t="str">
        <f t="shared" si="1"/>
        <v/>
      </c>
      <c r="BP16" s="25" t="str">
        <f t="shared" si="1"/>
        <v/>
      </c>
      <c r="BQ16" s="25" t="str">
        <f t="shared" si="1"/>
        <v/>
      </c>
      <c r="BR16" s="25" t="str">
        <f t="shared" ref="BR16:BR57" si="15">IF(AI16="","",IF($AS16="A",IF(AI16=BR$2,BR$3,IF(AI16&lt;3.9999,BR$3*AI16/4,0)),IF(AI16=BR$4,BR$5,IF(AI16&lt;3.9999,BR$5*AI16/4,0))))</f>
        <v/>
      </c>
      <c r="BS16" s="25" t="str">
        <f t="shared" ref="BS16:BS57" si="16">IF(AJ16="","",IF($AS16="A",IF(AJ16=BS$2,BS$3,IF(AJ16&lt;3.9999,BS$3*AJ16/4,0)),IF(AJ16=BS$4,BS$5,IF(AJ16&lt;3.9999,BS$5*AJ16/4,0))))</f>
        <v/>
      </c>
      <c r="BT16" s="25" t="str">
        <f t="shared" ref="BT16:BT57" si="17">IF(AK16="","",IF($AS16="A",IF(AK16=BT$2,BT$3,IF(AK16&lt;3.9999,BT$3*AK16/4,0)),IF(AK16=BT$4,BT$5,IF(AK16&lt;3.9999,BT$5*AK16/4,0))))</f>
        <v/>
      </c>
      <c r="BU16" s="25" t="str">
        <f t="shared" ref="BU16:BU57" si="18">IF(AL16="","",IF($AS16="A",IF(AL16=BU$2,BU$3,IF(AL16&lt;3.9999,BU$3*AL16/4,0)),IF(AL16=BU$4,BU$5,IF(AL16&lt;3.9999,BU$5*AL16/4,0))))</f>
        <v/>
      </c>
      <c r="BV16" s="25" t="str">
        <f t="shared" ref="BV16:BV57" si="19">IF(AM16="","",IF($AS16="A",IF(AM16=BV$2,BV$3,IF(AM16&lt;3.9999,BV$3*AM16/4,0)),IF(AM16=BV$4,BV$5,IF(AM16&lt;3.9999,BV$5*AM16/4,0))))</f>
        <v/>
      </c>
      <c r="BW16" s="26" t="str">
        <f t="shared" ref="BW16:BW57" si="20">IF(AN16="","",IF($AS16="A",IF(AN16=BW$2,BW$3,IF(AN16&lt;3.9999,BW$3*AN16/4,0)),IF(AN16=BW$4,BW$5,IF(AN16&lt;3.9999,BW$5*AN16/4,0))))</f>
        <v/>
      </c>
      <c r="BX16" s="27" t="str">
        <f t="shared" si="11"/>
        <v/>
      </c>
      <c r="BY16" s="15" t="str">
        <f t="shared" si="12"/>
        <v/>
      </c>
    </row>
    <row r="17" spans="1:77">
      <c r="A17" s="15" t="str">
        <f t="shared" si="13"/>
        <v/>
      </c>
      <c r="B17" s="15" t="str">
        <f t="shared" si="2"/>
        <v/>
      </c>
      <c r="C17" s="15" t="str">
        <f t="shared" si="3"/>
        <v/>
      </c>
      <c r="D17" s="15" t="str">
        <f t="shared" si="4"/>
        <v/>
      </c>
      <c r="E17" s="15" t="str">
        <f t="shared" si="5"/>
        <v/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P17" s="9" t="str">
        <f t="shared" si="6"/>
        <v/>
      </c>
      <c r="AQ17" s="9" t="str">
        <f t="shared" si="7"/>
        <v/>
      </c>
      <c r="AR17" s="9" t="str">
        <f t="shared" si="8"/>
        <v/>
      </c>
      <c r="AS17" s="9" t="str">
        <f t="shared" si="9"/>
        <v/>
      </c>
      <c r="AT17" s="25" t="str">
        <f t="shared" si="14"/>
        <v/>
      </c>
      <c r="AU17" s="25" t="str">
        <f t="shared" ref="AU17:AU57" si="21">IF(L17="","",IF($AS17="A",IF(L17=AU$2,AU$3,IF(L17&lt;3.9999,AU$3*L17/4,0)),IF(L17=AU$4,AU$5,IF(L17&lt;3.9999,AU$5*L17/4,0))))</f>
        <v/>
      </c>
      <c r="AV17" s="25" t="str">
        <f t="shared" ref="AV17:AV57" si="22">IF(M17="","",IF($AS17="A",IF(M17=AV$2,AV$3,IF(M17&lt;3.9999,AV$3*M17/4,0)),IF(M17=AV$4,AV$5,IF(M17&lt;3.9999,AV$5*M17/4,0))))</f>
        <v/>
      </c>
      <c r="AW17" s="25" t="str">
        <f t="shared" ref="AW17:AW57" si="23">IF(N17="","",IF($AS17="A",IF(N17=AW$2,AW$3,IF(N17&lt;3.9999,AW$3*N17/4,0)),IF(N17=AW$4,AW$5,IF(N17&lt;3.9999,AW$5*N17/4,0))))</f>
        <v/>
      </c>
      <c r="AX17" s="25" t="str">
        <f t="shared" ref="AX17:AX57" si="24">IF(O17="","",IF($AS17="A",IF(O17=AX$2,AX$3,IF(O17&lt;3.9999,AX$3*O17/4,0)),IF(O17=AX$4,AX$5,IF(O17&lt;3.9999,AX$5*O17/4,0))))</f>
        <v/>
      </c>
      <c r="AY17" s="25" t="str">
        <f t="shared" ref="AY17:AY57" si="25">IF(P17="","",IF($AS17="A",IF(P17=AY$2,AY$3,IF(P17&lt;3.9999,AY$3*P17/4,0)),IF(P17=AY$4,AY$5,IF(P17&lt;3.9999,AY$5*P17/4,0))))</f>
        <v/>
      </c>
      <c r="AZ17" s="25" t="str">
        <f t="shared" ref="AZ17:AZ57" si="26">IF(Q17="","",IF($AS17="A",IF(Q17=AZ$2,AZ$3,IF(Q17&lt;3.9999,AZ$3*Q17/4,0)),IF(Q17=AZ$4,AZ$5,IF(Q17&lt;3.9999,AZ$5*Q17/4,0))))</f>
        <v/>
      </c>
      <c r="BA17" s="25" t="str">
        <f t="shared" ref="BA17:BA57" si="27">IF(R17="","",IF($AS17="A",IF(R17=BA$2,BA$3,IF(R17&lt;3.9999,BA$3*R17/4,0)),IF(R17=BA$4,BA$5,IF(R17&lt;3.9999,BA$5*R17/4,0))))</f>
        <v/>
      </c>
      <c r="BB17" s="25" t="str">
        <f t="shared" ref="BB17:BB57" si="28">IF(S17="","",IF($AS17="A",IF(S17=BB$2,BB$3,IF(S17&lt;3.9999,BB$3*S17/4,0)),IF(S17=BB$4,BB$5,IF(S17&lt;3.9999,BB$5*S17/4,0))))</f>
        <v/>
      </c>
      <c r="BC17" s="25" t="str">
        <f t="shared" ref="BC17:BC57" si="29">IF(T17="","",IF($AS17="A",IF(T17=BC$2,BC$3,IF(T17&lt;3.9999,BC$3*T17/4,0)),IF(T17=BC$4,BC$5,IF(T17&lt;3.9999,BC$5*T17/4,0))))</f>
        <v/>
      </c>
      <c r="BD17" s="25" t="str">
        <f t="shared" ref="BD17:BD57" si="30">IF(U17="","",IF($AS17="A",IF(U17=BD$2,BD$3,IF(U17&lt;3.9999,BD$3*U17/4,0)),IF(U17=BD$4,BD$5,IF(U17&lt;3.9999,BD$5*U17/4,0))))</f>
        <v/>
      </c>
      <c r="BE17" s="25" t="str">
        <f t="shared" ref="BE17:BE57" si="31">IF(V17="","",IF($AS17="A",IF(V17=BE$2,BE$3,IF(V17&lt;3.9999,BE$3*V17/4,0)),IF(V17=BE$4,BE$5,IF(V17&lt;3.9999,BE$5*V17/4,0))))</f>
        <v/>
      </c>
      <c r="BF17" s="25" t="str">
        <f t="shared" ref="BF17:BF57" si="32">IF(W17="","",IF($AS17="A",IF(W17=BF$2,BF$3,IF(W17&lt;3.9999,BF$3*W17/4,0)),IF(W17=BF$4,BF$5,IF(W17&lt;3.9999,BF$5*W17/4,0))))</f>
        <v/>
      </c>
      <c r="BG17" s="25" t="str">
        <f t="shared" ref="BG17:BG57" si="33">IF(X17="","",IF($AS17="A",IF(X17=BG$2,BG$3,IF(X17&lt;3.9999,BG$3*X17/4,0)),IF(X17=BG$4,BG$5,IF(X17&lt;3.9999,BG$5*X17/4,0))))</f>
        <v/>
      </c>
      <c r="BH17" s="25" t="str">
        <f t="shared" ref="BH17:BH57" si="34">IF(Y17="","",IF($AS17="A",IF(Y17=BH$2,BH$3,IF(Y17&lt;3.9999,BH$3*Y17/4,0)),IF(Y17=BH$4,BH$5,IF(Y17&lt;3.9999,BH$5*Y17/4,0))))</f>
        <v/>
      </c>
      <c r="BI17" s="25" t="str">
        <f t="shared" ref="BI17:BI57" si="35">IF(Z17="","",IF($AS17="A",IF(Z17=BI$2,BI$3,IF(Z17&lt;3.9999,BI$3*Z17/4,0)),IF(Z17=BI$4,BI$5,IF(Z17&lt;3.9999,BI$5*Z17/4,0))))</f>
        <v/>
      </c>
      <c r="BJ17" s="25" t="str">
        <f t="shared" ref="BJ17:BJ57" si="36">IF(AA17="","",IF($AS17="A",IF(AA17=BJ$2,BJ$3,IF(AA17&lt;3.9999,BJ$3*AA17/4,0)),IF(AA17=BJ$4,BJ$5,IF(AA17&lt;3.9999,BJ$5*AA17/4,0))))</f>
        <v/>
      </c>
      <c r="BK17" s="25" t="str">
        <f t="shared" ref="BK17:BK57" si="37">IF(AB17="","",IF($AS17="A",IF(AB17=BK$2,BK$3,IF(AB17&lt;3.9999,BK$3*AB17/4,0)),IF(AB17=BK$4,BK$5,IF(AB17&lt;3.9999,BK$5*AB17/4,0))))</f>
        <v/>
      </c>
      <c r="BL17" s="25" t="str">
        <f t="shared" ref="BL17:BL57" si="38">IF(AC17="","",IF($AS17="A",IF(AC17=BL$2,BL$3,IF(AC17&lt;3.9999,BL$3*AC17/4,0)),IF(AC17=BL$4,BL$5,IF(AC17&lt;3.9999,BL$5*AC17/4,0))))</f>
        <v/>
      </c>
      <c r="BM17" s="25" t="str">
        <f t="shared" ref="BM17:BM57" si="39">IF(AD17="","",IF($AS17="A",IF(AD17=BM$2,BM$3,IF(AD17&lt;3.9999,BM$3*AD17/4,0)),IF(AD17=BM$4,BM$5,IF(AD17&lt;3.9999,BM$5*AD17/4,0))))</f>
        <v/>
      </c>
      <c r="BN17" s="25" t="str">
        <f t="shared" ref="BN17:BN57" si="40">IF(AE17="","",IF($AS17="A",IF(AE17=BN$2,BN$3,IF(AE17&lt;3.9999,BN$3*AE17/4,0)),IF(AE17=BN$4,BN$5,IF(AE17&lt;3.9999,BN$5*AE17/4,0))))</f>
        <v/>
      </c>
      <c r="BO17" s="25" t="str">
        <f t="shared" ref="BO17:BO57" si="41">IF(AF17="","",IF($AS17="A",IF(AF17=BO$2,BO$3,IF(AF17&lt;3.9999,BO$3*AF17/4,0)),IF(AF17=BO$4,BO$5,IF(AF17&lt;3.9999,BO$5*AF17/4,0))))</f>
        <v/>
      </c>
      <c r="BP17" s="25" t="str">
        <f t="shared" ref="BP17:BP57" si="42">IF(AG17="","",IF($AS17="A",IF(AG17=BP$2,BP$3,IF(AG17&lt;3.9999,BP$3*AG17/4,0)),IF(AG17=BP$4,BP$5,IF(AG17&lt;3.9999,BP$5*AG17/4,0))))</f>
        <v/>
      </c>
      <c r="BQ17" s="25" t="str">
        <f t="shared" ref="BQ17:BQ57" si="43">IF(AH17="","",IF($AS17="A",IF(AH17=BQ$2,BQ$3,IF(AH17&lt;3.9999,BQ$3*AH17/4,0)),IF(AH17=BQ$4,BQ$5,IF(AH17&lt;3.9999,BQ$5*AH17/4,0))))</f>
        <v/>
      </c>
      <c r="BR17" s="25" t="str">
        <f t="shared" si="15"/>
        <v/>
      </c>
      <c r="BS17" s="25" t="str">
        <f t="shared" si="16"/>
        <v/>
      </c>
      <c r="BT17" s="25" t="str">
        <f t="shared" si="17"/>
        <v/>
      </c>
      <c r="BU17" s="25" t="str">
        <f t="shared" si="18"/>
        <v/>
      </c>
      <c r="BV17" s="25" t="str">
        <f t="shared" si="19"/>
        <v/>
      </c>
      <c r="BW17" s="26" t="str">
        <f t="shared" si="20"/>
        <v/>
      </c>
      <c r="BX17" s="27" t="str">
        <f t="shared" si="11"/>
        <v/>
      </c>
      <c r="BY17" s="15" t="str">
        <f t="shared" si="12"/>
        <v/>
      </c>
    </row>
    <row r="18" spans="1:77">
      <c r="A18" s="15" t="str">
        <f t="shared" si="13"/>
        <v/>
      </c>
      <c r="B18" s="15" t="str">
        <f t="shared" ref="B18:B57" si="44">IF(F18="","",$B$6)</f>
        <v/>
      </c>
      <c r="C18" s="15" t="str">
        <f t="shared" ref="C18:C57" si="45">IF(F18="","",$C$6)</f>
        <v/>
      </c>
      <c r="D18" s="15" t="str">
        <f t="shared" si="4"/>
        <v/>
      </c>
      <c r="E18" s="15" t="str">
        <f t="shared" si="5"/>
        <v/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P18" s="9" t="str">
        <f t="shared" si="6"/>
        <v/>
      </c>
      <c r="AQ18" s="9" t="str">
        <f t="shared" si="7"/>
        <v/>
      </c>
      <c r="AR18" s="9" t="str">
        <f t="shared" si="8"/>
        <v/>
      </c>
      <c r="AS18" s="9" t="str">
        <f t="shared" si="9"/>
        <v/>
      </c>
      <c r="AT18" s="25" t="str">
        <f t="shared" si="14"/>
        <v/>
      </c>
      <c r="AU18" s="25" t="str">
        <f t="shared" si="21"/>
        <v/>
      </c>
      <c r="AV18" s="25" t="str">
        <f t="shared" si="22"/>
        <v/>
      </c>
      <c r="AW18" s="25" t="str">
        <f t="shared" si="23"/>
        <v/>
      </c>
      <c r="AX18" s="25" t="str">
        <f t="shared" si="24"/>
        <v/>
      </c>
      <c r="AY18" s="25" t="str">
        <f t="shared" si="25"/>
        <v/>
      </c>
      <c r="AZ18" s="25" t="str">
        <f t="shared" si="26"/>
        <v/>
      </c>
      <c r="BA18" s="25" t="str">
        <f t="shared" si="27"/>
        <v/>
      </c>
      <c r="BB18" s="25" t="str">
        <f t="shared" si="28"/>
        <v/>
      </c>
      <c r="BC18" s="25" t="str">
        <f t="shared" si="29"/>
        <v/>
      </c>
      <c r="BD18" s="25" t="str">
        <f t="shared" si="30"/>
        <v/>
      </c>
      <c r="BE18" s="25" t="str">
        <f t="shared" si="31"/>
        <v/>
      </c>
      <c r="BF18" s="25" t="str">
        <f t="shared" si="32"/>
        <v/>
      </c>
      <c r="BG18" s="25" t="str">
        <f t="shared" si="33"/>
        <v/>
      </c>
      <c r="BH18" s="25" t="str">
        <f t="shared" si="34"/>
        <v/>
      </c>
      <c r="BI18" s="25" t="str">
        <f t="shared" si="35"/>
        <v/>
      </c>
      <c r="BJ18" s="25" t="str">
        <f t="shared" si="36"/>
        <v/>
      </c>
      <c r="BK18" s="25" t="str">
        <f t="shared" si="37"/>
        <v/>
      </c>
      <c r="BL18" s="25" t="str">
        <f t="shared" si="38"/>
        <v/>
      </c>
      <c r="BM18" s="25" t="str">
        <f t="shared" si="39"/>
        <v/>
      </c>
      <c r="BN18" s="25" t="str">
        <f t="shared" si="40"/>
        <v/>
      </c>
      <c r="BO18" s="25" t="str">
        <f t="shared" si="41"/>
        <v/>
      </c>
      <c r="BP18" s="25" t="str">
        <f t="shared" si="42"/>
        <v/>
      </c>
      <c r="BQ18" s="25" t="str">
        <f t="shared" si="43"/>
        <v/>
      </c>
      <c r="BR18" s="25" t="str">
        <f t="shared" si="15"/>
        <v/>
      </c>
      <c r="BS18" s="25" t="str">
        <f t="shared" si="16"/>
        <v/>
      </c>
      <c r="BT18" s="25" t="str">
        <f t="shared" si="17"/>
        <v/>
      </c>
      <c r="BU18" s="25" t="str">
        <f t="shared" si="18"/>
        <v/>
      </c>
      <c r="BV18" s="25" t="str">
        <f t="shared" si="19"/>
        <v/>
      </c>
      <c r="BW18" s="26" t="str">
        <f t="shared" si="20"/>
        <v/>
      </c>
      <c r="BX18" s="27" t="str">
        <f t="shared" si="11"/>
        <v/>
      </c>
      <c r="BY18" s="15" t="str">
        <f t="shared" si="12"/>
        <v/>
      </c>
    </row>
    <row r="19" spans="1:77">
      <c r="A19" s="15" t="str">
        <f t="shared" si="13"/>
        <v/>
      </c>
      <c r="B19" s="15" t="str">
        <f t="shared" si="44"/>
        <v/>
      </c>
      <c r="C19" s="15" t="str">
        <f t="shared" si="45"/>
        <v/>
      </c>
      <c r="D19" s="15" t="str">
        <f t="shared" si="4"/>
        <v/>
      </c>
      <c r="E19" s="15" t="str">
        <f t="shared" si="5"/>
        <v/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P19" s="9" t="str">
        <f t="shared" si="6"/>
        <v/>
      </c>
      <c r="AQ19" s="9" t="str">
        <f t="shared" si="7"/>
        <v/>
      </c>
      <c r="AR19" s="9" t="str">
        <f t="shared" si="8"/>
        <v/>
      </c>
      <c r="AS19" s="9" t="str">
        <f t="shared" si="9"/>
        <v/>
      </c>
      <c r="AT19" s="25" t="str">
        <f t="shared" si="14"/>
        <v/>
      </c>
      <c r="AU19" s="25" t="str">
        <f t="shared" si="21"/>
        <v/>
      </c>
      <c r="AV19" s="25" t="str">
        <f t="shared" si="22"/>
        <v/>
      </c>
      <c r="AW19" s="25" t="str">
        <f t="shared" si="23"/>
        <v/>
      </c>
      <c r="AX19" s="25" t="str">
        <f t="shared" si="24"/>
        <v/>
      </c>
      <c r="AY19" s="25" t="str">
        <f t="shared" si="25"/>
        <v/>
      </c>
      <c r="AZ19" s="25" t="str">
        <f t="shared" si="26"/>
        <v/>
      </c>
      <c r="BA19" s="25" t="str">
        <f t="shared" si="27"/>
        <v/>
      </c>
      <c r="BB19" s="25" t="str">
        <f t="shared" si="28"/>
        <v/>
      </c>
      <c r="BC19" s="25" t="str">
        <f t="shared" si="29"/>
        <v/>
      </c>
      <c r="BD19" s="25" t="str">
        <f t="shared" si="30"/>
        <v/>
      </c>
      <c r="BE19" s="25" t="str">
        <f t="shared" si="31"/>
        <v/>
      </c>
      <c r="BF19" s="25" t="str">
        <f t="shared" si="32"/>
        <v/>
      </c>
      <c r="BG19" s="25" t="str">
        <f t="shared" si="33"/>
        <v/>
      </c>
      <c r="BH19" s="25" t="str">
        <f t="shared" si="34"/>
        <v/>
      </c>
      <c r="BI19" s="25" t="str">
        <f t="shared" si="35"/>
        <v/>
      </c>
      <c r="BJ19" s="25" t="str">
        <f t="shared" si="36"/>
        <v/>
      </c>
      <c r="BK19" s="25" t="str">
        <f t="shared" si="37"/>
        <v/>
      </c>
      <c r="BL19" s="25" t="str">
        <f t="shared" si="38"/>
        <v/>
      </c>
      <c r="BM19" s="25" t="str">
        <f t="shared" si="39"/>
        <v/>
      </c>
      <c r="BN19" s="25" t="str">
        <f t="shared" si="40"/>
        <v/>
      </c>
      <c r="BO19" s="25" t="str">
        <f t="shared" si="41"/>
        <v/>
      </c>
      <c r="BP19" s="25" t="str">
        <f t="shared" si="42"/>
        <v/>
      </c>
      <c r="BQ19" s="25" t="str">
        <f t="shared" si="43"/>
        <v/>
      </c>
      <c r="BR19" s="25" t="str">
        <f t="shared" si="15"/>
        <v/>
      </c>
      <c r="BS19" s="25" t="str">
        <f t="shared" si="16"/>
        <v/>
      </c>
      <c r="BT19" s="25" t="str">
        <f t="shared" si="17"/>
        <v/>
      </c>
      <c r="BU19" s="25" t="str">
        <f t="shared" si="18"/>
        <v/>
      </c>
      <c r="BV19" s="25" t="str">
        <f t="shared" si="19"/>
        <v/>
      </c>
      <c r="BW19" s="26" t="str">
        <f t="shared" si="20"/>
        <v/>
      </c>
      <c r="BX19" s="27" t="str">
        <f t="shared" si="11"/>
        <v/>
      </c>
      <c r="BY19" s="15" t="str">
        <f t="shared" si="12"/>
        <v/>
      </c>
    </row>
    <row r="20" spans="1:77">
      <c r="A20" s="15" t="str">
        <f t="shared" si="13"/>
        <v/>
      </c>
      <c r="B20" s="15" t="str">
        <f t="shared" si="44"/>
        <v/>
      </c>
      <c r="C20" s="15" t="str">
        <f t="shared" si="45"/>
        <v/>
      </c>
      <c r="D20" s="15" t="str">
        <f t="shared" si="4"/>
        <v/>
      </c>
      <c r="E20" s="15" t="str">
        <f t="shared" si="5"/>
        <v/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P20" s="9" t="str">
        <f t="shared" si="6"/>
        <v/>
      </c>
      <c r="AQ20" s="9" t="str">
        <f t="shared" si="7"/>
        <v/>
      </c>
      <c r="AR20" s="9" t="str">
        <f t="shared" si="8"/>
        <v/>
      </c>
      <c r="AS20" s="9" t="str">
        <f t="shared" si="9"/>
        <v/>
      </c>
      <c r="AT20" s="25" t="str">
        <f t="shared" si="14"/>
        <v/>
      </c>
      <c r="AU20" s="25" t="str">
        <f t="shared" si="21"/>
        <v/>
      </c>
      <c r="AV20" s="25" t="str">
        <f t="shared" si="22"/>
        <v/>
      </c>
      <c r="AW20" s="25" t="str">
        <f t="shared" si="23"/>
        <v/>
      </c>
      <c r="AX20" s="25" t="str">
        <f t="shared" si="24"/>
        <v/>
      </c>
      <c r="AY20" s="25" t="str">
        <f t="shared" si="25"/>
        <v/>
      </c>
      <c r="AZ20" s="25" t="str">
        <f t="shared" si="26"/>
        <v/>
      </c>
      <c r="BA20" s="25" t="str">
        <f t="shared" si="27"/>
        <v/>
      </c>
      <c r="BB20" s="25" t="str">
        <f t="shared" si="28"/>
        <v/>
      </c>
      <c r="BC20" s="25" t="str">
        <f t="shared" si="29"/>
        <v/>
      </c>
      <c r="BD20" s="25" t="str">
        <f t="shared" si="30"/>
        <v/>
      </c>
      <c r="BE20" s="25" t="str">
        <f t="shared" si="31"/>
        <v/>
      </c>
      <c r="BF20" s="25" t="str">
        <f t="shared" si="32"/>
        <v/>
      </c>
      <c r="BG20" s="25" t="str">
        <f t="shared" si="33"/>
        <v/>
      </c>
      <c r="BH20" s="25" t="str">
        <f t="shared" si="34"/>
        <v/>
      </c>
      <c r="BI20" s="25" t="str">
        <f t="shared" si="35"/>
        <v/>
      </c>
      <c r="BJ20" s="25" t="str">
        <f t="shared" si="36"/>
        <v/>
      </c>
      <c r="BK20" s="25" t="str">
        <f t="shared" si="37"/>
        <v/>
      </c>
      <c r="BL20" s="25" t="str">
        <f t="shared" si="38"/>
        <v/>
      </c>
      <c r="BM20" s="25" t="str">
        <f t="shared" si="39"/>
        <v/>
      </c>
      <c r="BN20" s="25" t="str">
        <f t="shared" si="40"/>
        <v/>
      </c>
      <c r="BO20" s="25" t="str">
        <f t="shared" si="41"/>
        <v/>
      </c>
      <c r="BP20" s="25" t="str">
        <f t="shared" si="42"/>
        <v/>
      </c>
      <c r="BQ20" s="25" t="str">
        <f t="shared" si="43"/>
        <v/>
      </c>
      <c r="BR20" s="25" t="str">
        <f t="shared" si="15"/>
        <v/>
      </c>
      <c r="BS20" s="25" t="str">
        <f t="shared" si="16"/>
        <v/>
      </c>
      <c r="BT20" s="25" t="str">
        <f t="shared" si="17"/>
        <v/>
      </c>
      <c r="BU20" s="25" t="str">
        <f t="shared" si="18"/>
        <v/>
      </c>
      <c r="BV20" s="25" t="str">
        <f t="shared" si="19"/>
        <v/>
      </c>
      <c r="BW20" s="26" t="str">
        <f t="shared" si="20"/>
        <v/>
      </c>
      <c r="BX20" s="27" t="str">
        <f t="shared" si="11"/>
        <v/>
      </c>
      <c r="BY20" s="15" t="str">
        <f t="shared" si="12"/>
        <v/>
      </c>
    </row>
    <row r="21" spans="1:77">
      <c r="A21" s="15" t="str">
        <f t="shared" si="13"/>
        <v/>
      </c>
      <c r="B21" s="15" t="str">
        <f t="shared" si="44"/>
        <v/>
      </c>
      <c r="C21" s="15" t="str">
        <f t="shared" si="45"/>
        <v/>
      </c>
      <c r="D21" s="15" t="str">
        <f t="shared" si="4"/>
        <v/>
      </c>
      <c r="E21" s="15" t="str">
        <f t="shared" si="5"/>
        <v/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P21" s="9" t="str">
        <f t="shared" si="6"/>
        <v/>
      </c>
      <c r="AQ21" s="9" t="str">
        <f t="shared" si="7"/>
        <v/>
      </c>
      <c r="AR21" s="9" t="str">
        <f t="shared" si="8"/>
        <v/>
      </c>
      <c r="AS21" s="9" t="str">
        <f t="shared" si="9"/>
        <v/>
      </c>
      <c r="AT21" s="25" t="str">
        <f t="shared" si="14"/>
        <v/>
      </c>
      <c r="AU21" s="25" t="str">
        <f t="shared" si="21"/>
        <v/>
      </c>
      <c r="AV21" s="25" t="str">
        <f t="shared" si="22"/>
        <v/>
      </c>
      <c r="AW21" s="25" t="str">
        <f t="shared" si="23"/>
        <v/>
      </c>
      <c r="AX21" s="25" t="str">
        <f t="shared" si="24"/>
        <v/>
      </c>
      <c r="AY21" s="25" t="str">
        <f t="shared" si="25"/>
        <v/>
      </c>
      <c r="AZ21" s="25" t="str">
        <f t="shared" si="26"/>
        <v/>
      </c>
      <c r="BA21" s="25" t="str">
        <f t="shared" si="27"/>
        <v/>
      </c>
      <c r="BB21" s="25" t="str">
        <f t="shared" si="28"/>
        <v/>
      </c>
      <c r="BC21" s="25" t="str">
        <f t="shared" si="29"/>
        <v/>
      </c>
      <c r="BD21" s="25" t="str">
        <f t="shared" si="30"/>
        <v/>
      </c>
      <c r="BE21" s="25" t="str">
        <f t="shared" si="31"/>
        <v/>
      </c>
      <c r="BF21" s="25" t="str">
        <f t="shared" si="32"/>
        <v/>
      </c>
      <c r="BG21" s="25" t="str">
        <f t="shared" si="33"/>
        <v/>
      </c>
      <c r="BH21" s="25" t="str">
        <f t="shared" si="34"/>
        <v/>
      </c>
      <c r="BI21" s="25" t="str">
        <f t="shared" si="35"/>
        <v/>
      </c>
      <c r="BJ21" s="25" t="str">
        <f t="shared" si="36"/>
        <v/>
      </c>
      <c r="BK21" s="25" t="str">
        <f t="shared" si="37"/>
        <v/>
      </c>
      <c r="BL21" s="25" t="str">
        <f t="shared" si="38"/>
        <v/>
      </c>
      <c r="BM21" s="25" t="str">
        <f t="shared" si="39"/>
        <v/>
      </c>
      <c r="BN21" s="25" t="str">
        <f t="shared" si="40"/>
        <v/>
      </c>
      <c r="BO21" s="25" t="str">
        <f t="shared" si="41"/>
        <v/>
      </c>
      <c r="BP21" s="25" t="str">
        <f t="shared" si="42"/>
        <v/>
      </c>
      <c r="BQ21" s="25" t="str">
        <f t="shared" si="43"/>
        <v/>
      </c>
      <c r="BR21" s="25" t="str">
        <f t="shared" si="15"/>
        <v/>
      </c>
      <c r="BS21" s="25" t="str">
        <f t="shared" si="16"/>
        <v/>
      </c>
      <c r="BT21" s="25" t="str">
        <f t="shared" si="17"/>
        <v/>
      </c>
      <c r="BU21" s="25" t="str">
        <f t="shared" si="18"/>
        <v/>
      </c>
      <c r="BV21" s="25" t="str">
        <f t="shared" si="19"/>
        <v/>
      </c>
      <c r="BW21" s="26" t="str">
        <f t="shared" si="20"/>
        <v/>
      </c>
      <c r="BX21" s="27" t="str">
        <f t="shared" si="11"/>
        <v/>
      </c>
      <c r="BY21" s="15" t="str">
        <f t="shared" si="12"/>
        <v/>
      </c>
    </row>
    <row r="22" spans="1:77">
      <c r="A22" s="15" t="str">
        <f t="shared" si="13"/>
        <v/>
      </c>
      <c r="B22" s="15" t="str">
        <f t="shared" si="44"/>
        <v/>
      </c>
      <c r="C22" s="15" t="str">
        <f t="shared" si="45"/>
        <v/>
      </c>
      <c r="D22" s="15" t="str">
        <f t="shared" si="4"/>
        <v/>
      </c>
      <c r="E22" s="15" t="str">
        <f t="shared" si="5"/>
        <v/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P22" s="9" t="str">
        <f t="shared" si="6"/>
        <v/>
      </c>
      <c r="AQ22" s="9" t="str">
        <f t="shared" si="7"/>
        <v/>
      </c>
      <c r="AR22" s="9" t="str">
        <f t="shared" si="8"/>
        <v/>
      </c>
      <c r="AS22" s="9" t="str">
        <f t="shared" si="9"/>
        <v/>
      </c>
      <c r="AT22" s="25" t="str">
        <f t="shared" si="14"/>
        <v/>
      </c>
      <c r="AU22" s="25" t="str">
        <f t="shared" si="21"/>
        <v/>
      </c>
      <c r="AV22" s="25" t="str">
        <f t="shared" si="22"/>
        <v/>
      </c>
      <c r="AW22" s="25" t="str">
        <f t="shared" si="23"/>
        <v/>
      </c>
      <c r="AX22" s="25" t="str">
        <f t="shared" si="24"/>
        <v/>
      </c>
      <c r="AY22" s="25" t="str">
        <f t="shared" si="25"/>
        <v/>
      </c>
      <c r="AZ22" s="25" t="str">
        <f t="shared" si="26"/>
        <v/>
      </c>
      <c r="BA22" s="25" t="str">
        <f t="shared" si="27"/>
        <v/>
      </c>
      <c r="BB22" s="25" t="str">
        <f t="shared" si="28"/>
        <v/>
      </c>
      <c r="BC22" s="25" t="str">
        <f t="shared" si="29"/>
        <v/>
      </c>
      <c r="BD22" s="25" t="str">
        <f t="shared" si="30"/>
        <v/>
      </c>
      <c r="BE22" s="25" t="str">
        <f t="shared" si="31"/>
        <v/>
      </c>
      <c r="BF22" s="25" t="str">
        <f t="shared" si="32"/>
        <v/>
      </c>
      <c r="BG22" s="25" t="str">
        <f t="shared" si="33"/>
        <v/>
      </c>
      <c r="BH22" s="25" t="str">
        <f t="shared" si="34"/>
        <v/>
      </c>
      <c r="BI22" s="25" t="str">
        <f t="shared" si="35"/>
        <v/>
      </c>
      <c r="BJ22" s="25" t="str">
        <f t="shared" si="36"/>
        <v/>
      </c>
      <c r="BK22" s="25" t="str">
        <f t="shared" si="37"/>
        <v/>
      </c>
      <c r="BL22" s="25" t="str">
        <f t="shared" si="38"/>
        <v/>
      </c>
      <c r="BM22" s="25" t="str">
        <f t="shared" si="39"/>
        <v/>
      </c>
      <c r="BN22" s="25" t="str">
        <f t="shared" si="40"/>
        <v/>
      </c>
      <c r="BO22" s="25" t="str">
        <f t="shared" si="41"/>
        <v/>
      </c>
      <c r="BP22" s="25" t="str">
        <f t="shared" si="42"/>
        <v/>
      </c>
      <c r="BQ22" s="25" t="str">
        <f t="shared" si="43"/>
        <v/>
      </c>
      <c r="BR22" s="25" t="str">
        <f t="shared" si="15"/>
        <v/>
      </c>
      <c r="BS22" s="25" t="str">
        <f t="shared" si="16"/>
        <v/>
      </c>
      <c r="BT22" s="25" t="str">
        <f t="shared" si="17"/>
        <v/>
      </c>
      <c r="BU22" s="25" t="str">
        <f t="shared" si="18"/>
        <v/>
      </c>
      <c r="BV22" s="25" t="str">
        <f t="shared" si="19"/>
        <v/>
      </c>
      <c r="BW22" s="26" t="str">
        <f t="shared" si="20"/>
        <v/>
      </c>
      <c r="BX22" s="27" t="str">
        <f t="shared" si="11"/>
        <v/>
      </c>
      <c r="BY22" s="15" t="str">
        <f t="shared" si="12"/>
        <v/>
      </c>
    </row>
    <row r="23" spans="1:77">
      <c r="A23" s="15" t="str">
        <f t="shared" si="13"/>
        <v/>
      </c>
      <c r="B23" s="15" t="str">
        <f t="shared" si="44"/>
        <v/>
      </c>
      <c r="C23" s="15" t="str">
        <f t="shared" si="45"/>
        <v/>
      </c>
      <c r="D23" s="15" t="str">
        <f t="shared" si="4"/>
        <v/>
      </c>
      <c r="E23" s="15" t="str">
        <f t="shared" si="5"/>
        <v/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P23" s="9" t="str">
        <f t="shared" si="6"/>
        <v/>
      </c>
      <c r="AQ23" s="9" t="str">
        <f t="shared" si="7"/>
        <v/>
      </c>
      <c r="AR23" s="9" t="str">
        <f t="shared" si="8"/>
        <v/>
      </c>
      <c r="AS23" s="9" t="str">
        <f t="shared" si="9"/>
        <v/>
      </c>
      <c r="AT23" s="25" t="str">
        <f t="shared" si="14"/>
        <v/>
      </c>
      <c r="AU23" s="25" t="str">
        <f t="shared" si="21"/>
        <v/>
      </c>
      <c r="AV23" s="25" t="str">
        <f t="shared" si="22"/>
        <v/>
      </c>
      <c r="AW23" s="25" t="str">
        <f t="shared" si="23"/>
        <v/>
      </c>
      <c r="AX23" s="25" t="str">
        <f t="shared" si="24"/>
        <v/>
      </c>
      <c r="AY23" s="25" t="str">
        <f t="shared" si="25"/>
        <v/>
      </c>
      <c r="AZ23" s="25" t="str">
        <f t="shared" si="26"/>
        <v/>
      </c>
      <c r="BA23" s="25" t="str">
        <f t="shared" si="27"/>
        <v/>
      </c>
      <c r="BB23" s="25" t="str">
        <f t="shared" si="28"/>
        <v/>
      </c>
      <c r="BC23" s="25" t="str">
        <f t="shared" si="29"/>
        <v/>
      </c>
      <c r="BD23" s="25" t="str">
        <f t="shared" si="30"/>
        <v/>
      </c>
      <c r="BE23" s="25" t="str">
        <f t="shared" si="31"/>
        <v/>
      </c>
      <c r="BF23" s="25" t="str">
        <f t="shared" si="32"/>
        <v/>
      </c>
      <c r="BG23" s="25" t="str">
        <f t="shared" si="33"/>
        <v/>
      </c>
      <c r="BH23" s="25" t="str">
        <f t="shared" si="34"/>
        <v/>
      </c>
      <c r="BI23" s="25" t="str">
        <f t="shared" si="35"/>
        <v/>
      </c>
      <c r="BJ23" s="25" t="str">
        <f t="shared" si="36"/>
        <v/>
      </c>
      <c r="BK23" s="25" t="str">
        <f t="shared" si="37"/>
        <v/>
      </c>
      <c r="BL23" s="25" t="str">
        <f t="shared" si="38"/>
        <v/>
      </c>
      <c r="BM23" s="25" t="str">
        <f t="shared" si="39"/>
        <v/>
      </c>
      <c r="BN23" s="25" t="str">
        <f t="shared" si="40"/>
        <v/>
      </c>
      <c r="BO23" s="25" t="str">
        <f t="shared" si="41"/>
        <v/>
      </c>
      <c r="BP23" s="25" t="str">
        <f t="shared" si="42"/>
        <v/>
      </c>
      <c r="BQ23" s="25" t="str">
        <f t="shared" si="43"/>
        <v/>
      </c>
      <c r="BR23" s="25" t="str">
        <f t="shared" si="15"/>
        <v/>
      </c>
      <c r="BS23" s="25" t="str">
        <f t="shared" si="16"/>
        <v/>
      </c>
      <c r="BT23" s="25" t="str">
        <f t="shared" si="17"/>
        <v/>
      </c>
      <c r="BU23" s="25" t="str">
        <f t="shared" si="18"/>
        <v/>
      </c>
      <c r="BV23" s="25" t="str">
        <f t="shared" si="19"/>
        <v/>
      </c>
      <c r="BW23" s="26" t="str">
        <f t="shared" si="20"/>
        <v/>
      </c>
      <c r="BX23" s="27" t="str">
        <f t="shared" si="11"/>
        <v/>
      </c>
      <c r="BY23" s="15" t="str">
        <f t="shared" si="12"/>
        <v/>
      </c>
    </row>
    <row r="24" spans="1:77">
      <c r="A24" s="15" t="str">
        <f t="shared" si="13"/>
        <v/>
      </c>
      <c r="B24" s="15" t="str">
        <f t="shared" si="44"/>
        <v/>
      </c>
      <c r="C24" s="15" t="str">
        <f t="shared" si="45"/>
        <v/>
      </c>
      <c r="D24" s="15" t="str">
        <f t="shared" si="4"/>
        <v/>
      </c>
      <c r="E24" s="15" t="str">
        <f t="shared" si="5"/>
        <v/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P24" s="9" t="str">
        <f t="shared" si="6"/>
        <v/>
      </c>
      <c r="AQ24" s="9" t="str">
        <f t="shared" si="7"/>
        <v/>
      </c>
      <c r="AR24" s="9" t="str">
        <f t="shared" si="8"/>
        <v/>
      </c>
      <c r="AS24" s="9" t="str">
        <f t="shared" si="9"/>
        <v/>
      </c>
      <c r="AT24" s="25" t="str">
        <f t="shared" si="14"/>
        <v/>
      </c>
      <c r="AU24" s="25" t="str">
        <f t="shared" si="21"/>
        <v/>
      </c>
      <c r="AV24" s="25" t="str">
        <f t="shared" si="22"/>
        <v/>
      </c>
      <c r="AW24" s="25" t="str">
        <f t="shared" si="23"/>
        <v/>
      </c>
      <c r="AX24" s="25" t="str">
        <f t="shared" si="24"/>
        <v/>
      </c>
      <c r="AY24" s="25" t="str">
        <f t="shared" si="25"/>
        <v/>
      </c>
      <c r="AZ24" s="25" t="str">
        <f t="shared" si="26"/>
        <v/>
      </c>
      <c r="BA24" s="25" t="str">
        <f t="shared" si="27"/>
        <v/>
      </c>
      <c r="BB24" s="25" t="str">
        <f t="shared" si="28"/>
        <v/>
      </c>
      <c r="BC24" s="25" t="str">
        <f t="shared" si="29"/>
        <v/>
      </c>
      <c r="BD24" s="25" t="str">
        <f t="shared" si="30"/>
        <v/>
      </c>
      <c r="BE24" s="25" t="str">
        <f t="shared" si="31"/>
        <v/>
      </c>
      <c r="BF24" s="25" t="str">
        <f t="shared" si="32"/>
        <v/>
      </c>
      <c r="BG24" s="25" t="str">
        <f t="shared" si="33"/>
        <v/>
      </c>
      <c r="BH24" s="25" t="str">
        <f t="shared" si="34"/>
        <v/>
      </c>
      <c r="BI24" s="25" t="str">
        <f t="shared" si="35"/>
        <v/>
      </c>
      <c r="BJ24" s="25" t="str">
        <f t="shared" si="36"/>
        <v/>
      </c>
      <c r="BK24" s="25" t="str">
        <f t="shared" si="37"/>
        <v/>
      </c>
      <c r="BL24" s="25" t="str">
        <f t="shared" si="38"/>
        <v/>
      </c>
      <c r="BM24" s="25" t="str">
        <f t="shared" si="39"/>
        <v/>
      </c>
      <c r="BN24" s="25" t="str">
        <f t="shared" si="40"/>
        <v/>
      </c>
      <c r="BO24" s="25" t="str">
        <f t="shared" si="41"/>
        <v/>
      </c>
      <c r="BP24" s="25" t="str">
        <f t="shared" si="42"/>
        <v/>
      </c>
      <c r="BQ24" s="25" t="str">
        <f t="shared" si="43"/>
        <v/>
      </c>
      <c r="BR24" s="25" t="str">
        <f t="shared" si="15"/>
        <v/>
      </c>
      <c r="BS24" s="25" t="str">
        <f t="shared" si="16"/>
        <v/>
      </c>
      <c r="BT24" s="25" t="str">
        <f t="shared" si="17"/>
        <v/>
      </c>
      <c r="BU24" s="25" t="str">
        <f t="shared" si="18"/>
        <v/>
      </c>
      <c r="BV24" s="25" t="str">
        <f t="shared" si="19"/>
        <v/>
      </c>
      <c r="BW24" s="26" t="str">
        <f t="shared" si="20"/>
        <v/>
      </c>
      <c r="BX24" s="27" t="str">
        <f t="shared" si="11"/>
        <v/>
      </c>
      <c r="BY24" s="15" t="str">
        <f t="shared" si="12"/>
        <v/>
      </c>
    </row>
    <row r="25" spans="1:77">
      <c r="A25" s="15" t="str">
        <f t="shared" si="13"/>
        <v/>
      </c>
      <c r="B25" s="15" t="str">
        <f t="shared" si="44"/>
        <v/>
      </c>
      <c r="C25" s="15" t="str">
        <f t="shared" si="45"/>
        <v/>
      </c>
      <c r="D25" s="15" t="str">
        <f t="shared" si="4"/>
        <v/>
      </c>
      <c r="E25" s="15" t="str">
        <f t="shared" si="5"/>
        <v/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P25" s="9" t="str">
        <f t="shared" si="6"/>
        <v/>
      </c>
      <c r="AQ25" s="9" t="str">
        <f t="shared" si="7"/>
        <v/>
      </c>
      <c r="AR25" s="9" t="str">
        <f t="shared" si="8"/>
        <v/>
      </c>
      <c r="AS25" s="9" t="str">
        <f t="shared" si="9"/>
        <v/>
      </c>
      <c r="AT25" s="25" t="str">
        <f t="shared" si="14"/>
        <v/>
      </c>
      <c r="AU25" s="25" t="str">
        <f t="shared" si="21"/>
        <v/>
      </c>
      <c r="AV25" s="25" t="str">
        <f t="shared" si="22"/>
        <v/>
      </c>
      <c r="AW25" s="25" t="str">
        <f t="shared" si="23"/>
        <v/>
      </c>
      <c r="AX25" s="25" t="str">
        <f t="shared" si="24"/>
        <v/>
      </c>
      <c r="AY25" s="25" t="str">
        <f t="shared" si="25"/>
        <v/>
      </c>
      <c r="AZ25" s="25" t="str">
        <f t="shared" si="26"/>
        <v/>
      </c>
      <c r="BA25" s="25" t="str">
        <f t="shared" si="27"/>
        <v/>
      </c>
      <c r="BB25" s="25" t="str">
        <f t="shared" si="28"/>
        <v/>
      </c>
      <c r="BC25" s="25" t="str">
        <f t="shared" si="29"/>
        <v/>
      </c>
      <c r="BD25" s="25" t="str">
        <f t="shared" si="30"/>
        <v/>
      </c>
      <c r="BE25" s="25" t="str">
        <f t="shared" si="31"/>
        <v/>
      </c>
      <c r="BF25" s="25" t="str">
        <f t="shared" si="32"/>
        <v/>
      </c>
      <c r="BG25" s="25" t="str">
        <f t="shared" si="33"/>
        <v/>
      </c>
      <c r="BH25" s="25" t="str">
        <f t="shared" si="34"/>
        <v/>
      </c>
      <c r="BI25" s="25" t="str">
        <f t="shared" si="35"/>
        <v/>
      </c>
      <c r="BJ25" s="25" t="str">
        <f t="shared" si="36"/>
        <v/>
      </c>
      <c r="BK25" s="25" t="str">
        <f t="shared" si="37"/>
        <v/>
      </c>
      <c r="BL25" s="25" t="str">
        <f t="shared" si="38"/>
        <v/>
      </c>
      <c r="BM25" s="25" t="str">
        <f t="shared" si="39"/>
        <v/>
      </c>
      <c r="BN25" s="25" t="str">
        <f t="shared" si="40"/>
        <v/>
      </c>
      <c r="BO25" s="25" t="str">
        <f t="shared" si="41"/>
        <v/>
      </c>
      <c r="BP25" s="25" t="str">
        <f t="shared" si="42"/>
        <v/>
      </c>
      <c r="BQ25" s="25" t="str">
        <f t="shared" si="43"/>
        <v/>
      </c>
      <c r="BR25" s="25" t="str">
        <f t="shared" si="15"/>
        <v/>
      </c>
      <c r="BS25" s="25" t="str">
        <f t="shared" si="16"/>
        <v/>
      </c>
      <c r="BT25" s="25" t="str">
        <f t="shared" si="17"/>
        <v/>
      </c>
      <c r="BU25" s="25" t="str">
        <f t="shared" si="18"/>
        <v/>
      </c>
      <c r="BV25" s="25" t="str">
        <f t="shared" si="19"/>
        <v/>
      </c>
      <c r="BW25" s="26" t="str">
        <f t="shared" si="20"/>
        <v/>
      </c>
      <c r="BX25" s="27" t="str">
        <f t="shared" si="11"/>
        <v/>
      </c>
      <c r="BY25" s="15" t="str">
        <f t="shared" si="12"/>
        <v/>
      </c>
    </row>
    <row r="26" spans="1:77">
      <c r="A26" s="15" t="str">
        <f t="shared" si="13"/>
        <v/>
      </c>
      <c r="B26" s="15" t="str">
        <f t="shared" si="44"/>
        <v/>
      </c>
      <c r="C26" s="15" t="str">
        <f t="shared" si="45"/>
        <v/>
      </c>
      <c r="D26" s="15" t="str">
        <f t="shared" si="4"/>
        <v/>
      </c>
      <c r="E26" s="15" t="str">
        <f t="shared" si="5"/>
        <v/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P26" s="9" t="str">
        <f t="shared" si="6"/>
        <v/>
      </c>
      <c r="AQ26" s="9" t="str">
        <f t="shared" si="7"/>
        <v/>
      </c>
      <c r="AR26" s="9" t="str">
        <f t="shared" si="8"/>
        <v/>
      </c>
      <c r="AS26" s="9" t="str">
        <f t="shared" si="9"/>
        <v/>
      </c>
      <c r="AT26" s="25" t="str">
        <f t="shared" si="14"/>
        <v/>
      </c>
      <c r="AU26" s="25" t="str">
        <f t="shared" si="21"/>
        <v/>
      </c>
      <c r="AV26" s="25" t="str">
        <f t="shared" si="22"/>
        <v/>
      </c>
      <c r="AW26" s="25" t="str">
        <f t="shared" si="23"/>
        <v/>
      </c>
      <c r="AX26" s="25" t="str">
        <f t="shared" si="24"/>
        <v/>
      </c>
      <c r="AY26" s="25" t="str">
        <f t="shared" si="25"/>
        <v/>
      </c>
      <c r="AZ26" s="25" t="str">
        <f t="shared" si="26"/>
        <v/>
      </c>
      <c r="BA26" s="25" t="str">
        <f t="shared" si="27"/>
        <v/>
      </c>
      <c r="BB26" s="25" t="str">
        <f t="shared" si="28"/>
        <v/>
      </c>
      <c r="BC26" s="25" t="str">
        <f t="shared" si="29"/>
        <v/>
      </c>
      <c r="BD26" s="25" t="str">
        <f t="shared" si="30"/>
        <v/>
      </c>
      <c r="BE26" s="25" t="str">
        <f t="shared" si="31"/>
        <v/>
      </c>
      <c r="BF26" s="25" t="str">
        <f t="shared" si="32"/>
        <v/>
      </c>
      <c r="BG26" s="25" t="str">
        <f t="shared" si="33"/>
        <v/>
      </c>
      <c r="BH26" s="25" t="str">
        <f t="shared" si="34"/>
        <v/>
      </c>
      <c r="BI26" s="25" t="str">
        <f t="shared" si="35"/>
        <v/>
      </c>
      <c r="BJ26" s="25" t="str">
        <f t="shared" si="36"/>
        <v/>
      </c>
      <c r="BK26" s="25" t="str">
        <f t="shared" si="37"/>
        <v/>
      </c>
      <c r="BL26" s="25" t="str">
        <f t="shared" si="38"/>
        <v/>
      </c>
      <c r="BM26" s="25" t="str">
        <f t="shared" si="39"/>
        <v/>
      </c>
      <c r="BN26" s="25" t="str">
        <f t="shared" si="40"/>
        <v/>
      </c>
      <c r="BO26" s="25" t="str">
        <f t="shared" si="41"/>
        <v/>
      </c>
      <c r="BP26" s="25" t="str">
        <f t="shared" si="42"/>
        <v/>
      </c>
      <c r="BQ26" s="25" t="str">
        <f t="shared" si="43"/>
        <v/>
      </c>
      <c r="BR26" s="25" t="str">
        <f t="shared" si="15"/>
        <v/>
      </c>
      <c r="BS26" s="25" t="str">
        <f t="shared" si="16"/>
        <v/>
      </c>
      <c r="BT26" s="25" t="str">
        <f t="shared" si="17"/>
        <v/>
      </c>
      <c r="BU26" s="25" t="str">
        <f t="shared" si="18"/>
        <v/>
      </c>
      <c r="BV26" s="25" t="str">
        <f t="shared" si="19"/>
        <v/>
      </c>
      <c r="BW26" s="26" t="str">
        <f t="shared" si="20"/>
        <v/>
      </c>
      <c r="BX26" s="27" t="str">
        <f t="shared" si="11"/>
        <v/>
      </c>
      <c r="BY26" s="15" t="str">
        <f t="shared" si="12"/>
        <v/>
      </c>
    </row>
    <row r="27" spans="1:77">
      <c r="A27" s="15" t="str">
        <f t="shared" si="13"/>
        <v/>
      </c>
      <c r="B27" s="15" t="str">
        <f t="shared" si="44"/>
        <v/>
      </c>
      <c r="C27" s="15" t="str">
        <f t="shared" si="45"/>
        <v/>
      </c>
      <c r="D27" s="15" t="str">
        <f t="shared" si="4"/>
        <v/>
      </c>
      <c r="E27" s="15" t="str">
        <f t="shared" si="5"/>
        <v/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P27" s="9" t="str">
        <f t="shared" si="6"/>
        <v/>
      </c>
      <c r="AQ27" s="9" t="str">
        <f t="shared" si="7"/>
        <v/>
      </c>
      <c r="AR27" s="9" t="str">
        <f t="shared" si="8"/>
        <v/>
      </c>
      <c r="AS27" s="9" t="str">
        <f t="shared" si="9"/>
        <v/>
      </c>
      <c r="AT27" s="25" t="str">
        <f t="shared" si="14"/>
        <v/>
      </c>
      <c r="AU27" s="25" t="str">
        <f t="shared" si="21"/>
        <v/>
      </c>
      <c r="AV27" s="25" t="str">
        <f t="shared" si="22"/>
        <v/>
      </c>
      <c r="AW27" s="25" t="str">
        <f t="shared" si="23"/>
        <v/>
      </c>
      <c r="AX27" s="25" t="str">
        <f t="shared" si="24"/>
        <v/>
      </c>
      <c r="AY27" s="25" t="str">
        <f t="shared" si="25"/>
        <v/>
      </c>
      <c r="AZ27" s="25" t="str">
        <f t="shared" si="26"/>
        <v/>
      </c>
      <c r="BA27" s="25" t="str">
        <f t="shared" si="27"/>
        <v/>
      </c>
      <c r="BB27" s="25" t="str">
        <f t="shared" si="28"/>
        <v/>
      </c>
      <c r="BC27" s="25" t="str">
        <f t="shared" si="29"/>
        <v/>
      </c>
      <c r="BD27" s="25" t="str">
        <f t="shared" si="30"/>
        <v/>
      </c>
      <c r="BE27" s="25" t="str">
        <f t="shared" si="31"/>
        <v/>
      </c>
      <c r="BF27" s="25" t="str">
        <f t="shared" si="32"/>
        <v/>
      </c>
      <c r="BG27" s="25" t="str">
        <f t="shared" si="33"/>
        <v/>
      </c>
      <c r="BH27" s="25" t="str">
        <f t="shared" si="34"/>
        <v/>
      </c>
      <c r="BI27" s="25" t="str">
        <f t="shared" si="35"/>
        <v/>
      </c>
      <c r="BJ27" s="25" t="str">
        <f t="shared" si="36"/>
        <v/>
      </c>
      <c r="BK27" s="25" t="str">
        <f t="shared" si="37"/>
        <v/>
      </c>
      <c r="BL27" s="25" t="str">
        <f t="shared" si="38"/>
        <v/>
      </c>
      <c r="BM27" s="25" t="str">
        <f t="shared" si="39"/>
        <v/>
      </c>
      <c r="BN27" s="25" t="str">
        <f t="shared" si="40"/>
        <v/>
      </c>
      <c r="BO27" s="25" t="str">
        <f t="shared" si="41"/>
        <v/>
      </c>
      <c r="BP27" s="25" t="str">
        <f t="shared" si="42"/>
        <v/>
      </c>
      <c r="BQ27" s="25" t="str">
        <f t="shared" si="43"/>
        <v/>
      </c>
      <c r="BR27" s="25" t="str">
        <f t="shared" si="15"/>
        <v/>
      </c>
      <c r="BS27" s="25" t="str">
        <f t="shared" si="16"/>
        <v/>
      </c>
      <c r="BT27" s="25" t="str">
        <f t="shared" si="17"/>
        <v/>
      </c>
      <c r="BU27" s="25" t="str">
        <f t="shared" si="18"/>
        <v/>
      </c>
      <c r="BV27" s="25" t="str">
        <f t="shared" si="19"/>
        <v/>
      </c>
      <c r="BW27" s="26" t="str">
        <f t="shared" si="20"/>
        <v/>
      </c>
      <c r="BX27" s="27" t="str">
        <f t="shared" si="11"/>
        <v/>
      </c>
      <c r="BY27" s="15" t="str">
        <f t="shared" si="12"/>
        <v/>
      </c>
    </row>
    <row r="28" spans="1:77">
      <c r="A28" s="15" t="str">
        <f t="shared" si="13"/>
        <v/>
      </c>
      <c r="B28" s="15" t="str">
        <f t="shared" si="44"/>
        <v/>
      </c>
      <c r="C28" s="15" t="str">
        <f t="shared" si="45"/>
        <v/>
      </c>
      <c r="D28" s="15" t="str">
        <f t="shared" si="4"/>
        <v/>
      </c>
      <c r="E28" s="15" t="str">
        <f t="shared" si="5"/>
        <v/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P28" s="9" t="str">
        <f t="shared" si="6"/>
        <v/>
      </c>
      <c r="AQ28" s="9" t="str">
        <f t="shared" si="7"/>
        <v/>
      </c>
      <c r="AR28" s="9" t="str">
        <f t="shared" si="8"/>
        <v/>
      </c>
      <c r="AS28" s="9" t="str">
        <f t="shared" si="9"/>
        <v/>
      </c>
      <c r="AT28" s="25" t="str">
        <f t="shared" si="14"/>
        <v/>
      </c>
      <c r="AU28" s="25" t="str">
        <f t="shared" si="21"/>
        <v/>
      </c>
      <c r="AV28" s="25" t="str">
        <f t="shared" si="22"/>
        <v/>
      </c>
      <c r="AW28" s="25" t="str">
        <f t="shared" si="23"/>
        <v/>
      </c>
      <c r="AX28" s="25" t="str">
        <f t="shared" si="24"/>
        <v/>
      </c>
      <c r="AY28" s="25" t="str">
        <f t="shared" si="25"/>
        <v/>
      </c>
      <c r="AZ28" s="25" t="str">
        <f t="shared" si="26"/>
        <v/>
      </c>
      <c r="BA28" s="25" t="str">
        <f t="shared" si="27"/>
        <v/>
      </c>
      <c r="BB28" s="25" t="str">
        <f t="shared" si="28"/>
        <v/>
      </c>
      <c r="BC28" s="25" t="str">
        <f t="shared" si="29"/>
        <v/>
      </c>
      <c r="BD28" s="25" t="str">
        <f t="shared" si="30"/>
        <v/>
      </c>
      <c r="BE28" s="25" t="str">
        <f t="shared" si="31"/>
        <v/>
      </c>
      <c r="BF28" s="25" t="str">
        <f t="shared" si="32"/>
        <v/>
      </c>
      <c r="BG28" s="25" t="str">
        <f t="shared" si="33"/>
        <v/>
      </c>
      <c r="BH28" s="25" t="str">
        <f t="shared" si="34"/>
        <v/>
      </c>
      <c r="BI28" s="25" t="str">
        <f t="shared" si="35"/>
        <v/>
      </c>
      <c r="BJ28" s="25" t="str">
        <f t="shared" si="36"/>
        <v/>
      </c>
      <c r="BK28" s="25" t="str">
        <f t="shared" si="37"/>
        <v/>
      </c>
      <c r="BL28" s="25" t="str">
        <f t="shared" si="38"/>
        <v/>
      </c>
      <c r="BM28" s="25" t="str">
        <f t="shared" si="39"/>
        <v/>
      </c>
      <c r="BN28" s="25" t="str">
        <f t="shared" si="40"/>
        <v/>
      </c>
      <c r="BO28" s="25" t="str">
        <f t="shared" si="41"/>
        <v/>
      </c>
      <c r="BP28" s="25" t="str">
        <f t="shared" si="42"/>
        <v/>
      </c>
      <c r="BQ28" s="25" t="str">
        <f t="shared" si="43"/>
        <v/>
      </c>
      <c r="BR28" s="25" t="str">
        <f t="shared" si="15"/>
        <v/>
      </c>
      <c r="BS28" s="25" t="str">
        <f t="shared" si="16"/>
        <v/>
      </c>
      <c r="BT28" s="25" t="str">
        <f t="shared" si="17"/>
        <v/>
      </c>
      <c r="BU28" s="25" t="str">
        <f t="shared" si="18"/>
        <v/>
      </c>
      <c r="BV28" s="25" t="str">
        <f t="shared" si="19"/>
        <v/>
      </c>
      <c r="BW28" s="26" t="str">
        <f t="shared" si="20"/>
        <v/>
      </c>
      <c r="BX28" s="27" t="str">
        <f t="shared" si="11"/>
        <v/>
      </c>
      <c r="BY28" s="15" t="str">
        <f t="shared" si="12"/>
        <v/>
      </c>
    </row>
    <row r="29" spans="1:77">
      <c r="A29" s="15" t="str">
        <f t="shared" si="13"/>
        <v/>
      </c>
      <c r="B29" s="15" t="str">
        <f t="shared" si="44"/>
        <v/>
      </c>
      <c r="C29" s="15" t="str">
        <f t="shared" si="45"/>
        <v/>
      </c>
      <c r="D29" s="15" t="str">
        <f t="shared" si="4"/>
        <v/>
      </c>
      <c r="E29" s="15" t="str">
        <f t="shared" si="5"/>
        <v/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P29" s="9" t="str">
        <f t="shared" si="6"/>
        <v/>
      </c>
      <c r="AQ29" s="9" t="str">
        <f t="shared" si="7"/>
        <v/>
      </c>
      <c r="AR29" s="9" t="str">
        <f t="shared" si="8"/>
        <v/>
      </c>
      <c r="AS29" s="9" t="str">
        <f t="shared" si="9"/>
        <v/>
      </c>
      <c r="AT29" s="25" t="str">
        <f t="shared" si="14"/>
        <v/>
      </c>
      <c r="AU29" s="25" t="str">
        <f t="shared" si="21"/>
        <v/>
      </c>
      <c r="AV29" s="25" t="str">
        <f t="shared" si="22"/>
        <v/>
      </c>
      <c r="AW29" s="25" t="str">
        <f t="shared" si="23"/>
        <v/>
      </c>
      <c r="AX29" s="25" t="str">
        <f t="shared" si="24"/>
        <v/>
      </c>
      <c r="AY29" s="25" t="str">
        <f t="shared" si="25"/>
        <v/>
      </c>
      <c r="AZ29" s="25" t="str">
        <f t="shared" si="26"/>
        <v/>
      </c>
      <c r="BA29" s="25" t="str">
        <f t="shared" si="27"/>
        <v/>
      </c>
      <c r="BB29" s="25" t="str">
        <f t="shared" si="28"/>
        <v/>
      </c>
      <c r="BC29" s="25" t="str">
        <f t="shared" si="29"/>
        <v/>
      </c>
      <c r="BD29" s="25" t="str">
        <f t="shared" si="30"/>
        <v/>
      </c>
      <c r="BE29" s="25" t="str">
        <f t="shared" si="31"/>
        <v/>
      </c>
      <c r="BF29" s="25" t="str">
        <f t="shared" si="32"/>
        <v/>
      </c>
      <c r="BG29" s="25" t="str">
        <f t="shared" si="33"/>
        <v/>
      </c>
      <c r="BH29" s="25" t="str">
        <f t="shared" si="34"/>
        <v/>
      </c>
      <c r="BI29" s="25" t="str">
        <f t="shared" si="35"/>
        <v/>
      </c>
      <c r="BJ29" s="25" t="str">
        <f t="shared" si="36"/>
        <v/>
      </c>
      <c r="BK29" s="25" t="str">
        <f t="shared" si="37"/>
        <v/>
      </c>
      <c r="BL29" s="25" t="str">
        <f t="shared" si="38"/>
        <v/>
      </c>
      <c r="BM29" s="25" t="str">
        <f t="shared" si="39"/>
        <v/>
      </c>
      <c r="BN29" s="25" t="str">
        <f t="shared" si="40"/>
        <v/>
      </c>
      <c r="BO29" s="25" t="str">
        <f t="shared" si="41"/>
        <v/>
      </c>
      <c r="BP29" s="25" t="str">
        <f t="shared" si="42"/>
        <v/>
      </c>
      <c r="BQ29" s="25" t="str">
        <f t="shared" si="43"/>
        <v/>
      </c>
      <c r="BR29" s="25" t="str">
        <f t="shared" si="15"/>
        <v/>
      </c>
      <c r="BS29" s="25" t="str">
        <f t="shared" si="16"/>
        <v/>
      </c>
      <c r="BT29" s="25" t="str">
        <f t="shared" si="17"/>
        <v/>
      </c>
      <c r="BU29" s="25" t="str">
        <f t="shared" si="18"/>
        <v/>
      </c>
      <c r="BV29" s="25" t="str">
        <f t="shared" si="19"/>
        <v/>
      </c>
      <c r="BW29" s="26" t="str">
        <f t="shared" si="20"/>
        <v/>
      </c>
      <c r="BX29" s="27" t="str">
        <f t="shared" si="11"/>
        <v/>
      </c>
      <c r="BY29" s="15" t="str">
        <f t="shared" si="12"/>
        <v/>
      </c>
    </row>
    <row r="30" spans="1:77">
      <c r="A30" s="15" t="str">
        <f t="shared" si="13"/>
        <v/>
      </c>
      <c r="B30" s="15" t="str">
        <f t="shared" si="44"/>
        <v/>
      </c>
      <c r="C30" s="15" t="str">
        <f t="shared" si="45"/>
        <v/>
      </c>
      <c r="D30" s="15" t="str">
        <f t="shared" si="4"/>
        <v/>
      </c>
      <c r="E30" s="15" t="str">
        <f t="shared" si="5"/>
        <v/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P30" s="9" t="str">
        <f t="shared" si="6"/>
        <v/>
      </c>
      <c r="AQ30" s="9" t="str">
        <f t="shared" si="7"/>
        <v/>
      </c>
      <c r="AR30" s="9" t="str">
        <f t="shared" si="8"/>
        <v/>
      </c>
      <c r="AS30" s="9" t="str">
        <f t="shared" si="9"/>
        <v/>
      </c>
      <c r="AT30" s="25" t="str">
        <f t="shared" si="14"/>
        <v/>
      </c>
      <c r="AU30" s="25" t="str">
        <f t="shared" si="21"/>
        <v/>
      </c>
      <c r="AV30" s="25" t="str">
        <f t="shared" si="22"/>
        <v/>
      </c>
      <c r="AW30" s="25" t="str">
        <f t="shared" si="23"/>
        <v/>
      </c>
      <c r="AX30" s="25" t="str">
        <f t="shared" si="24"/>
        <v/>
      </c>
      <c r="AY30" s="25" t="str">
        <f t="shared" si="25"/>
        <v/>
      </c>
      <c r="AZ30" s="25" t="str">
        <f t="shared" si="26"/>
        <v/>
      </c>
      <c r="BA30" s="25" t="str">
        <f t="shared" si="27"/>
        <v/>
      </c>
      <c r="BB30" s="25" t="str">
        <f t="shared" si="28"/>
        <v/>
      </c>
      <c r="BC30" s="25" t="str">
        <f t="shared" si="29"/>
        <v/>
      </c>
      <c r="BD30" s="25" t="str">
        <f t="shared" si="30"/>
        <v/>
      </c>
      <c r="BE30" s="25" t="str">
        <f t="shared" si="31"/>
        <v/>
      </c>
      <c r="BF30" s="25" t="str">
        <f t="shared" si="32"/>
        <v/>
      </c>
      <c r="BG30" s="25" t="str">
        <f t="shared" si="33"/>
        <v/>
      </c>
      <c r="BH30" s="25" t="str">
        <f t="shared" si="34"/>
        <v/>
      </c>
      <c r="BI30" s="25" t="str">
        <f t="shared" si="35"/>
        <v/>
      </c>
      <c r="BJ30" s="25" t="str">
        <f t="shared" si="36"/>
        <v/>
      </c>
      <c r="BK30" s="25" t="str">
        <f t="shared" si="37"/>
        <v/>
      </c>
      <c r="BL30" s="25" t="str">
        <f t="shared" si="38"/>
        <v/>
      </c>
      <c r="BM30" s="25" t="str">
        <f t="shared" si="39"/>
        <v/>
      </c>
      <c r="BN30" s="25" t="str">
        <f t="shared" si="40"/>
        <v/>
      </c>
      <c r="BO30" s="25" t="str">
        <f t="shared" si="41"/>
        <v/>
      </c>
      <c r="BP30" s="25" t="str">
        <f t="shared" si="42"/>
        <v/>
      </c>
      <c r="BQ30" s="25" t="str">
        <f t="shared" si="43"/>
        <v/>
      </c>
      <c r="BR30" s="25" t="str">
        <f t="shared" si="15"/>
        <v/>
      </c>
      <c r="BS30" s="25" t="str">
        <f t="shared" si="16"/>
        <v/>
      </c>
      <c r="BT30" s="25" t="str">
        <f t="shared" si="17"/>
        <v/>
      </c>
      <c r="BU30" s="25" t="str">
        <f t="shared" si="18"/>
        <v/>
      </c>
      <c r="BV30" s="25" t="str">
        <f t="shared" si="19"/>
        <v/>
      </c>
      <c r="BW30" s="26" t="str">
        <f t="shared" si="20"/>
        <v/>
      </c>
      <c r="BX30" s="27" t="str">
        <f t="shared" si="11"/>
        <v/>
      </c>
      <c r="BY30" s="15" t="str">
        <f t="shared" si="12"/>
        <v/>
      </c>
    </row>
    <row r="31" spans="1:77">
      <c r="A31" s="15" t="str">
        <f t="shared" si="13"/>
        <v/>
      </c>
      <c r="B31" s="15" t="str">
        <f t="shared" si="44"/>
        <v/>
      </c>
      <c r="C31" s="15" t="str">
        <f t="shared" si="45"/>
        <v/>
      </c>
      <c r="D31" s="15" t="str">
        <f t="shared" si="4"/>
        <v/>
      </c>
      <c r="E31" s="15" t="str">
        <f t="shared" si="5"/>
        <v/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P31" s="9" t="str">
        <f t="shared" si="6"/>
        <v/>
      </c>
      <c r="AQ31" s="9" t="str">
        <f t="shared" si="7"/>
        <v/>
      </c>
      <c r="AR31" s="9" t="str">
        <f t="shared" si="8"/>
        <v/>
      </c>
      <c r="AS31" s="9" t="str">
        <f t="shared" si="9"/>
        <v/>
      </c>
      <c r="AT31" s="25" t="str">
        <f t="shared" si="14"/>
        <v/>
      </c>
      <c r="AU31" s="25" t="str">
        <f t="shared" si="21"/>
        <v/>
      </c>
      <c r="AV31" s="25" t="str">
        <f t="shared" si="22"/>
        <v/>
      </c>
      <c r="AW31" s="25" t="str">
        <f t="shared" si="23"/>
        <v/>
      </c>
      <c r="AX31" s="25" t="str">
        <f t="shared" si="24"/>
        <v/>
      </c>
      <c r="AY31" s="25" t="str">
        <f t="shared" si="25"/>
        <v/>
      </c>
      <c r="AZ31" s="25" t="str">
        <f t="shared" si="26"/>
        <v/>
      </c>
      <c r="BA31" s="25" t="str">
        <f t="shared" si="27"/>
        <v/>
      </c>
      <c r="BB31" s="25" t="str">
        <f t="shared" si="28"/>
        <v/>
      </c>
      <c r="BC31" s="25" t="str">
        <f t="shared" si="29"/>
        <v/>
      </c>
      <c r="BD31" s="25" t="str">
        <f t="shared" si="30"/>
        <v/>
      </c>
      <c r="BE31" s="25" t="str">
        <f t="shared" si="31"/>
        <v/>
      </c>
      <c r="BF31" s="25" t="str">
        <f t="shared" si="32"/>
        <v/>
      </c>
      <c r="BG31" s="25" t="str">
        <f t="shared" si="33"/>
        <v/>
      </c>
      <c r="BH31" s="25" t="str">
        <f t="shared" si="34"/>
        <v/>
      </c>
      <c r="BI31" s="25" t="str">
        <f t="shared" si="35"/>
        <v/>
      </c>
      <c r="BJ31" s="25" t="str">
        <f t="shared" si="36"/>
        <v/>
      </c>
      <c r="BK31" s="25" t="str">
        <f t="shared" si="37"/>
        <v/>
      </c>
      <c r="BL31" s="25" t="str">
        <f t="shared" si="38"/>
        <v/>
      </c>
      <c r="BM31" s="25" t="str">
        <f t="shared" si="39"/>
        <v/>
      </c>
      <c r="BN31" s="25" t="str">
        <f t="shared" si="40"/>
        <v/>
      </c>
      <c r="BO31" s="25" t="str">
        <f t="shared" si="41"/>
        <v/>
      </c>
      <c r="BP31" s="25" t="str">
        <f t="shared" si="42"/>
        <v/>
      </c>
      <c r="BQ31" s="25" t="str">
        <f t="shared" si="43"/>
        <v/>
      </c>
      <c r="BR31" s="25" t="str">
        <f t="shared" si="15"/>
        <v/>
      </c>
      <c r="BS31" s="25" t="str">
        <f t="shared" si="16"/>
        <v/>
      </c>
      <c r="BT31" s="25" t="str">
        <f t="shared" si="17"/>
        <v/>
      </c>
      <c r="BU31" s="25" t="str">
        <f t="shared" si="18"/>
        <v/>
      </c>
      <c r="BV31" s="25" t="str">
        <f t="shared" si="19"/>
        <v/>
      </c>
      <c r="BW31" s="26" t="str">
        <f t="shared" si="20"/>
        <v/>
      </c>
      <c r="BX31" s="27" t="str">
        <f t="shared" si="11"/>
        <v/>
      </c>
      <c r="BY31" s="15" t="str">
        <f t="shared" si="12"/>
        <v/>
      </c>
    </row>
    <row r="32" spans="1:77">
      <c r="A32" s="15" t="str">
        <f t="shared" si="13"/>
        <v/>
      </c>
      <c r="B32" s="15" t="str">
        <f t="shared" si="44"/>
        <v/>
      </c>
      <c r="C32" s="15" t="str">
        <f t="shared" si="45"/>
        <v/>
      </c>
      <c r="D32" s="15" t="str">
        <f t="shared" si="4"/>
        <v/>
      </c>
      <c r="E32" s="15" t="str">
        <f t="shared" si="5"/>
        <v/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P32" s="9" t="str">
        <f t="shared" si="6"/>
        <v/>
      </c>
      <c r="AQ32" s="9" t="str">
        <f t="shared" si="7"/>
        <v/>
      </c>
      <c r="AR32" s="9" t="str">
        <f t="shared" si="8"/>
        <v/>
      </c>
      <c r="AS32" s="9" t="str">
        <f t="shared" si="9"/>
        <v/>
      </c>
      <c r="AT32" s="25" t="str">
        <f t="shared" si="14"/>
        <v/>
      </c>
      <c r="AU32" s="25" t="str">
        <f t="shared" si="21"/>
        <v/>
      </c>
      <c r="AV32" s="25" t="str">
        <f t="shared" si="22"/>
        <v/>
      </c>
      <c r="AW32" s="25" t="str">
        <f t="shared" si="23"/>
        <v/>
      </c>
      <c r="AX32" s="25" t="str">
        <f t="shared" si="24"/>
        <v/>
      </c>
      <c r="AY32" s="25" t="str">
        <f t="shared" si="25"/>
        <v/>
      </c>
      <c r="AZ32" s="25" t="str">
        <f t="shared" si="26"/>
        <v/>
      </c>
      <c r="BA32" s="25" t="str">
        <f t="shared" si="27"/>
        <v/>
      </c>
      <c r="BB32" s="25" t="str">
        <f t="shared" si="28"/>
        <v/>
      </c>
      <c r="BC32" s="25" t="str">
        <f t="shared" si="29"/>
        <v/>
      </c>
      <c r="BD32" s="25" t="str">
        <f t="shared" si="30"/>
        <v/>
      </c>
      <c r="BE32" s="25" t="str">
        <f t="shared" si="31"/>
        <v/>
      </c>
      <c r="BF32" s="25" t="str">
        <f t="shared" si="32"/>
        <v/>
      </c>
      <c r="BG32" s="25" t="str">
        <f t="shared" si="33"/>
        <v/>
      </c>
      <c r="BH32" s="25" t="str">
        <f t="shared" si="34"/>
        <v/>
      </c>
      <c r="BI32" s="25" t="str">
        <f t="shared" si="35"/>
        <v/>
      </c>
      <c r="BJ32" s="25" t="str">
        <f t="shared" si="36"/>
        <v/>
      </c>
      <c r="BK32" s="25" t="str">
        <f t="shared" si="37"/>
        <v/>
      </c>
      <c r="BL32" s="25" t="str">
        <f t="shared" si="38"/>
        <v/>
      </c>
      <c r="BM32" s="25" t="str">
        <f t="shared" si="39"/>
        <v/>
      </c>
      <c r="BN32" s="25" t="str">
        <f t="shared" si="40"/>
        <v/>
      </c>
      <c r="BO32" s="25" t="str">
        <f t="shared" si="41"/>
        <v/>
      </c>
      <c r="BP32" s="25" t="str">
        <f t="shared" si="42"/>
        <v/>
      </c>
      <c r="BQ32" s="25" t="str">
        <f t="shared" si="43"/>
        <v/>
      </c>
      <c r="BR32" s="25" t="str">
        <f t="shared" si="15"/>
        <v/>
      </c>
      <c r="BS32" s="25" t="str">
        <f t="shared" si="16"/>
        <v/>
      </c>
      <c r="BT32" s="25" t="str">
        <f t="shared" si="17"/>
        <v/>
      </c>
      <c r="BU32" s="25" t="str">
        <f t="shared" si="18"/>
        <v/>
      </c>
      <c r="BV32" s="25" t="str">
        <f t="shared" si="19"/>
        <v/>
      </c>
      <c r="BW32" s="26" t="str">
        <f t="shared" si="20"/>
        <v/>
      </c>
      <c r="BX32" s="27" t="str">
        <f t="shared" si="11"/>
        <v/>
      </c>
      <c r="BY32" s="15" t="str">
        <f t="shared" si="12"/>
        <v/>
      </c>
    </row>
    <row r="33" spans="1:77">
      <c r="A33" s="15" t="str">
        <f t="shared" si="13"/>
        <v/>
      </c>
      <c r="B33" s="15" t="str">
        <f t="shared" si="44"/>
        <v/>
      </c>
      <c r="C33" s="15" t="str">
        <f t="shared" si="45"/>
        <v/>
      </c>
      <c r="D33" s="15" t="str">
        <f t="shared" si="4"/>
        <v/>
      </c>
      <c r="E33" s="15" t="str">
        <f t="shared" si="5"/>
        <v/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P33" s="9" t="str">
        <f t="shared" si="6"/>
        <v/>
      </c>
      <c r="AQ33" s="9" t="str">
        <f t="shared" si="7"/>
        <v/>
      </c>
      <c r="AR33" s="9" t="str">
        <f t="shared" si="8"/>
        <v/>
      </c>
      <c r="AS33" s="9" t="str">
        <f t="shared" si="9"/>
        <v/>
      </c>
      <c r="AT33" s="25" t="str">
        <f t="shared" si="14"/>
        <v/>
      </c>
      <c r="AU33" s="25" t="str">
        <f t="shared" si="21"/>
        <v/>
      </c>
      <c r="AV33" s="25" t="str">
        <f t="shared" si="22"/>
        <v/>
      </c>
      <c r="AW33" s="25" t="str">
        <f t="shared" si="23"/>
        <v/>
      </c>
      <c r="AX33" s="25" t="str">
        <f t="shared" si="24"/>
        <v/>
      </c>
      <c r="AY33" s="25" t="str">
        <f t="shared" si="25"/>
        <v/>
      </c>
      <c r="AZ33" s="25" t="str">
        <f t="shared" si="26"/>
        <v/>
      </c>
      <c r="BA33" s="25" t="str">
        <f t="shared" si="27"/>
        <v/>
      </c>
      <c r="BB33" s="25" t="str">
        <f t="shared" si="28"/>
        <v/>
      </c>
      <c r="BC33" s="25" t="str">
        <f t="shared" si="29"/>
        <v/>
      </c>
      <c r="BD33" s="25" t="str">
        <f t="shared" si="30"/>
        <v/>
      </c>
      <c r="BE33" s="25" t="str">
        <f t="shared" si="31"/>
        <v/>
      </c>
      <c r="BF33" s="25" t="str">
        <f t="shared" si="32"/>
        <v/>
      </c>
      <c r="BG33" s="25" t="str">
        <f t="shared" si="33"/>
        <v/>
      </c>
      <c r="BH33" s="25" t="str">
        <f t="shared" si="34"/>
        <v/>
      </c>
      <c r="BI33" s="25" t="str">
        <f t="shared" si="35"/>
        <v/>
      </c>
      <c r="BJ33" s="25" t="str">
        <f t="shared" si="36"/>
        <v/>
      </c>
      <c r="BK33" s="25" t="str">
        <f t="shared" si="37"/>
        <v/>
      </c>
      <c r="BL33" s="25" t="str">
        <f t="shared" si="38"/>
        <v/>
      </c>
      <c r="BM33" s="25" t="str">
        <f t="shared" si="39"/>
        <v/>
      </c>
      <c r="BN33" s="25" t="str">
        <f t="shared" si="40"/>
        <v/>
      </c>
      <c r="BO33" s="25" t="str">
        <f t="shared" si="41"/>
        <v/>
      </c>
      <c r="BP33" s="25" t="str">
        <f t="shared" si="42"/>
        <v/>
      </c>
      <c r="BQ33" s="25" t="str">
        <f t="shared" si="43"/>
        <v/>
      </c>
      <c r="BR33" s="25" t="str">
        <f t="shared" si="15"/>
        <v/>
      </c>
      <c r="BS33" s="25" t="str">
        <f t="shared" si="16"/>
        <v/>
      </c>
      <c r="BT33" s="25" t="str">
        <f t="shared" si="17"/>
        <v/>
      </c>
      <c r="BU33" s="25" t="str">
        <f t="shared" si="18"/>
        <v/>
      </c>
      <c r="BV33" s="25" t="str">
        <f t="shared" si="19"/>
        <v/>
      </c>
      <c r="BW33" s="26" t="str">
        <f t="shared" si="20"/>
        <v/>
      </c>
      <c r="BX33" s="27" t="str">
        <f t="shared" si="11"/>
        <v/>
      </c>
      <c r="BY33" s="15" t="str">
        <f t="shared" si="12"/>
        <v/>
      </c>
    </row>
    <row r="34" spans="1:77">
      <c r="A34" s="15" t="str">
        <f t="shared" si="13"/>
        <v/>
      </c>
      <c r="B34" s="15" t="str">
        <f t="shared" si="44"/>
        <v/>
      </c>
      <c r="C34" s="15" t="str">
        <f t="shared" si="45"/>
        <v/>
      </c>
      <c r="D34" s="15" t="str">
        <f t="shared" si="4"/>
        <v/>
      </c>
      <c r="E34" s="15" t="str">
        <f t="shared" si="5"/>
        <v/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P34" s="9" t="str">
        <f t="shared" si="6"/>
        <v/>
      </c>
      <c r="AQ34" s="9" t="str">
        <f t="shared" si="7"/>
        <v/>
      </c>
      <c r="AR34" s="9" t="str">
        <f t="shared" si="8"/>
        <v/>
      </c>
      <c r="AS34" s="9" t="str">
        <f t="shared" si="9"/>
        <v/>
      </c>
      <c r="AT34" s="25" t="str">
        <f t="shared" si="14"/>
        <v/>
      </c>
      <c r="AU34" s="25" t="str">
        <f t="shared" si="21"/>
        <v/>
      </c>
      <c r="AV34" s="25" t="str">
        <f t="shared" si="22"/>
        <v/>
      </c>
      <c r="AW34" s="25" t="str">
        <f t="shared" si="23"/>
        <v/>
      </c>
      <c r="AX34" s="25" t="str">
        <f t="shared" si="24"/>
        <v/>
      </c>
      <c r="AY34" s="25" t="str">
        <f t="shared" si="25"/>
        <v/>
      </c>
      <c r="AZ34" s="25" t="str">
        <f t="shared" si="26"/>
        <v/>
      </c>
      <c r="BA34" s="25" t="str">
        <f t="shared" si="27"/>
        <v/>
      </c>
      <c r="BB34" s="25" t="str">
        <f t="shared" si="28"/>
        <v/>
      </c>
      <c r="BC34" s="25" t="str">
        <f t="shared" si="29"/>
        <v/>
      </c>
      <c r="BD34" s="25" t="str">
        <f t="shared" si="30"/>
        <v/>
      </c>
      <c r="BE34" s="25" t="str">
        <f t="shared" si="31"/>
        <v/>
      </c>
      <c r="BF34" s="25" t="str">
        <f t="shared" si="32"/>
        <v/>
      </c>
      <c r="BG34" s="25" t="str">
        <f t="shared" si="33"/>
        <v/>
      </c>
      <c r="BH34" s="25" t="str">
        <f t="shared" si="34"/>
        <v/>
      </c>
      <c r="BI34" s="25" t="str">
        <f t="shared" si="35"/>
        <v/>
      </c>
      <c r="BJ34" s="25" t="str">
        <f t="shared" si="36"/>
        <v/>
      </c>
      <c r="BK34" s="25" t="str">
        <f t="shared" si="37"/>
        <v/>
      </c>
      <c r="BL34" s="25" t="str">
        <f t="shared" si="38"/>
        <v/>
      </c>
      <c r="BM34" s="25" t="str">
        <f t="shared" si="39"/>
        <v/>
      </c>
      <c r="BN34" s="25" t="str">
        <f t="shared" si="40"/>
        <v/>
      </c>
      <c r="BO34" s="25" t="str">
        <f t="shared" si="41"/>
        <v/>
      </c>
      <c r="BP34" s="25" t="str">
        <f t="shared" si="42"/>
        <v/>
      </c>
      <c r="BQ34" s="25" t="str">
        <f t="shared" si="43"/>
        <v/>
      </c>
      <c r="BR34" s="25" t="str">
        <f t="shared" si="15"/>
        <v/>
      </c>
      <c r="BS34" s="25" t="str">
        <f t="shared" si="16"/>
        <v/>
      </c>
      <c r="BT34" s="25" t="str">
        <f t="shared" si="17"/>
        <v/>
      </c>
      <c r="BU34" s="25" t="str">
        <f t="shared" si="18"/>
        <v/>
      </c>
      <c r="BV34" s="25" t="str">
        <f t="shared" si="19"/>
        <v/>
      </c>
      <c r="BW34" s="26" t="str">
        <f t="shared" si="20"/>
        <v/>
      </c>
      <c r="BX34" s="27" t="str">
        <f t="shared" si="11"/>
        <v/>
      </c>
      <c r="BY34" s="15" t="str">
        <f t="shared" si="12"/>
        <v/>
      </c>
    </row>
    <row r="35" spans="1:77">
      <c r="A35" s="15" t="str">
        <f t="shared" si="13"/>
        <v/>
      </c>
      <c r="B35" s="15" t="str">
        <f t="shared" si="44"/>
        <v/>
      </c>
      <c r="C35" s="15" t="str">
        <f t="shared" si="45"/>
        <v/>
      </c>
      <c r="D35" s="15" t="str">
        <f t="shared" si="4"/>
        <v/>
      </c>
      <c r="E35" s="15" t="str">
        <f t="shared" si="5"/>
        <v/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P35" s="9" t="str">
        <f t="shared" si="6"/>
        <v/>
      </c>
      <c r="AQ35" s="9" t="str">
        <f t="shared" si="7"/>
        <v/>
      </c>
      <c r="AR35" s="9" t="str">
        <f t="shared" si="8"/>
        <v/>
      </c>
      <c r="AS35" s="9" t="str">
        <f t="shared" si="9"/>
        <v/>
      </c>
      <c r="AT35" s="25" t="str">
        <f t="shared" si="14"/>
        <v/>
      </c>
      <c r="AU35" s="25" t="str">
        <f t="shared" si="21"/>
        <v/>
      </c>
      <c r="AV35" s="25" t="str">
        <f t="shared" si="22"/>
        <v/>
      </c>
      <c r="AW35" s="25" t="str">
        <f t="shared" si="23"/>
        <v/>
      </c>
      <c r="AX35" s="25" t="str">
        <f t="shared" si="24"/>
        <v/>
      </c>
      <c r="AY35" s="25" t="str">
        <f t="shared" si="25"/>
        <v/>
      </c>
      <c r="AZ35" s="25" t="str">
        <f t="shared" si="26"/>
        <v/>
      </c>
      <c r="BA35" s="25" t="str">
        <f t="shared" si="27"/>
        <v/>
      </c>
      <c r="BB35" s="25" t="str">
        <f t="shared" si="28"/>
        <v/>
      </c>
      <c r="BC35" s="25" t="str">
        <f t="shared" si="29"/>
        <v/>
      </c>
      <c r="BD35" s="25" t="str">
        <f t="shared" si="30"/>
        <v/>
      </c>
      <c r="BE35" s="25" t="str">
        <f t="shared" si="31"/>
        <v/>
      </c>
      <c r="BF35" s="25" t="str">
        <f t="shared" si="32"/>
        <v/>
      </c>
      <c r="BG35" s="25" t="str">
        <f t="shared" si="33"/>
        <v/>
      </c>
      <c r="BH35" s="25" t="str">
        <f t="shared" si="34"/>
        <v/>
      </c>
      <c r="BI35" s="25" t="str">
        <f t="shared" si="35"/>
        <v/>
      </c>
      <c r="BJ35" s="25" t="str">
        <f t="shared" si="36"/>
        <v/>
      </c>
      <c r="BK35" s="25" t="str">
        <f t="shared" si="37"/>
        <v/>
      </c>
      <c r="BL35" s="25" t="str">
        <f t="shared" si="38"/>
        <v/>
      </c>
      <c r="BM35" s="25" t="str">
        <f t="shared" si="39"/>
        <v/>
      </c>
      <c r="BN35" s="25" t="str">
        <f t="shared" si="40"/>
        <v/>
      </c>
      <c r="BO35" s="25" t="str">
        <f t="shared" si="41"/>
        <v/>
      </c>
      <c r="BP35" s="25" t="str">
        <f t="shared" si="42"/>
        <v/>
      </c>
      <c r="BQ35" s="25" t="str">
        <f t="shared" si="43"/>
        <v/>
      </c>
      <c r="BR35" s="25" t="str">
        <f t="shared" si="15"/>
        <v/>
      </c>
      <c r="BS35" s="25" t="str">
        <f t="shared" si="16"/>
        <v/>
      </c>
      <c r="BT35" s="25" t="str">
        <f t="shared" si="17"/>
        <v/>
      </c>
      <c r="BU35" s="25" t="str">
        <f t="shared" si="18"/>
        <v/>
      </c>
      <c r="BV35" s="25" t="str">
        <f t="shared" si="19"/>
        <v/>
      </c>
      <c r="BW35" s="26" t="str">
        <f t="shared" si="20"/>
        <v/>
      </c>
      <c r="BX35" s="27" t="str">
        <f t="shared" si="11"/>
        <v/>
      </c>
      <c r="BY35" s="15" t="str">
        <f t="shared" si="12"/>
        <v/>
      </c>
    </row>
    <row r="36" spans="1:77">
      <c r="A36" s="15" t="str">
        <f t="shared" si="13"/>
        <v/>
      </c>
      <c r="B36" s="15" t="str">
        <f t="shared" si="44"/>
        <v/>
      </c>
      <c r="C36" s="15" t="str">
        <f t="shared" si="45"/>
        <v/>
      </c>
      <c r="D36" s="15" t="str">
        <f t="shared" si="4"/>
        <v/>
      </c>
      <c r="E36" s="15" t="str">
        <f t="shared" si="5"/>
        <v/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P36" s="9" t="str">
        <f t="shared" si="6"/>
        <v/>
      </c>
      <c r="AQ36" s="9" t="str">
        <f t="shared" si="7"/>
        <v/>
      </c>
      <c r="AR36" s="9" t="str">
        <f t="shared" si="8"/>
        <v/>
      </c>
      <c r="AS36" s="9" t="str">
        <f t="shared" si="9"/>
        <v/>
      </c>
      <c r="AT36" s="25" t="str">
        <f t="shared" si="14"/>
        <v/>
      </c>
      <c r="AU36" s="25" t="str">
        <f t="shared" si="21"/>
        <v/>
      </c>
      <c r="AV36" s="25" t="str">
        <f t="shared" si="22"/>
        <v/>
      </c>
      <c r="AW36" s="25" t="str">
        <f t="shared" si="23"/>
        <v/>
      </c>
      <c r="AX36" s="25" t="str">
        <f t="shared" si="24"/>
        <v/>
      </c>
      <c r="AY36" s="25" t="str">
        <f t="shared" si="25"/>
        <v/>
      </c>
      <c r="AZ36" s="25" t="str">
        <f t="shared" si="26"/>
        <v/>
      </c>
      <c r="BA36" s="25" t="str">
        <f t="shared" si="27"/>
        <v/>
      </c>
      <c r="BB36" s="25" t="str">
        <f t="shared" si="28"/>
        <v/>
      </c>
      <c r="BC36" s="25" t="str">
        <f t="shared" si="29"/>
        <v/>
      </c>
      <c r="BD36" s="25" t="str">
        <f t="shared" si="30"/>
        <v/>
      </c>
      <c r="BE36" s="25" t="str">
        <f t="shared" si="31"/>
        <v/>
      </c>
      <c r="BF36" s="25" t="str">
        <f t="shared" si="32"/>
        <v/>
      </c>
      <c r="BG36" s="25" t="str">
        <f t="shared" si="33"/>
        <v/>
      </c>
      <c r="BH36" s="25" t="str">
        <f t="shared" si="34"/>
        <v/>
      </c>
      <c r="BI36" s="25" t="str">
        <f t="shared" si="35"/>
        <v/>
      </c>
      <c r="BJ36" s="25" t="str">
        <f t="shared" si="36"/>
        <v/>
      </c>
      <c r="BK36" s="25" t="str">
        <f t="shared" si="37"/>
        <v/>
      </c>
      <c r="BL36" s="25" t="str">
        <f t="shared" si="38"/>
        <v/>
      </c>
      <c r="BM36" s="25" t="str">
        <f t="shared" si="39"/>
        <v/>
      </c>
      <c r="BN36" s="25" t="str">
        <f t="shared" si="40"/>
        <v/>
      </c>
      <c r="BO36" s="25" t="str">
        <f t="shared" si="41"/>
        <v/>
      </c>
      <c r="BP36" s="25" t="str">
        <f t="shared" si="42"/>
        <v/>
      </c>
      <c r="BQ36" s="25" t="str">
        <f t="shared" si="43"/>
        <v/>
      </c>
      <c r="BR36" s="25" t="str">
        <f t="shared" si="15"/>
        <v/>
      </c>
      <c r="BS36" s="25" t="str">
        <f t="shared" si="16"/>
        <v/>
      </c>
      <c r="BT36" s="25" t="str">
        <f t="shared" si="17"/>
        <v/>
      </c>
      <c r="BU36" s="25" t="str">
        <f t="shared" si="18"/>
        <v/>
      </c>
      <c r="BV36" s="25" t="str">
        <f t="shared" si="19"/>
        <v/>
      </c>
      <c r="BW36" s="26" t="str">
        <f t="shared" si="20"/>
        <v/>
      </c>
      <c r="BX36" s="27" t="str">
        <f t="shared" si="11"/>
        <v/>
      </c>
      <c r="BY36" s="15" t="str">
        <f t="shared" si="12"/>
        <v/>
      </c>
    </row>
    <row r="37" spans="1:77">
      <c r="A37" s="15" t="str">
        <f t="shared" si="13"/>
        <v/>
      </c>
      <c r="B37" s="15" t="str">
        <f t="shared" si="44"/>
        <v/>
      </c>
      <c r="C37" s="15" t="str">
        <f t="shared" si="45"/>
        <v/>
      </c>
      <c r="D37" s="15" t="str">
        <f t="shared" si="4"/>
        <v/>
      </c>
      <c r="E37" s="15" t="str">
        <f t="shared" si="5"/>
        <v/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P37" s="9" t="str">
        <f t="shared" si="6"/>
        <v/>
      </c>
      <c r="AQ37" s="9" t="str">
        <f t="shared" si="7"/>
        <v/>
      </c>
      <c r="AR37" s="9" t="str">
        <f t="shared" si="8"/>
        <v/>
      </c>
      <c r="AS37" s="9" t="str">
        <f t="shared" si="9"/>
        <v/>
      </c>
      <c r="AT37" s="25" t="str">
        <f t="shared" si="14"/>
        <v/>
      </c>
      <c r="AU37" s="25" t="str">
        <f t="shared" si="21"/>
        <v/>
      </c>
      <c r="AV37" s="25" t="str">
        <f t="shared" si="22"/>
        <v/>
      </c>
      <c r="AW37" s="25" t="str">
        <f t="shared" si="23"/>
        <v/>
      </c>
      <c r="AX37" s="25" t="str">
        <f t="shared" si="24"/>
        <v/>
      </c>
      <c r="AY37" s="25" t="str">
        <f t="shared" si="25"/>
        <v/>
      </c>
      <c r="AZ37" s="25" t="str">
        <f t="shared" si="26"/>
        <v/>
      </c>
      <c r="BA37" s="25" t="str">
        <f t="shared" si="27"/>
        <v/>
      </c>
      <c r="BB37" s="25" t="str">
        <f t="shared" si="28"/>
        <v/>
      </c>
      <c r="BC37" s="25" t="str">
        <f t="shared" si="29"/>
        <v/>
      </c>
      <c r="BD37" s="25" t="str">
        <f t="shared" si="30"/>
        <v/>
      </c>
      <c r="BE37" s="25" t="str">
        <f t="shared" si="31"/>
        <v/>
      </c>
      <c r="BF37" s="25" t="str">
        <f t="shared" si="32"/>
        <v/>
      </c>
      <c r="BG37" s="25" t="str">
        <f t="shared" si="33"/>
        <v/>
      </c>
      <c r="BH37" s="25" t="str">
        <f t="shared" si="34"/>
        <v/>
      </c>
      <c r="BI37" s="25" t="str">
        <f t="shared" si="35"/>
        <v/>
      </c>
      <c r="BJ37" s="25" t="str">
        <f t="shared" si="36"/>
        <v/>
      </c>
      <c r="BK37" s="25" t="str">
        <f t="shared" si="37"/>
        <v/>
      </c>
      <c r="BL37" s="25" t="str">
        <f t="shared" si="38"/>
        <v/>
      </c>
      <c r="BM37" s="25" t="str">
        <f t="shared" si="39"/>
        <v/>
      </c>
      <c r="BN37" s="25" t="str">
        <f t="shared" si="40"/>
        <v/>
      </c>
      <c r="BO37" s="25" t="str">
        <f t="shared" si="41"/>
        <v/>
      </c>
      <c r="BP37" s="25" t="str">
        <f t="shared" si="42"/>
        <v/>
      </c>
      <c r="BQ37" s="25" t="str">
        <f t="shared" si="43"/>
        <v/>
      </c>
      <c r="BR37" s="25" t="str">
        <f t="shared" si="15"/>
        <v/>
      </c>
      <c r="BS37" s="25" t="str">
        <f t="shared" si="16"/>
        <v/>
      </c>
      <c r="BT37" s="25" t="str">
        <f t="shared" si="17"/>
        <v/>
      </c>
      <c r="BU37" s="25" t="str">
        <f t="shared" si="18"/>
        <v/>
      </c>
      <c r="BV37" s="25" t="str">
        <f t="shared" si="19"/>
        <v/>
      </c>
      <c r="BW37" s="26" t="str">
        <f t="shared" si="20"/>
        <v/>
      </c>
      <c r="BX37" s="27" t="str">
        <f t="shared" si="11"/>
        <v/>
      </c>
      <c r="BY37" s="15" t="str">
        <f t="shared" si="12"/>
        <v/>
      </c>
    </row>
    <row r="38" spans="1:77">
      <c r="A38" s="15" t="str">
        <f t="shared" si="13"/>
        <v/>
      </c>
      <c r="B38" s="15" t="str">
        <f t="shared" si="44"/>
        <v/>
      </c>
      <c r="C38" s="15" t="str">
        <f t="shared" si="45"/>
        <v/>
      </c>
      <c r="D38" s="15" t="str">
        <f t="shared" si="4"/>
        <v/>
      </c>
      <c r="E38" s="15" t="str">
        <f t="shared" si="5"/>
        <v/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P38" s="9" t="str">
        <f t="shared" si="6"/>
        <v/>
      </c>
      <c r="AQ38" s="9" t="str">
        <f t="shared" si="7"/>
        <v/>
      </c>
      <c r="AR38" s="9" t="str">
        <f t="shared" si="8"/>
        <v/>
      </c>
      <c r="AS38" s="9" t="str">
        <f t="shared" si="9"/>
        <v/>
      </c>
      <c r="AT38" s="25" t="str">
        <f t="shared" si="14"/>
        <v/>
      </c>
      <c r="AU38" s="25" t="str">
        <f t="shared" si="21"/>
        <v/>
      </c>
      <c r="AV38" s="25" t="str">
        <f t="shared" si="22"/>
        <v/>
      </c>
      <c r="AW38" s="25" t="str">
        <f t="shared" si="23"/>
        <v/>
      </c>
      <c r="AX38" s="25" t="str">
        <f t="shared" si="24"/>
        <v/>
      </c>
      <c r="AY38" s="25" t="str">
        <f t="shared" si="25"/>
        <v/>
      </c>
      <c r="AZ38" s="25" t="str">
        <f t="shared" si="26"/>
        <v/>
      </c>
      <c r="BA38" s="25" t="str">
        <f t="shared" si="27"/>
        <v/>
      </c>
      <c r="BB38" s="25" t="str">
        <f t="shared" si="28"/>
        <v/>
      </c>
      <c r="BC38" s="25" t="str">
        <f t="shared" si="29"/>
        <v/>
      </c>
      <c r="BD38" s="25" t="str">
        <f t="shared" si="30"/>
        <v/>
      </c>
      <c r="BE38" s="25" t="str">
        <f t="shared" si="31"/>
        <v/>
      </c>
      <c r="BF38" s="25" t="str">
        <f t="shared" si="32"/>
        <v/>
      </c>
      <c r="BG38" s="25" t="str">
        <f t="shared" si="33"/>
        <v/>
      </c>
      <c r="BH38" s="25" t="str">
        <f t="shared" si="34"/>
        <v/>
      </c>
      <c r="BI38" s="25" t="str">
        <f t="shared" si="35"/>
        <v/>
      </c>
      <c r="BJ38" s="25" t="str">
        <f t="shared" si="36"/>
        <v/>
      </c>
      <c r="BK38" s="25" t="str">
        <f t="shared" si="37"/>
        <v/>
      </c>
      <c r="BL38" s="25" t="str">
        <f t="shared" si="38"/>
        <v/>
      </c>
      <c r="BM38" s="25" t="str">
        <f t="shared" si="39"/>
        <v/>
      </c>
      <c r="BN38" s="25" t="str">
        <f t="shared" si="40"/>
        <v/>
      </c>
      <c r="BO38" s="25" t="str">
        <f t="shared" si="41"/>
        <v/>
      </c>
      <c r="BP38" s="25" t="str">
        <f t="shared" si="42"/>
        <v/>
      </c>
      <c r="BQ38" s="25" t="str">
        <f t="shared" si="43"/>
        <v/>
      </c>
      <c r="BR38" s="25" t="str">
        <f t="shared" si="15"/>
        <v/>
      </c>
      <c r="BS38" s="25" t="str">
        <f t="shared" si="16"/>
        <v/>
      </c>
      <c r="BT38" s="25" t="str">
        <f t="shared" si="17"/>
        <v/>
      </c>
      <c r="BU38" s="25" t="str">
        <f t="shared" si="18"/>
        <v/>
      </c>
      <c r="BV38" s="25" t="str">
        <f t="shared" si="19"/>
        <v/>
      </c>
      <c r="BW38" s="26" t="str">
        <f t="shared" si="20"/>
        <v/>
      </c>
      <c r="BX38" s="27" t="str">
        <f t="shared" si="11"/>
        <v/>
      </c>
      <c r="BY38" s="15" t="str">
        <f t="shared" si="12"/>
        <v/>
      </c>
    </row>
    <row r="39" spans="1:77">
      <c r="A39" s="15" t="str">
        <f t="shared" si="13"/>
        <v/>
      </c>
      <c r="B39" s="15" t="str">
        <f t="shared" si="44"/>
        <v/>
      </c>
      <c r="C39" s="15" t="str">
        <f t="shared" si="45"/>
        <v/>
      </c>
      <c r="D39" s="15" t="str">
        <f t="shared" si="4"/>
        <v/>
      </c>
      <c r="E39" s="15" t="str">
        <f t="shared" si="5"/>
        <v/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P39" s="9" t="str">
        <f t="shared" si="6"/>
        <v/>
      </c>
      <c r="AQ39" s="9" t="str">
        <f t="shared" si="7"/>
        <v/>
      </c>
      <c r="AR39" s="9" t="str">
        <f t="shared" si="8"/>
        <v/>
      </c>
      <c r="AS39" s="9" t="str">
        <f t="shared" si="9"/>
        <v/>
      </c>
      <c r="AT39" s="25" t="str">
        <f t="shared" si="14"/>
        <v/>
      </c>
      <c r="AU39" s="25" t="str">
        <f t="shared" si="21"/>
        <v/>
      </c>
      <c r="AV39" s="25" t="str">
        <f t="shared" si="22"/>
        <v/>
      </c>
      <c r="AW39" s="25" t="str">
        <f t="shared" si="23"/>
        <v/>
      </c>
      <c r="AX39" s="25" t="str">
        <f t="shared" si="24"/>
        <v/>
      </c>
      <c r="AY39" s="25" t="str">
        <f t="shared" si="25"/>
        <v/>
      </c>
      <c r="AZ39" s="25" t="str">
        <f t="shared" si="26"/>
        <v/>
      </c>
      <c r="BA39" s="25" t="str">
        <f t="shared" si="27"/>
        <v/>
      </c>
      <c r="BB39" s="25" t="str">
        <f t="shared" si="28"/>
        <v/>
      </c>
      <c r="BC39" s="25" t="str">
        <f t="shared" si="29"/>
        <v/>
      </c>
      <c r="BD39" s="25" t="str">
        <f t="shared" si="30"/>
        <v/>
      </c>
      <c r="BE39" s="25" t="str">
        <f t="shared" si="31"/>
        <v/>
      </c>
      <c r="BF39" s="25" t="str">
        <f t="shared" si="32"/>
        <v/>
      </c>
      <c r="BG39" s="25" t="str">
        <f t="shared" si="33"/>
        <v/>
      </c>
      <c r="BH39" s="25" t="str">
        <f t="shared" si="34"/>
        <v/>
      </c>
      <c r="BI39" s="25" t="str">
        <f t="shared" si="35"/>
        <v/>
      </c>
      <c r="BJ39" s="25" t="str">
        <f t="shared" si="36"/>
        <v/>
      </c>
      <c r="BK39" s="25" t="str">
        <f t="shared" si="37"/>
        <v/>
      </c>
      <c r="BL39" s="25" t="str">
        <f t="shared" si="38"/>
        <v/>
      </c>
      <c r="BM39" s="25" t="str">
        <f t="shared" si="39"/>
        <v/>
      </c>
      <c r="BN39" s="25" t="str">
        <f t="shared" si="40"/>
        <v/>
      </c>
      <c r="BO39" s="25" t="str">
        <f t="shared" si="41"/>
        <v/>
      </c>
      <c r="BP39" s="25" t="str">
        <f t="shared" si="42"/>
        <v/>
      </c>
      <c r="BQ39" s="25" t="str">
        <f t="shared" si="43"/>
        <v/>
      </c>
      <c r="BR39" s="25" t="str">
        <f t="shared" si="15"/>
        <v/>
      </c>
      <c r="BS39" s="25" t="str">
        <f t="shared" si="16"/>
        <v/>
      </c>
      <c r="BT39" s="25" t="str">
        <f t="shared" si="17"/>
        <v/>
      </c>
      <c r="BU39" s="25" t="str">
        <f t="shared" si="18"/>
        <v/>
      </c>
      <c r="BV39" s="25" t="str">
        <f t="shared" si="19"/>
        <v/>
      </c>
      <c r="BW39" s="26" t="str">
        <f t="shared" si="20"/>
        <v/>
      </c>
      <c r="BX39" s="27" t="str">
        <f t="shared" si="11"/>
        <v/>
      </c>
      <c r="BY39" s="15" t="str">
        <f t="shared" si="12"/>
        <v/>
      </c>
    </row>
    <row r="40" spans="1:77">
      <c r="A40" s="15" t="str">
        <f t="shared" si="13"/>
        <v/>
      </c>
      <c r="B40" s="15" t="str">
        <f t="shared" si="44"/>
        <v/>
      </c>
      <c r="C40" s="15" t="str">
        <f t="shared" si="45"/>
        <v/>
      </c>
      <c r="D40" s="15" t="str">
        <f t="shared" si="4"/>
        <v/>
      </c>
      <c r="E40" s="15" t="str">
        <f t="shared" si="5"/>
        <v/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P40" s="9" t="str">
        <f t="shared" si="6"/>
        <v/>
      </c>
      <c r="AQ40" s="9" t="str">
        <f t="shared" si="7"/>
        <v/>
      </c>
      <c r="AR40" s="9" t="str">
        <f t="shared" si="8"/>
        <v/>
      </c>
      <c r="AS40" s="9" t="str">
        <f t="shared" si="9"/>
        <v/>
      </c>
      <c r="AT40" s="25" t="str">
        <f t="shared" si="14"/>
        <v/>
      </c>
      <c r="AU40" s="25" t="str">
        <f t="shared" si="21"/>
        <v/>
      </c>
      <c r="AV40" s="25" t="str">
        <f t="shared" si="22"/>
        <v/>
      </c>
      <c r="AW40" s="25" t="str">
        <f t="shared" si="23"/>
        <v/>
      </c>
      <c r="AX40" s="25" t="str">
        <f t="shared" si="24"/>
        <v/>
      </c>
      <c r="AY40" s="25" t="str">
        <f t="shared" si="25"/>
        <v/>
      </c>
      <c r="AZ40" s="25" t="str">
        <f t="shared" si="26"/>
        <v/>
      </c>
      <c r="BA40" s="25" t="str">
        <f t="shared" si="27"/>
        <v/>
      </c>
      <c r="BB40" s="25" t="str">
        <f t="shared" si="28"/>
        <v/>
      </c>
      <c r="BC40" s="25" t="str">
        <f t="shared" si="29"/>
        <v/>
      </c>
      <c r="BD40" s="25" t="str">
        <f t="shared" si="30"/>
        <v/>
      </c>
      <c r="BE40" s="25" t="str">
        <f t="shared" si="31"/>
        <v/>
      </c>
      <c r="BF40" s="25" t="str">
        <f t="shared" si="32"/>
        <v/>
      </c>
      <c r="BG40" s="25" t="str">
        <f t="shared" si="33"/>
        <v/>
      </c>
      <c r="BH40" s="25" t="str">
        <f t="shared" si="34"/>
        <v/>
      </c>
      <c r="BI40" s="25" t="str">
        <f t="shared" si="35"/>
        <v/>
      </c>
      <c r="BJ40" s="25" t="str">
        <f t="shared" si="36"/>
        <v/>
      </c>
      <c r="BK40" s="25" t="str">
        <f t="shared" si="37"/>
        <v/>
      </c>
      <c r="BL40" s="25" t="str">
        <f t="shared" si="38"/>
        <v/>
      </c>
      <c r="BM40" s="25" t="str">
        <f t="shared" si="39"/>
        <v/>
      </c>
      <c r="BN40" s="25" t="str">
        <f t="shared" si="40"/>
        <v/>
      </c>
      <c r="BO40" s="25" t="str">
        <f t="shared" si="41"/>
        <v/>
      </c>
      <c r="BP40" s="25" t="str">
        <f t="shared" si="42"/>
        <v/>
      </c>
      <c r="BQ40" s="25" t="str">
        <f t="shared" si="43"/>
        <v/>
      </c>
      <c r="BR40" s="25" t="str">
        <f t="shared" si="15"/>
        <v/>
      </c>
      <c r="BS40" s="25" t="str">
        <f t="shared" si="16"/>
        <v/>
      </c>
      <c r="BT40" s="25" t="str">
        <f t="shared" si="17"/>
        <v/>
      </c>
      <c r="BU40" s="25" t="str">
        <f t="shared" si="18"/>
        <v/>
      </c>
      <c r="BV40" s="25" t="str">
        <f t="shared" si="19"/>
        <v/>
      </c>
      <c r="BW40" s="26" t="str">
        <f t="shared" si="20"/>
        <v/>
      </c>
      <c r="BX40" s="27" t="str">
        <f t="shared" si="11"/>
        <v/>
      </c>
      <c r="BY40" s="15" t="str">
        <f t="shared" si="12"/>
        <v/>
      </c>
    </row>
    <row r="41" spans="1:77">
      <c r="A41" s="15" t="str">
        <f t="shared" si="13"/>
        <v/>
      </c>
      <c r="B41" s="15" t="str">
        <f t="shared" si="44"/>
        <v/>
      </c>
      <c r="C41" s="15" t="str">
        <f t="shared" si="45"/>
        <v/>
      </c>
      <c r="D41" s="15" t="str">
        <f t="shared" si="4"/>
        <v/>
      </c>
      <c r="E41" s="15" t="str">
        <f t="shared" si="5"/>
        <v/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P41" s="9" t="str">
        <f t="shared" si="6"/>
        <v/>
      </c>
      <c r="AQ41" s="9" t="str">
        <f t="shared" si="7"/>
        <v/>
      </c>
      <c r="AR41" s="9" t="str">
        <f t="shared" si="8"/>
        <v/>
      </c>
      <c r="AS41" s="9" t="str">
        <f t="shared" si="9"/>
        <v/>
      </c>
      <c r="AT41" s="25" t="str">
        <f t="shared" si="14"/>
        <v/>
      </c>
      <c r="AU41" s="25" t="str">
        <f t="shared" si="21"/>
        <v/>
      </c>
      <c r="AV41" s="25" t="str">
        <f t="shared" si="22"/>
        <v/>
      </c>
      <c r="AW41" s="25" t="str">
        <f t="shared" si="23"/>
        <v/>
      </c>
      <c r="AX41" s="25" t="str">
        <f t="shared" si="24"/>
        <v/>
      </c>
      <c r="AY41" s="25" t="str">
        <f t="shared" si="25"/>
        <v/>
      </c>
      <c r="AZ41" s="25" t="str">
        <f t="shared" si="26"/>
        <v/>
      </c>
      <c r="BA41" s="25" t="str">
        <f t="shared" si="27"/>
        <v/>
      </c>
      <c r="BB41" s="25" t="str">
        <f t="shared" si="28"/>
        <v/>
      </c>
      <c r="BC41" s="25" t="str">
        <f t="shared" si="29"/>
        <v/>
      </c>
      <c r="BD41" s="25" t="str">
        <f t="shared" si="30"/>
        <v/>
      </c>
      <c r="BE41" s="25" t="str">
        <f t="shared" si="31"/>
        <v/>
      </c>
      <c r="BF41" s="25" t="str">
        <f t="shared" si="32"/>
        <v/>
      </c>
      <c r="BG41" s="25" t="str">
        <f t="shared" si="33"/>
        <v/>
      </c>
      <c r="BH41" s="25" t="str">
        <f t="shared" si="34"/>
        <v/>
      </c>
      <c r="BI41" s="25" t="str">
        <f t="shared" si="35"/>
        <v/>
      </c>
      <c r="BJ41" s="25" t="str">
        <f t="shared" si="36"/>
        <v/>
      </c>
      <c r="BK41" s="25" t="str">
        <f t="shared" si="37"/>
        <v/>
      </c>
      <c r="BL41" s="25" t="str">
        <f t="shared" si="38"/>
        <v/>
      </c>
      <c r="BM41" s="25" t="str">
        <f t="shared" si="39"/>
        <v/>
      </c>
      <c r="BN41" s="25" t="str">
        <f t="shared" si="40"/>
        <v/>
      </c>
      <c r="BO41" s="25" t="str">
        <f t="shared" si="41"/>
        <v/>
      </c>
      <c r="BP41" s="25" t="str">
        <f t="shared" si="42"/>
        <v/>
      </c>
      <c r="BQ41" s="25" t="str">
        <f t="shared" si="43"/>
        <v/>
      </c>
      <c r="BR41" s="25" t="str">
        <f t="shared" si="15"/>
        <v/>
      </c>
      <c r="BS41" s="25" t="str">
        <f t="shared" si="16"/>
        <v/>
      </c>
      <c r="BT41" s="25" t="str">
        <f t="shared" si="17"/>
        <v/>
      </c>
      <c r="BU41" s="25" t="str">
        <f t="shared" si="18"/>
        <v/>
      </c>
      <c r="BV41" s="25" t="str">
        <f t="shared" si="19"/>
        <v/>
      </c>
      <c r="BW41" s="26" t="str">
        <f t="shared" si="20"/>
        <v/>
      </c>
      <c r="BX41" s="27" t="str">
        <f t="shared" si="11"/>
        <v/>
      </c>
      <c r="BY41" s="15" t="str">
        <f t="shared" si="12"/>
        <v/>
      </c>
    </row>
    <row r="42" spans="1:77">
      <c r="A42" s="15" t="str">
        <f t="shared" si="13"/>
        <v/>
      </c>
      <c r="B42" s="15" t="str">
        <f t="shared" si="44"/>
        <v/>
      </c>
      <c r="C42" s="15" t="str">
        <f t="shared" si="45"/>
        <v/>
      </c>
      <c r="D42" s="15" t="str">
        <f t="shared" si="4"/>
        <v/>
      </c>
      <c r="E42" s="15" t="str">
        <f t="shared" si="5"/>
        <v/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P42" s="9" t="str">
        <f t="shared" si="6"/>
        <v/>
      </c>
      <c r="AQ42" s="9" t="str">
        <f t="shared" si="7"/>
        <v/>
      </c>
      <c r="AR42" s="9" t="str">
        <f t="shared" si="8"/>
        <v/>
      </c>
      <c r="AS42" s="9" t="str">
        <f t="shared" si="9"/>
        <v/>
      </c>
      <c r="AT42" s="25" t="str">
        <f t="shared" si="14"/>
        <v/>
      </c>
      <c r="AU42" s="25" t="str">
        <f t="shared" si="21"/>
        <v/>
      </c>
      <c r="AV42" s="25" t="str">
        <f t="shared" si="22"/>
        <v/>
      </c>
      <c r="AW42" s="25" t="str">
        <f t="shared" si="23"/>
        <v/>
      </c>
      <c r="AX42" s="25" t="str">
        <f t="shared" si="24"/>
        <v/>
      </c>
      <c r="AY42" s="25" t="str">
        <f t="shared" si="25"/>
        <v/>
      </c>
      <c r="AZ42" s="25" t="str">
        <f t="shared" si="26"/>
        <v/>
      </c>
      <c r="BA42" s="25" t="str">
        <f t="shared" si="27"/>
        <v/>
      </c>
      <c r="BB42" s="25" t="str">
        <f t="shared" si="28"/>
        <v/>
      </c>
      <c r="BC42" s="25" t="str">
        <f t="shared" si="29"/>
        <v/>
      </c>
      <c r="BD42" s="25" t="str">
        <f t="shared" si="30"/>
        <v/>
      </c>
      <c r="BE42" s="25" t="str">
        <f t="shared" si="31"/>
        <v/>
      </c>
      <c r="BF42" s="25" t="str">
        <f t="shared" si="32"/>
        <v/>
      </c>
      <c r="BG42" s="25" t="str">
        <f t="shared" si="33"/>
        <v/>
      </c>
      <c r="BH42" s="25" t="str">
        <f t="shared" si="34"/>
        <v/>
      </c>
      <c r="BI42" s="25" t="str">
        <f t="shared" si="35"/>
        <v/>
      </c>
      <c r="BJ42" s="25" t="str">
        <f t="shared" si="36"/>
        <v/>
      </c>
      <c r="BK42" s="25" t="str">
        <f t="shared" si="37"/>
        <v/>
      </c>
      <c r="BL42" s="25" t="str">
        <f t="shared" si="38"/>
        <v/>
      </c>
      <c r="BM42" s="25" t="str">
        <f t="shared" si="39"/>
        <v/>
      </c>
      <c r="BN42" s="25" t="str">
        <f t="shared" si="40"/>
        <v/>
      </c>
      <c r="BO42" s="25" t="str">
        <f t="shared" si="41"/>
        <v/>
      </c>
      <c r="BP42" s="25" t="str">
        <f t="shared" si="42"/>
        <v/>
      </c>
      <c r="BQ42" s="25" t="str">
        <f t="shared" si="43"/>
        <v/>
      </c>
      <c r="BR42" s="25" t="str">
        <f t="shared" si="15"/>
        <v/>
      </c>
      <c r="BS42" s="25" t="str">
        <f t="shared" si="16"/>
        <v/>
      </c>
      <c r="BT42" s="25" t="str">
        <f t="shared" si="17"/>
        <v/>
      </c>
      <c r="BU42" s="25" t="str">
        <f t="shared" si="18"/>
        <v/>
      </c>
      <c r="BV42" s="25" t="str">
        <f t="shared" si="19"/>
        <v/>
      </c>
      <c r="BW42" s="26" t="str">
        <f t="shared" si="20"/>
        <v/>
      </c>
      <c r="BX42" s="27" t="str">
        <f t="shared" si="11"/>
        <v/>
      </c>
      <c r="BY42" s="15" t="str">
        <f t="shared" si="12"/>
        <v/>
      </c>
    </row>
    <row r="43" spans="1:77">
      <c r="A43" s="15" t="str">
        <f t="shared" si="13"/>
        <v/>
      </c>
      <c r="B43" s="15" t="str">
        <f t="shared" si="44"/>
        <v/>
      </c>
      <c r="C43" s="15" t="str">
        <f t="shared" si="45"/>
        <v/>
      </c>
      <c r="D43" s="15" t="str">
        <f t="shared" si="4"/>
        <v/>
      </c>
      <c r="E43" s="15" t="str">
        <f t="shared" si="5"/>
        <v/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P43" s="9" t="str">
        <f t="shared" si="6"/>
        <v/>
      </c>
      <c r="AQ43" s="9" t="str">
        <f t="shared" si="7"/>
        <v/>
      </c>
      <c r="AR43" s="9" t="str">
        <f t="shared" si="8"/>
        <v/>
      </c>
      <c r="AS43" s="9" t="str">
        <f t="shared" si="9"/>
        <v/>
      </c>
      <c r="AT43" s="25" t="str">
        <f t="shared" si="14"/>
        <v/>
      </c>
      <c r="AU43" s="25" t="str">
        <f t="shared" si="21"/>
        <v/>
      </c>
      <c r="AV43" s="25" t="str">
        <f t="shared" si="22"/>
        <v/>
      </c>
      <c r="AW43" s="25" t="str">
        <f t="shared" si="23"/>
        <v/>
      </c>
      <c r="AX43" s="25" t="str">
        <f t="shared" si="24"/>
        <v/>
      </c>
      <c r="AY43" s="25" t="str">
        <f t="shared" si="25"/>
        <v/>
      </c>
      <c r="AZ43" s="25" t="str">
        <f t="shared" si="26"/>
        <v/>
      </c>
      <c r="BA43" s="25" t="str">
        <f t="shared" si="27"/>
        <v/>
      </c>
      <c r="BB43" s="25" t="str">
        <f t="shared" si="28"/>
        <v/>
      </c>
      <c r="BC43" s="25" t="str">
        <f t="shared" si="29"/>
        <v/>
      </c>
      <c r="BD43" s="25" t="str">
        <f t="shared" si="30"/>
        <v/>
      </c>
      <c r="BE43" s="25" t="str">
        <f t="shared" si="31"/>
        <v/>
      </c>
      <c r="BF43" s="25" t="str">
        <f t="shared" si="32"/>
        <v/>
      </c>
      <c r="BG43" s="25" t="str">
        <f t="shared" si="33"/>
        <v/>
      </c>
      <c r="BH43" s="25" t="str">
        <f t="shared" si="34"/>
        <v/>
      </c>
      <c r="BI43" s="25" t="str">
        <f t="shared" si="35"/>
        <v/>
      </c>
      <c r="BJ43" s="25" t="str">
        <f t="shared" si="36"/>
        <v/>
      </c>
      <c r="BK43" s="25" t="str">
        <f t="shared" si="37"/>
        <v/>
      </c>
      <c r="BL43" s="25" t="str">
        <f t="shared" si="38"/>
        <v/>
      </c>
      <c r="BM43" s="25" t="str">
        <f t="shared" si="39"/>
        <v/>
      </c>
      <c r="BN43" s="25" t="str">
        <f t="shared" si="40"/>
        <v/>
      </c>
      <c r="BO43" s="25" t="str">
        <f t="shared" si="41"/>
        <v/>
      </c>
      <c r="BP43" s="25" t="str">
        <f t="shared" si="42"/>
        <v/>
      </c>
      <c r="BQ43" s="25" t="str">
        <f t="shared" si="43"/>
        <v/>
      </c>
      <c r="BR43" s="25" t="str">
        <f t="shared" si="15"/>
        <v/>
      </c>
      <c r="BS43" s="25" t="str">
        <f t="shared" si="16"/>
        <v/>
      </c>
      <c r="BT43" s="25" t="str">
        <f t="shared" si="17"/>
        <v/>
      </c>
      <c r="BU43" s="25" t="str">
        <f t="shared" si="18"/>
        <v/>
      </c>
      <c r="BV43" s="25" t="str">
        <f t="shared" si="19"/>
        <v/>
      </c>
      <c r="BW43" s="26" t="str">
        <f t="shared" si="20"/>
        <v/>
      </c>
      <c r="BX43" s="27" t="str">
        <f t="shared" si="11"/>
        <v/>
      </c>
      <c r="BY43" s="15" t="str">
        <f t="shared" si="12"/>
        <v/>
      </c>
    </row>
    <row r="44" spans="1:77">
      <c r="A44" s="15" t="str">
        <f t="shared" si="13"/>
        <v/>
      </c>
      <c r="B44" s="15" t="str">
        <f t="shared" si="44"/>
        <v/>
      </c>
      <c r="C44" s="15" t="str">
        <f t="shared" si="45"/>
        <v/>
      </c>
      <c r="D44" s="15" t="str">
        <f t="shared" si="4"/>
        <v/>
      </c>
      <c r="E44" s="15" t="str">
        <f t="shared" si="5"/>
        <v/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P44" s="9" t="str">
        <f t="shared" si="6"/>
        <v/>
      </c>
      <c r="AQ44" s="9" t="str">
        <f t="shared" si="7"/>
        <v/>
      </c>
      <c r="AR44" s="9" t="str">
        <f t="shared" si="8"/>
        <v/>
      </c>
      <c r="AS44" s="9" t="str">
        <f t="shared" si="9"/>
        <v/>
      </c>
      <c r="AT44" s="25" t="str">
        <f t="shared" si="14"/>
        <v/>
      </c>
      <c r="AU44" s="25" t="str">
        <f t="shared" si="21"/>
        <v/>
      </c>
      <c r="AV44" s="25" t="str">
        <f t="shared" si="22"/>
        <v/>
      </c>
      <c r="AW44" s="25" t="str">
        <f t="shared" si="23"/>
        <v/>
      </c>
      <c r="AX44" s="25" t="str">
        <f t="shared" si="24"/>
        <v/>
      </c>
      <c r="AY44" s="25" t="str">
        <f t="shared" si="25"/>
        <v/>
      </c>
      <c r="AZ44" s="25" t="str">
        <f t="shared" si="26"/>
        <v/>
      </c>
      <c r="BA44" s="25" t="str">
        <f t="shared" si="27"/>
        <v/>
      </c>
      <c r="BB44" s="25" t="str">
        <f t="shared" si="28"/>
        <v/>
      </c>
      <c r="BC44" s="25" t="str">
        <f t="shared" si="29"/>
        <v/>
      </c>
      <c r="BD44" s="25" t="str">
        <f t="shared" si="30"/>
        <v/>
      </c>
      <c r="BE44" s="25" t="str">
        <f t="shared" si="31"/>
        <v/>
      </c>
      <c r="BF44" s="25" t="str">
        <f t="shared" si="32"/>
        <v/>
      </c>
      <c r="BG44" s="25" t="str">
        <f t="shared" si="33"/>
        <v/>
      </c>
      <c r="BH44" s="25" t="str">
        <f t="shared" si="34"/>
        <v/>
      </c>
      <c r="BI44" s="25" t="str">
        <f t="shared" si="35"/>
        <v/>
      </c>
      <c r="BJ44" s="25" t="str">
        <f t="shared" si="36"/>
        <v/>
      </c>
      <c r="BK44" s="25" t="str">
        <f t="shared" si="37"/>
        <v/>
      </c>
      <c r="BL44" s="25" t="str">
        <f t="shared" si="38"/>
        <v/>
      </c>
      <c r="BM44" s="25" t="str">
        <f t="shared" si="39"/>
        <v/>
      </c>
      <c r="BN44" s="25" t="str">
        <f t="shared" si="40"/>
        <v/>
      </c>
      <c r="BO44" s="25" t="str">
        <f t="shared" si="41"/>
        <v/>
      </c>
      <c r="BP44" s="25" t="str">
        <f t="shared" si="42"/>
        <v/>
      </c>
      <c r="BQ44" s="25" t="str">
        <f t="shared" si="43"/>
        <v/>
      </c>
      <c r="BR44" s="25" t="str">
        <f t="shared" si="15"/>
        <v/>
      </c>
      <c r="BS44" s="25" t="str">
        <f t="shared" si="16"/>
        <v/>
      </c>
      <c r="BT44" s="25" t="str">
        <f t="shared" si="17"/>
        <v/>
      </c>
      <c r="BU44" s="25" t="str">
        <f t="shared" si="18"/>
        <v/>
      </c>
      <c r="BV44" s="25" t="str">
        <f t="shared" si="19"/>
        <v/>
      </c>
      <c r="BW44" s="26" t="str">
        <f t="shared" si="20"/>
        <v/>
      </c>
      <c r="BX44" s="27" t="str">
        <f t="shared" si="11"/>
        <v/>
      </c>
      <c r="BY44" s="15" t="str">
        <f t="shared" si="12"/>
        <v/>
      </c>
    </row>
    <row r="45" spans="1:77">
      <c r="A45" s="15" t="str">
        <f t="shared" si="13"/>
        <v/>
      </c>
      <c r="B45" s="15" t="str">
        <f t="shared" si="44"/>
        <v/>
      </c>
      <c r="C45" s="15" t="str">
        <f t="shared" si="45"/>
        <v/>
      </c>
      <c r="D45" s="15" t="str">
        <f t="shared" si="4"/>
        <v/>
      </c>
      <c r="E45" s="15" t="str">
        <f t="shared" si="5"/>
        <v/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P45" s="9" t="str">
        <f t="shared" si="6"/>
        <v/>
      </c>
      <c r="AQ45" s="9" t="str">
        <f t="shared" si="7"/>
        <v/>
      </c>
      <c r="AR45" s="9" t="str">
        <f t="shared" si="8"/>
        <v/>
      </c>
      <c r="AS45" s="9" t="str">
        <f t="shared" si="9"/>
        <v/>
      </c>
      <c r="AT45" s="25" t="str">
        <f t="shared" si="14"/>
        <v/>
      </c>
      <c r="AU45" s="25" t="str">
        <f t="shared" si="21"/>
        <v/>
      </c>
      <c r="AV45" s="25" t="str">
        <f t="shared" si="22"/>
        <v/>
      </c>
      <c r="AW45" s="25" t="str">
        <f t="shared" si="23"/>
        <v/>
      </c>
      <c r="AX45" s="25" t="str">
        <f t="shared" si="24"/>
        <v/>
      </c>
      <c r="AY45" s="25" t="str">
        <f t="shared" si="25"/>
        <v/>
      </c>
      <c r="AZ45" s="25" t="str">
        <f t="shared" si="26"/>
        <v/>
      </c>
      <c r="BA45" s="25" t="str">
        <f t="shared" si="27"/>
        <v/>
      </c>
      <c r="BB45" s="25" t="str">
        <f t="shared" si="28"/>
        <v/>
      </c>
      <c r="BC45" s="25" t="str">
        <f t="shared" si="29"/>
        <v/>
      </c>
      <c r="BD45" s="25" t="str">
        <f t="shared" si="30"/>
        <v/>
      </c>
      <c r="BE45" s="25" t="str">
        <f t="shared" si="31"/>
        <v/>
      </c>
      <c r="BF45" s="25" t="str">
        <f t="shared" si="32"/>
        <v/>
      </c>
      <c r="BG45" s="25" t="str">
        <f t="shared" si="33"/>
        <v/>
      </c>
      <c r="BH45" s="25" t="str">
        <f t="shared" si="34"/>
        <v/>
      </c>
      <c r="BI45" s="25" t="str">
        <f t="shared" si="35"/>
        <v/>
      </c>
      <c r="BJ45" s="25" t="str">
        <f t="shared" si="36"/>
        <v/>
      </c>
      <c r="BK45" s="25" t="str">
        <f t="shared" si="37"/>
        <v/>
      </c>
      <c r="BL45" s="25" t="str">
        <f t="shared" si="38"/>
        <v/>
      </c>
      <c r="BM45" s="25" t="str">
        <f t="shared" si="39"/>
        <v/>
      </c>
      <c r="BN45" s="25" t="str">
        <f t="shared" si="40"/>
        <v/>
      </c>
      <c r="BO45" s="25" t="str">
        <f t="shared" si="41"/>
        <v/>
      </c>
      <c r="BP45" s="25" t="str">
        <f t="shared" si="42"/>
        <v/>
      </c>
      <c r="BQ45" s="25" t="str">
        <f t="shared" si="43"/>
        <v/>
      </c>
      <c r="BR45" s="25" t="str">
        <f t="shared" si="15"/>
        <v/>
      </c>
      <c r="BS45" s="25" t="str">
        <f t="shared" si="16"/>
        <v/>
      </c>
      <c r="BT45" s="25" t="str">
        <f t="shared" si="17"/>
        <v/>
      </c>
      <c r="BU45" s="25" t="str">
        <f t="shared" si="18"/>
        <v/>
      </c>
      <c r="BV45" s="25" t="str">
        <f t="shared" si="19"/>
        <v/>
      </c>
      <c r="BW45" s="26" t="str">
        <f t="shared" si="20"/>
        <v/>
      </c>
      <c r="BX45" s="27" t="str">
        <f t="shared" si="11"/>
        <v/>
      </c>
      <c r="BY45" s="15" t="str">
        <f t="shared" si="12"/>
        <v/>
      </c>
    </row>
    <row r="46" spans="1:77">
      <c r="A46" s="15" t="str">
        <f t="shared" si="13"/>
        <v/>
      </c>
      <c r="B46" s="15" t="str">
        <f t="shared" si="44"/>
        <v/>
      </c>
      <c r="C46" s="15" t="str">
        <f t="shared" si="45"/>
        <v/>
      </c>
      <c r="D46" s="15" t="str">
        <f t="shared" si="4"/>
        <v/>
      </c>
      <c r="E46" s="15" t="str">
        <f t="shared" si="5"/>
        <v/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P46" s="9" t="str">
        <f t="shared" si="6"/>
        <v/>
      </c>
      <c r="AQ46" s="9" t="str">
        <f t="shared" si="7"/>
        <v/>
      </c>
      <c r="AR46" s="9" t="str">
        <f t="shared" si="8"/>
        <v/>
      </c>
      <c r="AS46" s="9" t="str">
        <f t="shared" si="9"/>
        <v/>
      </c>
      <c r="AT46" s="25" t="str">
        <f t="shared" si="14"/>
        <v/>
      </c>
      <c r="AU46" s="25" t="str">
        <f t="shared" si="21"/>
        <v/>
      </c>
      <c r="AV46" s="25" t="str">
        <f t="shared" si="22"/>
        <v/>
      </c>
      <c r="AW46" s="25" t="str">
        <f t="shared" si="23"/>
        <v/>
      </c>
      <c r="AX46" s="25" t="str">
        <f t="shared" si="24"/>
        <v/>
      </c>
      <c r="AY46" s="25" t="str">
        <f t="shared" si="25"/>
        <v/>
      </c>
      <c r="AZ46" s="25" t="str">
        <f t="shared" si="26"/>
        <v/>
      </c>
      <c r="BA46" s="25" t="str">
        <f t="shared" si="27"/>
        <v/>
      </c>
      <c r="BB46" s="25" t="str">
        <f t="shared" si="28"/>
        <v/>
      </c>
      <c r="BC46" s="25" t="str">
        <f t="shared" si="29"/>
        <v/>
      </c>
      <c r="BD46" s="25" t="str">
        <f t="shared" si="30"/>
        <v/>
      </c>
      <c r="BE46" s="25" t="str">
        <f t="shared" si="31"/>
        <v/>
      </c>
      <c r="BF46" s="25" t="str">
        <f t="shared" si="32"/>
        <v/>
      </c>
      <c r="BG46" s="25" t="str">
        <f t="shared" si="33"/>
        <v/>
      </c>
      <c r="BH46" s="25" t="str">
        <f t="shared" si="34"/>
        <v/>
      </c>
      <c r="BI46" s="25" t="str">
        <f t="shared" si="35"/>
        <v/>
      </c>
      <c r="BJ46" s="25" t="str">
        <f t="shared" si="36"/>
        <v/>
      </c>
      <c r="BK46" s="25" t="str">
        <f t="shared" si="37"/>
        <v/>
      </c>
      <c r="BL46" s="25" t="str">
        <f t="shared" si="38"/>
        <v/>
      </c>
      <c r="BM46" s="25" t="str">
        <f t="shared" si="39"/>
        <v/>
      </c>
      <c r="BN46" s="25" t="str">
        <f t="shared" si="40"/>
        <v/>
      </c>
      <c r="BO46" s="25" t="str">
        <f t="shared" si="41"/>
        <v/>
      </c>
      <c r="BP46" s="25" t="str">
        <f t="shared" si="42"/>
        <v/>
      </c>
      <c r="BQ46" s="25" t="str">
        <f t="shared" si="43"/>
        <v/>
      </c>
      <c r="BR46" s="25" t="str">
        <f t="shared" si="15"/>
        <v/>
      </c>
      <c r="BS46" s="25" t="str">
        <f t="shared" si="16"/>
        <v/>
      </c>
      <c r="BT46" s="25" t="str">
        <f t="shared" si="17"/>
        <v/>
      </c>
      <c r="BU46" s="25" t="str">
        <f t="shared" si="18"/>
        <v/>
      </c>
      <c r="BV46" s="25" t="str">
        <f t="shared" si="19"/>
        <v/>
      </c>
      <c r="BW46" s="26" t="str">
        <f t="shared" si="20"/>
        <v/>
      </c>
      <c r="BX46" s="27" t="str">
        <f t="shared" si="11"/>
        <v/>
      </c>
      <c r="BY46" s="15" t="str">
        <f t="shared" si="12"/>
        <v/>
      </c>
    </row>
    <row r="47" spans="1:77">
      <c r="A47" s="15" t="str">
        <f t="shared" si="13"/>
        <v/>
      </c>
      <c r="B47" s="15" t="str">
        <f t="shared" si="44"/>
        <v/>
      </c>
      <c r="C47" s="15" t="str">
        <f t="shared" si="45"/>
        <v/>
      </c>
      <c r="D47" s="15" t="str">
        <f t="shared" si="4"/>
        <v/>
      </c>
      <c r="E47" s="15" t="str">
        <f t="shared" si="5"/>
        <v/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P47" s="9" t="str">
        <f t="shared" si="6"/>
        <v/>
      </c>
      <c r="AQ47" s="9" t="str">
        <f t="shared" si="7"/>
        <v/>
      </c>
      <c r="AR47" s="9" t="str">
        <f t="shared" si="8"/>
        <v/>
      </c>
      <c r="AS47" s="9" t="str">
        <f t="shared" si="9"/>
        <v/>
      </c>
      <c r="AT47" s="25" t="str">
        <f t="shared" si="14"/>
        <v/>
      </c>
      <c r="AU47" s="25" t="str">
        <f t="shared" si="21"/>
        <v/>
      </c>
      <c r="AV47" s="25" t="str">
        <f t="shared" si="22"/>
        <v/>
      </c>
      <c r="AW47" s="25" t="str">
        <f t="shared" si="23"/>
        <v/>
      </c>
      <c r="AX47" s="25" t="str">
        <f t="shared" si="24"/>
        <v/>
      </c>
      <c r="AY47" s="25" t="str">
        <f t="shared" si="25"/>
        <v/>
      </c>
      <c r="AZ47" s="25" t="str">
        <f t="shared" si="26"/>
        <v/>
      </c>
      <c r="BA47" s="25" t="str">
        <f t="shared" si="27"/>
        <v/>
      </c>
      <c r="BB47" s="25" t="str">
        <f t="shared" si="28"/>
        <v/>
      </c>
      <c r="BC47" s="25" t="str">
        <f t="shared" si="29"/>
        <v/>
      </c>
      <c r="BD47" s="25" t="str">
        <f t="shared" si="30"/>
        <v/>
      </c>
      <c r="BE47" s="25" t="str">
        <f t="shared" si="31"/>
        <v/>
      </c>
      <c r="BF47" s="25" t="str">
        <f t="shared" si="32"/>
        <v/>
      </c>
      <c r="BG47" s="25" t="str">
        <f t="shared" si="33"/>
        <v/>
      </c>
      <c r="BH47" s="25" t="str">
        <f t="shared" si="34"/>
        <v/>
      </c>
      <c r="BI47" s="25" t="str">
        <f t="shared" si="35"/>
        <v/>
      </c>
      <c r="BJ47" s="25" t="str">
        <f t="shared" si="36"/>
        <v/>
      </c>
      <c r="BK47" s="25" t="str">
        <f t="shared" si="37"/>
        <v/>
      </c>
      <c r="BL47" s="25" t="str">
        <f t="shared" si="38"/>
        <v/>
      </c>
      <c r="BM47" s="25" t="str">
        <f t="shared" si="39"/>
        <v/>
      </c>
      <c r="BN47" s="25" t="str">
        <f t="shared" si="40"/>
        <v/>
      </c>
      <c r="BO47" s="25" t="str">
        <f t="shared" si="41"/>
        <v/>
      </c>
      <c r="BP47" s="25" t="str">
        <f t="shared" si="42"/>
        <v/>
      </c>
      <c r="BQ47" s="25" t="str">
        <f t="shared" si="43"/>
        <v/>
      </c>
      <c r="BR47" s="25" t="str">
        <f t="shared" si="15"/>
        <v/>
      </c>
      <c r="BS47" s="25" t="str">
        <f t="shared" si="16"/>
        <v/>
      </c>
      <c r="BT47" s="25" t="str">
        <f t="shared" si="17"/>
        <v/>
      </c>
      <c r="BU47" s="25" t="str">
        <f t="shared" si="18"/>
        <v/>
      </c>
      <c r="BV47" s="25" t="str">
        <f t="shared" si="19"/>
        <v/>
      </c>
      <c r="BW47" s="26" t="str">
        <f t="shared" si="20"/>
        <v/>
      </c>
      <c r="BX47" s="27" t="str">
        <f t="shared" si="11"/>
        <v/>
      </c>
      <c r="BY47" s="15" t="str">
        <f t="shared" si="12"/>
        <v/>
      </c>
    </row>
    <row r="48" spans="1:77">
      <c r="A48" s="15" t="str">
        <f t="shared" si="13"/>
        <v/>
      </c>
      <c r="B48" s="15" t="str">
        <f t="shared" si="44"/>
        <v/>
      </c>
      <c r="C48" s="15" t="str">
        <f t="shared" si="45"/>
        <v/>
      </c>
      <c r="D48" s="15" t="str">
        <f t="shared" si="4"/>
        <v/>
      </c>
      <c r="E48" s="15" t="str">
        <f t="shared" si="5"/>
        <v/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P48" s="9" t="str">
        <f t="shared" si="6"/>
        <v/>
      </c>
      <c r="AQ48" s="9" t="str">
        <f t="shared" si="7"/>
        <v/>
      </c>
      <c r="AR48" s="9" t="str">
        <f t="shared" si="8"/>
        <v/>
      </c>
      <c r="AS48" s="9" t="str">
        <f t="shared" si="9"/>
        <v/>
      </c>
      <c r="AT48" s="25" t="str">
        <f t="shared" si="14"/>
        <v/>
      </c>
      <c r="AU48" s="25" t="str">
        <f t="shared" si="21"/>
        <v/>
      </c>
      <c r="AV48" s="25" t="str">
        <f t="shared" si="22"/>
        <v/>
      </c>
      <c r="AW48" s="25" t="str">
        <f t="shared" si="23"/>
        <v/>
      </c>
      <c r="AX48" s="25" t="str">
        <f t="shared" si="24"/>
        <v/>
      </c>
      <c r="AY48" s="25" t="str">
        <f t="shared" si="25"/>
        <v/>
      </c>
      <c r="AZ48" s="25" t="str">
        <f t="shared" si="26"/>
        <v/>
      </c>
      <c r="BA48" s="25" t="str">
        <f t="shared" si="27"/>
        <v/>
      </c>
      <c r="BB48" s="25" t="str">
        <f t="shared" si="28"/>
        <v/>
      </c>
      <c r="BC48" s="25" t="str">
        <f t="shared" si="29"/>
        <v/>
      </c>
      <c r="BD48" s="25" t="str">
        <f t="shared" si="30"/>
        <v/>
      </c>
      <c r="BE48" s="25" t="str">
        <f t="shared" si="31"/>
        <v/>
      </c>
      <c r="BF48" s="25" t="str">
        <f t="shared" si="32"/>
        <v/>
      </c>
      <c r="BG48" s="25" t="str">
        <f t="shared" si="33"/>
        <v/>
      </c>
      <c r="BH48" s="25" t="str">
        <f t="shared" si="34"/>
        <v/>
      </c>
      <c r="BI48" s="25" t="str">
        <f t="shared" si="35"/>
        <v/>
      </c>
      <c r="BJ48" s="25" t="str">
        <f t="shared" si="36"/>
        <v/>
      </c>
      <c r="BK48" s="25" t="str">
        <f t="shared" si="37"/>
        <v/>
      </c>
      <c r="BL48" s="25" t="str">
        <f t="shared" si="38"/>
        <v/>
      </c>
      <c r="BM48" s="25" t="str">
        <f t="shared" si="39"/>
        <v/>
      </c>
      <c r="BN48" s="25" t="str">
        <f t="shared" si="40"/>
        <v/>
      </c>
      <c r="BO48" s="25" t="str">
        <f t="shared" si="41"/>
        <v/>
      </c>
      <c r="BP48" s="25" t="str">
        <f t="shared" si="42"/>
        <v/>
      </c>
      <c r="BQ48" s="25" t="str">
        <f t="shared" si="43"/>
        <v/>
      </c>
      <c r="BR48" s="25" t="str">
        <f t="shared" si="15"/>
        <v/>
      </c>
      <c r="BS48" s="25" t="str">
        <f t="shared" si="16"/>
        <v/>
      </c>
      <c r="BT48" s="25" t="str">
        <f t="shared" si="17"/>
        <v/>
      </c>
      <c r="BU48" s="25" t="str">
        <f t="shared" si="18"/>
        <v/>
      </c>
      <c r="BV48" s="25" t="str">
        <f t="shared" si="19"/>
        <v/>
      </c>
      <c r="BW48" s="26" t="str">
        <f t="shared" si="20"/>
        <v/>
      </c>
      <c r="BX48" s="27" t="str">
        <f t="shared" si="11"/>
        <v/>
      </c>
      <c r="BY48" s="15" t="str">
        <f t="shared" si="12"/>
        <v/>
      </c>
    </row>
    <row r="49" spans="1:77">
      <c r="A49" s="15" t="str">
        <f t="shared" si="13"/>
        <v/>
      </c>
      <c r="B49" s="15" t="str">
        <f t="shared" si="44"/>
        <v/>
      </c>
      <c r="C49" s="15" t="str">
        <f t="shared" si="45"/>
        <v/>
      </c>
      <c r="D49" s="15" t="str">
        <f t="shared" si="4"/>
        <v/>
      </c>
      <c r="E49" s="15" t="str">
        <f t="shared" si="5"/>
        <v/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P49" s="9" t="str">
        <f t="shared" si="6"/>
        <v/>
      </c>
      <c r="AQ49" s="9" t="str">
        <f t="shared" si="7"/>
        <v/>
      </c>
      <c r="AR49" s="9" t="str">
        <f t="shared" si="8"/>
        <v/>
      </c>
      <c r="AS49" s="9" t="str">
        <f t="shared" si="9"/>
        <v/>
      </c>
      <c r="AT49" s="25" t="str">
        <f t="shared" si="14"/>
        <v/>
      </c>
      <c r="AU49" s="25" t="str">
        <f t="shared" si="21"/>
        <v/>
      </c>
      <c r="AV49" s="25" t="str">
        <f t="shared" si="22"/>
        <v/>
      </c>
      <c r="AW49" s="25" t="str">
        <f t="shared" si="23"/>
        <v/>
      </c>
      <c r="AX49" s="25" t="str">
        <f t="shared" si="24"/>
        <v/>
      </c>
      <c r="AY49" s="25" t="str">
        <f t="shared" si="25"/>
        <v/>
      </c>
      <c r="AZ49" s="25" t="str">
        <f t="shared" si="26"/>
        <v/>
      </c>
      <c r="BA49" s="25" t="str">
        <f t="shared" si="27"/>
        <v/>
      </c>
      <c r="BB49" s="25" t="str">
        <f t="shared" si="28"/>
        <v/>
      </c>
      <c r="BC49" s="25" t="str">
        <f t="shared" si="29"/>
        <v/>
      </c>
      <c r="BD49" s="25" t="str">
        <f t="shared" si="30"/>
        <v/>
      </c>
      <c r="BE49" s="25" t="str">
        <f t="shared" si="31"/>
        <v/>
      </c>
      <c r="BF49" s="25" t="str">
        <f t="shared" si="32"/>
        <v/>
      </c>
      <c r="BG49" s="25" t="str">
        <f t="shared" si="33"/>
        <v/>
      </c>
      <c r="BH49" s="25" t="str">
        <f t="shared" si="34"/>
        <v/>
      </c>
      <c r="BI49" s="25" t="str">
        <f t="shared" si="35"/>
        <v/>
      </c>
      <c r="BJ49" s="25" t="str">
        <f t="shared" si="36"/>
        <v/>
      </c>
      <c r="BK49" s="25" t="str">
        <f t="shared" si="37"/>
        <v/>
      </c>
      <c r="BL49" s="25" t="str">
        <f t="shared" si="38"/>
        <v/>
      </c>
      <c r="BM49" s="25" t="str">
        <f t="shared" si="39"/>
        <v/>
      </c>
      <c r="BN49" s="25" t="str">
        <f t="shared" si="40"/>
        <v/>
      </c>
      <c r="BO49" s="25" t="str">
        <f t="shared" si="41"/>
        <v/>
      </c>
      <c r="BP49" s="25" t="str">
        <f t="shared" si="42"/>
        <v/>
      </c>
      <c r="BQ49" s="25" t="str">
        <f t="shared" si="43"/>
        <v/>
      </c>
      <c r="BR49" s="25" t="str">
        <f t="shared" si="15"/>
        <v/>
      </c>
      <c r="BS49" s="25" t="str">
        <f t="shared" si="16"/>
        <v/>
      </c>
      <c r="BT49" s="25" t="str">
        <f t="shared" si="17"/>
        <v/>
      </c>
      <c r="BU49" s="25" t="str">
        <f t="shared" si="18"/>
        <v/>
      </c>
      <c r="BV49" s="25" t="str">
        <f t="shared" si="19"/>
        <v/>
      </c>
      <c r="BW49" s="26" t="str">
        <f t="shared" si="20"/>
        <v/>
      </c>
      <c r="BX49" s="27" t="str">
        <f t="shared" si="11"/>
        <v/>
      </c>
      <c r="BY49" s="15" t="str">
        <f t="shared" si="12"/>
        <v/>
      </c>
    </row>
    <row r="50" spans="1:77">
      <c r="A50" s="15" t="str">
        <f t="shared" si="13"/>
        <v/>
      </c>
      <c r="B50" s="15" t="str">
        <f t="shared" si="44"/>
        <v/>
      </c>
      <c r="C50" s="15" t="str">
        <f t="shared" si="45"/>
        <v/>
      </c>
      <c r="D50" s="15" t="str">
        <f>IF(F50="","",$D$6)</f>
        <v/>
      </c>
      <c r="E50" s="15" t="str">
        <f t="shared" si="5"/>
        <v/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P50" s="9" t="str">
        <f t="shared" si="6"/>
        <v/>
      </c>
      <c r="AQ50" s="9" t="str">
        <f t="shared" si="7"/>
        <v/>
      </c>
      <c r="AR50" s="9" t="str">
        <f t="shared" si="8"/>
        <v/>
      </c>
      <c r="AS50" s="9" t="str">
        <f t="shared" si="9"/>
        <v/>
      </c>
      <c r="AT50" s="25" t="str">
        <f t="shared" si="14"/>
        <v/>
      </c>
      <c r="AU50" s="25" t="str">
        <f t="shared" si="21"/>
        <v/>
      </c>
      <c r="AV50" s="25" t="str">
        <f t="shared" si="22"/>
        <v/>
      </c>
      <c r="AW50" s="25" t="str">
        <f t="shared" si="23"/>
        <v/>
      </c>
      <c r="AX50" s="25" t="str">
        <f t="shared" si="24"/>
        <v/>
      </c>
      <c r="AY50" s="25" t="str">
        <f t="shared" si="25"/>
        <v/>
      </c>
      <c r="AZ50" s="25" t="str">
        <f t="shared" si="26"/>
        <v/>
      </c>
      <c r="BA50" s="25" t="str">
        <f t="shared" si="27"/>
        <v/>
      </c>
      <c r="BB50" s="25" t="str">
        <f t="shared" si="28"/>
        <v/>
      </c>
      <c r="BC50" s="25" t="str">
        <f t="shared" si="29"/>
        <v/>
      </c>
      <c r="BD50" s="25" t="str">
        <f t="shared" si="30"/>
        <v/>
      </c>
      <c r="BE50" s="25" t="str">
        <f t="shared" si="31"/>
        <v/>
      </c>
      <c r="BF50" s="25" t="str">
        <f t="shared" si="32"/>
        <v/>
      </c>
      <c r="BG50" s="25" t="str">
        <f t="shared" si="33"/>
        <v/>
      </c>
      <c r="BH50" s="25" t="str">
        <f t="shared" si="34"/>
        <v/>
      </c>
      <c r="BI50" s="25" t="str">
        <f t="shared" si="35"/>
        <v/>
      </c>
      <c r="BJ50" s="25" t="str">
        <f t="shared" si="36"/>
        <v/>
      </c>
      <c r="BK50" s="25" t="str">
        <f t="shared" si="37"/>
        <v/>
      </c>
      <c r="BL50" s="25" t="str">
        <f t="shared" si="38"/>
        <v/>
      </c>
      <c r="BM50" s="25" t="str">
        <f t="shared" si="39"/>
        <v/>
      </c>
      <c r="BN50" s="25" t="str">
        <f t="shared" si="40"/>
        <v/>
      </c>
      <c r="BO50" s="25" t="str">
        <f t="shared" si="41"/>
        <v/>
      </c>
      <c r="BP50" s="25" t="str">
        <f t="shared" si="42"/>
        <v/>
      </c>
      <c r="BQ50" s="25" t="str">
        <f t="shared" si="43"/>
        <v/>
      </c>
      <c r="BR50" s="25" t="str">
        <f t="shared" si="15"/>
        <v/>
      </c>
      <c r="BS50" s="25" t="str">
        <f t="shared" si="16"/>
        <v/>
      </c>
      <c r="BT50" s="25" t="str">
        <f t="shared" si="17"/>
        <v/>
      </c>
      <c r="BU50" s="25" t="str">
        <f t="shared" si="18"/>
        <v/>
      </c>
      <c r="BV50" s="25" t="str">
        <f t="shared" si="19"/>
        <v/>
      </c>
      <c r="BW50" s="26" t="str">
        <f t="shared" si="20"/>
        <v/>
      </c>
      <c r="BX50" s="27" t="str">
        <f t="shared" si="11"/>
        <v/>
      </c>
      <c r="BY50" s="15" t="str">
        <f t="shared" si="12"/>
        <v/>
      </c>
    </row>
    <row r="51" spans="1:77">
      <c r="A51" s="15" t="str">
        <f t="shared" si="13"/>
        <v/>
      </c>
      <c r="B51" s="15" t="str">
        <f t="shared" si="44"/>
        <v/>
      </c>
      <c r="C51" s="15" t="str">
        <f t="shared" si="45"/>
        <v/>
      </c>
      <c r="D51" s="15" t="str">
        <f t="shared" si="4"/>
        <v/>
      </c>
      <c r="E51" s="15" t="str">
        <f t="shared" si="5"/>
        <v/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P51" s="9" t="str">
        <f t="shared" si="6"/>
        <v/>
      </c>
      <c r="AQ51" s="9" t="str">
        <f t="shared" si="7"/>
        <v/>
      </c>
      <c r="AR51" s="9" t="str">
        <f t="shared" si="8"/>
        <v/>
      </c>
      <c r="AS51" s="9" t="str">
        <f t="shared" si="9"/>
        <v/>
      </c>
      <c r="AT51" s="25" t="str">
        <f t="shared" si="14"/>
        <v/>
      </c>
      <c r="AU51" s="25" t="str">
        <f t="shared" si="21"/>
        <v/>
      </c>
      <c r="AV51" s="25" t="str">
        <f t="shared" si="22"/>
        <v/>
      </c>
      <c r="AW51" s="25" t="str">
        <f t="shared" si="23"/>
        <v/>
      </c>
      <c r="AX51" s="25" t="str">
        <f t="shared" si="24"/>
        <v/>
      </c>
      <c r="AY51" s="25" t="str">
        <f t="shared" si="25"/>
        <v/>
      </c>
      <c r="AZ51" s="25" t="str">
        <f t="shared" si="26"/>
        <v/>
      </c>
      <c r="BA51" s="25" t="str">
        <f t="shared" si="27"/>
        <v/>
      </c>
      <c r="BB51" s="25" t="str">
        <f t="shared" si="28"/>
        <v/>
      </c>
      <c r="BC51" s="25" t="str">
        <f t="shared" si="29"/>
        <v/>
      </c>
      <c r="BD51" s="25" t="str">
        <f t="shared" si="30"/>
        <v/>
      </c>
      <c r="BE51" s="25" t="str">
        <f t="shared" si="31"/>
        <v/>
      </c>
      <c r="BF51" s="25" t="str">
        <f t="shared" si="32"/>
        <v/>
      </c>
      <c r="BG51" s="25" t="str">
        <f t="shared" si="33"/>
        <v/>
      </c>
      <c r="BH51" s="25" t="str">
        <f t="shared" si="34"/>
        <v/>
      </c>
      <c r="BI51" s="25" t="str">
        <f t="shared" si="35"/>
        <v/>
      </c>
      <c r="BJ51" s="25" t="str">
        <f t="shared" si="36"/>
        <v/>
      </c>
      <c r="BK51" s="25" t="str">
        <f t="shared" si="37"/>
        <v/>
      </c>
      <c r="BL51" s="25" t="str">
        <f t="shared" si="38"/>
        <v/>
      </c>
      <c r="BM51" s="25" t="str">
        <f t="shared" si="39"/>
        <v/>
      </c>
      <c r="BN51" s="25" t="str">
        <f t="shared" si="40"/>
        <v/>
      </c>
      <c r="BO51" s="25" t="str">
        <f t="shared" si="41"/>
        <v/>
      </c>
      <c r="BP51" s="25" t="str">
        <f t="shared" si="42"/>
        <v/>
      </c>
      <c r="BQ51" s="25" t="str">
        <f t="shared" si="43"/>
        <v/>
      </c>
      <c r="BR51" s="25" t="str">
        <f t="shared" si="15"/>
        <v/>
      </c>
      <c r="BS51" s="25" t="str">
        <f t="shared" si="16"/>
        <v/>
      </c>
      <c r="BT51" s="25" t="str">
        <f t="shared" si="17"/>
        <v/>
      </c>
      <c r="BU51" s="25" t="str">
        <f t="shared" si="18"/>
        <v/>
      </c>
      <c r="BV51" s="25" t="str">
        <f t="shared" si="19"/>
        <v/>
      </c>
      <c r="BW51" s="25" t="str">
        <f t="shared" si="20"/>
        <v/>
      </c>
      <c r="BX51" s="27" t="str">
        <f t="shared" si="11"/>
        <v/>
      </c>
      <c r="BY51" s="15" t="str">
        <f t="shared" si="12"/>
        <v/>
      </c>
    </row>
    <row r="52" spans="1:77">
      <c r="A52" s="15" t="str">
        <f t="shared" si="13"/>
        <v/>
      </c>
      <c r="B52" s="15" t="str">
        <f t="shared" si="44"/>
        <v/>
      </c>
      <c r="C52" s="15" t="str">
        <f t="shared" si="45"/>
        <v/>
      </c>
      <c r="D52" s="15" t="str">
        <f t="shared" si="4"/>
        <v/>
      </c>
      <c r="E52" s="15" t="str">
        <f t="shared" si="5"/>
        <v/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P52" s="9" t="str">
        <f t="shared" si="6"/>
        <v/>
      </c>
      <c r="AQ52" s="9" t="str">
        <f t="shared" si="7"/>
        <v/>
      </c>
      <c r="AR52" s="9" t="str">
        <f t="shared" si="8"/>
        <v/>
      </c>
      <c r="AS52" s="9" t="str">
        <f t="shared" si="9"/>
        <v/>
      </c>
      <c r="AT52" s="25" t="str">
        <f t="shared" si="14"/>
        <v/>
      </c>
      <c r="AU52" s="25" t="str">
        <f t="shared" si="21"/>
        <v/>
      </c>
      <c r="AV52" s="25" t="str">
        <f t="shared" si="22"/>
        <v/>
      </c>
      <c r="AW52" s="25" t="str">
        <f t="shared" si="23"/>
        <v/>
      </c>
      <c r="AX52" s="25" t="str">
        <f t="shared" si="24"/>
        <v/>
      </c>
      <c r="AY52" s="25" t="str">
        <f t="shared" si="25"/>
        <v/>
      </c>
      <c r="AZ52" s="25" t="str">
        <f t="shared" si="26"/>
        <v/>
      </c>
      <c r="BA52" s="25" t="str">
        <f t="shared" si="27"/>
        <v/>
      </c>
      <c r="BB52" s="25" t="str">
        <f t="shared" si="28"/>
        <v/>
      </c>
      <c r="BC52" s="25" t="str">
        <f t="shared" si="29"/>
        <v/>
      </c>
      <c r="BD52" s="25" t="str">
        <f t="shared" si="30"/>
        <v/>
      </c>
      <c r="BE52" s="25" t="str">
        <f t="shared" si="31"/>
        <v/>
      </c>
      <c r="BF52" s="25" t="str">
        <f t="shared" si="32"/>
        <v/>
      </c>
      <c r="BG52" s="25" t="str">
        <f t="shared" si="33"/>
        <v/>
      </c>
      <c r="BH52" s="25" t="str">
        <f t="shared" si="34"/>
        <v/>
      </c>
      <c r="BI52" s="25" t="str">
        <f t="shared" si="35"/>
        <v/>
      </c>
      <c r="BJ52" s="25" t="str">
        <f t="shared" si="36"/>
        <v/>
      </c>
      <c r="BK52" s="25" t="str">
        <f t="shared" si="37"/>
        <v/>
      </c>
      <c r="BL52" s="25" t="str">
        <f t="shared" si="38"/>
        <v/>
      </c>
      <c r="BM52" s="25" t="str">
        <f t="shared" si="39"/>
        <v/>
      </c>
      <c r="BN52" s="25" t="str">
        <f t="shared" si="40"/>
        <v/>
      </c>
      <c r="BO52" s="25" t="str">
        <f t="shared" si="41"/>
        <v/>
      </c>
      <c r="BP52" s="25" t="str">
        <f t="shared" si="42"/>
        <v/>
      </c>
      <c r="BQ52" s="25" t="str">
        <f t="shared" si="43"/>
        <v/>
      </c>
      <c r="BR52" s="25" t="str">
        <f t="shared" si="15"/>
        <v/>
      </c>
      <c r="BS52" s="25" t="str">
        <f t="shared" si="16"/>
        <v/>
      </c>
      <c r="BT52" s="25" t="str">
        <f t="shared" si="17"/>
        <v/>
      </c>
      <c r="BU52" s="25" t="str">
        <f t="shared" si="18"/>
        <v/>
      </c>
      <c r="BV52" s="25" t="str">
        <f t="shared" si="19"/>
        <v/>
      </c>
      <c r="BW52" s="25" t="str">
        <f t="shared" si="20"/>
        <v/>
      </c>
      <c r="BX52" s="27" t="str">
        <f>IF(AS52="","",SUM(AT52:BW52))</f>
        <v/>
      </c>
      <c r="BY52" s="15" t="str">
        <f t="shared" si="12"/>
        <v/>
      </c>
    </row>
    <row r="53" spans="1:77">
      <c r="A53" s="15" t="str">
        <f t="shared" si="13"/>
        <v/>
      </c>
      <c r="B53" s="15" t="str">
        <f t="shared" si="44"/>
        <v/>
      </c>
      <c r="C53" s="15" t="str">
        <f t="shared" si="45"/>
        <v/>
      </c>
      <c r="D53" s="15" t="str">
        <f t="shared" si="4"/>
        <v/>
      </c>
      <c r="E53" s="15" t="str">
        <f t="shared" si="5"/>
        <v/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P53" s="9" t="str">
        <f t="shared" si="6"/>
        <v/>
      </c>
      <c r="AQ53" s="9" t="str">
        <f t="shared" si="7"/>
        <v/>
      </c>
      <c r="AR53" s="9" t="str">
        <f t="shared" si="8"/>
        <v/>
      </c>
      <c r="AS53" s="9" t="str">
        <f t="shared" si="9"/>
        <v/>
      </c>
      <c r="AT53" s="25" t="str">
        <f t="shared" si="14"/>
        <v/>
      </c>
      <c r="AU53" s="25" t="str">
        <f t="shared" si="21"/>
        <v/>
      </c>
      <c r="AV53" s="25" t="str">
        <f t="shared" si="22"/>
        <v/>
      </c>
      <c r="AW53" s="25" t="str">
        <f t="shared" si="23"/>
        <v/>
      </c>
      <c r="AX53" s="25" t="str">
        <f t="shared" si="24"/>
        <v/>
      </c>
      <c r="AY53" s="25" t="str">
        <f t="shared" si="25"/>
        <v/>
      </c>
      <c r="AZ53" s="25" t="str">
        <f t="shared" si="26"/>
        <v/>
      </c>
      <c r="BA53" s="25" t="str">
        <f t="shared" si="27"/>
        <v/>
      </c>
      <c r="BB53" s="25" t="str">
        <f t="shared" si="28"/>
        <v/>
      </c>
      <c r="BC53" s="25" t="str">
        <f t="shared" si="29"/>
        <v/>
      </c>
      <c r="BD53" s="25" t="str">
        <f t="shared" si="30"/>
        <v/>
      </c>
      <c r="BE53" s="25" t="str">
        <f t="shared" si="31"/>
        <v/>
      </c>
      <c r="BF53" s="25" t="str">
        <f t="shared" si="32"/>
        <v/>
      </c>
      <c r="BG53" s="25" t="str">
        <f t="shared" si="33"/>
        <v/>
      </c>
      <c r="BH53" s="25" t="str">
        <f t="shared" si="34"/>
        <v/>
      </c>
      <c r="BI53" s="25" t="str">
        <f t="shared" si="35"/>
        <v/>
      </c>
      <c r="BJ53" s="25" t="str">
        <f t="shared" si="36"/>
        <v/>
      </c>
      <c r="BK53" s="25" t="str">
        <f t="shared" si="37"/>
        <v/>
      </c>
      <c r="BL53" s="25" t="str">
        <f t="shared" si="38"/>
        <v/>
      </c>
      <c r="BM53" s="25" t="str">
        <f t="shared" si="39"/>
        <v/>
      </c>
      <c r="BN53" s="25" t="str">
        <f t="shared" si="40"/>
        <v/>
      </c>
      <c r="BO53" s="25" t="str">
        <f t="shared" si="41"/>
        <v/>
      </c>
      <c r="BP53" s="25" t="str">
        <f t="shared" si="42"/>
        <v/>
      </c>
      <c r="BQ53" s="25" t="str">
        <f t="shared" si="43"/>
        <v/>
      </c>
      <c r="BR53" s="25" t="str">
        <f t="shared" si="15"/>
        <v/>
      </c>
      <c r="BS53" s="25" t="str">
        <f t="shared" si="16"/>
        <v/>
      </c>
      <c r="BT53" s="25" t="str">
        <f t="shared" si="17"/>
        <v/>
      </c>
      <c r="BU53" s="25" t="str">
        <f t="shared" si="18"/>
        <v/>
      </c>
      <c r="BV53" s="25" t="str">
        <f t="shared" si="19"/>
        <v/>
      </c>
      <c r="BW53" s="25" t="str">
        <f t="shared" si="20"/>
        <v/>
      </c>
      <c r="BX53" s="27" t="str">
        <f t="shared" si="11"/>
        <v/>
      </c>
      <c r="BY53" s="15" t="str">
        <f t="shared" si="12"/>
        <v/>
      </c>
    </row>
    <row r="54" spans="1:77">
      <c r="A54" s="15" t="str">
        <f t="shared" si="13"/>
        <v/>
      </c>
      <c r="B54" s="15" t="str">
        <f t="shared" si="44"/>
        <v/>
      </c>
      <c r="C54" s="15" t="str">
        <f t="shared" si="45"/>
        <v/>
      </c>
      <c r="D54" s="15" t="str">
        <f t="shared" si="4"/>
        <v/>
      </c>
      <c r="E54" s="15" t="str">
        <f t="shared" si="5"/>
        <v/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P54" s="9" t="str">
        <f t="shared" si="6"/>
        <v/>
      </c>
      <c r="AQ54" s="9" t="str">
        <f t="shared" si="7"/>
        <v/>
      </c>
      <c r="AR54" s="9" t="str">
        <f t="shared" si="8"/>
        <v/>
      </c>
      <c r="AS54" s="9" t="str">
        <f t="shared" si="9"/>
        <v/>
      </c>
      <c r="AT54" s="25" t="str">
        <f t="shared" si="14"/>
        <v/>
      </c>
      <c r="AU54" s="25" t="str">
        <f t="shared" si="21"/>
        <v/>
      </c>
      <c r="AV54" s="25" t="str">
        <f t="shared" si="22"/>
        <v/>
      </c>
      <c r="AW54" s="25" t="str">
        <f t="shared" si="23"/>
        <v/>
      </c>
      <c r="AX54" s="25" t="str">
        <f t="shared" si="24"/>
        <v/>
      </c>
      <c r="AY54" s="25" t="str">
        <f t="shared" si="25"/>
        <v/>
      </c>
      <c r="AZ54" s="25" t="str">
        <f t="shared" si="26"/>
        <v/>
      </c>
      <c r="BA54" s="25" t="str">
        <f t="shared" si="27"/>
        <v/>
      </c>
      <c r="BB54" s="25" t="str">
        <f t="shared" si="28"/>
        <v/>
      </c>
      <c r="BC54" s="25" t="str">
        <f t="shared" si="29"/>
        <v/>
      </c>
      <c r="BD54" s="25" t="str">
        <f t="shared" si="30"/>
        <v/>
      </c>
      <c r="BE54" s="25" t="str">
        <f t="shared" si="31"/>
        <v/>
      </c>
      <c r="BF54" s="25" t="str">
        <f t="shared" si="32"/>
        <v/>
      </c>
      <c r="BG54" s="25" t="str">
        <f t="shared" si="33"/>
        <v/>
      </c>
      <c r="BH54" s="25" t="str">
        <f t="shared" si="34"/>
        <v/>
      </c>
      <c r="BI54" s="25" t="str">
        <f t="shared" si="35"/>
        <v/>
      </c>
      <c r="BJ54" s="25" t="str">
        <f t="shared" si="36"/>
        <v/>
      </c>
      <c r="BK54" s="25" t="str">
        <f t="shared" si="37"/>
        <v/>
      </c>
      <c r="BL54" s="25" t="str">
        <f t="shared" si="38"/>
        <v/>
      </c>
      <c r="BM54" s="25" t="str">
        <f t="shared" si="39"/>
        <v/>
      </c>
      <c r="BN54" s="25" t="str">
        <f t="shared" si="40"/>
        <v/>
      </c>
      <c r="BO54" s="25" t="str">
        <f t="shared" si="41"/>
        <v/>
      </c>
      <c r="BP54" s="25" t="str">
        <f t="shared" si="42"/>
        <v/>
      </c>
      <c r="BQ54" s="25" t="str">
        <f t="shared" si="43"/>
        <v/>
      </c>
      <c r="BR54" s="25" t="str">
        <f t="shared" si="15"/>
        <v/>
      </c>
      <c r="BS54" s="25" t="str">
        <f t="shared" si="16"/>
        <v/>
      </c>
      <c r="BT54" s="25" t="str">
        <f t="shared" si="17"/>
        <v/>
      </c>
      <c r="BU54" s="25" t="str">
        <f t="shared" si="18"/>
        <v/>
      </c>
      <c r="BV54" s="25" t="str">
        <f t="shared" si="19"/>
        <v/>
      </c>
      <c r="BW54" s="25" t="str">
        <f t="shared" si="20"/>
        <v/>
      </c>
      <c r="BX54" s="27" t="str">
        <f t="shared" si="11"/>
        <v/>
      </c>
      <c r="BY54" s="15" t="str">
        <f t="shared" si="12"/>
        <v/>
      </c>
    </row>
    <row r="55" spans="1:77">
      <c r="A55" s="15" t="str">
        <f t="shared" si="13"/>
        <v/>
      </c>
      <c r="B55" s="15" t="str">
        <f t="shared" si="44"/>
        <v/>
      </c>
      <c r="C55" s="15" t="str">
        <f t="shared" si="45"/>
        <v/>
      </c>
      <c r="D55" s="15" t="str">
        <f t="shared" si="4"/>
        <v/>
      </c>
      <c r="E55" s="15" t="str">
        <f t="shared" si="5"/>
        <v/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P55" s="9" t="str">
        <f t="shared" si="6"/>
        <v/>
      </c>
      <c r="AQ55" s="9" t="str">
        <f t="shared" si="7"/>
        <v/>
      </c>
      <c r="AR55" s="9" t="str">
        <f t="shared" si="8"/>
        <v/>
      </c>
      <c r="AS55" s="9" t="str">
        <f t="shared" si="9"/>
        <v/>
      </c>
      <c r="AT55" s="25" t="str">
        <f t="shared" si="14"/>
        <v/>
      </c>
      <c r="AU55" s="25" t="str">
        <f t="shared" si="21"/>
        <v/>
      </c>
      <c r="AV55" s="25" t="str">
        <f t="shared" si="22"/>
        <v/>
      </c>
      <c r="AW55" s="25" t="str">
        <f t="shared" si="23"/>
        <v/>
      </c>
      <c r="AX55" s="25" t="str">
        <f t="shared" si="24"/>
        <v/>
      </c>
      <c r="AY55" s="25" t="str">
        <f t="shared" si="25"/>
        <v/>
      </c>
      <c r="AZ55" s="25" t="str">
        <f t="shared" si="26"/>
        <v/>
      </c>
      <c r="BA55" s="25" t="str">
        <f t="shared" si="27"/>
        <v/>
      </c>
      <c r="BB55" s="25" t="str">
        <f t="shared" si="28"/>
        <v/>
      </c>
      <c r="BC55" s="25" t="str">
        <f t="shared" si="29"/>
        <v/>
      </c>
      <c r="BD55" s="25" t="str">
        <f t="shared" si="30"/>
        <v/>
      </c>
      <c r="BE55" s="25" t="str">
        <f t="shared" si="31"/>
        <v/>
      </c>
      <c r="BF55" s="25" t="str">
        <f t="shared" si="32"/>
        <v/>
      </c>
      <c r="BG55" s="25" t="str">
        <f t="shared" si="33"/>
        <v/>
      </c>
      <c r="BH55" s="25" t="str">
        <f t="shared" si="34"/>
        <v/>
      </c>
      <c r="BI55" s="25" t="str">
        <f t="shared" si="35"/>
        <v/>
      </c>
      <c r="BJ55" s="25" t="str">
        <f t="shared" si="36"/>
        <v/>
      </c>
      <c r="BK55" s="25" t="str">
        <f t="shared" si="37"/>
        <v/>
      </c>
      <c r="BL55" s="25" t="str">
        <f t="shared" si="38"/>
        <v/>
      </c>
      <c r="BM55" s="25" t="str">
        <f t="shared" si="39"/>
        <v/>
      </c>
      <c r="BN55" s="25" t="str">
        <f t="shared" si="40"/>
        <v/>
      </c>
      <c r="BO55" s="25" t="str">
        <f t="shared" si="41"/>
        <v/>
      </c>
      <c r="BP55" s="25" t="str">
        <f t="shared" si="42"/>
        <v/>
      </c>
      <c r="BQ55" s="25" t="str">
        <f t="shared" si="43"/>
        <v/>
      </c>
      <c r="BR55" s="25" t="str">
        <f t="shared" si="15"/>
        <v/>
      </c>
      <c r="BS55" s="25" t="str">
        <f t="shared" si="16"/>
        <v/>
      </c>
      <c r="BT55" s="25" t="str">
        <f t="shared" si="17"/>
        <v/>
      </c>
      <c r="BU55" s="25" t="str">
        <f t="shared" si="18"/>
        <v/>
      </c>
      <c r="BV55" s="25" t="str">
        <f t="shared" si="19"/>
        <v/>
      </c>
      <c r="BW55" s="25" t="str">
        <f t="shared" si="20"/>
        <v/>
      </c>
      <c r="BX55" s="27" t="str">
        <f t="shared" si="11"/>
        <v/>
      </c>
      <c r="BY55" s="15" t="str">
        <f t="shared" si="12"/>
        <v/>
      </c>
    </row>
    <row r="56" spans="1:77">
      <c r="A56" s="28" t="str">
        <f t="shared" si="13"/>
        <v/>
      </c>
      <c r="B56" s="28" t="str">
        <f t="shared" si="44"/>
        <v/>
      </c>
      <c r="C56" s="28" t="str">
        <f t="shared" si="45"/>
        <v/>
      </c>
      <c r="D56" s="28" t="str">
        <f t="shared" si="4"/>
        <v/>
      </c>
      <c r="E56" s="28" t="str">
        <f t="shared" si="5"/>
        <v/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P56" s="29" t="str">
        <f t="shared" si="6"/>
        <v/>
      </c>
      <c r="AQ56" s="29" t="str">
        <f t="shared" si="7"/>
        <v/>
      </c>
      <c r="AR56" s="29" t="str">
        <f t="shared" si="8"/>
        <v/>
      </c>
      <c r="AS56" s="29" t="str">
        <f t="shared" si="9"/>
        <v/>
      </c>
      <c r="AT56" s="30" t="str">
        <f t="shared" si="14"/>
        <v/>
      </c>
      <c r="AU56" s="30" t="str">
        <f t="shared" si="21"/>
        <v/>
      </c>
      <c r="AV56" s="30" t="str">
        <f t="shared" si="22"/>
        <v/>
      </c>
      <c r="AW56" s="30" t="str">
        <f t="shared" si="23"/>
        <v/>
      </c>
      <c r="AX56" s="30" t="str">
        <f t="shared" si="24"/>
        <v/>
      </c>
      <c r="AY56" s="30" t="str">
        <f t="shared" si="25"/>
        <v/>
      </c>
      <c r="AZ56" s="30" t="str">
        <f t="shared" si="26"/>
        <v/>
      </c>
      <c r="BA56" s="30" t="str">
        <f t="shared" si="27"/>
        <v/>
      </c>
      <c r="BB56" s="30" t="str">
        <f t="shared" si="28"/>
        <v/>
      </c>
      <c r="BC56" s="30" t="str">
        <f t="shared" si="29"/>
        <v/>
      </c>
      <c r="BD56" s="30" t="str">
        <f t="shared" si="30"/>
        <v/>
      </c>
      <c r="BE56" s="30" t="str">
        <f t="shared" si="31"/>
        <v/>
      </c>
      <c r="BF56" s="30" t="str">
        <f t="shared" si="32"/>
        <v/>
      </c>
      <c r="BG56" s="30" t="str">
        <f t="shared" si="33"/>
        <v/>
      </c>
      <c r="BH56" s="30" t="str">
        <f t="shared" si="34"/>
        <v/>
      </c>
      <c r="BI56" s="30" t="str">
        <f t="shared" si="35"/>
        <v/>
      </c>
      <c r="BJ56" s="30" t="str">
        <f t="shared" si="36"/>
        <v/>
      </c>
      <c r="BK56" s="30" t="str">
        <f t="shared" si="37"/>
        <v/>
      </c>
      <c r="BL56" s="30" t="str">
        <f t="shared" si="38"/>
        <v/>
      </c>
      <c r="BM56" s="30" t="str">
        <f t="shared" si="39"/>
        <v/>
      </c>
      <c r="BN56" s="30" t="str">
        <f t="shared" si="40"/>
        <v/>
      </c>
      <c r="BO56" s="30" t="str">
        <f t="shared" si="41"/>
        <v/>
      </c>
      <c r="BP56" s="30" t="str">
        <f t="shared" si="42"/>
        <v/>
      </c>
      <c r="BQ56" s="30" t="str">
        <f t="shared" si="43"/>
        <v/>
      </c>
      <c r="BR56" s="30" t="str">
        <f t="shared" si="15"/>
        <v/>
      </c>
      <c r="BS56" s="30" t="str">
        <f t="shared" si="16"/>
        <v/>
      </c>
      <c r="BT56" s="30" t="str">
        <f t="shared" si="17"/>
        <v/>
      </c>
      <c r="BU56" s="30" t="str">
        <f t="shared" si="18"/>
        <v/>
      </c>
      <c r="BV56" s="30" t="str">
        <f t="shared" si="19"/>
        <v/>
      </c>
      <c r="BW56" s="30" t="str">
        <f t="shared" si="20"/>
        <v/>
      </c>
      <c r="BX56" s="31" t="str">
        <f t="shared" si="11"/>
        <v/>
      </c>
      <c r="BY56" s="15" t="str">
        <f t="shared" si="12"/>
        <v/>
      </c>
    </row>
    <row r="57" spans="1:77">
      <c r="A57" s="15" t="str">
        <f t="shared" si="13"/>
        <v/>
      </c>
      <c r="B57" s="15" t="str">
        <f t="shared" si="44"/>
        <v/>
      </c>
      <c r="C57" s="15" t="str">
        <f t="shared" si="45"/>
        <v/>
      </c>
      <c r="D57" s="15" t="str">
        <f t="shared" si="4"/>
        <v/>
      </c>
      <c r="E57" s="15" t="str">
        <f t="shared" si="5"/>
        <v/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9"/>
      <c r="AP57" s="9" t="str">
        <f t="shared" si="6"/>
        <v/>
      </c>
      <c r="AQ57" s="9" t="str">
        <f t="shared" si="7"/>
        <v/>
      </c>
      <c r="AR57" s="9" t="str">
        <f t="shared" si="8"/>
        <v/>
      </c>
      <c r="AS57" s="9" t="str">
        <f t="shared" si="9"/>
        <v/>
      </c>
      <c r="AT57" s="25" t="str">
        <f t="shared" si="14"/>
        <v/>
      </c>
      <c r="AU57" s="25" t="str">
        <f t="shared" si="21"/>
        <v/>
      </c>
      <c r="AV57" s="25" t="str">
        <f t="shared" si="22"/>
        <v/>
      </c>
      <c r="AW57" s="25" t="str">
        <f t="shared" si="23"/>
        <v/>
      </c>
      <c r="AX57" s="25" t="str">
        <f t="shared" si="24"/>
        <v/>
      </c>
      <c r="AY57" s="25" t="str">
        <f t="shared" si="25"/>
        <v/>
      </c>
      <c r="AZ57" s="25" t="str">
        <f t="shared" si="26"/>
        <v/>
      </c>
      <c r="BA57" s="25" t="str">
        <f t="shared" si="27"/>
        <v/>
      </c>
      <c r="BB57" s="25" t="str">
        <f t="shared" si="28"/>
        <v/>
      </c>
      <c r="BC57" s="25" t="str">
        <f t="shared" si="29"/>
        <v/>
      </c>
      <c r="BD57" s="25" t="str">
        <f t="shared" si="30"/>
        <v/>
      </c>
      <c r="BE57" s="25" t="str">
        <f t="shared" si="31"/>
        <v/>
      </c>
      <c r="BF57" s="25" t="str">
        <f t="shared" si="32"/>
        <v/>
      </c>
      <c r="BG57" s="25" t="str">
        <f t="shared" si="33"/>
        <v/>
      </c>
      <c r="BH57" s="25" t="str">
        <f t="shared" si="34"/>
        <v/>
      </c>
      <c r="BI57" s="25" t="str">
        <f t="shared" si="35"/>
        <v/>
      </c>
      <c r="BJ57" s="25" t="str">
        <f t="shared" si="36"/>
        <v/>
      </c>
      <c r="BK57" s="25" t="str">
        <f t="shared" si="37"/>
        <v/>
      </c>
      <c r="BL57" s="25" t="str">
        <f t="shared" si="38"/>
        <v/>
      </c>
      <c r="BM57" s="25" t="str">
        <f t="shared" si="39"/>
        <v/>
      </c>
      <c r="BN57" s="25" t="str">
        <f t="shared" si="40"/>
        <v/>
      </c>
      <c r="BO57" s="25" t="str">
        <f t="shared" si="41"/>
        <v/>
      </c>
      <c r="BP57" s="25" t="str">
        <f t="shared" si="42"/>
        <v/>
      </c>
      <c r="BQ57" s="25" t="str">
        <f t="shared" si="43"/>
        <v/>
      </c>
      <c r="BR57" s="25" t="str">
        <f t="shared" si="15"/>
        <v/>
      </c>
      <c r="BS57" s="25" t="str">
        <f t="shared" si="16"/>
        <v/>
      </c>
      <c r="BT57" s="25" t="str">
        <f t="shared" si="17"/>
        <v/>
      </c>
      <c r="BU57" s="25" t="str">
        <f t="shared" si="18"/>
        <v/>
      </c>
      <c r="BV57" s="25" t="str">
        <f t="shared" si="19"/>
        <v/>
      </c>
      <c r="BW57" s="25" t="str">
        <f t="shared" si="20"/>
        <v/>
      </c>
      <c r="BX57" s="27" t="str">
        <f t="shared" si="11"/>
        <v/>
      </c>
      <c r="BY57" s="15" t="str">
        <f t="shared" si="12"/>
        <v/>
      </c>
    </row>
    <row r="58" spans="1:77"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7" hidden="1">
      <c r="AR59" s="1" t="s">
        <v>11</v>
      </c>
      <c r="AS59" s="1" t="s">
        <v>17</v>
      </c>
      <c r="AT59" s="32" t="str">
        <f>IF(AT2=0,"",(COUNTIFS($AS$8:$AS$57,"A",AT8:AT57,"&gt;0")*100/COUNTIF($AS$8:$AS$57,"A")))</f>
        <v/>
      </c>
      <c r="AU59" s="32" t="str">
        <f t="shared" ref="AU59:BW59" si="46">IF(AU2=0,"",(COUNTIFS($AS$8:$AS$57,"A",AU8:AU57,"&gt;0")*100/COUNTIF($AS$8:$AS$57,"A")))</f>
        <v/>
      </c>
      <c r="AV59" s="32" t="str">
        <f t="shared" si="46"/>
        <v/>
      </c>
      <c r="AW59" s="32" t="str">
        <f t="shared" si="46"/>
        <v/>
      </c>
      <c r="AX59" s="32" t="str">
        <f t="shared" si="46"/>
        <v/>
      </c>
      <c r="AY59" s="32" t="str">
        <f t="shared" si="46"/>
        <v/>
      </c>
      <c r="AZ59" s="32" t="str">
        <f t="shared" si="46"/>
        <v/>
      </c>
      <c r="BA59" s="32" t="str">
        <f t="shared" si="46"/>
        <v/>
      </c>
      <c r="BB59" s="32" t="str">
        <f t="shared" si="46"/>
        <v/>
      </c>
      <c r="BC59" s="32" t="str">
        <f t="shared" si="46"/>
        <v/>
      </c>
      <c r="BD59" s="32" t="str">
        <f t="shared" si="46"/>
        <v/>
      </c>
      <c r="BE59" s="32" t="str">
        <f t="shared" si="46"/>
        <v/>
      </c>
      <c r="BF59" s="32" t="str">
        <f t="shared" si="46"/>
        <v/>
      </c>
      <c r="BG59" s="32" t="str">
        <f t="shared" si="46"/>
        <v/>
      </c>
      <c r="BH59" s="32" t="str">
        <f t="shared" si="46"/>
        <v/>
      </c>
      <c r="BI59" s="32" t="str">
        <f t="shared" si="46"/>
        <v/>
      </c>
      <c r="BJ59" s="32" t="str">
        <f t="shared" si="46"/>
        <v/>
      </c>
      <c r="BK59" s="32" t="str">
        <f t="shared" si="46"/>
        <v/>
      </c>
      <c r="BL59" s="32" t="str">
        <f t="shared" si="46"/>
        <v/>
      </c>
      <c r="BM59" s="32" t="str">
        <f t="shared" si="46"/>
        <v/>
      </c>
      <c r="BN59" s="32" t="str">
        <f t="shared" si="46"/>
        <v/>
      </c>
      <c r="BO59" s="32" t="str">
        <f t="shared" si="46"/>
        <v/>
      </c>
      <c r="BP59" s="32" t="str">
        <f t="shared" si="46"/>
        <v/>
      </c>
      <c r="BQ59" s="32" t="str">
        <f t="shared" si="46"/>
        <v/>
      </c>
      <c r="BR59" s="32" t="str">
        <f t="shared" si="46"/>
        <v/>
      </c>
      <c r="BS59" s="32" t="str">
        <f t="shared" si="46"/>
        <v/>
      </c>
      <c r="BT59" s="32" t="str">
        <f t="shared" si="46"/>
        <v/>
      </c>
      <c r="BU59" s="32" t="str">
        <f t="shared" si="46"/>
        <v/>
      </c>
      <c r="BV59" s="32" t="str">
        <f t="shared" si="46"/>
        <v/>
      </c>
      <c r="BW59" s="32" t="str">
        <f t="shared" si="46"/>
        <v/>
      </c>
    </row>
    <row r="60" spans="1:77" hidden="1">
      <c r="AS60" s="1" t="s">
        <v>18</v>
      </c>
      <c r="AT60" s="32" t="str">
        <f>IF(AT2=0,"",(COUNTIFS($AS$8:$AS$57,"A",AT8:AT57,"=0")*100/COUNTIF($AS$8:$AS$57,"A")))</f>
        <v/>
      </c>
      <c r="AU60" s="32" t="str">
        <f t="shared" ref="AU60:BW60" si="47">IF(AU2=0,"",(COUNTIFS($AS$8:$AS$57,"A",AU8:AU57,"=0")*100/COUNTIF($AS$8:$AS$57,"A")))</f>
        <v/>
      </c>
      <c r="AV60" s="32" t="str">
        <f t="shared" si="47"/>
        <v/>
      </c>
      <c r="AW60" s="32" t="str">
        <f t="shared" si="47"/>
        <v/>
      </c>
      <c r="AX60" s="32" t="str">
        <f t="shared" si="47"/>
        <v/>
      </c>
      <c r="AY60" s="32" t="str">
        <f t="shared" si="47"/>
        <v/>
      </c>
      <c r="AZ60" s="32" t="str">
        <f t="shared" si="47"/>
        <v/>
      </c>
      <c r="BA60" s="32" t="str">
        <f t="shared" si="47"/>
        <v/>
      </c>
      <c r="BB60" s="32" t="str">
        <f t="shared" si="47"/>
        <v/>
      </c>
      <c r="BC60" s="32" t="str">
        <f t="shared" si="47"/>
        <v/>
      </c>
      <c r="BD60" s="32" t="str">
        <f t="shared" si="47"/>
        <v/>
      </c>
      <c r="BE60" s="32" t="str">
        <f t="shared" si="47"/>
        <v/>
      </c>
      <c r="BF60" s="32" t="str">
        <f t="shared" si="47"/>
        <v/>
      </c>
      <c r="BG60" s="32" t="str">
        <f t="shared" si="47"/>
        <v/>
      </c>
      <c r="BH60" s="32" t="str">
        <f t="shared" si="47"/>
        <v/>
      </c>
      <c r="BI60" s="32" t="str">
        <f t="shared" si="47"/>
        <v/>
      </c>
      <c r="BJ60" s="32" t="str">
        <f t="shared" si="47"/>
        <v/>
      </c>
      <c r="BK60" s="32" t="str">
        <f t="shared" si="47"/>
        <v/>
      </c>
      <c r="BL60" s="32" t="str">
        <f t="shared" si="47"/>
        <v/>
      </c>
      <c r="BM60" s="32" t="str">
        <f t="shared" si="47"/>
        <v/>
      </c>
      <c r="BN60" s="32" t="str">
        <f t="shared" si="47"/>
        <v/>
      </c>
      <c r="BO60" s="32" t="str">
        <f t="shared" si="47"/>
        <v/>
      </c>
      <c r="BP60" s="32" t="str">
        <f t="shared" si="47"/>
        <v/>
      </c>
      <c r="BQ60" s="32" t="str">
        <f t="shared" si="47"/>
        <v/>
      </c>
      <c r="BR60" s="32" t="str">
        <f t="shared" si="47"/>
        <v/>
      </c>
      <c r="BS60" s="32" t="str">
        <f t="shared" si="47"/>
        <v/>
      </c>
      <c r="BT60" s="32" t="str">
        <f t="shared" si="47"/>
        <v/>
      </c>
      <c r="BU60" s="32" t="str">
        <f t="shared" si="47"/>
        <v/>
      </c>
      <c r="BV60" s="32" t="str">
        <f t="shared" si="47"/>
        <v/>
      </c>
      <c r="BW60" s="32" t="str">
        <f t="shared" si="47"/>
        <v/>
      </c>
    </row>
    <row r="61" spans="1:77" hidden="1">
      <c r="AS61" s="1" t="s">
        <v>22</v>
      </c>
      <c r="AT61" s="32" t="str">
        <f>IF(AT2=0,"",(COUNTIFS($AS$8:$AS$57,"A",AT8:AT57,"")*100/COUNTIF($AS$8:$AS$57,"A")))</f>
        <v/>
      </c>
      <c r="AU61" s="32" t="str">
        <f t="shared" ref="AU61:BW61" si="48">IF(AU2=0,"",(COUNTIFS($AS$8:$AS$57,"A",AU8:AU57,"")*100/COUNTIF($AS$8:$AS$57,"A")))</f>
        <v/>
      </c>
      <c r="AV61" s="32" t="str">
        <f t="shared" si="48"/>
        <v/>
      </c>
      <c r="AW61" s="32" t="str">
        <f t="shared" si="48"/>
        <v/>
      </c>
      <c r="AX61" s="32" t="str">
        <f t="shared" si="48"/>
        <v/>
      </c>
      <c r="AY61" s="32" t="str">
        <f t="shared" si="48"/>
        <v/>
      </c>
      <c r="AZ61" s="32" t="str">
        <f t="shared" si="48"/>
        <v/>
      </c>
      <c r="BA61" s="32" t="str">
        <f t="shared" si="48"/>
        <v/>
      </c>
      <c r="BB61" s="32" t="str">
        <f t="shared" si="48"/>
        <v/>
      </c>
      <c r="BC61" s="32" t="str">
        <f t="shared" si="48"/>
        <v/>
      </c>
      <c r="BD61" s="32" t="str">
        <f t="shared" si="48"/>
        <v/>
      </c>
      <c r="BE61" s="32" t="str">
        <f t="shared" si="48"/>
        <v/>
      </c>
      <c r="BF61" s="32" t="str">
        <f t="shared" si="48"/>
        <v/>
      </c>
      <c r="BG61" s="32" t="str">
        <f t="shared" si="48"/>
        <v/>
      </c>
      <c r="BH61" s="32" t="str">
        <f t="shared" si="48"/>
        <v/>
      </c>
      <c r="BI61" s="32" t="str">
        <f t="shared" si="48"/>
        <v/>
      </c>
      <c r="BJ61" s="32" t="str">
        <f t="shared" si="48"/>
        <v/>
      </c>
      <c r="BK61" s="32" t="str">
        <f t="shared" si="48"/>
        <v/>
      </c>
      <c r="BL61" s="32" t="str">
        <f t="shared" si="48"/>
        <v/>
      </c>
      <c r="BM61" s="32" t="str">
        <f t="shared" si="48"/>
        <v/>
      </c>
      <c r="BN61" s="32" t="str">
        <f t="shared" si="48"/>
        <v/>
      </c>
      <c r="BO61" s="32" t="str">
        <f t="shared" si="48"/>
        <v/>
      </c>
      <c r="BP61" s="32" t="str">
        <f t="shared" si="48"/>
        <v/>
      </c>
      <c r="BQ61" s="32" t="str">
        <f t="shared" si="48"/>
        <v/>
      </c>
      <c r="BR61" s="32" t="str">
        <f t="shared" si="48"/>
        <v/>
      </c>
      <c r="BS61" s="32" t="str">
        <f t="shared" si="48"/>
        <v/>
      </c>
      <c r="BT61" s="32" t="str">
        <f t="shared" si="48"/>
        <v/>
      </c>
      <c r="BU61" s="32" t="str">
        <f t="shared" si="48"/>
        <v/>
      </c>
      <c r="BV61" s="32" t="str">
        <f t="shared" si="48"/>
        <v/>
      </c>
      <c r="BW61" s="32" t="str">
        <f t="shared" si="48"/>
        <v/>
      </c>
    </row>
    <row r="62" spans="1:77" hidden="1">
      <c r="AR62" s="1" t="s">
        <v>12</v>
      </c>
      <c r="AS62" s="1" t="s">
        <v>17</v>
      </c>
      <c r="AT62" s="32" t="str">
        <f>IF(AT4=0,"",(COUNTIFS($AS$8:$AS$57,"B",AT8:AT57,"&gt;0")*100/COUNTIF($AS$8:$AS$57,"B")))</f>
        <v/>
      </c>
      <c r="AU62" s="32" t="str">
        <f t="shared" ref="AU62:BW62" si="49">IF(AU4=0,"",(COUNTIFS($AS$8:$AS$57,"B",AU8:AU57,"&gt;0")*100/COUNTIF($AS$8:$AS$57,"B")))</f>
        <v/>
      </c>
      <c r="AV62" s="32" t="str">
        <f t="shared" si="49"/>
        <v/>
      </c>
      <c r="AW62" s="32" t="str">
        <f t="shared" si="49"/>
        <v/>
      </c>
      <c r="AX62" s="32" t="str">
        <f t="shared" si="49"/>
        <v/>
      </c>
      <c r="AY62" s="32" t="str">
        <f t="shared" si="49"/>
        <v/>
      </c>
      <c r="AZ62" s="32" t="str">
        <f t="shared" si="49"/>
        <v/>
      </c>
      <c r="BA62" s="32" t="str">
        <f t="shared" si="49"/>
        <v/>
      </c>
      <c r="BB62" s="32" t="str">
        <f t="shared" si="49"/>
        <v/>
      </c>
      <c r="BC62" s="32" t="str">
        <f t="shared" si="49"/>
        <v/>
      </c>
      <c r="BD62" s="32" t="str">
        <f t="shared" si="49"/>
        <v/>
      </c>
      <c r="BE62" s="32" t="str">
        <f t="shared" si="49"/>
        <v/>
      </c>
      <c r="BF62" s="32" t="str">
        <f t="shared" si="49"/>
        <v/>
      </c>
      <c r="BG62" s="32" t="str">
        <f t="shared" si="49"/>
        <v/>
      </c>
      <c r="BH62" s="32" t="str">
        <f t="shared" si="49"/>
        <v/>
      </c>
      <c r="BI62" s="32" t="str">
        <f t="shared" si="49"/>
        <v/>
      </c>
      <c r="BJ62" s="32" t="str">
        <f t="shared" si="49"/>
        <v/>
      </c>
      <c r="BK62" s="32" t="str">
        <f t="shared" si="49"/>
        <v/>
      </c>
      <c r="BL62" s="32" t="str">
        <f t="shared" si="49"/>
        <v/>
      </c>
      <c r="BM62" s="32" t="str">
        <f t="shared" si="49"/>
        <v/>
      </c>
      <c r="BN62" s="32" t="str">
        <f t="shared" si="49"/>
        <v/>
      </c>
      <c r="BO62" s="32" t="str">
        <f t="shared" si="49"/>
        <v/>
      </c>
      <c r="BP62" s="32" t="str">
        <f t="shared" si="49"/>
        <v/>
      </c>
      <c r="BQ62" s="32" t="str">
        <f t="shared" si="49"/>
        <v/>
      </c>
      <c r="BR62" s="32" t="str">
        <f t="shared" si="49"/>
        <v/>
      </c>
      <c r="BS62" s="32" t="str">
        <f t="shared" si="49"/>
        <v/>
      </c>
      <c r="BT62" s="32" t="str">
        <f t="shared" si="49"/>
        <v/>
      </c>
      <c r="BU62" s="32" t="str">
        <f t="shared" si="49"/>
        <v/>
      </c>
      <c r="BV62" s="32" t="str">
        <f t="shared" si="49"/>
        <v/>
      </c>
      <c r="BW62" s="32" t="str">
        <f t="shared" si="49"/>
        <v/>
      </c>
    </row>
    <row r="63" spans="1:77" hidden="1">
      <c r="AS63" s="1" t="s">
        <v>18</v>
      </c>
      <c r="AT63" s="32" t="str">
        <f>IF(AT4=0,"",(COUNTIFS($AS$8:$AS$57,"B",AT8:AT57,"=0")*100/COUNTIF($AS$8:$AS$57,"B")))</f>
        <v/>
      </c>
      <c r="AU63" s="32" t="str">
        <f t="shared" ref="AU63:BW63" si="50">IF(AU4=0,"",(COUNTIFS($AS$8:$AS$57,"B",AU8:AU57,"=0")*100/COUNTIF($AS$8:$AS$57,"B")))</f>
        <v/>
      </c>
      <c r="AV63" s="32" t="str">
        <f t="shared" si="50"/>
        <v/>
      </c>
      <c r="AW63" s="32" t="str">
        <f t="shared" si="50"/>
        <v/>
      </c>
      <c r="AX63" s="32" t="str">
        <f t="shared" si="50"/>
        <v/>
      </c>
      <c r="AY63" s="32" t="str">
        <f t="shared" si="50"/>
        <v/>
      </c>
      <c r="AZ63" s="32" t="str">
        <f t="shared" si="50"/>
        <v/>
      </c>
      <c r="BA63" s="32" t="str">
        <f t="shared" si="50"/>
        <v/>
      </c>
      <c r="BB63" s="32" t="str">
        <f t="shared" si="50"/>
        <v/>
      </c>
      <c r="BC63" s="32" t="str">
        <f t="shared" si="50"/>
        <v/>
      </c>
      <c r="BD63" s="32" t="str">
        <f t="shared" si="50"/>
        <v/>
      </c>
      <c r="BE63" s="32" t="str">
        <f t="shared" si="50"/>
        <v/>
      </c>
      <c r="BF63" s="32" t="str">
        <f t="shared" si="50"/>
        <v/>
      </c>
      <c r="BG63" s="32" t="str">
        <f t="shared" si="50"/>
        <v/>
      </c>
      <c r="BH63" s="32" t="str">
        <f t="shared" si="50"/>
        <v/>
      </c>
      <c r="BI63" s="32" t="str">
        <f t="shared" si="50"/>
        <v/>
      </c>
      <c r="BJ63" s="32" t="str">
        <f t="shared" si="50"/>
        <v/>
      </c>
      <c r="BK63" s="32" t="str">
        <f t="shared" si="50"/>
        <v/>
      </c>
      <c r="BL63" s="32" t="str">
        <f t="shared" si="50"/>
        <v/>
      </c>
      <c r="BM63" s="32" t="str">
        <f t="shared" si="50"/>
        <v/>
      </c>
      <c r="BN63" s="32" t="str">
        <f t="shared" si="50"/>
        <v/>
      </c>
      <c r="BO63" s="32" t="str">
        <f t="shared" si="50"/>
        <v/>
      </c>
      <c r="BP63" s="32" t="str">
        <f t="shared" si="50"/>
        <v/>
      </c>
      <c r="BQ63" s="32" t="str">
        <f t="shared" si="50"/>
        <v/>
      </c>
      <c r="BR63" s="32" t="str">
        <f t="shared" si="50"/>
        <v/>
      </c>
      <c r="BS63" s="32" t="str">
        <f t="shared" si="50"/>
        <v/>
      </c>
      <c r="BT63" s="32" t="str">
        <f t="shared" si="50"/>
        <v/>
      </c>
      <c r="BU63" s="32" t="str">
        <f t="shared" si="50"/>
        <v/>
      </c>
      <c r="BV63" s="32" t="str">
        <f t="shared" si="50"/>
        <v/>
      </c>
      <c r="BW63" s="32" t="str">
        <f t="shared" si="50"/>
        <v/>
      </c>
    </row>
    <row r="64" spans="1:77" hidden="1">
      <c r="AS64" s="1" t="s">
        <v>22</v>
      </c>
      <c r="AT64" s="32" t="str">
        <f>IF(AT4=0,"",(COUNTIFS($AS$8:$AS$57,"B",AT8:AT57,"")*100/COUNTIF($AS$8:$AS$57,"B")))</f>
        <v/>
      </c>
      <c r="AU64" s="32" t="str">
        <f t="shared" ref="AU64:BW64" si="51">IF(AU4=0,"",(COUNTIFS($AS$8:$AS$57,"B",AU8:AU57,"")*100/COUNTIF($AS$8:$AS$57,"B")))</f>
        <v/>
      </c>
      <c r="AV64" s="32" t="str">
        <f t="shared" si="51"/>
        <v/>
      </c>
      <c r="AW64" s="32" t="str">
        <f t="shared" si="51"/>
        <v/>
      </c>
      <c r="AX64" s="32" t="str">
        <f t="shared" si="51"/>
        <v/>
      </c>
      <c r="AY64" s="32" t="str">
        <f t="shared" si="51"/>
        <v/>
      </c>
      <c r="AZ64" s="32" t="str">
        <f t="shared" si="51"/>
        <v/>
      </c>
      <c r="BA64" s="32" t="str">
        <f t="shared" si="51"/>
        <v/>
      </c>
      <c r="BB64" s="32" t="str">
        <f t="shared" si="51"/>
        <v/>
      </c>
      <c r="BC64" s="32" t="str">
        <f t="shared" si="51"/>
        <v/>
      </c>
      <c r="BD64" s="32" t="str">
        <f t="shared" si="51"/>
        <v/>
      </c>
      <c r="BE64" s="32" t="str">
        <f t="shared" si="51"/>
        <v/>
      </c>
      <c r="BF64" s="32" t="str">
        <f t="shared" si="51"/>
        <v/>
      </c>
      <c r="BG64" s="32" t="str">
        <f t="shared" si="51"/>
        <v/>
      </c>
      <c r="BH64" s="32" t="str">
        <f t="shared" si="51"/>
        <v/>
      </c>
      <c r="BI64" s="32" t="str">
        <f t="shared" si="51"/>
        <v/>
      </c>
      <c r="BJ64" s="32" t="str">
        <f t="shared" si="51"/>
        <v/>
      </c>
      <c r="BK64" s="32" t="str">
        <f t="shared" si="51"/>
        <v/>
      </c>
      <c r="BL64" s="32" t="str">
        <f t="shared" si="51"/>
        <v/>
      </c>
      <c r="BM64" s="32" t="str">
        <f t="shared" si="51"/>
        <v/>
      </c>
      <c r="BN64" s="32" t="str">
        <f t="shared" si="51"/>
        <v/>
      </c>
      <c r="BO64" s="32" t="str">
        <f t="shared" si="51"/>
        <v/>
      </c>
      <c r="BP64" s="32" t="str">
        <f t="shared" si="51"/>
        <v/>
      </c>
      <c r="BQ64" s="32" t="str">
        <f t="shared" si="51"/>
        <v/>
      </c>
      <c r="BR64" s="32" t="str">
        <f t="shared" si="51"/>
        <v/>
      </c>
      <c r="BS64" s="32" t="str">
        <f t="shared" si="51"/>
        <v/>
      </c>
      <c r="BT64" s="32" t="str">
        <f t="shared" si="51"/>
        <v/>
      </c>
      <c r="BU64" s="32" t="str">
        <f t="shared" si="51"/>
        <v/>
      </c>
      <c r="BV64" s="32" t="str">
        <f t="shared" si="51"/>
        <v/>
      </c>
      <c r="BW64" s="32" t="str">
        <f t="shared" si="51"/>
        <v/>
      </c>
    </row>
    <row r="65" hidden="1"/>
    <row r="66" hidden="1"/>
    <row r="67" hidden="1"/>
    <row r="68" hidden="1"/>
  </sheetData>
  <sheetProtection algorithmName="SHA-512" hashValue="BXcnOL0TAZpZ9zTYbVCtDl5dQ5AUuNjQQeFrG2uunfy2FY+Jv6HUms1g+qUJlDpsIrHxlpjgNEcuHJtkchJS0w==" saltValue="UL/yk2Q2Im8XP9QHNVu2+w==" spinCount="100000" sheet="1" objects="1" scenarios="1"/>
  <mergeCells count="10">
    <mergeCell ref="BX6:BX7"/>
    <mergeCell ref="BY6:BY7"/>
    <mergeCell ref="F6:H6"/>
    <mergeCell ref="A1:AN1"/>
    <mergeCell ref="AT6:BW6"/>
    <mergeCell ref="AP6:AR6"/>
    <mergeCell ref="A6:A7"/>
    <mergeCell ref="K6:AN6"/>
    <mergeCell ref="J6:J7"/>
    <mergeCell ref="I6:I7"/>
  </mergeCells>
  <pageMargins left="0.25" right="0.25" top="0.25" bottom="0.25" header="0" footer="0"/>
  <pageSetup paperSize="9" scale="2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showGridLines="0" workbookViewId="0">
      <selection activeCell="L3" sqref="L3:M3"/>
    </sheetView>
  </sheetViews>
  <sheetFormatPr defaultRowHeight="15.6"/>
  <cols>
    <col min="1" max="1" width="5.21875" style="1" customWidth="1"/>
    <col min="2" max="4" width="7.21875" style="1" customWidth="1"/>
    <col min="5" max="5" width="20.6640625" style="1" customWidth="1"/>
    <col min="6" max="8" width="23.5546875" style="1" customWidth="1"/>
    <col min="9" max="9" width="10.6640625" style="1" customWidth="1"/>
    <col min="10" max="10" width="11.109375" style="1" customWidth="1"/>
    <col min="11" max="11" width="8.44140625" style="1" customWidth="1"/>
    <col min="12" max="12" width="8.77734375" style="1" customWidth="1"/>
    <col min="13" max="13" width="19.109375" style="1" customWidth="1"/>
    <col min="14" max="16384" width="8.88671875" style="1"/>
  </cols>
  <sheetData>
    <row r="1" spans="1:13" ht="21.6" customHeight="1">
      <c r="A1" s="34"/>
      <c r="H1" s="77" t="s">
        <v>47</v>
      </c>
      <c r="I1" s="77"/>
      <c r="J1" s="77"/>
      <c r="K1" s="77"/>
      <c r="L1" s="77"/>
      <c r="M1" s="77"/>
    </row>
    <row r="2" spans="1:13" ht="17.399999999999999">
      <c r="A2" s="34"/>
      <c r="B2" s="20"/>
      <c r="C2" s="20"/>
      <c r="D2" s="20"/>
      <c r="E2" s="20"/>
      <c r="F2" s="20"/>
      <c r="G2" s="20"/>
      <c r="H2" s="121" t="str">
        <f>IF('Məzmun tərkibi və təhlil'!C3="","",'Məzmun tərkibi və təhlil'!C3&amp;"in")</f>
        <v>99in</v>
      </c>
      <c r="I2" s="121"/>
      <c r="J2" s="121"/>
      <c r="K2" s="121"/>
      <c r="L2" s="121"/>
      <c r="M2" s="121"/>
    </row>
    <row r="3" spans="1:13" ht="22.8" customHeight="1">
      <c r="A3" s="34"/>
      <c r="B3" s="20"/>
      <c r="C3" s="20"/>
      <c r="D3" s="20"/>
      <c r="E3" s="20"/>
      <c r="F3" s="20"/>
      <c r="G3" s="20"/>
      <c r="H3" s="35" t="s">
        <v>46</v>
      </c>
      <c r="I3" s="128"/>
      <c r="J3" s="128"/>
      <c r="K3" s="128"/>
      <c r="L3" s="127" t="str">
        <f>IF('Məzmun tərkibi və təhlil'!C75="","",'Məzmun tərkibi və təhlil'!C75)</f>
        <v/>
      </c>
      <c r="M3" s="127"/>
    </row>
    <row r="4" spans="1:13" ht="17.399999999999999">
      <c r="A4" s="34"/>
      <c r="B4" s="20"/>
      <c r="C4" s="20"/>
      <c r="D4" s="20"/>
      <c r="E4" s="20"/>
      <c r="F4" s="20"/>
      <c r="G4" s="20"/>
      <c r="H4" s="20"/>
      <c r="I4" s="20"/>
      <c r="J4" s="20"/>
      <c r="K4" s="36"/>
      <c r="L4" s="120" t="str">
        <f>IF('Məzmun tərkibi və təhlil'!C78="","",'Məzmun tərkibi və təhlil'!C78)</f>
        <v/>
      </c>
      <c r="M4" s="120"/>
    </row>
    <row r="5" spans="1:13" ht="26.4" customHeight="1">
      <c r="A5" s="37"/>
      <c r="B5" s="38"/>
      <c r="C5" s="38"/>
      <c r="D5" s="38"/>
      <c r="E5" s="38"/>
      <c r="F5" s="37"/>
      <c r="G5" s="37"/>
      <c r="H5" s="37"/>
      <c r="I5" s="37"/>
      <c r="J5" s="37"/>
      <c r="K5" s="37"/>
      <c r="L5" s="37"/>
      <c r="M5" s="37"/>
    </row>
    <row r="6" spans="1:13" ht="17.399999999999999">
      <c r="A6" s="121" t="str">
        <f>IF(H2="","",'Məzmun tərkibi və təhlil'!C1)</f>
        <v>Azərbaycan Respublikası Elm və Təhsil Nazirliyi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</row>
    <row r="7" spans="1:13" ht="17.399999999999999">
      <c r="A7" s="121" t="str">
        <f>IF('Məzmun tərkibi və təhlil'!C3="","",'Məzmun tərkibi və təhlil'!C2&amp;" "&amp;'Məzmun tərkibi və təhlil'!C3&amp;"in")</f>
        <v>Bakı Şəhəri üzrə Təhsil İdarəsi 99in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</row>
    <row r="8" spans="1:13" ht="17.399999999999999">
      <c r="A8" s="121" t="str">
        <f>IF('Məzmun tərkibi və təhlil'!C4="","",'Məzmun tərkibi və təhlil'!R3&amp;'Məzmun tərkibi və təhlil'!S3&amp;" sinfində"&amp;" "&amp;'Məzmun tərkibi və təhlil'!M3&amp;" "&amp;'Məzmun tərkibi və təhlil'!N3&amp;" "&amp;'Məzmun tərkibi və təhlil'!O3&amp;"-cü il tarixdə "&amp;'Məzmun tərkibi və təhlil'!C4&amp;" fənni"&amp;'Məzmun tərkibi və təhlil'!J1&amp;" üzrə keçirilən böyük summativ qiymətləndirmənin nəticələrinə dair")</f>
        <v xml:space="preserve"> sinfində   -cü il tarixdə Azərbaycan Respublikası Elm və Təhsil Nazirliyi fənni üzrə keçirilən böyük summativ qiymətləndirmənin nəticələrinə dair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</row>
    <row r="9" spans="1:13" ht="39.6" customHeight="1">
      <c r="A9" s="124" t="s">
        <v>52</v>
      </c>
      <c r="B9" s="124"/>
      <c r="C9" s="124"/>
      <c r="D9" s="124"/>
      <c r="E9" s="124"/>
      <c r="F9" s="124"/>
      <c r="G9" s="124"/>
      <c r="H9" s="123" t="s">
        <v>83</v>
      </c>
      <c r="I9" s="123"/>
      <c r="J9" s="123"/>
      <c r="K9" s="123"/>
      <c r="L9" s="123"/>
      <c r="M9" s="123"/>
    </row>
    <row r="10" spans="1:13">
      <c r="A10" s="122" t="s">
        <v>0</v>
      </c>
      <c r="B10" s="122" t="s">
        <v>8</v>
      </c>
      <c r="C10" s="122" t="s">
        <v>9</v>
      </c>
      <c r="D10" s="125" t="s">
        <v>65</v>
      </c>
      <c r="E10" s="122" t="s">
        <v>10</v>
      </c>
      <c r="F10" s="122" t="s">
        <v>1</v>
      </c>
      <c r="G10" s="122"/>
      <c r="H10" s="122"/>
      <c r="I10" s="122" t="s">
        <v>26</v>
      </c>
      <c r="J10" s="122" t="s">
        <v>16</v>
      </c>
      <c r="K10" s="122" t="s">
        <v>3</v>
      </c>
      <c r="L10" s="122" t="s">
        <v>36</v>
      </c>
      <c r="M10" s="122" t="s">
        <v>37</v>
      </c>
    </row>
    <row r="11" spans="1:13">
      <c r="A11" s="122"/>
      <c r="B11" s="122"/>
      <c r="C11" s="122"/>
      <c r="D11" s="126"/>
      <c r="E11" s="122"/>
      <c r="F11" s="59" t="s">
        <v>19</v>
      </c>
      <c r="G11" s="59" t="s">
        <v>20</v>
      </c>
      <c r="H11" s="59" t="s">
        <v>21</v>
      </c>
      <c r="I11" s="122"/>
      <c r="J11" s="122"/>
      <c r="K11" s="122"/>
      <c r="L11" s="122"/>
      <c r="M11" s="122"/>
    </row>
    <row r="12" spans="1:13">
      <c r="A12" s="39" t="str">
        <f>IF('Şagirdlərin nəticələri'!A8="","",'Şagirdlərin nəticələri'!A8)</f>
        <v/>
      </c>
      <c r="B12" s="39" t="str">
        <f>IF('Şagirdlərin nəticələri'!B8="","",'Şagirdlərin nəticələri'!B8)</f>
        <v/>
      </c>
      <c r="C12" s="39" t="str">
        <f>IF('Şagirdlərin nəticələri'!C8="","",'Şagirdlərin nəticələri'!C8)</f>
        <v/>
      </c>
      <c r="D12" s="39" t="str">
        <f>IF('Şagirdlərin nəticələri'!D8="","",'Şagirdlərin nəticələri'!D8)</f>
        <v/>
      </c>
      <c r="E12" s="39" t="str">
        <f>IF('Şagirdlərin nəticələri'!E8="","",'Şagirdlərin nəticələri'!E8)</f>
        <v/>
      </c>
      <c r="F12" s="39" t="str">
        <f>IF('Şagirdlərin nəticələri'!F8="","",'Şagirdlərin nəticələri'!F8)</f>
        <v/>
      </c>
      <c r="G12" s="39" t="str">
        <f>IF('Şagirdlərin nəticələri'!G8="","",'Şagirdlərin nəticələri'!G8)</f>
        <v/>
      </c>
      <c r="H12" s="39" t="str">
        <f>IF('Şagirdlərin nəticələri'!H8="","",'Şagirdlərin nəticələri'!H8)</f>
        <v/>
      </c>
      <c r="I12" s="39" t="str">
        <f>IF('Şagirdlərin nəticələri'!I8="","",'Şagirdlərin nəticələri'!I8)</f>
        <v/>
      </c>
      <c r="J12" s="39" t="str">
        <f>IF('Şagirdlərin nəticələri'!J8="","",'Şagirdlərin nəticələri'!J8)</f>
        <v/>
      </c>
      <c r="K12" s="40" t="str">
        <f>IF('Şagirdlərin nəticələri'!BX8="","",'Şagirdlərin nəticələri'!BX8)</f>
        <v/>
      </c>
      <c r="L12" s="39" t="str">
        <f>IF('Şagirdlərin nəticələri'!BY8="","",'Şagirdlərin nəticələri'!BY8)</f>
        <v/>
      </c>
      <c r="M12" s="39" t="str">
        <f t="shared" ref="M12:M61" si="0">IF(I12&amp;J12="","",IF(J12&amp;K12="","iştirak etmədi",""))</f>
        <v/>
      </c>
    </row>
    <row r="13" spans="1:13">
      <c r="A13" s="39" t="str">
        <f>IF('Şagirdlərin nəticələri'!A9="","",'Şagirdlərin nəticələri'!A9)</f>
        <v/>
      </c>
      <c r="B13" s="39" t="str">
        <f>IF('Şagirdlərin nəticələri'!B9="","",'Şagirdlərin nəticələri'!B9)</f>
        <v/>
      </c>
      <c r="C13" s="39" t="str">
        <f>IF('Şagirdlərin nəticələri'!C9="","",'Şagirdlərin nəticələri'!C9)</f>
        <v/>
      </c>
      <c r="D13" s="39" t="str">
        <f>IF('Şagirdlərin nəticələri'!D9="","",'Şagirdlərin nəticələri'!D9)</f>
        <v/>
      </c>
      <c r="E13" s="39" t="str">
        <f>IF('Şagirdlərin nəticələri'!E9="","",'Şagirdlərin nəticələri'!E9)</f>
        <v/>
      </c>
      <c r="F13" s="39" t="str">
        <f>IF('Şagirdlərin nəticələri'!F9="","",'Şagirdlərin nəticələri'!F9)</f>
        <v/>
      </c>
      <c r="G13" s="39" t="str">
        <f>IF('Şagirdlərin nəticələri'!G9="","",'Şagirdlərin nəticələri'!G9)</f>
        <v/>
      </c>
      <c r="H13" s="39" t="str">
        <f>IF('Şagirdlərin nəticələri'!H9="","",'Şagirdlərin nəticələri'!H9)</f>
        <v/>
      </c>
      <c r="I13" s="39" t="str">
        <f>IF('Şagirdlərin nəticələri'!I9="","",'Şagirdlərin nəticələri'!I9)</f>
        <v/>
      </c>
      <c r="J13" s="39" t="str">
        <f>IF('Şagirdlərin nəticələri'!J9="","",'Şagirdlərin nəticələri'!J9)</f>
        <v/>
      </c>
      <c r="K13" s="40" t="str">
        <f>IF('Şagirdlərin nəticələri'!BX9="","",'Şagirdlərin nəticələri'!BX9)</f>
        <v/>
      </c>
      <c r="L13" s="39" t="str">
        <f>IF('Şagirdlərin nəticələri'!BY9="","",'Şagirdlərin nəticələri'!BY9)</f>
        <v/>
      </c>
      <c r="M13" s="39" t="str">
        <f t="shared" si="0"/>
        <v/>
      </c>
    </row>
    <row r="14" spans="1:13">
      <c r="A14" s="39" t="str">
        <f>IF('Şagirdlərin nəticələri'!A10="","",'Şagirdlərin nəticələri'!A10)</f>
        <v/>
      </c>
      <c r="B14" s="39" t="str">
        <f>IF('Şagirdlərin nəticələri'!B10="","",'Şagirdlərin nəticələri'!B10)</f>
        <v/>
      </c>
      <c r="C14" s="39" t="str">
        <f>IF('Şagirdlərin nəticələri'!C10="","",'Şagirdlərin nəticələri'!C10)</f>
        <v/>
      </c>
      <c r="D14" s="39" t="str">
        <f>IF('Şagirdlərin nəticələri'!D10="","",'Şagirdlərin nəticələri'!D10)</f>
        <v/>
      </c>
      <c r="E14" s="39" t="str">
        <f>IF('Şagirdlərin nəticələri'!E10="","",'Şagirdlərin nəticələri'!E10)</f>
        <v/>
      </c>
      <c r="F14" s="39" t="str">
        <f>IF('Şagirdlərin nəticələri'!F10="","",'Şagirdlərin nəticələri'!F10)</f>
        <v/>
      </c>
      <c r="G14" s="39" t="str">
        <f>IF('Şagirdlərin nəticələri'!G10="","",'Şagirdlərin nəticələri'!G10)</f>
        <v/>
      </c>
      <c r="H14" s="39" t="str">
        <f>IF('Şagirdlərin nəticələri'!H10="","",'Şagirdlərin nəticələri'!H10)</f>
        <v/>
      </c>
      <c r="I14" s="39" t="str">
        <f>IF('Şagirdlərin nəticələri'!I10="","",'Şagirdlərin nəticələri'!I10)</f>
        <v/>
      </c>
      <c r="J14" s="39" t="str">
        <f>IF('Şagirdlərin nəticələri'!J10="","",'Şagirdlərin nəticələri'!J10)</f>
        <v/>
      </c>
      <c r="K14" s="40" t="str">
        <f>IF('Şagirdlərin nəticələri'!BX10="","",'Şagirdlərin nəticələri'!BX10)</f>
        <v/>
      </c>
      <c r="L14" s="39" t="str">
        <f>IF('Şagirdlərin nəticələri'!BY10="","",'Şagirdlərin nəticələri'!BY10)</f>
        <v/>
      </c>
      <c r="M14" s="39" t="str">
        <f t="shared" si="0"/>
        <v/>
      </c>
    </row>
    <row r="15" spans="1:13">
      <c r="A15" s="39" t="str">
        <f>IF('Şagirdlərin nəticələri'!A11="","",'Şagirdlərin nəticələri'!A11)</f>
        <v/>
      </c>
      <c r="B15" s="39" t="str">
        <f>IF('Şagirdlərin nəticələri'!B11="","",'Şagirdlərin nəticələri'!B11)</f>
        <v/>
      </c>
      <c r="C15" s="39" t="str">
        <f>IF('Şagirdlərin nəticələri'!C11="","",'Şagirdlərin nəticələri'!C11)</f>
        <v/>
      </c>
      <c r="D15" s="39" t="str">
        <f>IF('Şagirdlərin nəticələri'!D11="","",'Şagirdlərin nəticələri'!D11)</f>
        <v/>
      </c>
      <c r="E15" s="39" t="str">
        <f>IF('Şagirdlərin nəticələri'!E11="","",'Şagirdlərin nəticələri'!E11)</f>
        <v/>
      </c>
      <c r="F15" s="39" t="str">
        <f>IF('Şagirdlərin nəticələri'!F11="","",'Şagirdlərin nəticələri'!F11)</f>
        <v/>
      </c>
      <c r="G15" s="39" t="str">
        <f>IF('Şagirdlərin nəticələri'!G11="","",'Şagirdlərin nəticələri'!G11)</f>
        <v/>
      </c>
      <c r="H15" s="39" t="str">
        <f>IF('Şagirdlərin nəticələri'!H11="","",'Şagirdlərin nəticələri'!H11)</f>
        <v/>
      </c>
      <c r="I15" s="39" t="str">
        <f>IF('Şagirdlərin nəticələri'!I11="","",'Şagirdlərin nəticələri'!I11)</f>
        <v/>
      </c>
      <c r="J15" s="39" t="str">
        <f>IF('Şagirdlərin nəticələri'!J11="","",'Şagirdlərin nəticələri'!J11)</f>
        <v/>
      </c>
      <c r="K15" s="40" t="str">
        <f>IF('Şagirdlərin nəticələri'!BX11="","",'Şagirdlərin nəticələri'!BX11)</f>
        <v/>
      </c>
      <c r="L15" s="39" t="str">
        <f>IF('Şagirdlərin nəticələri'!BY11="","",'Şagirdlərin nəticələri'!BY11)</f>
        <v/>
      </c>
      <c r="M15" s="39" t="str">
        <f t="shared" si="0"/>
        <v/>
      </c>
    </row>
    <row r="16" spans="1:13">
      <c r="A16" s="39" t="str">
        <f>IF('Şagirdlərin nəticələri'!A12="","",'Şagirdlərin nəticələri'!A12)</f>
        <v/>
      </c>
      <c r="B16" s="39" t="str">
        <f>IF('Şagirdlərin nəticələri'!B12="","",'Şagirdlərin nəticələri'!B12)</f>
        <v/>
      </c>
      <c r="C16" s="39" t="str">
        <f>IF('Şagirdlərin nəticələri'!C12="","",'Şagirdlərin nəticələri'!C12)</f>
        <v/>
      </c>
      <c r="D16" s="39" t="str">
        <f>IF('Şagirdlərin nəticələri'!D12="","",'Şagirdlərin nəticələri'!D12)</f>
        <v/>
      </c>
      <c r="E16" s="39" t="str">
        <f>IF('Şagirdlərin nəticələri'!E12="","",'Şagirdlərin nəticələri'!E12)</f>
        <v/>
      </c>
      <c r="F16" s="39" t="str">
        <f>IF('Şagirdlərin nəticələri'!F12="","",'Şagirdlərin nəticələri'!F12)</f>
        <v/>
      </c>
      <c r="G16" s="39" t="str">
        <f>IF('Şagirdlərin nəticələri'!G12="","",'Şagirdlərin nəticələri'!G12)</f>
        <v/>
      </c>
      <c r="H16" s="39" t="str">
        <f>IF('Şagirdlərin nəticələri'!H12="","",'Şagirdlərin nəticələri'!H12)</f>
        <v/>
      </c>
      <c r="I16" s="39" t="str">
        <f>IF('Şagirdlərin nəticələri'!I12="","",'Şagirdlərin nəticələri'!I12)</f>
        <v/>
      </c>
      <c r="J16" s="39" t="str">
        <f>IF('Şagirdlərin nəticələri'!J12="","",'Şagirdlərin nəticələri'!J12)</f>
        <v/>
      </c>
      <c r="K16" s="40" t="str">
        <f>IF('Şagirdlərin nəticələri'!BX12="","",'Şagirdlərin nəticələri'!BX12)</f>
        <v/>
      </c>
      <c r="L16" s="39" t="str">
        <f>IF('Şagirdlərin nəticələri'!BY12="","",'Şagirdlərin nəticələri'!BY12)</f>
        <v/>
      </c>
      <c r="M16" s="39" t="str">
        <f t="shared" si="0"/>
        <v/>
      </c>
    </row>
    <row r="17" spans="1:13">
      <c r="A17" s="39" t="str">
        <f>IF('Şagirdlərin nəticələri'!A13="","",'Şagirdlərin nəticələri'!A13)</f>
        <v/>
      </c>
      <c r="B17" s="39" t="str">
        <f>IF('Şagirdlərin nəticələri'!B13="","",'Şagirdlərin nəticələri'!B13)</f>
        <v/>
      </c>
      <c r="C17" s="39" t="str">
        <f>IF('Şagirdlərin nəticələri'!C13="","",'Şagirdlərin nəticələri'!C13)</f>
        <v/>
      </c>
      <c r="D17" s="39" t="str">
        <f>IF('Şagirdlərin nəticələri'!D13="","",'Şagirdlərin nəticələri'!D13)</f>
        <v/>
      </c>
      <c r="E17" s="39" t="str">
        <f>IF('Şagirdlərin nəticələri'!E13="","",'Şagirdlərin nəticələri'!E13)</f>
        <v/>
      </c>
      <c r="F17" s="39" t="str">
        <f>IF('Şagirdlərin nəticələri'!F13="","",'Şagirdlərin nəticələri'!F13)</f>
        <v/>
      </c>
      <c r="G17" s="39" t="str">
        <f>IF('Şagirdlərin nəticələri'!G13="","",'Şagirdlərin nəticələri'!G13)</f>
        <v/>
      </c>
      <c r="H17" s="39" t="str">
        <f>IF('Şagirdlərin nəticələri'!H13="","",'Şagirdlərin nəticələri'!H13)</f>
        <v/>
      </c>
      <c r="I17" s="39" t="str">
        <f>IF('Şagirdlərin nəticələri'!I13="","",'Şagirdlərin nəticələri'!I13)</f>
        <v/>
      </c>
      <c r="J17" s="39" t="str">
        <f>IF('Şagirdlərin nəticələri'!J13="","",'Şagirdlərin nəticələri'!J13)</f>
        <v/>
      </c>
      <c r="K17" s="40" t="str">
        <f>IF('Şagirdlərin nəticələri'!BX13="","",'Şagirdlərin nəticələri'!BX13)</f>
        <v/>
      </c>
      <c r="L17" s="39" t="str">
        <f>IF('Şagirdlərin nəticələri'!BY13="","",'Şagirdlərin nəticələri'!BY13)</f>
        <v/>
      </c>
      <c r="M17" s="39" t="str">
        <f t="shared" si="0"/>
        <v/>
      </c>
    </row>
    <row r="18" spans="1:13">
      <c r="A18" s="39" t="str">
        <f>IF('Şagirdlərin nəticələri'!A14="","",'Şagirdlərin nəticələri'!A14)</f>
        <v/>
      </c>
      <c r="B18" s="39" t="str">
        <f>IF('Şagirdlərin nəticələri'!B14="","",'Şagirdlərin nəticələri'!B14)</f>
        <v/>
      </c>
      <c r="C18" s="39" t="str">
        <f>IF('Şagirdlərin nəticələri'!C14="","",'Şagirdlərin nəticələri'!C14)</f>
        <v/>
      </c>
      <c r="D18" s="39" t="str">
        <f>IF('Şagirdlərin nəticələri'!D14="","",'Şagirdlərin nəticələri'!D14)</f>
        <v/>
      </c>
      <c r="E18" s="39" t="str">
        <f>IF('Şagirdlərin nəticələri'!E14="","",'Şagirdlərin nəticələri'!E14)</f>
        <v/>
      </c>
      <c r="F18" s="39" t="str">
        <f>IF('Şagirdlərin nəticələri'!F14="","",'Şagirdlərin nəticələri'!F14)</f>
        <v/>
      </c>
      <c r="G18" s="39" t="str">
        <f>IF('Şagirdlərin nəticələri'!G14="","",'Şagirdlərin nəticələri'!G14)</f>
        <v/>
      </c>
      <c r="H18" s="39" t="str">
        <f>IF('Şagirdlərin nəticələri'!H14="","",'Şagirdlərin nəticələri'!H14)</f>
        <v/>
      </c>
      <c r="I18" s="39" t="str">
        <f>IF('Şagirdlərin nəticələri'!I14="","",'Şagirdlərin nəticələri'!I14)</f>
        <v/>
      </c>
      <c r="J18" s="39" t="str">
        <f>IF('Şagirdlərin nəticələri'!J14="","",'Şagirdlərin nəticələri'!J14)</f>
        <v/>
      </c>
      <c r="K18" s="40" t="str">
        <f>IF('Şagirdlərin nəticələri'!BX14="","",'Şagirdlərin nəticələri'!BX14)</f>
        <v/>
      </c>
      <c r="L18" s="39" t="str">
        <f>IF('Şagirdlərin nəticələri'!BY14="","",'Şagirdlərin nəticələri'!BY14)</f>
        <v/>
      </c>
      <c r="M18" s="39" t="str">
        <f t="shared" si="0"/>
        <v/>
      </c>
    </row>
    <row r="19" spans="1:13">
      <c r="A19" s="39" t="str">
        <f>IF('Şagirdlərin nəticələri'!A15="","",'Şagirdlərin nəticələri'!A15)</f>
        <v/>
      </c>
      <c r="B19" s="39" t="str">
        <f>IF('Şagirdlərin nəticələri'!B15="","",'Şagirdlərin nəticələri'!B15)</f>
        <v/>
      </c>
      <c r="C19" s="39" t="str">
        <f>IF('Şagirdlərin nəticələri'!C15="","",'Şagirdlərin nəticələri'!C15)</f>
        <v/>
      </c>
      <c r="D19" s="39" t="str">
        <f>IF('Şagirdlərin nəticələri'!D15="","",'Şagirdlərin nəticələri'!D15)</f>
        <v/>
      </c>
      <c r="E19" s="39" t="str">
        <f>IF('Şagirdlərin nəticələri'!E15="","",'Şagirdlərin nəticələri'!E15)</f>
        <v/>
      </c>
      <c r="F19" s="39" t="str">
        <f>IF('Şagirdlərin nəticələri'!F15="","",'Şagirdlərin nəticələri'!F15)</f>
        <v/>
      </c>
      <c r="G19" s="39" t="str">
        <f>IF('Şagirdlərin nəticələri'!G15="","",'Şagirdlərin nəticələri'!G15)</f>
        <v/>
      </c>
      <c r="H19" s="39" t="str">
        <f>IF('Şagirdlərin nəticələri'!H15="","",'Şagirdlərin nəticələri'!H15)</f>
        <v/>
      </c>
      <c r="I19" s="39" t="str">
        <f>IF('Şagirdlərin nəticələri'!I15="","",'Şagirdlərin nəticələri'!I15)</f>
        <v/>
      </c>
      <c r="J19" s="39" t="str">
        <f>IF('Şagirdlərin nəticələri'!J15="","",'Şagirdlərin nəticələri'!J15)</f>
        <v/>
      </c>
      <c r="K19" s="40" t="str">
        <f>IF('Şagirdlərin nəticələri'!BX15="","",'Şagirdlərin nəticələri'!BX15)</f>
        <v/>
      </c>
      <c r="L19" s="39" t="str">
        <f>IF('Şagirdlərin nəticələri'!BY15="","",'Şagirdlərin nəticələri'!BY15)</f>
        <v/>
      </c>
      <c r="M19" s="39" t="str">
        <f t="shared" si="0"/>
        <v/>
      </c>
    </row>
    <row r="20" spans="1:13">
      <c r="A20" s="39" t="str">
        <f>IF('Şagirdlərin nəticələri'!A16="","",'Şagirdlərin nəticələri'!A16)</f>
        <v/>
      </c>
      <c r="B20" s="39" t="str">
        <f>IF('Şagirdlərin nəticələri'!B16="","",'Şagirdlərin nəticələri'!B16)</f>
        <v/>
      </c>
      <c r="C20" s="39" t="str">
        <f>IF('Şagirdlərin nəticələri'!C16="","",'Şagirdlərin nəticələri'!C16)</f>
        <v/>
      </c>
      <c r="D20" s="39" t="str">
        <f>IF('Şagirdlərin nəticələri'!D16="","",'Şagirdlərin nəticələri'!D16)</f>
        <v/>
      </c>
      <c r="E20" s="39" t="str">
        <f>IF('Şagirdlərin nəticələri'!E16="","",'Şagirdlərin nəticələri'!E16)</f>
        <v/>
      </c>
      <c r="F20" s="39" t="str">
        <f>IF('Şagirdlərin nəticələri'!F16="","",'Şagirdlərin nəticələri'!F16)</f>
        <v/>
      </c>
      <c r="G20" s="39" t="str">
        <f>IF('Şagirdlərin nəticələri'!G16="","",'Şagirdlərin nəticələri'!G16)</f>
        <v/>
      </c>
      <c r="H20" s="39" t="str">
        <f>IF('Şagirdlərin nəticələri'!H16="","",'Şagirdlərin nəticələri'!H16)</f>
        <v/>
      </c>
      <c r="I20" s="39" t="str">
        <f>IF('Şagirdlərin nəticələri'!I16="","",'Şagirdlərin nəticələri'!I16)</f>
        <v/>
      </c>
      <c r="J20" s="39" t="str">
        <f>IF('Şagirdlərin nəticələri'!J16="","",'Şagirdlərin nəticələri'!J16)</f>
        <v/>
      </c>
      <c r="K20" s="40" t="str">
        <f>IF('Şagirdlərin nəticələri'!BX16="","",'Şagirdlərin nəticələri'!BX16)</f>
        <v/>
      </c>
      <c r="L20" s="39" t="str">
        <f>IF('Şagirdlərin nəticələri'!BY16="","",'Şagirdlərin nəticələri'!BY16)</f>
        <v/>
      </c>
      <c r="M20" s="39" t="str">
        <f t="shared" si="0"/>
        <v/>
      </c>
    </row>
    <row r="21" spans="1:13">
      <c r="A21" s="39" t="str">
        <f>IF('Şagirdlərin nəticələri'!A17="","",'Şagirdlərin nəticələri'!A17)</f>
        <v/>
      </c>
      <c r="B21" s="39" t="str">
        <f>IF('Şagirdlərin nəticələri'!B17="","",'Şagirdlərin nəticələri'!B17)</f>
        <v/>
      </c>
      <c r="C21" s="39" t="str">
        <f>IF('Şagirdlərin nəticələri'!C17="","",'Şagirdlərin nəticələri'!C17)</f>
        <v/>
      </c>
      <c r="D21" s="39" t="str">
        <f>IF('Şagirdlərin nəticələri'!D17="","",'Şagirdlərin nəticələri'!D17)</f>
        <v/>
      </c>
      <c r="E21" s="39" t="str">
        <f>IF('Şagirdlərin nəticələri'!E17="","",'Şagirdlərin nəticələri'!E17)</f>
        <v/>
      </c>
      <c r="F21" s="39" t="str">
        <f>IF('Şagirdlərin nəticələri'!F17="","",'Şagirdlərin nəticələri'!F17)</f>
        <v/>
      </c>
      <c r="G21" s="39" t="str">
        <f>IF('Şagirdlərin nəticələri'!G17="","",'Şagirdlərin nəticələri'!G17)</f>
        <v/>
      </c>
      <c r="H21" s="39" t="str">
        <f>IF('Şagirdlərin nəticələri'!H17="","",'Şagirdlərin nəticələri'!H17)</f>
        <v/>
      </c>
      <c r="I21" s="39" t="str">
        <f>IF('Şagirdlərin nəticələri'!I17="","",'Şagirdlərin nəticələri'!I17)</f>
        <v/>
      </c>
      <c r="J21" s="39" t="str">
        <f>IF('Şagirdlərin nəticələri'!J17="","",'Şagirdlərin nəticələri'!J17)</f>
        <v/>
      </c>
      <c r="K21" s="40" t="str">
        <f>IF('Şagirdlərin nəticələri'!BX17="","",'Şagirdlərin nəticələri'!BX17)</f>
        <v/>
      </c>
      <c r="L21" s="39" t="str">
        <f>IF('Şagirdlərin nəticələri'!BY17="","",'Şagirdlərin nəticələri'!BY17)</f>
        <v/>
      </c>
      <c r="M21" s="39" t="str">
        <f t="shared" si="0"/>
        <v/>
      </c>
    </row>
    <row r="22" spans="1:13">
      <c r="A22" s="39" t="str">
        <f>IF('Şagirdlərin nəticələri'!A18="","",'Şagirdlərin nəticələri'!A18)</f>
        <v/>
      </c>
      <c r="B22" s="39" t="str">
        <f>IF('Şagirdlərin nəticələri'!B18="","",'Şagirdlərin nəticələri'!B18)</f>
        <v/>
      </c>
      <c r="C22" s="39" t="str">
        <f>IF('Şagirdlərin nəticələri'!C18="","",'Şagirdlərin nəticələri'!C18)</f>
        <v/>
      </c>
      <c r="D22" s="39" t="str">
        <f>IF('Şagirdlərin nəticələri'!D18="","",'Şagirdlərin nəticələri'!D18)</f>
        <v/>
      </c>
      <c r="E22" s="39" t="str">
        <f>IF('Şagirdlərin nəticələri'!E18="","",'Şagirdlərin nəticələri'!E18)</f>
        <v/>
      </c>
      <c r="F22" s="39" t="str">
        <f>IF('Şagirdlərin nəticələri'!F18="","",'Şagirdlərin nəticələri'!F18)</f>
        <v/>
      </c>
      <c r="G22" s="39" t="str">
        <f>IF('Şagirdlərin nəticələri'!G18="","",'Şagirdlərin nəticələri'!G18)</f>
        <v/>
      </c>
      <c r="H22" s="39" t="str">
        <f>IF('Şagirdlərin nəticələri'!H18="","",'Şagirdlərin nəticələri'!H18)</f>
        <v/>
      </c>
      <c r="I22" s="39" t="str">
        <f>IF('Şagirdlərin nəticələri'!I18="","",'Şagirdlərin nəticələri'!I18)</f>
        <v/>
      </c>
      <c r="J22" s="39" t="str">
        <f>IF('Şagirdlərin nəticələri'!J18="","",'Şagirdlərin nəticələri'!J18)</f>
        <v/>
      </c>
      <c r="K22" s="40" t="str">
        <f>IF('Şagirdlərin nəticələri'!BX18="","",'Şagirdlərin nəticələri'!BX18)</f>
        <v/>
      </c>
      <c r="L22" s="39" t="str">
        <f>IF('Şagirdlərin nəticələri'!BY18="","",'Şagirdlərin nəticələri'!BY18)</f>
        <v/>
      </c>
      <c r="M22" s="39" t="str">
        <f t="shared" si="0"/>
        <v/>
      </c>
    </row>
    <row r="23" spans="1:13">
      <c r="A23" s="39" t="str">
        <f>IF('Şagirdlərin nəticələri'!A19="","",'Şagirdlərin nəticələri'!A19)</f>
        <v/>
      </c>
      <c r="B23" s="39" t="str">
        <f>IF('Şagirdlərin nəticələri'!B19="","",'Şagirdlərin nəticələri'!B19)</f>
        <v/>
      </c>
      <c r="C23" s="39" t="str">
        <f>IF('Şagirdlərin nəticələri'!C19="","",'Şagirdlərin nəticələri'!C19)</f>
        <v/>
      </c>
      <c r="D23" s="39" t="str">
        <f>IF('Şagirdlərin nəticələri'!D19="","",'Şagirdlərin nəticələri'!D19)</f>
        <v/>
      </c>
      <c r="E23" s="39" t="str">
        <f>IF('Şagirdlərin nəticələri'!E19="","",'Şagirdlərin nəticələri'!E19)</f>
        <v/>
      </c>
      <c r="F23" s="39" t="str">
        <f>IF('Şagirdlərin nəticələri'!F19="","",'Şagirdlərin nəticələri'!F19)</f>
        <v/>
      </c>
      <c r="G23" s="39" t="str">
        <f>IF('Şagirdlərin nəticələri'!G19="","",'Şagirdlərin nəticələri'!G19)</f>
        <v/>
      </c>
      <c r="H23" s="39" t="str">
        <f>IF('Şagirdlərin nəticələri'!H19="","",'Şagirdlərin nəticələri'!H19)</f>
        <v/>
      </c>
      <c r="I23" s="39" t="str">
        <f>IF('Şagirdlərin nəticələri'!I19="","",'Şagirdlərin nəticələri'!I19)</f>
        <v/>
      </c>
      <c r="J23" s="39" t="str">
        <f>IF('Şagirdlərin nəticələri'!J19="","",'Şagirdlərin nəticələri'!J19)</f>
        <v/>
      </c>
      <c r="K23" s="40" t="str">
        <f>IF('Şagirdlərin nəticələri'!BX19="","",'Şagirdlərin nəticələri'!BX19)</f>
        <v/>
      </c>
      <c r="L23" s="39" t="str">
        <f>IF('Şagirdlərin nəticələri'!BY19="","",'Şagirdlərin nəticələri'!BY19)</f>
        <v/>
      </c>
      <c r="M23" s="39" t="str">
        <f t="shared" si="0"/>
        <v/>
      </c>
    </row>
    <row r="24" spans="1:13">
      <c r="A24" s="39" t="str">
        <f>IF('Şagirdlərin nəticələri'!A20="","",'Şagirdlərin nəticələri'!A20)</f>
        <v/>
      </c>
      <c r="B24" s="39" t="str">
        <f>IF('Şagirdlərin nəticələri'!B20="","",'Şagirdlərin nəticələri'!B20)</f>
        <v/>
      </c>
      <c r="C24" s="39" t="str">
        <f>IF('Şagirdlərin nəticələri'!C20="","",'Şagirdlərin nəticələri'!C20)</f>
        <v/>
      </c>
      <c r="D24" s="39" t="str">
        <f>IF('Şagirdlərin nəticələri'!D20="","",'Şagirdlərin nəticələri'!D20)</f>
        <v/>
      </c>
      <c r="E24" s="39" t="str">
        <f>IF('Şagirdlərin nəticələri'!E20="","",'Şagirdlərin nəticələri'!E20)</f>
        <v/>
      </c>
      <c r="F24" s="39" t="str">
        <f>IF('Şagirdlərin nəticələri'!F20="","",'Şagirdlərin nəticələri'!F20)</f>
        <v/>
      </c>
      <c r="G24" s="39" t="str">
        <f>IF('Şagirdlərin nəticələri'!G20="","",'Şagirdlərin nəticələri'!G20)</f>
        <v/>
      </c>
      <c r="H24" s="39" t="str">
        <f>IF('Şagirdlərin nəticələri'!H20="","",'Şagirdlərin nəticələri'!H20)</f>
        <v/>
      </c>
      <c r="I24" s="39" t="str">
        <f>IF('Şagirdlərin nəticələri'!I20="","",'Şagirdlərin nəticələri'!I20)</f>
        <v/>
      </c>
      <c r="J24" s="39" t="str">
        <f>IF('Şagirdlərin nəticələri'!J20="","",'Şagirdlərin nəticələri'!J20)</f>
        <v/>
      </c>
      <c r="K24" s="40" t="str">
        <f>IF('Şagirdlərin nəticələri'!BX20="","",'Şagirdlərin nəticələri'!BX20)</f>
        <v/>
      </c>
      <c r="L24" s="39" t="str">
        <f>IF('Şagirdlərin nəticələri'!BY20="","",'Şagirdlərin nəticələri'!BY20)</f>
        <v/>
      </c>
      <c r="M24" s="39" t="str">
        <f t="shared" si="0"/>
        <v/>
      </c>
    </row>
    <row r="25" spans="1:13">
      <c r="A25" s="39" t="str">
        <f>IF('Şagirdlərin nəticələri'!A21="","",'Şagirdlərin nəticələri'!A21)</f>
        <v/>
      </c>
      <c r="B25" s="39" t="str">
        <f>IF('Şagirdlərin nəticələri'!B21="","",'Şagirdlərin nəticələri'!B21)</f>
        <v/>
      </c>
      <c r="C25" s="39" t="str">
        <f>IF('Şagirdlərin nəticələri'!C21="","",'Şagirdlərin nəticələri'!C21)</f>
        <v/>
      </c>
      <c r="D25" s="39" t="str">
        <f>IF('Şagirdlərin nəticələri'!D21="","",'Şagirdlərin nəticələri'!D21)</f>
        <v/>
      </c>
      <c r="E25" s="39" t="str">
        <f>IF('Şagirdlərin nəticələri'!E21="","",'Şagirdlərin nəticələri'!E21)</f>
        <v/>
      </c>
      <c r="F25" s="39" t="str">
        <f>IF('Şagirdlərin nəticələri'!F21="","",'Şagirdlərin nəticələri'!F21)</f>
        <v/>
      </c>
      <c r="G25" s="39" t="str">
        <f>IF('Şagirdlərin nəticələri'!G21="","",'Şagirdlərin nəticələri'!G21)</f>
        <v/>
      </c>
      <c r="H25" s="39" t="str">
        <f>IF('Şagirdlərin nəticələri'!H21="","",'Şagirdlərin nəticələri'!H21)</f>
        <v/>
      </c>
      <c r="I25" s="39" t="str">
        <f>IF('Şagirdlərin nəticələri'!I21="","",'Şagirdlərin nəticələri'!I21)</f>
        <v/>
      </c>
      <c r="J25" s="39" t="str">
        <f>IF('Şagirdlərin nəticələri'!J21="","",'Şagirdlərin nəticələri'!J21)</f>
        <v/>
      </c>
      <c r="K25" s="40" t="str">
        <f>IF('Şagirdlərin nəticələri'!BX21="","",'Şagirdlərin nəticələri'!BX21)</f>
        <v/>
      </c>
      <c r="L25" s="39" t="str">
        <f>IF('Şagirdlərin nəticələri'!BY21="","",'Şagirdlərin nəticələri'!BY21)</f>
        <v/>
      </c>
      <c r="M25" s="39" t="str">
        <f t="shared" si="0"/>
        <v/>
      </c>
    </row>
    <row r="26" spans="1:13">
      <c r="A26" s="39" t="str">
        <f>IF('Şagirdlərin nəticələri'!A22="","",'Şagirdlərin nəticələri'!A22)</f>
        <v/>
      </c>
      <c r="B26" s="39" t="str">
        <f>IF('Şagirdlərin nəticələri'!B22="","",'Şagirdlərin nəticələri'!B22)</f>
        <v/>
      </c>
      <c r="C26" s="39" t="str">
        <f>IF('Şagirdlərin nəticələri'!C22="","",'Şagirdlərin nəticələri'!C22)</f>
        <v/>
      </c>
      <c r="D26" s="39" t="str">
        <f>IF('Şagirdlərin nəticələri'!D22="","",'Şagirdlərin nəticələri'!D22)</f>
        <v/>
      </c>
      <c r="E26" s="39" t="str">
        <f>IF('Şagirdlərin nəticələri'!E22="","",'Şagirdlərin nəticələri'!E22)</f>
        <v/>
      </c>
      <c r="F26" s="39" t="str">
        <f>IF('Şagirdlərin nəticələri'!F22="","",'Şagirdlərin nəticələri'!F22)</f>
        <v/>
      </c>
      <c r="G26" s="39" t="str">
        <f>IF('Şagirdlərin nəticələri'!G22="","",'Şagirdlərin nəticələri'!G22)</f>
        <v/>
      </c>
      <c r="H26" s="39" t="str">
        <f>IF('Şagirdlərin nəticələri'!H22="","",'Şagirdlərin nəticələri'!H22)</f>
        <v/>
      </c>
      <c r="I26" s="39" t="str">
        <f>IF('Şagirdlərin nəticələri'!I22="","",'Şagirdlərin nəticələri'!I22)</f>
        <v/>
      </c>
      <c r="J26" s="39" t="str">
        <f>IF('Şagirdlərin nəticələri'!J22="","",'Şagirdlərin nəticələri'!J22)</f>
        <v/>
      </c>
      <c r="K26" s="40" t="str">
        <f>IF('Şagirdlərin nəticələri'!BX22="","",'Şagirdlərin nəticələri'!BX22)</f>
        <v/>
      </c>
      <c r="L26" s="39" t="str">
        <f>IF('Şagirdlərin nəticələri'!BY22="","",'Şagirdlərin nəticələri'!BY22)</f>
        <v/>
      </c>
      <c r="M26" s="39" t="str">
        <f t="shared" si="0"/>
        <v/>
      </c>
    </row>
    <row r="27" spans="1:13">
      <c r="A27" s="39" t="str">
        <f>IF('Şagirdlərin nəticələri'!A23="","",'Şagirdlərin nəticələri'!A23)</f>
        <v/>
      </c>
      <c r="B27" s="39" t="str">
        <f>IF('Şagirdlərin nəticələri'!B23="","",'Şagirdlərin nəticələri'!B23)</f>
        <v/>
      </c>
      <c r="C27" s="39" t="str">
        <f>IF('Şagirdlərin nəticələri'!C23="","",'Şagirdlərin nəticələri'!C23)</f>
        <v/>
      </c>
      <c r="D27" s="39" t="str">
        <f>IF('Şagirdlərin nəticələri'!D23="","",'Şagirdlərin nəticələri'!D23)</f>
        <v/>
      </c>
      <c r="E27" s="39" t="str">
        <f>IF('Şagirdlərin nəticələri'!E23="","",'Şagirdlərin nəticələri'!E23)</f>
        <v/>
      </c>
      <c r="F27" s="39" t="str">
        <f>IF('Şagirdlərin nəticələri'!F23="","",'Şagirdlərin nəticələri'!F23)</f>
        <v/>
      </c>
      <c r="G27" s="39" t="str">
        <f>IF('Şagirdlərin nəticələri'!G23="","",'Şagirdlərin nəticələri'!G23)</f>
        <v/>
      </c>
      <c r="H27" s="39" t="str">
        <f>IF('Şagirdlərin nəticələri'!H23="","",'Şagirdlərin nəticələri'!H23)</f>
        <v/>
      </c>
      <c r="I27" s="39" t="str">
        <f>IF('Şagirdlərin nəticələri'!I23="","",'Şagirdlərin nəticələri'!I23)</f>
        <v/>
      </c>
      <c r="J27" s="39" t="str">
        <f>IF('Şagirdlərin nəticələri'!J23="","",'Şagirdlərin nəticələri'!J23)</f>
        <v/>
      </c>
      <c r="K27" s="40" t="str">
        <f>IF('Şagirdlərin nəticələri'!BX23="","",'Şagirdlərin nəticələri'!BX23)</f>
        <v/>
      </c>
      <c r="L27" s="39" t="str">
        <f>IF('Şagirdlərin nəticələri'!BY23="","",'Şagirdlərin nəticələri'!BY23)</f>
        <v/>
      </c>
      <c r="M27" s="39" t="str">
        <f t="shared" si="0"/>
        <v/>
      </c>
    </row>
    <row r="28" spans="1:13">
      <c r="A28" s="39" t="str">
        <f>IF('Şagirdlərin nəticələri'!A24="","",'Şagirdlərin nəticələri'!A24)</f>
        <v/>
      </c>
      <c r="B28" s="39" t="str">
        <f>IF('Şagirdlərin nəticələri'!B24="","",'Şagirdlərin nəticələri'!B24)</f>
        <v/>
      </c>
      <c r="C28" s="39" t="str">
        <f>IF('Şagirdlərin nəticələri'!C24="","",'Şagirdlərin nəticələri'!C24)</f>
        <v/>
      </c>
      <c r="D28" s="39" t="str">
        <f>IF('Şagirdlərin nəticələri'!D24="","",'Şagirdlərin nəticələri'!D24)</f>
        <v/>
      </c>
      <c r="E28" s="39" t="str">
        <f>IF('Şagirdlərin nəticələri'!E24="","",'Şagirdlərin nəticələri'!E24)</f>
        <v/>
      </c>
      <c r="F28" s="39" t="str">
        <f>IF('Şagirdlərin nəticələri'!F24="","",'Şagirdlərin nəticələri'!F24)</f>
        <v/>
      </c>
      <c r="G28" s="39" t="str">
        <f>IF('Şagirdlərin nəticələri'!G24="","",'Şagirdlərin nəticələri'!G24)</f>
        <v/>
      </c>
      <c r="H28" s="39" t="str">
        <f>IF('Şagirdlərin nəticələri'!H24="","",'Şagirdlərin nəticələri'!H24)</f>
        <v/>
      </c>
      <c r="I28" s="39" t="str">
        <f>IF('Şagirdlərin nəticələri'!I24="","",'Şagirdlərin nəticələri'!I24)</f>
        <v/>
      </c>
      <c r="J28" s="39" t="str">
        <f>IF('Şagirdlərin nəticələri'!J24="","",'Şagirdlərin nəticələri'!J24)</f>
        <v/>
      </c>
      <c r="K28" s="40" t="str">
        <f>IF('Şagirdlərin nəticələri'!BX24="","",'Şagirdlərin nəticələri'!BX24)</f>
        <v/>
      </c>
      <c r="L28" s="39" t="str">
        <f>IF('Şagirdlərin nəticələri'!BY24="","",'Şagirdlərin nəticələri'!BY24)</f>
        <v/>
      </c>
      <c r="M28" s="39" t="str">
        <f t="shared" si="0"/>
        <v/>
      </c>
    </row>
    <row r="29" spans="1:13">
      <c r="A29" s="39" t="str">
        <f>IF('Şagirdlərin nəticələri'!A25="","",'Şagirdlərin nəticələri'!A25)</f>
        <v/>
      </c>
      <c r="B29" s="39" t="str">
        <f>IF('Şagirdlərin nəticələri'!B25="","",'Şagirdlərin nəticələri'!B25)</f>
        <v/>
      </c>
      <c r="C29" s="39" t="str">
        <f>IF('Şagirdlərin nəticələri'!C25="","",'Şagirdlərin nəticələri'!C25)</f>
        <v/>
      </c>
      <c r="D29" s="39" t="str">
        <f>IF('Şagirdlərin nəticələri'!D25="","",'Şagirdlərin nəticələri'!D25)</f>
        <v/>
      </c>
      <c r="E29" s="39" t="str">
        <f>IF('Şagirdlərin nəticələri'!E25="","",'Şagirdlərin nəticələri'!E25)</f>
        <v/>
      </c>
      <c r="F29" s="39" t="str">
        <f>IF('Şagirdlərin nəticələri'!F25="","",'Şagirdlərin nəticələri'!F25)</f>
        <v/>
      </c>
      <c r="G29" s="39" t="str">
        <f>IF('Şagirdlərin nəticələri'!G25="","",'Şagirdlərin nəticələri'!G25)</f>
        <v/>
      </c>
      <c r="H29" s="39" t="str">
        <f>IF('Şagirdlərin nəticələri'!H25="","",'Şagirdlərin nəticələri'!H25)</f>
        <v/>
      </c>
      <c r="I29" s="39" t="str">
        <f>IF('Şagirdlərin nəticələri'!I25="","",'Şagirdlərin nəticələri'!I25)</f>
        <v/>
      </c>
      <c r="J29" s="39" t="str">
        <f>IF('Şagirdlərin nəticələri'!J25="","",'Şagirdlərin nəticələri'!J25)</f>
        <v/>
      </c>
      <c r="K29" s="40" t="str">
        <f>IF('Şagirdlərin nəticələri'!BX25="","",'Şagirdlərin nəticələri'!BX25)</f>
        <v/>
      </c>
      <c r="L29" s="39" t="str">
        <f>IF('Şagirdlərin nəticələri'!BY25="","",'Şagirdlərin nəticələri'!BY25)</f>
        <v/>
      </c>
      <c r="M29" s="39" t="str">
        <f t="shared" si="0"/>
        <v/>
      </c>
    </row>
    <row r="30" spans="1:13">
      <c r="A30" s="39" t="str">
        <f>IF('Şagirdlərin nəticələri'!A26="","",'Şagirdlərin nəticələri'!A26)</f>
        <v/>
      </c>
      <c r="B30" s="39" t="str">
        <f>IF('Şagirdlərin nəticələri'!B26="","",'Şagirdlərin nəticələri'!B26)</f>
        <v/>
      </c>
      <c r="C30" s="39" t="str">
        <f>IF('Şagirdlərin nəticələri'!C26="","",'Şagirdlərin nəticələri'!C26)</f>
        <v/>
      </c>
      <c r="D30" s="39" t="str">
        <f>IF('Şagirdlərin nəticələri'!D26="","",'Şagirdlərin nəticələri'!D26)</f>
        <v/>
      </c>
      <c r="E30" s="39" t="str">
        <f>IF('Şagirdlərin nəticələri'!E26="","",'Şagirdlərin nəticələri'!E26)</f>
        <v/>
      </c>
      <c r="F30" s="39" t="str">
        <f>IF('Şagirdlərin nəticələri'!F26="","",'Şagirdlərin nəticələri'!F26)</f>
        <v/>
      </c>
      <c r="G30" s="39" t="str">
        <f>IF('Şagirdlərin nəticələri'!G26="","",'Şagirdlərin nəticələri'!G26)</f>
        <v/>
      </c>
      <c r="H30" s="39" t="str">
        <f>IF('Şagirdlərin nəticələri'!H26="","",'Şagirdlərin nəticələri'!H26)</f>
        <v/>
      </c>
      <c r="I30" s="39" t="str">
        <f>IF('Şagirdlərin nəticələri'!I26="","",'Şagirdlərin nəticələri'!I26)</f>
        <v/>
      </c>
      <c r="J30" s="39" t="str">
        <f>IF('Şagirdlərin nəticələri'!J26="","",'Şagirdlərin nəticələri'!J26)</f>
        <v/>
      </c>
      <c r="K30" s="40" t="str">
        <f>IF('Şagirdlərin nəticələri'!BX26="","",'Şagirdlərin nəticələri'!BX26)</f>
        <v/>
      </c>
      <c r="L30" s="39" t="str">
        <f>IF('Şagirdlərin nəticələri'!BY26="","",'Şagirdlərin nəticələri'!BY26)</f>
        <v/>
      </c>
      <c r="M30" s="39" t="str">
        <f t="shared" si="0"/>
        <v/>
      </c>
    </row>
    <row r="31" spans="1:13">
      <c r="A31" s="39" t="str">
        <f>IF('Şagirdlərin nəticələri'!A27="","",'Şagirdlərin nəticələri'!A27)</f>
        <v/>
      </c>
      <c r="B31" s="39" t="str">
        <f>IF('Şagirdlərin nəticələri'!B27="","",'Şagirdlərin nəticələri'!B27)</f>
        <v/>
      </c>
      <c r="C31" s="39" t="str">
        <f>IF('Şagirdlərin nəticələri'!C27="","",'Şagirdlərin nəticələri'!C27)</f>
        <v/>
      </c>
      <c r="D31" s="39" t="str">
        <f>IF('Şagirdlərin nəticələri'!D27="","",'Şagirdlərin nəticələri'!D27)</f>
        <v/>
      </c>
      <c r="E31" s="39" t="str">
        <f>IF('Şagirdlərin nəticələri'!E27="","",'Şagirdlərin nəticələri'!E27)</f>
        <v/>
      </c>
      <c r="F31" s="39" t="str">
        <f>IF('Şagirdlərin nəticələri'!F27="","",'Şagirdlərin nəticələri'!F27)</f>
        <v/>
      </c>
      <c r="G31" s="39" t="str">
        <f>IF('Şagirdlərin nəticələri'!G27="","",'Şagirdlərin nəticələri'!G27)</f>
        <v/>
      </c>
      <c r="H31" s="39" t="str">
        <f>IF('Şagirdlərin nəticələri'!H27="","",'Şagirdlərin nəticələri'!H27)</f>
        <v/>
      </c>
      <c r="I31" s="39" t="str">
        <f>IF('Şagirdlərin nəticələri'!I27="","",'Şagirdlərin nəticələri'!I27)</f>
        <v/>
      </c>
      <c r="J31" s="39" t="str">
        <f>IF('Şagirdlərin nəticələri'!J27="","",'Şagirdlərin nəticələri'!J27)</f>
        <v/>
      </c>
      <c r="K31" s="40" t="str">
        <f>IF('Şagirdlərin nəticələri'!BX27="","",'Şagirdlərin nəticələri'!BX27)</f>
        <v/>
      </c>
      <c r="L31" s="39" t="str">
        <f>IF('Şagirdlərin nəticələri'!BY27="","",'Şagirdlərin nəticələri'!BY27)</f>
        <v/>
      </c>
      <c r="M31" s="39" t="str">
        <f t="shared" si="0"/>
        <v/>
      </c>
    </row>
    <row r="32" spans="1:13">
      <c r="A32" s="39" t="str">
        <f>IF('Şagirdlərin nəticələri'!A28="","",'Şagirdlərin nəticələri'!A28)</f>
        <v/>
      </c>
      <c r="B32" s="39" t="str">
        <f>IF('Şagirdlərin nəticələri'!B28="","",'Şagirdlərin nəticələri'!B28)</f>
        <v/>
      </c>
      <c r="C32" s="39" t="str">
        <f>IF('Şagirdlərin nəticələri'!C28="","",'Şagirdlərin nəticələri'!C28)</f>
        <v/>
      </c>
      <c r="D32" s="39" t="str">
        <f>IF('Şagirdlərin nəticələri'!D28="","",'Şagirdlərin nəticələri'!D28)</f>
        <v/>
      </c>
      <c r="E32" s="39" t="str">
        <f>IF('Şagirdlərin nəticələri'!E28="","",'Şagirdlərin nəticələri'!E28)</f>
        <v/>
      </c>
      <c r="F32" s="39" t="str">
        <f>IF('Şagirdlərin nəticələri'!F28="","",'Şagirdlərin nəticələri'!F28)</f>
        <v/>
      </c>
      <c r="G32" s="39" t="str">
        <f>IF('Şagirdlərin nəticələri'!G28="","",'Şagirdlərin nəticələri'!G28)</f>
        <v/>
      </c>
      <c r="H32" s="39" t="str">
        <f>IF('Şagirdlərin nəticələri'!H28="","",'Şagirdlərin nəticələri'!H28)</f>
        <v/>
      </c>
      <c r="I32" s="39" t="str">
        <f>IF('Şagirdlərin nəticələri'!I28="","",'Şagirdlərin nəticələri'!I28)</f>
        <v/>
      </c>
      <c r="J32" s="39" t="str">
        <f>IF('Şagirdlərin nəticələri'!J28="","",'Şagirdlərin nəticələri'!J28)</f>
        <v/>
      </c>
      <c r="K32" s="40" t="str">
        <f>IF('Şagirdlərin nəticələri'!BX28="","",'Şagirdlərin nəticələri'!BX28)</f>
        <v/>
      </c>
      <c r="L32" s="39" t="str">
        <f>IF('Şagirdlərin nəticələri'!BY28="","",'Şagirdlərin nəticələri'!BY28)</f>
        <v/>
      </c>
      <c r="M32" s="39" t="str">
        <f t="shared" si="0"/>
        <v/>
      </c>
    </row>
    <row r="33" spans="1:13">
      <c r="A33" s="39" t="str">
        <f>IF('Şagirdlərin nəticələri'!A29="","",'Şagirdlərin nəticələri'!A29)</f>
        <v/>
      </c>
      <c r="B33" s="39" t="str">
        <f>IF('Şagirdlərin nəticələri'!B29="","",'Şagirdlərin nəticələri'!B29)</f>
        <v/>
      </c>
      <c r="C33" s="39" t="str">
        <f>IF('Şagirdlərin nəticələri'!C29="","",'Şagirdlərin nəticələri'!C29)</f>
        <v/>
      </c>
      <c r="D33" s="39" t="str">
        <f>IF('Şagirdlərin nəticələri'!D29="","",'Şagirdlərin nəticələri'!D29)</f>
        <v/>
      </c>
      <c r="E33" s="39" t="str">
        <f>IF('Şagirdlərin nəticələri'!E29="","",'Şagirdlərin nəticələri'!E29)</f>
        <v/>
      </c>
      <c r="F33" s="39" t="str">
        <f>IF('Şagirdlərin nəticələri'!F29="","",'Şagirdlərin nəticələri'!F29)</f>
        <v/>
      </c>
      <c r="G33" s="39" t="str">
        <f>IF('Şagirdlərin nəticələri'!G29="","",'Şagirdlərin nəticələri'!G29)</f>
        <v/>
      </c>
      <c r="H33" s="39" t="str">
        <f>IF('Şagirdlərin nəticələri'!H29="","",'Şagirdlərin nəticələri'!H29)</f>
        <v/>
      </c>
      <c r="I33" s="39" t="str">
        <f>IF('Şagirdlərin nəticələri'!I29="","",'Şagirdlərin nəticələri'!I29)</f>
        <v/>
      </c>
      <c r="J33" s="39" t="str">
        <f>IF('Şagirdlərin nəticələri'!J29="","",'Şagirdlərin nəticələri'!J29)</f>
        <v/>
      </c>
      <c r="K33" s="40" t="str">
        <f>IF('Şagirdlərin nəticələri'!BX29="","",'Şagirdlərin nəticələri'!BX29)</f>
        <v/>
      </c>
      <c r="L33" s="39" t="str">
        <f>IF('Şagirdlərin nəticələri'!BY29="","",'Şagirdlərin nəticələri'!BY29)</f>
        <v/>
      </c>
      <c r="M33" s="39" t="str">
        <f t="shared" si="0"/>
        <v/>
      </c>
    </row>
    <row r="34" spans="1:13">
      <c r="A34" s="39" t="str">
        <f>IF('Şagirdlərin nəticələri'!A30="","",'Şagirdlərin nəticələri'!A30)</f>
        <v/>
      </c>
      <c r="B34" s="39" t="str">
        <f>IF('Şagirdlərin nəticələri'!B30="","",'Şagirdlərin nəticələri'!B30)</f>
        <v/>
      </c>
      <c r="C34" s="39" t="str">
        <f>IF('Şagirdlərin nəticələri'!C30="","",'Şagirdlərin nəticələri'!C30)</f>
        <v/>
      </c>
      <c r="D34" s="39" t="str">
        <f>IF('Şagirdlərin nəticələri'!D30="","",'Şagirdlərin nəticələri'!D30)</f>
        <v/>
      </c>
      <c r="E34" s="39" t="str">
        <f>IF('Şagirdlərin nəticələri'!E30="","",'Şagirdlərin nəticələri'!E30)</f>
        <v/>
      </c>
      <c r="F34" s="39" t="str">
        <f>IF('Şagirdlərin nəticələri'!F30="","",'Şagirdlərin nəticələri'!F30)</f>
        <v/>
      </c>
      <c r="G34" s="39" t="str">
        <f>IF('Şagirdlərin nəticələri'!G30="","",'Şagirdlərin nəticələri'!G30)</f>
        <v/>
      </c>
      <c r="H34" s="39" t="str">
        <f>IF('Şagirdlərin nəticələri'!H30="","",'Şagirdlərin nəticələri'!H30)</f>
        <v/>
      </c>
      <c r="I34" s="39" t="str">
        <f>IF('Şagirdlərin nəticələri'!I30="","",'Şagirdlərin nəticələri'!I30)</f>
        <v/>
      </c>
      <c r="J34" s="39" t="str">
        <f>IF('Şagirdlərin nəticələri'!J30="","",'Şagirdlərin nəticələri'!J30)</f>
        <v/>
      </c>
      <c r="K34" s="40" t="str">
        <f>IF('Şagirdlərin nəticələri'!BX30="","",'Şagirdlərin nəticələri'!BX30)</f>
        <v/>
      </c>
      <c r="L34" s="39" t="str">
        <f>IF('Şagirdlərin nəticələri'!BY30="","",'Şagirdlərin nəticələri'!BY30)</f>
        <v/>
      </c>
      <c r="M34" s="39" t="str">
        <f t="shared" si="0"/>
        <v/>
      </c>
    </row>
    <row r="35" spans="1:13">
      <c r="A35" s="39" t="str">
        <f>IF('Şagirdlərin nəticələri'!A31="","",'Şagirdlərin nəticələri'!A31)</f>
        <v/>
      </c>
      <c r="B35" s="39" t="str">
        <f>IF('Şagirdlərin nəticələri'!B31="","",'Şagirdlərin nəticələri'!B31)</f>
        <v/>
      </c>
      <c r="C35" s="39" t="str">
        <f>IF('Şagirdlərin nəticələri'!C31="","",'Şagirdlərin nəticələri'!C31)</f>
        <v/>
      </c>
      <c r="D35" s="39" t="str">
        <f>IF('Şagirdlərin nəticələri'!D31="","",'Şagirdlərin nəticələri'!D31)</f>
        <v/>
      </c>
      <c r="E35" s="39" t="str">
        <f>IF('Şagirdlərin nəticələri'!E31="","",'Şagirdlərin nəticələri'!E31)</f>
        <v/>
      </c>
      <c r="F35" s="39" t="str">
        <f>IF('Şagirdlərin nəticələri'!F31="","",'Şagirdlərin nəticələri'!F31)</f>
        <v/>
      </c>
      <c r="G35" s="39" t="str">
        <f>IF('Şagirdlərin nəticələri'!G31="","",'Şagirdlərin nəticələri'!G31)</f>
        <v/>
      </c>
      <c r="H35" s="39" t="str">
        <f>IF('Şagirdlərin nəticələri'!H31="","",'Şagirdlərin nəticələri'!H31)</f>
        <v/>
      </c>
      <c r="I35" s="39" t="str">
        <f>IF('Şagirdlərin nəticələri'!I31="","",'Şagirdlərin nəticələri'!I31)</f>
        <v/>
      </c>
      <c r="J35" s="39" t="str">
        <f>IF('Şagirdlərin nəticələri'!J31="","",'Şagirdlərin nəticələri'!J31)</f>
        <v/>
      </c>
      <c r="K35" s="40" t="str">
        <f>IF('Şagirdlərin nəticələri'!BX31="","",'Şagirdlərin nəticələri'!BX31)</f>
        <v/>
      </c>
      <c r="L35" s="39" t="str">
        <f>IF('Şagirdlərin nəticələri'!BY31="","",'Şagirdlərin nəticələri'!BY31)</f>
        <v/>
      </c>
      <c r="M35" s="39" t="str">
        <f t="shared" si="0"/>
        <v/>
      </c>
    </row>
    <row r="36" spans="1:13">
      <c r="A36" s="39" t="str">
        <f>IF('Şagirdlərin nəticələri'!A32="","",'Şagirdlərin nəticələri'!A32)</f>
        <v/>
      </c>
      <c r="B36" s="39" t="str">
        <f>IF('Şagirdlərin nəticələri'!B32="","",'Şagirdlərin nəticələri'!B32)</f>
        <v/>
      </c>
      <c r="C36" s="39" t="str">
        <f>IF('Şagirdlərin nəticələri'!C32="","",'Şagirdlərin nəticələri'!C32)</f>
        <v/>
      </c>
      <c r="D36" s="39" t="str">
        <f>IF('Şagirdlərin nəticələri'!D32="","",'Şagirdlərin nəticələri'!D32)</f>
        <v/>
      </c>
      <c r="E36" s="39" t="str">
        <f>IF('Şagirdlərin nəticələri'!E32="","",'Şagirdlərin nəticələri'!E32)</f>
        <v/>
      </c>
      <c r="F36" s="39" t="str">
        <f>IF('Şagirdlərin nəticələri'!F32="","",'Şagirdlərin nəticələri'!F32)</f>
        <v/>
      </c>
      <c r="G36" s="39" t="str">
        <f>IF('Şagirdlərin nəticələri'!G32="","",'Şagirdlərin nəticələri'!G32)</f>
        <v/>
      </c>
      <c r="H36" s="39" t="str">
        <f>IF('Şagirdlərin nəticələri'!H32="","",'Şagirdlərin nəticələri'!H32)</f>
        <v/>
      </c>
      <c r="I36" s="39" t="str">
        <f>IF('Şagirdlərin nəticələri'!I32="","",'Şagirdlərin nəticələri'!I32)</f>
        <v/>
      </c>
      <c r="J36" s="39" t="str">
        <f>IF('Şagirdlərin nəticələri'!J32="","",'Şagirdlərin nəticələri'!J32)</f>
        <v/>
      </c>
      <c r="K36" s="40" t="str">
        <f>IF('Şagirdlərin nəticələri'!BX32="","",'Şagirdlərin nəticələri'!BX32)</f>
        <v/>
      </c>
      <c r="L36" s="39" t="str">
        <f>IF('Şagirdlərin nəticələri'!BY32="","",'Şagirdlərin nəticələri'!BY32)</f>
        <v/>
      </c>
      <c r="M36" s="39" t="str">
        <f t="shared" si="0"/>
        <v/>
      </c>
    </row>
    <row r="37" spans="1:13">
      <c r="A37" s="39" t="str">
        <f>IF('Şagirdlərin nəticələri'!A33="","",'Şagirdlərin nəticələri'!A33)</f>
        <v/>
      </c>
      <c r="B37" s="39" t="str">
        <f>IF('Şagirdlərin nəticələri'!B33="","",'Şagirdlərin nəticələri'!B33)</f>
        <v/>
      </c>
      <c r="C37" s="39" t="str">
        <f>IF('Şagirdlərin nəticələri'!C33="","",'Şagirdlərin nəticələri'!C33)</f>
        <v/>
      </c>
      <c r="D37" s="39" t="str">
        <f>IF('Şagirdlərin nəticələri'!D33="","",'Şagirdlərin nəticələri'!D33)</f>
        <v/>
      </c>
      <c r="E37" s="39" t="str">
        <f>IF('Şagirdlərin nəticələri'!E33="","",'Şagirdlərin nəticələri'!E33)</f>
        <v/>
      </c>
      <c r="F37" s="39" t="str">
        <f>IF('Şagirdlərin nəticələri'!F33="","",'Şagirdlərin nəticələri'!F33)</f>
        <v/>
      </c>
      <c r="G37" s="39" t="str">
        <f>IF('Şagirdlərin nəticələri'!G33="","",'Şagirdlərin nəticələri'!G33)</f>
        <v/>
      </c>
      <c r="H37" s="39" t="str">
        <f>IF('Şagirdlərin nəticələri'!H33="","",'Şagirdlərin nəticələri'!H33)</f>
        <v/>
      </c>
      <c r="I37" s="39" t="str">
        <f>IF('Şagirdlərin nəticələri'!I33="","",'Şagirdlərin nəticələri'!I33)</f>
        <v/>
      </c>
      <c r="J37" s="39" t="str">
        <f>IF('Şagirdlərin nəticələri'!J33="","",'Şagirdlərin nəticələri'!J33)</f>
        <v/>
      </c>
      <c r="K37" s="40" t="str">
        <f>IF('Şagirdlərin nəticələri'!BX33="","",'Şagirdlərin nəticələri'!BX33)</f>
        <v/>
      </c>
      <c r="L37" s="39" t="str">
        <f>IF('Şagirdlərin nəticələri'!BY33="","",'Şagirdlərin nəticələri'!BY33)</f>
        <v/>
      </c>
      <c r="M37" s="39" t="str">
        <f t="shared" si="0"/>
        <v/>
      </c>
    </row>
    <row r="38" spans="1:13">
      <c r="A38" s="39" t="str">
        <f>IF('Şagirdlərin nəticələri'!A34="","",'Şagirdlərin nəticələri'!A34)</f>
        <v/>
      </c>
      <c r="B38" s="39" t="str">
        <f>IF('Şagirdlərin nəticələri'!B34="","",'Şagirdlərin nəticələri'!B34)</f>
        <v/>
      </c>
      <c r="C38" s="39" t="str">
        <f>IF('Şagirdlərin nəticələri'!C34="","",'Şagirdlərin nəticələri'!C34)</f>
        <v/>
      </c>
      <c r="D38" s="39" t="str">
        <f>IF('Şagirdlərin nəticələri'!D34="","",'Şagirdlərin nəticələri'!D34)</f>
        <v/>
      </c>
      <c r="E38" s="39" t="str">
        <f>IF('Şagirdlərin nəticələri'!E34="","",'Şagirdlərin nəticələri'!E34)</f>
        <v/>
      </c>
      <c r="F38" s="39" t="str">
        <f>IF('Şagirdlərin nəticələri'!F34="","",'Şagirdlərin nəticələri'!F34)</f>
        <v/>
      </c>
      <c r="G38" s="39" t="str">
        <f>IF('Şagirdlərin nəticələri'!G34="","",'Şagirdlərin nəticələri'!G34)</f>
        <v/>
      </c>
      <c r="H38" s="39" t="str">
        <f>IF('Şagirdlərin nəticələri'!H34="","",'Şagirdlərin nəticələri'!H34)</f>
        <v/>
      </c>
      <c r="I38" s="39" t="str">
        <f>IF('Şagirdlərin nəticələri'!I34="","",'Şagirdlərin nəticələri'!I34)</f>
        <v/>
      </c>
      <c r="J38" s="39" t="str">
        <f>IF('Şagirdlərin nəticələri'!J34="","",'Şagirdlərin nəticələri'!J34)</f>
        <v/>
      </c>
      <c r="K38" s="40" t="str">
        <f>IF('Şagirdlərin nəticələri'!BX34="","",'Şagirdlərin nəticələri'!BX34)</f>
        <v/>
      </c>
      <c r="L38" s="39" t="str">
        <f>IF('Şagirdlərin nəticələri'!BY34="","",'Şagirdlərin nəticələri'!BY34)</f>
        <v/>
      </c>
      <c r="M38" s="39" t="str">
        <f t="shared" si="0"/>
        <v/>
      </c>
    </row>
    <row r="39" spans="1:13">
      <c r="A39" s="39" t="str">
        <f>IF('Şagirdlərin nəticələri'!A35="","",'Şagirdlərin nəticələri'!A35)</f>
        <v/>
      </c>
      <c r="B39" s="39" t="str">
        <f>IF('Şagirdlərin nəticələri'!B35="","",'Şagirdlərin nəticələri'!B35)</f>
        <v/>
      </c>
      <c r="C39" s="39" t="str">
        <f>IF('Şagirdlərin nəticələri'!C35="","",'Şagirdlərin nəticələri'!C35)</f>
        <v/>
      </c>
      <c r="D39" s="39" t="str">
        <f>IF('Şagirdlərin nəticələri'!D35="","",'Şagirdlərin nəticələri'!D35)</f>
        <v/>
      </c>
      <c r="E39" s="39" t="str">
        <f>IF('Şagirdlərin nəticələri'!E35="","",'Şagirdlərin nəticələri'!E35)</f>
        <v/>
      </c>
      <c r="F39" s="39" t="str">
        <f>IF('Şagirdlərin nəticələri'!F35="","",'Şagirdlərin nəticələri'!F35)</f>
        <v/>
      </c>
      <c r="G39" s="39" t="str">
        <f>IF('Şagirdlərin nəticələri'!G35="","",'Şagirdlərin nəticələri'!G35)</f>
        <v/>
      </c>
      <c r="H39" s="39" t="str">
        <f>IF('Şagirdlərin nəticələri'!H35="","",'Şagirdlərin nəticələri'!H35)</f>
        <v/>
      </c>
      <c r="I39" s="39" t="str">
        <f>IF('Şagirdlərin nəticələri'!I35="","",'Şagirdlərin nəticələri'!I35)</f>
        <v/>
      </c>
      <c r="J39" s="39" t="str">
        <f>IF('Şagirdlərin nəticələri'!J35="","",'Şagirdlərin nəticələri'!J35)</f>
        <v/>
      </c>
      <c r="K39" s="40" t="str">
        <f>IF('Şagirdlərin nəticələri'!BX35="","",'Şagirdlərin nəticələri'!BX35)</f>
        <v/>
      </c>
      <c r="L39" s="39" t="str">
        <f>IF('Şagirdlərin nəticələri'!BY35="","",'Şagirdlərin nəticələri'!BY35)</f>
        <v/>
      </c>
      <c r="M39" s="39" t="str">
        <f t="shared" si="0"/>
        <v/>
      </c>
    </row>
    <row r="40" spans="1:13">
      <c r="A40" s="39" t="str">
        <f>IF('Şagirdlərin nəticələri'!A36="","",'Şagirdlərin nəticələri'!A36)</f>
        <v/>
      </c>
      <c r="B40" s="39" t="str">
        <f>IF('Şagirdlərin nəticələri'!B36="","",'Şagirdlərin nəticələri'!B36)</f>
        <v/>
      </c>
      <c r="C40" s="39" t="str">
        <f>IF('Şagirdlərin nəticələri'!C36="","",'Şagirdlərin nəticələri'!C36)</f>
        <v/>
      </c>
      <c r="D40" s="39" t="str">
        <f>IF('Şagirdlərin nəticələri'!D36="","",'Şagirdlərin nəticələri'!D36)</f>
        <v/>
      </c>
      <c r="E40" s="39" t="str">
        <f>IF('Şagirdlərin nəticələri'!E36="","",'Şagirdlərin nəticələri'!E36)</f>
        <v/>
      </c>
      <c r="F40" s="39" t="str">
        <f>IF('Şagirdlərin nəticələri'!F36="","",'Şagirdlərin nəticələri'!F36)</f>
        <v/>
      </c>
      <c r="G40" s="39" t="str">
        <f>IF('Şagirdlərin nəticələri'!G36="","",'Şagirdlərin nəticələri'!G36)</f>
        <v/>
      </c>
      <c r="H40" s="39" t="str">
        <f>IF('Şagirdlərin nəticələri'!H36="","",'Şagirdlərin nəticələri'!H36)</f>
        <v/>
      </c>
      <c r="I40" s="39" t="str">
        <f>IF('Şagirdlərin nəticələri'!I36="","",'Şagirdlərin nəticələri'!I36)</f>
        <v/>
      </c>
      <c r="J40" s="39" t="str">
        <f>IF('Şagirdlərin nəticələri'!J36="","",'Şagirdlərin nəticələri'!J36)</f>
        <v/>
      </c>
      <c r="K40" s="40" t="str">
        <f>IF('Şagirdlərin nəticələri'!BX36="","",'Şagirdlərin nəticələri'!BX36)</f>
        <v/>
      </c>
      <c r="L40" s="39" t="str">
        <f>IF('Şagirdlərin nəticələri'!BY36="","",'Şagirdlərin nəticələri'!BY36)</f>
        <v/>
      </c>
      <c r="M40" s="39" t="str">
        <f t="shared" si="0"/>
        <v/>
      </c>
    </row>
    <row r="41" spans="1:13">
      <c r="A41" s="39" t="str">
        <f>IF('Şagirdlərin nəticələri'!A37="","",'Şagirdlərin nəticələri'!A37)</f>
        <v/>
      </c>
      <c r="B41" s="39" t="str">
        <f>IF('Şagirdlərin nəticələri'!B37="","",'Şagirdlərin nəticələri'!B37)</f>
        <v/>
      </c>
      <c r="C41" s="39" t="str">
        <f>IF('Şagirdlərin nəticələri'!C37="","",'Şagirdlərin nəticələri'!C37)</f>
        <v/>
      </c>
      <c r="D41" s="39" t="str">
        <f>IF('Şagirdlərin nəticələri'!D37="","",'Şagirdlərin nəticələri'!D37)</f>
        <v/>
      </c>
      <c r="E41" s="39" t="str">
        <f>IF('Şagirdlərin nəticələri'!E37="","",'Şagirdlərin nəticələri'!E37)</f>
        <v/>
      </c>
      <c r="F41" s="39" t="str">
        <f>IF('Şagirdlərin nəticələri'!F37="","",'Şagirdlərin nəticələri'!F37)</f>
        <v/>
      </c>
      <c r="G41" s="39" t="str">
        <f>IF('Şagirdlərin nəticələri'!G37="","",'Şagirdlərin nəticələri'!G37)</f>
        <v/>
      </c>
      <c r="H41" s="39" t="str">
        <f>IF('Şagirdlərin nəticələri'!H37="","",'Şagirdlərin nəticələri'!H37)</f>
        <v/>
      </c>
      <c r="I41" s="39" t="str">
        <f>IF('Şagirdlərin nəticələri'!I37="","",'Şagirdlərin nəticələri'!I37)</f>
        <v/>
      </c>
      <c r="J41" s="39" t="str">
        <f>IF('Şagirdlərin nəticələri'!J37="","",'Şagirdlərin nəticələri'!J37)</f>
        <v/>
      </c>
      <c r="K41" s="40" t="str">
        <f>IF('Şagirdlərin nəticələri'!BX37="","",'Şagirdlərin nəticələri'!BX37)</f>
        <v/>
      </c>
      <c r="L41" s="39" t="str">
        <f>IF('Şagirdlərin nəticələri'!BY37="","",'Şagirdlərin nəticələri'!BY37)</f>
        <v/>
      </c>
      <c r="M41" s="39" t="str">
        <f t="shared" si="0"/>
        <v/>
      </c>
    </row>
    <row r="42" spans="1:13">
      <c r="A42" s="39" t="str">
        <f>IF('Şagirdlərin nəticələri'!A38="","",'Şagirdlərin nəticələri'!A38)</f>
        <v/>
      </c>
      <c r="B42" s="39" t="str">
        <f>IF('Şagirdlərin nəticələri'!B38="","",'Şagirdlərin nəticələri'!B38)</f>
        <v/>
      </c>
      <c r="C42" s="39" t="str">
        <f>IF('Şagirdlərin nəticələri'!C38="","",'Şagirdlərin nəticələri'!C38)</f>
        <v/>
      </c>
      <c r="D42" s="39" t="str">
        <f>IF('Şagirdlərin nəticələri'!D38="","",'Şagirdlərin nəticələri'!D38)</f>
        <v/>
      </c>
      <c r="E42" s="39" t="str">
        <f>IF('Şagirdlərin nəticələri'!E38="","",'Şagirdlərin nəticələri'!E38)</f>
        <v/>
      </c>
      <c r="F42" s="39" t="str">
        <f>IF('Şagirdlərin nəticələri'!F38="","",'Şagirdlərin nəticələri'!F38)</f>
        <v/>
      </c>
      <c r="G42" s="39" t="str">
        <f>IF('Şagirdlərin nəticələri'!G38="","",'Şagirdlərin nəticələri'!G38)</f>
        <v/>
      </c>
      <c r="H42" s="39" t="str">
        <f>IF('Şagirdlərin nəticələri'!H38="","",'Şagirdlərin nəticələri'!H38)</f>
        <v/>
      </c>
      <c r="I42" s="39" t="str">
        <f>IF('Şagirdlərin nəticələri'!I38="","",'Şagirdlərin nəticələri'!I38)</f>
        <v/>
      </c>
      <c r="J42" s="39" t="str">
        <f>IF('Şagirdlərin nəticələri'!J38="","",'Şagirdlərin nəticələri'!J38)</f>
        <v/>
      </c>
      <c r="K42" s="40" t="str">
        <f>IF('Şagirdlərin nəticələri'!BX38="","",'Şagirdlərin nəticələri'!BX38)</f>
        <v/>
      </c>
      <c r="L42" s="39" t="str">
        <f>IF('Şagirdlərin nəticələri'!BY38="","",'Şagirdlərin nəticələri'!BY38)</f>
        <v/>
      </c>
      <c r="M42" s="39" t="str">
        <f t="shared" si="0"/>
        <v/>
      </c>
    </row>
    <row r="43" spans="1:13">
      <c r="A43" s="39" t="str">
        <f>IF('Şagirdlərin nəticələri'!A39="","",'Şagirdlərin nəticələri'!A39)</f>
        <v/>
      </c>
      <c r="B43" s="39" t="str">
        <f>IF('Şagirdlərin nəticələri'!B39="","",'Şagirdlərin nəticələri'!B39)</f>
        <v/>
      </c>
      <c r="C43" s="39" t="str">
        <f>IF('Şagirdlərin nəticələri'!C39="","",'Şagirdlərin nəticələri'!C39)</f>
        <v/>
      </c>
      <c r="D43" s="39" t="str">
        <f>IF('Şagirdlərin nəticələri'!D39="","",'Şagirdlərin nəticələri'!D39)</f>
        <v/>
      </c>
      <c r="E43" s="39" t="str">
        <f>IF('Şagirdlərin nəticələri'!E39="","",'Şagirdlərin nəticələri'!E39)</f>
        <v/>
      </c>
      <c r="F43" s="39" t="str">
        <f>IF('Şagirdlərin nəticələri'!F39="","",'Şagirdlərin nəticələri'!F39)</f>
        <v/>
      </c>
      <c r="G43" s="39" t="str">
        <f>IF('Şagirdlərin nəticələri'!G39="","",'Şagirdlərin nəticələri'!G39)</f>
        <v/>
      </c>
      <c r="H43" s="39" t="str">
        <f>IF('Şagirdlərin nəticələri'!H39="","",'Şagirdlərin nəticələri'!H39)</f>
        <v/>
      </c>
      <c r="I43" s="39" t="str">
        <f>IF('Şagirdlərin nəticələri'!I39="","",'Şagirdlərin nəticələri'!I39)</f>
        <v/>
      </c>
      <c r="J43" s="39" t="str">
        <f>IF('Şagirdlərin nəticələri'!J39="","",'Şagirdlərin nəticələri'!J39)</f>
        <v/>
      </c>
      <c r="K43" s="40" t="str">
        <f>IF('Şagirdlərin nəticələri'!BX39="","",'Şagirdlərin nəticələri'!BX39)</f>
        <v/>
      </c>
      <c r="L43" s="39" t="str">
        <f>IF('Şagirdlərin nəticələri'!BY39="","",'Şagirdlərin nəticələri'!BY39)</f>
        <v/>
      </c>
      <c r="M43" s="39" t="str">
        <f t="shared" si="0"/>
        <v/>
      </c>
    </row>
    <row r="44" spans="1:13">
      <c r="A44" s="39" t="str">
        <f>IF('Şagirdlərin nəticələri'!A40="","",'Şagirdlərin nəticələri'!A40)</f>
        <v/>
      </c>
      <c r="B44" s="39" t="str">
        <f>IF('Şagirdlərin nəticələri'!B40="","",'Şagirdlərin nəticələri'!B40)</f>
        <v/>
      </c>
      <c r="C44" s="39" t="str">
        <f>IF('Şagirdlərin nəticələri'!C40="","",'Şagirdlərin nəticələri'!C40)</f>
        <v/>
      </c>
      <c r="D44" s="39" t="str">
        <f>IF('Şagirdlərin nəticələri'!D40="","",'Şagirdlərin nəticələri'!D40)</f>
        <v/>
      </c>
      <c r="E44" s="39" t="str">
        <f>IF('Şagirdlərin nəticələri'!E40="","",'Şagirdlərin nəticələri'!E40)</f>
        <v/>
      </c>
      <c r="F44" s="39" t="str">
        <f>IF('Şagirdlərin nəticələri'!F40="","",'Şagirdlərin nəticələri'!F40)</f>
        <v/>
      </c>
      <c r="G44" s="39" t="str">
        <f>IF('Şagirdlərin nəticələri'!G40="","",'Şagirdlərin nəticələri'!G40)</f>
        <v/>
      </c>
      <c r="H44" s="39" t="str">
        <f>IF('Şagirdlərin nəticələri'!H40="","",'Şagirdlərin nəticələri'!H40)</f>
        <v/>
      </c>
      <c r="I44" s="39" t="str">
        <f>IF('Şagirdlərin nəticələri'!I40="","",'Şagirdlərin nəticələri'!I40)</f>
        <v/>
      </c>
      <c r="J44" s="39" t="str">
        <f>IF('Şagirdlərin nəticələri'!J40="","",'Şagirdlərin nəticələri'!J40)</f>
        <v/>
      </c>
      <c r="K44" s="40" t="str">
        <f>IF('Şagirdlərin nəticələri'!BX40="","",'Şagirdlərin nəticələri'!BX40)</f>
        <v/>
      </c>
      <c r="L44" s="39" t="str">
        <f>IF('Şagirdlərin nəticələri'!BY40="","",'Şagirdlərin nəticələri'!BY40)</f>
        <v/>
      </c>
      <c r="M44" s="39" t="str">
        <f t="shared" si="0"/>
        <v/>
      </c>
    </row>
    <row r="45" spans="1:13">
      <c r="A45" s="39" t="str">
        <f>IF('Şagirdlərin nəticələri'!A41="","",'Şagirdlərin nəticələri'!A41)</f>
        <v/>
      </c>
      <c r="B45" s="39" t="str">
        <f>IF('Şagirdlərin nəticələri'!B41="","",'Şagirdlərin nəticələri'!B41)</f>
        <v/>
      </c>
      <c r="C45" s="39" t="str">
        <f>IF('Şagirdlərin nəticələri'!C41="","",'Şagirdlərin nəticələri'!C41)</f>
        <v/>
      </c>
      <c r="D45" s="39" t="str">
        <f>IF('Şagirdlərin nəticələri'!D41="","",'Şagirdlərin nəticələri'!D41)</f>
        <v/>
      </c>
      <c r="E45" s="39" t="str">
        <f>IF('Şagirdlərin nəticələri'!E41="","",'Şagirdlərin nəticələri'!E41)</f>
        <v/>
      </c>
      <c r="F45" s="39" t="str">
        <f>IF('Şagirdlərin nəticələri'!F41="","",'Şagirdlərin nəticələri'!F41)</f>
        <v/>
      </c>
      <c r="G45" s="39" t="str">
        <f>IF('Şagirdlərin nəticələri'!G41="","",'Şagirdlərin nəticələri'!G41)</f>
        <v/>
      </c>
      <c r="H45" s="39" t="str">
        <f>IF('Şagirdlərin nəticələri'!H41="","",'Şagirdlərin nəticələri'!H41)</f>
        <v/>
      </c>
      <c r="I45" s="39" t="str">
        <f>IF('Şagirdlərin nəticələri'!I41="","",'Şagirdlərin nəticələri'!I41)</f>
        <v/>
      </c>
      <c r="J45" s="39" t="str">
        <f>IF('Şagirdlərin nəticələri'!J41="","",'Şagirdlərin nəticələri'!J41)</f>
        <v/>
      </c>
      <c r="K45" s="40" t="str">
        <f>IF('Şagirdlərin nəticələri'!BX41="","",'Şagirdlərin nəticələri'!BX41)</f>
        <v/>
      </c>
      <c r="L45" s="39" t="str">
        <f>IF('Şagirdlərin nəticələri'!BY41="","",'Şagirdlərin nəticələri'!BY41)</f>
        <v/>
      </c>
      <c r="M45" s="39" t="str">
        <f t="shared" si="0"/>
        <v/>
      </c>
    </row>
    <row r="46" spans="1:13">
      <c r="A46" s="39" t="str">
        <f>IF('Şagirdlərin nəticələri'!A42="","",'Şagirdlərin nəticələri'!A42)</f>
        <v/>
      </c>
      <c r="B46" s="39" t="str">
        <f>IF('Şagirdlərin nəticələri'!B42="","",'Şagirdlərin nəticələri'!B42)</f>
        <v/>
      </c>
      <c r="C46" s="39" t="str">
        <f>IF('Şagirdlərin nəticələri'!C42="","",'Şagirdlərin nəticələri'!C42)</f>
        <v/>
      </c>
      <c r="D46" s="39" t="str">
        <f>IF('Şagirdlərin nəticələri'!D42="","",'Şagirdlərin nəticələri'!D42)</f>
        <v/>
      </c>
      <c r="E46" s="39" t="str">
        <f>IF('Şagirdlərin nəticələri'!E42="","",'Şagirdlərin nəticələri'!E42)</f>
        <v/>
      </c>
      <c r="F46" s="39" t="str">
        <f>IF('Şagirdlərin nəticələri'!F42="","",'Şagirdlərin nəticələri'!F42)</f>
        <v/>
      </c>
      <c r="G46" s="39" t="str">
        <f>IF('Şagirdlərin nəticələri'!G42="","",'Şagirdlərin nəticələri'!G42)</f>
        <v/>
      </c>
      <c r="H46" s="39" t="str">
        <f>IF('Şagirdlərin nəticələri'!H42="","",'Şagirdlərin nəticələri'!H42)</f>
        <v/>
      </c>
      <c r="I46" s="39" t="str">
        <f>IF('Şagirdlərin nəticələri'!I42="","",'Şagirdlərin nəticələri'!I42)</f>
        <v/>
      </c>
      <c r="J46" s="39" t="str">
        <f>IF('Şagirdlərin nəticələri'!J42="","",'Şagirdlərin nəticələri'!J42)</f>
        <v/>
      </c>
      <c r="K46" s="40" t="str">
        <f>IF('Şagirdlərin nəticələri'!BX42="","",'Şagirdlərin nəticələri'!BX42)</f>
        <v/>
      </c>
      <c r="L46" s="39" t="str">
        <f>IF('Şagirdlərin nəticələri'!BY42="","",'Şagirdlərin nəticələri'!BY42)</f>
        <v/>
      </c>
      <c r="M46" s="39" t="str">
        <f t="shared" si="0"/>
        <v/>
      </c>
    </row>
    <row r="47" spans="1:13">
      <c r="A47" s="39" t="str">
        <f>IF('Şagirdlərin nəticələri'!A43="","",'Şagirdlərin nəticələri'!A43)</f>
        <v/>
      </c>
      <c r="B47" s="39" t="str">
        <f>IF('Şagirdlərin nəticələri'!B43="","",'Şagirdlərin nəticələri'!B43)</f>
        <v/>
      </c>
      <c r="C47" s="39" t="str">
        <f>IF('Şagirdlərin nəticələri'!C43="","",'Şagirdlərin nəticələri'!C43)</f>
        <v/>
      </c>
      <c r="D47" s="39" t="str">
        <f>IF('Şagirdlərin nəticələri'!D43="","",'Şagirdlərin nəticələri'!D43)</f>
        <v/>
      </c>
      <c r="E47" s="39" t="str">
        <f>IF('Şagirdlərin nəticələri'!E43="","",'Şagirdlərin nəticələri'!E43)</f>
        <v/>
      </c>
      <c r="F47" s="39" t="str">
        <f>IF('Şagirdlərin nəticələri'!F43="","",'Şagirdlərin nəticələri'!F43)</f>
        <v/>
      </c>
      <c r="G47" s="39" t="str">
        <f>IF('Şagirdlərin nəticələri'!G43="","",'Şagirdlərin nəticələri'!G43)</f>
        <v/>
      </c>
      <c r="H47" s="39" t="str">
        <f>IF('Şagirdlərin nəticələri'!H43="","",'Şagirdlərin nəticələri'!H43)</f>
        <v/>
      </c>
      <c r="I47" s="39" t="str">
        <f>IF('Şagirdlərin nəticələri'!I43="","",'Şagirdlərin nəticələri'!I43)</f>
        <v/>
      </c>
      <c r="J47" s="39" t="str">
        <f>IF('Şagirdlərin nəticələri'!J43="","",'Şagirdlərin nəticələri'!J43)</f>
        <v/>
      </c>
      <c r="K47" s="40" t="str">
        <f>IF('Şagirdlərin nəticələri'!BX43="","",'Şagirdlərin nəticələri'!BX43)</f>
        <v/>
      </c>
      <c r="L47" s="39" t="str">
        <f>IF('Şagirdlərin nəticələri'!BY43="","",'Şagirdlərin nəticələri'!BY43)</f>
        <v/>
      </c>
      <c r="M47" s="39" t="str">
        <f t="shared" si="0"/>
        <v/>
      </c>
    </row>
    <row r="48" spans="1:13">
      <c r="A48" s="39" t="str">
        <f>IF('Şagirdlərin nəticələri'!A44="","",'Şagirdlərin nəticələri'!A44)</f>
        <v/>
      </c>
      <c r="B48" s="39" t="str">
        <f>IF('Şagirdlərin nəticələri'!B44="","",'Şagirdlərin nəticələri'!B44)</f>
        <v/>
      </c>
      <c r="C48" s="39" t="str">
        <f>IF('Şagirdlərin nəticələri'!C44="","",'Şagirdlərin nəticələri'!C44)</f>
        <v/>
      </c>
      <c r="D48" s="39" t="str">
        <f>IF('Şagirdlərin nəticələri'!D44="","",'Şagirdlərin nəticələri'!D44)</f>
        <v/>
      </c>
      <c r="E48" s="39" t="str">
        <f>IF('Şagirdlərin nəticələri'!E44="","",'Şagirdlərin nəticələri'!E44)</f>
        <v/>
      </c>
      <c r="F48" s="39" t="str">
        <f>IF('Şagirdlərin nəticələri'!F44="","",'Şagirdlərin nəticələri'!F44)</f>
        <v/>
      </c>
      <c r="G48" s="39" t="str">
        <f>IF('Şagirdlərin nəticələri'!G44="","",'Şagirdlərin nəticələri'!G44)</f>
        <v/>
      </c>
      <c r="H48" s="39" t="str">
        <f>IF('Şagirdlərin nəticələri'!H44="","",'Şagirdlərin nəticələri'!H44)</f>
        <v/>
      </c>
      <c r="I48" s="39" t="str">
        <f>IF('Şagirdlərin nəticələri'!I44="","",'Şagirdlərin nəticələri'!I44)</f>
        <v/>
      </c>
      <c r="J48" s="39" t="str">
        <f>IF('Şagirdlərin nəticələri'!J44="","",'Şagirdlərin nəticələri'!J44)</f>
        <v/>
      </c>
      <c r="K48" s="40" t="str">
        <f>IF('Şagirdlərin nəticələri'!BX44="","",'Şagirdlərin nəticələri'!BX44)</f>
        <v/>
      </c>
      <c r="L48" s="39" t="str">
        <f>IF('Şagirdlərin nəticələri'!BY44="","",'Şagirdlərin nəticələri'!BY44)</f>
        <v/>
      </c>
      <c r="M48" s="39" t="str">
        <f t="shared" si="0"/>
        <v/>
      </c>
    </row>
    <row r="49" spans="1:13">
      <c r="A49" s="39" t="str">
        <f>IF('Şagirdlərin nəticələri'!A45="","",'Şagirdlərin nəticələri'!A45)</f>
        <v/>
      </c>
      <c r="B49" s="39" t="str">
        <f>IF('Şagirdlərin nəticələri'!B45="","",'Şagirdlərin nəticələri'!B45)</f>
        <v/>
      </c>
      <c r="C49" s="39" t="str">
        <f>IF('Şagirdlərin nəticələri'!C45="","",'Şagirdlərin nəticələri'!C45)</f>
        <v/>
      </c>
      <c r="D49" s="39" t="str">
        <f>IF('Şagirdlərin nəticələri'!D45="","",'Şagirdlərin nəticələri'!D45)</f>
        <v/>
      </c>
      <c r="E49" s="39" t="str">
        <f>IF('Şagirdlərin nəticələri'!E45="","",'Şagirdlərin nəticələri'!E45)</f>
        <v/>
      </c>
      <c r="F49" s="39" t="str">
        <f>IF('Şagirdlərin nəticələri'!F45="","",'Şagirdlərin nəticələri'!F45)</f>
        <v/>
      </c>
      <c r="G49" s="39" t="str">
        <f>IF('Şagirdlərin nəticələri'!G45="","",'Şagirdlərin nəticələri'!G45)</f>
        <v/>
      </c>
      <c r="H49" s="39" t="str">
        <f>IF('Şagirdlərin nəticələri'!H45="","",'Şagirdlərin nəticələri'!H45)</f>
        <v/>
      </c>
      <c r="I49" s="39" t="str">
        <f>IF('Şagirdlərin nəticələri'!I45="","",'Şagirdlərin nəticələri'!I45)</f>
        <v/>
      </c>
      <c r="J49" s="39" t="str">
        <f>IF('Şagirdlərin nəticələri'!J45="","",'Şagirdlərin nəticələri'!J45)</f>
        <v/>
      </c>
      <c r="K49" s="40" t="str">
        <f>IF('Şagirdlərin nəticələri'!BX45="","",'Şagirdlərin nəticələri'!BX45)</f>
        <v/>
      </c>
      <c r="L49" s="39" t="str">
        <f>IF('Şagirdlərin nəticələri'!BY45="","",'Şagirdlərin nəticələri'!BY45)</f>
        <v/>
      </c>
      <c r="M49" s="39" t="str">
        <f t="shared" si="0"/>
        <v/>
      </c>
    </row>
    <row r="50" spans="1:13">
      <c r="A50" s="39" t="str">
        <f>IF('Şagirdlərin nəticələri'!A46="","",'Şagirdlərin nəticələri'!A46)</f>
        <v/>
      </c>
      <c r="B50" s="39" t="str">
        <f>IF('Şagirdlərin nəticələri'!B46="","",'Şagirdlərin nəticələri'!B46)</f>
        <v/>
      </c>
      <c r="C50" s="39" t="str">
        <f>IF('Şagirdlərin nəticələri'!C46="","",'Şagirdlərin nəticələri'!C46)</f>
        <v/>
      </c>
      <c r="D50" s="39" t="str">
        <f>IF('Şagirdlərin nəticələri'!D46="","",'Şagirdlərin nəticələri'!D46)</f>
        <v/>
      </c>
      <c r="E50" s="39" t="str">
        <f>IF('Şagirdlərin nəticələri'!E46="","",'Şagirdlərin nəticələri'!E46)</f>
        <v/>
      </c>
      <c r="F50" s="39" t="str">
        <f>IF('Şagirdlərin nəticələri'!F46="","",'Şagirdlərin nəticələri'!F46)</f>
        <v/>
      </c>
      <c r="G50" s="39" t="str">
        <f>IF('Şagirdlərin nəticələri'!G46="","",'Şagirdlərin nəticələri'!G46)</f>
        <v/>
      </c>
      <c r="H50" s="39" t="str">
        <f>IF('Şagirdlərin nəticələri'!H46="","",'Şagirdlərin nəticələri'!H46)</f>
        <v/>
      </c>
      <c r="I50" s="39" t="str">
        <f>IF('Şagirdlərin nəticələri'!I46="","",'Şagirdlərin nəticələri'!I46)</f>
        <v/>
      </c>
      <c r="J50" s="39" t="str">
        <f>IF('Şagirdlərin nəticələri'!J46="","",'Şagirdlərin nəticələri'!J46)</f>
        <v/>
      </c>
      <c r="K50" s="40" t="str">
        <f>IF('Şagirdlərin nəticələri'!BX46="","",'Şagirdlərin nəticələri'!BX46)</f>
        <v/>
      </c>
      <c r="L50" s="39" t="str">
        <f>IF('Şagirdlərin nəticələri'!BY46="","",'Şagirdlərin nəticələri'!BY46)</f>
        <v/>
      </c>
      <c r="M50" s="39" t="str">
        <f t="shared" si="0"/>
        <v/>
      </c>
    </row>
    <row r="51" spans="1:13">
      <c r="A51" s="39" t="str">
        <f>IF('Şagirdlərin nəticələri'!A47="","",'Şagirdlərin nəticələri'!A47)</f>
        <v/>
      </c>
      <c r="B51" s="39" t="str">
        <f>IF('Şagirdlərin nəticələri'!B47="","",'Şagirdlərin nəticələri'!B47)</f>
        <v/>
      </c>
      <c r="C51" s="39" t="str">
        <f>IF('Şagirdlərin nəticələri'!C47="","",'Şagirdlərin nəticələri'!C47)</f>
        <v/>
      </c>
      <c r="D51" s="39" t="str">
        <f>IF('Şagirdlərin nəticələri'!D47="","",'Şagirdlərin nəticələri'!D47)</f>
        <v/>
      </c>
      <c r="E51" s="39" t="str">
        <f>IF('Şagirdlərin nəticələri'!E47="","",'Şagirdlərin nəticələri'!E47)</f>
        <v/>
      </c>
      <c r="F51" s="39" t="str">
        <f>IF('Şagirdlərin nəticələri'!F47="","",'Şagirdlərin nəticələri'!F47)</f>
        <v/>
      </c>
      <c r="G51" s="39" t="str">
        <f>IF('Şagirdlərin nəticələri'!G47="","",'Şagirdlərin nəticələri'!G47)</f>
        <v/>
      </c>
      <c r="H51" s="39" t="str">
        <f>IF('Şagirdlərin nəticələri'!H47="","",'Şagirdlərin nəticələri'!H47)</f>
        <v/>
      </c>
      <c r="I51" s="39" t="str">
        <f>IF('Şagirdlərin nəticələri'!I47="","",'Şagirdlərin nəticələri'!I47)</f>
        <v/>
      </c>
      <c r="J51" s="39" t="str">
        <f>IF('Şagirdlərin nəticələri'!J47="","",'Şagirdlərin nəticələri'!J47)</f>
        <v/>
      </c>
      <c r="K51" s="40" t="str">
        <f>IF('Şagirdlərin nəticələri'!BX47="","",'Şagirdlərin nəticələri'!BX47)</f>
        <v/>
      </c>
      <c r="L51" s="39" t="str">
        <f>IF('Şagirdlərin nəticələri'!BY47="","",'Şagirdlərin nəticələri'!BY47)</f>
        <v/>
      </c>
      <c r="M51" s="39" t="str">
        <f t="shared" si="0"/>
        <v/>
      </c>
    </row>
    <row r="52" spans="1:13">
      <c r="A52" s="39" t="str">
        <f>IF('Şagirdlərin nəticələri'!A48="","",'Şagirdlərin nəticələri'!A48)</f>
        <v/>
      </c>
      <c r="B52" s="39" t="str">
        <f>IF('Şagirdlərin nəticələri'!B48="","",'Şagirdlərin nəticələri'!B48)</f>
        <v/>
      </c>
      <c r="C52" s="39" t="str">
        <f>IF('Şagirdlərin nəticələri'!C48="","",'Şagirdlərin nəticələri'!C48)</f>
        <v/>
      </c>
      <c r="D52" s="39" t="str">
        <f>IF('Şagirdlərin nəticələri'!D48="","",'Şagirdlərin nəticələri'!D48)</f>
        <v/>
      </c>
      <c r="E52" s="39" t="str">
        <f>IF('Şagirdlərin nəticələri'!E48="","",'Şagirdlərin nəticələri'!E48)</f>
        <v/>
      </c>
      <c r="F52" s="39" t="str">
        <f>IF('Şagirdlərin nəticələri'!F48="","",'Şagirdlərin nəticələri'!F48)</f>
        <v/>
      </c>
      <c r="G52" s="39" t="str">
        <f>IF('Şagirdlərin nəticələri'!G48="","",'Şagirdlərin nəticələri'!G48)</f>
        <v/>
      </c>
      <c r="H52" s="39" t="str">
        <f>IF('Şagirdlərin nəticələri'!H48="","",'Şagirdlərin nəticələri'!H48)</f>
        <v/>
      </c>
      <c r="I52" s="39" t="str">
        <f>IF('Şagirdlərin nəticələri'!I48="","",'Şagirdlərin nəticələri'!I48)</f>
        <v/>
      </c>
      <c r="J52" s="39" t="str">
        <f>IF('Şagirdlərin nəticələri'!J48="","",'Şagirdlərin nəticələri'!J48)</f>
        <v/>
      </c>
      <c r="K52" s="40" t="str">
        <f>IF('Şagirdlərin nəticələri'!BX48="","",'Şagirdlərin nəticələri'!BX48)</f>
        <v/>
      </c>
      <c r="L52" s="39" t="str">
        <f>IF('Şagirdlərin nəticələri'!BY48="","",'Şagirdlərin nəticələri'!BY48)</f>
        <v/>
      </c>
      <c r="M52" s="39" t="str">
        <f t="shared" si="0"/>
        <v/>
      </c>
    </row>
    <row r="53" spans="1:13">
      <c r="A53" s="39" t="str">
        <f>IF('Şagirdlərin nəticələri'!A49="","",'Şagirdlərin nəticələri'!A49)</f>
        <v/>
      </c>
      <c r="B53" s="39" t="str">
        <f>IF('Şagirdlərin nəticələri'!B49="","",'Şagirdlərin nəticələri'!B49)</f>
        <v/>
      </c>
      <c r="C53" s="39" t="str">
        <f>IF('Şagirdlərin nəticələri'!C49="","",'Şagirdlərin nəticələri'!C49)</f>
        <v/>
      </c>
      <c r="D53" s="39" t="str">
        <f>IF('Şagirdlərin nəticələri'!D49="","",'Şagirdlərin nəticələri'!D49)</f>
        <v/>
      </c>
      <c r="E53" s="39" t="str">
        <f>IF('Şagirdlərin nəticələri'!E49="","",'Şagirdlərin nəticələri'!E49)</f>
        <v/>
      </c>
      <c r="F53" s="39" t="str">
        <f>IF('Şagirdlərin nəticələri'!F49="","",'Şagirdlərin nəticələri'!F49)</f>
        <v/>
      </c>
      <c r="G53" s="39" t="str">
        <f>IF('Şagirdlərin nəticələri'!G49="","",'Şagirdlərin nəticələri'!G49)</f>
        <v/>
      </c>
      <c r="H53" s="39" t="str">
        <f>IF('Şagirdlərin nəticələri'!H49="","",'Şagirdlərin nəticələri'!H49)</f>
        <v/>
      </c>
      <c r="I53" s="39" t="str">
        <f>IF('Şagirdlərin nəticələri'!I49="","",'Şagirdlərin nəticələri'!I49)</f>
        <v/>
      </c>
      <c r="J53" s="39" t="str">
        <f>IF('Şagirdlərin nəticələri'!J49="","",'Şagirdlərin nəticələri'!J49)</f>
        <v/>
      </c>
      <c r="K53" s="40" t="str">
        <f>IF('Şagirdlərin nəticələri'!BX49="","",'Şagirdlərin nəticələri'!BX49)</f>
        <v/>
      </c>
      <c r="L53" s="39" t="str">
        <f>IF('Şagirdlərin nəticələri'!BY49="","",'Şagirdlərin nəticələri'!BY49)</f>
        <v/>
      </c>
      <c r="M53" s="39" t="str">
        <f t="shared" si="0"/>
        <v/>
      </c>
    </row>
    <row r="54" spans="1:13">
      <c r="A54" s="39" t="str">
        <f>IF('Şagirdlərin nəticələri'!A50="","",'Şagirdlərin nəticələri'!A50)</f>
        <v/>
      </c>
      <c r="B54" s="39" t="str">
        <f>IF('Şagirdlərin nəticələri'!B50="","",'Şagirdlərin nəticələri'!B50)</f>
        <v/>
      </c>
      <c r="C54" s="39" t="str">
        <f>IF('Şagirdlərin nəticələri'!C50="","",'Şagirdlərin nəticələri'!C50)</f>
        <v/>
      </c>
      <c r="D54" s="39" t="str">
        <f>IF('Şagirdlərin nəticələri'!D50="","",'Şagirdlərin nəticələri'!D50)</f>
        <v/>
      </c>
      <c r="E54" s="39" t="str">
        <f>IF('Şagirdlərin nəticələri'!E50="","",'Şagirdlərin nəticələri'!E50)</f>
        <v/>
      </c>
      <c r="F54" s="39" t="str">
        <f>IF('Şagirdlərin nəticələri'!F50="","",'Şagirdlərin nəticələri'!F50)</f>
        <v/>
      </c>
      <c r="G54" s="39" t="str">
        <f>IF('Şagirdlərin nəticələri'!G50="","",'Şagirdlərin nəticələri'!G50)</f>
        <v/>
      </c>
      <c r="H54" s="39" t="str">
        <f>IF('Şagirdlərin nəticələri'!H50="","",'Şagirdlərin nəticələri'!H50)</f>
        <v/>
      </c>
      <c r="I54" s="39" t="str">
        <f>IF('Şagirdlərin nəticələri'!I50="","",'Şagirdlərin nəticələri'!I50)</f>
        <v/>
      </c>
      <c r="J54" s="39" t="str">
        <f>IF('Şagirdlərin nəticələri'!J50="","",'Şagirdlərin nəticələri'!J50)</f>
        <v/>
      </c>
      <c r="K54" s="40" t="str">
        <f>IF('Şagirdlərin nəticələri'!BX50="","",'Şagirdlərin nəticələri'!BX50)</f>
        <v/>
      </c>
      <c r="L54" s="39" t="str">
        <f>IF('Şagirdlərin nəticələri'!BY50="","",'Şagirdlərin nəticələri'!BY50)</f>
        <v/>
      </c>
      <c r="M54" s="39" t="str">
        <f t="shared" si="0"/>
        <v/>
      </c>
    </row>
    <row r="55" spans="1:13">
      <c r="A55" s="39" t="str">
        <f>IF('Şagirdlərin nəticələri'!A51="","",'Şagirdlərin nəticələri'!A51)</f>
        <v/>
      </c>
      <c r="B55" s="39" t="str">
        <f>IF('Şagirdlərin nəticələri'!B51="","",'Şagirdlərin nəticələri'!B51)</f>
        <v/>
      </c>
      <c r="C55" s="39" t="str">
        <f>IF('Şagirdlərin nəticələri'!C51="","",'Şagirdlərin nəticələri'!C51)</f>
        <v/>
      </c>
      <c r="D55" s="39" t="str">
        <f>IF('Şagirdlərin nəticələri'!D51="","",'Şagirdlərin nəticələri'!D51)</f>
        <v/>
      </c>
      <c r="E55" s="39" t="str">
        <f>IF('Şagirdlərin nəticələri'!E51="","",'Şagirdlərin nəticələri'!E51)</f>
        <v/>
      </c>
      <c r="F55" s="39" t="str">
        <f>IF('Şagirdlərin nəticələri'!F51="","",'Şagirdlərin nəticələri'!F51)</f>
        <v/>
      </c>
      <c r="G55" s="39" t="str">
        <f>IF('Şagirdlərin nəticələri'!G51="","",'Şagirdlərin nəticələri'!G51)</f>
        <v/>
      </c>
      <c r="H55" s="39" t="str">
        <f>IF('Şagirdlərin nəticələri'!H51="","",'Şagirdlərin nəticələri'!H51)</f>
        <v/>
      </c>
      <c r="I55" s="39" t="str">
        <f>IF('Şagirdlərin nəticələri'!I51="","",'Şagirdlərin nəticələri'!I51)</f>
        <v/>
      </c>
      <c r="J55" s="39" t="str">
        <f>IF('Şagirdlərin nəticələri'!J51="","",'Şagirdlərin nəticələri'!J51)</f>
        <v/>
      </c>
      <c r="K55" s="40" t="str">
        <f>IF('Şagirdlərin nəticələri'!BX51="","",'Şagirdlərin nəticələri'!BX51)</f>
        <v/>
      </c>
      <c r="L55" s="39" t="str">
        <f>IF('Şagirdlərin nəticələri'!BY51="","",'Şagirdlərin nəticələri'!BY51)</f>
        <v/>
      </c>
      <c r="M55" s="39" t="str">
        <f t="shared" si="0"/>
        <v/>
      </c>
    </row>
    <row r="56" spans="1:13">
      <c r="A56" s="39" t="str">
        <f>IF('Şagirdlərin nəticələri'!A52="","",'Şagirdlərin nəticələri'!A52)</f>
        <v/>
      </c>
      <c r="B56" s="39" t="str">
        <f>IF('Şagirdlərin nəticələri'!B52="","",'Şagirdlərin nəticələri'!B52)</f>
        <v/>
      </c>
      <c r="C56" s="39" t="str">
        <f>IF('Şagirdlərin nəticələri'!C52="","",'Şagirdlərin nəticələri'!C52)</f>
        <v/>
      </c>
      <c r="D56" s="39" t="str">
        <f>IF('Şagirdlərin nəticələri'!D52="","",'Şagirdlərin nəticələri'!D52)</f>
        <v/>
      </c>
      <c r="E56" s="39" t="str">
        <f>IF('Şagirdlərin nəticələri'!E52="","",'Şagirdlərin nəticələri'!E52)</f>
        <v/>
      </c>
      <c r="F56" s="39" t="str">
        <f>IF('Şagirdlərin nəticələri'!F52="","",'Şagirdlərin nəticələri'!F52)</f>
        <v/>
      </c>
      <c r="G56" s="39" t="str">
        <f>IF('Şagirdlərin nəticələri'!G52="","",'Şagirdlərin nəticələri'!G52)</f>
        <v/>
      </c>
      <c r="H56" s="39" t="str">
        <f>IF('Şagirdlərin nəticələri'!H52="","",'Şagirdlərin nəticələri'!H52)</f>
        <v/>
      </c>
      <c r="I56" s="39" t="str">
        <f>IF('Şagirdlərin nəticələri'!I52="","",'Şagirdlərin nəticələri'!I52)</f>
        <v/>
      </c>
      <c r="J56" s="39" t="str">
        <f>IF('Şagirdlərin nəticələri'!J52="","",'Şagirdlərin nəticələri'!J52)</f>
        <v/>
      </c>
      <c r="K56" s="40" t="str">
        <f>IF('Şagirdlərin nəticələri'!BX52="","",'Şagirdlərin nəticələri'!BX52)</f>
        <v/>
      </c>
      <c r="L56" s="39" t="str">
        <f>IF('Şagirdlərin nəticələri'!BY52="","",'Şagirdlərin nəticələri'!BY52)</f>
        <v/>
      </c>
      <c r="M56" s="39" t="str">
        <f t="shared" si="0"/>
        <v/>
      </c>
    </row>
    <row r="57" spans="1:13">
      <c r="A57" s="39" t="str">
        <f>IF('Şagirdlərin nəticələri'!A53="","",'Şagirdlərin nəticələri'!A53)</f>
        <v/>
      </c>
      <c r="B57" s="39" t="str">
        <f>IF('Şagirdlərin nəticələri'!B53="","",'Şagirdlərin nəticələri'!B53)</f>
        <v/>
      </c>
      <c r="C57" s="39" t="str">
        <f>IF('Şagirdlərin nəticələri'!C53="","",'Şagirdlərin nəticələri'!C53)</f>
        <v/>
      </c>
      <c r="D57" s="39" t="str">
        <f>IF('Şagirdlərin nəticələri'!D53="","",'Şagirdlərin nəticələri'!D53)</f>
        <v/>
      </c>
      <c r="E57" s="39" t="str">
        <f>IF('Şagirdlərin nəticələri'!E53="","",'Şagirdlərin nəticələri'!E53)</f>
        <v/>
      </c>
      <c r="F57" s="39" t="str">
        <f>IF('Şagirdlərin nəticələri'!F53="","",'Şagirdlərin nəticələri'!F53)</f>
        <v/>
      </c>
      <c r="G57" s="39" t="str">
        <f>IF('Şagirdlərin nəticələri'!G53="","",'Şagirdlərin nəticələri'!G53)</f>
        <v/>
      </c>
      <c r="H57" s="39" t="str">
        <f>IF('Şagirdlərin nəticələri'!H53="","",'Şagirdlərin nəticələri'!H53)</f>
        <v/>
      </c>
      <c r="I57" s="39" t="str">
        <f>IF('Şagirdlərin nəticələri'!I53="","",'Şagirdlərin nəticələri'!I53)</f>
        <v/>
      </c>
      <c r="J57" s="39" t="str">
        <f>IF('Şagirdlərin nəticələri'!J53="","",'Şagirdlərin nəticələri'!J53)</f>
        <v/>
      </c>
      <c r="K57" s="40" t="str">
        <f>IF('Şagirdlərin nəticələri'!BX53="","",'Şagirdlərin nəticələri'!BX53)</f>
        <v/>
      </c>
      <c r="L57" s="39" t="str">
        <f>IF('Şagirdlərin nəticələri'!BY53="","",'Şagirdlərin nəticələri'!BY53)</f>
        <v/>
      </c>
      <c r="M57" s="39" t="str">
        <f t="shared" si="0"/>
        <v/>
      </c>
    </row>
    <row r="58" spans="1:13">
      <c r="A58" s="39" t="str">
        <f>IF('Şagirdlərin nəticələri'!A54="","",'Şagirdlərin nəticələri'!A54)</f>
        <v/>
      </c>
      <c r="B58" s="39" t="str">
        <f>IF('Şagirdlərin nəticələri'!B54="","",'Şagirdlərin nəticələri'!B54)</f>
        <v/>
      </c>
      <c r="C58" s="39" t="str">
        <f>IF('Şagirdlərin nəticələri'!C54="","",'Şagirdlərin nəticələri'!C54)</f>
        <v/>
      </c>
      <c r="D58" s="39" t="str">
        <f>IF('Şagirdlərin nəticələri'!D54="","",'Şagirdlərin nəticələri'!D54)</f>
        <v/>
      </c>
      <c r="E58" s="39" t="str">
        <f>IF('Şagirdlərin nəticələri'!E54="","",'Şagirdlərin nəticələri'!E54)</f>
        <v/>
      </c>
      <c r="F58" s="39" t="str">
        <f>IF('Şagirdlərin nəticələri'!F54="","",'Şagirdlərin nəticələri'!F54)</f>
        <v/>
      </c>
      <c r="G58" s="39" t="str">
        <f>IF('Şagirdlərin nəticələri'!G54="","",'Şagirdlərin nəticələri'!G54)</f>
        <v/>
      </c>
      <c r="H58" s="39" t="str">
        <f>IF('Şagirdlərin nəticələri'!H54="","",'Şagirdlərin nəticələri'!H54)</f>
        <v/>
      </c>
      <c r="I58" s="39" t="str">
        <f>IF('Şagirdlərin nəticələri'!I54="","",'Şagirdlərin nəticələri'!I54)</f>
        <v/>
      </c>
      <c r="J58" s="39" t="str">
        <f>IF('Şagirdlərin nəticələri'!J54="","",'Şagirdlərin nəticələri'!J54)</f>
        <v/>
      </c>
      <c r="K58" s="40" t="str">
        <f>IF('Şagirdlərin nəticələri'!BX54="","",'Şagirdlərin nəticələri'!BX54)</f>
        <v/>
      </c>
      <c r="L58" s="39" t="str">
        <f>IF('Şagirdlərin nəticələri'!BY54="","",'Şagirdlərin nəticələri'!BY54)</f>
        <v/>
      </c>
      <c r="M58" s="39" t="str">
        <f t="shared" si="0"/>
        <v/>
      </c>
    </row>
    <row r="59" spans="1:13">
      <c r="A59" s="39" t="str">
        <f>IF('Şagirdlərin nəticələri'!A55="","",'Şagirdlərin nəticələri'!A55)</f>
        <v/>
      </c>
      <c r="B59" s="39" t="str">
        <f>IF('Şagirdlərin nəticələri'!B55="","",'Şagirdlərin nəticələri'!B55)</f>
        <v/>
      </c>
      <c r="C59" s="39" t="str">
        <f>IF('Şagirdlərin nəticələri'!C55="","",'Şagirdlərin nəticələri'!C55)</f>
        <v/>
      </c>
      <c r="D59" s="39" t="str">
        <f>IF('Şagirdlərin nəticələri'!D55="","",'Şagirdlərin nəticələri'!D55)</f>
        <v/>
      </c>
      <c r="E59" s="39" t="str">
        <f>IF('Şagirdlərin nəticələri'!E55="","",'Şagirdlərin nəticələri'!E55)</f>
        <v/>
      </c>
      <c r="F59" s="39" t="str">
        <f>IF('Şagirdlərin nəticələri'!F55="","",'Şagirdlərin nəticələri'!F55)</f>
        <v/>
      </c>
      <c r="G59" s="39" t="str">
        <f>IF('Şagirdlərin nəticələri'!G55="","",'Şagirdlərin nəticələri'!G55)</f>
        <v/>
      </c>
      <c r="H59" s="39" t="str">
        <f>IF('Şagirdlərin nəticələri'!H55="","",'Şagirdlərin nəticələri'!H55)</f>
        <v/>
      </c>
      <c r="I59" s="39" t="str">
        <f>IF('Şagirdlərin nəticələri'!I55="","",'Şagirdlərin nəticələri'!I55)</f>
        <v/>
      </c>
      <c r="J59" s="39" t="str">
        <f>IF('Şagirdlərin nəticələri'!J55="","",'Şagirdlərin nəticələri'!J55)</f>
        <v/>
      </c>
      <c r="K59" s="40" t="str">
        <f>IF('Şagirdlərin nəticələri'!BX55="","",'Şagirdlərin nəticələri'!BX55)</f>
        <v/>
      </c>
      <c r="L59" s="39" t="str">
        <f>IF('Şagirdlərin nəticələri'!BY55="","",'Şagirdlərin nəticələri'!BY55)</f>
        <v/>
      </c>
      <c r="M59" s="39" t="str">
        <f t="shared" si="0"/>
        <v/>
      </c>
    </row>
    <row r="60" spans="1:13">
      <c r="A60" s="39" t="str">
        <f>IF('Şagirdlərin nəticələri'!A56="","",'Şagirdlərin nəticələri'!A56)</f>
        <v/>
      </c>
      <c r="B60" s="39" t="str">
        <f>IF('Şagirdlərin nəticələri'!B56="","",'Şagirdlərin nəticələri'!B56)</f>
        <v/>
      </c>
      <c r="C60" s="39" t="str">
        <f>IF('Şagirdlərin nəticələri'!C56="","",'Şagirdlərin nəticələri'!C56)</f>
        <v/>
      </c>
      <c r="D60" s="39" t="str">
        <f>IF('Şagirdlərin nəticələri'!D56="","",'Şagirdlərin nəticələri'!D56)</f>
        <v/>
      </c>
      <c r="E60" s="39" t="str">
        <f>IF('Şagirdlərin nəticələri'!E56="","",'Şagirdlərin nəticələri'!E56)</f>
        <v/>
      </c>
      <c r="F60" s="39" t="str">
        <f>IF('Şagirdlərin nəticələri'!F56="","",'Şagirdlərin nəticələri'!F56)</f>
        <v/>
      </c>
      <c r="G60" s="39" t="str">
        <f>IF('Şagirdlərin nəticələri'!G56="","",'Şagirdlərin nəticələri'!G56)</f>
        <v/>
      </c>
      <c r="H60" s="39" t="str">
        <f>IF('Şagirdlərin nəticələri'!H56="","",'Şagirdlərin nəticələri'!H56)</f>
        <v/>
      </c>
      <c r="I60" s="39" t="str">
        <f>IF('Şagirdlərin nəticələri'!I56="","",'Şagirdlərin nəticələri'!I56)</f>
        <v/>
      </c>
      <c r="J60" s="39" t="str">
        <f>IF('Şagirdlərin nəticələri'!J56="","",'Şagirdlərin nəticələri'!J56)</f>
        <v/>
      </c>
      <c r="K60" s="40" t="str">
        <f>IF('Şagirdlərin nəticələri'!BX56="","",'Şagirdlərin nəticələri'!BX56)</f>
        <v/>
      </c>
      <c r="L60" s="39" t="str">
        <f>IF('Şagirdlərin nəticələri'!BY56="","",'Şagirdlərin nəticələri'!BY56)</f>
        <v/>
      </c>
      <c r="M60" s="39" t="str">
        <f t="shared" si="0"/>
        <v/>
      </c>
    </row>
    <row r="61" spans="1:13">
      <c r="A61" s="39" t="str">
        <f>IF('Şagirdlərin nəticələri'!A57="","",'Şagirdlərin nəticələri'!A57)</f>
        <v/>
      </c>
      <c r="B61" s="39" t="str">
        <f>IF('Şagirdlərin nəticələri'!B57="","",'Şagirdlərin nəticələri'!B57)</f>
        <v/>
      </c>
      <c r="C61" s="39" t="str">
        <f>IF('Şagirdlərin nəticələri'!C57="","",'Şagirdlərin nəticələri'!C57)</f>
        <v/>
      </c>
      <c r="D61" s="39" t="str">
        <f>IF('Şagirdlərin nəticələri'!D57="","",'Şagirdlərin nəticələri'!D57)</f>
        <v/>
      </c>
      <c r="E61" s="39" t="str">
        <f>IF('Şagirdlərin nəticələri'!E57="","",'Şagirdlərin nəticələri'!E57)</f>
        <v/>
      </c>
      <c r="F61" s="39" t="str">
        <f>IF('Şagirdlərin nəticələri'!F57="","",'Şagirdlərin nəticələri'!F57)</f>
        <v/>
      </c>
      <c r="G61" s="39" t="str">
        <f>IF('Şagirdlərin nəticələri'!G57="","",'Şagirdlərin nəticələri'!G57)</f>
        <v/>
      </c>
      <c r="H61" s="39" t="str">
        <f>IF('Şagirdlərin nəticələri'!H57="","",'Şagirdlərin nəticələri'!H57)</f>
        <v/>
      </c>
      <c r="I61" s="39" t="str">
        <f>IF('Şagirdlərin nəticələri'!I57="","",'Şagirdlərin nəticələri'!I57)</f>
        <v/>
      </c>
      <c r="J61" s="39" t="str">
        <f>IF('Şagirdlərin nəticələri'!J57="","",'Şagirdlərin nəticələri'!J57)</f>
        <v/>
      </c>
      <c r="K61" s="40" t="str">
        <f>IF('Şagirdlərin nəticələri'!BX57="","",'Şagirdlərin nəticələri'!BX57)</f>
        <v/>
      </c>
      <c r="L61" s="39" t="str">
        <f>IF('Şagirdlərin nəticələri'!BY57="","",'Şagirdlərin nəticələri'!BY57)</f>
        <v/>
      </c>
      <c r="M61" s="39" t="str">
        <f t="shared" si="0"/>
        <v/>
      </c>
    </row>
    <row r="62" spans="1:13" ht="17.399999999999999">
      <c r="A62" s="41"/>
      <c r="B62" s="41"/>
      <c r="C62" s="41"/>
      <c r="D62" s="41"/>
      <c r="E62" s="41"/>
      <c r="F62" s="41"/>
      <c r="G62" s="41"/>
      <c r="H62" s="41"/>
      <c r="I62" s="131" t="s">
        <v>59</v>
      </c>
      <c r="J62" s="131"/>
      <c r="K62" s="131"/>
      <c r="L62" s="131"/>
      <c r="M62" s="131"/>
    </row>
    <row r="63" spans="1:13" ht="17.399999999999999">
      <c r="I63" s="133" t="s">
        <v>77</v>
      </c>
      <c r="J63" s="134"/>
      <c r="K63" s="57" t="s">
        <v>54</v>
      </c>
      <c r="L63" s="57" t="s">
        <v>55</v>
      </c>
      <c r="M63" s="57" t="s">
        <v>56</v>
      </c>
    </row>
    <row r="64" spans="1:13" ht="17.399999999999999">
      <c r="I64" s="137" t="s">
        <v>64</v>
      </c>
      <c r="J64" s="137"/>
      <c r="K64" s="56">
        <f>COUNTIF(I12:I61,"q")</f>
        <v>0</v>
      </c>
      <c r="L64" s="56">
        <f>COUNTIF(I12:I61,"k")</f>
        <v>0</v>
      </c>
      <c r="M64" s="42">
        <f>IF(K64&amp;L64="","",SUM(K64:L64))</f>
        <v>0</v>
      </c>
    </row>
    <row r="65" spans="1:13" ht="17.399999999999999">
      <c r="I65" s="137" t="s">
        <v>78</v>
      </c>
      <c r="J65" s="137"/>
      <c r="K65" s="56">
        <f>COUNTIFS(I12:I61,"q",J12:J61,"A")+COUNTIFS(I12:I61,"q",J12:J61,"B")</f>
        <v>0</v>
      </c>
      <c r="L65" s="56">
        <f>COUNTIFS(I12:I61,"k",J12:J61,"A")+COUNTIFS(I12:I61,"k",J12:J61,"B")</f>
        <v>0</v>
      </c>
      <c r="M65" s="42">
        <f>IF(K65&amp;L65="","",SUM(K65:L65))</f>
        <v>0</v>
      </c>
    </row>
    <row r="66" spans="1:13" ht="17.399999999999999">
      <c r="I66" s="137" t="s">
        <v>79</v>
      </c>
      <c r="J66" s="137"/>
      <c r="K66" s="56">
        <f>COUNTIFS(I13:I62,"q",J13:J62,"")</f>
        <v>0</v>
      </c>
      <c r="L66" s="56">
        <f>COUNTIFS(I12:I61,"k",J12:J61,"")</f>
        <v>0</v>
      </c>
      <c r="M66" s="42">
        <f>IF(K66&amp;L66="","",SUM(K66:L66))</f>
        <v>0</v>
      </c>
    </row>
    <row r="67" spans="1:13" ht="17.399999999999999">
      <c r="I67" s="137" t="s">
        <v>57</v>
      </c>
      <c r="J67" s="137"/>
      <c r="K67" s="43">
        <f>IF(K64=0,0,K65*100/K64)</f>
        <v>0</v>
      </c>
      <c r="L67" s="43">
        <f t="shared" ref="L67:M67" si="1">IF(L64=0,0,L65*100/L64)</f>
        <v>0</v>
      </c>
      <c r="M67" s="44">
        <f t="shared" si="1"/>
        <v>0</v>
      </c>
    </row>
    <row r="68" spans="1:13" ht="17.399999999999999">
      <c r="I68" s="138" t="s">
        <v>58</v>
      </c>
      <c r="J68" s="138"/>
      <c r="K68" s="45">
        <f>IF(K64=0,0,AVERAGEIFS(K12:K61,I12:I61,"q"))</f>
        <v>0</v>
      </c>
      <c r="L68" s="45">
        <f>IF(L64=0,0,AVERAGEIFS(K12:K61,I12:I61,"k"))</f>
        <v>0</v>
      </c>
      <c r="M68" s="45">
        <f>IF(M64=0,0,AVERAGE(K12:K61))</f>
        <v>0</v>
      </c>
    </row>
    <row r="69" spans="1:13" ht="17.399999999999999">
      <c r="I69" s="139" t="s">
        <v>67</v>
      </c>
      <c r="J69" s="139"/>
      <c r="K69" s="58">
        <f>COUNTIFS(I12:I61,"q",K12:K61,"&lt;=30")</f>
        <v>0</v>
      </c>
      <c r="L69" s="58">
        <f>COUNTIFS(I12:I61,"k",K12:K61,"&lt;=30")</f>
        <v>0</v>
      </c>
      <c r="M69" s="46">
        <f>IF(K69&amp;L69="","",SUM(K69:L69))</f>
        <v>0</v>
      </c>
    </row>
    <row r="70" spans="1:13" ht="17.399999999999999">
      <c r="I70" s="140" t="s">
        <v>68</v>
      </c>
      <c r="J70" s="140"/>
      <c r="K70" s="55">
        <f>COUNTIFS(I12:I61,"q",K12:K61,"&gt;30",K12:K61,"&lt;=60")</f>
        <v>0</v>
      </c>
      <c r="L70" s="55">
        <f>COUNTIFS(I12:I61,"k",K12:K61,"&gt;30",K12:K61,"&lt;=60")</f>
        <v>0</v>
      </c>
      <c r="M70" s="47">
        <f>IF(K70&amp;L70="","",SUM(K70:L70))</f>
        <v>0</v>
      </c>
    </row>
    <row r="71" spans="1:13" ht="17.399999999999999">
      <c r="I71" s="135" t="s">
        <v>69</v>
      </c>
      <c r="J71" s="135"/>
      <c r="K71" s="61">
        <f>COUNTIFS(I12:I61,"q",K12:K61,"&gt;60",K12:K61,"&lt;=80")</f>
        <v>0</v>
      </c>
      <c r="L71" s="61">
        <f>COUNTIFS(I12:I61,"k",K12:K61,"&gt;60",K12:K61,"&lt;=80")</f>
        <v>0</v>
      </c>
      <c r="M71" s="48">
        <f t="shared" ref="M71:M72" si="2">IF(K71&amp;L71="","",SUM(K71:L71))</f>
        <v>0</v>
      </c>
    </row>
    <row r="72" spans="1:13" ht="17.399999999999999">
      <c r="I72" s="136" t="s">
        <v>70</v>
      </c>
      <c r="J72" s="136"/>
      <c r="K72" s="62">
        <f>COUNTIFS(I12:I61,"q",K12:K61,"&gt;80",K12:K61,"&lt;=100")</f>
        <v>0</v>
      </c>
      <c r="L72" s="62">
        <f>COUNTIFS(I12:I61,"k",K12:K61,"&gt;80",K12:K61,"&lt;=100")</f>
        <v>0</v>
      </c>
      <c r="M72" s="49">
        <f t="shared" si="2"/>
        <v>0</v>
      </c>
    </row>
    <row r="73" spans="1:13">
      <c r="H73" s="132"/>
      <c r="I73" s="132"/>
      <c r="J73" s="132"/>
      <c r="K73" s="132"/>
      <c r="L73" s="132"/>
      <c r="M73" s="132"/>
    </row>
    <row r="74" spans="1:13">
      <c r="H74" s="132"/>
      <c r="I74" s="132"/>
      <c r="J74" s="132"/>
      <c r="K74" s="132"/>
      <c r="L74" s="132"/>
      <c r="M74" s="132"/>
    </row>
    <row r="75" spans="1:13" ht="17.399999999999999">
      <c r="A75" s="129" t="s">
        <v>72</v>
      </c>
      <c r="B75" s="130"/>
      <c r="C75" s="130"/>
      <c r="D75" s="130"/>
      <c r="E75" s="130"/>
      <c r="F75" s="129" t="s">
        <v>73</v>
      </c>
      <c r="G75" s="130"/>
      <c r="H75" s="60" t="s">
        <v>60</v>
      </c>
      <c r="I75" s="52"/>
      <c r="J75" s="52"/>
      <c r="K75" s="120" t="str">
        <f>IF('Məzmun tərkibi və təhlil'!C68="","",'Məzmun tərkibi və təhlil'!C68)</f>
        <v/>
      </c>
      <c r="L75" s="120"/>
      <c r="M75" s="120"/>
    </row>
    <row r="76" spans="1:13" ht="15.6" customHeight="1">
      <c r="A76" s="130"/>
      <c r="B76" s="130"/>
      <c r="C76" s="130"/>
      <c r="D76" s="130"/>
      <c r="E76" s="130"/>
      <c r="F76" s="130"/>
      <c r="G76" s="130"/>
      <c r="H76" s="50"/>
      <c r="I76" s="50"/>
      <c r="J76" s="50"/>
      <c r="K76" s="50"/>
      <c r="L76" s="50"/>
      <c r="M76" s="50"/>
    </row>
    <row r="77" spans="1:13" ht="19.95" customHeight="1">
      <c r="H77" s="50"/>
      <c r="I77" s="50"/>
      <c r="J77" s="50"/>
      <c r="K77" s="50"/>
      <c r="L77" s="50"/>
      <c r="M77" s="50"/>
    </row>
    <row r="78" spans="1:13" ht="17.399999999999999">
      <c r="H78" s="60" t="s">
        <v>60</v>
      </c>
      <c r="I78" s="52"/>
      <c r="J78" s="52"/>
      <c r="K78" s="120" t="str">
        <f>IF('Məzmun tərkibi və təhlil'!C69="","",'Məzmun tərkibi və təhlil'!C69)</f>
        <v/>
      </c>
      <c r="L78" s="120"/>
      <c r="M78" s="120"/>
    </row>
    <row r="79" spans="1:13" ht="15.6" customHeight="1">
      <c r="H79" s="50"/>
      <c r="I79" s="50"/>
      <c r="J79" s="50"/>
      <c r="K79" s="50"/>
      <c r="L79" s="50"/>
      <c r="M79" s="50"/>
    </row>
    <row r="80" spans="1:13" ht="19.95" customHeight="1">
      <c r="H80" s="50"/>
      <c r="I80" s="50"/>
      <c r="J80" s="50"/>
      <c r="K80" s="50"/>
      <c r="L80" s="50"/>
      <c r="M80" s="50"/>
    </row>
    <row r="81" spans="8:13" ht="17.399999999999999">
      <c r="H81" s="60" t="s">
        <v>61</v>
      </c>
      <c r="I81" s="52"/>
      <c r="J81" s="52"/>
      <c r="K81" s="120" t="str">
        <f>IF('Məzmun tərkibi və təhlil'!C71="","",'Məzmun tərkibi və təhlil'!C71)</f>
        <v/>
      </c>
      <c r="L81" s="120"/>
      <c r="M81" s="120"/>
    </row>
    <row r="82" spans="8:13" ht="15.6" customHeight="1">
      <c r="H82" s="50"/>
      <c r="I82" s="50"/>
      <c r="J82" s="50"/>
      <c r="K82" s="50"/>
      <c r="L82" s="50"/>
      <c r="M82" s="50"/>
    </row>
    <row r="83" spans="8:13" ht="19.95" customHeight="1">
      <c r="H83" s="50"/>
      <c r="I83" s="50"/>
      <c r="J83" s="50"/>
      <c r="K83" s="50"/>
      <c r="L83" s="50"/>
      <c r="M83" s="50"/>
    </row>
    <row r="84" spans="8:13" ht="15.6" customHeight="1">
      <c r="H84" s="60" t="s">
        <v>71</v>
      </c>
      <c r="I84" s="52"/>
      <c r="J84" s="52"/>
      <c r="K84" s="120" t="str">
        <f>IF('Məzmun tərkibi və təhlil'!C73="","",'Məzmun tərkibi və təhlil'!C73)</f>
        <v/>
      </c>
      <c r="L84" s="120"/>
      <c r="M84" s="120"/>
    </row>
  </sheetData>
  <sheetProtection algorithmName="SHA-512" hashValue="HEZ8qnIxq1CA04WVnZJFynyVOR2KQy5KEHcqYZYqmpiIb+zzVyWZ3fZud93cIR0zLYJ2BdP0itYj31XcfEiduw==" saltValue="B3a1J2en66HH3bYz/BtObw==" spinCount="100000" sheet="1" objects="1" scenarios="1"/>
  <mergeCells count="39">
    <mergeCell ref="A75:E76"/>
    <mergeCell ref="F75:G76"/>
    <mergeCell ref="I62:M62"/>
    <mergeCell ref="H73:M74"/>
    <mergeCell ref="I63:J63"/>
    <mergeCell ref="I71:J71"/>
    <mergeCell ref="I72:J72"/>
    <mergeCell ref="I64:J64"/>
    <mergeCell ref="I65:J65"/>
    <mergeCell ref="I66:J66"/>
    <mergeCell ref="I67:J67"/>
    <mergeCell ref="I68:J68"/>
    <mergeCell ref="I69:J69"/>
    <mergeCell ref="I70:J70"/>
    <mergeCell ref="K75:M75"/>
    <mergeCell ref="A8:M8"/>
    <mergeCell ref="A9:G9"/>
    <mergeCell ref="D10:D11"/>
    <mergeCell ref="H1:M1"/>
    <mergeCell ref="H2:M2"/>
    <mergeCell ref="L4:M4"/>
    <mergeCell ref="L3:M3"/>
    <mergeCell ref="I3:K3"/>
    <mergeCell ref="K78:M78"/>
    <mergeCell ref="K81:M81"/>
    <mergeCell ref="K84:M84"/>
    <mergeCell ref="A6:M6"/>
    <mergeCell ref="A10:A11"/>
    <mergeCell ref="F10:H10"/>
    <mergeCell ref="I10:I11"/>
    <mergeCell ref="J10:J11"/>
    <mergeCell ref="K10:K11"/>
    <mergeCell ref="L10:L11"/>
    <mergeCell ref="B10:B11"/>
    <mergeCell ref="C10:C11"/>
    <mergeCell ref="E10:E11"/>
    <mergeCell ref="H9:M9"/>
    <mergeCell ref="M10:M11"/>
    <mergeCell ref="A7:M7"/>
  </mergeCells>
  <pageMargins left="0.25" right="0.25" top="0.25" bottom="0.25" header="0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Məzmun tərkibi və təhlil</vt:lpstr>
      <vt:lpstr>Şagirdlərin nəticələri</vt:lpstr>
      <vt:lpstr>Protokol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2024-05-08T14:15:15Z</dcterms:modified>
</cp:coreProperties>
</file>