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<sst xmlns="http://schemas.openxmlformats.org/spreadsheetml/2006/main" count="1999" uniqueCount="231">
  <si>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</si>
  <si>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</si>
  <si>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</si>
  <si>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</si>
  <si>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</si>
  <si>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</si>
  <si>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</si>
  <si>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</si>
  <si>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</si>
  <si>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</si>
  <si>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</si>
  <si>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</si>
  <si>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</si>
  <si>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</si>
  <si>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</si>
  <si>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</si>
  <si>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</si>
  <si>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</si>
  <si>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</si>
  <si>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</si>
  <si>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</si>
  <si>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</si>
  <si>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</si>
  <si>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</si>
  <si>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</si>
  <si>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</si>
  <si>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</si>
  <si>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</si>
  <si>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</si>
  <si>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</si>
  <si>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</si>
  <si>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</si>
  <si>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</si>
  <si>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</si>
  <si>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</si>
  <si>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</si>
  <si>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</si>
  <si>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</si>
  <si>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</si>
  <si>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</si>
  <si>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</si>
  <si>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</si>
  <si>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</si>
  <si>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</si>
  <si>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</si>
  <si>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</si>
  <si>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</si>
  <si>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</si>
  <si>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</si>
  <si>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</si>
  <si>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</si>
  <si>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</si>
  <si>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</si>
  <si>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</si>
  <si>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</si>
  <si>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</si>
  <si>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</si>
  <si>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</si>
  <si>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</si>
  <si>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</si>
  <si>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</si>
  <si>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</si>
  <si>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</si>
  <si>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</si>
  <si>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</si>
  <si>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</si>
  <si>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</si>
  <si>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</si>
  <si>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</si>
  <si>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</si>
  <si>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</si>
  <si>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</si>
  <si>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</si>
  <si>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</si>
  <si>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</si>
  <si>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</si>
  <si>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</si>
  <si>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</si>
  <si>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</si>
  <si>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</si>
  <si>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</si>
  <si>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</si>
  <si>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</si>
  <si>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</si>
  <si>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</si>
  <si>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</si>
  <si>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</si>
  <si>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</si>
  <si>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</si>
  <si>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</si>
  <si>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</si>
  <si>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</si>
  <si>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</si>
  <si>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</si>
  <si>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</si>
  <si>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</si>
  <si>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</si>
  <si>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</si>
  <si>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</si>
  <si>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</si>
  <si>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</si>
  <si>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</si>
  <si>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</si>
  <si>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</si>
  <si>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</si>
  <si>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</si>
  <si>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</si>
  <si>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</si>
  <si>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</si>
  <si>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</si>
  <si>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</si>
  <si>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</si>
  <si>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</si>
  <si>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</si>
  <si>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</si>
  <si>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</si>
  <si>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</si>
  <si>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</si>
  <si>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</si>
  <si>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</si>
  <si>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</si>
  <si>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</si>
  <si>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</si>
  <si>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</si>
  <si>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</si>
  <si>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</si>
  <si>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</si>
  <si>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</si>
  <si>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</si>
  <si>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</si>
  <si>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</si>
  <si>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</si>
  <si>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</si>
  <si>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</si>
  <si>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</si>
  <si>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</si>
  <si>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</si>
  <si>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</si>
  <si>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</si>
  <si>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</si>
  <si>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</si>
  <si>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</si>
  <si>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</si>
  <si>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</si>
  <si>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</si>
  <si>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</si>
  <si>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</si>
  <si>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Cəfərli</t>
  </si>
  <si>
    <t>Fərid</t>
  </si>
  <si>
    <t xml:space="preserve">Səlahəddin </t>
  </si>
  <si>
    <t>Cəfərzadə</t>
  </si>
  <si>
    <t>Ayan</t>
  </si>
  <si>
    <t xml:space="preserve">Emil </t>
  </si>
  <si>
    <t>Nizami</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</si>
  <si>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</si>
  <si>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</si>
  <si>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</si>
  <si>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</si>
  <si>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</si>
  <si>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</si>
  <si>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</si>
  <si>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</si>
  <si>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</si>
  <si>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</si>
  <si>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</si>
  <si>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</si>
  <si>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</si>
  <si>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</si>
  <si>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</si>
  <si>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İsrafilov</t>
  </si>
  <si>
    <t>Nurlan</t>
  </si>
  <si>
    <t xml:space="preserve">Anar </t>
  </si>
  <si>
    <t>İsrafilova</t>
  </si>
  <si>
    <t>Nurgül</t>
  </si>
  <si>
    <t>Kərimzadə</t>
  </si>
  <si>
    <t>Dəniz</t>
  </si>
  <si>
    <t xml:space="preserve">Zamin </t>
  </si>
  <si>
    <t>Qaffarlı</t>
  </si>
  <si>
    <t>Emin</t>
  </si>
  <si>
    <t xml:space="preserve">Rəvan </t>
  </si>
  <si>
    <t>Qurbanov</t>
  </si>
  <si>
    <t>Şəbgül</t>
  </si>
  <si>
    <t xml:space="preserve">Surac </t>
  </si>
  <si>
    <t>Məmmədova</t>
  </si>
  <si>
    <t>Səkinə</t>
  </si>
  <si>
    <t xml:space="preserve">Ceyhun </t>
  </si>
  <si>
    <t>Məmmədzadə</t>
  </si>
  <si>
    <t>Nuray</t>
  </si>
  <si>
    <t>Mirzəyeva</t>
  </si>
  <si>
    <t>Gülay</t>
  </si>
  <si>
    <t xml:space="preserve">Asif </t>
  </si>
  <si>
    <t>Musayev</t>
  </si>
  <si>
    <t>Yusif</t>
  </si>
  <si>
    <t>Nağızadə</t>
  </si>
  <si>
    <t xml:space="preserve">Səbuhi </t>
  </si>
  <si>
    <t>Nuruşov</t>
  </si>
  <si>
    <t>Əhməd</t>
  </si>
  <si>
    <t xml:space="preserve">Nadir </t>
  </si>
  <si>
    <t>Osmanlı</t>
  </si>
  <si>
    <t>Nicat</t>
  </si>
  <si>
    <t xml:space="preserve">Elşən </t>
  </si>
  <si>
    <t>Rufullayev</t>
  </si>
  <si>
    <t>Zülfüqar</t>
  </si>
  <si>
    <t xml:space="preserve">Azər </t>
  </si>
  <si>
    <t>2022-2023</t>
  </si>
  <si>
    <t>Bakı</t>
  </si>
  <si>
    <t>Binəqədi</t>
  </si>
  <si>
    <t>B</t>
  </si>
  <si>
    <t>Əliyeva Sevinc Kamal</t>
  </si>
  <si>
    <t>070-3601990</t>
  </si>
  <si>
    <t>050-8648913</t>
  </si>
  <si>
    <t>055-6647122</t>
  </si>
  <si>
    <t>050-8293279</t>
  </si>
  <si>
    <t>055-8830635</t>
  </si>
  <si>
    <t>070-8860838</t>
  </si>
  <si>
    <t>051-5574765</t>
  </si>
  <si>
    <t>055-8491017</t>
  </si>
  <si>
    <t>055-8438597</t>
  </si>
  <si>
    <t>077-3143913</t>
  </si>
  <si>
    <t>051-3529844</t>
  </si>
  <si>
    <t>050-8065677</t>
  </si>
  <si>
    <t>050-7657373</t>
  </si>
  <si>
    <t>055-7810422</t>
  </si>
  <si>
    <t>055-7810423</t>
  </si>
  <si>
    <t>050-4874022</t>
  </si>
  <si>
    <t>051-5829276</t>
  </si>
  <si>
    <t>070-2387292</t>
  </si>
  <si>
    <t>050-8648914</t>
  </si>
  <si>
    <t>077-3372562</t>
  </si>
  <si>
    <t>070-5301931</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</si>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</sst>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53" zoomScaleNormal="53" workbookViewId="0">
      <pane xSplit="10" ySplit="9" topLeftCell="AIB10" activePane="bottomRight" state="frozen"/>
      <selection pane="topRight" activeCell="H1" sqref="H1"/>
      <selection pane="bottomLeft" activeCell="A5" sqref="A5"/>
      <selection pane="bottomRight" activeCell="WN40" sqref="WN40"/>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3B</v>
      </c>
      <c r="I2" s="75" t="str">
        <f>IF(K9="R","Rus",IF(K9="A","Azərbaycan",""))</f>
        <v>Azərbaycan</v>
      </c>
      <c r="J2" s="75"/>
      <c r="K2" s="75" t="str">
        <f>IF(K9="","",K9)</f>
        <v>A</v>
      </c>
      <c r="L2" s="75">
        <f>SUM(L4,L6)</f>
        <v>21</v>
      </c>
      <c r="M2" s="75"/>
      <c r="N2" s="75"/>
      <c r="O2" s="75"/>
      <c r="P2" s="75" t="str">
        <f>IF(P9="","",P9)</f>
        <v>Əliyeva Sevinc Kamal</v>
      </c>
      <c r="Q2" s="75"/>
      <c r="R2" s="75">
        <f>IF(Q1="","",Q1)</f>
        <v>101</v>
      </c>
      <c r="S2" s="75">
        <f>IF(S10="","",S10)</f>
        <v>303</v>
      </c>
      <c r="T2" s="76">
        <f>IFERROR(AVERAGE(T10:T59),"")</f>
        <v>77.142857142857139</v>
      </c>
      <c r="U2" s="76">
        <f t="shared" ref="U2:BB2" si="0">IFERROR(AVERAGE(U10:U59),"")</f>
        <v>73.095238095238102</v>
      </c>
      <c r="V2" s="76">
        <f t="shared" si="0"/>
        <v>63.095238095238095</v>
      </c>
      <c r="W2" s="76">
        <f t="shared" si="0"/>
        <v>63.38095238095238</v>
      </c>
      <c r="X2" s="76">
        <f t="shared" si="0"/>
        <v>82.61904761904762</v>
      </c>
      <c r="Y2" s="76" t="str">
        <f t="shared" si="0"/>
        <v/>
      </c>
      <c r="Z2" s="76" t="str">
        <f t="shared" si="0"/>
        <v/>
      </c>
      <c r="AA2" s="76">
        <f t="shared" si="0"/>
        <v>70.547619047619051</v>
      </c>
      <c r="AB2" s="76" t="str">
        <f t="shared" si="0"/>
        <v/>
      </c>
      <c r="AC2" s="76">
        <f t="shared" si="0"/>
        <v>70.547619047619051</v>
      </c>
      <c r="AD2" s="76" t="str">
        <f t="shared" si="0"/>
        <v/>
      </c>
      <c r="AE2" s="76" t="str">
        <f t="shared" si="0"/>
        <v/>
      </c>
      <c r="AF2" s="77">
        <f>IFERROR(SUM(AF10:AF59),"")</f>
        <v>91</v>
      </c>
      <c r="AG2" s="76">
        <f t="shared" si="0"/>
        <v>97.139713971397143</v>
      </c>
      <c r="AH2" s="76">
        <f t="shared" si="0"/>
        <v>62.761904761904759</v>
      </c>
      <c r="AI2" s="76">
        <f t="shared" si="0"/>
        <v>78.571428571428569</v>
      </c>
      <c r="AJ2" s="76">
        <f t="shared" si="0"/>
        <v>80.333333333333329</v>
      </c>
      <c r="AK2" s="76">
        <f t="shared" si="0"/>
        <v>82.38095238095238</v>
      </c>
      <c r="AL2" s="76" t="str">
        <f t="shared" si="0"/>
        <v/>
      </c>
      <c r="AM2" s="76" t="str">
        <f t="shared" si="0"/>
        <v/>
      </c>
      <c r="AN2" s="76">
        <f t="shared" si="0"/>
        <v>76.011904761904759</v>
      </c>
      <c r="AO2" s="76" t="str">
        <f t="shared" si="0"/>
        <v/>
      </c>
      <c r="AP2" s="76">
        <f t="shared" si="0"/>
        <v>76.011904761904759</v>
      </c>
      <c r="AQ2" s="76" t="str">
        <f t="shared" si="0"/>
        <v/>
      </c>
      <c r="AR2" s="76">
        <f t="shared" si="0"/>
        <v>46.428095238095239</v>
      </c>
      <c r="AS2" s="76">
        <f>IFERROR(SUM(AS10:AS59),"")</f>
        <v>17</v>
      </c>
      <c r="AT2" s="76">
        <f t="shared" si="0"/>
        <v>99.46566085179947</v>
      </c>
      <c r="AU2" s="76">
        <f t="shared" si="0"/>
        <v>73.279761904761898</v>
      </c>
      <c r="AV2" s="76" t="str">
        <f t="shared" si="0"/>
        <v/>
      </c>
      <c r="AW2" s="76">
        <f t="shared" si="0"/>
        <v>73.279761904761898</v>
      </c>
      <c r="AX2" s="78">
        <f t="shared" si="0"/>
        <v>4.0952380952380949</v>
      </c>
      <c r="AY2" s="76">
        <f t="shared" si="0"/>
        <v>46.428095238095239</v>
      </c>
      <c r="AZ2" s="76" t="str">
        <f t="shared" si="0"/>
        <v/>
      </c>
      <c r="BA2" s="77">
        <f>IFERROR(SUM(BA10:BA59),"")</f>
        <v>108</v>
      </c>
      <c r="BB2" s="76">
        <f t="shared" si="0"/>
        <v>98.302687411598313</v>
      </c>
      <c r="BC2" s="79"/>
      <c r="BD2" s="79">
        <f>IF(BC1="","",BC1)</f>
        <v>102</v>
      </c>
      <c r="BE2" s="79" t="str">
        <f>IF(BE10="","",BE10)</f>
        <v/>
      </c>
      <c r="BF2" s="79" t="str">
        <f>IFERROR(AVERAGE(BF10:BF59),"")</f>
        <v/>
      </c>
      <c r="BG2" s="79" t="str">
        <f t="shared" ref="BG2:CN2" si="1">IFERROR(AVERAGE(BG10:BG59),"")</f>
        <v/>
      </c>
      <c r="BH2" s="79" t="str">
        <f t="shared" si="1"/>
        <v/>
      </c>
      <c r="BI2" s="79" t="str">
        <f t="shared" si="1"/>
        <v/>
      </c>
      <c r="BJ2" s="79" t="str">
        <f t="shared" si="1"/>
        <v/>
      </c>
      <c r="BK2" s="79" t="str">
        <f t="shared" si="1"/>
        <v/>
      </c>
      <c r="BL2" s="79" t="str">
        <f t="shared" si="1"/>
        <v/>
      </c>
      <c r="BM2" s="79" t="str">
        <f t="shared" si="1"/>
        <v/>
      </c>
      <c r="BN2" s="79" t="str">
        <f t="shared" si="1"/>
        <v/>
      </c>
      <c r="BO2" s="79" t="str">
        <f t="shared" si="1"/>
        <v/>
      </c>
      <c r="BP2" s="79" t="str">
        <f t="shared" si="1"/>
        <v/>
      </c>
      <c r="BQ2" s="79" t="str">
        <f t="shared" si="1"/>
        <v/>
      </c>
      <c r="BR2" s="79">
        <f>IFERROR(SUM(BR10:BR59),"")</f>
        <v>0</v>
      </c>
      <c r="BS2" s="79" t="str">
        <f t="shared" si="1"/>
        <v/>
      </c>
      <c r="BT2" s="79" t="str">
        <f t="shared" si="1"/>
        <v/>
      </c>
      <c r="BU2" s="79" t="str">
        <f t="shared" si="1"/>
        <v/>
      </c>
      <c r="BV2" s="79" t="str">
        <f t="shared" si="1"/>
        <v/>
      </c>
      <c r="BW2" s="79" t="str">
        <f t="shared" si="1"/>
        <v/>
      </c>
      <c r="BX2" s="79" t="str">
        <f t="shared" si="1"/>
        <v/>
      </c>
      <c r="BY2" s="79" t="str">
        <f t="shared" si="1"/>
        <v/>
      </c>
      <c r="BZ2" s="79" t="str">
        <f t="shared" si="1"/>
        <v/>
      </c>
      <c r="CA2" s="79" t="str">
        <f t="shared" si="1"/>
        <v/>
      </c>
      <c r="CB2" s="79" t="str">
        <f t="shared" si="1"/>
        <v/>
      </c>
      <c r="CC2" s="79" t="str">
        <f t="shared" si="1"/>
        <v/>
      </c>
      <c r="CD2" s="79" t="str">
        <f t="shared" si="1"/>
        <v/>
      </c>
      <c r="CE2" s="79">
        <f>IFERROR(SUM(CE10:CE59),"")</f>
        <v>0</v>
      </c>
      <c r="CF2" s="79" t="str">
        <f t="shared" si="1"/>
        <v/>
      </c>
      <c r="CG2" s="79" t="str">
        <f t="shared" si="1"/>
        <v/>
      </c>
      <c r="CH2" s="79" t="str">
        <f t="shared" si="1"/>
        <v/>
      </c>
      <c r="CI2" s="79" t="str">
        <f t="shared" si="1"/>
        <v/>
      </c>
      <c r="CJ2" s="79" t="str">
        <f t="shared" si="1"/>
        <v/>
      </c>
      <c r="CK2" s="79" t="str">
        <f t="shared" si="1"/>
        <v/>
      </c>
      <c r="CL2" s="79" t="str">
        <f t="shared" si="1"/>
        <v/>
      </c>
      <c r="CM2" s="79">
        <f>IFERROR(SUM(CM10:CM59),"")</f>
        <v>0</v>
      </c>
      <c r="CN2" s="79" t="str">
        <f t="shared" si="1"/>
        <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f>IF(EC10="","",EC10)</f>
        <v>33</v>
      </c>
      <c r="ED2" s="79">
        <f>IFERROR(AVERAGE(ED10:ED59),"")</f>
        <v>71.285714285714292</v>
      </c>
      <c r="EE2" s="79">
        <f t="shared" ref="EE2:FL2" si="3">IFERROR(AVERAGE(EE10:EE59),"")</f>
        <v>57.523809523809526</v>
      </c>
      <c r="EF2" s="79">
        <f t="shared" si="3"/>
        <v>58.38095238095238</v>
      </c>
      <c r="EG2" s="79">
        <f t="shared" si="3"/>
        <v>69.80952380952381</v>
      </c>
      <c r="EH2" s="79" t="str">
        <f t="shared" si="3"/>
        <v/>
      </c>
      <c r="EI2" s="79" t="str">
        <f t="shared" si="3"/>
        <v/>
      </c>
      <c r="EJ2" s="79" t="str">
        <f t="shared" si="3"/>
        <v/>
      </c>
      <c r="EK2" s="79">
        <f t="shared" si="3"/>
        <v>61.904761904761905</v>
      </c>
      <c r="EL2" s="79" t="str">
        <f t="shared" si="3"/>
        <v/>
      </c>
      <c r="EM2" s="79">
        <f t="shared" si="3"/>
        <v>61.904761904761905</v>
      </c>
      <c r="EN2" s="79" t="str">
        <f t="shared" si="3"/>
        <v/>
      </c>
      <c r="EO2" s="79" t="str">
        <f t="shared" si="3"/>
        <v/>
      </c>
      <c r="EP2" s="79">
        <f>IFERROR(SUM(EP10:EP59),"")</f>
        <v>10</v>
      </c>
      <c r="EQ2" s="79">
        <f t="shared" si="3"/>
        <v>97.113997113997115</v>
      </c>
      <c r="ER2" s="79">
        <f t="shared" si="3"/>
        <v>65.714285714285708</v>
      </c>
      <c r="ES2" s="79">
        <f t="shared" si="3"/>
        <v>71.095238095238102</v>
      </c>
      <c r="ET2" s="79">
        <f t="shared" si="3"/>
        <v>73.714285714285708</v>
      </c>
      <c r="EU2" s="79" t="str">
        <f t="shared" si="3"/>
        <v/>
      </c>
      <c r="EV2" s="79" t="str">
        <f t="shared" si="3"/>
        <v/>
      </c>
      <c r="EW2" s="79" t="str">
        <f t="shared" si="3"/>
        <v/>
      </c>
      <c r="EX2" s="79">
        <f t="shared" si="3"/>
        <v>70.174603174603178</v>
      </c>
      <c r="EY2" s="79" t="str">
        <f t="shared" si="3"/>
        <v/>
      </c>
      <c r="EZ2" s="79">
        <f t="shared" si="3"/>
        <v>70.174603174603178</v>
      </c>
      <c r="FA2" s="79" t="str">
        <f t="shared" si="3"/>
        <v/>
      </c>
      <c r="FB2" s="79">
        <f t="shared" si="3"/>
        <v>65.476666666666674</v>
      </c>
      <c r="FC2" s="79">
        <f>IFERROR(SUM(FC10:FC59),"")</f>
        <v>0</v>
      </c>
      <c r="FD2" s="79">
        <f t="shared" si="3"/>
        <v>100</v>
      </c>
      <c r="FE2" s="79">
        <f t="shared" si="3"/>
        <v>66.039682539682531</v>
      </c>
      <c r="FF2" s="79" t="str">
        <f t="shared" si="3"/>
        <v/>
      </c>
      <c r="FG2" s="79">
        <f t="shared" si="3"/>
        <v>66.039682539682531</v>
      </c>
      <c r="FH2" s="79">
        <f t="shared" si="3"/>
        <v>3.8571428571428572</v>
      </c>
      <c r="FI2" s="79">
        <f t="shared" si="3"/>
        <v>65.476666666666674</v>
      </c>
      <c r="FJ2" s="79" t="str">
        <f t="shared" si="3"/>
        <v/>
      </c>
      <c r="FK2" s="79">
        <f>IFERROR(SUM(FK10:FK59),"")</f>
        <v>10</v>
      </c>
      <c r="FL2" s="79">
        <f t="shared" si="3"/>
        <v>98.556998556998565</v>
      </c>
      <c r="FM2" s="75"/>
      <c r="FN2" s="75">
        <f>IF(FM1="","",FM1)</f>
        <v>110</v>
      </c>
      <c r="FO2" s="75">
        <f>IF(FO10="","",FO10)</f>
        <v>168</v>
      </c>
      <c r="FP2" s="75">
        <f>IFERROR(AVERAGE(FP10:FP59),"")</f>
        <v>72.857142857142861</v>
      </c>
      <c r="FQ2" s="75">
        <f t="shared" ref="FQ2:GX2" si="4">IFERROR(AVERAGE(FQ10:FQ59),"")</f>
        <v>64.38095238095238</v>
      </c>
      <c r="FR2" s="75">
        <f t="shared" si="4"/>
        <v>72.857142857142861</v>
      </c>
      <c r="FS2" s="75">
        <f t="shared" si="4"/>
        <v>70.714285714285708</v>
      </c>
      <c r="FT2" s="75">
        <f t="shared" si="4"/>
        <v>69.571428571428569</v>
      </c>
      <c r="FU2" s="75" t="str">
        <f t="shared" si="4"/>
        <v/>
      </c>
      <c r="FV2" s="75" t="str">
        <f t="shared" si="4"/>
        <v/>
      </c>
      <c r="FW2" s="75">
        <f t="shared" si="4"/>
        <v>69.38095238095238</v>
      </c>
      <c r="FX2" s="75" t="str">
        <f t="shared" si="4"/>
        <v/>
      </c>
      <c r="FY2" s="75">
        <f t="shared" si="4"/>
        <v>69.38095238095238</v>
      </c>
      <c r="FZ2" s="75" t="str">
        <f t="shared" si="4"/>
        <v/>
      </c>
      <c r="GA2" s="75" t="str">
        <f t="shared" si="4"/>
        <v/>
      </c>
      <c r="GB2" s="75">
        <f>IFERROR(SUM(GB10:GB59),"")</f>
        <v>43</v>
      </c>
      <c r="GC2" s="75">
        <f t="shared" si="4"/>
        <v>97.562358276643991</v>
      </c>
      <c r="GD2" s="75">
        <f t="shared" si="4"/>
        <v>60.80952380952381</v>
      </c>
      <c r="GE2" s="75">
        <f t="shared" si="4"/>
        <v>71.714285714285708</v>
      </c>
      <c r="GF2" s="75">
        <f t="shared" si="4"/>
        <v>77.904761904761898</v>
      </c>
      <c r="GG2" s="75">
        <f t="shared" si="4"/>
        <v>84.047619047619051</v>
      </c>
      <c r="GH2" s="75" t="str">
        <f t="shared" si="4"/>
        <v/>
      </c>
      <c r="GI2" s="75" t="str">
        <f t="shared" si="4"/>
        <v/>
      </c>
      <c r="GJ2" s="75">
        <f t="shared" si="4"/>
        <v>73.61904761904762</v>
      </c>
      <c r="GK2" s="75" t="str">
        <f t="shared" si="4"/>
        <v/>
      </c>
      <c r="GL2" s="75">
        <f t="shared" si="4"/>
        <v>73.61904761904762</v>
      </c>
      <c r="GM2" s="75" t="str">
        <f t="shared" si="4"/>
        <v/>
      </c>
      <c r="GN2" s="75">
        <f t="shared" si="4"/>
        <v>45.898571428571429</v>
      </c>
      <c r="GO2" s="75">
        <f>IFERROR(SUM(GO10:GO59),"")</f>
        <v>10</v>
      </c>
      <c r="GP2" s="75">
        <f t="shared" si="4"/>
        <v>99.43310657596372</v>
      </c>
      <c r="GQ2" s="75">
        <f t="shared" si="4"/>
        <v>71.5</v>
      </c>
      <c r="GR2" s="75" t="str">
        <f t="shared" si="4"/>
        <v/>
      </c>
      <c r="GS2" s="75">
        <f t="shared" si="4"/>
        <v>71.5</v>
      </c>
      <c r="GT2" s="75">
        <f t="shared" si="4"/>
        <v>4.0952380952380949</v>
      </c>
      <c r="GU2" s="75">
        <f t="shared" si="4"/>
        <v>45.898571428571429</v>
      </c>
      <c r="GV2" s="75" t="str">
        <f t="shared" si="4"/>
        <v/>
      </c>
      <c r="GW2" s="75">
        <f>IFERROR(SUM(GW10:GW59),"")</f>
        <v>53</v>
      </c>
      <c r="GX2" s="75">
        <f t="shared" si="4"/>
        <v>98.497732426303841</v>
      </c>
      <c r="GY2" s="79"/>
      <c r="GZ2" s="79">
        <f>IF(GY1="","",GY1)</f>
        <v>114</v>
      </c>
      <c r="HA2" s="79">
        <f>IF(HA10="","",HA10)</f>
        <v>33</v>
      </c>
      <c r="HB2" s="79">
        <f>IFERROR(AVERAGE(HB10:HB59),"")</f>
        <v>65.238095238095241</v>
      </c>
      <c r="HC2" s="79">
        <f t="shared" ref="HC2:IJ2" si="5">IFERROR(AVERAGE(HC10:HC59),"")</f>
        <v>78.095238095238102</v>
      </c>
      <c r="HD2" s="79">
        <f t="shared" si="5"/>
        <v>78.80952380952381</v>
      </c>
      <c r="HE2" s="79">
        <f t="shared" si="5"/>
        <v>75.714285714285708</v>
      </c>
      <c r="HF2" s="79" t="str">
        <f t="shared" si="5"/>
        <v/>
      </c>
      <c r="HG2" s="79" t="str">
        <f t="shared" si="5"/>
        <v/>
      </c>
      <c r="HH2" s="79" t="str">
        <f t="shared" si="5"/>
        <v/>
      </c>
      <c r="HI2" s="79">
        <f t="shared" si="5"/>
        <v>77.539682539682531</v>
      </c>
      <c r="HJ2" s="79" t="str">
        <f t="shared" si="5"/>
        <v/>
      </c>
      <c r="HK2" s="79">
        <f t="shared" si="5"/>
        <v>77.539682539682531</v>
      </c>
      <c r="HL2" s="79" t="str">
        <f t="shared" si="5"/>
        <v/>
      </c>
      <c r="HM2" s="79" t="str">
        <f t="shared" si="5"/>
        <v/>
      </c>
      <c r="HN2" s="79">
        <f>IFERROR(SUM(HN10:HN59),"")</f>
        <v>3</v>
      </c>
      <c r="HO2" s="79">
        <f t="shared" si="5"/>
        <v>99.134199134199136</v>
      </c>
      <c r="HP2" s="79">
        <f t="shared" si="5"/>
        <v>76.904761904761898</v>
      </c>
      <c r="HQ2" s="79">
        <f t="shared" si="5"/>
        <v>75.476190476190482</v>
      </c>
      <c r="HR2" s="79">
        <f t="shared" si="5"/>
        <v>71.428571428571431</v>
      </c>
      <c r="HS2" s="79" t="str">
        <f t="shared" si="5"/>
        <v/>
      </c>
      <c r="HT2" s="79" t="str">
        <f t="shared" si="5"/>
        <v/>
      </c>
      <c r="HU2" s="79" t="str">
        <f t="shared" si="5"/>
        <v/>
      </c>
      <c r="HV2" s="79">
        <f t="shared" si="5"/>
        <v>74.603174603174608</v>
      </c>
      <c r="HW2" s="79" t="str">
        <f t="shared" si="5"/>
        <v/>
      </c>
      <c r="HX2" s="79">
        <f t="shared" si="5"/>
        <v>74.603174603174608</v>
      </c>
      <c r="HY2" s="79" t="str">
        <f t="shared" si="5"/>
        <v/>
      </c>
      <c r="HZ2" s="79" t="str">
        <f t="shared" si="5"/>
        <v/>
      </c>
      <c r="IA2" s="79">
        <f>IFERROR(SUM(IA10:IA59),"")</f>
        <v>0</v>
      </c>
      <c r="IB2" s="79">
        <f t="shared" si="5"/>
        <v>100</v>
      </c>
      <c r="IC2" s="79">
        <f t="shared" si="5"/>
        <v>76.071428571428555</v>
      </c>
      <c r="ID2" s="79" t="str">
        <f t="shared" si="5"/>
        <v/>
      </c>
      <c r="IE2" s="79">
        <f t="shared" si="5"/>
        <v>76.071428571428555</v>
      </c>
      <c r="IF2" s="79">
        <f t="shared" si="5"/>
        <v>4.3809523809523814</v>
      </c>
      <c r="IG2" s="79" t="str">
        <f t="shared" si="5"/>
        <v/>
      </c>
      <c r="IH2" s="79" t="str">
        <f t="shared" si="5"/>
        <v/>
      </c>
      <c r="II2" s="79">
        <f>IFERROR(SUM(II10:II59),"")</f>
        <v>3</v>
      </c>
      <c r="IJ2" s="79">
        <f t="shared" si="5"/>
        <v>99.567099567099575</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t="str">
        <f>IF(JY10="","",JY10)</f>
        <v/>
      </c>
      <c r="JZ2" s="79" t="str">
        <f>IFERROR(AVERAGE(JZ10:JZ59),"")</f>
        <v/>
      </c>
      <c r="KA2" s="79" t="str">
        <f t="shared" ref="KA2:LH2" si="7">IFERROR(AVERAGE(KA10:KA59),"")</f>
        <v/>
      </c>
      <c r="KB2" s="79" t="str">
        <f t="shared" si="7"/>
        <v/>
      </c>
      <c r="KC2" s="79" t="str">
        <f t="shared" si="7"/>
        <v/>
      </c>
      <c r="KD2" s="79" t="str">
        <f t="shared" si="7"/>
        <v/>
      </c>
      <c r="KE2" s="79" t="str">
        <f t="shared" si="7"/>
        <v/>
      </c>
      <c r="KF2" s="79" t="str">
        <f t="shared" si="7"/>
        <v/>
      </c>
      <c r="KG2" s="79" t="str">
        <f t="shared" si="7"/>
        <v/>
      </c>
      <c r="KH2" s="79" t="str">
        <f t="shared" si="7"/>
        <v/>
      </c>
      <c r="KI2" s="79" t="str">
        <f t="shared" si="7"/>
        <v/>
      </c>
      <c r="KJ2" s="79" t="str">
        <f t="shared" si="7"/>
        <v/>
      </c>
      <c r="KK2" s="79" t="str">
        <f t="shared" si="7"/>
        <v/>
      </c>
      <c r="KL2" s="79">
        <f>IFERROR(SUM(KL10:KL59),"")</f>
        <v>0</v>
      </c>
      <c r="KM2" s="79" t="str">
        <f t="shared" si="7"/>
        <v/>
      </c>
      <c r="KN2" s="79" t="str">
        <f t="shared" si="7"/>
        <v/>
      </c>
      <c r="KO2" s="79" t="str">
        <f t="shared" si="7"/>
        <v/>
      </c>
      <c r="KP2" s="79" t="str">
        <f t="shared" si="7"/>
        <v/>
      </c>
      <c r="KQ2" s="79" t="str">
        <f t="shared" si="7"/>
        <v/>
      </c>
      <c r="KR2" s="79" t="str">
        <f t="shared" si="7"/>
        <v/>
      </c>
      <c r="KS2" s="79" t="str">
        <f t="shared" si="7"/>
        <v/>
      </c>
      <c r="KT2" s="79" t="str">
        <f t="shared" si="7"/>
        <v/>
      </c>
      <c r="KU2" s="79" t="str">
        <f t="shared" si="7"/>
        <v/>
      </c>
      <c r="KV2" s="79" t="str">
        <f t="shared" si="7"/>
        <v/>
      </c>
      <c r="KW2" s="79" t="str">
        <f t="shared" si="7"/>
        <v/>
      </c>
      <c r="KX2" s="79" t="str">
        <f t="shared" si="7"/>
        <v/>
      </c>
      <c r="KY2" s="79">
        <f>IFERROR(SUM(KY10:KY59),"")</f>
        <v>0</v>
      </c>
      <c r="KZ2" s="79" t="str">
        <f t="shared" si="7"/>
        <v/>
      </c>
      <c r="LA2" s="79" t="str">
        <f t="shared" si="7"/>
        <v/>
      </c>
      <c r="LB2" s="79" t="str">
        <f t="shared" si="7"/>
        <v/>
      </c>
      <c r="LC2" s="79" t="str">
        <f t="shared" si="7"/>
        <v/>
      </c>
      <c r="LD2" s="79" t="str">
        <f t="shared" si="7"/>
        <v/>
      </c>
      <c r="LE2" s="79" t="str">
        <f t="shared" si="7"/>
        <v/>
      </c>
      <c r="LF2" s="79" t="str">
        <f t="shared" si="7"/>
        <v/>
      </c>
      <c r="LG2" s="79">
        <f>IFERROR(SUM(LG10:LG59),"")</f>
        <v>0</v>
      </c>
      <c r="LH2" s="79" t="str">
        <f t="shared" si="7"/>
        <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f>IF(PU10="","",PU10)</f>
        <v>68</v>
      </c>
      <c r="PV2" s="79">
        <f>IFERROR(AVERAGE(PV10:PV59),"")</f>
        <v>75.38095238095238</v>
      </c>
      <c r="PW2" s="79">
        <f t="shared" ref="PW2:RD2" si="11">IFERROR(AVERAGE(PW10:PW59),"")</f>
        <v>67.142857142857139</v>
      </c>
      <c r="PX2" s="79">
        <f t="shared" si="11"/>
        <v>68.095238095238102</v>
      </c>
      <c r="PY2" s="79">
        <f t="shared" si="11"/>
        <v>70.142857142857139</v>
      </c>
      <c r="PZ2" s="79" t="str">
        <f t="shared" si="11"/>
        <v/>
      </c>
      <c r="QA2" s="79" t="str">
        <f t="shared" si="11"/>
        <v/>
      </c>
      <c r="QB2" s="79" t="str">
        <f t="shared" si="11"/>
        <v/>
      </c>
      <c r="QC2" s="79">
        <f t="shared" si="11"/>
        <v>68.460317460317469</v>
      </c>
      <c r="QD2" s="79" t="str">
        <f t="shared" si="11"/>
        <v/>
      </c>
      <c r="QE2" s="79">
        <f t="shared" si="11"/>
        <v>68.460317460317469</v>
      </c>
      <c r="QF2" s="79" t="str">
        <f t="shared" si="11"/>
        <v/>
      </c>
      <c r="QG2" s="79" t="str">
        <f t="shared" si="11"/>
        <v/>
      </c>
      <c r="QH2" s="79">
        <f>IFERROR(SUM(QH10:QH59),"")</f>
        <v>15</v>
      </c>
      <c r="QI2" s="79">
        <f t="shared" si="11"/>
        <v>97.899159663865547</v>
      </c>
      <c r="QJ2" s="79">
        <f t="shared" si="11"/>
        <v>65.476190476190482</v>
      </c>
      <c r="QK2" s="79">
        <f t="shared" si="11"/>
        <v>66.047619047619051</v>
      </c>
      <c r="QL2" s="79">
        <f t="shared" si="11"/>
        <v>73.571428571428569</v>
      </c>
      <c r="QM2" s="79">
        <f t="shared" si="11"/>
        <v>76.904761904761898</v>
      </c>
      <c r="QN2" s="79" t="str">
        <f t="shared" si="11"/>
        <v/>
      </c>
      <c r="QO2" s="79" t="str">
        <f t="shared" si="11"/>
        <v/>
      </c>
      <c r="QP2" s="79">
        <f t="shared" si="11"/>
        <v>70.5</v>
      </c>
      <c r="QQ2" s="79" t="str">
        <f t="shared" si="11"/>
        <v/>
      </c>
      <c r="QR2" s="79">
        <f t="shared" si="11"/>
        <v>70.5</v>
      </c>
      <c r="QS2" s="79" t="str">
        <f t="shared" si="11"/>
        <v/>
      </c>
      <c r="QT2" s="79" t="str">
        <f t="shared" si="11"/>
        <v/>
      </c>
      <c r="QU2" s="79">
        <f>IFERROR(SUM(QU10:QU59),"")</f>
        <v>1</v>
      </c>
      <c r="QV2" s="79">
        <f t="shared" si="11"/>
        <v>99.85994397759103</v>
      </c>
      <c r="QW2" s="79">
        <f t="shared" si="11"/>
        <v>69.48015873015872</v>
      </c>
      <c r="QX2" s="79" t="str">
        <f t="shared" si="11"/>
        <v/>
      </c>
      <c r="QY2" s="79">
        <f t="shared" si="11"/>
        <v>69.48015873015872</v>
      </c>
      <c r="QZ2" s="79">
        <f t="shared" si="11"/>
        <v>3.9523809523809526</v>
      </c>
      <c r="RA2" s="79" t="str">
        <f t="shared" si="11"/>
        <v/>
      </c>
      <c r="RB2" s="79" t="str">
        <f t="shared" si="11"/>
        <v/>
      </c>
      <c r="RC2" s="79">
        <f>IFERROR(SUM(RC10:RC59),"")</f>
        <v>16</v>
      </c>
      <c r="RD2" s="79">
        <f t="shared" si="11"/>
        <v>98.879551820728295</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66</v>
      </c>
      <c r="UF2" s="75">
        <f>IFERROR(AVERAGE(UF10:UF59),"")</f>
        <v>85.428571428571431</v>
      </c>
      <c r="UG2" s="75">
        <f t="shared" ref="UG2:VN2" si="14">IFERROR(AVERAGE(UG10:UG59),"")</f>
        <v>87.61904761904762</v>
      </c>
      <c r="UH2" s="75">
        <f t="shared" si="14"/>
        <v>87.857142857142861</v>
      </c>
      <c r="UI2" s="75">
        <f t="shared" si="14"/>
        <v>88.095238095238102</v>
      </c>
      <c r="UJ2" s="75" t="str">
        <f t="shared" si="14"/>
        <v/>
      </c>
      <c r="UK2" s="75" t="str">
        <f t="shared" si="14"/>
        <v/>
      </c>
      <c r="UL2" s="75" t="str">
        <f t="shared" si="14"/>
        <v/>
      </c>
      <c r="UM2" s="75">
        <f t="shared" si="14"/>
        <v>87.857142857142861</v>
      </c>
      <c r="UN2" s="75" t="str">
        <f t="shared" si="14"/>
        <v/>
      </c>
      <c r="UO2" s="75">
        <f t="shared" si="14"/>
        <v>87.857142857142861</v>
      </c>
      <c r="UP2" s="75" t="str">
        <f t="shared" si="14"/>
        <v/>
      </c>
      <c r="UQ2" s="75" t="str">
        <f t="shared" si="14"/>
        <v/>
      </c>
      <c r="UR2" s="75">
        <f>IFERROR(SUM(UR10:UR59),"")</f>
        <v>17</v>
      </c>
      <c r="US2" s="75">
        <f t="shared" si="14"/>
        <v>97.546897546897554</v>
      </c>
      <c r="UT2" s="75">
        <f t="shared" si="14"/>
        <v>86.666666666666671</v>
      </c>
      <c r="UU2" s="75">
        <f t="shared" si="14"/>
        <v>87.857142857142861</v>
      </c>
      <c r="UV2" s="75">
        <f t="shared" si="14"/>
        <v>91.904761904761898</v>
      </c>
      <c r="UW2" s="75" t="str">
        <f t="shared" si="14"/>
        <v/>
      </c>
      <c r="UX2" s="75" t="str">
        <f t="shared" si="14"/>
        <v/>
      </c>
      <c r="UY2" s="75" t="str">
        <f t="shared" si="14"/>
        <v/>
      </c>
      <c r="UZ2" s="75">
        <f t="shared" si="14"/>
        <v>88.80952380952381</v>
      </c>
      <c r="VA2" s="75" t="str">
        <f t="shared" si="14"/>
        <v/>
      </c>
      <c r="VB2" s="75">
        <f t="shared" si="14"/>
        <v>88.80952380952381</v>
      </c>
      <c r="VC2" s="75" t="str">
        <f t="shared" si="14"/>
        <v/>
      </c>
      <c r="VD2" s="75" t="str">
        <f t="shared" si="14"/>
        <v/>
      </c>
      <c r="VE2" s="75">
        <f>IFERROR(SUM(VE10:VE59),"")</f>
        <v>3</v>
      </c>
      <c r="VF2" s="75">
        <f t="shared" si="14"/>
        <v>99.567099567099575</v>
      </c>
      <c r="VG2" s="75">
        <f t="shared" si="14"/>
        <v>88.333333333333329</v>
      </c>
      <c r="VH2" s="75" t="str">
        <f t="shared" si="14"/>
        <v/>
      </c>
      <c r="VI2" s="75">
        <f t="shared" si="14"/>
        <v>88.333333333333329</v>
      </c>
      <c r="VJ2" s="75">
        <f t="shared" si="14"/>
        <v>4.8095238095238093</v>
      </c>
      <c r="VK2" s="75" t="str">
        <f t="shared" si="14"/>
        <v/>
      </c>
      <c r="VL2" s="75" t="str">
        <f t="shared" si="14"/>
        <v/>
      </c>
      <c r="VM2" s="75">
        <f>IFERROR(SUM(VM10:VM59),"")</f>
        <v>20</v>
      </c>
      <c r="VN2" s="75">
        <f t="shared" si="14"/>
        <v>98.55699855699855</v>
      </c>
      <c r="VO2" s="79"/>
      <c r="VP2" s="79">
        <f>IF(VO1="","",VO1)</f>
        <v>132</v>
      </c>
      <c r="VQ2" s="79">
        <f>IF(VQ10="","",VQ10)</f>
        <v>37</v>
      </c>
      <c r="VR2" s="79">
        <f>IFERROR(AVERAGE(VR10:VR59),"")</f>
        <v>85.761904761904759</v>
      </c>
      <c r="VS2" s="79">
        <f t="shared" ref="VS2:WZ2" si="15">IFERROR(AVERAGE(VS10:VS59),"")</f>
        <v>83.80952380952381</v>
      </c>
      <c r="VT2" s="79">
        <f t="shared" si="15"/>
        <v>87.38095238095238</v>
      </c>
      <c r="VU2" s="79">
        <f t="shared" si="15"/>
        <v>83.095238095238102</v>
      </c>
      <c r="VV2" s="79" t="str">
        <f t="shared" si="15"/>
        <v/>
      </c>
      <c r="VW2" s="79" t="str">
        <f t="shared" si="15"/>
        <v/>
      </c>
      <c r="VX2" s="79" t="str">
        <f t="shared" si="15"/>
        <v/>
      </c>
      <c r="VY2" s="79">
        <f t="shared" si="15"/>
        <v>84.761904761904745</v>
      </c>
      <c r="VZ2" s="79" t="str">
        <f t="shared" si="15"/>
        <v/>
      </c>
      <c r="WA2" s="79">
        <f t="shared" si="15"/>
        <v>84.761904761904745</v>
      </c>
      <c r="WB2" s="79" t="str">
        <f t="shared" si="15"/>
        <v/>
      </c>
      <c r="WC2" s="79" t="str">
        <f t="shared" si="15"/>
        <v/>
      </c>
      <c r="WD2" s="79">
        <f>IFERROR(SUM(WD10:WD59),"")</f>
        <v>4</v>
      </c>
      <c r="WE2" s="79">
        <f t="shared" si="15"/>
        <v>98.970398970398975</v>
      </c>
      <c r="WF2" s="79">
        <f t="shared" si="15"/>
        <v>86.428571428571431</v>
      </c>
      <c r="WG2" s="79">
        <f t="shared" si="15"/>
        <v>86.476190476190482</v>
      </c>
      <c r="WH2" s="79">
        <f t="shared" si="15"/>
        <v>87.238095238095241</v>
      </c>
      <c r="WI2" s="79" t="str">
        <f t="shared" si="15"/>
        <v/>
      </c>
      <c r="WJ2" s="79" t="str">
        <f t="shared" si="15"/>
        <v/>
      </c>
      <c r="WK2" s="79" t="str">
        <f t="shared" si="15"/>
        <v/>
      </c>
      <c r="WL2" s="79">
        <f t="shared" si="15"/>
        <v>86.714285714285708</v>
      </c>
      <c r="WM2" s="79" t="str">
        <f t="shared" si="15"/>
        <v/>
      </c>
      <c r="WN2" s="79">
        <f t="shared" si="15"/>
        <v>86.714285714285708</v>
      </c>
      <c r="WO2" s="79" t="str">
        <f t="shared" si="15"/>
        <v/>
      </c>
      <c r="WP2" s="79" t="str">
        <f t="shared" si="15"/>
        <v/>
      </c>
      <c r="WQ2" s="79">
        <f>IFERROR(SUM(WQ10:WQ59),"")</f>
        <v>1</v>
      </c>
      <c r="WR2" s="79">
        <f t="shared" si="15"/>
        <v>99.742599742599737</v>
      </c>
      <c r="WS2" s="79">
        <f t="shared" si="15"/>
        <v>85.738095238095255</v>
      </c>
      <c r="WT2" s="79" t="str">
        <f t="shared" si="15"/>
        <v/>
      </c>
      <c r="WU2" s="79">
        <f t="shared" si="15"/>
        <v>85.738095238095255</v>
      </c>
      <c r="WV2" s="79">
        <f t="shared" si="15"/>
        <v>4.8095238095238093</v>
      </c>
      <c r="WW2" s="79" t="str">
        <f t="shared" si="15"/>
        <v/>
      </c>
      <c r="WX2" s="79" t="str">
        <f t="shared" si="15"/>
        <v/>
      </c>
      <c r="WY2" s="79">
        <f>IFERROR(SUM(WY10:WY59),"")</f>
        <v>5</v>
      </c>
      <c r="WZ2" s="79">
        <f t="shared" si="15"/>
        <v>99.35649935649937</v>
      </c>
      <c r="XA2" s="75"/>
      <c r="XB2" s="75">
        <f>IF(XA1="","",XA1)</f>
        <v>133</v>
      </c>
      <c r="XC2" s="75">
        <f>IF(XC10="","",XC10)</f>
        <v>34</v>
      </c>
      <c r="XD2" s="75">
        <f>IFERROR(AVERAGE(XD10:XD59),"")</f>
        <v>86.428571428571431</v>
      </c>
      <c r="XE2" s="75">
        <f t="shared" ref="XE2:YL2" si="16">IFERROR(AVERAGE(XE10:XE59),"")</f>
        <v>84.285714285714292</v>
      </c>
      <c r="XF2" s="75">
        <f t="shared" si="16"/>
        <v>84.761904761904759</v>
      </c>
      <c r="XG2" s="75">
        <f t="shared" si="16"/>
        <v>85.952380952380949</v>
      </c>
      <c r="XH2" s="75" t="str">
        <f t="shared" si="16"/>
        <v/>
      </c>
      <c r="XI2" s="75" t="str">
        <f t="shared" si="16"/>
        <v/>
      </c>
      <c r="XJ2" s="75" t="str">
        <f t="shared" si="16"/>
        <v/>
      </c>
      <c r="XK2" s="75">
        <f t="shared" si="16"/>
        <v>84.999999999999986</v>
      </c>
      <c r="XL2" s="75" t="str">
        <f t="shared" si="16"/>
        <v/>
      </c>
      <c r="XM2" s="75">
        <f t="shared" si="16"/>
        <v>84.999999999999986</v>
      </c>
      <c r="XN2" s="75" t="str">
        <f t="shared" si="16"/>
        <v/>
      </c>
      <c r="XO2" s="75" t="str">
        <f t="shared" si="16"/>
        <v/>
      </c>
      <c r="XP2" s="75">
        <f>IFERROR(SUM(XP10:XP59),"")</f>
        <v>7</v>
      </c>
      <c r="XQ2" s="75">
        <f t="shared" si="16"/>
        <v>98.039215686274503</v>
      </c>
      <c r="XR2" s="75">
        <f t="shared" si="16"/>
        <v>85</v>
      </c>
      <c r="XS2" s="75">
        <f t="shared" si="16"/>
        <v>85.714285714285708</v>
      </c>
      <c r="XT2" s="75">
        <f t="shared" si="16"/>
        <v>86.666666666666671</v>
      </c>
      <c r="XU2" s="75" t="str">
        <f t="shared" si="16"/>
        <v/>
      </c>
      <c r="XV2" s="75" t="str">
        <f t="shared" si="16"/>
        <v/>
      </c>
      <c r="XW2" s="75" t="str">
        <f t="shared" si="16"/>
        <v/>
      </c>
      <c r="XX2" s="75">
        <f t="shared" si="16"/>
        <v>85.793650793650798</v>
      </c>
      <c r="XY2" s="75" t="str">
        <f t="shared" si="16"/>
        <v/>
      </c>
      <c r="XZ2" s="75">
        <f t="shared" si="16"/>
        <v>85.793650793650798</v>
      </c>
      <c r="YA2" s="75" t="str">
        <f t="shared" si="16"/>
        <v/>
      </c>
      <c r="YB2" s="75" t="str">
        <f t="shared" si="16"/>
        <v/>
      </c>
      <c r="YC2" s="75">
        <f>IFERROR(SUM(YC10:YC59),"")</f>
        <v>0</v>
      </c>
      <c r="YD2" s="75">
        <f t="shared" si="16"/>
        <v>100</v>
      </c>
      <c r="YE2" s="75">
        <f t="shared" si="16"/>
        <v>85.396825396825392</v>
      </c>
      <c r="YF2" s="75" t="str">
        <f t="shared" si="16"/>
        <v/>
      </c>
      <c r="YG2" s="75">
        <f t="shared" si="16"/>
        <v>85.396825396825392</v>
      </c>
      <c r="YH2" s="75">
        <f t="shared" si="16"/>
        <v>4.7619047619047619</v>
      </c>
      <c r="YI2" s="75" t="str">
        <f t="shared" si="16"/>
        <v/>
      </c>
      <c r="YJ2" s="75" t="str">
        <f t="shared" si="16"/>
        <v/>
      </c>
      <c r="YK2" s="75">
        <f>IFERROR(SUM(YK10:YK59),"")</f>
        <v>7</v>
      </c>
      <c r="YL2" s="75">
        <f t="shared" si="16"/>
        <v>99.019607843137265</v>
      </c>
      <c r="YM2" s="79"/>
      <c r="YN2" s="79">
        <f>IF(YM1="","",YM1)</f>
        <v>135</v>
      </c>
      <c r="YO2" s="79">
        <f>IF(YO10="","",YO10)</f>
        <v>66</v>
      </c>
      <c r="YP2" s="79">
        <f>IFERROR(AVERAGE(YP10:YP59),"")</f>
        <v>81.571428571428569</v>
      </c>
      <c r="YQ2" s="79">
        <f t="shared" ref="YQ2:ZX2" si="17">IFERROR(AVERAGE(YQ10:YQ59),"")</f>
        <v>82.61904761904762</v>
      </c>
      <c r="YR2" s="79">
        <f t="shared" si="17"/>
        <v>88.095238095238102</v>
      </c>
      <c r="YS2" s="79">
        <f t="shared" si="17"/>
        <v>88.095238095238102</v>
      </c>
      <c r="YT2" s="79" t="str">
        <f t="shared" si="17"/>
        <v/>
      </c>
      <c r="YU2" s="79" t="str">
        <f t="shared" si="17"/>
        <v/>
      </c>
      <c r="YV2" s="79" t="str">
        <f t="shared" si="17"/>
        <v/>
      </c>
      <c r="YW2" s="79">
        <f t="shared" si="17"/>
        <v>86.269841269841294</v>
      </c>
      <c r="YX2" s="79" t="str">
        <f t="shared" si="17"/>
        <v/>
      </c>
      <c r="YY2" s="79">
        <f t="shared" si="17"/>
        <v>86.269841269841294</v>
      </c>
      <c r="YZ2" s="79" t="str">
        <f t="shared" si="17"/>
        <v/>
      </c>
      <c r="ZA2" s="79" t="str">
        <f t="shared" si="17"/>
        <v/>
      </c>
      <c r="ZB2" s="79">
        <f>IFERROR(SUM(ZB10:ZB59),"")</f>
        <v>9</v>
      </c>
      <c r="ZC2" s="79">
        <f t="shared" si="17"/>
        <v>98.701298701298697</v>
      </c>
      <c r="ZD2" s="79">
        <f t="shared" si="17"/>
        <v>85.714285714285708</v>
      </c>
      <c r="ZE2" s="79">
        <f t="shared" si="17"/>
        <v>85.952380952380949</v>
      </c>
      <c r="ZF2" s="79">
        <f t="shared" si="17"/>
        <v>87.61904761904762</v>
      </c>
      <c r="ZG2" s="79" t="str">
        <f t="shared" si="17"/>
        <v/>
      </c>
      <c r="ZH2" s="79" t="str">
        <f t="shared" si="17"/>
        <v/>
      </c>
      <c r="ZI2" s="79" t="str">
        <f t="shared" si="17"/>
        <v/>
      </c>
      <c r="ZJ2" s="79">
        <f t="shared" si="17"/>
        <v>86.428571428571431</v>
      </c>
      <c r="ZK2" s="79" t="str">
        <f t="shared" si="17"/>
        <v/>
      </c>
      <c r="ZL2" s="79">
        <f t="shared" si="17"/>
        <v>86.428571428571431</v>
      </c>
      <c r="ZM2" s="79" t="str">
        <f t="shared" si="17"/>
        <v/>
      </c>
      <c r="ZN2" s="79" t="str">
        <f t="shared" si="17"/>
        <v/>
      </c>
      <c r="ZO2" s="79">
        <f>IFERROR(SUM(ZO10:ZO59),"")</f>
        <v>0</v>
      </c>
      <c r="ZP2" s="79">
        <f t="shared" si="17"/>
        <v>100</v>
      </c>
      <c r="ZQ2" s="79">
        <f t="shared" si="17"/>
        <v>86.349206349206341</v>
      </c>
      <c r="ZR2" s="79" t="str">
        <f t="shared" si="17"/>
        <v/>
      </c>
      <c r="ZS2" s="79">
        <f t="shared" si="17"/>
        <v>86.349206349206341</v>
      </c>
      <c r="ZT2" s="79">
        <f t="shared" si="17"/>
        <v>4.8095238095238093</v>
      </c>
      <c r="ZU2" s="79" t="str">
        <f t="shared" si="17"/>
        <v/>
      </c>
      <c r="ZV2" s="79" t="str">
        <f t="shared" si="17"/>
        <v/>
      </c>
      <c r="ZW2" s="79">
        <f>IFERROR(SUM(ZW10:ZW59),"")</f>
        <v>9</v>
      </c>
      <c r="ZX2" s="79">
        <f t="shared" si="17"/>
        <v>99.350649350649363</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t="str">
        <f>IF(ACY10="","",ACY10)</f>
        <v/>
      </c>
      <c r="ACZ2" s="75" t="str">
        <f>IFERROR(AVERAGE(ACZ10:ACZ59),"")</f>
        <v/>
      </c>
      <c r="ADA2" s="75" t="str">
        <f t="shared" ref="ADA2:AEH2" si="20">IFERROR(AVERAGE(ADA10:ADA59),"")</f>
        <v/>
      </c>
      <c r="ADB2" s="75" t="str">
        <f t="shared" si="20"/>
        <v/>
      </c>
      <c r="ADC2" s="75" t="str">
        <f t="shared" si="20"/>
        <v/>
      </c>
      <c r="ADD2" s="75" t="str">
        <f t="shared" si="20"/>
        <v/>
      </c>
      <c r="ADE2" s="75" t="str">
        <f t="shared" si="20"/>
        <v/>
      </c>
      <c r="ADF2" s="75" t="str">
        <f t="shared" si="20"/>
        <v/>
      </c>
      <c r="ADG2" s="75" t="str">
        <f t="shared" si="20"/>
        <v/>
      </c>
      <c r="ADH2" s="75" t="str">
        <f t="shared" si="20"/>
        <v/>
      </c>
      <c r="ADI2" s="75" t="str">
        <f t="shared" si="20"/>
        <v/>
      </c>
      <c r="ADJ2" s="75" t="str">
        <f t="shared" si="20"/>
        <v/>
      </c>
      <c r="ADK2" s="75" t="str">
        <f t="shared" si="20"/>
        <v/>
      </c>
      <c r="ADL2" s="75">
        <f>IFERROR(SUM(ADL10:ADL59),"")</f>
        <v>0</v>
      </c>
      <c r="ADM2" s="75" t="str">
        <f t="shared" si="20"/>
        <v/>
      </c>
      <c r="ADN2" s="75" t="str">
        <f t="shared" si="20"/>
        <v/>
      </c>
      <c r="ADO2" s="75" t="str">
        <f t="shared" si="20"/>
        <v/>
      </c>
      <c r="ADP2" s="75" t="str">
        <f t="shared" si="20"/>
        <v/>
      </c>
      <c r="ADQ2" s="75" t="str">
        <f t="shared" si="20"/>
        <v/>
      </c>
      <c r="ADR2" s="75" t="str">
        <f t="shared" si="20"/>
        <v/>
      </c>
      <c r="ADS2" s="75" t="str">
        <f t="shared" si="20"/>
        <v/>
      </c>
      <c r="ADT2" s="75" t="str">
        <f t="shared" si="20"/>
        <v/>
      </c>
      <c r="ADU2" s="75" t="str">
        <f t="shared" si="20"/>
        <v/>
      </c>
      <c r="ADV2" s="75" t="str">
        <f t="shared" si="20"/>
        <v/>
      </c>
      <c r="ADW2" s="75" t="str">
        <f t="shared" si="20"/>
        <v/>
      </c>
      <c r="ADX2" s="75" t="str">
        <f t="shared" si="20"/>
        <v/>
      </c>
      <c r="ADY2" s="75">
        <f>IFERROR(SUM(ADY10:ADY59),"")</f>
        <v>0</v>
      </c>
      <c r="ADZ2" s="75" t="str">
        <f t="shared" si="20"/>
        <v/>
      </c>
      <c r="AEA2" s="75" t="str">
        <f t="shared" si="20"/>
        <v/>
      </c>
      <c r="AEB2" s="75" t="str">
        <f t="shared" si="20"/>
        <v/>
      </c>
      <c r="AEC2" s="75" t="str">
        <f t="shared" si="20"/>
        <v/>
      </c>
      <c r="AED2" s="75" t="str">
        <f t="shared" si="20"/>
        <v/>
      </c>
      <c r="AEE2" s="75" t="str">
        <f t="shared" si="20"/>
        <v/>
      </c>
      <c r="AEF2" s="75" t="str">
        <f t="shared" si="20"/>
        <v/>
      </c>
      <c r="AEG2" s="75">
        <f>IFERROR(SUM(AEG10:AEG59),"")</f>
        <v>0</v>
      </c>
      <c r="AEH2" s="75" t="str">
        <f t="shared" si="20"/>
        <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0.38095238095238093</v>
      </c>
      <c r="U3" s="82">
        <f t="shared" ref="U3:AZ3" si="25">IFERROR(COUNTIFS(U10:U900000,"&gt;80",U10:U900000,"&lt;=100")/COUNTIF(U10:U900000,"&gt;=0"),"")</f>
        <v>0.52380952380952384</v>
      </c>
      <c r="V3" s="82">
        <f t="shared" si="25"/>
        <v>0.19047619047619047</v>
      </c>
      <c r="W3" s="82">
        <f t="shared" si="25"/>
        <v>9.5238095238095233E-2</v>
      </c>
      <c r="X3" s="82">
        <f t="shared" si="25"/>
        <v>0.66666666666666663</v>
      </c>
      <c r="Y3" s="82" t="str">
        <f t="shared" si="25"/>
        <v/>
      </c>
      <c r="Z3" s="82" t="str">
        <f t="shared" si="25"/>
        <v/>
      </c>
      <c r="AA3" s="82">
        <f t="shared" si="25"/>
        <v>0.23809523809523808</v>
      </c>
      <c r="AB3" s="82" t="str">
        <f t="shared" si="25"/>
        <v/>
      </c>
      <c r="AC3" s="82">
        <f t="shared" si="25"/>
        <v>0.23809523809523808</v>
      </c>
      <c r="AD3" s="82" t="str">
        <f t="shared" si="25"/>
        <v/>
      </c>
      <c r="AE3" s="82" t="str">
        <f t="shared" si="25"/>
        <v/>
      </c>
      <c r="AF3" s="82"/>
      <c r="AG3" s="82"/>
      <c r="AH3" s="82">
        <f t="shared" si="25"/>
        <v>0.19047619047619047</v>
      </c>
      <c r="AI3" s="82">
        <f t="shared" si="25"/>
        <v>0.47619047619047616</v>
      </c>
      <c r="AJ3" s="82">
        <f t="shared" si="25"/>
        <v>0.47619047619047616</v>
      </c>
      <c r="AK3" s="82">
        <f t="shared" si="25"/>
        <v>0.61904761904761907</v>
      </c>
      <c r="AL3" s="82" t="str">
        <f t="shared" si="25"/>
        <v/>
      </c>
      <c r="AM3" s="82" t="str">
        <f t="shared" si="25"/>
        <v/>
      </c>
      <c r="AN3" s="82">
        <f t="shared" si="25"/>
        <v>0.2857142857142857</v>
      </c>
      <c r="AO3" s="82" t="str">
        <f t="shared" si="25"/>
        <v/>
      </c>
      <c r="AP3" s="82">
        <f t="shared" si="25"/>
        <v>0.2857142857142857</v>
      </c>
      <c r="AQ3" s="82" t="str">
        <f t="shared" si="25"/>
        <v/>
      </c>
      <c r="AR3" s="82">
        <f t="shared" si="25"/>
        <v>4.7619047619047616E-2</v>
      </c>
      <c r="AS3" s="82"/>
      <c r="AT3" s="82"/>
      <c r="AU3" s="82">
        <f t="shared" si="25"/>
        <v>0.2857142857142857</v>
      </c>
      <c r="AV3" s="82" t="str">
        <f t="shared" si="25"/>
        <v/>
      </c>
      <c r="AW3" s="82">
        <f t="shared" si="25"/>
        <v>0.2857142857142857</v>
      </c>
      <c r="AX3" s="82"/>
      <c r="AY3" s="82">
        <f t="shared" si="25"/>
        <v>4.7619047619047616E-2</v>
      </c>
      <c r="AZ3" s="82" t="str">
        <f t="shared" si="25"/>
        <v/>
      </c>
      <c r="BA3" s="82"/>
      <c r="BB3" s="82"/>
      <c r="BC3" s="83" t="s">
        <v>106</v>
      </c>
      <c r="BD3" s="83"/>
      <c r="BE3" s="84"/>
      <c r="BF3" s="84" t="str">
        <f t="shared" ref="BF3:BQ3" si="26">IFERROR(COUNTIFS(BF10:BF900000,"&gt;80",BF10:BF900000,"&lt;=100")/COUNTIF(BF10:BF900000,"&gt;=0"),"")</f>
        <v/>
      </c>
      <c r="BG3" s="84" t="str">
        <f t="shared" si="26"/>
        <v/>
      </c>
      <c r="BH3" s="84" t="str">
        <f t="shared" si="26"/>
        <v/>
      </c>
      <c r="BI3" s="84" t="str">
        <f t="shared" si="26"/>
        <v/>
      </c>
      <c r="BJ3" s="84" t="str">
        <f t="shared" si="26"/>
        <v/>
      </c>
      <c r="BK3" s="84" t="str">
        <f t="shared" si="26"/>
        <v/>
      </c>
      <c r="BL3" s="84" t="str">
        <f t="shared" si="26"/>
        <v/>
      </c>
      <c r="BM3" s="84" t="str">
        <f t="shared" si="26"/>
        <v/>
      </c>
      <c r="BN3" s="84" t="str">
        <f t="shared" si="26"/>
        <v/>
      </c>
      <c r="BO3" s="84" t="str">
        <f t="shared" si="26"/>
        <v/>
      </c>
      <c r="BP3" s="84" t="str">
        <f t="shared" si="26"/>
        <v/>
      </c>
      <c r="BQ3" s="84" t="str">
        <f t="shared" si="26"/>
        <v/>
      </c>
      <c r="BR3" s="84"/>
      <c r="BS3" s="84"/>
      <c r="BT3" s="84" t="str">
        <f t="shared" ref="BT3:CD3" si="27">IFERROR(COUNTIFS(BT10:BT900000,"&gt;80",BT10:BT900000,"&lt;=100")/COUNTIF(BT10:BT900000,"&gt;=0"),"")</f>
        <v/>
      </c>
      <c r="BU3" s="84" t="str">
        <f t="shared" si="27"/>
        <v/>
      </c>
      <c r="BV3" s="84" t="str">
        <f t="shared" si="27"/>
        <v/>
      </c>
      <c r="BW3" s="84" t="str">
        <f t="shared" si="27"/>
        <v/>
      </c>
      <c r="BX3" s="84" t="str">
        <f t="shared" si="27"/>
        <v/>
      </c>
      <c r="BY3" s="84" t="str">
        <f t="shared" si="27"/>
        <v/>
      </c>
      <c r="BZ3" s="84" t="str">
        <f t="shared" si="27"/>
        <v/>
      </c>
      <c r="CA3" s="84" t="str">
        <f t="shared" si="27"/>
        <v/>
      </c>
      <c r="CB3" s="84" t="str">
        <f t="shared" si="27"/>
        <v/>
      </c>
      <c r="CC3" s="84" t="str">
        <f t="shared" si="27"/>
        <v/>
      </c>
      <c r="CD3" s="84" t="str">
        <f t="shared" si="27"/>
        <v/>
      </c>
      <c r="CE3" s="84"/>
      <c r="CF3" s="84"/>
      <c r="CG3" s="84" t="str">
        <f t="shared" ref="CG3:CI3" si="28">IFERROR(COUNTIFS(CG10:CG900000,"&gt;80",CG10:CG900000,"&lt;=100")/COUNTIF(CG10:CG900000,"&gt;=0"),"")</f>
        <v/>
      </c>
      <c r="CH3" s="84" t="str">
        <f t="shared" si="28"/>
        <v/>
      </c>
      <c r="CI3" s="84" t="str">
        <f t="shared" si="28"/>
        <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0.38095238095238093</v>
      </c>
      <c r="EE3" s="84">
        <f t="shared" si="34"/>
        <v>0.2857142857142857</v>
      </c>
      <c r="EF3" s="84">
        <f t="shared" si="34"/>
        <v>0.23809523809523808</v>
      </c>
      <c r="EG3" s="84">
        <f t="shared" si="34"/>
        <v>0.47619047619047616</v>
      </c>
      <c r="EH3" s="84" t="str">
        <f t="shared" si="34"/>
        <v/>
      </c>
      <c r="EI3" s="84" t="str">
        <f t="shared" si="34"/>
        <v/>
      </c>
      <c r="EJ3" s="84" t="str">
        <f t="shared" si="34"/>
        <v/>
      </c>
      <c r="EK3" s="84">
        <f t="shared" si="34"/>
        <v>0.23809523809523808</v>
      </c>
      <c r="EL3" s="84" t="str">
        <f t="shared" si="34"/>
        <v/>
      </c>
      <c r="EM3" s="84">
        <f t="shared" si="34"/>
        <v>0.23809523809523808</v>
      </c>
      <c r="EN3" s="84" t="str">
        <f t="shared" si="34"/>
        <v/>
      </c>
      <c r="EO3" s="84" t="str">
        <f t="shared" si="34"/>
        <v/>
      </c>
      <c r="EP3" s="84"/>
      <c r="EQ3" s="84"/>
      <c r="ER3" s="84">
        <f t="shared" ref="ER3:FB3" si="35">IFERROR(COUNTIFS(ER10:ER900000,"&gt;80",ER10:ER900000,"&lt;=100")/COUNTIF(ER10:ER900000,"&gt;=0"),"")</f>
        <v>0.38095238095238093</v>
      </c>
      <c r="ES3" s="84">
        <f t="shared" si="35"/>
        <v>0.38095238095238093</v>
      </c>
      <c r="ET3" s="84">
        <f t="shared" si="35"/>
        <v>0.5714285714285714</v>
      </c>
      <c r="EU3" s="84" t="str">
        <f t="shared" si="35"/>
        <v/>
      </c>
      <c r="EV3" s="84" t="str">
        <f t="shared" si="35"/>
        <v/>
      </c>
      <c r="EW3" s="84" t="str">
        <f t="shared" si="35"/>
        <v/>
      </c>
      <c r="EX3" s="84">
        <f t="shared" si="35"/>
        <v>0.38095238095238093</v>
      </c>
      <c r="EY3" s="84" t="str">
        <f t="shared" si="35"/>
        <v/>
      </c>
      <c r="EZ3" s="84">
        <f t="shared" si="35"/>
        <v>0.38095238095238093</v>
      </c>
      <c r="FA3" s="84" t="str">
        <f t="shared" si="35"/>
        <v/>
      </c>
      <c r="FB3" s="84">
        <f t="shared" si="35"/>
        <v>0.23809523809523808</v>
      </c>
      <c r="FC3" s="84"/>
      <c r="FD3" s="84"/>
      <c r="FE3" s="84">
        <f t="shared" ref="FE3:FG3" si="36">IFERROR(COUNTIFS(FE10:FE900000,"&gt;80",FE10:FE900000,"&lt;=100")/COUNTIF(FE10:FE900000,"&gt;=0"),"")</f>
        <v>0.23809523809523808</v>
      </c>
      <c r="FF3" s="84" t="str">
        <f t="shared" si="36"/>
        <v/>
      </c>
      <c r="FG3" s="84">
        <f t="shared" si="36"/>
        <v>0.23809523809523808</v>
      </c>
      <c r="FH3" s="84"/>
      <c r="FI3" s="84">
        <f t="shared" ref="FI3:FJ3" si="37">IFERROR(COUNTIFS(FI10:FI900000,"&gt;80",FI10:FI900000,"&lt;=100")/COUNTIF(FI10:FI900000,"&gt;=0"),"")</f>
        <v>0.23809523809523808</v>
      </c>
      <c r="FJ3" s="84" t="str">
        <f t="shared" si="37"/>
        <v/>
      </c>
      <c r="FK3" s="84"/>
      <c r="FL3" s="84"/>
      <c r="FM3" s="81" t="s">
        <v>106</v>
      </c>
      <c r="FN3" s="81"/>
      <c r="FO3" s="82"/>
      <c r="FP3" s="82">
        <f t="shared" ref="FP3:GA3" si="38">IFERROR(COUNTIFS(FP10:FP900000,"&gt;80",FP10:FP900000,"&lt;=100")/COUNTIF(FP10:FP900000,"&gt;=0"),"")</f>
        <v>0.42857142857142855</v>
      </c>
      <c r="FQ3" s="82">
        <f t="shared" si="38"/>
        <v>0.2857142857142857</v>
      </c>
      <c r="FR3" s="82">
        <f t="shared" si="38"/>
        <v>0.42857142857142855</v>
      </c>
      <c r="FS3" s="82">
        <f t="shared" si="38"/>
        <v>0.47619047619047616</v>
      </c>
      <c r="FT3" s="82">
        <f t="shared" si="38"/>
        <v>0.38095238095238093</v>
      </c>
      <c r="FU3" s="82" t="str">
        <f t="shared" si="38"/>
        <v/>
      </c>
      <c r="FV3" s="82" t="str">
        <f t="shared" si="38"/>
        <v/>
      </c>
      <c r="FW3" s="82">
        <f t="shared" si="38"/>
        <v>0.38095238095238093</v>
      </c>
      <c r="FX3" s="82" t="str">
        <f t="shared" si="38"/>
        <v/>
      </c>
      <c r="FY3" s="82">
        <f t="shared" si="38"/>
        <v>0.38095238095238093</v>
      </c>
      <c r="FZ3" s="82" t="str">
        <f t="shared" si="38"/>
        <v/>
      </c>
      <c r="GA3" s="82" t="str">
        <f t="shared" si="38"/>
        <v/>
      </c>
      <c r="GB3" s="82"/>
      <c r="GC3" s="82"/>
      <c r="GD3" s="82">
        <f t="shared" ref="GD3:GN3" si="39">IFERROR(COUNTIFS(GD10:GD900000,"&gt;80",GD10:GD900000,"&lt;=100")/COUNTIF(GD10:GD900000,"&gt;=0"),"")</f>
        <v>0.14285714285714285</v>
      </c>
      <c r="GE3" s="82">
        <f t="shared" si="39"/>
        <v>0.47619047619047616</v>
      </c>
      <c r="GF3" s="82">
        <f t="shared" si="39"/>
        <v>0.52380952380952384</v>
      </c>
      <c r="GG3" s="82">
        <f t="shared" si="39"/>
        <v>0.66666666666666663</v>
      </c>
      <c r="GH3" s="82" t="str">
        <f t="shared" si="39"/>
        <v/>
      </c>
      <c r="GI3" s="82" t="str">
        <f t="shared" si="39"/>
        <v/>
      </c>
      <c r="GJ3" s="82">
        <f t="shared" si="39"/>
        <v>0.42857142857142855</v>
      </c>
      <c r="GK3" s="82" t="str">
        <f t="shared" si="39"/>
        <v/>
      </c>
      <c r="GL3" s="82">
        <f t="shared" si="39"/>
        <v>0.42857142857142855</v>
      </c>
      <c r="GM3" s="82" t="str">
        <f t="shared" si="39"/>
        <v/>
      </c>
      <c r="GN3" s="82">
        <f t="shared" si="39"/>
        <v>0.14285714285714285</v>
      </c>
      <c r="GO3" s="82"/>
      <c r="GP3" s="82"/>
      <c r="GQ3" s="82">
        <f t="shared" ref="GQ3:GS3" si="40">IFERROR(COUNTIFS(GQ10:GQ900000,"&gt;80",GQ10:GQ900000,"&lt;=100")/COUNTIF(GQ10:GQ900000,"&gt;=0"),"")</f>
        <v>0.38095238095238093</v>
      </c>
      <c r="GR3" s="82" t="str">
        <f t="shared" si="40"/>
        <v/>
      </c>
      <c r="GS3" s="82">
        <f t="shared" si="40"/>
        <v>0.38095238095238093</v>
      </c>
      <c r="GT3" s="82"/>
      <c r="GU3" s="82">
        <f t="shared" ref="GU3:GV3" si="41">IFERROR(COUNTIFS(GU10:GU900000,"&gt;80",GU10:GU900000,"&lt;=100")/COUNTIF(GU10:GU900000,"&gt;=0"),"")</f>
        <v>0.14285714285714285</v>
      </c>
      <c r="GV3" s="82" t="str">
        <f t="shared" si="41"/>
        <v/>
      </c>
      <c r="GW3" s="82"/>
      <c r="GX3" s="82"/>
      <c r="GY3" s="83" t="s">
        <v>106</v>
      </c>
      <c r="GZ3" s="83"/>
      <c r="HA3" s="84"/>
      <c r="HB3" s="84">
        <f t="shared" ref="HB3:HM3" si="42">IFERROR(COUNTIFS(HB10:HB900000,"&gt;80",HB10:HB900000,"&lt;=100")/COUNTIF(HB10:HB900000,"&gt;=0"),"")</f>
        <v>0.14285714285714285</v>
      </c>
      <c r="HC3" s="84">
        <f t="shared" si="42"/>
        <v>0.38095238095238093</v>
      </c>
      <c r="HD3" s="84">
        <f t="shared" si="42"/>
        <v>0.52380952380952384</v>
      </c>
      <c r="HE3" s="84">
        <f t="shared" si="42"/>
        <v>0.52380952380952384</v>
      </c>
      <c r="HF3" s="84" t="str">
        <f t="shared" si="42"/>
        <v/>
      </c>
      <c r="HG3" s="84" t="str">
        <f t="shared" si="42"/>
        <v/>
      </c>
      <c r="HH3" s="84" t="str">
        <f t="shared" si="42"/>
        <v/>
      </c>
      <c r="HI3" s="84">
        <f t="shared" si="42"/>
        <v>0.52380952380952384</v>
      </c>
      <c r="HJ3" s="84" t="str">
        <f t="shared" si="42"/>
        <v/>
      </c>
      <c r="HK3" s="84">
        <f t="shared" si="42"/>
        <v>0.52380952380952384</v>
      </c>
      <c r="HL3" s="84" t="str">
        <f t="shared" si="42"/>
        <v/>
      </c>
      <c r="HM3" s="84" t="str">
        <f t="shared" si="42"/>
        <v/>
      </c>
      <c r="HN3" s="84"/>
      <c r="HO3" s="84"/>
      <c r="HP3" s="84">
        <f t="shared" ref="HP3:HZ3" si="43">IFERROR(COUNTIFS(HP10:HP900000,"&gt;80",HP10:HP900000,"&lt;=100")/COUNTIF(HP10:HP900000,"&gt;=0"),"")</f>
        <v>0.47619047619047616</v>
      </c>
      <c r="HQ3" s="84">
        <f t="shared" si="43"/>
        <v>0.33333333333333331</v>
      </c>
      <c r="HR3" s="84">
        <f t="shared" si="43"/>
        <v>0.33333333333333331</v>
      </c>
      <c r="HS3" s="84" t="str">
        <f t="shared" si="43"/>
        <v/>
      </c>
      <c r="HT3" s="84" t="str">
        <f t="shared" si="43"/>
        <v/>
      </c>
      <c r="HU3" s="84" t="str">
        <f t="shared" si="43"/>
        <v/>
      </c>
      <c r="HV3" s="84">
        <f t="shared" si="43"/>
        <v>0.38095238095238093</v>
      </c>
      <c r="HW3" s="84" t="str">
        <f t="shared" si="43"/>
        <v/>
      </c>
      <c r="HX3" s="84">
        <f t="shared" si="43"/>
        <v>0.38095238095238093</v>
      </c>
      <c r="HY3" s="84" t="str">
        <f t="shared" si="43"/>
        <v/>
      </c>
      <c r="HZ3" s="84" t="str">
        <f t="shared" si="43"/>
        <v/>
      </c>
      <c r="IA3" s="84"/>
      <c r="IB3" s="84"/>
      <c r="IC3" s="84">
        <f t="shared" ref="IC3:IE3" si="44">IFERROR(COUNTIFS(IC10:IC900000,"&gt;80",IC10:IC900000,"&lt;=100")/COUNTIF(IC10:IC900000,"&gt;=0"),"")</f>
        <v>0.47619047619047616</v>
      </c>
      <c r="ID3" s="84" t="str">
        <f t="shared" si="44"/>
        <v/>
      </c>
      <c r="IE3" s="84">
        <f t="shared" si="44"/>
        <v>0.47619047619047616</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t="str">
        <f t="shared" si="50"/>
        <v/>
      </c>
      <c r="KB3" s="84" t="str">
        <f t="shared" si="50"/>
        <v/>
      </c>
      <c r="KC3" s="84" t="str">
        <f t="shared" si="50"/>
        <v/>
      </c>
      <c r="KD3" s="84" t="str">
        <f t="shared" si="50"/>
        <v/>
      </c>
      <c r="KE3" s="84" t="str">
        <f t="shared" si="50"/>
        <v/>
      </c>
      <c r="KF3" s="84" t="str">
        <f t="shared" si="50"/>
        <v/>
      </c>
      <c r="KG3" s="84" t="str">
        <f t="shared" si="50"/>
        <v/>
      </c>
      <c r="KH3" s="84" t="str">
        <f t="shared" si="50"/>
        <v/>
      </c>
      <c r="KI3" s="84" t="str">
        <f t="shared" si="50"/>
        <v/>
      </c>
      <c r="KJ3" s="84" t="str">
        <f t="shared" si="50"/>
        <v/>
      </c>
      <c r="KK3" s="84" t="str">
        <f t="shared" si="50"/>
        <v/>
      </c>
      <c r="KL3" s="84"/>
      <c r="KM3" s="84"/>
      <c r="KN3" s="84" t="str">
        <f t="shared" ref="KN3:KX3" si="51">IFERROR(COUNTIFS(KN10:KN900000,"&gt;80",KN10:KN900000,"&lt;=100")/COUNTIF(KN10:KN900000,"&gt;=0"),"")</f>
        <v/>
      </c>
      <c r="KO3" s="84" t="str">
        <f t="shared" si="51"/>
        <v/>
      </c>
      <c r="KP3" s="84" t="str">
        <f t="shared" si="51"/>
        <v/>
      </c>
      <c r="KQ3" s="84" t="str">
        <f t="shared" si="51"/>
        <v/>
      </c>
      <c r="KR3" s="84" t="str">
        <f t="shared" si="51"/>
        <v/>
      </c>
      <c r="KS3" s="84" t="str">
        <f t="shared" si="51"/>
        <v/>
      </c>
      <c r="KT3" s="84" t="str">
        <f t="shared" si="51"/>
        <v/>
      </c>
      <c r="KU3" s="84" t="str">
        <f t="shared" si="51"/>
        <v/>
      </c>
      <c r="KV3" s="84" t="str">
        <f t="shared" si="51"/>
        <v/>
      </c>
      <c r="KW3" s="84" t="str">
        <f t="shared" si="51"/>
        <v/>
      </c>
      <c r="KX3" s="84" t="str">
        <f t="shared" si="51"/>
        <v/>
      </c>
      <c r="KY3" s="84"/>
      <c r="KZ3" s="84"/>
      <c r="LA3" s="84" t="str">
        <f t="shared" ref="LA3:LC3" si="52">IFERROR(COUNTIFS(LA10:LA900000,"&gt;80",LA10:LA900000,"&lt;=100")/COUNTIF(LA10:LA900000,"&gt;=0"),"")</f>
        <v/>
      </c>
      <c r="LB3" s="84" t="str">
        <f t="shared" si="52"/>
        <v/>
      </c>
      <c r="LC3" s="84" t="str">
        <f t="shared" si="52"/>
        <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0.33333333333333331</v>
      </c>
      <c r="PW3" s="84">
        <f t="shared" si="66"/>
        <v>0.23809523809523808</v>
      </c>
      <c r="PX3" s="84">
        <f t="shared" si="66"/>
        <v>0.2857142857142857</v>
      </c>
      <c r="PY3" s="84">
        <f t="shared" si="66"/>
        <v>0.2857142857142857</v>
      </c>
      <c r="PZ3" s="84" t="str">
        <f t="shared" si="66"/>
        <v/>
      </c>
      <c r="QA3" s="84" t="str">
        <f t="shared" si="66"/>
        <v/>
      </c>
      <c r="QB3" s="84" t="str">
        <f t="shared" si="66"/>
        <v/>
      </c>
      <c r="QC3" s="84">
        <f t="shared" si="66"/>
        <v>0.23809523809523808</v>
      </c>
      <c r="QD3" s="84" t="str">
        <f t="shared" si="66"/>
        <v/>
      </c>
      <c r="QE3" s="84">
        <f t="shared" si="66"/>
        <v>0.23809523809523808</v>
      </c>
      <c r="QF3" s="84" t="str">
        <f t="shared" si="66"/>
        <v/>
      </c>
      <c r="QG3" s="84" t="str">
        <f t="shared" si="66"/>
        <v/>
      </c>
      <c r="QH3" s="84"/>
      <c r="QI3" s="84"/>
      <c r="QJ3" s="84">
        <f t="shared" ref="QJ3:QT3" si="67">IFERROR(COUNTIFS(QJ10:QJ900000,"&gt;80",QJ10:QJ900000,"&lt;=100")/COUNTIF(QJ10:QJ900000,"&gt;=0"),"")</f>
        <v>0.19047619047619047</v>
      </c>
      <c r="QK3" s="84">
        <f t="shared" si="67"/>
        <v>0.2857142857142857</v>
      </c>
      <c r="QL3" s="84">
        <f t="shared" si="67"/>
        <v>0.2857142857142857</v>
      </c>
      <c r="QM3" s="84">
        <f t="shared" si="67"/>
        <v>0.42857142857142855</v>
      </c>
      <c r="QN3" s="84" t="str">
        <f t="shared" si="67"/>
        <v/>
      </c>
      <c r="QO3" s="84" t="str">
        <f t="shared" si="67"/>
        <v/>
      </c>
      <c r="QP3" s="84">
        <f t="shared" si="67"/>
        <v>0.23809523809523808</v>
      </c>
      <c r="QQ3" s="84" t="str">
        <f t="shared" si="67"/>
        <v/>
      </c>
      <c r="QR3" s="84">
        <f t="shared" si="67"/>
        <v>0.23809523809523808</v>
      </c>
      <c r="QS3" s="84" t="str">
        <f t="shared" si="67"/>
        <v/>
      </c>
      <c r="QT3" s="84" t="str">
        <f t="shared" si="67"/>
        <v/>
      </c>
      <c r="QU3" s="84"/>
      <c r="QV3" s="84"/>
      <c r="QW3" s="84">
        <f t="shared" ref="QW3:QY3" si="68">IFERROR(COUNTIFS(QW10:QW900000,"&gt;80",QW10:QW900000,"&lt;=100")/COUNTIF(QW10:QW900000,"&gt;=0"),"")</f>
        <v>0.23809523809523808</v>
      </c>
      <c r="QX3" s="84" t="str">
        <f t="shared" si="68"/>
        <v/>
      </c>
      <c r="QY3" s="84">
        <f t="shared" si="68"/>
        <v>0.23809523809523808</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0.76190476190476186</v>
      </c>
      <c r="UG3" s="82">
        <f t="shared" si="78"/>
        <v>0.76190476190476186</v>
      </c>
      <c r="UH3" s="82">
        <f t="shared" si="78"/>
        <v>0.90476190476190477</v>
      </c>
      <c r="UI3" s="82">
        <f t="shared" si="78"/>
        <v>0.90476190476190477</v>
      </c>
      <c r="UJ3" s="82" t="str">
        <f t="shared" si="78"/>
        <v/>
      </c>
      <c r="UK3" s="82" t="str">
        <f t="shared" si="78"/>
        <v/>
      </c>
      <c r="UL3" s="82" t="str">
        <f t="shared" si="78"/>
        <v/>
      </c>
      <c r="UM3" s="82">
        <f t="shared" si="78"/>
        <v>0.8571428571428571</v>
      </c>
      <c r="UN3" s="82" t="str">
        <f t="shared" si="78"/>
        <v/>
      </c>
      <c r="UO3" s="82">
        <f t="shared" si="78"/>
        <v>0.8571428571428571</v>
      </c>
      <c r="UP3" s="82" t="str">
        <f t="shared" si="78"/>
        <v/>
      </c>
      <c r="UQ3" s="82" t="str">
        <f t="shared" si="78"/>
        <v/>
      </c>
      <c r="UR3" s="82"/>
      <c r="US3" s="82"/>
      <c r="UT3" s="82">
        <f t="shared" ref="UT3:VD3" si="79">IFERROR(COUNTIFS(UT10:UT900000,"&gt;80",UT10:UT900000,"&lt;=100")/COUNTIF(UT10:UT900000,"&gt;=0"),"")</f>
        <v>0.76190476190476186</v>
      </c>
      <c r="UU3" s="82">
        <f t="shared" si="79"/>
        <v>0.80952380952380953</v>
      </c>
      <c r="UV3" s="82">
        <f t="shared" si="79"/>
        <v>1</v>
      </c>
      <c r="UW3" s="82" t="str">
        <f t="shared" si="79"/>
        <v/>
      </c>
      <c r="UX3" s="82" t="str">
        <f t="shared" si="79"/>
        <v/>
      </c>
      <c r="UY3" s="82" t="str">
        <f t="shared" si="79"/>
        <v/>
      </c>
      <c r="UZ3" s="82">
        <f t="shared" si="79"/>
        <v>0.80952380952380953</v>
      </c>
      <c r="VA3" s="82" t="str">
        <f t="shared" si="79"/>
        <v/>
      </c>
      <c r="VB3" s="82">
        <f t="shared" si="79"/>
        <v>0.80952380952380953</v>
      </c>
      <c r="VC3" s="82" t="str">
        <f t="shared" si="79"/>
        <v/>
      </c>
      <c r="VD3" s="82" t="str">
        <f t="shared" si="79"/>
        <v/>
      </c>
      <c r="VE3" s="82"/>
      <c r="VF3" s="82"/>
      <c r="VG3" s="82">
        <f t="shared" ref="VG3:VI3" si="80">IFERROR(COUNTIFS(VG10:VG900000,"&gt;80",VG10:VG900000,"&lt;=100")/COUNTIF(VG10:VG900000,"&gt;=0"),"")</f>
        <v>0.80952380952380953</v>
      </c>
      <c r="VH3" s="82" t="str">
        <f t="shared" si="80"/>
        <v/>
      </c>
      <c r="VI3" s="82">
        <f t="shared" si="80"/>
        <v>0.80952380952380953</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0.80952380952380953</v>
      </c>
      <c r="VS3" s="84">
        <f t="shared" si="82"/>
        <v>0.42857142857142855</v>
      </c>
      <c r="VT3" s="84">
        <f t="shared" si="82"/>
        <v>0.8571428571428571</v>
      </c>
      <c r="VU3" s="84">
        <f t="shared" si="82"/>
        <v>0.7142857142857143</v>
      </c>
      <c r="VV3" s="84" t="str">
        <f t="shared" si="82"/>
        <v/>
      </c>
      <c r="VW3" s="84" t="str">
        <f t="shared" si="82"/>
        <v/>
      </c>
      <c r="VX3" s="84" t="str">
        <f t="shared" si="82"/>
        <v/>
      </c>
      <c r="VY3" s="84">
        <f t="shared" si="82"/>
        <v>0.80952380952380953</v>
      </c>
      <c r="VZ3" s="84" t="str">
        <f t="shared" si="82"/>
        <v/>
      </c>
      <c r="WA3" s="84">
        <f t="shared" si="82"/>
        <v>0.80952380952380953</v>
      </c>
      <c r="WB3" s="84" t="str">
        <f t="shared" si="82"/>
        <v/>
      </c>
      <c r="WC3" s="84" t="str">
        <f t="shared" si="82"/>
        <v/>
      </c>
      <c r="WD3" s="84"/>
      <c r="WE3" s="84"/>
      <c r="WF3" s="84">
        <f t="shared" ref="WF3:WP3" si="83">IFERROR(COUNTIFS(WF10:WF900000,"&gt;80",WF10:WF900000,"&lt;=100")/COUNTIF(WF10:WF900000,"&gt;=0"),"")</f>
        <v>0.80952380952380953</v>
      </c>
      <c r="WG3" s="84">
        <f t="shared" si="83"/>
        <v>0.80952380952380953</v>
      </c>
      <c r="WH3" s="84">
        <f t="shared" si="83"/>
        <v>0.80952380952380953</v>
      </c>
      <c r="WI3" s="84" t="str">
        <f t="shared" si="83"/>
        <v/>
      </c>
      <c r="WJ3" s="84" t="str">
        <f t="shared" si="83"/>
        <v/>
      </c>
      <c r="WK3" s="84" t="str">
        <f t="shared" si="83"/>
        <v/>
      </c>
      <c r="WL3" s="84">
        <f t="shared" si="83"/>
        <v>0.80952380952380953</v>
      </c>
      <c r="WM3" s="84" t="str">
        <f t="shared" si="83"/>
        <v/>
      </c>
      <c r="WN3" s="84">
        <f t="shared" si="83"/>
        <v>0.80952380952380953</v>
      </c>
      <c r="WO3" s="84" t="str">
        <f t="shared" si="83"/>
        <v/>
      </c>
      <c r="WP3" s="84" t="str">
        <f t="shared" si="83"/>
        <v/>
      </c>
      <c r="WQ3" s="84"/>
      <c r="WR3" s="84"/>
      <c r="WS3" s="84">
        <f t="shared" ref="WS3:WU3" si="84">IFERROR(COUNTIFS(WS10:WS900000,"&gt;80",WS10:WS900000,"&lt;=100")/COUNTIF(WS10:WS900000,"&gt;=0"),"")</f>
        <v>0.80952380952380953</v>
      </c>
      <c r="WT3" s="84" t="str">
        <f t="shared" si="84"/>
        <v/>
      </c>
      <c r="WU3" s="84">
        <f t="shared" si="84"/>
        <v>0.80952380952380953</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0.80952380952380953</v>
      </c>
      <c r="XE3" s="82">
        <f t="shared" si="86"/>
        <v>0.80952380952380953</v>
      </c>
      <c r="XF3" s="82">
        <f t="shared" si="86"/>
        <v>0.80952380952380953</v>
      </c>
      <c r="XG3" s="82">
        <f t="shared" si="86"/>
        <v>0.80952380952380953</v>
      </c>
      <c r="XH3" s="82" t="str">
        <f t="shared" si="86"/>
        <v/>
      </c>
      <c r="XI3" s="82" t="str">
        <f t="shared" si="86"/>
        <v/>
      </c>
      <c r="XJ3" s="82" t="str">
        <f t="shared" si="86"/>
        <v/>
      </c>
      <c r="XK3" s="82">
        <f t="shared" si="86"/>
        <v>0.80952380952380953</v>
      </c>
      <c r="XL3" s="82" t="str">
        <f t="shared" si="86"/>
        <v/>
      </c>
      <c r="XM3" s="82">
        <f t="shared" si="86"/>
        <v>0.80952380952380953</v>
      </c>
      <c r="XN3" s="82" t="str">
        <f t="shared" si="86"/>
        <v/>
      </c>
      <c r="XO3" s="82" t="str">
        <f t="shared" si="86"/>
        <v/>
      </c>
      <c r="XP3" s="82"/>
      <c r="XQ3" s="82"/>
      <c r="XR3" s="82">
        <f t="shared" ref="XR3:YB3" si="87">IFERROR(COUNTIFS(XR10:XR900000,"&gt;80",XR10:XR900000,"&lt;=100")/COUNTIF(XR10:XR900000,"&gt;=0"),"")</f>
        <v>0.80952380952380953</v>
      </c>
      <c r="XS3" s="82">
        <f t="shared" si="87"/>
        <v>0.80952380952380953</v>
      </c>
      <c r="XT3" s="82">
        <f t="shared" si="87"/>
        <v>0.80952380952380953</v>
      </c>
      <c r="XU3" s="82" t="str">
        <f t="shared" si="87"/>
        <v/>
      </c>
      <c r="XV3" s="82" t="str">
        <f t="shared" si="87"/>
        <v/>
      </c>
      <c r="XW3" s="82" t="str">
        <f t="shared" si="87"/>
        <v/>
      </c>
      <c r="XX3" s="82">
        <f t="shared" si="87"/>
        <v>0.80952380952380953</v>
      </c>
      <c r="XY3" s="82" t="str">
        <f t="shared" si="87"/>
        <v/>
      </c>
      <c r="XZ3" s="82">
        <f t="shared" si="87"/>
        <v>0.80952380952380953</v>
      </c>
      <c r="YA3" s="82" t="str">
        <f t="shared" si="87"/>
        <v/>
      </c>
      <c r="YB3" s="82" t="str">
        <f t="shared" si="87"/>
        <v/>
      </c>
      <c r="YC3" s="82"/>
      <c r="YD3" s="82"/>
      <c r="YE3" s="82">
        <f t="shared" ref="YE3:YG3" si="88">IFERROR(COUNTIFS(YE10:YE900000,"&gt;80",YE10:YE900000,"&lt;=100")/COUNTIF(YE10:YE900000,"&gt;=0"),"")</f>
        <v>0.80952380952380953</v>
      </c>
      <c r="YF3" s="82" t="str">
        <f t="shared" si="88"/>
        <v/>
      </c>
      <c r="YG3" s="82">
        <f t="shared" si="88"/>
        <v>0.80952380952380953</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0.5714285714285714</v>
      </c>
      <c r="YQ3" s="84">
        <f t="shared" si="90"/>
        <v>0.52380952380952384</v>
      </c>
      <c r="YR3" s="84">
        <f t="shared" si="90"/>
        <v>0.8571428571428571</v>
      </c>
      <c r="YS3" s="84">
        <f t="shared" si="90"/>
        <v>0.8571428571428571</v>
      </c>
      <c r="YT3" s="84" t="str">
        <f t="shared" si="90"/>
        <v/>
      </c>
      <c r="YU3" s="84" t="str">
        <f t="shared" si="90"/>
        <v/>
      </c>
      <c r="YV3" s="84" t="str">
        <f t="shared" si="90"/>
        <v/>
      </c>
      <c r="YW3" s="84">
        <f t="shared" si="90"/>
        <v>0.66666666666666663</v>
      </c>
      <c r="YX3" s="84" t="str">
        <f t="shared" si="90"/>
        <v/>
      </c>
      <c r="YY3" s="84">
        <f t="shared" si="90"/>
        <v>0.66666666666666663</v>
      </c>
      <c r="YZ3" s="84" t="str">
        <f t="shared" si="90"/>
        <v/>
      </c>
      <c r="ZA3" s="84" t="str">
        <f t="shared" si="90"/>
        <v/>
      </c>
      <c r="ZB3" s="84"/>
      <c r="ZC3" s="84"/>
      <c r="ZD3" s="84">
        <f t="shared" ref="ZD3:ZN3" si="91">IFERROR(COUNTIFS(ZD10:ZD900000,"&gt;80",ZD10:ZD900000,"&lt;=100")/COUNTIF(ZD10:ZD900000,"&gt;=0"),"")</f>
        <v>0.7142857142857143</v>
      </c>
      <c r="ZE3" s="84">
        <f t="shared" si="91"/>
        <v>0.7142857142857143</v>
      </c>
      <c r="ZF3" s="84">
        <f t="shared" si="91"/>
        <v>0.80952380952380953</v>
      </c>
      <c r="ZG3" s="84" t="str">
        <f t="shared" si="91"/>
        <v/>
      </c>
      <c r="ZH3" s="84" t="str">
        <f t="shared" si="91"/>
        <v/>
      </c>
      <c r="ZI3" s="84" t="str">
        <f t="shared" si="91"/>
        <v/>
      </c>
      <c r="ZJ3" s="84">
        <f t="shared" si="91"/>
        <v>0.80952380952380953</v>
      </c>
      <c r="ZK3" s="84" t="str">
        <f t="shared" si="91"/>
        <v/>
      </c>
      <c r="ZL3" s="84">
        <f t="shared" si="91"/>
        <v>0.80952380952380953</v>
      </c>
      <c r="ZM3" s="84" t="str">
        <f t="shared" si="91"/>
        <v/>
      </c>
      <c r="ZN3" s="84" t="str">
        <f t="shared" si="91"/>
        <v/>
      </c>
      <c r="ZO3" s="84"/>
      <c r="ZP3" s="84"/>
      <c r="ZQ3" s="84">
        <f t="shared" ref="ZQ3:ZS3" si="92">IFERROR(COUNTIFS(ZQ10:ZQ900000,"&gt;80",ZQ10:ZQ900000,"&lt;=100")/COUNTIF(ZQ10:ZQ900000,"&gt;=0"),"")</f>
        <v>0.80952380952380953</v>
      </c>
      <c r="ZR3" s="84" t="str">
        <f t="shared" si="92"/>
        <v/>
      </c>
      <c r="ZS3" s="84">
        <f t="shared" si="92"/>
        <v>0.80952380952380953</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t="str">
        <f t="shared" ref="ACZ3:ADK3" si="102">IFERROR(COUNTIFS(ACZ10:ACZ900000,"&gt;80",ACZ10:ACZ900000,"&lt;=100")/COUNTIF(ACZ10:ACZ900000,"&gt;=0"),"")</f>
        <v/>
      </c>
      <c r="ADA3" s="82" t="str">
        <f t="shared" si="102"/>
        <v/>
      </c>
      <c r="ADB3" s="82" t="str">
        <f t="shared" si="102"/>
        <v/>
      </c>
      <c r="ADC3" s="82" t="str">
        <f t="shared" si="102"/>
        <v/>
      </c>
      <c r="ADD3" s="82" t="str">
        <f t="shared" si="102"/>
        <v/>
      </c>
      <c r="ADE3" s="82" t="str">
        <f t="shared" si="102"/>
        <v/>
      </c>
      <c r="ADF3" s="82" t="str">
        <f t="shared" si="102"/>
        <v/>
      </c>
      <c r="ADG3" s="82" t="str">
        <f t="shared" si="102"/>
        <v/>
      </c>
      <c r="ADH3" s="82" t="str">
        <f t="shared" si="102"/>
        <v/>
      </c>
      <c r="ADI3" s="82" t="str">
        <f t="shared" si="102"/>
        <v/>
      </c>
      <c r="ADJ3" s="82" t="str">
        <f t="shared" si="102"/>
        <v/>
      </c>
      <c r="ADK3" s="82" t="str">
        <f t="shared" si="102"/>
        <v/>
      </c>
      <c r="ADL3" s="82"/>
      <c r="ADM3" s="82"/>
      <c r="ADN3" s="82" t="str">
        <f t="shared" ref="ADN3:ADX3" si="103">IFERROR(COUNTIFS(ADN10:ADN900000,"&gt;80",ADN10:ADN900000,"&lt;=100")/COUNTIF(ADN10:ADN900000,"&gt;=0"),"")</f>
        <v/>
      </c>
      <c r="ADO3" s="82" t="str">
        <f t="shared" si="103"/>
        <v/>
      </c>
      <c r="ADP3" s="82" t="str">
        <f t="shared" si="103"/>
        <v/>
      </c>
      <c r="ADQ3" s="82" t="str">
        <f t="shared" si="103"/>
        <v/>
      </c>
      <c r="ADR3" s="82" t="str">
        <f t="shared" si="103"/>
        <v/>
      </c>
      <c r="ADS3" s="82" t="str">
        <f t="shared" si="103"/>
        <v/>
      </c>
      <c r="ADT3" s="82" t="str">
        <f t="shared" si="103"/>
        <v/>
      </c>
      <c r="ADU3" s="82" t="str">
        <f t="shared" si="103"/>
        <v/>
      </c>
      <c r="ADV3" s="82" t="str">
        <f t="shared" si="103"/>
        <v/>
      </c>
      <c r="ADW3" s="82" t="str">
        <f t="shared" si="103"/>
        <v/>
      </c>
      <c r="ADX3" s="82" t="str">
        <f t="shared" si="103"/>
        <v/>
      </c>
      <c r="ADY3" s="82"/>
      <c r="ADZ3" s="82"/>
      <c r="AEA3" s="82" t="str">
        <f t="shared" ref="AEA3:AEC3" si="104">IFERROR(COUNTIFS(AEA10:AEA900000,"&gt;80",AEA10:AEA900000,"&lt;=100")/COUNTIF(AEA10:AEA900000,"&gt;=0"),"")</f>
        <v/>
      </c>
      <c r="AEB3" s="82" t="str">
        <f t="shared" si="104"/>
        <v/>
      </c>
      <c r="AEC3" s="82" t="str">
        <f t="shared" si="104"/>
        <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8</v>
      </c>
      <c r="M4" s="81" t="s">
        <v>119</v>
      </c>
      <c r="N4" s="81"/>
      <c r="O4" s="81"/>
      <c r="P4" s="81"/>
      <c r="Q4" s="81" t="s">
        <v>107</v>
      </c>
      <c r="R4" s="81"/>
      <c r="S4" s="81"/>
      <c r="T4" s="82">
        <f>IFERROR(COUNTIFS(T10:T900000,"&gt;60",T10:T900000,"&lt;=80")/COUNTIF(T10:T900000,"&gt;=0"),"")</f>
        <v>0.47619047619047616</v>
      </c>
      <c r="U4" s="82">
        <f t="shared" ref="U4:AZ4" si="118">IFERROR(COUNTIFS(U10:U900000,"&gt;60",U10:U900000,"&lt;=80")/COUNTIF(U10:U900000,"&gt;=0"),"")</f>
        <v>0.23809523809523808</v>
      </c>
      <c r="V4" s="82">
        <f t="shared" si="118"/>
        <v>0.47619047619047616</v>
      </c>
      <c r="W4" s="82">
        <f t="shared" si="118"/>
        <v>0.61904761904761907</v>
      </c>
      <c r="X4" s="82">
        <f t="shared" si="118"/>
        <v>0.14285714285714285</v>
      </c>
      <c r="Y4" s="82" t="str">
        <f t="shared" si="118"/>
        <v/>
      </c>
      <c r="Z4" s="82" t="str">
        <f t="shared" si="118"/>
        <v/>
      </c>
      <c r="AA4" s="82">
        <f t="shared" si="118"/>
        <v>0.47619047619047616</v>
      </c>
      <c r="AB4" s="82" t="str">
        <f t="shared" si="118"/>
        <v/>
      </c>
      <c r="AC4" s="82">
        <f t="shared" si="118"/>
        <v>0.47619047619047616</v>
      </c>
      <c r="AD4" s="82" t="str">
        <f t="shared" si="118"/>
        <v/>
      </c>
      <c r="AE4" s="82" t="str">
        <f t="shared" si="118"/>
        <v/>
      </c>
      <c r="AF4" s="82"/>
      <c r="AG4" s="82"/>
      <c r="AH4" s="82">
        <f t="shared" si="118"/>
        <v>0.52380952380952384</v>
      </c>
      <c r="AI4" s="82">
        <f t="shared" si="118"/>
        <v>0.42857142857142855</v>
      </c>
      <c r="AJ4" s="82">
        <f t="shared" si="118"/>
        <v>0.52380952380952384</v>
      </c>
      <c r="AK4" s="82">
        <f t="shared" si="118"/>
        <v>0.38095238095238093</v>
      </c>
      <c r="AL4" s="82" t="str">
        <f t="shared" si="118"/>
        <v/>
      </c>
      <c r="AM4" s="82" t="str">
        <f t="shared" si="118"/>
        <v/>
      </c>
      <c r="AN4" s="82">
        <f t="shared" si="118"/>
        <v>0.5714285714285714</v>
      </c>
      <c r="AO4" s="82" t="str">
        <f t="shared" si="118"/>
        <v/>
      </c>
      <c r="AP4" s="82">
        <f t="shared" si="118"/>
        <v>0.5714285714285714</v>
      </c>
      <c r="AQ4" s="82" t="str">
        <f t="shared" si="118"/>
        <v/>
      </c>
      <c r="AR4" s="82">
        <f t="shared" si="118"/>
        <v>0.14285714285714285</v>
      </c>
      <c r="AS4" s="82"/>
      <c r="AT4" s="82"/>
      <c r="AU4" s="82">
        <f t="shared" si="118"/>
        <v>0.52380952380952384</v>
      </c>
      <c r="AV4" s="82" t="str">
        <f t="shared" si="118"/>
        <v/>
      </c>
      <c r="AW4" s="82">
        <f t="shared" si="118"/>
        <v>0.52380952380952384</v>
      </c>
      <c r="AX4" s="82"/>
      <c r="AY4" s="82">
        <f t="shared" si="118"/>
        <v>0.14285714285714285</v>
      </c>
      <c r="AZ4" s="82" t="str">
        <f t="shared" si="118"/>
        <v/>
      </c>
      <c r="BA4" s="82"/>
      <c r="BB4" s="82"/>
      <c r="BC4" s="83" t="s">
        <v>107</v>
      </c>
      <c r="BD4" s="83"/>
      <c r="BE4" s="83"/>
      <c r="BF4" s="84" t="str">
        <f>IFERROR(COUNTIFS(BF10:BF900000,"&gt;60",BF10:BF900000,"&lt;=80")/COUNTIF(BF10:BF900000,"&gt;=0"),"")</f>
        <v/>
      </c>
      <c r="BG4" s="84" t="str">
        <f t="shared" ref="BG4:BQ4" si="119">IFERROR(COUNTIFS(BG10:BG900000,"&gt;60",BG10:BG900000,"&lt;=80")/COUNTIF(BG10:BG900000,"&gt;=0"),"")</f>
        <v/>
      </c>
      <c r="BH4" s="84" t="str">
        <f t="shared" si="119"/>
        <v/>
      </c>
      <c r="BI4" s="84" t="str">
        <f t="shared" si="119"/>
        <v/>
      </c>
      <c r="BJ4" s="84" t="str">
        <f t="shared" si="119"/>
        <v/>
      </c>
      <c r="BK4" s="84" t="str">
        <f t="shared" si="119"/>
        <v/>
      </c>
      <c r="BL4" s="84" t="str">
        <f t="shared" si="119"/>
        <v/>
      </c>
      <c r="BM4" s="84" t="str">
        <f t="shared" si="119"/>
        <v/>
      </c>
      <c r="BN4" s="84" t="str">
        <f t="shared" si="119"/>
        <v/>
      </c>
      <c r="BO4" s="84" t="str">
        <f t="shared" si="119"/>
        <v/>
      </c>
      <c r="BP4" s="84" t="str">
        <f t="shared" si="119"/>
        <v/>
      </c>
      <c r="BQ4" s="84" t="str">
        <f t="shared" si="119"/>
        <v/>
      </c>
      <c r="BR4" s="84"/>
      <c r="BS4" s="84"/>
      <c r="BT4" s="84" t="str">
        <f t="shared" ref="BT4:CD4" si="120">IFERROR(COUNTIFS(BT10:BT900000,"&gt;60",BT10:BT900000,"&lt;=80")/COUNTIF(BT10:BT900000,"&gt;=0"),"")</f>
        <v/>
      </c>
      <c r="BU4" s="84" t="str">
        <f t="shared" si="120"/>
        <v/>
      </c>
      <c r="BV4" s="84" t="str">
        <f t="shared" si="120"/>
        <v/>
      </c>
      <c r="BW4" s="84" t="str">
        <f t="shared" si="120"/>
        <v/>
      </c>
      <c r="BX4" s="84" t="str">
        <f t="shared" si="120"/>
        <v/>
      </c>
      <c r="BY4" s="84" t="str">
        <f t="shared" si="120"/>
        <v/>
      </c>
      <c r="BZ4" s="84" t="str">
        <f t="shared" si="120"/>
        <v/>
      </c>
      <c r="CA4" s="84" t="str">
        <f t="shared" si="120"/>
        <v/>
      </c>
      <c r="CB4" s="84" t="str">
        <f t="shared" si="120"/>
        <v/>
      </c>
      <c r="CC4" s="84" t="str">
        <f t="shared" si="120"/>
        <v/>
      </c>
      <c r="CD4" s="84" t="str">
        <f t="shared" si="120"/>
        <v/>
      </c>
      <c r="CE4" s="84"/>
      <c r="CF4" s="84"/>
      <c r="CG4" s="84" t="str">
        <f t="shared" ref="CG4:CI4" si="121">IFERROR(COUNTIFS(CG10:CG900000,"&gt;60",CG10:CG900000,"&lt;=80")/COUNTIF(CG10:CG900000,"&gt;=0"),"")</f>
        <v/>
      </c>
      <c r="CH4" s="84" t="str">
        <f t="shared" si="121"/>
        <v/>
      </c>
      <c r="CI4" s="84" t="str">
        <f t="shared" si="121"/>
        <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0.2857142857142857</v>
      </c>
      <c r="EE4" s="84">
        <f t="shared" ref="EE4:EO4" si="127">IFERROR(COUNTIFS(EE10:EE900000,"&gt;60",EE10:EE900000,"&lt;=80")/COUNTIF(EE10:EE900000,"&gt;=0"),"")</f>
        <v>9.5238095238095233E-2</v>
      </c>
      <c r="EF4" s="84">
        <f t="shared" si="127"/>
        <v>0.2857142857142857</v>
      </c>
      <c r="EG4" s="84">
        <f t="shared" si="127"/>
        <v>0.14285714285714285</v>
      </c>
      <c r="EH4" s="84" t="str">
        <f t="shared" si="127"/>
        <v/>
      </c>
      <c r="EI4" s="84" t="str">
        <f t="shared" si="127"/>
        <v/>
      </c>
      <c r="EJ4" s="84" t="str">
        <f t="shared" si="127"/>
        <v/>
      </c>
      <c r="EK4" s="84">
        <f t="shared" si="127"/>
        <v>0.2857142857142857</v>
      </c>
      <c r="EL4" s="84" t="str">
        <f t="shared" si="127"/>
        <v/>
      </c>
      <c r="EM4" s="84">
        <f t="shared" si="127"/>
        <v>0.2857142857142857</v>
      </c>
      <c r="EN4" s="84" t="str">
        <f t="shared" si="127"/>
        <v/>
      </c>
      <c r="EO4" s="84" t="str">
        <f t="shared" si="127"/>
        <v/>
      </c>
      <c r="EP4" s="84"/>
      <c r="EQ4" s="84"/>
      <c r="ER4" s="84">
        <f t="shared" ref="ER4:FB4" si="128">IFERROR(COUNTIFS(ER10:ER900000,"&gt;60",ER10:ER900000,"&lt;=80")/COUNTIF(ER10:ER900000,"&gt;=0"),"")</f>
        <v>9.5238095238095233E-2</v>
      </c>
      <c r="ES4" s="84">
        <f t="shared" si="128"/>
        <v>0.23809523809523808</v>
      </c>
      <c r="ET4" s="84">
        <f t="shared" si="128"/>
        <v>0.14285714285714285</v>
      </c>
      <c r="EU4" s="84" t="str">
        <f t="shared" si="128"/>
        <v/>
      </c>
      <c r="EV4" s="84" t="str">
        <f t="shared" si="128"/>
        <v/>
      </c>
      <c r="EW4" s="84" t="str">
        <f t="shared" si="128"/>
        <v/>
      </c>
      <c r="EX4" s="84">
        <f t="shared" si="128"/>
        <v>0.23809523809523808</v>
      </c>
      <c r="EY4" s="84" t="str">
        <f t="shared" si="128"/>
        <v/>
      </c>
      <c r="EZ4" s="84">
        <f t="shared" si="128"/>
        <v>0.23809523809523808</v>
      </c>
      <c r="FA4" s="84" t="str">
        <f t="shared" si="128"/>
        <v/>
      </c>
      <c r="FB4" s="84">
        <f t="shared" si="128"/>
        <v>0.42857142857142855</v>
      </c>
      <c r="FC4" s="84"/>
      <c r="FD4" s="84"/>
      <c r="FE4" s="84">
        <f t="shared" ref="FE4:FG4" si="129">IFERROR(COUNTIFS(FE10:FE900000,"&gt;60",FE10:FE900000,"&lt;=80")/COUNTIF(FE10:FE900000,"&gt;=0"),"")</f>
        <v>0.38095238095238093</v>
      </c>
      <c r="FF4" s="84" t="str">
        <f t="shared" si="129"/>
        <v/>
      </c>
      <c r="FG4" s="84">
        <f t="shared" si="129"/>
        <v>0.38095238095238093</v>
      </c>
      <c r="FH4" s="84"/>
      <c r="FI4" s="84">
        <f t="shared" ref="FI4:FJ4" si="130">IFERROR(COUNTIFS(FI10:FI900000,"&gt;60",FI10:FI900000,"&lt;=80")/COUNTIF(FI10:FI900000,"&gt;=0"),"")</f>
        <v>0.42857142857142855</v>
      </c>
      <c r="FJ4" s="84" t="str">
        <f t="shared" si="130"/>
        <v/>
      </c>
      <c r="FK4" s="84"/>
      <c r="FL4" s="84"/>
      <c r="FM4" s="81" t="s">
        <v>107</v>
      </c>
      <c r="FN4" s="81"/>
      <c r="FO4" s="81"/>
      <c r="FP4" s="82">
        <f>IFERROR(COUNTIFS(FP10:FP900000,"&gt;60",FP10:FP900000,"&lt;=80")/COUNTIF(FP10:FP900000,"&gt;=0"),"")</f>
        <v>0.38095238095238093</v>
      </c>
      <c r="FQ4" s="82">
        <f t="shared" ref="FQ4:GA4" si="131">IFERROR(COUNTIFS(FQ10:FQ900000,"&gt;60",FQ10:FQ900000,"&lt;=80")/COUNTIF(FQ10:FQ900000,"&gt;=0"),"")</f>
        <v>0.33333333333333331</v>
      </c>
      <c r="FR4" s="82">
        <f t="shared" si="131"/>
        <v>0.33333333333333331</v>
      </c>
      <c r="FS4" s="82">
        <f t="shared" si="131"/>
        <v>0.2857142857142857</v>
      </c>
      <c r="FT4" s="82">
        <f t="shared" si="131"/>
        <v>0.33333333333333331</v>
      </c>
      <c r="FU4" s="82" t="str">
        <f t="shared" si="131"/>
        <v/>
      </c>
      <c r="FV4" s="82" t="str">
        <f t="shared" si="131"/>
        <v/>
      </c>
      <c r="FW4" s="82">
        <f t="shared" si="131"/>
        <v>0.33333333333333331</v>
      </c>
      <c r="FX4" s="82" t="str">
        <f t="shared" si="131"/>
        <v/>
      </c>
      <c r="FY4" s="82">
        <f t="shared" si="131"/>
        <v>0.33333333333333331</v>
      </c>
      <c r="FZ4" s="82" t="str">
        <f t="shared" si="131"/>
        <v/>
      </c>
      <c r="GA4" s="82" t="str">
        <f t="shared" si="131"/>
        <v/>
      </c>
      <c r="GB4" s="82"/>
      <c r="GC4" s="82"/>
      <c r="GD4" s="82">
        <f t="shared" ref="GD4:GN4" si="132">IFERROR(COUNTIFS(GD10:GD900000,"&gt;60",GD10:GD900000,"&lt;=80")/COUNTIF(GD10:GD900000,"&gt;=0"),"")</f>
        <v>0.42857142857142855</v>
      </c>
      <c r="GE4" s="82">
        <f t="shared" si="132"/>
        <v>9.5238095238095233E-2</v>
      </c>
      <c r="GF4" s="82">
        <f t="shared" si="132"/>
        <v>0.33333333333333331</v>
      </c>
      <c r="GG4" s="82">
        <f t="shared" si="132"/>
        <v>0.33333333333333331</v>
      </c>
      <c r="GH4" s="82" t="str">
        <f t="shared" si="132"/>
        <v/>
      </c>
      <c r="GI4" s="82" t="str">
        <f t="shared" si="132"/>
        <v/>
      </c>
      <c r="GJ4" s="82">
        <f t="shared" si="132"/>
        <v>0.33333333333333331</v>
      </c>
      <c r="GK4" s="82" t="str">
        <f t="shared" si="132"/>
        <v/>
      </c>
      <c r="GL4" s="82">
        <f t="shared" si="132"/>
        <v>0.33333333333333331</v>
      </c>
      <c r="GM4" s="82" t="str">
        <f t="shared" si="132"/>
        <v/>
      </c>
      <c r="GN4" s="82">
        <f t="shared" si="132"/>
        <v>4.7619047619047616E-2</v>
      </c>
      <c r="GO4" s="82"/>
      <c r="GP4" s="82"/>
      <c r="GQ4" s="82">
        <f t="shared" ref="GQ4:GS4" si="133">IFERROR(COUNTIFS(GQ10:GQ900000,"&gt;60",GQ10:GQ900000,"&lt;=80")/COUNTIF(GQ10:GQ900000,"&gt;=0"),"")</f>
        <v>0.33333333333333331</v>
      </c>
      <c r="GR4" s="82" t="str">
        <f t="shared" si="133"/>
        <v/>
      </c>
      <c r="GS4" s="82">
        <f t="shared" si="133"/>
        <v>0.33333333333333331</v>
      </c>
      <c r="GT4" s="82"/>
      <c r="GU4" s="82">
        <f t="shared" ref="GU4:GV4" si="134">IFERROR(COUNTIFS(GU10:GU900000,"&gt;60",GU10:GU900000,"&lt;=80")/COUNTIF(GU10:GU900000,"&gt;=0"),"")</f>
        <v>4.7619047619047616E-2</v>
      </c>
      <c r="GV4" s="82" t="str">
        <f t="shared" si="134"/>
        <v/>
      </c>
      <c r="GW4" s="82"/>
      <c r="GX4" s="82"/>
      <c r="GY4" s="83" t="s">
        <v>107</v>
      </c>
      <c r="GZ4" s="83"/>
      <c r="HA4" s="83"/>
      <c r="HB4" s="84">
        <f>IFERROR(COUNTIFS(HB10:HB900000,"&gt;60",HB10:HB900000,"&lt;=80")/COUNTIF(HB10:HB900000,"&gt;=0"),"")</f>
        <v>0.52380952380952384</v>
      </c>
      <c r="HC4" s="84">
        <f t="shared" ref="HC4:HM4" si="135">IFERROR(COUNTIFS(HC10:HC900000,"&gt;60",HC10:HC900000,"&lt;=80")/COUNTIF(HC10:HC900000,"&gt;=0"),"")</f>
        <v>0.42857142857142855</v>
      </c>
      <c r="HD4" s="84">
        <f t="shared" si="135"/>
        <v>0.38095238095238093</v>
      </c>
      <c r="HE4" s="84">
        <f t="shared" si="135"/>
        <v>0.33333333333333331</v>
      </c>
      <c r="HF4" s="84" t="str">
        <f t="shared" si="135"/>
        <v/>
      </c>
      <c r="HG4" s="84" t="str">
        <f t="shared" si="135"/>
        <v/>
      </c>
      <c r="HH4" s="84" t="str">
        <f t="shared" si="135"/>
        <v/>
      </c>
      <c r="HI4" s="84">
        <f t="shared" si="135"/>
        <v>0.33333333333333331</v>
      </c>
      <c r="HJ4" s="84" t="str">
        <f t="shared" si="135"/>
        <v/>
      </c>
      <c r="HK4" s="84">
        <f t="shared" si="135"/>
        <v>0.33333333333333331</v>
      </c>
      <c r="HL4" s="84" t="str">
        <f t="shared" si="135"/>
        <v/>
      </c>
      <c r="HM4" s="84" t="str">
        <f t="shared" si="135"/>
        <v/>
      </c>
      <c r="HN4" s="84"/>
      <c r="HO4" s="84"/>
      <c r="HP4" s="84">
        <f t="shared" ref="HP4:HZ4" si="136">IFERROR(COUNTIFS(HP10:HP900000,"&gt;60",HP10:HP900000,"&lt;=80")/COUNTIF(HP10:HP900000,"&gt;=0"),"")</f>
        <v>0.42857142857142855</v>
      </c>
      <c r="HQ4" s="84">
        <f t="shared" si="136"/>
        <v>0.5714285714285714</v>
      </c>
      <c r="HR4" s="84">
        <f t="shared" si="136"/>
        <v>0.5714285714285714</v>
      </c>
      <c r="HS4" s="84" t="str">
        <f t="shared" si="136"/>
        <v/>
      </c>
      <c r="HT4" s="84" t="str">
        <f t="shared" si="136"/>
        <v/>
      </c>
      <c r="HU4" s="84" t="str">
        <f t="shared" si="136"/>
        <v/>
      </c>
      <c r="HV4" s="84">
        <f t="shared" si="136"/>
        <v>0.52380952380952384</v>
      </c>
      <c r="HW4" s="84" t="str">
        <f t="shared" si="136"/>
        <v/>
      </c>
      <c r="HX4" s="84">
        <f t="shared" si="136"/>
        <v>0.52380952380952384</v>
      </c>
      <c r="HY4" s="84" t="str">
        <f t="shared" si="136"/>
        <v/>
      </c>
      <c r="HZ4" s="84" t="str">
        <f t="shared" si="136"/>
        <v/>
      </c>
      <c r="IA4" s="84"/>
      <c r="IB4" s="84"/>
      <c r="IC4" s="84">
        <f t="shared" ref="IC4:IE4" si="137">IFERROR(COUNTIFS(IC10:IC900000,"&gt;60",IC10:IC900000,"&lt;=80")/COUNTIF(IC10:IC900000,"&gt;=0"),"")</f>
        <v>0.42857142857142855</v>
      </c>
      <c r="ID4" s="84" t="str">
        <f t="shared" si="137"/>
        <v/>
      </c>
      <c r="IE4" s="84">
        <f t="shared" si="137"/>
        <v>0.42857142857142855</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t="str">
        <f t="shared" ref="KA4:KK4" si="143">IFERROR(COUNTIFS(KA10:KA900000,"&gt;60",KA10:KA900000,"&lt;=80")/COUNTIF(KA10:KA900000,"&gt;=0"),"")</f>
        <v/>
      </c>
      <c r="KB4" s="84" t="str">
        <f t="shared" si="143"/>
        <v/>
      </c>
      <c r="KC4" s="84" t="str">
        <f t="shared" si="143"/>
        <v/>
      </c>
      <c r="KD4" s="84" t="str">
        <f t="shared" si="143"/>
        <v/>
      </c>
      <c r="KE4" s="84" t="str">
        <f t="shared" si="143"/>
        <v/>
      </c>
      <c r="KF4" s="84" t="str">
        <f t="shared" si="143"/>
        <v/>
      </c>
      <c r="KG4" s="84" t="str">
        <f t="shared" si="143"/>
        <v/>
      </c>
      <c r="KH4" s="84" t="str">
        <f t="shared" si="143"/>
        <v/>
      </c>
      <c r="KI4" s="84" t="str">
        <f t="shared" si="143"/>
        <v/>
      </c>
      <c r="KJ4" s="84" t="str">
        <f t="shared" si="143"/>
        <v/>
      </c>
      <c r="KK4" s="84" t="str">
        <f t="shared" si="143"/>
        <v/>
      </c>
      <c r="KL4" s="84"/>
      <c r="KM4" s="84"/>
      <c r="KN4" s="84" t="str">
        <f t="shared" ref="KN4:KX4" si="144">IFERROR(COUNTIFS(KN10:KN900000,"&gt;60",KN10:KN900000,"&lt;=80")/COUNTIF(KN10:KN900000,"&gt;=0"),"")</f>
        <v/>
      </c>
      <c r="KO4" s="84" t="str">
        <f t="shared" si="144"/>
        <v/>
      </c>
      <c r="KP4" s="84" t="str">
        <f t="shared" si="144"/>
        <v/>
      </c>
      <c r="KQ4" s="84" t="str">
        <f t="shared" si="144"/>
        <v/>
      </c>
      <c r="KR4" s="84" t="str">
        <f t="shared" si="144"/>
        <v/>
      </c>
      <c r="KS4" s="84" t="str">
        <f t="shared" si="144"/>
        <v/>
      </c>
      <c r="KT4" s="84" t="str">
        <f t="shared" si="144"/>
        <v/>
      </c>
      <c r="KU4" s="84" t="str">
        <f t="shared" si="144"/>
        <v/>
      </c>
      <c r="KV4" s="84" t="str">
        <f t="shared" si="144"/>
        <v/>
      </c>
      <c r="KW4" s="84" t="str">
        <f t="shared" si="144"/>
        <v/>
      </c>
      <c r="KX4" s="84" t="str">
        <f t="shared" si="144"/>
        <v/>
      </c>
      <c r="KY4" s="84"/>
      <c r="KZ4" s="84"/>
      <c r="LA4" s="84" t="str">
        <f t="shared" ref="LA4:LC4" si="145">IFERROR(COUNTIFS(LA10:LA900000,"&gt;60",LA10:LA900000,"&lt;=80")/COUNTIF(LA10:LA900000,"&gt;=0"),"")</f>
        <v/>
      </c>
      <c r="LB4" s="84" t="str">
        <f t="shared" si="145"/>
        <v/>
      </c>
      <c r="LC4" s="84" t="str">
        <f t="shared" si="145"/>
        <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0.5714285714285714</v>
      </c>
      <c r="PW4" s="84">
        <f t="shared" ref="PW4:QG4" si="159">IFERROR(COUNTIFS(PW10:PW900000,"&gt;60",PW10:PW900000,"&lt;=80")/COUNTIF(PW10:PW900000,"&gt;=0"),"")</f>
        <v>0.47619047619047616</v>
      </c>
      <c r="PX4" s="84">
        <f t="shared" si="159"/>
        <v>0.42857142857142855</v>
      </c>
      <c r="PY4" s="84">
        <f t="shared" si="159"/>
        <v>0.47619047619047616</v>
      </c>
      <c r="PZ4" s="84" t="str">
        <f t="shared" si="159"/>
        <v/>
      </c>
      <c r="QA4" s="84" t="str">
        <f t="shared" si="159"/>
        <v/>
      </c>
      <c r="QB4" s="84" t="str">
        <f t="shared" si="159"/>
        <v/>
      </c>
      <c r="QC4" s="84">
        <f t="shared" si="159"/>
        <v>0.47619047619047616</v>
      </c>
      <c r="QD4" s="84" t="str">
        <f t="shared" si="159"/>
        <v/>
      </c>
      <c r="QE4" s="84">
        <f t="shared" si="159"/>
        <v>0.47619047619047616</v>
      </c>
      <c r="QF4" s="84" t="str">
        <f t="shared" si="159"/>
        <v/>
      </c>
      <c r="QG4" s="84" t="str">
        <f t="shared" si="159"/>
        <v/>
      </c>
      <c r="QH4" s="84"/>
      <c r="QI4" s="84"/>
      <c r="QJ4" s="84">
        <f t="shared" ref="QJ4:QT4" si="160">IFERROR(COUNTIFS(QJ10:QJ900000,"&gt;60",QJ10:QJ900000,"&lt;=80")/COUNTIF(QJ10:QJ900000,"&gt;=0"),"")</f>
        <v>0.5714285714285714</v>
      </c>
      <c r="QK4" s="84">
        <f t="shared" si="160"/>
        <v>0.33333333333333331</v>
      </c>
      <c r="QL4" s="84">
        <f t="shared" si="160"/>
        <v>0.47619047619047616</v>
      </c>
      <c r="QM4" s="84">
        <f t="shared" si="160"/>
        <v>0.52380952380952384</v>
      </c>
      <c r="QN4" s="84" t="str">
        <f t="shared" si="160"/>
        <v/>
      </c>
      <c r="QO4" s="84" t="str">
        <f t="shared" si="160"/>
        <v/>
      </c>
      <c r="QP4" s="84">
        <f t="shared" si="160"/>
        <v>0.52380952380952384</v>
      </c>
      <c r="QQ4" s="84" t="str">
        <f t="shared" si="160"/>
        <v/>
      </c>
      <c r="QR4" s="84">
        <f t="shared" si="160"/>
        <v>0.52380952380952384</v>
      </c>
      <c r="QS4" s="84" t="str">
        <f t="shared" si="160"/>
        <v/>
      </c>
      <c r="QT4" s="84" t="str">
        <f t="shared" si="160"/>
        <v/>
      </c>
      <c r="QU4" s="84"/>
      <c r="QV4" s="84"/>
      <c r="QW4" s="84">
        <f t="shared" ref="QW4:QY4" si="161">IFERROR(COUNTIFS(QW10:QW900000,"&gt;60",QW10:QW900000,"&lt;=80")/COUNTIF(QW10:QW900000,"&gt;=0"),"")</f>
        <v>0.47619047619047616</v>
      </c>
      <c r="QX4" s="84" t="str">
        <f t="shared" si="161"/>
        <v/>
      </c>
      <c r="QY4" s="84">
        <f t="shared" si="161"/>
        <v>0.47619047619047616</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0.23809523809523808</v>
      </c>
      <c r="UG4" s="82">
        <f t="shared" ref="UG4:UQ4" si="171">IFERROR(COUNTIFS(UG10:UG900000,"&gt;60",UG10:UG900000,"&lt;=80")/COUNTIF(UG10:UG900000,"&gt;=0"),"")</f>
        <v>0.19047619047619047</v>
      </c>
      <c r="UH4" s="82">
        <f t="shared" si="171"/>
        <v>4.7619047619047616E-2</v>
      </c>
      <c r="UI4" s="82">
        <f t="shared" si="171"/>
        <v>9.5238095238095233E-2</v>
      </c>
      <c r="UJ4" s="82" t="str">
        <f t="shared" si="171"/>
        <v/>
      </c>
      <c r="UK4" s="82" t="str">
        <f t="shared" si="171"/>
        <v/>
      </c>
      <c r="UL4" s="82" t="str">
        <f t="shared" si="171"/>
        <v/>
      </c>
      <c r="UM4" s="82">
        <f t="shared" si="171"/>
        <v>9.5238095238095233E-2</v>
      </c>
      <c r="UN4" s="82" t="str">
        <f t="shared" si="171"/>
        <v/>
      </c>
      <c r="UO4" s="82">
        <f t="shared" si="171"/>
        <v>9.5238095238095233E-2</v>
      </c>
      <c r="UP4" s="82" t="str">
        <f t="shared" si="171"/>
        <v/>
      </c>
      <c r="UQ4" s="82" t="str">
        <f t="shared" si="171"/>
        <v/>
      </c>
      <c r="UR4" s="82"/>
      <c r="US4" s="82"/>
      <c r="UT4" s="82">
        <f t="shared" ref="UT4:VD4" si="172">IFERROR(COUNTIFS(UT10:UT900000,"&gt;60",UT10:UT900000,"&lt;=80")/COUNTIF(UT10:UT900000,"&gt;=0"),"")</f>
        <v>0.23809523809523808</v>
      </c>
      <c r="UU4" s="82">
        <f t="shared" si="172"/>
        <v>0.19047619047619047</v>
      </c>
      <c r="UV4" s="82">
        <f t="shared" si="172"/>
        <v>0</v>
      </c>
      <c r="UW4" s="82" t="str">
        <f t="shared" si="172"/>
        <v/>
      </c>
      <c r="UX4" s="82" t="str">
        <f t="shared" si="172"/>
        <v/>
      </c>
      <c r="UY4" s="82" t="str">
        <f t="shared" si="172"/>
        <v/>
      </c>
      <c r="UZ4" s="82">
        <f t="shared" si="172"/>
        <v>0.19047619047619047</v>
      </c>
      <c r="VA4" s="82" t="str">
        <f t="shared" si="172"/>
        <v/>
      </c>
      <c r="VB4" s="82">
        <f t="shared" si="172"/>
        <v>0.19047619047619047</v>
      </c>
      <c r="VC4" s="82" t="str">
        <f t="shared" si="172"/>
        <v/>
      </c>
      <c r="VD4" s="82" t="str">
        <f t="shared" si="172"/>
        <v/>
      </c>
      <c r="VE4" s="82"/>
      <c r="VF4" s="82"/>
      <c r="VG4" s="82">
        <f t="shared" ref="VG4:VI4" si="173">IFERROR(COUNTIFS(VG10:VG900000,"&gt;60",VG10:VG900000,"&lt;=80")/COUNTIF(VG10:VG900000,"&gt;=0"),"")</f>
        <v>0.19047619047619047</v>
      </c>
      <c r="VH4" s="82" t="str">
        <f t="shared" si="173"/>
        <v/>
      </c>
      <c r="VI4" s="82">
        <f t="shared" si="173"/>
        <v>0.19047619047619047</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0.19047619047619047</v>
      </c>
      <c r="VS4" s="84">
        <f t="shared" ref="VS4:WC4" si="175">IFERROR(COUNTIFS(VS10:VS900000,"&gt;60",VS10:VS900000,"&lt;=80")/COUNTIF(VS10:VS900000,"&gt;=0"),"")</f>
        <v>0.52380952380952384</v>
      </c>
      <c r="VT4" s="84">
        <f t="shared" si="175"/>
        <v>9.5238095238095233E-2</v>
      </c>
      <c r="VU4" s="84">
        <f t="shared" si="175"/>
        <v>0.2857142857142857</v>
      </c>
      <c r="VV4" s="84" t="str">
        <f t="shared" si="175"/>
        <v/>
      </c>
      <c r="VW4" s="84" t="str">
        <f t="shared" si="175"/>
        <v/>
      </c>
      <c r="VX4" s="84" t="str">
        <f t="shared" si="175"/>
        <v/>
      </c>
      <c r="VY4" s="84">
        <f t="shared" si="175"/>
        <v>0.14285714285714285</v>
      </c>
      <c r="VZ4" s="84" t="str">
        <f t="shared" si="175"/>
        <v/>
      </c>
      <c r="WA4" s="84">
        <f t="shared" si="175"/>
        <v>0.14285714285714285</v>
      </c>
      <c r="WB4" s="84" t="str">
        <f t="shared" si="175"/>
        <v/>
      </c>
      <c r="WC4" s="84" t="str">
        <f t="shared" si="175"/>
        <v/>
      </c>
      <c r="WD4" s="84"/>
      <c r="WE4" s="84"/>
      <c r="WF4" s="84">
        <f t="shared" ref="WF4:WP4" si="176">IFERROR(COUNTIFS(WF10:WF900000,"&gt;60",WF10:WF900000,"&lt;=80")/COUNTIF(WF10:WF900000,"&gt;=0"),"")</f>
        <v>0.19047619047619047</v>
      </c>
      <c r="WG4" s="84">
        <f t="shared" si="176"/>
        <v>0.19047619047619047</v>
      </c>
      <c r="WH4" s="84">
        <f t="shared" si="176"/>
        <v>0.19047619047619047</v>
      </c>
      <c r="WI4" s="84" t="str">
        <f t="shared" si="176"/>
        <v/>
      </c>
      <c r="WJ4" s="84" t="str">
        <f t="shared" si="176"/>
        <v/>
      </c>
      <c r="WK4" s="84" t="str">
        <f t="shared" si="176"/>
        <v/>
      </c>
      <c r="WL4" s="84">
        <f t="shared" si="176"/>
        <v>0.19047619047619047</v>
      </c>
      <c r="WM4" s="84" t="str">
        <f t="shared" si="176"/>
        <v/>
      </c>
      <c r="WN4" s="84">
        <f t="shared" si="176"/>
        <v>0.19047619047619047</v>
      </c>
      <c r="WO4" s="84" t="str">
        <f t="shared" si="176"/>
        <v/>
      </c>
      <c r="WP4" s="84" t="str">
        <f t="shared" si="176"/>
        <v/>
      </c>
      <c r="WQ4" s="84"/>
      <c r="WR4" s="84"/>
      <c r="WS4" s="84">
        <f t="shared" ref="WS4:WU4" si="177">IFERROR(COUNTIFS(WS10:WS900000,"&gt;60",WS10:WS900000,"&lt;=80")/COUNTIF(WS10:WS900000,"&gt;=0"),"")</f>
        <v>0.19047619047619047</v>
      </c>
      <c r="WT4" s="84" t="str">
        <f t="shared" si="177"/>
        <v/>
      </c>
      <c r="WU4" s="84">
        <f t="shared" si="177"/>
        <v>0.19047619047619047</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0.14285714285714285</v>
      </c>
      <c r="XE4" s="82">
        <f t="shared" ref="XE4:XO4" si="179">IFERROR(COUNTIFS(XE10:XE900000,"&gt;60",XE10:XE900000,"&lt;=80")/COUNTIF(XE10:XE900000,"&gt;=0"),"")</f>
        <v>0.14285714285714285</v>
      </c>
      <c r="XF4" s="82">
        <f t="shared" si="179"/>
        <v>0.14285714285714285</v>
      </c>
      <c r="XG4" s="82">
        <f t="shared" si="179"/>
        <v>0.14285714285714285</v>
      </c>
      <c r="XH4" s="82" t="str">
        <f t="shared" si="179"/>
        <v/>
      </c>
      <c r="XI4" s="82" t="str">
        <f t="shared" si="179"/>
        <v/>
      </c>
      <c r="XJ4" s="82" t="str">
        <f t="shared" si="179"/>
        <v/>
      </c>
      <c r="XK4" s="82">
        <f t="shared" si="179"/>
        <v>0.14285714285714285</v>
      </c>
      <c r="XL4" s="82" t="str">
        <f t="shared" si="179"/>
        <v/>
      </c>
      <c r="XM4" s="82">
        <f t="shared" si="179"/>
        <v>0.14285714285714285</v>
      </c>
      <c r="XN4" s="82" t="str">
        <f t="shared" si="179"/>
        <v/>
      </c>
      <c r="XO4" s="82" t="str">
        <f t="shared" si="179"/>
        <v/>
      </c>
      <c r="XP4" s="82"/>
      <c r="XQ4" s="82"/>
      <c r="XR4" s="82">
        <f t="shared" ref="XR4:YB4" si="180">IFERROR(COUNTIFS(XR10:XR900000,"&gt;60",XR10:XR900000,"&lt;=80")/COUNTIF(XR10:XR900000,"&gt;=0"),"")</f>
        <v>0.14285714285714285</v>
      </c>
      <c r="XS4" s="82">
        <f t="shared" si="180"/>
        <v>0.14285714285714285</v>
      </c>
      <c r="XT4" s="82">
        <f t="shared" si="180"/>
        <v>0.14285714285714285</v>
      </c>
      <c r="XU4" s="82" t="str">
        <f t="shared" si="180"/>
        <v/>
      </c>
      <c r="XV4" s="82" t="str">
        <f t="shared" si="180"/>
        <v/>
      </c>
      <c r="XW4" s="82" t="str">
        <f t="shared" si="180"/>
        <v/>
      </c>
      <c r="XX4" s="82">
        <f t="shared" si="180"/>
        <v>0.14285714285714285</v>
      </c>
      <c r="XY4" s="82" t="str">
        <f t="shared" si="180"/>
        <v/>
      </c>
      <c r="XZ4" s="82">
        <f t="shared" si="180"/>
        <v>0.14285714285714285</v>
      </c>
      <c r="YA4" s="82" t="str">
        <f t="shared" si="180"/>
        <v/>
      </c>
      <c r="YB4" s="82" t="str">
        <f t="shared" si="180"/>
        <v/>
      </c>
      <c r="YC4" s="82"/>
      <c r="YD4" s="82"/>
      <c r="YE4" s="82">
        <f t="shared" ref="YE4:YG4" si="181">IFERROR(COUNTIFS(YE10:YE900000,"&gt;60",YE10:YE900000,"&lt;=80")/COUNTIF(YE10:YE900000,"&gt;=0"),"")</f>
        <v>0.14285714285714285</v>
      </c>
      <c r="YF4" s="82" t="str">
        <f t="shared" si="181"/>
        <v/>
      </c>
      <c r="YG4" s="82">
        <f t="shared" si="181"/>
        <v>0.14285714285714285</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0.42857142857142855</v>
      </c>
      <c r="YQ4" s="84">
        <f t="shared" ref="YQ4:ZA4" si="183">IFERROR(COUNTIFS(YQ10:YQ900000,"&gt;60",YQ10:YQ900000,"&lt;=80")/COUNTIF(YQ10:YQ900000,"&gt;=0"),"")</f>
        <v>0.42857142857142855</v>
      </c>
      <c r="YR4" s="84">
        <f t="shared" si="183"/>
        <v>9.5238095238095233E-2</v>
      </c>
      <c r="YS4" s="84">
        <f t="shared" si="183"/>
        <v>9.5238095238095233E-2</v>
      </c>
      <c r="YT4" s="84" t="str">
        <f t="shared" si="183"/>
        <v/>
      </c>
      <c r="YU4" s="84" t="str">
        <f t="shared" si="183"/>
        <v/>
      </c>
      <c r="YV4" s="84" t="str">
        <f t="shared" si="183"/>
        <v/>
      </c>
      <c r="YW4" s="84">
        <f t="shared" si="183"/>
        <v>0.2857142857142857</v>
      </c>
      <c r="YX4" s="84" t="str">
        <f t="shared" si="183"/>
        <v/>
      </c>
      <c r="YY4" s="84">
        <f t="shared" si="183"/>
        <v>0.2857142857142857</v>
      </c>
      <c r="YZ4" s="84" t="str">
        <f t="shared" si="183"/>
        <v/>
      </c>
      <c r="ZA4" s="84" t="str">
        <f t="shared" si="183"/>
        <v/>
      </c>
      <c r="ZB4" s="84"/>
      <c r="ZC4" s="84"/>
      <c r="ZD4" s="84">
        <f t="shared" ref="ZD4:ZN4" si="184">IFERROR(COUNTIFS(ZD10:ZD900000,"&gt;60",ZD10:ZD900000,"&lt;=80")/COUNTIF(ZD10:ZD900000,"&gt;=0"),"")</f>
        <v>0.2857142857142857</v>
      </c>
      <c r="ZE4" s="84">
        <f t="shared" si="184"/>
        <v>0.2857142857142857</v>
      </c>
      <c r="ZF4" s="84">
        <f t="shared" si="184"/>
        <v>0.19047619047619047</v>
      </c>
      <c r="ZG4" s="84" t="str">
        <f t="shared" si="184"/>
        <v/>
      </c>
      <c r="ZH4" s="84" t="str">
        <f t="shared" si="184"/>
        <v/>
      </c>
      <c r="ZI4" s="84" t="str">
        <f t="shared" si="184"/>
        <v/>
      </c>
      <c r="ZJ4" s="84">
        <f t="shared" si="184"/>
        <v>0.19047619047619047</v>
      </c>
      <c r="ZK4" s="84" t="str">
        <f t="shared" si="184"/>
        <v/>
      </c>
      <c r="ZL4" s="84">
        <f t="shared" si="184"/>
        <v>0.19047619047619047</v>
      </c>
      <c r="ZM4" s="84" t="str">
        <f t="shared" si="184"/>
        <v/>
      </c>
      <c r="ZN4" s="84" t="str">
        <f t="shared" si="184"/>
        <v/>
      </c>
      <c r="ZO4" s="84"/>
      <c r="ZP4" s="84"/>
      <c r="ZQ4" s="84">
        <f t="shared" ref="ZQ4:ZS4" si="185">IFERROR(COUNTIFS(ZQ10:ZQ900000,"&gt;60",ZQ10:ZQ900000,"&lt;=80")/COUNTIF(ZQ10:ZQ900000,"&gt;=0"),"")</f>
        <v>0.19047619047619047</v>
      </c>
      <c r="ZR4" s="84" t="str">
        <f t="shared" si="185"/>
        <v/>
      </c>
      <c r="ZS4" s="84">
        <f t="shared" si="185"/>
        <v>0.19047619047619047</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t="str">
        <f>IFERROR(COUNTIFS(ACZ10:ACZ900000,"&gt;60",ACZ10:ACZ900000,"&lt;=80")/COUNTIF(ACZ10:ACZ900000,"&gt;=0"),"")</f>
        <v/>
      </c>
      <c r="ADA4" s="82" t="str">
        <f t="shared" ref="ADA4:ADK4" si="195">IFERROR(COUNTIFS(ADA10:ADA900000,"&gt;60",ADA10:ADA900000,"&lt;=80")/COUNTIF(ADA10:ADA900000,"&gt;=0"),"")</f>
        <v/>
      </c>
      <c r="ADB4" s="82" t="str">
        <f t="shared" si="195"/>
        <v/>
      </c>
      <c r="ADC4" s="82" t="str">
        <f t="shared" si="195"/>
        <v/>
      </c>
      <c r="ADD4" s="82" t="str">
        <f t="shared" si="195"/>
        <v/>
      </c>
      <c r="ADE4" s="82" t="str">
        <f t="shared" si="195"/>
        <v/>
      </c>
      <c r="ADF4" s="82" t="str">
        <f t="shared" si="195"/>
        <v/>
      </c>
      <c r="ADG4" s="82" t="str">
        <f t="shared" si="195"/>
        <v/>
      </c>
      <c r="ADH4" s="82" t="str">
        <f t="shared" si="195"/>
        <v/>
      </c>
      <c r="ADI4" s="82" t="str">
        <f t="shared" si="195"/>
        <v/>
      </c>
      <c r="ADJ4" s="82" t="str">
        <f t="shared" si="195"/>
        <v/>
      </c>
      <c r="ADK4" s="82" t="str">
        <f t="shared" si="195"/>
        <v/>
      </c>
      <c r="ADL4" s="82"/>
      <c r="ADM4" s="82"/>
      <c r="ADN4" s="82" t="str">
        <f t="shared" ref="ADN4:ADX4" si="196">IFERROR(COUNTIFS(ADN10:ADN900000,"&gt;60",ADN10:ADN900000,"&lt;=80")/COUNTIF(ADN10:ADN900000,"&gt;=0"),"")</f>
        <v/>
      </c>
      <c r="ADO4" s="82" t="str">
        <f t="shared" si="196"/>
        <v/>
      </c>
      <c r="ADP4" s="82" t="str">
        <f t="shared" si="196"/>
        <v/>
      </c>
      <c r="ADQ4" s="82" t="str">
        <f t="shared" si="196"/>
        <v/>
      </c>
      <c r="ADR4" s="82" t="str">
        <f t="shared" si="196"/>
        <v/>
      </c>
      <c r="ADS4" s="82" t="str">
        <f t="shared" si="196"/>
        <v/>
      </c>
      <c r="ADT4" s="82" t="str">
        <f t="shared" si="196"/>
        <v/>
      </c>
      <c r="ADU4" s="82" t="str">
        <f t="shared" si="196"/>
        <v/>
      </c>
      <c r="ADV4" s="82" t="str">
        <f t="shared" si="196"/>
        <v/>
      </c>
      <c r="ADW4" s="82" t="str">
        <f t="shared" si="196"/>
        <v/>
      </c>
      <c r="ADX4" s="82" t="str">
        <f t="shared" si="196"/>
        <v/>
      </c>
      <c r="ADY4" s="82"/>
      <c r="ADZ4" s="82"/>
      <c r="AEA4" s="82" t="str">
        <f t="shared" ref="AEA4:AEC4" si="197">IFERROR(COUNTIFS(AEA10:AEA900000,"&gt;60",AEA10:AEA900000,"&lt;=80")/COUNTIF(AEA10:AEA900000,"&gt;=0"),"")</f>
        <v/>
      </c>
      <c r="AEB4" s="82" t="str">
        <f t="shared" si="197"/>
        <v/>
      </c>
      <c r="AEC4" s="82" t="str">
        <f t="shared" si="197"/>
        <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0.14285714285714285</v>
      </c>
      <c r="U5" s="82">
        <f t="shared" ref="U5:AZ5" si="211">IFERROR(COUNTIFS(U10:U900000,"&gt;30",U10:U900000,"&lt;=60")/COUNTIF(U10:U900000,"&gt;=0"),"")</f>
        <v>0.19047619047619047</v>
      </c>
      <c r="V5" s="82">
        <f t="shared" si="211"/>
        <v>0.23809523809523808</v>
      </c>
      <c r="W5" s="82">
        <f t="shared" si="211"/>
        <v>0.2857142857142857</v>
      </c>
      <c r="X5" s="82">
        <f t="shared" si="211"/>
        <v>0.19047619047619047</v>
      </c>
      <c r="Y5" s="82" t="str">
        <f t="shared" si="211"/>
        <v/>
      </c>
      <c r="Z5" s="82" t="str">
        <f t="shared" si="211"/>
        <v/>
      </c>
      <c r="AA5" s="82">
        <f t="shared" si="211"/>
        <v>0.23809523809523808</v>
      </c>
      <c r="AB5" s="82" t="str">
        <f t="shared" si="211"/>
        <v/>
      </c>
      <c r="AC5" s="82">
        <f t="shared" si="211"/>
        <v>0.23809523809523808</v>
      </c>
      <c r="AD5" s="82" t="str">
        <f t="shared" si="211"/>
        <v/>
      </c>
      <c r="AE5" s="82" t="str">
        <f t="shared" si="211"/>
        <v/>
      </c>
      <c r="AF5" s="82"/>
      <c r="AG5" s="82"/>
      <c r="AH5" s="82">
        <f t="shared" si="211"/>
        <v>0.19047619047619047</v>
      </c>
      <c r="AI5" s="82">
        <f t="shared" si="211"/>
        <v>9.5238095238095233E-2</v>
      </c>
      <c r="AJ5" s="82">
        <f t="shared" si="211"/>
        <v>0</v>
      </c>
      <c r="AK5" s="82">
        <f t="shared" si="211"/>
        <v>0</v>
      </c>
      <c r="AL5" s="82" t="str">
        <f t="shared" si="211"/>
        <v/>
      </c>
      <c r="AM5" s="82" t="str">
        <f t="shared" si="211"/>
        <v/>
      </c>
      <c r="AN5" s="82">
        <f t="shared" si="211"/>
        <v>0.14285714285714285</v>
      </c>
      <c r="AO5" s="82" t="str">
        <f t="shared" si="211"/>
        <v/>
      </c>
      <c r="AP5" s="82">
        <f t="shared" si="211"/>
        <v>0.14285714285714285</v>
      </c>
      <c r="AQ5" s="82" t="str">
        <f t="shared" si="211"/>
        <v/>
      </c>
      <c r="AR5" s="82">
        <f t="shared" si="211"/>
        <v>0.7142857142857143</v>
      </c>
      <c r="AS5" s="82"/>
      <c r="AT5" s="82"/>
      <c r="AU5" s="82">
        <f t="shared" si="211"/>
        <v>0.19047619047619047</v>
      </c>
      <c r="AV5" s="82" t="str">
        <f t="shared" si="211"/>
        <v/>
      </c>
      <c r="AW5" s="82">
        <f t="shared" si="211"/>
        <v>0.19047619047619047</v>
      </c>
      <c r="AX5" s="82"/>
      <c r="AY5" s="82">
        <f t="shared" si="211"/>
        <v>0.7142857142857143</v>
      </c>
      <c r="AZ5" s="82" t="str">
        <f t="shared" si="211"/>
        <v/>
      </c>
      <c r="BA5" s="82"/>
      <c r="BB5" s="82"/>
      <c r="BC5" s="83" t="s">
        <v>108</v>
      </c>
      <c r="BD5" s="83"/>
      <c r="BE5" s="83"/>
      <c r="BF5" s="84" t="str">
        <f>IFERROR(COUNTIFS(BF10:BF900000,"&gt;30",BF10:BF900000,"&lt;=60")/COUNTIF(BF10:BF900000,"&gt;=0"),"")</f>
        <v/>
      </c>
      <c r="BG5" s="84" t="str">
        <f t="shared" ref="BG5:BQ5" si="212">IFERROR(COUNTIFS(BG10:BG900000,"&gt;30",BG10:BG900000,"&lt;=60")/COUNTIF(BG10:BG900000,"&gt;=0"),"")</f>
        <v/>
      </c>
      <c r="BH5" s="84" t="str">
        <f t="shared" si="212"/>
        <v/>
      </c>
      <c r="BI5" s="84" t="str">
        <f t="shared" si="212"/>
        <v/>
      </c>
      <c r="BJ5" s="84" t="str">
        <f t="shared" si="212"/>
        <v/>
      </c>
      <c r="BK5" s="84" t="str">
        <f t="shared" si="212"/>
        <v/>
      </c>
      <c r="BL5" s="84" t="str">
        <f t="shared" si="212"/>
        <v/>
      </c>
      <c r="BM5" s="84" t="str">
        <f t="shared" si="212"/>
        <v/>
      </c>
      <c r="BN5" s="84" t="str">
        <f t="shared" si="212"/>
        <v/>
      </c>
      <c r="BO5" s="84" t="str">
        <f t="shared" si="212"/>
        <v/>
      </c>
      <c r="BP5" s="84" t="str">
        <f t="shared" si="212"/>
        <v/>
      </c>
      <c r="BQ5" s="84" t="str">
        <f t="shared" si="212"/>
        <v/>
      </c>
      <c r="BR5" s="84"/>
      <c r="BS5" s="84"/>
      <c r="BT5" s="84" t="str">
        <f t="shared" ref="BT5:CD5" si="213">IFERROR(COUNTIFS(BT10:BT900000,"&gt;30",BT10:BT900000,"&lt;=60")/COUNTIF(BT10:BT900000,"&gt;=0"),"")</f>
        <v/>
      </c>
      <c r="BU5" s="84" t="str">
        <f t="shared" si="213"/>
        <v/>
      </c>
      <c r="BV5" s="84" t="str">
        <f t="shared" si="213"/>
        <v/>
      </c>
      <c r="BW5" s="84" t="str">
        <f t="shared" si="213"/>
        <v/>
      </c>
      <c r="BX5" s="84" t="str">
        <f t="shared" si="213"/>
        <v/>
      </c>
      <c r="BY5" s="84" t="str">
        <f t="shared" si="213"/>
        <v/>
      </c>
      <c r="BZ5" s="84" t="str">
        <f t="shared" si="213"/>
        <v/>
      </c>
      <c r="CA5" s="84" t="str">
        <f t="shared" si="213"/>
        <v/>
      </c>
      <c r="CB5" s="84" t="str">
        <f t="shared" si="213"/>
        <v/>
      </c>
      <c r="CC5" s="84" t="str">
        <f t="shared" si="213"/>
        <v/>
      </c>
      <c r="CD5" s="84" t="str">
        <f t="shared" si="213"/>
        <v/>
      </c>
      <c r="CE5" s="84"/>
      <c r="CF5" s="84"/>
      <c r="CG5" s="84" t="str">
        <f t="shared" ref="CG5:CI5" si="214">IFERROR(COUNTIFS(CG10:CG900000,"&gt;30",CG10:CG900000,"&lt;=60")/COUNTIF(CG10:CG900000,"&gt;=0"),"")</f>
        <v/>
      </c>
      <c r="CH5" s="84" t="str">
        <f t="shared" si="214"/>
        <v/>
      </c>
      <c r="CI5" s="84" t="str">
        <f t="shared" si="214"/>
        <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0.33333333333333331</v>
      </c>
      <c r="EE5" s="84">
        <f t="shared" ref="EE5:EO5" si="220">IFERROR(COUNTIFS(EE10:EE900000,"&gt;30",EE10:EE900000,"&lt;=60")/COUNTIF(EE10:EE900000,"&gt;=0"),"")</f>
        <v>0.61904761904761907</v>
      </c>
      <c r="EF5" s="84">
        <f t="shared" si="220"/>
        <v>0.47619047619047616</v>
      </c>
      <c r="EG5" s="84">
        <f t="shared" si="220"/>
        <v>0.38095238095238093</v>
      </c>
      <c r="EH5" s="84" t="str">
        <f t="shared" si="220"/>
        <v/>
      </c>
      <c r="EI5" s="84" t="str">
        <f t="shared" si="220"/>
        <v/>
      </c>
      <c r="EJ5" s="84" t="str">
        <f t="shared" si="220"/>
        <v/>
      </c>
      <c r="EK5" s="84">
        <f t="shared" si="220"/>
        <v>0.47619047619047616</v>
      </c>
      <c r="EL5" s="84" t="str">
        <f t="shared" si="220"/>
        <v/>
      </c>
      <c r="EM5" s="84">
        <f t="shared" si="220"/>
        <v>0.47619047619047616</v>
      </c>
      <c r="EN5" s="84" t="str">
        <f t="shared" si="220"/>
        <v/>
      </c>
      <c r="EO5" s="84" t="str">
        <f t="shared" si="220"/>
        <v/>
      </c>
      <c r="EP5" s="84"/>
      <c r="EQ5" s="84"/>
      <c r="ER5" s="84">
        <f t="shared" ref="ER5:FB5" si="221">IFERROR(COUNTIFS(ER10:ER900000,"&gt;30",ER10:ER900000,"&lt;=60")/COUNTIF(ER10:ER900000,"&gt;=0"),"")</f>
        <v>0.52380952380952384</v>
      </c>
      <c r="ES5" s="84">
        <f t="shared" si="221"/>
        <v>0.38095238095238093</v>
      </c>
      <c r="ET5" s="84">
        <f t="shared" si="221"/>
        <v>0.2857142857142857</v>
      </c>
      <c r="EU5" s="84" t="str">
        <f t="shared" si="221"/>
        <v/>
      </c>
      <c r="EV5" s="84" t="str">
        <f t="shared" si="221"/>
        <v/>
      </c>
      <c r="EW5" s="84" t="str">
        <f t="shared" si="221"/>
        <v/>
      </c>
      <c r="EX5" s="84">
        <f t="shared" si="221"/>
        <v>0.38095238095238093</v>
      </c>
      <c r="EY5" s="84" t="str">
        <f t="shared" si="221"/>
        <v/>
      </c>
      <c r="EZ5" s="84">
        <f t="shared" si="221"/>
        <v>0.38095238095238093</v>
      </c>
      <c r="FA5" s="84" t="str">
        <f t="shared" si="221"/>
        <v/>
      </c>
      <c r="FB5" s="84">
        <f t="shared" si="221"/>
        <v>0.19047619047619047</v>
      </c>
      <c r="FC5" s="84"/>
      <c r="FD5" s="84"/>
      <c r="FE5" s="84">
        <f t="shared" ref="FE5:FG5" si="222">IFERROR(COUNTIFS(FE10:FE900000,"&gt;30",FE10:FE900000,"&lt;=60")/COUNTIF(FE10:FE900000,"&gt;=0"),"")</f>
        <v>0.38095238095238093</v>
      </c>
      <c r="FF5" s="84" t="str">
        <f t="shared" si="222"/>
        <v/>
      </c>
      <c r="FG5" s="84">
        <f t="shared" si="222"/>
        <v>0.38095238095238093</v>
      </c>
      <c r="FH5" s="84"/>
      <c r="FI5" s="84">
        <f t="shared" ref="FI5:FJ5" si="223">IFERROR(COUNTIFS(FI10:FI900000,"&gt;30",FI10:FI900000,"&lt;=60")/COUNTIF(FI10:FI900000,"&gt;=0"),"")</f>
        <v>0.19047619047619047</v>
      </c>
      <c r="FJ5" s="84" t="str">
        <f t="shared" si="223"/>
        <v/>
      </c>
      <c r="FK5" s="84"/>
      <c r="FL5" s="84"/>
      <c r="FM5" s="81" t="s">
        <v>108</v>
      </c>
      <c r="FN5" s="81"/>
      <c r="FO5" s="81"/>
      <c r="FP5" s="82">
        <f>IFERROR(COUNTIFS(FP10:FP900000,"&gt;30",FP10:FP900000,"&lt;=60")/COUNTIF(FP10:FP900000,"&gt;=0"),"")</f>
        <v>0.19047619047619047</v>
      </c>
      <c r="FQ5" s="82">
        <f t="shared" ref="FQ5:GA5" si="224">IFERROR(COUNTIFS(FQ10:FQ900000,"&gt;30",FQ10:FQ900000,"&lt;=60")/COUNTIF(FQ10:FQ900000,"&gt;=0"),"")</f>
        <v>0.38095238095238093</v>
      </c>
      <c r="FR5" s="82">
        <f t="shared" si="224"/>
        <v>0.19047619047619047</v>
      </c>
      <c r="FS5" s="82">
        <f t="shared" si="224"/>
        <v>0.14285714285714285</v>
      </c>
      <c r="FT5" s="82">
        <f t="shared" si="224"/>
        <v>0.23809523809523808</v>
      </c>
      <c r="FU5" s="82" t="str">
        <f t="shared" si="224"/>
        <v/>
      </c>
      <c r="FV5" s="82" t="str">
        <f t="shared" si="224"/>
        <v/>
      </c>
      <c r="FW5" s="82">
        <f t="shared" si="224"/>
        <v>0.23809523809523808</v>
      </c>
      <c r="FX5" s="82" t="str">
        <f t="shared" si="224"/>
        <v/>
      </c>
      <c r="FY5" s="82">
        <f t="shared" si="224"/>
        <v>0.23809523809523808</v>
      </c>
      <c r="FZ5" s="82" t="str">
        <f t="shared" si="224"/>
        <v/>
      </c>
      <c r="GA5" s="82" t="str">
        <f t="shared" si="224"/>
        <v/>
      </c>
      <c r="GB5" s="82"/>
      <c r="GC5" s="82"/>
      <c r="GD5" s="82">
        <f t="shared" ref="GD5:GN5" si="225">IFERROR(COUNTIFS(GD10:GD900000,"&gt;30",GD10:GD900000,"&lt;=60")/COUNTIF(GD10:GD900000,"&gt;=0"),"")</f>
        <v>0.33333333333333331</v>
      </c>
      <c r="GE5" s="82">
        <f t="shared" si="225"/>
        <v>0.42857142857142855</v>
      </c>
      <c r="GF5" s="82">
        <f t="shared" si="225"/>
        <v>0.14285714285714285</v>
      </c>
      <c r="GG5" s="82">
        <f t="shared" si="225"/>
        <v>0</v>
      </c>
      <c r="GH5" s="82" t="str">
        <f t="shared" si="225"/>
        <v/>
      </c>
      <c r="GI5" s="82" t="str">
        <f t="shared" si="225"/>
        <v/>
      </c>
      <c r="GJ5" s="82">
        <f t="shared" si="225"/>
        <v>0.23809523809523808</v>
      </c>
      <c r="GK5" s="82" t="str">
        <f t="shared" si="225"/>
        <v/>
      </c>
      <c r="GL5" s="82">
        <f t="shared" si="225"/>
        <v>0.23809523809523808</v>
      </c>
      <c r="GM5" s="82" t="str">
        <f t="shared" si="225"/>
        <v/>
      </c>
      <c r="GN5" s="82">
        <f t="shared" si="225"/>
        <v>0.61904761904761907</v>
      </c>
      <c r="GO5" s="82"/>
      <c r="GP5" s="82"/>
      <c r="GQ5" s="82">
        <f t="shared" ref="GQ5:GS5" si="226">IFERROR(COUNTIFS(GQ10:GQ900000,"&gt;30",GQ10:GQ900000,"&lt;=60")/COUNTIF(GQ10:GQ900000,"&gt;=0"),"")</f>
        <v>0.2857142857142857</v>
      </c>
      <c r="GR5" s="82" t="str">
        <f t="shared" si="226"/>
        <v/>
      </c>
      <c r="GS5" s="82">
        <f t="shared" si="226"/>
        <v>0.2857142857142857</v>
      </c>
      <c r="GT5" s="82"/>
      <c r="GU5" s="82">
        <f t="shared" ref="GU5:GV5" si="227">IFERROR(COUNTIFS(GU10:GU900000,"&gt;30",GU10:GU900000,"&lt;=60")/COUNTIF(GU10:GU900000,"&gt;=0"),"")</f>
        <v>0.61904761904761907</v>
      </c>
      <c r="GV5" s="82" t="str">
        <f t="shared" si="227"/>
        <v/>
      </c>
      <c r="GW5" s="82"/>
      <c r="GX5" s="82"/>
      <c r="GY5" s="83" t="s">
        <v>108</v>
      </c>
      <c r="GZ5" s="83"/>
      <c r="HA5" s="83"/>
      <c r="HB5" s="84">
        <f>IFERROR(COUNTIFS(HB10:HB900000,"&gt;30",HB10:HB900000,"&lt;=60")/COUNTIF(HB10:HB900000,"&gt;=0"),"")</f>
        <v>0.33333333333333331</v>
      </c>
      <c r="HC5" s="84">
        <f t="shared" ref="HC5:HM5" si="228">IFERROR(COUNTIFS(HC10:HC900000,"&gt;30",HC10:HC900000,"&lt;=60")/COUNTIF(HC10:HC900000,"&gt;=0"),"")</f>
        <v>0.19047619047619047</v>
      </c>
      <c r="HD5" s="84">
        <f t="shared" si="228"/>
        <v>9.5238095238095233E-2</v>
      </c>
      <c r="HE5" s="84">
        <f t="shared" si="228"/>
        <v>0.14285714285714285</v>
      </c>
      <c r="HF5" s="84" t="str">
        <f t="shared" si="228"/>
        <v/>
      </c>
      <c r="HG5" s="84" t="str">
        <f t="shared" si="228"/>
        <v/>
      </c>
      <c r="HH5" s="84" t="str">
        <f t="shared" si="228"/>
        <v/>
      </c>
      <c r="HI5" s="84">
        <f t="shared" si="228"/>
        <v>0.14285714285714285</v>
      </c>
      <c r="HJ5" s="84" t="str">
        <f t="shared" si="228"/>
        <v/>
      </c>
      <c r="HK5" s="84">
        <f t="shared" si="228"/>
        <v>0.14285714285714285</v>
      </c>
      <c r="HL5" s="84" t="str">
        <f t="shared" si="228"/>
        <v/>
      </c>
      <c r="HM5" s="84" t="str">
        <f t="shared" si="228"/>
        <v/>
      </c>
      <c r="HN5" s="84"/>
      <c r="HO5" s="84"/>
      <c r="HP5" s="84">
        <f t="shared" ref="HP5:HZ5" si="229">IFERROR(COUNTIFS(HP10:HP900000,"&gt;30",HP10:HP900000,"&lt;=60")/COUNTIF(HP10:HP900000,"&gt;=0"),"")</f>
        <v>9.5238095238095233E-2</v>
      </c>
      <c r="HQ5" s="84">
        <f t="shared" si="229"/>
        <v>9.5238095238095233E-2</v>
      </c>
      <c r="HR5" s="84">
        <f t="shared" si="229"/>
        <v>9.5238095238095233E-2</v>
      </c>
      <c r="HS5" s="84" t="str">
        <f t="shared" si="229"/>
        <v/>
      </c>
      <c r="HT5" s="84" t="str">
        <f t="shared" si="229"/>
        <v/>
      </c>
      <c r="HU5" s="84" t="str">
        <f t="shared" si="229"/>
        <v/>
      </c>
      <c r="HV5" s="84">
        <f t="shared" si="229"/>
        <v>9.5238095238095233E-2</v>
      </c>
      <c r="HW5" s="84" t="str">
        <f t="shared" si="229"/>
        <v/>
      </c>
      <c r="HX5" s="84">
        <f t="shared" si="229"/>
        <v>9.5238095238095233E-2</v>
      </c>
      <c r="HY5" s="84" t="str">
        <f t="shared" si="229"/>
        <v/>
      </c>
      <c r="HZ5" s="84" t="str">
        <f t="shared" si="229"/>
        <v/>
      </c>
      <c r="IA5" s="84"/>
      <c r="IB5" s="84"/>
      <c r="IC5" s="84">
        <f t="shared" ref="IC5:IE5" si="230">IFERROR(COUNTIFS(IC10:IC900000,"&gt;30",IC10:IC900000,"&lt;=60")/COUNTIF(IC10:IC900000,"&gt;=0"),"")</f>
        <v>9.5238095238095233E-2</v>
      </c>
      <c r="ID5" s="84" t="str">
        <f t="shared" si="230"/>
        <v/>
      </c>
      <c r="IE5" s="84">
        <f t="shared" si="230"/>
        <v>9.5238095238095233E-2</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t="str">
        <f t="shared" ref="KA5:KK5" si="236">IFERROR(COUNTIFS(KA10:KA900000,"&gt;30",KA10:KA900000,"&lt;=60")/COUNTIF(KA10:KA900000,"&gt;=0"),"")</f>
        <v/>
      </c>
      <c r="KB5" s="84" t="str">
        <f t="shared" si="236"/>
        <v/>
      </c>
      <c r="KC5" s="84" t="str">
        <f t="shared" si="236"/>
        <v/>
      </c>
      <c r="KD5" s="84" t="str">
        <f t="shared" si="236"/>
        <v/>
      </c>
      <c r="KE5" s="84" t="str">
        <f t="shared" si="236"/>
        <v/>
      </c>
      <c r="KF5" s="84" t="str">
        <f t="shared" si="236"/>
        <v/>
      </c>
      <c r="KG5" s="84" t="str">
        <f t="shared" si="236"/>
        <v/>
      </c>
      <c r="KH5" s="84" t="str">
        <f t="shared" si="236"/>
        <v/>
      </c>
      <c r="KI5" s="84" t="str">
        <f t="shared" si="236"/>
        <v/>
      </c>
      <c r="KJ5" s="84" t="str">
        <f t="shared" si="236"/>
        <v/>
      </c>
      <c r="KK5" s="84" t="str">
        <f t="shared" si="236"/>
        <v/>
      </c>
      <c r="KL5" s="84"/>
      <c r="KM5" s="84"/>
      <c r="KN5" s="84" t="str">
        <f t="shared" ref="KN5:KX5" si="237">IFERROR(COUNTIFS(KN10:KN900000,"&gt;30",KN10:KN900000,"&lt;=60")/COUNTIF(KN10:KN900000,"&gt;=0"),"")</f>
        <v/>
      </c>
      <c r="KO5" s="84" t="str">
        <f t="shared" si="237"/>
        <v/>
      </c>
      <c r="KP5" s="84" t="str">
        <f t="shared" si="237"/>
        <v/>
      </c>
      <c r="KQ5" s="84" t="str">
        <f t="shared" si="237"/>
        <v/>
      </c>
      <c r="KR5" s="84" t="str">
        <f t="shared" si="237"/>
        <v/>
      </c>
      <c r="KS5" s="84" t="str">
        <f t="shared" si="237"/>
        <v/>
      </c>
      <c r="KT5" s="84" t="str">
        <f t="shared" si="237"/>
        <v/>
      </c>
      <c r="KU5" s="84" t="str">
        <f t="shared" si="237"/>
        <v/>
      </c>
      <c r="KV5" s="84" t="str">
        <f t="shared" si="237"/>
        <v/>
      </c>
      <c r="KW5" s="84" t="str">
        <f t="shared" si="237"/>
        <v/>
      </c>
      <c r="KX5" s="84" t="str">
        <f t="shared" si="237"/>
        <v/>
      </c>
      <c r="KY5" s="84"/>
      <c r="KZ5" s="84"/>
      <c r="LA5" s="84" t="str">
        <f t="shared" ref="LA5:LC5" si="238">IFERROR(COUNTIFS(LA10:LA900000,"&gt;30",LA10:LA900000,"&lt;=60")/COUNTIF(LA10:LA900000,"&gt;=0"),"")</f>
        <v/>
      </c>
      <c r="LB5" s="84" t="str">
        <f t="shared" si="238"/>
        <v/>
      </c>
      <c r="LC5" s="84" t="str">
        <f t="shared" si="238"/>
        <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9.5238095238095233E-2</v>
      </c>
      <c r="PW5" s="84">
        <f t="shared" ref="PW5:QG5" si="252">IFERROR(COUNTIFS(PW10:PW900000,"&gt;30",PW10:PW900000,"&lt;=60")/COUNTIF(PW10:PW900000,"&gt;=0"),"")</f>
        <v>0.2857142857142857</v>
      </c>
      <c r="PX5" s="84">
        <f t="shared" si="252"/>
        <v>0.2857142857142857</v>
      </c>
      <c r="PY5" s="84">
        <f t="shared" si="252"/>
        <v>0.23809523809523808</v>
      </c>
      <c r="PZ5" s="84" t="str">
        <f t="shared" si="252"/>
        <v/>
      </c>
      <c r="QA5" s="84" t="str">
        <f t="shared" si="252"/>
        <v/>
      </c>
      <c r="QB5" s="84" t="str">
        <f t="shared" si="252"/>
        <v/>
      </c>
      <c r="QC5" s="84">
        <f t="shared" si="252"/>
        <v>0.2857142857142857</v>
      </c>
      <c r="QD5" s="84" t="str">
        <f t="shared" si="252"/>
        <v/>
      </c>
      <c r="QE5" s="84">
        <f t="shared" si="252"/>
        <v>0.2857142857142857</v>
      </c>
      <c r="QF5" s="84" t="str">
        <f t="shared" si="252"/>
        <v/>
      </c>
      <c r="QG5" s="84" t="str">
        <f t="shared" si="252"/>
        <v/>
      </c>
      <c r="QH5" s="84"/>
      <c r="QI5" s="84"/>
      <c r="QJ5" s="84">
        <f t="shared" ref="QJ5:QT5" si="253">IFERROR(COUNTIFS(QJ10:QJ900000,"&gt;30",QJ10:QJ900000,"&lt;=60")/COUNTIF(QJ10:QJ900000,"&gt;=0"),"")</f>
        <v>0.19047619047619047</v>
      </c>
      <c r="QK5" s="84">
        <f t="shared" si="253"/>
        <v>0.38095238095238093</v>
      </c>
      <c r="QL5" s="84">
        <f t="shared" si="253"/>
        <v>0.23809523809523808</v>
      </c>
      <c r="QM5" s="84">
        <f t="shared" si="253"/>
        <v>4.7619047619047616E-2</v>
      </c>
      <c r="QN5" s="84" t="str">
        <f t="shared" si="253"/>
        <v/>
      </c>
      <c r="QO5" s="84" t="str">
        <f t="shared" si="253"/>
        <v/>
      </c>
      <c r="QP5" s="84">
        <f t="shared" si="253"/>
        <v>0.23809523809523808</v>
      </c>
      <c r="QQ5" s="84" t="str">
        <f t="shared" si="253"/>
        <v/>
      </c>
      <c r="QR5" s="84">
        <f t="shared" si="253"/>
        <v>0.23809523809523808</v>
      </c>
      <c r="QS5" s="84" t="str">
        <f t="shared" si="253"/>
        <v/>
      </c>
      <c r="QT5" s="84" t="str">
        <f t="shared" si="253"/>
        <v/>
      </c>
      <c r="QU5" s="84"/>
      <c r="QV5" s="84"/>
      <c r="QW5" s="84">
        <f t="shared" ref="QW5:QY5" si="254">IFERROR(COUNTIFS(QW10:QW900000,"&gt;30",QW10:QW900000,"&lt;=60")/COUNTIF(QW10:QW900000,"&gt;=0"),"")</f>
        <v>0.2857142857142857</v>
      </c>
      <c r="QX5" s="84" t="str">
        <f t="shared" si="254"/>
        <v/>
      </c>
      <c r="QY5" s="84">
        <f t="shared" si="254"/>
        <v>0.2857142857142857</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0</v>
      </c>
      <c r="UG5" s="82">
        <f t="shared" ref="UG5:UQ5" si="264">IFERROR(COUNTIFS(UG10:UG900000,"&gt;30",UG10:UG900000,"&lt;=60")/COUNTIF(UG10:UG900000,"&gt;=0"),"")</f>
        <v>4.7619047619047616E-2</v>
      </c>
      <c r="UH5" s="82">
        <f t="shared" si="264"/>
        <v>4.7619047619047616E-2</v>
      </c>
      <c r="UI5" s="82">
        <f t="shared" si="264"/>
        <v>0</v>
      </c>
      <c r="UJ5" s="82" t="str">
        <f t="shared" si="264"/>
        <v/>
      </c>
      <c r="UK5" s="82" t="str">
        <f t="shared" si="264"/>
        <v/>
      </c>
      <c r="UL5" s="82" t="str">
        <f t="shared" si="264"/>
        <v/>
      </c>
      <c r="UM5" s="82">
        <f t="shared" si="264"/>
        <v>4.7619047619047616E-2</v>
      </c>
      <c r="UN5" s="82" t="str">
        <f t="shared" si="264"/>
        <v/>
      </c>
      <c r="UO5" s="82">
        <f t="shared" si="264"/>
        <v>4.7619047619047616E-2</v>
      </c>
      <c r="UP5" s="82" t="str">
        <f t="shared" si="264"/>
        <v/>
      </c>
      <c r="UQ5" s="82" t="str">
        <f t="shared" si="264"/>
        <v/>
      </c>
      <c r="UR5" s="82"/>
      <c r="US5" s="82"/>
      <c r="UT5" s="82">
        <f t="shared" ref="UT5:VD5" si="265">IFERROR(COUNTIFS(UT10:UT900000,"&gt;30",UT10:UT900000,"&lt;=60")/COUNTIF(UT10:UT900000,"&gt;=0"),"")</f>
        <v>0</v>
      </c>
      <c r="UU5" s="82">
        <f t="shared" si="265"/>
        <v>0</v>
      </c>
      <c r="UV5" s="82">
        <f t="shared" si="265"/>
        <v>0</v>
      </c>
      <c r="UW5" s="82" t="str">
        <f t="shared" si="265"/>
        <v/>
      </c>
      <c r="UX5" s="82" t="str">
        <f t="shared" si="265"/>
        <v/>
      </c>
      <c r="UY5" s="82" t="str">
        <f t="shared" si="265"/>
        <v/>
      </c>
      <c r="UZ5" s="82">
        <f t="shared" si="265"/>
        <v>0</v>
      </c>
      <c r="VA5" s="82" t="str">
        <f t="shared" si="265"/>
        <v/>
      </c>
      <c r="VB5" s="82">
        <f t="shared" si="265"/>
        <v>0</v>
      </c>
      <c r="VC5" s="82" t="str">
        <f t="shared" si="265"/>
        <v/>
      </c>
      <c r="VD5" s="82" t="str">
        <f t="shared" si="265"/>
        <v/>
      </c>
      <c r="VE5" s="82"/>
      <c r="VF5" s="82"/>
      <c r="VG5" s="82">
        <f t="shared" ref="VG5:VI5" si="266">IFERROR(COUNTIFS(VG10:VG900000,"&gt;30",VG10:VG900000,"&lt;=60")/COUNTIF(VG10:VG900000,"&gt;=0"),"")</f>
        <v>0</v>
      </c>
      <c r="VH5" s="82" t="str">
        <f t="shared" si="266"/>
        <v/>
      </c>
      <c r="VI5" s="82">
        <f t="shared" si="266"/>
        <v>0</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v>
      </c>
      <c r="VS5" s="84">
        <f t="shared" ref="VS5:WC5" si="268">IFERROR(COUNTIFS(VS10:VS900000,"&gt;30",VS10:VS900000,"&lt;=60")/COUNTIF(VS10:VS900000,"&gt;=0"),"")</f>
        <v>4.7619047619047616E-2</v>
      </c>
      <c r="VT5" s="84">
        <f t="shared" si="268"/>
        <v>4.7619047619047616E-2</v>
      </c>
      <c r="VU5" s="84">
        <f t="shared" si="268"/>
        <v>0</v>
      </c>
      <c r="VV5" s="84" t="str">
        <f t="shared" si="268"/>
        <v/>
      </c>
      <c r="VW5" s="84" t="str">
        <f t="shared" si="268"/>
        <v/>
      </c>
      <c r="VX5" s="84" t="str">
        <f t="shared" si="268"/>
        <v/>
      </c>
      <c r="VY5" s="84">
        <f t="shared" si="268"/>
        <v>4.7619047619047616E-2</v>
      </c>
      <c r="VZ5" s="84" t="str">
        <f t="shared" si="268"/>
        <v/>
      </c>
      <c r="WA5" s="84">
        <f t="shared" si="268"/>
        <v>4.7619047619047616E-2</v>
      </c>
      <c r="WB5" s="84" t="str">
        <f t="shared" si="268"/>
        <v/>
      </c>
      <c r="WC5" s="84" t="str">
        <f t="shared" si="268"/>
        <v/>
      </c>
      <c r="WD5" s="84"/>
      <c r="WE5" s="84"/>
      <c r="WF5" s="84">
        <f t="shared" ref="WF5:WP5" si="269">IFERROR(COUNTIFS(WF10:WF900000,"&gt;30",WF10:WF900000,"&lt;=60")/COUNTIF(WF10:WF900000,"&gt;=0"),"")</f>
        <v>0</v>
      </c>
      <c r="WG5" s="84">
        <f t="shared" si="269"/>
        <v>0</v>
      </c>
      <c r="WH5" s="84">
        <f t="shared" si="269"/>
        <v>0</v>
      </c>
      <c r="WI5" s="84" t="str">
        <f t="shared" si="269"/>
        <v/>
      </c>
      <c r="WJ5" s="84" t="str">
        <f t="shared" si="269"/>
        <v/>
      </c>
      <c r="WK5" s="84" t="str">
        <f t="shared" si="269"/>
        <v/>
      </c>
      <c r="WL5" s="84">
        <f t="shared" si="269"/>
        <v>0</v>
      </c>
      <c r="WM5" s="84" t="str">
        <f t="shared" si="269"/>
        <v/>
      </c>
      <c r="WN5" s="84">
        <f t="shared" si="269"/>
        <v>0</v>
      </c>
      <c r="WO5" s="84" t="str">
        <f t="shared" si="269"/>
        <v/>
      </c>
      <c r="WP5" s="84" t="str">
        <f t="shared" si="269"/>
        <v/>
      </c>
      <c r="WQ5" s="84"/>
      <c r="WR5" s="84"/>
      <c r="WS5" s="84">
        <f t="shared" ref="WS5:WU5" si="270">IFERROR(COUNTIFS(WS10:WS900000,"&gt;30",WS10:WS900000,"&lt;=60")/COUNTIF(WS10:WS900000,"&gt;=0"),"")</f>
        <v>0</v>
      </c>
      <c r="WT5" s="84" t="str">
        <f t="shared" si="270"/>
        <v/>
      </c>
      <c r="WU5" s="84">
        <f t="shared" si="270"/>
        <v>0</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4.7619047619047616E-2</v>
      </c>
      <c r="XE5" s="82">
        <f t="shared" ref="XE5:XO5" si="272">IFERROR(COUNTIFS(XE10:XE900000,"&gt;30",XE10:XE900000,"&lt;=60")/COUNTIF(XE10:XE900000,"&gt;=0"),"")</f>
        <v>4.7619047619047616E-2</v>
      </c>
      <c r="XF5" s="82">
        <f t="shared" si="272"/>
        <v>4.7619047619047616E-2</v>
      </c>
      <c r="XG5" s="82">
        <f t="shared" si="272"/>
        <v>4.7619047619047616E-2</v>
      </c>
      <c r="XH5" s="82" t="str">
        <f t="shared" si="272"/>
        <v/>
      </c>
      <c r="XI5" s="82" t="str">
        <f t="shared" si="272"/>
        <v/>
      </c>
      <c r="XJ5" s="82" t="str">
        <f t="shared" si="272"/>
        <v/>
      </c>
      <c r="XK5" s="82">
        <f t="shared" si="272"/>
        <v>4.7619047619047616E-2</v>
      </c>
      <c r="XL5" s="82" t="str">
        <f t="shared" si="272"/>
        <v/>
      </c>
      <c r="XM5" s="82">
        <f t="shared" si="272"/>
        <v>4.7619047619047616E-2</v>
      </c>
      <c r="XN5" s="82" t="str">
        <f t="shared" si="272"/>
        <v/>
      </c>
      <c r="XO5" s="82" t="str">
        <f t="shared" si="272"/>
        <v/>
      </c>
      <c r="XP5" s="82"/>
      <c r="XQ5" s="82"/>
      <c r="XR5" s="82">
        <f t="shared" ref="XR5:YB5" si="273">IFERROR(COUNTIFS(XR10:XR900000,"&gt;30",XR10:XR900000,"&lt;=60")/COUNTIF(XR10:XR900000,"&gt;=0"),"")</f>
        <v>4.7619047619047616E-2</v>
      </c>
      <c r="XS5" s="82">
        <f t="shared" si="273"/>
        <v>4.7619047619047616E-2</v>
      </c>
      <c r="XT5" s="82">
        <f t="shared" si="273"/>
        <v>4.7619047619047616E-2</v>
      </c>
      <c r="XU5" s="82" t="str">
        <f t="shared" si="273"/>
        <v/>
      </c>
      <c r="XV5" s="82" t="str">
        <f t="shared" si="273"/>
        <v/>
      </c>
      <c r="XW5" s="82" t="str">
        <f t="shared" si="273"/>
        <v/>
      </c>
      <c r="XX5" s="82">
        <f t="shared" si="273"/>
        <v>4.7619047619047616E-2</v>
      </c>
      <c r="XY5" s="82" t="str">
        <f t="shared" si="273"/>
        <v/>
      </c>
      <c r="XZ5" s="82">
        <f t="shared" si="273"/>
        <v>4.7619047619047616E-2</v>
      </c>
      <c r="YA5" s="82" t="str">
        <f t="shared" si="273"/>
        <v/>
      </c>
      <c r="YB5" s="82" t="str">
        <f t="shared" si="273"/>
        <v/>
      </c>
      <c r="YC5" s="82"/>
      <c r="YD5" s="82"/>
      <c r="YE5" s="82">
        <f t="shared" ref="YE5:YG5" si="274">IFERROR(COUNTIFS(YE10:YE900000,"&gt;30",YE10:YE900000,"&lt;=60")/COUNTIF(YE10:YE900000,"&gt;=0"),"")</f>
        <v>4.7619047619047616E-2</v>
      </c>
      <c r="YF5" s="82" t="str">
        <f t="shared" si="274"/>
        <v/>
      </c>
      <c r="YG5" s="82">
        <f t="shared" si="274"/>
        <v>4.7619047619047616E-2</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v>
      </c>
      <c r="YQ5" s="84">
        <f t="shared" ref="YQ5:ZA5" si="276">IFERROR(COUNTIFS(YQ10:YQ900000,"&gt;30",YQ10:YQ900000,"&lt;=60")/COUNTIF(YQ10:YQ900000,"&gt;=0"),"")</f>
        <v>4.7619047619047616E-2</v>
      </c>
      <c r="YR5" s="84">
        <f t="shared" si="276"/>
        <v>4.7619047619047616E-2</v>
      </c>
      <c r="YS5" s="84">
        <f t="shared" si="276"/>
        <v>4.7619047619047616E-2</v>
      </c>
      <c r="YT5" s="84" t="str">
        <f t="shared" si="276"/>
        <v/>
      </c>
      <c r="YU5" s="84" t="str">
        <f t="shared" si="276"/>
        <v/>
      </c>
      <c r="YV5" s="84" t="str">
        <f t="shared" si="276"/>
        <v/>
      </c>
      <c r="YW5" s="84">
        <f t="shared" si="276"/>
        <v>4.7619047619047616E-2</v>
      </c>
      <c r="YX5" s="84" t="str">
        <f t="shared" si="276"/>
        <v/>
      </c>
      <c r="YY5" s="84">
        <f t="shared" si="276"/>
        <v>4.7619047619047616E-2</v>
      </c>
      <c r="YZ5" s="84" t="str">
        <f t="shared" si="276"/>
        <v/>
      </c>
      <c r="ZA5" s="84" t="str">
        <f t="shared" si="276"/>
        <v/>
      </c>
      <c r="ZB5" s="84"/>
      <c r="ZC5" s="84"/>
      <c r="ZD5" s="84">
        <f t="shared" ref="ZD5:ZN5" si="277">IFERROR(COUNTIFS(ZD10:ZD900000,"&gt;30",ZD10:ZD900000,"&lt;=60")/COUNTIF(ZD10:ZD900000,"&gt;=0"),"")</f>
        <v>0</v>
      </c>
      <c r="ZE5" s="84">
        <f t="shared" si="277"/>
        <v>0</v>
      </c>
      <c r="ZF5" s="84">
        <f t="shared" si="277"/>
        <v>0</v>
      </c>
      <c r="ZG5" s="84" t="str">
        <f t="shared" si="277"/>
        <v/>
      </c>
      <c r="ZH5" s="84" t="str">
        <f t="shared" si="277"/>
        <v/>
      </c>
      <c r="ZI5" s="84" t="str">
        <f t="shared" si="277"/>
        <v/>
      </c>
      <c r="ZJ5" s="84">
        <f t="shared" si="277"/>
        <v>0</v>
      </c>
      <c r="ZK5" s="84" t="str">
        <f t="shared" si="277"/>
        <v/>
      </c>
      <c r="ZL5" s="84">
        <f t="shared" si="277"/>
        <v>0</v>
      </c>
      <c r="ZM5" s="84" t="str">
        <f t="shared" si="277"/>
        <v/>
      </c>
      <c r="ZN5" s="84" t="str">
        <f t="shared" si="277"/>
        <v/>
      </c>
      <c r="ZO5" s="84"/>
      <c r="ZP5" s="84"/>
      <c r="ZQ5" s="84">
        <f t="shared" ref="ZQ5:ZS5" si="278">IFERROR(COUNTIFS(ZQ10:ZQ900000,"&gt;30",ZQ10:ZQ900000,"&lt;=60")/COUNTIF(ZQ10:ZQ900000,"&gt;=0"),"")</f>
        <v>0</v>
      </c>
      <c r="ZR5" s="84" t="str">
        <f t="shared" si="278"/>
        <v/>
      </c>
      <c r="ZS5" s="84">
        <f t="shared" si="278"/>
        <v>0</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t="str">
        <f>IFERROR(COUNTIFS(ACZ10:ACZ900000,"&gt;30",ACZ10:ACZ900000,"&lt;=60")/COUNTIF(ACZ10:ACZ900000,"&gt;=0"),"")</f>
        <v/>
      </c>
      <c r="ADA5" s="82" t="str">
        <f t="shared" ref="ADA5:ADK5" si="288">IFERROR(COUNTIFS(ADA10:ADA900000,"&gt;30",ADA10:ADA900000,"&lt;=60")/COUNTIF(ADA10:ADA900000,"&gt;=0"),"")</f>
        <v/>
      </c>
      <c r="ADB5" s="82" t="str">
        <f t="shared" si="288"/>
        <v/>
      </c>
      <c r="ADC5" s="82" t="str">
        <f t="shared" si="288"/>
        <v/>
      </c>
      <c r="ADD5" s="82" t="str">
        <f t="shared" si="288"/>
        <v/>
      </c>
      <c r="ADE5" s="82" t="str">
        <f t="shared" si="288"/>
        <v/>
      </c>
      <c r="ADF5" s="82" t="str">
        <f t="shared" si="288"/>
        <v/>
      </c>
      <c r="ADG5" s="82" t="str">
        <f t="shared" si="288"/>
        <v/>
      </c>
      <c r="ADH5" s="82" t="str">
        <f t="shared" si="288"/>
        <v/>
      </c>
      <c r="ADI5" s="82" t="str">
        <f t="shared" si="288"/>
        <v/>
      </c>
      <c r="ADJ5" s="82" t="str">
        <f t="shared" si="288"/>
        <v/>
      </c>
      <c r="ADK5" s="82" t="str">
        <f t="shared" si="288"/>
        <v/>
      </c>
      <c r="ADL5" s="82"/>
      <c r="ADM5" s="82"/>
      <c r="ADN5" s="82" t="str">
        <f t="shared" ref="ADN5:ADX5" si="289">IFERROR(COUNTIFS(ADN10:ADN900000,"&gt;30",ADN10:ADN900000,"&lt;=60")/COUNTIF(ADN10:ADN900000,"&gt;=0"),"")</f>
        <v/>
      </c>
      <c r="ADO5" s="82" t="str">
        <f t="shared" si="289"/>
        <v/>
      </c>
      <c r="ADP5" s="82" t="str">
        <f t="shared" si="289"/>
        <v/>
      </c>
      <c r="ADQ5" s="82" t="str">
        <f t="shared" si="289"/>
        <v/>
      </c>
      <c r="ADR5" s="82" t="str">
        <f t="shared" si="289"/>
        <v/>
      </c>
      <c r="ADS5" s="82" t="str">
        <f t="shared" si="289"/>
        <v/>
      </c>
      <c r="ADT5" s="82" t="str">
        <f t="shared" si="289"/>
        <v/>
      </c>
      <c r="ADU5" s="82" t="str">
        <f t="shared" si="289"/>
        <v/>
      </c>
      <c r="ADV5" s="82" t="str">
        <f t="shared" si="289"/>
        <v/>
      </c>
      <c r="ADW5" s="82" t="str">
        <f t="shared" si="289"/>
        <v/>
      </c>
      <c r="ADX5" s="82" t="str">
        <f t="shared" si="289"/>
        <v/>
      </c>
      <c r="ADY5" s="82"/>
      <c r="ADZ5" s="82"/>
      <c r="AEA5" s="82" t="str">
        <f t="shared" ref="AEA5:AEC5" si="290">IFERROR(COUNTIFS(AEA10:AEA900000,"&gt;30",AEA10:AEA900000,"&lt;=60")/COUNTIF(AEA10:AEA900000,"&gt;=0"),"")</f>
        <v/>
      </c>
      <c r="AEB5" s="82" t="str">
        <f t="shared" si="290"/>
        <v/>
      </c>
      <c r="AEC5" s="82" t="str">
        <f t="shared" si="290"/>
        <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13</v>
      </c>
      <c r="M6" s="81"/>
      <c r="N6" s="81"/>
      <c r="O6" s="81"/>
      <c r="P6" s="81"/>
      <c r="Q6" s="81" t="s">
        <v>109</v>
      </c>
      <c r="R6" s="81"/>
      <c r="S6" s="81"/>
      <c r="T6" s="82">
        <f>IFERROR(COUNTIFS(T10:T900000,"&gt;=0",T10:T900000,"&lt;=30")/COUNTIF(T10:T900000,"&gt;=0"),"")</f>
        <v>0</v>
      </c>
      <c r="U6" s="82">
        <f t="shared" ref="U6:AZ6" si="304">IFERROR(COUNTIFS(U10:U900000,"&gt;=0",U10:U900000,"&lt;=30")/COUNTIF(U10:U900000,"&gt;=0"),"")</f>
        <v>4.7619047619047616E-2</v>
      </c>
      <c r="V6" s="82">
        <f t="shared" si="304"/>
        <v>9.5238095238095233E-2</v>
      </c>
      <c r="W6" s="82">
        <f t="shared" si="304"/>
        <v>0</v>
      </c>
      <c r="X6" s="82">
        <f t="shared" si="304"/>
        <v>0</v>
      </c>
      <c r="Y6" s="82" t="str">
        <f t="shared" si="304"/>
        <v/>
      </c>
      <c r="Z6" s="82" t="str">
        <f t="shared" si="304"/>
        <v/>
      </c>
      <c r="AA6" s="82">
        <f t="shared" si="304"/>
        <v>4.7619047619047616E-2</v>
      </c>
      <c r="AB6" s="82" t="str">
        <f t="shared" si="304"/>
        <v/>
      </c>
      <c r="AC6" s="82">
        <f t="shared" si="304"/>
        <v>4.7619047619047616E-2</v>
      </c>
      <c r="AD6" s="82" t="str">
        <f t="shared" si="304"/>
        <v/>
      </c>
      <c r="AE6" s="82" t="str">
        <f t="shared" si="304"/>
        <v/>
      </c>
      <c r="AF6" s="82"/>
      <c r="AG6" s="82"/>
      <c r="AH6" s="82">
        <f t="shared" si="304"/>
        <v>9.5238095238095233E-2</v>
      </c>
      <c r="AI6" s="82">
        <f t="shared" si="304"/>
        <v>0</v>
      </c>
      <c r="AJ6" s="82">
        <f t="shared" si="304"/>
        <v>0</v>
      </c>
      <c r="AK6" s="82">
        <f t="shared" si="304"/>
        <v>0</v>
      </c>
      <c r="AL6" s="82" t="str">
        <f t="shared" si="304"/>
        <v/>
      </c>
      <c r="AM6" s="82" t="str">
        <f t="shared" si="304"/>
        <v/>
      </c>
      <c r="AN6" s="82">
        <f t="shared" si="304"/>
        <v>0</v>
      </c>
      <c r="AO6" s="82" t="str">
        <f t="shared" si="304"/>
        <v/>
      </c>
      <c r="AP6" s="82">
        <f t="shared" si="304"/>
        <v>0</v>
      </c>
      <c r="AQ6" s="82" t="str">
        <f t="shared" si="304"/>
        <v/>
      </c>
      <c r="AR6" s="82">
        <f t="shared" si="304"/>
        <v>9.5238095238095233E-2</v>
      </c>
      <c r="AS6" s="82"/>
      <c r="AT6" s="82"/>
      <c r="AU6" s="82">
        <f t="shared" si="304"/>
        <v>0</v>
      </c>
      <c r="AV6" s="82" t="str">
        <f t="shared" si="304"/>
        <v/>
      </c>
      <c r="AW6" s="82">
        <f t="shared" si="304"/>
        <v>0</v>
      </c>
      <c r="AX6" s="82"/>
      <c r="AY6" s="82">
        <f t="shared" si="304"/>
        <v>9.5238095238095233E-2</v>
      </c>
      <c r="AZ6" s="82" t="str">
        <f t="shared" si="304"/>
        <v/>
      </c>
      <c r="BA6" s="82"/>
      <c r="BB6" s="82"/>
      <c r="BC6" s="83" t="s">
        <v>109</v>
      </c>
      <c r="BD6" s="83"/>
      <c r="BE6" s="83"/>
      <c r="BF6" s="84" t="str">
        <f>IFERROR(COUNTIFS(BF10:BF900000,"&gt;=0",BF10:BF900000,"&lt;=30")/COUNTIF(BF10:BF900000,"&gt;=0"),"")</f>
        <v/>
      </c>
      <c r="BG6" s="84" t="str">
        <f t="shared" ref="BG6:BQ6" si="305">IFERROR(COUNTIFS(BG10:BG900000,"&gt;=0",BG10:BG900000,"&lt;=30")/COUNTIF(BG10:BG900000,"&gt;=0"),"")</f>
        <v/>
      </c>
      <c r="BH6" s="84" t="str">
        <f t="shared" si="305"/>
        <v/>
      </c>
      <c r="BI6" s="84" t="str">
        <f t="shared" si="305"/>
        <v/>
      </c>
      <c r="BJ6" s="84" t="str">
        <f t="shared" si="305"/>
        <v/>
      </c>
      <c r="BK6" s="84" t="str">
        <f t="shared" si="305"/>
        <v/>
      </c>
      <c r="BL6" s="84" t="str">
        <f t="shared" si="305"/>
        <v/>
      </c>
      <c r="BM6" s="84" t="str">
        <f t="shared" si="305"/>
        <v/>
      </c>
      <c r="BN6" s="84" t="str">
        <f t="shared" si="305"/>
        <v/>
      </c>
      <c r="BO6" s="84" t="str">
        <f t="shared" si="305"/>
        <v/>
      </c>
      <c r="BP6" s="84" t="str">
        <f t="shared" si="305"/>
        <v/>
      </c>
      <c r="BQ6" s="84" t="str">
        <f t="shared" si="305"/>
        <v/>
      </c>
      <c r="BR6" s="84"/>
      <c r="BS6" s="84"/>
      <c r="BT6" s="84" t="str">
        <f t="shared" ref="BT6:CD6" si="306">IFERROR(COUNTIFS(BT10:BT900000,"&gt;=0",BT10:BT900000,"&lt;=30")/COUNTIF(BT10:BT900000,"&gt;=0"),"")</f>
        <v/>
      </c>
      <c r="BU6" s="84" t="str">
        <f t="shared" si="306"/>
        <v/>
      </c>
      <c r="BV6" s="84" t="str">
        <f t="shared" si="306"/>
        <v/>
      </c>
      <c r="BW6" s="84" t="str">
        <f t="shared" si="306"/>
        <v/>
      </c>
      <c r="BX6" s="84" t="str">
        <f t="shared" si="306"/>
        <v/>
      </c>
      <c r="BY6" s="84" t="str">
        <f t="shared" si="306"/>
        <v/>
      </c>
      <c r="BZ6" s="84" t="str">
        <f t="shared" si="306"/>
        <v/>
      </c>
      <c r="CA6" s="84" t="str">
        <f t="shared" si="306"/>
        <v/>
      </c>
      <c r="CB6" s="84" t="str">
        <f t="shared" si="306"/>
        <v/>
      </c>
      <c r="CC6" s="84" t="str">
        <f t="shared" si="306"/>
        <v/>
      </c>
      <c r="CD6" s="84" t="str">
        <f t="shared" si="306"/>
        <v/>
      </c>
      <c r="CE6" s="84"/>
      <c r="CF6" s="84"/>
      <c r="CG6" s="84" t="str">
        <f t="shared" ref="CG6:CI6" si="307">IFERROR(COUNTIFS(CG10:CG900000,"&gt;=0",CG10:CG900000,"&lt;=30")/COUNTIF(CG10:CG900000,"&gt;=0"),"")</f>
        <v/>
      </c>
      <c r="CH6" s="84" t="str">
        <f t="shared" si="307"/>
        <v/>
      </c>
      <c r="CI6" s="84" t="str">
        <f t="shared" si="307"/>
        <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v>
      </c>
      <c r="EF6" s="84">
        <f t="shared" si="313"/>
        <v>0</v>
      </c>
      <c r="EG6" s="84">
        <f t="shared" si="313"/>
        <v>0</v>
      </c>
      <c r="EH6" s="84" t="str">
        <f t="shared" si="313"/>
        <v/>
      </c>
      <c r="EI6" s="84" t="str">
        <f t="shared" si="313"/>
        <v/>
      </c>
      <c r="EJ6" s="84" t="str">
        <f t="shared" si="313"/>
        <v/>
      </c>
      <c r="EK6" s="84">
        <f t="shared" si="313"/>
        <v>0</v>
      </c>
      <c r="EL6" s="84" t="str">
        <f t="shared" si="313"/>
        <v/>
      </c>
      <c r="EM6" s="84">
        <f t="shared" si="313"/>
        <v>0</v>
      </c>
      <c r="EN6" s="84" t="str">
        <f t="shared" si="313"/>
        <v/>
      </c>
      <c r="EO6" s="84" t="str">
        <f t="shared" si="313"/>
        <v/>
      </c>
      <c r="EP6" s="84"/>
      <c r="EQ6" s="84"/>
      <c r="ER6" s="84">
        <f t="shared" ref="ER6:FB6" si="314">IFERROR(COUNTIFS(ER10:ER900000,"&gt;=0",ER10:ER900000,"&lt;=30")/COUNTIF(ER10:ER900000,"&gt;=0"),"")</f>
        <v>0</v>
      </c>
      <c r="ES6" s="84">
        <f t="shared" si="314"/>
        <v>0</v>
      </c>
      <c r="ET6" s="84">
        <f t="shared" si="314"/>
        <v>0</v>
      </c>
      <c r="EU6" s="84" t="str">
        <f t="shared" si="314"/>
        <v/>
      </c>
      <c r="EV6" s="84" t="str">
        <f t="shared" si="314"/>
        <v/>
      </c>
      <c r="EW6" s="84" t="str">
        <f t="shared" si="314"/>
        <v/>
      </c>
      <c r="EX6" s="84">
        <f t="shared" si="314"/>
        <v>0</v>
      </c>
      <c r="EY6" s="84" t="str">
        <f t="shared" si="314"/>
        <v/>
      </c>
      <c r="EZ6" s="84">
        <f t="shared" si="314"/>
        <v>0</v>
      </c>
      <c r="FA6" s="84" t="str">
        <f t="shared" si="314"/>
        <v/>
      </c>
      <c r="FB6" s="84">
        <f t="shared" si="314"/>
        <v>0.14285714285714285</v>
      </c>
      <c r="FC6" s="84"/>
      <c r="FD6" s="84"/>
      <c r="FE6" s="84">
        <f t="shared" ref="FE6:FG6" si="315">IFERROR(COUNTIFS(FE10:FE900000,"&gt;=0",FE10:FE900000,"&lt;=30")/COUNTIF(FE10:FE900000,"&gt;=0"),"")</f>
        <v>0</v>
      </c>
      <c r="FF6" s="84" t="str">
        <f t="shared" si="315"/>
        <v/>
      </c>
      <c r="FG6" s="84">
        <f t="shared" si="315"/>
        <v>0</v>
      </c>
      <c r="FH6" s="84"/>
      <c r="FI6" s="84">
        <f t="shared" ref="FI6:FJ6" si="316">IFERROR(COUNTIFS(FI10:FI900000,"&gt;=0",FI10:FI900000,"&lt;=30")/COUNTIF(FI10:FI900000,"&gt;=0"),"")</f>
        <v>0.14285714285714285</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0</v>
      </c>
      <c r="FR6" s="82">
        <f t="shared" si="317"/>
        <v>4.7619047619047616E-2</v>
      </c>
      <c r="FS6" s="82">
        <f t="shared" si="317"/>
        <v>9.5238095238095233E-2</v>
      </c>
      <c r="FT6" s="82">
        <f t="shared" si="317"/>
        <v>4.7619047619047616E-2</v>
      </c>
      <c r="FU6" s="82" t="str">
        <f t="shared" si="317"/>
        <v/>
      </c>
      <c r="FV6" s="82" t="str">
        <f t="shared" si="317"/>
        <v/>
      </c>
      <c r="FW6" s="82">
        <f t="shared" si="317"/>
        <v>4.7619047619047616E-2</v>
      </c>
      <c r="FX6" s="82" t="str">
        <f t="shared" si="317"/>
        <v/>
      </c>
      <c r="FY6" s="82">
        <f t="shared" si="317"/>
        <v>4.7619047619047616E-2</v>
      </c>
      <c r="FZ6" s="82" t="str">
        <f t="shared" si="317"/>
        <v/>
      </c>
      <c r="GA6" s="82" t="str">
        <f t="shared" si="317"/>
        <v/>
      </c>
      <c r="GB6" s="82"/>
      <c r="GC6" s="82"/>
      <c r="GD6" s="82">
        <f t="shared" ref="GD6:GN6" si="318">IFERROR(COUNTIFS(GD10:GD900000,"&gt;=0",GD10:GD900000,"&lt;=30")/COUNTIF(GD10:GD900000,"&gt;=0"),"")</f>
        <v>9.5238095238095233E-2</v>
      </c>
      <c r="GE6" s="82">
        <f t="shared" si="318"/>
        <v>0</v>
      </c>
      <c r="GF6" s="82">
        <f t="shared" si="318"/>
        <v>0</v>
      </c>
      <c r="GG6" s="82">
        <f t="shared" si="318"/>
        <v>0</v>
      </c>
      <c r="GH6" s="82" t="str">
        <f t="shared" si="318"/>
        <v/>
      </c>
      <c r="GI6" s="82" t="str">
        <f t="shared" si="318"/>
        <v/>
      </c>
      <c r="GJ6" s="82">
        <f t="shared" si="318"/>
        <v>0</v>
      </c>
      <c r="GK6" s="82" t="str">
        <f t="shared" si="318"/>
        <v/>
      </c>
      <c r="GL6" s="82">
        <f t="shared" si="318"/>
        <v>0</v>
      </c>
      <c r="GM6" s="82" t="str">
        <f t="shared" si="318"/>
        <v/>
      </c>
      <c r="GN6" s="82">
        <f t="shared" si="318"/>
        <v>0.19047619047619047</v>
      </c>
      <c r="GO6" s="82"/>
      <c r="GP6" s="82"/>
      <c r="GQ6" s="82">
        <f t="shared" ref="GQ6:GS6" si="319">IFERROR(COUNTIFS(GQ10:GQ900000,"&gt;=0",GQ10:GQ900000,"&lt;=30")/COUNTIF(GQ10:GQ900000,"&gt;=0"),"")</f>
        <v>0</v>
      </c>
      <c r="GR6" s="82" t="str">
        <f t="shared" si="319"/>
        <v/>
      </c>
      <c r="GS6" s="82">
        <f t="shared" si="319"/>
        <v>0</v>
      </c>
      <c r="GT6" s="82"/>
      <c r="GU6" s="82">
        <f t="shared" ref="GU6:GV6" si="320">IFERROR(COUNTIFS(GU10:GU900000,"&gt;=0",GU10:GU900000,"&lt;=30")/COUNTIF(GU10:GU900000,"&gt;=0"),"")</f>
        <v>0.19047619047619047</v>
      </c>
      <c r="GV6" s="82" t="str">
        <f t="shared" si="320"/>
        <v/>
      </c>
      <c r="GW6" s="82"/>
      <c r="GX6" s="82"/>
      <c r="GY6" s="83" t="s">
        <v>109</v>
      </c>
      <c r="GZ6" s="83"/>
      <c r="HA6" s="83"/>
      <c r="HB6" s="84">
        <f>IFERROR(COUNTIFS(HB10:HB900000,"&gt;=0",HB10:HB900000,"&lt;=30")/COUNTIF(HB10:HB900000,"&gt;=0"),"")</f>
        <v>0</v>
      </c>
      <c r="HC6" s="84">
        <f t="shared" ref="HC6:HM6" si="321">IFERROR(COUNTIFS(HC10:HC900000,"&gt;=0",HC10:HC900000,"&lt;=30")/COUNTIF(HC10:HC900000,"&gt;=0"),"")</f>
        <v>0</v>
      </c>
      <c r="HD6" s="84">
        <f t="shared" si="321"/>
        <v>0</v>
      </c>
      <c r="HE6" s="84">
        <f t="shared" si="321"/>
        <v>0</v>
      </c>
      <c r="HF6" s="84" t="str">
        <f t="shared" si="321"/>
        <v/>
      </c>
      <c r="HG6" s="84" t="str">
        <f t="shared" si="321"/>
        <v/>
      </c>
      <c r="HH6" s="84" t="str">
        <f t="shared" si="321"/>
        <v/>
      </c>
      <c r="HI6" s="84">
        <f t="shared" si="321"/>
        <v>0</v>
      </c>
      <c r="HJ6" s="84" t="str">
        <f t="shared" si="321"/>
        <v/>
      </c>
      <c r="HK6" s="84">
        <f t="shared" si="321"/>
        <v>0</v>
      </c>
      <c r="HL6" s="84" t="str">
        <f t="shared" si="321"/>
        <v/>
      </c>
      <c r="HM6" s="84" t="str">
        <f t="shared" si="321"/>
        <v/>
      </c>
      <c r="HN6" s="84"/>
      <c r="HO6" s="84"/>
      <c r="HP6" s="84">
        <f t="shared" ref="HP6:HZ6" si="322">IFERROR(COUNTIFS(HP10:HP900000,"&gt;=0",HP10:HP900000,"&lt;=30")/COUNTIF(HP10:HP900000,"&gt;=0"),"")</f>
        <v>0</v>
      </c>
      <c r="HQ6" s="84">
        <f t="shared" si="322"/>
        <v>0</v>
      </c>
      <c r="HR6" s="84">
        <f t="shared" si="322"/>
        <v>0</v>
      </c>
      <c r="HS6" s="84" t="str">
        <f t="shared" si="322"/>
        <v/>
      </c>
      <c r="HT6" s="84" t="str">
        <f t="shared" si="322"/>
        <v/>
      </c>
      <c r="HU6" s="84" t="str">
        <f t="shared" si="322"/>
        <v/>
      </c>
      <c r="HV6" s="84">
        <f t="shared" si="322"/>
        <v>0</v>
      </c>
      <c r="HW6" s="84" t="str">
        <f t="shared" si="322"/>
        <v/>
      </c>
      <c r="HX6" s="84">
        <f t="shared" si="322"/>
        <v>0</v>
      </c>
      <c r="HY6" s="84" t="str">
        <f t="shared" si="322"/>
        <v/>
      </c>
      <c r="HZ6" s="84" t="str">
        <f t="shared" si="322"/>
        <v/>
      </c>
      <c r="IA6" s="84"/>
      <c r="IB6" s="84"/>
      <c r="IC6" s="84">
        <f t="shared" ref="IC6:IE6" si="323">IFERROR(COUNTIFS(IC10:IC900000,"&gt;=0",IC10:IC900000,"&lt;=30")/COUNTIF(IC10:IC900000,"&gt;=0"),"")</f>
        <v>0</v>
      </c>
      <c r="ID6" s="84" t="str">
        <f t="shared" si="323"/>
        <v/>
      </c>
      <c r="IE6" s="84">
        <f t="shared" si="323"/>
        <v>0</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t="str">
        <f t="shared" ref="KA6:KK6" si="329">IFERROR(COUNTIFS(KA10:KA900000,"&gt;=0",KA10:KA900000,"&lt;=30")/COUNTIF(KA10:KA900000,"&gt;=0"),"")</f>
        <v/>
      </c>
      <c r="KB6" s="84" t="str">
        <f t="shared" si="329"/>
        <v/>
      </c>
      <c r="KC6" s="84" t="str">
        <f t="shared" si="329"/>
        <v/>
      </c>
      <c r="KD6" s="84" t="str">
        <f t="shared" si="329"/>
        <v/>
      </c>
      <c r="KE6" s="84" t="str">
        <f t="shared" si="329"/>
        <v/>
      </c>
      <c r="KF6" s="84" t="str">
        <f t="shared" si="329"/>
        <v/>
      </c>
      <c r="KG6" s="84" t="str">
        <f t="shared" si="329"/>
        <v/>
      </c>
      <c r="KH6" s="84" t="str">
        <f t="shared" si="329"/>
        <v/>
      </c>
      <c r="KI6" s="84" t="str">
        <f t="shared" si="329"/>
        <v/>
      </c>
      <c r="KJ6" s="84" t="str">
        <f t="shared" si="329"/>
        <v/>
      </c>
      <c r="KK6" s="84" t="str">
        <f t="shared" si="329"/>
        <v/>
      </c>
      <c r="KL6" s="84"/>
      <c r="KM6" s="84"/>
      <c r="KN6" s="84" t="str">
        <f t="shared" ref="KN6:KX6" si="330">IFERROR(COUNTIFS(KN10:KN900000,"&gt;=0",KN10:KN900000,"&lt;=30")/COUNTIF(KN10:KN900000,"&gt;=0"),"")</f>
        <v/>
      </c>
      <c r="KO6" s="84" t="str">
        <f t="shared" si="330"/>
        <v/>
      </c>
      <c r="KP6" s="84" t="str">
        <f t="shared" si="330"/>
        <v/>
      </c>
      <c r="KQ6" s="84" t="str">
        <f t="shared" si="330"/>
        <v/>
      </c>
      <c r="KR6" s="84" t="str">
        <f t="shared" si="330"/>
        <v/>
      </c>
      <c r="KS6" s="84" t="str">
        <f t="shared" si="330"/>
        <v/>
      </c>
      <c r="KT6" s="84" t="str">
        <f t="shared" si="330"/>
        <v/>
      </c>
      <c r="KU6" s="84" t="str">
        <f t="shared" si="330"/>
        <v/>
      </c>
      <c r="KV6" s="84" t="str">
        <f t="shared" si="330"/>
        <v/>
      </c>
      <c r="KW6" s="84" t="str">
        <f t="shared" si="330"/>
        <v/>
      </c>
      <c r="KX6" s="84" t="str">
        <f t="shared" si="330"/>
        <v/>
      </c>
      <c r="KY6" s="84"/>
      <c r="KZ6" s="84"/>
      <c r="LA6" s="84" t="str">
        <f t="shared" ref="LA6:LC6" si="331">IFERROR(COUNTIFS(LA10:LA900000,"&gt;=0",LA10:LA900000,"&lt;=30")/COUNTIF(LA10:LA900000,"&gt;=0"),"")</f>
        <v/>
      </c>
      <c r="LB6" s="84" t="str">
        <f t="shared" si="331"/>
        <v/>
      </c>
      <c r="LC6" s="84" t="str">
        <f t="shared" si="331"/>
        <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0</v>
      </c>
      <c r="PY6" s="84">
        <f t="shared" si="345"/>
        <v>0</v>
      </c>
      <c r="PZ6" s="84" t="str">
        <f t="shared" si="345"/>
        <v/>
      </c>
      <c r="QA6" s="84" t="str">
        <f t="shared" si="345"/>
        <v/>
      </c>
      <c r="QB6" s="84" t="str">
        <f t="shared" si="345"/>
        <v/>
      </c>
      <c r="QC6" s="84">
        <f t="shared" si="345"/>
        <v>0</v>
      </c>
      <c r="QD6" s="84" t="str">
        <f t="shared" si="345"/>
        <v/>
      </c>
      <c r="QE6" s="84">
        <f t="shared" si="345"/>
        <v>0</v>
      </c>
      <c r="QF6" s="84" t="str">
        <f t="shared" si="345"/>
        <v/>
      </c>
      <c r="QG6" s="84" t="str">
        <f t="shared" si="345"/>
        <v/>
      </c>
      <c r="QH6" s="84"/>
      <c r="QI6" s="84"/>
      <c r="QJ6" s="84">
        <f t="shared" ref="QJ6:QT6" si="346">IFERROR(COUNTIFS(QJ10:QJ900000,"&gt;=0",QJ10:QJ900000,"&lt;=30")/COUNTIF(QJ10:QJ900000,"&gt;=0"),"")</f>
        <v>4.7619047619047616E-2</v>
      </c>
      <c r="QK6" s="84">
        <f t="shared" si="346"/>
        <v>0</v>
      </c>
      <c r="QL6" s="84">
        <f t="shared" si="346"/>
        <v>0</v>
      </c>
      <c r="QM6" s="84">
        <f t="shared" si="346"/>
        <v>0</v>
      </c>
      <c r="QN6" s="84" t="str">
        <f t="shared" si="346"/>
        <v/>
      </c>
      <c r="QO6" s="84" t="str">
        <f t="shared" si="346"/>
        <v/>
      </c>
      <c r="QP6" s="84">
        <f t="shared" si="346"/>
        <v>0</v>
      </c>
      <c r="QQ6" s="84" t="str">
        <f t="shared" si="346"/>
        <v/>
      </c>
      <c r="QR6" s="84">
        <f t="shared" si="346"/>
        <v>0</v>
      </c>
      <c r="QS6" s="84" t="str">
        <f t="shared" si="346"/>
        <v/>
      </c>
      <c r="QT6" s="84" t="str">
        <f t="shared" si="346"/>
        <v/>
      </c>
      <c r="QU6" s="84"/>
      <c r="QV6" s="84"/>
      <c r="QW6" s="84">
        <f t="shared" ref="QW6:QY6" si="347">IFERROR(COUNTIFS(QW10:QW900000,"&gt;=0",QW10:QW900000,"&lt;=30")/COUNTIF(QW10:QW900000,"&gt;=0"),"")</f>
        <v>0</v>
      </c>
      <c r="QX6" s="84" t="str">
        <f t="shared" si="347"/>
        <v/>
      </c>
      <c r="QY6" s="84">
        <f t="shared" si="347"/>
        <v>0</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t="str">
        <f t="shared" si="357"/>
        <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t="str">
        <f t="shared" si="358"/>
        <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t="str">
        <f>IFERROR(COUNTIFS(ACZ10:ACZ900000,"&gt;=0",ACZ10:ACZ900000,"&lt;=30")/COUNTIF(ACZ10:ACZ900000,"&gt;=0"),"")</f>
        <v/>
      </c>
      <c r="ADA6" s="82" t="str">
        <f t="shared" ref="ADA6:ADK6" si="381">IFERROR(COUNTIFS(ADA10:ADA900000,"&gt;=0",ADA10:ADA900000,"&lt;=30")/COUNTIF(ADA10:ADA900000,"&gt;=0"),"")</f>
        <v/>
      </c>
      <c r="ADB6" s="82" t="str">
        <f t="shared" si="381"/>
        <v/>
      </c>
      <c r="ADC6" s="82" t="str">
        <f t="shared" si="381"/>
        <v/>
      </c>
      <c r="ADD6" s="82" t="str">
        <f t="shared" si="381"/>
        <v/>
      </c>
      <c r="ADE6" s="82" t="str">
        <f t="shared" si="381"/>
        <v/>
      </c>
      <c r="ADF6" s="82" t="str">
        <f t="shared" si="381"/>
        <v/>
      </c>
      <c r="ADG6" s="82" t="str">
        <f t="shared" si="381"/>
        <v/>
      </c>
      <c r="ADH6" s="82" t="str">
        <f t="shared" si="381"/>
        <v/>
      </c>
      <c r="ADI6" s="82" t="str">
        <f t="shared" si="381"/>
        <v/>
      </c>
      <c r="ADJ6" s="82" t="str">
        <f t="shared" si="381"/>
        <v/>
      </c>
      <c r="ADK6" s="82" t="str">
        <f t="shared" si="381"/>
        <v/>
      </c>
      <c r="ADL6" s="82"/>
      <c r="ADM6" s="82"/>
      <c r="ADN6" s="82" t="str">
        <f t="shared" ref="ADN6:ADX6" si="382">IFERROR(COUNTIFS(ADN10:ADN900000,"&gt;=0",ADN10:ADN900000,"&lt;=30")/COUNTIF(ADN10:ADN900000,"&gt;=0"),"")</f>
        <v/>
      </c>
      <c r="ADO6" s="82" t="str">
        <f t="shared" si="382"/>
        <v/>
      </c>
      <c r="ADP6" s="82" t="str">
        <f t="shared" si="382"/>
        <v/>
      </c>
      <c r="ADQ6" s="82" t="str">
        <f t="shared" si="382"/>
        <v/>
      </c>
      <c r="ADR6" s="82" t="str">
        <f t="shared" si="382"/>
        <v/>
      </c>
      <c r="ADS6" s="82" t="str">
        <f t="shared" si="382"/>
        <v/>
      </c>
      <c r="ADT6" s="82" t="str">
        <f t="shared" si="382"/>
        <v/>
      </c>
      <c r="ADU6" s="82" t="str">
        <f t="shared" si="382"/>
        <v/>
      </c>
      <c r="ADV6" s="82" t="str">
        <f t="shared" si="382"/>
        <v/>
      </c>
      <c r="ADW6" s="82" t="str">
        <f t="shared" si="382"/>
        <v/>
      </c>
      <c r="ADX6" s="82" t="str">
        <f t="shared" si="382"/>
        <v/>
      </c>
      <c r="ADY6" s="82"/>
      <c r="ADZ6" s="82"/>
      <c r="AEA6" s="82" t="str">
        <f t="shared" ref="AEA6:AEC6" si="383">IFERROR(COUNTIFS(AEA10:AEA900000,"&gt;=0",AEA10:AEA900000,"&lt;=30")/COUNTIF(AEA10:AEA900000,"&gt;=0"),"")</f>
        <v/>
      </c>
      <c r="AEB6" s="82" t="str">
        <f t="shared" si="383"/>
        <v/>
      </c>
      <c r="AEC6" s="82" t="str">
        <f t="shared" si="383"/>
        <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204</v>
      </c>
      <c r="B9" s="45" t="s">
        <v>205</v>
      </c>
      <c r="C9" s="44" t="s">
        <v>206</v>
      </c>
      <c r="D9" s="44">
        <v>99</v>
      </c>
      <c r="E9" s="105"/>
      <c r="F9" s="46">
        <v>3</v>
      </c>
      <c r="G9" s="46" t="s">
        <v>207</v>
      </c>
      <c r="H9" s="85" t="s">
        <v>2</v>
      </c>
      <c r="I9" s="85" t="s">
        <v>3</v>
      </c>
      <c r="J9" s="85" t="s">
        <v>1</v>
      </c>
      <c r="K9" s="46" t="s">
        <v>98</v>
      </c>
      <c r="L9" s="105"/>
      <c r="M9" s="105"/>
      <c r="N9" s="105"/>
      <c r="O9" s="105"/>
      <c r="P9" s="47" t="s">
        <v>208</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3607363</v>
      </c>
      <c r="F10" s="89">
        <f>IF(H10="","",$F$9)</f>
        <v>3</v>
      </c>
      <c r="G10" s="89" t="str">
        <f>IF(H10="","",$G$9)</f>
        <v>B</v>
      </c>
      <c r="H10" s="36" t="s">
        <v>147</v>
      </c>
      <c r="I10" s="36" t="s">
        <v>148</v>
      </c>
      <c r="J10" s="40" t="s">
        <v>149</v>
      </c>
      <c r="K10" s="90" t="str">
        <f>IF(H10="","",$K$9)</f>
        <v>A</v>
      </c>
      <c r="L10" s="40" t="s">
        <v>119</v>
      </c>
      <c r="M10" s="92">
        <v>41915</v>
      </c>
      <c r="N10" s="40"/>
      <c r="O10" s="42" t="s">
        <v>209</v>
      </c>
      <c r="P10" s="91" t="str">
        <f>IF(H10="","",$P$9)</f>
        <v>Əliyeva Sevinc Kamal</v>
      </c>
      <c r="Q10" s="48">
        <v>1369149</v>
      </c>
      <c r="R10" s="38">
        <v>101</v>
      </c>
      <c r="S10" s="38">
        <v>303</v>
      </c>
      <c r="T10" s="34">
        <v>73</v>
      </c>
      <c r="U10" s="34">
        <v>85</v>
      </c>
      <c r="V10" s="34">
        <v>72</v>
      </c>
      <c r="W10" s="34">
        <v>65</v>
      </c>
      <c r="X10" s="34">
        <v>85</v>
      </c>
      <c r="Y10" s="34"/>
      <c r="Z10" s="34"/>
      <c r="AA10" s="49">
        <v>76.75</v>
      </c>
      <c r="AB10" s="34"/>
      <c r="AC10" s="50">
        <v>76.75</v>
      </c>
      <c r="AD10" s="34"/>
      <c r="AE10" s="34"/>
      <c r="AF10" s="35">
        <v>2</v>
      </c>
      <c r="AG10" s="49">
        <v>98.679867986798683</v>
      </c>
      <c r="AH10" s="34">
        <v>76</v>
      </c>
      <c r="AI10" s="34">
        <v>74</v>
      </c>
      <c r="AJ10" s="34">
        <v>74</v>
      </c>
      <c r="AK10" s="34">
        <v>74</v>
      </c>
      <c r="AL10" s="34"/>
      <c r="AM10" s="34"/>
      <c r="AN10" s="49">
        <v>74.5</v>
      </c>
      <c r="AO10" s="34"/>
      <c r="AP10" s="50">
        <v>74.5</v>
      </c>
      <c r="AQ10" s="34"/>
      <c r="AR10" s="34">
        <v>50</v>
      </c>
      <c r="AS10" s="35">
        <v>0</v>
      </c>
      <c r="AT10" s="49">
        <v>100</v>
      </c>
      <c r="AU10" s="49">
        <v>75.625</v>
      </c>
      <c r="AV10" s="49" t="s">
        <v>230</v>
      </c>
      <c r="AW10" s="50">
        <v>75.625</v>
      </c>
      <c r="AX10" s="51">
        <v>4</v>
      </c>
      <c r="AY10" s="49">
        <v>50</v>
      </c>
      <c r="AZ10" s="34"/>
      <c r="BA10" s="52">
        <v>2</v>
      </c>
      <c r="BB10" s="53">
        <v>99.339933993399342</v>
      </c>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1273950</v>
      </c>
      <c r="EB10" s="38">
        <v>106</v>
      </c>
      <c r="EC10" s="38">
        <v>33</v>
      </c>
      <c r="ED10" s="34">
        <v>45</v>
      </c>
      <c r="EE10" s="34">
        <v>44</v>
      </c>
      <c r="EF10" s="34">
        <v>35</v>
      </c>
      <c r="EG10" s="34">
        <v>90</v>
      </c>
      <c r="EH10" s="34"/>
      <c r="EI10" s="34"/>
      <c r="EJ10" s="34"/>
      <c r="EK10" s="49">
        <v>56.333333333333336</v>
      </c>
      <c r="EL10" s="34"/>
      <c r="EM10" s="50">
        <v>56.333333333333336</v>
      </c>
      <c r="EN10" s="34"/>
      <c r="EO10" s="34"/>
      <c r="EP10" s="35">
        <v>0</v>
      </c>
      <c r="EQ10" s="49">
        <v>100</v>
      </c>
      <c r="ER10" s="34">
        <v>85</v>
      </c>
      <c r="ES10" s="34">
        <v>85</v>
      </c>
      <c r="ET10" s="34">
        <v>95</v>
      </c>
      <c r="EU10" s="34"/>
      <c r="EV10" s="34"/>
      <c r="EW10" s="34"/>
      <c r="EX10" s="49">
        <v>88.333333333333329</v>
      </c>
      <c r="EY10" s="34"/>
      <c r="EZ10" s="50">
        <v>88.333333333333329</v>
      </c>
      <c r="FA10" s="34"/>
      <c r="FB10" s="34">
        <v>95.83</v>
      </c>
      <c r="FC10" s="35">
        <v>0</v>
      </c>
      <c r="FD10" s="49">
        <v>100</v>
      </c>
      <c r="FE10" s="49">
        <v>72.333333333333329</v>
      </c>
      <c r="FF10" s="49" t="s">
        <v>230</v>
      </c>
      <c r="FG10" s="50">
        <v>72.333333333333329</v>
      </c>
      <c r="FH10" s="51">
        <v>4</v>
      </c>
      <c r="FI10" s="49">
        <v>95.83</v>
      </c>
      <c r="FJ10" s="34"/>
      <c r="FK10" s="52">
        <v>0</v>
      </c>
      <c r="FL10" s="53">
        <v>100</v>
      </c>
      <c r="FM10" s="48">
        <v>1369149</v>
      </c>
      <c r="FN10" s="38">
        <v>110</v>
      </c>
      <c r="FO10" s="38">
        <v>168</v>
      </c>
      <c r="FP10" s="34">
        <v>75</v>
      </c>
      <c r="FQ10" s="34">
        <v>50</v>
      </c>
      <c r="FR10" s="34">
        <v>65</v>
      </c>
      <c r="FS10" s="34">
        <v>85</v>
      </c>
      <c r="FT10" s="34">
        <v>65</v>
      </c>
      <c r="FU10" s="34"/>
      <c r="FV10" s="34"/>
      <c r="FW10" s="49">
        <v>66.25</v>
      </c>
      <c r="FX10" s="34"/>
      <c r="FY10" s="50">
        <v>66.25</v>
      </c>
      <c r="FZ10" s="34"/>
      <c r="GA10" s="34"/>
      <c r="GB10" s="35">
        <v>0</v>
      </c>
      <c r="GC10" s="49">
        <v>100</v>
      </c>
      <c r="GD10" s="34">
        <v>75</v>
      </c>
      <c r="GE10" s="34">
        <v>87</v>
      </c>
      <c r="GF10" s="34">
        <v>90</v>
      </c>
      <c r="GG10" s="34">
        <v>85</v>
      </c>
      <c r="GH10" s="34"/>
      <c r="GI10" s="34"/>
      <c r="GJ10" s="49">
        <v>84.25</v>
      </c>
      <c r="GK10" s="34"/>
      <c r="GL10" s="50">
        <v>84.25</v>
      </c>
      <c r="GM10" s="34"/>
      <c r="GN10" s="34">
        <v>38.89</v>
      </c>
      <c r="GO10" s="35">
        <v>0</v>
      </c>
      <c r="GP10" s="49">
        <v>100</v>
      </c>
      <c r="GQ10" s="49">
        <v>75.25</v>
      </c>
      <c r="GR10" s="49" t="s">
        <v>230</v>
      </c>
      <c r="GS10" s="50">
        <v>75.25</v>
      </c>
      <c r="GT10" s="51">
        <v>4</v>
      </c>
      <c r="GU10" s="49">
        <v>38.89</v>
      </c>
      <c r="GV10" s="34"/>
      <c r="GW10" s="52">
        <v>0</v>
      </c>
      <c r="GX10" s="53">
        <v>100</v>
      </c>
      <c r="GY10" s="48">
        <v>1791291</v>
      </c>
      <c r="GZ10" s="38">
        <v>114</v>
      </c>
      <c r="HA10" s="38">
        <v>33</v>
      </c>
      <c r="HB10" s="34">
        <v>56</v>
      </c>
      <c r="HC10" s="34">
        <v>70</v>
      </c>
      <c r="HD10" s="34">
        <v>85</v>
      </c>
      <c r="HE10" s="34">
        <v>85</v>
      </c>
      <c r="HF10" s="34"/>
      <c r="HG10" s="34"/>
      <c r="HH10" s="34"/>
      <c r="HI10" s="49">
        <v>80</v>
      </c>
      <c r="HJ10" s="34"/>
      <c r="HK10" s="50">
        <v>80</v>
      </c>
      <c r="HL10" s="34"/>
      <c r="HM10" s="34"/>
      <c r="HN10" s="35">
        <v>0</v>
      </c>
      <c r="HO10" s="49">
        <v>100</v>
      </c>
      <c r="HP10" s="34">
        <v>80</v>
      </c>
      <c r="HQ10" s="34">
        <v>75</v>
      </c>
      <c r="HR10" s="34">
        <v>65</v>
      </c>
      <c r="HS10" s="34"/>
      <c r="HT10" s="34"/>
      <c r="HU10" s="34"/>
      <c r="HV10" s="49">
        <v>73.333333333333329</v>
      </c>
      <c r="HW10" s="34"/>
      <c r="HX10" s="50">
        <v>73.333333333333329</v>
      </c>
      <c r="HY10" s="34"/>
      <c r="HZ10" s="34"/>
      <c r="IA10" s="35">
        <v>0</v>
      </c>
      <c r="IB10" s="49">
        <v>100</v>
      </c>
      <c r="IC10" s="49">
        <v>76.666666666666657</v>
      </c>
      <c r="ID10" s="49" t="s">
        <v>230</v>
      </c>
      <c r="IE10" s="50">
        <v>76.666666666666657</v>
      </c>
      <c r="IF10" s="51">
        <v>4</v>
      </c>
      <c r="IG10" s="49" t="s">
        <v>230</v>
      </c>
      <c r="IH10" s="34"/>
      <c r="II10" s="52">
        <v>0</v>
      </c>
      <c r="IJ10" s="53">
        <v>100</v>
      </c>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v>1369149</v>
      </c>
      <c r="PT10" s="38">
        <v>128</v>
      </c>
      <c r="PU10" s="38">
        <v>68</v>
      </c>
      <c r="PV10" s="34">
        <v>65</v>
      </c>
      <c r="PW10" s="34">
        <v>65</v>
      </c>
      <c r="PX10" s="34">
        <v>65</v>
      </c>
      <c r="PY10" s="34">
        <v>66</v>
      </c>
      <c r="PZ10" s="34"/>
      <c r="QA10" s="34"/>
      <c r="QB10" s="34"/>
      <c r="QC10" s="49">
        <v>65.333333333333329</v>
      </c>
      <c r="QD10" s="34"/>
      <c r="QE10" s="50">
        <v>65.333333333333329</v>
      </c>
      <c r="QF10" s="34"/>
      <c r="QG10" s="34"/>
      <c r="QH10" s="35">
        <v>0</v>
      </c>
      <c r="QI10" s="49">
        <v>100</v>
      </c>
      <c r="QJ10" s="34">
        <v>75</v>
      </c>
      <c r="QK10" s="34">
        <v>58</v>
      </c>
      <c r="QL10" s="34">
        <v>70</v>
      </c>
      <c r="QM10" s="34">
        <v>65</v>
      </c>
      <c r="QN10" s="34"/>
      <c r="QO10" s="34"/>
      <c r="QP10" s="49">
        <v>67</v>
      </c>
      <c r="QQ10" s="34"/>
      <c r="QR10" s="50">
        <v>67</v>
      </c>
      <c r="QS10" s="34"/>
      <c r="QT10" s="34"/>
      <c r="QU10" s="35">
        <v>0</v>
      </c>
      <c r="QV10" s="49">
        <v>100</v>
      </c>
      <c r="QW10" s="49">
        <v>66.166666666666657</v>
      </c>
      <c r="QX10" s="49" t="s">
        <v>230</v>
      </c>
      <c r="QY10" s="50">
        <v>66.166666666666657</v>
      </c>
      <c r="QZ10" s="51">
        <v>4</v>
      </c>
      <c r="RA10" s="49" t="s">
        <v>230</v>
      </c>
      <c r="RB10" s="34"/>
      <c r="RC10" s="52">
        <v>0</v>
      </c>
      <c r="RD10" s="53">
        <v>100</v>
      </c>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1369149</v>
      </c>
      <c r="UD10" s="38">
        <v>131</v>
      </c>
      <c r="UE10" s="38">
        <v>66</v>
      </c>
      <c r="UF10" s="34">
        <v>81</v>
      </c>
      <c r="UG10" s="34">
        <v>80</v>
      </c>
      <c r="UH10" s="34">
        <v>85</v>
      </c>
      <c r="UI10" s="34">
        <v>85</v>
      </c>
      <c r="UJ10" s="34"/>
      <c r="UK10" s="34"/>
      <c r="UL10" s="34"/>
      <c r="UM10" s="49">
        <v>83.333333333333329</v>
      </c>
      <c r="UN10" s="34"/>
      <c r="UO10" s="50">
        <v>83.333333333333329</v>
      </c>
      <c r="UP10" s="34"/>
      <c r="UQ10" s="34"/>
      <c r="UR10" s="35">
        <v>0</v>
      </c>
      <c r="US10" s="49">
        <v>100</v>
      </c>
      <c r="UT10" s="34">
        <v>85</v>
      </c>
      <c r="UU10" s="34">
        <v>85</v>
      </c>
      <c r="UV10" s="34">
        <v>85</v>
      </c>
      <c r="UW10" s="34"/>
      <c r="UX10" s="34"/>
      <c r="UY10" s="34"/>
      <c r="UZ10" s="49">
        <v>85</v>
      </c>
      <c r="VA10" s="34"/>
      <c r="VB10" s="50">
        <v>85</v>
      </c>
      <c r="VC10" s="34"/>
      <c r="VD10" s="34"/>
      <c r="VE10" s="35">
        <v>0</v>
      </c>
      <c r="VF10" s="49">
        <v>100</v>
      </c>
      <c r="VG10" s="49">
        <v>84.166666666666657</v>
      </c>
      <c r="VH10" s="49" t="s">
        <v>230</v>
      </c>
      <c r="VI10" s="50">
        <v>84.166666666666657</v>
      </c>
      <c r="VJ10" s="51">
        <v>5</v>
      </c>
      <c r="VK10" s="49" t="s">
        <v>230</v>
      </c>
      <c r="VL10" s="34"/>
      <c r="VM10" s="52">
        <v>0</v>
      </c>
      <c r="VN10" s="53">
        <v>100</v>
      </c>
      <c r="VO10" s="48">
        <v>1369149</v>
      </c>
      <c r="VP10" s="38">
        <v>132</v>
      </c>
      <c r="VQ10" s="38">
        <v>37</v>
      </c>
      <c r="VR10" s="34">
        <v>90</v>
      </c>
      <c r="VS10" s="34">
        <v>80</v>
      </c>
      <c r="VT10" s="34">
        <v>85</v>
      </c>
      <c r="VU10" s="34">
        <v>85</v>
      </c>
      <c r="VV10" s="34"/>
      <c r="VW10" s="34"/>
      <c r="VX10" s="34"/>
      <c r="VY10" s="49">
        <v>83.333333333333329</v>
      </c>
      <c r="VZ10" s="34"/>
      <c r="WA10" s="50">
        <v>83.333333333333329</v>
      </c>
      <c r="WB10" s="34"/>
      <c r="WC10" s="34"/>
      <c r="WD10" s="35">
        <v>0</v>
      </c>
      <c r="WE10" s="49">
        <v>100</v>
      </c>
      <c r="WF10" s="34">
        <v>85</v>
      </c>
      <c r="WG10" s="34">
        <v>85</v>
      </c>
      <c r="WH10" s="34">
        <v>85</v>
      </c>
      <c r="WI10" s="34"/>
      <c r="WJ10" s="34"/>
      <c r="WK10" s="34"/>
      <c r="WL10" s="49">
        <v>85</v>
      </c>
      <c r="WM10" s="34"/>
      <c r="WN10" s="50">
        <v>85</v>
      </c>
      <c r="WO10" s="34"/>
      <c r="WP10" s="34"/>
      <c r="WQ10" s="35">
        <v>0</v>
      </c>
      <c r="WR10" s="49">
        <v>100</v>
      </c>
      <c r="WS10" s="49">
        <v>84.166666666666657</v>
      </c>
      <c r="WT10" s="49" t="s">
        <v>230</v>
      </c>
      <c r="WU10" s="50">
        <v>84.166666666666657</v>
      </c>
      <c r="WV10" s="51">
        <v>5</v>
      </c>
      <c r="WW10" s="49" t="s">
        <v>230</v>
      </c>
      <c r="WX10" s="34"/>
      <c r="WY10" s="52">
        <v>0</v>
      </c>
      <c r="WZ10" s="53">
        <v>100</v>
      </c>
      <c r="XA10" s="48">
        <v>1787467</v>
      </c>
      <c r="XB10" s="38">
        <v>133</v>
      </c>
      <c r="XC10" s="38">
        <v>34</v>
      </c>
      <c r="XD10" s="34">
        <v>90</v>
      </c>
      <c r="XE10" s="34">
        <v>85</v>
      </c>
      <c r="XF10" s="34">
        <v>90</v>
      </c>
      <c r="XG10" s="34">
        <v>90</v>
      </c>
      <c r="XH10" s="34"/>
      <c r="XI10" s="34"/>
      <c r="XJ10" s="34"/>
      <c r="XK10" s="49">
        <v>88.333333333333329</v>
      </c>
      <c r="XL10" s="34"/>
      <c r="XM10" s="50">
        <v>88.333333333333329</v>
      </c>
      <c r="XN10" s="34"/>
      <c r="XO10" s="34"/>
      <c r="XP10" s="35">
        <v>0</v>
      </c>
      <c r="XQ10" s="49">
        <v>100</v>
      </c>
      <c r="XR10" s="34">
        <v>85</v>
      </c>
      <c r="XS10" s="34">
        <v>90</v>
      </c>
      <c r="XT10" s="34">
        <v>85</v>
      </c>
      <c r="XU10" s="34"/>
      <c r="XV10" s="34"/>
      <c r="XW10" s="34"/>
      <c r="XX10" s="49">
        <v>86.666666666666671</v>
      </c>
      <c r="XY10" s="34"/>
      <c r="XZ10" s="50">
        <v>86.666666666666671</v>
      </c>
      <c r="YA10" s="34"/>
      <c r="YB10" s="34"/>
      <c r="YC10" s="35">
        <v>0</v>
      </c>
      <c r="YD10" s="49">
        <v>100</v>
      </c>
      <c r="YE10" s="49">
        <v>87.5</v>
      </c>
      <c r="YF10" s="49" t="s">
        <v>230</v>
      </c>
      <c r="YG10" s="50">
        <v>87.5</v>
      </c>
      <c r="YH10" s="51">
        <v>5</v>
      </c>
      <c r="YI10" s="49" t="s">
        <v>230</v>
      </c>
      <c r="YJ10" s="34"/>
      <c r="YK10" s="52">
        <v>0</v>
      </c>
      <c r="YL10" s="53">
        <v>100</v>
      </c>
      <c r="YM10" s="48">
        <v>1369149</v>
      </c>
      <c r="YN10" s="38">
        <v>135</v>
      </c>
      <c r="YO10" s="38">
        <v>66</v>
      </c>
      <c r="YP10" s="34">
        <v>76</v>
      </c>
      <c r="YQ10" s="34">
        <v>70</v>
      </c>
      <c r="YR10" s="34">
        <v>85</v>
      </c>
      <c r="YS10" s="34">
        <v>85</v>
      </c>
      <c r="YT10" s="34"/>
      <c r="YU10" s="34"/>
      <c r="YV10" s="34"/>
      <c r="YW10" s="49">
        <v>80</v>
      </c>
      <c r="YX10" s="34"/>
      <c r="YY10" s="50">
        <v>80</v>
      </c>
      <c r="YZ10" s="34"/>
      <c r="ZA10" s="34"/>
      <c r="ZB10" s="35">
        <v>0</v>
      </c>
      <c r="ZC10" s="49">
        <v>100</v>
      </c>
      <c r="ZD10" s="34">
        <v>85</v>
      </c>
      <c r="ZE10" s="34">
        <v>85</v>
      </c>
      <c r="ZF10" s="34">
        <v>85</v>
      </c>
      <c r="ZG10" s="34"/>
      <c r="ZH10" s="34"/>
      <c r="ZI10" s="34"/>
      <c r="ZJ10" s="49">
        <v>85</v>
      </c>
      <c r="ZK10" s="34"/>
      <c r="ZL10" s="50">
        <v>85</v>
      </c>
      <c r="ZM10" s="34"/>
      <c r="ZN10" s="34"/>
      <c r="ZO10" s="35">
        <v>0</v>
      </c>
      <c r="ZP10" s="49">
        <v>100</v>
      </c>
      <c r="ZQ10" s="49">
        <v>82.5</v>
      </c>
      <c r="ZR10" s="49" t="s">
        <v>230</v>
      </c>
      <c r="ZS10" s="50">
        <v>82.5</v>
      </c>
      <c r="ZT10" s="51">
        <v>5</v>
      </c>
      <c r="ZU10" s="49" t="s">
        <v>230</v>
      </c>
      <c r="ZV10" s="34"/>
      <c r="ZW10" s="52">
        <v>0</v>
      </c>
      <c r="ZX10" s="53">
        <v>100</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3684552</v>
      </c>
      <c r="F11" s="89">
        <f t="shared" ref="F11:F59" si="401">IF(H11="","",$F$9)</f>
        <v>3</v>
      </c>
      <c r="G11" s="89" t="str">
        <f t="shared" ref="G11:G59" si="402">IF(H11="","",$G$9)</f>
        <v>B</v>
      </c>
      <c r="H11" s="36" t="s">
        <v>150</v>
      </c>
      <c r="I11" s="37" t="s">
        <v>151</v>
      </c>
      <c r="J11" s="41" t="s">
        <v>152</v>
      </c>
      <c r="K11" s="90" t="str">
        <f t="shared" ref="K11:K59" si="403">IF(H11="","",$K$9)</f>
        <v>A</v>
      </c>
      <c r="L11" s="41" t="s">
        <v>117</v>
      </c>
      <c r="M11" s="93">
        <v>41462</v>
      </c>
      <c r="N11" s="41"/>
      <c r="O11" s="43" t="s">
        <v>210</v>
      </c>
      <c r="P11" s="91" t="str">
        <f t="shared" ref="P11:P59" si="404">IF(H11="","",$P$9)</f>
        <v>Əliyeva Sevinc Kamal</v>
      </c>
      <c r="Q11" s="4">
        <v>1369149</v>
      </c>
      <c r="R11" s="39">
        <v>101</v>
      </c>
      <c r="S11" s="39">
        <v>303</v>
      </c>
      <c r="T11" s="1">
        <v>86</v>
      </c>
      <c r="U11" s="1">
        <v>95</v>
      </c>
      <c r="V11" s="1">
        <v>60</v>
      </c>
      <c r="W11" s="1">
        <v>70</v>
      </c>
      <c r="X11" s="1">
        <v>95</v>
      </c>
      <c r="Y11" s="1"/>
      <c r="Z11" s="1"/>
      <c r="AA11" s="55">
        <v>80</v>
      </c>
      <c r="AB11" s="1"/>
      <c r="AC11" s="56">
        <v>80</v>
      </c>
      <c r="AD11" s="1"/>
      <c r="AE11" s="1"/>
      <c r="AF11" s="2">
        <v>4</v>
      </c>
      <c r="AG11" s="55">
        <v>97.359735973597353</v>
      </c>
      <c r="AH11" s="1">
        <v>65</v>
      </c>
      <c r="AI11" s="1">
        <v>90</v>
      </c>
      <c r="AJ11" s="1">
        <v>71</v>
      </c>
      <c r="AK11" s="1">
        <v>85</v>
      </c>
      <c r="AL11" s="1"/>
      <c r="AM11" s="1"/>
      <c r="AN11" s="55">
        <v>77.75</v>
      </c>
      <c r="AO11" s="1"/>
      <c r="AP11" s="56">
        <v>77.75</v>
      </c>
      <c r="AQ11" s="1"/>
      <c r="AR11" s="1">
        <v>63.89</v>
      </c>
      <c r="AS11" s="2">
        <v>6</v>
      </c>
      <c r="AT11" s="55">
        <v>96.039603960396036</v>
      </c>
      <c r="AU11" s="55">
        <v>78.875</v>
      </c>
      <c r="AV11" s="55" t="s">
        <v>230</v>
      </c>
      <c r="AW11" s="56">
        <v>78.875</v>
      </c>
      <c r="AX11" s="57">
        <v>4</v>
      </c>
      <c r="AY11" s="55">
        <v>63.89</v>
      </c>
      <c r="AZ11" s="1"/>
      <c r="BA11" s="58">
        <v>10</v>
      </c>
      <c r="BB11" s="59">
        <v>96.699669966996694</v>
      </c>
      <c r="BC11" s="4"/>
      <c r="BD11" s="39"/>
      <c r="BE11" s="39"/>
      <c r="BF11" s="1"/>
      <c r="BG11" s="1"/>
      <c r="BH11" s="1"/>
      <c r="BI11" s="1"/>
      <c r="BJ11" s="1"/>
      <c r="BK11" s="1"/>
      <c r="BL11" s="1"/>
      <c r="BM11" s="55"/>
      <c r="BN11" s="1"/>
      <c r="BO11" s="56"/>
      <c r="BP11" s="1"/>
      <c r="BQ11" s="1"/>
      <c r="BR11" s="2"/>
      <c r="BS11" s="55"/>
      <c r="BT11" s="1"/>
      <c r="BU11" s="1"/>
      <c r="BV11" s="1"/>
      <c r="BW11" s="1"/>
      <c r="BX11" s="1"/>
      <c r="BY11" s="1"/>
      <c r="BZ11" s="55"/>
      <c r="CA11" s="1"/>
      <c r="CB11" s="56"/>
      <c r="CC11" s="1"/>
      <c r="CD11" s="1"/>
      <c r="CE11" s="2"/>
      <c r="CF11" s="55"/>
      <c r="CG11" s="55"/>
      <c r="CH11" s="55"/>
      <c r="CI11" s="56"/>
      <c r="CJ11" s="57"/>
      <c r="CK11" s="55"/>
      <c r="CL11" s="1"/>
      <c r="CM11" s="58"/>
      <c r="CN11" s="59"/>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v>1273950</v>
      </c>
      <c r="EB11" s="39">
        <v>106</v>
      </c>
      <c r="EC11" s="39">
        <v>33</v>
      </c>
      <c r="ED11" s="1">
        <v>67</v>
      </c>
      <c r="EE11" s="1">
        <v>50</v>
      </c>
      <c r="EF11" s="1">
        <v>63</v>
      </c>
      <c r="EG11" s="1">
        <v>43</v>
      </c>
      <c r="EH11" s="1"/>
      <c r="EI11" s="1"/>
      <c r="EJ11" s="1"/>
      <c r="EK11" s="55">
        <v>52</v>
      </c>
      <c r="EL11" s="1"/>
      <c r="EM11" s="56">
        <v>52</v>
      </c>
      <c r="EN11" s="1"/>
      <c r="EO11" s="1"/>
      <c r="EP11" s="2">
        <v>1</v>
      </c>
      <c r="EQ11" s="55">
        <v>93.939393939393938</v>
      </c>
      <c r="ER11" s="1">
        <v>35</v>
      </c>
      <c r="ES11" s="1">
        <v>45</v>
      </c>
      <c r="ET11" s="1">
        <v>43</v>
      </c>
      <c r="EU11" s="1"/>
      <c r="EV11" s="1"/>
      <c r="EW11" s="1"/>
      <c r="EX11" s="55">
        <v>41</v>
      </c>
      <c r="EY11" s="1"/>
      <c r="EZ11" s="56">
        <v>41</v>
      </c>
      <c r="FA11" s="1"/>
      <c r="FB11" s="1">
        <v>66.67</v>
      </c>
      <c r="FC11" s="2">
        <v>0</v>
      </c>
      <c r="FD11" s="55">
        <v>100</v>
      </c>
      <c r="FE11" s="55">
        <v>46.5</v>
      </c>
      <c r="FF11" s="55" t="s">
        <v>230</v>
      </c>
      <c r="FG11" s="56">
        <v>46.5</v>
      </c>
      <c r="FH11" s="57">
        <v>3</v>
      </c>
      <c r="FI11" s="55">
        <v>66.67</v>
      </c>
      <c r="FJ11" s="1"/>
      <c r="FK11" s="58">
        <v>1</v>
      </c>
      <c r="FL11" s="59">
        <v>96.969696969696969</v>
      </c>
      <c r="FM11" s="4">
        <v>1369149</v>
      </c>
      <c r="FN11" s="39">
        <v>110</v>
      </c>
      <c r="FO11" s="39">
        <v>168</v>
      </c>
      <c r="FP11" s="1">
        <v>69</v>
      </c>
      <c r="FQ11" s="1">
        <v>57</v>
      </c>
      <c r="FR11" s="1">
        <v>60</v>
      </c>
      <c r="FS11" s="1">
        <v>65</v>
      </c>
      <c r="FT11" s="1">
        <v>65</v>
      </c>
      <c r="FU11" s="1"/>
      <c r="FV11" s="1"/>
      <c r="FW11" s="55">
        <v>61.75</v>
      </c>
      <c r="FX11" s="1"/>
      <c r="FY11" s="56">
        <v>61.75</v>
      </c>
      <c r="FZ11" s="1"/>
      <c r="GA11" s="1"/>
      <c r="GB11" s="2">
        <v>1</v>
      </c>
      <c r="GC11" s="55">
        <v>98.80952380952381</v>
      </c>
      <c r="GD11" s="1">
        <v>45</v>
      </c>
      <c r="GE11" s="1">
        <v>55</v>
      </c>
      <c r="GF11" s="1">
        <v>71</v>
      </c>
      <c r="GG11" s="1">
        <v>85</v>
      </c>
      <c r="GH11" s="1"/>
      <c r="GI11" s="1"/>
      <c r="GJ11" s="55">
        <v>64</v>
      </c>
      <c r="GK11" s="1"/>
      <c r="GL11" s="56">
        <v>64</v>
      </c>
      <c r="GM11" s="1"/>
      <c r="GN11" s="1">
        <v>44.44</v>
      </c>
      <c r="GO11" s="2">
        <v>4</v>
      </c>
      <c r="GP11" s="55">
        <v>95.238095238095241</v>
      </c>
      <c r="GQ11" s="55">
        <v>62.875</v>
      </c>
      <c r="GR11" s="55" t="s">
        <v>230</v>
      </c>
      <c r="GS11" s="56">
        <v>62.875</v>
      </c>
      <c r="GT11" s="57">
        <v>4</v>
      </c>
      <c r="GU11" s="55">
        <v>44.44</v>
      </c>
      <c r="GV11" s="1"/>
      <c r="GW11" s="58">
        <v>5</v>
      </c>
      <c r="GX11" s="59">
        <v>97.023809523809518</v>
      </c>
      <c r="GY11" s="4">
        <v>1791291</v>
      </c>
      <c r="GZ11" s="39">
        <v>114</v>
      </c>
      <c r="HA11" s="39">
        <v>33</v>
      </c>
      <c r="HB11" s="1">
        <v>61</v>
      </c>
      <c r="HC11" s="1">
        <v>90</v>
      </c>
      <c r="HD11" s="1">
        <v>85</v>
      </c>
      <c r="HE11" s="1">
        <v>85</v>
      </c>
      <c r="HF11" s="1"/>
      <c r="HG11" s="1"/>
      <c r="HH11" s="1"/>
      <c r="HI11" s="55">
        <v>86.666666666666671</v>
      </c>
      <c r="HJ11" s="1"/>
      <c r="HK11" s="56">
        <v>86.666666666666671</v>
      </c>
      <c r="HL11" s="1"/>
      <c r="HM11" s="1"/>
      <c r="HN11" s="2">
        <v>0</v>
      </c>
      <c r="HO11" s="55">
        <v>100</v>
      </c>
      <c r="HP11" s="1">
        <v>85</v>
      </c>
      <c r="HQ11" s="1">
        <v>80</v>
      </c>
      <c r="HR11" s="1">
        <v>65</v>
      </c>
      <c r="HS11" s="1"/>
      <c r="HT11" s="1"/>
      <c r="HU11" s="1"/>
      <c r="HV11" s="55">
        <v>76.666666666666671</v>
      </c>
      <c r="HW11" s="1"/>
      <c r="HX11" s="56">
        <v>76.666666666666671</v>
      </c>
      <c r="HY11" s="1"/>
      <c r="HZ11" s="1"/>
      <c r="IA11" s="2">
        <v>0</v>
      </c>
      <c r="IB11" s="55">
        <v>100</v>
      </c>
      <c r="IC11" s="55">
        <v>81.666666666666671</v>
      </c>
      <c r="ID11" s="55" t="s">
        <v>230</v>
      </c>
      <c r="IE11" s="56">
        <v>81.666666666666671</v>
      </c>
      <c r="IF11" s="57">
        <v>5</v>
      </c>
      <c r="IG11" s="55" t="s">
        <v>230</v>
      </c>
      <c r="IH11" s="1"/>
      <c r="II11" s="58">
        <v>0</v>
      </c>
      <c r="IJ11" s="59">
        <v>100</v>
      </c>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c r="JX11" s="39"/>
      <c r="JY11" s="39"/>
      <c r="JZ11" s="1"/>
      <c r="KA11" s="1"/>
      <c r="KB11" s="1"/>
      <c r="KC11" s="1"/>
      <c r="KD11" s="1"/>
      <c r="KE11" s="1"/>
      <c r="KF11" s="1"/>
      <c r="KG11" s="55"/>
      <c r="KH11" s="1"/>
      <c r="KI11" s="56"/>
      <c r="KJ11" s="1"/>
      <c r="KK11" s="1"/>
      <c r="KL11" s="2"/>
      <c r="KM11" s="55"/>
      <c r="KN11" s="1"/>
      <c r="KO11" s="1"/>
      <c r="KP11" s="1"/>
      <c r="KQ11" s="1"/>
      <c r="KR11" s="1"/>
      <c r="KS11" s="1"/>
      <c r="KT11" s="55"/>
      <c r="KU11" s="1"/>
      <c r="KV11" s="56"/>
      <c r="KW11" s="1"/>
      <c r="KX11" s="1"/>
      <c r="KY11" s="2"/>
      <c r="KZ11" s="55"/>
      <c r="LA11" s="55"/>
      <c r="LB11" s="55"/>
      <c r="LC11" s="56"/>
      <c r="LD11" s="57"/>
      <c r="LE11" s="55"/>
      <c r="LF11" s="1"/>
      <c r="LG11" s="58"/>
      <c r="LH11" s="59"/>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v>1369149</v>
      </c>
      <c r="PT11" s="39">
        <v>128</v>
      </c>
      <c r="PU11" s="39">
        <v>68</v>
      </c>
      <c r="PV11" s="1">
        <v>78</v>
      </c>
      <c r="PW11" s="1">
        <v>65</v>
      </c>
      <c r="PX11" s="1">
        <v>65</v>
      </c>
      <c r="PY11" s="1">
        <v>65</v>
      </c>
      <c r="PZ11" s="1"/>
      <c r="QA11" s="1"/>
      <c r="QB11" s="1"/>
      <c r="QC11" s="55">
        <v>65</v>
      </c>
      <c r="QD11" s="1"/>
      <c r="QE11" s="56">
        <v>65</v>
      </c>
      <c r="QF11" s="1"/>
      <c r="QG11" s="1"/>
      <c r="QH11" s="2">
        <v>1</v>
      </c>
      <c r="QI11" s="55">
        <v>97.058823529411768</v>
      </c>
      <c r="QJ11" s="1">
        <v>65</v>
      </c>
      <c r="QK11" s="1">
        <v>69</v>
      </c>
      <c r="QL11" s="1">
        <v>70</v>
      </c>
      <c r="QM11" s="1">
        <v>65</v>
      </c>
      <c r="QN11" s="1"/>
      <c r="QO11" s="1"/>
      <c r="QP11" s="55">
        <v>67.25</v>
      </c>
      <c r="QQ11" s="1"/>
      <c r="QR11" s="56">
        <v>67.25</v>
      </c>
      <c r="QS11" s="1"/>
      <c r="QT11" s="1"/>
      <c r="QU11" s="2">
        <v>0</v>
      </c>
      <c r="QV11" s="55">
        <v>100</v>
      </c>
      <c r="QW11" s="55">
        <v>66.125</v>
      </c>
      <c r="QX11" s="55" t="s">
        <v>230</v>
      </c>
      <c r="QY11" s="56">
        <v>66.125</v>
      </c>
      <c r="QZ11" s="57">
        <v>4</v>
      </c>
      <c r="RA11" s="55" t="s">
        <v>230</v>
      </c>
      <c r="RB11" s="1"/>
      <c r="RC11" s="58">
        <v>1</v>
      </c>
      <c r="RD11" s="59">
        <v>98.529411764705884</v>
      </c>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1369149</v>
      </c>
      <c r="UD11" s="39">
        <v>131</v>
      </c>
      <c r="UE11" s="39">
        <v>66</v>
      </c>
      <c r="UF11" s="1">
        <v>84</v>
      </c>
      <c r="UG11" s="1">
        <v>85</v>
      </c>
      <c r="UH11" s="1">
        <v>85</v>
      </c>
      <c r="UI11" s="1">
        <v>85</v>
      </c>
      <c r="UJ11" s="1"/>
      <c r="UK11" s="1"/>
      <c r="UL11" s="1"/>
      <c r="UM11" s="55">
        <v>85</v>
      </c>
      <c r="UN11" s="1"/>
      <c r="UO11" s="56">
        <v>85</v>
      </c>
      <c r="UP11" s="1"/>
      <c r="UQ11" s="1"/>
      <c r="UR11" s="2">
        <v>1</v>
      </c>
      <c r="US11" s="55">
        <v>96.969696969696969</v>
      </c>
      <c r="UT11" s="1">
        <v>85</v>
      </c>
      <c r="UU11" s="1">
        <v>85</v>
      </c>
      <c r="UV11" s="1">
        <v>90</v>
      </c>
      <c r="UW11" s="1"/>
      <c r="UX11" s="1"/>
      <c r="UY11" s="1"/>
      <c r="UZ11" s="55">
        <v>86.666666666666671</v>
      </c>
      <c r="VA11" s="1"/>
      <c r="VB11" s="56">
        <v>86.666666666666671</v>
      </c>
      <c r="VC11" s="1"/>
      <c r="VD11" s="1"/>
      <c r="VE11" s="2">
        <v>0</v>
      </c>
      <c r="VF11" s="55">
        <v>100</v>
      </c>
      <c r="VG11" s="55">
        <v>85.833333333333343</v>
      </c>
      <c r="VH11" s="55" t="s">
        <v>230</v>
      </c>
      <c r="VI11" s="56">
        <v>85.833333333333343</v>
      </c>
      <c r="VJ11" s="57">
        <v>5</v>
      </c>
      <c r="VK11" s="55" t="s">
        <v>230</v>
      </c>
      <c r="VL11" s="1"/>
      <c r="VM11" s="58">
        <v>1</v>
      </c>
      <c r="VN11" s="59">
        <v>98.484848484848484</v>
      </c>
      <c r="VO11" s="4">
        <v>1369149</v>
      </c>
      <c r="VP11" s="39">
        <v>132</v>
      </c>
      <c r="VQ11" s="39">
        <v>37</v>
      </c>
      <c r="VR11" s="1">
        <v>83</v>
      </c>
      <c r="VS11" s="1">
        <v>80</v>
      </c>
      <c r="VT11" s="1">
        <v>85</v>
      </c>
      <c r="VU11" s="1">
        <v>80</v>
      </c>
      <c r="VV11" s="1"/>
      <c r="VW11" s="1"/>
      <c r="VX11" s="1"/>
      <c r="VY11" s="55">
        <v>81.666666666666671</v>
      </c>
      <c r="VZ11" s="1"/>
      <c r="WA11" s="56">
        <v>81.666666666666671</v>
      </c>
      <c r="WB11" s="1"/>
      <c r="WC11" s="1"/>
      <c r="WD11" s="2">
        <v>0</v>
      </c>
      <c r="WE11" s="55">
        <v>100</v>
      </c>
      <c r="WF11" s="1">
        <v>85</v>
      </c>
      <c r="WG11" s="1">
        <v>82</v>
      </c>
      <c r="WH11" s="1">
        <v>85</v>
      </c>
      <c r="WI11" s="1"/>
      <c r="WJ11" s="1"/>
      <c r="WK11" s="1"/>
      <c r="WL11" s="55">
        <v>84</v>
      </c>
      <c r="WM11" s="1"/>
      <c r="WN11" s="56">
        <v>84</v>
      </c>
      <c r="WO11" s="1"/>
      <c r="WP11" s="1"/>
      <c r="WQ11" s="2">
        <v>0</v>
      </c>
      <c r="WR11" s="55">
        <v>100</v>
      </c>
      <c r="WS11" s="55">
        <v>82.833333333333343</v>
      </c>
      <c r="WT11" s="55" t="s">
        <v>230</v>
      </c>
      <c r="WU11" s="56">
        <v>82.833333333333343</v>
      </c>
      <c r="WV11" s="57">
        <v>5</v>
      </c>
      <c r="WW11" s="55" t="s">
        <v>230</v>
      </c>
      <c r="WX11" s="1"/>
      <c r="WY11" s="58">
        <v>0</v>
      </c>
      <c r="WZ11" s="59">
        <v>100</v>
      </c>
      <c r="XA11" s="4">
        <v>1787467</v>
      </c>
      <c r="XB11" s="39">
        <v>133</v>
      </c>
      <c r="XC11" s="39">
        <v>34</v>
      </c>
      <c r="XD11" s="1">
        <v>88</v>
      </c>
      <c r="XE11" s="1">
        <v>90</v>
      </c>
      <c r="XF11" s="1">
        <v>85</v>
      </c>
      <c r="XG11" s="1">
        <v>90</v>
      </c>
      <c r="XH11" s="1"/>
      <c r="XI11" s="1"/>
      <c r="XJ11" s="1"/>
      <c r="XK11" s="55">
        <v>88.333333333333329</v>
      </c>
      <c r="XL11" s="1"/>
      <c r="XM11" s="56">
        <v>88.333333333333329</v>
      </c>
      <c r="XN11" s="1"/>
      <c r="XO11" s="1"/>
      <c r="XP11" s="2">
        <v>1</v>
      </c>
      <c r="XQ11" s="55">
        <v>94.117647058823536</v>
      </c>
      <c r="XR11" s="1">
        <v>90</v>
      </c>
      <c r="XS11" s="1">
        <v>85</v>
      </c>
      <c r="XT11" s="1">
        <v>90</v>
      </c>
      <c r="XU11" s="1"/>
      <c r="XV11" s="1"/>
      <c r="XW11" s="1"/>
      <c r="XX11" s="55">
        <v>88.333333333333329</v>
      </c>
      <c r="XY11" s="1"/>
      <c r="XZ11" s="56">
        <v>88.333333333333329</v>
      </c>
      <c r="YA11" s="1"/>
      <c r="YB11" s="1"/>
      <c r="YC11" s="2">
        <v>0</v>
      </c>
      <c r="YD11" s="55">
        <v>100</v>
      </c>
      <c r="YE11" s="55">
        <v>88.333333333333329</v>
      </c>
      <c r="YF11" s="55" t="s">
        <v>230</v>
      </c>
      <c r="YG11" s="56">
        <v>88.333333333333329</v>
      </c>
      <c r="YH11" s="57">
        <v>5</v>
      </c>
      <c r="YI11" s="55" t="s">
        <v>230</v>
      </c>
      <c r="YJ11" s="1"/>
      <c r="YK11" s="58">
        <v>1</v>
      </c>
      <c r="YL11" s="59">
        <v>97.058823529411768</v>
      </c>
      <c r="YM11" s="4">
        <v>1369149</v>
      </c>
      <c r="YN11" s="39">
        <v>135</v>
      </c>
      <c r="YO11" s="39">
        <v>66</v>
      </c>
      <c r="YP11" s="1">
        <v>82</v>
      </c>
      <c r="YQ11" s="1">
        <v>70</v>
      </c>
      <c r="YR11" s="1">
        <v>85</v>
      </c>
      <c r="YS11" s="1">
        <v>85</v>
      </c>
      <c r="YT11" s="1"/>
      <c r="YU11" s="1"/>
      <c r="YV11" s="1"/>
      <c r="YW11" s="55">
        <v>80</v>
      </c>
      <c r="YX11" s="1"/>
      <c r="YY11" s="56">
        <v>80</v>
      </c>
      <c r="YZ11" s="1"/>
      <c r="ZA11" s="1"/>
      <c r="ZB11" s="2">
        <v>0</v>
      </c>
      <c r="ZC11" s="55">
        <v>100</v>
      </c>
      <c r="ZD11" s="1">
        <v>80</v>
      </c>
      <c r="ZE11" s="1">
        <v>80</v>
      </c>
      <c r="ZF11" s="1">
        <v>85</v>
      </c>
      <c r="ZG11" s="1"/>
      <c r="ZH11" s="1"/>
      <c r="ZI11" s="1"/>
      <c r="ZJ11" s="55">
        <v>81.666666666666671</v>
      </c>
      <c r="ZK11" s="1"/>
      <c r="ZL11" s="56">
        <v>81.666666666666671</v>
      </c>
      <c r="ZM11" s="1"/>
      <c r="ZN11" s="1"/>
      <c r="ZO11" s="2">
        <v>0</v>
      </c>
      <c r="ZP11" s="55">
        <v>100</v>
      </c>
      <c r="ZQ11" s="55">
        <v>80.833333333333343</v>
      </c>
      <c r="ZR11" s="55" t="s">
        <v>230</v>
      </c>
      <c r="ZS11" s="56">
        <v>80.833333333333343</v>
      </c>
      <c r="ZT11" s="57">
        <v>5</v>
      </c>
      <c r="ZU11" s="55" t="s">
        <v>230</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c r="ACX11" s="39"/>
      <c r="ACY11" s="39"/>
      <c r="ACZ11" s="1"/>
      <c r="ADA11" s="1"/>
      <c r="ADB11" s="1"/>
      <c r="ADC11" s="1"/>
      <c r="ADD11" s="1"/>
      <c r="ADE11" s="1"/>
      <c r="ADF11" s="1"/>
      <c r="ADG11" s="55"/>
      <c r="ADH11" s="1"/>
      <c r="ADI11" s="56"/>
      <c r="ADJ11" s="1"/>
      <c r="ADK11" s="1"/>
      <c r="ADL11" s="2"/>
      <c r="ADM11" s="55"/>
      <c r="ADN11" s="1"/>
      <c r="ADO11" s="1"/>
      <c r="ADP11" s="1"/>
      <c r="ADQ11" s="1"/>
      <c r="ADR11" s="1"/>
      <c r="ADS11" s="1"/>
      <c r="ADT11" s="55"/>
      <c r="ADU11" s="1"/>
      <c r="ADV11" s="56"/>
      <c r="ADW11" s="1"/>
      <c r="ADX11" s="1"/>
      <c r="ADY11" s="2"/>
      <c r="ADZ11" s="55"/>
      <c r="AEA11" s="55"/>
      <c r="AEB11" s="55"/>
      <c r="AEC11" s="56"/>
      <c r="AED11" s="57"/>
      <c r="AEE11" s="55"/>
      <c r="AEF11" s="1"/>
      <c r="AEG11" s="58"/>
      <c r="AEH11" s="59"/>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3684557</v>
      </c>
      <c r="F12" s="89">
        <f t="shared" si="401"/>
        <v>3</v>
      </c>
      <c r="G12" s="89" t="str">
        <f t="shared" si="402"/>
        <v>B</v>
      </c>
      <c r="H12" s="36" t="s">
        <v>150</v>
      </c>
      <c r="I12" s="37" t="s">
        <v>153</v>
      </c>
      <c r="J12" s="41" t="s">
        <v>152</v>
      </c>
      <c r="K12" s="90" t="str">
        <f t="shared" si="403"/>
        <v>A</v>
      </c>
      <c r="L12" s="41" t="s">
        <v>119</v>
      </c>
      <c r="M12" s="93">
        <v>41818</v>
      </c>
      <c r="N12" s="41"/>
      <c r="O12" s="43" t="s">
        <v>227</v>
      </c>
      <c r="P12" s="91" t="str">
        <f t="shared" si="404"/>
        <v>Əliyeva Sevinc Kamal</v>
      </c>
      <c r="Q12" s="4">
        <v>1369149</v>
      </c>
      <c r="R12" s="39">
        <v>101</v>
      </c>
      <c r="S12" s="39">
        <v>303</v>
      </c>
      <c r="T12" s="1">
        <v>70</v>
      </c>
      <c r="U12" s="1">
        <v>81</v>
      </c>
      <c r="V12" s="1">
        <v>65</v>
      </c>
      <c r="W12" s="1">
        <v>70</v>
      </c>
      <c r="X12" s="1">
        <v>80</v>
      </c>
      <c r="Y12" s="1"/>
      <c r="Z12" s="1"/>
      <c r="AA12" s="55">
        <v>74</v>
      </c>
      <c r="AB12" s="1"/>
      <c r="AC12" s="56">
        <v>74</v>
      </c>
      <c r="AD12" s="1"/>
      <c r="AE12" s="1"/>
      <c r="AF12" s="2">
        <v>4</v>
      </c>
      <c r="AG12" s="55">
        <v>97.359735973597353</v>
      </c>
      <c r="AH12" s="1">
        <v>65</v>
      </c>
      <c r="AI12" s="1">
        <v>76</v>
      </c>
      <c r="AJ12" s="1">
        <v>79</v>
      </c>
      <c r="AK12" s="1">
        <v>79</v>
      </c>
      <c r="AL12" s="1"/>
      <c r="AM12" s="1"/>
      <c r="AN12" s="55">
        <v>74.75</v>
      </c>
      <c r="AO12" s="1"/>
      <c r="AP12" s="56">
        <v>74.75</v>
      </c>
      <c r="AQ12" s="1"/>
      <c r="AR12" s="1">
        <v>33.33</v>
      </c>
      <c r="AS12" s="2">
        <v>5</v>
      </c>
      <c r="AT12" s="55">
        <v>96.699669966996694</v>
      </c>
      <c r="AU12" s="55">
        <v>74.375</v>
      </c>
      <c r="AV12" s="55" t="s">
        <v>230</v>
      </c>
      <c r="AW12" s="56">
        <v>74.375</v>
      </c>
      <c r="AX12" s="57">
        <v>4</v>
      </c>
      <c r="AY12" s="55">
        <v>33.33</v>
      </c>
      <c r="AZ12" s="1"/>
      <c r="BA12" s="58">
        <v>9</v>
      </c>
      <c r="BB12" s="59">
        <v>97.029702970297024</v>
      </c>
      <c r="BC12" s="4"/>
      <c r="BD12" s="39"/>
      <c r="BE12" s="39"/>
      <c r="BF12" s="1"/>
      <c r="BG12" s="1"/>
      <c r="BH12" s="1"/>
      <c r="BI12" s="1"/>
      <c r="BJ12" s="1"/>
      <c r="BK12" s="1"/>
      <c r="BL12" s="1"/>
      <c r="BM12" s="55"/>
      <c r="BN12" s="1"/>
      <c r="BO12" s="56"/>
      <c r="BP12" s="1"/>
      <c r="BQ12" s="1"/>
      <c r="BR12" s="2"/>
      <c r="BS12" s="55"/>
      <c r="BT12" s="1"/>
      <c r="BU12" s="1"/>
      <c r="BV12" s="1"/>
      <c r="BW12" s="1"/>
      <c r="BX12" s="1"/>
      <c r="BY12" s="1"/>
      <c r="BZ12" s="55"/>
      <c r="CA12" s="1"/>
      <c r="CB12" s="56"/>
      <c r="CC12" s="1"/>
      <c r="CD12" s="1"/>
      <c r="CE12" s="2"/>
      <c r="CF12" s="55"/>
      <c r="CG12" s="55"/>
      <c r="CH12" s="55"/>
      <c r="CI12" s="56"/>
      <c r="CJ12" s="57"/>
      <c r="CK12" s="55"/>
      <c r="CL12" s="1"/>
      <c r="CM12" s="58"/>
      <c r="CN12" s="59"/>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v>1273950</v>
      </c>
      <c r="EB12" s="39">
        <v>106</v>
      </c>
      <c r="EC12" s="39">
        <v>33</v>
      </c>
      <c r="ED12" s="1">
        <v>53</v>
      </c>
      <c r="EE12" s="1">
        <v>35</v>
      </c>
      <c r="EF12" s="1">
        <v>32</v>
      </c>
      <c r="EG12" s="1">
        <v>39</v>
      </c>
      <c r="EH12" s="1"/>
      <c r="EI12" s="1"/>
      <c r="EJ12" s="1"/>
      <c r="EK12" s="55">
        <v>35.333333333333336</v>
      </c>
      <c r="EL12" s="1"/>
      <c r="EM12" s="56">
        <v>35.333333333333336</v>
      </c>
      <c r="EN12" s="1"/>
      <c r="EO12" s="1"/>
      <c r="EP12" s="2">
        <v>1</v>
      </c>
      <c r="EQ12" s="55">
        <v>93.939393939393938</v>
      </c>
      <c r="ER12" s="1">
        <v>50</v>
      </c>
      <c r="ES12" s="1">
        <v>35</v>
      </c>
      <c r="ET12" s="1">
        <v>45</v>
      </c>
      <c r="EU12" s="1"/>
      <c r="EV12" s="1"/>
      <c r="EW12" s="1"/>
      <c r="EX12" s="55">
        <v>43.333333333333336</v>
      </c>
      <c r="EY12" s="1"/>
      <c r="EZ12" s="56">
        <v>43.333333333333336</v>
      </c>
      <c r="FA12" s="1"/>
      <c r="FB12" s="1">
        <v>16.670000000000002</v>
      </c>
      <c r="FC12" s="2">
        <v>0</v>
      </c>
      <c r="FD12" s="55">
        <v>100</v>
      </c>
      <c r="FE12" s="55">
        <v>39.333333333333336</v>
      </c>
      <c r="FF12" s="55" t="s">
        <v>230</v>
      </c>
      <c r="FG12" s="56">
        <v>39.333333333333336</v>
      </c>
      <c r="FH12" s="57">
        <v>3</v>
      </c>
      <c r="FI12" s="55">
        <v>16.670000000000002</v>
      </c>
      <c r="FJ12" s="1"/>
      <c r="FK12" s="58">
        <v>1</v>
      </c>
      <c r="FL12" s="59">
        <v>96.969696969696969</v>
      </c>
      <c r="FM12" s="4">
        <v>1369149</v>
      </c>
      <c r="FN12" s="39">
        <v>110</v>
      </c>
      <c r="FO12" s="39">
        <v>168</v>
      </c>
      <c r="FP12" s="1">
        <v>81</v>
      </c>
      <c r="FQ12" s="1">
        <v>77</v>
      </c>
      <c r="FR12" s="1">
        <v>85</v>
      </c>
      <c r="FS12" s="1">
        <v>90</v>
      </c>
      <c r="FT12" s="1">
        <v>85</v>
      </c>
      <c r="FU12" s="1"/>
      <c r="FV12" s="1"/>
      <c r="FW12" s="55">
        <v>84.25</v>
      </c>
      <c r="FX12" s="1"/>
      <c r="FY12" s="56">
        <v>84.25</v>
      </c>
      <c r="FZ12" s="1"/>
      <c r="GA12" s="1"/>
      <c r="GB12" s="2">
        <v>1</v>
      </c>
      <c r="GC12" s="55">
        <v>98.80952380952381</v>
      </c>
      <c r="GD12" s="1">
        <v>40</v>
      </c>
      <c r="GE12" s="1">
        <v>81</v>
      </c>
      <c r="GF12" s="1">
        <v>65</v>
      </c>
      <c r="GG12" s="1">
        <v>90</v>
      </c>
      <c r="GH12" s="1"/>
      <c r="GI12" s="1"/>
      <c r="GJ12" s="55">
        <v>69</v>
      </c>
      <c r="GK12" s="1"/>
      <c r="GL12" s="56">
        <v>69</v>
      </c>
      <c r="GM12" s="1"/>
      <c r="GN12" s="1">
        <v>44.44</v>
      </c>
      <c r="GO12" s="2">
        <v>3</v>
      </c>
      <c r="GP12" s="55">
        <v>96.428571428571431</v>
      </c>
      <c r="GQ12" s="55">
        <v>76.625</v>
      </c>
      <c r="GR12" s="55" t="s">
        <v>230</v>
      </c>
      <c r="GS12" s="56">
        <v>76.625</v>
      </c>
      <c r="GT12" s="57">
        <v>4</v>
      </c>
      <c r="GU12" s="55">
        <v>44.44</v>
      </c>
      <c r="GV12" s="1"/>
      <c r="GW12" s="58">
        <v>4</v>
      </c>
      <c r="GX12" s="59">
        <v>97.61904761904762</v>
      </c>
      <c r="GY12" s="4">
        <v>1791291</v>
      </c>
      <c r="GZ12" s="39">
        <v>114</v>
      </c>
      <c r="HA12" s="39">
        <v>33</v>
      </c>
      <c r="HB12" s="1">
        <v>65</v>
      </c>
      <c r="HC12" s="1">
        <v>70</v>
      </c>
      <c r="HD12" s="1">
        <v>70</v>
      </c>
      <c r="HE12" s="1">
        <v>65</v>
      </c>
      <c r="HF12" s="1"/>
      <c r="HG12" s="1"/>
      <c r="HH12" s="1"/>
      <c r="HI12" s="55">
        <v>68.333333333333329</v>
      </c>
      <c r="HJ12" s="1"/>
      <c r="HK12" s="56">
        <v>68.333333333333329</v>
      </c>
      <c r="HL12" s="1"/>
      <c r="HM12" s="1"/>
      <c r="HN12" s="2">
        <v>0</v>
      </c>
      <c r="HO12" s="55">
        <v>100</v>
      </c>
      <c r="HP12" s="1">
        <v>70</v>
      </c>
      <c r="HQ12" s="1">
        <v>65</v>
      </c>
      <c r="HR12" s="1">
        <v>70</v>
      </c>
      <c r="HS12" s="1"/>
      <c r="HT12" s="1"/>
      <c r="HU12" s="1"/>
      <c r="HV12" s="55">
        <v>68.333333333333329</v>
      </c>
      <c r="HW12" s="1"/>
      <c r="HX12" s="56">
        <v>68.333333333333329</v>
      </c>
      <c r="HY12" s="1"/>
      <c r="HZ12" s="1"/>
      <c r="IA12" s="2">
        <v>0</v>
      </c>
      <c r="IB12" s="55">
        <v>100</v>
      </c>
      <c r="IC12" s="55">
        <v>68.333333333333329</v>
      </c>
      <c r="ID12" s="55" t="s">
        <v>230</v>
      </c>
      <c r="IE12" s="56">
        <v>68.333333333333329</v>
      </c>
      <c r="IF12" s="57">
        <v>4</v>
      </c>
      <c r="IG12" s="55" t="s">
        <v>230</v>
      </c>
      <c r="IH12" s="1"/>
      <c r="II12" s="58">
        <v>0</v>
      </c>
      <c r="IJ12" s="59">
        <v>100</v>
      </c>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c r="JX12" s="39"/>
      <c r="JY12" s="39"/>
      <c r="JZ12" s="1"/>
      <c r="KA12" s="1"/>
      <c r="KB12" s="1"/>
      <c r="KC12" s="1"/>
      <c r="KD12" s="1"/>
      <c r="KE12" s="1"/>
      <c r="KF12" s="1"/>
      <c r="KG12" s="55"/>
      <c r="KH12" s="1"/>
      <c r="KI12" s="56"/>
      <c r="KJ12" s="1"/>
      <c r="KK12" s="1"/>
      <c r="KL12" s="2"/>
      <c r="KM12" s="55"/>
      <c r="KN12" s="1"/>
      <c r="KO12" s="1"/>
      <c r="KP12" s="1"/>
      <c r="KQ12" s="1"/>
      <c r="KR12" s="1"/>
      <c r="KS12" s="1"/>
      <c r="KT12" s="55"/>
      <c r="KU12" s="1"/>
      <c r="KV12" s="56"/>
      <c r="KW12" s="1"/>
      <c r="KX12" s="1"/>
      <c r="KY12" s="2"/>
      <c r="KZ12" s="55"/>
      <c r="LA12" s="55"/>
      <c r="LB12" s="55"/>
      <c r="LC12" s="56"/>
      <c r="LD12" s="57"/>
      <c r="LE12" s="55"/>
      <c r="LF12" s="1"/>
      <c r="LG12" s="58"/>
      <c r="LH12" s="59"/>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v>1369149</v>
      </c>
      <c r="PT12" s="39">
        <v>128</v>
      </c>
      <c r="PU12" s="39">
        <v>68</v>
      </c>
      <c r="PV12" s="1">
        <v>68</v>
      </c>
      <c r="PW12" s="1">
        <v>65</v>
      </c>
      <c r="PX12" s="1">
        <v>65</v>
      </c>
      <c r="PY12" s="1">
        <v>77</v>
      </c>
      <c r="PZ12" s="1"/>
      <c r="QA12" s="1"/>
      <c r="QB12" s="1"/>
      <c r="QC12" s="55">
        <v>69</v>
      </c>
      <c r="QD12" s="1"/>
      <c r="QE12" s="56">
        <v>69</v>
      </c>
      <c r="QF12" s="1"/>
      <c r="QG12" s="1"/>
      <c r="QH12" s="2">
        <v>1</v>
      </c>
      <c r="QI12" s="55">
        <v>97.058823529411768</v>
      </c>
      <c r="QJ12" s="1">
        <v>80</v>
      </c>
      <c r="QK12" s="1">
        <v>74</v>
      </c>
      <c r="QL12" s="1">
        <v>70</v>
      </c>
      <c r="QM12" s="1">
        <v>70</v>
      </c>
      <c r="QN12" s="1"/>
      <c r="QO12" s="1"/>
      <c r="QP12" s="55">
        <v>73.5</v>
      </c>
      <c r="QQ12" s="1"/>
      <c r="QR12" s="56">
        <v>73.5</v>
      </c>
      <c r="QS12" s="1"/>
      <c r="QT12" s="1"/>
      <c r="QU12" s="2">
        <v>0</v>
      </c>
      <c r="QV12" s="55">
        <v>100</v>
      </c>
      <c r="QW12" s="55">
        <v>71.25</v>
      </c>
      <c r="QX12" s="55" t="s">
        <v>230</v>
      </c>
      <c r="QY12" s="56">
        <v>71.25</v>
      </c>
      <c r="QZ12" s="57">
        <v>4</v>
      </c>
      <c r="RA12" s="55" t="s">
        <v>230</v>
      </c>
      <c r="RB12" s="1"/>
      <c r="RC12" s="58">
        <v>1</v>
      </c>
      <c r="RD12" s="59">
        <v>98.529411764705884</v>
      </c>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1369149</v>
      </c>
      <c r="UD12" s="39">
        <v>131</v>
      </c>
      <c r="UE12" s="39">
        <v>66</v>
      </c>
      <c r="UF12" s="1">
        <v>88</v>
      </c>
      <c r="UG12" s="1">
        <v>90</v>
      </c>
      <c r="UH12" s="1">
        <v>85</v>
      </c>
      <c r="UI12" s="1">
        <v>85</v>
      </c>
      <c r="UJ12" s="1"/>
      <c r="UK12" s="1"/>
      <c r="UL12" s="1"/>
      <c r="UM12" s="55">
        <v>86.666666666666671</v>
      </c>
      <c r="UN12" s="1"/>
      <c r="UO12" s="56">
        <v>86.666666666666671</v>
      </c>
      <c r="UP12" s="1"/>
      <c r="UQ12" s="1"/>
      <c r="UR12" s="2">
        <v>1</v>
      </c>
      <c r="US12" s="55">
        <v>96.969696969696969</v>
      </c>
      <c r="UT12" s="1">
        <v>85</v>
      </c>
      <c r="UU12" s="1">
        <v>85</v>
      </c>
      <c r="UV12" s="1">
        <v>90</v>
      </c>
      <c r="UW12" s="1"/>
      <c r="UX12" s="1"/>
      <c r="UY12" s="1"/>
      <c r="UZ12" s="55">
        <v>86.666666666666671</v>
      </c>
      <c r="VA12" s="1"/>
      <c r="VB12" s="56">
        <v>86.666666666666671</v>
      </c>
      <c r="VC12" s="1"/>
      <c r="VD12" s="1"/>
      <c r="VE12" s="2">
        <v>0</v>
      </c>
      <c r="VF12" s="55">
        <v>100</v>
      </c>
      <c r="VG12" s="55">
        <v>86.666666666666671</v>
      </c>
      <c r="VH12" s="55" t="s">
        <v>230</v>
      </c>
      <c r="VI12" s="56">
        <v>86.666666666666671</v>
      </c>
      <c r="VJ12" s="57">
        <v>5</v>
      </c>
      <c r="VK12" s="55" t="s">
        <v>230</v>
      </c>
      <c r="VL12" s="1"/>
      <c r="VM12" s="58">
        <v>1</v>
      </c>
      <c r="VN12" s="59">
        <v>98.484848484848484</v>
      </c>
      <c r="VO12" s="4">
        <v>1369149</v>
      </c>
      <c r="VP12" s="39">
        <v>132</v>
      </c>
      <c r="VQ12" s="39">
        <v>37</v>
      </c>
      <c r="VR12" s="1">
        <v>82</v>
      </c>
      <c r="VS12" s="1">
        <v>80</v>
      </c>
      <c r="VT12" s="1">
        <v>85</v>
      </c>
      <c r="VU12" s="1">
        <v>80</v>
      </c>
      <c r="VV12" s="1"/>
      <c r="VW12" s="1"/>
      <c r="VX12" s="1"/>
      <c r="VY12" s="55">
        <v>81.666666666666671</v>
      </c>
      <c r="VZ12" s="1"/>
      <c r="WA12" s="56">
        <v>81.666666666666671</v>
      </c>
      <c r="WB12" s="1"/>
      <c r="WC12" s="1"/>
      <c r="WD12" s="2">
        <v>0</v>
      </c>
      <c r="WE12" s="55">
        <v>100</v>
      </c>
      <c r="WF12" s="1">
        <v>85</v>
      </c>
      <c r="WG12" s="1">
        <v>82</v>
      </c>
      <c r="WH12" s="1">
        <v>82</v>
      </c>
      <c r="WI12" s="1"/>
      <c r="WJ12" s="1"/>
      <c r="WK12" s="1"/>
      <c r="WL12" s="55">
        <v>83</v>
      </c>
      <c r="WM12" s="1"/>
      <c r="WN12" s="56">
        <v>83</v>
      </c>
      <c r="WO12" s="1"/>
      <c r="WP12" s="1"/>
      <c r="WQ12" s="2">
        <v>0</v>
      </c>
      <c r="WR12" s="55">
        <v>100</v>
      </c>
      <c r="WS12" s="55">
        <v>82.333333333333343</v>
      </c>
      <c r="WT12" s="55" t="s">
        <v>230</v>
      </c>
      <c r="WU12" s="56">
        <v>82.333333333333343</v>
      </c>
      <c r="WV12" s="57">
        <v>5</v>
      </c>
      <c r="WW12" s="55" t="s">
        <v>230</v>
      </c>
      <c r="WX12" s="1"/>
      <c r="WY12" s="58">
        <v>0</v>
      </c>
      <c r="WZ12" s="59">
        <v>100</v>
      </c>
      <c r="XA12" s="4">
        <v>1787467</v>
      </c>
      <c r="XB12" s="39">
        <v>133</v>
      </c>
      <c r="XC12" s="39">
        <v>34</v>
      </c>
      <c r="XD12" s="1">
        <v>80</v>
      </c>
      <c r="XE12" s="1">
        <v>85</v>
      </c>
      <c r="XF12" s="1">
        <v>90</v>
      </c>
      <c r="XG12" s="1">
        <v>95</v>
      </c>
      <c r="XH12" s="1"/>
      <c r="XI12" s="1"/>
      <c r="XJ12" s="1"/>
      <c r="XK12" s="55">
        <v>90</v>
      </c>
      <c r="XL12" s="1"/>
      <c r="XM12" s="56">
        <v>90</v>
      </c>
      <c r="XN12" s="1"/>
      <c r="XO12" s="1"/>
      <c r="XP12" s="2">
        <v>1</v>
      </c>
      <c r="XQ12" s="55">
        <v>94.117647058823536</v>
      </c>
      <c r="XR12" s="1">
        <v>90</v>
      </c>
      <c r="XS12" s="1">
        <v>90</v>
      </c>
      <c r="XT12" s="1">
        <v>95</v>
      </c>
      <c r="XU12" s="1"/>
      <c r="XV12" s="1"/>
      <c r="XW12" s="1"/>
      <c r="XX12" s="55">
        <v>91.666666666666671</v>
      </c>
      <c r="XY12" s="1"/>
      <c r="XZ12" s="56">
        <v>91.666666666666671</v>
      </c>
      <c r="YA12" s="1"/>
      <c r="YB12" s="1"/>
      <c r="YC12" s="2">
        <v>0</v>
      </c>
      <c r="YD12" s="55">
        <v>100</v>
      </c>
      <c r="YE12" s="55">
        <v>90.833333333333343</v>
      </c>
      <c r="YF12" s="55" t="s">
        <v>230</v>
      </c>
      <c r="YG12" s="56">
        <v>90.833333333333343</v>
      </c>
      <c r="YH12" s="57">
        <v>5</v>
      </c>
      <c r="YI12" s="55" t="s">
        <v>230</v>
      </c>
      <c r="YJ12" s="1"/>
      <c r="YK12" s="58">
        <v>1</v>
      </c>
      <c r="YL12" s="59">
        <v>97.058823529411768</v>
      </c>
      <c r="YM12" s="4">
        <v>1369149</v>
      </c>
      <c r="YN12" s="39">
        <v>135</v>
      </c>
      <c r="YO12" s="39">
        <v>66</v>
      </c>
      <c r="YP12" s="1">
        <v>75</v>
      </c>
      <c r="YQ12" s="1">
        <v>70</v>
      </c>
      <c r="YR12" s="1">
        <v>85</v>
      </c>
      <c r="YS12" s="1">
        <v>85</v>
      </c>
      <c r="YT12" s="1"/>
      <c r="YU12" s="1"/>
      <c r="YV12" s="1"/>
      <c r="YW12" s="55">
        <v>80</v>
      </c>
      <c r="YX12" s="1"/>
      <c r="YY12" s="56">
        <v>80</v>
      </c>
      <c r="YZ12" s="1"/>
      <c r="ZA12" s="1"/>
      <c r="ZB12" s="2">
        <v>0</v>
      </c>
      <c r="ZC12" s="55">
        <v>100</v>
      </c>
      <c r="ZD12" s="1">
        <v>80</v>
      </c>
      <c r="ZE12" s="1">
        <v>80</v>
      </c>
      <c r="ZF12" s="1">
        <v>90</v>
      </c>
      <c r="ZG12" s="1"/>
      <c r="ZH12" s="1"/>
      <c r="ZI12" s="1"/>
      <c r="ZJ12" s="55">
        <v>83.333333333333329</v>
      </c>
      <c r="ZK12" s="1"/>
      <c r="ZL12" s="56">
        <v>83.333333333333329</v>
      </c>
      <c r="ZM12" s="1"/>
      <c r="ZN12" s="1"/>
      <c r="ZO12" s="2">
        <v>0</v>
      </c>
      <c r="ZP12" s="55">
        <v>100</v>
      </c>
      <c r="ZQ12" s="55">
        <v>81.666666666666657</v>
      </c>
      <c r="ZR12" s="55" t="s">
        <v>230</v>
      </c>
      <c r="ZS12" s="56">
        <v>81.666666666666657</v>
      </c>
      <c r="ZT12" s="57">
        <v>5</v>
      </c>
      <c r="ZU12" s="55" t="s">
        <v>230</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c r="ACX12" s="39"/>
      <c r="ACY12" s="39"/>
      <c r="ACZ12" s="1"/>
      <c r="ADA12" s="1"/>
      <c r="ADB12" s="1"/>
      <c r="ADC12" s="1"/>
      <c r="ADD12" s="1"/>
      <c r="ADE12" s="1"/>
      <c r="ADF12" s="1"/>
      <c r="ADG12" s="55"/>
      <c r="ADH12" s="1"/>
      <c r="ADI12" s="56"/>
      <c r="ADJ12" s="1"/>
      <c r="ADK12" s="1"/>
      <c r="ADL12" s="2"/>
      <c r="ADM12" s="55"/>
      <c r="ADN12" s="1"/>
      <c r="ADO12" s="1"/>
      <c r="ADP12" s="1"/>
      <c r="ADQ12" s="1"/>
      <c r="ADR12" s="1"/>
      <c r="ADS12" s="1"/>
      <c r="ADT12" s="55"/>
      <c r="ADU12" s="1"/>
      <c r="ADV12" s="56"/>
      <c r="ADW12" s="1"/>
      <c r="ADX12" s="1"/>
      <c r="ADY12" s="2"/>
      <c r="ADZ12" s="55"/>
      <c r="AEA12" s="55"/>
      <c r="AEB12" s="55"/>
      <c r="AEC12" s="56"/>
      <c r="AED12" s="57"/>
      <c r="AEE12" s="55"/>
      <c r="AEF12" s="1"/>
      <c r="AEG12" s="58"/>
      <c r="AEH12" s="59"/>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3684564</v>
      </c>
      <c r="F13" s="89">
        <f t="shared" si="401"/>
        <v>3</v>
      </c>
      <c r="G13" s="89" t="str">
        <f t="shared" si="402"/>
        <v>B</v>
      </c>
      <c r="H13" s="36" t="s">
        <v>154</v>
      </c>
      <c r="I13" s="37" t="s">
        <v>155</v>
      </c>
      <c r="J13" s="41" t="s">
        <v>156</v>
      </c>
      <c r="K13" s="90" t="str">
        <f t="shared" si="403"/>
        <v>A</v>
      </c>
      <c r="L13" s="41" t="s">
        <v>119</v>
      </c>
      <c r="M13" s="93">
        <v>41422</v>
      </c>
      <c r="N13" s="41"/>
      <c r="O13" s="43" t="s">
        <v>214</v>
      </c>
      <c r="P13" s="91" t="str">
        <f t="shared" si="404"/>
        <v>Əliyeva Sevinc Kamal</v>
      </c>
      <c r="Q13" s="4">
        <v>1369149</v>
      </c>
      <c r="R13" s="39">
        <v>101</v>
      </c>
      <c r="S13" s="39">
        <v>303</v>
      </c>
      <c r="T13" s="1">
        <v>93</v>
      </c>
      <c r="U13" s="1">
        <v>90</v>
      </c>
      <c r="V13" s="1">
        <v>85</v>
      </c>
      <c r="W13" s="1">
        <v>90</v>
      </c>
      <c r="X13" s="1">
        <v>100</v>
      </c>
      <c r="Y13" s="1"/>
      <c r="Z13" s="1"/>
      <c r="AA13" s="55">
        <v>91.25</v>
      </c>
      <c r="AB13" s="1"/>
      <c r="AC13" s="56">
        <v>91.25</v>
      </c>
      <c r="AD13" s="1"/>
      <c r="AE13" s="1"/>
      <c r="AF13" s="2">
        <v>12</v>
      </c>
      <c r="AG13" s="55">
        <v>92.079207920792072</v>
      </c>
      <c r="AH13" s="1">
        <v>88</v>
      </c>
      <c r="AI13" s="1">
        <v>100</v>
      </c>
      <c r="AJ13" s="1">
        <v>94</v>
      </c>
      <c r="AK13" s="1">
        <v>100</v>
      </c>
      <c r="AL13" s="1"/>
      <c r="AM13" s="1"/>
      <c r="AN13" s="55">
        <v>95.5</v>
      </c>
      <c r="AO13" s="1"/>
      <c r="AP13" s="56">
        <v>95.5</v>
      </c>
      <c r="AQ13" s="1"/>
      <c r="AR13" s="1">
        <v>63.89</v>
      </c>
      <c r="AS13" s="2">
        <v>0</v>
      </c>
      <c r="AT13" s="55">
        <v>100</v>
      </c>
      <c r="AU13" s="55">
        <v>93.375</v>
      </c>
      <c r="AV13" s="55" t="s">
        <v>230</v>
      </c>
      <c r="AW13" s="56">
        <v>93.375</v>
      </c>
      <c r="AX13" s="57">
        <v>5</v>
      </c>
      <c r="AY13" s="55">
        <v>63.89</v>
      </c>
      <c r="AZ13" s="1"/>
      <c r="BA13" s="58">
        <v>12</v>
      </c>
      <c r="BB13" s="59">
        <v>96.039603960396036</v>
      </c>
      <c r="BC13" s="4"/>
      <c r="BD13" s="39"/>
      <c r="BE13" s="39"/>
      <c r="BF13" s="1"/>
      <c r="BG13" s="1"/>
      <c r="BH13" s="1"/>
      <c r="BI13" s="1"/>
      <c r="BJ13" s="1"/>
      <c r="BK13" s="1"/>
      <c r="BL13" s="1"/>
      <c r="BM13" s="55"/>
      <c r="BN13" s="1"/>
      <c r="BO13" s="56"/>
      <c r="BP13" s="1"/>
      <c r="BQ13" s="1"/>
      <c r="BR13" s="2"/>
      <c r="BS13" s="55"/>
      <c r="BT13" s="1"/>
      <c r="BU13" s="1"/>
      <c r="BV13" s="1"/>
      <c r="BW13" s="1"/>
      <c r="BX13" s="1"/>
      <c r="BY13" s="1"/>
      <c r="BZ13" s="55"/>
      <c r="CA13" s="1"/>
      <c r="CB13" s="56"/>
      <c r="CC13" s="1"/>
      <c r="CD13" s="1"/>
      <c r="CE13" s="2"/>
      <c r="CF13" s="55"/>
      <c r="CG13" s="55"/>
      <c r="CH13" s="55"/>
      <c r="CI13" s="56"/>
      <c r="CJ13" s="57"/>
      <c r="CK13" s="55"/>
      <c r="CL13" s="1"/>
      <c r="CM13" s="58"/>
      <c r="CN13" s="59"/>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v>1273950</v>
      </c>
      <c r="EB13" s="39">
        <v>106</v>
      </c>
      <c r="EC13" s="39">
        <v>33</v>
      </c>
      <c r="ED13" s="1">
        <v>93</v>
      </c>
      <c r="EE13" s="1">
        <v>95</v>
      </c>
      <c r="EF13" s="1">
        <v>93</v>
      </c>
      <c r="EG13" s="1">
        <v>100</v>
      </c>
      <c r="EH13" s="1"/>
      <c r="EI13" s="1"/>
      <c r="EJ13" s="1"/>
      <c r="EK13" s="55">
        <v>96</v>
      </c>
      <c r="EL13" s="1"/>
      <c r="EM13" s="56">
        <v>96</v>
      </c>
      <c r="EN13" s="1"/>
      <c r="EO13" s="1"/>
      <c r="EP13" s="2">
        <v>1</v>
      </c>
      <c r="EQ13" s="55">
        <v>93.939393939393938</v>
      </c>
      <c r="ER13" s="1">
        <v>90</v>
      </c>
      <c r="ES13" s="1">
        <v>90</v>
      </c>
      <c r="ET13" s="1">
        <v>95</v>
      </c>
      <c r="EU13" s="1"/>
      <c r="EV13" s="1"/>
      <c r="EW13" s="1"/>
      <c r="EX13" s="55">
        <v>91.666666666666671</v>
      </c>
      <c r="EY13" s="1"/>
      <c r="EZ13" s="56">
        <v>91.666666666666671</v>
      </c>
      <c r="FA13" s="1"/>
      <c r="FB13" s="1">
        <v>91.67</v>
      </c>
      <c r="FC13" s="2">
        <v>0</v>
      </c>
      <c r="FD13" s="55">
        <v>100</v>
      </c>
      <c r="FE13" s="55">
        <v>93.833333333333343</v>
      </c>
      <c r="FF13" s="55" t="s">
        <v>230</v>
      </c>
      <c r="FG13" s="56">
        <v>93.833333333333343</v>
      </c>
      <c r="FH13" s="57">
        <v>5</v>
      </c>
      <c r="FI13" s="55">
        <v>91.67</v>
      </c>
      <c r="FJ13" s="1"/>
      <c r="FK13" s="58">
        <v>1</v>
      </c>
      <c r="FL13" s="59">
        <v>96.969696969696969</v>
      </c>
      <c r="FM13" s="4">
        <v>1369149</v>
      </c>
      <c r="FN13" s="39">
        <v>110</v>
      </c>
      <c r="FO13" s="39">
        <v>168</v>
      </c>
      <c r="FP13" s="1">
        <v>94</v>
      </c>
      <c r="FQ13" s="1">
        <v>84</v>
      </c>
      <c r="FR13" s="1">
        <v>90</v>
      </c>
      <c r="FS13" s="1">
        <v>92</v>
      </c>
      <c r="FT13" s="1">
        <v>100</v>
      </c>
      <c r="FU13" s="1"/>
      <c r="FV13" s="1"/>
      <c r="FW13" s="55">
        <v>91.5</v>
      </c>
      <c r="FX13" s="1"/>
      <c r="FY13" s="56">
        <v>91.5</v>
      </c>
      <c r="FZ13" s="1"/>
      <c r="GA13" s="1"/>
      <c r="GB13" s="2">
        <v>5</v>
      </c>
      <c r="GC13" s="55">
        <v>94.047619047619051</v>
      </c>
      <c r="GD13" s="1">
        <v>85</v>
      </c>
      <c r="GE13" s="1">
        <v>100</v>
      </c>
      <c r="GF13" s="1">
        <v>100</v>
      </c>
      <c r="GG13" s="1">
        <v>100</v>
      </c>
      <c r="GH13" s="1"/>
      <c r="GI13" s="1"/>
      <c r="GJ13" s="55">
        <v>96.25</v>
      </c>
      <c r="GK13" s="1"/>
      <c r="GL13" s="56">
        <v>96.25</v>
      </c>
      <c r="GM13" s="1"/>
      <c r="GN13" s="1">
        <v>88.89</v>
      </c>
      <c r="GO13" s="2">
        <v>0</v>
      </c>
      <c r="GP13" s="55">
        <v>100</v>
      </c>
      <c r="GQ13" s="55">
        <v>93.875</v>
      </c>
      <c r="GR13" s="55" t="s">
        <v>230</v>
      </c>
      <c r="GS13" s="56">
        <v>93.875</v>
      </c>
      <c r="GT13" s="57">
        <v>5</v>
      </c>
      <c r="GU13" s="55">
        <v>88.89</v>
      </c>
      <c r="GV13" s="1"/>
      <c r="GW13" s="58">
        <v>5</v>
      </c>
      <c r="GX13" s="59">
        <v>97.023809523809518</v>
      </c>
      <c r="GY13" s="4">
        <v>1791291</v>
      </c>
      <c r="GZ13" s="39">
        <v>114</v>
      </c>
      <c r="HA13" s="39">
        <v>33</v>
      </c>
      <c r="HB13" s="1">
        <v>89</v>
      </c>
      <c r="HC13" s="1">
        <v>80</v>
      </c>
      <c r="HD13" s="1">
        <v>85</v>
      </c>
      <c r="HE13" s="1">
        <v>85</v>
      </c>
      <c r="HF13" s="1"/>
      <c r="HG13" s="1"/>
      <c r="HH13" s="1"/>
      <c r="HI13" s="55">
        <v>83.333333333333329</v>
      </c>
      <c r="HJ13" s="1"/>
      <c r="HK13" s="56">
        <v>83.333333333333329</v>
      </c>
      <c r="HL13" s="1"/>
      <c r="HM13" s="1"/>
      <c r="HN13" s="2">
        <v>1</v>
      </c>
      <c r="HO13" s="55">
        <v>93.939393939393938</v>
      </c>
      <c r="HP13" s="1">
        <v>85</v>
      </c>
      <c r="HQ13" s="1">
        <v>85</v>
      </c>
      <c r="HR13" s="1">
        <v>85</v>
      </c>
      <c r="HS13" s="1"/>
      <c r="HT13" s="1"/>
      <c r="HU13" s="1"/>
      <c r="HV13" s="55">
        <v>85</v>
      </c>
      <c r="HW13" s="1"/>
      <c r="HX13" s="56">
        <v>85</v>
      </c>
      <c r="HY13" s="1"/>
      <c r="HZ13" s="1"/>
      <c r="IA13" s="2">
        <v>0</v>
      </c>
      <c r="IB13" s="55">
        <v>100</v>
      </c>
      <c r="IC13" s="55">
        <v>84.166666666666657</v>
      </c>
      <c r="ID13" s="55" t="s">
        <v>230</v>
      </c>
      <c r="IE13" s="56">
        <v>84.166666666666657</v>
      </c>
      <c r="IF13" s="57">
        <v>5</v>
      </c>
      <c r="IG13" s="55" t="s">
        <v>230</v>
      </c>
      <c r="IH13" s="1"/>
      <c r="II13" s="58">
        <v>1</v>
      </c>
      <c r="IJ13" s="59">
        <v>96.969696969696969</v>
      </c>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c r="JX13" s="39"/>
      <c r="JY13" s="39"/>
      <c r="JZ13" s="1"/>
      <c r="KA13" s="1"/>
      <c r="KB13" s="1"/>
      <c r="KC13" s="1"/>
      <c r="KD13" s="1"/>
      <c r="KE13" s="1"/>
      <c r="KF13" s="1"/>
      <c r="KG13" s="55"/>
      <c r="KH13" s="1"/>
      <c r="KI13" s="56"/>
      <c r="KJ13" s="1"/>
      <c r="KK13" s="1"/>
      <c r="KL13" s="2"/>
      <c r="KM13" s="55"/>
      <c r="KN13" s="1"/>
      <c r="KO13" s="1"/>
      <c r="KP13" s="1"/>
      <c r="KQ13" s="1"/>
      <c r="KR13" s="1"/>
      <c r="KS13" s="1"/>
      <c r="KT13" s="55"/>
      <c r="KU13" s="1"/>
      <c r="KV13" s="56"/>
      <c r="KW13" s="1"/>
      <c r="KX13" s="1"/>
      <c r="KY13" s="2"/>
      <c r="KZ13" s="55"/>
      <c r="LA13" s="55"/>
      <c r="LB13" s="55"/>
      <c r="LC13" s="56"/>
      <c r="LD13" s="57"/>
      <c r="LE13" s="55"/>
      <c r="LF13" s="1"/>
      <c r="LG13" s="58"/>
      <c r="LH13" s="59"/>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v>1369149</v>
      </c>
      <c r="PT13" s="39">
        <v>128</v>
      </c>
      <c r="PU13" s="39">
        <v>68</v>
      </c>
      <c r="PV13" s="1">
        <v>93</v>
      </c>
      <c r="PW13" s="1">
        <v>90</v>
      </c>
      <c r="PX13" s="1">
        <v>90</v>
      </c>
      <c r="PY13" s="1">
        <v>94</v>
      </c>
      <c r="PZ13" s="1"/>
      <c r="QA13" s="1"/>
      <c r="QB13" s="1"/>
      <c r="QC13" s="55">
        <v>91.333333333333329</v>
      </c>
      <c r="QD13" s="1"/>
      <c r="QE13" s="56">
        <v>91.333333333333329</v>
      </c>
      <c r="QF13" s="1"/>
      <c r="QG13" s="1"/>
      <c r="QH13" s="2">
        <v>1</v>
      </c>
      <c r="QI13" s="55">
        <v>97.058823529411768</v>
      </c>
      <c r="QJ13" s="1">
        <v>85</v>
      </c>
      <c r="QK13" s="1">
        <v>90</v>
      </c>
      <c r="QL13" s="1">
        <v>90</v>
      </c>
      <c r="QM13" s="1">
        <v>90</v>
      </c>
      <c r="QN13" s="1"/>
      <c r="QO13" s="1"/>
      <c r="QP13" s="55">
        <v>88.75</v>
      </c>
      <c r="QQ13" s="1"/>
      <c r="QR13" s="56">
        <v>88.75</v>
      </c>
      <c r="QS13" s="1"/>
      <c r="QT13" s="1"/>
      <c r="QU13" s="2">
        <v>0</v>
      </c>
      <c r="QV13" s="55">
        <v>100</v>
      </c>
      <c r="QW13" s="55">
        <v>90.041666666666657</v>
      </c>
      <c r="QX13" s="55" t="s">
        <v>230</v>
      </c>
      <c r="QY13" s="56">
        <v>90.041666666666657</v>
      </c>
      <c r="QZ13" s="57">
        <v>5</v>
      </c>
      <c r="RA13" s="55" t="s">
        <v>230</v>
      </c>
      <c r="RB13" s="1"/>
      <c r="RC13" s="58">
        <v>1</v>
      </c>
      <c r="RD13" s="59">
        <v>98.529411764705884</v>
      </c>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1369149</v>
      </c>
      <c r="UD13" s="39">
        <v>131</v>
      </c>
      <c r="UE13" s="39">
        <v>66</v>
      </c>
      <c r="UF13" s="1">
        <v>98</v>
      </c>
      <c r="UG13" s="1">
        <v>100</v>
      </c>
      <c r="UH13" s="1">
        <v>100</v>
      </c>
      <c r="UI13" s="1">
        <v>100</v>
      </c>
      <c r="UJ13" s="1"/>
      <c r="UK13" s="1"/>
      <c r="UL13" s="1"/>
      <c r="UM13" s="55">
        <v>100</v>
      </c>
      <c r="UN13" s="1"/>
      <c r="UO13" s="56">
        <v>100</v>
      </c>
      <c r="UP13" s="1"/>
      <c r="UQ13" s="1"/>
      <c r="UR13" s="2">
        <v>2</v>
      </c>
      <c r="US13" s="55">
        <v>93.939393939393938</v>
      </c>
      <c r="UT13" s="1">
        <v>100</v>
      </c>
      <c r="UU13" s="1">
        <v>100</v>
      </c>
      <c r="UV13" s="1">
        <v>100</v>
      </c>
      <c r="UW13" s="1"/>
      <c r="UX13" s="1"/>
      <c r="UY13" s="1"/>
      <c r="UZ13" s="55">
        <v>100</v>
      </c>
      <c r="VA13" s="1"/>
      <c r="VB13" s="56">
        <v>100</v>
      </c>
      <c r="VC13" s="1"/>
      <c r="VD13" s="1"/>
      <c r="VE13" s="2">
        <v>0</v>
      </c>
      <c r="VF13" s="55">
        <v>100</v>
      </c>
      <c r="VG13" s="55">
        <v>100</v>
      </c>
      <c r="VH13" s="55" t="s">
        <v>230</v>
      </c>
      <c r="VI13" s="56">
        <v>100</v>
      </c>
      <c r="VJ13" s="57">
        <v>5</v>
      </c>
      <c r="VK13" s="55" t="s">
        <v>230</v>
      </c>
      <c r="VL13" s="1"/>
      <c r="VM13" s="58">
        <v>2</v>
      </c>
      <c r="VN13" s="59">
        <v>96.969696969696969</v>
      </c>
      <c r="VO13" s="4">
        <v>1369149</v>
      </c>
      <c r="VP13" s="39">
        <v>132</v>
      </c>
      <c r="VQ13" s="39">
        <v>37</v>
      </c>
      <c r="VR13" s="1">
        <v>100</v>
      </c>
      <c r="VS13" s="1">
        <v>100</v>
      </c>
      <c r="VT13" s="1">
        <v>100</v>
      </c>
      <c r="VU13" s="1">
        <v>90</v>
      </c>
      <c r="VV13" s="1"/>
      <c r="VW13" s="1"/>
      <c r="VX13" s="1"/>
      <c r="VY13" s="55">
        <v>96.666666666666671</v>
      </c>
      <c r="VZ13" s="1"/>
      <c r="WA13" s="56">
        <v>96.666666666666671</v>
      </c>
      <c r="WB13" s="1"/>
      <c r="WC13" s="1"/>
      <c r="WD13" s="2">
        <v>0</v>
      </c>
      <c r="WE13" s="55">
        <v>100</v>
      </c>
      <c r="WF13" s="1">
        <v>100</v>
      </c>
      <c r="WG13" s="1">
        <v>100</v>
      </c>
      <c r="WH13" s="1">
        <v>100</v>
      </c>
      <c r="WI13" s="1"/>
      <c r="WJ13" s="1"/>
      <c r="WK13" s="1"/>
      <c r="WL13" s="55">
        <v>100</v>
      </c>
      <c r="WM13" s="1"/>
      <c r="WN13" s="56">
        <v>100</v>
      </c>
      <c r="WO13" s="1"/>
      <c r="WP13" s="1"/>
      <c r="WQ13" s="2">
        <v>0</v>
      </c>
      <c r="WR13" s="55">
        <v>100</v>
      </c>
      <c r="WS13" s="55">
        <v>98.333333333333343</v>
      </c>
      <c r="WT13" s="55" t="s">
        <v>230</v>
      </c>
      <c r="WU13" s="56">
        <v>98.333333333333343</v>
      </c>
      <c r="WV13" s="57">
        <v>5</v>
      </c>
      <c r="WW13" s="55" t="s">
        <v>230</v>
      </c>
      <c r="WX13" s="1"/>
      <c r="WY13" s="58">
        <v>0</v>
      </c>
      <c r="WZ13" s="59">
        <v>100</v>
      </c>
      <c r="XA13" s="4">
        <v>1787467</v>
      </c>
      <c r="XB13" s="39">
        <v>133</v>
      </c>
      <c r="XC13" s="39">
        <v>34</v>
      </c>
      <c r="XD13" s="1">
        <v>96</v>
      </c>
      <c r="XE13" s="1">
        <v>90</v>
      </c>
      <c r="XF13" s="1">
        <v>85</v>
      </c>
      <c r="XG13" s="1">
        <v>90</v>
      </c>
      <c r="XH13" s="1"/>
      <c r="XI13" s="1"/>
      <c r="XJ13" s="1"/>
      <c r="XK13" s="55">
        <v>88.333333333333329</v>
      </c>
      <c r="XL13" s="1"/>
      <c r="XM13" s="56">
        <v>88.333333333333329</v>
      </c>
      <c r="XN13" s="1"/>
      <c r="XO13" s="1"/>
      <c r="XP13" s="2">
        <v>1</v>
      </c>
      <c r="XQ13" s="55">
        <v>94.117647058823536</v>
      </c>
      <c r="XR13" s="1">
        <v>85</v>
      </c>
      <c r="XS13" s="1">
        <v>90</v>
      </c>
      <c r="XT13" s="1">
        <v>95</v>
      </c>
      <c r="XU13" s="1"/>
      <c r="XV13" s="1"/>
      <c r="XW13" s="1"/>
      <c r="XX13" s="55">
        <v>90</v>
      </c>
      <c r="XY13" s="1"/>
      <c r="XZ13" s="56">
        <v>90</v>
      </c>
      <c r="YA13" s="1"/>
      <c r="YB13" s="1"/>
      <c r="YC13" s="2">
        <v>0</v>
      </c>
      <c r="YD13" s="55">
        <v>100</v>
      </c>
      <c r="YE13" s="55">
        <v>89.166666666666657</v>
      </c>
      <c r="YF13" s="55" t="s">
        <v>230</v>
      </c>
      <c r="YG13" s="56">
        <v>89.166666666666657</v>
      </c>
      <c r="YH13" s="57">
        <v>5</v>
      </c>
      <c r="YI13" s="55" t="s">
        <v>230</v>
      </c>
      <c r="YJ13" s="1"/>
      <c r="YK13" s="58">
        <v>1</v>
      </c>
      <c r="YL13" s="59">
        <v>97.058823529411768</v>
      </c>
      <c r="YM13" s="4">
        <v>1369149</v>
      </c>
      <c r="YN13" s="39">
        <v>135</v>
      </c>
      <c r="YO13" s="39">
        <v>66</v>
      </c>
      <c r="YP13" s="1">
        <v>92</v>
      </c>
      <c r="YQ13" s="1">
        <v>100</v>
      </c>
      <c r="YR13" s="1">
        <v>100</v>
      </c>
      <c r="YS13" s="1">
        <v>100</v>
      </c>
      <c r="YT13" s="1"/>
      <c r="YU13" s="1"/>
      <c r="YV13" s="1"/>
      <c r="YW13" s="55">
        <v>100</v>
      </c>
      <c r="YX13" s="1"/>
      <c r="YY13" s="56">
        <v>100</v>
      </c>
      <c r="YZ13" s="1"/>
      <c r="ZA13" s="1"/>
      <c r="ZB13" s="2">
        <v>1</v>
      </c>
      <c r="ZC13" s="55">
        <v>96.969696969696969</v>
      </c>
      <c r="ZD13" s="1">
        <v>100</v>
      </c>
      <c r="ZE13" s="1">
        <v>100</v>
      </c>
      <c r="ZF13" s="1">
        <v>100</v>
      </c>
      <c r="ZG13" s="1"/>
      <c r="ZH13" s="1"/>
      <c r="ZI13" s="1"/>
      <c r="ZJ13" s="55">
        <v>100</v>
      </c>
      <c r="ZK13" s="1"/>
      <c r="ZL13" s="56">
        <v>100</v>
      </c>
      <c r="ZM13" s="1"/>
      <c r="ZN13" s="1"/>
      <c r="ZO13" s="2">
        <v>0</v>
      </c>
      <c r="ZP13" s="55">
        <v>100</v>
      </c>
      <c r="ZQ13" s="55">
        <v>100</v>
      </c>
      <c r="ZR13" s="55" t="s">
        <v>230</v>
      </c>
      <c r="ZS13" s="56">
        <v>100</v>
      </c>
      <c r="ZT13" s="57">
        <v>5</v>
      </c>
      <c r="ZU13" s="55" t="s">
        <v>230</v>
      </c>
      <c r="ZV13" s="1"/>
      <c r="ZW13" s="58">
        <v>1</v>
      </c>
      <c r="ZX13" s="59">
        <v>98.484848484848484</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c r="ACX13" s="39"/>
      <c r="ACY13" s="39"/>
      <c r="ACZ13" s="1"/>
      <c r="ADA13" s="1"/>
      <c r="ADB13" s="1"/>
      <c r="ADC13" s="1"/>
      <c r="ADD13" s="1"/>
      <c r="ADE13" s="1"/>
      <c r="ADF13" s="1"/>
      <c r="ADG13" s="55"/>
      <c r="ADH13" s="1"/>
      <c r="ADI13" s="56"/>
      <c r="ADJ13" s="1"/>
      <c r="ADK13" s="1"/>
      <c r="ADL13" s="2"/>
      <c r="ADM13" s="55"/>
      <c r="ADN13" s="1"/>
      <c r="ADO13" s="1"/>
      <c r="ADP13" s="1"/>
      <c r="ADQ13" s="1"/>
      <c r="ADR13" s="1"/>
      <c r="ADS13" s="1"/>
      <c r="ADT13" s="55"/>
      <c r="ADU13" s="1"/>
      <c r="ADV13" s="56"/>
      <c r="ADW13" s="1"/>
      <c r="ADX13" s="1"/>
      <c r="ADY13" s="2"/>
      <c r="ADZ13" s="55"/>
      <c r="AEA13" s="55"/>
      <c r="AEB13" s="55"/>
      <c r="AEC13" s="56"/>
      <c r="AED13" s="57"/>
      <c r="AEE13" s="55"/>
      <c r="AEF13" s="1"/>
      <c r="AEG13" s="58"/>
      <c r="AEH13" s="59"/>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3684571</v>
      </c>
      <c r="F14" s="89">
        <f t="shared" si="401"/>
        <v>3</v>
      </c>
      <c r="G14" s="89" t="str">
        <f t="shared" si="402"/>
        <v>B</v>
      </c>
      <c r="H14" s="36" t="s">
        <v>157</v>
      </c>
      <c r="I14" s="37" t="s">
        <v>158</v>
      </c>
      <c r="J14" s="41" t="s">
        <v>159</v>
      </c>
      <c r="K14" s="90" t="str">
        <f t="shared" si="403"/>
        <v>A</v>
      </c>
      <c r="L14" s="41" t="s">
        <v>119</v>
      </c>
      <c r="M14" s="93">
        <v>41494</v>
      </c>
      <c r="N14" s="41"/>
      <c r="O14" s="43" t="s">
        <v>228</v>
      </c>
      <c r="P14" s="91" t="str">
        <f t="shared" si="404"/>
        <v>Əliyeva Sevinc Kamal</v>
      </c>
      <c r="Q14" s="4">
        <v>1369149</v>
      </c>
      <c r="R14" s="39">
        <v>101</v>
      </c>
      <c r="S14" s="39">
        <v>303</v>
      </c>
      <c r="T14" s="1">
        <v>77</v>
      </c>
      <c r="U14" s="1">
        <v>77</v>
      </c>
      <c r="V14" s="1">
        <v>61</v>
      </c>
      <c r="W14" s="1">
        <v>70</v>
      </c>
      <c r="X14" s="1">
        <v>85</v>
      </c>
      <c r="Y14" s="1"/>
      <c r="Z14" s="1"/>
      <c r="AA14" s="55">
        <v>73.25</v>
      </c>
      <c r="AB14" s="1"/>
      <c r="AC14" s="56">
        <v>73.25</v>
      </c>
      <c r="AD14" s="1"/>
      <c r="AE14" s="1"/>
      <c r="AF14" s="2">
        <v>0</v>
      </c>
      <c r="AG14" s="55">
        <v>100</v>
      </c>
      <c r="AH14" s="1">
        <v>82</v>
      </c>
      <c r="AI14" s="1">
        <v>71</v>
      </c>
      <c r="AJ14" s="1">
        <v>79</v>
      </c>
      <c r="AK14" s="1">
        <v>85</v>
      </c>
      <c r="AL14" s="1"/>
      <c r="AM14" s="1"/>
      <c r="AN14" s="55">
        <v>79.25</v>
      </c>
      <c r="AO14" s="1"/>
      <c r="AP14" s="56">
        <v>79.25</v>
      </c>
      <c r="AQ14" s="1"/>
      <c r="AR14" s="1">
        <v>55.56</v>
      </c>
      <c r="AS14" s="2">
        <v>0</v>
      </c>
      <c r="AT14" s="55">
        <v>100</v>
      </c>
      <c r="AU14" s="55">
        <v>76.25</v>
      </c>
      <c r="AV14" s="55" t="s">
        <v>230</v>
      </c>
      <c r="AW14" s="56">
        <v>76.25</v>
      </c>
      <c r="AX14" s="57">
        <v>4</v>
      </c>
      <c r="AY14" s="55">
        <v>55.56</v>
      </c>
      <c r="AZ14" s="1"/>
      <c r="BA14" s="58">
        <v>0</v>
      </c>
      <c r="BB14" s="59">
        <v>100</v>
      </c>
      <c r="BC14" s="4"/>
      <c r="BD14" s="39"/>
      <c r="BE14" s="39"/>
      <c r="BF14" s="1"/>
      <c r="BG14" s="1"/>
      <c r="BH14" s="1"/>
      <c r="BI14" s="1"/>
      <c r="BJ14" s="1"/>
      <c r="BK14" s="1"/>
      <c r="BL14" s="1"/>
      <c r="BM14" s="55"/>
      <c r="BN14" s="1"/>
      <c r="BO14" s="56"/>
      <c r="BP14" s="1"/>
      <c r="BQ14" s="1"/>
      <c r="BR14" s="2"/>
      <c r="BS14" s="55"/>
      <c r="BT14" s="1"/>
      <c r="BU14" s="1"/>
      <c r="BV14" s="1"/>
      <c r="BW14" s="1"/>
      <c r="BX14" s="1"/>
      <c r="BY14" s="1"/>
      <c r="BZ14" s="55"/>
      <c r="CA14" s="1"/>
      <c r="CB14" s="56"/>
      <c r="CC14" s="1"/>
      <c r="CD14" s="1"/>
      <c r="CE14" s="2"/>
      <c r="CF14" s="55"/>
      <c r="CG14" s="55"/>
      <c r="CH14" s="55"/>
      <c r="CI14" s="56"/>
      <c r="CJ14" s="57"/>
      <c r="CK14" s="55"/>
      <c r="CL14" s="1"/>
      <c r="CM14" s="58"/>
      <c r="CN14" s="59"/>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v>1273950</v>
      </c>
      <c r="EB14" s="39">
        <v>106</v>
      </c>
      <c r="EC14" s="39">
        <v>33</v>
      </c>
      <c r="ED14" s="1">
        <v>69</v>
      </c>
      <c r="EE14" s="1">
        <v>54</v>
      </c>
      <c r="EF14" s="1">
        <v>65</v>
      </c>
      <c r="EG14" s="1">
        <v>68</v>
      </c>
      <c r="EH14" s="1"/>
      <c r="EI14" s="1"/>
      <c r="EJ14" s="1"/>
      <c r="EK14" s="55">
        <v>62.333333333333336</v>
      </c>
      <c r="EL14" s="1"/>
      <c r="EM14" s="56">
        <v>62.333333333333336</v>
      </c>
      <c r="EN14" s="1"/>
      <c r="EO14" s="1"/>
      <c r="EP14" s="2">
        <v>0</v>
      </c>
      <c r="EQ14" s="55">
        <v>100</v>
      </c>
      <c r="ER14" s="1">
        <v>35</v>
      </c>
      <c r="ES14" s="1">
        <v>80</v>
      </c>
      <c r="ET14" s="1">
        <v>85</v>
      </c>
      <c r="EU14" s="1"/>
      <c r="EV14" s="1"/>
      <c r="EW14" s="1"/>
      <c r="EX14" s="55">
        <v>66.666666666666671</v>
      </c>
      <c r="EY14" s="1"/>
      <c r="EZ14" s="56">
        <v>66.666666666666671</v>
      </c>
      <c r="FA14" s="1"/>
      <c r="FB14" s="1">
        <v>50</v>
      </c>
      <c r="FC14" s="2">
        <v>0</v>
      </c>
      <c r="FD14" s="55">
        <v>100</v>
      </c>
      <c r="FE14" s="55">
        <v>64.5</v>
      </c>
      <c r="FF14" s="55" t="s">
        <v>230</v>
      </c>
      <c r="FG14" s="56">
        <v>64.5</v>
      </c>
      <c r="FH14" s="57">
        <v>4</v>
      </c>
      <c r="FI14" s="55">
        <v>50</v>
      </c>
      <c r="FJ14" s="1"/>
      <c r="FK14" s="58">
        <v>0</v>
      </c>
      <c r="FL14" s="59">
        <v>100</v>
      </c>
      <c r="FM14" s="4">
        <v>1369149</v>
      </c>
      <c r="FN14" s="39">
        <v>110</v>
      </c>
      <c r="FO14" s="39">
        <v>168</v>
      </c>
      <c r="FP14" s="1">
        <v>80</v>
      </c>
      <c r="FQ14" s="1">
        <v>75</v>
      </c>
      <c r="FR14" s="1">
        <v>90</v>
      </c>
      <c r="FS14" s="1">
        <v>92</v>
      </c>
      <c r="FT14" s="1">
        <v>100</v>
      </c>
      <c r="FU14" s="1"/>
      <c r="FV14" s="1"/>
      <c r="FW14" s="55">
        <v>89.25</v>
      </c>
      <c r="FX14" s="1"/>
      <c r="FY14" s="56">
        <v>89.25</v>
      </c>
      <c r="FZ14" s="1"/>
      <c r="GA14" s="1"/>
      <c r="GB14" s="2">
        <v>0</v>
      </c>
      <c r="GC14" s="55">
        <v>100</v>
      </c>
      <c r="GD14" s="1">
        <v>68</v>
      </c>
      <c r="GE14" s="1">
        <v>83</v>
      </c>
      <c r="GF14" s="1">
        <v>87</v>
      </c>
      <c r="GG14" s="1">
        <v>100</v>
      </c>
      <c r="GH14" s="1"/>
      <c r="GI14" s="1"/>
      <c r="GJ14" s="55">
        <v>84.5</v>
      </c>
      <c r="GK14" s="1"/>
      <c r="GL14" s="56">
        <v>84.5</v>
      </c>
      <c r="GM14" s="1"/>
      <c r="GN14" s="1">
        <v>61.11</v>
      </c>
      <c r="GO14" s="2">
        <v>0</v>
      </c>
      <c r="GP14" s="55">
        <v>100</v>
      </c>
      <c r="GQ14" s="55">
        <v>86.875</v>
      </c>
      <c r="GR14" s="55" t="s">
        <v>230</v>
      </c>
      <c r="GS14" s="56">
        <v>86.875</v>
      </c>
      <c r="GT14" s="57">
        <v>5</v>
      </c>
      <c r="GU14" s="55">
        <v>61.11</v>
      </c>
      <c r="GV14" s="1"/>
      <c r="GW14" s="58">
        <v>0</v>
      </c>
      <c r="GX14" s="59">
        <v>100</v>
      </c>
      <c r="GY14" s="4">
        <v>1791291</v>
      </c>
      <c r="GZ14" s="39">
        <v>114</v>
      </c>
      <c r="HA14" s="39">
        <v>33</v>
      </c>
      <c r="HB14" s="1">
        <v>57</v>
      </c>
      <c r="HC14" s="1">
        <v>90</v>
      </c>
      <c r="HD14" s="1">
        <v>80</v>
      </c>
      <c r="HE14" s="1">
        <v>85</v>
      </c>
      <c r="HF14" s="1"/>
      <c r="HG14" s="1"/>
      <c r="HH14" s="1"/>
      <c r="HI14" s="55">
        <v>85</v>
      </c>
      <c r="HJ14" s="1"/>
      <c r="HK14" s="56">
        <v>85</v>
      </c>
      <c r="HL14" s="1"/>
      <c r="HM14" s="1"/>
      <c r="HN14" s="2">
        <v>0</v>
      </c>
      <c r="HO14" s="55">
        <v>100</v>
      </c>
      <c r="HP14" s="1">
        <v>85</v>
      </c>
      <c r="HQ14" s="1">
        <v>85</v>
      </c>
      <c r="HR14" s="1">
        <v>85</v>
      </c>
      <c r="HS14" s="1"/>
      <c r="HT14" s="1"/>
      <c r="HU14" s="1"/>
      <c r="HV14" s="55">
        <v>85</v>
      </c>
      <c r="HW14" s="1"/>
      <c r="HX14" s="56">
        <v>85</v>
      </c>
      <c r="HY14" s="1"/>
      <c r="HZ14" s="1"/>
      <c r="IA14" s="2">
        <v>0</v>
      </c>
      <c r="IB14" s="55">
        <v>100</v>
      </c>
      <c r="IC14" s="55">
        <v>85</v>
      </c>
      <c r="ID14" s="55" t="s">
        <v>230</v>
      </c>
      <c r="IE14" s="56">
        <v>85</v>
      </c>
      <c r="IF14" s="57">
        <v>5</v>
      </c>
      <c r="IG14" s="55" t="s">
        <v>230</v>
      </c>
      <c r="IH14" s="1"/>
      <c r="II14" s="58">
        <v>0</v>
      </c>
      <c r="IJ14" s="59">
        <v>100</v>
      </c>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c r="JX14" s="39"/>
      <c r="JY14" s="39"/>
      <c r="JZ14" s="1"/>
      <c r="KA14" s="1"/>
      <c r="KB14" s="1"/>
      <c r="KC14" s="1"/>
      <c r="KD14" s="1"/>
      <c r="KE14" s="1"/>
      <c r="KF14" s="1"/>
      <c r="KG14" s="55"/>
      <c r="KH14" s="1"/>
      <c r="KI14" s="56"/>
      <c r="KJ14" s="1"/>
      <c r="KK14" s="1"/>
      <c r="KL14" s="2"/>
      <c r="KM14" s="55"/>
      <c r="KN14" s="1"/>
      <c r="KO14" s="1"/>
      <c r="KP14" s="1"/>
      <c r="KQ14" s="1"/>
      <c r="KR14" s="1"/>
      <c r="KS14" s="1"/>
      <c r="KT14" s="55"/>
      <c r="KU14" s="1"/>
      <c r="KV14" s="56"/>
      <c r="KW14" s="1"/>
      <c r="KX14" s="1"/>
      <c r="KY14" s="2"/>
      <c r="KZ14" s="55"/>
      <c r="LA14" s="55"/>
      <c r="LB14" s="55"/>
      <c r="LC14" s="56"/>
      <c r="LD14" s="57"/>
      <c r="LE14" s="55"/>
      <c r="LF14" s="1"/>
      <c r="LG14" s="58"/>
      <c r="LH14" s="59"/>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v>1369149</v>
      </c>
      <c r="PT14" s="39">
        <v>128</v>
      </c>
      <c r="PU14" s="39">
        <v>68</v>
      </c>
      <c r="PV14" s="1">
        <v>77</v>
      </c>
      <c r="PW14" s="1">
        <v>70</v>
      </c>
      <c r="PX14" s="1">
        <v>70</v>
      </c>
      <c r="PY14" s="1">
        <v>65</v>
      </c>
      <c r="PZ14" s="1"/>
      <c r="QA14" s="1"/>
      <c r="QB14" s="1"/>
      <c r="QC14" s="55">
        <v>68.333333333333329</v>
      </c>
      <c r="QD14" s="1"/>
      <c r="QE14" s="56">
        <v>68.333333333333329</v>
      </c>
      <c r="QF14" s="1"/>
      <c r="QG14" s="1"/>
      <c r="QH14" s="2">
        <v>0</v>
      </c>
      <c r="QI14" s="55">
        <v>100</v>
      </c>
      <c r="QJ14" s="1">
        <v>70</v>
      </c>
      <c r="QK14" s="1">
        <v>63</v>
      </c>
      <c r="QL14" s="1">
        <v>70</v>
      </c>
      <c r="QM14" s="1">
        <v>80</v>
      </c>
      <c r="QN14" s="1"/>
      <c r="QO14" s="1"/>
      <c r="QP14" s="55">
        <v>70.75</v>
      </c>
      <c r="QQ14" s="1"/>
      <c r="QR14" s="56">
        <v>70.75</v>
      </c>
      <c r="QS14" s="1"/>
      <c r="QT14" s="1"/>
      <c r="QU14" s="2">
        <v>0</v>
      </c>
      <c r="QV14" s="55">
        <v>100</v>
      </c>
      <c r="QW14" s="55">
        <v>69.541666666666657</v>
      </c>
      <c r="QX14" s="55" t="s">
        <v>230</v>
      </c>
      <c r="QY14" s="56">
        <v>69.541666666666657</v>
      </c>
      <c r="QZ14" s="57">
        <v>4</v>
      </c>
      <c r="RA14" s="55" t="s">
        <v>230</v>
      </c>
      <c r="RB14" s="1"/>
      <c r="RC14" s="58">
        <v>0</v>
      </c>
      <c r="RD14" s="59">
        <v>100</v>
      </c>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1369149</v>
      </c>
      <c r="UD14" s="39">
        <v>131</v>
      </c>
      <c r="UE14" s="39">
        <v>66</v>
      </c>
      <c r="UF14" s="1">
        <v>90</v>
      </c>
      <c r="UG14" s="1">
        <v>90</v>
      </c>
      <c r="UH14" s="1">
        <v>90</v>
      </c>
      <c r="UI14" s="1">
        <v>90</v>
      </c>
      <c r="UJ14" s="1"/>
      <c r="UK14" s="1"/>
      <c r="UL14" s="1"/>
      <c r="UM14" s="55">
        <v>90</v>
      </c>
      <c r="UN14" s="1"/>
      <c r="UO14" s="56">
        <v>90</v>
      </c>
      <c r="UP14" s="1"/>
      <c r="UQ14" s="1"/>
      <c r="UR14" s="2">
        <v>0</v>
      </c>
      <c r="US14" s="55">
        <v>100</v>
      </c>
      <c r="UT14" s="1">
        <v>90</v>
      </c>
      <c r="UU14" s="1">
        <v>90</v>
      </c>
      <c r="UV14" s="1">
        <v>90</v>
      </c>
      <c r="UW14" s="1"/>
      <c r="UX14" s="1"/>
      <c r="UY14" s="1"/>
      <c r="UZ14" s="55">
        <v>90</v>
      </c>
      <c r="VA14" s="1"/>
      <c r="VB14" s="56">
        <v>90</v>
      </c>
      <c r="VC14" s="1"/>
      <c r="VD14" s="1"/>
      <c r="VE14" s="2">
        <v>0</v>
      </c>
      <c r="VF14" s="55">
        <v>100</v>
      </c>
      <c r="VG14" s="55">
        <v>90</v>
      </c>
      <c r="VH14" s="55" t="s">
        <v>230</v>
      </c>
      <c r="VI14" s="56">
        <v>90</v>
      </c>
      <c r="VJ14" s="57">
        <v>5</v>
      </c>
      <c r="VK14" s="55" t="s">
        <v>230</v>
      </c>
      <c r="VL14" s="1"/>
      <c r="VM14" s="58">
        <v>0</v>
      </c>
      <c r="VN14" s="59">
        <v>100</v>
      </c>
      <c r="VO14" s="4">
        <v>1369149</v>
      </c>
      <c r="VP14" s="39">
        <v>132</v>
      </c>
      <c r="VQ14" s="39">
        <v>37</v>
      </c>
      <c r="VR14" s="1">
        <v>87</v>
      </c>
      <c r="VS14" s="1">
        <v>100</v>
      </c>
      <c r="VT14" s="1">
        <v>100</v>
      </c>
      <c r="VU14" s="1">
        <v>90</v>
      </c>
      <c r="VV14" s="1"/>
      <c r="VW14" s="1"/>
      <c r="VX14" s="1"/>
      <c r="VY14" s="55">
        <v>96.666666666666671</v>
      </c>
      <c r="VZ14" s="1"/>
      <c r="WA14" s="56">
        <v>96.666666666666671</v>
      </c>
      <c r="WB14" s="1"/>
      <c r="WC14" s="1"/>
      <c r="WD14" s="2">
        <v>0</v>
      </c>
      <c r="WE14" s="55">
        <v>100</v>
      </c>
      <c r="WF14" s="1">
        <v>90</v>
      </c>
      <c r="WG14" s="1">
        <v>90</v>
      </c>
      <c r="WH14" s="1">
        <v>90</v>
      </c>
      <c r="WI14" s="1"/>
      <c r="WJ14" s="1"/>
      <c r="WK14" s="1"/>
      <c r="WL14" s="55">
        <v>90</v>
      </c>
      <c r="WM14" s="1"/>
      <c r="WN14" s="56">
        <v>90</v>
      </c>
      <c r="WO14" s="1"/>
      <c r="WP14" s="1"/>
      <c r="WQ14" s="2">
        <v>0</v>
      </c>
      <c r="WR14" s="55">
        <v>100</v>
      </c>
      <c r="WS14" s="55">
        <v>93.333333333333343</v>
      </c>
      <c r="WT14" s="55" t="s">
        <v>230</v>
      </c>
      <c r="WU14" s="56">
        <v>93.333333333333343</v>
      </c>
      <c r="WV14" s="57">
        <v>5</v>
      </c>
      <c r="WW14" s="55" t="s">
        <v>230</v>
      </c>
      <c r="WX14" s="1"/>
      <c r="WY14" s="58">
        <v>0</v>
      </c>
      <c r="WZ14" s="59">
        <v>100</v>
      </c>
      <c r="XA14" s="4">
        <v>1787467</v>
      </c>
      <c r="XB14" s="39">
        <v>133</v>
      </c>
      <c r="XC14" s="39">
        <v>34</v>
      </c>
      <c r="XD14" s="1">
        <v>95</v>
      </c>
      <c r="XE14" s="1">
        <v>85</v>
      </c>
      <c r="XF14" s="1">
        <v>90</v>
      </c>
      <c r="XG14" s="1">
        <v>85</v>
      </c>
      <c r="XH14" s="1"/>
      <c r="XI14" s="1"/>
      <c r="XJ14" s="1"/>
      <c r="XK14" s="55">
        <v>86.666666666666671</v>
      </c>
      <c r="XL14" s="1"/>
      <c r="XM14" s="56">
        <v>86.666666666666671</v>
      </c>
      <c r="XN14" s="1"/>
      <c r="XO14" s="1"/>
      <c r="XP14" s="2">
        <v>0</v>
      </c>
      <c r="XQ14" s="55">
        <v>100</v>
      </c>
      <c r="XR14" s="1">
        <v>90</v>
      </c>
      <c r="XS14" s="1">
        <v>85</v>
      </c>
      <c r="XT14" s="1">
        <v>90</v>
      </c>
      <c r="XU14" s="1"/>
      <c r="XV14" s="1"/>
      <c r="XW14" s="1"/>
      <c r="XX14" s="55">
        <v>88.333333333333329</v>
      </c>
      <c r="XY14" s="1"/>
      <c r="XZ14" s="56">
        <v>88.333333333333329</v>
      </c>
      <c r="YA14" s="1"/>
      <c r="YB14" s="1"/>
      <c r="YC14" s="2">
        <v>0</v>
      </c>
      <c r="YD14" s="55">
        <v>100</v>
      </c>
      <c r="YE14" s="55">
        <v>87.5</v>
      </c>
      <c r="YF14" s="55" t="s">
        <v>230</v>
      </c>
      <c r="YG14" s="56">
        <v>87.5</v>
      </c>
      <c r="YH14" s="57">
        <v>5</v>
      </c>
      <c r="YI14" s="55" t="s">
        <v>230</v>
      </c>
      <c r="YJ14" s="1"/>
      <c r="YK14" s="58">
        <v>0</v>
      </c>
      <c r="YL14" s="59">
        <v>100</v>
      </c>
      <c r="YM14" s="4">
        <v>1369149</v>
      </c>
      <c r="YN14" s="39">
        <v>135</v>
      </c>
      <c r="YO14" s="39">
        <v>66</v>
      </c>
      <c r="YP14" s="1">
        <v>85</v>
      </c>
      <c r="YQ14" s="1">
        <v>90</v>
      </c>
      <c r="YR14" s="1">
        <v>90</v>
      </c>
      <c r="YS14" s="1">
        <v>90</v>
      </c>
      <c r="YT14" s="1"/>
      <c r="YU14" s="1"/>
      <c r="YV14" s="1"/>
      <c r="YW14" s="55">
        <v>90</v>
      </c>
      <c r="YX14" s="1"/>
      <c r="YY14" s="56">
        <v>90</v>
      </c>
      <c r="YZ14" s="1"/>
      <c r="ZA14" s="1"/>
      <c r="ZB14" s="2">
        <v>0</v>
      </c>
      <c r="ZC14" s="55">
        <v>100</v>
      </c>
      <c r="ZD14" s="1">
        <v>90</v>
      </c>
      <c r="ZE14" s="1">
        <v>90</v>
      </c>
      <c r="ZF14" s="1">
        <v>90</v>
      </c>
      <c r="ZG14" s="1"/>
      <c r="ZH14" s="1"/>
      <c r="ZI14" s="1"/>
      <c r="ZJ14" s="55">
        <v>90</v>
      </c>
      <c r="ZK14" s="1"/>
      <c r="ZL14" s="56">
        <v>90</v>
      </c>
      <c r="ZM14" s="1"/>
      <c r="ZN14" s="1"/>
      <c r="ZO14" s="2">
        <v>0</v>
      </c>
      <c r="ZP14" s="55">
        <v>100</v>
      </c>
      <c r="ZQ14" s="55">
        <v>90</v>
      </c>
      <c r="ZR14" s="55" t="s">
        <v>230</v>
      </c>
      <c r="ZS14" s="56">
        <v>90</v>
      </c>
      <c r="ZT14" s="57">
        <v>5</v>
      </c>
      <c r="ZU14" s="55" t="s">
        <v>230</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c r="ACX14" s="39"/>
      <c r="ACY14" s="39"/>
      <c r="ACZ14" s="1"/>
      <c r="ADA14" s="1"/>
      <c r="ADB14" s="1"/>
      <c r="ADC14" s="1"/>
      <c r="ADD14" s="1"/>
      <c r="ADE14" s="1"/>
      <c r="ADF14" s="1"/>
      <c r="ADG14" s="55"/>
      <c r="ADH14" s="1"/>
      <c r="ADI14" s="56"/>
      <c r="ADJ14" s="1"/>
      <c r="ADK14" s="1"/>
      <c r="ADL14" s="2"/>
      <c r="ADM14" s="55"/>
      <c r="ADN14" s="1"/>
      <c r="ADO14" s="1"/>
      <c r="ADP14" s="1"/>
      <c r="ADQ14" s="1"/>
      <c r="ADR14" s="1"/>
      <c r="ADS14" s="1"/>
      <c r="ADT14" s="55"/>
      <c r="ADU14" s="1"/>
      <c r="ADV14" s="56"/>
      <c r="ADW14" s="1"/>
      <c r="ADX14" s="1"/>
      <c r="ADY14" s="2"/>
      <c r="ADZ14" s="55"/>
      <c r="AEA14" s="55"/>
      <c r="AEB14" s="55"/>
      <c r="AEC14" s="56"/>
      <c r="AED14" s="57"/>
      <c r="AEE14" s="55"/>
      <c r="AEF14" s="1"/>
      <c r="AEG14" s="58"/>
      <c r="AEH14" s="59"/>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3570995</v>
      </c>
      <c r="F15" s="89">
        <f t="shared" si="401"/>
        <v>3</v>
      </c>
      <c r="G15" s="89" t="str">
        <f t="shared" si="402"/>
        <v>B</v>
      </c>
      <c r="H15" s="36" t="s">
        <v>160</v>
      </c>
      <c r="I15" s="37" t="s">
        <v>161</v>
      </c>
      <c r="J15" s="41" t="s">
        <v>162</v>
      </c>
      <c r="K15" s="90" t="str">
        <f t="shared" si="403"/>
        <v>A</v>
      </c>
      <c r="L15" s="41" t="s">
        <v>119</v>
      </c>
      <c r="M15" s="93">
        <v>41920</v>
      </c>
      <c r="N15" s="41"/>
      <c r="O15" s="43" t="s">
        <v>221</v>
      </c>
      <c r="P15" s="91" t="str">
        <f t="shared" si="404"/>
        <v>Əliyeva Sevinc Kamal</v>
      </c>
      <c r="Q15" s="4">
        <v>1369149</v>
      </c>
      <c r="R15" s="39">
        <v>101</v>
      </c>
      <c r="S15" s="39">
        <v>303</v>
      </c>
      <c r="T15" s="1">
        <v>51</v>
      </c>
      <c r="U15" s="1">
        <v>50</v>
      </c>
      <c r="V15" s="1">
        <v>27</v>
      </c>
      <c r="W15" s="1">
        <v>60</v>
      </c>
      <c r="X15" s="1">
        <v>55</v>
      </c>
      <c r="Y15" s="1"/>
      <c r="Z15" s="1"/>
      <c r="AA15" s="55">
        <v>48</v>
      </c>
      <c r="AB15" s="1"/>
      <c r="AC15" s="56">
        <v>48</v>
      </c>
      <c r="AD15" s="1"/>
      <c r="AE15" s="1"/>
      <c r="AF15" s="2">
        <v>0</v>
      </c>
      <c r="AG15" s="55">
        <v>100</v>
      </c>
      <c r="AH15" s="1">
        <v>36</v>
      </c>
      <c r="AI15" s="1">
        <v>71</v>
      </c>
      <c r="AJ15" s="1">
        <v>66</v>
      </c>
      <c r="AK15" s="1">
        <v>65</v>
      </c>
      <c r="AL15" s="1"/>
      <c r="AM15" s="1"/>
      <c r="AN15" s="55">
        <v>59.5</v>
      </c>
      <c r="AO15" s="1"/>
      <c r="AP15" s="56">
        <v>59.5</v>
      </c>
      <c r="AQ15" s="1"/>
      <c r="AR15" s="1">
        <v>38.89</v>
      </c>
      <c r="AS15" s="2">
        <v>4</v>
      </c>
      <c r="AT15" s="55">
        <v>97.359735973597353</v>
      </c>
      <c r="AU15" s="55">
        <v>53.75</v>
      </c>
      <c r="AV15" s="55" t="s">
        <v>230</v>
      </c>
      <c r="AW15" s="56">
        <v>53.75</v>
      </c>
      <c r="AX15" s="57">
        <v>3</v>
      </c>
      <c r="AY15" s="55">
        <v>38.89</v>
      </c>
      <c r="AZ15" s="1"/>
      <c r="BA15" s="58">
        <v>4</v>
      </c>
      <c r="BB15" s="59">
        <v>98.679867986798683</v>
      </c>
      <c r="BC15" s="4"/>
      <c r="BD15" s="39"/>
      <c r="BE15" s="39"/>
      <c r="BF15" s="1"/>
      <c r="BG15" s="1"/>
      <c r="BH15" s="1"/>
      <c r="BI15" s="1"/>
      <c r="BJ15" s="1"/>
      <c r="BK15" s="1"/>
      <c r="BL15" s="1"/>
      <c r="BM15" s="55"/>
      <c r="BN15" s="1"/>
      <c r="BO15" s="56"/>
      <c r="BP15" s="1"/>
      <c r="BQ15" s="1"/>
      <c r="BR15" s="2"/>
      <c r="BS15" s="55"/>
      <c r="BT15" s="1"/>
      <c r="BU15" s="1"/>
      <c r="BV15" s="1"/>
      <c r="BW15" s="1"/>
      <c r="BX15" s="1"/>
      <c r="BY15" s="1"/>
      <c r="BZ15" s="55"/>
      <c r="CA15" s="1"/>
      <c r="CB15" s="56"/>
      <c r="CC15" s="1"/>
      <c r="CD15" s="1"/>
      <c r="CE15" s="2"/>
      <c r="CF15" s="55"/>
      <c r="CG15" s="55"/>
      <c r="CH15" s="55"/>
      <c r="CI15" s="56"/>
      <c r="CJ15" s="57"/>
      <c r="CK15" s="55"/>
      <c r="CL15" s="1"/>
      <c r="CM15" s="58"/>
      <c r="CN15" s="59"/>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v>1273950</v>
      </c>
      <c r="EB15" s="39">
        <v>106</v>
      </c>
      <c r="EC15" s="39">
        <v>33</v>
      </c>
      <c r="ED15" s="1">
        <v>52</v>
      </c>
      <c r="EE15" s="1">
        <v>35</v>
      </c>
      <c r="EF15" s="1">
        <v>35</v>
      </c>
      <c r="EG15" s="1">
        <v>39</v>
      </c>
      <c r="EH15" s="1"/>
      <c r="EI15" s="1"/>
      <c r="EJ15" s="1"/>
      <c r="EK15" s="55">
        <v>36.333333333333336</v>
      </c>
      <c r="EL15" s="1"/>
      <c r="EM15" s="56">
        <v>36.333333333333336</v>
      </c>
      <c r="EN15" s="1"/>
      <c r="EO15" s="1"/>
      <c r="EP15" s="2">
        <v>0</v>
      </c>
      <c r="EQ15" s="55">
        <v>100</v>
      </c>
      <c r="ER15" s="1">
        <v>50</v>
      </c>
      <c r="ES15" s="1">
        <v>79</v>
      </c>
      <c r="ET15" s="1">
        <v>85</v>
      </c>
      <c r="EU15" s="1"/>
      <c r="EV15" s="1"/>
      <c r="EW15" s="1"/>
      <c r="EX15" s="55">
        <v>71.333333333333329</v>
      </c>
      <c r="EY15" s="1"/>
      <c r="EZ15" s="56">
        <v>71.333333333333329</v>
      </c>
      <c r="FA15" s="1"/>
      <c r="FB15" s="1">
        <v>79.17</v>
      </c>
      <c r="FC15" s="2">
        <v>0</v>
      </c>
      <c r="FD15" s="55">
        <v>100</v>
      </c>
      <c r="FE15" s="55">
        <v>53.833333333333329</v>
      </c>
      <c r="FF15" s="55" t="s">
        <v>230</v>
      </c>
      <c r="FG15" s="56">
        <v>53.833333333333329</v>
      </c>
      <c r="FH15" s="57">
        <v>3</v>
      </c>
      <c r="FI15" s="55">
        <v>79.17</v>
      </c>
      <c r="FJ15" s="1"/>
      <c r="FK15" s="58">
        <v>0</v>
      </c>
      <c r="FL15" s="59">
        <v>100</v>
      </c>
      <c r="FM15" s="4">
        <v>1369149</v>
      </c>
      <c r="FN15" s="39">
        <v>110</v>
      </c>
      <c r="FO15" s="39">
        <v>168</v>
      </c>
      <c r="FP15" s="1">
        <v>36</v>
      </c>
      <c r="FQ15" s="1">
        <v>40</v>
      </c>
      <c r="FR15" s="1">
        <v>65</v>
      </c>
      <c r="FS15" s="1">
        <v>41</v>
      </c>
      <c r="FT15" s="1">
        <v>35</v>
      </c>
      <c r="FU15" s="1"/>
      <c r="FV15" s="1"/>
      <c r="FW15" s="55">
        <v>45.25</v>
      </c>
      <c r="FX15" s="1"/>
      <c r="FY15" s="56">
        <v>45.25</v>
      </c>
      <c r="FZ15" s="1"/>
      <c r="GA15" s="1"/>
      <c r="GB15" s="2">
        <v>0</v>
      </c>
      <c r="GC15" s="55">
        <v>100</v>
      </c>
      <c r="GD15" s="1">
        <v>58</v>
      </c>
      <c r="GE15" s="1">
        <v>57</v>
      </c>
      <c r="GF15" s="1">
        <v>74</v>
      </c>
      <c r="GG15" s="1">
        <v>65</v>
      </c>
      <c r="GH15" s="1"/>
      <c r="GI15" s="1"/>
      <c r="GJ15" s="55">
        <v>63.5</v>
      </c>
      <c r="GK15" s="1"/>
      <c r="GL15" s="56">
        <v>63.5</v>
      </c>
      <c r="GM15" s="1"/>
      <c r="GN15" s="1">
        <v>33.33</v>
      </c>
      <c r="GO15" s="2">
        <v>2</v>
      </c>
      <c r="GP15" s="55">
        <v>97.61904761904762</v>
      </c>
      <c r="GQ15" s="55">
        <v>54.375</v>
      </c>
      <c r="GR15" s="55" t="s">
        <v>230</v>
      </c>
      <c r="GS15" s="56">
        <v>54.375</v>
      </c>
      <c r="GT15" s="57">
        <v>3</v>
      </c>
      <c r="GU15" s="55">
        <v>33.33</v>
      </c>
      <c r="GV15" s="1"/>
      <c r="GW15" s="58">
        <v>2</v>
      </c>
      <c r="GX15" s="59">
        <v>98.80952380952381</v>
      </c>
      <c r="GY15" s="4">
        <v>1791291</v>
      </c>
      <c r="GZ15" s="39">
        <v>114</v>
      </c>
      <c r="HA15" s="39">
        <v>33</v>
      </c>
      <c r="HB15" s="1">
        <v>54</v>
      </c>
      <c r="HC15" s="1">
        <v>80</v>
      </c>
      <c r="HD15" s="1">
        <v>80</v>
      </c>
      <c r="HE15" s="1">
        <v>75</v>
      </c>
      <c r="HF15" s="1"/>
      <c r="HG15" s="1"/>
      <c r="HH15" s="1"/>
      <c r="HI15" s="55">
        <v>78.333333333333329</v>
      </c>
      <c r="HJ15" s="1"/>
      <c r="HK15" s="56">
        <v>78.333333333333329</v>
      </c>
      <c r="HL15" s="1"/>
      <c r="HM15" s="1"/>
      <c r="HN15" s="2">
        <v>0</v>
      </c>
      <c r="HO15" s="55">
        <v>100</v>
      </c>
      <c r="HP15" s="1">
        <v>65</v>
      </c>
      <c r="HQ15" s="1">
        <v>65</v>
      </c>
      <c r="HR15" s="1">
        <v>65</v>
      </c>
      <c r="HS15" s="1"/>
      <c r="HT15" s="1"/>
      <c r="HU15" s="1"/>
      <c r="HV15" s="55">
        <v>65</v>
      </c>
      <c r="HW15" s="1"/>
      <c r="HX15" s="56">
        <v>65</v>
      </c>
      <c r="HY15" s="1"/>
      <c r="HZ15" s="1"/>
      <c r="IA15" s="2">
        <v>0</v>
      </c>
      <c r="IB15" s="55">
        <v>100</v>
      </c>
      <c r="IC15" s="55">
        <v>71.666666666666657</v>
      </c>
      <c r="ID15" s="55" t="s">
        <v>230</v>
      </c>
      <c r="IE15" s="56">
        <v>71.666666666666657</v>
      </c>
      <c r="IF15" s="57">
        <v>4</v>
      </c>
      <c r="IG15" s="55" t="s">
        <v>230</v>
      </c>
      <c r="IH15" s="1"/>
      <c r="II15" s="58">
        <v>0</v>
      </c>
      <c r="IJ15" s="59">
        <v>100</v>
      </c>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c r="JX15" s="39"/>
      <c r="JY15" s="39"/>
      <c r="JZ15" s="1"/>
      <c r="KA15" s="1"/>
      <c r="KB15" s="1"/>
      <c r="KC15" s="1"/>
      <c r="KD15" s="1"/>
      <c r="KE15" s="1"/>
      <c r="KF15" s="1"/>
      <c r="KG15" s="55"/>
      <c r="KH15" s="1"/>
      <c r="KI15" s="56"/>
      <c r="KJ15" s="1"/>
      <c r="KK15" s="1"/>
      <c r="KL15" s="2"/>
      <c r="KM15" s="55"/>
      <c r="KN15" s="1"/>
      <c r="KO15" s="1"/>
      <c r="KP15" s="1"/>
      <c r="KQ15" s="1"/>
      <c r="KR15" s="1"/>
      <c r="KS15" s="1"/>
      <c r="KT15" s="55"/>
      <c r="KU15" s="1"/>
      <c r="KV15" s="56"/>
      <c r="KW15" s="1"/>
      <c r="KX15" s="1"/>
      <c r="KY15" s="2"/>
      <c r="KZ15" s="55"/>
      <c r="LA15" s="55"/>
      <c r="LB15" s="55"/>
      <c r="LC15" s="56"/>
      <c r="LD15" s="57"/>
      <c r="LE15" s="55"/>
      <c r="LF15" s="1"/>
      <c r="LG15" s="58"/>
      <c r="LH15" s="59"/>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v>1369149</v>
      </c>
      <c r="PT15" s="39">
        <v>128</v>
      </c>
      <c r="PU15" s="39">
        <v>68</v>
      </c>
      <c r="PV15" s="1">
        <v>63</v>
      </c>
      <c r="PW15" s="1">
        <v>60</v>
      </c>
      <c r="PX15" s="1">
        <v>60</v>
      </c>
      <c r="PY15" s="1">
        <v>47</v>
      </c>
      <c r="PZ15" s="1"/>
      <c r="QA15" s="1"/>
      <c r="QB15" s="1"/>
      <c r="QC15" s="55">
        <v>55.666666666666664</v>
      </c>
      <c r="QD15" s="1"/>
      <c r="QE15" s="56">
        <v>55.666666666666664</v>
      </c>
      <c r="QF15" s="1"/>
      <c r="QG15" s="1"/>
      <c r="QH15" s="2">
        <v>0</v>
      </c>
      <c r="QI15" s="55">
        <v>100</v>
      </c>
      <c r="QJ15" s="1">
        <v>35</v>
      </c>
      <c r="QK15" s="1">
        <v>51</v>
      </c>
      <c r="QL15" s="1">
        <v>60</v>
      </c>
      <c r="QM15" s="1">
        <v>65</v>
      </c>
      <c r="QN15" s="1"/>
      <c r="QO15" s="1"/>
      <c r="QP15" s="55">
        <v>52.75</v>
      </c>
      <c r="QQ15" s="1"/>
      <c r="QR15" s="56">
        <v>52.75</v>
      </c>
      <c r="QS15" s="1"/>
      <c r="QT15" s="1"/>
      <c r="QU15" s="2">
        <v>0</v>
      </c>
      <c r="QV15" s="55">
        <v>100</v>
      </c>
      <c r="QW15" s="55">
        <v>54.208333333333329</v>
      </c>
      <c r="QX15" s="55" t="s">
        <v>230</v>
      </c>
      <c r="QY15" s="56">
        <v>54.208333333333329</v>
      </c>
      <c r="QZ15" s="57">
        <v>3</v>
      </c>
      <c r="RA15" s="55" t="s">
        <v>230</v>
      </c>
      <c r="RB15" s="1"/>
      <c r="RC15" s="58">
        <v>0</v>
      </c>
      <c r="RD15" s="59">
        <v>100</v>
      </c>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1369149</v>
      </c>
      <c r="UD15" s="39">
        <v>131</v>
      </c>
      <c r="UE15" s="39">
        <v>66</v>
      </c>
      <c r="UF15" s="1">
        <v>75</v>
      </c>
      <c r="UG15" s="1">
        <v>85</v>
      </c>
      <c r="UH15" s="1">
        <v>85</v>
      </c>
      <c r="UI15" s="1">
        <v>85</v>
      </c>
      <c r="UJ15" s="1"/>
      <c r="UK15" s="1"/>
      <c r="UL15" s="1"/>
      <c r="UM15" s="55">
        <v>85</v>
      </c>
      <c r="UN15" s="1"/>
      <c r="UO15" s="56">
        <v>85</v>
      </c>
      <c r="UP15" s="1"/>
      <c r="UQ15" s="1"/>
      <c r="UR15" s="2">
        <v>0</v>
      </c>
      <c r="US15" s="55">
        <v>100</v>
      </c>
      <c r="UT15" s="1">
        <v>65</v>
      </c>
      <c r="UU15" s="1">
        <v>70</v>
      </c>
      <c r="UV15" s="1">
        <v>85</v>
      </c>
      <c r="UW15" s="1"/>
      <c r="UX15" s="1"/>
      <c r="UY15" s="1"/>
      <c r="UZ15" s="55">
        <v>73.333333333333329</v>
      </c>
      <c r="VA15" s="1"/>
      <c r="VB15" s="56">
        <v>73.333333333333329</v>
      </c>
      <c r="VC15" s="1"/>
      <c r="VD15" s="1"/>
      <c r="VE15" s="2">
        <v>1</v>
      </c>
      <c r="VF15" s="55">
        <v>96.969696969696969</v>
      </c>
      <c r="VG15" s="55">
        <v>79.166666666666657</v>
      </c>
      <c r="VH15" s="55" t="s">
        <v>230</v>
      </c>
      <c r="VI15" s="56">
        <v>79.166666666666657</v>
      </c>
      <c r="VJ15" s="57">
        <v>4</v>
      </c>
      <c r="VK15" s="55" t="s">
        <v>230</v>
      </c>
      <c r="VL15" s="1"/>
      <c r="VM15" s="58">
        <v>1</v>
      </c>
      <c r="VN15" s="59">
        <v>98.484848484848484</v>
      </c>
      <c r="VO15" s="4">
        <v>1369149</v>
      </c>
      <c r="VP15" s="39">
        <v>132</v>
      </c>
      <c r="VQ15" s="39">
        <v>37</v>
      </c>
      <c r="VR15" s="1">
        <v>72</v>
      </c>
      <c r="VS15" s="1">
        <v>70</v>
      </c>
      <c r="VT15" s="1">
        <v>85</v>
      </c>
      <c r="VU15" s="1">
        <v>70</v>
      </c>
      <c r="VV15" s="1"/>
      <c r="VW15" s="1"/>
      <c r="VX15" s="1"/>
      <c r="VY15" s="55">
        <v>75</v>
      </c>
      <c r="VZ15" s="1"/>
      <c r="WA15" s="56">
        <v>75</v>
      </c>
      <c r="WB15" s="1"/>
      <c r="WC15" s="1"/>
      <c r="WD15" s="2">
        <v>0</v>
      </c>
      <c r="WE15" s="55">
        <v>100</v>
      </c>
      <c r="WF15" s="1">
        <v>65</v>
      </c>
      <c r="WG15" s="1">
        <v>62</v>
      </c>
      <c r="WH15" s="1">
        <v>65</v>
      </c>
      <c r="WI15" s="1"/>
      <c r="WJ15" s="1"/>
      <c r="WK15" s="1"/>
      <c r="WL15" s="55">
        <v>64</v>
      </c>
      <c r="WM15" s="1"/>
      <c r="WN15" s="56">
        <v>64</v>
      </c>
      <c r="WO15" s="1"/>
      <c r="WP15" s="1"/>
      <c r="WQ15" s="2">
        <v>0</v>
      </c>
      <c r="WR15" s="55">
        <v>100</v>
      </c>
      <c r="WS15" s="55">
        <v>69.5</v>
      </c>
      <c r="WT15" s="55" t="s">
        <v>230</v>
      </c>
      <c r="WU15" s="56">
        <v>69.5</v>
      </c>
      <c r="WV15" s="57">
        <v>4</v>
      </c>
      <c r="WW15" s="55" t="s">
        <v>230</v>
      </c>
      <c r="WX15" s="1"/>
      <c r="WY15" s="58">
        <v>0</v>
      </c>
      <c r="WZ15" s="59">
        <v>100</v>
      </c>
      <c r="XA15" s="4">
        <v>1787467</v>
      </c>
      <c r="XB15" s="39">
        <v>133</v>
      </c>
      <c r="XC15" s="39">
        <v>34</v>
      </c>
      <c r="XD15" s="1">
        <v>79</v>
      </c>
      <c r="XE15" s="1">
        <v>75</v>
      </c>
      <c r="XF15" s="1">
        <v>80</v>
      </c>
      <c r="XG15" s="1">
        <v>65</v>
      </c>
      <c r="XH15" s="1"/>
      <c r="XI15" s="1"/>
      <c r="XJ15" s="1"/>
      <c r="XK15" s="55">
        <v>73.333333333333329</v>
      </c>
      <c r="XL15" s="1"/>
      <c r="XM15" s="56">
        <v>73.333333333333329</v>
      </c>
      <c r="XN15" s="1"/>
      <c r="XO15" s="1"/>
      <c r="XP15" s="2">
        <v>0</v>
      </c>
      <c r="XQ15" s="55">
        <v>100</v>
      </c>
      <c r="XR15" s="1">
        <v>80</v>
      </c>
      <c r="XS15" s="1">
        <v>80</v>
      </c>
      <c r="XT15" s="1">
        <v>75</v>
      </c>
      <c r="XU15" s="1"/>
      <c r="XV15" s="1"/>
      <c r="XW15" s="1"/>
      <c r="XX15" s="55">
        <v>78.333333333333329</v>
      </c>
      <c r="XY15" s="1"/>
      <c r="XZ15" s="56">
        <v>78.333333333333329</v>
      </c>
      <c r="YA15" s="1"/>
      <c r="YB15" s="1"/>
      <c r="YC15" s="2">
        <v>0</v>
      </c>
      <c r="YD15" s="55">
        <v>100</v>
      </c>
      <c r="YE15" s="55">
        <v>75.833333333333329</v>
      </c>
      <c r="YF15" s="55" t="s">
        <v>230</v>
      </c>
      <c r="YG15" s="56">
        <v>75.833333333333329</v>
      </c>
      <c r="YH15" s="57">
        <v>4</v>
      </c>
      <c r="YI15" s="55" t="s">
        <v>230</v>
      </c>
      <c r="YJ15" s="1"/>
      <c r="YK15" s="58">
        <v>0</v>
      </c>
      <c r="YL15" s="59">
        <v>100</v>
      </c>
      <c r="YM15" s="4">
        <v>1369149</v>
      </c>
      <c r="YN15" s="39">
        <v>135</v>
      </c>
      <c r="YO15" s="39">
        <v>66</v>
      </c>
      <c r="YP15" s="1">
        <v>61</v>
      </c>
      <c r="YQ15" s="1">
        <v>70</v>
      </c>
      <c r="YR15" s="1">
        <v>80</v>
      </c>
      <c r="YS15" s="1">
        <v>80</v>
      </c>
      <c r="YT15" s="1"/>
      <c r="YU15" s="1"/>
      <c r="YV15" s="1"/>
      <c r="YW15" s="55">
        <v>76.666666666666671</v>
      </c>
      <c r="YX15" s="1"/>
      <c r="YY15" s="56">
        <v>76.666666666666671</v>
      </c>
      <c r="YZ15" s="1"/>
      <c r="ZA15" s="1"/>
      <c r="ZB15" s="2">
        <v>0</v>
      </c>
      <c r="ZC15" s="55">
        <v>100</v>
      </c>
      <c r="ZD15" s="1">
        <v>65</v>
      </c>
      <c r="ZE15" s="1">
        <v>65</v>
      </c>
      <c r="ZF15" s="1">
        <v>80</v>
      </c>
      <c r="ZG15" s="1"/>
      <c r="ZH15" s="1"/>
      <c r="ZI15" s="1"/>
      <c r="ZJ15" s="55">
        <v>70</v>
      </c>
      <c r="ZK15" s="1"/>
      <c r="ZL15" s="56">
        <v>70</v>
      </c>
      <c r="ZM15" s="1"/>
      <c r="ZN15" s="1"/>
      <c r="ZO15" s="2">
        <v>0</v>
      </c>
      <c r="ZP15" s="55">
        <v>100</v>
      </c>
      <c r="ZQ15" s="55">
        <v>73.333333333333343</v>
      </c>
      <c r="ZR15" s="55" t="s">
        <v>230</v>
      </c>
      <c r="ZS15" s="56">
        <v>73.333333333333343</v>
      </c>
      <c r="ZT15" s="57">
        <v>4</v>
      </c>
      <c r="ZU15" s="55" t="s">
        <v>230</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c r="ACX15" s="39"/>
      <c r="ACY15" s="39"/>
      <c r="ACZ15" s="1"/>
      <c r="ADA15" s="1"/>
      <c r="ADB15" s="1"/>
      <c r="ADC15" s="1"/>
      <c r="ADD15" s="1"/>
      <c r="ADE15" s="1"/>
      <c r="ADF15" s="1"/>
      <c r="ADG15" s="55"/>
      <c r="ADH15" s="1"/>
      <c r="ADI15" s="56"/>
      <c r="ADJ15" s="1"/>
      <c r="ADK15" s="1"/>
      <c r="ADL15" s="2"/>
      <c r="ADM15" s="55"/>
      <c r="ADN15" s="1"/>
      <c r="ADO15" s="1"/>
      <c r="ADP15" s="1"/>
      <c r="ADQ15" s="1"/>
      <c r="ADR15" s="1"/>
      <c r="ADS15" s="1"/>
      <c r="ADT15" s="55"/>
      <c r="ADU15" s="1"/>
      <c r="ADV15" s="56"/>
      <c r="ADW15" s="1"/>
      <c r="ADX15" s="1"/>
      <c r="ADY15" s="2"/>
      <c r="ADZ15" s="55"/>
      <c r="AEA15" s="55"/>
      <c r="AEB15" s="55"/>
      <c r="AEC15" s="56"/>
      <c r="AED15" s="57"/>
      <c r="AEE15" s="55"/>
      <c r="AEF15" s="1"/>
      <c r="AEG15" s="58"/>
      <c r="AEH15" s="59"/>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3605834</v>
      </c>
      <c r="F16" s="89">
        <f t="shared" si="401"/>
        <v>3</v>
      </c>
      <c r="G16" s="89" t="str">
        <f t="shared" si="402"/>
        <v>B</v>
      </c>
      <c r="H16" s="36" t="s">
        <v>163</v>
      </c>
      <c r="I16" s="37" t="s">
        <v>164</v>
      </c>
      <c r="J16" s="41" t="s">
        <v>165</v>
      </c>
      <c r="K16" s="90" t="str">
        <f t="shared" si="403"/>
        <v>A</v>
      </c>
      <c r="L16" s="41" t="s">
        <v>119</v>
      </c>
      <c r="M16" s="93">
        <v>41836</v>
      </c>
      <c r="N16" s="41"/>
      <c r="O16" s="43" t="s">
        <v>215</v>
      </c>
      <c r="P16" s="91" t="str">
        <f t="shared" si="404"/>
        <v>Əliyeva Sevinc Kamal</v>
      </c>
      <c r="Q16" s="4">
        <v>1369149</v>
      </c>
      <c r="R16" s="39">
        <v>101</v>
      </c>
      <c r="S16" s="39">
        <v>303</v>
      </c>
      <c r="T16" s="1">
        <v>95</v>
      </c>
      <c r="U16" s="1">
        <v>58</v>
      </c>
      <c r="V16" s="1">
        <v>38</v>
      </c>
      <c r="W16" s="1">
        <v>45</v>
      </c>
      <c r="X16" s="1">
        <v>80</v>
      </c>
      <c r="Y16" s="1"/>
      <c r="Z16" s="1"/>
      <c r="AA16" s="55">
        <v>55.25</v>
      </c>
      <c r="AB16" s="1"/>
      <c r="AC16" s="56">
        <v>55.25</v>
      </c>
      <c r="AD16" s="1"/>
      <c r="AE16" s="1"/>
      <c r="AF16" s="2">
        <v>2</v>
      </c>
      <c r="AG16" s="55">
        <v>98.679867986798683</v>
      </c>
      <c r="AH16" s="1">
        <v>31</v>
      </c>
      <c r="AI16" s="1">
        <v>76</v>
      </c>
      <c r="AJ16" s="1">
        <v>80</v>
      </c>
      <c r="AK16" s="1">
        <v>65</v>
      </c>
      <c r="AL16" s="1"/>
      <c r="AM16" s="1"/>
      <c r="AN16" s="55">
        <v>63</v>
      </c>
      <c r="AO16" s="1"/>
      <c r="AP16" s="56">
        <v>63</v>
      </c>
      <c r="AQ16" s="1"/>
      <c r="AR16" s="1">
        <v>44.44</v>
      </c>
      <c r="AS16" s="2">
        <v>1</v>
      </c>
      <c r="AT16" s="55">
        <v>99.339933993399342</v>
      </c>
      <c r="AU16" s="55">
        <v>59.125</v>
      </c>
      <c r="AV16" s="55" t="s">
        <v>230</v>
      </c>
      <c r="AW16" s="56">
        <v>59.125</v>
      </c>
      <c r="AX16" s="57">
        <v>3</v>
      </c>
      <c r="AY16" s="55">
        <v>44.44</v>
      </c>
      <c r="AZ16" s="1"/>
      <c r="BA16" s="58">
        <v>3</v>
      </c>
      <c r="BB16" s="59">
        <v>99.009900990099013</v>
      </c>
      <c r="BC16" s="4"/>
      <c r="BD16" s="39"/>
      <c r="BE16" s="39"/>
      <c r="BF16" s="1"/>
      <c r="BG16" s="1"/>
      <c r="BH16" s="1"/>
      <c r="BI16" s="1"/>
      <c r="BJ16" s="1"/>
      <c r="BK16" s="1"/>
      <c r="BL16" s="1"/>
      <c r="BM16" s="55"/>
      <c r="BN16" s="1"/>
      <c r="BO16" s="56"/>
      <c r="BP16" s="1"/>
      <c r="BQ16" s="1"/>
      <c r="BR16" s="2"/>
      <c r="BS16" s="55"/>
      <c r="BT16" s="1"/>
      <c r="BU16" s="1"/>
      <c r="BV16" s="1"/>
      <c r="BW16" s="1"/>
      <c r="BX16" s="1"/>
      <c r="BY16" s="1"/>
      <c r="BZ16" s="55"/>
      <c r="CA16" s="1"/>
      <c r="CB16" s="56"/>
      <c r="CC16" s="1"/>
      <c r="CD16" s="1"/>
      <c r="CE16" s="2"/>
      <c r="CF16" s="55"/>
      <c r="CG16" s="55"/>
      <c r="CH16" s="55"/>
      <c r="CI16" s="56"/>
      <c r="CJ16" s="57"/>
      <c r="CK16" s="55"/>
      <c r="CL16" s="1"/>
      <c r="CM16" s="58"/>
      <c r="CN16" s="59"/>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v>1273950</v>
      </c>
      <c r="EB16" s="39">
        <v>106</v>
      </c>
      <c r="EC16" s="39">
        <v>33</v>
      </c>
      <c r="ED16" s="1">
        <v>85</v>
      </c>
      <c r="EE16" s="1">
        <v>42</v>
      </c>
      <c r="EF16" s="1">
        <v>40</v>
      </c>
      <c r="EG16" s="1">
        <v>36</v>
      </c>
      <c r="EH16" s="1"/>
      <c r="EI16" s="1"/>
      <c r="EJ16" s="1"/>
      <c r="EK16" s="55">
        <v>39.333333333333336</v>
      </c>
      <c r="EL16" s="1"/>
      <c r="EM16" s="56">
        <v>39.333333333333336</v>
      </c>
      <c r="EN16" s="1"/>
      <c r="EO16" s="1"/>
      <c r="EP16" s="2">
        <v>0</v>
      </c>
      <c r="EQ16" s="55">
        <v>100</v>
      </c>
      <c r="ER16" s="1">
        <v>35</v>
      </c>
      <c r="ES16" s="1">
        <v>40</v>
      </c>
      <c r="ET16" s="1">
        <v>45</v>
      </c>
      <c r="EU16" s="1"/>
      <c r="EV16" s="1"/>
      <c r="EW16" s="1"/>
      <c r="EX16" s="55">
        <v>40</v>
      </c>
      <c r="EY16" s="1"/>
      <c r="EZ16" s="56">
        <v>40</v>
      </c>
      <c r="FA16" s="1"/>
      <c r="FB16" s="1">
        <v>25</v>
      </c>
      <c r="FC16" s="2">
        <v>0</v>
      </c>
      <c r="FD16" s="55">
        <v>100</v>
      </c>
      <c r="FE16" s="55">
        <v>39.666666666666671</v>
      </c>
      <c r="FF16" s="55" t="s">
        <v>230</v>
      </c>
      <c r="FG16" s="56">
        <v>39.666666666666671</v>
      </c>
      <c r="FH16" s="57">
        <v>3</v>
      </c>
      <c r="FI16" s="55">
        <v>25</v>
      </c>
      <c r="FJ16" s="1"/>
      <c r="FK16" s="58">
        <v>0</v>
      </c>
      <c r="FL16" s="59">
        <v>100</v>
      </c>
      <c r="FM16" s="4">
        <v>1369149</v>
      </c>
      <c r="FN16" s="39">
        <v>110</v>
      </c>
      <c r="FO16" s="39">
        <v>168</v>
      </c>
      <c r="FP16" s="1">
        <v>95</v>
      </c>
      <c r="FQ16" s="1">
        <v>35</v>
      </c>
      <c r="FR16" s="1">
        <v>35</v>
      </c>
      <c r="FS16" s="1">
        <v>40</v>
      </c>
      <c r="FT16" s="1">
        <v>25</v>
      </c>
      <c r="FU16" s="1"/>
      <c r="FV16" s="1"/>
      <c r="FW16" s="55">
        <v>33.75</v>
      </c>
      <c r="FX16" s="1"/>
      <c r="FY16" s="56">
        <v>33.75</v>
      </c>
      <c r="FZ16" s="1"/>
      <c r="GA16" s="1"/>
      <c r="GB16" s="2">
        <v>1</v>
      </c>
      <c r="GC16" s="55">
        <v>98.80952380952381</v>
      </c>
      <c r="GD16" s="1">
        <v>33</v>
      </c>
      <c r="GE16" s="1">
        <v>51</v>
      </c>
      <c r="GF16" s="1">
        <v>67</v>
      </c>
      <c r="GG16" s="1">
        <v>65</v>
      </c>
      <c r="GH16" s="1"/>
      <c r="GI16" s="1"/>
      <c r="GJ16" s="55">
        <v>54</v>
      </c>
      <c r="GK16" s="1"/>
      <c r="GL16" s="56">
        <v>54</v>
      </c>
      <c r="GM16" s="1"/>
      <c r="GN16" s="1">
        <v>44.44</v>
      </c>
      <c r="GO16" s="2">
        <v>1</v>
      </c>
      <c r="GP16" s="55">
        <v>98.80952380952381</v>
      </c>
      <c r="GQ16" s="55">
        <v>43.875</v>
      </c>
      <c r="GR16" s="55" t="s">
        <v>230</v>
      </c>
      <c r="GS16" s="56">
        <v>43.875</v>
      </c>
      <c r="GT16" s="57">
        <v>3</v>
      </c>
      <c r="GU16" s="55">
        <v>44.44</v>
      </c>
      <c r="GV16" s="1"/>
      <c r="GW16" s="58">
        <v>2</v>
      </c>
      <c r="GX16" s="59">
        <v>98.80952380952381</v>
      </c>
      <c r="GY16" s="4">
        <v>1791291</v>
      </c>
      <c r="GZ16" s="39">
        <v>114</v>
      </c>
      <c r="HA16" s="39">
        <v>33</v>
      </c>
      <c r="HB16" s="1">
        <v>93</v>
      </c>
      <c r="HC16" s="1">
        <v>90</v>
      </c>
      <c r="HD16" s="1">
        <v>65</v>
      </c>
      <c r="HE16" s="1">
        <v>65</v>
      </c>
      <c r="HF16" s="1"/>
      <c r="HG16" s="1"/>
      <c r="HH16" s="1"/>
      <c r="HI16" s="55">
        <v>73.333333333333329</v>
      </c>
      <c r="HJ16" s="1"/>
      <c r="HK16" s="56">
        <v>73.333333333333329</v>
      </c>
      <c r="HL16" s="1"/>
      <c r="HM16" s="1"/>
      <c r="HN16" s="2">
        <v>0</v>
      </c>
      <c r="HO16" s="55">
        <v>100</v>
      </c>
      <c r="HP16" s="1">
        <v>70</v>
      </c>
      <c r="HQ16" s="1">
        <v>65</v>
      </c>
      <c r="HR16" s="1">
        <v>65</v>
      </c>
      <c r="HS16" s="1"/>
      <c r="HT16" s="1"/>
      <c r="HU16" s="1"/>
      <c r="HV16" s="55">
        <v>66.666666666666671</v>
      </c>
      <c r="HW16" s="1"/>
      <c r="HX16" s="56">
        <v>66.666666666666671</v>
      </c>
      <c r="HY16" s="1"/>
      <c r="HZ16" s="1"/>
      <c r="IA16" s="2">
        <v>0</v>
      </c>
      <c r="IB16" s="55">
        <v>100</v>
      </c>
      <c r="IC16" s="55">
        <v>70</v>
      </c>
      <c r="ID16" s="55" t="s">
        <v>230</v>
      </c>
      <c r="IE16" s="56">
        <v>70</v>
      </c>
      <c r="IF16" s="57">
        <v>4</v>
      </c>
      <c r="IG16" s="55" t="s">
        <v>230</v>
      </c>
      <c r="IH16" s="1"/>
      <c r="II16" s="58">
        <v>0</v>
      </c>
      <c r="IJ16" s="59">
        <v>100</v>
      </c>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c r="JX16" s="39"/>
      <c r="JY16" s="39"/>
      <c r="JZ16" s="1"/>
      <c r="KA16" s="1"/>
      <c r="KB16" s="1"/>
      <c r="KC16" s="1"/>
      <c r="KD16" s="1"/>
      <c r="KE16" s="1"/>
      <c r="KF16" s="1"/>
      <c r="KG16" s="55"/>
      <c r="KH16" s="1"/>
      <c r="KI16" s="56"/>
      <c r="KJ16" s="1"/>
      <c r="KK16" s="1"/>
      <c r="KL16" s="2"/>
      <c r="KM16" s="55"/>
      <c r="KN16" s="1"/>
      <c r="KO16" s="1"/>
      <c r="KP16" s="1"/>
      <c r="KQ16" s="1"/>
      <c r="KR16" s="1"/>
      <c r="KS16" s="1"/>
      <c r="KT16" s="55"/>
      <c r="KU16" s="1"/>
      <c r="KV16" s="56"/>
      <c r="KW16" s="1"/>
      <c r="KX16" s="1"/>
      <c r="KY16" s="2"/>
      <c r="KZ16" s="55"/>
      <c r="LA16" s="55"/>
      <c r="LB16" s="55"/>
      <c r="LC16" s="56"/>
      <c r="LD16" s="57"/>
      <c r="LE16" s="55"/>
      <c r="LF16" s="1"/>
      <c r="LG16" s="58"/>
      <c r="LH16" s="59"/>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v>1369149</v>
      </c>
      <c r="PT16" s="39">
        <v>128</v>
      </c>
      <c r="PU16" s="39">
        <v>68</v>
      </c>
      <c r="PV16" s="1">
        <v>85</v>
      </c>
      <c r="PW16" s="1">
        <v>50</v>
      </c>
      <c r="PX16" s="1">
        <v>50</v>
      </c>
      <c r="PY16" s="1">
        <v>67</v>
      </c>
      <c r="PZ16" s="1"/>
      <c r="QA16" s="1"/>
      <c r="QB16" s="1"/>
      <c r="QC16" s="55">
        <v>55.666666666666664</v>
      </c>
      <c r="QD16" s="1"/>
      <c r="QE16" s="56">
        <v>55.666666666666664</v>
      </c>
      <c r="QF16" s="1"/>
      <c r="QG16" s="1"/>
      <c r="QH16" s="2">
        <v>0</v>
      </c>
      <c r="QI16" s="55">
        <v>100</v>
      </c>
      <c r="QJ16" s="1">
        <v>55</v>
      </c>
      <c r="QK16" s="1">
        <v>53</v>
      </c>
      <c r="QL16" s="1">
        <v>60</v>
      </c>
      <c r="QM16" s="1">
        <v>65</v>
      </c>
      <c r="QN16" s="1"/>
      <c r="QO16" s="1"/>
      <c r="QP16" s="55">
        <v>58.25</v>
      </c>
      <c r="QQ16" s="1"/>
      <c r="QR16" s="56">
        <v>58.25</v>
      </c>
      <c r="QS16" s="1"/>
      <c r="QT16" s="1"/>
      <c r="QU16" s="2">
        <v>1</v>
      </c>
      <c r="QV16" s="55">
        <v>97.058823529411768</v>
      </c>
      <c r="QW16" s="55">
        <v>56.958333333333329</v>
      </c>
      <c r="QX16" s="55" t="s">
        <v>230</v>
      </c>
      <c r="QY16" s="56">
        <v>56.958333333333329</v>
      </c>
      <c r="QZ16" s="57">
        <v>3</v>
      </c>
      <c r="RA16" s="55" t="s">
        <v>230</v>
      </c>
      <c r="RB16" s="1"/>
      <c r="RC16" s="58">
        <v>1</v>
      </c>
      <c r="RD16" s="59">
        <v>98.529411764705884</v>
      </c>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1369149</v>
      </c>
      <c r="UD16" s="39">
        <v>131</v>
      </c>
      <c r="UE16" s="39">
        <v>66</v>
      </c>
      <c r="UF16" s="1">
        <v>87</v>
      </c>
      <c r="UG16" s="1">
        <v>80</v>
      </c>
      <c r="UH16" s="1">
        <v>80</v>
      </c>
      <c r="UI16" s="1">
        <v>80</v>
      </c>
      <c r="UJ16" s="1"/>
      <c r="UK16" s="1"/>
      <c r="UL16" s="1"/>
      <c r="UM16" s="55">
        <v>80</v>
      </c>
      <c r="UN16" s="1"/>
      <c r="UO16" s="56">
        <v>80</v>
      </c>
      <c r="UP16" s="1"/>
      <c r="UQ16" s="1"/>
      <c r="UR16" s="2">
        <v>0</v>
      </c>
      <c r="US16" s="55">
        <v>100</v>
      </c>
      <c r="UT16" s="1">
        <v>65</v>
      </c>
      <c r="UU16" s="1">
        <v>70</v>
      </c>
      <c r="UV16" s="1">
        <v>85</v>
      </c>
      <c r="UW16" s="1"/>
      <c r="UX16" s="1"/>
      <c r="UY16" s="1"/>
      <c r="UZ16" s="55">
        <v>73.333333333333329</v>
      </c>
      <c r="VA16" s="1"/>
      <c r="VB16" s="56">
        <v>73.333333333333329</v>
      </c>
      <c r="VC16" s="1"/>
      <c r="VD16" s="1"/>
      <c r="VE16" s="2">
        <v>1</v>
      </c>
      <c r="VF16" s="55">
        <v>96.969696969696969</v>
      </c>
      <c r="VG16" s="55">
        <v>76.666666666666657</v>
      </c>
      <c r="VH16" s="55" t="s">
        <v>230</v>
      </c>
      <c r="VI16" s="56">
        <v>76.666666666666657</v>
      </c>
      <c r="VJ16" s="57">
        <v>4</v>
      </c>
      <c r="VK16" s="55" t="s">
        <v>230</v>
      </c>
      <c r="VL16" s="1"/>
      <c r="VM16" s="58">
        <v>1</v>
      </c>
      <c r="VN16" s="59">
        <v>98.484848484848484</v>
      </c>
      <c r="VO16" s="4">
        <v>1369149</v>
      </c>
      <c r="VP16" s="39">
        <v>132</v>
      </c>
      <c r="VQ16" s="39">
        <v>37</v>
      </c>
      <c r="VR16" s="1">
        <v>86</v>
      </c>
      <c r="VS16" s="1">
        <v>70</v>
      </c>
      <c r="VT16" s="1">
        <v>75</v>
      </c>
      <c r="VU16" s="1">
        <v>70</v>
      </c>
      <c r="VV16" s="1"/>
      <c r="VW16" s="1"/>
      <c r="VX16" s="1"/>
      <c r="VY16" s="55">
        <v>71.666666666666671</v>
      </c>
      <c r="VZ16" s="1"/>
      <c r="WA16" s="56">
        <v>71.666666666666671</v>
      </c>
      <c r="WB16" s="1"/>
      <c r="WC16" s="1"/>
      <c r="WD16" s="2">
        <v>0</v>
      </c>
      <c r="WE16" s="55">
        <v>100</v>
      </c>
      <c r="WF16" s="1">
        <v>65</v>
      </c>
      <c r="WG16" s="1">
        <v>65</v>
      </c>
      <c r="WH16" s="1">
        <v>65</v>
      </c>
      <c r="WI16" s="1"/>
      <c r="WJ16" s="1"/>
      <c r="WK16" s="1"/>
      <c r="WL16" s="55">
        <v>65</v>
      </c>
      <c r="WM16" s="1"/>
      <c r="WN16" s="56">
        <v>65</v>
      </c>
      <c r="WO16" s="1"/>
      <c r="WP16" s="1"/>
      <c r="WQ16" s="2">
        <v>0</v>
      </c>
      <c r="WR16" s="55">
        <v>100</v>
      </c>
      <c r="WS16" s="55">
        <v>68.333333333333343</v>
      </c>
      <c r="WT16" s="55" t="s">
        <v>230</v>
      </c>
      <c r="WU16" s="56">
        <v>68.333333333333343</v>
      </c>
      <c r="WV16" s="57">
        <v>4</v>
      </c>
      <c r="WW16" s="55" t="s">
        <v>230</v>
      </c>
      <c r="WX16" s="1"/>
      <c r="WY16" s="58">
        <v>0</v>
      </c>
      <c r="WZ16" s="59">
        <v>100</v>
      </c>
      <c r="XA16" s="4">
        <v>1787467</v>
      </c>
      <c r="XB16" s="39">
        <v>133</v>
      </c>
      <c r="XC16" s="39">
        <v>34</v>
      </c>
      <c r="XD16" s="1">
        <v>86</v>
      </c>
      <c r="XE16" s="1">
        <v>80</v>
      </c>
      <c r="XF16" s="1">
        <v>75</v>
      </c>
      <c r="XG16" s="1">
        <v>70</v>
      </c>
      <c r="XH16" s="1"/>
      <c r="XI16" s="1"/>
      <c r="XJ16" s="1"/>
      <c r="XK16" s="55">
        <v>75</v>
      </c>
      <c r="XL16" s="1"/>
      <c r="XM16" s="56">
        <v>75</v>
      </c>
      <c r="XN16" s="1"/>
      <c r="XO16" s="1"/>
      <c r="XP16" s="2">
        <v>0</v>
      </c>
      <c r="XQ16" s="55">
        <v>100</v>
      </c>
      <c r="XR16" s="1">
        <v>80</v>
      </c>
      <c r="XS16" s="1">
        <v>75</v>
      </c>
      <c r="XT16" s="1">
        <v>80</v>
      </c>
      <c r="XU16" s="1"/>
      <c r="XV16" s="1"/>
      <c r="XW16" s="1"/>
      <c r="XX16" s="55">
        <v>78.333333333333329</v>
      </c>
      <c r="XY16" s="1"/>
      <c r="XZ16" s="56">
        <v>78.333333333333329</v>
      </c>
      <c r="YA16" s="1"/>
      <c r="YB16" s="1"/>
      <c r="YC16" s="2">
        <v>0</v>
      </c>
      <c r="YD16" s="55">
        <v>100</v>
      </c>
      <c r="YE16" s="55">
        <v>76.666666666666657</v>
      </c>
      <c r="YF16" s="55" t="s">
        <v>230</v>
      </c>
      <c r="YG16" s="56">
        <v>76.666666666666657</v>
      </c>
      <c r="YH16" s="57">
        <v>4</v>
      </c>
      <c r="YI16" s="55" t="s">
        <v>230</v>
      </c>
      <c r="YJ16" s="1"/>
      <c r="YK16" s="58">
        <v>0</v>
      </c>
      <c r="YL16" s="59">
        <v>100</v>
      </c>
      <c r="YM16" s="4">
        <v>1369149</v>
      </c>
      <c r="YN16" s="39">
        <v>135</v>
      </c>
      <c r="YO16" s="39">
        <v>66</v>
      </c>
      <c r="YP16" s="1">
        <v>90</v>
      </c>
      <c r="YQ16" s="1">
        <v>70</v>
      </c>
      <c r="YR16" s="1">
        <v>80</v>
      </c>
      <c r="YS16" s="1">
        <v>80</v>
      </c>
      <c r="YT16" s="1"/>
      <c r="YU16" s="1"/>
      <c r="YV16" s="1"/>
      <c r="YW16" s="55">
        <v>76.666666666666671</v>
      </c>
      <c r="YX16" s="1"/>
      <c r="YY16" s="56">
        <v>76.666666666666671</v>
      </c>
      <c r="YZ16" s="1"/>
      <c r="ZA16" s="1"/>
      <c r="ZB16" s="2">
        <v>0</v>
      </c>
      <c r="ZC16" s="55">
        <v>100</v>
      </c>
      <c r="ZD16" s="1">
        <v>65</v>
      </c>
      <c r="ZE16" s="1">
        <v>65</v>
      </c>
      <c r="ZF16" s="1">
        <v>80</v>
      </c>
      <c r="ZG16" s="1"/>
      <c r="ZH16" s="1"/>
      <c r="ZI16" s="1"/>
      <c r="ZJ16" s="55">
        <v>70</v>
      </c>
      <c r="ZK16" s="1"/>
      <c r="ZL16" s="56">
        <v>70</v>
      </c>
      <c r="ZM16" s="1"/>
      <c r="ZN16" s="1"/>
      <c r="ZO16" s="2">
        <v>0</v>
      </c>
      <c r="ZP16" s="55">
        <v>100</v>
      </c>
      <c r="ZQ16" s="55">
        <v>73.333333333333343</v>
      </c>
      <c r="ZR16" s="55" t="s">
        <v>230</v>
      </c>
      <c r="ZS16" s="56">
        <v>73.333333333333343</v>
      </c>
      <c r="ZT16" s="57">
        <v>4</v>
      </c>
      <c r="ZU16" s="55" t="s">
        <v>230</v>
      </c>
      <c r="ZV16" s="1"/>
      <c r="ZW16" s="58">
        <v>0</v>
      </c>
      <c r="ZX16" s="59">
        <v>100</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c r="ACX16" s="39"/>
      <c r="ACY16" s="39"/>
      <c r="ACZ16" s="1"/>
      <c r="ADA16" s="1"/>
      <c r="ADB16" s="1"/>
      <c r="ADC16" s="1"/>
      <c r="ADD16" s="1"/>
      <c r="ADE16" s="1"/>
      <c r="ADF16" s="1"/>
      <c r="ADG16" s="55"/>
      <c r="ADH16" s="1"/>
      <c r="ADI16" s="56"/>
      <c r="ADJ16" s="1"/>
      <c r="ADK16" s="1"/>
      <c r="ADL16" s="2"/>
      <c r="ADM16" s="55"/>
      <c r="ADN16" s="1"/>
      <c r="ADO16" s="1"/>
      <c r="ADP16" s="1"/>
      <c r="ADQ16" s="1"/>
      <c r="ADR16" s="1"/>
      <c r="ADS16" s="1"/>
      <c r="ADT16" s="55"/>
      <c r="ADU16" s="1"/>
      <c r="ADV16" s="56"/>
      <c r="ADW16" s="1"/>
      <c r="ADX16" s="1"/>
      <c r="ADY16" s="2"/>
      <c r="ADZ16" s="55"/>
      <c r="AEA16" s="55"/>
      <c r="AEB16" s="55"/>
      <c r="AEC16" s="56"/>
      <c r="AED16" s="57"/>
      <c r="AEE16" s="55"/>
      <c r="AEF16" s="1"/>
      <c r="AEG16" s="58"/>
      <c r="AEH16" s="59"/>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3684585</v>
      </c>
      <c r="F17" s="89">
        <f t="shared" si="401"/>
        <v>3</v>
      </c>
      <c r="G17" s="89" t="str">
        <f t="shared" si="402"/>
        <v>B</v>
      </c>
      <c r="H17" s="36" t="s">
        <v>166</v>
      </c>
      <c r="I17" s="37" t="s">
        <v>167</v>
      </c>
      <c r="J17" s="41" t="s">
        <v>168</v>
      </c>
      <c r="K17" s="90" t="str">
        <f t="shared" si="403"/>
        <v>A</v>
      </c>
      <c r="L17" s="41" t="s">
        <v>119</v>
      </c>
      <c r="M17" s="93">
        <v>41731</v>
      </c>
      <c r="N17" s="41"/>
      <c r="O17" s="43" t="s">
        <v>229</v>
      </c>
      <c r="P17" s="91" t="str">
        <f t="shared" si="404"/>
        <v>Əliyeva Sevinc Kamal</v>
      </c>
      <c r="Q17" s="4">
        <v>1369149</v>
      </c>
      <c r="R17" s="39">
        <v>101</v>
      </c>
      <c r="S17" s="39">
        <v>303</v>
      </c>
      <c r="T17" s="1">
        <v>80</v>
      </c>
      <c r="U17" s="1">
        <v>85</v>
      </c>
      <c r="V17" s="1">
        <v>66</v>
      </c>
      <c r="W17" s="1">
        <v>65</v>
      </c>
      <c r="X17" s="1">
        <v>90</v>
      </c>
      <c r="Y17" s="1"/>
      <c r="Z17" s="1"/>
      <c r="AA17" s="55">
        <v>76.5</v>
      </c>
      <c r="AB17" s="1"/>
      <c r="AC17" s="56">
        <v>76.5</v>
      </c>
      <c r="AD17" s="1"/>
      <c r="AE17" s="1"/>
      <c r="AF17" s="2">
        <v>0</v>
      </c>
      <c r="AG17" s="55">
        <v>100</v>
      </c>
      <c r="AH17" s="1">
        <v>76</v>
      </c>
      <c r="AI17" s="1">
        <v>84</v>
      </c>
      <c r="AJ17" s="1">
        <v>66</v>
      </c>
      <c r="AK17" s="1">
        <v>65</v>
      </c>
      <c r="AL17" s="1"/>
      <c r="AM17" s="1"/>
      <c r="AN17" s="55">
        <v>72.75</v>
      </c>
      <c r="AO17" s="1"/>
      <c r="AP17" s="56">
        <v>72.75</v>
      </c>
      <c r="AQ17" s="1"/>
      <c r="AR17" s="1">
        <v>50</v>
      </c>
      <c r="AS17" s="2">
        <v>0</v>
      </c>
      <c r="AT17" s="55">
        <v>100</v>
      </c>
      <c r="AU17" s="55">
        <v>74.625</v>
      </c>
      <c r="AV17" s="55" t="s">
        <v>230</v>
      </c>
      <c r="AW17" s="56">
        <v>74.625</v>
      </c>
      <c r="AX17" s="57">
        <v>4</v>
      </c>
      <c r="AY17" s="55">
        <v>50</v>
      </c>
      <c r="AZ17" s="1"/>
      <c r="BA17" s="58">
        <v>0</v>
      </c>
      <c r="BB17" s="59">
        <v>100</v>
      </c>
      <c r="BC17" s="4"/>
      <c r="BD17" s="39"/>
      <c r="BE17" s="39"/>
      <c r="BF17" s="1"/>
      <c r="BG17" s="1"/>
      <c r="BH17" s="1"/>
      <c r="BI17" s="1"/>
      <c r="BJ17" s="1"/>
      <c r="BK17" s="1"/>
      <c r="BL17" s="1"/>
      <c r="BM17" s="55"/>
      <c r="BN17" s="1"/>
      <c r="BO17" s="56"/>
      <c r="BP17" s="1"/>
      <c r="BQ17" s="1"/>
      <c r="BR17" s="2"/>
      <c r="BS17" s="55"/>
      <c r="BT17" s="1"/>
      <c r="BU17" s="1"/>
      <c r="BV17" s="1"/>
      <c r="BW17" s="1"/>
      <c r="BX17" s="1"/>
      <c r="BY17" s="1"/>
      <c r="BZ17" s="55"/>
      <c r="CA17" s="1"/>
      <c r="CB17" s="56"/>
      <c r="CC17" s="1"/>
      <c r="CD17" s="1"/>
      <c r="CE17" s="2"/>
      <c r="CF17" s="55"/>
      <c r="CG17" s="55"/>
      <c r="CH17" s="55"/>
      <c r="CI17" s="56"/>
      <c r="CJ17" s="57"/>
      <c r="CK17" s="55"/>
      <c r="CL17" s="1"/>
      <c r="CM17" s="58"/>
      <c r="CN17" s="59"/>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v>1273950</v>
      </c>
      <c r="EB17" s="39">
        <v>106</v>
      </c>
      <c r="EC17" s="39">
        <v>33</v>
      </c>
      <c r="ED17" s="1">
        <v>75</v>
      </c>
      <c r="EE17" s="1">
        <v>67</v>
      </c>
      <c r="EF17" s="1">
        <v>70</v>
      </c>
      <c r="EG17" s="1">
        <v>55</v>
      </c>
      <c r="EH17" s="1"/>
      <c r="EI17" s="1"/>
      <c r="EJ17" s="1"/>
      <c r="EK17" s="55">
        <v>64</v>
      </c>
      <c r="EL17" s="1"/>
      <c r="EM17" s="56">
        <v>64</v>
      </c>
      <c r="EN17" s="1"/>
      <c r="EO17" s="1"/>
      <c r="EP17" s="2">
        <v>0</v>
      </c>
      <c r="EQ17" s="55">
        <v>100</v>
      </c>
      <c r="ER17" s="1">
        <v>90</v>
      </c>
      <c r="ES17" s="1">
        <v>77</v>
      </c>
      <c r="ET17" s="1">
        <v>87</v>
      </c>
      <c r="EU17" s="1"/>
      <c r="EV17" s="1"/>
      <c r="EW17" s="1"/>
      <c r="EX17" s="55">
        <v>84.666666666666671</v>
      </c>
      <c r="EY17" s="1"/>
      <c r="EZ17" s="56">
        <v>84.666666666666671</v>
      </c>
      <c r="FA17" s="1"/>
      <c r="FB17" s="1">
        <v>66.67</v>
      </c>
      <c r="FC17" s="2">
        <v>0</v>
      </c>
      <c r="FD17" s="55">
        <v>100</v>
      </c>
      <c r="FE17" s="55">
        <v>74.333333333333343</v>
      </c>
      <c r="FF17" s="55" t="s">
        <v>230</v>
      </c>
      <c r="FG17" s="56">
        <v>74.333333333333343</v>
      </c>
      <c r="FH17" s="57">
        <v>4</v>
      </c>
      <c r="FI17" s="55">
        <v>66.67</v>
      </c>
      <c r="FJ17" s="1"/>
      <c r="FK17" s="58">
        <v>0</v>
      </c>
      <c r="FL17" s="59">
        <v>100</v>
      </c>
      <c r="FM17" s="4">
        <v>1369149</v>
      </c>
      <c r="FN17" s="39">
        <v>110</v>
      </c>
      <c r="FO17" s="39">
        <v>168</v>
      </c>
      <c r="FP17" s="1">
        <v>84</v>
      </c>
      <c r="FQ17" s="1">
        <v>85</v>
      </c>
      <c r="FR17" s="1">
        <v>100</v>
      </c>
      <c r="FS17" s="1">
        <v>78</v>
      </c>
      <c r="FT17" s="1">
        <v>90</v>
      </c>
      <c r="FU17" s="1"/>
      <c r="FV17" s="1"/>
      <c r="FW17" s="55">
        <v>88.25</v>
      </c>
      <c r="FX17" s="1"/>
      <c r="FY17" s="56">
        <v>88.25</v>
      </c>
      <c r="FZ17" s="1"/>
      <c r="GA17" s="1"/>
      <c r="GB17" s="2">
        <v>0</v>
      </c>
      <c r="GC17" s="55">
        <v>100</v>
      </c>
      <c r="GD17" s="1">
        <v>70</v>
      </c>
      <c r="GE17" s="1">
        <v>89</v>
      </c>
      <c r="GF17" s="1">
        <v>90</v>
      </c>
      <c r="GG17" s="1">
        <v>90</v>
      </c>
      <c r="GH17" s="1"/>
      <c r="GI17" s="1"/>
      <c r="GJ17" s="55">
        <v>84.75</v>
      </c>
      <c r="GK17" s="1"/>
      <c r="GL17" s="56">
        <v>84.75</v>
      </c>
      <c r="GM17" s="1"/>
      <c r="GN17" s="1">
        <v>47.22</v>
      </c>
      <c r="GO17" s="2">
        <v>0</v>
      </c>
      <c r="GP17" s="55">
        <v>100</v>
      </c>
      <c r="GQ17" s="55">
        <v>86.5</v>
      </c>
      <c r="GR17" s="55" t="s">
        <v>230</v>
      </c>
      <c r="GS17" s="56">
        <v>86.5</v>
      </c>
      <c r="GT17" s="57">
        <v>5</v>
      </c>
      <c r="GU17" s="55">
        <v>47.22</v>
      </c>
      <c r="GV17" s="1"/>
      <c r="GW17" s="58">
        <v>0</v>
      </c>
      <c r="GX17" s="59">
        <v>100</v>
      </c>
      <c r="GY17" s="4">
        <v>1791291</v>
      </c>
      <c r="GZ17" s="39">
        <v>114</v>
      </c>
      <c r="HA17" s="39">
        <v>33</v>
      </c>
      <c r="HB17" s="1">
        <v>70</v>
      </c>
      <c r="HC17" s="1">
        <v>80</v>
      </c>
      <c r="HD17" s="1">
        <v>85</v>
      </c>
      <c r="HE17" s="1">
        <v>80</v>
      </c>
      <c r="HF17" s="1"/>
      <c r="HG17" s="1"/>
      <c r="HH17" s="1"/>
      <c r="HI17" s="55">
        <v>81.666666666666671</v>
      </c>
      <c r="HJ17" s="1"/>
      <c r="HK17" s="56">
        <v>81.666666666666671</v>
      </c>
      <c r="HL17" s="1"/>
      <c r="HM17" s="1"/>
      <c r="HN17" s="2">
        <v>0</v>
      </c>
      <c r="HO17" s="55">
        <v>100</v>
      </c>
      <c r="HP17" s="1">
        <v>65</v>
      </c>
      <c r="HQ17" s="1">
        <v>65</v>
      </c>
      <c r="HR17" s="1">
        <v>65</v>
      </c>
      <c r="HS17" s="1"/>
      <c r="HT17" s="1"/>
      <c r="HU17" s="1"/>
      <c r="HV17" s="55">
        <v>65</v>
      </c>
      <c r="HW17" s="1"/>
      <c r="HX17" s="56">
        <v>65</v>
      </c>
      <c r="HY17" s="1"/>
      <c r="HZ17" s="1"/>
      <c r="IA17" s="2">
        <v>0</v>
      </c>
      <c r="IB17" s="55">
        <v>100</v>
      </c>
      <c r="IC17" s="55">
        <v>73.333333333333343</v>
      </c>
      <c r="ID17" s="55" t="s">
        <v>230</v>
      </c>
      <c r="IE17" s="56">
        <v>73.333333333333343</v>
      </c>
      <c r="IF17" s="57">
        <v>4</v>
      </c>
      <c r="IG17" s="55" t="s">
        <v>230</v>
      </c>
      <c r="IH17" s="1"/>
      <c r="II17" s="58">
        <v>0</v>
      </c>
      <c r="IJ17" s="59">
        <v>100</v>
      </c>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c r="JX17" s="39"/>
      <c r="JY17" s="39"/>
      <c r="JZ17" s="1"/>
      <c r="KA17" s="1"/>
      <c r="KB17" s="1"/>
      <c r="KC17" s="1"/>
      <c r="KD17" s="1"/>
      <c r="KE17" s="1"/>
      <c r="KF17" s="1"/>
      <c r="KG17" s="55"/>
      <c r="KH17" s="1"/>
      <c r="KI17" s="56"/>
      <c r="KJ17" s="1"/>
      <c r="KK17" s="1"/>
      <c r="KL17" s="2"/>
      <c r="KM17" s="55"/>
      <c r="KN17" s="1"/>
      <c r="KO17" s="1"/>
      <c r="KP17" s="1"/>
      <c r="KQ17" s="1"/>
      <c r="KR17" s="1"/>
      <c r="KS17" s="1"/>
      <c r="KT17" s="55"/>
      <c r="KU17" s="1"/>
      <c r="KV17" s="56"/>
      <c r="KW17" s="1"/>
      <c r="KX17" s="1"/>
      <c r="KY17" s="2"/>
      <c r="KZ17" s="55"/>
      <c r="LA17" s="55"/>
      <c r="LB17" s="55"/>
      <c r="LC17" s="56"/>
      <c r="LD17" s="57"/>
      <c r="LE17" s="55"/>
      <c r="LF17" s="1"/>
      <c r="LG17" s="58"/>
      <c r="LH17" s="59"/>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v>1369149</v>
      </c>
      <c r="PT17" s="39">
        <v>128</v>
      </c>
      <c r="PU17" s="39">
        <v>68</v>
      </c>
      <c r="PV17" s="1">
        <v>78</v>
      </c>
      <c r="PW17" s="1">
        <v>65</v>
      </c>
      <c r="PX17" s="1">
        <v>65</v>
      </c>
      <c r="PY17" s="1">
        <v>73</v>
      </c>
      <c r="PZ17" s="1"/>
      <c r="QA17" s="1"/>
      <c r="QB17" s="1"/>
      <c r="QC17" s="55">
        <v>67.666666666666671</v>
      </c>
      <c r="QD17" s="1"/>
      <c r="QE17" s="56">
        <v>67.666666666666671</v>
      </c>
      <c r="QF17" s="1"/>
      <c r="QG17" s="1"/>
      <c r="QH17" s="2">
        <v>0</v>
      </c>
      <c r="QI17" s="55">
        <v>100</v>
      </c>
      <c r="QJ17" s="1">
        <v>65</v>
      </c>
      <c r="QK17" s="1">
        <v>62</v>
      </c>
      <c r="QL17" s="1">
        <v>65</v>
      </c>
      <c r="QM17" s="1">
        <v>85</v>
      </c>
      <c r="QN17" s="1"/>
      <c r="QO17" s="1"/>
      <c r="QP17" s="55">
        <v>69.25</v>
      </c>
      <c r="QQ17" s="1"/>
      <c r="QR17" s="56">
        <v>69.25</v>
      </c>
      <c r="QS17" s="1"/>
      <c r="QT17" s="1"/>
      <c r="QU17" s="2">
        <v>0</v>
      </c>
      <c r="QV17" s="55">
        <v>100</v>
      </c>
      <c r="QW17" s="55">
        <v>68.458333333333343</v>
      </c>
      <c r="QX17" s="55" t="s">
        <v>230</v>
      </c>
      <c r="QY17" s="56">
        <v>68.458333333333343</v>
      </c>
      <c r="QZ17" s="57">
        <v>4</v>
      </c>
      <c r="RA17" s="55" t="s">
        <v>230</v>
      </c>
      <c r="RB17" s="1"/>
      <c r="RC17" s="58">
        <v>0</v>
      </c>
      <c r="RD17" s="59">
        <v>100</v>
      </c>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1369149</v>
      </c>
      <c r="UD17" s="39">
        <v>131</v>
      </c>
      <c r="UE17" s="39">
        <v>66</v>
      </c>
      <c r="UF17" s="1">
        <v>87</v>
      </c>
      <c r="UG17" s="1">
        <v>90</v>
      </c>
      <c r="UH17" s="1">
        <v>85</v>
      </c>
      <c r="UI17" s="1">
        <v>85</v>
      </c>
      <c r="UJ17" s="1"/>
      <c r="UK17" s="1"/>
      <c r="UL17" s="1"/>
      <c r="UM17" s="55">
        <v>86.666666666666671</v>
      </c>
      <c r="UN17" s="1"/>
      <c r="UO17" s="56">
        <v>86.666666666666671</v>
      </c>
      <c r="UP17" s="1"/>
      <c r="UQ17" s="1"/>
      <c r="UR17" s="2">
        <v>0</v>
      </c>
      <c r="US17" s="55">
        <v>100</v>
      </c>
      <c r="UT17" s="1">
        <v>100</v>
      </c>
      <c r="UU17" s="1">
        <v>90</v>
      </c>
      <c r="UV17" s="1">
        <v>100</v>
      </c>
      <c r="UW17" s="1"/>
      <c r="UX17" s="1"/>
      <c r="UY17" s="1"/>
      <c r="UZ17" s="55">
        <v>96.666666666666671</v>
      </c>
      <c r="VA17" s="1"/>
      <c r="VB17" s="56">
        <v>96.666666666666671</v>
      </c>
      <c r="VC17" s="1"/>
      <c r="VD17" s="1"/>
      <c r="VE17" s="2">
        <v>0</v>
      </c>
      <c r="VF17" s="55">
        <v>100</v>
      </c>
      <c r="VG17" s="55">
        <v>91.666666666666671</v>
      </c>
      <c r="VH17" s="55" t="s">
        <v>230</v>
      </c>
      <c r="VI17" s="56">
        <v>91.666666666666671</v>
      </c>
      <c r="VJ17" s="57">
        <v>5</v>
      </c>
      <c r="VK17" s="55" t="s">
        <v>230</v>
      </c>
      <c r="VL17" s="1"/>
      <c r="VM17" s="58">
        <v>0</v>
      </c>
      <c r="VN17" s="59">
        <v>100</v>
      </c>
      <c r="VO17" s="4">
        <v>1369149</v>
      </c>
      <c r="VP17" s="39">
        <v>132</v>
      </c>
      <c r="VQ17" s="39">
        <v>37</v>
      </c>
      <c r="VR17" s="1">
        <v>86</v>
      </c>
      <c r="VS17" s="1">
        <v>80</v>
      </c>
      <c r="VT17" s="1">
        <v>85</v>
      </c>
      <c r="VU17" s="1">
        <v>85</v>
      </c>
      <c r="VV17" s="1"/>
      <c r="VW17" s="1"/>
      <c r="VX17" s="1"/>
      <c r="VY17" s="55">
        <v>83.333333333333329</v>
      </c>
      <c r="VZ17" s="1"/>
      <c r="WA17" s="56">
        <v>83.333333333333329</v>
      </c>
      <c r="WB17" s="1"/>
      <c r="WC17" s="1"/>
      <c r="WD17" s="2">
        <v>0</v>
      </c>
      <c r="WE17" s="55">
        <v>100</v>
      </c>
      <c r="WF17" s="1">
        <v>90</v>
      </c>
      <c r="WG17" s="1">
        <v>90</v>
      </c>
      <c r="WH17" s="1">
        <v>90</v>
      </c>
      <c r="WI17" s="1"/>
      <c r="WJ17" s="1"/>
      <c r="WK17" s="1"/>
      <c r="WL17" s="55">
        <v>90</v>
      </c>
      <c r="WM17" s="1"/>
      <c r="WN17" s="56">
        <v>90</v>
      </c>
      <c r="WO17" s="1"/>
      <c r="WP17" s="1"/>
      <c r="WQ17" s="2">
        <v>0</v>
      </c>
      <c r="WR17" s="55">
        <v>100</v>
      </c>
      <c r="WS17" s="55">
        <v>86.666666666666657</v>
      </c>
      <c r="WT17" s="55" t="s">
        <v>230</v>
      </c>
      <c r="WU17" s="56">
        <v>86.666666666666657</v>
      </c>
      <c r="WV17" s="57">
        <v>5</v>
      </c>
      <c r="WW17" s="55" t="s">
        <v>230</v>
      </c>
      <c r="WX17" s="1"/>
      <c r="WY17" s="58">
        <v>0</v>
      </c>
      <c r="WZ17" s="59">
        <v>100</v>
      </c>
      <c r="XA17" s="4">
        <v>1787467</v>
      </c>
      <c r="XB17" s="39">
        <v>133</v>
      </c>
      <c r="XC17" s="39">
        <v>34</v>
      </c>
      <c r="XD17" s="1">
        <v>89</v>
      </c>
      <c r="XE17" s="1">
        <v>85</v>
      </c>
      <c r="XF17" s="1">
        <v>90</v>
      </c>
      <c r="XG17" s="1">
        <v>85</v>
      </c>
      <c r="XH17" s="1"/>
      <c r="XI17" s="1"/>
      <c r="XJ17" s="1"/>
      <c r="XK17" s="55">
        <v>86.666666666666671</v>
      </c>
      <c r="XL17" s="1"/>
      <c r="XM17" s="56">
        <v>86.666666666666671</v>
      </c>
      <c r="XN17" s="1"/>
      <c r="XO17" s="1"/>
      <c r="XP17" s="2">
        <v>0</v>
      </c>
      <c r="XQ17" s="55">
        <v>100</v>
      </c>
      <c r="XR17" s="1">
        <v>90</v>
      </c>
      <c r="XS17" s="1">
        <v>85</v>
      </c>
      <c r="XT17" s="1">
        <v>90</v>
      </c>
      <c r="XU17" s="1"/>
      <c r="XV17" s="1"/>
      <c r="XW17" s="1"/>
      <c r="XX17" s="55">
        <v>88.333333333333329</v>
      </c>
      <c r="XY17" s="1"/>
      <c r="XZ17" s="56">
        <v>88.333333333333329</v>
      </c>
      <c r="YA17" s="1"/>
      <c r="YB17" s="1"/>
      <c r="YC17" s="2">
        <v>0</v>
      </c>
      <c r="YD17" s="55">
        <v>100</v>
      </c>
      <c r="YE17" s="55">
        <v>87.5</v>
      </c>
      <c r="YF17" s="55" t="s">
        <v>230</v>
      </c>
      <c r="YG17" s="56">
        <v>87.5</v>
      </c>
      <c r="YH17" s="57">
        <v>5</v>
      </c>
      <c r="YI17" s="55" t="s">
        <v>230</v>
      </c>
      <c r="YJ17" s="1"/>
      <c r="YK17" s="58">
        <v>0</v>
      </c>
      <c r="YL17" s="59">
        <v>100</v>
      </c>
      <c r="YM17" s="4">
        <v>1369149</v>
      </c>
      <c r="YN17" s="39">
        <v>135</v>
      </c>
      <c r="YO17" s="39">
        <v>66</v>
      </c>
      <c r="YP17" s="1">
        <v>80</v>
      </c>
      <c r="YQ17" s="1">
        <v>90</v>
      </c>
      <c r="YR17" s="1">
        <v>90</v>
      </c>
      <c r="YS17" s="1">
        <v>90</v>
      </c>
      <c r="YT17" s="1"/>
      <c r="YU17" s="1"/>
      <c r="YV17" s="1"/>
      <c r="YW17" s="55">
        <v>90</v>
      </c>
      <c r="YX17" s="1"/>
      <c r="YY17" s="56">
        <v>90</v>
      </c>
      <c r="YZ17" s="1"/>
      <c r="ZA17" s="1"/>
      <c r="ZB17" s="2">
        <v>0</v>
      </c>
      <c r="ZC17" s="55">
        <v>100</v>
      </c>
      <c r="ZD17" s="1">
        <v>100</v>
      </c>
      <c r="ZE17" s="1">
        <v>100</v>
      </c>
      <c r="ZF17" s="1">
        <v>90</v>
      </c>
      <c r="ZG17" s="1"/>
      <c r="ZH17" s="1"/>
      <c r="ZI17" s="1"/>
      <c r="ZJ17" s="55">
        <v>96.666666666666671</v>
      </c>
      <c r="ZK17" s="1"/>
      <c r="ZL17" s="56">
        <v>96.666666666666671</v>
      </c>
      <c r="ZM17" s="1"/>
      <c r="ZN17" s="1"/>
      <c r="ZO17" s="2">
        <v>0</v>
      </c>
      <c r="ZP17" s="55">
        <v>100</v>
      </c>
      <c r="ZQ17" s="55">
        <v>93.333333333333343</v>
      </c>
      <c r="ZR17" s="55" t="s">
        <v>230</v>
      </c>
      <c r="ZS17" s="56">
        <v>93.333333333333343</v>
      </c>
      <c r="ZT17" s="57">
        <v>5</v>
      </c>
      <c r="ZU17" s="55" t="s">
        <v>230</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c r="ACX17" s="39"/>
      <c r="ACY17" s="39"/>
      <c r="ACZ17" s="1"/>
      <c r="ADA17" s="1"/>
      <c r="ADB17" s="1"/>
      <c r="ADC17" s="1"/>
      <c r="ADD17" s="1"/>
      <c r="ADE17" s="1"/>
      <c r="ADF17" s="1"/>
      <c r="ADG17" s="55"/>
      <c r="ADH17" s="1"/>
      <c r="ADI17" s="56"/>
      <c r="ADJ17" s="1"/>
      <c r="ADK17" s="1"/>
      <c r="ADL17" s="2"/>
      <c r="ADM17" s="55"/>
      <c r="ADN17" s="1"/>
      <c r="ADO17" s="1"/>
      <c r="ADP17" s="1"/>
      <c r="ADQ17" s="1"/>
      <c r="ADR17" s="1"/>
      <c r="ADS17" s="1"/>
      <c r="ADT17" s="55"/>
      <c r="ADU17" s="1"/>
      <c r="ADV17" s="56"/>
      <c r="ADW17" s="1"/>
      <c r="ADX17" s="1"/>
      <c r="ADY17" s="2"/>
      <c r="ADZ17" s="55"/>
      <c r="AEA17" s="55"/>
      <c r="AEB17" s="55"/>
      <c r="AEC17" s="56"/>
      <c r="AED17" s="57"/>
      <c r="AEE17" s="55"/>
      <c r="AEF17" s="1"/>
      <c r="AEG17" s="58"/>
      <c r="AEH17" s="59"/>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3684593</v>
      </c>
      <c r="F18" s="89">
        <f t="shared" si="401"/>
        <v>3</v>
      </c>
      <c r="G18" s="89" t="str">
        <f t="shared" si="402"/>
        <v>B</v>
      </c>
      <c r="H18" s="36" t="s">
        <v>169</v>
      </c>
      <c r="I18" s="37" t="s">
        <v>170</v>
      </c>
      <c r="J18" s="41" t="s">
        <v>171</v>
      </c>
      <c r="K18" s="90" t="str">
        <f t="shared" si="403"/>
        <v>A</v>
      </c>
      <c r="L18" s="41" t="s">
        <v>119</v>
      </c>
      <c r="M18" s="93">
        <v>41876</v>
      </c>
      <c r="N18" s="41"/>
      <c r="O18" s="43" t="s">
        <v>222</v>
      </c>
      <c r="P18" s="91" t="str">
        <f t="shared" si="404"/>
        <v>Əliyeva Sevinc Kamal</v>
      </c>
      <c r="Q18" s="4">
        <v>1369149</v>
      </c>
      <c r="R18" s="39">
        <v>101</v>
      </c>
      <c r="S18" s="39">
        <v>303</v>
      </c>
      <c r="T18" s="1">
        <v>93</v>
      </c>
      <c r="U18" s="1">
        <v>95</v>
      </c>
      <c r="V18" s="1">
        <v>100</v>
      </c>
      <c r="W18" s="1">
        <v>75</v>
      </c>
      <c r="X18" s="1">
        <v>100</v>
      </c>
      <c r="Y18" s="1"/>
      <c r="Z18" s="1"/>
      <c r="AA18" s="55">
        <v>92.5</v>
      </c>
      <c r="AB18" s="1"/>
      <c r="AC18" s="56">
        <v>92.5</v>
      </c>
      <c r="AD18" s="1"/>
      <c r="AE18" s="1"/>
      <c r="AF18" s="2">
        <v>0</v>
      </c>
      <c r="AG18" s="55">
        <v>100</v>
      </c>
      <c r="AH18" s="1">
        <v>93</v>
      </c>
      <c r="AI18" s="1">
        <v>90</v>
      </c>
      <c r="AJ18" s="1">
        <v>100</v>
      </c>
      <c r="AK18" s="1">
        <v>100</v>
      </c>
      <c r="AL18" s="1"/>
      <c r="AM18" s="1"/>
      <c r="AN18" s="55">
        <v>95.75</v>
      </c>
      <c r="AO18" s="1"/>
      <c r="AP18" s="56">
        <v>95.75</v>
      </c>
      <c r="AQ18" s="1"/>
      <c r="AR18" s="1">
        <v>80.56</v>
      </c>
      <c r="AS18" s="2">
        <v>0</v>
      </c>
      <c r="AT18" s="55">
        <v>100</v>
      </c>
      <c r="AU18" s="55">
        <v>94.125</v>
      </c>
      <c r="AV18" s="55" t="s">
        <v>230</v>
      </c>
      <c r="AW18" s="56">
        <v>94.125</v>
      </c>
      <c r="AX18" s="57">
        <v>5</v>
      </c>
      <c r="AY18" s="55">
        <v>80.56</v>
      </c>
      <c r="AZ18" s="1"/>
      <c r="BA18" s="58">
        <v>0</v>
      </c>
      <c r="BB18" s="59">
        <v>100</v>
      </c>
      <c r="BC18" s="4"/>
      <c r="BD18" s="39"/>
      <c r="BE18" s="39"/>
      <c r="BF18" s="1"/>
      <c r="BG18" s="1"/>
      <c r="BH18" s="1"/>
      <c r="BI18" s="1"/>
      <c r="BJ18" s="1"/>
      <c r="BK18" s="1"/>
      <c r="BL18" s="1"/>
      <c r="BM18" s="55"/>
      <c r="BN18" s="1"/>
      <c r="BO18" s="56"/>
      <c r="BP18" s="1"/>
      <c r="BQ18" s="1"/>
      <c r="BR18" s="2"/>
      <c r="BS18" s="55"/>
      <c r="BT18" s="1"/>
      <c r="BU18" s="1"/>
      <c r="BV18" s="1"/>
      <c r="BW18" s="1"/>
      <c r="BX18" s="1"/>
      <c r="BY18" s="1"/>
      <c r="BZ18" s="55"/>
      <c r="CA18" s="1"/>
      <c r="CB18" s="56"/>
      <c r="CC18" s="1"/>
      <c r="CD18" s="1"/>
      <c r="CE18" s="2"/>
      <c r="CF18" s="55"/>
      <c r="CG18" s="55"/>
      <c r="CH18" s="55"/>
      <c r="CI18" s="56"/>
      <c r="CJ18" s="57"/>
      <c r="CK18" s="55"/>
      <c r="CL18" s="1"/>
      <c r="CM18" s="58"/>
      <c r="CN18" s="59"/>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v>1273950</v>
      </c>
      <c r="EB18" s="39">
        <v>106</v>
      </c>
      <c r="EC18" s="39">
        <v>33</v>
      </c>
      <c r="ED18" s="1">
        <v>91</v>
      </c>
      <c r="EE18" s="1">
        <v>83</v>
      </c>
      <c r="EF18" s="1">
        <v>84</v>
      </c>
      <c r="EG18" s="1">
        <v>100</v>
      </c>
      <c r="EH18" s="1"/>
      <c r="EI18" s="1"/>
      <c r="EJ18" s="1"/>
      <c r="EK18" s="55">
        <v>89</v>
      </c>
      <c r="EL18" s="1"/>
      <c r="EM18" s="56">
        <v>89</v>
      </c>
      <c r="EN18" s="1"/>
      <c r="EO18" s="1"/>
      <c r="EP18" s="2">
        <v>0</v>
      </c>
      <c r="EQ18" s="55">
        <v>100</v>
      </c>
      <c r="ER18" s="1">
        <v>100</v>
      </c>
      <c r="ES18" s="1">
        <v>90</v>
      </c>
      <c r="ET18" s="1">
        <v>90</v>
      </c>
      <c r="EU18" s="1"/>
      <c r="EV18" s="1"/>
      <c r="EW18" s="1"/>
      <c r="EX18" s="55">
        <v>93.333333333333329</v>
      </c>
      <c r="EY18" s="1"/>
      <c r="EZ18" s="56">
        <v>93.333333333333329</v>
      </c>
      <c r="FA18" s="1"/>
      <c r="FB18" s="1">
        <v>100</v>
      </c>
      <c r="FC18" s="2">
        <v>0</v>
      </c>
      <c r="FD18" s="55">
        <v>100</v>
      </c>
      <c r="FE18" s="55">
        <v>91.166666666666657</v>
      </c>
      <c r="FF18" s="55" t="s">
        <v>230</v>
      </c>
      <c r="FG18" s="56">
        <v>91.166666666666657</v>
      </c>
      <c r="FH18" s="57">
        <v>5</v>
      </c>
      <c r="FI18" s="55">
        <v>100</v>
      </c>
      <c r="FJ18" s="1"/>
      <c r="FK18" s="58">
        <v>0</v>
      </c>
      <c r="FL18" s="59">
        <v>100</v>
      </c>
      <c r="FM18" s="4">
        <v>1369149</v>
      </c>
      <c r="FN18" s="39">
        <v>110</v>
      </c>
      <c r="FO18" s="39">
        <v>168</v>
      </c>
      <c r="FP18" s="1">
        <v>94</v>
      </c>
      <c r="FQ18" s="1">
        <v>95</v>
      </c>
      <c r="FR18" s="1">
        <v>100</v>
      </c>
      <c r="FS18" s="1">
        <v>97</v>
      </c>
      <c r="FT18" s="1">
        <v>100</v>
      </c>
      <c r="FU18" s="1"/>
      <c r="FV18" s="1"/>
      <c r="FW18" s="55">
        <v>98</v>
      </c>
      <c r="FX18" s="1"/>
      <c r="FY18" s="56">
        <v>98</v>
      </c>
      <c r="FZ18" s="1"/>
      <c r="GA18" s="1"/>
      <c r="GB18" s="2">
        <v>0</v>
      </c>
      <c r="GC18" s="55">
        <v>100</v>
      </c>
      <c r="GD18" s="1">
        <v>95</v>
      </c>
      <c r="GE18" s="1">
        <v>100</v>
      </c>
      <c r="GF18" s="1">
        <v>100</v>
      </c>
      <c r="GG18" s="1">
        <v>100</v>
      </c>
      <c r="GH18" s="1"/>
      <c r="GI18" s="1"/>
      <c r="GJ18" s="55">
        <v>98.75</v>
      </c>
      <c r="GK18" s="1"/>
      <c r="GL18" s="56">
        <v>98.75</v>
      </c>
      <c r="GM18" s="1"/>
      <c r="GN18" s="1">
        <v>86.11</v>
      </c>
      <c r="GO18" s="2">
        <v>0</v>
      </c>
      <c r="GP18" s="55">
        <v>100</v>
      </c>
      <c r="GQ18" s="55">
        <v>98.375</v>
      </c>
      <c r="GR18" s="55" t="s">
        <v>230</v>
      </c>
      <c r="GS18" s="56">
        <v>98.375</v>
      </c>
      <c r="GT18" s="57">
        <v>5</v>
      </c>
      <c r="GU18" s="55">
        <v>86.11</v>
      </c>
      <c r="GV18" s="1"/>
      <c r="GW18" s="58">
        <v>0</v>
      </c>
      <c r="GX18" s="59">
        <v>100</v>
      </c>
      <c r="GY18" s="4">
        <v>1791291</v>
      </c>
      <c r="GZ18" s="39">
        <v>114</v>
      </c>
      <c r="HA18" s="39">
        <v>33</v>
      </c>
      <c r="HB18" s="1">
        <v>67</v>
      </c>
      <c r="HC18" s="1">
        <v>90</v>
      </c>
      <c r="HD18" s="1">
        <v>90</v>
      </c>
      <c r="HE18" s="1">
        <v>85</v>
      </c>
      <c r="HF18" s="1"/>
      <c r="HG18" s="1"/>
      <c r="HH18" s="1"/>
      <c r="HI18" s="55">
        <v>88.333333333333329</v>
      </c>
      <c r="HJ18" s="1"/>
      <c r="HK18" s="56">
        <v>88.333333333333329</v>
      </c>
      <c r="HL18" s="1"/>
      <c r="HM18" s="1"/>
      <c r="HN18" s="2">
        <v>0</v>
      </c>
      <c r="HO18" s="55">
        <v>100</v>
      </c>
      <c r="HP18" s="1">
        <v>85</v>
      </c>
      <c r="HQ18" s="1">
        <v>85</v>
      </c>
      <c r="HR18" s="1">
        <v>85</v>
      </c>
      <c r="HS18" s="1"/>
      <c r="HT18" s="1"/>
      <c r="HU18" s="1"/>
      <c r="HV18" s="55">
        <v>85</v>
      </c>
      <c r="HW18" s="1"/>
      <c r="HX18" s="56">
        <v>85</v>
      </c>
      <c r="HY18" s="1"/>
      <c r="HZ18" s="1"/>
      <c r="IA18" s="2">
        <v>0</v>
      </c>
      <c r="IB18" s="55">
        <v>100</v>
      </c>
      <c r="IC18" s="55">
        <v>86.666666666666657</v>
      </c>
      <c r="ID18" s="55" t="s">
        <v>230</v>
      </c>
      <c r="IE18" s="56">
        <v>86.666666666666657</v>
      </c>
      <c r="IF18" s="57">
        <v>5</v>
      </c>
      <c r="IG18" s="55" t="s">
        <v>230</v>
      </c>
      <c r="IH18" s="1"/>
      <c r="II18" s="58">
        <v>0</v>
      </c>
      <c r="IJ18" s="59">
        <v>100</v>
      </c>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c r="JX18" s="39"/>
      <c r="JY18" s="39"/>
      <c r="JZ18" s="1"/>
      <c r="KA18" s="1"/>
      <c r="KB18" s="1"/>
      <c r="KC18" s="1"/>
      <c r="KD18" s="1"/>
      <c r="KE18" s="1"/>
      <c r="KF18" s="1"/>
      <c r="KG18" s="55"/>
      <c r="KH18" s="1"/>
      <c r="KI18" s="56"/>
      <c r="KJ18" s="1"/>
      <c r="KK18" s="1"/>
      <c r="KL18" s="2"/>
      <c r="KM18" s="55"/>
      <c r="KN18" s="1"/>
      <c r="KO18" s="1"/>
      <c r="KP18" s="1"/>
      <c r="KQ18" s="1"/>
      <c r="KR18" s="1"/>
      <c r="KS18" s="1"/>
      <c r="KT18" s="55"/>
      <c r="KU18" s="1"/>
      <c r="KV18" s="56"/>
      <c r="KW18" s="1"/>
      <c r="KX18" s="1"/>
      <c r="KY18" s="2"/>
      <c r="KZ18" s="55"/>
      <c r="LA18" s="55"/>
      <c r="LB18" s="55"/>
      <c r="LC18" s="56"/>
      <c r="LD18" s="57"/>
      <c r="LE18" s="55"/>
      <c r="LF18" s="1"/>
      <c r="LG18" s="58"/>
      <c r="LH18" s="59"/>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v>1369149</v>
      </c>
      <c r="PT18" s="39">
        <v>128</v>
      </c>
      <c r="PU18" s="39">
        <v>68</v>
      </c>
      <c r="PV18" s="1">
        <v>84</v>
      </c>
      <c r="PW18" s="1">
        <v>90</v>
      </c>
      <c r="PX18" s="1">
        <v>90</v>
      </c>
      <c r="PY18" s="1">
        <v>85</v>
      </c>
      <c r="PZ18" s="1"/>
      <c r="QA18" s="1"/>
      <c r="QB18" s="1"/>
      <c r="QC18" s="55">
        <v>88.333333333333329</v>
      </c>
      <c r="QD18" s="1"/>
      <c r="QE18" s="56">
        <v>88.333333333333329</v>
      </c>
      <c r="QF18" s="1"/>
      <c r="QG18" s="1"/>
      <c r="QH18" s="2">
        <v>0</v>
      </c>
      <c r="QI18" s="55">
        <v>100</v>
      </c>
      <c r="QJ18" s="1">
        <v>85</v>
      </c>
      <c r="QK18" s="1">
        <v>95</v>
      </c>
      <c r="QL18" s="1">
        <v>100</v>
      </c>
      <c r="QM18" s="1">
        <v>90</v>
      </c>
      <c r="QN18" s="1"/>
      <c r="QO18" s="1"/>
      <c r="QP18" s="55">
        <v>92.5</v>
      </c>
      <c r="QQ18" s="1"/>
      <c r="QR18" s="56">
        <v>92.5</v>
      </c>
      <c r="QS18" s="1"/>
      <c r="QT18" s="1"/>
      <c r="QU18" s="2">
        <v>0</v>
      </c>
      <c r="QV18" s="55">
        <v>100</v>
      </c>
      <c r="QW18" s="55">
        <v>90.416666666666657</v>
      </c>
      <c r="QX18" s="55" t="s">
        <v>230</v>
      </c>
      <c r="QY18" s="56">
        <v>90.416666666666657</v>
      </c>
      <c r="QZ18" s="57">
        <v>5</v>
      </c>
      <c r="RA18" s="55" t="s">
        <v>230</v>
      </c>
      <c r="RB18" s="1"/>
      <c r="RC18" s="58">
        <v>0</v>
      </c>
      <c r="RD18" s="59">
        <v>100</v>
      </c>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1369149</v>
      </c>
      <c r="UD18" s="39">
        <v>131</v>
      </c>
      <c r="UE18" s="39">
        <v>66</v>
      </c>
      <c r="UF18" s="1">
        <v>94</v>
      </c>
      <c r="UG18" s="1">
        <v>100</v>
      </c>
      <c r="UH18" s="1">
        <v>100</v>
      </c>
      <c r="UI18" s="1">
        <v>100</v>
      </c>
      <c r="UJ18" s="1"/>
      <c r="UK18" s="1"/>
      <c r="UL18" s="1"/>
      <c r="UM18" s="55">
        <v>100</v>
      </c>
      <c r="UN18" s="1"/>
      <c r="UO18" s="56">
        <v>100</v>
      </c>
      <c r="UP18" s="1"/>
      <c r="UQ18" s="1"/>
      <c r="UR18" s="2">
        <v>0</v>
      </c>
      <c r="US18" s="55">
        <v>100</v>
      </c>
      <c r="UT18" s="1">
        <v>100</v>
      </c>
      <c r="UU18" s="1">
        <v>100</v>
      </c>
      <c r="UV18" s="1">
        <v>100</v>
      </c>
      <c r="UW18" s="1"/>
      <c r="UX18" s="1"/>
      <c r="UY18" s="1"/>
      <c r="UZ18" s="55">
        <v>100</v>
      </c>
      <c r="VA18" s="1"/>
      <c r="VB18" s="56">
        <v>100</v>
      </c>
      <c r="VC18" s="1"/>
      <c r="VD18" s="1"/>
      <c r="VE18" s="2">
        <v>0</v>
      </c>
      <c r="VF18" s="55">
        <v>100</v>
      </c>
      <c r="VG18" s="55">
        <v>100</v>
      </c>
      <c r="VH18" s="55" t="s">
        <v>230</v>
      </c>
      <c r="VI18" s="56">
        <v>100</v>
      </c>
      <c r="VJ18" s="57">
        <v>5</v>
      </c>
      <c r="VK18" s="55" t="s">
        <v>230</v>
      </c>
      <c r="VL18" s="1"/>
      <c r="VM18" s="58">
        <v>0</v>
      </c>
      <c r="VN18" s="59">
        <v>100</v>
      </c>
      <c r="VO18" s="4">
        <v>1369149</v>
      </c>
      <c r="VP18" s="39">
        <v>132</v>
      </c>
      <c r="VQ18" s="39">
        <v>37</v>
      </c>
      <c r="VR18" s="1">
        <v>93</v>
      </c>
      <c r="VS18" s="1">
        <v>100</v>
      </c>
      <c r="VT18" s="1">
        <v>100</v>
      </c>
      <c r="VU18" s="1">
        <v>90</v>
      </c>
      <c r="VV18" s="1"/>
      <c r="VW18" s="1"/>
      <c r="VX18" s="1"/>
      <c r="VY18" s="55">
        <v>96.666666666666671</v>
      </c>
      <c r="VZ18" s="1"/>
      <c r="WA18" s="56">
        <v>96.666666666666671</v>
      </c>
      <c r="WB18" s="1"/>
      <c r="WC18" s="1"/>
      <c r="WD18" s="2">
        <v>0</v>
      </c>
      <c r="WE18" s="55">
        <v>100</v>
      </c>
      <c r="WF18" s="1">
        <v>100</v>
      </c>
      <c r="WG18" s="1">
        <v>100</v>
      </c>
      <c r="WH18" s="1">
        <v>100</v>
      </c>
      <c r="WI18" s="1"/>
      <c r="WJ18" s="1"/>
      <c r="WK18" s="1"/>
      <c r="WL18" s="55">
        <v>100</v>
      </c>
      <c r="WM18" s="1"/>
      <c r="WN18" s="56">
        <v>100</v>
      </c>
      <c r="WO18" s="1"/>
      <c r="WP18" s="1"/>
      <c r="WQ18" s="2">
        <v>0</v>
      </c>
      <c r="WR18" s="55">
        <v>100</v>
      </c>
      <c r="WS18" s="55">
        <v>98.333333333333343</v>
      </c>
      <c r="WT18" s="55" t="s">
        <v>230</v>
      </c>
      <c r="WU18" s="56">
        <v>98.333333333333343</v>
      </c>
      <c r="WV18" s="57">
        <v>5</v>
      </c>
      <c r="WW18" s="55" t="s">
        <v>230</v>
      </c>
      <c r="WX18" s="1"/>
      <c r="WY18" s="58">
        <v>0</v>
      </c>
      <c r="WZ18" s="59">
        <v>100</v>
      </c>
      <c r="XA18" s="4">
        <v>1787467</v>
      </c>
      <c r="XB18" s="39">
        <v>133</v>
      </c>
      <c r="XC18" s="39">
        <v>34</v>
      </c>
      <c r="XD18" s="1">
        <v>96</v>
      </c>
      <c r="XE18" s="1">
        <v>85</v>
      </c>
      <c r="XF18" s="1">
        <v>85</v>
      </c>
      <c r="XG18" s="1">
        <v>90</v>
      </c>
      <c r="XH18" s="1"/>
      <c r="XI18" s="1"/>
      <c r="XJ18" s="1"/>
      <c r="XK18" s="55">
        <v>86.666666666666671</v>
      </c>
      <c r="XL18" s="1"/>
      <c r="XM18" s="56">
        <v>86.666666666666671</v>
      </c>
      <c r="XN18" s="1"/>
      <c r="XO18" s="1"/>
      <c r="XP18" s="2">
        <v>0</v>
      </c>
      <c r="XQ18" s="55">
        <v>100</v>
      </c>
      <c r="XR18" s="1">
        <v>90</v>
      </c>
      <c r="XS18" s="1">
        <v>90</v>
      </c>
      <c r="XT18" s="1">
        <v>85</v>
      </c>
      <c r="XU18" s="1"/>
      <c r="XV18" s="1"/>
      <c r="XW18" s="1"/>
      <c r="XX18" s="55">
        <v>88.333333333333329</v>
      </c>
      <c r="XY18" s="1"/>
      <c r="XZ18" s="56">
        <v>88.333333333333329</v>
      </c>
      <c r="YA18" s="1"/>
      <c r="YB18" s="1"/>
      <c r="YC18" s="2">
        <v>0</v>
      </c>
      <c r="YD18" s="55">
        <v>100</v>
      </c>
      <c r="YE18" s="55">
        <v>87.5</v>
      </c>
      <c r="YF18" s="55" t="s">
        <v>230</v>
      </c>
      <c r="YG18" s="56">
        <v>87.5</v>
      </c>
      <c r="YH18" s="57">
        <v>5</v>
      </c>
      <c r="YI18" s="55" t="s">
        <v>230</v>
      </c>
      <c r="YJ18" s="1"/>
      <c r="YK18" s="58">
        <v>0</v>
      </c>
      <c r="YL18" s="59">
        <v>100</v>
      </c>
      <c r="YM18" s="4">
        <v>1369149</v>
      </c>
      <c r="YN18" s="39">
        <v>135</v>
      </c>
      <c r="YO18" s="39">
        <v>66</v>
      </c>
      <c r="YP18" s="1">
        <v>92</v>
      </c>
      <c r="YQ18" s="1">
        <v>100</v>
      </c>
      <c r="YR18" s="1">
        <v>100</v>
      </c>
      <c r="YS18" s="1">
        <v>100</v>
      </c>
      <c r="YT18" s="1"/>
      <c r="YU18" s="1"/>
      <c r="YV18" s="1"/>
      <c r="YW18" s="55">
        <v>100</v>
      </c>
      <c r="YX18" s="1"/>
      <c r="YY18" s="56">
        <v>100</v>
      </c>
      <c r="YZ18" s="1"/>
      <c r="ZA18" s="1"/>
      <c r="ZB18" s="2">
        <v>0</v>
      </c>
      <c r="ZC18" s="55">
        <v>100</v>
      </c>
      <c r="ZD18" s="1">
        <v>100</v>
      </c>
      <c r="ZE18" s="1">
        <v>100</v>
      </c>
      <c r="ZF18" s="1">
        <v>100</v>
      </c>
      <c r="ZG18" s="1"/>
      <c r="ZH18" s="1"/>
      <c r="ZI18" s="1"/>
      <c r="ZJ18" s="55">
        <v>100</v>
      </c>
      <c r="ZK18" s="1"/>
      <c r="ZL18" s="56">
        <v>100</v>
      </c>
      <c r="ZM18" s="1"/>
      <c r="ZN18" s="1"/>
      <c r="ZO18" s="2">
        <v>0</v>
      </c>
      <c r="ZP18" s="55">
        <v>100</v>
      </c>
      <c r="ZQ18" s="55">
        <v>100</v>
      </c>
      <c r="ZR18" s="55" t="s">
        <v>230</v>
      </c>
      <c r="ZS18" s="56">
        <v>100</v>
      </c>
      <c r="ZT18" s="57">
        <v>5</v>
      </c>
      <c r="ZU18" s="55" t="s">
        <v>230</v>
      </c>
      <c r="ZV18" s="1"/>
      <c r="ZW18" s="58">
        <v>0</v>
      </c>
      <c r="ZX18" s="59">
        <v>100</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c r="ACX18" s="39"/>
      <c r="ACY18" s="39"/>
      <c r="ACZ18" s="1"/>
      <c r="ADA18" s="1"/>
      <c r="ADB18" s="1"/>
      <c r="ADC18" s="1"/>
      <c r="ADD18" s="1"/>
      <c r="ADE18" s="1"/>
      <c r="ADF18" s="1"/>
      <c r="ADG18" s="55"/>
      <c r="ADH18" s="1"/>
      <c r="ADI18" s="56"/>
      <c r="ADJ18" s="1"/>
      <c r="ADK18" s="1"/>
      <c r="ADL18" s="2"/>
      <c r="ADM18" s="55"/>
      <c r="ADN18" s="1"/>
      <c r="ADO18" s="1"/>
      <c r="ADP18" s="1"/>
      <c r="ADQ18" s="1"/>
      <c r="ADR18" s="1"/>
      <c r="ADS18" s="1"/>
      <c r="ADT18" s="55"/>
      <c r="ADU18" s="1"/>
      <c r="ADV18" s="56"/>
      <c r="ADW18" s="1"/>
      <c r="ADX18" s="1"/>
      <c r="ADY18" s="2"/>
      <c r="ADZ18" s="55"/>
      <c r="AEA18" s="55"/>
      <c r="AEB18" s="55"/>
      <c r="AEC18" s="56"/>
      <c r="AED18" s="57"/>
      <c r="AEE18" s="55"/>
      <c r="AEF18" s="1"/>
      <c r="AEG18" s="58"/>
      <c r="AEH18" s="59"/>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3684606</v>
      </c>
      <c r="F19" s="89">
        <f t="shared" si="401"/>
        <v>3</v>
      </c>
      <c r="G19" s="89" t="str">
        <f t="shared" si="402"/>
        <v>B</v>
      </c>
      <c r="H19" s="36" t="s">
        <v>172</v>
      </c>
      <c r="I19" s="37" t="s">
        <v>173</v>
      </c>
      <c r="J19" s="41" t="s">
        <v>171</v>
      </c>
      <c r="K19" s="90" t="str">
        <f t="shared" si="403"/>
        <v>A</v>
      </c>
      <c r="L19" s="41" t="s">
        <v>117</v>
      </c>
      <c r="M19" s="93">
        <v>41876</v>
      </c>
      <c r="N19" s="41"/>
      <c r="O19" s="43" t="s">
        <v>223</v>
      </c>
      <c r="P19" s="91" t="str">
        <f t="shared" si="404"/>
        <v>Əliyeva Sevinc Kamal</v>
      </c>
      <c r="Q19" s="4">
        <v>1369149</v>
      </c>
      <c r="R19" s="39">
        <v>101</v>
      </c>
      <c r="S19" s="39">
        <v>303</v>
      </c>
      <c r="T19" s="1">
        <v>97</v>
      </c>
      <c r="U19" s="1">
        <v>94</v>
      </c>
      <c r="V19" s="1">
        <v>90</v>
      </c>
      <c r="W19" s="1">
        <v>70</v>
      </c>
      <c r="X19" s="1">
        <v>95</v>
      </c>
      <c r="Y19" s="1"/>
      <c r="Z19" s="1"/>
      <c r="AA19" s="55">
        <v>87.25</v>
      </c>
      <c r="AB19" s="1"/>
      <c r="AC19" s="56">
        <v>87.25</v>
      </c>
      <c r="AD19" s="1"/>
      <c r="AE19" s="1"/>
      <c r="AF19" s="2">
        <v>0</v>
      </c>
      <c r="AG19" s="55">
        <v>100</v>
      </c>
      <c r="AH19" s="1">
        <v>80</v>
      </c>
      <c r="AI19" s="1">
        <v>100</v>
      </c>
      <c r="AJ19" s="1">
        <v>90</v>
      </c>
      <c r="AK19" s="1">
        <v>100</v>
      </c>
      <c r="AL19" s="1"/>
      <c r="AM19" s="1"/>
      <c r="AN19" s="55">
        <v>92.5</v>
      </c>
      <c r="AO19" s="1"/>
      <c r="AP19" s="56">
        <v>92.5</v>
      </c>
      <c r="AQ19" s="1"/>
      <c r="AR19" s="1">
        <v>61.11</v>
      </c>
      <c r="AS19" s="2">
        <v>0</v>
      </c>
      <c r="AT19" s="55">
        <v>100</v>
      </c>
      <c r="AU19" s="55">
        <v>89.875</v>
      </c>
      <c r="AV19" s="55" t="s">
        <v>230</v>
      </c>
      <c r="AW19" s="56">
        <v>89.875</v>
      </c>
      <c r="AX19" s="57">
        <v>5</v>
      </c>
      <c r="AY19" s="55">
        <v>61.11</v>
      </c>
      <c r="AZ19" s="1"/>
      <c r="BA19" s="58">
        <v>0</v>
      </c>
      <c r="BB19" s="59">
        <v>100</v>
      </c>
      <c r="BC19" s="4"/>
      <c r="BD19" s="39"/>
      <c r="BE19" s="39"/>
      <c r="BF19" s="1"/>
      <c r="BG19" s="1"/>
      <c r="BH19" s="1"/>
      <c r="BI19" s="1"/>
      <c r="BJ19" s="1"/>
      <c r="BK19" s="1"/>
      <c r="BL19" s="1"/>
      <c r="BM19" s="55"/>
      <c r="BN19" s="1"/>
      <c r="BO19" s="56"/>
      <c r="BP19" s="1"/>
      <c r="BQ19" s="1"/>
      <c r="BR19" s="2"/>
      <c r="BS19" s="55"/>
      <c r="BT19" s="1"/>
      <c r="BU19" s="1"/>
      <c r="BV19" s="1"/>
      <c r="BW19" s="1"/>
      <c r="BX19" s="1"/>
      <c r="BY19" s="1"/>
      <c r="BZ19" s="55"/>
      <c r="CA19" s="1"/>
      <c r="CB19" s="56"/>
      <c r="CC19" s="1"/>
      <c r="CD19" s="1"/>
      <c r="CE19" s="2"/>
      <c r="CF19" s="55"/>
      <c r="CG19" s="55"/>
      <c r="CH19" s="55"/>
      <c r="CI19" s="56"/>
      <c r="CJ19" s="57"/>
      <c r="CK19" s="55"/>
      <c r="CL19" s="1"/>
      <c r="CM19" s="58"/>
      <c r="CN19" s="59"/>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v>1273950</v>
      </c>
      <c r="EB19" s="39">
        <v>106</v>
      </c>
      <c r="EC19" s="39">
        <v>33</v>
      </c>
      <c r="ED19" s="1">
        <v>94</v>
      </c>
      <c r="EE19" s="1">
        <v>90</v>
      </c>
      <c r="EF19" s="1">
        <v>87</v>
      </c>
      <c r="EG19" s="1">
        <v>88</v>
      </c>
      <c r="EH19" s="1"/>
      <c r="EI19" s="1"/>
      <c r="EJ19" s="1"/>
      <c r="EK19" s="55">
        <v>88.333333333333329</v>
      </c>
      <c r="EL19" s="1"/>
      <c r="EM19" s="56">
        <v>88.333333333333329</v>
      </c>
      <c r="EN19" s="1"/>
      <c r="EO19" s="1"/>
      <c r="EP19" s="2">
        <v>0</v>
      </c>
      <c r="EQ19" s="55">
        <v>100</v>
      </c>
      <c r="ER19" s="1">
        <v>90</v>
      </c>
      <c r="ES19" s="1">
        <v>92</v>
      </c>
      <c r="ET19" s="1">
        <v>90</v>
      </c>
      <c r="EU19" s="1"/>
      <c r="EV19" s="1"/>
      <c r="EW19" s="1"/>
      <c r="EX19" s="55">
        <v>90.666666666666671</v>
      </c>
      <c r="EY19" s="1"/>
      <c r="EZ19" s="56">
        <v>90.666666666666671</v>
      </c>
      <c r="FA19" s="1"/>
      <c r="FB19" s="1">
        <v>83.33</v>
      </c>
      <c r="FC19" s="2">
        <v>0</v>
      </c>
      <c r="FD19" s="55">
        <v>100</v>
      </c>
      <c r="FE19" s="55">
        <v>89.5</v>
      </c>
      <c r="FF19" s="55" t="s">
        <v>230</v>
      </c>
      <c r="FG19" s="56">
        <v>89.5</v>
      </c>
      <c r="FH19" s="57">
        <v>5</v>
      </c>
      <c r="FI19" s="55">
        <v>83.33</v>
      </c>
      <c r="FJ19" s="1"/>
      <c r="FK19" s="58">
        <v>0</v>
      </c>
      <c r="FL19" s="59">
        <v>100</v>
      </c>
      <c r="FM19" s="4">
        <v>1369149</v>
      </c>
      <c r="FN19" s="39">
        <v>110</v>
      </c>
      <c r="FO19" s="39">
        <v>168</v>
      </c>
      <c r="FP19" s="1">
        <v>94</v>
      </c>
      <c r="FQ19" s="1">
        <v>92</v>
      </c>
      <c r="FR19" s="1">
        <v>95</v>
      </c>
      <c r="FS19" s="1">
        <v>83</v>
      </c>
      <c r="FT19" s="1">
        <v>100</v>
      </c>
      <c r="FU19" s="1"/>
      <c r="FV19" s="1"/>
      <c r="FW19" s="55">
        <v>92.5</v>
      </c>
      <c r="FX19" s="1"/>
      <c r="FY19" s="56">
        <v>92.5</v>
      </c>
      <c r="FZ19" s="1"/>
      <c r="GA19" s="1"/>
      <c r="GB19" s="2">
        <v>0</v>
      </c>
      <c r="GC19" s="55">
        <v>100</v>
      </c>
      <c r="GD19" s="1">
        <v>85</v>
      </c>
      <c r="GE19" s="1">
        <v>100</v>
      </c>
      <c r="GF19" s="1">
        <v>92</v>
      </c>
      <c r="GG19" s="1">
        <v>100</v>
      </c>
      <c r="GH19" s="1"/>
      <c r="GI19" s="1"/>
      <c r="GJ19" s="55">
        <v>94.25</v>
      </c>
      <c r="GK19" s="1"/>
      <c r="GL19" s="56">
        <v>94.25</v>
      </c>
      <c r="GM19" s="1"/>
      <c r="GN19" s="1">
        <v>83.33</v>
      </c>
      <c r="GO19" s="2">
        <v>0</v>
      </c>
      <c r="GP19" s="55">
        <v>100</v>
      </c>
      <c r="GQ19" s="55">
        <v>93.375</v>
      </c>
      <c r="GR19" s="55" t="s">
        <v>230</v>
      </c>
      <c r="GS19" s="56">
        <v>93.375</v>
      </c>
      <c r="GT19" s="57">
        <v>5</v>
      </c>
      <c r="GU19" s="55">
        <v>83.33</v>
      </c>
      <c r="GV19" s="1"/>
      <c r="GW19" s="58">
        <v>0</v>
      </c>
      <c r="GX19" s="59">
        <v>100</v>
      </c>
      <c r="GY19" s="4">
        <v>1791291</v>
      </c>
      <c r="GZ19" s="39">
        <v>114</v>
      </c>
      <c r="HA19" s="39">
        <v>33</v>
      </c>
      <c r="HB19" s="1">
        <v>71</v>
      </c>
      <c r="HC19" s="1">
        <v>90</v>
      </c>
      <c r="HD19" s="1">
        <v>85</v>
      </c>
      <c r="HE19" s="1">
        <v>85</v>
      </c>
      <c r="HF19" s="1"/>
      <c r="HG19" s="1"/>
      <c r="HH19" s="1"/>
      <c r="HI19" s="55">
        <v>86.666666666666671</v>
      </c>
      <c r="HJ19" s="1"/>
      <c r="HK19" s="56">
        <v>86.666666666666671</v>
      </c>
      <c r="HL19" s="1"/>
      <c r="HM19" s="1"/>
      <c r="HN19" s="2">
        <v>0</v>
      </c>
      <c r="HO19" s="55">
        <v>100</v>
      </c>
      <c r="HP19" s="1">
        <v>85</v>
      </c>
      <c r="HQ19" s="1">
        <v>85</v>
      </c>
      <c r="HR19" s="1">
        <v>85</v>
      </c>
      <c r="HS19" s="1"/>
      <c r="HT19" s="1"/>
      <c r="HU19" s="1"/>
      <c r="HV19" s="55">
        <v>85</v>
      </c>
      <c r="HW19" s="1"/>
      <c r="HX19" s="56">
        <v>85</v>
      </c>
      <c r="HY19" s="1"/>
      <c r="HZ19" s="1"/>
      <c r="IA19" s="2">
        <v>0</v>
      </c>
      <c r="IB19" s="55">
        <v>100</v>
      </c>
      <c r="IC19" s="55">
        <v>85.833333333333343</v>
      </c>
      <c r="ID19" s="55" t="s">
        <v>230</v>
      </c>
      <c r="IE19" s="56">
        <v>85.833333333333343</v>
      </c>
      <c r="IF19" s="57">
        <v>5</v>
      </c>
      <c r="IG19" s="55" t="s">
        <v>230</v>
      </c>
      <c r="IH19" s="1"/>
      <c r="II19" s="58">
        <v>0</v>
      </c>
      <c r="IJ19" s="59">
        <v>100</v>
      </c>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c r="JX19" s="39"/>
      <c r="JY19" s="39"/>
      <c r="JZ19" s="1"/>
      <c r="KA19" s="1"/>
      <c r="KB19" s="1"/>
      <c r="KC19" s="1"/>
      <c r="KD19" s="1"/>
      <c r="KE19" s="1"/>
      <c r="KF19" s="1"/>
      <c r="KG19" s="55"/>
      <c r="KH19" s="1"/>
      <c r="KI19" s="56"/>
      <c r="KJ19" s="1"/>
      <c r="KK19" s="1"/>
      <c r="KL19" s="2"/>
      <c r="KM19" s="55"/>
      <c r="KN19" s="1"/>
      <c r="KO19" s="1"/>
      <c r="KP19" s="1"/>
      <c r="KQ19" s="1"/>
      <c r="KR19" s="1"/>
      <c r="KS19" s="1"/>
      <c r="KT19" s="55"/>
      <c r="KU19" s="1"/>
      <c r="KV19" s="56"/>
      <c r="KW19" s="1"/>
      <c r="KX19" s="1"/>
      <c r="KY19" s="2"/>
      <c r="KZ19" s="55"/>
      <c r="LA19" s="55"/>
      <c r="LB19" s="55"/>
      <c r="LC19" s="56"/>
      <c r="LD19" s="57"/>
      <c r="LE19" s="55"/>
      <c r="LF19" s="1"/>
      <c r="LG19" s="58"/>
      <c r="LH19" s="59"/>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v>1369149</v>
      </c>
      <c r="PT19" s="39">
        <v>128</v>
      </c>
      <c r="PU19" s="39">
        <v>68</v>
      </c>
      <c r="PV19" s="1">
        <v>83</v>
      </c>
      <c r="PW19" s="1">
        <v>90</v>
      </c>
      <c r="PX19" s="1">
        <v>90</v>
      </c>
      <c r="PY19" s="1">
        <v>83</v>
      </c>
      <c r="PZ19" s="1"/>
      <c r="QA19" s="1"/>
      <c r="QB19" s="1"/>
      <c r="QC19" s="55">
        <v>87.666666666666671</v>
      </c>
      <c r="QD19" s="1"/>
      <c r="QE19" s="56">
        <v>87.666666666666671</v>
      </c>
      <c r="QF19" s="1"/>
      <c r="QG19" s="1"/>
      <c r="QH19" s="2">
        <v>0</v>
      </c>
      <c r="QI19" s="55">
        <v>100</v>
      </c>
      <c r="QJ19" s="1">
        <v>85</v>
      </c>
      <c r="QK19" s="1">
        <v>95</v>
      </c>
      <c r="QL19" s="1">
        <v>100</v>
      </c>
      <c r="QM19" s="1">
        <v>100</v>
      </c>
      <c r="QN19" s="1"/>
      <c r="QO19" s="1"/>
      <c r="QP19" s="55">
        <v>95</v>
      </c>
      <c r="QQ19" s="1"/>
      <c r="QR19" s="56">
        <v>95</v>
      </c>
      <c r="QS19" s="1"/>
      <c r="QT19" s="1"/>
      <c r="QU19" s="2">
        <v>0</v>
      </c>
      <c r="QV19" s="55">
        <v>100</v>
      </c>
      <c r="QW19" s="55">
        <v>91.333333333333343</v>
      </c>
      <c r="QX19" s="55" t="s">
        <v>230</v>
      </c>
      <c r="QY19" s="56">
        <v>91.333333333333343</v>
      </c>
      <c r="QZ19" s="57">
        <v>5</v>
      </c>
      <c r="RA19" s="55" t="s">
        <v>230</v>
      </c>
      <c r="RB19" s="1"/>
      <c r="RC19" s="58">
        <v>0</v>
      </c>
      <c r="RD19" s="59">
        <v>100</v>
      </c>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1369149</v>
      </c>
      <c r="UD19" s="39">
        <v>131</v>
      </c>
      <c r="UE19" s="39">
        <v>66</v>
      </c>
      <c r="UF19" s="1">
        <v>95</v>
      </c>
      <c r="UG19" s="1">
        <v>100</v>
      </c>
      <c r="UH19" s="1">
        <v>100</v>
      </c>
      <c r="UI19" s="1">
        <v>100</v>
      </c>
      <c r="UJ19" s="1"/>
      <c r="UK19" s="1"/>
      <c r="UL19" s="1"/>
      <c r="UM19" s="55">
        <v>100</v>
      </c>
      <c r="UN19" s="1"/>
      <c r="UO19" s="56">
        <v>100</v>
      </c>
      <c r="UP19" s="1"/>
      <c r="UQ19" s="1"/>
      <c r="UR19" s="2">
        <v>0</v>
      </c>
      <c r="US19" s="55">
        <v>100</v>
      </c>
      <c r="UT19" s="1">
        <v>90</v>
      </c>
      <c r="UU19" s="1">
        <v>100</v>
      </c>
      <c r="UV19" s="1">
        <v>100</v>
      </c>
      <c r="UW19" s="1"/>
      <c r="UX19" s="1"/>
      <c r="UY19" s="1"/>
      <c r="UZ19" s="55">
        <v>96.666666666666671</v>
      </c>
      <c r="VA19" s="1"/>
      <c r="VB19" s="56">
        <v>96.666666666666671</v>
      </c>
      <c r="VC19" s="1"/>
      <c r="VD19" s="1"/>
      <c r="VE19" s="2">
        <v>0</v>
      </c>
      <c r="VF19" s="55">
        <v>100</v>
      </c>
      <c r="VG19" s="55">
        <v>98.333333333333343</v>
      </c>
      <c r="VH19" s="55" t="s">
        <v>230</v>
      </c>
      <c r="VI19" s="56">
        <v>98.333333333333343</v>
      </c>
      <c r="VJ19" s="57">
        <v>5</v>
      </c>
      <c r="VK19" s="55" t="s">
        <v>230</v>
      </c>
      <c r="VL19" s="1"/>
      <c r="VM19" s="58">
        <v>0</v>
      </c>
      <c r="VN19" s="59">
        <v>100</v>
      </c>
      <c r="VO19" s="4">
        <v>1369149</v>
      </c>
      <c r="VP19" s="39">
        <v>132</v>
      </c>
      <c r="VQ19" s="39">
        <v>37</v>
      </c>
      <c r="VR19" s="1">
        <v>92</v>
      </c>
      <c r="VS19" s="1">
        <v>100</v>
      </c>
      <c r="VT19" s="1">
        <v>100</v>
      </c>
      <c r="VU19" s="1">
        <v>85</v>
      </c>
      <c r="VV19" s="1"/>
      <c r="VW19" s="1"/>
      <c r="VX19" s="1"/>
      <c r="VY19" s="55">
        <v>95</v>
      </c>
      <c r="VZ19" s="1"/>
      <c r="WA19" s="56">
        <v>95</v>
      </c>
      <c r="WB19" s="1"/>
      <c r="WC19" s="1"/>
      <c r="WD19" s="2">
        <v>0</v>
      </c>
      <c r="WE19" s="55">
        <v>100</v>
      </c>
      <c r="WF19" s="1">
        <v>100</v>
      </c>
      <c r="WG19" s="1">
        <v>100</v>
      </c>
      <c r="WH19" s="1">
        <v>100</v>
      </c>
      <c r="WI19" s="1"/>
      <c r="WJ19" s="1"/>
      <c r="WK19" s="1"/>
      <c r="WL19" s="55">
        <v>100</v>
      </c>
      <c r="WM19" s="1"/>
      <c r="WN19" s="56">
        <v>100</v>
      </c>
      <c r="WO19" s="1"/>
      <c r="WP19" s="1"/>
      <c r="WQ19" s="2">
        <v>0</v>
      </c>
      <c r="WR19" s="55">
        <v>100</v>
      </c>
      <c r="WS19" s="55">
        <v>97.5</v>
      </c>
      <c r="WT19" s="55" t="s">
        <v>230</v>
      </c>
      <c r="WU19" s="56">
        <v>97.5</v>
      </c>
      <c r="WV19" s="57">
        <v>5</v>
      </c>
      <c r="WW19" s="55" t="s">
        <v>230</v>
      </c>
      <c r="WX19" s="1"/>
      <c r="WY19" s="58">
        <v>0</v>
      </c>
      <c r="WZ19" s="59">
        <v>100</v>
      </c>
      <c r="XA19" s="4">
        <v>1787467</v>
      </c>
      <c r="XB19" s="39">
        <v>133</v>
      </c>
      <c r="XC19" s="39">
        <v>34</v>
      </c>
      <c r="XD19" s="1">
        <v>95</v>
      </c>
      <c r="XE19" s="1">
        <v>95</v>
      </c>
      <c r="XF19" s="1">
        <v>90</v>
      </c>
      <c r="XG19" s="1">
        <v>85</v>
      </c>
      <c r="XH19" s="1"/>
      <c r="XI19" s="1"/>
      <c r="XJ19" s="1"/>
      <c r="XK19" s="55">
        <v>90</v>
      </c>
      <c r="XL19" s="1"/>
      <c r="XM19" s="56">
        <v>90</v>
      </c>
      <c r="XN19" s="1"/>
      <c r="XO19" s="1"/>
      <c r="XP19" s="2">
        <v>0</v>
      </c>
      <c r="XQ19" s="55">
        <v>100</v>
      </c>
      <c r="XR19" s="1">
        <v>85</v>
      </c>
      <c r="XS19" s="1">
        <v>95</v>
      </c>
      <c r="XT19" s="1">
        <v>90</v>
      </c>
      <c r="XU19" s="1"/>
      <c r="XV19" s="1"/>
      <c r="XW19" s="1"/>
      <c r="XX19" s="55">
        <v>90</v>
      </c>
      <c r="XY19" s="1"/>
      <c r="XZ19" s="56">
        <v>90</v>
      </c>
      <c r="YA19" s="1"/>
      <c r="YB19" s="1"/>
      <c r="YC19" s="2">
        <v>0</v>
      </c>
      <c r="YD19" s="55">
        <v>100</v>
      </c>
      <c r="YE19" s="55">
        <v>90</v>
      </c>
      <c r="YF19" s="55" t="s">
        <v>230</v>
      </c>
      <c r="YG19" s="56">
        <v>90</v>
      </c>
      <c r="YH19" s="57">
        <v>5</v>
      </c>
      <c r="YI19" s="55" t="s">
        <v>230</v>
      </c>
      <c r="YJ19" s="1"/>
      <c r="YK19" s="58">
        <v>0</v>
      </c>
      <c r="YL19" s="59">
        <v>100</v>
      </c>
      <c r="YM19" s="4">
        <v>1369149</v>
      </c>
      <c r="YN19" s="39">
        <v>135</v>
      </c>
      <c r="YO19" s="39">
        <v>66</v>
      </c>
      <c r="YP19" s="1">
        <v>90</v>
      </c>
      <c r="YQ19" s="1">
        <v>100</v>
      </c>
      <c r="YR19" s="1">
        <v>100</v>
      </c>
      <c r="YS19" s="1">
        <v>100</v>
      </c>
      <c r="YT19" s="1"/>
      <c r="YU19" s="1"/>
      <c r="YV19" s="1"/>
      <c r="YW19" s="55">
        <v>100</v>
      </c>
      <c r="YX19" s="1"/>
      <c r="YY19" s="56">
        <v>100</v>
      </c>
      <c r="YZ19" s="1"/>
      <c r="ZA19" s="1"/>
      <c r="ZB19" s="2">
        <v>0</v>
      </c>
      <c r="ZC19" s="55">
        <v>100</v>
      </c>
      <c r="ZD19" s="1">
        <v>100</v>
      </c>
      <c r="ZE19" s="1">
        <v>100</v>
      </c>
      <c r="ZF19" s="1">
        <v>100</v>
      </c>
      <c r="ZG19" s="1"/>
      <c r="ZH19" s="1"/>
      <c r="ZI19" s="1"/>
      <c r="ZJ19" s="55">
        <v>100</v>
      </c>
      <c r="ZK19" s="1"/>
      <c r="ZL19" s="56">
        <v>100</v>
      </c>
      <c r="ZM19" s="1"/>
      <c r="ZN19" s="1"/>
      <c r="ZO19" s="2">
        <v>0</v>
      </c>
      <c r="ZP19" s="55">
        <v>100</v>
      </c>
      <c r="ZQ19" s="55">
        <v>100</v>
      </c>
      <c r="ZR19" s="55" t="s">
        <v>230</v>
      </c>
      <c r="ZS19" s="56">
        <v>100</v>
      </c>
      <c r="ZT19" s="57">
        <v>5</v>
      </c>
      <c r="ZU19" s="55" t="s">
        <v>230</v>
      </c>
      <c r="ZV19" s="1"/>
      <c r="ZW19" s="58">
        <v>0</v>
      </c>
      <c r="ZX19" s="59">
        <v>100</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c r="ACX19" s="39"/>
      <c r="ACY19" s="39"/>
      <c r="ACZ19" s="1"/>
      <c r="ADA19" s="1"/>
      <c r="ADB19" s="1"/>
      <c r="ADC19" s="1"/>
      <c r="ADD19" s="1"/>
      <c r="ADE19" s="1"/>
      <c r="ADF19" s="1"/>
      <c r="ADG19" s="55"/>
      <c r="ADH19" s="1"/>
      <c r="ADI19" s="56"/>
      <c r="ADJ19" s="1"/>
      <c r="ADK19" s="1"/>
      <c r="ADL19" s="2"/>
      <c r="ADM19" s="55"/>
      <c r="ADN19" s="1"/>
      <c r="ADO19" s="1"/>
      <c r="ADP19" s="1"/>
      <c r="ADQ19" s="1"/>
      <c r="ADR19" s="1"/>
      <c r="ADS19" s="1"/>
      <c r="ADT19" s="55"/>
      <c r="ADU19" s="1"/>
      <c r="ADV19" s="56"/>
      <c r="ADW19" s="1"/>
      <c r="ADX19" s="1"/>
      <c r="ADY19" s="2"/>
      <c r="ADZ19" s="55"/>
      <c r="AEA19" s="55"/>
      <c r="AEB19" s="55"/>
      <c r="AEC19" s="56"/>
      <c r="AED19" s="57"/>
      <c r="AEE19" s="55"/>
      <c r="AEF19" s="1"/>
      <c r="AEG19" s="58"/>
      <c r="AEH19" s="59"/>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3657909</v>
      </c>
      <c r="F20" s="89">
        <f t="shared" si="401"/>
        <v>3</v>
      </c>
      <c r="G20" s="89" t="str">
        <f t="shared" si="402"/>
        <v>B</v>
      </c>
      <c r="H20" s="37" t="s">
        <v>174</v>
      </c>
      <c r="I20" s="37" t="s">
        <v>175</v>
      </c>
      <c r="J20" s="41" t="s">
        <v>176</v>
      </c>
      <c r="K20" s="90" t="str">
        <f t="shared" si="403"/>
        <v>A</v>
      </c>
      <c r="L20" s="41" t="s">
        <v>117</v>
      </c>
      <c r="M20" s="93">
        <v>41708</v>
      </c>
      <c r="N20" s="41"/>
      <c r="O20" s="43" t="s">
        <v>224</v>
      </c>
      <c r="P20" s="91" t="str">
        <f t="shared" si="404"/>
        <v>Əliyeva Sevinc Kamal</v>
      </c>
      <c r="Q20" s="4">
        <v>1369149</v>
      </c>
      <c r="R20" s="39">
        <v>101</v>
      </c>
      <c r="S20" s="39">
        <v>303</v>
      </c>
      <c r="T20" s="1">
        <v>91</v>
      </c>
      <c r="U20" s="1">
        <v>89</v>
      </c>
      <c r="V20" s="1">
        <v>79</v>
      </c>
      <c r="W20" s="1">
        <v>70</v>
      </c>
      <c r="X20" s="1">
        <v>90</v>
      </c>
      <c r="Y20" s="1"/>
      <c r="Z20" s="1"/>
      <c r="AA20" s="55">
        <v>82</v>
      </c>
      <c r="AB20" s="1"/>
      <c r="AC20" s="56">
        <v>82</v>
      </c>
      <c r="AD20" s="1"/>
      <c r="AE20" s="1"/>
      <c r="AF20" s="2">
        <v>0</v>
      </c>
      <c r="AG20" s="55">
        <v>100</v>
      </c>
      <c r="AH20" s="1">
        <v>80</v>
      </c>
      <c r="AI20" s="1">
        <v>84</v>
      </c>
      <c r="AJ20" s="1">
        <v>89</v>
      </c>
      <c r="AK20" s="1">
        <v>90</v>
      </c>
      <c r="AL20" s="1"/>
      <c r="AM20" s="1"/>
      <c r="AN20" s="55">
        <v>85.75</v>
      </c>
      <c r="AO20" s="1"/>
      <c r="AP20" s="56">
        <v>85.75</v>
      </c>
      <c r="AQ20" s="1"/>
      <c r="AR20" s="1">
        <v>50</v>
      </c>
      <c r="AS20" s="2">
        <v>0</v>
      </c>
      <c r="AT20" s="55">
        <v>100</v>
      </c>
      <c r="AU20" s="55">
        <v>83.875</v>
      </c>
      <c r="AV20" s="55" t="s">
        <v>230</v>
      </c>
      <c r="AW20" s="56">
        <v>83.875</v>
      </c>
      <c r="AX20" s="57">
        <v>5</v>
      </c>
      <c r="AY20" s="55">
        <v>50</v>
      </c>
      <c r="AZ20" s="1"/>
      <c r="BA20" s="58">
        <v>0</v>
      </c>
      <c r="BB20" s="59">
        <v>100</v>
      </c>
      <c r="BC20" s="4"/>
      <c r="BD20" s="39"/>
      <c r="BE20" s="39"/>
      <c r="BF20" s="1"/>
      <c r="BG20" s="1"/>
      <c r="BH20" s="1"/>
      <c r="BI20" s="1"/>
      <c r="BJ20" s="1"/>
      <c r="BK20" s="1"/>
      <c r="BL20" s="1"/>
      <c r="BM20" s="55"/>
      <c r="BN20" s="1"/>
      <c r="BO20" s="56"/>
      <c r="BP20" s="1"/>
      <c r="BQ20" s="1"/>
      <c r="BR20" s="2"/>
      <c r="BS20" s="55"/>
      <c r="BT20" s="1"/>
      <c r="BU20" s="1"/>
      <c r="BV20" s="1"/>
      <c r="BW20" s="1"/>
      <c r="BX20" s="1"/>
      <c r="BY20" s="1"/>
      <c r="BZ20" s="55"/>
      <c r="CA20" s="1"/>
      <c r="CB20" s="56"/>
      <c r="CC20" s="1"/>
      <c r="CD20" s="1"/>
      <c r="CE20" s="2"/>
      <c r="CF20" s="55"/>
      <c r="CG20" s="55"/>
      <c r="CH20" s="55"/>
      <c r="CI20" s="56"/>
      <c r="CJ20" s="57"/>
      <c r="CK20" s="55"/>
      <c r="CL20" s="1"/>
      <c r="CM20" s="58"/>
      <c r="CN20" s="59"/>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v>1269215</v>
      </c>
      <c r="EB20" s="39">
        <v>106</v>
      </c>
      <c r="EC20" s="39">
        <v>33</v>
      </c>
      <c r="ED20" s="1">
        <v>93</v>
      </c>
      <c r="EE20" s="1">
        <v>92</v>
      </c>
      <c r="EF20" s="1">
        <v>93</v>
      </c>
      <c r="EG20" s="1">
        <v>85</v>
      </c>
      <c r="EH20" s="1"/>
      <c r="EI20" s="1"/>
      <c r="EJ20" s="1"/>
      <c r="EK20" s="55">
        <v>90</v>
      </c>
      <c r="EL20" s="1"/>
      <c r="EM20" s="56">
        <v>90</v>
      </c>
      <c r="EN20" s="1"/>
      <c r="EO20" s="1"/>
      <c r="EP20" s="2">
        <v>0</v>
      </c>
      <c r="EQ20" s="55">
        <v>100</v>
      </c>
      <c r="ER20" s="1">
        <v>85</v>
      </c>
      <c r="ES20" s="1">
        <v>90</v>
      </c>
      <c r="ET20" s="1">
        <v>85</v>
      </c>
      <c r="EU20" s="1"/>
      <c r="EV20" s="1"/>
      <c r="EW20" s="1"/>
      <c r="EX20" s="55">
        <v>86.666666666666671</v>
      </c>
      <c r="EY20" s="1"/>
      <c r="EZ20" s="56">
        <v>86.666666666666671</v>
      </c>
      <c r="FA20" s="1"/>
      <c r="FB20" s="1">
        <v>75</v>
      </c>
      <c r="FC20" s="2">
        <v>0</v>
      </c>
      <c r="FD20" s="55">
        <v>100</v>
      </c>
      <c r="FE20" s="55">
        <v>88.333333333333343</v>
      </c>
      <c r="FF20" s="55" t="s">
        <v>230</v>
      </c>
      <c r="FG20" s="56">
        <v>88.333333333333343</v>
      </c>
      <c r="FH20" s="57">
        <v>5</v>
      </c>
      <c r="FI20" s="55">
        <v>75</v>
      </c>
      <c r="FJ20" s="1"/>
      <c r="FK20" s="58">
        <v>0</v>
      </c>
      <c r="FL20" s="59">
        <v>100</v>
      </c>
      <c r="FM20" s="4">
        <v>1369149</v>
      </c>
      <c r="FN20" s="39">
        <v>110</v>
      </c>
      <c r="FO20" s="39">
        <v>168</v>
      </c>
      <c r="FP20" s="1">
        <v>91</v>
      </c>
      <c r="FQ20" s="1">
        <v>89</v>
      </c>
      <c r="FR20" s="1">
        <v>90</v>
      </c>
      <c r="FS20" s="1">
        <v>85</v>
      </c>
      <c r="FT20" s="1">
        <v>95</v>
      </c>
      <c r="FU20" s="1"/>
      <c r="FV20" s="1"/>
      <c r="FW20" s="55">
        <v>89.75</v>
      </c>
      <c r="FX20" s="1"/>
      <c r="FY20" s="56">
        <v>89.75</v>
      </c>
      <c r="FZ20" s="1"/>
      <c r="GA20" s="1"/>
      <c r="GB20" s="2">
        <v>0</v>
      </c>
      <c r="GC20" s="55">
        <v>100</v>
      </c>
      <c r="GD20" s="1">
        <v>63</v>
      </c>
      <c r="GE20" s="1">
        <v>85</v>
      </c>
      <c r="GF20" s="1">
        <v>94</v>
      </c>
      <c r="GG20" s="1">
        <v>85</v>
      </c>
      <c r="GH20" s="1"/>
      <c r="GI20" s="1"/>
      <c r="GJ20" s="55">
        <v>81.75</v>
      </c>
      <c r="GK20" s="1"/>
      <c r="GL20" s="56">
        <v>81.75</v>
      </c>
      <c r="GM20" s="1"/>
      <c r="GN20" s="1">
        <v>33.33</v>
      </c>
      <c r="GO20" s="2">
        <v>0</v>
      </c>
      <c r="GP20" s="55">
        <v>100</v>
      </c>
      <c r="GQ20" s="55">
        <v>85.75</v>
      </c>
      <c r="GR20" s="55" t="s">
        <v>230</v>
      </c>
      <c r="GS20" s="56">
        <v>85.75</v>
      </c>
      <c r="GT20" s="57">
        <v>5</v>
      </c>
      <c r="GU20" s="55">
        <v>33.33</v>
      </c>
      <c r="GV20" s="1"/>
      <c r="GW20" s="58">
        <v>0</v>
      </c>
      <c r="GX20" s="59">
        <v>100</v>
      </c>
      <c r="GY20" s="4">
        <v>1791291</v>
      </c>
      <c r="GZ20" s="39">
        <v>114</v>
      </c>
      <c r="HA20" s="39">
        <v>33</v>
      </c>
      <c r="HB20" s="1">
        <v>82</v>
      </c>
      <c r="HC20" s="1">
        <v>70</v>
      </c>
      <c r="HD20" s="1">
        <v>90</v>
      </c>
      <c r="HE20" s="1">
        <v>85</v>
      </c>
      <c r="HF20" s="1"/>
      <c r="HG20" s="1"/>
      <c r="HH20" s="1"/>
      <c r="HI20" s="55">
        <v>81.666666666666671</v>
      </c>
      <c r="HJ20" s="1"/>
      <c r="HK20" s="56">
        <v>81.666666666666671</v>
      </c>
      <c r="HL20" s="1"/>
      <c r="HM20" s="1"/>
      <c r="HN20" s="2">
        <v>0</v>
      </c>
      <c r="HO20" s="55">
        <v>100</v>
      </c>
      <c r="HP20" s="1">
        <v>80</v>
      </c>
      <c r="HQ20" s="1">
        <v>75</v>
      </c>
      <c r="HR20" s="1">
        <v>65</v>
      </c>
      <c r="HS20" s="1"/>
      <c r="HT20" s="1"/>
      <c r="HU20" s="1"/>
      <c r="HV20" s="55">
        <v>73.333333333333329</v>
      </c>
      <c r="HW20" s="1"/>
      <c r="HX20" s="56">
        <v>73.333333333333329</v>
      </c>
      <c r="HY20" s="1"/>
      <c r="HZ20" s="1"/>
      <c r="IA20" s="2">
        <v>0</v>
      </c>
      <c r="IB20" s="55">
        <v>100</v>
      </c>
      <c r="IC20" s="55">
        <v>77.5</v>
      </c>
      <c r="ID20" s="55" t="s">
        <v>230</v>
      </c>
      <c r="IE20" s="56">
        <v>77.5</v>
      </c>
      <c r="IF20" s="57">
        <v>4</v>
      </c>
      <c r="IG20" s="55" t="s">
        <v>230</v>
      </c>
      <c r="IH20" s="1"/>
      <c r="II20" s="58">
        <v>0</v>
      </c>
      <c r="IJ20" s="59">
        <v>100</v>
      </c>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c r="JX20" s="39"/>
      <c r="JY20" s="39"/>
      <c r="JZ20" s="1"/>
      <c r="KA20" s="1"/>
      <c r="KB20" s="1"/>
      <c r="KC20" s="1"/>
      <c r="KD20" s="1"/>
      <c r="KE20" s="1"/>
      <c r="KF20" s="1"/>
      <c r="KG20" s="55"/>
      <c r="KH20" s="1"/>
      <c r="KI20" s="56"/>
      <c r="KJ20" s="1"/>
      <c r="KK20" s="1"/>
      <c r="KL20" s="2"/>
      <c r="KM20" s="55"/>
      <c r="KN20" s="1"/>
      <c r="KO20" s="1"/>
      <c r="KP20" s="1"/>
      <c r="KQ20" s="1"/>
      <c r="KR20" s="1"/>
      <c r="KS20" s="1"/>
      <c r="KT20" s="55"/>
      <c r="KU20" s="1"/>
      <c r="KV20" s="56"/>
      <c r="KW20" s="1"/>
      <c r="KX20" s="1"/>
      <c r="KY20" s="2"/>
      <c r="KZ20" s="55"/>
      <c r="LA20" s="55"/>
      <c r="LB20" s="55"/>
      <c r="LC20" s="56"/>
      <c r="LD20" s="57"/>
      <c r="LE20" s="55"/>
      <c r="LF20" s="1"/>
      <c r="LG20" s="58"/>
      <c r="LH20" s="59"/>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v>1369149</v>
      </c>
      <c r="PT20" s="39">
        <v>128</v>
      </c>
      <c r="PU20" s="39">
        <v>68</v>
      </c>
      <c r="PV20" s="1">
        <v>97</v>
      </c>
      <c r="PW20" s="1">
        <v>100</v>
      </c>
      <c r="PX20" s="1">
        <v>100</v>
      </c>
      <c r="PY20" s="1">
        <v>95</v>
      </c>
      <c r="PZ20" s="1"/>
      <c r="QA20" s="1"/>
      <c r="QB20" s="1"/>
      <c r="QC20" s="55">
        <v>98.333333333333329</v>
      </c>
      <c r="QD20" s="1"/>
      <c r="QE20" s="56">
        <v>98.333333333333329</v>
      </c>
      <c r="QF20" s="1"/>
      <c r="QG20" s="1"/>
      <c r="QH20" s="2">
        <v>0</v>
      </c>
      <c r="QI20" s="55">
        <v>100</v>
      </c>
      <c r="QJ20" s="1">
        <v>65</v>
      </c>
      <c r="QK20" s="1">
        <v>89</v>
      </c>
      <c r="QL20" s="1">
        <v>90</v>
      </c>
      <c r="QM20" s="1">
        <v>85</v>
      </c>
      <c r="QN20" s="1"/>
      <c r="QO20" s="1"/>
      <c r="QP20" s="55">
        <v>82.25</v>
      </c>
      <c r="QQ20" s="1"/>
      <c r="QR20" s="56">
        <v>82.25</v>
      </c>
      <c r="QS20" s="1"/>
      <c r="QT20" s="1"/>
      <c r="QU20" s="2">
        <v>0</v>
      </c>
      <c r="QV20" s="55">
        <v>100</v>
      </c>
      <c r="QW20" s="55">
        <v>90.291666666666657</v>
      </c>
      <c r="QX20" s="55" t="s">
        <v>230</v>
      </c>
      <c r="QY20" s="56">
        <v>90.291666666666657</v>
      </c>
      <c r="QZ20" s="57">
        <v>5</v>
      </c>
      <c r="RA20" s="55" t="s">
        <v>230</v>
      </c>
      <c r="RB20" s="1"/>
      <c r="RC20" s="58">
        <v>0</v>
      </c>
      <c r="RD20" s="59">
        <v>100</v>
      </c>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1369149</v>
      </c>
      <c r="UD20" s="39">
        <v>131</v>
      </c>
      <c r="UE20" s="39">
        <v>66</v>
      </c>
      <c r="UF20" s="1">
        <v>99</v>
      </c>
      <c r="UG20" s="1">
        <v>100</v>
      </c>
      <c r="UH20" s="1">
        <v>100</v>
      </c>
      <c r="UI20" s="1">
        <v>100</v>
      </c>
      <c r="UJ20" s="1"/>
      <c r="UK20" s="1"/>
      <c r="UL20" s="1"/>
      <c r="UM20" s="55">
        <v>100</v>
      </c>
      <c r="UN20" s="1"/>
      <c r="UO20" s="56">
        <v>100</v>
      </c>
      <c r="UP20" s="1"/>
      <c r="UQ20" s="1"/>
      <c r="UR20" s="2">
        <v>0</v>
      </c>
      <c r="US20" s="55">
        <v>100</v>
      </c>
      <c r="UT20" s="1">
        <v>100</v>
      </c>
      <c r="UU20" s="1">
        <v>100</v>
      </c>
      <c r="UV20" s="1">
        <v>100</v>
      </c>
      <c r="UW20" s="1"/>
      <c r="UX20" s="1"/>
      <c r="UY20" s="1"/>
      <c r="UZ20" s="55">
        <v>100</v>
      </c>
      <c r="VA20" s="1"/>
      <c r="VB20" s="56">
        <v>100</v>
      </c>
      <c r="VC20" s="1"/>
      <c r="VD20" s="1"/>
      <c r="VE20" s="2">
        <v>0</v>
      </c>
      <c r="VF20" s="55">
        <v>100</v>
      </c>
      <c r="VG20" s="55">
        <v>100</v>
      </c>
      <c r="VH20" s="55" t="s">
        <v>230</v>
      </c>
      <c r="VI20" s="56">
        <v>100</v>
      </c>
      <c r="VJ20" s="57">
        <v>5</v>
      </c>
      <c r="VK20" s="55" t="s">
        <v>230</v>
      </c>
      <c r="VL20" s="1"/>
      <c r="VM20" s="58">
        <v>0</v>
      </c>
      <c r="VN20" s="59">
        <v>100</v>
      </c>
      <c r="VO20" s="4">
        <v>1369149</v>
      </c>
      <c r="VP20" s="39">
        <v>132</v>
      </c>
      <c r="VQ20" s="39">
        <v>37</v>
      </c>
      <c r="VR20" s="1">
        <v>95</v>
      </c>
      <c r="VS20" s="1">
        <v>100</v>
      </c>
      <c r="VT20" s="1">
        <v>100</v>
      </c>
      <c r="VU20" s="1">
        <v>85</v>
      </c>
      <c r="VV20" s="1"/>
      <c r="VW20" s="1"/>
      <c r="VX20" s="1"/>
      <c r="VY20" s="55">
        <v>95</v>
      </c>
      <c r="VZ20" s="1"/>
      <c r="WA20" s="56">
        <v>95</v>
      </c>
      <c r="WB20" s="1"/>
      <c r="WC20" s="1"/>
      <c r="WD20" s="2">
        <v>0</v>
      </c>
      <c r="WE20" s="55">
        <v>100</v>
      </c>
      <c r="WF20" s="1">
        <v>100</v>
      </c>
      <c r="WG20" s="1">
        <v>100</v>
      </c>
      <c r="WH20" s="1">
        <v>100</v>
      </c>
      <c r="WI20" s="1"/>
      <c r="WJ20" s="1"/>
      <c r="WK20" s="1"/>
      <c r="WL20" s="55">
        <v>100</v>
      </c>
      <c r="WM20" s="1"/>
      <c r="WN20" s="56">
        <v>100</v>
      </c>
      <c r="WO20" s="1"/>
      <c r="WP20" s="1"/>
      <c r="WQ20" s="2">
        <v>0</v>
      </c>
      <c r="WR20" s="55">
        <v>100</v>
      </c>
      <c r="WS20" s="55">
        <v>97.5</v>
      </c>
      <c r="WT20" s="55" t="s">
        <v>230</v>
      </c>
      <c r="WU20" s="56">
        <v>97.5</v>
      </c>
      <c r="WV20" s="57">
        <v>5</v>
      </c>
      <c r="WW20" s="55" t="s">
        <v>230</v>
      </c>
      <c r="WX20" s="1"/>
      <c r="WY20" s="58">
        <v>0</v>
      </c>
      <c r="WZ20" s="59">
        <v>100</v>
      </c>
      <c r="XA20" s="4">
        <v>1787467</v>
      </c>
      <c r="XB20" s="39">
        <v>133</v>
      </c>
      <c r="XC20" s="39">
        <v>34</v>
      </c>
      <c r="XD20" s="1">
        <v>98</v>
      </c>
      <c r="XE20" s="1">
        <v>90</v>
      </c>
      <c r="XF20" s="1">
        <v>85</v>
      </c>
      <c r="XG20" s="1">
        <v>90</v>
      </c>
      <c r="XH20" s="1"/>
      <c r="XI20" s="1"/>
      <c r="XJ20" s="1"/>
      <c r="XK20" s="55">
        <v>88.333333333333329</v>
      </c>
      <c r="XL20" s="1"/>
      <c r="XM20" s="56">
        <v>88.333333333333329</v>
      </c>
      <c r="XN20" s="1"/>
      <c r="XO20" s="1"/>
      <c r="XP20" s="2">
        <v>0</v>
      </c>
      <c r="XQ20" s="55">
        <v>100</v>
      </c>
      <c r="XR20" s="1">
        <v>85</v>
      </c>
      <c r="XS20" s="1">
        <v>90</v>
      </c>
      <c r="XT20" s="1">
        <v>95</v>
      </c>
      <c r="XU20" s="1"/>
      <c r="XV20" s="1"/>
      <c r="XW20" s="1"/>
      <c r="XX20" s="55">
        <v>90</v>
      </c>
      <c r="XY20" s="1"/>
      <c r="XZ20" s="56">
        <v>90</v>
      </c>
      <c r="YA20" s="1"/>
      <c r="YB20" s="1"/>
      <c r="YC20" s="2">
        <v>0</v>
      </c>
      <c r="YD20" s="55">
        <v>100</v>
      </c>
      <c r="YE20" s="55">
        <v>89.166666666666657</v>
      </c>
      <c r="YF20" s="55" t="s">
        <v>230</v>
      </c>
      <c r="YG20" s="56">
        <v>89.166666666666657</v>
      </c>
      <c r="YH20" s="57">
        <v>5</v>
      </c>
      <c r="YI20" s="55" t="s">
        <v>230</v>
      </c>
      <c r="YJ20" s="1"/>
      <c r="YK20" s="58">
        <v>0</v>
      </c>
      <c r="YL20" s="59">
        <v>100</v>
      </c>
      <c r="YM20" s="4">
        <v>1369149</v>
      </c>
      <c r="YN20" s="39">
        <v>135</v>
      </c>
      <c r="YO20" s="39">
        <v>66</v>
      </c>
      <c r="YP20" s="1">
        <v>95</v>
      </c>
      <c r="YQ20" s="1">
        <v>100</v>
      </c>
      <c r="YR20" s="1">
        <v>100</v>
      </c>
      <c r="YS20" s="1">
        <v>100</v>
      </c>
      <c r="YT20" s="1"/>
      <c r="YU20" s="1"/>
      <c r="YV20" s="1"/>
      <c r="YW20" s="55">
        <v>100</v>
      </c>
      <c r="YX20" s="1"/>
      <c r="YY20" s="56">
        <v>100</v>
      </c>
      <c r="YZ20" s="1"/>
      <c r="ZA20" s="1"/>
      <c r="ZB20" s="2">
        <v>0</v>
      </c>
      <c r="ZC20" s="55">
        <v>100</v>
      </c>
      <c r="ZD20" s="1">
        <v>100</v>
      </c>
      <c r="ZE20" s="1">
        <v>100</v>
      </c>
      <c r="ZF20" s="1">
        <v>100</v>
      </c>
      <c r="ZG20" s="1"/>
      <c r="ZH20" s="1"/>
      <c r="ZI20" s="1"/>
      <c r="ZJ20" s="55">
        <v>100</v>
      </c>
      <c r="ZK20" s="1"/>
      <c r="ZL20" s="56">
        <v>100</v>
      </c>
      <c r="ZM20" s="1"/>
      <c r="ZN20" s="1"/>
      <c r="ZO20" s="2">
        <v>0</v>
      </c>
      <c r="ZP20" s="55">
        <v>100</v>
      </c>
      <c r="ZQ20" s="55">
        <v>100</v>
      </c>
      <c r="ZR20" s="55" t="s">
        <v>230</v>
      </c>
      <c r="ZS20" s="56">
        <v>100</v>
      </c>
      <c r="ZT20" s="57">
        <v>5</v>
      </c>
      <c r="ZU20" s="55" t="s">
        <v>230</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c r="ACX20" s="39"/>
      <c r="ACY20" s="39"/>
      <c r="ACZ20" s="1"/>
      <c r="ADA20" s="1"/>
      <c r="ADB20" s="1"/>
      <c r="ADC20" s="1"/>
      <c r="ADD20" s="1"/>
      <c r="ADE20" s="1"/>
      <c r="ADF20" s="1"/>
      <c r="ADG20" s="55"/>
      <c r="ADH20" s="1"/>
      <c r="ADI20" s="56"/>
      <c r="ADJ20" s="1"/>
      <c r="ADK20" s="1"/>
      <c r="ADL20" s="2"/>
      <c r="ADM20" s="55"/>
      <c r="ADN20" s="1"/>
      <c r="ADO20" s="1"/>
      <c r="ADP20" s="1"/>
      <c r="ADQ20" s="1"/>
      <c r="ADR20" s="1"/>
      <c r="ADS20" s="1"/>
      <c r="ADT20" s="55"/>
      <c r="ADU20" s="1"/>
      <c r="ADV20" s="56"/>
      <c r="ADW20" s="1"/>
      <c r="ADX20" s="1"/>
      <c r="ADY20" s="2"/>
      <c r="ADZ20" s="55"/>
      <c r="AEA20" s="55"/>
      <c r="AEB20" s="55"/>
      <c r="AEC20" s="56"/>
      <c r="AED20" s="57"/>
      <c r="AEE20" s="55"/>
      <c r="AEF20" s="1"/>
      <c r="AEG20" s="58"/>
      <c r="AEH20" s="59"/>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3684615</v>
      </c>
      <c r="F21" s="89">
        <f t="shared" si="401"/>
        <v>3</v>
      </c>
      <c r="G21" s="89" t="str">
        <f t="shared" si="402"/>
        <v>B</v>
      </c>
      <c r="H21" s="37" t="s">
        <v>177</v>
      </c>
      <c r="I21" s="37" t="s">
        <v>178</v>
      </c>
      <c r="J21" s="41" t="s">
        <v>179</v>
      </c>
      <c r="K21" s="90" t="str">
        <f t="shared" si="403"/>
        <v>A</v>
      </c>
      <c r="L21" s="41" t="s">
        <v>119</v>
      </c>
      <c r="M21" s="93">
        <v>41586</v>
      </c>
      <c r="N21" s="41"/>
      <c r="O21" s="43" t="s">
        <v>217</v>
      </c>
      <c r="P21" s="91" t="str">
        <f t="shared" si="404"/>
        <v>Əliyeva Sevinc Kamal</v>
      </c>
      <c r="Q21" s="4">
        <v>1369149</v>
      </c>
      <c r="R21" s="39">
        <v>101</v>
      </c>
      <c r="S21" s="39">
        <v>303</v>
      </c>
      <c r="T21" s="1">
        <v>80</v>
      </c>
      <c r="U21" s="1">
        <v>90</v>
      </c>
      <c r="V21" s="1">
        <v>63</v>
      </c>
      <c r="W21" s="1">
        <v>70</v>
      </c>
      <c r="X21" s="1">
        <v>95</v>
      </c>
      <c r="Y21" s="1"/>
      <c r="Z21" s="1"/>
      <c r="AA21" s="55">
        <v>79.5</v>
      </c>
      <c r="AB21" s="1"/>
      <c r="AC21" s="56">
        <v>79.5</v>
      </c>
      <c r="AD21" s="1"/>
      <c r="AE21" s="1"/>
      <c r="AF21" s="2">
        <v>0</v>
      </c>
      <c r="AG21" s="55">
        <v>100</v>
      </c>
      <c r="AH21" s="1">
        <v>65</v>
      </c>
      <c r="AI21" s="1">
        <v>85</v>
      </c>
      <c r="AJ21" s="1">
        <v>89</v>
      </c>
      <c r="AK21" s="1">
        <v>100</v>
      </c>
      <c r="AL21" s="1"/>
      <c r="AM21" s="1"/>
      <c r="AN21" s="55">
        <v>84.75</v>
      </c>
      <c r="AO21" s="1"/>
      <c r="AP21" s="56">
        <v>84.75</v>
      </c>
      <c r="AQ21" s="1"/>
      <c r="AR21" s="1">
        <v>44.44</v>
      </c>
      <c r="AS21" s="2">
        <v>0</v>
      </c>
      <c r="AT21" s="55">
        <v>100</v>
      </c>
      <c r="AU21" s="55">
        <v>82.125</v>
      </c>
      <c r="AV21" s="55" t="s">
        <v>230</v>
      </c>
      <c r="AW21" s="56">
        <v>82.125</v>
      </c>
      <c r="AX21" s="57">
        <v>5</v>
      </c>
      <c r="AY21" s="55">
        <v>44.44</v>
      </c>
      <c r="AZ21" s="1"/>
      <c r="BA21" s="58">
        <v>0</v>
      </c>
      <c r="BB21" s="59">
        <v>100</v>
      </c>
      <c r="BC21" s="4"/>
      <c r="BD21" s="39"/>
      <c r="BE21" s="39"/>
      <c r="BF21" s="1"/>
      <c r="BG21" s="1"/>
      <c r="BH21" s="1"/>
      <c r="BI21" s="1"/>
      <c r="BJ21" s="1"/>
      <c r="BK21" s="1"/>
      <c r="BL21" s="1"/>
      <c r="BM21" s="55"/>
      <c r="BN21" s="1"/>
      <c r="BO21" s="56"/>
      <c r="BP21" s="1"/>
      <c r="BQ21" s="1"/>
      <c r="BR21" s="2"/>
      <c r="BS21" s="55"/>
      <c r="BT21" s="1"/>
      <c r="BU21" s="1"/>
      <c r="BV21" s="1"/>
      <c r="BW21" s="1"/>
      <c r="BX21" s="1"/>
      <c r="BY21" s="1"/>
      <c r="BZ21" s="55"/>
      <c r="CA21" s="1"/>
      <c r="CB21" s="56"/>
      <c r="CC21" s="1"/>
      <c r="CD21" s="1"/>
      <c r="CE21" s="2"/>
      <c r="CF21" s="55"/>
      <c r="CG21" s="55"/>
      <c r="CH21" s="55"/>
      <c r="CI21" s="56"/>
      <c r="CJ21" s="57"/>
      <c r="CK21" s="55"/>
      <c r="CL21" s="1"/>
      <c r="CM21" s="58"/>
      <c r="CN21" s="59"/>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v>1269215</v>
      </c>
      <c r="EB21" s="39">
        <v>106</v>
      </c>
      <c r="EC21" s="39">
        <v>33</v>
      </c>
      <c r="ED21" s="1">
        <v>85</v>
      </c>
      <c r="EE21" s="1">
        <v>85</v>
      </c>
      <c r="EF21" s="1">
        <v>87</v>
      </c>
      <c r="EG21" s="1">
        <v>88</v>
      </c>
      <c r="EH21" s="1"/>
      <c r="EI21" s="1"/>
      <c r="EJ21" s="1"/>
      <c r="EK21" s="55">
        <v>86.666666666666671</v>
      </c>
      <c r="EL21" s="1"/>
      <c r="EM21" s="56">
        <v>86.666666666666671</v>
      </c>
      <c r="EN21" s="1"/>
      <c r="EO21" s="1"/>
      <c r="EP21" s="2">
        <v>0</v>
      </c>
      <c r="EQ21" s="55">
        <v>100</v>
      </c>
      <c r="ER21" s="1">
        <v>100</v>
      </c>
      <c r="ES21" s="1">
        <v>100</v>
      </c>
      <c r="ET21" s="1">
        <v>90</v>
      </c>
      <c r="EU21" s="1"/>
      <c r="EV21" s="1"/>
      <c r="EW21" s="1"/>
      <c r="EX21" s="55">
        <v>96.666666666666671</v>
      </c>
      <c r="EY21" s="1"/>
      <c r="EZ21" s="56">
        <v>96.666666666666671</v>
      </c>
      <c r="FA21" s="1"/>
      <c r="FB21" s="1">
        <v>66.67</v>
      </c>
      <c r="FC21" s="2">
        <v>0</v>
      </c>
      <c r="FD21" s="55">
        <v>100</v>
      </c>
      <c r="FE21" s="55">
        <v>91.666666666666671</v>
      </c>
      <c r="FF21" s="55" t="s">
        <v>230</v>
      </c>
      <c r="FG21" s="56">
        <v>91.666666666666671</v>
      </c>
      <c r="FH21" s="57">
        <v>5</v>
      </c>
      <c r="FI21" s="55">
        <v>66.67</v>
      </c>
      <c r="FJ21" s="1"/>
      <c r="FK21" s="58">
        <v>0</v>
      </c>
      <c r="FL21" s="59">
        <v>100</v>
      </c>
      <c r="FM21" s="4">
        <v>1369149</v>
      </c>
      <c r="FN21" s="39">
        <v>110</v>
      </c>
      <c r="FO21" s="39">
        <v>168</v>
      </c>
      <c r="FP21" s="1">
        <v>85</v>
      </c>
      <c r="FQ21" s="1">
        <v>76</v>
      </c>
      <c r="FR21" s="1">
        <v>80</v>
      </c>
      <c r="FS21" s="1">
        <v>68</v>
      </c>
      <c r="FT21" s="1">
        <v>82</v>
      </c>
      <c r="FU21" s="1"/>
      <c r="FV21" s="1"/>
      <c r="FW21" s="55">
        <v>76.5</v>
      </c>
      <c r="FX21" s="1"/>
      <c r="FY21" s="56">
        <v>76.5</v>
      </c>
      <c r="FZ21" s="1"/>
      <c r="GA21" s="1"/>
      <c r="GB21" s="2">
        <v>0</v>
      </c>
      <c r="GC21" s="55">
        <v>100</v>
      </c>
      <c r="GD21" s="1">
        <v>80</v>
      </c>
      <c r="GE21" s="1">
        <v>83</v>
      </c>
      <c r="GF21" s="1">
        <v>87</v>
      </c>
      <c r="GG21" s="1">
        <v>100</v>
      </c>
      <c r="GH21" s="1"/>
      <c r="GI21" s="1"/>
      <c r="GJ21" s="55">
        <v>87.5</v>
      </c>
      <c r="GK21" s="1"/>
      <c r="GL21" s="56">
        <v>87.5</v>
      </c>
      <c r="GM21" s="1"/>
      <c r="GN21" s="1">
        <v>38.89</v>
      </c>
      <c r="GO21" s="2">
        <v>0</v>
      </c>
      <c r="GP21" s="55">
        <v>100</v>
      </c>
      <c r="GQ21" s="55">
        <v>82</v>
      </c>
      <c r="GR21" s="55" t="s">
        <v>230</v>
      </c>
      <c r="GS21" s="56">
        <v>82</v>
      </c>
      <c r="GT21" s="57">
        <v>5</v>
      </c>
      <c r="GU21" s="55">
        <v>38.89</v>
      </c>
      <c r="GV21" s="1"/>
      <c r="GW21" s="58">
        <v>0</v>
      </c>
      <c r="GX21" s="59">
        <v>100</v>
      </c>
      <c r="GY21" s="4">
        <v>1791291</v>
      </c>
      <c r="GZ21" s="39">
        <v>114</v>
      </c>
      <c r="HA21" s="39">
        <v>33</v>
      </c>
      <c r="HB21" s="1">
        <v>68</v>
      </c>
      <c r="HC21" s="1">
        <v>100</v>
      </c>
      <c r="HD21" s="1">
        <v>95</v>
      </c>
      <c r="HE21" s="1">
        <v>85</v>
      </c>
      <c r="HF21" s="1"/>
      <c r="HG21" s="1"/>
      <c r="HH21" s="1"/>
      <c r="HI21" s="55">
        <v>93.333333333333329</v>
      </c>
      <c r="HJ21" s="1"/>
      <c r="HK21" s="56">
        <v>93.333333333333329</v>
      </c>
      <c r="HL21" s="1"/>
      <c r="HM21" s="1"/>
      <c r="HN21" s="2">
        <v>0</v>
      </c>
      <c r="HO21" s="55">
        <v>100</v>
      </c>
      <c r="HP21" s="1">
        <v>85</v>
      </c>
      <c r="HQ21" s="1">
        <v>80</v>
      </c>
      <c r="HR21" s="1">
        <v>70</v>
      </c>
      <c r="HS21" s="1"/>
      <c r="HT21" s="1"/>
      <c r="HU21" s="1"/>
      <c r="HV21" s="55">
        <v>78.333333333333329</v>
      </c>
      <c r="HW21" s="1"/>
      <c r="HX21" s="56">
        <v>78.333333333333329</v>
      </c>
      <c r="HY21" s="1"/>
      <c r="HZ21" s="1"/>
      <c r="IA21" s="2">
        <v>0</v>
      </c>
      <c r="IB21" s="55">
        <v>100</v>
      </c>
      <c r="IC21" s="55">
        <v>85.833333333333329</v>
      </c>
      <c r="ID21" s="55" t="s">
        <v>230</v>
      </c>
      <c r="IE21" s="56">
        <v>85.833333333333329</v>
      </c>
      <c r="IF21" s="57">
        <v>5</v>
      </c>
      <c r="IG21" s="55" t="s">
        <v>230</v>
      </c>
      <c r="IH21" s="1"/>
      <c r="II21" s="58">
        <v>0</v>
      </c>
      <c r="IJ21" s="59">
        <v>100</v>
      </c>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c r="JX21" s="39"/>
      <c r="JY21" s="39"/>
      <c r="JZ21" s="1"/>
      <c r="KA21" s="1"/>
      <c r="KB21" s="1"/>
      <c r="KC21" s="1"/>
      <c r="KD21" s="1"/>
      <c r="KE21" s="1"/>
      <c r="KF21" s="1"/>
      <c r="KG21" s="55"/>
      <c r="KH21" s="1"/>
      <c r="KI21" s="56"/>
      <c r="KJ21" s="1"/>
      <c r="KK21" s="1"/>
      <c r="KL21" s="2"/>
      <c r="KM21" s="55"/>
      <c r="KN21" s="1"/>
      <c r="KO21" s="1"/>
      <c r="KP21" s="1"/>
      <c r="KQ21" s="1"/>
      <c r="KR21" s="1"/>
      <c r="KS21" s="1"/>
      <c r="KT21" s="55"/>
      <c r="KU21" s="1"/>
      <c r="KV21" s="56"/>
      <c r="KW21" s="1"/>
      <c r="KX21" s="1"/>
      <c r="KY21" s="2"/>
      <c r="KZ21" s="55"/>
      <c r="LA21" s="55"/>
      <c r="LB21" s="55"/>
      <c r="LC21" s="56"/>
      <c r="LD21" s="57"/>
      <c r="LE21" s="55"/>
      <c r="LF21" s="1"/>
      <c r="LG21" s="58"/>
      <c r="LH21" s="59"/>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v>1369149</v>
      </c>
      <c r="PT21" s="39">
        <v>128</v>
      </c>
      <c r="PU21" s="39">
        <v>68</v>
      </c>
      <c r="PV21" s="1">
        <v>86</v>
      </c>
      <c r="PW21" s="1">
        <v>90</v>
      </c>
      <c r="PX21" s="1">
        <v>90</v>
      </c>
      <c r="PY21" s="1">
        <v>68</v>
      </c>
      <c r="PZ21" s="1"/>
      <c r="QA21" s="1"/>
      <c r="QB21" s="1"/>
      <c r="QC21" s="55">
        <v>82.666666666666671</v>
      </c>
      <c r="QD21" s="1"/>
      <c r="QE21" s="56">
        <v>82.666666666666671</v>
      </c>
      <c r="QF21" s="1"/>
      <c r="QG21" s="1"/>
      <c r="QH21" s="2">
        <v>0</v>
      </c>
      <c r="QI21" s="55">
        <v>100</v>
      </c>
      <c r="QJ21" s="1">
        <v>75</v>
      </c>
      <c r="QK21" s="1">
        <v>81</v>
      </c>
      <c r="QL21" s="1">
        <v>85</v>
      </c>
      <c r="QM21" s="1">
        <v>90</v>
      </c>
      <c r="QN21" s="1"/>
      <c r="QO21" s="1"/>
      <c r="QP21" s="55">
        <v>82.75</v>
      </c>
      <c r="QQ21" s="1"/>
      <c r="QR21" s="56">
        <v>82.75</v>
      </c>
      <c r="QS21" s="1"/>
      <c r="QT21" s="1"/>
      <c r="QU21" s="2">
        <v>0</v>
      </c>
      <c r="QV21" s="55">
        <v>100</v>
      </c>
      <c r="QW21" s="55">
        <v>82.708333333333343</v>
      </c>
      <c r="QX21" s="55" t="s">
        <v>230</v>
      </c>
      <c r="QY21" s="56">
        <v>82.708333333333343</v>
      </c>
      <c r="QZ21" s="57">
        <v>5</v>
      </c>
      <c r="RA21" s="55" t="s">
        <v>230</v>
      </c>
      <c r="RB21" s="1"/>
      <c r="RC21" s="58">
        <v>0</v>
      </c>
      <c r="RD21" s="59">
        <v>100</v>
      </c>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1369149</v>
      </c>
      <c r="UD21" s="39">
        <v>131</v>
      </c>
      <c r="UE21" s="39">
        <v>66</v>
      </c>
      <c r="UF21" s="1">
        <v>93</v>
      </c>
      <c r="UG21" s="1">
        <v>100</v>
      </c>
      <c r="UH21" s="1">
        <v>100</v>
      </c>
      <c r="UI21" s="1">
        <v>100</v>
      </c>
      <c r="UJ21" s="1"/>
      <c r="UK21" s="1"/>
      <c r="UL21" s="1"/>
      <c r="UM21" s="55">
        <v>100</v>
      </c>
      <c r="UN21" s="1"/>
      <c r="UO21" s="56">
        <v>100</v>
      </c>
      <c r="UP21" s="1"/>
      <c r="UQ21" s="1"/>
      <c r="UR21" s="2">
        <v>0</v>
      </c>
      <c r="US21" s="55">
        <v>100</v>
      </c>
      <c r="UT21" s="1">
        <v>90</v>
      </c>
      <c r="UU21" s="1">
        <v>90</v>
      </c>
      <c r="UV21" s="1">
        <v>100</v>
      </c>
      <c r="UW21" s="1"/>
      <c r="UX21" s="1"/>
      <c r="UY21" s="1"/>
      <c r="UZ21" s="55">
        <v>93.333333333333329</v>
      </c>
      <c r="VA21" s="1"/>
      <c r="VB21" s="56">
        <v>93.333333333333329</v>
      </c>
      <c r="VC21" s="1"/>
      <c r="VD21" s="1"/>
      <c r="VE21" s="2">
        <v>0</v>
      </c>
      <c r="VF21" s="55">
        <v>100</v>
      </c>
      <c r="VG21" s="55">
        <v>96.666666666666657</v>
      </c>
      <c r="VH21" s="55" t="s">
        <v>230</v>
      </c>
      <c r="VI21" s="56">
        <v>96.666666666666657</v>
      </c>
      <c r="VJ21" s="57">
        <v>5</v>
      </c>
      <c r="VK21" s="55" t="s">
        <v>230</v>
      </c>
      <c r="VL21" s="1"/>
      <c r="VM21" s="58">
        <v>0</v>
      </c>
      <c r="VN21" s="59">
        <v>100</v>
      </c>
      <c r="VO21" s="4">
        <v>1369149</v>
      </c>
      <c r="VP21" s="39">
        <v>132</v>
      </c>
      <c r="VQ21" s="39">
        <v>37</v>
      </c>
      <c r="VR21" s="1">
        <v>91</v>
      </c>
      <c r="VS21" s="1">
        <v>100</v>
      </c>
      <c r="VT21" s="1">
        <v>100</v>
      </c>
      <c r="VU21" s="1">
        <v>90</v>
      </c>
      <c r="VV21" s="1"/>
      <c r="VW21" s="1"/>
      <c r="VX21" s="1"/>
      <c r="VY21" s="55">
        <v>96.666666666666671</v>
      </c>
      <c r="VZ21" s="1"/>
      <c r="WA21" s="56">
        <v>96.666666666666671</v>
      </c>
      <c r="WB21" s="1"/>
      <c r="WC21" s="1"/>
      <c r="WD21" s="2">
        <v>0</v>
      </c>
      <c r="WE21" s="55">
        <v>100</v>
      </c>
      <c r="WF21" s="1">
        <v>90</v>
      </c>
      <c r="WG21" s="1">
        <v>90</v>
      </c>
      <c r="WH21" s="1">
        <v>90</v>
      </c>
      <c r="WI21" s="1"/>
      <c r="WJ21" s="1"/>
      <c r="WK21" s="1"/>
      <c r="WL21" s="55">
        <v>90</v>
      </c>
      <c r="WM21" s="1"/>
      <c r="WN21" s="56">
        <v>90</v>
      </c>
      <c r="WO21" s="1"/>
      <c r="WP21" s="1"/>
      <c r="WQ21" s="2">
        <v>0</v>
      </c>
      <c r="WR21" s="55">
        <v>100</v>
      </c>
      <c r="WS21" s="55">
        <v>93.333333333333343</v>
      </c>
      <c r="WT21" s="55" t="s">
        <v>230</v>
      </c>
      <c r="WU21" s="56">
        <v>93.333333333333343</v>
      </c>
      <c r="WV21" s="57">
        <v>5</v>
      </c>
      <c r="WW21" s="55" t="s">
        <v>230</v>
      </c>
      <c r="WX21" s="1"/>
      <c r="WY21" s="58">
        <v>0</v>
      </c>
      <c r="WZ21" s="59">
        <v>100</v>
      </c>
      <c r="XA21" s="4">
        <v>1787467</v>
      </c>
      <c r="XB21" s="39">
        <v>133</v>
      </c>
      <c r="XC21" s="39">
        <v>34</v>
      </c>
      <c r="XD21" s="1">
        <v>92</v>
      </c>
      <c r="XE21" s="1">
        <v>90</v>
      </c>
      <c r="XF21" s="1">
        <v>85</v>
      </c>
      <c r="XG21" s="1">
        <v>95</v>
      </c>
      <c r="XH21" s="1"/>
      <c r="XI21" s="1"/>
      <c r="XJ21" s="1"/>
      <c r="XK21" s="55">
        <v>90</v>
      </c>
      <c r="XL21" s="1"/>
      <c r="XM21" s="56">
        <v>90</v>
      </c>
      <c r="XN21" s="1"/>
      <c r="XO21" s="1"/>
      <c r="XP21" s="2">
        <v>0</v>
      </c>
      <c r="XQ21" s="55">
        <v>100</v>
      </c>
      <c r="XR21" s="1">
        <v>90</v>
      </c>
      <c r="XS21" s="1">
        <v>85</v>
      </c>
      <c r="XT21" s="1">
        <v>90</v>
      </c>
      <c r="XU21" s="1"/>
      <c r="XV21" s="1"/>
      <c r="XW21" s="1"/>
      <c r="XX21" s="55">
        <v>88.333333333333329</v>
      </c>
      <c r="XY21" s="1"/>
      <c r="XZ21" s="56">
        <v>88.333333333333329</v>
      </c>
      <c r="YA21" s="1"/>
      <c r="YB21" s="1"/>
      <c r="YC21" s="2">
        <v>0</v>
      </c>
      <c r="YD21" s="55">
        <v>100</v>
      </c>
      <c r="YE21" s="55">
        <v>89.166666666666657</v>
      </c>
      <c r="YF21" s="55" t="s">
        <v>230</v>
      </c>
      <c r="YG21" s="56">
        <v>89.166666666666657</v>
      </c>
      <c r="YH21" s="57">
        <v>5</v>
      </c>
      <c r="YI21" s="55" t="s">
        <v>230</v>
      </c>
      <c r="YJ21" s="1"/>
      <c r="YK21" s="58">
        <v>0</v>
      </c>
      <c r="YL21" s="59">
        <v>100</v>
      </c>
      <c r="YM21" s="4">
        <v>1369149</v>
      </c>
      <c r="YN21" s="39">
        <v>135</v>
      </c>
      <c r="YO21" s="39">
        <v>66</v>
      </c>
      <c r="YP21" s="1">
        <v>91</v>
      </c>
      <c r="YQ21" s="1">
        <v>100</v>
      </c>
      <c r="YR21" s="1">
        <v>100</v>
      </c>
      <c r="YS21" s="1">
        <v>100</v>
      </c>
      <c r="YT21" s="1"/>
      <c r="YU21" s="1"/>
      <c r="YV21" s="1"/>
      <c r="YW21" s="55">
        <v>100</v>
      </c>
      <c r="YX21" s="1"/>
      <c r="YY21" s="56">
        <v>100</v>
      </c>
      <c r="YZ21" s="1"/>
      <c r="ZA21" s="1"/>
      <c r="ZB21" s="2">
        <v>0</v>
      </c>
      <c r="ZC21" s="55">
        <v>100</v>
      </c>
      <c r="ZD21" s="1">
        <v>100</v>
      </c>
      <c r="ZE21" s="1">
        <v>100</v>
      </c>
      <c r="ZF21" s="1">
        <v>90</v>
      </c>
      <c r="ZG21" s="1"/>
      <c r="ZH21" s="1"/>
      <c r="ZI21" s="1"/>
      <c r="ZJ21" s="55">
        <v>96.666666666666671</v>
      </c>
      <c r="ZK21" s="1"/>
      <c r="ZL21" s="56">
        <v>96.666666666666671</v>
      </c>
      <c r="ZM21" s="1"/>
      <c r="ZN21" s="1"/>
      <c r="ZO21" s="2">
        <v>0</v>
      </c>
      <c r="ZP21" s="55">
        <v>100</v>
      </c>
      <c r="ZQ21" s="55">
        <v>98.333333333333343</v>
      </c>
      <c r="ZR21" s="55" t="s">
        <v>230</v>
      </c>
      <c r="ZS21" s="56">
        <v>98.333333333333343</v>
      </c>
      <c r="ZT21" s="57">
        <v>5</v>
      </c>
      <c r="ZU21" s="55" t="s">
        <v>230</v>
      </c>
      <c r="ZV21" s="1"/>
      <c r="ZW21" s="58">
        <v>0</v>
      </c>
      <c r="ZX21" s="59">
        <v>100</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c r="ACX21" s="39"/>
      <c r="ACY21" s="39"/>
      <c r="ACZ21" s="1"/>
      <c r="ADA21" s="1"/>
      <c r="ADB21" s="1"/>
      <c r="ADC21" s="1"/>
      <c r="ADD21" s="1"/>
      <c r="ADE21" s="1"/>
      <c r="ADF21" s="1"/>
      <c r="ADG21" s="55"/>
      <c r="ADH21" s="1"/>
      <c r="ADI21" s="56"/>
      <c r="ADJ21" s="1"/>
      <c r="ADK21" s="1"/>
      <c r="ADL21" s="2"/>
      <c r="ADM21" s="55"/>
      <c r="ADN21" s="1"/>
      <c r="ADO21" s="1"/>
      <c r="ADP21" s="1"/>
      <c r="ADQ21" s="1"/>
      <c r="ADR21" s="1"/>
      <c r="ADS21" s="1"/>
      <c r="ADT21" s="55"/>
      <c r="ADU21" s="1"/>
      <c r="ADV21" s="56"/>
      <c r="ADW21" s="1"/>
      <c r="ADX21" s="1"/>
      <c r="ADY21" s="2"/>
      <c r="ADZ21" s="55"/>
      <c r="AEA21" s="55"/>
      <c r="AEB21" s="55"/>
      <c r="AEC21" s="56"/>
      <c r="AED21" s="57"/>
      <c r="AEE21" s="55"/>
      <c r="AEF21" s="1"/>
      <c r="AEG21" s="58"/>
      <c r="AEH21" s="59"/>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3558866</v>
      </c>
      <c r="F22" s="89">
        <f t="shared" si="401"/>
        <v>3</v>
      </c>
      <c r="G22" s="89" t="str">
        <f t="shared" si="402"/>
        <v>B</v>
      </c>
      <c r="H22" s="37" t="s">
        <v>180</v>
      </c>
      <c r="I22" s="37" t="s">
        <v>181</v>
      </c>
      <c r="J22" s="41" t="s">
        <v>182</v>
      </c>
      <c r="K22" s="90" t="str">
        <f t="shared" si="403"/>
        <v>A</v>
      </c>
      <c r="L22" s="41" t="s">
        <v>119</v>
      </c>
      <c r="M22" s="93">
        <v>41876</v>
      </c>
      <c r="N22" s="41"/>
      <c r="O22" s="43" t="s">
        <v>216</v>
      </c>
      <c r="P22" s="91" t="str">
        <f t="shared" si="404"/>
        <v>Əliyeva Sevinc Kamal</v>
      </c>
      <c r="Q22" s="4">
        <v>1369149</v>
      </c>
      <c r="R22" s="39">
        <v>101</v>
      </c>
      <c r="S22" s="39">
        <v>303</v>
      </c>
      <c r="T22" s="1">
        <v>54</v>
      </c>
      <c r="U22" s="1">
        <v>58</v>
      </c>
      <c r="V22" s="1">
        <v>38</v>
      </c>
      <c r="W22" s="1">
        <v>40</v>
      </c>
      <c r="X22" s="1">
        <v>75</v>
      </c>
      <c r="Y22" s="1"/>
      <c r="Z22" s="1"/>
      <c r="AA22" s="55">
        <v>52.75</v>
      </c>
      <c r="AB22" s="1"/>
      <c r="AC22" s="56">
        <v>52.75</v>
      </c>
      <c r="AD22" s="1"/>
      <c r="AE22" s="1"/>
      <c r="AF22" s="2">
        <v>2</v>
      </c>
      <c r="AG22" s="55">
        <v>98.679867986798683</v>
      </c>
      <c r="AH22" s="1">
        <v>83</v>
      </c>
      <c r="AI22" s="1">
        <v>95</v>
      </c>
      <c r="AJ22" s="1">
        <v>85</v>
      </c>
      <c r="AK22" s="1">
        <v>85</v>
      </c>
      <c r="AL22" s="1"/>
      <c r="AM22" s="1"/>
      <c r="AN22" s="55">
        <v>87</v>
      </c>
      <c r="AO22" s="1"/>
      <c r="AP22" s="56">
        <v>87</v>
      </c>
      <c r="AQ22" s="1"/>
      <c r="AR22" s="1">
        <v>52.78</v>
      </c>
      <c r="AS22" s="2">
        <v>0</v>
      </c>
      <c r="AT22" s="55">
        <v>100</v>
      </c>
      <c r="AU22" s="55">
        <v>69.875</v>
      </c>
      <c r="AV22" s="55" t="s">
        <v>230</v>
      </c>
      <c r="AW22" s="56">
        <v>69.875</v>
      </c>
      <c r="AX22" s="57">
        <v>4</v>
      </c>
      <c r="AY22" s="55">
        <v>52.78</v>
      </c>
      <c r="AZ22" s="1"/>
      <c r="BA22" s="58">
        <v>2</v>
      </c>
      <c r="BB22" s="59">
        <v>99.339933993399342</v>
      </c>
      <c r="BC22" s="4"/>
      <c r="BD22" s="39"/>
      <c r="BE22" s="39"/>
      <c r="BF22" s="1"/>
      <c r="BG22" s="1"/>
      <c r="BH22" s="1"/>
      <c r="BI22" s="1"/>
      <c r="BJ22" s="1"/>
      <c r="BK22" s="1"/>
      <c r="BL22" s="1"/>
      <c r="BM22" s="55"/>
      <c r="BN22" s="1"/>
      <c r="BO22" s="56"/>
      <c r="BP22" s="1"/>
      <c r="BQ22" s="1"/>
      <c r="BR22" s="2"/>
      <c r="BS22" s="55"/>
      <c r="BT22" s="1"/>
      <c r="BU22" s="1"/>
      <c r="BV22" s="1"/>
      <c r="BW22" s="1"/>
      <c r="BX22" s="1"/>
      <c r="BY22" s="1"/>
      <c r="BZ22" s="55"/>
      <c r="CA22" s="1"/>
      <c r="CB22" s="56"/>
      <c r="CC22" s="1"/>
      <c r="CD22" s="1"/>
      <c r="CE22" s="2"/>
      <c r="CF22" s="55"/>
      <c r="CG22" s="55"/>
      <c r="CH22" s="55"/>
      <c r="CI22" s="56"/>
      <c r="CJ22" s="57"/>
      <c r="CK22" s="55"/>
      <c r="CL22" s="1"/>
      <c r="CM22" s="58"/>
      <c r="CN22" s="59"/>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v>1269215</v>
      </c>
      <c r="EB22" s="39">
        <v>106</v>
      </c>
      <c r="EC22" s="39">
        <v>33</v>
      </c>
      <c r="ED22" s="1">
        <v>59</v>
      </c>
      <c r="EE22" s="1">
        <v>44</v>
      </c>
      <c r="EF22" s="1">
        <v>45</v>
      </c>
      <c r="EG22" s="1">
        <v>40</v>
      </c>
      <c r="EH22" s="1"/>
      <c r="EI22" s="1"/>
      <c r="EJ22" s="1"/>
      <c r="EK22" s="55">
        <v>43</v>
      </c>
      <c r="EL22" s="1"/>
      <c r="EM22" s="56">
        <v>43</v>
      </c>
      <c r="EN22" s="1"/>
      <c r="EO22" s="1"/>
      <c r="EP22" s="2">
        <v>0</v>
      </c>
      <c r="EQ22" s="55">
        <v>100</v>
      </c>
      <c r="ER22" s="1">
        <v>50</v>
      </c>
      <c r="ES22" s="1">
        <v>55</v>
      </c>
      <c r="ET22" s="1">
        <v>50</v>
      </c>
      <c r="EU22" s="1"/>
      <c r="EV22" s="1"/>
      <c r="EW22" s="1"/>
      <c r="EX22" s="55">
        <v>51.666666666666664</v>
      </c>
      <c r="EY22" s="1"/>
      <c r="EZ22" s="56">
        <v>51.666666666666664</v>
      </c>
      <c r="FA22" s="1"/>
      <c r="FB22" s="1">
        <v>45.83</v>
      </c>
      <c r="FC22" s="2">
        <v>0</v>
      </c>
      <c r="FD22" s="55">
        <v>100</v>
      </c>
      <c r="FE22" s="55">
        <v>47.333333333333329</v>
      </c>
      <c r="FF22" s="55" t="s">
        <v>230</v>
      </c>
      <c r="FG22" s="56">
        <v>47.333333333333329</v>
      </c>
      <c r="FH22" s="57">
        <v>3</v>
      </c>
      <c r="FI22" s="55">
        <v>45.83</v>
      </c>
      <c r="FJ22" s="1"/>
      <c r="FK22" s="58">
        <v>0</v>
      </c>
      <c r="FL22" s="59">
        <v>100</v>
      </c>
      <c r="FM22" s="4">
        <v>1369149</v>
      </c>
      <c r="FN22" s="39">
        <v>110</v>
      </c>
      <c r="FO22" s="39">
        <v>168</v>
      </c>
      <c r="FP22" s="1">
        <v>38</v>
      </c>
      <c r="FQ22" s="1">
        <v>31</v>
      </c>
      <c r="FR22" s="1">
        <v>45</v>
      </c>
      <c r="FS22" s="1">
        <v>37</v>
      </c>
      <c r="FT22" s="1">
        <v>63</v>
      </c>
      <c r="FU22" s="1"/>
      <c r="FV22" s="1"/>
      <c r="FW22" s="55">
        <v>44</v>
      </c>
      <c r="FX22" s="1"/>
      <c r="FY22" s="56">
        <v>44</v>
      </c>
      <c r="FZ22" s="1"/>
      <c r="GA22" s="1"/>
      <c r="GB22" s="2">
        <v>2</v>
      </c>
      <c r="GC22" s="55">
        <v>97.61904761904762</v>
      </c>
      <c r="GD22" s="1">
        <v>62</v>
      </c>
      <c r="GE22" s="1">
        <v>52</v>
      </c>
      <c r="GF22" s="1">
        <v>42</v>
      </c>
      <c r="GG22" s="1">
        <v>70</v>
      </c>
      <c r="GH22" s="1"/>
      <c r="GI22" s="1"/>
      <c r="GJ22" s="55">
        <v>56.5</v>
      </c>
      <c r="GK22" s="1"/>
      <c r="GL22" s="56">
        <v>56.5</v>
      </c>
      <c r="GM22" s="1"/>
      <c r="GN22" s="1">
        <v>50</v>
      </c>
      <c r="GO22" s="2">
        <v>0</v>
      </c>
      <c r="GP22" s="55">
        <v>100</v>
      </c>
      <c r="GQ22" s="55">
        <v>50.25</v>
      </c>
      <c r="GR22" s="55" t="s">
        <v>230</v>
      </c>
      <c r="GS22" s="56">
        <v>50.25</v>
      </c>
      <c r="GT22" s="57">
        <v>3</v>
      </c>
      <c r="GU22" s="55">
        <v>50</v>
      </c>
      <c r="GV22" s="1"/>
      <c r="GW22" s="58">
        <v>2</v>
      </c>
      <c r="GX22" s="59">
        <v>98.80952380952381</v>
      </c>
      <c r="GY22" s="4">
        <v>1791291</v>
      </c>
      <c r="GZ22" s="39">
        <v>114</v>
      </c>
      <c r="HA22" s="39">
        <v>33</v>
      </c>
      <c r="HB22" s="1">
        <v>45</v>
      </c>
      <c r="HC22" s="1">
        <v>60</v>
      </c>
      <c r="HD22" s="1">
        <v>45</v>
      </c>
      <c r="HE22" s="1">
        <v>45</v>
      </c>
      <c r="HF22" s="1"/>
      <c r="HG22" s="1"/>
      <c r="HH22" s="1"/>
      <c r="HI22" s="55">
        <v>50</v>
      </c>
      <c r="HJ22" s="1"/>
      <c r="HK22" s="56">
        <v>50</v>
      </c>
      <c r="HL22" s="1"/>
      <c r="HM22" s="1"/>
      <c r="HN22" s="2">
        <v>0</v>
      </c>
      <c r="HO22" s="55">
        <v>100</v>
      </c>
      <c r="HP22" s="1">
        <v>85</v>
      </c>
      <c r="HQ22" s="1">
        <v>80</v>
      </c>
      <c r="HR22" s="1">
        <v>75</v>
      </c>
      <c r="HS22" s="1"/>
      <c r="HT22" s="1"/>
      <c r="HU22" s="1"/>
      <c r="HV22" s="55">
        <v>80</v>
      </c>
      <c r="HW22" s="1"/>
      <c r="HX22" s="56">
        <v>80</v>
      </c>
      <c r="HY22" s="1"/>
      <c r="HZ22" s="1"/>
      <c r="IA22" s="2">
        <v>0</v>
      </c>
      <c r="IB22" s="55">
        <v>100</v>
      </c>
      <c r="IC22" s="55">
        <v>65</v>
      </c>
      <c r="ID22" s="55" t="s">
        <v>230</v>
      </c>
      <c r="IE22" s="56">
        <v>65</v>
      </c>
      <c r="IF22" s="57">
        <v>4</v>
      </c>
      <c r="IG22" s="55" t="s">
        <v>230</v>
      </c>
      <c r="IH22" s="1"/>
      <c r="II22" s="58">
        <v>0</v>
      </c>
      <c r="IJ22" s="59">
        <v>100</v>
      </c>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c r="JX22" s="39"/>
      <c r="JY22" s="39"/>
      <c r="JZ22" s="1"/>
      <c r="KA22" s="1"/>
      <c r="KB22" s="1"/>
      <c r="KC22" s="1"/>
      <c r="KD22" s="1"/>
      <c r="KE22" s="1"/>
      <c r="KF22" s="1"/>
      <c r="KG22" s="55"/>
      <c r="KH22" s="1"/>
      <c r="KI22" s="56"/>
      <c r="KJ22" s="1"/>
      <c r="KK22" s="1"/>
      <c r="KL22" s="2"/>
      <c r="KM22" s="55"/>
      <c r="KN22" s="1"/>
      <c r="KO22" s="1"/>
      <c r="KP22" s="1"/>
      <c r="KQ22" s="1"/>
      <c r="KR22" s="1"/>
      <c r="KS22" s="1"/>
      <c r="KT22" s="55"/>
      <c r="KU22" s="1"/>
      <c r="KV22" s="56"/>
      <c r="KW22" s="1"/>
      <c r="KX22" s="1"/>
      <c r="KY22" s="2"/>
      <c r="KZ22" s="55"/>
      <c r="LA22" s="55"/>
      <c r="LB22" s="55"/>
      <c r="LC22" s="56"/>
      <c r="LD22" s="57"/>
      <c r="LE22" s="55"/>
      <c r="LF22" s="1"/>
      <c r="LG22" s="58"/>
      <c r="LH22" s="59"/>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v>1369149</v>
      </c>
      <c r="PT22" s="39">
        <v>128</v>
      </c>
      <c r="PU22" s="39">
        <v>68</v>
      </c>
      <c r="PV22" s="1">
        <v>51</v>
      </c>
      <c r="PW22" s="1">
        <v>50</v>
      </c>
      <c r="PX22" s="1">
        <v>50</v>
      </c>
      <c r="PY22" s="1">
        <v>50</v>
      </c>
      <c r="PZ22" s="1"/>
      <c r="QA22" s="1"/>
      <c r="QB22" s="1"/>
      <c r="QC22" s="55">
        <v>50</v>
      </c>
      <c r="QD22" s="1"/>
      <c r="QE22" s="56">
        <v>50</v>
      </c>
      <c r="QF22" s="1"/>
      <c r="QG22" s="1"/>
      <c r="QH22" s="2">
        <v>0</v>
      </c>
      <c r="QI22" s="55">
        <v>100</v>
      </c>
      <c r="QJ22" s="1">
        <v>55</v>
      </c>
      <c r="QK22" s="1">
        <v>59</v>
      </c>
      <c r="QL22" s="1">
        <v>60</v>
      </c>
      <c r="QM22" s="1">
        <v>65</v>
      </c>
      <c r="QN22" s="1"/>
      <c r="QO22" s="1"/>
      <c r="QP22" s="55">
        <v>59.75</v>
      </c>
      <c r="QQ22" s="1"/>
      <c r="QR22" s="56">
        <v>59.75</v>
      </c>
      <c r="QS22" s="1"/>
      <c r="QT22" s="1"/>
      <c r="QU22" s="2">
        <v>0</v>
      </c>
      <c r="QV22" s="55">
        <v>100</v>
      </c>
      <c r="QW22" s="55">
        <v>54.875</v>
      </c>
      <c r="QX22" s="55" t="s">
        <v>230</v>
      </c>
      <c r="QY22" s="56">
        <v>54.875</v>
      </c>
      <c r="QZ22" s="57">
        <v>3</v>
      </c>
      <c r="RA22" s="55" t="s">
        <v>230</v>
      </c>
      <c r="RB22" s="1"/>
      <c r="RC22" s="58">
        <v>0</v>
      </c>
      <c r="RD22" s="59">
        <v>100</v>
      </c>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1369149</v>
      </c>
      <c r="UD22" s="39">
        <v>131</v>
      </c>
      <c r="UE22" s="39">
        <v>66</v>
      </c>
      <c r="UF22" s="1">
        <v>75</v>
      </c>
      <c r="UG22" s="1">
        <v>70</v>
      </c>
      <c r="UH22" s="1">
        <v>85</v>
      </c>
      <c r="UI22" s="1">
        <v>85</v>
      </c>
      <c r="UJ22" s="1"/>
      <c r="UK22" s="1"/>
      <c r="UL22" s="1"/>
      <c r="UM22" s="55">
        <v>80</v>
      </c>
      <c r="UN22" s="1"/>
      <c r="UO22" s="56">
        <v>80</v>
      </c>
      <c r="UP22" s="1"/>
      <c r="UQ22" s="1"/>
      <c r="UR22" s="2">
        <v>0</v>
      </c>
      <c r="US22" s="55">
        <v>100</v>
      </c>
      <c r="UT22" s="1">
        <v>65</v>
      </c>
      <c r="UU22" s="1">
        <v>70</v>
      </c>
      <c r="UV22" s="1">
        <v>90</v>
      </c>
      <c r="UW22" s="1"/>
      <c r="UX22" s="1"/>
      <c r="UY22" s="1"/>
      <c r="UZ22" s="55">
        <v>75</v>
      </c>
      <c r="VA22" s="1"/>
      <c r="VB22" s="56">
        <v>75</v>
      </c>
      <c r="VC22" s="1"/>
      <c r="VD22" s="1"/>
      <c r="VE22" s="2">
        <v>0</v>
      </c>
      <c r="VF22" s="55">
        <v>100</v>
      </c>
      <c r="VG22" s="55">
        <v>77.5</v>
      </c>
      <c r="VH22" s="55" t="s">
        <v>230</v>
      </c>
      <c r="VI22" s="56">
        <v>77.5</v>
      </c>
      <c r="VJ22" s="57">
        <v>4</v>
      </c>
      <c r="VK22" s="55" t="s">
        <v>230</v>
      </c>
      <c r="VL22" s="1"/>
      <c r="VM22" s="58">
        <v>0</v>
      </c>
      <c r="VN22" s="59">
        <v>100</v>
      </c>
      <c r="VO22" s="4">
        <v>1369149</v>
      </c>
      <c r="VP22" s="39">
        <v>132</v>
      </c>
      <c r="VQ22" s="39">
        <v>37</v>
      </c>
      <c r="VR22" s="1">
        <v>68</v>
      </c>
      <c r="VS22" s="1">
        <v>70</v>
      </c>
      <c r="VT22" s="1">
        <v>90</v>
      </c>
      <c r="VU22" s="1">
        <v>85</v>
      </c>
      <c r="VV22" s="1"/>
      <c r="VW22" s="1"/>
      <c r="VX22" s="1"/>
      <c r="VY22" s="55">
        <v>81.666666666666671</v>
      </c>
      <c r="VZ22" s="1"/>
      <c r="WA22" s="56">
        <v>81.666666666666671</v>
      </c>
      <c r="WB22" s="1"/>
      <c r="WC22" s="1"/>
      <c r="WD22" s="2">
        <v>0</v>
      </c>
      <c r="WE22" s="55">
        <v>100</v>
      </c>
      <c r="WF22" s="1">
        <v>85</v>
      </c>
      <c r="WG22" s="1">
        <v>85</v>
      </c>
      <c r="WH22" s="1">
        <v>85</v>
      </c>
      <c r="WI22" s="1"/>
      <c r="WJ22" s="1"/>
      <c r="WK22" s="1"/>
      <c r="WL22" s="55">
        <v>85</v>
      </c>
      <c r="WM22" s="1"/>
      <c r="WN22" s="56">
        <v>85</v>
      </c>
      <c r="WO22" s="1"/>
      <c r="WP22" s="1"/>
      <c r="WQ22" s="2">
        <v>0</v>
      </c>
      <c r="WR22" s="55">
        <v>100</v>
      </c>
      <c r="WS22" s="55">
        <v>83.333333333333343</v>
      </c>
      <c r="WT22" s="55" t="s">
        <v>230</v>
      </c>
      <c r="WU22" s="56">
        <v>83.333333333333343</v>
      </c>
      <c r="WV22" s="57">
        <v>5</v>
      </c>
      <c r="WW22" s="55" t="s">
        <v>230</v>
      </c>
      <c r="WX22" s="1"/>
      <c r="WY22" s="58">
        <v>0</v>
      </c>
      <c r="WZ22" s="59">
        <v>100</v>
      </c>
      <c r="XA22" s="4">
        <v>1787467</v>
      </c>
      <c r="XB22" s="39">
        <v>133</v>
      </c>
      <c r="XC22" s="39">
        <v>34</v>
      </c>
      <c r="XD22" s="1">
        <v>64</v>
      </c>
      <c r="XE22" s="1">
        <v>65</v>
      </c>
      <c r="XF22" s="1">
        <v>80</v>
      </c>
      <c r="XG22" s="1">
        <v>70</v>
      </c>
      <c r="XH22" s="1"/>
      <c r="XI22" s="1"/>
      <c r="XJ22" s="1"/>
      <c r="XK22" s="55">
        <v>71.666666666666671</v>
      </c>
      <c r="XL22" s="1"/>
      <c r="XM22" s="56">
        <v>71.666666666666671</v>
      </c>
      <c r="XN22" s="1"/>
      <c r="XO22" s="1"/>
      <c r="XP22" s="2">
        <v>0</v>
      </c>
      <c r="XQ22" s="55">
        <v>100</v>
      </c>
      <c r="XR22" s="1">
        <v>75</v>
      </c>
      <c r="XS22" s="1">
        <v>80</v>
      </c>
      <c r="XT22" s="1">
        <v>70</v>
      </c>
      <c r="XU22" s="1"/>
      <c r="XV22" s="1"/>
      <c r="XW22" s="1"/>
      <c r="XX22" s="55">
        <v>75</v>
      </c>
      <c r="XY22" s="1"/>
      <c r="XZ22" s="56">
        <v>75</v>
      </c>
      <c r="YA22" s="1"/>
      <c r="YB22" s="1"/>
      <c r="YC22" s="2">
        <v>0</v>
      </c>
      <c r="YD22" s="55">
        <v>100</v>
      </c>
      <c r="YE22" s="55">
        <v>73.333333333333343</v>
      </c>
      <c r="YF22" s="55" t="s">
        <v>230</v>
      </c>
      <c r="YG22" s="56">
        <v>73.333333333333343</v>
      </c>
      <c r="YH22" s="57">
        <v>4</v>
      </c>
      <c r="YI22" s="55" t="s">
        <v>230</v>
      </c>
      <c r="YJ22" s="1"/>
      <c r="YK22" s="58">
        <v>0</v>
      </c>
      <c r="YL22" s="59">
        <v>100</v>
      </c>
      <c r="YM22" s="4">
        <v>1369149</v>
      </c>
      <c r="YN22" s="39">
        <v>135</v>
      </c>
      <c r="YO22" s="39">
        <v>66</v>
      </c>
      <c r="YP22" s="1">
        <v>68</v>
      </c>
      <c r="YQ22" s="1">
        <v>65</v>
      </c>
      <c r="YR22" s="1">
        <v>90</v>
      </c>
      <c r="YS22" s="1">
        <v>90</v>
      </c>
      <c r="YT22" s="1"/>
      <c r="YU22" s="1"/>
      <c r="YV22" s="1"/>
      <c r="YW22" s="55">
        <v>81.666666666666671</v>
      </c>
      <c r="YX22" s="1"/>
      <c r="YY22" s="56">
        <v>81.666666666666671</v>
      </c>
      <c r="YZ22" s="1"/>
      <c r="ZA22" s="1"/>
      <c r="ZB22" s="2">
        <v>0</v>
      </c>
      <c r="ZC22" s="55">
        <v>100</v>
      </c>
      <c r="ZD22" s="1">
        <v>85</v>
      </c>
      <c r="ZE22" s="1">
        <v>85</v>
      </c>
      <c r="ZF22" s="1">
        <v>85</v>
      </c>
      <c r="ZG22" s="1"/>
      <c r="ZH22" s="1"/>
      <c r="ZI22" s="1"/>
      <c r="ZJ22" s="55">
        <v>85</v>
      </c>
      <c r="ZK22" s="1"/>
      <c r="ZL22" s="56">
        <v>85</v>
      </c>
      <c r="ZM22" s="1"/>
      <c r="ZN22" s="1"/>
      <c r="ZO22" s="2">
        <v>0</v>
      </c>
      <c r="ZP22" s="55">
        <v>100</v>
      </c>
      <c r="ZQ22" s="55">
        <v>83.333333333333343</v>
      </c>
      <c r="ZR22" s="55" t="s">
        <v>230</v>
      </c>
      <c r="ZS22" s="56">
        <v>83.333333333333343</v>
      </c>
      <c r="ZT22" s="57">
        <v>5</v>
      </c>
      <c r="ZU22" s="55" t="s">
        <v>230</v>
      </c>
      <c r="ZV22" s="1"/>
      <c r="ZW22" s="58">
        <v>0</v>
      </c>
      <c r="ZX22" s="59">
        <v>100</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c r="ACX22" s="39"/>
      <c r="ACY22" s="39"/>
      <c r="ACZ22" s="1"/>
      <c r="ADA22" s="1"/>
      <c r="ADB22" s="1"/>
      <c r="ADC22" s="1"/>
      <c r="ADD22" s="1"/>
      <c r="ADE22" s="1"/>
      <c r="ADF22" s="1"/>
      <c r="ADG22" s="55"/>
      <c r="ADH22" s="1"/>
      <c r="ADI22" s="56"/>
      <c r="ADJ22" s="1"/>
      <c r="ADK22" s="1"/>
      <c r="ADL22" s="2"/>
      <c r="ADM22" s="55"/>
      <c r="ADN22" s="1"/>
      <c r="ADO22" s="1"/>
      <c r="ADP22" s="1"/>
      <c r="ADQ22" s="1"/>
      <c r="ADR22" s="1"/>
      <c r="ADS22" s="1"/>
      <c r="ADT22" s="55"/>
      <c r="ADU22" s="1"/>
      <c r="ADV22" s="56"/>
      <c r="ADW22" s="1"/>
      <c r="ADX22" s="1"/>
      <c r="ADY22" s="2"/>
      <c r="ADZ22" s="55"/>
      <c r="AEA22" s="55"/>
      <c r="AEB22" s="55"/>
      <c r="AEC22" s="56"/>
      <c r="AED22" s="57"/>
      <c r="AEE22" s="55"/>
      <c r="AEF22" s="1"/>
      <c r="AEG22" s="58"/>
      <c r="AEH22" s="59"/>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3684663</v>
      </c>
      <c r="F23" s="89">
        <f t="shared" si="401"/>
        <v>3</v>
      </c>
      <c r="G23" s="89" t="str">
        <f t="shared" si="402"/>
        <v>B</v>
      </c>
      <c r="H23" s="37" t="s">
        <v>183</v>
      </c>
      <c r="I23" s="37" t="s">
        <v>184</v>
      </c>
      <c r="J23" s="41" t="s">
        <v>185</v>
      </c>
      <c r="K23" s="90" t="str">
        <f t="shared" si="403"/>
        <v>A</v>
      </c>
      <c r="L23" s="41" t="s">
        <v>117</v>
      </c>
      <c r="M23" s="93">
        <v>41383</v>
      </c>
      <c r="N23" s="41"/>
      <c r="O23" s="43" t="s">
        <v>225</v>
      </c>
      <c r="P23" s="91" t="str">
        <f t="shared" si="404"/>
        <v>Əliyeva Sevinc Kamal</v>
      </c>
      <c r="Q23" s="4">
        <v>1369149</v>
      </c>
      <c r="R23" s="39">
        <v>101</v>
      </c>
      <c r="S23" s="39">
        <v>303</v>
      </c>
      <c r="T23" s="1">
        <v>93</v>
      </c>
      <c r="U23" s="1">
        <v>95</v>
      </c>
      <c r="V23" s="1">
        <v>95</v>
      </c>
      <c r="W23" s="1">
        <v>65</v>
      </c>
      <c r="X23" s="1">
        <v>95</v>
      </c>
      <c r="Y23" s="1"/>
      <c r="Z23" s="1"/>
      <c r="AA23" s="55">
        <v>87.5</v>
      </c>
      <c r="AB23" s="1"/>
      <c r="AC23" s="56">
        <v>87.5</v>
      </c>
      <c r="AD23" s="1"/>
      <c r="AE23" s="1"/>
      <c r="AF23" s="2">
        <v>2</v>
      </c>
      <c r="AG23" s="55">
        <v>98.679867986798683</v>
      </c>
      <c r="AH23" s="1">
        <v>65</v>
      </c>
      <c r="AI23" s="1">
        <v>70</v>
      </c>
      <c r="AJ23" s="1">
        <v>79</v>
      </c>
      <c r="AK23" s="1">
        <v>85</v>
      </c>
      <c r="AL23" s="1"/>
      <c r="AM23" s="1"/>
      <c r="AN23" s="55">
        <v>74.75</v>
      </c>
      <c r="AO23" s="1"/>
      <c r="AP23" s="56">
        <v>74.75</v>
      </c>
      <c r="AQ23" s="1"/>
      <c r="AR23" s="1">
        <v>50</v>
      </c>
      <c r="AS23" s="2">
        <v>0</v>
      </c>
      <c r="AT23" s="55">
        <v>100</v>
      </c>
      <c r="AU23" s="55">
        <v>81.125</v>
      </c>
      <c r="AV23" s="55" t="s">
        <v>230</v>
      </c>
      <c r="AW23" s="56">
        <v>81.125</v>
      </c>
      <c r="AX23" s="57">
        <v>5</v>
      </c>
      <c r="AY23" s="55">
        <v>50</v>
      </c>
      <c r="AZ23" s="1"/>
      <c r="BA23" s="58">
        <v>2</v>
      </c>
      <c r="BB23" s="59">
        <v>99.339933993399342</v>
      </c>
      <c r="BC23" s="4"/>
      <c r="BD23" s="39"/>
      <c r="BE23" s="39"/>
      <c r="BF23" s="1"/>
      <c r="BG23" s="1"/>
      <c r="BH23" s="1"/>
      <c r="BI23" s="1"/>
      <c r="BJ23" s="1"/>
      <c r="BK23" s="1"/>
      <c r="BL23" s="1"/>
      <c r="BM23" s="55"/>
      <c r="BN23" s="1"/>
      <c r="BO23" s="56"/>
      <c r="BP23" s="1"/>
      <c r="BQ23" s="1"/>
      <c r="BR23" s="2"/>
      <c r="BS23" s="55"/>
      <c r="BT23" s="1"/>
      <c r="BU23" s="1"/>
      <c r="BV23" s="1"/>
      <c r="BW23" s="1"/>
      <c r="BX23" s="1"/>
      <c r="BY23" s="1"/>
      <c r="BZ23" s="55"/>
      <c r="CA23" s="1"/>
      <c r="CB23" s="56"/>
      <c r="CC23" s="1"/>
      <c r="CD23" s="1"/>
      <c r="CE23" s="2"/>
      <c r="CF23" s="55"/>
      <c r="CG23" s="55"/>
      <c r="CH23" s="55"/>
      <c r="CI23" s="56"/>
      <c r="CJ23" s="57"/>
      <c r="CK23" s="55"/>
      <c r="CL23" s="1"/>
      <c r="CM23" s="58"/>
      <c r="CN23" s="59"/>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v>1269215</v>
      </c>
      <c r="EB23" s="39">
        <v>106</v>
      </c>
      <c r="EC23" s="39">
        <v>33</v>
      </c>
      <c r="ED23" s="1">
        <v>88</v>
      </c>
      <c r="EE23" s="1">
        <v>82</v>
      </c>
      <c r="EF23" s="1">
        <v>63</v>
      </c>
      <c r="EG23" s="1">
        <v>83</v>
      </c>
      <c r="EH23" s="1"/>
      <c r="EI23" s="1"/>
      <c r="EJ23" s="1"/>
      <c r="EK23" s="55">
        <v>76</v>
      </c>
      <c r="EL23" s="1"/>
      <c r="EM23" s="56">
        <v>76</v>
      </c>
      <c r="EN23" s="1"/>
      <c r="EO23" s="1"/>
      <c r="EP23" s="2">
        <v>1</v>
      </c>
      <c r="EQ23" s="55">
        <v>93.939393939393938</v>
      </c>
      <c r="ER23" s="1">
        <v>45</v>
      </c>
      <c r="ES23" s="1">
        <v>55</v>
      </c>
      <c r="ET23" s="1">
        <v>72</v>
      </c>
      <c r="EU23" s="1"/>
      <c r="EV23" s="1"/>
      <c r="EW23" s="1"/>
      <c r="EX23" s="55">
        <v>57.333333333333336</v>
      </c>
      <c r="EY23" s="1"/>
      <c r="EZ23" s="56">
        <v>57.333333333333336</v>
      </c>
      <c r="FA23" s="1"/>
      <c r="FB23" s="1">
        <v>58.33</v>
      </c>
      <c r="FC23" s="2">
        <v>0</v>
      </c>
      <c r="FD23" s="55">
        <v>100</v>
      </c>
      <c r="FE23" s="55">
        <v>66.666666666666671</v>
      </c>
      <c r="FF23" s="55" t="s">
        <v>230</v>
      </c>
      <c r="FG23" s="56">
        <v>66.666666666666671</v>
      </c>
      <c r="FH23" s="57">
        <v>4</v>
      </c>
      <c r="FI23" s="55">
        <v>58.33</v>
      </c>
      <c r="FJ23" s="1"/>
      <c r="FK23" s="58">
        <v>1</v>
      </c>
      <c r="FL23" s="59">
        <v>96.969696969696969</v>
      </c>
      <c r="FM23" s="4">
        <v>1369149</v>
      </c>
      <c r="FN23" s="39">
        <v>110</v>
      </c>
      <c r="FO23" s="39">
        <v>168</v>
      </c>
      <c r="FP23" s="1">
        <v>88</v>
      </c>
      <c r="FQ23" s="1">
        <v>84</v>
      </c>
      <c r="FR23" s="1">
        <v>100</v>
      </c>
      <c r="FS23" s="1">
        <v>100</v>
      </c>
      <c r="FT23" s="1">
        <v>80</v>
      </c>
      <c r="FU23" s="1"/>
      <c r="FV23" s="1"/>
      <c r="FW23" s="55">
        <v>91</v>
      </c>
      <c r="FX23" s="1"/>
      <c r="FY23" s="56">
        <v>91</v>
      </c>
      <c r="FZ23" s="1"/>
      <c r="GA23" s="1"/>
      <c r="GB23" s="2">
        <v>0</v>
      </c>
      <c r="GC23" s="55">
        <v>100</v>
      </c>
      <c r="GD23" s="1">
        <v>78</v>
      </c>
      <c r="GE23" s="1">
        <v>76</v>
      </c>
      <c r="GF23" s="1">
        <v>65</v>
      </c>
      <c r="GG23" s="1">
        <v>85</v>
      </c>
      <c r="GH23" s="1"/>
      <c r="GI23" s="1"/>
      <c r="GJ23" s="55">
        <v>76</v>
      </c>
      <c r="GK23" s="1"/>
      <c r="GL23" s="56">
        <v>76</v>
      </c>
      <c r="GM23" s="1"/>
      <c r="GN23" s="1">
        <v>27.78</v>
      </c>
      <c r="GO23" s="2">
        <v>0</v>
      </c>
      <c r="GP23" s="55">
        <v>100</v>
      </c>
      <c r="GQ23" s="55">
        <v>83.5</v>
      </c>
      <c r="GR23" s="55" t="s">
        <v>230</v>
      </c>
      <c r="GS23" s="56">
        <v>83.5</v>
      </c>
      <c r="GT23" s="57">
        <v>5</v>
      </c>
      <c r="GU23" s="55">
        <v>27.78</v>
      </c>
      <c r="GV23" s="1"/>
      <c r="GW23" s="58">
        <v>0</v>
      </c>
      <c r="GX23" s="59">
        <v>100</v>
      </c>
      <c r="GY23" s="4">
        <v>1791291</v>
      </c>
      <c r="GZ23" s="39">
        <v>114</v>
      </c>
      <c r="HA23" s="39">
        <v>33</v>
      </c>
      <c r="HB23" s="1">
        <v>65</v>
      </c>
      <c r="HC23" s="1">
        <v>100</v>
      </c>
      <c r="HD23" s="1">
        <v>80</v>
      </c>
      <c r="HE23" s="1">
        <v>80</v>
      </c>
      <c r="HF23" s="1"/>
      <c r="HG23" s="1"/>
      <c r="HH23" s="1"/>
      <c r="HI23" s="55">
        <v>86.666666666666671</v>
      </c>
      <c r="HJ23" s="1"/>
      <c r="HK23" s="56">
        <v>86.666666666666671</v>
      </c>
      <c r="HL23" s="1"/>
      <c r="HM23" s="1"/>
      <c r="HN23" s="2">
        <v>0</v>
      </c>
      <c r="HO23" s="55">
        <v>100</v>
      </c>
      <c r="HP23" s="1">
        <v>75</v>
      </c>
      <c r="HQ23" s="1">
        <v>85</v>
      </c>
      <c r="HR23" s="1">
        <v>85</v>
      </c>
      <c r="HS23" s="1"/>
      <c r="HT23" s="1"/>
      <c r="HU23" s="1"/>
      <c r="HV23" s="55">
        <v>81.666666666666671</v>
      </c>
      <c r="HW23" s="1"/>
      <c r="HX23" s="56">
        <v>81.666666666666671</v>
      </c>
      <c r="HY23" s="1"/>
      <c r="HZ23" s="1"/>
      <c r="IA23" s="2">
        <v>0</v>
      </c>
      <c r="IB23" s="55">
        <v>100</v>
      </c>
      <c r="IC23" s="55">
        <v>84.166666666666671</v>
      </c>
      <c r="ID23" s="55" t="s">
        <v>230</v>
      </c>
      <c r="IE23" s="56">
        <v>84.166666666666671</v>
      </c>
      <c r="IF23" s="57">
        <v>5</v>
      </c>
      <c r="IG23" s="55" t="s">
        <v>230</v>
      </c>
      <c r="IH23" s="1"/>
      <c r="II23" s="58">
        <v>0</v>
      </c>
      <c r="IJ23" s="59">
        <v>100</v>
      </c>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c r="JX23" s="39"/>
      <c r="JY23" s="39"/>
      <c r="JZ23" s="1"/>
      <c r="KA23" s="1"/>
      <c r="KB23" s="1"/>
      <c r="KC23" s="1"/>
      <c r="KD23" s="1"/>
      <c r="KE23" s="1"/>
      <c r="KF23" s="1"/>
      <c r="KG23" s="55"/>
      <c r="KH23" s="1"/>
      <c r="KI23" s="56"/>
      <c r="KJ23" s="1"/>
      <c r="KK23" s="1"/>
      <c r="KL23" s="2"/>
      <c r="KM23" s="55"/>
      <c r="KN23" s="1"/>
      <c r="KO23" s="1"/>
      <c r="KP23" s="1"/>
      <c r="KQ23" s="1"/>
      <c r="KR23" s="1"/>
      <c r="KS23" s="1"/>
      <c r="KT23" s="55"/>
      <c r="KU23" s="1"/>
      <c r="KV23" s="56"/>
      <c r="KW23" s="1"/>
      <c r="KX23" s="1"/>
      <c r="KY23" s="2"/>
      <c r="KZ23" s="55"/>
      <c r="LA23" s="55"/>
      <c r="LB23" s="55"/>
      <c r="LC23" s="56"/>
      <c r="LD23" s="57"/>
      <c r="LE23" s="55"/>
      <c r="LF23" s="1"/>
      <c r="LG23" s="58"/>
      <c r="LH23" s="59"/>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v>1369149</v>
      </c>
      <c r="PT23" s="39">
        <v>128</v>
      </c>
      <c r="PU23" s="39">
        <v>68</v>
      </c>
      <c r="PV23" s="1">
        <v>87</v>
      </c>
      <c r="PW23" s="1">
        <v>65</v>
      </c>
      <c r="PX23" s="1">
        <v>85</v>
      </c>
      <c r="PY23" s="1">
        <v>90</v>
      </c>
      <c r="PZ23" s="1"/>
      <c r="QA23" s="1"/>
      <c r="QB23" s="1"/>
      <c r="QC23" s="55">
        <v>80</v>
      </c>
      <c r="QD23" s="1"/>
      <c r="QE23" s="56">
        <v>80</v>
      </c>
      <c r="QF23" s="1"/>
      <c r="QG23" s="1"/>
      <c r="QH23" s="2">
        <v>0</v>
      </c>
      <c r="QI23" s="55">
        <v>100</v>
      </c>
      <c r="QJ23" s="1">
        <v>65</v>
      </c>
      <c r="QK23" s="1">
        <v>81</v>
      </c>
      <c r="QL23" s="1">
        <v>85</v>
      </c>
      <c r="QM23" s="1">
        <v>85</v>
      </c>
      <c r="QN23" s="1"/>
      <c r="QO23" s="1"/>
      <c r="QP23" s="55">
        <v>79</v>
      </c>
      <c r="QQ23" s="1"/>
      <c r="QR23" s="56">
        <v>79</v>
      </c>
      <c r="QS23" s="1"/>
      <c r="QT23" s="1"/>
      <c r="QU23" s="2">
        <v>0</v>
      </c>
      <c r="QV23" s="55">
        <v>100</v>
      </c>
      <c r="QW23" s="55">
        <v>79.5</v>
      </c>
      <c r="QX23" s="55" t="s">
        <v>230</v>
      </c>
      <c r="QY23" s="56">
        <v>79.5</v>
      </c>
      <c r="QZ23" s="57">
        <v>4</v>
      </c>
      <c r="RA23" s="55" t="s">
        <v>230</v>
      </c>
      <c r="RB23" s="1"/>
      <c r="RC23" s="58">
        <v>0</v>
      </c>
      <c r="RD23" s="59">
        <v>100</v>
      </c>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1369149</v>
      </c>
      <c r="UD23" s="39">
        <v>131</v>
      </c>
      <c r="UE23" s="39">
        <v>66</v>
      </c>
      <c r="UF23" s="1">
        <v>92</v>
      </c>
      <c r="UG23" s="1">
        <v>90</v>
      </c>
      <c r="UH23" s="1">
        <v>90</v>
      </c>
      <c r="UI23" s="1">
        <v>90</v>
      </c>
      <c r="UJ23" s="1"/>
      <c r="UK23" s="1"/>
      <c r="UL23" s="1"/>
      <c r="UM23" s="55">
        <v>90</v>
      </c>
      <c r="UN23" s="1"/>
      <c r="UO23" s="56">
        <v>90</v>
      </c>
      <c r="UP23" s="1"/>
      <c r="UQ23" s="1"/>
      <c r="UR23" s="2">
        <v>0</v>
      </c>
      <c r="US23" s="55">
        <v>100</v>
      </c>
      <c r="UT23" s="1">
        <v>100</v>
      </c>
      <c r="UU23" s="1">
        <v>100</v>
      </c>
      <c r="UV23" s="1">
        <v>95</v>
      </c>
      <c r="UW23" s="1"/>
      <c r="UX23" s="1"/>
      <c r="UY23" s="1"/>
      <c r="UZ23" s="55">
        <v>98.333333333333329</v>
      </c>
      <c r="VA23" s="1"/>
      <c r="VB23" s="56">
        <v>98.333333333333329</v>
      </c>
      <c r="VC23" s="1"/>
      <c r="VD23" s="1"/>
      <c r="VE23" s="2">
        <v>0</v>
      </c>
      <c r="VF23" s="55">
        <v>100</v>
      </c>
      <c r="VG23" s="55">
        <v>94.166666666666657</v>
      </c>
      <c r="VH23" s="55" t="s">
        <v>230</v>
      </c>
      <c r="VI23" s="56">
        <v>94.166666666666657</v>
      </c>
      <c r="VJ23" s="57">
        <v>5</v>
      </c>
      <c r="VK23" s="55" t="s">
        <v>230</v>
      </c>
      <c r="VL23" s="1"/>
      <c r="VM23" s="58">
        <v>0</v>
      </c>
      <c r="VN23" s="59">
        <v>100</v>
      </c>
      <c r="VO23" s="4">
        <v>1369149</v>
      </c>
      <c r="VP23" s="39">
        <v>132</v>
      </c>
      <c r="VQ23" s="39">
        <v>37</v>
      </c>
      <c r="VR23" s="1">
        <v>93</v>
      </c>
      <c r="VS23" s="1">
        <v>90</v>
      </c>
      <c r="VT23" s="1">
        <v>90</v>
      </c>
      <c r="VU23" s="1">
        <v>90</v>
      </c>
      <c r="VV23" s="1"/>
      <c r="VW23" s="1"/>
      <c r="VX23" s="1"/>
      <c r="VY23" s="55">
        <v>90</v>
      </c>
      <c r="VZ23" s="1"/>
      <c r="WA23" s="56">
        <v>90</v>
      </c>
      <c r="WB23" s="1"/>
      <c r="WC23" s="1"/>
      <c r="WD23" s="2">
        <v>0</v>
      </c>
      <c r="WE23" s="55">
        <v>100</v>
      </c>
      <c r="WF23" s="1">
        <v>90</v>
      </c>
      <c r="WG23" s="1">
        <v>90</v>
      </c>
      <c r="WH23" s="1">
        <v>90</v>
      </c>
      <c r="WI23" s="1"/>
      <c r="WJ23" s="1"/>
      <c r="WK23" s="1"/>
      <c r="WL23" s="55">
        <v>90</v>
      </c>
      <c r="WM23" s="1"/>
      <c r="WN23" s="56">
        <v>90</v>
      </c>
      <c r="WO23" s="1"/>
      <c r="WP23" s="1"/>
      <c r="WQ23" s="2">
        <v>0</v>
      </c>
      <c r="WR23" s="55">
        <v>100</v>
      </c>
      <c r="WS23" s="55">
        <v>90</v>
      </c>
      <c r="WT23" s="55" t="s">
        <v>230</v>
      </c>
      <c r="WU23" s="56">
        <v>90</v>
      </c>
      <c r="WV23" s="57">
        <v>5</v>
      </c>
      <c r="WW23" s="55" t="s">
        <v>230</v>
      </c>
      <c r="WX23" s="1"/>
      <c r="WY23" s="58">
        <v>0</v>
      </c>
      <c r="WZ23" s="59">
        <v>100</v>
      </c>
      <c r="XA23" s="4">
        <v>1787467</v>
      </c>
      <c r="XB23" s="39">
        <v>133</v>
      </c>
      <c r="XC23" s="39">
        <v>34</v>
      </c>
      <c r="XD23" s="1">
        <v>93</v>
      </c>
      <c r="XE23" s="1">
        <v>85</v>
      </c>
      <c r="XF23" s="1">
        <v>90</v>
      </c>
      <c r="XG23" s="1">
        <v>90</v>
      </c>
      <c r="XH23" s="1"/>
      <c r="XI23" s="1"/>
      <c r="XJ23" s="1"/>
      <c r="XK23" s="55">
        <v>88.333333333333329</v>
      </c>
      <c r="XL23" s="1"/>
      <c r="XM23" s="56">
        <v>88.333333333333329</v>
      </c>
      <c r="XN23" s="1"/>
      <c r="XO23" s="1"/>
      <c r="XP23" s="2">
        <v>1</v>
      </c>
      <c r="XQ23" s="55">
        <v>94.117647058823536</v>
      </c>
      <c r="XR23" s="1">
        <v>85</v>
      </c>
      <c r="XS23" s="1">
        <v>90</v>
      </c>
      <c r="XT23" s="1">
        <v>85</v>
      </c>
      <c r="XU23" s="1"/>
      <c r="XV23" s="1"/>
      <c r="XW23" s="1"/>
      <c r="XX23" s="55">
        <v>86.666666666666671</v>
      </c>
      <c r="XY23" s="1"/>
      <c r="XZ23" s="56">
        <v>86.666666666666671</v>
      </c>
      <c r="YA23" s="1"/>
      <c r="YB23" s="1"/>
      <c r="YC23" s="2">
        <v>0</v>
      </c>
      <c r="YD23" s="55">
        <v>100</v>
      </c>
      <c r="YE23" s="55">
        <v>87.5</v>
      </c>
      <c r="YF23" s="55" t="s">
        <v>230</v>
      </c>
      <c r="YG23" s="56">
        <v>87.5</v>
      </c>
      <c r="YH23" s="57">
        <v>5</v>
      </c>
      <c r="YI23" s="55" t="s">
        <v>230</v>
      </c>
      <c r="YJ23" s="1"/>
      <c r="YK23" s="58">
        <v>1</v>
      </c>
      <c r="YL23" s="59">
        <v>97.058823529411768</v>
      </c>
      <c r="YM23" s="4">
        <v>1369149</v>
      </c>
      <c r="YN23" s="39">
        <v>135</v>
      </c>
      <c r="YO23" s="39">
        <v>66</v>
      </c>
      <c r="YP23" s="1">
        <v>85</v>
      </c>
      <c r="YQ23" s="1">
        <v>90</v>
      </c>
      <c r="YR23" s="1">
        <v>90</v>
      </c>
      <c r="YS23" s="1">
        <v>90</v>
      </c>
      <c r="YT23" s="1"/>
      <c r="YU23" s="1"/>
      <c r="YV23" s="1"/>
      <c r="YW23" s="55">
        <v>90</v>
      </c>
      <c r="YX23" s="1"/>
      <c r="YY23" s="56">
        <v>90</v>
      </c>
      <c r="YZ23" s="1"/>
      <c r="ZA23" s="1"/>
      <c r="ZB23" s="2">
        <v>0</v>
      </c>
      <c r="ZC23" s="55">
        <v>100</v>
      </c>
      <c r="ZD23" s="1">
        <v>90</v>
      </c>
      <c r="ZE23" s="1">
        <v>90</v>
      </c>
      <c r="ZF23" s="1">
        <v>85</v>
      </c>
      <c r="ZG23" s="1"/>
      <c r="ZH23" s="1"/>
      <c r="ZI23" s="1"/>
      <c r="ZJ23" s="55">
        <v>88.333333333333329</v>
      </c>
      <c r="ZK23" s="1"/>
      <c r="ZL23" s="56">
        <v>88.333333333333329</v>
      </c>
      <c r="ZM23" s="1"/>
      <c r="ZN23" s="1"/>
      <c r="ZO23" s="2">
        <v>0</v>
      </c>
      <c r="ZP23" s="55">
        <v>100</v>
      </c>
      <c r="ZQ23" s="55">
        <v>89.166666666666657</v>
      </c>
      <c r="ZR23" s="55" t="s">
        <v>230</v>
      </c>
      <c r="ZS23" s="56">
        <v>89.166666666666657</v>
      </c>
      <c r="ZT23" s="57">
        <v>5</v>
      </c>
      <c r="ZU23" s="55" t="s">
        <v>230</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c r="ACX23" s="39"/>
      <c r="ACY23" s="39"/>
      <c r="ACZ23" s="1"/>
      <c r="ADA23" s="1"/>
      <c r="ADB23" s="1"/>
      <c r="ADC23" s="1"/>
      <c r="ADD23" s="1"/>
      <c r="ADE23" s="1"/>
      <c r="ADF23" s="1"/>
      <c r="ADG23" s="55"/>
      <c r="ADH23" s="1"/>
      <c r="ADI23" s="56"/>
      <c r="ADJ23" s="1"/>
      <c r="ADK23" s="1"/>
      <c r="ADL23" s="2"/>
      <c r="ADM23" s="55"/>
      <c r="ADN23" s="1"/>
      <c r="ADO23" s="1"/>
      <c r="ADP23" s="1"/>
      <c r="ADQ23" s="1"/>
      <c r="ADR23" s="1"/>
      <c r="ADS23" s="1"/>
      <c r="ADT23" s="55"/>
      <c r="ADU23" s="1"/>
      <c r="ADV23" s="56"/>
      <c r="ADW23" s="1"/>
      <c r="ADX23" s="1"/>
      <c r="ADY23" s="2"/>
      <c r="ADZ23" s="55"/>
      <c r="AEA23" s="55"/>
      <c r="AEB23" s="55"/>
      <c r="AEC23" s="56"/>
      <c r="AED23" s="57"/>
      <c r="AEE23" s="55"/>
      <c r="AEF23" s="1"/>
      <c r="AEG23" s="58"/>
      <c r="AEH23" s="59"/>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3684672</v>
      </c>
      <c r="F24" s="89">
        <f t="shared" si="401"/>
        <v>3</v>
      </c>
      <c r="G24" s="89" t="str">
        <f t="shared" si="402"/>
        <v>B</v>
      </c>
      <c r="H24" s="37" t="s">
        <v>186</v>
      </c>
      <c r="I24" s="37" t="s">
        <v>187</v>
      </c>
      <c r="J24" s="41" t="s">
        <v>171</v>
      </c>
      <c r="K24" s="90" t="str">
        <f t="shared" si="403"/>
        <v>A</v>
      </c>
      <c r="L24" s="41" t="s">
        <v>117</v>
      </c>
      <c r="M24" s="93">
        <v>41806</v>
      </c>
      <c r="N24" s="41"/>
      <c r="O24" s="43" t="s">
        <v>212</v>
      </c>
      <c r="P24" s="91" t="str">
        <f t="shared" si="404"/>
        <v>Əliyeva Sevinc Kamal</v>
      </c>
      <c r="Q24" s="4">
        <v>1369149</v>
      </c>
      <c r="R24" s="39">
        <v>101</v>
      </c>
      <c r="S24" s="39">
        <v>303</v>
      </c>
      <c r="T24" s="1">
        <v>65</v>
      </c>
      <c r="U24" s="1">
        <v>66</v>
      </c>
      <c r="V24" s="1">
        <v>67</v>
      </c>
      <c r="W24" s="1">
        <v>50</v>
      </c>
      <c r="X24" s="1">
        <v>50</v>
      </c>
      <c r="Y24" s="1"/>
      <c r="Z24" s="1"/>
      <c r="AA24" s="55">
        <v>58.25</v>
      </c>
      <c r="AB24" s="1"/>
      <c r="AC24" s="56">
        <v>58.25</v>
      </c>
      <c r="AD24" s="1"/>
      <c r="AE24" s="1"/>
      <c r="AF24" s="2">
        <v>0</v>
      </c>
      <c r="AG24" s="55">
        <v>100</v>
      </c>
      <c r="AH24" s="1">
        <v>41</v>
      </c>
      <c r="AI24" s="1">
        <v>83</v>
      </c>
      <c r="AJ24" s="1">
        <v>82</v>
      </c>
      <c r="AK24" s="1">
        <v>82</v>
      </c>
      <c r="AL24" s="1"/>
      <c r="AM24" s="1"/>
      <c r="AN24" s="55">
        <v>72</v>
      </c>
      <c r="AO24" s="1"/>
      <c r="AP24" s="56">
        <v>72</v>
      </c>
      <c r="AQ24" s="1"/>
      <c r="AR24" s="1">
        <v>27.78</v>
      </c>
      <c r="AS24" s="2">
        <v>0</v>
      </c>
      <c r="AT24" s="55">
        <v>100</v>
      </c>
      <c r="AU24" s="55">
        <v>65.125</v>
      </c>
      <c r="AV24" s="55" t="s">
        <v>230</v>
      </c>
      <c r="AW24" s="56">
        <v>65.125</v>
      </c>
      <c r="AX24" s="57">
        <v>4</v>
      </c>
      <c r="AY24" s="55">
        <v>27.78</v>
      </c>
      <c r="AZ24" s="1"/>
      <c r="BA24" s="58">
        <v>0</v>
      </c>
      <c r="BB24" s="59">
        <v>100</v>
      </c>
      <c r="BC24" s="4"/>
      <c r="BD24" s="39"/>
      <c r="BE24" s="39"/>
      <c r="BF24" s="1"/>
      <c r="BG24" s="1"/>
      <c r="BH24" s="1"/>
      <c r="BI24" s="1"/>
      <c r="BJ24" s="1"/>
      <c r="BK24" s="1"/>
      <c r="BL24" s="1"/>
      <c r="BM24" s="55"/>
      <c r="BN24" s="1"/>
      <c r="BO24" s="56"/>
      <c r="BP24" s="1"/>
      <c r="BQ24" s="1"/>
      <c r="BR24" s="2"/>
      <c r="BS24" s="55"/>
      <c r="BT24" s="1"/>
      <c r="BU24" s="1"/>
      <c r="BV24" s="1"/>
      <c r="BW24" s="1"/>
      <c r="BX24" s="1"/>
      <c r="BY24" s="1"/>
      <c r="BZ24" s="55"/>
      <c r="CA24" s="1"/>
      <c r="CB24" s="56"/>
      <c r="CC24" s="1"/>
      <c r="CD24" s="1"/>
      <c r="CE24" s="2"/>
      <c r="CF24" s="55"/>
      <c r="CG24" s="55"/>
      <c r="CH24" s="55"/>
      <c r="CI24" s="56"/>
      <c r="CJ24" s="57"/>
      <c r="CK24" s="55"/>
      <c r="CL24" s="1"/>
      <c r="CM24" s="58"/>
      <c r="CN24" s="59"/>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v>1269215</v>
      </c>
      <c r="EB24" s="39">
        <v>106</v>
      </c>
      <c r="EC24" s="39">
        <v>33</v>
      </c>
      <c r="ED24" s="1">
        <v>74</v>
      </c>
      <c r="EE24" s="1">
        <v>50</v>
      </c>
      <c r="EF24" s="1">
        <v>47</v>
      </c>
      <c r="EG24" s="1">
        <v>83</v>
      </c>
      <c r="EH24" s="1"/>
      <c r="EI24" s="1"/>
      <c r="EJ24" s="1"/>
      <c r="EK24" s="55">
        <v>60</v>
      </c>
      <c r="EL24" s="1"/>
      <c r="EM24" s="56">
        <v>60</v>
      </c>
      <c r="EN24" s="1"/>
      <c r="EO24" s="1"/>
      <c r="EP24" s="2">
        <v>0</v>
      </c>
      <c r="EQ24" s="55">
        <v>100</v>
      </c>
      <c r="ER24" s="1">
        <v>50</v>
      </c>
      <c r="ES24" s="1">
        <v>55</v>
      </c>
      <c r="ET24" s="1">
        <v>87</v>
      </c>
      <c r="EU24" s="1"/>
      <c r="EV24" s="1"/>
      <c r="EW24" s="1"/>
      <c r="EX24" s="55">
        <v>64</v>
      </c>
      <c r="EY24" s="1"/>
      <c r="EZ24" s="56">
        <v>64</v>
      </c>
      <c r="FA24" s="1"/>
      <c r="FB24" s="1">
        <v>79.17</v>
      </c>
      <c r="FC24" s="2">
        <v>0</v>
      </c>
      <c r="FD24" s="55">
        <v>100</v>
      </c>
      <c r="FE24" s="55">
        <v>62</v>
      </c>
      <c r="FF24" s="55" t="s">
        <v>230</v>
      </c>
      <c r="FG24" s="56">
        <v>62</v>
      </c>
      <c r="FH24" s="57">
        <v>4</v>
      </c>
      <c r="FI24" s="55">
        <v>79.17</v>
      </c>
      <c r="FJ24" s="1"/>
      <c r="FK24" s="58">
        <v>0</v>
      </c>
      <c r="FL24" s="59">
        <v>100</v>
      </c>
      <c r="FM24" s="4">
        <v>1369149</v>
      </c>
      <c r="FN24" s="39">
        <v>110</v>
      </c>
      <c r="FO24" s="39">
        <v>168</v>
      </c>
      <c r="FP24" s="1">
        <v>38</v>
      </c>
      <c r="FQ24" s="1">
        <v>33</v>
      </c>
      <c r="FR24" s="1">
        <v>50</v>
      </c>
      <c r="FS24" s="1">
        <v>23</v>
      </c>
      <c r="FT24" s="1">
        <v>36</v>
      </c>
      <c r="FU24" s="1"/>
      <c r="FV24" s="1"/>
      <c r="FW24" s="55">
        <v>35.5</v>
      </c>
      <c r="FX24" s="1"/>
      <c r="FY24" s="56">
        <v>35.5</v>
      </c>
      <c r="FZ24" s="1"/>
      <c r="GA24" s="1"/>
      <c r="GB24" s="2">
        <v>0</v>
      </c>
      <c r="GC24" s="55">
        <v>100</v>
      </c>
      <c r="GD24" s="1">
        <v>25</v>
      </c>
      <c r="GE24" s="1">
        <v>46</v>
      </c>
      <c r="GF24" s="1">
        <v>57</v>
      </c>
      <c r="GG24" s="1">
        <v>70</v>
      </c>
      <c r="GH24" s="1"/>
      <c r="GI24" s="1"/>
      <c r="GJ24" s="55">
        <v>49.5</v>
      </c>
      <c r="GK24" s="1"/>
      <c r="GL24" s="56">
        <v>49.5</v>
      </c>
      <c r="GM24" s="1"/>
      <c r="GN24" s="1">
        <v>38.89</v>
      </c>
      <c r="GO24" s="2">
        <v>0</v>
      </c>
      <c r="GP24" s="55">
        <v>100</v>
      </c>
      <c r="GQ24" s="55">
        <v>42.5</v>
      </c>
      <c r="GR24" s="55" t="s">
        <v>230</v>
      </c>
      <c r="GS24" s="56">
        <v>42.5</v>
      </c>
      <c r="GT24" s="57">
        <v>3</v>
      </c>
      <c r="GU24" s="55">
        <v>38.89</v>
      </c>
      <c r="GV24" s="1"/>
      <c r="GW24" s="58">
        <v>0</v>
      </c>
      <c r="GX24" s="59">
        <v>100</v>
      </c>
      <c r="GY24" s="4">
        <v>1791291</v>
      </c>
      <c r="GZ24" s="39">
        <v>114</v>
      </c>
      <c r="HA24" s="39">
        <v>33</v>
      </c>
      <c r="HB24" s="1">
        <v>71</v>
      </c>
      <c r="HC24" s="1">
        <v>80</v>
      </c>
      <c r="HD24" s="1">
        <v>70</v>
      </c>
      <c r="HE24" s="1">
        <v>65</v>
      </c>
      <c r="HF24" s="1"/>
      <c r="HG24" s="1"/>
      <c r="HH24" s="1"/>
      <c r="HI24" s="55">
        <v>71.666666666666671</v>
      </c>
      <c r="HJ24" s="1"/>
      <c r="HK24" s="56">
        <v>71.666666666666671</v>
      </c>
      <c r="HL24" s="1"/>
      <c r="HM24" s="1"/>
      <c r="HN24" s="2">
        <v>0</v>
      </c>
      <c r="HO24" s="55">
        <v>100</v>
      </c>
      <c r="HP24" s="1">
        <v>85</v>
      </c>
      <c r="HQ24" s="1">
        <v>80</v>
      </c>
      <c r="HR24" s="1">
        <v>75</v>
      </c>
      <c r="HS24" s="1"/>
      <c r="HT24" s="1"/>
      <c r="HU24" s="1"/>
      <c r="HV24" s="55">
        <v>80</v>
      </c>
      <c r="HW24" s="1"/>
      <c r="HX24" s="56">
        <v>80</v>
      </c>
      <c r="HY24" s="1"/>
      <c r="HZ24" s="1"/>
      <c r="IA24" s="2">
        <v>0</v>
      </c>
      <c r="IB24" s="55">
        <v>100</v>
      </c>
      <c r="IC24" s="55">
        <v>75.833333333333343</v>
      </c>
      <c r="ID24" s="55" t="s">
        <v>230</v>
      </c>
      <c r="IE24" s="56">
        <v>75.833333333333343</v>
      </c>
      <c r="IF24" s="57">
        <v>4</v>
      </c>
      <c r="IG24" s="55" t="s">
        <v>230</v>
      </c>
      <c r="IH24" s="1"/>
      <c r="II24" s="58">
        <v>0</v>
      </c>
      <c r="IJ24" s="59">
        <v>100</v>
      </c>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c r="JX24" s="39"/>
      <c r="JY24" s="39"/>
      <c r="JZ24" s="1"/>
      <c r="KA24" s="1"/>
      <c r="KB24" s="1"/>
      <c r="KC24" s="1"/>
      <c r="KD24" s="1"/>
      <c r="KE24" s="1"/>
      <c r="KF24" s="1"/>
      <c r="KG24" s="55"/>
      <c r="KH24" s="1"/>
      <c r="KI24" s="56"/>
      <c r="KJ24" s="1"/>
      <c r="KK24" s="1"/>
      <c r="KL24" s="2"/>
      <c r="KM24" s="55"/>
      <c r="KN24" s="1"/>
      <c r="KO24" s="1"/>
      <c r="KP24" s="1"/>
      <c r="KQ24" s="1"/>
      <c r="KR24" s="1"/>
      <c r="KS24" s="1"/>
      <c r="KT24" s="55"/>
      <c r="KU24" s="1"/>
      <c r="KV24" s="56"/>
      <c r="KW24" s="1"/>
      <c r="KX24" s="1"/>
      <c r="KY24" s="2"/>
      <c r="KZ24" s="55"/>
      <c r="LA24" s="55"/>
      <c r="LB24" s="55"/>
      <c r="LC24" s="56"/>
      <c r="LD24" s="57"/>
      <c r="LE24" s="55"/>
      <c r="LF24" s="1"/>
      <c r="LG24" s="58"/>
      <c r="LH24" s="59"/>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v>1369149</v>
      </c>
      <c r="PT24" s="39">
        <v>128</v>
      </c>
      <c r="PU24" s="39">
        <v>68</v>
      </c>
      <c r="PV24" s="1">
        <v>68</v>
      </c>
      <c r="PW24" s="1">
        <v>50</v>
      </c>
      <c r="PX24" s="1">
        <v>50</v>
      </c>
      <c r="PY24" s="1">
        <v>57</v>
      </c>
      <c r="PZ24" s="1"/>
      <c r="QA24" s="1"/>
      <c r="QB24" s="1"/>
      <c r="QC24" s="55">
        <v>52.333333333333336</v>
      </c>
      <c r="QD24" s="1"/>
      <c r="QE24" s="56">
        <v>52.333333333333336</v>
      </c>
      <c r="QF24" s="1"/>
      <c r="QG24" s="1"/>
      <c r="QH24" s="2">
        <v>0</v>
      </c>
      <c r="QI24" s="55">
        <v>100</v>
      </c>
      <c r="QJ24" s="1">
        <v>70</v>
      </c>
      <c r="QK24" s="1">
        <v>41</v>
      </c>
      <c r="QL24" s="1">
        <v>70</v>
      </c>
      <c r="QM24" s="1">
        <v>70</v>
      </c>
      <c r="QN24" s="1"/>
      <c r="QO24" s="1"/>
      <c r="QP24" s="55">
        <v>62.75</v>
      </c>
      <c r="QQ24" s="1"/>
      <c r="QR24" s="56">
        <v>62.75</v>
      </c>
      <c r="QS24" s="1"/>
      <c r="QT24" s="1"/>
      <c r="QU24" s="2">
        <v>0</v>
      </c>
      <c r="QV24" s="55">
        <v>100</v>
      </c>
      <c r="QW24" s="55">
        <v>57.541666666666671</v>
      </c>
      <c r="QX24" s="55" t="s">
        <v>230</v>
      </c>
      <c r="QY24" s="56">
        <v>57.541666666666671</v>
      </c>
      <c r="QZ24" s="57">
        <v>3</v>
      </c>
      <c r="RA24" s="55" t="s">
        <v>230</v>
      </c>
      <c r="RB24" s="1"/>
      <c r="RC24" s="58">
        <v>0</v>
      </c>
      <c r="RD24" s="59">
        <v>100</v>
      </c>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1369149</v>
      </c>
      <c r="UD24" s="39">
        <v>131</v>
      </c>
      <c r="UE24" s="39">
        <v>66</v>
      </c>
      <c r="UF24" s="1">
        <v>75</v>
      </c>
      <c r="UG24" s="1">
        <v>90</v>
      </c>
      <c r="UH24" s="1">
        <v>85</v>
      </c>
      <c r="UI24" s="1">
        <v>85</v>
      </c>
      <c r="UJ24" s="1"/>
      <c r="UK24" s="1"/>
      <c r="UL24" s="1"/>
      <c r="UM24" s="55">
        <v>86.666666666666671</v>
      </c>
      <c r="UN24" s="1"/>
      <c r="UO24" s="56">
        <v>86.666666666666671</v>
      </c>
      <c r="UP24" s="1"/>
      <c r="UQ24" s="1"/>
      <c r="UR24" s="2">
        <v>0</v>
      </c>
      <c r="US24" s="55">
        <v>100</v>
      </c>
      <c r="UT24" s="1">
        <v>90</v>
      </c>
      <c r="UU24" s="1">
        <v>90</v>
      </c>
      <c r="UV24" s="1">
        <v>90</v>
      </c>
      <c r="UW24" s="1"/>
      <c r="UX24" s="1"/>
      <c r="UY24" s="1"/>
      <c r="UZ24" s="55">
        <v>90</v>
      </c>
      <c r="VA24" s="1"/>
      <c r="VB24" s="56">
        <v>90</v>
      </c>
      <c r="VC24" s="1"/>
      <c r="VD24" s="1"/>
      <c r="VE24" s="2">
        <v>0</v>
      </c>
      <c r="VF24" s="55">
        <v>100</v>
      </c>
      <c r="VG24" s="55">
        <v>88.333333333333343</v>
      </c>
      <c r="VH24" s="55" t="s">
        <v>230</v>
      </c>
      <c r="VI24" s="56">
        <v>88.333333333333343</v>
      </c>
      <c r="VJ24" s="57">
        <v>5</v>
      </c>
      <c r="VK24" s="55" t="s">
        <v>230</v>
      </c>
      <c r="VL24" s="1"/>
      <c r="VM24" s="58">
        <v>0</v>
      </c>
      <c r="VN24" s="59">
        <v>100</v>
      </c>
      <c r="VO24" s="4">
        <v>1369149</v>
      </c>
      <c r="VP24" s="39">
        <v>132</v>
      </c>
      <c r="VQ24" s="39">
        <v>37</v>
      </c>
      <c r="VR24" s="1">
        <v>86</v>
      </c>
      <c r="VS24" s="1">
        <v>80</v>
      </c>
      <c r="VT24" s="1">
        <v>85</v>
      </c>
      <c r="VU24" s="1">
        <v>85</v>
      </c>
      <c r="VV24" s="1"/>
      <c r="VW24" s="1"/>
      <c r="VX24" s="1"/>
      <c r="VY24" s="55">
        <v>83.333333333333329</v>
      </c>
      <c r="VZ24" s="1"/>
      <c r="WA24" s="56">
        <v>83.333333333333329</v>
      </c>
      <c r="WB24" s="1"/>
      <c r="WC24" s="1"/>
      <c r="WD24" s="2">
        <v>0</v>
      </c>
      <c r="WE24" s="55">
        <v>100</v>
      </c>
      <c r="WF24" s="1">
        <v>90</v>
      </c>
      <c r="WG24" s="1">
        <v>90</v>
      </c>
      <c r="WH24" s="1">
        <v>90</v>
      </c>
      <c r="WI24" s="1"/>
      <c r="WJ24" s="1"/>
      <c r="WK24" s="1"/>
      <c r="WL24" s="55">
        <v>90</v>
      </c>
      <c r="WM24" s="1"/>
      <c r="WN24" s="56">
        <v>90</v>
      </c>
      <c r="WO24" s="1"/>
      <c r="WP24" s="1"/>
      <c r="WQ24" s="2">
        <v>0</v>
      </c>
      <c r="WR24" s="55">
        <v>100</v>
      </c>
      <c r="WS24" s="55">
        <v>86.666666666666657</v>
      </c>
      <c r="WT24" s="55" t="s">
        <v>230</v>
      </c>
      <c r="WU24" s="56">
        <v>86.666666666666657</v>
      </c>
      <c r="WV24" s="57">
        <v>5</v>
      </c>
      <c r="WW24" s="55" t="s">
        <v>230</v>
      </c>
      <c r="WX24" s="1"/>
      <c r="WY24" s="58">
        <v>0</v>
      </c>
      <c r="WZ24" s="59">
        <v>100</v>
      </c>
      <c r="XA24" s="4">
        <v>1787467</v>
      </c>
      <c r="XB24" s="39">
        <v>133</v>
      </c>
      <c r="XC24" s="39">
        <v>34</v>
      </c>
      <c r="XD24" s="1">
        <v>83</v>
      </c>
      <c r="XE24" s="1">
        <v>90</v>
      </c>
      <c r="XF24" s="1">
        <v>85</v>
      </c>
      <c r="XG24" s="1">
        <v>95</v>
      </c>
      <c r="XH24" s="1"/>
      <c r="XI24" s="1"/>
      <c r="XJ24" s="1"/>
      <c r="XK24" s="55">
        <v>90</v>
      </c>
      <c r="XL24" s="1"/>
      <c r="XM24" s="56">
        <v>90</v>
      </c>
      <c r="XN24" s="1"/>
      <c r="XO24" s="1"/>
      <c r="XP24" s="2">
        <v>0</v>
      </c>
      <c r="XQ24" s="55">
        <v>100</v>
      </c>
      <c r="XR24" s="1">
        <v>90</v>
      </c>
      <c r="XS24" s="1">
        <v>85</v>
      </c>
      <c r="XT24" s="1">
        <v>90</v>
      </c>
      <c r="XU24" s="1"/>
      <c r="XV24" s="1"/>
      <c r="XW24" s="1"/>
      <c r="XX24" s="55">
        <v>88.333333333333329</v>
      </c>
      <c r="XY24" s="1"/>
      <c r="XZ24" s="56">
        <v>88.333333333333329</v>
      </c>
      <c r="YA24" s="1"/>
      <c r="YB24" s="1"/>
      <c r="YC24" s="2">
        <v>0</v>
      </c>
      <c r="YD24" s="55">
        <v>100</v>
      </c>
      <c r="YE24" s="55">
        <v>89.166666666666657</v>
      </c>
      <c r="YF24" s="55" t="s">
        <v>230</v>
      </c>
      <c r="YG24" s="56">
        <v>89.166666666666657</v>
      </c>
      <c r="YH24" s="57">
        <v>5</v>
      </c>
      <c r="YI24" s="55" t="s">
        <v>230</v>
      </c>
      <c r="YJ24" s="1"/>
      <c r="YK24" s="58">
        <v>0</v>
      </c>
      <c r="YL24" s="59">
        <v>100</v>
      </c>
      <c r="YM24" s="4">
        <v>1369149</v>
      </c>
      <c r="YN24" s="39">
        <v>135</v>
      </c>
      <c r="YO24" s="39">
        <v>66</v>
      </c>
      <c r="YP24" s="1">
        <v>79</v>
      </c>
      <c r="YQ24" s="1">
        <v>90</v>
      </c>
      <c r="YR24" s="1">
        <v>85</v>
      </c>
      <c r="YS24" s="1">
        <v>85</v>
      </c>
      <c r="YT24" s="1"/>
      <c r="YU24" s="1"/>
      <c r="YV24" s="1"/>
      <c r="YW24" s="55">
        <v>86.666666666666671</v>
      </c>
      <c r="YX24" s="1"/>
      <c r="YY24" s="56">
        <v>86.666666666666671</v>
      </c>
      <c r="YZ24" s="1"/>
      <c r="ZA24" s="1"/>
      <c r="ZB24" s="2">
        <v>0</v>
      </c>
      <c r="ZC24" s="55">
        <v>100</v>
      </c>
      <c r="ZD24" s="1">
        <v>90</v>
      </c>
      <c r="ZE24" s="1">
        <v>90</v>
      </c>
      <c r="ZF24" s="1">
        <v>90</v>
      </c>
      <c r="ZG24" s="1"/>
      <c r="ZH24" s="1"/>
      <c r="ZI24" s="1"/>
      <c r="ZJ24" s="55">
        <v>90</v>
      </c>
      <c r="ZK24" s="1"/>
      <c r="ZL24" s="56">
        <v>90</v>
      </c>
      <c r="ZM24" s="1"/>
      <c r="ZN24" s="1"/>
      <c r="ZO24" s="2">
        <v>0</v>
      </c>
      <c r="ZP24" s="55">
        <v>100</v>
      </c>
      <c r="ZQ24" s="55">
        <v>88.333333333333343</v>
      </c>
      <c r="ZR24" s="55" t="s">
        <v>230</v>
      </c>
      <c r="ZS24" s="56">
        <v>88.333333333333343</v>
      </c>
      <c r="ZT24" s="57">
        <v>5</v>
      </c>
      <c r="ZU24" s="55" t="s">
        <v>230</v>
      </c>
      <c r="ZV24" s="1"/>
      <c r="ZW24" s="58">
        <v>0</v>
      </c>
      <c r="ZX24" s="59">
        <v>100</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c r="ACX24" s="39"/>
      <c r="ACY24" s="39"/>
      <c r="ACZ24" s="1"/>
      <c r="ADA24" s="1"/>
      <c r="ADB24" s="1"/>
      <c r="ADC24" s="1"/>
      <c r="ADD24" s="1"/>
      <c r="ADE24" s="1"/>
      <c r="ADF24" s="1"/>
      <c r="ADG24" s="55"/>
      <c r="ADH24" s="1"/>
      <c r="ADI24" s="56"/>
      <c r="ADJ24" s="1"/>
      <c r="ADK24" s="1"/>
      <c r="ADL24" s="2"/>
      <c r="ADM24" s="55"/>
      <c r="ADN24" s="1"/>
      <c r="ADO24" s="1"/>
      <c r="ADP24" s="1"/>
      <c r="ADQ24" s="1"/>
      <c r="ADR24" s="1"/>
      <c r="ADS24" s="1"/>
      <c r="ADT24" s="55"/>
      <c r="ADU24" s="1"/>
      <c r="ADV24" s="56"/>
      <c r="ADW24" s="1"/>
      <c r="ADX24" s="1"/>
      <c r="ADY24" s="2"/>
      <c r="ADZ24" s="55"/>
      <c r="AEA24" s="55"/>
      <c r="AEB24" s="55"/>
      <c r="AEC24" s="56"/>
      <c r="AED24" s="57"/>
      <c r="AEE24" s="55"/>
      <c r="AEF24" s="1"/>
      <c r="AEG24" s="58"/>
      <c r="AEH24" s="59"/>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3684700</v>
      </c>
      <c r="F25" s="89">
        <f t="shared" si="401"/>
        <v>3</v>
      </c>
      <c r="G25" s="89" t="str">
        <f t="shared" si="402"/>
        <v>B</v>
      </c>
      <c r="H25" s="37" t="s">
        <v>188</v>
      </c>
      <c r="I25" s="37" t="s">
        <v>189</v>
      </c>
      <c r="J25" s="41" t="s">
        <v>190</v>
      </c>
      <c r="K25" s="90" t="str">
        <f t="shared" si="403"/>
        <v>A</v>
      </c>
      <c r="L25" s="41" t="s">
        <v>117</v>
      </c>
      <c r="M25" s="93">
        <v>41466</v>
      </c>
      <c r="N25" s="41"/>
      <c r="O25" s="43" t="s">
        <v>226</v>
      </c>
      <c r="P25" s="91" t="str">
        <f t="shared" si="404"/>
        <v>Əliyeva Sevinc Kamal</v>
      </c>
      <c r="Q25" s="4">
        <v>1369149</v>
      </c>
      <c r="R25" s="39">
        <v>101</v>
      </c>
      <c r="S25" s="39">
        <v>303</v>
      </c>
      <c r="T25" s="1">
        <v>79</v>
      </c>
      <c r="U25" s="1">
        <v>63</v>
      </c>
      <c r="V25" s="1">
        <v>66</v>
      </c>
      <c r="W25" s="1">
        <v>65</v>
      </c>
      <c r="X25" s="1">
        <v>85</v>
      </c>
      <c r="Y25" s="1"/>
      <c r="Z25" s="1"/>
      <c r="AA25" s="55">
        <v>69.75</v>
      </c>
      <c r="AB25" s="1"/>
      <c r="AC25" s="56">
        <v>69.75</v>
      </c>
      <c r="AD25" s="1"/>
      <c r="AE25" s="1"/>
      <c r="AF25" s="2">
        <v>0</v>
      </c>
      <c r="AG25" s="55">
        <v>100</v>
      </c>
      <c r="AH25" s="1">
        <v>50</v>
      </c>
      <c r="AI25" s="1">
        <v>76</v>
      </c>
      <c r="AJ25" s="1">
        <v>95</v>
      </c>
      <c r="AK25" s="1">
        <v>90</v>
      </c>
      <c r="AL25" s="1"/>
      <c r="AM25" s="1"/>
      <c r="AN25" s="55">
        <v>77.75</v>
      </c>
      <c r="AO25" s="1"/>
      <c r="AP25" s="56">
        <v>77.75</v>
      </c>
      <c r="AQ25" s="1"/>
      <c r="AR25" s="1">
        <v>33.33</v>
      </c>
      <c r="AS25" s="2">
        <v>0</v>
      </c>
      <c r="AT25" s="55">
        <v>100</v>
      </c>
      <c r="AU25" s="55">
        <v>73.75</v>
      </c>
      <c r="AV25" s="55" t="s">
        <v>230</v>
      </c>
      <c r="AW25" s="56">
        <v>73.75</v>
      </c>
      <c r="AX25" s="57">
        <v>4</v>
      </c>
      <c r="AY25" s="55">
        <v>33.33</v>
      </c>
      <c r="AZ25" s="1"/>
      <c r="BA25" s="58">
        <v>0</v>
      </c>
      <c r="BB25" s="59">
        <v>100</v>
      </c>
      <c r="BC25" s="4"/>
      <c r="BD25" s="39"/>
      <c r="BE25" s="39"/>
      <c r="BF25" s="1"/>
      <c r="BG25" s="1"/>
      <c r="BH25" s="1"/>
      <c r="BI25" s="1"/>
      <c r="BJ25" s="1"/>
      <c r="BK25" s="1"/>
      <c r="BL25" s="1"/>
      <c r="BM25" s="55"/>
      <c r="BN25" s="1"/>
      <c r="BO25" s="56"/>
      <c r="BP25" s="1"/>
      <c r="BQ25" s="1"/>
      <c r="BR25" s="2"/>
      <c r="BS25" s="55"/>
      <c r="BT25" s="1"/>
      <c r="BU25" s="1"/>
      <c r="BV25" s="1"/>
      <c r="BW25" s="1"/>
      <c r="BX25" s="1"/>
      <c r="BY25" s="1"/>
      <c r="BZ25" s="55"/>
      <c r="CA25" s="1"/>
      <c r="CB25" s="56"/>
      <c r="CC25" s="1"/>
      <c r="CD25" s="1"/>
      <c r="CE25" s="2"/>
      <c r="CF25" s="55"/>
      <c r="CG25" s="55"/>
      <c r="CH25" s="55"/>
      <c r="CI25" s="56"/>
      <c r="CJ25" s="57"/>
      <c r="CK25" s="55"/>
      <c r="CL25" s="1"/>
      <c r="CM25" s="58"/>
      <c r="CN25" s="59"/>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v>1269215</v>
      </c>
      <c r="EB25" s="39">
        <v>106</v>
      </c>
      <c r="EC25" s="39">
        <v>33</v>
      </c>
      <c r="ED25" s="1">
        <v>67</v>
      </c>
      <c r="EE25" s="1">
        <v>37</v>
      </c>
      <c r="EF25" s="1">
        <v>48</v>
      </c>
      <c r="EG25" s="1">
        <v>48</v>
      </c>
      <c r="EH25" s="1"/>
      <c r="EI25" s="1"/>
      <c r="EJ25" s="1"/>
      <c r="EK25" s="55">
        <v>44.333333333333336</v>
      </c>
      <c r="EL25" s="1"/>
      <c r="EM25" s="56">
        <v>44.333333333333336</v>
      </c>
      <c r="EN25" s="1"/>
      <c r="EO25" s="1"/>
      <c r="EP25" s="2">
        <v>0</v>
      </c>
      <c r="EQ25" s="55">
        <v>100</v>
      </c>
      <c r="ER25" s="1">
        <v>40</v>
      </c>
      <c r="ES25" s="1">
        <v>50</v>
      </c>
      <c r="ET25" s="1">
        <v>65</v>
      </c>
      <c r="EU25" s="1"/>
      <c r="EV25" s="1"/>
      <c r="EW25" s="1"/>
      <c r="EX25" s="55">
        <v>51.666666666666664</v>
      </c>
      <c r="EY25" s="1"/>
      <c r="EZ25" s="56">
        <v>51.666666666666664</v>
      </c>
      <c r="FA25" s="1"/>
      <c r="FB25" s="1">
        <v>83.33</v>
      </c>
      <c r="FC25" s="2">
        <v>0</v>
      </c>
      <c r="FD25" s="55">
        <v>100</v>
      </c>
      <c r="FE25" s="55">
        <v>48</v>
      </c>
      <c r="FF25" s="55" t="s">
        <v>230</v>
      </c>
      <c r="FG25" s="56">
        <v>48</v>
      </c>
      <c r="FH25" s="57">
        <v>3</v>
      </c>
      <c r="FI25" s="55">
        <v>83.33</v>
      </c>
      <c r="FJ25" s="1"/>
      <c r="FK25" s="58">
        <v>0</v>
      </c>
      <c r="FL25" s="59">
        <v>100</v>
      </c>
      <c r="FM25" s="4">
        <v>1369149</v>
      </c>
      <c r="FN25" s="39">
        <v>110</v>
      </c>
      <c r="FO25" s="39">
        <v>168</v>
      </c>
      <c r="FP25" s="1">
        <v>72</v>
      </c>
      <c r="FQ25" s="1">
        <v>61</v>
      </c>
      <c r="FR25" s="1">
        <v>80</v>
      </c>
      <c r="FS25" s="1">
        <v>85</v>
      </c>
      <c r="FT25" s="1">
        <v>65</v>
      </c>
      <c r="FU25" s="1"/>
      <c r="FV25" s="1"/>
      <c r="FW25" s="55">
        <v>72.75</v>
      </c>
      <c r="FX25" s="1"/>
      <c r="FY25" s="56">
        <v>72.75</v>
      </c>
      <c r="FZ25" s="1"/>
      <c r="GA25" s="1"/>
      <c r="GB25" s="2">
        <v>0</v>
      </c>
      <c r="GC25" s="55">
        <v>100</v>
      </c>
      <c r="GD25" s="1">
        <v>48</v>
      </c>
      <c r="GE25" s="1">
        <v>94</v>
      </c>
      <c r="GF25" s="1">
        <v>100</v>
      </c>
      <c r="GG25" s="1">
        <v>90</v>
      </c>
      <c r="GH25" s="1"/>
      <c r="GI25" s="1"/>
      <c r="GJ25" s="55">
        <v>83</v>
      </c>
      <c r="GK25" s="1"/>
      <c r="GL25" s="56">
        <v>83</v>
      </c>
      <c r="GM25" s="1"/>
      <c r="GN25" s="1">
        <v>50</v>
      </c>
      <c r="GO25" s="2">
        <v>0</v>
      </c>
      <c r="GP25" s="55">
        <v>100</v>
      </c>
      <c r="GQ25" s="55">
        <v>77.875</v>
      </c>
      <c r="GR25" s="55" t="s">
        <v>230</v>
      </c>
      <c r="GS25" s="56">
        <v>77.875</v>
      </c>
      <c r="GT25" s="57">
        <v>4</v>
      </c>
      <c r="GU25" s="55">
        <v>50</v>
      </c>
      <c r="GV25" s="1"/>
      <c r="GW25" s="58">
        <v>0</v>
      </c>
      <c r="GX25" s="59">
        <v>100</v>
      </c>
      <c r="GY25" s="4">
        <v>1791291</v>
      </c>
      <c r="GZ25" s="39">
        <v>114</v>
      </c>
      <c r="HA25" s="39">
        <v>33</v>
      </c>
      <c r="HB25" s="1">
        <v>62</v>
      </c>
      <c r="HC25" s="1">
        <v>100</v>
      </c>
      <c r="HD25" s="1">
        <v>95</v>
      </c>
      <c r="HE25" s="1">
        <v>85</v>
      </c>
      <c r="HF25" s="1"/>
      <c r="HG25" s="1"/>
      <c r="HH25" s="1"/>
      <c r="HI25" s="55">
        <v>93.333333333333329</v>
      </c>
      <c r="HJ25" s="1"/>
      <c r="HK25" s="56">
        <v>93.333333333333329</v>
      </c>
      <c r="HL25" s="1"/>
      <c r="HM25" s="1"/>
      <c r="HN25" s="2">
        <v>0</v>
      </c>
      <c r="HO25" s="55">
        <v>100</v>
      </c>
      <c r="HP25" s="1">
        <v>80</v>
      </c>
      <c r="HQ25" s="1">
        <v>85</v>
      </c>
      <c r="HR25" s="1">
        <v>85</v>
      </c>
      <c r="HS25" s="1"/>
      <c r="HT25" s="1"/>
      <c r="HU25" s="1"/>
      <c r="HV25" s="55">
        <v>83.333333333333329</v>
      </c>
      <c r="HW25" s="1"/>
      <c r="HX25" s="56">
        <v>83.333333333333329</v>
      </c>
      <c r="HY25" s="1"/>
      <c r="HZ25" s="1"/>
      <c r="IA25" s="2">
        <v>0</v>
      </c>
      <c r="IB25" s="55">
        <v>100</v>
      </c>
      <c r="IC25" s="55">
        <v>88.333333333333329</v>
      </c>
      <c r="ID25" s="55" t="s">
        <v>230</v>
      </c>
      <c r="IE25" s="56">
        <v>88.333333333333329</v>
      </c>
      <c r="IF25" s="57">
        <v>5</v>
      </c>
      <c r="IG25" s="55" t="s">
        <v>230</v>
      </c>
      <c r="IH25" s="1"/>
      <c r="II25" s="58">
        <v>0</v>
      </c>
      <c r="IJ25" s="59">
        <v>100</v>
      </c>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c r="JX25" s="39"/>
      <c r="JY25" s="39"/>
      <c r="JZ25" s="1"/>
      <c r="KA25" s="1"/>
      <c r="KB25" s="1"/>
      <c r="KC25" s="1"/>
      <c r="KD25" s="1"/>
      <c r="KE25" s="1"/>
      <c r="KF25" s="1"/>
      <c r="KG25" s="55"/>
      <c r="KH25" s="1"/>
      <c r="KI25" s="56"/>
      <c r="KJ25" s="1"/>
      <c r="KK25" s="1"/>
      <c r="KL25" s="2"/>
      <c r="KM25" s="55"/>
      <c r="KN25" s="1"/>
      <c r="KO25" s="1"/>
      <c r="KP25" s="1"/>
      <c r="KQ25" s="1"/>
      <c r="KR25" s="1"/>
      <c r="KS25" s="1"/>
      <c r="KT25" s="55"/>
      <c r="KU25" s="1"/>
      <c r="KV25" s="56"/>
      <c r="KW25" s="1"/>
      <c r="KX25" s="1"/>
      <c r="KY25" s="2"/>
      <c r="KZ25" s="55"/>
      <c r="LA25" s="55"/>
      <c r="LB25" s="55"/>
      <c r="LC25" s="56"/>
      <c r="LD25" s="57"/>
      <c r="LE25" s="55"/>
      <c r="LF25" s="1"/>
      <c r="LG25" s="58"/>
      <c r="LH25" s="59"/>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v>1369149</v>
      </c>
      <c r="PT25" s="39">
        <v>128</v>
      </c>
      <c r="PU25" s="39">
        <v>68</v>
      </c>
      <c r="PV25" s="1">
        <v>79</v>
      </c>
      <c r="PW25" s="1">
        <v>65</v>
      </c>
      <c r="PX25" s="1">
        <v>65</v>
      </c>
      <c r="PY25" s="1">
        <v>64</v>
      </c>
      <c r="PZ25" s="1"/>
      <c r="QA25" s="1"/>
      <c r="QB25" s="1"/>
      <c r="QC25" s="55">
        <v>64.666666666666671</v>
      </c>
      <c r="QD25" s="1"/>
      <c r="QE25" s="56">
        <v>64.666666666666671</v>
      </c>
      <c r="QF25" s="1"/>
      <c r="QG25" s="1"/>
      <c r="QH25" s="2">
        <v>0</v>
      </c>
      <c r="QI25" s="55">
        <v>100</v>
      </c>
      <c r="QJ25" s="1">
        <v>75</v>
      </c>
      <c r="QK25" s="1">
        <v>61</v>
      </c>
      <c r="QL25" s="1">
        <v>70</v>
      </c>
      <c r="QM25" s="1">
        <v>85</v>
      </c>
      <c r="QN25" s="1"/>
      <c r="QO25" s="1"/>
      <c r="QP25" s="55">
        <v>72.75</v>
      </c>
      <c r="QQ25" s="1"/>
      <c r="QR25" s="56">
        <v>72.75</v>
      </c>
      <c r="QS25" s="1"/>
      <c r="QT25" s="1"/>
      <c r="QU25" s="2">
        <v>0</v>
      </c>
      <c r="QV25" s="55">
        <v>100</v>
      </c>
      <c r="QW25" s="55">
        <v>68.708333333333343</v>
      </c>
      <c r="QX25" s="55" t="s">
        <v>230</v>
      </c>
      <c r="QY25" s="56">
        <v>68.708333333333343</v>
      </c>
      <c r="QZ25" s="57">
        <v>4</v>
      </c>
      <c r="RA25" s="55" t="s">
        <v>230</v>
      </c>
      <c r="RB25" s="1"/>
      <c r="RC25" s="58">
        <v>0</v>
      </c>
      <c r="RD25" s="59">
        <v>100</v>
      </c>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1369149</v>
      </c>
      <c r="UD25" s="39">
        <v>131</v>
      </c>
      <c r="UE25" s="39">
        <v>66</v>
      </c>
      <c r="UF25" s="1">
        <v>86</v>
      </c>
      <c r="UG25" s="1">
        <v>90</v>
      </c>
      <c r="UH25" s="1">
        <v>85</v>
      </c>
      <c r="UI25" s="1">
        <v>85</v>
      </c>
      <c r="UJ25" s="1"/>
      <c r="UK25" s="1"/>
      <c r="UL25" s="1"/>
      <c r="UM25" s="55">
        <v>86.666666666666671</v>
      </c>
      <c r="UN25" s="1"/>
      <c r="UO25" s="56">
        <v>86.666666666666671</v>
      </c>
      <c r="UP25" s="1"/>
      <c r="UQ25" s="1"/>
      <c r="UR25" s="2">
        <v>0</v>
      </c>
      <c r="US25" s="55">
        <v>100</v>
      </c>
      <c r="UT25" s="1">
        <v>90</v>
      </c>
      <c r="UU25" s="1">
        <v>90</v>
      </c>
      <c r="UV25" s="1">
        <v>90</v>
      </c>
      <c r="UW25" s="1"/>
      <c r="UX25" s="1"/>
      <c r="UY25" s="1"/>
      <c r="UZ25" s="55">
        <v>90</v>
      </c>
      <c r="VA25" s="1"/>
      <c r="VB25" s="56">
        <v>90</v>
      </c>
      <c r="VC25" s="1"/>
      <c r="VD25" s="1"/>
      <c r="VE25" s="2">
        <v>0</v>
      </c>
      <c r="VF25" s="55">
        <v>100</v>
      </c>
      <c r="VG25" s="55">
        <v>88.333333333333343</v>
      </c>
      <c r="VH25" s="55" t="s">
        <v>230</v>
      </c>
      <c r="VI25" s="56">
        <v>88.333333333333343</v>
      </c>
      <c r="VJ25" s="57">
        <v>5</v>
      </c>
      <c r="VK25" s="55" t="s">
        <v>230</v>
      </c>
      <c r="VL25" s="1"/>
      <c r="VM25" s="58">
        <v>0</v>
      </c>
      <c r="VN25" s="59">
        <v>100</v>
      </c>
      <c r="VO25" s="4">
        <v>1369149</v>
      </c>
      <c r="VP25" s="39">
        <v>132</v>
      </c>
      <c r="VQ25" s="39">
        <v>37</v>
      </c>
      <c r="VR25" s="1">
        <v>91</v>
      </c>
      <c r="VS25" s="1">
        <v>90</v>
      </c>
      <c r="VT25" s="1">
        <v>90</v>
      </c>
      <c r="VU25" s="1">
        <v>85</v>
      </c>
      <c r="VV25" s="1"/>
      <c r="VW25" s="1"/>
      <c r="VX25" s="1"/>
      <c r="VY25" s="55">
        <v>88.333333333333329</v>
      </c>
      <c r="VZ25" s="1"/>
      <c r="WA25" s="56">
        <v>88.333333333333329</v>
      </c>
      <c r="WB25" s="1"/>
      <c r="WC25" s="1"/>
      <c r="WD25" s="2">
        <v>0</v>
      </c>
      <c r="WE25" s="55">
        <v>100</v>
      </c>
      <c r="WF25" s="1">
        <v>85</v>
      </c>
      <c r="WG25" s="1">
        <v>85</v>
      </c>
      <c r="WH25" s="1">
        <v>85</v>
      </c>
      <c r="WI25" s="1"/>
      <c r="WJ25" s="1"/>
      <c r="WK25" s="1"/>
      <c r="WL25" s="55">
        <v>85</v>
      </c>
      <c r="WM25" s="1"/>
      <c r="WN25" s="56">
        <v>85</v>
      </c>
      <c r="WO25" s="1"/>
      <c r="WP25" s="1"/>
      <c r="WQ25" s="2">
        <v>0</v>
      </c>
      <c r="WR25" s="55">
        <v>100</v>
      </c>
      <c r="WS25" s="55">
        <v>86.666666666666657</v>
      </c>
      <c r="WT25" s="55" t="s">
        <v>230</v>
      </c>
      <c r="WU25" s="56">
        <v>86.666666666666657</v>
      </c>
      <c r="WV25" s="57">
        <v>5</v>
      </c>
      <c r="WW25" s="55" t="s">
        <v>230</v>
      </c>
      <c r="WX25" s="1"/>
      <c r="WY25" s="58">
        <v>0</v>
      </c>
      <c r="WZ25" s="59">
        <v>100</v>
      </c>
      <c r="XA25" s="4">
        <v>1787467</v>
      </c>
      <c r="XB25" s="39">
        <v>133</v>
      </c>
      <c r="XC25" s="39">
        <v>34</v>
      </c>
      <c r="XD25" s="1">
        <v>91</v>
      </c>
      <c r="XE25" s="1">
        <v>95</v>
      </c>
      <c r="XF25" s="1">
        <v>90</v>
      </c>
      <c r="XG25" s="1">
        <v>95</v>
      </c>
      <c r="XH25" s="1"/>
      <c r="XI25" s="1"/>
      <c r="XJ25" s="1"/>
      <c r="XK25" s="55">
        <v>93.333333333333329</v>
      </c>
      <c r="XL25" s="1"/>
      <c r="XM25" s="56">
        <v>93.333333333333329</v>
      </c>
      <c r="XN25" s="1"/>
      <c r="XO25" s="1"/>
      <c r="XP25" s="2">
        <v>0</v>
      </c>
      <c r="XQ25" s="55">
        <v>100</v>
      </c>
      <c r="XR25" s="1">
        <v>85</v>
      </c>
      <c r="XS25" s="1">
        <v>90</v>
      </c>
      <c r="XT25" s="1">
        <v>95</v>
      </c>
      <c r="XU25" s="1"/>
      <c r="XV25" s="1"/>
      <c r="XW25" s="1"/>
      <c r="XX25" s="55">
        <v>90</v>
      </c>
      <c r="XY25" s="1"/>
      <c r="XZ25" s="56">
        <v>90</v>
      </c>
      <c r="YA25" s="1"/>
      <c r="YB25" s="1"/>
      <c r="YC25" s="2">
        <v>0</v>
      </c>
      <c r="YD25" s="55">
        <v>100</v>
      </c>
      <c r="YE25" s="55">
        <v>91.666666666666657</v>
      </c>
      <c r="YF25" s="55" t="s">
        <v>230</v>
      </c>
      <c r="YG25" s="56">
        <v>91.666666666666657</v>
      </c>
      <c r="YH25" s="57">
        <v>5</v>
      </c>
      <c r="YI25" s="55" t="s">
        <v>230</v>
      </c>
      <c r="YJ25" s="1"/>
      <c r="YK25" s="58">
        <v>0</v>
      </c>
      <c r="YL25" s="59">
        <v>100</v>
      </c>
      <c r="YM25" s="4">
        <v>1369149</v>
      </c>
      <c r="YN25" s="39">
        <v>135</v>
      </c>
      <c r="YO25" s="39">
        <v>66</v>
      </c>
      <c r="YP25" s="1">
        <v>86</v>
      </c>
      <c r="YQ25" s="1">
        <v>90</v>
      </c>
      <c r="YR25" s="1">
        <v>85</v>
      </c>
      <c r="YS25" s="1">
        <v>85</v>
      </c>
      <c r="YT25" s="1"/>
      <c r="YU25" s="1"/>
      <c r="YV25" s="1"/>
      <c r="YW25" s="55">
        <v>86.666666666666671</v>
      </c>
      <c r="YX25" s="1"/>
      <c r="YY25" s="56">
        <v>86.666666666666671</v>
      </c>
      <c r="YZ25" s="1"/>
      <c r="ZA25" s="1"/>
      <c r="ZB25" s="2">
        <v>0</v>
      </c>
      <c r="ZC25" s="55">
        <v>100</v>
      </c>
      <c r="ZD25" s="1">
        <v>85</v>
      </c>
      <c r="ZE25" s="1">
        <v>85</v>
      </c>
      <c r="ZF25" s="1">
        <v>90</v>
      </c>
      <c r="ZG25" s="1"/>
      <c r="ZH25" s="1"/>
      <c r="ZI25" s="1"/>
      <c r="ZJ25" s="55">
        <v>86.666666666666671</v>
      </c>
      <c r="ZK25" s="1"/>
      <c r="ZL25" s="56">
        <v>86.666666666666671</v>
      </c>
      <c r="ZM25" s="1"/>
      <c r="ZN25" s="1"/>
      <c r="ZO25" s="2">
        <v>0</v>
      </c>
      <c r="ZP25" s="55">
        <v>100</v>
      </c>
      <c r="ZQ25" s="55">
        <v>86.666666666666671</v>
      </c>
      <c r="ZR25" s="55" t="s">
        <v>230</v>
      </c>
      <c r="ZS25" s="56">
        <v>86.666666666666671</v>
      </c>
      <c r="ZT25" s="57">
        <v>5</v>
      </c>
      <c r="ZU25" s="55" t="s">
        <v>230</v>
      </c>
      <c r="ZV25" s="1"/>
      <c r="ZW25" s="58">
        <v>0</v>
      </c>
      <c r="ZX25" s="59">
        <v>100</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c r="ACX25" s="39"/>
      <c r="ACY25" s="39"/>
      <c r="ACZ25" s="1"/>
      <c r="ADA25" s="1"/>
      <c r="ADB25" s="1"/>
      <c r="ADC25" s="1"/>
      <c r="ADD25" s="1"/>
      <c r="ADE25" s="1"/>
      <c r="ADF25" s="1"/>
      <c r="ADG25" s="55"/>
      <c r="ADH25" s="1"/>
      <c r="ADI25" s="56"/>
      <c r="ADJ25" s="1"/>
      <c r="ADK25" s="1"/>
      <c r="ADL25" s="2"/>
      <c r="ADM25" s="55"/>
      <c r="ADN25" s="1"/>
      <c r="ADO25" s="1"/>
      <c r="ADP25" s="1"/>
      <c r="ADQ25" s="1"/>
      <c r="ADR25" s="1"/>
      <c r="ADS25" s="1"/>
      <c r="ADT25" s="55"/>
      <c r="ADU25" s="1"/>
      <c r="ADV25" s="56"/>
      <c r="ADW25" s="1"/>
      <c r="ADX25" s="1"/>
      <c r="ADY25" s="2"/>
      <c r="ADZ25" s="55"/>
      <c r="AEA25" s="55"/>
      <c r="AEB25" s="55"/>
      <c r="AEC25" s="56"/>
      <c r="AED25" s="57"/>
      <c r="AEE25" s="55"/>
      <c r="AEF25" s="1"/>
      <c r="AEG25" s="58"/>
      <c r="AEH25" s="59"/>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3573497</v>
      </c>
      <c r="F26" s="89">
        <f t="shared" si="401"/>
        <v>3</v>
      </c>
      <c r="G26" s="89" t="str">
        <f t="shared" si="402"/>
        <v>B</v>
      </c>
      <c r="H26" s="37" t="s">
        <v>191</v>
      </c>
      <c r="I26" s="37" t="s">
        <v>192</v>
      </c>
      <c r="J26" s="41" t="s">
        <v>152</v>
      </c>
      <c r="K26" s="90" t="str">
        <f t="shared" si="403"/>
        <v>A</v>
      </c>
      <c r="L26" s="41" t="s">
        <v>119</v>
      </c>
      <c r="M26" s="93">
        <v>41742</v>
      </c>
      <c r="N26" s="41"/>
      <c r="O26" s="43" t="s">
        <v>213</v>
      </c>
      <c r="P26" s="91" t="str">
        <f t="shared" si="404"/>
        <v>Əliyeva Sevinc Kamal</v>
      </c>
      <c r="Q26" s="4">
        <v>1369149</v>
      </c>
      <c r="R26" s="39">
        <v>101</v>
      </c>
      <c r="S26" s="39">
        <v>303</v>
      </c>
      <c r="T26" s="1">
        <v>70</v>
      </c>
      <c r="U26" s="1">
        <v>42</v>
      </c>
      <c r="V26" s="1">
        <v>19</v>
      </c>
      <c r="W26" s="1">
        <v>40</v>
      </c>
      <c r="X26" s="1">
        <v>60</v>
      </c>
      <c r="Y26" s="1"/>
      <c r="Z26" s="1"/>
      <c r="AA26" s="55">
        <v>40.25</v>
      </c>
      <c r="AB26" s="1"/>
      <c r="AC26" s="56">
        <v>40.25</v>
      </c>
      <c r="AD26" s="1"/>
      <c r="AE26" s="1"/>
      <c r="AF26" s="2">
        <v>11</v>
      </c>
      <c r="AG26" s="55">
        <v>92.739273927392745</v>
      </c>
      <c r="AH26" s="1">
        <v>21</v>
      </c>
      <c r="AI26" s="1">
        <v>35</v>
      </c>
      <c r="AJ26" s="1">
        <v>61</v>
      </c>
      <c r="AK26" s="1">
        <v>70</v>
      </c>
      <c r="AL26" s="1"/>
      <c r="AM26" s="1"/>
      <c r="AN26" s="55">
        <v>46.75</v>
      </c>
      <c r="AO26" s="1"/>
      <c r="AP26" s="56">
        <v>46.75</v>
      </c>
      <c r="AQ26" s="1"/>
      <c r="AR26" s="1">
        <v>25</v>
      </c>
      <c r="AS26" s="2">
        <v>0</v>
      </c>
      <c r="AT26" s="55">
        <v>100</v>
      </c>
      <c r="AU26" s="55">
        <v>43.5</v>
      </c>
      <c r="AV26" s="55" t="s">
        <v>230</v>
      </c>
      <c r="AW26" s="56">
        <v>43.5</v>
      </c>
      <c r="AX26" s="57">
        <v>3</v>
      </c>
      <c r="AY26" s="55">
        <v>25</v>
      </c>
      <c r="AZ26" s="1"/>
      <c r="BA26" s="58">
        <v>11</v>
      </c>
      <c r="BB26" s="59">
        <v>96.369636963696365</v>
      </c>
      <c r="BC26" s="4"/>
      <c r="BD26" s="39"/>
      <c r="BE26" s="39"/>
      <c r="BF26" s="1"/>
      <c r="BG26" s="1"/>
      <c r="BH26" s="1"/>
      <c r="BI26" s="1"/>
      <c r="BJ26" s="1"/>
      <c r="BK26" s="1"/>
      <c r="BL26" s="1"/>
      <c r="BM26" s="55"/>
      <c r="BN26" s="1"/>
      <c r="BO26" s="56"/>
      <c r="BP26" s="1"/>
      <c r="BQ26" s="1"/>
      <c r="BR26" s="2"/>
      <c r="BS26" s="55"/>
      <c r="BT26" s="1"/>
      <c r="BU26" s="1"/>
      <c r="BV26" s="1"/>
      <c r="BW26" s="1"/>
      <c r="BX26" s="1"/>
      <c r="BY26" s="1"/>
      <c r="BZ26" s="55"/>
      <c r="CA26" s="1"/>
      <c r="CB26" s="56"/>
      <c r="CC26" s="1"/>
      <c r="CD26" s="1"/>
      <c r="CE26" s="2"/>
      <c r="CF26" s="55"/>
      <c r="CG26" s="55"/>
      <c r="CH26" s="55"/>
      <c r="CI26" s="56"/>
      <c r="CJ26" s="57"/>
      <c r="CK26" s="55"/>
      <c r="CL26" s="1"/>
      <c r="CM26" s="58"/>
      <c r="CN26" s="59"/>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v>1269215</v>
      </c>
      <c r="EB26" s="39">
        <v>106</v>
      </c>
      <c r="EC26" s="39">
        <v>33</v>
      </c>
      <c r="ED26" s="1">
        <v>52</v>
      </c>
      <c r="EE26" s="1">
        <v>62</v>
      </c>
      <c r="EF26" s="1">
        <v>44</v>
      </c>
      <c r="EG26" s="1">
        <v>76</v>
      </c>
      <c r="EH26" s="1"/>
      <c r="EI26" s="1"/>
      <c r="EJ26" s="1"/>
      <c r="EK26" s="55">
        <v>60.666666666666664</v>
      </c>
      <c r="EL26" s="1"/>
      <c r="EM26" s="56">
        <v>60.666666666666664</v>
      </c>
      <c r="EN26" s="1"/>
      <c r="EO26" s="1"/>
      <c r="EP26" s="2">
        <v>1</v>
      </c>
      <c r="EQ26" s="55">
        <v>93.939393939393938</v>
      </c>
      <c r="ER26" s="1">
        <v>55</v>
      </c>
      <c r="ES26" s="1">
        <v>60</v>
      </c>
      <c r="ET26" s="1">
        <v>65</v>
      </c>
      <c r="EU26" s="1"/>
      <c r="EV26" s="1"/>
      <c r="EW26" s="1"/>
      <c r="EX26" s="55">
        <v>60</v>
      </c>
      <c r="EY26" s="1"/>
      <c r="EZ26" s="56">
        <v>60</v>
      </c>
      <c r="FA26" s="1"/>
      <c r="FB26" s="1">
        <v>58.33</v>
      </c>
      <c r="FC26" s="2">
        <v>0</v>
      </c>
      <c r="FD26" s="55">
        <v>100</v>
      </c>
      <c r="FE26" s="55">
        <v>60.333333333333329</v>
      </c>
      <c r="FF26" s="55" t="s">
        <v>230</v>
      </c>
      <c r="FG26" s="56">
        <v>60.333333333333329</v>
      </c>
      <c r="FH26" s="57">
        <v>4</v>
      </c>
      <c r="FI26" s="55">
        <v>58.33</v>
      </c>
      <c r="FJ26" s="1"/>
      <c r="FK26" s="58">
        <v>1</v>
      </c>
      <c r="FL26" s="59">
        <v>96.969696969696969</v>
      </c>
      <c r="FM26" s="4">
        <v>1369149</v>
      </c>
      <c r="FN26" s="39">
        <v>110</v>
      </c>
      <c r="FO26" s="39">
        <v>168</v>
      </c>
      <c r="FP26" s="1">
        <v>62</v>
      </c>
      <c r="FQ26" s="1">
        <v>68</v>
      </c>
      <c r="FR26" s="1">
        <v>65</v>
      </c>
      <c r="FS26" s="1">
        <v>69</v>
      </c>
      <c r="FT26" s="1">
        <v>35</v>
      </c>
      <c r="FU26" s="1"/>
      <c r="FV26" s="1"/>
      <c r="FW26" s="55">
        <v>59.25</v>
      </c>
      <c r="FX26" s="1"/>
      <c r="FY26" s="56">
        <v>59.25</v>
      </c>
      <c r="FZ26" s="1"/>
      <c r="GA26" s="1"/>
      <c r="GB26" s="2">
        <v>6</v>
      </c>
      <c r="GC26" s="55">
        <v>92.857142857142861</v>
      </c>
      <c r="GD26" s="1">
        <v>25</v>
      </c>
      <c r="GE26" s="1">
        <v>39</v>
      </c>
      <c r="GF26" s="1">
        <v>67</v>
      </c>
      <c r="GG26" s="1">
        <v>70</v>
      </c>
      <c r="GH26" s="1"/>
      <c r="GI26" s="1"/>
      <c r="GJ26" s="55">
        <v>50.25</v>
      </c>
      <c r="GK26" s="1"/>
      <c r="GL26" s="56">
        <v>50.25</v>
      </c>
      <c r="GM26" s="1"/>
      <c r="GN26" s="1">
        <v>38.89</v>
      </c>
      <c r="GO26" s="2">
        <v>0</v>
      </c>
      <c r="GP26" s="55">
        <v>100</v>
      </c>
      <c r="GQ26" s="55">
        <v>54.75</v>
      </c>
      <c r="GR26" s="55" t="s">
        <v>230</v>
      </c>
      <c r="GS26" s="56">
        <v>54.75</v>
      </c>
      <c r="GT26" s="57">
        <v>3</v>
      </c>
      <c r="GU26" s="55">
        <v>38.89</v>
      </c>
      <c r="GV26" s="1"/>
      <c r="GW26" s="58">
        <v>6</v>
      </c>
      <c r="GX26" s="59">
        <v>96.428571428571431</v>
      </c>
      <c r="GY26" s="4">
        <v>1791291</v>
      </c>
      <c r="GZ26" s="39">
        <v>114</v>
      </c>
      <c r="HA26" s="39">
        <v>33</v>
      </c>
      <c r="HB26" s="1">
        <v>53</v>
      </c>
      <c r="HC26" s="1">
        <v>50</v>
      </c>
      <c r="HD26" s="1">
        <v>65</v>
      </c>
      <c r="HE26" s="1">
        <v>55</v>
      </c>
      <c r="HF26" s="1"/>
      <c r="HG26" s="1"/>
      <c r="HH26" s="1"/>
      <c r="HI26" s="55">
        <v>56.666666666666664</v>
      </c>
      <c r="HJ26" s="1"/>
      <c r="HK26" s="56">
        <v>56.666666666666664</v>
      </c>
      <c r="HL26" s="1"/>
      <c r="HM26" s="1"/>
      <c r="HN26" s="2">
        <v>0</v>
      </c>
      <c r="HO26" s="55">
        <v>100</v>
      </c>
      <c r="HP26" s="1">
        <v>60</v>
      </c>
      <c r="HQ26" s="1">
        <v>60</v>
      </c>
      <c r="HR26" s="1">
        <v>45</v>
      </c>
      <c r="HS26" s="1"/>
      <c r="HT26" s="1"/>
      <c r="HU26" s="1"/>
      <c r="HV26" s="55">
        <v>55</v>
      </c>
      <c r="HW26" s="1"/>
      <c r="HX26" s="56">
        <v>55</v>
      </c>
      <c r="HY26" s="1"/>
      <c r="HZ26" s="1"/>
      <c r="IA26" s="2">
        <v>0</v>
      </c>
      <c r="IB26" s="55">
        <v>100</v>
      </c>
      <c r="IC26" s="55">
        <v>55.833333333333329</v>
      </c>
      <c r="ID26" s="55" t="s">
        <v>230</v>
      </c>
      <c r="IE26" s="56">
        <v>55.833333333333329</v>
      </c>
      <c r="IF26" s="57">
        <v>3</v>
      </c>
      <c r="IG26" s="55" t="s">
        <v>230</v>
      </c>
      <c r="IH26" s="1"/>
      <c r="II26" s="58">
        <v>0</v>
      </c>
      <c r="IJ26" s="59">
        <v>100</v>
      </c>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c r="JX26" s="39"/>
      <c r="JY26" s="39"/>
      <c r="JZ26" s="1"/>
      <c r="KA26" s="1"/>
      <c r="KB26" s="1"/>
      <c r="KC26" s="1"/>
      <c r="KD26" s="1"/>
      <c r="KE26" s="1"/>
      <c r="KF26" s="1"/>
      <c r="KG26" s="55"/>
      <c r="KH26" s="1"/>
      <c r="KI26" s="56"/>
      <c r="KJ26" s="1"/>
      <c r="KK26" s="1"/>
      <c r="KL26" s="2"/>
      <c r="KM26" s="55"/>
      <c r="KN26" s="1"/>
      <c r="KO26" s="1"/>
      <c r="KP26" s="1"/>
      <c r="KQ26" s="1"/>
      <c r="KR26" s="1"/>
      <c r="KS26" s="1"/>
      <c r="KT26" s="55"/>
      <c r="KU26" s="1"/>
      <c r="KV26" s="56"/>
      <c r="KW26" s="1"/>
      <c r="KX26" s="1"/>
      <c r="KY26" s="2"/>
      <c r="KZ26" s="55"/>
      <c r="LA26" s="55"/>
      <c r="LB26" s="55"/>
      <c r="LC26" s="56"/>
      <c r="LD26" s="57"/>
      <c r="LE26" s="55"/>
      <c r="LF26" s="1"/>
      <c r="LG26" s="58"/>
      <c r="LH26" s="59"/>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v>1369149</v>
      </c>
      <c r="PT26" s="39">
        <v>128</v>
      </c>
      <c r="PU26" s="39">
        <v>68</v>
      </c>
      <c r="PV26" s="1">
        <v>74</v>
      </c>
      <c r="PW26" s="1">
        <v>50</v>
      </c>
      <c r="PX26" s="1">
        <v>50</v>
      </c>
      <c r="PY26" s="1">
        <v>51</v>
      </c>
      <c r="PZ26" s="1"/>
      <c r="QA26" s="1"/>
      <c r="QB26" s="1"/>
      <c r="QC26" s="55">
        <v>50.333333333333336</v>
      </c>
      <c r="QD26" s="1"/>
      <c r="QE26" s="56">
        <v>50.333333333333336</v>
      </c>
      <c r="QF26" s="1"/>
      <c r="QG26" s="1"/>
      <c r="QH26" s="2">
        <v>1</v>
      </c>
      <c r="QI26" s="55">
        <v>97.058823529411768</v>
      </c>
      <c r="QJ26" s="1">
        <v>35</v>
      </c>
      <c r="QK26" s="1">
        <v>35</v>
      </c>
      <c r="QL26" s="1">
        <v>60</v>
      </c>
      <c r="QM26" s="1">
        <v>70</v>
      </c>
      <c r="QN26" s="1"/>
      <c r="QO26" s="1"/>
      <c r="QP26" s="55">
        <v>50</v>
      </c>
      <c r="QQ26" s="1"/>
      <c r="QR26" s="56">
        <v>50</v>
      </c>
      <c r="QS26" s="1"/>
      <c r="QT26" s="1"/>
      <c r="QU26" s="2">
        <v>0</v>
      </c>
      <c r="QV26" s="55">
        <v>100</v>
      </c>
      <c r="QW26" s="55">
        <v>50.166666666666671</v>
      </c>
      <c r="QX26" s="55" t="s">
        <v>230</v>
      </c>
      <c r="QY26" s="56">
        <v>50.166666666666671</v>
      </c>
      <c r="QZ26" s="57">
        <v>3</v>
      </c>
      <c r="RA26" s="55" t="s">
        <v>230</v>
      </c>
      <c r="RB26" s="1"/>
      <c r="RC26" s="58">
        <v>1</v>
      </c>
      <c r="RD26" s="59">
        <v>98.529411764705884</v>
      </c>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1369149</v>
      </c>
      <c r="UD26" s="39">
        <v>131</v>
      </c>
      <c r="UE26" s="39">
        <v>66</v>
      </c>
      <c r="UF26" s="1">
        <v>78</v>
      </c>
      <c r="UG26" s="1">
        <v>80</v>
      </c>
      <c r="UH26" s="1">
        <v>85</v>
      </c>
      <c r="UI26" s="1">
        <v>85</v>
      </c>
      <c r="UJ26" s="1"/>
      <c r="UK26" s="1"/>
      <c r="UL26" s="1"/>
      <c r="UM26" s="55">
        <v>83.333333333333329</v>
      </c>
      <c r="UN26" s="1"/>
      <c r="UO26" s="56">
        <v>83.333333333333329</v>
      </c>
      <c r="UP26" s="1"/>
      <c r="UQ26" s="1"/>
      <c r="UR26" s="2">
        <v>2</v>
      </c>
      <c r="US26" s="55">
        <v>93.939393939393938</v>
      </c>
      <c r="UT26" s="1">
        <v>80</v>
      </c>
      <c r="UU26" s="1">
        <v>85</v>
      </c>
      <c r="UV26" s="1">
        <v>85</v>
      </c>
      <c r="UW26" s="1"/>
      <c r="UX26" s="1"/>
      <c r="UY26" s="1"/>
      <c r="UZ26" s="55">
        <v>83.333333333333329</v>
      </c>
      <c r="VA26" s="1"/>
      <c r="VB26" s="56">
        <v>83.333333333333329</v>
      </c>
      <c r="VC26" s="1"/>
      <c r="VD26" s="1"/>
      <c r="VE26" s="2">
        <v>0</v>
      </c>
      <c r="VF26" s="55">
        <v>100</v>
      </c>
      <c r="VG26" s="55">
        <v>83.333333333333329</v>
      </c>
      <c r="VH26" s="55" t="s">
        <v>230</v>
      </c>
      <c r="VI26" s="56">
        <v>83.333333333333329</v>
      </c>
      <c r="VJ26" s="57">
        <v>5</v>
      </c>
      <c r="VK26" s="55" t="s">
        <v>230</v>
      </c>
      <c r="VL26" s="1"/>
      <c r="VM26" s="58">
        <v>2</v>
      </c>
      <c r="VN26" s="59">
        <v>96.969696969696969</v>
      </c>
      <c r="VO26" s="4">
        <v>1369149</v>
      </c>
      <c r="VP26" s="39">
        <v>132</v>
      </c>
      <c r="VQ26" s="39">
        <v>37</v>
      </c>
      <c r="VR26" s="1">
        <v>80</v>
      </c>
      <c r="VS26" s="1">
        <v>70</v>
      </c>
      <c r="VT26" s="1">
        <v>75</v>
      </c>
      <c r="VU26" s="1">
        <v>75</v>
      </c>
      <c r="VV26" s="1"/>
      <c r="VW26" s="1"/>
      <c r="VX26" s="1"/>
      <c r="VY26" s="55">
        <v>73.333333333333329</v>
      </c>
      <c r="VZ26" s="1"/>
      <c r="WA26" s="56">
        <v>73.333333333333329</v>
      </c>
      <c r="WB26" s="1"/>
      <c r="WC26" s="1"/>
      <c r="WD26" s="2">
        <v>0</v>
      </c>
      <c r="WE26" s="55">
        <v>100</v>
      </c>
      <c r="WF26" s="1">
        <v>65</v>
      </c>
      <c r="WG26" s="1">
        <v>70</v>
      </c>
      <c r="WH26" s="1">
        <v>80</v>
      </c>
      <c r="WI26" s="1"/>
      <c r="WJ26" s="1"/>
      <c r="WK26" s="1"/>
      <c r="WL26" s="55">
        <v>71.666666666666671</v>
      </c>
      <c r="WM26" s="1"/>
      <c r="WN26" s="56">
        <v>71.666666666666671</v>
      </c>
      <c r="WO26" s="1"/>
      <c r="WP26" s="1"/>
      <c r="WQ26" s="2">
        <v>0</v>
      </c>
      <c r="WR26" s="55">
        <v>100</v>
      </c>
      <c r="WS26" s="55">
        <v>72.5</v>
      </c>
      <c r="WT26" s="55" t="s">
        <v>230</v>
      </c>
      <c r="WU26" s="56">
        <v>72.5</v>
      </c>
      <c r="WV26" s="57">
        <v>4</v>
      </c>
      <c r="WW26" s="55" t="s">
        <v>230</v>
      </c>
      <c r="WX26" s="1"/>
      <c r="WY26" s="58">
        <v>0</v>
      </c>
      <c r="WZ26" s="59">
        <v>100</v>
      </c>
      <c r="XA26" s="4">
        <v>1787467</v>
      </c>
      <c r="XB26" s="39">
        <v>133</v>
      </c>
      <c r="XC26" s="39">
        <v>34</v>
      </c>
      <c r="XD26" s="1">
        <v>86</v>
      </c>
      <c r="XE26" s="1">
        <v>85</v>
      </c>
      <c r="XF26" s="1">
        <v>90</v>
      </c>
      <c r="XG26" s="1">
        <v>95</v>
      </c>
      <c r="XH26" s="1"/>
      <c r="XI26" s="1"/>
      <c r="XJ26" s="1"/>
      <c r="XK26" s="55">
        <v>90</v>
      </c>
      <c r="XL26" s="1"/>
      <c r="XM26" s="56">
        <v>90</v>
      </c>
      <c r="XN26" s="1"/>
      <c r="XO26" s="1"/>
      <c r="XP26" s="2">
        <v>1</v>
      </c>
      <c r="XQ26" s="55">
        <v>94.117647058823536</v>
      </c>
      <c r="XR26" s="1">
        <v>90</v>
      </c>
      <c r="XS26" s="1">
        <v>95</v>
      </c>
      <c r="XT26" s="1">
        <v>90</v>
      </c>
      <c r="XU26" s="1"/>
      <c r="XV26" s="1"/>
      <c r="XW26" s="1"/>
      <c r="XX26" s="55">
        <v>91.666666666666671</v>
      </c>
      <c r="XY26" s="1"/>
      <c r="XZ26" s="56">
        <v>91.666666666666671</v>
      </c>
      <c r="YA26" s="1"/>
      <c r="YB26" s="1"/>
      <c r="YC26" s="2">
        <v>0</v>
      </c>
      <c r="YD26" s="55">
        <v>100</v>
      </c>
      <c r="YE26" s="55">
        <v>90.833333333333343</v>
      </c>
      <c r="YF26" s="55" t="s">
        <v>230</v>
      </c>
      <c r="YG26" s="56">
        <v>90.833333333333343</v>
      </c>
      <c r="YH26" s="57">
        <v>5</v>
      </c>
      <c r="YI26" s="55" t="s">
        <v>230</v>
      </c>
      <c r="YJ26" s="1"/>
      <c r="YK26" s="58">
        <v>1</v>
      </c>
      <c r="YL26" s="59">
        <v>97.058823529411768</v>
      </c>
      <c r="YM26" s="4">
        <v>1369149</v>
      </c>
      <c r="YN26" s="39">
        <v>135</v>
      </c>
      <c r="YO26" s="39">
        <v>66</v>
      </c>
      <c r="YP26" s="1">
        <v>78</v>
      </c>
      <c r="YQ26" s="1">
        <v>70</v>
      </c>
      <c r="YR26" s="1">
        <v>85</v>
      </c>
      <c r="YS26" s="1">
        <v>85</v>
      </c>
      <c r="YT26" s="1"/>
      <c r="YU26" s="1"/>
      <c r="YV26" s="1"/>
      <c r="YW26" s="55">
        <v>80</v>
      </c>
      <c r="YX26" s="1"/>
      <c r="YY26" s="56">
        <v>80</v>
      </c>
      <c r="YZ26" s="1"/>
      <c r="ZA26" s="1"/>
      <c r="ZB26" s="2">
        <v>1</v>
      </c>
      <c r="ZC26" s="55">
        <v>96.969696969696969</v>
      </c>
      <c r="ZD26" s="1">
        <v>65</v>
      </c>
      <c r="ZE26" s="1">
        <v>65</v>
      </c>
      <c r="ZF26" s="1">
        <v>85</v>
      </c>
      <c r="ZG26" s="1"/>
      <c r="ZH26" s="1"/>
      <c r="ZI26" s="1"/>
      <c r="ZJ26" s="55">
        <v>71.666666666666671</v>
      </c>
      <c r="ZK26" s="1"/>
      <c r="ZL26" s="56">
        <v>71.666666666666671</v>
      </c>
      <c r="ZM26" s="1"/>
      <c r="ZN26" s="1"/>
      <c r="ZO26" s="2">
        <v>0</v>
      </c>
      <c r="ZP26" s="55">
        <v>100</v>
      </c>
      <c r="ZQ26" s="55">
        <v>75.833333333333343</v>
      </c>
      <c r="ZR26" s="55" t="s">
        <v>230</v>
      </c>
      <c r="ZS26" s="56">
        <v>75.833333333333343</v>
      </c>
      <c r="ZT26" s="57">
        <v>4</v>
      </c>
      <c r="ZU26" s="55" t="s">
        <v>230</v>
      </c>
      <c r="ZV26" s="1"/>
      <c r="ZW26" s="58">
        <v>1</v>
      </c>
      <c r="ZX26" s="59">
        <v>98.484848484848484</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c r="ACX26" s="39"/>
      <c r="ACY26" s="39"/>
      <c r="ACZ26" s="1"/>
      <c r="ADA26" s="1"/>
      <c r="ADB26" s="1"/>
      <c r="ADC26" s="1"/>
      <c r="ADD26" s="1"/>
      <c r="ADE26" s="1"/>
      <c r="ADF26" s="1"/>
      <c r="ADG26" s="55"/>
      <c r="ADH26" s="1"/>
      <c r="ADI26" s="56"/>
      <c r="ADJ26" s="1"/>
      <c r="ADK26" s="1"/>
      <c r="ADL26" s="2"/>
      <c r="ADM26" s="55"/>
      <c r="ADN26" s="1"/>
      <c r="ADO26" s="1"/>
      <c r="ADP26" s="1"/>
      <c r="ADQ26" s="1"/>
      <c r="ADR26" s="1"/>
      <c r="ADS26" s="1"/>
      <c r="ADT26" s="55"/>
      <c r="ADU26" s="1"/>
      <c r="ADV26" s="56"/>
      <c r="ADW26" s="1"/>
      <c r="ADX26" s="1"/>
      <c r="ADY26" s="2"/>
      <c r="ADZ26" s="55"/>
      <c r="AEA26" s="55"/>
      <c r="AEB26" s="55"/>
      <c r="AEC26" s="56"/>
      <c r="AED26" s="57"/>
      <c r="AEE26" s="55"/>
      <c r="AEF26" s="1"/>
      <c r="AEG26" s="58"/>
      <c r="AEH26" s="59"/>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3573202</v>
      </c>
      <c r="F27" s="89">
        <f t="shared" si="401"/>
        <v>3</v>
      </c>
      <c r="G27" s="89" t="str">
        <f t="shared" si="402"/>
        <v>B</v>
      </c>
      <c r="H27" s="37" t="s">
        <v>193</v>
      </c>
      <c r="I27" s="37" t="s">
        <v>187</v>
      </c>
      <c r="J27" s="41" t="s">
        <v>194</v>
      </c>
      <c r="K27" s="90" t="str">
        <f t="shared" si="403"/>
        <v>A</v>
      </c>
      <c r="L27" s="41" t="s">
        <v>117</v>
      </c>
      <c r="M27" s="93">
        <v>41774</v>
      </c>
      <c r="N27" s="41"/>
      <c r="O27" s="43" t="s">
        <v>211</v>
      </c>
      <c r="P27" s="91" t="str">
        <f t="shared" si="404"/>
        <v>Əliyeva Sevinc Kamal</v>
      </c>
      <c r="Q27" s="4">
        <v>1369149</v>
      </c>
      <c r="R27" s="39">
        <v>101</v>
      </c>
      <c r="S27" s="39">
        <v>303</v>
      </c>
      <c r="T27" s="1">
        <v>81</v>
      </c>
      <c r="U27" s="1">
        <v>62</v>
      </c>
      <c r="V27" s="1">
        <v>59</v>
      </c>
      <c r="W27" s="1">
        <v>65</v>
      </c>
      <c r="X27" s="1">
        <v>95</v>
      </c>
      <c r="Y27" s="1"/>
      <c r="Z27" s="1"/>
      <c r="AA27" s="55">
        <v>70.25</v>
      </c>
      <c r="AB27" s="1"/>
      <c r="AC27" s="56">
        <v>70.25</v>
      </c>
      <c r="AD27" s="1"/>
      <c r="AE27" s="1"/>
      <c r="AF27" s="2">
        <v>0</v>
      </c>
      <c r="AG27" s="55">
        <v>100</v>
      </c>
      <c r="AH27" s="1">
        <v>65</v>
      </c>
      <c r="AI27" s="1">
        <v>79</v>
      </c>
      <c r="AJ27" s="1">
        <v>66</v>
      </c>
      <c r="AK27" s="1">
        <v>75</v>
      </c>
      <c r="AL27" s="1"/>
      <c r="AM27" s="1"/>
      <c r="AN27" s="55">
        <v>71.25</v>
      </c>
      <c r="AO27" s="1"/>
      <c r="AP27" s="56">
        <v>71.25</v>
      </c>
      <c r="AQ27" s="1"/>
      <c r="AR27" s="1">
        <v>38.89</v>
      </c>
      <c r="AS27" s="2">
        <v>0</v>
      </c>
      <c r="AT27" s="55">
        <v>100</v>
      </c>
      <c r="AU27" s="55">
        <v>70.75</v>
      </c>
      <c r="AV27" s="55" t="s">
        <v>230</v>
      </c>
      <c r="AW27" s="56">
        <v>70.75</v>
      </c>
      <c r="AX27" s="57">
        <v>4</v>
      </c>
      <c r="AY27" s="55">
        <v>38.89</v>
      </c>
      <c r="AZ27" s="1"/>
      <c r="BA27" s="58">
        <v>0</v>
      </c>
      <c r="BB27" s="59">
        <v>100</v>
      </c>
      <c r="BC27" s="4"/>
      <c r="BD27" s="39"/>
      <c r="BE27" s="39"/>
      <c r="BF27" s="1"/>
      <c r="BG27" s="1"/>
      <c r="BH27" s="1"/>
      <c r="BI27" s="1"/>
      <c r="BJ27" s="1"/>
      <c r="BK27" s="1"/>
      <c r="BL27" s="1"/>
      <c r="BM27" s="55"/>
      <c r="BN27" s="1"/>
      <c r="BO27" s="56"/>
      <c r="BP27" s="1"/>
      <c r="BQ27" s="1"/>
      <c r="BR27" s="2"/>
      <c r="BS27" s="55"/>
      <c r="BT27" s="1"/>
      <c r="BU27" s="1"/>
      <c r="BV27" s="1"/>
      <c r="BW27" s="1"/>
      <c r="BX27" s="1"/>
      <c r="BY27" s="1"/>
      <c r="BZ27" s="55"/>
      <c r="CA27" s="1"/>
      <c r="CB27" s="56"/>
      <c r="CC27" s="1"/>
      <c r="CD27" s="1"/>
      <c r="CE27" s="2"/>
      <c r="CF27" s="55"/>
      <c r="CG27" s="55"/>
      <c r="CH27" s="55"/>
      <c r="CI27" s="56"/>
      <c r="CJ27" s="57"/>
      <c r="CK27" s="55"/>
      <c r="CL27" s="1"/>
      <c r="CM27" s="58"/>
      <c r="CN27" s="59"/>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v>1269215</v>
      </c>
      <c r="EB27" s="39">
        <v>106</v>
      </c>
      <c r="EC27" s="39">
        <v>33</v>
      </c>
      <c r="ED27" s="1">
        <v>88</v>
      </c>
      <c r="EE27" s="1">
        <v>50</v>
      </c>
      <c r="EF27" s="1">
        <v>63</v>
      </c>
      <c r="EG27" s="1">
        <v>88</v>
      </c>
      <c r="EH27" s="1"/>
      <c r="EI27" s="1"/>
      <c r="EJ27" s="1"/>
      <c r="EK27" s="55">
        <v>67</v>
      </c>
      <c r="EL27" s="1"/>
      <c r="EM27" s="56">
        <v>67</v>
      </c>
      <c r="EN27" s="1"/>
      <c r="EO27" s="1"/>
      <c r="EP27" s="2">
        <v>0</v>
      </c>
      <c r="EQ27" s="55">
        <v>100</v>
      </c>
      <c r="ER27" s="1">
        <v>85</v>
      </c>
      <c r="ES27" s="1">
        <v>90</v>
      </c>
      <c r="ET27" s="1">
        <v>88</v>
      </c>
      <c r="EU27" s="1"/>
      <c r="EV27" s="1"/>
      <c r="EW27" s="1"/>
      <c r="EX27" s="55">
        <v>87.666666666666671</v>
      </c>
      <c r="EY27" s="1"/>
      <c r="EZ27" s="56">
        <v>87.666666666666671</v>
      </c>
      <c r="FA27" s="1"/>
      <c r="FB27" s="1">
        <v>70.83</v>
      </c>
      <c r="FC27" s="2">
        <v>0</v>
      </c>
      <c r="FD27" s="55">
        <v>100</v>
      </c>
      <c r="FE27" s="55">
        <v>77.333333333333343</v>
      </c>
      <c r="FF27" s="55" t="s">
        <v>230</v>
      </c>
      <c r="FG27" s="56">
        <v>77.333333333333343</v>
      </c>
      <c r="FH27" s="57">
        <v>4</v>
      </c>
      <c r="FI27" s="55">
        <v>70.83</v>
      </c>
      <c r="FJ27" s="1"/>
      <c r="FK27" s="58">
        <v>0</v>
      </c>
      <c r="FL27" s="59">
        <v>100</v>
      </c>
      <c r="FM27" s="4">
        <v>1369149</v>
      </c>
      <c r="FN27" s="39">
        <v>110</v>
      </c>
      <c r="FO27" s="39">
        <v>168</v>
      </c>
      <c r="FP27" s="1">
        <v>76</v>
      </c>
      <c r="FQ27" s="1">
        <v>72</v>
      </c>
      <c r="FR27" s="1">
        <v>65</v>
      </c>
      <c r="FS27" s="1">
        <v>75</v>
      </c>
      <c r="FT27" s="1">
        <v>80</v>
      </c>
      <c r="FU27" s="1"/>
      <c r="FV27" s="1"/>
      <c r="FW27" s="55">
        <v>73</v>
      </c>
      <c r="FX27" s="1"/>
      <c r="FY27" s="56">
        <v>73</v>
      </c>
      <c r="FZ27" s="1"/>
      <c r="GA27" s="1"/>
      <c r="GB27" s="2">
        <v>0</v>
      </c>
      <c r="GC27" s="55">
        <v>100</v>
      </c>
      <c r="GD27" s="1">
        <v>78</v>
      </c>
      <c r="GE27" s="1">
        <v>55</v>
      </c>
      <c r="GF27" s="1">
        <v>76</v>
      </c>
      <c r="GG27" s="1">
        <v>75</v>
      </c>
      <c r="GH27" s="1"/>
      <c r="GI27" s="1"/>
      <c r="GJ27" s="55">
        <v>71</v>
      </c>
      <c r="GK27" s="1"/>
      <c r="GL27" s="56">
        <v>71</v>
      </c>
      <c r="GM27" s="1"/>
      <c r="GN27" s="1">
        <v>25</v>
      </c>
      <c r="GO27" s="2">
        <v>0</v>
      </c>
      <c r="GP27" s="55">
        <v>100</v>
      </c>
      <c r="GQ27" s="55">
        <v>72</v>
      </c>
      <c r="GR27" s="55" t="s">
        <v>230</v>
      </c>
      <c r="GS27" s="56">
        <v>72</v>
      </c>
      <c r="GT27" s="57">
        <v>4</v>
      </c>
      <c r="GU27" s="55">
        <v>25</v>
      </c>
      <c r="GV27" s="1"/>
      <c r="GW27" s="58">
        <v>0</v>
      </c>
      <c r="GX27" s="59">
        <v>100</v>
      </c>
      <c r="GY27" s="4">
        <v>1791291</v>
      </c>
      <c r="GZ27" s="39">
        <v>114</v>
      </c>
      <c r="HA27" s="39">
        <v>33</v>
      </c>
      <c r="HB27" s="1">
        <v>72</v>
      </c>
      <c r="HC27" s="1">
        <v>80</v>
      </c>
      <c r="HD27" s="1">
        <v>90</v>
      </c>
      <c r="HE27" s="1">
        <v>85</v>
      </c>
      <c r="HF27" s="1"/>
      <c r="HG27" s="1"/>
      <c r="HH27" s="1"/>
      <c r="HI27" s="55">
        <v>85</v>
      </c>
      <c r="HJ27" s="1"/>
      <c r="HK27" s="56">
        <v>85</v>
      </c>
      <c r="HL27" s="1"/>
      <c r="HM27" s="1"/>
      <c r="HN27" s="2">
        <v>0</v>
      </c>
      <c r="HO27" s="55">
        <v>100</v>
      </c>
      <c r="HP27" s="1">
        <v>85</v>
      </c>
      <c r="HQ27" s="1">
        <v>80</v>
      </c>
      <c r="HR27" s="1">
        <v>80</v>
      </c>
      <c r="HS27" s="1"/>
      <c r="HT27" s="1"/>
      <c r="HU27" s="1"/>
      <c r="HV27" s="55">
        <v>81.666666666666671</v>
      </c>
      <c r="HW27" s="1"/>
      <c r="HX27" s="56">
        <v>81.666666666666671</v>
      </c>
      <c r="HY27" s="1"/>
      <c r="HZ27" s="1"/>
      <c r="IA27" s="2">
        <v>0</v>
      </c>
      <c r="IB27" s="55">
        <v>100</v>
      </c>
      <c r="IC27" s="55">
        <v>83.333333333333343</v>
      </c>
      <c r="ID27" s="55" t="s">
        <v>230</v>
      </c>
      <c r="IE27" s="56">
        <v>83.333333333333343</v>
      </c>
      <c r="IF27" s="57">
        <v>5</v>
      </c>
      <c r="IG27" s="55" t="s">
        <v>230</v>
      </c>
      <c r="IH27" s="1"/>
      <c r="II27" s="58">
        <v>0</v>
      </c>
      <c r="IJ27" s="59">
        <v>100</v>
      </c>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c r="JX27" s="39"/>
      <c r="JY27" s="39"/>
      <c r="JZ27" s="1"/>
      <c r="KA27" s="1"/>
      <c r="KB27" s="1"/>
      <c r="KC27" s="1"/>
      <c r="KD27" s="1"/>
      <c r="KE27" s="1"/>
      <c r="KF27" s="1"/>
      <c r="KG27" s="55"/>
      <c r="KH27" s="1"/>
      <c r="KI27" s="56"/>
      <c r="KJ27" s="1"/>
      <c r="KK27" s="1"/>
      <c r="KL27" s="2"/>
      <c r="KM27" s="55"/>
      <c r="KN27" s="1"/>
      <c r="KO27" s="1"/>
      <c r="KP27" s="1"/>
      <c r="KQ27" s="1"/>
      <c r="KR27" s="1"/>
      <c r="KS27" s="1"/>
      <c r="KT27" s="55"/>
      <c r="KU27" s="1"/>
      <c r="KV27" s="56"/>
      <c r="KW27" s="1"/>
      <c r="KX27" s="1"/>
      <c r="KY27" s="2"/>
      <c r="KZ27" s="55"/>
      <c r="LA27" s="55"/>
      <c r="LB27" s="55"/>
      <c r="LC27" s="56"/>
      <c r="LD27" s="57"/>
      <c r="LE27" s="55"/>
      <c r="LF27" s="1"/>
      <c r="LG27" s="58"/>
      <c r="LH27" s="59"/>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v>1369149</v>
      </c>
      <c r="PT27" s="39">
        <v>128</v>
      </c>
      <c r="PU27" s="39">
        <v>68</v>
      </c>
      <c r="PV27" s="1">
        <v>78</v>
      </c>
      <c r="PW27" s="1">
        <v>65</v>
      </c>
      <c r="PX27" s="1">
        <v>65</v>
      </c>
      <c r="PY27" s="1">
        <v>66</v>
      </c>
      <c r="PZ27" s="1"/>
      <c r="QA27" s="1"/>
      <c r="QB27" s="1"/>
      <c r="QC27" s="55">
        <v>65.333333333333329</v>
      </c>
      <c r="QD27" s="1"/>
      <c r="QE27" s="56">
        <v>65.333333333333329</v>
      </c>
      <c r="QF27" s="1"/>
      <c r="QG27" s="1"/>
      <c r="QH27" s="2">
        <v>0</v>
      </c>
      <c r="QI27" s="55">
        <v>100</v>
      </c>
      <c r="QJ27" s="1">
        <v>65</v>
      </c>
      <c r="QK27" s="1">
        <v>65</v>
      </c>
      <c r="QL27" s="1">
        <v>70</v>
      </c>
      <c r="QM27" s="1">
        <v>75</v>
      </c>
      <c r="QN27" s="1"/>
      <c r="QO27" s="1"/>
      <c r="QP27" s="55">
        <v>68.75</v>
      </c>
      <c r="QQ27" s="1"/>
      <c r="QR27" s="56">
        <v>68.75</v>
      </c>
      <c r="QS27" s="1"/>
      <c r="QT27" s="1"/>
      <c r="QU27" s="2">
        <v>0</v>
      </c>
      <c r="QV27" s="55">
        <v>100</v>
      </c>
      <c r="QW27" s="55">
        <v>67.041666666666657</v>
      </c>
      <c r="QX27" s="55" t="s">
        <v>230</v>
      </c>
      <c r="QY27" s="56">
        <v>67.041666666666657</v>
      </c>
      <c r="QZ27" s="57">
        <v>4</v>
      </c>
      <c r="RA27" s="55" t="s">
        <v>230</v>
      </c>
      <c r="RB27" s="1"/>
      <c r="RC27" s="58">
        <v>0</v>
      </c>
      <c r="RD27" s="59">
        <v>100</v>
      </c>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1369149</v>
      </c>
      <c r="UD27" s="39">
        <v>131</v>
      </c>
      <c r="UE27" s="39">
        <v>66</v>
      </c>
      <c r="UF27" s="1">
        <v>85</v>
      </c>
      <c r="UG27" s="1">
        <v>90</v>
      </c>
      <c r="UH27" s="1">
        <v>90</v>
      </c>
      <c r="UI27" s="1">
        <v>90</v>
      </c>
      <c r="UJ27" s="1"/>
      <c r="UK27" s="1"/>
      <c r="UL27" s="1"/>
      <c r="UM27" s="55">
        <v>90</v>
      </c>
      <c r="UN27" s="1"/>
      <c r="UO27" s="56">
        <v>90</v>
      </c>
      <c r="UP27" s="1"/>
      <c r="UQ27" s="1"/>
      <c r="UR27" s="2">
        <v>0</v>
      </c>
      <c r="US27" s="55">
        <v>100</v>
      </c>
      <c r="UT27" s="1">
        <v>85</v>
      </c>
      <c r="UU27" s="1">
        <v>85</v>
      </c>
      <c r="UV27" s="1">
        <v>90</v>
      </c>
      <c r="UW27" s="1"/>
      <c r="UX27" s="1"/>
      <c r="UY27" s="1"/>
      <c r="UZ27" s="55">
        <v>86.666666666666671</v>
      </c>
      <c r="VA27" s="1"/>
      <c r="VB27" s="56">
        <v>86.666666666666671</v>
      </c>
      <c r="VC27" s="1"/>
      <c r="VD27" s="1"/>
      <c r="VE27" s="2">
        <v>0</v>
      </c>
      <c r="VF27" s="55">
        <v>100</v>
      </c>
      <c r="VG27" s="55">
        <v>88.333333333333343</v>
      </c>
      <c r="VH27" s="55" t="s">
        <v>230</v>
      </c>
      <c r="VI27" s="56">
        <v>88.333333333333343</v>
      </c>
      <c r="VJ27" s="57">
        <v>5</v>
      </c>
      <c r="VK27" s="55" t="s">
        <v>230</v>
      </c>
      <c r="VL27" s="1"/>
      <c r="VM27" s="58">
        <v>0</v>
      </c>
      <c r="VN27" s="59">
        <v>100</v>
      </c>
      <c r="VO27" s="4">
        <v>1369149</v>
      </c>
      <c r="VP27" s="39">
        <v>132</v>
      </c>
      <c r="VQ27" s="39">
        <v>37</v>
      </c>
      <c r="VR27" s="1">
        <v>93</v>
      </c>
      <c r="VS27" s="1">
        <v>80</v>
      </c>
      <c r="VT27" s="1">
        <v>85</v>
      </c>
      <c r="VU27" s="1">
        <v>85</v>
      </c>
      <c r="VV27" s="1"/>
      <c r="VW27" s="1"/>
      <c r="VX27" s="1"/>
      <c r="VY27" s="55">
        <v>83.333333333333329</v>
      </c>
      <c r="VZ27" s="1"/>
      <c r="WA27" s="56">
        <v>83.333333333333329</v>
      </c>
      <c r="WB27" s="1"/>
      <c r="WC27" s="1"/>
      <c r="WD27" s="2">
        <v>0</v>
      </c>
      <c r="WE27" s="55">
        <v>100</v>
      </c>
      <c r="WF27" s="1">
        <v>90</v>
      </c>
      <c r="WG27" s="1">
        <v>90</v>
      </c>
      <c r="WH27" s="1">
        <v>90</v>
      </c>
      <c r="WI27" s="1"/>
      <c r="WJ27" s="1"/>
      <c r="WK27" s="1"/>
      <c r="WL27" s="55">
        <v>90</v>
      </c>
      <c r="WM27" s="1"/>
      <c r="WN27" s="56">
        <v>90</v>
      </c>
      <c r="WO27" s="1"/>
      <c r="WP27" s="1"/>
      <c r="WQ27" s="2">
        <v>0</v>
      </c>
      <c r="WR27" s="55">
        <v>100</v>
      </c>
      <c r="WS27" s="55">
        <v>86.666666666666657</v>
      </c>
      <c r="WT27" s="55" t="s">
        <v>230</v>
      </c>
      <c r="WU27" s="56">
        <v>86.666666666666657</v>
      </c>
      <c r="WV27" s="57">
        <v>5</v>
      </c>
      <c r="WW27" s="55" t="s">
        <v>230</v>
      </c>
      <c r="WX27" s="1"/>
      <c r="WY27" s="58">
        <v>0</v>
      </c>
      <c r="WZ27" s="59">
        <v>100</v>
      </c>
      <c r="XA27" s="4">
        <v>1787467</v>
      </c>
      <c r="XB27" s="39">
        <v>133</v>
      </c>
      <c r="XC27" s="39">
        <v>34</v>
      </c>
      <c r="XD27" s="1">
        <v>93</v>
      </c>
      <c r="XE27" s="1">
        <v>90</v>
      </c>
      <c r="XF27" s="1">
        <v>85</v>
      </c>
      <c r="XG27" s="1">
        <v>90</v>
      </c>
      <c r="XH27" s="1"/>
      <c r="XI27" s="1"/>
      <c r="XJ27" s="1"/>
      <c r="XK27" s="55">
        <v>88.333333333333329</v>
      </c>
      <c r="XL27" s="1"/>
      <c r="XM27" s="56">
        <v>88.333333333333329</v>
      </c>
      <c r="XN27" s="1"/>
      <c r="XO27" s="1"/>
      <c r="XP27" s="2">
        <v>0</v>
      </c>
      <c r="XQ27" s="55">
        <v>100</v>
      </c>
      <c r="XR27" s="1">
        <v>85</v>
      </c>
      <c r="XS27" s="1">
        <v>90</v>
      </c>
      <c r="XT27" s="1">
        <v>95</v>
      </c>
      <c r="XU27" s="1"/>
      <c r="XV27" s="1"/>
      <c r="XW27" s="1"/>
      <c r="XX27" s="55">
        <v>90</v>
      </c>
      <c r="XY27" s="1"/>
      <c r="XZ27" s="56">
        <v>90</v>
      </c>
      <c r="YA27" s="1"/>
      <c r="YB27" s="1"/>
      <c r="YC27" s="2">
        <v>0</v>
      </c>
      <c r="YD27" s="55">
        <v>100</v>
      </c>
      <c r="YE27" s="55">
        <v>89.166666666666657</v>
      </c>
      <c r="YF27" s="55" t="s">
        <v>230</v>
      </c>
      <c r="YG27" s="56">
        <v>89.166666666666657</v>
      </c>
      <c r="YH27" s="57">
        <v>5</v>
      </c>
      <c r="YI27" s="55" t="s">
        <v>230</v>
      </c>
      <c r="YJ27" s="1"/>
      <c r="YK27" s="58">
        <v>0</v>
      </c>
      <c r="YL27" s="59">
        <v>100</v>
      </c>
      <c r="YM27" s="4">
        <v>1369149</v>
      </c>
      <c r="YN27" s="39">
        <v>135</v>
      </c>
      <c r="YO27" s="39">
        <v>66</v>
      </c>
      <c r="YP27" s="1">
        <v>86</v>
      </c>
      <c r="YQ27" s="1">
        <v>90</v>
      </c>
      <c r="YR27" s="1">
        <v>85</v>
      </c>
      <c r="YS27" s="1">
        <v>85</v>
      </c>
      <c r="YT27" s="1"/>
      <c r="YU27" s="1"/>
      <c r="YV27" s="1"/>
      <c r="YW27" s="55">
        <v>86.666666666666671</v>
      </c>
      <c r="YX27" s="1"/>
      <c r="YY27" s="56">
        <v>86.666666666666671</v>
      </c>
      <c r="YZ27" s="1"/>
      <c r="ZA27" s="1"/>
      <c r="ZB27" s="2">
        <v>0</v>
      </c>
      <c r="ZC27" s="55">
        <v>100</v>
      </c>
      <c r="ZD27" s="1">
        <v>85</v>
      </c>
      <c r="ZE27" s="1">
        <v>85</v>
      </c>
      <c r="ZF27" s="1">
        <v>85</v>
      </c>
      <c r="ZG27" s="1"/>
      <c r="ZH27" s="1"/>
      <c r="ZI27" s="1"/>
      <c r="ZJ27" s="55">
        <v>85</v>
      </c>
      <c r="ZK27" s="1"/>
      <c r="ZL27" s="56">
        <v>85</v>
      </c>
      <c r="ZM27" s="1"/>
      <c r="ZN27" s="1"/>
      <c r="ZO27" s="2">
        <v>0</v>
      </c>
      <c r="ZP27" s="55">
        <v>100</v>
      </c>
      <c r="ZQ27" s="55">
        <v>85.833333333333343</v>
      </c>
      <c r="ZR27" s="55" t="s">
        <v>230</v>
      </c>
      <c r="ZS27" s="56">
        <v>85.833333333333343</v>
      </c>
      <c r="ZT27" s="57">
        <v>5</v>
      </c>
      <c r="ZU27" s="55" t="s">
        <v>230</v>
      </c>
      <c r="ZV27" s="1"/>
      <c r="ZW27" s="58">
        <v>0</v>
      </c>
      <c r="ZX27" s="59">
        <v>100</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c r="ACX27" s="39"/>
      <c r="ACY27" s="39"/>
      <c r="ACZ27" s="1"/>
      <c r="ADA27" s="1"/>
      <c r="ADB27" s="1"/>
      <c r="ADC27" s="1"/>
      <c r="ADD27" s="1"/>
      <c r="ADE27" s="1"/>
      <c r="ADF27" s="1"/>
      <c r="ADG27" s="55"/>
      <c r="ADH27" s="1"/>
      <c r="ADI27" s="56"/>
      <c r="ADJ27" s="1"/>
      <c r="ADK27" s="1"/>
      <c r="ADL27" s="2"/>
      <c r="ADM27" s="55"/>
      <c r="ADN27" s="1"/>
      <c r="ADO27" s="1"/>
      <c r="ADP27" s="1"/>
      <c r="ADQ27" s="1"/>
      <c r="ADR27" s="1"/>
      <c r="ADS27" s="1"/>
      <c r="ADT27" s="55"/>
      <c r="ADU27" s="1"/>
      <c r="ADV27" s="56"/>
      <c r="ADW27" s="1"/>
      <c r="ADX27" s="1"/>
      <c r="ADY27" s="2"/>
      <c r="ADZ27" s="55"/>
      <c r="AEA27" s="55"/>
      <c r="AEB27" s="55"/>
      <c r="AEC27" s="56"/>
      <c r="AED27" s="57"/>
      <c r="AEE27" s="55"/>
      <c r="AEF27" s="1"/>
      <c r="AEG27" s="58"/>
      <c r="AEH27" s="59"/>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3573564</v>
      </c>
      <c r="F28" s="89">
        <f t="shared" si="401"/>
        <v>3</v>
      </c>
      <c r="G28" s="89" t="str">
        <f t="shared" si="402"/>
        <v>B</v>
      </c>
      <c r="H28" s="37" t="s">
        <v>195</v>
      </c>
      <c r="I28" s="37" t="s">
        <v>196</v>
      </c>
      <c r="J28" s="41" t="s">
        <v>197</v>
      </c>
      <c r="K28" s="90" t="str">
        <f t="shared" si="403"/>
        <v>A</v>
      </c>
      <c r="L28" s="41" t="s">
        <v>117</v>
      </c>
      <c r="M28" s="93">
        <v>41669</v>
      </c>
      <c r="N28" s="41"/>
      <c r="O28" s="43" t="s">
        <v>220</v>
      </c>
      <c r="P28" s="91" t="str">
        <f t="shared" si="404"/>
        <v>Əliyeva Sevinc Kamal</v>
      </c>
      <c r="Q28" s="4">
        <v>1369149</v>
      </c>
      <c r="R28" s="39">
        <v>101</v>
      </c>
      <c r="S28" s="39">
        <v>303</v>
      </c>
      <c r="T28" s="1">
        <v>71</v>
      </c>
      <c r="U28" s="1">
        <v>82</v>
      </c>
      <c r="V28" s="1">
        <v>70</v>
      </c>
      <c r="W28" s="1">
        <v>70</v>
      </c>
      <c r="X28" s="1">
        <v>90</v>
      </c>
      <c r="Y28" s="1"/>
      <c r="Z28" s="1"/>
      <c r="AA28" s="55">
        <v>78</v>
      </c>
      <c r="AB28" s="1"/>
      <c r="AC28" s="56">
        <v>78</v>
      </c>
      <c r="AD28" s="1"/>
      <c r="AE28" s="1"/>
      <c r="AF28" s="2">
        <v>4</v>
      </c>
      <c r="AG28" s="55">
        <v>97.359735973597353</v>
      </c>
      <c r="AH28" s="1">
        <v>65</v>
      </c>
      <c r="AI28" s="1">
        <v>71</v>
      </c>
      <c r="AJ28" s="1">
        <v>92</v>
      </c>
      <c r="AK28" s="1">
        <v>85</v>
      </c>
      <c r="AL28" s="1"/>
      <c r="AM28" s="1"/>
      <c r="AN28" s="55">
        <v>78.25</v>
      </c>
      <c r="AO28" s="1"/>
      <c r="AP28" s="56">
        <v>78.25</v>
      </c>
      <c r="AQ28" s="1"/>
      <c r="AR28" s="1">
        <v>44.44</v>
      </c>
      <c r="AS28" s="2">
        <v>0</v>
      </c>
      <c r="AT28" s="55">
        <v>100</v>
      </c>
      <c r="AU28" s="55">
        <v>78.125</v>
      </c>
      <c r="AV28" s="55" t="s">
        <v>230</v>
      </c>
      <c r="AW28" s="56">
        <v>78.125</v>
      </c>
      <c r="AX28" s="57">
        <v>4</v>
      </c>
      <c r="AY28" s="55">
        <v>44.44</v>
      </c>
      <c r="AZ28" s="1"/>
      <c r="BA28" s="58">
        <v>4</v>
      </c>
      <c r="BB28" s="59">
        <v>98.679867986798683</v>
      </c>
      <c r="BC28" s="4"/>
      <c r="BD28" s="39"/>
      <c r="BE28" s="39"/>
      <c r="BF28" s="1"/>
      <c r="BG28" s="1"/>
      <c r="BH28" s="1"/>
      <c r="BI28" s="1"/>
      <c r="BJ28" s="1"/>
      <c r="BK28" s="1"/>
      <c r="BL28" s="1"/>
      <c r="BM28" s="55"/>
      <c r="BN28" s="1"/>
      <c r="BO28" s="56"/>
      <c r="BP28" s="1"/>
      <c r="BQ28" s="1"/>
      <c r="BR28" s="2"/>
      <c r="BS28" s="55"/>
      <c r="BT28" s="1"/>
      <c r="BU28" s="1"/>
      <c r="BV28" s="1"/>
      <c r="BW28" s="1"/>
      <c r="BX28" s="1"/>
      <c r="BY28" s="1"/>
      <c r="BZ28" s="55"/>
      <c r="CA28" s="1"/>
      <c r="CB28" s="56"/>
      <c r="CC28" s="1"/>
      <c r="CD28" s="1"/>
      <c r="CE28" s="2"/>
      <c r="CF28" s="55"/>
      <c r="CG28" s="55"/>
      <c r="CH28" s="55"/>
      <c r="CI28" s="56"/>
      <c r="CJ28" s="57"/>
      <c r="CK28" s="55"/>
      <c r="CL28" s="1"/>
      <c r="CM28" s="58"/>
      <c r="CN28" s="59"/>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v>1269215</v>
      </c>
      <c r="EB28" s="39">
        <v>106</v>
      </c>
      <c r="EC28" s="39">
        <v>33</v>
      </c>
      <c r="ED28" s="1">
        <v>77</v>
      </c>
      <c r="EE28" s="1">
        <v>38</v>
      </c>
      <c r="EF28" s="1">
        <v>65</v>
      </c>
      <c r="EG28" s="1">
        <v>90</v>
      </c>
      <c r="EH28" s="1"/>
      <c r="EI28" s="1"/>
      <c r="EJ28" s="1"/>
      <c r="EK28" s="55">
        <v>64.333333333333329</v>
      </c>
      <c r="EL28" s="1"/>
      <c r="EM28" s="56">
        <v>64.333333333333329</v>
      </c>
      <c r="EN28" s="1"/>
      <c r="EO28" s="1"/>
      <c r="EP28" s="2">
        <v>0</v>
      </c>
      <c r="EQ28" s="55">
        <v>100</v>
      </c>
      <c r="ER28" s="1">
        <v>70</v>
      </c>
      <c r="ES28" s="1">
        <v>75</v>
      </c>
      <c r="ET28" s="1">
        <v>88</v>
      </c>
      <c r="EU28" s="1"/>
      <c r="EV28" s="1"/>
      <c r="EW28" s="1"/>
      <c r="EX28" s="55">
        <v>77.666666666666671</v>
      </c>
      <c r="EY28" s="1"/>
      <c r="EZ28" s="56">
        <v>77.666666666666671</v>
      </c>
      <c r="FA28" s="1"/>
      <c r="FB28" s="1">
        <v>79.17</v>
      </c>
      <c r="FC28" s="2">
        <v>0</v>
      </c>
      <c r="FD28" s="55">
        <v>100</v>
      </c>
      <c r="FE28" s="55">
        <v>71</v>
      </c>
      <c r="FF28" s="55" t="s">
        <v>230</v>
      </c>
      <c r="FG28" s="56">
        <v>71</v>
      </c>
      <c r="FH28" s="57">
        <v>4</v>
      </c>
      <c r="FI28" s="55">
        <v>79.17</v>
      </c>
      <c r="FJ28" s="1"/>
      <c r="FK28" s="58">
        <v>0</v>
      </c>
      <c r="FL28" s="59">
        <v>100</v>
      </c>
      <c r="FM28" s="4">
        <v>1369149</v>
      </c>
      <c r="FN28" s="39">
        <v>110</v>
      </c>
      <c r="FO28" s="39">
        <v>168</v>
      </c>
      <c r="FP28" s="1">
        <v>67</v>
      </c>
      <c r="FQ28" s="1">
        <v>63</v>
      </c>
      <c r="FR28" s="1">
        <v>65</v>
      </c>
      <c r="FS28" s="1">
        <v>95</v>
      </c>
      <c r="FT28" s="1">
        <v>55</v>
      </c>
      <c r="FU28" s="1"/>
      <c r="FV28" s="1"/>
      <c r="FW28" s="55">
        <v>69.5</v>
      </c>
      <c r="FX28" s="1"/>
      <c r="FY28" s="56">
        <v>69.5</v>
      </c>
      <c r="FZ28" s="1"/>
      <c r="GA28" s="1"/>
      <c r="GB28" s="2">
        <v>2</v>
      </c>
      <c r="GC28" s="55">
        <v>97.61904761904762</v>
      </c>
      <c r="GD28" s="1">
        <v>75</v>
      </c>
      <c r="GE28" s="1">
        <v>59</v>
      </c>
      <c r="GF28" s="1">
        <v>86</v>
      </c>
      <c r="GG28" s="1">
        <v>85</v>
      </c>
      <c r="GH28" s="1"/>
      <c r="GI28" s="1"/>
      <c r="GJ28" s="55">
        <v>76.25</v>
      </c>
      <c r="GK28" s="1"/>
      <c r="GL28" s="56">
        <v>76.25</v>
      </c>
      <c r="GM28" s="1"/>
      <c r="GN28" s="1">
        <v>22.22</v>
      </c>
      <c r="GO28" s="2">
        <v>0</v>
      </c>
      <c r="GP28" s="55">
        <v>100</v>
      </c>
      <c r="GQ28" s="55">
        <v>72.875</v>
      </c>
      <c r="GR28" s="55" t="s">
        <v>230</v>
      </c>
      <c r="GS28" s="56">
        <v>72.875</v>
      </c>
      <c r="GT28" s="57">
        <v>4</v>
      </c>
      <c r="GU28" s="55">
        <v>22.22</v>
      </c>
      <c r="GV28" s="1"/>
      <c r="GW28" s="58">
        <v>2</v>
      </c>
      <c r="GX28" s="59">
        <v>98.80952380952381</v>
      </c>
      <c r="GY28" s="4">
        <v>1791291</v>
      </c>
      <c r="GZ28" s="39">
        <v>114</v>
      </c>
      <c r="HA28" s="39">
        <v>33</v>
      </c>
      <c r="HB28" s="1">
        <v>56</v>
      </c>
      <c r="HC28" s="1">
        <v>70</v>
      </c>
      <c r="HD28" s="1">
        <v>85</v>
      </c>
      <c r="HE28" s="1">
        <v>85</v>
      </c>
      <c r="HF28" s="1"/>
      <c r="HG28" s="1"/>
      <c r="HH28" s="1"/>
      <c r="HI28" s="55">
        <v>80</v>
      </c>
      <c r="HJ28" s="1"/>
      <c r="HK28" s="56">
        <v>80</v>
      </c>
      <c r="HL28" s="1"/>
      <c r="HM28" s="1"/>
      <c r="HN28" s="2">
        <v>0</v>
      </c>
      <c r="HO28" s="55">
        <v>100</v>
      </c>
      <c r="HP28" s="1">
        <v>95</v>
      </c>
      <c r="HQ28" s="1">
        <v>85</v>
      </c>
      <c r="HR28" s="1">
        <v>85</v>
      </c>
      <c r="HS28" s="1"/>
      <c r="HT28" s="1"/>
      <c r="HU28" s="1"/>
      <c r="HV28" s="55">
        <v>88.333333333333329</v>
      </c>
      <c r="HW28" s="1"/>
      <c r="HX28" s="56">
        <v>88.333333333333329</v>
      </c>
      <c r="HY28" s="1"/>
      <c r="HZ28" s="1"/>
      <c r="IA28" s="2">
        <v>0</v>
      </c>
      <c r="IB28" s="55">
        <v>100</v>
      </c>
      <c r="IC28" s="55">
        <v>84.166666666666657</v>
      </c>
      <c r="ID28" s="55" t="s">
        <v>230</v>
      </c>
      <c r="IE28" s="56">
        <v>84.166666666666657</v>
      </c>
      <c r="IF28" s="57">
        <v>5</v>
      </c>
      <c r="IG28" s="55" t="s">
        <v>230</v>
      </c>
      <c r="IH28" s="1"/>
      <c r="II28" s="58">
        <v>0</v>
      </c>
      <c r="IJ28" s="59">
        <v>100</v>
      </c>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c r="JX28" s="39"/>
      <c r="JY28" s="39"/>
      <c r="JZ28" s="1"/>
      <c r="KA28" s="1"/>
      <c r="KB28" s="1"/>
      <c r="KC28" s="1"/>
      <c r="KD28" s="1"/>
      <c r="KE28" s="1"/>
      <c r="KF28" s="1"/>
      <c r="KG28" s="55"/>
      <c r="KH28" s="1"/>
      <c r="KI28" s="56"/>
      <c r="KJ28" s="1"/>
      <c r="KK28" s="1"/>
      <c r="KL28" s="2"/>
      <c r="KM28" s="55"/>
      <c r="KN28" s="1"/>
      <c r="KO28" s="1"/>
      <c r="KP28" s="1"/>
      <c r="KQ28" s="1"/>
      <c r="KR28" s="1"/>
      <c r="KS28" s="1"/>
      <c r="KT28" s="55"/>
      <c r="KU28" s="1"/>
      <c r="KV28" s="56"/>
      <c r="KW28" s="1"/>
      <c r="KX28" s="1"/>
      <c r="KY28" s="2"/>
      <c r="KZ28" s="55"/>
      <c r="LA28" s="55"/>
      <c r="LB28" s="55"/>
      <c r="LC28" s="56"/>
      <c r="LD28" s="57"/>
      <c r="LE28" s="55"/>
      <c r="LF28" s="1"/>
      <c r="LG28" s="58"/>
      <c r="LH28" s="59"/>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v>1369149</v>
      </c>
      <c r="PT28" s="39">
        <v>128</v>
      </c>
      <c r="PU28" s="39">
        <v>68</v>
      </c>
      <c r="PV28" s="1">
        <v>68</v>
      </c>
      <c r="PW28" s="1">
        <v>65</v>
      </c>
      <c r="PX28" s="1">
        <v>65</v>
      </c>
      <c r="PY28" s="1">
        <v>67</v>
      </c>
      <c r="PZ28" s="1"/>
      <c r="QA28" s="1"/>
      <c r="QB28" s="1"/>
      <c r="QC28" s="55">
        <v>65.666666666666671</v>
      </c>
      <c r="QD28" s="1"/>
      <c r="QE28" s="56">
        <v>65.666666666666671</v>
      </c>
      <c r="QF28" s="1"/>
      <c r="QG28" s="1"/>
      <c r="QH28" s="2">
        <v>1</v>
      </c>
      <c r="QI28" s="55">
        <v>97.058823529411768</v>
      </c>
      <c r="QJ28" s="1">
        <v>65</v>
      </c>
      <c r="QK28" s="1">
        <v>63</v>
      </c>
      <c r="QL28" s="1">
        <v>70</v>
      </c>
      <c r="QM28" s="1">
        <v>85</v>
      </c>
      <c r="QN28" s="1"/>
      <c r="QO28" s="1"/>
      <c r="QP28" s="55">
        <v>70.75</v>
      </c>
      <c r="QQ28" s="1"/>
      <c r="QR28" s="56">
        <v>70.75</v>
      </c>
      <c r="QS28" s="1"/>
      <c r="QT28" s="1"/>
      <c r="QU28" s="2">
        <v>0</v>
      </c>
      <c r="QV28" s="55">
        <v>100</v>
      </c>
      <c r="QW28" s="55">
        <v>68.208333333333343</v>
      </c>
      <c r="QX28" s="55" t="s">
        <v>230</v>
      </c>
      <c r="QY28" s="56">
        <v>68.208333333333343</v>
      </c>
      <c r="QZ28" s="57">
        <v>4</v>
      </c>
      <c r="RA28" s="55" t="s">
        <v>230</v>
      </c>
      <c r="RB28" s="1"/>
      <c r="RC28" s="58">
        <v>1</v>
      </c>
      <c r="RD28" s="59">
        <v>98.529411764705884</v>
      </c>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1369149</v>
      </c>
      <c r="UD28" s="39">
        <v>131</v>
      </c>
      <c r="UE28" s="39">
        <v>66</v>
      </c>
      <c r="UF28" s="1">
        <v>81</v>
      </c>
      <c r="UG28" s="1">
        <v>90</v>
      </c>
      <c r="UH28" s="1">
        <v>85</v>
      </c>
      <c r="UI28" s="1">
        <v>85</v>
      </c>
      <c r="UJ28" s="1"/>
      <c r="UK28" s="1"/>
      <c r="UL28" s="1"/>
      <c r="UM28" s="55">
        <v>86.666666666666671</v>
      </c>
      <c r="UN28" s="1"/>
      <c r="UO28" s="56">
        <v>86.666666666666671</v>
      </c>
      <c r="UP28" s="1"/>
      <c r="UQ28" s="1"/>
      <c r="UR28" s="2">
        <v>0</v>
      </c>
      <c r="US28" s="55">
        <v>100</v>
      </c>
      <c r="UT28" s="1">
        <v>100</v>
      </c>
      <c r="UU28" s="1">
        <v>100</v>
      </c>
      <c r="UV28" s="1">
        <v>90</v>
      </c>
      <c r="UW28" s="1"/>
      <c r="UX28" s="1"/>
      <c r="UY28" s="1"/>
      <c r="UZ28" s="55">
        <v>96.666666666666671</v>
      </c>
      <c r="VA28" s="1"/>
      <c r="VB28" s="56">
        <v>96.666666666666671</v>
      </c>
      <c r="VC28" s="1"/>
      <c r="VD28" s="1"/>
      <c r="VE28" s="2">
        <v>0</v>
      </c>
      <c r="VF28" s="55">
        <v>100</v>
      </c>
      <c r="VG28" s="55">
        <v>91.666666666666671</v>
      </c>
      <c r="VH28" s="55" t="s">
        <v>230</v>
      </c>
      <c r="VI28" s="56">
        <v>91.666666666666671</v>
      </c>
      <c r="VJ28" s="57">
        <v>5</v>
      </c>
      <c r="VK28" s="55" t="s">
        <v>230</v>
      </c>
      <c r="VL28" s="1"/>
      <c r="VM28" s="58">
        <v>0</v>
      </c>
      <c r="VN28" s="59">
        <v>100</v>
      </c>
      <c r="VO28" s="4">
        <v>1369149</v>
      </c>
      <c r="VP28" s="39">
        <v>132</v>
      </c>
      <c r="VQ28" s="39">
        <v>37</v>
      </c>
      <c r="VR28" s="1">
        <v>83</v>
      </c>
      <c r="VS28" s="1">
        <v>90</v>
      </c>
      <c r="VT28" s="1">
        <v>85</v>
      </c>
      <c r="VU28" s="1">
        <v>85</v>
      </c>
      <c r="VV28" s="1"/>
      <c r="VW28" s="1"/>
      <c r="VX28" s="1"/>
      <c r="VY28" s="55">
        <v>86.666666666666671</v>
      </c>
      <c r="VZ28" s="1"/>
      <c r="WA28" s="56">
        <v>86.666666666666671</v>
      </c>
      <c r="WB28" s="1"/>
      <c r="WC28" s="1"/>
      <c r="WD28" s="2">
        <v>0</v>
      </c>
      <c r="WE28" s="55">
        <v>100</v>
      </c>
      <c r="WF28" s="1">
        <v>100</v>
      </c>
      <c r="WG28" s="1">
        <v>100</v>
      </c>
      <c r="WH28" s="1">
        <v>100</v>
      </c>
      <c r="WI28" s="1"/>
      <c r="WJ28" s="1"/>
      <c r="WK28" s="1"/>
      <c r="WL28" s="55">
        <v>100</v>
      </c>
      <c r="WM28" s="1"/>
      <c r="WN28" s="56">
        <v>100</v>
      </c>
      <c r="WO28" s="1"/>
      <c r="WP28" s="1"/>
      <c r="WQ28" s="2">
        <v>0</v>
      </c>
      <c r="WR28" s="55">
        <v>100</v>
      </c>
      <c r="WS28" s="55">
        <v>93.333333333333343</v>
      </c>
      <c r="WT28" s="55" t="s">
        <v>230</v>
      </c>
      <c r="WU28" s="56">
        <v>93.333333333333343</v>
      </c>
      <c r="WV28" s="57">
        <v>5</v>
      </c>
      <c r="WW28" s="55" t="s">
        <v>230</v>
      </c>
      <c r="WX28" s="1"/>
      <c r="WY28" s="58">
        <v>0</v>
      </c>
      <c r="WZ28" s="59">
        <v>100</v>
      </c>
      <c r="XA28" s="4">
        <v>1787467</v>
      </c>
      <c r="XB28" s="39">
        <v>133</v>
      </c>
      <c r="XC28" s="39">
        <v>34</v>
      </c>
      <c r="XD28" s="1">
        <v>82</v>
      </c>
      <c r="XE28" s="1">
        <v>85</v>
      </c>
      <c r="XF28" s="1">
        <v>85</v>
      </c>
      <c r="XG28" s="1">
        <v>90</v>
      </c>
      <c r="XH28" s="1"/>
      <c r="XI28" s="1"/>
      <c r="XJ28" s="1"/>
      <c r="XK28" s="55">
        <v>86.666666666666671</v>
      </c>
      <c r="XL28" s="1"/>
      <c r="XM28" s="56">
        <v>86.666666666666671</v>
      </c>
      <c r="XN28" s="1"/>
      <c r="XO28" s="1"/>
      <c r="XP28" s="2">
        <v>0</v>
      </c>
      <c r="XQ28" s="55">
        <v>100</v>
      </c>
      <c r="XR28" s="1">
        <v>90</v>
      </c>
      <c r="XS28" s="1">
        <v>85</v>
      </c>
      <c r="XT28" s="1">
        <v>90</v>
      </c>
      <c r="XU28" s="1"/>
      <c r="XV28" s="1"/>
      <c r="XW28" s="1"/>
      <c r="XX28" s="55">
        <v>88.333333333333329</v>
      </c>
      <c r="XY28" s="1"/>
      <c r="XZ28" s="56">
        <v>88.333333333333329</v>
      </c>
      <c r="YA28" s="1"/>
      <c r="YB28" s="1"/>
      <c r="YC28" s="2">
        <v>0</v>
      </c>
      <c r="YD28" s="55">
        <v>100</v>
      </c>
      <c r="YE28" s="55">
        <v>87.5</v>
      </c>
      <c r="YF28" s="55" t="s">
        <v>230</v>
      </c>
      <c r="YG28" s="56">
        <v>87.5</v>
      </c>
      <c r="YH28" s="57">
        <v>5</v>
      </c>
      <c r="YI28" s="55" t="s">
        <v>230</v>
      </c>
      <c r="YJ28" s="1"/>
      <c r="YK28" s="58">
        <v>0</v>
      </c>
      <c r="YL28" s="59">
        <v>100</v>
      </c>
      <c r="YM28" s="4">
        <v>1369149</v>
      </c>
      <c r="YN28" s="39">
        <v>135</v>
      </c>
      <c r="YO28" s="39">
        <v>66</v>
      </c>
      <c r="YP28" s="1">
        <v>78</v>
      </c>
      <c r="YQ28" s="1">
        <v>80</v>
      </c>
      <c r="YR28" s="1">
        <v>90</v>
      </c>
      <c r="YS28" s="1">
        <v>90</v>
      </c>
      <c r="YT28" s="1"/>
      <c r="YU28" s="1"/>
      <c r="YV28" s="1"/>
      <c r="YW28" s="55">
        <v>86.666666666666671</v>
      </c>
      <c r="YX28" s="1"/>
      <c r="YY28" s="56">
        <v>86.666666666666671</v>
      </c>
      <c r="YZ28" s="1"/>
      <c r="ZA28" s="1"/>
      <c r="ZB28" s="2">
        <v>0</v>
      </c>
      <c r="ZC28" s="55">
        <v>100</v>
      </c>
      <c r="ZD28" s="1">
        <v>85</v>
      </c>
      <c r="ZE28" s="1">
        <v>85</v>
      </c>
      <c r="ZF28" s="1">
        <v>85</v>
      </c>
      <c r="ZG28" s="1"/>
      <c r="ZH28" s="1"/>
      <c r="ZI28" s="1"/>
      <c r="ZJ28" s="55">
        <v>85</v>
      </c>
      <c r="ZK28" s="1"/>
      <c r="ZL28" s="56">
        <v>85</v>
      </c>
      <c r="ZM28" s="1"/>
      <c r="ZN28" s="1"/>
      <c r="ZO28" s="2">
        <v>0</v>
      </c>
      <c r="ZP28" s="55">
        <v>100</v>
      </c>
      <c r="ZQ28" s="55">
        <v>85.833333333333343</v>
      </c>
      <c r="ZR28" s="55" t="s">
        <v>230</v>
      </c>
      <c r="ZS28" s="56">
        <v>85.833333333333343</v>
      </c>
      <c r="ZT28" s="57">
        <v>5</v>
      </c>
      <c r="ZU28" s="55" t="s">
        <v>230</v>
      </c>
      <c r="ZV28" s="1"/>
      <c r="ZW28" s="58">
        <v>0</v>
      </c>
      <c r="ZX28" s="59">
        <v>100</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c r="ACX28" s="39"/>
      <c r="ACY28" s="39"/>
      <c r="ACZ28" s="1"/>
      <c r="ADA28" s="1"/>
      <c r="ADB28" s="1"/>
      <c r="ADC28" s="1"/>
      <c r="ADD28" s="1"/>
      <c r="ADE28" s="1"/>
      <c r="ADF28" s="1"/>
      <c r="ADG28" s="55"/>
      <c r="ADH28" s="1"/>
      <c r="ADI28" s="56"/>
      <c r="ADJ28" s="1"/>
      <c r="ADK28" s="1"/>
      <c r="ADL28" s="2"/>
      <c r="ADM28" s="55"/>
      <c r="ADN28" s="1"/>
      <c r="ADO28" s="1"/>
      <c r="ADP28" s="1"/>
      <c r="ADQ28" s="1"/>
      <c r="ADR28" s="1"/>
      <c r="ADS28" s="1"/>
      <c r="ADT28" s="55"/>
      <c r="ADU28" s="1"/>
      <c r="ADV28" s="56"/>
      <c r="ADW28" s="1"/>
      <c r="ADX28" s="1"/>
      <c r="ADY28" s="2"/>
      <c r="ADZ28" s="55"/>
      <c r="AEA28" s="55"/>
      <c r="AEB28" s="55"/>
      <c r="AEC28" s="56"/>
      <c r="AED28" s="57"/>
      <c r="AEE28" s="55"/>
      <c r="AEF28" s="1"/>
      <c r="AEG28" s="58"/>
      <c r="AEH28" s="59"/>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3684757</v>
      </c>
      <c r="F29" s="89">
        <f t="shared" si="401"/>
        <v>3</v>
      </c>
      <c r="G29" s="89" t="str">
        <f t="shared" si="402"/>
        <v>B</v>
      </c>
      <c r="H29" s="37" t="s">
        <v>198</v>
      </c>
      <c r="I29" s="37" t="s">
        <v>199</v>
      </c>
      <c r="J29" s="41" t="s">
        <v>200</v>
      </c>
      <c r="K29" s="90" t="str">
        <f t="shared" si="403"/>
        <v>A</v>
      </c>
      <c r="L29" s="41" t="s">
        <v>119</v>
      </c>
      <c r="M29" s="93">
        <v>41547</v>
      </c>
      <c r="N29" s="41"/>
      <c r="O29" s="43" t="s">
        <v>218</v>
      </c>
      <c r="P29" s="91" t="str">
        <f t="shared" si="404"/>
        <v>Əliyeva Sevinc Kamal</v>
      </c>
      <c r="Q29" s="4">
        <v>1369149</v>
      </c>
      <c r="R29" s="39">
        <v>101</v>
      </c>
      <c r="S29" s="39">
        <v>303</v>
      </c>
      <c r="T29" s="1">
        <v>44</v>
      </c>
      <c r="U29" s="1">
        <v>0</v>
      </c>
      <c r="V29" s="1">
        <v>34</v>
      </c>
      <c r="W29" s="1">
        <v>35</v>
      </c>
      <c r="X29" s="1">
        <v>45</v>
      </c>
      <c r="Y29" s="1"/>
      <c r="Z29" s="1"/>
      <c r="AA29" s="55">
        <v>28.5</v>
      </c>
      <c r="AB29" s="1"/>
      <c r="AC29" s="56">
        <v>28.5</v>
      </c>
      <c r="AD29" s="1"/>
      <c r="AE29" s="1"/>
      <c r="AF29" s="2">
        <v>37</v>
      </c>
      <c r="AG29" s="55">
        <v>75.577557755775572</v>
      </c>
      <c r="AH29" s="1">
        <v>27</v>
      </c>
      <c r="AI29" s="1">
        <v>53</v>
      </c>
      <c r="AJ29" s="1">
        <v>68</v>
      </c>
      <c r="AK29" s="1">
        <v>65</v>
      </c>
      <c r="AL29" s="1"/>
      <c r="AM29" s="1"/>
      <c r="AN29" s="55">
        <v>53.25</v>
      </c>
      <c r="AO29" s="1"/>
      <c r="AP29" s="56">
        <v>53.25</v>
      </c>
      <c r="AQ29" s="1"/>
      <c r="AR29" s="1">
        <v>33.33</v>
      </c>
      <c r="AS29" s="2">
        <v>1</v>
      </c>
      <c r="AT29" s="55">
        <v>99.339933993399342</v>
      </c>
      <c r="AU29" s="55">
        <v>40.875</v>
      </c>
      <c r="AV29" s="55" t="s">
        <v>230</v>
      </c>
      <c r="AW29" s="56">
        <v>40.875</v>
      </c>
      <c r="AX29" s="57">
        <v>3</v>
      </c>
      <c r="AY29" s="55">
        <v>33.33</v>
      </c>
      <c r="AZ29" s="1"/>
      <c r="BA29" s="58">
        <v>38</v>
      </c>
      <c r="BB29" s="59">
        <v>87.458745874587464</v>
      </c>
      <c r="BC29" s="4"/>
      <c r="BD29" s="39"/>
      <c r="BE29" s="39"/>
      <c r="BF29" s="1"/>
      <c r="BG29" s="1"/>
      <c r="BH29" s="1"/>
      <c r="BI29" s="1"/>
      <c r="BJ29" s="1"/>
      <c r="BK29" s="1"/>
      <c r="BL29" s="1"/>
      <c r="BM29" s="55"/>
      <c r="BN29" s="1"/>
      <c r="BO29" s="56"/>
      <c r="BP29" s="1"/>
      <c r="BQ29" s="1"/>
      <c r="BR29" s="2"/>
      <c r="BS29" s="55"/>
      <c r="BT29" s="1"/>
      <c r="BU29" s="1"/>
      <c r="BV29" s="1"/>
      <c r="BW29" s="1"/>
      <c r="BX29" s="1"/>
      <c r="BY29" s="1"/>
      <c r="BZ29" s="55"/>
      <c r="CA29" s="1"/>
      <c r="CB29" s="56"/>
      <c r="CC29" s="1"/>
      <c r="CD29" s="1"/>
      <c r="CE29" s="2"/>
      <c r="CF29" s="55"/>
      <c r="CG29" s="55"/>
      <c r="CH29" s="55"/>
      <c r="CI29" s="56"/>
      <c r="CJ29" s="57"/>
      <c r="CK29" s="55"/>
      <c r="CL29" s="1"/>
      <c r="CM29" s="58"/>
      <c r="CN29" s="59"/>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v>1269215</v>
      </c>
      <c r="EB29" s="39">
        <v>106</v>
      </c>
      <c r="EC29" s="39">
        <v>33</v>
      </c>
      <c r="ED29" s="1">
        <v>46</v>
      </c>
      <c r="EE29" s="1">
        <v>35</v>
      </c>
      <c r="EF29" s="1">
        <v>35</v>
      </c>
      <c r="EG29" s="1">
        <v>71</v>
      </c>
      <c r="EH29" s="1"/>
      <c r="EI29" s="1"/>
      <c r="EJ29" s="1"/>
      <c r="EK29" s="55">
        <v>47</v>
      </c>
      <c r="EL29" s="1"/>
      <c r="EM29" s="56">
        <v>47</v>
      </c>
      <c r="EN29" s="1"/>
      <c r="EO29" s="1"/>
      <c r="EP29" s="2">
        <v>4</v>
      </c>
      <c r="EQ29" s="55">
        <v>75.757575757575751</v>
      </c>
      <c r="ER29" s="1">
        <v>60</v>
      </c>
      <c r="ES29" s="1">
        <v>65</v>
      </c>
      <c r="ET29" s="1">
        <v>53</v>
      </c>
      <c r="EU29" s="1"/>
      <c r="EV29" s="1"/>
      <c r="EW29" s="1"/>
      <c r="EX29" s="55">
        <v>59.333333333333336</v>
      </c>
      <c r="EY29" s="1"/>
      <c r="EZ29" s="56">
        <v>59.333333333333336</v>
      </c>
      <c r="FA29" s="1"/>
      <c r="FB29" s="1">
        <v>66.67</v>
      </c>
      <c r="FC29" s="2">
        <v>0</v>
      </c>
      <c r="FD29" s="55">
        <v>100</v>
      </c>
      <c r="FE29" s="55">
        <v>53.166666666666671</v>
      </c>
      <c r="FF29" s="55" t="s">
        <v>230</v>
      </c>
      <c r="FG29" s="56">
        <v>53.166666666666671</v>
      </c>
      <c r="FH29" s="57">
        <v>3</v>
      </c>
      <c r="FI29" s="55">
        <v>66.67</v>
      </c>
      <c r="FJ29" s="1"/>
      <c r="FK29" s="58">
        <v>4</v>
      </c>
      <c r="FL29" s="59">
        <v>87.878787878787875</v>
      </c>
      <c r="FM29" s="4">
        <v>1369149</v>
      </c>
      <c r="FN29" s="39">
        <v>110</v>
      </c>
      <c r="FO29" s="39">
        <v>168</v>
      </c>
      <c r="FP29" s="1">
        <v>39</v>
      </c>
      <c r="FQ29" s="1">
        <v>31</v>
      </c>
      <c r="FR29" s="1">
        <v>5</v>
      </c>
      <c r="FS29" s="1">
        <v>17</v>
      </c>
      <c r="FT29" s="1">
        <v>35</v>
      </c>
      <c r="FU29" s="1"/>
      <c r="FV29" s="1"/>
      <c r="FW29" s="55">
        <v>22</v>
      </c>
      <c r="FX29" s="1"/>
      <c r="FY29" s="56">
        <v>22</v>
      </c>
      <c r="FZ29" s="1"/>
      <c r="GA29" s="1"/>
      <c r="GB29" s="2">
        <v>20</v>
      </c>
      <c r="GC29" s="55">
        <v>76.19047619047619</v>
      </c>
      <c r="GD29" s="1">
        <v>46</v>
      </c>
      <c r="GE29" s="1">
        <v>35</v>
      </c>
      <c r="GF29" s="1">
        <v>38</v>
      </c>
      <c r="GG29" s="1">
        <v>65</v>
      </c>
      <c r="GH29" s="1"/>
      <c r="GI29" s="1"/>
      <c r="GJ29" s="55">
        <v>46</v>
      </c>
      <c r="GK29" s="1"/>
      <c r="GL29" s="56">
        <v>46</v>
      </c>
      <c r="GM29" s="1"/>
      <c r="GN29" s="1">
        <v>27.78</v>
      </c>
      <c r="GO29" s="2">
        <v>0</v>
      </c>
      <c r="GP29" s="55">
        <v>100</v>
      </c>
      <c r="GQ29" s="55">
        <v>34</v>
      </c>
      <c r="GR29" s="55" t="s">
        <v>230</v>
      </c>
      <c r="GS29" s="56">
        <v>34</v>
      </c>
      <c r="GT29" s="57">
        <v>3</v>
      </c>
      <c r="GU29" s="55">
        <v>27.78</v>
      </c>
      <c r="GV29" s="1"/>
      <c r="GW29" s="58">
        <v>20</v>
      </c>
      <c r="GX29" s="59">
        <v>88.095238095238102</v>
      </c>
      <c r="GY29" s="4">
        <v>1791291</v>
      </c>
      <c r="GZ29" s="39">
        <v>114</v>
      </c>
      <c r="HA29" s="39">
        <v>33</v>
      </c>
      <c r="HB29" s="1">
        <v>50</v>
      </c>
      <c r="HC29" s="1">
        <v>40</v>
      </c>
      <c r="HD29" s="1">
        <v>50</v>
      </c>
      <c r="HE29" s="1">
        <v>45</v>
      </c>
      <c r="HF29" s="1"/>
      <c r="HG29" s="1"/>
      <c r="HH29" s="1"/>
      <c r="HI29" s="55">
        <v>45</v>
      </c>
      <c r="HJ29" s="1"/>
      <c r="HK29" s="56">
        <v>45</v>
      </c>
      <c r="HL29" s="1"/>
      <c r="HM29" s="1"/>
      <c r="HN29" s="2">
        <v>2</v>
      </c>
      <c r="HO29" s="55">
        <v>87.878787878787875</v>
      </c>
      <c r="HP29" s="1">
        <v>35</v>
      </c>
      <c r="HQ29" s="1">
        <v>45</v>
      </c>
      <c r="HR29" s="1">
        <v>35</v>
      </c>
      <c r="HS29" s="1"/>
      <c r="HT29" s="1"/>
      <c r="HU29" s="1"/>
      <c r="HV29" s="55">
        <v>38.333333333333336</v>
      </c>
      <c r="HW29" s="1"/>
      <c r="HX29" s="56">
        <v>38.333333333333336</v>
      </c>
      <c r="HY29" s="1"/>
      <c r="HZ29" s="1"/>
      <c r="IA29" s="2">
        <v>0</v>
      </c>
      <c r="IB29" s="55">
        <v>100</v>
      </c>
      <c r="IC29" s="55">
        <v>41.666666666666671</v>
      </c>
      <c r="ID29" s="55" t="s">
        <v>230</v>
      </c>
      <c r="IE29" s="56">
        <v>41.666666666666671</v>
      </c>
      <c r="IF29" s="57">
        <v>3</v>
      </c>
      <c r="IG29" s="55" t="s">
        <v>230</v>
      </c>
      <c r="IH29" s="1"/>
      <c r="II29" s="58">
        <v>2</v>
      </c>
      <c r="IJ29" s="59">
        <v>93.939393939393938</v>
      </c>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c r="JX29" s="39"/>
      <c r="JY29" s="39"/>
      <c r="JZ29" s="1"/>
      <c r="KA29" s="1"/>
      <c r="KB29" s="1"/>
      <c r="KC29" s="1"/>
      <c r="KD29" s="1"/>
      <c r="KE29" s="1"/>
      <c r="KF29" s="1"/>
      <c r="KG29" s="55"/>
      <c r="KH29" s="1"/>
      <c r="KI29" s="56"/>
      <c r="KJ29" s="1"/>
      <c r="KK29" s="1"/>
      <c r="KL29" s="2"/>
      <c r="KM29" s="55"/>
      <c r="KN29" s="1"/>
      <c r="KO29" s="1"/>
      <c r="KP29" s="1"/>
      <c r="KQ29" s="1"/>
      <c r="KR29" s="1"/>
      <c r="KS29" s="1"/>
      <c r="KT29" s="55"/>
      <c r="KU29" s="1"/>
      <c r="KV29" s="56"/>
      <c r="KW29" s="1"/>
      <c r="KX29" s="1"/>
      <c r="KY29" s="2"/>
      <c r="KZ29" s="55"/>
      <c r="LA29" s="55"/>
      <c r="LB29" s="55"/>
      <c r="LC29" s="56"/>
      <c r="LD29" s="57"/>
      <c r="LE29" s="55"/>
      <c r="LF29" s="1"/>
      <c r="LG29" s="58"/>
      <c r="LH29" s="59"/>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v>1369149</v>
      </c>
      <c r="PT29" s="39">
        <v>128</v>
      </c>
      <c r="PU29" s="39">
        <v>68</v>
      </c>
      <c r="PV29" s="1">
        <v>60</v>
      </c>
      <c r="PW29" s="1">
        <v>35</v>
      </c>
      <c r="PX29" s="1">
        <v>35</v>
      </c>
      <c r="PY29" s="1">
        <v>55</v>
      </c>
      <c r="PZ29" s="1"/>
      <c r="QA29" s="1"/>
      <c r="QB29" s="1"/>
      <c r="QC29" s="55">
        <v>41.666666666666664</v>
      </c>
      <c r="QD29" s="1"/>
      <c r="QE29" s="56">
        <v>41.666666666666664</v>
      </c>
      <c r="QF29" s="1"/>
      <c r="QG29" s="1"/>
      <c r="QH29" s="2">
        <v>9</v>
      </c>
      <c r="QI29" s="55">
        <v>73.529411764705884</v>
      </c>
      <c r="QJ29" s="1">
        <v>20</v>
      </c>
      <c r="QK29" s="1">
        <v>53</v>
      </c>
      <c r="QL29" s="1">
        <v>60</v>
      </c>
      <c r="QM29" s="1">
        <v>60</v>
      </c>
      <c r="QN29" s="1"/>
      <c r="QO29" s="1"/>
      <c r="QP29" s="55">
        <v>48.25</v>
      </c>
      <c r="QQ29" s="1"/>
      <c r="QR29" s="56">
        <v>48.25</v>
      </c>
      <c r="QS29" s="1"/>
      <c r="QT29" s="1"/>
      <c r="QU29" s="2">
        <v>0</v>
      </c>
      <c r="QV29" s="55">
        <v>100</v>
      </c>
      <c r="QW29" s="55">
        <v>44.958333333333329</v>
      </c>
      <c r="QX29" s="55" t="s">
        <v>230</v>
      </c>
      <c r="QY29" s="56">
        <v>44.958333333333329</v>
      </c>
      <c r="QZ29" s="57">
        <v>3</v>
      </c>
      <c r="RA29" s="55" t="s">
        <v>230</v>
      </c>
      <c r="RB29" s="1"/>
      <c r="RC29" s="58">
        <v>9</v>
      </c>
      <c r="RD29" s="59">
        <v>86.764705882352942</v>
      </c>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1369149</v>
      </c>
      <c r="UD29" s="39">
        <v>131</v>
      </c>
      <c r="UE29" s="39">
        <v>66</v>
      </c>
      <c r="UF29" s="1">
        <v>64</v>
      </c>
      <c r="UG29" s="1">
        <v>50</v>
      </c>
      <c r="UH29" s="1">
        <v>60</v>
      </c>
      <c r="UI29" s="1">
        <v>65</v>
      </c>
      <c r="UJ29" s="1"/>
      <c r="UK29" s="1"/>
      <c r="UL29" s="1"/>
      <c r="UM29" s="55">
        <v>58.333333333333336</v>
      </c>
      <c r="UN29" s="1"/>
      <c r="UO29" s="56">
        <v>58.333333333333336</v>
      </c>
      <c r="UP29" s="1"/>
      <c r="UQ29" s="1"/>
      <c r="UR29" s="2">
        <v>9</v>
      </c>
      <c r="US29" s="55">
        <v>72.727272727272734</v>
      </c>
      <c r="UT29" s="1">
        <v>65</v>
      </c>
      <c r="UU29" s="1">
        <v>70</v>
      </c>
      <c r="UV29" s="1">
        <v>85</v>
      </c>
      <c r="UW29" s="1"/>
      <c r="UX29" s="1"/>
      <c r="UY29" s="1"/>
      <c r="UZ29" s="55">
        <v>73.333333333333329</v>
      </c>
      <c r="VA29" s="1"/>
      <c r="VB29" s="56">
        <v>73.333333333333329</v>
      </c>
      <c r="VC29" s="1"/>
      <c r="VD29" s="1"/>
      <c r="VE29" s="2">
        <v>1</v>
      </c>
      <c r="VF29" s="55">
        <v>96.969696969696969</v>
      </c>
      <c r="VG29" s="55">
        <v>65.833333333333329</v>
      </c>
      <c r="VH29" s="55" t="s">
        <v>230</v>
      </c>
      <c r="VI29" s="56">
        <v>65.833333333333329</v>
      </c>
      <c r="VJ29" s="57">
        <v>4</v>
      </c>
      <c r="VK29" s="55" t="s">
        <v>230</v>
      </c>
      <c r="VL29" s="1"/>
      <c r="VM29" s="58">
        <v>10</v>
      </c>
      <c r="VN29" s="59">
        <v>84.848484848484844</v>
      </c>
      <c r="VO29" s="4">
        <v>1369149</v>
      </c>
      <c r="VP29" s="39">
        <v>132</v>
      </c>
      <c r="VQ29" s="39">
        <v>37</v>
      </c>
      <c r="VR29" s="1">
        <v>61</v>
      </c>
      <c r="VS29" s="1">
        <v>50</v>
      </c>
      <c r="VT29" s="1">
        <v>50</v>
      </c>
      <c r="VU29" s="1">
        <v>70</v>
      </c>
      <c r="VV29" s="1"/>
      <c r="VW29" s="1"/>
      <c r="VX29" s="1"/>
      <c r="VY29" s="55">
        <v>56.666666666666664</v>
      </c>
      <c r="VZ29" s="1"/>
      <c r="WA29" s="56">
        <v>56.666666666666664</v>
      </c>
      <c r="WB29" s="1"/>
      <c r="WC29" s="1"/>
      <c r="WD29" s="2">
        <v>4</v>
      </c>
      <c r="WE29" s="55">
        <v>78.378378378378372</v>
      </c>
      <c r="WF29" s="1">
        <v>65</v>
      </c>
      <c r="WG29" s="1">
        <v>70</v>
      </c>
      <c r="WH29" s="1">
        <v>70</v>
      </c>
      <c r="WI29" s="1"/>
      <c r="WJ29" s="1"/>
      <c r="WK29" s="1"/>
      <c r="WL29" s="55">
        <v>68.333333333333329</v>
      </c>
      <c r="WM29" s="1"/>
      <c r="WN29" s="56">
        <v>68.333333333333329</v>
      </c>
      <c r="WO29" s="1"/>
      <c r="WP29" s="1"/>
      <c r="WQ29" s="2">
        <v>1</v>
      </c>
      <c r="WR29" s="55">
        <v>94.594594594594597</v>
      </c>
      <c r="WS29" s="55">
        <v>62.5</v>
      </c>
      <c r="WT29" s="55" t="s">
        <v>230</v>
      </c>
      <c r="WU29" s="56">
        <v>62.5</v>
      </c>
      <c r="WV29" s="57">
        <v>4</v>
      </c>
      <c r="WW29" s="55" t="s">
        <v>230</v>
      </c>
      <c r="WX29" s="1"/>
      <c r="WY29" s="58">
        <v>5</v>
      </c>
      <c r="WZ29" s="59">
        <v>86.486486486486484</v>
      </c>
      <c r="XA29" s="4">
        <v>1787467</v>
      </c>
      <c r="XB29" s="39">
        <v>133</v>
      </c>
      <c r="XC29" s="39">
        <v>34</v>
      </c>
      <c r="XD29" s="1">
        <v>58</v>
      </c>
      <c r="XE29" s="1">
        <v>55</v>
      </c>
      <c r="XF29" s="1">
        <v>55</v>
      </c>
      <c r="XG29" s="1">
        <v>55</v>
      </c>
      <c r="XH29" s="1"/>
      <c r="XI29" s="1"/>
      <c r="XJ29" s="1"/>
      <c r="XK29" s="55">
        <v>55</v>
      </c>
      <c r="XL29" s="1"/>
      <c r="XM29" s="56">
        <v>55</v>
      </c>
      <c r="XN29" s="1"/>
      <c r="XO29" s="1"/>
      <c r="XP29" s="2">
        <v>1</v>
      </c>
      <c r="XQ29" s="55">
        <v>94.117647058823536</v>
      </c>
      <c r="XR29" s="1">
        <v>60</v>
      </c>
      <c r="XS29" s="1">
        <v>55</v>
      </c>
      <c r="XT29" s="1">
        <v>60</v>
      </c>
      <c r="XU29" s="1"/>
      <c r="XV29" s="1"/>
      <c r="XW29" s="1"/>
      <c r="XX29" s="55">
        <v>58.333333333333336</v>
      </c>
      <c r="XY29" s="1"/>
      <c r="XZ29" s="56">
        <v>58.333333333333336</v>
      </c>
      <c r="YA29" s="1"/>
      <c r="YB29" s="1"/>
      <c r="YC29" s="2">
        <v>0</v>
      </c>
      <c r="YD29" s="55">
        <v>100</v>
      </c>
      <c r="YE29" s="55">
        <v>56.666666666666671</v>
      </c>
      <c r="YF29" s="55" t="s">
        <v>230</v>
      </c>
      <c r="YG29" s="56">
        <v>56.666666666666671</v>
      </c>
      <c r="YH29" s="57">
        <v>3</v>
      </c>
      <c r="YI29" s="55" t="s">
        <v>230</v>
      </c>
      <c r="YJ29" s="1"/>
      <c r="YK29" s="58">
        <v>1</v>
      </c>
      <c r="YL29" s="59">
        <v>97.058823529411768</v>
      </c>
      <c r="YM29" s="4">
        <v>1369149</v>
      </c>
      <c r="YN29" s="39">
        <v>135</v>
      </c>
      <c r="YO29" s="39">
        <v>66</v>
      </c>
      <c r="YP29" s="1">
        <v>63</v>
      </c>
      <c r="YQ29" s="1">
        <v>50</v>
      </c>
      <c r="YR29" s="1">
        <v>60</v>
      </c>
      <c r="YS29" s="1">
        <v>60</v>
      </c>
      <c r="YT29" s="1"/>
      <c r="YU29" s="1"/>
      <c r="YV29" s="1"/>
      <c r="YW29" s="55">
        <v>56.666666666666664</v>
      </c>
      <c r="YX29" s="1"/>
      <c r="YY29" s="56">
        <v>56.666666666666664</v>
      </c>
      <c r="YZ29" s="1"/>
      <c r="ZA29" s="1"/>
      <c r="ZB29" s="2">
        <v>6</v>
      </c>
      <c r="ZC29" s="55">
        <v>81.818181818181813</v>
      </c>
      <c r="ZD29" s="1">
        <v>65</v>
      </c>
      <c r="ZE29" s="1">
        <v>65</v>
      </c>
      <c r="ZF29" s="1">
        <v>65</v>
      </c>
      <c r="ZG29" s="1"/>
      <c r="ZH29" s="1"/>
      <c r="ZI29" s="1"/>
      <c r="ZJ29" s="55">
        <v>65</v>
      </c>
      <c r="ZK29" s="1"/>
      <c r="ZL29" s="56">
        <v>65</v>
      </c>
      <c r="ZM29" s="1"/>
      <c r="ZN29" s="1"/>
      <c r="ZO29" s="2">
        <v>0</v>
      </c>
      <c r="ZP29" s="55">
        <v>100</v>
      </c>
      <c r="ZQ29" s="55">
        <v>60.833333333333329</v>
      </c>
      <c r="ZR29" s="55" t="s">
        <v>230</v>
      </c>
      <c r="ZS29" s="56">
        <v>60.833333333333329</v>
      </c>
      <c r="ZT29" s="57">
        <v>4</v>
      </c>
      <c r="ZU29" s="55" t="s">
        <v>230</v>
      </c>
      <c r="ZV29" s="1"/>
      <c r="ZW29" s="58">
        <v>6</v>
      </c>
      <c r="ZX29" s="59">
        <v>90.909090909090907</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c r="ACX29" s="39"/>
      <c r="ACY29" s="39"/>
      <c r="ACZ29" s="1"/>
      <c r="ADA29" s="1"/>
      <c r="ADB29" s="1"/>
      <c r="ADC29" s="1"/>
      <c r="ADD29" s="1"/>
      <c r="ADE29" s="1"/>
      <c r="ADF29" s="1"/>
      <c r="ADG29" s="55"/>
      <c r="ADH29" s="1"/>
      <c r="ADI29" s="56"/>
      <c r="ADJ29" s="1"/>
      <c r="ADK29" s="1"/>
      <c r="ADL29" s="2"/>
      <c r="ADM29" s="55"/>
      <c r="ADN29" s="1"/>
      <c r="ADO29" s="1"/>
      <c r="ADP29" s="1"/>
      <c r="ADQ29" s="1"/>
      <c r="ADR29" s="1"/>
      <c r="ADS29" s="1"/>
      <c r="ADT29" s="55"/>
      <c r="ADU29" s="1"/>
      <c r="ADV29" s="56"/>
      <c r="ADW29" s="1"/>
      <c r="ADX29" s="1"/>
      <c r="ADY29" s="2"/>
      <c r="ADZ29" s="55"/>
      <c r="AEA29" s="55"/>
      <c r="AEB29" s="55"/>
      <c r="AEC29" s="56"/>
      <c r="AED29" s="57"/>
      <c r="AEE29" s="55"/>
      <c r="AEF29" s="1"/>
      <c r="AEG29" s="58"/>
      <c r="AEH29" s="59"/>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3573705</v>
      </c>
      <c r="F30" s="89">
        <f t="shared" si="401"/>
        <v>3</v>
      </c>
      <c r="G30" s="89" t="str">
        <f t="shared" si="402"/>
        <v>B</v>
      </c>
      <c r="H30" s="37" t="s">
        <v>201</v>
      </c>
      <c r="I30" s="37" t="s">
        <v>202</v>
      </c>
      <c r="J30" s="41" t="s">
        <v>203</v>
      </c>
      <c r="K30" s="90" t="str">
        <f t="shared" si="403"/>
        <v>A</v>
      </c>
      <c r="L30" s="41" t="s">
        <v>119</v>
      </c>
      <c r="M30" s="93">
        <v>41779</v>
      </c>
      <c r="N30" s="41"/>
      <c r="O30" s="43" t="s">
        <v>219</v>
      </c>
      <c r="P30" s="91" t="str">
        <f t="shared" si="404"/>
        <v>Əliyeva Sevinc Kamal</v>
      </c>
      <c r="Q30" s="4">
        <v>1369149</v>
      </c>
      <c r="R30" s="39">
        <v>101</v>
      </c>
      <c r="S30" s="39">
        <v>303</v>
      </c>
      <c r="T30" s="1">
        <v>77</v>
      </c>
      <c r="U30" s="1">
        <v>78</v>
      </c>
      <c r="V30" s="1">
        <v>71</v>
      </c>
      <c r="W30" s="1">
        <v>81</v>
      </c>
      <c r="X30" s="1">
        <v>90</v>
      </c>
      <c r="Y30" s="1"/>
      <c r="Z30" s="1"/>
      <c r="AA30" s="55">
        <v>80</v>
      </c>
      <c r="AB30" s="1"/>
      <c r="AC30" s="56">
        <v>80</v>
      </c>
      <c r="AD30" s="1"/>
      <c r="AE30" s="1"/>
      <c r="AF30" s="2">
        <v>11</v>
      </c>
      <c r="AG30" s="55">
        <v>92.739273927392745</v>
      </c>
      <c r="AH30" s="1">
        <v>64</v>
      </c>
      <c r="AI30" s="1">
        <v>87</v>
      </c>
      <c r="AJ30" s="1">
        <v>82</v>
      </c>
      <c r="AK30" s="1">
        <v>85</v>
      </c>
      <c r="AL30" s="1"/>
      <c r="AM30" s="1"/>
      <c r="AN30" s="55">
        <v>79.5</v>
      </c>
      <c r="AO30" s="1"/>
      <c r="AP30" s="56">
        <v>79.5</v>
      </c>
      <c r="AQ30" s="1"/>
      <c r="AR30" s="1">
        <v>33.33</v>
      </c>
      <c r="AS30" s="2">
        <v>0</v>
      </c>
      <c r="AT30" s="55">
        <v>100</v>
      </c>
      <c r="AU30" s="55">
        <v>79.75</v>
      </c>
      <c r="AV30" s="55" t="s">
        <v>230</v>
      </c>
      <c r="AW30" s="56">
        <v>79.75</v>
      </c>
      <c r="AX30" s="57">
        <v>4</v>
      </c>
      <c r="AY30" s="55">
        <v>33.33</v>
      </c>
      <c r="AZ30" s="1"/>
      <c r="BA30" s="58">
        <v>11</v>
      </c>
      <c r="BB30" s="59">
        <v>96.369636963696365</v>
      </c>
      <c r="BC30" s="4"/>
      <c r="BD30" s="39"/>
      <c r="BE30" s="39"/>
      <c r="BF30" s="1"/>
      <c r="BG30" s="1"/>
      <c r="BH30" s="1"/>
      <c r="BI30" s="1"/>
      <c r="BJ30" s="1"/>
      <c r="BK30" s="1"/>
      <c r="BL30" s="1"/>
      <c r="BM30" s="55"/>
      <c r="BN30" s="1"/>
      <c r="BO30" s="56"/>
      <c r="BP30" s="1"/>
      <c r="BQ30" s="1"/>
      <c r="BR30" s="2"/>
      <c r="BS30" s="55"/>
      <c r="BT30" s="1"/>
      <c r="BU30" s="1"/>
      <c r="BV30" s="1"/>
      <c r="BW30" s="1"/>
      <c r="BX30" s="1"/>
      <c r="BY30" s="1"/>
      <c r="BZ30" s="55"/>
      <c r="CA30" s="1"/>
      <c r="CB30" s="56"/>
      <c r="CC30" s="1"/>
      <c r="CD30" s="1"/>
      <c r="CE30" s="2"/>
      <c r="CF30" s="55"/>
      <c r="CG30" s="55"/>
      <c r="CH30" s="55"/>
      <c r="CI30" s="56"/>
      <c r="CJ30" s="57"/>
      <c r="CK30" s="55"/>
      <c r="CL30" s="1"/>
      <c r="CM30" s="58"/>
      <c r="CN30" s="59"/>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v>1269215</v>
      </c>
      <c r="EB30" s="39">
        <v>106</v>
      </c>
      <c r="EC30" s="39">
        <v>33</v>
      </c>
      <c r="ED30" s="1">
        <v>44</v>
      </c>
      <c r="EE30" s="1">
        <v>38</v>
      </c>
      <c r="EF30" s="1">
        <v>32</v>
      </c>
      <c r="EG30" s="1">
        <v>56</v>
      </c>
      <c r="EH30" s="1"/>
      <c r="EI30" s="1"/>
      <c r="EJ30" s="1"/>
      <c r="EK30" s="55">
        <v>42</v>
      </c>
      <c r="EL30" s="1"/>
      <c r="EM30" s="56">
        <v>42</v>
      </c>
      <c r="EN30" s="1"/>
      <c r="EO30" s="1"/>
      <c r="EP30" s="2">
        <v>1</v>
      </c>
      <c r="EQ30" s="55">
        <v>93.939393939393938</v>
      </c>
      <c r="ER30" s="1">
        <v>80</v>
      </c>
      <c r="ES30" s="1">
        <v>85</v>
      </c>
      <c r="ET30" s="1">
        <v>45</v>
      </c>
      <c r="EU30" s="1"/>
      <c r="EV30" s="1"/>
      <c r="EW30" s="1"/>
      <c r="EX30" s="55">
        <v>70</v>
      </c>
      <c r="EY30" s="1"/>
      <c r="EZ30" s="56">
        <v>70</v>
      </c>
      <c r="FA30" s="1"/>
      <c r="FB30" s="1">
        <v>16.670000000000002</v>
      </c>
      <c r="FC30" s="2">
        <v>0</v>
      </c>
      <c r="FD30" s="55">
        <v>100</v>
      </c>
      <c r="FE30" s="55">
        <v>56</v>
      </c>
      <c r="FF30" s="55" t="s">
        <v>230</v>
      </c>
      <c r="FG30" s="56">
        <v>56</v>
      </c>
      <c r="FH30" s="57">
        <v>3</v>
      </c>
      <c r="FI30" s="55">
        <v>16.670000000000002</v>
      </c>
      <c r="FJ30" s="1"/>
      <c r="FK30" s="58">
        <v>1</v>
      </c>
      <c r="FL30" s="59">
        <v>96.969696969696969</v>
      </c>
      <c r="FM30" s="4">
        <v>1369149</v>
      </c>
      <c r="FN30" s="39">
        <v>110</v>
      </c>
      <c r="FO30" s="39">
        <v>168</v>
      </c>
      <c r="FP30" s="1">
        <v>72</v>
      </c>
      <c r="FQ30" s="1">
        <v>54</v>
      </c>
      <c r="FR30" s="1">
        <v>100</v>
      </c>
      <c r="FS30" s="1">
        <v>68</v>
      </c>
      <c r="FT30" s="1">
        <v>70</v>
      </c>
      <c r="FU30" s="1"/>
      <c r="FV30" s="1"/>
      <c r="FW30" s="55">
        <v>73</v>
      </c>
      <c r="FX30" s="1"/>
      <c r="FY30" s="56">
        <v>73</v>
      </c>
      <c r="FZ30" s="1"/>
      <c r="GA30" s="1"/>
      <c r="GB30" s="2">
        <v>5</v>
      </c>
      <c r="GC30" s="55">
        <v>94.047619047619051</v>
      </c>
      <c r="GD30" s="1">
        <v>43</v>
      </c>
      <c r="GE30" s="1">
        <v>79</v>
      </c>
      <c r="GF30" s="1">
        <v>88</v>
      </c>
      <c r="GG30" s="1">
        <v>90</v>
      </c>
      <c r="GH30" s="1"/>
      <c r="GI30" s="1"/>
      <c r="GJ30" s="55">
        <v>75</v>
      </c>
      <c r="GK30" s="1"/>
      <c r="GL30" s="56">
        <v>75</v>
      </c>
      <c r="GM30" s="1"/>
      <c r="GN30" s="1">
        <v>38.89</v>
      </c>
      <c r="GO30" s="2">
        <v>0</v>
      </c>
      <c r="GP30" s="55">
        <v>100</v>
      </c>
      <c r="GQ30" s="55">
        <v>74</v>
      </c>
      <c r="GR30" s="55" t="s">
        <v>230</v>
      </c>
      <c r="GS30" s="56">
        <v>74</v>
      </c>
      <c r="GT30" s="57">
        <v>4</v>
      </c>
      <c r="GU30" s="55">
        <v>38.89</v>
      </c>
      <c r="GV30" s="1"/>
      <c r="GW30" s="58">
        <v>5</v>
      </c>
      <c r="GX30" s="59">
        <v>97.023809523809518</v>
      </c>
      <c r="GY30" s="4">
        <v>1791291</v>
      </c>
      <c r="GZ30" s="39">
        <v>114</v>
      </c>
      <c r="HA30" s="39">
        <v>33</v>
      </c>
      <c r="HB30" s="1">
        <v>63</v>
      </c>
      <c r="HC30" s="1">
        <v>60</v>
      </c>
      <c r="HD30" s="1">
        <v>80</v>
      </c>
      <c r="HE30" s="1">
        <v>80</v>
      </c>
      <c r="HF30" s="1"/>
      <c r="HG30" s="1"/>
      <c r="HH30" s="1"/>
      <c r="HI30" s="55">
        <v>73.333333333333329</v>
      </c>
      <c r="HJ30" s="1"/>
      <c r="HK30" s="56">
        <v>73.333333333333329</v>
      </c>
      <c r="HL30" s="1"/>
      <c r="HM30" s="1"/>
      <c r="HN30" s="2">
        <v>0</v>
      </c>
      <c r="HO30" s="55">
        <v>100</v>
      </c>
      <c r="HP30" s="1">
        <v>75</v>
      </c>
      <c r="HQ30" s="1">
        <v>75</v>
      </c>
      <c r="HR30" s="1">
        <v>65</v>
      </c>
      <c r="HS30" s="1"/>
      <c r="HT30" s="1"/>
      <c r="HU30" s="1"/>
      <c r="HV30" s="55">
        <v>71.666666666666671</v>
      </c>
      <c r="HW30" s="1"/>
      <c r="HX30" s="56">
        <v>71.666666666666671</v>
      </c>
      <c r="HY30" s="1"/>
      <c r="HZ30" s="1"/>
      <c r="IA30" s="2">
        <v>0</v>
      </c>
      <c r="IB30" s="55">
        <v>100</v>
      </c>
      <c r="IC30" s="55">
        <v>72.5</v>
      </c>
      <c r="ID30" s="55" t="s">
        <v>230</v>
      </c>
      <c r="IE30" s="56">
        <v>72.5</v>
      </c>
      <c r="IF30" s="57">
        <v>4</v>
      </c>
      <c r="IG30" s="55" t="s">
        <v>230</v>
      </c>
      <c r="IH30" s="1"/>
      <c r="II30" s="58">
        <v>0</v>
      </c>
      <c r="IJ30" s="59">
        <v>100</v>
      </c>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c r="JX30" s="39"/>
      <c r="JY30" s="39"/>
      <c r="JZ30" s="1"/>
      <c r="KA30" s="1"/>
      <c r="KB30" s="1"/>
      <c r="KC30" s="1"/>
      <c r="KD30" s="1"/>
      <c r="KE30" s="1"/>
      <c r="KF30" s="1"/>
      <c r="KG30" s="55"/>
      <c r="KH30" s="1"/>
      <c r="KI30" s="56"/>
      <c r="KJ30" s="1"/>
      <c r="KK30" s="1"/>
      <c r="KL30" s="2"/>
      <c r="KM30" s="55"/>
      <c r="KN30" s="1"/>
      <c r="KO30" s="1"/>
      <c r="KP30" s="1"/>
      <c r="KQ30" s="1"/>
      <c r="KR30" s="1"/>
      <c r="KS30" s="1"/>
      <c r="KT30" s="55"/>
      <c r="KU30" s="1"/>
      <c r="KV30" s="56"/>
      <c r="KW30" s="1"/>
      <c r="KX30" s="1"/>
      <c r="KY30" s="2"/>
      <c r="KZ30" s="55"/>
      <c r="LA30" s="55"/>
      <c r="LB30" s="55"/>
      <c r="LC30" s="56"/>
      <c r="LD30" s="57"/>
      <c r="LE30" s="55"/>
      <c r="LF30" s="1"/>
      <c r="LG30" s="58"/>
      <c r="LH30" s="59"/>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v>1369149</v>
      </c>
      <c r="PT30" s="39">
        <v>128</v>
      </c>
      <c r="PU30" s="39">
        <v>68</v>
      </c>
      <c r="PV30" s="1">
        <v>61</v>
      </c>
      <c r="PW30" s="1">
        <v>65</v>
      </c>
      <c r="PX30" s="1">
        <v>65</v>
      </c>
      <c r="PY30" s="1">
        <v>88</v>
      </c>
      <c r="PZ30" s="1"/>
      <c r="QA30" s="1"/>
      <c r="QB30" s="1"/>
      <c r="QC30" s="55">
        <v>72.666666666666671</v>
      </c>
      <c r="QD30" s="1"/>
      <c r="QE30" s="56">
        <v>72.666666666666671</v>
      </c>
      <c r="QF30" s="1"/>
      <c r="QG30" s="1"/>
      <c r="QH30" s="2">
        <v>1</v>
      </c>
      <c r="QI30" s="55">
        <v>97.058823529411768</v>
      </c>
      <c r="QJ30" s="1">
        <v>85</v>
      </c>
      <c r="QK30" s="1">
        <v>49</v>
      </c>
      <c r="QL30" s="1">
        <v>70</v>
      </c>
      <c r="QM30" s="1">
        <v>70</v>
      </c>
      <c r="QN30" s="1"/>
      <c r="QO30" s="1"/>
      <c r="QP30" s="55">
        <v>68.5</v>
      </c>
      <c r="QQ30" s="1"/>
      <c r="QR30" s="56">
        <v>68.5</v>
      </c>
      <c r="QS30" s="1"/>
      <c r="QT30" s="1"/>
      <c r="QU30" s="2">
        <v>0</v>
      </c>
      <c r="QV30" s="55">
        <v>100</v>
      </c>
      <c r="QW30" s="55">
        <v>70.583333333333343</v>
      </c>
      <c r="QX30" s="55" t="s">
        <v>230</v>
      </c>
      <c r="QY30" s="56">
        <v>70.583333333333343</v>
      </c>
      <c r="QZ30" s="57">
        <v>4</v>
      </c>
      <c r="RA30" s="55" t="s">
        <v>230</v>
      </c>
      <c r="RB30" s="1"/>
      <c r="RC30" s="58">
        <v>1</v>
      </c>
      <c r="RD30" s="59">
        <v>98.529411764705884</v>
      </c>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1369149</v>
      </c>
      <c r="UD30" s="39">
        <v>131</v>
      </c>
      <c r="UE30" s="39">
        <v>66</v>
      </c>
      <c r="UF30" s="1">
        <v>87</v>
      </c>
      <c r="UG30" s="1">
        <v>90</v>
      </c>
      <c r="UH30" s="1">
        <v>85</v>
      </c>
      <c r="UI30" s="1">
        <v>85</v>
      </c>
      <c r="UJ30" s="1"/>
      <c r="UK30" s="1"/>
      <c r="UL30" s="1"/>
      <c r="UM30" s="55">
        <v>86.666666666666671</v>
      </c>
      <c r="UN30" s="1"/>
      <c r="UO30" s="56">
        <v>86.666666666666671</v>
      </c>
      <c r="UP30" s="1"/>
      <c r="UQ30" s="1"/>
      <c r="UR30" s="2">
        <v>2</v>
      </c>
      <c r="US30" s="55">
        <v>93.939393939393938</v>
      </c>
      <c r="UT30" s="1">
        <v>90</v>
      </c>
      <c r="UU30" s="1">
        <v>90</v>
      </c>
      <c r="UV30" s="1">
        <v>90</v>
      </c>
      <c r="UW30" s="1"/>
      <c r="UX30" s="1"/>
      <c r="UY30" s="1"/>
      <c r="UZ30" s="55">
        <v>90</v>
      </c>
      <c r="VA30" s="1"/>
      <c r="VB30" s="56">
        <v>90</v>
      </c>
      <c r="VC30" s="1"/>
      <c r="VD30" s="1"/>
      <c r="VE30" s="2">
        <v>0</v>
      </c>
      <c r="VF30" s="55">
        <v>100</v>
      </c>
      <c r="VG30" s="55">
        <v>88.333333333333343</v>
      </c>
      <c r="VH30" s="55" t="s">
        <v>230</v>
      </c>
      <c r="VI30" s="56">
        <v>88.333333333333343</v>
      </c>
      <c r="VJ30" s="57">
        <v>5</v>
      </c>
      <c r="VK30" s="55" t="s">
        <v>230</v>
      </c>
      <c r="VL30" s="1"/>
      <c r="VM30" s="58">
        <v>2</v>
      </c>
      <c r="VN30" s="59">
        <v>96.969696969696969</v>
      </c>
      <c r="VO30" s="4">
        <v>1369149</v>
      </c>
      <c r="VP30" s="39">
        <v>132</v>
      </c>
      <c r="VQ30" s="39">
        <v>37</v>
      </c>
      <c r="VR30" s="1">
        <v>89</v>
      </c>
      <c r="VS30" s="1">
        <v>80</v>
      </c>
      <c r="VT30" s="1">
        <v>85</v>
      </c>
      <c r="VU30" s="1">
        <v>85</v>
      </c>
      <c r="VV30" s="1"/>
      <c r="VW30" s="1"/>
      <c r="VX30" s="1"/>
      <c r="VY30" s="55">
        <v>83.333333333333329</v>
      </c>
      <c r="VZ30" s="1"/>
      <c r="WA30" s="56">
        <v>83.333333333333329</v>
      </c>
      <c r="WB30" s="1"/>
      <c r="WC30" s="1"/>
      <c r="WD30" s="2">
        <v>0</v>
      </c>
      <c r="WE30" s="55">
        <v>100</v>
      </c>
      <c r="WF30" s="1">
        <v>90</v>
      </c>
      <c r="WG30" s="1">
        <v>90</v>
      </c>
      <c r="WH30" s="1">
        <v>90</v>
      </c>
      <c r="WI30" s="1"/>
      <c r="WJ30" s="1"/>
      <c r="WK30" s="1"/>
      <c r="WL30" s="55">
        <v>90</v>
      </c>
      <c r="WM30" s="1"/>
      <c r="WN30" s="56">
        <v>90</v>
      </c>
      <c r="WO30" s="1"/>
      <c r="WP30" s="1"/>
      <c r="WQ30" s="2">
        <v>0</v>
      </c>
      <c r="WR30" s="55">
        <v>100</v>
      </c>
      <c r="WS30" s="55">
        <v>86.666666666666657</v>
      </c>
      <c r="WT30" s="55" t="s">
        <v>230</v>
      </c>
      <c r="WU30" s="56">
        <v>86.666666666666657</v>
      </c>
      <c r="WV30" s="57">
        <v>5</v>
      </c>
      <c r="WW30" s="55" t="s">
        <v>230</v>
      </c>
      <c r="WX30" s="1"/>
      <c r="WY30" s="58">
        <v>0</v>
      </c>
      <c r="WZ30" s="59">
        <v>100</v>
      </c>
      <c r="XA30" s="4">
        <v>1787467</v>
      </c>
      <c r="XB30" s="39">
        <v>133</v>
      </c>
      <c r="XC30" s="39">
        <v>34</v>
      </c>
      <c r="XD30" s="1">
        <v>81</v>
      </c>
      <c r="XE30" s="1">
        <v>85</v>
      </c>
      <c r="XF30" s="1">
        <v>90</v>
      </c>
      <c r="XG30" s="1">
        <v>95</v>
      </c>
      <c r="XH30" s="1"/>
      <c r="XI30" s="1"/>
      <c r="XJ30" s="1"/>
      <c r="XK30" s="55">
        <v>90</v>
      </c>
      <c r="XL30" s="1"/>
      <c r="XM30" s="56">
        <v>90</v>
      </c>
      <c r="XN30" s="1"/>
      <c r="XO30" s="1"/>
      <c r="XP30" s="2">
        <v>1</v>
      </c>
      <c r="XQ30" s="55">
        <v>94.117647058823536</v>
      </c>
      <c r="XR30" s="1">
        <v>85</v>
      </c>
      <c r="XS30" s="1">
        <v>90</v>
      </c>
      <c r="XT30" s="1">
        <v>85</v>
      </c>
      <c r="XU30" s="1"/>
      <c r="XV30" s="1"/>
      <c r="XW30" s="1"/>
      <c r="XX30" s="55">
        <v>86.666666666666671</v>
      </c>
      <c r="XY30" s="1"/>
      <c r="XZ30" s="56">
        <v>86.666666666666671</v>
      </c>
      <c r="YA30" s="1"/>
      <c r="YB30" s="1"/>
      <c r="YC30" s="2">
        <v>0</v>
      </c>
      <c r="YD30" s="55">
        <v>100</v>
      </c>
      <c r="YE30" s="55">
        <v>88.333333333333343</v>
      </c>
      <c r="YF30" s="55" t="s">
        <v>230</v>
      </c>
      <c r="YG30" s="56">
        <v>88.333333333333343</v>
      </c>
      <c r="YH30" s="57">
        <v>5</v>
      </c>
      <c r="YI30" s="55" t="s">
        <v>230</v>
      </c>
      <c r="YJ30" s="1"/>
      <c r="YK30" s="58">
        <v>1</v>
      </c>
      <c r="YL30" s="59">
        <v>97.058823529411768</v>
      </c>
      <c r="YM30" s="4">
        <v>1369149</v>
      </c>
      <c r="YN30" s="39">
        <v>135</v>
      </c>
      <c r="YO30" s="39">
        <v>66</v>
      </c>
      <c r="YP30" s="1">
        <v>81</v>
      </c>
      <c r="YQ30" s="1">
        <v>80</v>
      </c>
      <c r="YR30" s="1">
        <v>85</v>
      </c>
      <c r="YS30" s="1">
        <v>85</v>
      </c>
      <c r="YT30" s="1"/>
      <c r="YU30" s="1"/>
      <c r="YV30" s="1"/>
      <c r="YW30" s="55">
        <v>83.333333333333329</v>
      </c>
      <c r="YX30" s="1"/>
      <c r="YY30" s="56">
        <v>83.333333333333329</v>
      </c>
      <c r="YZ30" s="1"/>
      <c r="ZA30" s="1"/>
      <c r="ZB30" s="2">
        <v>1</v>
      </c>
      <c r="ZC30" s="55">
        <v>96.969696969696969</v>
      </c>
      <c r="ZD30" s="1">
        <v>85</v>
      </c>
      <c r="ZE30" s="1">
        <v>90</v>
      </c>
      <c r="ZF30" s="1">
        <v>80</v>
      </c>
      <c r="ZG30" s="1"/>
      <c r="ZH30" s="1"/>
      <c r="ZI30" s="1"/>
      <c r="ZJ30" s="55">
        <v>85</v>
      </c>
      <c r="ZK30" s="1"/>
      <c r="ZL30" s="56">
        <v>85</v>
      </c>
      <c r="ZM30" s="1"/>
      <c r="ZN30" s="1"/>
      <c r="ZO30" s="2">
        <v>0</v>
      </c>
      <c r="ZP30" s="55">
        <v>100</v>
      </c>
      <c r="ZQ30" s="55">
        <v>84.166666666666657</v>
      </c>
      <c r="ZR30" s="55" t="s">
        <v>230</v>
      </c>
      <c r="ZS30" s="56">
        <v>84.166666666666657</v>
      </c>
      <c r="ZT30" s="57">
        <v>5</v>
      </c>
      <c r="ZU30" s="55" t="s">
        <v>230</v>
      </c>
      <c r="ZV30" s="1"/>
      <c r="ZW30" s="58">
        <v>1</v>
      </c>
      <c r="ZX30" s="59">
        <v>98.484848484848484</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
      </c>
      <c r="B31" s="89" t="str">
        <f t="shared" si="398"/>
        <v/>
      </c>
      <c r="C31" s="89" t="str">
        <f t="shared" si="399"/>
        <v/>
      </c>
      <c r="D31" s="89" t="str">
        <f t="shared" si="400"/>
        <v/>
      </c>
      <c r="E31" s="40"/>
      <c r="F31" s="89" t="str">
        <f t="shared" si="401"/>
        <v/>
      </c>
      <c r="G31" s="89" t="str">
        <f t="shared" si="402"/>
        <v/>
      </c>
      <c r="H31" s="37"/>
      <c r="I31" s="37"/>
      <c r="J31" s="41"/>
      <c r="K31" s="90" t="str">
        <f t="shared" si="403"/>
        <v/>
      </c>
      <c r="L31" s="41"/>
      <c r="M31" s="41"/>
      <c r="N31" s="41"/>
      <c r="O31" s="43"/>
      <c r="P31" s="91" t="str">
        <f t="shared" si="404"/>
        <v/>
      </c>
      <c r="Q31" s="4"/>
      <c r="R31" s="39"/>
      <c r="S31" s="39"/>
      <c r="T31" s="1"/>
      <c r="U31" s="1"/>
      <c r="V31" s="1"/>
      <c r="W31" s="1"/>
      <c r="X31" s="1"/>
      <c r="Y31" s="1"/>
      <c r="Z31" s="1"/>
      <c r="AA31" s="55"/>
      <c r="AB31" s="1"/>
      <c r="AC31" s="56"/>
      <c r="AD31" s="1"/>
      <c r="AE31" s="1"/>
      <c r="AF31" s="2"/>
      <c r="AG31" s="55"/>
      <c r="AH31" s="1"/>
      <c r="AI31" s="1"/>
      <c r="AJ31" s="1"/>
      <c r="AK31" s="1"/>
      <c r="AL31" s="1"/>
      <c r="AM31" s="1"/>
      <c r="AN31" s="55"/>
      <c r="AO31" s="1"/>
      <c r="AP31" s="56"/>
      <c r="AQ31" s="1"/>
      <c r="AR31" s="1"/>
      <c r="AS31" s="2"/>
      <c r="AT31" s="55"/>
      <c r="AU31" s="55"/>
      <c r="AV31" s="55"/>
      <c r="AW31" s="56"/>
      <c r="AX31" s="57"/>
      <c r="AY31" s="55"/>
      <c r="AZ31" s="1"/>
      <c r="BA31" s="58"/>
      <c r="BB31" s="59"/>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c r="EB31" s="39"/>
      <c r="EC31" s="39"/>
      <c r="ED31" s="1"/>
      <c r="EE31" s="1"/>
      <c r="EF31" s="1"/>
      <c r="EG31" s="1"/>
      <c r="EH31" s="1"/>
      <c r="EI31" s="1"/>
      <c r="EJ31" s="1"/>
      <c r="EK31" s="55"/>
      <c r="EL31" s="1"/>
      <c r="EM31" s="56"/>
      <c r="EN31" s="1"/>
      <c r="EO31" s="1"/>
      <c r="EP31" s="2"/>
      <c r="EQ31" s="55"/>
      <c r="ER31" s="1"/>
      <c r="ES31" s="1"/>
      <c r="ET31" s="1"/>
      <c r="EU31" s="1"/>
      <c r="EV31" s="1"/>
      <c r="EW31" s="1"/>
      <c r="EX31" s="55"/>
      <c r="EY31" s="1"/>
      <c r="EZ31" s="56"/>
      <c r="FA31" s="1"/>
      <c r="FB31" s="1"/>
      <c r="FC31" s="2"/>
      <c r="FD31" s="55"/>
      <c r="FE31" s="55"/>
      <c r="FF31" s="55"/>
      <c r="FG31" s="56"/>
      <c r="FH31" s="57"/>
      <c r="FI31" s="55"/>
      <c r="FJ31" s="1"/>
      <c r="FK31" s="58"/>
      <c r="FL31" s="59"/>
      <c r="FM31" s="4"/>
      <c r="FN31" s="39"/>
      <c r="FO31" s="39"/>
      <c r="FP31" s="1"/>
      <c r="FQ31" s="1"/>
      <c r="FR31" s="1"/>
      <c r="FS31" s="1"/>
      <c r="FT31" s="1"/>
      <c r="FU31" s="1"/>
      <c r="FV31" s="1"/>
      <c r="FW31" s="55"/>
      <c r="FX31" s="1"/>
      <c r="FY31" s="56"/>
      <c r="FZ31" s="1"/>
      <c r="GA31" s="1"/>
      <c r="GB31" s="2"/>
      <c r="GC31" s="55"/>
      <c r="GD31" s="1"/>
      <c r="GE31" s="1"/>
      <c r="GF31" s="1"/>
      <c r="GG31" s="1"/>
      <c r="GH31" s="1"/>
      <c r="GI31" s="1"/>
      <c r="GJ31" s="55"/>
      <c r="GK31" s="1"/>
      <c r="GL31" s="56"/>
      <c r="GM31" s="1"/>
      <c r="GN31" s="1"/>
      <c r="GO31" s="2"/>
      <c r="GP31" s="55"/>
      <c r="GQ31" s="55"/>
      <c r="GR31" s="55"/>
      <c r="GS31" s="56"/>
      <c r="GT31" s="57"/>
      <c r="GU31" s="55"/>
      <c r="GV31" s="1"/>
      <c r="GW31" s="58"/>
      <c r="GX31" s="59"/>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c r="UD31" s="39"/>
      <c r="UE31" s="39"/>
      <c r="UF31" s="1"/>
      <c r="UG31" s="1"/>
      <c r="UH31" s="1"/>
      <c r="UI31" s="1"/>
      <c r="UJ31" s="1"/>
      <c r="UK31" s="1"/>
      <c r="UL31" s="1"/>
      <c r="UM31" s="55"/>
      <c r="UN31" s="1"/>
      <c r="UO31" s="56"/>
      <c r="UP31" s="1"/>
      <c r="UQ31" s="1"/>
      <c r="UR31" s="2"/>
      <c r="US31" s="55"/>
      <c r="UT31" s="1"/>
      <c r="UU31" s="1"/>
      <c r="UV31" s="1"/>
      <c r="UW31" s="1"/>
      <c r="UX31" s="1"/>
      <c r="UY31" s="1"/>
      <c r="UZ31" s="55"/>
      <c r="VA31" s="1"/>
      <c r="VB31" s="56"/>
      <c r="VC31" s="1"/>
      <c r="VD31" s="1"/>
      <c r="VE31" s="2"/>
      <c r="VF31" s="55"/>
      <c r="VG31" s="55"/>
      <c r="VH31" s="55"/>
      <c r="VI31" s="56"/>
      <c r="VJ31" s="57"/>
      <c r="VK31" s="55"/>
      <c r="VL31" s="1"/>
      <c r="VM31" s="58"/>
      <c r="VN31" s="59"/>
      <c r="VO31" s="4"/>
      <c r="VP31" s="39"/>
      <c r="VQ31" s="39"/>
      <c r="VR31" s="1"/>
      <c r="VS31" s="1"/>
      <c r="VT31" s="1"/>
      <c r="VU31" s="1"/>
      <c r="VV31" s="1"/>
      <c r="VW31" s="1"/>
      <c r="VX31" s="1"/>
      <c r="VY31" s="55"/>
      <c r="VZ31" s="1"/>
      <c r="WA31" s="56"/>
      <c r="WB31" s="1"/>
      <c r="WC31" s="1"/>
      <c r="WD31" s="2"/>
      <c r="WE31" s="55"/>
      <c r="WF31" s="1"/>
      <c r="WG31" s="1"/>
      <c r="WH31" s="1"/>
      <c r="WI31" s="1"/>
      <c r="WJ31" s="1"/>
      <c r="WK31" s="1"/>
      <c r="WL31" s="55"/>
      <c r="WM31" s="1"/>
      <c r="WN31" s="56"/>
      <c r="WO31" s="1"/>
      <c r="WP31" s="1"/>
      <c r="WQ31" s="2"/>
      <c r="WR31" s="55"/>
      <c r="WS31" s="55"/>
      <c r="WT31" s="55"/>
      <c r="WU31" s="56"/>
      <c r="WV31" s="57"/>
      <c r="WW31" s="55"/>
      <c r="WX31" s="1"/>
      <c r="WY31" s="58"/>
      <c r="WZ31" s="59"/>
      <c r="XA31" s="4"/>
      <c r="XB31" s="39"/>
      <c r="XC31" s="39"/>
      <c r="XD31" s="1"/>
      <c r="XE31" s="1"/>
      <c r="XF31" s="1"/>
      <c r="XG31" s="1"/>
      <c r="XH31" s="1"/>
      <c r="XI31" s="1"/>
      <c r="XJ31" s="1"/>
      <c r="XK31" s="55"/>
      <c r="XL31" s="1"/>
      <c r="XM31" s="56"/>
      <c r="XN31" s="1"/>
      <c r="XO31" s="1"/>
      <c r="XP31" s="2"/>
      <c r="XQ31" s="55"/>
      <c r="XR31" s="1"/>
      <c r="XS31" s="1"/>
      <c r="XT31" s="1"/>
      <c r="XU31" s="1"/>
      <c r="XV31" s="1"/>
      <c r="XW31" s="1"/>
      <c r="XX31" s="55"/>
      <c r="XY31" s="1"/>
      <c r="XZ31" s="56"/>
      <c r="YA31" s="1"/>
      <c r="YB31" s="1"/>
      <c r="YC31" s="2"/>
      <c r="YD31" s="55"/>
      <c r="YE31" s="55"/>
      <c r="YF31" s="55"/>
      <c r="YG31" s="56"/>
      <c r="YH31" s="57"/>
      <c r="YI31" s="55"/>
      <c r="YJ31" s="1"/>
      <c r="YK31" s="58"/>
      <c r="YL31" s="59"/>
      <c r="YM31" s="4"/>
      <c r="YN31" s="39"/>
      <c r="YO31" s="39"/>
      <c r="YP31" s="1"/>
      <c r="YQ31" s="1"/>
      <c r="YR31" s="1"/>
      <c r="YS31" s="1"/>
      <c r="YT31" s="1"/>
      <c r="YU31" s="1"/>
      <c r="YV31" s="1"/>
      <c r="YW31" s="55"/>
      <c r="YX31" s="1"/>
      <c r="YY31" s="56"/>
      <c r="YZ31" s="1"/>
      <c r="ZA31" s="1"/>
      <c r="ZB31" s="2"/>
      <c r="ZC31" s="55"/>
      <c r="ZD31" s="1"/>
      <c r="ZE31" s="1"/>
      <c r="ZF31" s="1"/>
      <c r="ZG31" s="1"/>
      <c r="ZH31" s="1"/>
      <c r="ZI31" s="1"/>
      <c r="ZJ31" s="55"/>
      <c r="ZK31" s="1"/>
      <c r="ZL31" s="56"/>
      <c r="ZM31" s="1"/>
      <c r="ZN31" s="1"/>
      <c r="ZO31" s="2"/>
      <c r="ZP31" s="55"/>
      <c r="ZQ31" s="55"/>
      <c r="ZR31" s="55"/>
      <c r="ZS31" s="56"/>
      <c r="ZT31" s="57"/>
      <c r="ZU31" s="55"/>
      <c r="ZV31" s="1"/>
      <c r="ZW31" s="58"/>
      <c r="ZX31" s="59"/>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2023-06-27T15:10:42Z</dcterms:modified>
</cp:coreProperties>
</file>