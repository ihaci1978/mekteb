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90"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<sst xmlns="http://schemas.openxmlformats.org/spreadsheetml/2006/main" count="251" uniqueCount="180">
  <si>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</si>
  <si>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</si>
  <si>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</si>
  <si>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</si>
  <si>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</si>
  <si>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</si>
  <si>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</si>
  <si>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</si>
  <si>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</si>
  <si>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</si>
  <si>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</si>
  <si>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</si>
  <si>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</si>
  <si>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</si>
  <si>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</si>
  <si>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</si>
  <si>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</si>
  <si>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</si>
  <si>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</si>
  <si>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</si>
  <si>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</si>
  <si>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</si>
  <si>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</si>
  <si>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</si>
  <si>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</si>
  <si>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</si>
  <si>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</si>
  <si>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</si>
  <si>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</si>
  <si>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</si>
  <si>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</si>
  <si>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</si>
  <si>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</si>
  <si>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</si>
  <si>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</si>
  <si>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</si>
  <si>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</si>
  <si>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</si>
  <si>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</si>
  <si>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</si>
  <si>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</si>
  <si>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</si>
  <si>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</si>
  <si>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</si>
  <si>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</si>
  <si>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</si>
  <si>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</si>
  <si>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</si>
  <si>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</si>
  <si>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</si>
  <si>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</si>
  <si>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</si>
  <si>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</si>
  <si>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</si>
  <si>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</si>
  <si>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</si>
  <si>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</si>
  <si>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</si>
  <si>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</si>
  <si>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</si>
  <si>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</si>
  <si>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</si>
  <si>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</si>
  <si>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</si>
  <si>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</si>
  <si>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</si>
  <si>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</si>
  <si>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</si>
  <si>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</si>
  <si>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</si>
  <si>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</si>
  <si>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</si>
  <si>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</si>
  <si>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</si>
  <si>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</si>
  <si>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</si>
  <si>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</si>
  <si>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</si>
  <si>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</si>
  <si>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</si>
  <si>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</si>
  <si>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</si>
  <si>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</si>
  <si>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</si>
  <si>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</si>
  <si>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</si>
  <si>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</si>
  <si>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</si>
  <si>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</si>
  <si>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</si>
  <si>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</si>
  <si>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</si>
  <si>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</si>
  <si>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</si>
  <si>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</si>
  <si>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</si>
  <si>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</si>
  <si>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</si>
  <si>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</si>
  <si>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</si>
  <si>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</si>
  <si>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</si>
  <si>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</si>
  <si>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</si>
  <si>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</si>
  <si>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</si>
  <si>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</si>
  <si>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</si>
  <si>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</si>
  <si>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</si>
  <si>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</si>
  <si>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</si>
  <si>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</si>
  <si>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</si>
  <si>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</si>
  <si>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</si>
  <si>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</si>
  <si>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</si>
  <si>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</si>
  <si>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</si>
  <si>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</si>
  <si>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E</t>
  </si>
  <si>
    <t>Ağabalayeva</t>
  </si>
  <si>
    <t>Türkan</t>
  </si>
  <si>
    <t xml:space="preserve">Təhməz </t>
  </si>
  <si>
    <t>Atayeva</t>
  </si>
  <si>
    <t>Fidan</t>
  </si>
  <si>
    <t xml:space="preserve">Zöhrab </t>
  </si>
  <si>
    <t>Babayev</t>
  </si>
  <si>
    <t>Ülvi</t>
  </si>
  <si>
    <t xml:space="preserve">Allahverdi </t>
  </si>
  <si>
    <t>Camalov</t>
  </si>
  <si>
    <t>Nihat</t>
  </si>
  <si>
    <t xml:space="preserve">Rasim </t>
  </si>
  <si>
    <t>Cəbizadə</t>
  </si>
  <si>
    <t>Elton</t>
  </si>
  <si>
    <t xml:space="preserve">Elməddin </t>
  </si>
  <si>
    <t>Əsədzadə</t>
  </si>
  <si>
    <t>Arzu</t>
  </si>
  <si>
    <t xml:space="preserve">Məhəmməd </t>
  </si>
  <si>
    <t>Həsənova</t>
  </si>
  <si>
    <t xml:space="preserve">Azər </t>
  </si>
  <si>
    <t>Hətəmov</t>
  </si>
  <si>
    <t>Əli</t>
  </si>
  <si>
    <t xml:space="preserve">Oqtay </t>
  </si>
  <si>
    <t>Hüseynli</t>
  </si>
  <si>
    <t>Emilya</t>
  </si>
  <si>
    <t xml:space="preserve">Emin </t>
  </si>
  <si>
    <t>Ömər</t>
  </si>
  <si>
    <t xml:space="preserve">Elmar </t>
  </si>
  <si>
    <t>Xələfov</t>
  </si>
  <si>
    <t>Nicat</t>
  </si>
  <si>
    <t xml:space="preserve">Vüqar </t>
  </si>
  <si>
    <t>İsayev</t>
  </si>
  <si>
    <t>Nurlan</t>
  </si>
  <si>
    <t xml:space="preserve">Mərdan </t>
  </si>
  <si>
    <t>Quliyev</t>
  </si>
  <si>
    <t>Dəniz</t>
  </si>
  <si>
    <t xml:space="preserve">Elçin </t>
  </si>
  <si>
    <t xml:space="preserve">Müşfiq </t>
  </si>
  <si>
    <t>Səid</t>
  </si>
  <si>
    <t>Məmmədli</t>
  </si>
  <si>
    <t xml:space="preserve">Yasin </t>
  </si>
  <si>
    <t>Məmmədov</t>
  </si>
  <si>
    <t>Ceyhun</t>
  </si>
  <si>
    <t xml:space="preserve">Zaur </t>
  </si>
  <si>
    <t>Yusif</t>
  </si>
  <si>
    <t xml:space="preserve">Nazim </t>
  </si>
  <si>
    <t>Musayev</t>
  </si>
  <si>
    <t>Fəqan</t>
  </si>
  <si>
    <t xml:space="preserve">Tərlan </t>
  </si>
  <si>
    <t>Nağılı</t>
  </si>
  <si>
    <t>Bahadur</t>
  </si>
  <si>
    <t xml:space="preserve">Babək </t>
  </si>
  <si>
    <t>Verdiyeva</t>
  </si>
  <si>
    <t>Mələk</t>
  </si>
  <si>
    <t xml:space="preserve">Ramil </t>
  </si>
  <si>
    <t>Vəliyeva</t>
  </si>
  <si>
    <t>Ayşə</t>
  </si>
  <si>
    <t xml:space="preserve">Ramin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</si>
</sst>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9.0909090909090917</c:v>
                </c:pt>
                <c:pt idx="2">
                  <c:v>4.5454545454545459</c:v>
                </c:pt>
                <c:pt idx="3">
                  <c:v>4.5454545454545459</c:v>
                </c:pt>
                <c:pt idx="4">
                  <c:v>0</c:v>
                </c:pt>
                <c:pt idx="5">
                  <c:v>0</c:v>
                </c:pt>
                <c:pt idx="6">
                  <c:v>0</c:v>
                </c:pt>
                <c:pt idx="7">
                  <c:v>0</c:v>
                </c:pt>
                <c:pt idx="8">
                  <c:v>0</c:v>
                </c:pt>
                <c:pt idx="9">
                  <c:v>0</c:v>
                </c:pt>
                <c:pt idx="10">
                  <c:v>0</c:v>
                </c:pt>
                <c:pt idx="11">
                  <c:v>9.0909090909090917</c:v>
                </c:pt>
                <c:pt idx="12">
                  <c:v>4.5454545454545459</c:v>
                </c:pt>
                <c:pt idx="13">
                  <c:v>4.5454545454545459</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77.272727272727266</c:v>
                </c:pt>
                <c:pt idx="2">
                  <c:v>68.181818181818187</c:v>
                </c:pt>
                <c:pt idx="3">
                  <c:v>72.727272727272734</c:v>
                </c:pt>
                <c:pt idx="4">
                  <c:v>0</c:v>
                </c:pt>
                <c:pt idx="5">
                  <c:v>0</c:v>
                </c:pt>
                <c:pt idx="6">
                  <c:v>0</c:v>
                </c:pt>
                <c:pt idx="7">
                  <c:v>0</c:v>
                </c:pt>
                <c:pt idx="8">
                  <c:v>0</c:v>
                </c:pt>
                <c:pt idx="9">
                  <c:v>0</c:v>
                </c:pt>
                <c:pt idx="10">
                  <c:v>0</c:v>
                </c:pt>
                <c:pt idx="11">
                  <c:v>77.272727272727266</c:v>
                </c:pt>
                <c:pt idx="12">
                  <c:v>68.181818181818187</c:v>
                </c:pt>
                <c:pt idx="13">
                  <c:v>72.727272727272734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13.636363636363637</c:v>
                </c:pt>
                <c:pt idx="2">
                  <c:v>27.272727272727273</c:v>
                </c:pt>
                <c:pt idx="3">
                  <c:v>22.727272727272727</c:v>
                </c:pt>
                <c:pt idx="4">
                  <c:v>0</c:v>
                </c:pt>
                <c:pt idx="5">
                  <c:v>0</c:v>
                </c:pt>
                <c:pt idx="6">
                  <c:v>0</c:v>
                </c:pt>
                <c:pt idx="7">
                  <c:v>0</c:v>
                </c:pt>
                <c:pt idx="8">
                  <c:v>0</c:v>
                </c:pt>
                <c:pt idx="9">
                  <c:v>0</c:v>
                </c:pt>
                <c:pt idx="10">
                  <c:v>0</c:v>
                </c:pt>
                <c:pt idx="11">
                  <c:v>13.636363636363637</c:v>
                </c:pt>
                <c:pt idx="12">
                  <c:v>27.272727272727273</c:v>
                </c:pt>
                <c:pt idx="13">
                  <c:v>22.727272727272727</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299192128"/>
        <c:axId val="299201176"/>
      </c:barChart>
      <c:catAx>
        <c:axId val="2991921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201176"/>
        <c:crosses val="autoZero"/>
        <c:auto val="1"/>
        <c:lblAlgn val="ctr"/>
        <c:lblOffset val="100"/>
        <c:noMultiLvlLbl val="0"/>
      </c:catAx>
      <c:valAx>
        <c:axId val="299201176"/>
        <c:scaling>
          <c:orientation val="minMax"/>
          <c:max val="100"/>
        </c:scaling>
        <c:delete val="1"/>
        <c:axPos val="l"/>
        <c:numFmt formatCode="0" sourceLinked="1"/>
        <c:majorTickMark val="none"/>
        <c:minorTickMark val="none"/>
        <c:tickLblPos val="nextTo"/>
        <c:crossAx val="2991921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46.515151515151523</c:v>
                </c:pt>
                <c:pt idx="2">
                  <c:v>46.136363636363633</c:v>
                </c:pt>
                <c:pt idx="3">
                  <c:v>46.287878787878782</c:v>
                </c:pt>
                <c:pt idx="4">
                  <c:v>0</c:v>
                </c:pt>
                <c:pt idx="5">
                  <c:v>0</c:v>
                </c:pt>
                <c:pt idx="6">
                  <c:v>0</c:v>
                </c:pt>
                <c:pt idx="7">
                  <c:v>0</c:v>
                </c:pt>
                <c:pt idx="8">
                  <c:v>0</c:v>
                </c:pt>
                <c:pt idx="9">
                  <c:v>0</c:v>
                </c:pt>
                <c:pt idx="10">
                  <c:v>0</c:v>
                </c:pt>
                <c:pt idx="11">
                  <c:v>46.515151515151523</c:v>
                </c:pt>
                <c:pt idx="12">
                  <c:v>46.136363636363633</c:v>
                </c:pt>
                <c:pt idx="13">
                  <c:v>46.287878787878782</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299103912"/>
        <c:axId val="299104296"/>
      </c:barChart>
      <c:catAx>
        <c:axId val="299103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299104296"/>
        <c:crosses val="autoZero"/>
        <c:auto val="1"/>
        <c:lblAlgn val="ctr"/>
        <c:lblOffset val="100"/>
        <c:noMultiLvlLbl val="0"/>
      </c:catAx>
      <c:valAx>
        <c:axId val="299104296"/>
        <c:scaling>
          <c:orientation val="minMax"/>
          <c:max val="110"/>
          <c:min val="0"/>
        </c:scaling>
        <c:delete val="1"/>
        <c:axPos val="l"/>
        <c:numFmt formatCode="0.00" sourceLinked="1"/>
        <c:majorTickMark val="out"/>
        <c:minorTickMark val="none"/>
        <c:tickLblPos val="nextTo"/>
        <c:crossAx val="299103912"/>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115.5"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66"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6" zoomScaleNormal="96" workbookViewId="0">
      <pane xSplit="6" ySplit="4" topLeftCell="G11" activePane="bottomRight" state="frozen"/>
      <selection pane="topRight" activeCell="G1" sqref="G1"/>
      <selection pane="bottomLeft" activeCell="A5" sqref="A5"/>
      <selection pane="bottomRight" activeCell="Q27" sqref="Q27"/>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25">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25">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9" customHeight="1" thickBot="1" x14ac:dyDescent="0.3">
      <c r="A4" s="73"/>
      <c r="B4" s="73"/>
      <c r="C4" s="53" t="s">
        <v>2</v>
      </c>
      <c r="D4" s="53" t="s">
        <v>3</v>
      </c>
      <c r="E4" s="53" t="s">
        <v>1</v>
      </c>
      <c r="F4" s="93"/>
      <c r="G4" s="13"/>
      <c r="H4" s="13"/>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2" customHeight="1" x14ac:dyDescent="0.25">
      <c r="A5" s="49">
        <v>9</v>
      </c>
      <c r="B5" s="49" t="s">
        <v>121</v>
      </c>
      <c r="C5" s="49" t="s">
        <v>122</v>
      </c>
      <c r="D5" s="49" t="s">
        <v>123</v>
      </c>
      <c r="E5" s="50" t="s">
        <v>124</v>
      </c>
      <c r="F5" s="15"/>
      <c r="G5" s="16" t="str">
        <f>IF(F5="","",$G$4)</f>
        <v/>
      </c>
      <c r="H5" s="16" t="str">
        <f>IF(F5="","",$H$4)</f>
        <v/>
      </c>
      <c r="I5" s="17"/>
      <c r="J5" s="17">
        <v>35</v>
      </c>
      <c r="K5" s="17">
        <v>25</v>
      </c>
      <c r="L5" s="17">
        <v>45</v>
      </c>
      <c r="M5" s="17"/>
      <c r="N5" s="17"/>
      <c r="O5" s="17"/>
      <c r="P5" s="18">
        <f t="shared" ref="P5:P36" si="0">IFERROR(AVERAGE(J5:O5),"")</f>
        <v>35</v>
      </c>
      <c r="Q5" s="17">
        <v>40</v>
      </c>
      <c r="R5" s="19">
        <f t="shared" ref="R5:R36" si="1">IF(Q5="",P5,IF(P5="",Q5,P5*40/100+Q5*60/100))</f>
        <v>38</v>
      </c>
      <c r="S5" s="17"/>
      <c r="T5" s="17"/>
      <c r="U5" s="20">
        <v>1</v>
      </c>
      <c r="V5" s="57" t="e">
        <f>IF(U5="","",((H5/2)-U5)*100/(H5/2))</f>
        <v>#VALUE!</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35</v>
      </c>
      <c r="AK5" s="18">
        <f>IFERROR(AVERAGE(Q5,AD5),"")</f>
        <v>40</v>
      </c>
      <c r="AL5" s="19">
        <f>IFERROR(AVERAGE(R5,AE5),"")</f>
        <v>38</v>
      </c>
      <c r="AM5" s="21">
        <f>IF(AL5&lt;=30,2,IF(AL5&lt;=60,3,IF(AL5&lt;=80,4,IF(AL5&lt;=100,5,""))))</f>
        <v>3</v>
      </c>
      <c r="AN5" s="18" t="str">
        <f>IFERROR(AVERAGE(S5,T5,AF5,AG5),"")</f>
        <v/>
      </c>
      <c r="AO5" s="17"/>
      <c r="AP5" s="25">
        <f>IF(C5="","",(U5+AH5))</f>
        <v>1</v>
      </c>
      <c r="AQ5" s="26" t="e">
        <f>IF(AP5="","",(H5-AP5)*100/H5)</f>
        <v>#VALUE!</v>
      </c>
    </row>
    <row r="6" spans="1:43" ht="18.2" customHeight="1" x14ac:dyDescent="0.25">
      <c r="A6" s="49">
        <v>9</v>
      </c>
      <c r="B6" s="49" t="s">
        <v>121</v>
      </c>
      <c r="C6" s="49" t="s">
        <v>125</v>
      </c>
      <c r="D6" s="49" t="s">
        <v>126</v>
      </c>
      <c r="E6" s="50" t="s">
        <v>127</v>
      </c>
      <c r="F6" s="27"/>
      <c r="G6" s="1" t="str">
        <f t="shared" ref="G6:G54" si="4">IF(F6="","",$G$4)</f>
        <v/>
      </c>
      <c r="H6" s="1" t="str">
        <f t="shared" ref="H6:H54" si="5">IF(F6="","",$H$4)</f>
        <v/>
      </c>
      <c r="I6" s="12"/>
      <c r="J6" s="12">
        <v>45</v>
      </c>
      <c r="K6" s="12">
        <v>45</v>
      </c>
      <c r="L6" s="12">
        <v>55</v>
      </c>
      <c r="M6" s="12"/>
      <c r="N6" s="12"/>
      <c r="O6" s="12"/>
      <c r="P6" s="2">
        <f t="shared" si="0"/>
        <v>48.333333333333336</v>
      </c>
      <c r="Q6" s="12">
        <v>70</v>
      </c>
      <c r="R6" s="3">
        <f t="shared" si="1"/>
        <v>61.333333333333336</v>
      </c>
      <c r="S6" s="12"/>
      <c r="T6" s="12"/>
      <c r="U6" s="55">
        <v>2</v>
      </c>
      <c r="V6" s="58" t="e">
        <f>IF(U6="","",((H6/2)-U6)*100/(H6/2))</f>
        <v>#VALUE!</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48.333333333333336</v>
      </c>
      <c r="AK6" s="2">
        <f t="shared" ref="AK6:AK54" si="8">IFERROR(AVERAGE(Q6,AD6),"")</f>
        <v>70</v>
      </c>
      <c r="AL6" s="3">
        <f t="shared" ref="AL6:AL54" si="9">IFERROR(AVERAGE(R6,AE6),"")</f>
        <v>61.333333333333336</v>
      </c>
      <c r="AM6" s="4">
        <f t="shared" ref="AM6:AM54" si="10">IF(AL6&lt;=30,2,IF(AL6&lt;=60,3,IF(AL6&lt;=80,4,IF(AL6&lt;=100,5,""))))</f>
        <v>4</v>
      </c>
      <c r="AN6" s="2" t="str">
        <f t="shared" ref="AN6:AN54" si="11">IFERROR(AVERAGE(S6,T6,AF6,AG6),"")</f>
        <v/>
      </c>
      <c r="AO6" s="12"/>
      <c r="AP6" s="5">
        <f t="shared" ref="AP6:AP54" si="12">IF(C6="","",(U6+AH6))</f>
        <v>2</v>
      </c>
      <c r="AQ6" s="28" t="e">
        <f t="shared" ref="AQ6:AQ54" si="13">IF(AP6="","",(H6-AP6)*100/H6)</f>
        <v>#VALUE!</v>
      </c>
    </row>
    <row r="7" spans="1:43" ht="18.2" customHeight="1" x14ac:dyDescent="0.25">
      <c r="A7" s="49">
        <v>9</v>
      </c>
      <c r="B7" s="49" t="s">
        <v>121</v>
      </c>
      <c r="C7" s="49" t="s">
        <v>128</v>
      </c>
      <c r="D7" s="49" t="s">
        <v>129</v>
      </c>
      <c r="E7" s="50" t="s">
        <v>130</v>
      </c>
      <c r="F7" s="27"/>
      <c r="G7" s="1" t="str">
        <f t="shared" si="4"/>
        <v/>
      </c>
      <c r="H7" s="1" t="str">
        <f t="shared" si="5"/>
        <v/>
      </c>
      <c r="I7" s="12"/>
      <c r="J7" s="12">
        <v>21</v>
      </c>
      <c r="K7" s="12">
        <v>32</v>
      </c>
      <c r="L7" s="12">
        <v>33</v>
      </c>
      <c r="M7" s="12"/>
      <c r="N7" s="12"/>
      <c r="O7" s="12"/>
      <c r="P7" s="2">
        <f t="shared" si="0"/>
        <v>28.666666666666668</v>
      </c>
      <c r="Q7" s="12">
        <v>35</v>
      </c>
      <c r="R7" s="3">
        <f t="shared" si="1"/>
        <v>32.466666666666669</v>
      </c>
      <c r="S7" s="12"/>
      <c r="T7" s="12"/>
      <c r="U7" s="55">
        <v>4</v>
      </c>
      <c r="V7" s="58" t="e">
        <f t="shared" ref="V7:V54" si="14">IF(U7="","",((H7/2)-U7)*100/(H7/2))</f>
        <v>#VALUE!</v>
      </c>
      <c r="W7" s="56"/>
      <c r="X7" s="12"/>
      <c r="Y7" s="12"/>
      <c r="Z7" s="12"/>
      <c r="AA7" s="12"/>
      <c r="AB7" s="12"/>
      <c r="AC7" s="2" t="str">
        <f t="shared" si="2"/>
        <v/>
      </c>
      <c r="AD7" s="12"/>
      <c r="AE7" s="3" t="str">
        <f t="shared" si="3"/>
        <v/>
      </c>
      <c r="AF7" s="12"/>
      <c r="AG7" s="12"/>
      <c r="AH7" s="55"/>
      <c r="AI7" s="58" t="str">
        <f t="shared" si="6"/>
        <v/>
      </c>
      <c r="AJ7" s="63">
        <f>IFERROR(AVERAGE(P7,AC7),"")</f>
        <v>28.666666666666668</v>
      </c>
      <c r="AK7" s="2">
        <f t="shared" si="8"/>
        <v>35</v>
      </c>
      <c r="AL7" s="3">
        <f t="shared" si="9"/>
        <v>32.466666666666669</v>
      </c>
      <c r="AM7" s="4">
        <f t="shared" si="10"/>
        <v>3</v>
      </c>
      <c r="AN7" s="2" t="str">
        <f t="shared" si="11"/>
        <v/>
      </c>
      <c r="AO7" s="12"/>
      <c r="AP7" s="5">
        <f t="shared" si="12"/>
        <v>4</v>
      </c>
      <c r="AQ7" s="28" t="e">
        <f t="shared" si="13"/>
        <v>#VALUE!</v>
      </c>
    </row>
    <row r="8" spans="1:43" ht="18.2" customHeight="1" x14ac:dyDescent="0.25">
      <c r="A8" s="49">
        <v>9</v>
      </c>
      <c r="B8" s="49" t="s">
        <v>121</v>
      </c>
      <c r="C8" s="49" t="s">
        <v>131</v>
      </c>
      <c r="D8" s="49" t="s">
        <v>132</v>
      </c>
      <c r="E8" s="50" t="s">
        <v>133</v>
      </c>
      <c r="F8" s="27"/>
      <c r="G8" s="1" t="str">
        <f t="shared" si="4"/>
        <v/>
      </c>
      <c r="H8" s="1" t="str">
        <f t="shared" si="5"/>
        <v/>
      </c>
      <c r="I8" s="12"/>
      <c r="J8" s="12">
        <v>35</v>
      </c>
      <c r="K8" s="12">
        <v>45</v>
      </c>
      <c r="L8" s="12">
        <v>55</v>
      </c>
      <c r="M8" s="12"/>
      <c r="N8" s="12"/>
      <c r="O8" s="12"/>
      <c r="P8" s="2">
        <f t="shared" si="0"/>
        <v>45</v>
      </c>
      <c r="Q8" s="12">
        <v>45</v>
      </c>
      <c r="R8" s="3">
        <f t="shared" si="1"/>
        <v>45</v>
      </c>
      <c r="S8" s="12"/>
      <c r="T8" s="12"/>
      <c r="U8" s="55">
        <v>2</v>
      </c>
      <c r="V8" s="58" t="e">
        <f t="shared" si="14"/>
        <v>#VALUE!</v>
      </c>
      <c r="W8" s="56"/>
      <c r="X8" s="12"/>
      <c r="Y8" s="12"/>
      <c r="Z8" s="12"/>
      <c r="AA8" s="12"/>
      <c r="AB8" s="12"/>
      <c r="AC8" s="2" t="str">
        <f t="shared" si="2"/>
        <v/>
      </c>
      <c r="AD8" s="12"/>
      <c r="AE8" s="3" t="str">
        <f t="shared" si="3"/>
        <v/>
      </c>
      <c r="AF8" s="12"/>
      <c r="AG8" s="12"/>
      <c r="AH8" s="55"/>
      <c r="AI8" s="58" t="str">
        <f t="shared" si="6"/>
        <v/>
      </c>
      <c r="AJ8" s="63">
        <f t="shared" si="7"/>
        <v>45</v>
      </c>
      <c r="AK8" s="2">
        <f t="shared" si="8"/>
        <v>45</v>
      </c>
      <c r="AL8" s="3">
        <f t="shared" si="9"/>
        <v>45</v>
      </c>
      <c r="AM8" s="4">
        <f t="shared" si="10"/>
        <v>3</v>
      </c>
      <c r="AN8" s="2" t="str">
        <f t="shared" si="11"/>
        <v/>
      </c>
      <c r="AO8" s="12"/>
      <c r="AP8" s="5">
        <f t="shared" si="12"/>
        <v>2</v>
      </c>
      <c r="AQ8" s="28" t="e">
        <f t="shared" si="13"/>
        <v>#VALUE!</v>
      </c>
    </row>
    <row r="9" spans="1:43" ht="18.2" customHeight="1" x14ac:dyDescent="0.25">
      <c r="A9" s="49">
        <v>9</v>
      </c>
      <c r="B9" s="49" t="s">
        <v>121</v>
      </c>
      <c r="C9" s="49" t="s">
        <v>134</v>
      </c>
      <c r="D9" s="49" t="s">
        <v>135</v>
      </c>
      <c r="E9" s="50" t="s">
        <v>136</v>
      </c>
      <c r="F9" s="27"/>
      <c r="G9" s="1" t="str">
        <f t="shared" si="4"/>
        <v/>
      </c>
      <c r="H9" s="1" t="str">
        <f t="shared" si="5"/>
        <v/>
      </c>
      <c r="I9" s="12"/>
      <c r="J9" s="12">
        <v>55</v>
      </c>
      <c r="K9" s="12">
        <v>35</v>
      </c>
      <c r="L9" s="12">
        <v>45</v>
      </c>
      <c r="M9" s="12"/>
      <c r="N9" s="12"/>
      <c r="O9" s="12"/>
      <c r="P9" s="2">
        <f t="shared" si="0"/>
        <v>45</v>
      </c>
      <c r="Q9" s="12">
        <v>45</v>
      </c>
      <c r="R9" s="3">
        <f t="shared" si="1"/>
        <v>45</v>
      </c>
      <c r="S9" s="12"/>
      <c r="T9" s="12"/>
      <c r="U9" s="55">
        <v>4</v>
      </c>
      <c r="V9" s="58" t="e">
        <f t="shared" si="14"/>
        <v>#VALUE!</v>
      </c>
      <c r="W9" s="56"/>
      <c r="X9" s="12"/>
      <c r="Y9" s="12"/>
      <c r="Z9" s="12"/>
      <c r="AA9" s="12"/>
      <c r="AB9" s="12"/>
      <c r="AC9" s="2" t="str">
        <f t="shared" si="2"/>
        <v/>
      </c>
      <c r="AD9" s="12"/>
      <c r="AE9" s="3" t="str">
        <f t="shared" si="3"/>
        <v/>
      </c>
      <c r="AF9" s="12"/>
      <c r="AG9" s="12"/>
      <c r="AH9" s="55"/>
      <c r="AI9" s="58" t="str">
        <f t="shared" si="6"/>
        <v/>
      </c>
      <c r="AJ9" s="63">
        <f t="shared" si="7"/>
        <v>45</v>
      </c>
      <c r="AK9" s="2">
        <f t="shared" si="8"/>
        <v>45</v>
      </c>
      <c r="AL9" s="3">
        <f t="shared" si="9"/>
        <v>45</v>
      </c>
      <c r="AM9" s="4">
        <f t="shared" si="10"/>
        <v>3</v>
      </c>
      <c r="AN9" s="2" t="str">
        <f t="shared" si="11"/>
        <v/>
      </c>
      <c r="AO9" s="12"/>
      <c r="AP9" s="5">
        <f t="shared" si="12"/>
        <v>4</v>
      </c>
      <c r="AQ9" s="28" t="e">
        <f t="shared" si="13"/>
        <v>#VALUE!</v>
      </c>
    </row>
    <row r="10" spans="1:43" ht="18.2" customHeight="1" x14ac:dyDescent="0.25">
      <c r="A10" s="49">
        <v>9</v>
      </c>
      <c r="B10" s="49" t="s">
        <v>121</v>
      </c>
      <c r="C10" s="49" t="s">
        <v>137</v>
      </c>
      <c r="D10" s="49" t="s">
        <v>138</v>
      </c>
      <c r="E10" s="50" t="s">
        <v>139</v>
      </c>
      <c r="F10" s="27"/>
      <c r="G10" s="1" t="str">
        <f t="shared" si="4"/>
        <v/>
      </c>
      <c r="H10" s="1" t="str">
        <f t="shared" si="5"/>
        <v/>
      </c>
      <c r="I10" s="12"/>
      <c r="J10" s="12">
        <v>56</v>
      </c>
      <c r="K10" s="12">
        <v>35</v>
      </c>
      <c r="L10" s="12">
        <v>55</v>
      </c>
      <c r="M10" s="12"/>
      <c r="N10" s="12"/>
      <c r="O10" s="12"/>
      <c r="P10" s="2">
        <f t="shared" si="0"/>
        <v>48.666666666666664</v>
      </c>
      <c r="Q10" s="12">
        <v>40</v>
      </c>
      <c r="R10" s="3">
        <f t="shared" si="1"/>
        <v>43.466666666666669</v>
      </c>
      <c r="S10" s="12"/>
      <c r="T10" s="12"/>
      <c r="U10" s="55">
        <v>1</v>
      </c>
      <c r="V10" s="58" t="e">
        <f t="shared" si="14"/>
        <v>#VALUE!</v>
      </c>
      <c r="W10" s="56"/>
      <c r="X10" s="12"/>
      <c r="Y10" s="12"/>
      <c r="Z10" s="12"/>
      <c r="AA10" s="12"/>
      <c r="AB10" s="12"/>
      <c r="AC10" s="2" t="str">
        <f t="shared" si="2"/>
        <v/>
      </c>
      <c r="AD10" s="12"/>
      <c r="AE10" s="3" t="str">
        <f t="shared" si="3"/>
        <v/>
      </c>
      <c r="AF10" s="12"/>
      <c r="AG10" s="12"/>
      <c r="AH10" s="55"/>
      <c r="AI10" s="58" t="str">
        <f t="shared" si="6"/>
        <v/>
      </c>
      <c r="AJ10" s="63">
        <f t="shared" si="7"/>
        <v>48.666666666666664</v>
      </c>
      <c r="AK10" s="2">
        <f t="shared" si="8"/>
        <v>40</v>
      </c>
      <c r="AL10" s="3">
        <f t="shared" si="9"/>
        <v>43.466666666666669</v>
      </c>
      <c r="AM10" s="4">
        <f t="shared" si="10"/>
        <v>3</v>
      </c>
      <c r="AN10" s="2" t="str">
        <f t="shared" si="11"/>
        <v/>
      </c>
      <c r="AO10" s="12"/>
      <c r="AP10" s="5">
        <f t="shared" si="12"/>
        <v>1</v>
      </c>
      <c r="AQ10" s="28" t="e">
        <f t="shared" si="13"/>
        <v>#VALUE!</v>
      </c>
    </row>
    <row r="11" spans="1:43" ht="18.2" customHeight="1" x14ac:dyDescent="0.25">
      <c r="A11" s="49">
        <v>9</v>
      </c>
      <c r="B11" s="49" t="s">
        <v>121</v>
      </c>
      <c r="C11" s="49" t="s">
        <v>140</v>
      </c>
      <c r="D11" s="49" t="s">
        <v>138</v>
      </c>
      <c r="E11" s="50" t="s">
        <v>141</v>
      </c>
      <c r="F11" s="27"/>
      <c r="G11" s="1" t="str">
        <f t="shared" si="4"/>
        <v/>
      </c>
      <c r="H11" s="1" t="str">
        <f t="shared" si="5"/>
        <v/>
      </c>
      <c r="I11" s="12"/>
      <c r="J11" s="12">
        <v>45</v>
      </c>
      <c r="K11" s="12">
        <v>35</v>
      </c>
      <c r="L11" s="12">
        <v>35</v>
      </c>
      <c r="M11" s="12"/>
      <c r="N11" s="12"/>
      <c r="O11" s="12"/>
      <c r="P11" s="2">
        <f t="shared" si="0"/>
        <v>38.333333333333336</v>
      </c>
      <c r="Q11" s="12">
        <v>35</v>
      </c>
      <c r="R11" s="3">
        <f t="shared" si="1"/>
        <v>36.333333333333336</v>
      </c>
      <c r="S11" s="12"/>
      <c r="T11" s="12"/>
      <c r="U11" s="55">
        <v>4</v>
      </c>
      <c r="V11" s="58" t="e">
        <f t="shared" si="14"/>
        <v>#VALUE!</v>
      </c>
      <c r="W11" s="56"/>
      <c r="X11" s="12"/>
      <c r="Y11" s="12"/>
      <c r="Z11" s="12"/>
      <c r="AA11" s="12"/>
      <c r="AB11" s="12"/>
      <c r="AC11" s="2" t="str">
        <f t="shared" si="2"/>
        <v/>
      </c>
      <c r="AD11" s="12"/>
      <c r="AE11" s="3" t="str">
        <f t="shared" si="3"/>
        <v/>
      </c>
      <c r="AF11" s="12"/>
      <c r="AG11" s="12"/>
      <c r="AH11" s="55"/>
      <c r="AI11" s="58" t="str">
        <f t="shared" si="6"/>
        <v/>
      </c>
      <c r="AJ11" s="63">
        <f t="shared" si="7"/>
        <v>38.333333333333336</v>
      </c>
      <c r="AK11" s="2">
        <f t="shared" si="8"/>
        <v>35</v>
      </c>
      <c r="AL11" s="3">
        <f t="shared" si="9"/>
        <v>36.333333333333336</v>
      </c>
      <c r="AM11" s="4">
        <f t="shared" si="10"/>
        <v>3</v>
      </c>
      <c r="AN11" s="2" t="str">
        <f t="shared" si="11"/>
        <v/>
      </c>
      <c r="AO11" s="12"/>
      <c r="AP11" s="5">
        <f t="shared" si="12"/>
        <v>4</v>
      </c>
      <c r="AQ11" s="28" t="e">
        <f t="shared" si="13"/>
        <v>#VALUE!</v>
      </c>
    </row>
    <row r="12" spans="1:43" ht="18.2" customHeight="1" x14ac:dyDescent="0.25">
      <c r="A12" s="49">
        <v>9</v>
      </c>
      <c r="B12" s="49" t="s">
        <v>121</v>
      </c>
      <c r="C12" s="49" t="s">
        <v>142</v>
      </c>
      <c r="D12" s="49" t="s">
        <v>143</v>
      </c>
      <c r="E12" s="50" t="s">
        <v>144</v>
      </c>
      <c r="F12" s="27"/>
      <c r="G12" s="1" t="str">
        <f t="shared" si="4"/>
        <v/>
      </c>
      <c r="H12" s="1" t="str">
        <f t="shared" si="5"/>
        <v/>
      </c>
      <c r="I12" s="12"/>
      <c r="J12" s="12">
        <v>61</v>
      </c>
      <c r="K12" s="12">
        <v>54</v>
      </c>
      <c r="L12" s="12">
        <v>76</v>
      </c>
      <c r="M12" s="12"/>
      <c r="N12" s="12"/>
      <c r="O12" s="12"/>
      <c r="P12" s="2">
        <f t="shared" si="0"/>
        <v>63.666666666666664</v>
      </c>
      <c r="Q12" s="12">
        <v>70</v>
      </c>
      <c r="R12" s="3">
        <f t="shared" si="1"/>
        <v>67.466666666666669</v>
      </c>
      <c r="S12" s="12"/>
      <c r="T12" s="12"/>
      <c r="U12" s="55">
        <v>2</v>
      </c>
      <c r="V12" s="58" t="e">
        <f t="shared" si="14"/>
        <v>#VALUE!</v>
      </c>
      <c r="W12" s="56"/>
      <c r="X12" s="12"/>
      <c r="Y12" s="12"/>
      <c r="Z12" s="12"/>
      <c r="AA12" s="12"/>
      <c r="AB12" s="12"/>
      <c r="AC12" s="2" t="str">
        <f t="shared" si="2"/>
        <v/>
      </c>
      <c r="AD12" s="12"/>
      <c r="AE12" s="3" t="str">
        <f t="shared" si="3"/>
        <v/>
      </c>
      <c r="AF12" s="12"/>
      <c r="AG12" s="12"/>
      <c r="AH12" s="55"/>
      <c r="AI12" s="58" t="str">
        <f t="shared" si="6"/>
        <v/>
      </c>
      <c r="AJ12" s="63">
        <f t="shared" si="7"/>
        <v>63.666666666666664</v>
      </c>
      <c r="AK12" s="2">
        <f t="shared" si="8"/>
        <v>70</v>
      </c>
      <c r="AL12" s="3">
        <f t="shared" si="9"/>
        <v>67.466666666666669</v>
      </c>
      <c r="AM12" s="4">
        <f t="shared" si="10"/>
        <v>4</v>
      </c>
      <c r="AN12" s="2" t="str">
        <f t="shared" si="11"/>
        <v/>
      </c>
      <c r="AO12" s="12"/>
      <c r="AP12" s="5">
        <f t="shared" si="12"/>
        <v>2</v>
      </c>
      <c r="AQ12" s="28" t="e">
        <f t="shared" si="13"/>
        <v>#VALUE!</v>
      </c>
    </row>
    <row r="13" spans="1:43" ht="18.2" customHeight="1" x14ac:dyDescent="0.25">
      <c r="A13" s="49">
        <v>9</v>
      </c>
      <c r="B13" s="49" t="s">
        <v>121</v>
      </c>
      <c r="C13" s="49" t="s">
        <v>145</v>
      </c>
      <c r="D13" s="49" t="s">
        <v>146</v>
      </c>
      <c r="E13" s="50" t="s">
        <v>147</v>
      </c>
      <c r="F13" s="27"/>
      <c r="G13" s="1" t="str">
        <f t="shared" si="4"/>
        <v/>
      </c>
      <c r="H13" s="1" t="str">
        <f t="shared" si="5"/>
        <v/>
      </c>
      <c r="I13" s="12"/>
      <c r="J13" s="12">
        <v>35</v>
      </c>
      <c r="K13" s="12">
        <v>45</v>
      </c>
      <c r="L13" s="12">
        <v>55</v>
      </c>
      <c r="M13" s="12"/>
      <c r="N13" s="12"/>
      <c r="O13" s="12"/>
      <c r="P13" s="2">
        <f t="shared" si="0"/>
        <v>45</v>
      </c>
      <c r="Q13" s="12">
        <v>40</v>
      </c>
      <c r="R13" s="3">
        <f t="shared" si="1"/>
        <v>42</v>
      </c>
      <c r="S13" s="12"/>
      <c r="T13" s="12"/>
      <c r="U13" s="55">
        <v>0</v>
      </c>
      <c r="V13" s="58" t="e">
        <f t="shared" si="14"/>
        <v>#VALUE!</v>
      </c>
      <c r="W13" s="56"/>
      <c r="X13" s="12"/>
      <c r="Y13" s="12"/>
      <c r="Z13" s="12"/>
      <c r="AA13" s="12"/>
      <c r="AB13" s="12"/>
      <c r="AC13" s="2" t="str">
        <f t="shared" si="2"/>
        <v/>
      </c>
      <c r="AD13" s="12"/>
      <c r="AE13" s="3" t="str">
        <f t="shared" si="3"/>
        <v/>
      </c>
      <c r="AF13" s="12"/>
      <c r="AG13" s="12"/>
      <c r="AH13" s="55"/>
      <c r="AI13" s="58" t="str">
        <f t="shared" si="6"/>
        <v/>
      </c>
      <c r="AJ13" s="63">
        <f t="shared" si="7"/>
        <v>45</v>
      </c>
      <c r="AK13" s="2">
        <f t="shared" si="8"/>
        <v>40</v>
      </c>
      <c r="AL13" s="3">
        <f t="shared" si="9"/>
        <v>42</v>
      </c>
      <c r="AM13" s="4">
        <f t="shared" si="10"/>
        <v>3</v>
      </c>
      <c r="AN13" s="2" t="str">
        <f t="shared" si="11"/>
        <v/>
      </c>
      <c r="AO13" s="12"/>
      <c r="AP13" s="5">
        <f t="shared" si="12"/>
        <v>0</v>
      </c>
      <c r="AQ13" s="28" t="e">
        <f t="shared" si="13"/>
        <v>#VALUE!</v>
      </c>
    </row>
    <row r="14" spans="1:43" ht="18.2" customHeight="1" x14ac:dyDescent="0.25">
      <c r="A14" s="49">
        <v>9</v>
      </c>
      <c r="B14" s="49" t="s">
        <v>121</v>
      </c>
      <c r="C14" s="49" t="s">
        <v>145</v>
      </c>
      <c r="D14" s="49" t="s">
        <v>148</v>
      </c>
      <c r="E14" s="50" t="s">
        <v>149</v>
      </c>
      <c r="F14" s="27"/>
      <c r="G14" s="1" t="str">
        <f t="shared" si="4"/>
        <v/>
      </c>
      <c r="H14" s="1" t="str">
        <f t="shared" si="5"/>
        <v/>
      </c>
      <c r="I14" s="12"/>
      <c r="J14" s="12">
        <v>55</v>
      </c>
      <c r="K14" s="12">
        <v>54</v>
      </c>
      <c r="L14" s="12">
        <v>59</v>
      </c>
      <c r="M14" s="12"/>
      <c r="N14" s="12"/>
      <c r="O14" s="12"/>
      <c r="P14" s="2">
        <f t="shared" si="0"/>
        <v>56</v>
      </c>
      <c r="Q14" s="12">
        <v>70</v>
      </c>
      <c r="R14" s="3">
        <f t="shared" si="1"/>
        <v>64.400000000000006</v>
      </c>
      <c r="S14" s="12"/>
      <c r="T14" s="12"/>
      <c r="U14" s="55">
        <v>1</v>
      </c>
      <c r="V14" s="58" t="e">
        <f t="shared" si="14"/>
        <v>#VALUE!</v>
      </c>
      <c r="W14" s="56"/>
      <c r="X14" s="12"/>
      <c r="Y14" s="12"/>
      <c r="Z14" s="12"/>
      <c r="AA14" s="12"/>
      <c r="AB14" s="12"/>
      <c r="AC14" s="2" t="str">
        <f t="shared" si="2"/>
        <v/>
      </c>
      <c r="AD14" s="12"/>
      <c r="AE14" s="3" t="str">
        <f t="shared" si="3"/>
        <v/>
      </c>
      <c r="AF14" s="12"/>
      <c r="AG14" s="12"/>
      <c r="AH14" s="55"/>
      <c r="AI14" s="58" t="str">
        <f t="shared" si="6"/>
        <v/>
      </c>
      <c r="AJ14" s="63">
        <f t="shared" si="7"/>
        <v>56</v>
      </c>
      <c r="AK14" s="2">
        <f t="shared" si="8"/>
        <v>70</v>
      </c>
      <c r="AL14" s="3">
        <f t="shared" si="9"/>
        <v>64.400000000000006</v>
      </c>
      <c r="AM14" s="4">
        <f t="shared" si="10"/>
        <v>4</v>
      </c>
      <c r="AN14" s="2" t="str">
        <f t="shared" si="11"/>
        <v/>
      </c>
      <c r="AO14" s="12"/>
      <c r="AP14" s="5">
        <f t="shared" si="12"/>
        <v>1</v>
      </c>
      <c r="AQ14" s="28" t="e">
        <f t="shared" si="13"/>
        <v>#VALUE!</v>
      </c>
    </row>
    <row r="15" spans="1:43" ht="18.2" customHeight="1" x14ac:dyDescent="0.25">
      <c r="A15" s="49">
        <v>9</v>
      </c>
      <c r="B15" s="49" t="s">
        <v>121</v>
      </c>
      <c r="C15" s="49" t="s">
        <v>150</v>
      </c>
      <c r="D15" s="49" t="s">
        <v>151</v>
      </c>
      <c r="E15" s="50" t="s">
        <v>152</v>
      </c>
      <c r="F15" s="27"/>
      <c r="G15" s="1" t="str">
        <f t="shared" si="4"/>
        <v/>
      </c>
      <c r="H15" s="1" t="str">
        <f t="shared" si="5"/>
        <v/>
      </c>
      <c r="I15" s="12"/>
      <c r="J15" s="12">
        <v>42</v>
      </c>
      <c r="K15" s="12">
        <v>10</v>
      </c>
      <c r="L15" s="12">
        <v>15</v>
      </c>
      <c r="M15" s="12"/>
      <c r="N15" s="12"/>
      <c r="O15" s="12"/>
      <c r="P15" s="2">
        <f t="shared" si="0"/>
        <v>22.333333333333332</v>
      </c>
      <c r="Q15" s="12">
        <v>10</v>
      </c>
      <c r="R15" s="3">
        <f t="shared" si="1"/>
        <v>14.933333333333332</v>
      </c>
      <c r="S15" s="12"/>
      <c r="T15" s="12"/>
      <c r="U15" s="55">
        <v>2</v>
      </c>
      <c r="V15" s="58" t="e">
        <f t="shared" si="14"/>
        <v>#VALUE!</v>
      </c>
      <c r="W15" s="56"/>
      <c r="X15" s="12"/>
      <c r="Y15" s="12"/>
      <c r="Z15" s="12"/>
      <c r="AA15" s="12"/>
      <c r="AB15" s="12"/>
      <c r="AC15" s="2" t="str">
        <f t="shared" si="2"/>
        <v/>
      </c>
      <c r="AD15" s="12"/>
      <c r="AE15" s="3" t="str">
        <f t="shared" si="3"/>
        <v/>
      </c>
      <c r="AF15" s="12"/>
      <c r="AG15" s="12"/>
      <c r="AH15" s="55"/>
      <c r="AI15" s="58" t="str">
        <f t="shared" si="6"/>
        <v/>
      </c>
      <c r="AJ15" s="63">
        <f t="shared" si="7"/>
        <v>22.333333333333332</v>
      </c>
      <c r="AK15" s="2">
        <f t="shared" si="8"/>
        <v>10</v>
      </c>
      <c r="AL15" s="3">
        <f t="shared" si="9"/>
        <v>14.933333333333332</v>
      </c>
      <c r="AM15" s="4">
        <f t="shared" si="10"/>
        <v>2</v>
      </c>
      <c r="AN15" s="2" t="str">
        <f t="shared" si="11"/>
        <v/>
      </c>
      <c r="AO15" s="12"/>
      <c r="AP15" s="5">
        <f t="shared" si="12"/>
        <v>2</v>
      </c>
      <c r="AQ15" s="28" t="e">
        <f t="shared" si="13"/>
        <v>#VALUE!</v>
      </c>
    </row>
    <row r="16" spans="1:43" ht="18.2" customHeight="1" x14ac:dyDescent="0.25">
      <c r="A16" s="49">
        <v>9</v>
      </c>
      <c r="B16" s="49" t="s">
        <v>121</v>
      </c>
      <c r="C16" s="49" t="s">
        <v>153</v>
      </c>
      <c r="D16" s="49" t="s">
        <v>154</v>
      </c>
      <c r="E16" s="50" t="s">
        <v>155</v>
      </c>
      <c r="F16" s="27"/>
      <c r="G16" s="1" t="str">
        <f t="shared" si="4"/>
        <v/>
      </c>
      <c r="H16" s="1" t="str">
        <f t="shared" si="5"/>
        <v/>
      </c>
      <c r="I16" s="12"/>
      <c r="J16" s="12">
        <v>24</v>
      </c>
      <c r="K16" s="12">
        <v>49</v>
      </c>
      <c r="L16" s="12">
        <v>59</v>
      </c>
      <c r="M16" s="12"/>
      <c r="N16" s="12"/>
      <c r="O16" s="12"/>
      <c r="P16" s="2">
        <f t="shared" si="0"/>
        <v>44</v>
      </c>
      <c r="Q16" s="12">
        <v>35</v>
      </c>
      <c r="R16" s="3">
        <f t="shared" si="1"/>
        <v>38.6</v>
      </c>
      <c r="S16" s="12"/>
      <c r="T16" s="12"/>
      <c r="U16" s="55">
        <v>1</v>
      </c>
      <c r="V16" s="58" t="e">
        <f t="shared" si="14"/>
        <v>#VALUE!</v>
      </c>
      <c r="W16" s="56"/>
      <c r="X16" s="12"/>
      <c r="Y16" s="12"/>
      <c r="Z16" s="12"/>
      <c r="AA16" s="12"/>
      <c r="AB16" s="12"/>
      <c r="AC16" s="2" t="str">
        <f t="shared" si="2"/>
        <v/>
      </c>
      <c r="AD16" s="12"/>
      <c r="AE16" s="3" t="str">
        <f t="shared" si="3"/>
        <v/>
      </c>
      <c r="AF16" s="12"/>
      <c r="AG16" s="12"/>
      <c r="AH16" s="55"/>
      <c r="AI16" s="58" t="str">
        <f t="shared" si="6"/>
        <v/>
      </c>
      <c r="AJ16" s="63">
        <f t="shared" si="7"/>
        <v>44</v>
      </c>
      <c r="AK16" s="2">
        <f t="shared" si="8"/>
        <v>35</v>
      </c>
      <c r="AL16" s="3">
        <f t="shared" si="9"/>
        <v>38.6</v>
      </c>
      <c r="AM16" s="4">
        <f t="shared" si="10"/>
        <v>3</v>
      </c>
      <c r="AN16" s="2" t="str">
        <f t="shared" si="11"/>
        <v/>
      </c>
      <c r="AO16" s="12"/>
      <c r="AP16" s="5">
        <f t="shared" si="12"/>
        <v>1</v>
      </c>
      <c r="AQ16" s="28" t="e">
        <f t="shared" si="13"/>
        <v>#VALUE!</v>
      </c>
    </row>
    <row r="17" spans="1:43" ht="18.2" customHeight="1" x14ac:dyDescent="0.25">
      <c r="A17" s="49">
        <v>9</v>
      </c>
      <c r="B17" s="49" t="s">
        <v>121</v>
      </c>
      <c r="C17" s="49" t="s">
        <v>156</v>
      </c>
      <c r="D17" s="49" t="s">
        <v>157</v>
      </c>
      <c r="E17" s="50" t="s">
        <v>158</v>
      </c>
      <c r="F17" s="27"/>
      <c r="G17" s="1" t="str">
        <f t="shared" si="4"/>
        <v/>
      </c>
      <c r="H17" s="1" t="str">
        <f t="shared" si="5"/>
        <v/>
      </c>
      <c r="I17" s="12"/>
      <c r="J17" s="12">
        <v>55</v>
      </c>
      <c r="K17" s="12">
        <v>20</v>
      </c>
      <c r="L17" s="12">
        <v>35</v>
      </c>
      <c r="M17" s="12"/>
      <c r="N17" s="12"/>
      <c r="O17" s="12"/>
      <c r="P17" s="2">
        <f t="shared" si="0"/>
        <v>36.666666666666664</v>
      </c>
      <c r="Q17" s="12">
        <v>35</v>
      </c>
      <c r="R17" s="3">
        <f t="shared" si="1"/>
        <v>35.666666666666664</v>
      </c>
      <c r="S17" s="12"/>
      <c r="T17" s="12"/>
      <c r="U17" s="55">
        <v>0</v>
      </c>
      <c r="V17" s="58" t="e">
        <f t="shared" si="14"/>
        <v>#VALUE!</v>
      </c>
      <c r="W17" s="56"/>
      <c r="X17" s="12"/>
      <c r="Y17" s="12"/>
      <c r="Z17" s="12"/>
      <c r="AA17" s="12"/>
      <c r="AB17" s="12"/>
      <c r="AC17" s="2" t="str">
        <f t="shared" si="2"/>
        <v/>
      </c>
      <c r="AD17" s="12"/>
      <c r="AE17" s="3" t="str">
        <f t="shared" si="3"/>
        <v/>
      </c>
      <c r="AF17" s="12"/>
      <c r="AG17" s="12"/>
      <c r="AH17" s="55"/>
      <c r="AI17" s="58" t="str">
        <f t="shared" si="6"/>
        <v/>
      </c>
      <c r="AJ17" s="63">
        <f t="shared" si="7"/>
        <v>36.666666666666664</v>
      </c>
      <c r="AK17" s="2">
        <f t="shared" si="8"/>
        <v>35</v>
      </c>
      <c r="AL17" s="3">
        <f t="shared" si="9"/>
        <v>35.666666666666664</v>
      </c>
      <c r="AM17" s="4">
        <f t="shared" si="10"/>
        <v>3</v>
      </c>
      <c r="AN17" s="2" t="str">
        <f t="shared" si="11"/>
        <v/>
      </c>
      <c r="AO17" s="12"/>
      <c r="AP17" s="5">
        <f t="shared" si="12"/>
        <v>0</v>
      </c>
      <c r="AQ17" s="28" t="e">
        <f t="shared" si="13"/>
        <v>#VALUE!</v>
      </c>
    </row>
    <row r="18" spans="1:43" ht="18.2" customHeight="1" x14ac:dyDescent="0.25">
      <c r="A18" s="49">
        <v>9</v>
      </c>
      <c r="B18" s="49" t="s">
        <v>121</v>
      </c>
      <c r="C18" s="49" t="s">
        <v>156</v>
      </c>
      <c r="D18" s="49" t="s">
        <v>143</v>
      </c>
      <c r="E18" s="50" t="s">
        <v>159</v>
      </c>
      <c r="F18" s="27"/>
      <c r="G18" s="1" t="str">
        <f t="shared" si="4"/>
        <v/>
      </c>
      <c r="H18" s="1" t="str">
        <f t="shared" si="5"/>
        <v/>
      </c>
      <c r="I18" s="12"/>
      <c r="J18" s="12">
        <v>55</v>
      </c>
      <c r="K18" s="12">
        <v>54</v>
      </c>
      <c r="L18" s="12">
        <v>60</v>
      </c>
      <c r="M18" s="12"/>
      <c r="N18" s="12"/>
      <c r="O18" s="12"/>
      <c r="P18" s="2">
        <f t="shared" si="0"/>
        <v>56.333333333333336</v>
      </c>
      <c r="Q18" s="12">
        <v>40</v>
      </c>
      <c r="R18" s="3">
        <f t="shared" si="1"/>
        <v>46.533333333333331</v>
      </c>
      <c r="S18" s="12"/>
      <c r="T18" s="12"/>
      <c r="U18" s="55">
        <v>6</v>
      </c>
      <c r="V18" s="58" t="e">
        <f t="shared" si="14"/>
        <v>#VALUE!</v>
      </c>
      <c r="W18" s="56"/>
      <c r="X18" s="12"/>
      <c r="Y18" s="12"/>
      <c r="Z18" s="12"/>
      <c r="AA18" s="12"/>
      <c r="AB18" s="12"/>
      <c r="AC18" s="2" t="str">
        <f t="shared" si="2"/>
        <v/>
      </c>
      <c r="AD18" s="12"/>
      <c r="AE18" s="3" t="str">
        <f t="shared" si="3"/>
        <v/>
      </c>
      <c r="AF18" s="12"/>
      <c r="AG18" s="12"/>
      <c r="AH18" s="55"/>
      <c r="AI18" s="58" t="str">
        <f t="shared" si="6"/>
        <v/>
      </c>
      <c r="AJ18" s="63">
        <f t="shared" si="7"/>
        <v>56.333333333333336</v>
      </c>
      <c r="AK18" s="2">
        <f t="shared" si="8"/>
        <v>40</v>
      </c>
      <c r="AL18" s="3">
        <f t="shared" si="9"/>
        <v>46.533333333333331</v>
      </c>
      <c r="AM18" s="4">
        <f t="shared" si="10"/>
        <v>3</v>
      </c>
      <c r="AN18" s="2" t="str">
        <f t="shared" si="11"/>
        <v/>
      </c>
      <c r="AO18" s="12"/>
      <c r="AP18" s="5">
        <f t="shared" si="12"/>
        <v>6</v>
      </c>
      <c r="AQ18" s="28" t="e">
        <f t="shared" si="13"/>
        <v>#VALUE!</v>
      </c>
    </row>
    <row r="19" spans="1:43" ht="18.2" customHeight="1" x14ac:dyDescent="0.25">
      <c r="A19" s="49">
        <v>9</v>
      </c>
      <c r="B19" s="49" t="s">
        <v>121</v>
      </c>
      <c r="C19" s="49" t="s">
        <v>156</v>
      </c>
      <c r="D19" s="49" t="s">
        <v>160</v>
      </c>
      <c r="E19" s="50" t="s">
        <v>158</v>
      </c>
      <c r="F19" s="27"/>
      <c r="G19" s="1" t="str">
        <f t="shared" si="4"/>
        <v/>
      </c>
      <c r="H19" s="1" t="str">
        <f t="shared" si="5"/>
        <v/>
      </c>
      <c r="I19" s="12"/>
      <c r="J19" s="12">
        <v>65</v>
      </c>
      <c r="K19" s="12">
        <v>45</v>
      </c>
      <c r="L19" s="12">
        <v>80</v>
      </c>
      <c r="M19" s="12"/>
      <c r="N19" s="12"/>
      <c r="O19" s="12"/>
      <c r="P19" s="2">
        <f t="shared" si="0"/>
        <v>63.333333333333336</v>
      </c>
      <c r="Q19" s="12">
        <v>65</v>
      </c>
      <c r="R19" s="3">
        <f t="shared" si="1"/>
        <v>64.333333333333343</v>
      </c>
      <c r="S19" s="12"/>
      <c r="T19" s="12"/>
      <c r="U19" s="55">
        <v>0</v>
      </c>
      <c r="V19" s="58" t="e">
        <f t="shared" si="14"/>
        <v>#VALUE!</v>
      </c>
      <c r="W19" s="56"/>
      <c r="X19" s="12"/>
      <c r="Y19" s="12"/>
      <c r="Z19" s="12"/>
      <c r="AA19" s="12"/>
      <c r="AB19" s="12"/>
      <c r="AC19" s="2" t="str">
        <f t="shared" si="2"/>
        <v/>
      </c>
      <c r="AD19" s="12"/>
      <c r="AE19" s="3" t="str">
        <f t="shared" si="3"/>
        <v/>
      </c>
      <c r="AF19" s="12"/>
      <c r="AG19" s="12"/>
      <c r="AH19" s="55"/>
      <c r="AI19" s="58" t="str">
        <f t="shared" si="6"/>
        <v/>
      </c>
      <c r="AJ19" s="63">
        <f t="shared" si="7"/>
        <v>63.333333333333336</v>
      </c>
      <c r="AK19" s="2">
        <f t="shared" si="8"/>
        <v>65</v>
      </c>
      <c r="AL19" s="3">
        <f t="shared" si="9"/>
        <v>64.333333333333343</v>
      </c>
      <c r="AM19" s="4">
        <f t="shared" si="10"/>
        <v>4</v>
      </c>
      <c r="AN19" s="2" t="str">
        <f t="shared" si="11"/>
        <v/>
      </c>
      <c r="AO19" s="12"/>
      <c r="AP19" s="5">
        <f t="shared" si="12"/>
        <v>0</v>
      </c>
      <c r="AQ19" s="28" t="e">
        <f t="shared" si="13"/>
        <v>#VALUE!</v>
      </c>
    </row>
    <row r="20" spans="1:43" ht="18.2" customHeight="1" x14ac:dyDescent="0.25">
      <c r="A20" s="49">
        <v>9</v>
      </c>
      <c r="B20" s="49" t="s">
        <v>121</v>
      </c>
      <c r="C20" s="49" t="s">
        <v>161</v>
      </c>
      <c r="D20" s="49" t="s">
        <v>154</v>
      </c>
      <c r="E20" s="50" t="s">
        <v>162</v>
      </c>
      <c r="F20" s="27"/>
      <c r="G20" s="1" t="str">
        <f t="shared" si="4"/>
        <v/>
      </c>
      <c r="H20" s="1" t="str">
        <f t="shared" si="5"/>
        <v/>
      </c>
      <c r="I20" s="12"/>
      <c r="J20" s="12">
        <v>85</v>
      </c>
      <c r="K20" s="12">
        <v>59</v>
      </c>
      <c r="L20" s="12">
        <v>81</v>
      </c>
      <c r="M20" s="12"/>
      <c r="N20" s="12"/>
      <c r="O20" s="12"/>
      <c r="P20" s="2">
        <f t="shared" si="0"/>
        <v>75</v>
      </c>
      <c r="Q20" s="12">
        <v>80</v>
      </c>
      <c r="R20" s="3">
        <f t="shared" si="1"/>
        <v>78</v>
      </c>
      <c r="S20" s="12"/>
      <c r="T20" s="12"/>
      <c r="U20" s="55">
        <v>1</v>
      </c>
      <c r="V20" s="58" t="e">
        <f t="shared" si="14"/>
        <v>#VALUE!</v>
      </c>
      <c r="W20" s="56"/>
      <c r="X20" s="12"/>
      <c r="Y20" s="12"/>
      <c r="Z20" s="12"/>
      <c r="AA20" s="12"/>
      <c r="AB20" s="12"/>
      <c r="AC20" s="2" t="str">
        <f t="shared" si="2"/>
        <v/>
      </c>
      <c r="AD20" s="12"/>
      <c r="AE20" s="3" t="str">
        <f t="shared" si="3"/>
        <v/>
      </c>
      <c r="AF20" s="12"/>
      <c r="AG20" s="12"/>
      <c r="AH20" s="55"/>
      <c r="AI20" s="58" t="str">
        <f t="shared" si="6"/>
        <v/>
      </c>
      <c r="AJ20" s="63">
        <f t="shared" si="7"/>
        <v>75</v>
      </c>
      <c r="AK20" s="2">
        <f t="shared" si="8"/>
        <v>80</v>
      </c>
      <c r="AL20" s="3">
        <f t="shared" si="9"/>
        <v>78</v>
      </c>
      <c r="AM20" s="4">
        <f t="shared" si="10"/>
        <v>4</v>
      </c>
      <c r="AN20" s="2" t="str">
        <f t="shared" si="11"/>
        <v/>
      </c>
      <c r="AO20" s="12"/>
      <c r="AP20" s="5">
        <f t="shared" si="12"/>
        <v>1</v>
      </c>
      <c r="AQ20" s="28" t="e">
        <f t="shared" si="13"/>
        <v>#VALUE!</v>
      </c>
    </row>
    <row r="21" spans="1:43" ht="18.2" customHeight="1" x14ac:dyDescent="0.25">
      <c r="A21" s="49">
        <v>9</v>
      </c>
      <c r="B21" s="49" t="s">
        <v>121</v>
      </c>
      <c r="C21" s="49" t="s">
        <v>163</v>
      </c>
      <c r="D21" s="49" t="s">
        <v>164</v>
      </c>
      <c r="E21" s="50" t="s">
        <v>165</v>
      </c>
      <c r="F21" s="27"/>
      <c r="G21" s="1" t="str">
        <f t="shared" si="4"/>
        <v/>
      </c>
      <c r="H21" s="1" t="str">
        <f t="shared" si="5"/>
        <v/>
      </c>
      <c r="I21" s="12"/>
      <c r="J21" s="12">
        <v>61</v>
      </c>
      <c r="K21" s="12">
        <v>35</v>
      </c>
      <c r="L21" s="12">
        <v>45</v>
      </c>
      <c r="M21" s="12"/>
      <c r="N21" s="12"/>
      <c r="O21" s="12"/>
      <c r="P21" s="2">
        <f t="shared" si="0"/>
        <v>47</v>
      </c>
      <c r="Q21" s="12">
        <v>35</v>
      </c>
      <c r="R21" s="3">
        <f t="shared" si="1"/>
        <v>39.799999999999997</v>
      </c>
      <c r="S21" s="12"/>
      <c r="T21" s="12"/>
      <c r="U21" s="55">
        <v>2</v>
      </c>
      <c r="V21" s="58" t="e">
        <f t="shared" si="14"/>
        <v>#VALUE!</v>
      </c>
      <c r="W21" s="56"/>
      <c r="X21" s="12"/>
      <c r="Y21" s="12"/>
      <c r="Z21" s="12"/>
      <c r="AA21" s="12"/>
      <c r="AB21" s="12"/>
      <c r="AC21" s="2" t="str">
        <f t="shared" si="2"/>
        <v/>
      </c>
      <c r="AD21" s="12"/>
      <c r="AE21" s="3" t="str">
        <f t="shared" si="3"/>
        <v/>
      </c>
      <c r="AF21" s="12"/>
      <c r="AG21" s="12"/>
      <c r="AH21" s="55"/>
      <c r="AI21" s="58" t="str">
        <f t="shared" si="6"/>
        <v/>
      </c>
      <c r="AJ21" s="63">
        <f t="shared" si="7"/>
        <v>47</v>
      </c>
      <c r="AK21" s="2">
        <f t="shared" si="8"/>
        <v>35</v>
      </c>
      <c r="AL21" s="3">
        <f t="shared" si="9"/>
        <v>39.799999999999997</v>
      </c>
      <c r="AM21" s="4">
        <f t="shared" si="10"/>
        <v>3</v>
      </c>
      <c r="AN21" s="2" t="str">
        <f t="shared" si="11"/>
        <v/>
      </c>
      <c r="AO21" s="12"/>
      <c r="AP21" s="5">
        <f t="shared" si="12"/>
        <v>2</v>
      </c>
      <c r="AQ21" s="28" t="e">
        <f t="shared" si="13"/>
        <v>#VALUE!</v>
      </c>
    </row>
    <row r="22" spans="1:43" ht="18.2" customHeight="1" x14ac:dyDescent="0.25">
      <c r="A22" s="49">
        <v>9</v>
      </c>
      <c r="B22" s="49" t="s">
        <v>121</v>
      </c>
      <c r="C22" s="49" t="s">
        <v>163</v>
      </c>
      <c r="D22" s="49" t="s">
        <v>166</v>
      </c>
      <c r="E22" s="50" t="s">
        <v>167</v>
      </c>
      <c r="F22" s="27"/>
      <c r="G22" s="1" t="str">
        <f t="shared" si="4"/>
        <v/>
      </c>
      <c r="H22" s="1" t="str">
        <f t="shared" si="5"/>
        <v/>
      </c>
      <c r="I22" s="12"/>
      <c r="J22" s="12">
        <v>45</v>
      </c>
      <c r="K22" s="12">
        <v>55</v>
      </c>
      <c r="L22" s="12">
        <v>60</v>
      </c>
      <c r="M22" s="12"/>
      <c r="N22" s="12"/>
      <c r="O22" s="12"/>
      <c r="P22" s="2">
        <f t="shared" si="0"/>
        <v>53.333333333333336</v>
      </c>
      <c r="Q22" s="12">
        <v>35</v>
      </c>
      <c r="R22" s="3">
        <f t="shared" si="1"/>
        <v>42.333333333333336</v>
      </c>
      <c r="S22" s="12"/>
      <c r="T22" s="12"/>
      <c r="U22" s="55">
        <v>3</v>
      </c>
      <c r="V22" s="58" t="e">
        <f t="shared" si="14"/>
        <v>#VALUE!</v>
      </c>
      <c r="W22" s="56"/>
      <c r="X22" s="12"/>
      <c r="Y22" s="12"/>
      <c r="Z22" s="12"/>
      <c r="AA22" s="12"/>
      <c r="AB22" s="12"/>
      <c r="AC22" s="2" t="str">
        <f t="shared" si="2"/>
        <v/>
      </c>
      <c r="AD22" s="12"/>
      <c r="AE22" s="3" t="str">
        <f t="shared" si="3"/>
        <v/>
      </c>
      <c r="AF22" s="12"/>
      <c r="AG22" s="12"/>
      <c r="AH22" s="55"/>
      <c r="AI22" s="58" t="str">
        <f t="shared" si="6"/>
        <v/>
      </c>
      <c r="AJ22" s="63">
        <f t="shared" si="7"/>
        <v>53.333333333333336</v>
      </c>
      <c r="AK22" s="2">
        <f t="shared" si="8"/>
        <v>35</v>
      </c>
      <c r="AL22" s="3">
        <f t="shared" si="9"/>
        <v>42.333333333333336</v>
      </c>
      <c r="AM22" s="4">
        <f t="shared" si="10"/>
        <v>3</v>
      </c>
      <c r="AN22" s="2" t="str">
        <f t="shared" si="11"/>
        <v/>
      </c>
      <c r="AO22" s="12"/>
      <c r="AP22" s="5">
        <f t="shared" si="12"/>
        <v>3</v>
      </c>
      <c r="AQ22" s="28" t="e">
        <f t="shared" si="13"/>
        <v>#VALUE!</v>
      </c>
    </row>
    <row r="23" spans="1:43" ht="18.2" customHeight="1" x14ac:dyDescent="0.25">
      <c r="A23" s="49">
        <v>9</v>
      </c>
      <c r="B23" s="49" t="s">
        <v>121</v>
      </c>
      <c r="C23" s="49" t="s">
        <v>168</v>
      </c>
      <c r="D23" s="49" t="s">
        <v>169</v>
      </c>
      <c r="E23" s="50" t="s">
        <v>170</v>
      </c>
      <c r="F23" s="27"/>
      <c r="G23" s="1" t="str">
        <f t="shared" si="4"/>
        <v/>
      </c>
      <c r="H23" s="1" t="str">
        <f t="shared" si="5"/>
        <v/>
      </c>
      <c r="I23" s="12"/>
      <c r="J23" s="12">
        <v>35</v>
      </c>
      <c r="K23" s="12">
        <v>35</v>
      </c>
      <c r="L23" s="12">
        <v>45</v>
      </c>
      <c r="M23" s="12"/>
      <c r="N23" s="12"/>
      <c r="O23" s="12"/>
      <c r="P23" s="2">
        <f t="shared" si="0"/>
        <v>38.333333333333336</v>
      </c>
      <c r="Q23" s="12">
        <v>65</v>
      </c>
      <c r="R23" s="3">
        <f t="shared" si="1"/>
        <v>54.333333333333336</v>
      </c>
      <c r="S23" s="12"/>
      <c r="T23" s="12"/>
      <c r="U23" s="55">
        <v>5</v>
      </c>
      <c r="V23" s="58" t="e">
        <f t="shared" si="14"/>
        <v>#VALUE!</v>
      </c>
      <c r="W23" s="56"/>
      <c r="X23" s="12"/>
      <c r="Y23" s="12"/>
      <c r="Z23" s="12"/>
      <c r="AA23" s="12"/>
      <c r="AB23" s="12"/>
      <c r="AC23" s="2" t="str">
        <f t="shared" si="2"/>
        <v/>
      </c>
      <c r="AD23" s="12"/>
      <c r="AE23" s="3" t="str">
        <f t="shared" si="3"/>
        <v/>
      </c>
      <c r="AF23" s="12"/>
      <c r="AG23" s="12"/>
      <c r="AH23" s="55"/>
      <c r="AI23" s="58" t="str">
        <f t="shared" si="6"/>
        <v/>
      </c>
      <c r="AJ23" s="63">
        <f t="shared" si="7"/>
        <v>38.333333333333336</v>
      </c>
      <c r="AK23" s="2">
        <f t="shared" si="8"/>
        <v>65</v>
      </c>
      <c r="AL23" s="3">
        <f t="shared" si="9"/>
        <v>54.333333333333336</v>
      </c>
      <c r="AM23" s="4">
        <f t="shared" si="10"/>
        <v>3</v>
      </c>
      <c r="AN23" s="2" t="str">
        <f t="shared" si="11"/>
        <v/>
      </c>
      <c r="AO23" s="12"/>
      <c r="AP23" s="5">
        <f t="shared" si="12"/>
        <v>5</v>
      </c>
      <c r="AQ23" s="28" t="e">
        <f t="shared" si="13"/>
        <v>#VALUE!</v>
      </c>
    </row>
    <row r="24" spans="1:43" ht="18.2" customHeight="1" x14ac:dyDescent="0.25">
      <c r="A24" s="49">
        <v>9</v>
      </c>
      <c r="B24" s="49" t="s">
        <v>121</v>
      </c>
      <c r="C24" s="49" t="s">
        <v>171</v>
      </c>
      <c r="D24" s="49" t="s">
        <v>172</v>
      </c>
      <c r="E24" s="50" t="s">
        <v>173</v>
      </c>
      <c r="F24" s="27"/>
      <c r="G24" s="1" t="str">
        <f t="shared" si="4"/>
        <v/>
      </c>
      <c r="H24" s="1" t="str">
        <f t="shared" si="5"/>
        <v/>
      </c>
      <c r="I24" s="12"/>
      <c r="J24" s="12">
        <v>35</v>
      </c>
      <c r="K24" s="12">
        <v>25</v>
      </c>
      <c r="L24" s="12">
        <v>55</v>
      </c>
      <c r="M24" s="12"/>
      <c r="N24" s="12"/>
      <c r="O24" s="12"/>
      <c r="P24" s="2">
        <f t="shared" si="0"/>
        <v>38.333333333333336</v>
      </c>
      <c r="Q24" s="12">
        <v>55</v>
      </c>
      <c r="R24" s="3">
        <f t="shared" si="1"/>
        <v>48.333333333333336</v>
      </c>
      <c r="S24" s="12"/>
      <c r="T24" s="12"/>
      <c r="U24" s="55">
        <v>1</v>
      </c>
      <c r="V24" s="58" t="e">
        <f t="shared" si="14"/>
        <v>#VALUE!</v>
      </c>
      <c r="W24" s="56"/>
      <c r="X24" s="12"/>
      <c r="Y24" s="12"/>
      <c r="Z24" s="12"/>
      <c r="AA24" s="12"/>
      <c r="AB24" s="12"/>
      <c r="AC24" s="2" t="str">
        <f t="shared" si="2"/>
        <v/>
      </c>
      <c r="AD24" s="12"/>
      <c r="AE24" s="3" t="str">
        <f t="shared" si="3"/>
        <v/>
      </c>
      <c r="AF24" s="12"/>
      <c r="AG24" s="12"/>
      <c r="AH24" s="55"/>
      <c r="AI24" s="58" t="str">
        <f t="shared" si="6"/>
        <v/>
      </c>
      <c r="AJ24" s="63">
        <f t="shared" si="7"/>
        <v>38.333333333333336</v>
      </c>
      <c r="AK24" s="2">
        <f t="shared" si="8"/>
        <v>55</v>
      </c>
      <c r="AL24" s="3">
        <f t="shared" si="9"/>
        <v>48.333333333333336</v>
      </c>
      <c r="AM24" s="4">
        <f t="shared" si="10"/>
        <v>3</v>
      </c>
      <c r="AN24" s="2" t="str">
        <f t="shared" si="11"/>
        <v/>
      </c>
      <c r="AO24" s="12"/>
      <c r="AP24" s="5">
        <f t="shared" si="12"/>
        <v>1</v>
      </c>
      <c r="AQ24" s="28" t="e">
        <f t="shared" si="13"/>
        <v>#VALUE!</v>
      </c>
    </row>
    <row r="25" spans="1:43" ht="18.2" customHeight="1" x14ac:dyDescent="0.25">
      <c r="A25" s="49">
        <v>9</v>
      </c>
      <c r="B25" s="49" t="s">
        <v>121</v>
      </c>
      <c r="C25" s="49" t="s">
        <v>174</v>
      </c>
      <c r="D25" s="49" t="s">
        <v>175</v>
      </c>
      <c r="E25" s="50" t="s">
        <v>176</v>
      </c>
      <c r="F25" s="27"/>
      <c r="G25" s="1" t="str">
        <f t="shared" si="4"/>
        <v/>
      </c>
      <c r="H25" s="1" t="str">
        <f t="shared" si="5"/>
        <v/>
      </c>
      <c r="I25" s="12"/>
      <c r="J25" s="12">
        <v>45</v>
      </c>
      <c r="K25" s="12">
        <v>25</v>
      </c>
      <c r="L25" s="12">
        <v>60</v>
      </c>
      <c r="M25" s="12"/>
      <c r="N25" s="12"/>
      <c r="O25" s="12"/>
      <c r="P25" s="2">
        <f t="shared" si="0"/>
        <v>43.333333333333336</v>
      </c>
      <c r="Q25" s="12">
        <v>35</v>
      </c>
      <c r="R25" s="3">
        <f t="shared" si="1"/>
        <v>38.333333333333336</v>
      </c>
      <c r="S25" s="12"/>
      <c r="T25" s="12"/>
      <c r="U25" s="55">
        <v>4</v>
      </c>
      <c r="V25" s="58" t="e">
        <f t="shared" si="14"/>
        <v>#VALUE!</v>
      </c>
      <c r="W25" s="56"/>
      <c r="X25" s="12"/>
      <c r="Y25" s="12"/>
      <c r="Z25" s="12"/>
      <c r="AA25" s="12"/>
      <c r="AB25" s="12"/>
      <c r="AC25" s="2" t="str">
        <f t="shared" si="2"/>
        <v/>
      </c>
      <c r="AD25" s="12"/>
      <c r="AE25" s="3" t="str">
        <f t="shared" si="3"/>
        <v/>
      </c>
      <c r="AF25" s="12"/>
      <c r="AG25" s="12"/>
      <c r="AH25" s="55"/>
      <c r="AI25" s="58" t="str">
        <f t="shared" si="6"/>
        <v/>
      </c>
      <c r="AJ25" s="63">
        <f t="shared" si="7"/>
        <v>43.333333333333336</v>
      </c>
      <c r="AK25" s="2">
        <f t="shared" si="8"/>
        <v>35</v>
      </c>
      <c r="AL25" s="3">
        <f t="shared" si="9"/>
        <v>38.333333333333336</v>
      </c>
      <c r="AM25" s="4">
        <f t="shared" si="10"/>
        <v>3</v>
      </c>
      <c r="AN25" s="2" t="str">
        <f t="shared" si="11"/>
        <v/>
      </c>
      <c r="AO25" s="12"/>
      <c r="AP25" s="5">
        <f t="shared" si="12"/>
        <v>4</v>
      </c>
      <c r="AQ25" s="28" t="e">
        <f t="shared" si="13"/>
        <v>#VALUE!</v>
      </c>
    </row>
    <row r="26" spans="1:43" ht="18.2" customHeight="1" x14ac:dyDescent="0.25">
      <c r="A26" s="49">
        <v>9</v>
      </c>
      <c r="B26" s="49" t="s">
        <v>121</v>
      </c>
      <c r="C26" s="49" t="s">
        <v>177</v>
      </c>
      <c r="D26" s="49" t="s">
        <v>178</v>
      </c>
      <c r="E26" s="50" t="s">
        <v>179</v>
      </c>
      <c r="F26" s="27"/>
      <c r="G26" s="1" t="str">
        <f t="shared" si="4"/>
        <v/>
      </c>
      <c r="H26" s="1" t="str">
        <f t="shared" si="5"/>
        <v/>
      </c>
      <c r="I26" s="12"/>
      <c r="J26" s="12">
        <v>61</v>
      </c>
      <c r="K26" s="12">
        <v>49</v>
      </c>
      <c r="L26" s="12">
        <v>45</v>
      </c>
      <c r="M26" s="12"/>
      <c r="N26" s="12"/>
      <c r="O26" s="12"/>
      <c r="P26" s="2">
        <f t="shared" si="0"/>
        <v>51.666666666666664</v>
      </c>
      <c r="Q26" s="12">
        <v>35</v>
      </c>
      <c r="R26" s="3">
        <f t="shared" si="1"/>
        <v>41.666666666666664</v>
      </c>
      <c r="S26" s="12"/>
      <c r="T26" s="12"/>
      <c r="U26" s="55">
        <v>2</v>
      </c>
      <c r="V26" s="58" t="e">
        <f t="shared" si="14"/>
        <v>#VALUE!</v>
      </c>
      <c r="W26" s="56"/>
      <c r="X26" s="12"/>
      <c r="Y26" s="12"/>
      <c r="Z26" s="12"/>
      <c r="AA26" s="12"/>
      <c r="AB26" s="12"/>
      <c r="AC26" s="2" t="str">
        <f t="shared" si="2"/>
        <v/>
      </c>
      <c r="AD26" s="12"/>
      <c r="AE26" s="3" t="str">
        <f t="shared" si="3"/>
        <v/>
      </c>
      <c r="AF26" s="12"/>
      <c r="AG26" s="12"/>
      <c r="AH26" s="55"/>
      <c r="AI26" s="58" t="str">
        <f t="shared" si="6"/>
        <v/>
      </c>
      <c r="AJ26" s="63">
        <f t="shared" si="7"/>
        <v>51.666666666666664</v>
      </c>
      <c r="AK26" s="2">
        <f t="shared" si="8"/>
        <v>35</v>
      </c>
      <c r="AL26" s="3">
        <f t="shared" si="9"/>
        <v>41.666666666666664</v>
      </c>
      <c r="AM26" s="4">
        <f t="shared" si="10"/>
        <v>3</v>
      </c>
      <c r="AN26" s="2" t="str">
        <f t="shared" si="11"/>
        <v/>
      </c>
      <c r="AO26" s="12"/>
      <c r="AP26" s="5">
        <f t="shared" si="12"/>
        <v>2</v>
      </c>
      <c r="AQ26" s="28" t="e">
        <f t="shared" si="13"/>
        <v>#VALUE!</v>
      </c>
    </row>
    <row r="27" spans="1:43" ht="18.2" customHeight="1" x14ac:dyDescent="0.25">
      <c r="A27" s="49"/>
      <c r="B27" s="49"/>
      <c r="C27" s="49"/>
      <c r="D27" s="49"/>
      <c r="E27" s="50"/>
      <c r="F27" s="27"/>
      <c r="G27" s="1" t="str">
        <f t="shared" si="4"/>
        <v/>
      </c>
      <c r="H27" s="1" t="str">
        <f t="shared" si="5"/>
        <v/>
      </c>
      <c r="I27" s="12"/>
      <c r="J27" s="12"/>
      <c r="K27" s="12"/>
      <c r="L27" s="12"/>
      <c r="M27" s="12"/>
      <c r="N27" s="12"/>
      <c r="O27" s="12"/>
      <c r="P27" s="2" t="str">
        <f t="shared" si="0"/>
        <v/>
      </c>
      <c r="Q27" s="12"/>
      <c r="R27" s="3" t="str">
        <f t="shared" si="1"/>
        <v/>
      </c>
      <c r="S27" s="12"/>
      <c r="T27" s="12"/>
      <c r="U27" s="55"/>
      <c r="V27" s="58" t="str">
        <f t="shared" si="14"/>
        <v/>
      </c>
      <c r="W27" s="56"/>
      <c r="X27" s="12"/>
      <c r="Y27" s="12"/>
      <c r="Z27" s="12"/>
      <c r="AA27" s="12"/>
      <c r="AB27" s="12"/>
      <c r="AC27" s="2" t="str">
        <f t="shared" si="2"/>
        <v/>
      </c>
      <c r="AD27" s="12"/>
      <c r="AE27" s="3" t="str">
        <f t="shared" si="3"/>
        <v/>
      </c>
      <c r="AF27" s="12"/>
      <c r="AG27" s="12"/>
      <c r="AH27" s="55"/>
      <c r="AI27" s="58" t="str">
        <f t="shared" si="6"/>
        <v/>
      </c>
      <c r="AJ27" s="63" t="str">
        <f t="shared" si="7"/>
        <v/>
      </c>
      <c r="AK27" s="2" t="str">
        <f t="shared" si="8"/>
        <v/>
      </c>
      <c r="AL27" s="3" t="str">
        <f t="shared" si="9"/>
        <v/>
      </c>
      <c r="AM27" s="4" t="str">
        <f t="shared" si="10"/>
        <v/>
      </c>
      <c r="AN27" s="2" t="str">
        <f t="shared" si="11"/>
        <v/>
      </c>
      <c r="AO27" s="12"/>
      <c r="AP27" s="5" t="str">
        <f t="shared" si="12"/>
        <v/>
      </c>
      <c r="AQ27" s="28" t="str">
        <f t="shared" si="13"/>
        <v/>
      </c>
    </row>
    <row r="28" spans="1:43" ht="18.2" customHeight="1" x14ac:dyDescent="0.25">
      <c r="A28" s="49"/>
      <c r="B28" s="49"/>
      <c r="C28" s="49"/>
      <c r="D28" s="49"/>
      <c r="E28" s="50"/>
      <c r="F28" s="27"/>
      <c r="G28" s="1" t="str">
        <f t="shared" si="4"/>
        <v/>
      </c>
      <c r="H28" s="1" t="str">
        <f t="shared" si="5"/>
        <v/>
      </c>
      <c r="I28" s="12"/>
      <c r="J28" s="12"/>
      <c r="K28" s="12"/>
      <c r="L28" s="12"/>
      <c r="M28" s="12"/>
      <c r="N28" s="12"/>
      <c r="O28" s="12"/>
      <c r="P28" s="2" t="str">
        <f t="shared" si="0"/>
        <v/>
      </c>
      <c r="Q28" s="12"/>
      <c r="R28" s="3" t="str">
        <f t="shared" si="1"/>
        <v/>
      </c>
      <c r="S28" s="12"/>
      <c r="T28" s="12"/>
      <c r="U28" s="55"/>
      <c r="V28" s="58" t="str">
        <f t="shared" si="14"/>
        <v/>
      </c>
      <c r="W28" s="56"/>
      <c r="X28" s="12"/>
      <c r="Y28" s="12"/>
      <c r="Z28" s="12"/>
      <c r="AA28" s="12"/>
      <c r="AB28" s="12"/>
      <c r="AC28" s="2" t="str">
        <f t="shared" si="2"/>
        <v/>
      </c>
      <c r="AD28" s="12"/>
      <c r="AE28" s="3" t="str">
        <f t="shared" si="3"/>
        <v/>
      </c>
      <c r="AF28" s="12"/>
      <c r="AG28" s="12"/>
      <c r="AH28" s="55"/>
      <c r="AI28" s="58" t="str">
        <f t="shared" si="6"/>
        <v/>
      </c>
      <c r="AJ28" s="63" t="str">
        <f t="shared" si="7"/>
        <v/>
      </c>
      <c r="AK28" s="2" t="str">
        <f t="shared" si="8"/>
        <v/>
      </c>
      <c r="AL28" s="3" t="str">
        <f t="shared" si="9"/>
        <v/>
      </c>
      <c r="AM28" s="4" t="str">
        <f t="shared" si="10"/>
        <v/>
      </c>
      <c r="AN28" s="2" t="str">
        <f t="shared" si="11"/>
        <v/>
      </c>
      <c r="AO28" s="12"/>
      <c r="AP28" s="5" t="str">
        <f t="shared" si="12"/>
        <v/>
      </c>
      <c r="AQ28" s="28" t="str">
        <f t="shared" si="13"/>
        <v/>
      </c>
    </row>
    <row r="29" spans="1:43" ht="18.2" customHeight="1" x14ac:dyDescent="0.25">
      <c r="A29" s="49"/>
      <c r="B29" s="49"/>
      <c r="C29" s="49"/>
      <c r="D29" s="49"/>
      <c r="E29" s="50"/>
      <c r="F29" s="27"/>
      <c r="G29" s="1" t="str">
        <f t="shared" si="4"/>
        <v/>
      </c>
      <c r="H29" s="1" t="str">
        <f t="shared" si="5"/>
        <v/>
      </c>
      <c r="I29" s="12"/>
      <c r="J29" s="12"/>
      <c r="K29" s="12"/>
      <c r="L29" s="12"/>
      <c r="M29" s="12"/>
      <c r="N29" s="12"/>
      <c r="O29" s="12"/>
      <c r="P29" s="2" t="str">
        <f t="shared" si="0"/>
        <v/>
      </c>
      <c r="Q29" s="12"/>
      <c r="R29" s="3" t="str">
        <f t="shared" si="1"/>
        <v/>
      </c>
      <c r="S29" s="12"/>
      <c r="T29" s="12"/>
      <c r="U29" s="55"/>
      <c r="V29" s="58" t="str">
        <f t="shared" si="14"/>
        <v/>
      </c>
      <c r="W29" s="56"/>
      <c r="X29" s="12"/>
      <c r="Y29" s="12"/>
      <c r="Z29" s="12"/>
      <c r="AA29" s="12"/>
      <c r="AB29" s="12"/>
      <c r="AC29" s="2" t="str">
        <f t="shared" si="2"/>
        <v/>
      </c>
      <c r="AD29" s="12"/>
      <c r="AE29" s="3" t="str">
        <f t="shared" si="3"/>
        <v/>
      </c>
      <c r="AF29" s="12"/>
      <c r="AG29" s="12"/>
      <c r="AH29" s="55"/>
      <c r="AI29" s="58" t="str">
        <f t="shared" si="6"/>
        <v/>
      </c>
      <c r="AJ29" s="63" t="str">
        <f t="shared" si="7"/>
        <v/>
      </c>
      <c r="AK29" s="2" t="str">
        <f t="shared" si="8"/>
        <v/>
      </c>
      <c r="AL29" s="3" t="str">
        <f t="shared" si="9"/>
        <v/>
      </c>
      <c r="AM29" s="4" t="str">
        <f t="shared" si="10"/>
        <v/>
      </c>
      <c r="AN29" s="2" t="str">
        <f t="shared" si="11"/>
        <v/>
      </c>
      <c r="AO29" s="12"/>
      <c r="AP29" s="5" t="str">
        <f t="shared" si="12"/>
        <v/>
      </c>
      <c r="AQ29" s="28" t="str">
        <f t="shared" si="13"/>
        <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81" t="s">
        <v>42</v>
      </c>
      <c r="B55" s="81"/>
      <c r="C55" s="81"/>
      <c r="D55" s="81"/>
      <c r="E55" s="81"/>
      <c r="F55" s="82"/>
      <c r="G55" s="22" t="str">
        <f>IF(G4="","",$G$4)</f>
        <v/>
      </c>
      <c r="H55" s="22" t="str">
        <f>IF(H4="","",$H$4)</f>
        <v/>
      </c>
      <c r="I55" s="23" t="str">
        <f t="shared" ref="I55:V55" si="17">IFERROR(AVERAGE(I5:I54),"")</f>
        <v/>
      </c>
      <c r="J55" s="23">
        <f t="shared" si="17"/>
        <v>47.772727272727273</v>
      </c>
      <c r="K55" s="23">
        <f t="shared" si="17"/>
        <v>39.363636363636367</v>
      </c>
      <c r="L55" s="23">
        <f t="shared" si="17"/>
        <v>52.409090909090907</v>
      </c>
      <c r="M55" s="23" t="str">
        <f t="shared" si="17"/>
        <v/>
      </c>
      <c r="N55" s="23" t="str">
        <f t="shared" si="17"/>
        <v/>
      </c>
      <c r="O55" s="23" t="str">
        <f t="shared" si="17"/>
        <v/>
      </c>
      <c r="P55" s="23">
        <f t="shared" si="17"/>
        <v>46.515151515151523</v>
      </c>
      <c r="Q55" s="23">
        <f t="shared" si="17"/>
        <v>46.136363636363633</v>
      </c>
      <c r="R55" s="23">
        <f t="shared" si="17"/>
        <v>46.287878787878782</v>
      </c>
      <c r="S55" s="23" t="str">
        <f t="shared" si="17"/>
        <v/>
      </c>
      <c r="T55" s="23" t="str">
        <f t="shared" si="17"/>
        <v/>
      </c>
      <c r="U55" s="24">
        <f>IFERROR(SUM(U5:U54),"")</f>
        <v>48</v>
      </c>
      <c r="V55" s="23" t="str">
        <f t="shared" si="17"/>
        <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46.515151515151523</v>
      </c>
      <c r="AK55" s="23">
        <f t="shared" ref="AK55" si="21">IFERROR(AVERAGE(AK5:AK54),"")</f>
        <v>46.136363636363633</v>
      </c>
      <c r="AL55" s="23">
        <f t="shared" ref="AL55" si="22">IFERROR(AVERAGE(AL5:AL54),"")</f>
        <v>46.287878787878782</v>
      </c>
      <c r="AM55" s="24">
        <f>IF(AL55&lt;=30,2,IF(AL55&lt;=60,3,IF(AL55&lt;=80,4,IF(AL55&lt;=100,5,""))))</f>
        <v>3</v>
      </c>
      <c r="AN55" s="23" t="str">
        <f>IFERROR(AVERAGE(AN5:AN54),"")</f>
        <v/>
      </c>
      <c r="AO55" s="23" t="str">
        <f>IFERROR(AVERAGE(AO5:AO54),"")</f>
        <v/>
      </c>
      <c r="AP55" s="24">
        <f>IFERROR(SUM(AP5:AP54),"")</f>
        <v>48</v>
      </c>
      <c r="AQ55" s="23" t="str">
        <f t="shared" ref="AQ55" si="23">IFERROR(AVERAGE(AQ5:AQ54),"")</f>
        <v/>
      </c>
    </row>
    <row r="56" spans="1:43" ht="18.2" customHeight="1" x14ac:dyDescent="0.25">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2" customHeight="1" x14ac:dyDescent="0.25">
      <c r="A57" s="98" t="s">
        <v>13</v>
      </c>
      <c r="B57" s="99"/>
      <c r="C57" s="99"/>
      <c r="D57" s="99"/>
      <c r="E57" s="99"/>
      <c r="F57" s="100"/>
      <c r="G57" s="116" t="s">
        <v>25</v>
      </c>
      <c r="H57" s="117"/>
      <c r="I57" s="6">
        <f>COUNTIFS(I5:I54,"&gt;80",I5:I54,"&lt;=100")</f>
        <v>0</v>
      </c>
      <c r="J57" s="6">
        <f t="shared" ref="J57:AK57" si="24">COUNTIFS(J5:J54,"&gt;80",J5:J54,"&lt;=100")</f>
        <v>1</v>
      </c>
      <c r="K57" s="6">
        <f t="shared" si="24"/>
        <v>0</v>
      </c>
      <c r="L57" s="6">
        <f t="shared" si="24"/>
        <v>1</v>
      </c>
      <c r="M57" s="6">
        <f t="shared" si="24"/>
        <v>0</v>
      </c>
      <c r="N57" s="6">
        <f t="shared" si="24"/>
        <v>0</v>
      </c>
      <c r="O57" s="6">
        <f t="shared" si="24"/>
        <v>0</v>
      </c>
      <c r="P57" s="6">
        <f t="shared" si="24"/>
        <v>0</v>
      </c>
      <c r="Q57" s="6">
        <f t="shared" si="24"/>
        <v>0</v>
      </c>
      <c r="R57" s="6">
        <f t="shared" si="24"/>
        <v>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0</v>
      </c>
      <c r="AK57" s="6">
        <f t="shared" si="24"/>
        <v>0</v>
      </c>
      <c r="AL57" s="6">
        <f>COUNTIFS(AL5:AL54,"&gt;80",AL5:AL54,"&lt;=100")</f>
        <v>0</v>
      </c>
      <c r="AM57" s="6"/>
      <c r="AN57" s="6">
        <f t="shared" ref="AN57:AO57" si="26">COUNTIFS(AN5:AN54,"&gt;80",AN5:AN54,"&lt;=100")</f>
        <v>0</v>
      </c>
      <c r="AO57" s="6">
        <f t="shared" si="26"/>
        <v>0</v>
      </c>
      <c r="AP57" s="91"/>
      <c r="AQ57" s="91"/>
    </row>
    <row r="58" spans="1:43" ht="18.2" customHeight="1" x14ac:dyDescent="0.25">
      <c r="A58" s="101"/>
      <c r="B58" s="102"/>
      <c r="C58" s="102"/>
      <c r="D58" s="102"/>
      <c r="E58" s="102"/>
      <c r="F58" s="103"/>
      <c r="G58" s="116" t="s">
        <v>26</v>
      </c>
      <c r="H58" s="117"/>
      <c r="I58" s="6">
        <f t="shared" ref="I58:AL58" si="27">COUNTIFS(I5:I54,"&gt;60",I5:I54,"&lt;=80")</f>
        <v>0</v>
      </c>
      <c r="J58" s="6">
        <f t="shared" si="27"/>
        <v>4</v>
      </c>
      <c r="K58" s="6">
        <f t="shared" si="27"/>
        <v>0</v>
      </c>
      <c r="L58" s="6">
        <f t="shared" si="27"/>
        <v>2</v>
      </c>
      <c r="M58" s="6">
        <f t="shared" si="27"/>
        <v>0</v>
      </c>
      <c r="N58" s="6">
        <f t="shared" si="27"/>
        <v>0</v>
      </c>
      <c r="O58" s="6">
        <f t="shared" si="27"/>
        <v>0</v>
      </c>
      <c r="P58" s="6">
        <f t="shared" si="27"/>
        <v>3</v>
      </c>
      <c r="Q58" s="6">
        <f t="shared" si="27"/>
        <v>6</v>
      </c>
      <c r="R58" s="6">
        <f t="shared" si="27"/>
        <v>5</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3</v>
      </c>
      <c r="AK58" s="6">
        <f t="shared" si="27"/>
        <v>6</v>
      </c>
      <c r="AL58" s="6">
        <f t="shared" si="27"/>
        <v>5</v>
      </c>
      <c r="AM58" s="6"/>
      <c r="AN58" s="6">
        <f t="shared" ref="AN58:AO58" si="29">COUNTIFS(AN5:AN54,"&gt;60",AN5:AN54,"&lt;=80")</f>
        <v>0</v>
      </c>
      <c r="AO58" s="6">
        <f t="shared" si="29"/>
        <v>0</v>
      </c>
      <c r="AP58" s="92"/>
      <c r="AQ58" s="92"/>
    </row>
    <row r="59" spans="1:43" ht="18.2" customHeight="1" x14ac:dyDescent="0.25">
      <c r="A59" s="101"/>
      <c r="B59" s="102"/>
      <c r="C59" s="102"/>
      <c r="D59" s="102"/>
      <c r="E59" s="102"/>
      <c r="F59" s="103"/>
      <c r="G59" s="116" t="s">
        <v>16</v>
      </c>
      <c r="H59" s="117"/>
      <c r="I59" s="6">
        <f t="shared" ref="I59:AL59" si="30">COUNTIFS(I5:I54,"&gt;30",I5:I54,"&lt;=60")</f>
        <v>0</v>
      </c>
      <c r="J59" s="6">
        <f t="shared" si="30"/>
        <v>15</v>
      </c>
      <c r="K59" s="6">
        <f t="shared" si="30"/>
        <v>17</v>
      </c>
      <c r="L59" s="6">
        <f t="shared" si="30"/>
        <v>18</v>
      </c>
      <c r="M59" s="6">
        <f t="shared" si="30"/>
        <v>0</v>
      </c>
      <c r="N59" s="6">
        <f t="shared" si="30"/>
        <v>0</v>
      </c>
      <c r="O59" s="6">
        <f t="shared" si="30"/>
        <v>0</v>
      </c>
      <c r="P59" s="6">
        <f t="shared" si="30"/>
        <v>17</v>
      </c>
      <c r="Q59" s="6">
        <f t="shared" si="30"/>
        <v>15</v>
      </c>
      <c r="R59" s="6">
        <f t="shared" si="30"/>
        <v>16</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17</v>
      </c>
      <c r="AK59" s="6">
        <f t="shared" si="30"/>
        <v>15</v>
      </c>
      <c r="AL59" s="6">
        <f t="shared" si="30"/>
        <v>16</v>
      </c>
      <c r="AM59" s="6"/>
      <c r="AN59" s="6">
        <f t="shared" ref="AN59:AO59" si="32">COUNTIFS(AN5:AN54,"&gt;30",AN5:AN54,"&lt;=60")</f>
        <v>0</v>
      </c>
      <c r="AO59" s="6">
        <f t="shared" si="32"/>
        <v>0</v>
      </c>
      <c r="AP59" s="92"/>
      <c r="AQ59" s="92"/>
    </row>
    <row r="60" spans="1:43" ht="18.2" customHeight="1" x14ac:dyDescent="0.25">
      <c r="A60" s="101"/>
      <c r="B60" s="102"/>
      <c r="C60" s="102"/>
      <c r="D60" s="102"/>
      <c r="E60" s="102"/>
      <c r="F60" s="103"/>
      <c r="G60" s="116" t="s">
        <v>15</v>
      </c>
      <c r="H60" s="117"/>
      <c r="I60" s="6">
        <f t="shared" ref="I60:AL60" si="33">COUNTIFS(I5:I54,"&gt;=0",I5:I54,"&lt;=30")</f>
        <v>0</v>
      </c>
      <c r="J60" s="6">
        <f t="shared" si="33"/>
        <v>2</v>
      </c>
      <c r="K60" s="6">
        <f t="shared" si="33"/>
        <v>5</v>
      </c>
      <c r="L60" s="6">
        <f t="shared" si="33"/>
        <v>1</v>
      </c>
      <c r="M60" s="6">
        <f t="shared" si="33"/>
        <v>0</v>
      </c>
      <c r="N60" s="6">
        <f t="shared" si="33"/>
        <v>0</v>
      </c>
      <c r="O60" s="6">
        <f t="shared" si="33"/>
        <v>0</v>
      </c>
      <c r="P60" s="6">
        <f t="shared" si="33"/>
        <v>2</v>
      </c>
      <c r="Q60" s="6">
        <f t="shared" si="33"/>
        <v>1</v>
      </c>
      <c r="R60" s="6">
        <f t="shared" si="33"/>
        <v>1</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2</v>
      </c>
      <c r="AK60" s="6">
        <f t="shared" si="33"/>
        <v>1</v>
      </c>
      <c r="AL60" s="6">
        <f t="shared" si="33"/>
        <v>1</v>
      </c>
      <c r="AM60" s="6"/>
      <c r="AN60" s="6">
        <f t="shared" ref="AN60:AO60" si="35">COUNTIFS(AN5:AN54,"&gt;=0",AN5:AN54,"&lt;=30")</f>
        <v>0</v>
      </c>
      <c r="AO60" s="6">
        <f t="shared" si="35"/>
        <v>0</v>
      </c>
      <c r="AP60" s="92"/>
      <c r="AQ60" s="92"/>
    </row>
    <row r="61" spans="1:43" ht="18.2" customHeight="1" x14ac:dyDescent="0.25">
      <c r="A61" s="104"/>
      <c r="B61" s="105"/>
      <c r="C61" s="105"/>
      <c r="D61" s="105"/>
      <c r="E61" s="105"/>
      <c r="F61" s="106"/>
      <c r="G61" s="118" t="s">
        <v>10</v>
      </c>
      <c r="H61" s="119"/>
      <c r="I61" s="7">
        <f>SUM(I57:I60)</f>
        <v>0</v>
      </c>
      <c r="J61" s="7">
        <f t="shared" ref="J61:AL61" si="36">SUM(J57:J60)</f>
        <v>22</v>
      </c>
      <c r="K61" s="7">
        <f t="shared" si="36"/>
        <v>22</v>
      </c>
      <c r="L61" s="7">
        <f t="shared" si="36"/>
        <v>22</v>
      </c>
      <c r="M61" s="7">
        <f t="shared" si="36"/>
        <v>0</v>
      </c>
      <c r="N61" s="7">
        <f t="shared" si="36"/>
        <v>0</v>
      </c>
      <c r="O61" s="7">
        <f t="shared" si="36"/>
        <v>0</v>
      </c>
      <c r="P61" s="7">
        <f t="shared" si="36"/>
        <v>22</v>
      </c>
      <c r="Q61" s="7">
        <f t="shared" si="36"/>
        <v>22</v>
      </c>
      <c r="R61" s="7">
        <f t="shared" si="36"/>
        <v>22</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22</v>
      </c>
      <c r="AK61" s="7">
        <f t="shared" si="36"/>
        <v>22</v>
      </c>
      <c r="AL61" s="7">
        <f t="shared" si="36"/>
        <v>22</v>
      </c>
      <c r="AM61" s="7"/>
      <c r="AN61" s="7">
        <f t="shared" ref="AN61:AO61" si="38">SUM(AN57:AN60)</f>
        <v>0</v>
      </c>
      <c r="AO61" s="7">
        <f t="shared" si="38"/>
        <v>0</v>
      </c>
      <c r="AP61" s="92"/>
      <c r="AQ61" s="92"/>
    </row>
    <row r="62" spans="1:43" ht="18.2" customHeight="1" x14ac:dyDescent="0.25">
      <c r="A62" s="107" t="s">
        <v>11</v>
      </c>
      <c r="B62" s="108"/>
      <c r="C62" s="108"/>
      <c r="D62" s="108"/>
      <c r="E62" s="108"/>
      <c r="F62" s="109"/>
      <c r="G62" s="96" t="str">
        <f>G57</f>
        <v>(80-100]</v>
      </c>
      <c r="H62" s="97"/>
      <c r="I62" s="8" t="str">
        <f>IFERROR(I57*100/I61,"")</f>
        <v/>
      </c>
      <c r="J62" s="8">
        <f t="shared" ref="J62:AL62" si="39">IFERROR(J57*100/J61,"")</f>
        <v>4.5454545454545459</v>
      </c>
      <c r="K62" s="8">
        <f t="shared" si="39"/>
        <v>0</v>
      </c>
      <c r="L62" s="8">
        <f t="shared" si="39"/>
        <v>4.5454545454545459</v>
      </c>
      <c r="M62" s="8" t="str">
        <f t="shared" si="39"/>
        <v/>
      </c>
      <c r="N62" s="8" t="str">
        <f t="shared" si="39"/>
        <v/>
      </c>
      <c r="O62" s="8" t="str">
        <f t="shared" si="39"/>
        <v/>
      </c>
      <c r="P62" s="8">
        <f t="shared" si="39"/>
        <v>0</v>
      </c>
      <c r="Q62" s="8">
        <f t="shared" si="39"/>
        <v>0</v>
      </c>
      <c r="R62" s="8">
        <f t="shared" si="39"/>
        <v>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0</v>
      </c>
      <c r="AK62" s="8">
        <f t="shared" si="39"/>
        <v>0</v>
      </c>
      <c r="AL62" s="8">
        <f t="shared" si="39"/>
        <v>0</v>
      </c>
      <c r="AM62" s="8"/>
      <c r="AN62" s="8" t="str">
        <f t="shared" ref="AN62:AO62" si="41">IFERROR(AN57*100/AN61,"")</f>
        <v/>
      </c>
      <c r="AO62" s="8" t="str">
        <f t="shared" si="41"/>
        <v/>
      </c>
      <c r="AP62" s="92"/>
      <c r="AQ62" s="92"/>
    </row>
    <row r="63" spans="1:43" ht="18.2" customHeight="1" x14ac:dyDescent="0.25">
      <c r="A63" s="110"/>
      <c r="B63" s="111"/>
      <c r="C63" s="111"/>
      <c r="D63" s="111"/>
      <c r="E63" s="111"/>
      <c r="F63" s="112"/>
      <c r="G63" s="96" t="str">
        <f>G58</f>
        <v>(60-80]</v>
      </c>
      <c r="H63" s="97"/>
      <c r="I63" s="8" t="str">
        <f>IFERROR(I58*100/I61,"")</f>
        <v/>
      </c>
      <c r="J63" s="8">
        <f t="shared" ref="J63:AL63" si="42">IFERROR(J58*100/J61,"")</f>
        <v>18.181818181818183</v>
      </c>
      <c r="K63" s="8">
        <f t="shared" si="42"/>
        <v>0</v>
      </c>
      <c r="L63" s="8">
        <f t="shared" si="42"/>
        <v>9.0909090909090917</v>
      </c>
      <c r="M63" s="8" t="str">
        <f t="shared" si="42"/>
        <v/>
      </c>
      <c r="N63" s="8" t="str">
        <f t="shared" si="42"/>
        <v/>
      </c>
      <c r="O63" s="8" t="str">
        <f t="shared" si="42"/>
        <v/>
      </c>
      <c r="P63" s="8">
        <f t="shared" si="42"/>
        <v>13.636363636363637</v>
      </c>
      <c r="Q63" s="8">
        <f t="shared" si="42"/>
        <v>27.272727272727273</v>
      </c>
      <c r="R63" s="8">
        <f t="shared" si="42"/>
        <v>22.727272727272727</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13.636363636363637</v>
      </c>
      <c r="AK63" s="8">
        <f t="shared" si="42"/>
        <v>27.272727272727273</v>
      </c>
      <c r="AL63" s="8">
        <f t="shared" si="42"/>
        <v>22.727272727272727</v>
      </c>
      <c r="AM63" s="8"/>
      <c r="AN63" s="8" t="str">
        <f t="shared" ref="AN63:AO63" si="44">IFERROR(AN58*100/AN61,"")</f>
        <v/>
      </c>
      <c r="AO63" s="8" t="str">
        <f t="shared" si="44"/>
        <v/>
      </c>
      <c r="AP63" s="92"/>
      <c r="AQ63" s="92"/>
    </row>
    <row r="64" spans="1:43" ht="18.2" customHeight="1" x14ac:dyDescent="0.25">
      <c r="A64" s="110"/>
      <c r="B64" s="111"/>
      <c r="C64" s="111"/>
      <c r="D64" s="111"/>
      <c r="E64" s="111"/>
      <c r="F64" s="112"/>
      <c r="G64" s="96" t="str">
        <f>G59</f>
        <v>(30-60]</v>
      </c>
      <c r="H64" s="97"/>
      <c r="I64" s="8" t="str">
        <f>IFERROR(I59*100/I61,"")</f>
        <v/>
      </c>
      <c r="J64" s="8">
        <f t="shared" ref="J64:AL64" si="45">IFERROR(J59*100/J61,"")</f>
        <v>68.181818181818187</v>
      </c>
      <c r="K64" s="8">
        <f t="shared" si="45"/>
        <v>77.272727272727266</v>
      </c>
      <c r="L64" s="8">
        <f t="shared" si="45"/>
        <v>81.818181818181813</v>
      </c>
      <c r="M64" s="8" t="str">
        <f t="shared" si="45"/>
        <v/>
      </c>
      <c r="N64" s="8" t="str">
        <f t="shared" si="45"/>
        <v/>
      </c>
      <c r="O64" s="8" t="str">
        <f t="shared" si="45"/>
        <v/>
      </c>
      <c r="P64" s="8">
        <f t="shared" si="45"/>
        <v>77.272727272727266</v>
      </c>
      <c r="Q64" s="8">
        <f t="shared" si="45"/>
        <v>68.181818181818187</v>
      </c>
      <c r="R64" s="8">
        <f t="shared" si="45"/>
        <v>72.727272727272734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77.272727272727266</v>
      </c>
      <c r="AK64" s="8">
        <f t="shared" si="45"/>
        <v>68.181818181818187</v>
      </c>
      <c r="AL64" s="8">
        <f t="shared" si="45"/>
        <v>72.727272727272734</v>
      </c>
      <c r="AM64" s="8"/>
      <c r="AN64" s="8" t="str">
        <f t="shared" ref="AN64:AO64" si="47">IFERROR(AN59*100/AN61,"")</f>
        <v/>
      </c>
      <c r="AO64" s="8" t="str">
        <f t="shared" si="47"/>
        <v/>
      </c>
      <c r="AP64" s="92"/>
      <c r="AQ64" s="92"/>
    </row>
    <row r="65" spans="1:43" ht="18.2" customHeight="1" x14ac:dyDescent="0.25">
      <c r="A65" s="113"/>
      <c r="B65" s="114"/>
      <c r="C65" s="114"/>
      <c r="D65" s="114"/>
      <c r="E65" s="114"/>
      <c r="F65" s="115"/>
      <c r="G65" s="96" t="str">
        <f>G60</f>
        <v>[0-30]</v>
      </c>
      <c r="H65" s="97"/>
      <c r="I65" s="8" t="str">
        <f>IFERROR(I60*100/I61,"")</f>
        <v/>
      </c>
      <c r="J65" s="8">
        <f t="shared" ref="J65:AL65" si="48">IFERROR(J60*100/J61,"")</f>
        <v>9.0909090909090917</v>
      </c>
      <c r="K65" s="8">
        <f t="shared" si="48"/>
        <v>22.727272727272727</v>
      </c>
      <c r="L65" s="8">
        <f t="shared" si="48"/>
        <v>4.5454545454545459</v>
      </c>
      <c r="M65" s="8" t="str">
        <f t="shared" si="48"/>
        <v/>
      </c>
      <c r="N65" s="8" t="str">
        <f t="shared" si="48"/>
        <v/>
      </c>
      <c r="O65" s="8" t="str">
        <f t="shared" si="48"/>
        <v/>
      </c>
      <c r="P65" s="8">
        <f t="shared" si="48"/>
        <v>9.0909090909090917</v>
      </c>
      <c r="Q65" s="8">
        <f t="shared" si="48"/>
        <v>4.5454545454545459</v>
      </c>
      <c r="R65" s="8">
        <f t="shared" si="48"/>
        <v>4.5454545454545459</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9.0909090909090917</v>
      </c>
      <c r="AK65" s="8">
        <f t="shared" si="48"/>
        <v>4.5454545454545459</v>
      </c>
      <c r="AL65" s="8">
        <f t="shared" si="48"/>
        <v>4.5454545454545459</v>
      </c>
      <c r="AM65" s="8"/>
      <c r="AN65" s="8" t="str">
        <f t="shared" ref="AN65:AO65" si="50">IFERROR(AN60*100/AN61,"")</f>
        <v/>
      </c>
      <c r="AO65" s="8" t="str">
        <f t="shared" si="50"/>
        <v/>
      </c>
      <c r="AP65" s="92"/>
      <c r="AQ65" s="92"/>
    </row>
    <row r="66" spans="1:43" ht="49.15" customHeight="1" x14ac:dyDescent="0.25">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2024-03-22T05:56:22Z</dcterms:modified>
</cp:coreProperties>
</file>