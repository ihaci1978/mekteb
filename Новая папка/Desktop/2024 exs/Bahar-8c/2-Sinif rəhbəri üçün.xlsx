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<sst xmlns="http://schemas.openxmlformats.org/spreadsheetml/2006/main" count="1694" uniqueCount="244">
  <si>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</si>
  <si>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</si>
  <si>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</si>
  <si>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</si>
  <si>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</si>
  <si>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</si>
  <si>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</si>
  <si>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</si>
  <si>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</si>
  <si>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</si>
  <si>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</si>
  <si>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</si>
  <si>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</si>
  <si>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</si>
  <si>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</si>
  <si>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</si>
  <si>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</si>
  <si>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</si>
  <si>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</si>
  <si>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</si>
  <si>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</si>
  <si>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</si>
  <si>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</si>
  <si>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</si>
  <si>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</si>
  <si>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</si>
  <si>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</si>
  <si>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</si>
  <si>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</si>
  <si>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</si>
  <si>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</si>
  <si>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</si>
  <si>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</si>
  <si>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</si>
  <si>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</si>
  <si>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</si>
  <si>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</si>
  <si>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</si>
  <si>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</si>
  <si>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</si>
  <si>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</si>
  <si>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</si>
  <si>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</si>
  <si>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</si>
  <si>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</si>
  <si>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</si>
  <si>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</si>
  <si>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</si>
  <si>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</si>
  <si>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</si>
  <si>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</si>
  <si>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</si>
  <si>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</si>
  <si>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</si>
  <si>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</si>
  <si>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</si>
  <si>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</si>
  <si>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</si>
  <si>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</si>
  <si>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</si>
  <si>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</si>
  <si>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</si>
  <si>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</si>
  <si>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</si>
  <si>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</si>
  <si>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</si>
  <si>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</si>
  <si>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</si>
  <si>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</si>
  <si>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</si>
  <si>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</si>
  <si>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</si>
  <si>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</si>
  <si>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</si>
  <si>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</si>
  <si>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</si>
  <si>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</si>
  <si>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</si>
  <si>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</si>
  <si>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</si>
  <si>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</si>
  <si>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</si>
  <si>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</si>
  <si>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</si>
  <si>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</si>
  <si>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</si>
  <si>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</si>
  <si>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</si>
  <si>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</si>
  <si>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</si>
  <si>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</si>
  <si>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</si>
  <si>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</si>
  <si>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</si>
  <si>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</si>
  <si>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</si>
  <si>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</si>
  <si>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</si>
  <si>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</si>
  <si>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</si>
  <si>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</si>
  <si>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</si>
  <si>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</si>
  <si>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</si>
  <si>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</si>
  <si>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</si>
  <si>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</si>
  <si>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</si>
  <si>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</si>
  <si>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</si>
  <si>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</si>
  <si>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</si>
  <si>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</si>
  <si>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</si>
  <si>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</si>
  <si>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</si>
  <si>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</si>
  <si>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</si>
  <si>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</si>
  <si>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</si>
  <si>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</si>
  <si>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</si>
  <si>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</si>
  <si>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</si>
  <si>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</si>
  <si>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</si>
  <si>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</si>
  <si>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</si>
  <si>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</si>
  <si>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</si>
  <si>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</si>
  <si>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</si>
  <si>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</si>
  <si>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</si>
  <si>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</si>
  <si>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</si>
  <si>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</si>
  <si>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</si>
  <si>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</si>
  <si>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</si>
  <si>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</si>
  <si>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</si>
  <si>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</si>
  <si>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</si>
  <si>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</si>
  <si>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</si>
  <si>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</si>
  <si>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</si>
  <si>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</si>
  <si>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</si>
  <si>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</si>
  <si>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</si>
  <si>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</si>
  <si>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</si>
  <si>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</si>
  <si>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</si>
  <si>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</si>
  <si>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</si>
  <si>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</si>
  <si>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</si>
  <si>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</si>
  <si>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</si>
  <si>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</si>
  <si>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</si>
  <si>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</si>
  <si>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</si>
  <si>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</si>
  <si>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</si>
  <si>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</si>
  <si>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</si>
  <si>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</si>
  <si>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</si>
  <si>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</si>
  <si>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</si>
  <si>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</si>
  <si>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</si>
  <si>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</si>
  <si>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</si>
  <si>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</si>
  <si>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</si>
  <si>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</si>
  <si>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</si>
  <si>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</si>
  <si>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</si>
  <si>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</si>
  <si>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</si>
  <si>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</si>
  <si>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</si>
  <si>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</si>
  <si>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</si>
  <si>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</si>
  <si>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</si>
  <si>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</si>
  <si>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</si>
  <si>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</si>
  <si>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</si>
  <si>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</si>
  <si>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</si>
  <si>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</si>
  <si>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</si>
  <si>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</si>
  <si>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</si>
  <si>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</si>
  <si>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</si>
  <si>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</si>
  <si>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</si>
  <si>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</si>
  <si>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</si>
  <si>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</si>
  <si>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</si>
  <si>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</si>
  <si>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</si>
  <si>
    <t>26/03/2010</t>
  </si>
  <si>
    <t>21/07/2009</t>
  </si>
  <si>
    <t>25/06/2010</t>
  </si>
  <si>
    <t>23/11/2009</t>
  </si>
  <si>
    <t>29/09/2010</t>
  </si>
  <si>
    <t>21/10/2009</t>
  </si>
  <si>
    <t>13/09/2010</t>
  </si>
  <si>
    <t>23/06/2010</t>
  </si>
  <si>
    <t>26/10/2009</t>
  </si>
  <si>
    <t>26/09/2010</t>
  </si>
  <si>
    <t>27/04/2010</t>
  </si>
  <si>
    <t>Ələkbərova Bahar Elimxan</t>
  </si>
  <si>
    <t>012-412-52-18</t>
  </si>
  <si>
    <t>051-395-04-35</t>
  </si>
  <si>
    <t>055-678-47-90</t>
  </si>
  <si>
    <t>060-271-0085</t>
  </si>
  <si>
    <t>070-687-32-90</t>
  </si>
  <si>
    <t>012-412-57-64</t>
  </si>
  <si>
    <t>051-686-28-39</t>
  </si>
  <si>
    <t>070-859-64-25</t>
  </si>
  <si>
    <t>055-780-63-60</t>
  </si>
  <si>
    <t>070-672-03-65</t>
  </si>
  <si>
    <t>055-549-42-15</t>
  </si>
  <si>
    <t>077-503-03-07</t>
  </si>
  <si>
    <t>055-509-33-29</t>
  </si>
  <si>
    <t>055-971-38-85</t>
  </si>
  <si>
    <t>070-294-04-44</t>
  </si>
  <si>
    <t>055-261-22-71</t>
  </si>
  <si>
    <t>050-870-66-34</t>
  </si>
  <si>
    <t>055-686-64-94</t>
  </si>
  <si>
    <t>012-412-57-68</t>
  </si>
  <si>
    <t>055-369-30-40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</si>
</sst>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5" zoomScaleNormal="95" workbookViewId="0">
      <pane xSplit="10" ySplit="9" topLeftCell="K10" activePane="bottomRight" state="frozen"/>
      <selection pane="topRight" activeCell="H1" sqref="H1"/>
      <selection pane="bottomLeft" activeCell="A5" sqref="A5"/>
      <selection pane="bottomRight" activeCell="N33" sqref="N33"/>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8C</v>
      </c>
      <c r="I2" s="74" t="str">
        <f>IF(K9="R","Rus",IF(K9="A","Azərbaycan",""))</f>
        <v>Azərbaycan</v>
      </c>
      <c r="J2" s="74"/>
      <c r="K2" s="74" t="str">
        <f>IF(K9="","",K9)</f>
        <v>A</v>
      </c>
      <c r="L2" s="74">
        <f>SUM(L4,L6)</f>
        <v>21</v>
      </c>
      <c r="M2" s="74"/>
      <c r="N2" s="74"/>
      <c r="O2" s="74"/>
      <c r="P2" s="74" t="str">
        <f>IF(P9="","",P9)</f>
        <v>Ələkbərova Bahar Elimxan</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7</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14</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8</v>
      </c>
      <c r="G9" s="46" t="s">
        <v>150</v>
      </c>
      <c r="H9" s="84" t="s">
        <v>2</v>
      </c>
      <c r="I9" s="84" t="s">
        <v>3</v>
      </c>
      <c r="J9" s="84" t="s">
        <v>1</v>
      </c>
      <c r="K9" s="46" t="s">
        <v>98</v>
      </c>
      <c r="L9" s="114"/>
      <c r="M9" s="114"/>
      <c r="N9" s="114"/>
      <c r="O9" s="114"/>
      <c r="P9" s="47" t="s">
        <v>223</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2719957</v>
      </c>
      <c r="F10" s="88">
        <f>IF(H10="","",$F$9)</f>
        <v>8</v>
      </c>
      <c r="G10" s="88" t="str">
        <f>IF(H10="","",$G$9)</f>
        <v>C</v>
      </c>
      <c r="H10" s="36" t="s">
        <v>151</v>
      </c>
      <c r="I10" s="36" t="s">
        <v>152</v>
      </c>
      <c r="J10" s="40" t="s">
        <v>153</v>
      </c>
      <c r="K10" s="89" t="str">
        <f>IF(H10="","",$K$9)</f>
        <v>A</v>
      </c>
      <c r="L10" s="40" t="s">
        <v>119</v>
      </c>
      <c r="M10" s="40" t="s">
        <v>212</v>
      </c>
      <c r="N10" s="40"/>
      <c r="O10" s="42" t="s">
        <v>224</v>
      </c>
      <c r="P10" s="90" t="str">
        <f>IF(H10="","",$P$9)</f>
        <v>Ələkbərova Bahar Elimxan</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3176876</v>
      </c>
      <c r="F11" s="88">
        <f t="shared" ref="F11:F59" si="401">IF(H11="","",$F$9)</f>
        <v>8</v>
      </c>
      <c r="G11" s="88" t="str">
        <f t="shared" ref="G11:G59" si="402">IF(H11="","",$G$9)</f>
        <v>C</v>
      </c>
      <c r="H11" s="36" t="s">
        <v>154</v>
      </c>
      <c r="I11" s="37" t="s">
        <v>155</v>
      </c>
      <c r="J11" s="41" t="s">
        <v>156</v>
      </c>
      <c r="K11" s="89" t="str">
        <f t="shared" ref="K11:K59" si="403">IF(H11="","",$K$9)</f>
        <v>A</v>
      </c>
      <c r="L11" s="41" t="s">
        <v>119</v>
      </c>
      <c r="M11" s="41" t="s">
        <v>213</v>
      </c>
      <c r="N11" s="41"/>
      <c r="O11" s="43"/>
      <c r="P11" s="90" t="str">
        <f t="shared" ref="P11:P59" si="404">IF(H11="","",$P$9)</f>
        <v>Ələkbərova Bahar Elimxan</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2959453</v>
      </c>
      <c r="F12" s="88">
        <f t="shared" si="401"/>
        <v>8</v>
      </c>
      <c r="G12" s="88" t="str">
        <f t="shared" si="402"/>
        <v>C</v>
      </c>
      <c r="H12" s="36" t="s">
        <v>157</v>
      </c>
      <c r="I12" s="37" t="s">
        <v>158</v>
      </c>
      <c r="J12" s="41" t="s">
        <v>159</v>
      </c>
      <c r="K12" s="89" t="str">
        <f t="shared" si="403"/>
        <v>A</v>
      </c>
      <c r="L12" s="41" t="s">
        <v>117</v>
      </c>
      <c r="M12" s="91">
        <v>40276</v>
      </c>
      <c r="N12" s="41"/>
      <c r="O12" s="43" t="s">
        <v>225</v>
      </c>
      <c r="P12" s="90" t="str">
        <f t="shared" si="404"/>
        <v>Ələkbərova Bahar Elimxan</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2728989</v>
      </c>
      <c r="F13" s="88">
        <f t="shared" si="401"/>
        <v>8</v>
      </c>
      <c r="G13" s="88" t="str">
        <f t="shared" si="402"/>
        <v>C</v>
      </c>
      <c r="H13" s="36" t="s">
        <v>160</v>
      </c>
      <c r="I13" s="37" t="s">
        <v>161</v>
      </c>
      <c r="J13" s="41" t="s">
        <v>162</v>
      </c>
      <c r="K13" s="89" t="str">
        <f t="shared" si="403"/>
        <v>A</v>
      </c>
      <c r="L13" s="41" t="s">
        <v>119</v>
      </c>
      <c r="M13" s="41" t="s">
        <v>214</v>
      </c>
      <c r="N13" s="41"/>
      <c r="O13" s="43" t="s">
        <v>226</v>
      </c>
      <c r="P13" s="90" t="str">
        <f t="shared" si="404"/>
        <v>Ələkbərova Bahar Elimxan</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3910947</v>
      </c>
      <c r="F14" s="88">
        <f t="shared" si="401"/>
        <v>8</v>
      </c>
      <c r="G14" s="88" t="str">
        <f t="shared" si="402"/>
        <v>C</v>
      </c>
      <c r="H14" s="36" t="s">
        <v>163</v>
      </c>
      <c r="I14" s="37" t="s">
        <v>164</v>
      </c>
      <c r="J14" s="41" t="s">
        <v>165</v>
      </c>
      <c r="K14" s="89" t="str">
        <f t="shared" si="403"/>
        <v>A</v>
      </c>
      <c r="L14" s="41" t="s">
        <v>117</v>
      </c>
      <c r="M14" s="41" t="s">
        <v>215</v>
      </c>
      <c r="N14" s="41"/>
      <c r="O14" s="43" t="s">
        <v>227</v>
      </c>
      <c r="P14" s="90" t="str">
        <f t="shared" si="404"/>
        <v>Ələkbərova Bahar Elimxan</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2911772</v>
      </c>
      <c r="F15" s="88">
        <f t="shared" si="401"/>
        <v>8</v>
      </c>
      <c r="G15" s="88" t="str">
        <f t="shared" si="402"/>
        <v>C</v>
      </c>
      <c r="H15" s="36" t="s">
        <v>166</v>
      </c>
      <c r="I15" s="37" t="s">
        <v>167</v>
      </c>
      <c r="J15" s="41" t="s">
        <v>168</v>
      </c>
      <c r="K15" s="89" t="str">
        <f t="shared" si="403"/>
        <v>A</v>
      </c>
      <c r="L15" s="41" t="s">
        <v>119</v>
      </c>
      <c r="M15" s="91">
        <v>40452</v>
      </c>
      <c r="N15" s="41"/>
      <c r="O15" s="43" t="s">
        <v>241</v>
      </c>
      <c r="P15" s="90" t="str">
        <f t="shared" si="404"/>
        <v>Ələkbərova Bahar Elimxan</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2765463</v>
      </c>
      <c r="F16" s="88">
        <f t="shared" si="401"/>
        <v>8</v>
      </c>
      <c r="G16" s="88" t="str">
        <f t="shared" si="402"/>
        <v>C</v>
      </c>
      <c r="H16" s="36" t="s">
        <v>169</v>
      </c>
      <c r="I16" s="37" t="s">
        <v>170</v>
      </c>
      <c r="J16" s="41" t="s">
        <v>171</v>
      </c>
      <c r="K16" s="89" t="str">
        <f t="shared" si="403"/>
        <v>A</v>
      </c>
      <c r="L16" s="41" t="s">
        <v>119</v>
      </c>
      <c r="M16" s="41" t="s">
        <v>216</v>
      </c>
      <c r="N16" s="41"/>
      <c r="O16" s="43" t="s">
        <v>228</v>
      </c>
      <c r="P16" s="90" t="str">
        <f t="shared" si="404"/>
        <v>Ələkbərova Bahar Elimxan</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2719850</v>
      </c>
      <c r="F17" s="88">
        <f t="shared" si="401"/>
        <v>8</v>
      </c>
      <c r="G17" s="88" t="str">
        <f t="shared" si="402"/>
        <v>C</v>
      </c>
      <c r="H17" s="36" t="s">
        <v>172</v>
      </c>
      <c r="I17" s="37" t="s">
        <v>173</v>
      </c>
      <c r="J17" s="41" t="s">
        <v>174</v>
      </c>
      <c r="K17" s="89" t="str">
        <f t="shared" si="403"/>
        <v>A</v>
      </c>
      <c r="L17" s="41" t="s">
        <v>119</v>
      </c>
      <c r="M17" s="91">
        <v>40001</v>
      </c>
      <c r="N17" s="41"/>
      <c r="O17" s="43" t="s">
        <v>229</v>
      </c>
      <c r="P17" s="90" t="str">
        <f t="shared" si="404"/>
        <v>Ələkbərova Bahar Elimxan</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2719853</v>
      </c>
      <c r="F18" s="88">
        <f t="shared" si="401"/>
        <v>8</v>
      </c>
      <c r="G18" s="88" t="str">
        <f t="shared" si="402"/>
        <v>C</v>
      </c>
      <c r="H18" s="36" t="s">
        <v>175</v>
      </c>
      <c r="I18" s="37" t="s">
        <v>176</v>
      </c>
      <c r="J18" s="41" t="s">
        <v>177</v>
      </c>
      <c r="K18" s="89" t="str">
        <f t="shared" si="403"/>
        <v>A</v>
      </c>
      <c r="L18" s="41" t="s">
        <v>119</v>
      </c>
      <c r="M18" s="41" t="s">
        <v>217</v>
      </c>
      <c r="N18" s="41"/>
      <c r="O18" s="43" t="s">
        <v>230</v>
      </c>
      <c r="P18" s="90" t="str">
        <f t="shared" si="404"/>
        <v>Ələkbərova Bahar Elimxan</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2777215</v>
      </c>
      <c r="F19" s="88">
        <f t="shared" si="401"/>
        <v>8</v>
      </c>
      <c r="G19" s="88" t="str">
        <f t="shared" si="402"/>
        <v>C</v>
      </c>
      <c r="H19" s="36" t="s">
        <v>178</v>
      </c>
      <c r="I19" s="37" t="s">
        <v>179</v>
      </c>
      <c r="J19" s="41" t="s">
        <v>180</v>
      </c>
      <c r="K19" s="89" t="str">
        <f t="shared" si="403"/>
        <v>A</v>
      </c>
      <c r="L19" s="41" t="s">
        <v>117</v>
      </c>
      <c r="M19" s="91">
        <v>40026</v>
      </c>
      <c r="N19" s="41"/>
      <c r="O19" s="43" t="s">
        <v>231</v>
      </c>
      <c r="P19" s="90" t="str">
        <f t="shared" si="404"/>
        <v>Ələkbərova Bahar Elimxan</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2917215</v>
      </c>
      <c r="F20" s="88">
        <f t="shared" si="401"/>
        <v>8</v>
      </c>
      <c r="G20" s="88" t="str">
        <f t="shared" si="402"/>
        <v>C</v>
      </c>
      <c r="H20" s="37" t="s">
        <v>181</v>
      </c>
      <c r="I20" s="37" t="s">
        <v>182</v>
      </c>
      <c r="J20" s="41" t="s">
        <v>183</v>
      </c>
      <c r="K20" s="89" t="str">
        <f t="shared" si="403"/>
        <v>A</v>
      </c>
      <c r="L20" s="41" t="s">
        <v>117</v>
      </c>
      <c r="M20" s="91">
        <v>40303</v>
      </c>
      <c r="N20" s="41"/>
      <c r="O20" s="43" t="s">
        <v>232</v>
      </c>
      <c r="P20" s="90" t="str">
        <f t="shared" si="404"/>
        <v>Ələkbərova Bahar Elimxan</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2715272</v>
      </c>
      <c r="F21" s="88">
        <f t="shared" si="401"/>
        <v>8</v>
      </c>
      <c r="G21" s="88" t="str">
        <f t="shared" si="402"/>
        <v>C</v>
      </c>
      <c r="H21" s="37" t="s">
        <v>184</v>
      </c>
      <c r="I21" s="37" t="s">
        <v>185</v>
      </c>
      <c r="J21" s="41" t="s">
        <v>186</v>
      </c>
      <c r="K21" s="89" t="str">
        <f t="shared" si="403"/>
        <v>A</v>
      </c>
      <c r="L21" s="41" t="s">
        <v>117</v>
      </c>
      <c r="M21" s="41" t="s">
        <v>218</v>
      </c>
      <c r="N21" s="41"/>
      <c r="O21" s="43" t="s">
        <v>233</v>
      </c>
      <c r="P21" s="90" t="str">
        <f t="shared" si="404"/>
        <v>Ələkbərova Bahar Elimxan</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2715311</v>
      </c>
      <c r="F22" s="88">
        <f t="shared" si="401"/>
        <v>8</v>
      </c>
      <c r="G22" s="88" t="str">
        <f t="shared" si="402"/>
        <v>C</v>
      </c>
      <c r="H22" s="37" t="s">
        <v>187</v>
      </c>
      <c r="I22" s="37" t="s">
        <v>188</v>
      </c>
      <c r="J22" s="41" t="s">
        <v>189</v>
      </c>
      <c r="K22" s="89" t="str">
        <f t="shared" si="403"/>
        <v>A</v>
      </c>
      <c r="L22" s="41" t="s">
        <v>119</v>
      </c>
      <c r="M22" s="91">
        <v>39817</v>
      </c>
      <c r="N22" s="41"/>
      <c r="O22" s="43" t="s">
        <v>234</v>
      </c>
      <c r="P22" s="90" t="str">
        <f t="shared" si="404"/>
        <v>Ələkbərova Bahar Elimxan</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2714715</v>
      </c>
      <c r="F23" s="88">
        <f t="shared" si="401"/>
        <v>8</v>
      </c>
      <c r="G23" s="88" t="str">
        <f t="shared" si="402"/>
        <v>C</v>
      </c>
      <c r="H23" s="37" t="s">
        <v>190</v>
      </c>
      <c r="I23" s="37" t="s">
        <v>191</v>
      </c>
      <c r="J23" s="41" t="s">
        <v>192</v>
      </c>
      <c r="K23" s="89" t="str">
        <f t="shared" si="403"/>
        <v>A</v>
      </c>
      <c r="L23" s="41" t="s">
        <v>117</v>
      </c>
      <c r="M23" s="91">
        <v>40239</v>
      </c>
      <c r="N23" s="41"/>
      <c r="O23" s="43" t="s">
        <v>235</v>
      </c>
      <c r="P23" s="90" t="str">
        <f t="shared" si="404"/>
        <v>Ələkbərova Bahar Elimxan</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2714971</v>
      </c>
      <c r="F24" s="88">
        <f t="shared" si="401"/>
        <v>8</v>
      </c>
      <c r="G24" s="88" t="str">
        <f t="shared" si="402"/>
        <v>C</v>
      </c>
      <c r="H24" s="37" t="s">
        <v>193</v>
      </c>
      <c r="I24" s="37" t="s">
        <v>194</v>
      </c>
      <c r="J24" s="41" t="s">
        <v>195</v>
      </c>
      <c r="K24" s="89" t="str">
        <f t="shared" si="403"/>
        <v>A</v>
      </c>
      <c r="L24" s="41" t="s">
        <v>119</v>
      </c>
      <c r="M24" s="41" t="s">
        <v>219</v>
      </c>
      <c r="N24" s="41"/>
      <c r="O24" s="43" t="s">
        <v>236</v>
      </c>
      <c r="P24" s="90" t="str">
        <f t="shared" si="404"/>
        <v>Ələkbərova Bahar Elimxan</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2752605</v>
      </c>
      <c r="F25" s="88">
        <f t="shared" si="401"/>
        <v>8</v>
      </c>
      <c r="G25" s="88" t="str">
        <f t="shared" si="402"/>
        <v>C</v>
      </c>
      <c r="H25" s="37" t="s">
        <v>196</v>
      </c>
      <c r="I25" s="37" t="s">
        <v>197</v>
      </c>
      <c r="J25" s="41" t="s">
        <v>198</v>
      </c>
      <c r="K25" s="89" t="str">
        <f t="shared" si="403"/>
        <v>A</v>
      </c>
      <c r="L25" s="41" t="s">
        <v>119</v>
      </c>
      <c r="M25" s="91">
        <v>40426</v>
      </c>
      <c r="N25" s="41"/>
      <c r="O25" s="43" t="s">
        <v>237</v>
      </c>
      <c r="P25" s="90" t="str">
        <f t="shared" si="404"/>
        <v>Ələkbərova Bahar Elimxan</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2744661</v>
      </c>
      <c r="F26" s="88">
        <f t="shared" si="401"/>
        <v>8</v>
      </c>
      <c r="G26" s="88" t="str">
        <f t="shared" si="402"/>
        <v>C</v>
      </c>
      <c r="H26" s="37" t="s">
        <v>199</v>
      </c>
      <c r="I26" s="37" t="s">
        <v>200</v>
      </c>
      <c r="J26" s="41" t="s">
        <v>201</v>
      </c>
      <c r="K26" s="89" t="str">
        <f t="shared" si="403"/>
        <v>A</v>
      </c>
      <c r="L26" s="41" t="s">
        <v>119</v>
      </c>
      <c r="M26" s="41" t="s">
        <v>220</v>
      </c>
      <c r="N26" s="41"/>
      <c r="O26" s="43" t="s">
        <v>238</v>
      </c>
      <c r="P26" s="90" t="str">
        <f t="shared" si="404"/>
        <v>Ələkbərova Bahar Elimxan</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2713725</v>
      </c>
      <c r="F27" s="88">
        <f t="shared" si="401"/>
        <v>8</v>
      </c>
      <c r="G27" s="88" t="str">
        <f t="shared" si="402"/>
        <v>C</v>
      </c>
      <c r="H27" s="37" t="s">
        <v>202</v>
      </c>
      <c r="I27" s="37" t="s">
        <v>203</v>
      </c>
      <c r="J27" s="41" t="s">
        <v>204</v>
      </c>
      <c r="K27" s="89" t="str">
        <f t="shared" si="403"/>
        <v>A</v>
      </c>
      <c r="L27" s="41" t="s">
        <v>119</v>
      </c>
      <c r="M27" s="91">
        <v>40215</v>
      </c>
      <c r="N27" s="41"/>
      <c r="O27" s="43" t="s">
        <v>239</v>
      </c>
      <c r="P27" s="90" t="str">
        <f t="shared" si="404"/>
        <v>Ələkbərova Bahar Elimxan</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2933923</v>
      </c>
      <c r="F28" s="88">
        <f t="shared" si="401"/>
        <v>8</v>
      </c>
      <c r="G28" s="88" t="str">
        <f t="shared" si="402"/>
        <v>C</v>
      </c>
      <c r="H28" s="37" t="s">
        <v>205</v>
      </c>
      <c r="I28" s="37" t="s">
        <v>206</v>
      </c>
      <c r="J28" s="41" t="s">
        <v>207</v>
      </c>
      <c r="K28" s="89" t="str">
        <f t="shared" si="403"/>
        <v>A</v>
      </c>
      <c r="L28" s="41" t="s">
        <v>117</v>
      </c>
      <c r="M28" s="41" t="s">
        <v>221</v>
      </c>
      <c r="N28" s="41"/>
      <c r="O28" s="43" t="s">
        <v>243</v>
      </c>
      <c r="P28" s="90" t="str">
        <f t="shared" si="404"/>
        <v>Ələkbərova Bahar Elimxan</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2715046</v>
      </c>
      <c r="F29" s="88">
        <f t="shared" si="401"/>
        <v>8</v>
      </c>
      <c r="G29" s="88" t="str">
        <f t="shared" si="402"/>
        <v>C</v>
      </c>
      <c r="H29" s="37" t="s">
        <v>208</v>
      </c>
      <c r="I29" s="37" t="s">
        <v>209</v>
      </c>
      <c r="J29" s="41" t="s">
        <v>177</v>
      </c>
      <c r="K29" s="89" t="str">
        <f t="shared" si="403"/>
        <v>A</v>
      </c>
      <c r="L29" s="41" t="s">
        <v>119</v>
      </c>
      <c r="M29" s="41" t="s">
        <v>222</v>
      </c>
      <c r="N29" s="41"/>
      <c r="O29" s="43" t="s">
        <v>242</v>
      </c>
      <c r="P29" s="90" t="str">
        <f t="shared" si="404"/>
        <v>Ələkbərova Bahar Elimxan</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2714720</v>
      </c>
      <c r="F30" s="88">
        <f t="shared" si="401"/>
        <v>8</v>
      </c>
      <c r="G30" s="88" t="str">
        <f t="shared" si="402"/>
        <v>C</v>
      </c>
      <c r="H30" s="37" t="s">
        <v>210</v>
      </c>
      <c r="I30" s="37" t="s">
        <v>155</v>
      </c>
      <c r="J30" s="41" t="s">
        <v>211</v>
      </c>
      <c r="K30" s="89" t="str">
        <f t="shared" si="403"/>
        <v>A</v>
      </c>
      <c r="L30" s="41" t="s">
        <v>119</v>
      </c>
      <c r="M30" s="91">
        <v>40089</v>
      </c>
      <c r="N30" s="41"/>
      <c r="O30" s="43" t="s">
        <v>240</v>
      </c>
      <c r="P30" s="90" t="str">
        <f t="shared" si="404"/>
        <v>Ələkbərova Bahar Elimxan</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2024-02-13T14:03:54Z</dcterms:modified>
</cp:coreProperties>
</file>