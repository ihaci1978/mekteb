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<sst xmlns="http://schemas.openxmlformats.org/spreadsheetml/2006/main" count="1699" uniqueCount="234">
  <si>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</si>
  <si>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</si>
  <si>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</si>
  <si>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</si>
  <si>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</si>
  <si>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</si>
  <si>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</si>
  <si>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</si>
  <si>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</si>
  <si>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</si>
  <si>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</si>
  <si>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</si>
  <si>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</si>
  <si>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</si>
  <si>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</si>
  <si>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</si>
  <si>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</si>
  <si>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</si>
  <si>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</si>
  <si>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</si>
  <si>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</si>
  <si>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</si>
  <si>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</si>
  <si>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</si>
  <si>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</si>
  <si>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</si>
  <si>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</si>
  <si>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</si>
  <si>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</si>
  <si>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</si>
  <si>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</si>
  <si>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</si>
  <si>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</si>
  <si>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</si>
  <si>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</si>
  <si>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</si>
  <si>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</si>
  <si>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</si>
  <si>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</si>
  <si>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</si>
  <si>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</si>
  <si>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</si>
  <si>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</si>
  <si>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</si>
  <si>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</si>
  <si>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</si>
  <si>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</si>
  <si>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</si>
  <si>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</si>
  <si>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</si>
  <si>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</si>
  <si>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</si>
  <si>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</si>
  <si>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</si>
  <si>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</si>
  <si>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</si>
  <si>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</si>
  <si>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</si>
  <si>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</si>
  <si>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</si>
  <si>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</si>
  <si>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</si>
  <si>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</si>
  <si>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</si>
  <si>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</si>
  <si>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</si>
  <si>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</si>
  <si>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</si>
  <si>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</si>
  <si>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</si>
  <si>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</si>
  <si>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</si>
  <si>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</si>
  <si>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</si>
  <si>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</si>
  <si>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</si>
  <si>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</si>
  <si>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</si>
  <si>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</si>
  <si>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</si>
  <si>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</si>
  <si>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</si>
  <si>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</si>
  <si>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</si>
  <si>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</si>
  <si>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</si>
  <si>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</si>
  <si>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</si>
  <si>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</si>
  <si>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</si>
  <si>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</si>
  <si>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</si>
  <si>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</si>
  <si>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</si>
  <si>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</si>
  <si>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</si>
  <si>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</si>
  <si>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</si>
  <si>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</si>
  <si>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</si>
  <si>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</si>
  <si>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</si>
  <si>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</si>
  <si>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</si>
  <si>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</si>
  <si>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</si>
  <si>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</si>
  <si>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</si>
  <si>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</si>
  <si>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</si>
  <si>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</si>
  <si>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</si>
  <si>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</si>
  <si>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</si>
  <si>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</si>
  <si>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</si>
  <si>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</si>
  <si>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</si>
  <si>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</si>
  <si>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</si>
  <si>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</si>
  <si>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</si>
  <si>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</si>
  <si>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</si>
  <si>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</si>
  <si>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</si>
  <si>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</si>
  <si>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</si>
  <si>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</si>
  <si>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</si>
  <si>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</si>
  <si>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</si>
  <si>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</si>
  <si>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</si>
  <si>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</si>
  <si>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</si>
  <si>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</si>
  <si>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</si>
  <si>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</si>
  <si>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</si>
  <si>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</si>
  <si>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</si>
  <si>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</si>
  <si>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</si>
  <si>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</si>
  <si>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</si>
  <si>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</si>
  <si>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</si>
  <si>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</si>
  <si>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</si>
  <si>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</si>
  <si>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</si>
  <si>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</si>
  <si>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</si>
  <si>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</si>
  <si>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</si>
  <si>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</si>
  <si>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</si>
  <si>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</si>
  <si>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</si>
  <si>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</si>
  <si>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</si>
  <si>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</si>
  <si>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</si>
  <si>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</si>
  <si>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</si>
  <si>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</si>
  <si>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</si>
  <si>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</si>
  <si>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</si>
  <si>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</si>
  <si>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</si>
  <si>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</si>
  <si>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</si>
  <si>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</si>
  <si>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</si>
  <si>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</si>
  <si>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</si>
  <si>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</si>
  <si>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</si>
  <si>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</si>
  <si>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</si>
  <si>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</si>
  <si>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</si>
  <si>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</si>
  <si>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</si>
  <si>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</si>
  <si>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</si>
  <si>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</si>
  <si>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</si>
  <si>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</si>
  <si>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</si>
  <si>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</si>
  <si>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</si>
  <si>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</si>
  <si>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</si>
  <si>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</si>
  <si>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</si>
  <si>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</si>
  <si>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</si>
  <si>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</si>
  <si>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</si>
  <si>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</si>
  <si>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</si>
  <si>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</si>
  <si>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</si>
  <si>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</si>
  <si>
    <t>28/05/2013</t>
  </si>
  <si>
    <t>16/07/2014</t>
  </si>
  <si>
    <t>25/08/2014</t>
  </si>
  <si>
    <t>19/04/2013</t>
  </si>
  <si>
    <t>16/06/2014</t>
  </si>
  <si>
    <t>13/04/2014</t>
  </si>
  <si>
    <t>15/05/2014</t>
  </si>
  <si>
    <t>30/01/2014</t>
  </si>
  <si>
    <t>30/09/2013</t>
  </si>
  <si>
    <t>070-360-19-90</t>
  </si>
  <si>
    <t>070-886-08-38</t>
  </si>
  <si>
    <t>077-337-25-62</t>
  </si>
  <si>
    <t>050-765-73-73</t>
  </si>
  <si>
    <t>051-557-47-65</t>
  </si>
  <si>
    <t>070-530-19-31</t>
  </si>
  <si>
    <t>077-374-75-85</t>
  </si>
  <si>
    <t>055-781-04-22</t>
  </si>
  <si>
    <t>050-487-40-22</t>
  </si>
  <si>
    <t>055-843-85-87</t>
  </si>
  <si>
    <t>055-849-10-17</t>
  </si>
  <si>
    <t>051-582-92-76</t>
  </si>
  <si>
    <t>070-285-07-79</t>
  </si>
  <si>
    <t>070-238-72-92</t>
  </si>
  <si>
    <t>055-883-06-35</t>
  </si>
  <si>
    <t>050-806-56-77</t>
  </si>
  <si>
    <t>077-314-39-13</t>
  </si>
  <si>
    <t>Əliyeva Sevinc Kamal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</si>
</sst>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1" t="s">
        <v>146</v>
      </c>
      <c r="B1" s="91"/>
      <c r="C1" s="91"/>
      <c r="D1" s="91"/>
      <c r="E1" s="91"/>
    </row>
    <row r="2" spans="1:5" ht="17.399999999999999">
      <c r="A2" s="92" t="s">
        <v>35</v>
      </c>
      <c r="B2" s="92"/>
      <c r="C2" s="92"/>
      <c r="D2" s="92"/>
      <c r="E2" s="92"/>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3" t="s">
        <v>145</v>
      </c>
      <c r="B19" s="93"/>
      <c r="C19" s="93"/>
      <c r="D19" s="94"/>
      <c r="E19" s="94"/>
    </row>
    <row r="20" spans="1:5" ht="19.8">
      <c r="A20" s="95" t="s">
        <v>42</v>
      </c>
      <c r="B20" s="95"/>
      <c r="C20" s="95"/>
      <c r="D20" s="11"/>
    </row>
    <row r="21" spans="1:5">
      <c r="A21" s="67" t="s">
        <v>44</v>
      </c>
      <c r="B21" s="96" t="s">
        <v>45</v>
      </c>
      <c r="C21" s="97"/>
      <c r="D21" s="11"/>
    </row>
    <row r="22" spans="1:5">
      <c r="A22" s="67" t="s">
        <v>46</v>
      </c>
      <c r="B22" s="96" t="s">
        <v>47</v>
      </c>
      <c r="C22" s="97"/>
      <c r="D22" s="11"/>
    </row>
    <row r="23" spans="1:5">
      <c r="A23" s="67" t="s">
        <v>48</v>
      </c>
      <c r="B23" s="96" t="s">
        <v>49</v>
      </c>
      <c r="C23" s="97"/>
      <c r="D23" s="11"/>
    </row>
    <row r="24" spans="1:5">
      <c r="A24" s="67" t="s">
        <v>50</v>
      </c>
      <c r="B24" s="96" t="s">
        <v>51</v>
      </c>
      <c r="C24" s="97"/>
      <c r="D24" s="11"/>
    </row>
    <row r="25" spans="1:5">
      <c r="A25" s="67" t="s">
        <v>52</v>
      </c>
      <c r="B25" s="96" t="s">
        <v>53</v>
      </c>
      <c r="C25" s="97"/>
      <c r="D25" s="11"/>
    </row>
    <row r="26" spans="1:5">
      <c r="A26" s="67" t="s">
        <v>54</v>
      </c>
      <c r="B26" s="96" t="s">
        <v>55</v>
      </c>
      <c r="C26" s="97"/>
      <c r="D26" s="11"/>
    </row>
    <row r="27" spans="1:5">
      <c r="A27" s="67">
        <v>115</v>
      </c>
      <c r="B27" s="98" t="s">
        <v>43</v>
      </c>
      <c r="C27" s="99"/>
      <c r="D27" s="11"/>
    </row>
    <row r="28" spans="1:5">
      <c r="A28" s="67" t="s">
        <v>56</v>
      </c>
      <c r="B28" s="96" t="s">
        <v>57</v>
      </c>
      <c r="C28" s="97"/>
      <c r="D28" s="11"/>
    </row>
    <row r="29" spans="1:5">
      <c r="A29" s="67" t="s">
        <v>58</v>
      </c>
      <c r="B29" s="96" t="s">
        <v>59</v>
      </c>
      <c r="C29" s="97"/>
      <c r="D29" s="11"/>
    </row>
    <row r="30" spans="1:5">
      <c r="A30" s="67" t="s">
        <v>60</v>
      </c>
      <c r="B30" s="96" t="s">
        <v>61</v>
      </c>
      <c r="C30" s="97"/>
      <c r="D30" s="11"/>
    </row>
    <row r="31" spans="1:5">
      <c r="A31" s="67" t="s">
        <v>62</v>
      </c>
      <c r="B31" s="96" t="s">
        <v>63</v>
      </c>
      <c r="C31" s="97"/>
      <c r="D31" s="11"/>
    </row>
    <row r="32" spans="1:5">
      <c r="A32" s="67" t="s">
        <v>64</v>
      </c>
      <c r="B32" s="96" t="s">
        <v>65</v>
      </c>
      <c r="C32" s="97"/>
      <c r="D32" s="11"/>
    </row>
    <row r="33" spans="1:4">
      <c r="A33" s="67" t="s">
        <v>66</v>
      </c>
      <c r="B33" s="96" t="s">
        <v>67</v>
      </c>
      <c r="C33" s="97"/>
      <c r="D33" s="11"/>
    </row>
    <row r="34" spans="1:4">
      <c r="A34" s="67" t="s">
        <v>68</v>
      </c>
      <c r="B34" s="96" t="s">
        <v>69</v>
      </c>
      <c r="C34" s="97"/>
      <c r="D34" s="11"/>
    </row>
    <row r="35" spans="1:4">
      <c r="A35" s="67" t="s">
        <v>70</v>
      </c>
      <c r="B35" s="96" t="s">
        <v>71</v>
      </c>
      <c r="C35" s="97"/>
      <c r="D35" s="11"/>
    </row>
    <row r="36" spans="1:4">
      <c r="A36" s="67" t="s">
        <v>72</v>
      </c>
      <c r="B36" s="96" t="s">
        <v>73</v>
      </c>
      <c r="C36" s="97"/>
      <c r="D36" s="11"/>
    </row>
    <row r="37" spans="1:4">
      <c r="A37" s="67" t="s">
        <v>74</v>
      </c>
      <c r="B37" s="96" t="s">
        <v>75</v>
      </c>
      <c r="C37" s="97"/>
      <c r="D37" s="11"/>
    </row>
    <row r="38" spans="1:4">
      <c r="A38" s="67" t="s">
        <v>76</v>
      </c>
      <c r="B38" s="96" t="s">
        <v>77</v>
      </c>
      <c r="C38" s="97"/>
      <c r="D38" s="11"/>
    </row>
    <row r="39" spans="1:4">
      <c r="A39" s="67" t="s">
        <v>78</v>
      </c>
      <c r="B39" s="96" t="s">
        <v>79</v>
      </c>
      <c r="C39" s="97"/>
      <c r="D39" s="11"/>
    </row>
    <row r="40" spans="1:4">
      <c r="A40" s="67" t="s">
        <v>80</v>
      </c>
      <c r="B40" s="96" t="s">
        <v>81</v>
      </c>
      <c r="C40" s="97"/>
      <c r="D40" s="11"/>
    </row>
    <row r="41" spans="1:4">
      <c r="A41" s="67" t="s">
        <v>82</v>
      </c>
      <c r="B41" s="96" t="s">
        <v>83</v>
      </c>
      <c r="C41" s="97"/>
      <c r="D41" s="11"/>
    </row>
    <row r="42" spans="1:4">
      <c r="A42" s="67" t="s">
        <v>84</v>
      </c>
      <c r="B42" s="96" t="s">
        <v>89</v>
      </c>
      <c r="C42" s="97"/>
      <c r="D42" s="11"/>
    </row>
    <row r="43" spans="1:4">
      <c r="A43" s="67" t="s">
        <v>85</v>
      </c>
      <c r="B43" s="96" t="s">
        <v>86</v>
      </c>
      <c r="C43" s="97"/>
      <c r="D43" s="11"/>
    </row>
    <row r="44" spans="1:4">
      <c r="A44" s="67" t="s">
        <v>87</v>
      </c>
      <c r="B44" s="96" t="s">
        <v>88</v>
      </c>
      <c r="C44" s="97"/>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5" zoomScaleNormal="95" workbookViewId="0">
      <pane xSplit="10" ySplit="9" topLeftCell="N10" activePane="bottomRight" state="frozen"/>
      <selection pane="topRight" activeCell="H1" sqref="H1"/>
      <selection pane="bottomLeft" activeCell="A5" sqref="A5"/>
      <selection pane="bottomRight" activeCell="F10" sqref="F10:J29"/>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c r="A2" s="74" t="str">
        <f>IF(A9="","",A9)</f>
        <v>2023-2024</v>
      </c>
      <c r="B2" s="74" t="str">
        <f>IF(B9="","",B9)</f>
        <v>Bakı</v>
      </c>
      <c r="C2" s="74" t="str">
        <f>IF(C9="","",C9)</f>
        <v>Binəqədi</v>
      </c>
      <c r="D2" s="74">
        <f>IF(D9="","",D9)</f>
        <v>99</v>
      </c>
      <c r="E2" s="74" t="s">
        <v>9</v>
      </c>
      <c r="F2" s="74"/>
      <c r="G2" s="74"/>
      <c r="H2" s="74" t="str">
        <f>IF(F9="","",F9&amp;G9)</f>
        <v>4B</v>
      </c>
      <c r="I2" s="74" t="str">
        <f>IF(K9="R","Rus",IF(K9="A","Azərbaycan",""))</f>
        <v>Azərbaycan</v>
      </c>
      <c r="J2" s="74"/>
      <c r="K2" s="74" t="str">
        <f>IF(K9="","",K9)</f>
        <v>A</v>
      </c>
      <c r="L2" s="74">
        <f>SUM(L4,L6)</f>
        <v>20</v>
      </c>
      <c r="M2" s="74"/>
      <c r="N2" s="74"/>
      <c r="O2" s="74"/>
      <c r="P2" s="74" t="str">
        <f>IF(P9="","",P9)</f>
        <v>Əliyeva Sevinc Kamal</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6</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14</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c r="A9" s="44" t="s">
        <v>147</v>
      </c>
      <c r="B9" s="45" t="s">
        <v>148</v>
      </c>
      <c r="C9" s="44" t="s">
        <v>149</v>
      </c>
      <c r="D9" s="44">
        <v>99</v>
      </c>
      <c r="E9" s="102"/>
      <c r="F9" s="46">
        <v>4</v>
      </c>
      <c r="G9" s="46" t="s">
        <v>150</v>
      </c>
      <c r="H9" s="84" t="s">
        <v>2</v>
      </c>
      <c r="I9" s="84" t="s">
        <v>3</v>
      </c>
      <c r="J9" s="84" t="s">
        <v>1</v>
      </c>
      <c r="K9" s="46" t="s">
        <v>98</v>
      </c>
      <c r="L9" s="102"/>
      <c r="M9" s="102"/>
      <c r="N9" s="102"/>
      <c r="O9" s="102"/>
      <c r="P9" s="47" t="s">
        <v>233</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c r="A10" s="88" t="str">
        <f>IF(H10="","",$A$9)</f>
        <v>2023-2024</v>
      </c>
      <c r="B10" s="88" t="str">
        <f>IF(H10="","",$B$9)</f>
        <v>Bakı</v>
      </c>
      <c r="C10" s="88" t="str">
        <f>IF(H10="","",$C$9)</f>
        <v>Binəqədi</v>
      </c>
      <c r="D10" s="88">
        <f>IF(H10="","",$D$9)</f>
        <v>99</v>
      </c>
      <c r="E10" s="193">
        <v>41708</v>
      </c>
      <c r="F10" s="88">
        <f>IF(H10="","",$F$9)</f>
        <v>4</v>
      </c>
      <c r="G10" s="88" t="str">
        <f>IF(H10="","",$G$9)</f>
        <v>B</v>
      </c>
      <c r="H10" s="36" t="s">
        <v>151</v>
      </c>
      <c r="I10" s="36" t="s">
        <v>152</v>
      </c>
      <c r="J10" s="40" t="s">
        <v>153</v>
      </c>
      <c r="K10" s="89" t="str">
        <f>IF(H10="","",$K$9)</f>
        <v>A</v>
      </c>
      <c r="L10" s="40" t="s">
        <v>119</v>
      </c>
      <c r="M10" s="193">
        <v>41708</v>
      </c>
      <c r="N10" s="40"/>
      <c r="O10" s="42" t="s">
        <v>216</v>
      </c>
      <c r="P10" s="90" t="str">
        <f>IF(H10="","",$P$9)</f>
        <v>Əliyeva Sevinc Kamal</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t="s">
        <v>207</v>
      </c>
      <c r="F11" s="88">
        <f t="shared" ref="F11:F59" si="401">IF(H11="","",$F$9)</f>
        <v>4</v>
      </c>
      <c r="G11" s="88" t="str">
        <f t="shared" ref="G11:G59" si="402">IF(H11="","",$G$9)</f>
        <v>B</v>
      </c>
      <c r="H11" s="36" t="s">
        <v>154</v>
      </c>
      <c r="I11" s="37" t="s">
        <v>155</v>
      </c>
      <c r="J11" s="41" t="s">
        <v>156</v>
      </c>
      <c r="K11" s="89" t="str">
        <f t="shared" ref="K11:K59" si="403">IF(H11="","",$K$9)</f>
        <v>A</v>
      </c>
      <c r="L11" s="41" t="s">
        <v>119</v>
      </c>
      <c r="M11" s="41" t="s">
        <v>207</v>
      </c>
      <c r="N11" s="41"/>
      <c r="O11" s="43" t="s">
        <v>217</v>
      </c>
      <c r="P11" s="90" t="str">
        <f t="shared" ref="P11:P59" si="404">IF(H11="","",$P$9)</f>
        <v>Əliyeva Sevinc Kamal</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193">
        <v>41494</v>
      </c>
      <c r="F12" s="88">
        <f t="shared" si="401"/>
        <v>4</v>
      </c>
      <c r="G12" s="88" t="str">
        <f t="shared" si="402"/>
        <v>B</v>
      </c>
      <c r="H12" s="36" t="s">
        <v>157</v>
      </c>
      <c r="I12" s="37" t="s">
        <v>158</v>
      </c>
      <c r="J12" s="41" t="s">
        <v>159</v>
      </c>
      <c r="K12" s="89" t="str">
        <f t="shared" si="403"/>
        <v>A</v>
      </c>
      <c r="L12" s="41" t="s">
        <v>119</v>
      </c>
      <c r="M12" s="194">
        <v>41494</v>
      </c>
      <c r="N12" s="41"/>
      <c r="O12" s="43" t="s">
        <v>218</v>
      </c>
      <c r="P12" s="90" t="str">
        <f t="shared" si="404"/>
        <v>Əliyeva Sevinc Kamal</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193">
        <v>41861</v>
      </c>
      <c r="F13" s="88">
        <f t="shared" si="401"/>
        <v>4</v>
      </c>
      <c r="G13" s="88" t="str">
        <f t="shared" si="402"/>
        <v>B</v>
      </c>
      <c r="H13" s="36" t="s">
        <v>160</v>
      </c>
      <c r="I13" s="37" t="s">
        <v>161</v>
      </c>
      <c r="J13" s="41" t="s">
        <v>162</v>
      </c>
      <c r="K13" s="89" t="str">
        <f t="shared" si="403"/>
        <v>A</v>
      </c>
      <c r="L13" s="41" t="s">
        <v>119</v>
      </c>
      <c r="M13" s="194">
        <v>41861</v>
      </c>
      <c r="N13" s="41"/>
      <c r="O13" s="43" t="s">
        <v>219</v>
      </c>
      <c r="P13" s="90" t="str">
        <f t="shared" si="404"/>
        <v>Əliyeva Sevinc Kamal</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t="s">
        <v>208</v>
      </c>
      <c r="F14" s="88">
        <f t="shared" si="401"/>
        <v>4</v>
      </c>
      <c r="G14" s="88" t="str">
        <f t="shared" si="402"/>
        <v>B</v>
      </c>
      <c r="H14" s="36" t="s">
        <v>163</v>
      </c>
      <c r="I14" s="37" t="s">
        <v>164</v>
      </c>
      <c r="J14" s="41" t="s">
        <v>165</v>
      </c>
      <c r="K14" s="89" t="str">
        <f t="shared" si="403"/>
        <v>A</v>
      </c>
      <c r="L14" s="41" t="s">
        <v>119</v>
      </c>
      <c r="M14" s="41" t="s">
        <v>208</v>
      </c>
      <c r="N14" s="41"/>
      <c r="O14" s="43" t="s">
        <v>220</v>
      </c>
      <c r="P14" s="90" t="str">
        <f t="shared" si="404"/>
        <v>Əliyeva Sevinc Kamal</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193">
        <v>41674</v>
      </c>
      <c r="F15" s="88">
        <f t="shared" si="401"/>
        <v>4</v>
      </c>
      <c r="G15" s="88" t="str">
        <f t="shared" si="402"/>
        <v>B</v>
      </c>
      <c r="H15" s="36" t="s">
        <v>166</v>
      </c>
      <c r="I15" s="37" t="s">
        <v>167</v>
      </c>
      <c r="J15" s="41" t="s">
        <v>168</v>
      </c>
      <c r="K15" s="89" t="str">
        <f t="shared" si="403"/>
        <v>A</v>
      </c>
      <c r="L15" s="41" t="s">
        <v>119</v>
      </c>
      <c r="M15" s="194">
        <v>41674</v>
      </c>
      <c r="N15" s="41"/>
      <c r="O15" s="43" t="s">
        <v>221</v>
      </c>
      <c r="P15" s="90" t="str">
        <f t="shared" si="404"/>
        <v>Əliyeva Sevinc Kamal</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193">
        <v>41650</v>
      </c>
      <c r="F16" s="88">
        <f t="shared" si="401"/>
        <v>4</v>
      </c>
      <c r="G16" s="88" t="str">
        <f t="shared" si="402"/>
        <v>B</v>
      </c>
      <c r="H16" s="36" t="s">
        <v>169</v>
      </c>
      <c r="I16" s="37" t="s">
        <v>158</v>
      </c>
      <c r="J16" s="41" t="s">
        <v>170</v>
      </c>
      <c r="K16" s="89" t="str">
        <f t="shared" si="403"/>
        <v>A</v>
      </c>
      <c r="L16" s="41" t="s">
        <v>119</v>
      </c>
      <c r="M16" s="194">
        <v>41650</v>
      </c>
      <c r="N16" s="41"/>
      <c r="O16" s="43" t="s">
        <v>222</v>
      </c>
      <c r="P16" s="90" t="str">
        <f t="shared" si="404"/>
        <v>Əliyeva Sevinc Kamal</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t="s">
        <v>209</v>
      </c>
      <c r="F17" s="88">
        <f t="shared" si="401"/>
        <v>4</v>
      </c>
      <c r="G17" s="88" t="str">
        <f t="shared" si="402"/>
        <v>B</v>
      </c>
      <c r="H17" s="36" t="s">
        <v>171</v>
      </c>
      <c r="I17" s="37" t="s">
        <v>172</v>
      </c>
      <c r="J17" s="41" t="s">
        <v>173</v>
      </c>
      <c r="K17" s="89" t="str">
        <f t="shared" si="403"/>
        <v>A</v>
      </c>
      <c r="L17" s="41" t="s">
        <v>119</v>
      </c>
      <c r="M17" s="41" t="s">
        <v>209</v>
      </c>
      <c r="N17" s="41"/>
      <c r="O17" s="43" t="s">
        <v>223</v>
      </c>
      <c r="P17" s="90" t="str">
        <f t="shared" si="404"/>
        <v>Əliyeva Sevinc Kamal</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t="s">
        <v>209</v>
      </c>
      <c r="F18" s="88">
        <f t="shared" si="401"/>
        <v>4</v>
      </c>
      <c r="G18" s="88" t="str">
        <f t="shared" si="402"/>
        <v>B</v>
      </c>
      <c r="H18" s="36" t="s">
        <v>174</v>
      </c>
      <c r="I18" s="37" t="s">
        <v>175</v>
      </c>
      <c r="J18" s="41" t="s">
        <v>173</v>
      </c>
      <c r="K18" s="89" t="str">
        <f t="shared" si="403"/>
        <v>A</v>
      </c>
      <c r="L18" s="41" t="s">
        <v>117</v>
      </c>
      <c r="M18" s="41" t="s">
        <v>209</v>
      </c>
      <c r="N18" s="41"/>
      <c r="O18" s="43" t="s">
        <v>223</v>
      </c>
      <c r="P18" s="90" t="str">
        <f t="shared" si="404"/>
        <v>Əliyeva Sevinc Kamal</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193">
        <v>41915</v>
      </c>
      <c r="F19" s="88">
        <f t="shared" si="401"/>
        <v>4</v>
      </c>
      <c r="G19" s="88" t="str">
        <f t="shared" si="402"/>
        <v>B</v>
      </c>
      <c r="H19" s="36" t="s">
        <v>176</v>
      </c>
      <c r="I19" s="37" t="s">
        <v>177</v>
      </c>
      <c r="J19" s="41" t="s">
        <v>178</v>
      </c>
      <c r="K19" s="89" t="str">
        <f t="shared" si="403"/>
        <v>A</v>
      </c>
      <c r="L19" s="41" t="s">
        <v>117</v>
      </c>
      <c r="M19" s="194">
        <v>41915</v>
      </c>
      <c r="N19" s="41"/>
      <c r="O19" s="43" t="s">
        <v>224</v>
      </c>
      <c r="P19" s="90" t="str">
        <f t="shared" si="404"/>
        <v>Əliyeva Sevinc Kamal</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193">
        <v>41497</v>
      </c>
      <c r="F20" s="88">
        <f t="shared" si="401"/>
        <v>4</v>
      </c>
      <c r="G20" s="88" t="str">
        <f t="shared" si="402"/>
        <v>B</v>
      </c>
      <c r="H20" s="37" t="s">
        <v>179</v>
      </c>
      <c r="I20" s="37" t="s">
        <v>180</v>
      </c>
      <c r="J20" s="41" t="s">
        <v>181</v>
      </c>
      <c r="K20" s="89" t="str">
        <f t="shared" si="403"/>
        <v>A</v>
      </c>
      <c r="L20" s="41" t="s">
        <v>119</v>
      </c>
      <c r="M20" s="194">
        <v>41497</v>
      </c>
      <c r="N20" s="41"/>
      <c r="O20" s="43" t="s">
        <v>225</v>
      </c>
      <c r="P20" s="90" t="str">
        <f t="shared" si="404"/>
        <v>Əliyeva Sevinc Kamal</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193">
        <v>41855</v>
      </c>
      <c r="F21" s="88">
        <f t="shared" si="401"/>
        <v>4</v>
      </c>
      <c r="G21" s="88" t="str">
        <f t="shared" si="402"/>
        <v>B</v>
      </c>
      <c r="H21" s="37" t="s">
        <v>182</v>
      </c>
      <c r="I21" s="37" t="s">
        <v>183</v>
      </c>
      <c r="J21" s="41" t="s">
        <v>184</v>
      </c>
      <c r="K21" s="89" t="str">
        <f t="shared" si="403"/>
        <v>A</v>
      </c>
      <c r="L21" s="41" t="s">
        <v>119</v>
      </c>
      <c r="M21" s="194">
        <v>41855</v>
      </c>
      <c r="N21" s="41"/>
      <c r="O21" s="43"/>
      <c r="P21" s="90" t="str">
        <f t="shared" si="404"/>
        <v>Əliyeva Sevinc Kamal</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t="s">
        <v>209</v>
      </c>
      <c r="F22" s="88">
        <f t="shared" si="401"/>
        <v>4</v>
      </c>
      <c r="G22" s="88" t="str">
        <f t="shared" si="402"/>
        <v>B</v>
      </c>
      <c r="H22" s="37" t="s">
        <v>185</v>
      </c>
      <c r="I22" s="37" t="s">
        <v>186</v>
      </c>
      <c r="J22" s="41" t="s">
        <v>187</v>
      </c>
      <c r="K22" s="89" t="str">
        <f t="shared" si="403"/>
        <v>A</v>
      </c>
      <c r="L22" s="41" t="s">
        <v>119</v>
      </c>
      <c r="M22" s="41" t="s">
        <v>209</v>
      </c>
      <c r="N22" s="41"/>
      <c r="O22" s="43" t="s">
        <v>226</v>
      </c>
      <c r="P22" s="90" t="str">
        <f t="shared" si="404"/>
        <v>Əliyeva Sevinc Kamal</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t="s">
        <v>210</v>
      </c>
      <c r="F23" s="88">
        <f t="shared" si="401"/>
        <v>4</v>
      </c>
      <c r="G23" s="88" t="str">
        <f t="shared" si="402"/>
        <v>B</v>
      </c>
      <c r="H23" s="37" t="s">
        <v>188</v>
      </c>
      <c r="I23" s="37" t="s">
        <v>189</v>
      </c>
      <c r="J23" s="41" t="s">
        <v>190</v>
      </c>
      <c r="K23" s="89" t="str">
        <f t="shared" si="403"/>
        <v>A</v>
      </c>
      <c r="L23" s="41" t="s">
        <v>117</v>
      </c>
      <c r="M23" s="41" t="s">
        <v>210</v>
      </c>
      <c r="N23" s="41"/>
      <c r="O23" s="43" t="s">
        <v>227</v>
      </c>
      <c r="P23" s="90" t="str">
        <f t="shared" si="404"/>
        <v>Əliyeva Sevinc Kamal</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t="s">
        <v>211</v>
      </c>
      <c r="F24" s="88">
        <f t="shared" si="401"/>
        <v>4</v>
      </c>
      <c r="G24" s="88" t="str">
        <f t="shared" si="402"/>
        <v>B</v>
      </c>
      <c r="H24" s="37" t="s">
        <v>191</v>
      </c>
      <c r="I24" s="37" t="s">
        <v>192</v>
      </c>
      <c r="J24" s="41" t="s">
        <v>173</v>
      </c>
      <c r="K24" s="89" t="str">
        <f t="shared" si="403"/>
        <v>A</v>
      </c>
      <c r="L24" s="41" t="s">
        <v>117</v>
      </c>
      <c r="M24" s="41" t="s">
        <v>211</v>
      </c>
      <c r="N24" s="41"/>
      <c r="O24" s="43" t="s">
        <v>228</v>
      </c>
      <c r="P24" s="90" t="str">
        <f t="shared" si="404"/>
        <v>Əliyeva Sevinc Kamal</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193">
        <v>41585</v>
      </c>
      <c r="F25" s="88">
        <f t="shared" si="401"/>
        <v>4</v>
      </c>
      <c r="G25" s="88" t="str">
        <f t="shared" si="402"/>
        <v>B</v>
      </c>
      <c r="H25" s="37" t="s">
        <v>193</v>
      </c>
      <c r="I25" s="37" t="s">
        <v>194</v>
      </c>
      <c r="J25" s="41" t="s">
        <v>195</v>
      </c>
      <c r="K25" s="89" t="str">
        <f t="shared" si="403"/>
        <v>A</v>
      </c>
      <c r="L25" s="41" t="s">
        <v>117</v>
      </c>
      <c r="M25" s="194">
        <v>41585</v>
      </c>
      <c r="N25" s="41"/>
      <c r="O25" s="43" t="s">
        <v>229</v>
      </c>
      <c r="P25" s="90" t="str">
        <f t="shared" si="404"/>
        <v>Əliyeva Sevinc Kamal</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t="s">
        <v>212</v>
      </c>
      <c r="F26" s="88">
        <f t="shared" si="401"/>
        <v>4</v>
      </c>
      <c r="G26" s="88" t="str">
        <f t="shared" si="402"/>
        <v>B</v>
      </c>
      <c r="H26" s="37" t="s">
        <v>196</v>
      </c>
      <c r="I26" s="37" t="s">
        <v>197</v>
      </c>
      <c r="J26" s="41" t="s">
        <v>198</v>
      </c>
      <c r="K26" s="89" t="str">
        <f t="shared" si="403"/>
        <v>A</v>
      </c>
      <c r="L26" s="41" t="s">
        <v>119</v>
      </c>
      <c r="M26" s="41" t="s">
        <v>212</v>
      </c>
      <c r="N26" s="41"/>
      <c r="O26" s="43" t="s">
        <v>230</v>
      </c>
      <c r="P26" s="90" t="str">
        <f t="shared" si="404"/>
        <v>Əliyeva Sevinc Kamal</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t="s">
        <v>213</v>
      </c>
      <c r="F27" s="88">
        <f t="shared" si="401"/>
        <v>4</v>
      </c>
      <c r="G27" s="88" t="str">
        <f t="shared" si="402"/>
        <v>B</v>
      </c>
      <c r="H27" s="37" t="s">
        <v>199</v>
      </c>
      <c r="I27" s="37" t="s">
        <v>192</v>
      </c>
      <c r="J27" s="41" t="s">
        <v>200</v>
      </c>
      <c r="K27" s="89" t="str">
        <f t="shared" si="403"/>
        <v>A</v>
      </c>
      <c r="L27" s="41" t="s">
        <v>117</v>
      </c>
      <c r="M27" s="41" t="s">
        <v>213</v>
      </c>
      <c r="N27" s="41"/>
      <c r="O27" s="43"/>
      <c r="P27" s="90" t="str">
        <f t="shared" si="404"/>
        <v>Əliyeva Sevinc Kamal</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t="s">
        <v>214</v>
      </c>
      <c r="F28" s="88">
        <f t="shared" si="401"/>
        <v>4</v>
      </c>
      <c r="G28" s="88" t="str">
        <f t="shared" si="402"/>
        <v>B</v>
      </c>
      <c r="H28" s="37" t="s">
        <v>201</v>
      </c>
      <c r="I28" s="37" t="s">
        <v>202</v>
      </c>
      <c r="J28" s="41" t="s">
        <v>203</v>
      </c>
      <c r="K28" s="89" t="str">
        <f t="shared" si="403"/>
        <v>A</v>
      </c>
      <c r="L28" s="41" t="s">
        <v>119</v>
      </c>
      <c r="M28" s="41" t="s">
        <v>214</v>
      </c>
      <c r="N28" s="41"/>
      <c r="O28" s="43" t="s">
        <v>231</v>
      </c>
      <c r="P28" s="90" t="str">
        <f t="shared" si="404"/>
        <v>Əliyeva Sevinc Kamal</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t="s">
        <v>215</v>
      </c>
      <c r="F29" s="88">
        <f t="shared" si="401"/>
        <v>4</v>
      </c>
      <c r="G29" s="88" t="str">
        <f t="shared" si="402"/>
        <v>B</v>
      </c>
      <c r="H29" s="37" t="s">
        <v>204</v>
      </c>
      <c r="I29" s="37" t="s">
        <v>205</v>
      </c>
      <c r="J29" s="41" t="s">
        <v>206</v>
      </c>
      <c r="K29" s="89" t="str">
        <f t="shared" si="403"/>
        <v>A</v>
      </c>
      <c r="L29" s="41" t="s">
        <v>119</v>
      </c>
      <c r="M29" s="41" t="s">
        <v>215</v>
      </c>
      <c r="N29" s="41"/>
      <c r="O29" s="43" t="s">
        <v>232</v>
      </c>
      <c r="P29" s="90" t="str">
        <f t="shared" si="404"/>
        <v>Əliyeva Sevinc Kamal</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row r="133" spans="1:40" ht="40.200000000000003" customHeight="1">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2024-02-01T17:50:42Z</dcterms:modified>
</cp:coreProperties>
</file>