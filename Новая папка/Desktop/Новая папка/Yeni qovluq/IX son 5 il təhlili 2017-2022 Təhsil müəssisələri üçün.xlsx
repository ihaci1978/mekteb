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900"/>
  </bookViews>
  <sheets>
    <sheet name="Nəticələr dioqramla" sheetId="11" r:id="rId1"/>
    <sheet name="İndekslər" sheetId="10" r:id="rId2"/>
  </sheets>
  <definedNames>
    <definedName name="_xlnm._FilterDatabase" localSheetId="1" hidden="1">İndekslər!$A$2:$AE$326</definedName>
    <definedName name="_xlnm._FilterDatabase" localSheetId="0" hidden="1">'Nəticələr dioqramla'!$A$2:$AE$3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3" i="10" l="1"/>
  <c r="BA3" i="10"/>
  <c r="BA3" i="11" l="1"/>
  <c r="AZ3" i="11"/>
  <c r="AY3" i="11"/>
  <c r="AX3" i="11"/>
  <c r="AW3" i="11"/>
  <c r="AV3" i="11"/>
  <c r="AU3" i="11"/>
  <c r="AT3" i="11"/>
  <c r="AS3" i="11"/>
  <c r="AQ3" i="11"/>
  <c r="AP3" i="11"/>
  <c r="AO3" i="11"/>
  <c r="AN3" i="11"/>
  <c r="AM3" i="11"/>
  <c r="AL3" i="11"/>
  <c r="AK3" i="11"/>
  <c r="AJ3" i="11"/>
  <c r="AI3" i="11"/>
  <c r="AG3" i="11"/>
  <c r="AF3" i="11"/>
  <c r="AE3" i="11"/>
  <c r="AD3" i="11"/>
  <c r="AC3" i="11"/>
  <c r="AB3" i="11"/>
  <c r="AA3" i="11"/>
  <c r="Z3" i="11"/>
  <c r="Y3" i="11"/>
  <c r="W3" i="11"/>
  <c r="V3" i="11"/>
  <c r="U3" i="11"/>
  <c r="T3" i="11"/>
  <c r="S3" i="11"/>
  <c r="R3" i="11"/>
  <c r="Q3" i="11"/>
  <c r="P3" i="11"/>
  <c r="O3" i="11"/>
  <c r="M3" i="11"/>
  <c r="L3" i="11"/>
  <c r="K3" i="11"/>
  <c r="J3" i="11"/>
  <c r="I3" i="11"/>
  <c r="H3" i="11"/>
  <c r="G3" i="11" l="1"/>
  <c r="F3" i="11"/>
  <c r="E3" i="11"/>
  <c r="D3" i="11"/>
</calcChain>
</file>

<file path=xl/sharedStrings.xml><?xml version="1.0" encoding="utf-8"?>
<sst xmlns="http://schemas.openxmlformats.org/spreadsheetml/2006/main" count="1241" uniqueCount="68">
  <si>
    <t>№</t>
  </si>
  <si>
    <t>Tədris dili</t>
  </si>
  <si>
    <t>Riyaziyyat</t>
  </si>
  <si>
    <t>Şagird sayı</t>
  </si>
  <si>
    <t>Orta bal 
3 fənn üzrə</t>
  </si>
  <si>
    <t>Orta faiz 
3 fənn üzrə</t>
  </si>
  <si>
    <t>Azərbaycan 
dili</t>
  </si>
  <si>
    <t>Orta nəticələr</t>
  </si>
  <si>
    <t>Rayon</t>
  </si>
  <si>
    <t>Ümumi təhsil müəssisəsinin indeksi</t>
  </si>
  <si>
    <t>Növ</t>
  </si>
  <si>
    <t>Sabunçu</t>
  </si>
  <si>
    <t>tam orta məktəb</t>
  </si>
  <si>
    <t>məktəb-lisey</t>
  </si>
  <si>
    <t/>
  </si>
  <si>
    <t>Binəqədi</t>
  </si>
  <si>
    <t>Nərimanov</t>
  </si>
  <si>
    <t>lisey</t>
  </si>
  <si>
    <t>MLK</t>
  </si>
  <si>
    <t>Nəsimi</t>
  </si>
  <si>
    <t>THL</t>
  </si>
  <si>
    <t>Nizami</t>
  </si>
  <si>
    <t>Pirallahı</t>
  </si>
  <si>
    <t>Qaradağ</t>
  </si>
  <si>
    <t>Səbail</t>
  </si>
  <si>
    <t>klassik gimnaziya</t>
  </si>
  <si>
    <t>189-190</t>
  </si>
  <si>
    <t>Suraxanı</t>
  </si>
  <si>
    <t>Xətai</t>
  </si>
  <si>
    <t>Xəzər</t>
  </si>
  <si>
    <t>ümumi orta məktəb</t>
  </si>
  <si>
    <t>Yasamal</t>
  </si>
  <si>
    <t>UGİM</t>
  </si>
  <si>
    <t>XƏQTOM</t>
  </si>
  <si>
    <t>XTM</t>
  </si>
  <si>
    <t>ETTOM</t>
  </si>
  <si>
    <t>TN</t>
  </si>
  <si>
    <t>2018-2019-cu tədris ili</t>
  </si>
  <si>
    <t>2019-2020-ci tədris ili</t>
  </si>
  <si>
    <t>2020-2021-ci tədris ili</t>
  </si>
  <si>
    <t>Orta bal 
2 fənn üzrə</t>
  </si>
  <si>
    <t>Orta faiz 
2 fənn üzrə</t>
  </si>
  <si>
    <t>Dinamika</t>
  </si>
  <si>
    <t>BŞTİ üzrə reytinq</t>
  </si>
  <si>
    <t>6u</t>
  </si>
  <si>
    <t>115x</t>
  </si>
  <si>
    <t>11x</t>
  </si>
  <si>
    <t>82x</t>
  </si>
  <si>
    <t>5u</t>
  </si>
  <si>
    <t>268x</t>
  </si>
  <si>
    <t>2x</t>
  </si>
  <si>
    <t>8u</t>
  </si>
  <si>
    <t>3x</t>
  </si>
  <si>
    <t>7u</t>
  </si>
  <si>
    <t>219x</t>
  </si>
  <si>
    <t>103x</t>
  </si>
  <si>
    <t>4u</t>
  </si>
  <si>
    <t>20x</t>
  </si>
  <si>
    <t>Bakı</t>
  </si>
  <si>
    <t>BŞTİ</t>
  </si>
  <si>
    <t>Bütün</t>
  </si>
  <si>
    <t>İndeks</t>
  </si>
  <si>
    <t>Təhlili görmək üçün yaşıl xanaya indeksi daxil edin</t>
  </si>
  <si>
    <t>Xarici dil</t>
  </si>
  <si>
    <t>Azərbaycan dili</t>
  </si>
  <si>
    <t>2021-2022-ci tədris ili</t>
  </si>
  <si>
    <t>2017-2018-ci tədris ili</t>
  </si>
  <si>
    <t>2019-2020-cu tədris 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</si>
</sst>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10"/>
      <color theme="1"/>
      <name val="Palatino Linotype"/>
      <family val="1"/>
    </font>
    <font>
      <sz val="8"/>
      <color theme="1"/>
      <name val="Palatino Linotype"/>
      <family val="1"/>
    </font>
    <font>
      <b/>
      <sz val="12"/>
      <color theme="1"/>
      <name val="Palatino Linotype"/>
      <family val="1"/>
    </font>
    <font>
      <b/>
      <sz val="12"/>
      <color theme="1"/>
      <name val="Calibri"/>
      <family val="2"/>
      <scheme val="minor"/>
    </font>
    <font>
      <sz val="14"/>
      <color theme="1"/>
      <name val="Palatino Linotype"/>
      <family val="1"/>
    </font>
    <font>
      <sz val="16"/>
      <color theme="1"/>
      <name val="Palatino Linotype"/>
      <family val="1"/>
    </font>
    <font>
      <sz val="18"/>
      <color theme="1"/>
      <name val="Palatino Linotype"/>
      <family val="1"/>
    </font>
    <font>
      <b/>
      <sz val="24"/>
      <color theme="0"/>
      <name val="Palatino Linotype"/>
      <family val="1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0" fillId="0" borderId="0" xfId="0" applyProtection="1"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2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2" fontId="1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1" fontId="1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1" fillId="3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Fill="1" applyBorder="1" applyProtection="1">
      <protection hidden="1"/>
    </xf>
    <xf numFmtId="0" fontId="1" fillId="3" borderId="2" xfId="0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Border="1" applyProtection="1">
      <protection hidden="1"/>
    </xf>
    <xf numFmtId="0" fontId="1" fillId="3" borderId="5" xfId="0" applyFont="1" applyFill="1" applyBorder="1" applyAlignment="1" applyProtection="1">
      <alignment horizontal="center" vertical="center" wrapText="1"/>
      <protection hidden="1"/>
    </xf>
    <xf numFmtId="0" fontId="6" fillId="6" borderId="1" xfId="0" applyFont="1" applyFill="1" applyBorder="1" applyAlignment="1" applyProtection="1">
      <alignment horizontal="center" vertical="center" wrapText="1"/>
      <protection hidden="1"/>
    </xf>
    <xf numFmtId="1" fontId="6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6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6" fillId="6" borderId="0" xfId="0" applyFont="1" applyFill="1" applyBorder="1" applyAlignment="1" applyProtection="1">
      <alignment horizontal="center" vertical="center" wrapText="1"/>
      <protection hidden="1"/>
    </xf>
    <xf numFmtId="2" fontId="6" fillId="6" borderId="5" xfId="0" applyNumberFormat="1" applyFont="1" applyFill="1" applyBorder="1" applyAlignment="1" applyProtection="1">
      <alignment horizontal="center" vertical="center" wrapText="1"/>
      <protection hidden="1"/>
    </xf>
    <xf numFmtId="1" fontId="6" fillId="6" borderId="2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Protection="1">
      <protection hidden="1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8" fillId="4" borderId="6" xfId="0" applyFont="1" applyFill="1" applyBorder="1" applyAlignment="1" applyProtection="1">
      <alignment horizontal="center" vertical="center" wrapText="1"/>
      <protection hidden="1"/>
    </xf>
    <xf numFmtId="0" fontId="8" fillId="4" borderId="7" xfId="0" applyFont="1" applyFill="1" applyBorder="1" applyAlignment="1" applyProtection="1">
      <alignment horizontal="center" vertical="center" wrapText="1"/>
      <protection hidden="1"/>
    </xf>
    <xf numFmtId="0" fontId="8" fillId="4" borderId="8" xfId="0" applyFont="1" applyFill="1" applyBorder="1" applyAlignment="1" applyProtection="1">
      <alignment horizontal="center" vertical="center" wrapText="1"/>
      <protection hidden="1"/>
    </xf>
    <xf numFmtId="0" fontId="8" fillId="4" borderId="9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9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5050"/>
      <color rgb="FFFF99CC"/>
      <color rgb="FFFF00FF"/>
      <color rgb="FF76693A"/>
      <color rgb="FF9585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Şagird</a:t>
            </a:r>
            <a:r>
              <a:rPr lang="az-Latn-AZ" sz="2400" b="1" baseline="0"/>
              <a:t> sayı</a:t>
            </a:r>
            <a:endParaRPr 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00B0F0">
                    <a:shade val="30000"/>
                    <a:satMod val="115000"/>
                  </a:srgbClr>
                </a:gs>
                <a:gs pos="50000">
                  <a:srgbClr val="00B0F0">
                    <a:shade val="67500"/>
                    <a:satMod val="115000"/>
                  </a:srgbClr>
                </a:gs>
                <a:gs pos="100000">
                  <a:srgbClr val="00B0F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dioqramla'!$E$1:$E$2,'Nəticələr dioqramla'!$O$1:$O$2,'Nəticələr dioqramla'!$Y$1:$Y$2,'Nəticələr dioqramla'!$AI$1:$AI$2,'Nəticələr dioqramla'!$AS$1:$AS$2)</c:f>
              <c:multiLvlStrCache>
                <c:ptCount val="5"/>
                <c:lvl>
                  <c:pt idx="0">
                    <c:v>Şagird sayı</c:v>
                  </c:pt>
                  <c:pt idx="1">
                    <c:v>Şagird sayı</c:v>
                  </c:pt>
                  <c:pt idx="2">
                    <c:v>Şagird sayı</c:v>
                  </c:pt>
                  <c:pt idx="3">
                    <c:v>Şagird sayı</c:v>
                  </c:pt>
                  <c:pt idx="4">
                    <c:v>Şagird sayı</c:v>
                  </c:pt>
                </c:lvl>
                <c:lvl>
                  <c:pt idx="0">
                    <c:v>2017-2018-ci tədris ili</c:v>
                  </c:pt>
                  <c:pt idx="1">
                    <c:v>2018-2019-cu tədris ili</c:v>
                  </c:pt>
                  <c:pt idx="2">
                    <c:v>2019-2020-ci tədris ili</c:v>
                  </c:pt>
                  <c:pt idx="3">
                    <c:v>2020-2021-ci tədris ili</c:v>
                  </c:pt>
                  <c:pt idx="4">
                    <c:v>2021-2022-ci tədris ili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dioqramla'!$E$3,'Nəticələr dioqramla'!$O$3,'Nəticələr dioqramla'!$Y$3,'Nəticələr dioqramla'!$AI$3,'Nəticələr dioqramla'!$AS$3)</c:f>
              <c:numCache>
                <c:formatCode>0.00</c:formatCode>
                <c:ptCount val="5"/>
                <c:pt idx="0" formatCode="0">
                  <c:v>131</c:v>
                </c:pt>
                <c:pt idx="1" formatCode="0">
                  <c:v>130</c:v>
                </c:pt>
                <c:pt idx="2" formatCode="0">
                  <c:v>134</c:v>
                </c:pt>
                <c:pt idx="3" formatCode="0">
                  <c:v>142</c:v>
                </c:pt>
                <c:pt idx="4" formatCode="0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A-4245-85A2-F6BF3855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Tədris</a:t>
            </a:r>
            <a:r>
              <a:rPr lang="az-Latn-AZ" sz="2400" b="1" baseline="0"/>
              <a:t> dili</a:t>
            </a:r>
            <a:endParaRPr 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92D050">
                    <a:shade val="30000"/>
                    <a:satMod val="115000"/>
                  </a:srgbClr>
                </a:gs>
                <a:gs pos="50000">
                  <a:srgbClr val="92D050">
                    <a:shade val="67500"/>
                    <a:satMod val="115000"/>
                  </a:srgbClr>
                </a:gs>
                <a:gs pos="100000">
                  <a:srgbClr val="92D05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dioqramla'!$F$1:$F$2,'Nəticələr dioqramla'!$P$1:$P$2,'Nəticələr dioqramla'!$Z$1:$Z$2,'Nəticələr dioqramla'!$AJ$1:$AJ$2,'Nəticələr dioqramla'!$AT$1:$AT$2)</c:f>
              <c:multiLvlStrCache>
                <c:ptCount val="5"/>
                <c:lvl>
                  <c:pt idx="0">
                    <c:v>Tədris dili</c:v>
                  </c:pt>
                  <c:pt idx="1">
                    <c:v>Tədris dili</c:v>
                  </c:pt>
                  <c:pt idx="2">
                    <c:v>Tədris dili</c:v>
                  </c:pt>
                  <c:pt idx="3">
                    <c:v>Tədris dili</c:v>
                  </c:pt>
                  <c:pt idx="4">
                    <c:v>Tədris dili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dioqramla'!$F$3,'Nəticələr dioqramla'!$P$3,'Nəticələr dioqramla'!$Z$3,'Nəticələr dioqramla'!$AJ$3,'Nəticələr dioqramla'!$AT$3)</c:f>
              <c:numCache>
                <c:formatCode>0.00</c:formatCode>
                <c:ptCount val="5"/>
                <c:pt idx="0">
                  <c:v>51.365648854961833</c:v>
                </c:pt>
                <c:pt idx="1">
                  <c:v>53.676923076923075</c:v>
                </c:pt>
                <c:pt idx="2">
                  <c:v>52.809160305343511</c:v>
                </c:pt>
                <c:pt idx="3">
                  <c:v>43.802816901408448</c:v>
                </c:pt>
                <c:pt idx="4">
                  <c:v>54.82109375000001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2-4FD5-8085-5DBABCB8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  <c:max val="100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Riyaziyyat</a:t>
            </a:r>
            <a:endParaRPr 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44546A">
                    <a:lumMod val="60000"/>
                    <a:lumOff val="40000"/>
                    <a:shade val="30000"/>
                    <a:satMod val="115000"/>
                  </a:srgbClr>
                </a:gs>
                <a:gs pos="50000">
                  <a:srgbClr val="44546A">
                    <a:lumMod val="60000"/>
                    <a:lumOff val="40000"/>
                    <a:shade val="67500"/>
                    <a:satMod val="115000"/>
                  </a:srgbClr>
                </a:gs>
                <a:gs pos="100000">
                  <a:srgbClr val="44546A">
                    <a:lumMod val="60000"/>
                    <a:lumOff val="40000"/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dioqramla'!$G$1:$G$2,'Nəticələr dioqramla'!$Q$1:$Q$2,'Nəticələr dioqramla'!$AA$1:$AA$2,'Nəticələr dioqramla'!$AK$1:$AK$2,'Nəticələr dioqramla'!$AU$1:$AU$2)</c:f>
              <c:multiLvlStrCache>
                <c:ptCount val="5"/>
                <c:lvl>
                  <c:pt idx="0">
                    <c:v>Riyaziyyat</c:v>
                  </c:pt>
                  <c:pt idx="1">
                    <c:v>Riyaziyyat</c:v>
                  </c:pt>
                  <c:pt idx="2">
                    <c:v>Riyaziyyat</c:v>
                  </c:pt>
                  <c:pt idx="3">
                    <c:v>Riyaziyyat</c:v>
                  </c:pt>
                  <c:pt idx="4">
                    <c:v>Riyaziyyat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dioqramla'!$G$3,'Nəticələr dioqramla'!$Q$3,'Nəticələr dioqramla'!$AA$3,'Nəticələr dioqramla'!$AK$3,'Nəticələr dioqramla'!$AU$3)</c:f>
              <c:numCache>
                <c:formatCode>0.00</c:formatCode>
                <c:ptCount val="5"/>
                <c:pt idx="0">
                  <c:v>39.020610687022909</c:v>
                </c:pt>
                <c:pt idx="1">
                  <c:v>39.276923076923076</c:v>
                </c:pt>
                <c:pt idx="2">
                  <c:v>49.969465648854964</c:v>
                </c:pt>
                <c:pt idx="3">
                  <c:v>39.014084507042256</c:v>
                </c:pt>
                <c:pt idx="4">
                  <c:v>32.07500000000001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9-4230-A1E9-A774FE93E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  <c:max val="100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Xarici</a:t>
            </a:r>
            <a:r>
              <a:rPr lang="az-Latn-AZ" sz="2400" b="1" baseline="0"/>
              <a:t> dil</a:t>
            </a:r>
            <a:endParaRPr 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FF99CC">
                    <a:shade val="30000"/>
                    <a:satMod val="115000"/>
                  </a:srgbClr>
                </a:gs>
                <a:gs pos="50000">
                  <a:srgbClr val="FF99CC">
                    <a:shade val="67500"/>
                    <a:satMod val="115000"/>
                  </a:srgbClr>
                </a:gs>
                <a:gs pos="100000">
                  <a:srgbClr val="FF99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dioqramla'!$H$1:$H$2,'Nəticələr dioqramla'!$R$1:$R$2,'Nəticələr dioqramla'!$AB$1:$AB$2,'Nəticələr dioqramla'!$AL$1:$AL$2,'Nəticələr dioqramla'!$AV$1:$AV$2)</c:f>
              <c:multiLvlStrCache>
                <c:ptCount val="5"/>
                <c:lvl>
                  <c:pt idx="0">
                    <c:v>Xarici dil</c:v>
                  </c:pt>
                  <c:pt idx="1">
                    <c:v>Xarici dil</c:v>
                  </c:pt>
                  <c:pt idx="2">
                    <c:v>Xarici dil</c:v>
                  </c:pt>
                  <c:pt idx="3">
                    <c:v>Xarici dil</c:v>
                  </c:pt>
                  <c:pt idx="4">
                    <c:v>Xarici dil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dioqramla'!$H$3,'Nəticələr dioqramla'!$R$3,'Nəticələr dioqramla'!$AB$3,'Nəticələr dioqramla'!$AL$3,'Nəticələr dioqramla'!$AV$3)</c:f>
              <c:numCache>
                <c:formatCode>0.00</c:formatCode>
                <c:ptCount val="5"/>
                <c:pt idx="0">
                  <c:v>0</c:v>
                </c:pt>
                <c:pt idx="1">
                  <c:v>35.700000000000003</c:v>
                </c:pt>
                <c:pt idx="2">
                  <c:v>36.709923664122137</c:v>
                </c:pt>
                <c:pt idx="3">
                  <c:v>32.2112676056338</c:v>
                </c:pt>
                <c:pt idx="4">
                  <c:v>36.485937499999991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1-4C22-8248-279305132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  <c:max val="100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Azərbaycan dili </a:t>
            </a:r>
            <a:r>
              <a:rPr lang="az-Latn-AZ" sz="2000" b="0" i="1"/>
              <a:t>(Rus bölmələri üzrə)</a:t>
            </a:r>
            <a:endParaRPr lang="en-US" sz="2000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5B9BD5">
                    <a:lumMod val="60000"/>
                    <a:lumOff val="40000"/>
                    <a:shade val="30000"/>
                    <a:satMod val="115000"/>
                  </a:srgbClr>
                </a:gs>
                <a:gs pos="50000">
                  <a:srgbClr val="5B9BD5">
                    <a:lumMod val="60000"/>
                    <a:lumOff val="40000"/>
                    <a:shade val="67500"/>
                    <a:satMod val="115000"/>
                  </a:srgbClr>
                </a:gs>
                <a:gs pos="100000">
                  <a:srgbClr val="5B9BD5">
                    <a:lumMod val="60000"/>
                    <a:lumOff val="40000"/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dioqramla'!$I$1:$I$2,'Nəticələr dioqramla'!$S$1:$S$2,'Nəticələr dioqramla'!$AC$1:$AC$2,'Nəticələr dioqramla'!$AM$1:$AM$2,'Nəticələr dioqramla'!$AW$1:$AW$2)</c:f>
              <c:multiLvlStrCache>
                <c:ptCount val="5"/>
                <c:lvl>
                  <c:pt idx="0">
                    <c:v>Azərbaycan dili</c:v>
                  </c:pt>
                  <c:pt idx="1">
                    <c:v>Azərbaycan dili</c:v>
                  </c:pt>
                  <c:pt idx="2">
                    <c:v>Azərbaycan dili</c:v>
                  </c:pt>
                  <c:pt idx="3">
                    <c:v>Azərbaycan dili</c:v>
                  </c:pt>
                  <c:pt idx="4">
                    <c:v>Azərbaycan 
dili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dioqramla'!$I$3,'Nəticələr dioqramla'!$S$3,'Nəticələr dioqramla'!$AC$3,'Nəticələr dioqramla'!$AM$3,'Nəticələr dioqramla'!$AW$3)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7-4751-A773-DEE403391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  <c:max val="100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Orta</a:t>
            </a:r>
            <a:r>
              <a:rPr lang="az-Latn-AZ" sz="2400" b="1" baseline="0"/>
              <a:t> faiz</a:t>
            </a:r>
          </a:p>
          <a:p>
            <a:pPr>
              <a:defRPr sz="2400" b="1"/>
            </a:pPr>
            <a:r>
              <a:rPr lang="az-Latn-AZ" sz="2400" b="1" baseline="0"/>
              <a:t> </a:t>
            </a:r>
            <a:r>
              <a:rPr lang="az-Latn-AZ" sz="1800" b="0" i="1" baseline="0"/>
              <a:t>(Rus bölmələrində Azərbaycan dili istisna olmaqla)</a:t>
            </a:r>
            <a:endParaRPr lang="en-US" sz="2400" b="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ysClr val="window" lastClr="FFFFFF">
                    <a:lumMod val="75000"/>
                    <a:shade val="30000"/>
                    <a:satMod val="115000"/>
                  </a:sysClr>
                </a:gs>
                <a:gs pos="50000">
                  <a:sysClr val="window" lastClr="FFFFFF">
                    <a:lumMod val="75000"/>
                    <a:shade val="67500"/>
                    <a:satMod val="115000"/>
                  </a:sysClr>
                </a:gs>
                <a:gs pos="100000">
                  <a:sysClr val="window" lastClr="FFFFFF">
                    <a:lumMod val="75000"/>
                    <a:shade val="100000"/>
                    <a:satMod val="115000"/>
                  </a:sys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dioqramla'!$K$1:$K$2,'Nəticələr dioqramla'!$U$1:$U$2,'Nəticələr dioqramla'!$AE$1:$AE$2,'Nəticələr dioqramla'!$AO$1:$AO$2,'Nəticələr dioqramla'!$AY$1:$AY$2)</c:f>
              <c:multiLvlStrCache>
                <c:ptCount val="5"/>
                <c:lvl>
                  <c:pt idx="0">
                    <c:v>Orta faiz 
2 fənn üzrə</c:v>
                  </c:pt>
                  <c:pt idx="1">
                    <c:v>Orta faiz 
2 fənn üzrə</c:v>
                  </c:pt>
                  <c:pt idx="2">
                    <c:v>Orta faiz 
3 fənn üzrə</c:v>
                  </c:pt>
                  <c:pt idx="3">
                    <c:v>Orta faiz 
3 fənn üzrə</c:v>
                  </c:pt>
                  <c:pt idx="4">
                    <c:v>Orta faiz 
3 fənn üzrə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dioqramla'!$K$3,'Nəticələr dioqramla'!$U$3,'Nəticələr dioqramla'!$AE$3,'Nəticələr dioqramla'!$AO$3,'Nəticələr dioqramla'!$AY$3)</c:f>
              <c:numCache>
                <c:formatCode>0.00</c:formatCode>
                <c:ptCount val="5"/>
                <c:pt idx="0">
                  <c:v>45.193129770992371</c:v>
                </c:pt>
                <c:pt idx="1">
                  <c:v>46.476923076923072</c:v>
                </c:pt>
                <c:pt idx="2">
                  <c:v>46.496183206106871</c:v>
                </c:pt>
                <c:pt idx="3">
                  <c:v>38.34272300469484</c:v>
                </c:pt>
                <c:pt idx="4">
                  <c:v>41.127343750000001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9-4953-A0ED-B5CF3227F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  <c:max val="100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Orta</a:t>
            </a:r>
            <a:r>
              <a:rPr lang="az-Latn-AZ" sz="2400" b="1" baseline="0"/>
              <a:t> faiz üzrə dinamika</a:t>
            </a:r>
            <a:endParaRPr 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FF5050">
                    <a:shade val="30000"/>
                    <a:satMod val="115000"/>
                  </a:srgbClr>
                </a:gs>
                <a:gs pos="50000">
                  <a:srgbClr val="FF5050">
                    <a:shade val="67500"/>
                    <a:satMod val="115000"/>
                  </a:srgbClr>
                </a:gs>
                <a:gs pos="100000">
                  <a:srgbClr val="FF505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dioqramla'!$M$1:$M$2,'Nəticələr dioqramla'!$W$1:$W$2,'Nəticələr dioqramla'!$AG$1:$AG$2,'Nəticələr dioqramla'!$AQ$1:$AQ$2,'Nəticələr dioqramla'!$BA$1:$BA$2)</c:f>
              <c:multiLvlStrCache>
                <c:ptCount val="5"/>
                <c:lvl>
                  <c:pt idx="0">
                    <c:v>Dinamika</c:v>
                  </c:pt>
                  <c:pt idx="1">
                    <c:v>Dinamika</c:v>
                  </c:pt>
                  <c:pt idx="2">
                    <c:v>Dinamika</c:v>
                  </c:pt>
                  <c:pt idx="3">
                    <c:v>Dinamika</c:v>
                  </c:pt>
                  <c:pt idx="4">
                    <c:v>Dinamika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dioqramla'!$M$3,'Nəticələr dioqramla'!$W$3,'Nəticələr dioqramla'!$AG$3,'Nəticələr dioqramla'!$AQ$3,'Nəticələr dioqramla'!$BA$3)</c:f>
              <c:numCache>
                <c:formatCode>0.00</c:formatCode>
                <c:ptCount val="5"/>
                <c:pt idx="0">
                  <c:v>-0.78187022900762315</c:v>
                </c:pt>
                <c:pt idx="1">
                  <c:v>1.2837933059307005</c:v>
                </c:pt>
                <c:pt idx="2">
                  <c:v>1.9260129183798824E-2</c:v>
                </c:pt>
                <c:pt idx="3">
                  <c:v>-8.153460201412031</c:v>
                </c:pt>
                <c:pt idx="4">
                  <c:v>2.7846207453051619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E-4AFE-83A8-7C2E14BE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0"/>
        <c:lblAlgn val="ctr"/>
        <c:lblOffset val="100"/>
        <c:noMultiLvlLbl val="0"/>
      </c:catAx>
      <c:valAx>
        <c:axId val="524614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REYTİNQ</a:t>
            </a:r>
            <a:endParaRPr 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7030A0">
                    <a:shade val="30000"/>
                    <a:satMod val="115000"/>
                  </a:srgbClr>
                </a:gs>
                <a:gs pos="50000">
                  <a:srgbClr val="7030A0">
                    <a:shade val="67500"/>
                    <a:satMod val="115000"/>
                  </a:srgbClr>
                </a:gs>
                <a:gs pos="100000">
                  <a:srgbClr val="7030A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('Nəticələr dioqramla'!$L$1:$L$2,'Nəticələr dioqramla'!$V$1:$V$2,'Nəticələr dioqramla'!$AF$1:$AF$2,'Nəticələr dioqramla'!$AP$1:$AP$2,'Nəticələr dioqramla'!$AZ$1:$AZ$2)</c:f>
              <c:multiLvlStrCache>
                <c:ptCount val="5"/>
                <c:lvl>
                  <c:pt idx="0">
                    <c:v>BŞTİ üzrə reytinq</c:v>
                  </c:pt>
                  <c:pt idx="1">
                    <c:v>BŞTİ üzrə reytinq</c:v>
                  </c:pt>
                  <c:pt idx="2">
                    <c:v>BŞTİ üzrə reytinq</c:v>
                  </c:pt>
                  <c:pt idx="3">
                    <c:v>BŞTİ üzrə reytinq</c:v>
                  </c:pt>
                  <c:pt idx="4">
                    <c:v>BŞTİ üzrə reytinq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dioqramla'!$L$3,'Nəticələr dioqramla'!$V$3,'Nəticələr dioqramla'!$AF$3,'Nəticələr dioqramla'!$AP$3,'Nəticələr dioqramla'!$AZ$3)</c:f>
              <c:numCache>
                <c:formatCode>0.00</c:formatCode>
                <c:ptCount val="5"/>
                <c:pt idx="0" formatCode="0">
                  <c:v>172</c:v>
                </c:pt>
                <c:pt idx="1" formatCode="0">
                  <c:v>153</c:v>
                </c:pt>
                <c:pt idx="2" formatCode="0">
                  <c:v>175</c:v>
                </c:pt>
                <c:pt idx="3" formatCode="0">
                  <c:v>224</c:v>
                </c:pt>
                <c:pt idx="4" formatCode="0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2-42E0-833D-25E271D57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'Nəticələr dioqramla'!$E$1:$BA$2</c:f>
              <c:multiLvlStrCache>
                <c:ptCount val="49"/>
                <c:lvl>
                  <c:pt idx="0">
                    <c:v>Şagird sayı</c:v>
                  </c:pt>
                  <c:pt idx="1">
                    <c:v>Tədris dili</c:v>
                  </c:pt>
                  <c:pt idx="2">
                    <c:v>Riyaziyyat</c:v>
                  </c:pt>
                  <c:pt idx="3">
                    <c:v>Xarici dil</c:v>
                  </c:pt>
                  <c:pt idx="4">
                    <c:v>Azərbaycan dili</c:v>
                  </c:pt>
                  <c:pt idx="5">
                    <c:v>Orta bal 
2 fənn üzrə</c:v>
                  </c:pt>
                  <c:pt idx="6">
                    <c:v>Orta faiz 
2 fənn üzrə</c:v>
                  </c:pt>
                  <c:pt idx="7">
                    <c:v>BŞTİ üzrə reytinq</c:v>
                  </c:pt>
                  <c:pt idx="8">
                    <c:v>Dinamika</c:v>
                  </c:pt>
                  <c:pt idx="10">
                    <c:v>Şagird sayı</c:v>
                  </c:pt>
                  <c:pt idx="11">
                    <c:v>Tədris dili</c:v>
                  </c:pt>
                  <c:pt idx="12">
                    <c:v>Riyaziyyat</c:v>
                  </c:pt>
                  <c:pt idx="13">
                    <c:v>Xarici dil</c:v>
                  </c:pt>
                  <c:pt idx="14">
                    <c:v>Azərbaycan dili</c:v>
                  </c:pt>
                  <c:pt idx="15">
                    <c:v>Orta bal 
2 fənn üzrə</c:v>
                  </c:pt>
                  <c:pt idx="16">
                    <c:v>Orta faiz 
2 fənn üzrə</c:v>
                  </c:pt>
                  <c:pt idx="17">
                    <c:v>BŞTİ üzrə reytinq</c:v>
                  </c:pt>
                  <c:pt idx="18">
                    <c:v>Dinamika</c:v>
                  </c:pt>
                  <c:pt idx="20">
                    <c:v>Şagird sayı</c:v>
                  </c:pt>
                  <c:pt idx="21">
                    <c:v>Tədris dili</c:v>
                  </c:pt>
                  <c:pt idx="22">
                    <c:v>Riyaziyyat</c:v>
                  </c:pt>
                  <c:pt idx="23">
                    <c:v>Xarici dil</c:v>
                  </c:pt>
                  <c:pt idx="24">
                    <c:v>Azərbaycan dili</c:v>
                  </c:pt>
                  <c:pt idx="25">
                    <c:v>Orta bal 
3 fənn üzrə</c:v>
                  </c:pt>
                  <c:pt idx="26">
                    <c:v>Orta faiz 
3 fənn üzrə</c:v>
                  </c:pt>
                  <c:pt idx="27">
                    <c:v>BŞTİ üzrə reytinq</c:v>
                  </c:pt>
                  <c:pt idx="28">
                    <c:v>Dinamika</c:v>
                  </c:pt>
                  <c:pt idx="30">
                    <c:v>Şagird sayı</c:v>
                  </c:pt>
                  <c:pt idx="31">
                    <c:v>Tədris dili</c:v>
                  </c:pt>
                  <c:pt idx="32">
                    <c:v>Riyaziyyat</c:v>
                  </c:pt>
                  <c:pt idx="33">
                    <c:v>Xarici dil</c:v>
                  </c:pt>
                  <c:pt idx="34">
                    <c:v>Azərbaycan dili</c:v>
                  </c:pt>
                  <c:pt idx="35">
                    <c:v>Orta bal 
3 fənn üzrə</c:v>
                  </c:pt>
                  <c:pt idx="36">
                    <c:v>Orta faiz 
3 fənn üzrə</c:v>
                  </c:pt>
                  <c:pt idx="37">
                    <c:v>BŞTİ üzrə reytinq</c:v>
                  </c:pt>
                  <c:pt idx="38">
                    <c:v>Dinamika</c:v>
                  </c:pt>
                  <c:pt idx="40">
                    <c:v>Şagird sayı</c:v>
                  </c:pt>
                  <c:pt idx="41">
                    <c:v>Tədris dili</c:v>
                  </c:pt>
                  <c:pt idx="42">
                    <c:v>Riyaziyyat</c:v>
                  </c:pt>
                  <c:pt idx="43">
                    <c:v>Xarici dil</c:v>
                  </c:pt>
                  <c:pt idx="44">
                    <c:v>Azərbaycan 
dili</c:v>
                  </c:pt>
                  <c:pt idx="45">
                    <c:v>Orta bal 
3 fənn üzrə</c:v>
                  </c:pt>
                  <c:pt idx="46">
                    <c:v>Orta faiz 
3 fənn üzrə</c:v>
                  </c:pt>
                  <c:pt idx="47">
                    <c:v>BŞTİ üzrə reytinq</c:v>
                  </c:pt>
                  <c:pt idx="48">
                    <c:v>Dinamika</c:v>
                  </c:pt>
                </c:lvl>
                <c:lvl>
                  <c:pt idx="0">
                    <c:v>2017-2018-ci tədris ili</c:v>
                  </c:pt>
                  <c:pt idx="10">
                    <c:v>2018-2019-cu tədris ili</c:v>
                  </c:pt>
                  <c:pt idx="20">
                    <c:v>2019-2020-ci tədris ili</c:v>
                  </c:pt>
                  <c:pt idx="30">
                    <c:v>2020-2021-ci tədris ili</c:v>
                  </c:pt>
                  <c:pt idx="40">
                    <c:v>2021-2022-ci tədris ili</c:v>
                  </c:pt>
                </c:lvl>
              </c:multiLvlStrCache>
            </c:multiLvlStrRef>
          </c:cat>
          <c:val>
            <c:numRef>
              <c:f>'Nəticələr dioqramla'!$E$3:$BA$3</c:f>
              <c:numCache>
                <c:formatCode>0.00</c:formatCode>
                <c:ptCount val="49"/>
                <c:pt idx="0" formatCode="0">
                  <c:v>131</c:v>
                </c:pt>
                <c:pt idx="1">
                  <c:v>51.365648854961833</c:v>
                </c:pt>
                <c:pt idx="2">
                  <c:v>39.020610687022909</c:v>
                </c:pt>
                <c:pt idx="3">
                  <c:v>0</c:v>
                </c:pt>
                <c:pt idx="4">
                  <c:v>0</c:v>
                </c:pt>
                <c:pt idx="5">
                  <c:v>90.386259541984742</c:v>
                </c:pt>
                <c:pt idx="6">
                  <c:v>45.193129770992371</c:v>
                </c:pt>
                <c:pt idx="7" formatCode="0">
                  <c:v>172</c:v>
                </c:pt>
                <c:pt idx="8">
                  <c:v>-0.78187022900762315</c:v>
                </c:pt>
                <c:pt idx="10" formatCode="0">
                  <c:v>130</c:v>
                </c:pt>
                <c:pt idx="11">
                  <c:v>53.676923076923075</c:v>
                </c:pt>
                <c:pt idx="12">
                  <c:v>39.276923076923076</c:v>
                </c:pt>
                <c:pt idx="13">
                  <c:v>35.700000000000003</c:v>
                </c:pt>
                <c:pt idx="14">
                  <c:v>0</c:v>
                </c:pt>
                <c:pt idx="15">
                  <c:v>92.953846153846143</c:v>
                </c:pt>
                <c:pt idx="16">
                  <c:v>46.476923076923072</c:v>
                </c:pt>
                <c:pt idx="17" formatCode="0">
                  <c:v>153</c:v>
                </c:pt>
                <c:pt idx="18">
                  <c:v>1.2837933059307005</c:v>
                </c:pt>
                <c:pt idx="20" formatCode="0">
                  <c:v>134</c:v>
                </c:pt>
                <c:pt idx="21">
                  <c:v>52.809160305343511</c:v>
                </c:pt>
                <c:pt idx="22">
                  <c:v>49.969465648854964</c:v>
                </c:pt>
                <c:pt idx="23">
                  <c:v>36.709923664122137</c:v>
                </c:pt>
                <c:pt idx="24">
                  <c:v>0</c:v>
                </c:pt>
                <c:pt idx="25">
                  <c:v>139.4885496183206</c:v>
                </c:pt>
                <c:pt idx="26">
                  <c:v>46.496183206106871</c:v>
                </c:pt>
                <c:pt idx="27" formatCode="0">
                  <c:v>175</c:v>
                </c:pt>
                <c:pt idx="28">
                  <c:v>1.9260129183798824E-2</c:v>
                </c:pt>
                <c:pt idx="30" formatCode="0">
                  <c:v>142</c:v>
                </c:pt>
                <c:pt idx="31">
                  <c:v>43.802816901408448</c:v>
                </c:pt>
                <c:pt idx="32">
                  <c:v>39.014084507042256</c:v>
                </c:pt>
                <c:pt idx="33">
                  <c:v>32.2112676056338</c:v>
                </c:pt>
                <c:pt idx="34">
                  <c:v>0</c:v>
                </c:pt>
                <c:pt idx="35">
                  <c:v>115.02816901408451</c:v>
                </c:pt>
                <c:pt idx="36">
                  <c:v>38.34272300469484</c:v>
                </c:pt>
                <c:pt idx="37" formatCode="0">
                  <c:v>224</c:v>
                </c:pt>
                <c:pt idx="38">
                  <c:v>-8.153460201412031</c:v>
                </c:pt>
                <c:pt idx="40" formatCode="0">
                  <c:v>135</c:v>
                </c:pt>
                <c:pt idx="41">
                  <c:v>54.82109375000001</c:v>
                </c:pt>
                <c:pt idx="42">
                  <c:v>32.07500000000001</c:v>
                </c:pt>
                <c:pt idx="43">
                  <c:v>36.485937499999991</c:v>
                </c:pt>
                <c:pt idx="44">
                  <c:v>0</c:v>
                </c:pt>
                <c:pt idx="45">
                  <c:v>123.38203125000001</c:v>
                </c:pt>
                <c:pt idx="46">
                  <c:v>41.127343750000001</c:v>
                </c:pt>
                <c:pt idx="47" formatCode="0">
                  <c:v>146</c:v>
                </c:pt>
                <c:pt idx="48">
                  <c:v>2.7846207453051619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E-4D29-AD5F-AC4E6CC44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5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400" b="1"/>
              <a:t>Tədris</a:t>
            </a:r>
            <a:r>
              <a:rPr lang="az-Latn-AZ" sz="2400" b="1" baseline="0"/>
              <a:t> dili, Riyaziyyat, Xarici dil</a:t>
            </a:r>
            <a:endParaRPr lang="en-US" sz="24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rgbClr val="92D050">
                    <a:shade val="30000"/>
                    <a:satMod val="115000"/>
                  </a:srgbClr>
                </a:gs>
                <a:gs pos="50000">
                  <a:srgbClr val="92D050">
                    <a:shade val="67500"/>
                    <a:satMod val="115000"/>
                  </a:srgbClr>
                </a:gs>
                <a:gs pos="100000">
                  <a:srgbClr val="92D05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rgbClr val="44546A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44546A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44546A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D84A-4C41-AB38-10E21F782ACB}"/>
              </c:ext>
            </c:extLst>
          </c:dPt>
          <c:dPt>
            <c:idx val="2"/>
            <c:invertIfNegative val="0"/>
            <c:bubble3D val="0"/>
            <c:spPr>
              <a:gradFill flip="none" rotWithShape="1">
                <a:gsLst>
                  <a:gs pos="0">
                    <a:srgbClr val="FF99CC">
                      <a:shade val="30000"/>
                      <a:satMod val="115000"/>
                    </a:srgbClr>
                  </a:gs>
                  <a:gs pos="50000">
                    <a:srgbClr val="FF99CC">
                      <a:shade val="67500"/>
                      <a:satMod val="115000"/>
                    </a:srgbClr>
                  </a:gs>
                  <a:gs pos="100000">
                    <a:srgbClr val="FF99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A-D84A-4C41-AB38-10E21F782ACB}"/>
              </c:ext>
            </c:extLst>
          </c:dPt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rgbClr val="44546A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44546A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44546A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4-D84A-4C41-AB38-10E21F782ACB}"/>
              </c:ext>
            </c:extLst>
          </c:dPt>
          <c:dPt>
            <c:idx val="5"/>
            <c:invertIfNegative val="0"/>
            <c:bubble3D val="0"/>
            <c:spPr>
              <a:gradFill flip="none" rotWithShape="1">
                <a:gsLst>
                  <a:gs pos="0">
                    <a:srgbClr val="FF99CC">
                      <a:shade val="30000"/>
                      <a:satMod val="115000"/>
                    </a:srgbClr>
                  </a:gs>
                  <a:gs pos="50000">
                    <a:srgbClr val="FF99CC">
                      <a:shade val="67500"/>
                      <a:satMod val="115000"/>
                    </a:srgbClr>
                  </a:gs>
                  <a:gs pos="100000">
                    <a:srgbClr val="FF99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B-D84A-4C41-AB38-10E21F782ACB}"/>
              </c:ext>
            </c:extLst>
          </c:dPt>
          <c:dPt>
            <c:idx val="7"/>
            <c:invertIfNegative val="0"/>
            <c:bubble3D val="0"/>
            <c:spPr>
              <a:gradFill flip="none" rotWithShape="1">
                <a:gsLst>
                  <a:gs pos="0">
                    <a:srgbClr val="44546A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44546A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44546A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D84A-4C41-AB38-10E21F782ACB}"/>
              </c:ext>
            </c:extLst>
          </c:dPt>
          <c:dPt>
            <c:idx val="8"/>
            <c:invertIfNegative val="0"/>
            <c:bubble3D val="0"/>
            <c:spPr>
              <a:gradFill flip="none" rotWithShape="1">
                <a:gsLst>
                  <a:gs pos="0">
                    <a:srgbClr val="FF99CC">
                      <a:shade val="30000"/>
                      <a:satMod val="115000"/>
                    </a:srgbClr>
                  </a:gs>
                  <a:gs pos="50000">
                    <a:srgbClr val="FF99CC">
                      <a:shade val="67500"/>
                      <a:satMod val="115000"/>
                    </a:srgbClr>
                  </a:gs>
                  <a:gs pos="100000">
                    <a:srgbClr val="FF99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C-D84A-4C41-AB38-10E21F782ACB}"/>
              </c:ext>
            </c:extLst>
          </c:dPt>
          <c:dPt>
            <c:idx val="10"/>
            <c:invertIfNegative val="0"/>
            <c:bubble3D val="0"/>
            <c:spPr>
              <a:gradFill flip="none" rotWithShape="1">
                <a:gsLst>
                  <a:gs pos="0">
                    <a:srgbClr val="44546A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44546A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44546A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6-D84A-4C41-AB38-10E21F782ACB}"/>
              </c:ext>
            </c:extLst>
          </c:dPt>
          <c:dPt>
            <c:idx val="11"/>
            <c:invertIfNegative val="0"/>
            <c:bubble3D val="0"/>
            <c:spPr>
              <a:gradFill flip="none" rotWithShape="1">
                <a:gsLst>
                  <a:gs pos="0">
                    <a:srgbClr val="FF99CC">
                      <a:shade val="30000"/>
                      <a:satMod val="115000"/>
                    </a:srgbClr>
                  </a:gs>
                  <a:gs pos="50000">
                    <a:srgbClr val="FF99CC">
                      <a:shade val="67500"/>
                      <a:satMod val="115000"/>
                    </a:srgbClr>
                  </a:gs>
                  <a:gs pos="100000">
                    <a:srgbClr val="FF99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D-D84A-4C41-AB38-10E21F782ACB}"/>
              </c:ext>
            </c:extLst>
          </c:dPt>
          <c:dPt>
            <c:idx val="13"/>
            <c:invertIfNegative val="0"/>
            <c:bubble3D val="0"/>
            <c:spPr>
              <a:gradFill flip="none" rotWithShape="1">
                <a:gsLst>
                  <a:gs pos="0">
                    <a:srgbClr val="44546A">
                      <a:lumMod val="60000"/>
                      <a:lumOff val="40000"/>
                      <a:shade val="30000"/>
                      <a:satMod val="115000"/>
                    </a:srgbClr>
                  </a:gs>
                  <a:gs pos="50000">
                    <a:srgbClr val="44546A">
                      <a:lumMod val="60000"/>
                      <a:lumOff val="40000"/>
                      <a:shade val="67500"/>
                      <a:satMod val="115000"/>
                    </a:srgbClr>
                  </a:gs>
                  <a:gs pos="100000">
                    <a:srgbClr val="44546A">
                      <a:lumMod val="60000"/>
                      <a:lumOff val="40000"/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8-D84A-4C41-AB38-10E21F782ACB}"/>
              </c:ext>
            </c:extLst>
          </c:dPt>
          <c:dPt>
            <c:idx val="14"/>
            <c:invertIfNegative val="0"/>
            <c:bubble3D val="0"/>
            <c:spPr>
              <a:gradFill flip="none" rotWithShape="1">
                <a:gsLst>
                  <a:gs pos="0">
                    <a:srgbClr val="FF99CC">
                      <a:shade val="30000"/>
                      <a:satMod val="115000"/>
                    </a:srgbClr>
                  </a:gs>
                  <a:gs pos="50000">
                    <a:srgbClr val="FF99CC">
                      <a:shade val="67500"/>
                      <a:satMod val="115000"/>
                    </a:srgbClr>
                  </a:gs>
                  <a:gs pos="100000">
                    <a:srgbClr val="FF99CC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E-D84A-4C41-AB38-10E21F782A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'Nəticələr dioqramla'!$E$1:$BA$2</c15:sqref>
                  </c15:fullRef>
                </c:ext>
              </c:extLst>
              <c:f>'Nəticələr dioqramla'!$F$1:$BA$2</c:f>
              <c:multiLvlStrCache>
                <c:ptCount val="15"/>
                <c:lvl>
                  <c:pt idx="0">
                    <c:v>Tədris dili</c:v>
                  </c:pt>
                  <c:pt idx="1">
                    <c:v>Riyaziyyat</c:v>
                  </c:pt>
                  <c:pt idx="2">
                    <c:v>Xarici dil</c:v>
                  </c:pt>
                  <c:pt idx="3">
                    <c:v>Tədris dili</c:v>
                  </c:pt>
                  <c:pt idx="4">
                    <c:v>Riyaziyyat</c:v>
                  </c:pt>
                  <c:pt idx="5">
                    <c:v>Xarici dil</c:v>
                  </c:pt>
                  <c:pt idx="6">
                    <c:v>Tədris dili</c:v>
                  </c:pt>
                  <c:pt idx="7">
                    <c:v>Riyaziyyat</c:v>
                  </c:pt>
                  <c:pt idx="8">
                    <c:v>Xarici dil</c:v>
                  </c:pt>
                  <c:pt idx="9">
                    <c:v>Tədris dili</c:v>
                  </c:pt>
                  <c:pt idx="10">
                    <c:v>Riyaziyyat</c:v>
                  </c:pt>
                  <c:pt idx="11">
                    <c:v>Xarici dil</c:v>
                  </c:pt>
                  <c:pt idx="12">
                    <c:v>Tədris dili</c:v>
                  </c:pt>
                  <c:pt idx="13">
                    <c:v>Riyaziyyat</c:v>
                  </c:pt>
                  <c:pt idx="14">
                    <c:v>Xarici dil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'Nəticələr dioqramla'!$E$3:$BA$3</c15:sqref>
                  </c15:fullRef>
                </c:ext>
              </c:extLst>
              <c:f>('Nəticələr dioqramla'!$F$3:$H$3,'Nəticələr dioqramla'!$P$3:$R$3,'Nəticələr dioqramla'!$Z$3:$AB$3,'Nəticələr dioqramla'!$AJ$3:$AL$3,'Nəticələr dioqramla'!$AT$3:$AV$3)</c:f>
              <c:numCache>
                <c:formatCode>0.00</c:formatCode>
                <c:ptCount val="15"/>
                <c:pt idx="0">
                  <c:v>51.365648854961833</c:v>
                </c:pt>
                <c:pt idx="1">
                  <c:v>39.020610687022909</c:v>
                </c:pt>
                <c:pt idx="2">
                  <c:v>0</c:v>
                </c:pt>
                <c:pt idx="3">
                  <c:v>53.676923076923075</c:v>
                </c:pt>
                <c:pt idx="4">
                  <c:v>39.276923076923076</c:v>
                </c:pt>
                <c:pt idx="5">
                  <c:v>35.700000000000003</c:v>
                </c:pt>
                <c:pt idx="6">
                  <c:v>52.809160305343511</c:v>
                </c:pt>
                <c:pt idx="7">
                  <c:v>49.969465648854964</c:v>
                </c:pt>
                <c:pt idx="8">
                  <c:v>36.709923664122137</c:v>
                </c:pt>
                <c:pt idx="9">
                  <c:v>43.802816901408448</c:v>
                </c:pt>
                <c:pt idx="10">
                  <c:v>39.014084507042256</c:v>
                </c:pt>
                <c:pt idx="11">
                  <c:v>32.2112676056338</c:v>
                </c:pt>
                <c:pt idx="12">
                  <c:v>54.82109375000001</c:v>
                </c:pt>
                <c:pt idx="13">
                  <c:v>32.07500000000001</c:v>
                </c:pt>
                <c:pt idx="14">
                  <c:v>36.485937499999991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A-4C41-AB38-10E21F782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"/>
        <c:overlap val="-2"/>
        <c:axId val="5230752"/>
        <c:axId val="5246144"/>
      </c:barChart>
      <c:catAx>
        <c:axId val="523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246144"/>
        <c:crosses val="autoZero"/>
        <c:auto val="1"/>
        <c:lblAlgn val="ctr"/>
        <c:lblOffset val="100"/>
        <c:noMultiLvlLbl val="0"/>
      </c:catAx>
      <c:valAx>
        <c:axId val="5246144"/>
        <c:scaling>
          <c:orientation val="minMax"/>
          <c:max val="100"/>
          <c:min val="0"/>
        </c:scaling>
        <c:delete val="1"/>
        <c:axPos val="l"/>
        <c:numFmt formatCode="0" sourceLinked="1"/>
        <c:majorTickMark val="out"/>
        <c:minorTickMark val="none"/>
        <c:tickLblPos val="nextTo"/>
        <c:crossAx val="523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13</xdr:col>
      <xdr:colOff>266700</xdr:colOff>
      <xdr:row>39</xdr:row>
      <xdr:rowOff>190486</xdr:rowOff>
    </xdr:to>
    <xdr:graphicFrame macro="">
      <xdr:nvGraphicFramePr>
        <xdr:cNvPr id="58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5</xdr:row>
      <xdr:rowOff>0</xdr:rowOff>
    </xdr:from>
    <xdr:to>
      <xdr:col>23</xdr:col>
      <xdr:colOff>171450</xdr:colOff>
      <xdr:row>39</xdr:row>
      <xdr:rowOff>190486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5</xdr:row>
      <xdr:rowOff>0</xdr:rowOff>
    </xdr:from>
    <xdr:to>
      <xdr:col>33</xdr:col>
      <xdr:colOff>171450</xdr:colOff>
      <xdr:row>39</xdr:row>
      <xdr:rowOff>190486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5</xdr:row>
      <xdr:rowOff>0</xdr:rowOff>
    </xdr:from>
    <xdr:to>
      <xdr:col>43</xdr:col>
      <xdr:colOff>171450</xdr:colOff>
      <xdr:row>39</xdr:row>
      <xdr:rowOff>190486</xdr:rowOff>
    </xdr:to>
    <xdr:graphicFrame macro="">
      <xdr:nvGraphicFramePr>
        <xdr:cNvPr id="62" name="Chart 6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5</xdr:row>
      <xdr:rowOff>0</xdr:rowOff>
    </xdr:from>
    <xdr:to>
      <xdr:col>53</xdr:col>
      <xdr:colOff>171450</xdr:colOff>
      <xdr:row>39</xdr:row>
      <xdr:rowOff>190486</xdr:rowOff>
    </xdr:to>
    <xdr:graphicFrame macro="">
      <xdr:nvGraphicFramePr>
        <xdr:cNvPr id="65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43</xdr:row>
      <xdr:rowOff>0</xdr:rowOff>
    </xdr:from>
    <xdr:to>
      <xdr:col>13</xdr:col>
      <xdr:colOff>266700</xdr:colOff>
      <xdr:row>77</xdr:row>
      <xdr:rowOff>190486</xdr:rowOff>
    </xdr:to>
    <xdr:graphicFrame macro="">
      <xdr:nvGraphicFramePr>
        <xdr:cNvPr id="66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43</xdr:row>
      <xdr:rowOff>0</xdr:rowOff>
    </xdr:from>
    <xdr:to>
      <xdr:col>23</xdr:col>
      <xdr:colOff>171450</xdr:colOff>
      <xdr:row>77</xdr:row>
      <xdr:rowOff>190486</xdr:rowOff>
    </xdr:to>
    <xdr:graphicFrame macro="">
      <xdr:nvGraphicFramePr>
        <xdr:cNvPr id="67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43</xdr:row>
      <xdr:rowOff>0</xdr:rowOff>
    </xdr:from>
    <xdr:to>
      <xdr:col>33</xdr:col>
      <xdr:colOff>171450</xdr:colOff>
      <xdr:row>77</xdr:row>
      <xdr:rowOff>190486</xdr:rowOff>
    </xdr:to>
    <xdr:graphicFrame macro="">
      <xdr:nvGraphicFramePr>
        <xdr:cNvPr id="68" name="Chart 6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81</xdr:row>
      <xdr:rowOff>0</xdr:rowOff>
    </xdr:from>
    <xdr:to>
      <xdr:col>53</xdr:col>
      <xdr:colOff>254000</xdr:colOff>
      <xdr:row>115</xdr:row>
      <xdr:rowOff>190486</xdr:rowOff>
    </xdr:to>
    <xdr:graphicFrame macro="">
      <xdr:nvGraphicFramePr>
        <xdr:cNvPr id="70" name="Chart 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0</xdr:colOff>
      <xdr:row>43</xdr:row>
      <xdr:rowOff>0</xdr:rowOff>
    </xdr:from>
    <xdr:to>
      <xdr:col>53</xdr:col>
      <xdr:colOff>228600</xdr:colOff>
      <xdr:row>77</xdr:row>
      <xdr:rowOff>190486</xdr:rowOff>
    </xdr:to>
    <xdr:graphicFrame macro="">
      <xdr:nvGraphicFramePr>
        <xdr:cNvPr id="72" name="Chart 7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3"/>
  <sheetViews>
    <sheetView showGridLines="0" tabSelected="1" zoomScale="30" zoomScaleNormal="30" workbookViewId="0">
      <selection activeCell="B38" sqref="B38"/>
    </sheetView>
  </sheetViews>
  <sheetFormatPr defaultColWidth="8.85546875" defaultRowHeight="16.5" x14ac:dyDescent="0.25"/>
  <cols>
    <col min="1" max="1" width="7.7109375" style="1" customWidth="1"/>
    <col min="2" max="2" width="21.85546875" style="1" customWidth="1"/>
    <col min="3" max="3" width="19" style="1" customWidth="1"/>
    <col min="4" max="4" width="26.7109375" style="1" customWidth="1"/>
    <col min="5" max="13" width="10.7109375" style="1" customWidth="1"/>
    <col min="14" max="14" width="10.7109375" style="4" customWidth="1"/>
    <col min="15" max="23" width="10.7109375" style="1" customWidth="1"/>
    <col min="24" max="24" width="10.7109375" style="4" customWidth="1"/>
    <col min="25" max="33" width="10.7109375" style="1" customWidth="1"/>
    <col min="34" max="34" width="10.7109375" style="4" customWidth="1"/>
    <col min="35" max="43" width="10.7109375" style="1" customWidth="1"/>
    <col min="44" max="44" width="10.7109375" style="4" customWidth="1"/>
    <col min="45" max="53" width="10.7109375" style="1" customWidth="1"/>
    <col min="54" max="56" width="8.85546875" style="4"/>
    <col min="57" max="57" width="18.85546875" style="4" customWidth="1"/>
    <col min="58" max="16384" width="8.85546875" style="4"/>
  </cols>
  <sheetData>
    <row r="1" spans="1:57" ht="24" customHeight="1" x14ac:dyDescent="0.25">
      <c r="E1" s="29" t="s">
        <v>66</v>
      </c>
      <c r="F1" s="29"/>
      <c r="G1" s="29"/>
      <c r="H1" s="29"/>
      <c r="I1" s="29"/>
      <c r="J1" s="29"/>
      <c r="K1" s="29"/>
      <c r="L1" s="29"/>
      <c r="M1" s="29"/>
      <c r="N1" s="3"/>
      <c r="O1" s="29" t="s">
        <v>37</v>
      </c>
      <c r="P1" s="29"/>
      <c r="Q1" s="29"/>
      <c r="R1" s="29"/>
      <c r="S1" s="29"/>
      <c r="T1" s="29"/>
      <c r="U1" s="29"/>
      <c r="V1" s="29"/>
      <c r="W1" s="29"/>
      <c r="X1" s="3"/>
      <c r="Y1" s="29" t="s">
        <v>38</v>
      </c>
      <c r="Z1" s="29"/>
      <c r="AA1" s="29"/>
      <c r="AB1" s="29"/>
      <c r="AC1" s="29"/>
      <c r="AD1" s="29"/>
      <c r="AE1" s="29"/>
      <c r="AF1" s="29"/>
      <c r="AG1" s="29"/>
      <c r="AH1" s="3"/>
      <c r="AI1" s="29" t="s">
        <v>39</v>
      </c>
      <c r="AJ1" s="29"/>
      <c r="AK1" s="29"/>
      <c r="AL1" s="29"/>
      <c r="AM1" s="29"/>
      <c r="AN1" s="29"/>
      <c r="AO1" s="29"/>
      <c r="AP1" s="29"/>
      <c r="AQ1" s="29"/>
      <c r="AR1" s="3"/>
      <c r="AS1" s="29" t="s">
        <v>65</v>
      </c>
      <c r="AT1" s="29"/>
      <c r="AU1" s="29"/>
      <c r="AV1" s="29"/>
      <c r="AW1" s="29"/>
      <c r="AX1" s="29"/>
      <c r="AY1" s="29"/>
      <c r="AZ1" s="29"/>
      <c r="BA1" s="29"/>
      <c r="BB1" s="3"/>
    </row>
    <row r="2" spans="1:57" ht="64.900000000000006" customHeight="1" x14ac:dyDescent="0.25">
      <c r="A2" s="30" t="s">
        <v>62</v>
      </c>
      <c r="B2" s="31"/>
      <c r="C2" s="15" t="s">
        <v>61</v>
      </c>
      <c r="D2" s="16" t="s">
        <v>10</v>
      </c>
      <c r="E2" s="16" t="s">
        <v>3</v>
      </c>
      <c r="F2" s="16" t="s">
        <v>1</v>
      </c>
      <c r="G2" s="16" t="s">
        <v>2</v>
      </c>
      <c r="H2" s="16" t="s">
        <v>63</v>
      </c>
      <c r="I2" s="16" t="s">
        <v>64</v>
      </c>
      <c r="J2" s="16" t="s">
        <v>40</v>
      </c>
      <c r="K2" s="16" t="s">
        <v>41</v>
      </c>
      <c r="L2" s="16" t="s">
        <v>43</v>
      </c>
      <c r="M2" s="16" t="s">
        <v>42</v>
      </c>
      <c r="N2" s="17"/>
      <c r="O2" s="16" t="s">
        <v>3</v>
      </c>
      <c r="P2" s="16" t="s">
        <v>1</v>
      </c>
      <c r="Q2" s="16" t="s">
        <v>2</v>
      </c>
      <c r="R2" s="16" t="s">
        <v>63</v>
      </c>
      <c r="S2" s="16" t="s">
        <v>64</v>
      </c>
      <c r="T2" s="16" t="s">
        <v>40</v>
      </c>
      <c r="U2" s="16" t="s">
        <v>41</v>
      </c>
      <c r="V2" s="18" t="s">
        <v>43</v>
      </c>
      <c r="W2" s="16" t="s">
        <v>42</v>
      </c>
      <c r="X2" s="19"/>
      <c r="Y2" s="16" t="s">
        <v>3</v>
      </c>
      <c r="Z2" s="20" t="s">
        <v>1</v>
      </c>
      <c r="AA2" s="16" t="s">
        <v>2</v>
      </c>
      <c r="AB2" s="16" t="s">
        <v>63</v>
      </c>
      <c r="AC2" s="16" t="s">
        <v>64</v>
      </c>
      <c r="AD2" s="16" t="s">
        <v>4</v>
      </c>
      <c r="AE2" s="16" t="s">
        <v>5</v>
      </c>
      <c r="AF2" s="18" t="s">
        <v>43</v>
      </c>
      <c r="AG2" s="16" t="s">
        <v>42</v>
      </c>
      <c r="AH2" s="19"/>
      <c r="AI2" s="16" t="s">
        <v>3</v>
      </c>
      <c r="AJ2" s="20" t="s">
        <v>1</v>
      </c>
      <c r="AK2" s="16" t="s">
        <v>2</v>
      </c>
      <c r="AL2" s="16" t="s">
        <v>63</v>
      </c>
      <c r="AM2" s="16" t="s">
        <v>64</v>
      </c>
      <c r="AN2" s="16" t="s">
        <v>4</v>
      </c>
      <c r="AO2" s="16" t="s">
        <v>5</v>
      </c>
      <c r="AP2" s="18" t="s">
        <v>43</v>
      </c>
      <c r="AQ2" s="16" t="s">
        <v>42</v>
      </c>
      <c r="AR2" s="19"/>
      <c r="AS2" s="16" t="s">
        <v>3</v>
      </c>
      <c r="AT2" s="20" t="s">
        <v>1</v>
      </c>
      <c r="AU2" s="16" t="s">
        <v>2</v>
      </c>
      <c r="AV2" s="16" t="s">
        <v>63</v>
      </c>
      <c r="AW2" s="16" t="s">
        <v>6</v>
      </c>
      <c r="AX2" s="16" t="s">
        <v>4</v>
      </c>
      <c r="AY2" s="16" t="s">
        <v>5</v>
      </c>
      <c r="AZ2" s="16" t="s">
        <v>43</v>
      </c>
      <c r="BA2" s="16" t="s">
        <v>42</v>
      </c>
    </row>
    <row r="3" spans="1:57" ht="41.45" customHeight="1" x14ac:dyDescent="0.5">
      <c r="A3" s="32"/>
      <c r="B3" s="33"/>
      <c r="C3" s="28">
        <v>99</v>
      </c>
      <c r="D3" s="21" t="str">
        <f>IF(VLOOKUP($C$3,İndekslər!$C$3:$BA$326,2,0)="","",VLOOKUP($C$3,İndekslər!$C$3:$BA$326,2,0))</f>
        <v>tam orta məktəb</v>
      </c>
      <c r="E3" s="22">
        <f>IF(VLOOKUP($C$3,İndekslər!$C$3:$BA$326,3,0)="","",VLOOKUP($C$3,İndekslər!$C$3:$BA$326,3,0))</f>
        <v>131</v>
      </c>
      <c r="F3" s="23">
        <f>IF(VLOOKUP($C$3,İndekslər!$C$3:$BA$326,4,0)="","",VLOOKUP($C$3,İndekslər!$C$3:$BA$326,4,0))</f>
        <v>51.365648854961833</v>
      </c>
      <c r="G3" s="23">
        <f>IF(VLOOKUP($C$3,İndekslər!$C$3:$BA$326,5,0)="","",VLOOKUP($C$3,İndekslər!$C$3:$BA$326,5,0))</f>
        <v>39.020610687022909</v>
      </c>
      <c r="H3" s="23" t="str">
        <f>IF(VLOOKUP($C$3,İndekslər!$C$3:$BA$326,6,0)="","",VLOOKUP($C$3,İndekslər!$C$3:$BA$326,6,0))</f>
        <v/>
      </c>
      <c r="I3" s="23" t="str">
        <f>IF(VLOOKUP($C$3,İndekslər!$C$3:$BA$326,7,0)="","",VLOOKUP($C$3,İndekslər!$C$3:$BA$326,7,0))</f>
        <v/>
      </c>
      <c r="J3" s="23">
        <f>IF(VLOOKUP($C$3,İndekslər!$C$3:$BA$326,8,0)="","",VLOOKUP($C$3,İndekslər!$C$3:$BA$326,8,0))</f>
        <v>90.386259541984742</v>
      </c>
      <c r="K3" s="23">
        <f>IF(VLOOKUP($C$3,İndekslər!$C$3:$BA$326,9,0)="","",VLOOKUP($C$3,İndekslər!$C$3:$BA$326,9,0))</f>
        <v>45.193129770992371</v>
      </c>
      <c r="L3" s="22">
        <f>IF(VLOOKUP($C$3,İndekslər!$C$3:$BA$326,10,0)="","",VLOOKUP($C$3,İndekslər!$C$3:$BA$326,10,0))</f>
        <v>172</v>
      </c>
      <c r="M3" s="23">
        <f>IF(VLOOKUP($C$3,İndekslər!$C$3:$BA$326,11,0)="","",VLOOKUP($C$3,İndekslər!$C$3:$BA$326,11,0))</f>
        <v>-0.78187022900762315</v>
      </c>
      <c r="N3" s="24"/>
      <c r="O3" s="22">
        <f>IF(VLOOKUP($C$3,İndekslər!$C$3:$BA$326,13,0)="","",VLOOKUP($C$3,İndekslər!$C$3:$BA$326,13,0))</f>
        <v>130</v>
      </c>
      <c r="P3" s="23">
        <f>IF(VLOOKUP($C$3,İndekslər!$C$3:$BA$326,14,0)="","",VLOOKUP($C$3,İndekslər!$C$3:$BA$326,14,0))</f>
        <v>53.676923076923075</v>
      </c>
      <c r="Q3" s="23">
        <f>IF(VLOOKUP($C$3,İndekslər!$C$3:$BA$326,15,0)="","",VLOOKUP($C$3,İndekslər!$C$3:$BA$326,15,0))</f>
        <v>39.276923076923076</v>
      </c>
      <c r="R3" s="23">
        <f>IF(VLOOKUP($C$3,İndekslər!$C$3:$BA$326,16,0)="","",VLOOKUP($C$3,İndekslər!$C$3:$BA$326,16,0))</f>
        <v>35.700000000000003</v>
      </c>
      <c r="S3" s="23" t="str">
        <f>IF(VLOOKUP($C$3,İndekslər!$C$3:$BA$326,17,0)="","",VLOOKUP($C$3,İndekslər!$C$3:$BA$326,17,0))</f>
        <v/>
      </c>
      <c r="T3" s="23">
        <f>IF(VLOOKUP($C$3,İndekslər!$C$3:$BA$326,18,0)="","",VLOOKUP($C$3,İndekslər!$C$3:$BA$326,18,0))</f>
        <v>92.953846153846143</v>
      </c>
      <c r="U3" s="23">
        <f>IF(VLOOKUP($C$3,İndekslər!$C$3:$BA$326,19,0)="","",VLOOKUP($C$3,İndekslər!$C$3:$BA$326,19,0))</f>
        <v>46.476923076923072</v>
      </c>
      <c r="V3" s="22">
        <f>IF(VLOOKUP($C$3,İndekslər!$C$3:$BA$326,20,0)="","",VLOOKUP($C$3,İndekslər!$C$3:$BA$326,20,0))</f>
        <v>153</v>
      </c>
      <c r="W3" s="23">
        <f>IF(VLOOKUP($C$3,İndekslər!$C$3:$BA$326,21,0)="","",VLOOKUP($C$3,İndekslər!$C$3:$BA$326,21,0))</f>
        <v>1.2837933059307005</v>
      </c>
      <c r="X3" s="24"/>
      <c r="Y3" s="22">
        <f>IF(VLOOKUP($C$3,İndekslər!$C$3:$BA$326,23,0)="","",VLOOKUP($C$3,İndekslər!$C$3:$BA$326,23,0))</f>
        <v>134</v>
      </c>
      <c r="Z3" s="25">
        <f>IF(VLOOKUP($C$3,İndekslər!$C$3:$BA$326,24,0)="","",VLOOKUP($C$3,İndekslər!$C$3:$BA$326,24,0))</f>
        <v>52.809160305343511</v>
      </c>
      <c r="AA3" s="23">
        <f>IF(VLOOKUP($C$3,İndekslər!$C$3:$BA$326,25,0)="","",VLOOKUP($C$3,İndekslər!$C$3:$BA$326,25,0))</f>
        <v>49.969465648854964</v>
      </c>
      <c r="AB3" s="23">
        <f>IF(VLOOKUP($C$3,İndekslər!$C$3:$BA$326,26,0)="","",VLOOKUP($C$3,İndekslər!$C$3:$BA$326,26,0))</f>
        <v>36.709923664122137</v>
      </c>
      <c r="AC3" s="23" t="str">
        <f>IF(VLOOKUP($C$3,İndekslər!$C$3:$BA$326,27,0)="","",VLOOKUP($C$3,İndekslər!$C$3:$BA$326,27,0))</f>
        <v/>
      </c>
      <c r="AD3" s="23">
        <f>IF(VLOOKUP($C$3,İndekslər!$C$3:$BA$326,28,0)="","",VLOOKUP($C$3,İndekslər!$C$3:$BA$326,28,0))</f>
        <v>139.4885496183206</v>
      </c>
      <c r="AE3" s="23">
        <f>IF(VLOOKUP($C$3,İndekslər!$C$3:$BA$326,29,0)="","",VLOOKUP($C$3,İndekslər!$C$3:$BA$326,29,0))</f>
        <v>46.496183206106871</v>
      </c>
      <c r="AF3" s="26">
        <f>IF(VLOOKUP($C$3,İndekslər!$C$3:$BA$326,30,0)="","",VLOOKUP($C$3,İndekslər!$C$3:$BA$326,30,0))</f>
        <v>175</v>
      </c>
      <c r="AG3" s="23">
        <f>IF(VLOOKUP($C$3,İndekslər!$C$3:$BA$326,31,0)="","",VLOOKUP($C$3,İndekslər!$C$3:$BA$326,31,0))</f>
        <v>1.9260129183798824E-2</v>
      </c>
      <c r="AH3" s="24"/>
      <c r="AI3" s="22">
        <f>IF(VLOOKUP($C$3,İndekslər!$C$3:$BA$326,33,0)="","",VLOOKUP($C$3,İndekslər!$C$3:$BA$326,33,0))</f>
        <v>142</v>
      </c>
      <c r="AJ3" s="25">
        <f>IF(VLOOKUP($C$3,İndekslər!$C$3:$BA$326,34,0)="","",VLOOKUP($C$3,İndekslər!$C$3:$BA$326,34,0))</f>
        <v>43.802816901408448</v>
      </c>
      <c r="AK3" s="23">
        <f>IF(VLOOKUP($C$3,İndekslər!$C$3:$BA$326,35,0)="","",VLOOKUP($C$3,İndekslər!$C$3:$BA$326,35,0))</f>
        <v>39.014084507042256</v>
      </c>
      <c r="AL3" s="23">
        <f>IF(VLOOKUP($C$3,İndekslər!$C$3:$BA$326,36,0)="","",VLOOKUP($C$3,İndekslər!$C$3:$BA$326,36,0))</f>
        <v>32.2112676056338</v>
      </c>
      <c r="AM3" s="23" t="str">
        <f>IF(VLOOKUP($C$3,İndekslər!$C$3:$BA$326,37,0)="","",VLOOKUP($C$3,İndekslər!$C$3:$BA$326,37,0))</f>
        <v/>
      </c>
      <c r="AN3" s="23">
        <f>IF(VLOOKUP($C$3,İndekslər!$C$3:$BA$326,38,0)="","",VLOOKUP($C$3,İndekslər!$C$3:$BA$326,38,0))</f>
        <v>115.02816901408451</v>
      </c>
      <c r="AO3" s="23">
        <f>IF(VLOOKUP($C$3,İndekslər!$C$3:$BA$326,39,0)="","",VLOOKUP($C$3,İndekslər!$C$3:$BA$326,39,0))</f>
        <v>38.34272300469484</v>
      </c>
      <c r="AP3" s="26">
        <f>IF(VLOOKUP($C$3,İndekslər!$C$3:$BA$326,40,0)="","",VLOOKUP($C$3,İndekslər!$C$3:$BA$326,40,0))</f>
        <v>224</v>
      </c>
      <c r="AQ3" s="23">
        <f>IF(VLOOKUP($C$3,İndekslər!$C$3:$BA$326,41,0)="","",VLOOKUP($C$3,İndekslər!$C$3:$BA$326,41,0))</f>
        <v>-8.153460201412031</v>
      </c>
      <c r="AR3" s="24"/>
      <c r="AS3" s="22">
        <f>IF(VLOOKUP($C$3,İndekslər!$C$3:$BA$326,43,0)="","",VLOOKUP($C$3,İndekslər!$C$3:$BA$326,43,0))</f>
        <v>135</v>
      </c>
      <c r="AT3" s="25">
        <f>IF(VLOOKUP($C$3,İndekslər!$C$3:$BA$326,44,0)="","",VLOOKUP($C$3,İndekslər!$C$3:$BA$326,44,0))</f>
        <v>54.82109375000001</v>
      </c>
      <c r="AU3" s="23">
        <f>IF(VLOOKUP($C$3,İndekslər!$C$3:$BA$326,45,0)="","",VLOOKUP($C$3,İndekslər!$C$3:$BA$326,45,0))</f>
        <v>32.07500000000001</v>
      </c>
      <c r="AV3" s="23">
        <f>IF(VLOOKUP($C$3,İndekslər!$C$3:$BA$326,46,0)="","",VLOOKUP($C$3,İndekslər!$C$3:$BA$326,46,0))</f>
        <v>36.485937499999991</v>
      </c>
      <c r="AW3" s="23" t="str">
        <f>IF(VLOOKUP($C$3,İndekslər!$C$3:$BA$326,47,0)="","",VLOOKUP($C$3,İndekslər!$C$3:$BA$326,47,0))</f>
        <v/>
      </c>
      <c r="AX3" s="23">
        <f>IF(VLOOKUP($C$3,İndekslər!$C$3:$BA$326,48,0)="","",VLOOKUP($C$3,İndekslər!$C$3:$BA$326,48,0))</f>
        <v>123.38203125000001</v>
      </c>
      <c r="AY3" s="23">
        <f>IF(VLOOKUP($C$3,İndekslər!$C$3:$BA$326,49,0)="","",VLOOKUP($C$3,İndekslər!$C$3:$BA$326,49,0))</f>
        <v>41.127343750000001</v>
      </c>
      <c r="AZ3" s="22">
        <f>IF(VLOOKUP($C$3,İndekslər!$C$3:$BA$326,50,0)="","",VLOOKUP($C$3,İndekslər!$C$3:$BA$326,50,0))</f>
        <v>146</v>
      </c>
      <c r="BA3" s="23">
        <f>IF(VLOOKUP($C$3,İndekslər!$C$3:$BA$326,51,0)="","",VLOOKUP($C$3,İndekslər!$C$3:$BA$326,51,0))</f>
        <v>2.7846207453051619</v>
      </c>
      <c r="BE3" s="27"/>
    </row>
  </sheetData>
  <sheetProtection algorithmName="SHA-512" hashValue="HQh9JwdH2WNFurqeHME5IIhLQxzV97RDuBLexORn9A00W2OnDuFYSyw6W9fd/1ug2qShph7VbThgu0DCEZ0Txw==" saltValue="0PU+JfG7OTS4KpDuEKgEDg==" spinCount="100000" sheet="1" objects="1" scenarios="1"/>
  <mergeCells count="6">
    <mergeCell ref="AS1:BA1"/>
    <mergeCell ref="A2:B3"/>
    <mergeCell ref="E1:M1"/>
    <mergeCell ref="O1:W1"/>
    <mergeCell ref="Y1:AG1"/>
    <mergeCell ref="AI1:AQ1"/>
  </mergeCells>
  <pageMargins left="0.25" right="0.25" top="0.75" bottom="0.75" header="0.3" footer="0.3"/>
  <pageSetup paperSize="9" scale="12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326"/>
  <sheetViews>
    <sheetView zoomScale="70" zoomScaleNormal="70" workbookViewId="0">
      <pane xSplit="4" ySplit="3" topLeftCell="AH4" activePane="bottomRight" state="frozen"/>
      <selection pane="topRight" activeCell="E1" sqref="E1"/>
      <selection pane="bottomLeft" activeCell="A4" sqref="A4"/>
      <selection pane="bottomRight" activeCell="BI19" sqref="BI19"/>
    </sheetView>
  </sheetViews>
  <sheetFormatPr defaultColWidth="8.85546875" defaultRowHeight="16.5" x14ac:dyDescent="0.25"/>
  <cols>
    <col min="1" max="1" width="7.7109375" style="1" customWidth="1"/>
    <col min="2" max="2" width="21.85546875" style="1" customWidth="1"/>
    <col min="3" max="3" width="13.140625" style="1" customWidth="1"/>
    <col min="4" max="4" width="26.7109375" style="1" customWidth="1"/>
    <col min="5" max="5" width="8.85546875" style="1" hidden="1" customWidth="1"/>
    <col min="6" max="13" width="0" style="1" hidden="1" customWidth="1"/>
    <col min="14" max="14" width="0" style="4" hidden="1" customWidth="1"/>
    <col min="15" max="15" width="8.85546875" style="1" hidden="1" customWidth="1"/>
    <col min="16" max="23" width="0" style="1" hidden="1" customWidth="1"/>
    <col min="24" max="24" width="0" style="4" hidden="1" customWidth="1"/>
    <col min="25" max="25" width="8.85546875" style="1" hidden="1" customWidth="1"/>
    <col min="26" max="33" width="0" style="1" hidden="1" customWidth="1"/>
    <col min="34" max="34" width="0" style="4" hidden="1" customWidth="1"/>
    <col min="35" max="35" width="8.85546875" style="1" hidden="1" customWidth="1"/>
    <col min="36" max="43" width="0" style="1" hidden="1" customWidth="1"/>
    <col min="44" max="44" width="0" style="4" hidden="1" customWidth="1"/>
    <col min="45" max="45" width="8.85546875" style="1" hidden="1" customWidth="1"/>
    <col min="46" max="53" width="0" style="1" hidden="1" customWidth="1"/>
    <col min="54" max="55" width="0" style="4" hidden="1" customWidth="1"/>
    <col min="56" max="16384" width="8.85546875" style="4"/>
  </cols>
  <sheetData>
    <row r="1" spans="1:54" ht="24" customHeight="1" x14ac:dyDescent="0.25">
      <c r="E1" s="29" t="s">
        <v>66</v>
      </c>
      <c r="F1" s="29"/>
      <c r="G1" s="29"/>
      <c r="H1" s="29"/>
      <c r="I1" s="29"/>
      <c r="J1" s="29"/>
      <c r="K1" s="29"/>
      <c r="L1" s="29"/>
      <c r="M1" s="2"/>
      <c r="N1" s="3"/>
      <c r="O1" s="29" t="s">
        <v>37</v>
      </c>
      <c r="P1" s="29"/>
      <c r="Q1" s="29"/>
      <c r="R1" s="29"/>
      <c r="S1" s="29"/>
      <c r="T1" s="29"/>
      <c r="U1" s="29"/>
      <c r="V1" s="29"/>
      <c r="W1" s="29"/>
      <c r="X1" s="3"/>
      <c r="Y1" s="29" t="s">
        <v>67</v>
      </c>
      <c r="Z1" s="29"/>
      <c r="AA1" s="29"/>
      <c r="AB1" s="29"/>
      <c r="AC1" s="29"/>
      <c r="AD1" s="29"/>
      <c r="AE1" s="29"/>
      <c r="AF1" s="29"/>
      <c r="AG1" s="29"/>
      <c r="AH1" s="3"/>
      <c r="AI1" s="29" t="s">
        <v>39</v>
      </c>
      <c r="AJ1" s="29"/>
      <c r="AK1" s="29"/>
      <c r="AL1" s="29"/>
      <c r="AM1" s="29"/>
      <c r="AN1" s="29"/>
      <c r="AO1" s="29"/>
      <c r="AP1" s="29"/>
      <c r="AQ1" s="29"/>
      <c r="AR1" s="3"/>
      <c r="AS1" s="29" t="s">
        <v>65</v>
      </c>
      <c r="AT1" s="29"/>
      <c r="AU1" s="29"/>
      <c r="AV1" s="29"/>
      <c r="AW1" s="29"/>
      <c r="AX1" s="29"/>
      <c r="AY1" s="29"/>
      <c r="AZ1" s="29"/>
      <c r="BA1" s="29"/>
      <c r="BB1" s="3"/>
    </row>
    <row r="2" spans="1:54" ht="64.900000000000006" customHeight="1" x14ac:dyDescent="0.25">
      <c r="A2" s="5" t="s">
        <v>0</v>
      </c>
      <c r="B2" s="6" t="s">
        <v>8</v>
      </c>
      <c r="C2" s="5" t="s">
        <v>9</v>
      </c>
      <c r="D2" s="5" t="s">
        <v>10</v>
      </c>
      <c r="E2" s="7" t="s">
        <v>3</v>
      </c>
      <c r="F2" s="7" t="s">
        <v>1</v>
      </c>
      <c r="G2" s="7" t="s">
        <v>2</v>
      </c>
      <c r="H2" s="7" t="s">
        <v>63</v>
      </c>
      <c r="I2" s="7" t="s">
        <v>64</v>
      </c>
      <c r="J2" s="7" t="s">
        <v>40</v>
      </c>
      <c r="K2" s="7" t="s">
        <v>41</v>
      </c>
      <c r="L2" s="7" t="s">
        <v>43</v>
      </c>
      <c r="M2" s="7" t="s">
        <v>42</v>
      </c>
      <c r="O2" s="7" t="s">
        <v>3</v>
      </c>
      <c r="P2" s="7" t="s">
        <v>1</v>
      </c>
      <c r="Q2" s="7" t="s">
        <v>2</v>
      </c>
      <c r="R2" s="7" t="s">
        <v>63</v>
      </c>
      <c r="S2" s="7" t="s">
        <v>64</v>
      </c>
      <c r="T2" s="7" t="s">
        <v>40</v>
      </c>
      <c r="U2" s="7" t="s">
        <v>41</v>
      </c>
      <c r="V2" s="7" t="s">
        <v>43</v>
      </c>
      <c r="W2" s="7" t="s">
        <v>42</v>
      </c>
      <c r="Y2" s="7" t="s">
        <v>3</v>
      </c>
      <c r="Z2" s="7" t="s">
        <v>1</v>
      </c>
      <c r="AA2" s="7" t="s">
        <v>2</v>
      </c>
      <c r="AB2" s="7" t="s">
        <v>63</v>
      </c>
      <c r="AC2" s="7" t="s">
        <v>64</v>
      </c>
      <c r="AD2" s="7" t="s">
        <v>4</v>
      </c>
      <c r="AE2" s="7" t="s">
        <v>5</v>
      </c>
      <c r="AF2" s="7" t="s">
        <v>43</v>
      </c>
      <c r="AG2" s="7" t="s">
        <v>42</v>
      </c>
      <c r="AI2" s="7" t="s">
        <v>3</v>
      </c>
      <c r="AJ2" s="7" t="s">
        <v>1</v>
      </c>
      <c r="AK2" s="7" t="s">
        <v>2</v>
      </c>
      <c r="AL2" s="7" t="s">
        <v>63</v>
      </c>
      <c r="AM2" s="7" t="s">
        <v>64</v>
      </c>
      <c r="AN2" s="7" t="s">
        <v>4</v>
      </c>
      <c r="AO2" s="7" t="s">
        <v>5</v>
      </c>
      <c r="AP2" s="7" t="s">
        <v>43</v>
      </c>
      <c r="AQ2" s="7" t="s">
        <v>42</v>
      </c>
      <c r="AS2" s="7" t="s">
        <v>3</v>
      </c>
      <c r="AT2" s="7" t="s">
        <v>1</v>
      </c>
      <c r="AU2" s="7" t="s">
        <v>2</v>
      </c>
      <c r="AV2" s="7" t="s">
        <v>63</v>
      </c>
      <c r="AW2" s="7" t="s">
        <v>6</v>
      </c>
      <c r="AX2" s="7" t="s">
        <v>4</v>
      </c>
      <c r="AY2" s="7" t="s">
        <v>5</v>
      </c>
      <c r="AZ2" s="7" t="s">
        <v>43</v>
      </c>
      <c r="BA2" s="7" t="s">
        <v>42</v>
      </c>
    </row>
    <row r="3" spans="1:54" ht="15.6" customHeight="1" x14ac:dyDescent="0.3">
      <c r="A3" s="8" t="s">
        <v>7</v>
      </c>
      <c r="B3" s="8" t="s">
        <v>58</v>
      </c>
      <c r="C3" s="8" t="s">
        <v>59</v>
      </c>
      <c r="D3" s="8" t="s">
        <v>60</v>
      </c>
      <c r="E3" s="9">
        <v>27084</v>
      </c>
      <c r="F3" s="10">
        <v>52.95597022701515</v>
      </c>
      <c r="G3" s="10">
        <v>40.073498019206134</v>
      </c>
      <c r="H3" s="10"/>
      <c r="I3" s="10"/>
      <c r="J3" s="10">
        <v>93.029468246221214</v>
      </c>
      <c r="K3" s="10">
        <v>46.514734123110607</v>
      </c>
      <c r="L3" s="10"/>
      <c r="M3" s="10">
        <v>-0.48</v>
      </c>
      <c r="O3" s="9">
        <v>27690</v>
      </c>
      <c r="P3" s="10">
        <v>51.697216874013897</v>
      </c>
      <c r="Q3" s="10">
        <v>41.76196752453491</v>
      </c>
      <c r="R3" s="10">
        <v>37.27987770708539</v>
      </c>
      <c r="S3" s="10"/>
      <c r="T3" s="10">
        <v>93.459184398548842</v>
      </c>
      <c r="U3" s="10">
        <v>46.729592199274421</v>
      </c>
      <c r="V3" s="10"/>
      <c r="W3" s="11">
        <v>0.21485807616381436</v>
      </c>
      <c r="Y3" s="9">
        <v>35227</v>
      </c>
      <c r="Z3" s="10">
        <v>54.751400852018264</v>
      </c>
      <c r="AA3" s="10">
        <v>49.31472232169132</v>
      </c>
      <c r="AB3" s="10">
        <v>39.797178588735306</v>
      </c>
      <c r="AC3" s="10"/>
      <c r="AD3" s="10">
        <v>143.86330176244499</v>
      </c>
      <c r="AE3" s="10">
        <v>47.954433920814928</v>
      </c>
      <c r="AF3" s="10"/>
      <c r="AG3" s="11">
        <v>1.224841721540507</v>
      </c>
      <c r="AI3" s="9">
        <v>34096</v>
      </c>
      <c r="AJ3" s="10">
        <v>51.190751104565535</v>
      </c>
      <c r="AK3" s="10">
        <v>42.021914580265097</v>
      </c>
      <c r="AL3" s="10">
        <v>41.3079438976958</v>
      </c>
      <c r="AM3" s="10">
        <v>52.30890148053372</v>
      </c>
      <c r="AN3" s="10">
        <v>134.5060088365243</v>
      </c>
      <c r="AO3" s="10">
        <v>44.837476681394349</v>
      </c>
      <c r="AP3" s="10"/>
      <c r="AQ3" s="11">
        <f>AO3-AE3</f>
        <v>-3.1169572394205787</v>
      </c>
      <c r="AS3" s="9">
        <v>34813</v>
      </c>
      <c r="AT3" s="10">
        <v>54.484054596781526</v>
      </c>
      <c r="AU3" s="10">
        <v>33.023660545386662</v>
      </c>
      <c r="AV3" s="10">
        <v>38.848735484997974</v>
      </c>
      <c r="AW3" s="10">
        <v>56.899834437086092</v>
      </c>
      <c r="AX3" s="10">
        <v>126.35645062716492</v>
      </c>
      <c r="AY3" s="10">
        <v>42.118816875721294</v>
      </c>
      <c r="AZ3" s="10"/>
      <c r="BA3" s="11">
        <f>AY3-AO3</f>
        <v>-2.718659805673056</v>
      </c>
    </row>
    <row r="4" spans="1:54" s="14" customFormat="1" x14ac:dyDescent="0.25">
      <c r="A4" s="12">
        <v>1</v>
      </c>
      <c r="B4" s="12" t="s">
        <v>15</v>
      </c>
      <c r="C4" s="12">
        <v>3</v>
      </c>
      <c r="D4" s="12" t="s">
        <v>12</v>
      </c>
      <c r="E4" s="12">
        <v>88</v>
      </c>
      <c r="F4" s="11">
        <v>64.354545454545445</v>
      </c>
      <c r="G4" s="11">
        <v>47.285227272727276</v>
      </c>
      <c r="H4" s="11"/>
      <c r="I4" s="11"/>
      <c r="J4" s="11">
        <v>111.63977272727271</v>
      </c>
      <c r="K4" s="11">
        <v>55.819886363636357</v>
      </c>
      <c r="L4" s="13">
        <v>35</v>
      </c>
      <c r="M4" s="11">
        <v>3.6698863636363583</v>
      </c>
      <c r="O4" s="12">
        <v>89</v>
      </c>
      <c r="P4" s="11">
        <v>60.651685393258425</v>
      </c>
      <c r="Q4" s="11">
        <v>47.617977528089888</v>
      </c>
      <c r="R4" s="11">
        <v>41.943820224719104</v>
      </c>
      <c r="S4" s="11"/>
      <c r="T4" s="11">
        <v>108.26966292134831</v>
      </c>
      <c r="U4" s="11">
        <v>54.134831460674157</v>
      </c>
      <c r="V4" s="13">
        <v>39</v>
      </c>
      <c r="W4" s="11">
        <v>-1.6850549029622002</v>
      </c>
      <c r="Y4" s="12">
        <v>139</v>
      </c>
      <c r="Z4" s="11">
        <v>57.597222222222221</v>
      </c>
      <c r="AA4" s="11">
        <v>48.541666666666664</v>
      </c>
      <c r="AB4" s="11">
        <v>40.625</v>
      </c>
      <c r="AC4" s="11"/>
      <c r="AD4" s="11">
        <v>146.76388888888889</v>
      </c>
      <c r="AE4" s="11">
        <v>48.921296296296298</v>
      </c>
      <c r="AF4" s="13">
        <v>136</v>
      </c>
      <c r="AG4" s="11">
        <v>-5.2135351643778591</v>
      </c>
      <c r="AI4" s="12">
        <v>95</v>
      </c>
      <c r="AJ4" s="11">
        <v>51.357894736842105</v>
      </c>
      <c r="AK4" s="11">
        <v>45.094736842105263</v>
      </c>
      <c r="AL4" s="11">
        <v>39.968421052631577</v>
      </c>
      <c r="AM4" s="11" t="s">
        <v>14</v>
      </c>
      <c r="AN4" s="11">
        <v>136.42105263157896</v>
      </c>
      <c r="AO4" s="11">
        <v>45.473684210526322</v>
      </c>
      <c r="AP4" s="13">
        <v>126</v>
      </c>
      <c r="AQ4" s="11">
        <v>-3.4476120857699755</v>
      </c>
      <c r="AS4" s="12">
        <v>132</v>
      </c>
      <c r="AT4" s="11">
        <v>64.293939393939425</v>
      </c>
      <c r="AU4" s="11">
        <v>40.356818181818184</v>
      </c>
      <c r="AV4" s="11">
        <v>45.834090909090882</v>
      </c>
      <c r="AW4" s="11"/>
      <c r="AX4" s="11">
        <v>150.4848484848485</v>
      </c>
      <c r="AY4" s="11">
        <v>50.161616161616166</v>
      </c>
      <c r="AZ4" s="13">
        <v>33</v>
      </c>
      <c r="BA4" s="11">
        <v>4.6879319510898441</v>
      </c>
    </row>
    <row r="5" spans="1:54" s="14" customFormat="1" x14ac:dyDescent="0.25">
      <c r="A5" s="12">
        <v>2</v>
      </c>
      <c r="B5" s="12" t="s">
        <v>15</v>
      </c>
      <c r="C5" s="12" t="s">
        <v>44</v>
      </c>
      <c r="D5" s="12" t="s">
        <v>32</v>
      </c>
      <c r="E5" s="12"/>
      <c r="F5" s="11"/>
      <c r="G5" s="11"/>
      <c r="H5" s="11"/>
      <c r="I5" s="11"/>
      <c r="J5" s="11" t="s">
        <v>14</v>
      </c>
      <c r="K5" s="11" t="s">
        <v>14</v>
      </c>
      <c r="L5" s="13" t="s">
        <v>14</v>
      </c>
      <c r="M5" s="11" t="s">
        <v>14</v>
      </c>
      <c r="O5" s="12"/>
      <c r="P5" s="11"/>
      <c r="Q5" s="11"/>
      <c r="R5" s="11"/>
      <c r="S5" s="11"/>
      <c r="T5" s="11" t="s">
        <v>14</v>
      </c>
      <c r="U5" s="11" t="s">
        <v>14</v>
      </c>
      <c r="V5" s="13" t="s">
        <v>14</v>
      </c>
      <c r="W5" s="11" t="s">
        <v>14</v>
      </c>
      <c r="Y5" s="12"/>
      <c r="Z5" s="11"/>
      <c r="AA5" s="11"/>
      <c r="AB5" s="11"/>
      <c r="AC5" s="11"/>
      <c r="AD5" s="11" t="s">
        <v>14</v>
      </c>
      <c r="AE5" s="11" t="s">
        <v>14</v>
      </c>
      <c r="AF5" s="13" t="s">
        <v>14</v>
      </c>
      <c r="AG5" s="11" t="s">
        <v>14</v>
      </c>
      <c r="AI5" s="12"/>
      <c r="AJ5" s="11"/>
      <c r="AK5" s="11"/>
      <c r="AL5" s="11"/>
      <c r="AM5" s="11"/>
      <c r="AN5" s="11" t="s">
        <v>14</v>
      </c>
      <c r="AO5" s="11" t="s">
        <v>14</v>
      </c>
      <c r="AP5" s="13" t="s">
        <v>14</v>
      </c>
      <c r="AQ5" s="11" t="s">
        <v>14</v>
      </c>
      <c r="AS5" s="12">
        <v>0</v>
      </c>
      <c r="AT5" s="11"/>
      <c r="AU5" s="11"/>
      <c r="AV5" s="11"/>
      <c r="AW5" s="11"/>
      <c r="AX5" s="11" t="s">
        <v>14</v>
      </c>
      <c r="AY5" s="11" t="s">
        <v>14</v>
      </c>
      <c r="AZ5" s="13" t="s">
        <v>14</v>
      </c>
      <c r="BA5" s="11" t="s">
        <v>14</v>
      </c>
    </row>
    <row r="6" spans="1:54" s="14" customFormat="1" x14ac:dyDescent="0.25">
      <c r="A6" s="12">
        <v>3</v>
      </c>
      <c r="B6" s="12" t="s">
        <v>15</v>
      </c>
      <c r="C6" s="12">
        <v>30</v>
      </c>
      <c r="D6" s="12" t="s">
        <v>12</v>
      </c>
      <c r="E6" s="12">
        <v>32</v>
      </c>
      <c r="F6" s="11">
        <v>53.662500000000016</v>
      </c>
      <c r="G6" s="11">
        <v>41.218749999999993</v>
      </c>
      <c r="H6" s="11"/>
      <c r="I6" s="11"/>
      <c r="J6" s="11">
        <v>94.881250000000009</v>
      </c>
      <c r="K6" s="11">
        <v>47.440625000000004</v>
      </c>
      <c r="L6" s="13">
        <v>144</v>
      </c>
      <c r="M6" s="11">
        <v>2.0537828947368482</v>
      </c>
      <c r="O6" s="12">
        <v>45</v>
      </c>
      <c r="P6" s="11">
        <v>50.06666666666667</v>
      </c>
      <c r="Q6" s="11">
        <v>39.266666666666666</v>
      </c>
      <c r="R6" s="11">
        <v>42.644444444444446</v>
      </c>
      <c r="S6" s="11"/>
      <c r="T6" s="11">
        <v>89.333333333333343</v>
      </c>
      <c r="U6" s="11">
        <v>44.666666666666671</v>
      </c>
      <c r="V6" s="13">
        <v>186</v>
      </c>
      <c r="W6" s="11">
        <v>-2.7739583333333329</v>
      </c>
      <c r="Y6" s="12">
        <v>47</v>
      </c>
      <c r="Z6" s="11">
        <v>58.621621621621621</v>
      </c>
      <c r="AA6" s="11">
        <v>60.621621621621621</v>
      </c>
      <c r="AB6" s="11">
        <v>45.945945945945944</v>
      </c>
      <c r="AC6" s="11"/>
      <c r="AD6" s="11">
        <v>165.18918918918919</v>
      </c>
      <c r="AE6" s="11">
        <v>55.063063063063062</v>
      </c>
      <c r="AF6" s="13">
        <v>37</v>
      </c>
      <c r="AG6" s="11">
        <v>10.396396396396391</v>
      </c>
      <c r="AI6" s="12">
        <v>60</v>
      </c>
      <c r="AJ6" s="11">
        <v>47.15</v>
      </c>
      <c r="AK6" s="11">
        <v>37.533333333333331</v>
      </c>
      <c r="AL6" s="11">
        <v>37.083333333333336</v>
      </c>
      <c r="AM6" s="11">
        <v>57.222222222222221</v>
      </c>
      <c r="AN6" s="11">
        <v>121.76666666666668</v>
      </c>
      <c r="AO6" s="11">
        <v>40.588888888888896</v>
      </c>
      <c r="AP6" s="13">
        <v>194</v>
      </c>
      <c r="AQ6" s="11">
        <v>-14.474174174174166</v>
      </c>
      <c r="AS6" s="12">
        <v>45</v>
      </c>
      <c r="AT6" s="11">
        <v>51.875555555555557</v>
      </c>
      <c r="AU6" s="11">
        <v>32.768888888888895</v>
      </c>
      <c r="AV6" s="11">
        <v>36.271111111111111</v>
      </c>
      <c r="AW6" s="11">
        <v>57.615384615384613</v>
      </c>
      <c r="AX6" s="11">
        <v>120.91555555555556</v>
      </c>
      <c r="AY6" s="11">
        <v>40.305185185185188</v>
      </c>
      <c r="AZ6" s="13">
        <v>161</v>
      </c>
      <c r="BA6" s="11">
        <v>-0.28370370370370779</v>
      </c>
    </row>
    <row r="7" spans="1:54" s="14" customFormat="1" x14ac:dyDescent="0.25">
      <c r="A7" s="12">
        <v>4</v>
      </c>
      <c r="B7" s="12" t="s">
        <v>15</v>
      </c>
      <c r="C7" s="12">
        <v>83</v>
      </c>
      <c r="D7" s="12" t="s">
        <v>13</v>
      </c>
      <c r="E7" s="12">
        <v>125</v>
      </c>
      <c r="F7" s="11">
        <v>67.298400000000015</v>
      </c>
      <c r="G7" s="11">
        <v>57.043999999999997</v>
      </c>
      <c r="H7" s="11"/>
      <c r="I7" s="11"/>
      <c r="J7" s="11">
        <v>124.34240000000001</v>
      </c>
      <c r="K7" s="11">
        <v>62.171200000000006</v>
      </c>
      <c r="L7" s="13">
        <v>11</v>
      </c>
      <c r="M7" s="11">
        <v>5.0712000000000259</v>
      </c>
      <c r="O7" s="12">
        <v>147</v>
      </c>
      <c r="P7" s="11">
        <v>64.448979591836732</v>
      </c>
      <c r="Q7" s="11">
        <v>53.517006802721092</v>
      </c>
      <c r="R7" s="11">
        <v>53.551020408163268</v>
      </c>
      <c r="S7" s="11"/>
      <c r="T7" s="11">
        <v>117.96598639455783</v>
      </c>
      <c r="U7" s="11">
        <v>58.982993197278915</v>
      </c>
      <c r="V7" s="13">
        <v>18</v>
      </c>
      <c r="W7" s="11">
        <v>-3.1882068027210906</v>
      </c>
      <c r="Y7" s="12">
        <v>175</v>
      </c>
      <c r="Z7" s="11">
        <v>66.666666666666671</v>
      </c>
      <c r="AA7" s="11">
        <v>60.943262411347519</v>
      </c>
      <c r="AB7" s="11">
        <v>51.808510638297875</v>
      </c>
      <c r="AC7" s="11"/>
      <c r="AD7" s="11">
        <v>179.41843971631207</v>
      </c>
      <c r="AE7" s="11">
        <v>59.806146572104019</v>
      </c>
      <c r="AF7" s="13">
        <v>14</v>
      </c>
      <c r="AG7" s="11">
        <v>0.82315337482510387</v>
      </c>
      <c r="AI7" s="12">
        <v>163</v>
      </c>
      <c r="AJ7" s="11">
        <v>56.306748466257666</v>
      </c>
      <c r="AK7" s="11">
        <v>48.490797546012267</v>
      </c>
      <c r="AL7" s="11">
        <v>49.030674846625764</v>
      </c>
      <c r="AM7" s="11">
        <v>59.265625</v>
      </c>
      <c r="AN7" s="11">
        <v>153.82822085889569</v>
      </c>
      <c r="AO7" s="11">
        <v>51.276073619631894</v>
      </c>
      <c r="AP7" s="13">
        <v>55</v>
      </c>
      <c r="AQ7" s="11">
        <v>-8.5300729524721248</v>
      </c>
      <c r="AS7" s="12">
        <v>167</v>
      </c>
      <c r="AT7" s="11">
        <v>68.638922155688633</v>
      </c>
      <c r="AU7" s="11">
        <v>40.982035928143688</v>
      </c>
      <c r="AV7" s="11">
        <v>52.743113772455139</v>
      </c>
      <c r="AW7" s="11">
        <v>62.561403508771932</v>
      </c>
      <c r="AX7" s="11">
        <v>162.36407185628747</v>
      </c>
      <c r="AY7" s="11">
        <v>54.121357285429156</v>
      </c>
      <c r="AZ7" s="13">
        <v>14</v>
      </c>
      <c r="BA7" s="11">
        <v>2.8452836657972611</v>
      </c>
    </row>
    <row r="8" spans="1:54" s="14" customFormat="1" x14ac:dyDescent="0.25">
      <c r="A8" s="12">
        <v>5</v>
      </c>
      <c r="B8" s="12" t="s">
        <v>15</v>
      </c>
      <c r="C8" s="12">
        <v>99</v>
      </c>
      <c r="D8" s="12" t="s">
        <v>12</v>
      </c>
      <c r="E8" s="12">
        <v>131</v>
      </c>
      <c r="F8" s="11">
        <v>51.365648854961833</v>
      </c>
      <c r="G8" s="11">
        <v>39.020610687022909</v>
      </c>
      <c r="H8" s="11"/>
      <c r="I8" s="11"/>
      <c r="J8" s="11">
        <v>90.386259541984742</v>
      </c>
      <c r="K8" s="11">
        <v>45.193129770992371</v>
      </c>
      <c r="L8" s="13">
        <v>172</v>
      </c>
      <c r="M8" s="11">
        <v>-0.78187022900762315</v>
      </c>
      <c r="O8" s="12">
        <v>130</v>
      </c>
      <c r="P8" s="11">
        <v>53.676923076923075</v>
      </c>
      <c r="Q8" s="11">
        <v>39.276923076923076</v>
      </c>
      <c r="R8" s="11">
        <v>35.700000000000003</v>
      </c>
      <c r="S8" s="11"/>
      <c r="T8" s="11">
        <v>92.953846153846143</v>
      </c>
      <c r="U8" s="11">
        <v>46.476923076923072</v>
      </c>
      <c r="V8" s="13">
        <v>153</v>
      </c>
      <c r="W8" s="11">
        <v>1.2837933059307005</v>
      </c>
      <c r="Y8" s="12">
        <v>134</v>
      </c>
      <c r="Z8" s="11">
        <v>52.809160305343511</v>
      </c>
      <c r="AA8" s="11">
        <v>49.969465648854964</v>
      </c>
      <c r="AB8" s="11">
        <v>36.709923664122137</v>
      </c>
      <c r="AC8" s="11"/>
      <c r="AD8" s="11">
        <v>139.4885496183206</v>
      </c>
      <c r="AE8" s="11">
        <v>46.496183206106871</v>
      </c>
      <c r="AF8" s="13">
        <v>175</v>
      </c>
      <c r="AG8" s="11">
        <v>1.9260129183798824E-2</v>
      </c>
      <c r="AI8" s="12">
        <v>142</v>
      </c>
      <c r="AJ8" s="11">
        <v>43.802816901408448</v>
      </c>
      <c r="AK8" s="11">
        <v>39.014084507042256</v>
      </c>
      <c r="AL8" s="11">
        <v>32.2112676056338</v>
      </c>
      <c r="AM8" s="11" t="s">
        <v>14</v>
      </c>
      <c r="AN8" s="11">
        <v>115.02816901408451</v>
      </c>
      <c r="AO8" s="11">
        <v>38.34272300469484</v>
      </c>
      <c r="AP8" s="13">
        <v>224</v>
      </c>
      <c r="AQ8" s="11">
        <v>-8.153460201412031</v>
      </c>
      <c r="AS8" s="12">
        <v>135</v>
      </c>
      <c r="AT8" s="11">
        <v>54.82109375000001</v>
      </c>
      <c r="AU8" s="11">
        <v>32.07500000000001</v>
      </c>
      <c r="AV8" s="11">
        <v>36.485937499999991</v>
      </c>
      <c r="AW8" s="11"/>
      <c r="AX8" s="11">
        <v>123.38203125000001</v>
      </c>
      <c r="AY8" s="11">
        <v>41.127343750000001</v>
      </c>
      <c r="AZ8" s="13">
        <v>146</v>
      </c>
      <c r="BA8" s="11">
        <v>2.7846207453051619</v>
      </c>
    </row>
    <row r="9" spans="1:54" s="14" customFormat="1" x14ac:dyDescent="0.25">
      <c r="A9" s="12">
        <v>6</v>
      </c>
      <c r="B9" s="12" t="s">
        <v>15</v>
      </c>
      <c r="C9" s="12">
        <v>100</v>
      </c>
      <c r="D9" s="12" t="s">
        <v>12</v>
      </c>
      <c r="E9" s="12">
        <v>82</v>
      </c>
      <c r="F9" s="11">
        <v>48.460975609756119</v>
      </c>
      <c r="G9" s="11">
        <v>34.77682926829268</v>
      </c>
      <c r="H9" s="11"/>
      <c r="I9" s="11"/>
      <c r="J9" s="11">
        <v>83.237804878048792</v>
      </c>
      <c r="K9" s="11">
        <v>41.618902439024396</v>
      </c>
      <c r="L9" s="13">
        <v>225</v>
      </c>
      <c r="M9" s="11">
        <v>-2.3279157427937776</v>
      </c>
      <c r="O9" s="12">
        <v>110</v>
      </c>
      <c r="P9" s="11">
        <v>51.990909090909092</v>
      </c>
      <c r="Q9" s="11">
        <v>42.463636363636361</v>
      </c>
      <c r="R9" s="11">
        <v>35.272727272727273</v>
      </c>
      <c r="S9" s="11"/>
      <c r="T9" s="11">
        <v>94.454545454545453</v>
      </c>
      <c r="U9" s="11">
        <v>47.227272727272727</v>
      </c>
      <c r="V9" s="13">
        <v>133</v>
      </c>
      <c r="W9" s="11">
        <v>5.6083702882483308</v>
      </c>
      <c r="Y9" s="12">
        <v>135</v>
      </c>
      <c r="Z9" s="11">
        <v>53</v>
      </c>
      <c r="AA9" s="11">
        <v>50.522522522522522</v>
      </c>
      <c r="AB9" s="11">
        <v>38.441441441441441</v>
      </c>
      <c r="AC9" s="11"/>
      <c r="AD9" s="11">
        <v>141.96396396396398</v>
      </c>
      <c r="AE9" s="11">
        <v>47.321321321321328</v>
      </c>
      <c r="AF9" s="13">
        <v>162</v>
      </c>
      <c r="AG9" s="11">
        <v>9.4048594048601331E-2</v>
      </c>
      <c r="AI9" s="12">
        <v>139</v>
      </c>
      <c r="AJ9" s="11">
        <v>46.906474820143885</v>
      </c>
      <c r="AK9" s="11">
        <v>39.827338129496404</v>
      </c>
      <c r="AL9" s="11">
        <v>40.215827338129493</v>
      </c>
      <c r="AM9" s="11">
        <v>60.411764705882355</v>
      </c>
      <c r="AN9" s="11">
        <v>126.94964028776977</v>
      </c>
      <c r="AO9" s="11">
        <v>42.316546762589923</v>
      </c>
      <c r="AP9" s="13">
        <v>168</v>
      </c>
      <c r="AQ9" s="11">
        <v>-5.0047745587314054</v>
      </c>
      <c r="AS9" s="12">
        <v>135</v>
      </c>
      <c r="AT9" s="11">
        <v>56.305925925925926</v>
      </c>
      <c r="AU9" s="11">
        <v>32.3888888888889</v>
      </c>
      <c r="AV9" s="11">
        <v>39.20074074074072</v>
      </c>
      <c r="AW9" s="11">
        <v>53.875</v>
      </c>
      <c r="AX9" s="11">
        <v>127.89555555555555</v>
      </c>
      <c r="AY9" s="11">
        <v>42.631851851851849</v>
      </c>
      <c r="AZ9" s="13">
        <v>127</v>
      </c>
      <c r="BA9" s="11">
        <v>0.31530508926192624</v>
      </c>
    </row>
    <row r="10" spans="1:54" s="14" customFormat="1" x14ac:dyDescent="0.25">
      <c r="A10" s="12">
        <v>7</v>
      </c>
      <c r="B10" s="12" t="s">
        <v>15</v>
      </c>
      <c r="C10" s="12">
        <v>102</v>
      </c>
      <c r="D10" s="12" t="s">
        <v>12</v>
      </c>
      <c r="E10" s="12">
        <v>61</v>
      </c>
      <c r="F10" s="11">
        <v>60.342622950819681</v>
      </c>
      <c r="G10" s="11">
        <v>47.688524590163937</v>
      </c>
      <c r="H10" s="11"/>
      <c r="I10" s="11"/>
      <c r="J10" s="11">
        <v>108.03114754098362</v>
      </c>
      <c r="K10" s="11">
        <v>54.015573770491812</v>
      </c>
      <c r="L10" s="13">
        <v>51</v>
      </c>
      <c r="M10" s="11">
        <v>-0.98580237629717971</v>
      </c>
      <c r="O10" s="12">
        <v>86</v>
      </c>
      <c r="P10" s="11">
        <v>54.906976744186046</v>
      </c>
      <c r="Q10" s="11">
        <v>48.430232558139537</v>
      </c>
      <c r="R10" s="11">
        <v>47.127906976744185</v>
      </c>
      <c r="S10" s="11"/>
      <c r="T10" s="11">
        <v>103.33720930232559</v>
      </c>
      <c r="U10" s="11">
        <v>51.668604651162795</v>
      </c>
      <c r="V10" s="13">
        <v>75</v>
      </c>
      <c r="W10" s="11">
        <v>-2.3469691193290174</v>
      </c>
      <c r="Y10" s="12">
        <v>104</v>
      </c>
      <c r="Z10" s="11">
        <v>62.731707317073173</v>
      </c>
      <c r="AA10" s="11">
        <v>52.865853658536587</v>
      </c>
      <c r="AB10" s="11">
        <v>47.451219512195124</v>
      </c>
      <c r="AC10" s="11"/>
      <c r="AD10" s="11">
        <v>163.04878048780489</v>
      </c>
      <c r="AE10" s="11">
        <v>54.349593495934961</v>
      </c>
      <c r="AF10" s="13">
        <v>41</v>
      </c>
      <c r="AG10" s="11">
        <v>2.6809888447721661</v>
      </c>
      <c r="AI10" s="12">
        <v>121</v>
      </c>
      <c r="AJ10" s="11">
        <v>58.033333333333331</v>
      </c>
      <c r="AK10" s="11">
        <v>48.06666666666667</v>
      </c>
      <c r="AL10" s="11">
        <v>49.866666666666667</v>
      </c>
      <c r="AM10" s="11">
        <v>59.652777777777779</v>
      </c>
      <c r="AN10" s="11">
        <v>155.96666666666667</v>
      </c>
      <c r="AO10" s="11">
        <v>51.988888888888887</v>
      </c>
      <c r="AP10" s="13">
        <v>49</v>
      </c>
      <c r="AQ10" s="11">
        <v>-2.360704607046074</v>
      </c>
      <c r="AS10" s="12">
        <v>100</v>
      </c>
      <c r="AT10" s="11">
        <v>62.341999999999977</v>
      </c>
      <c r="AU10" s="11">
        <v>36.568000000000005</v>
      </c>
      <c r="AV10" s="11">
        <v>43.466999999999992</v>
      </c>
      <c r="AW10" s="11">
        <v>64.606557377049185</v>
      </c>
      <c r="AX10" s="11">
        <v>142.37699999999998</v>
      </c>
      <c r="AY10" s="11">
        <v>47.458999999999996</v>
      </c>
      <c r="AZ10" s="13">
        <v>58</v>
      </c>
      <c r="BA10" s="11">
        <v>-4.5298888888888911</v>
      </c>
    </row>
    <row r="11" spans="1:54" s="14" customFormat="1" x14ac:dyDescent="0.25">
      <c r="A11" s="12">
        <v>8</v>
      </c>
      <c r="B11" s="12" t="s">
        <v>15</v>
      </c>
      <c r="C11" s="12">
        <v>103</v>
      </c>
      <c r="D11" s="12" t="s">
        <v>12</v>
      </c>
      <c r="E11" s="12">
        <v>49</v>
      </c>
      <c r="F11" s="11">
        <v>48.651020408163255</v>
      </c>
      <c r="G11" s="11">
        <v>34.053061224489802</v>
      </c>
      <c r="H11" s="11"/>
      <c r="I11" s="11"/>
      <c r="J11" s="11">
        <v>82.704081632653057</v>
      </c>
      <c r="K11" s="11">
        <v>41.352040816326529</v>
      </c>
      <c r="L11" s="13">
        <v>231</v>
      </c>
      <c r="M11" s="11">
        <v>-0.58049886621315494</v>
      </c>
      <c r="O11" s="12">
        <v>86</v>
      </c>
      <c r="P11" s="11">
        <v>47.197674418604649</v>
      </c>
      <c r="Q11" s="11">
        <v>33.790697674418603</v>
      </c>
      <c r="R11" s="11">
        <v>28.476744186046513</v>
      </c>
      <c r="S11" s="11"/>
      <c r="T11" s="11">
        <v>80.988372093023258</v>
      </c>
      <c r="U11" s="11">
        <v>40.494186046511629</v>
      </c>
      <c r="V11" s="13">
        <v>252</v>
      </c>
      <c r="W11" s="11">
        <v>-0.8578547698148995</v>
      </c>
      <c r="Y11" s="12">
        <v>106</v>
      </c>
      <c r="Z11" s="11">
        <v>44.107142857142854</v>
      </c>
      <c r="AA11" s="11">
        <v>40.845238095238095</v>
      </c>
      <c r="AB11" s="11">
        <v>31.88095238095238</v>
      </c>
      <c r="AC11" s="11"/>
      <c r="AD11" s="11">
        <v>116.83333333333333</v>
      </c>
      <c r="AE11" s="11">
        <v>38.944444444444443</v>
      </c>
      <c r="AF11" s="13">
        <v>279</v>
      </c>
      <c r="AG11" s="11">
        <v>-1.5497416020671864</v>
      </c>
      <c r="AI11" s="12">
        <v>95</v>
      </c>
      <c r="AJ11" s="11">
        <v>39.88421052631579</v>
      </c>
      <c r="AK11" s="11">
        <v>32.88421052631579</v>
      </c>
      <c r="AL11" s="11">
        <v>27.768421052631577</v>
      </c>
      <c r="AM11" s="11" t="s">
        <v>14</v>
      </c>
      <c r="AN11" s="11">
        <v>100.53684210526316</v>
      </c>
      <c r="AO11" s="11">
        <v>33.512280701754385</v>
      </c>
      <c r="AP11" s="13">
        <v>272</v>
      </c>
      <c r="AQ11" s="11">
        <v>-5.432163742690058</v>
      </c>
      <c r="AS11" s="12">
        <v>109</v>
      </c>
      <c r="AT11" s="11">
        <v>46.690740740740708</v>
      </c>
      <c r="AU11" s="11">
        <v>25.368518518518524</v>
      </c>
      <c r="AV11" s="11">
        <v>29.027777777777779</v>
      </c>
      <c r="AW11" s="11"/>
      <c r="AX11" s="11">
        <v>101.08703703703702</v>
      </c>
      <c r="AY11" s="11">
        <v>33.695679012345671</v>
      </c>
      <c r="AZ11" s="13">
        <v>265</v>
      </c>
      <c r="BA11" s="11">
        <v>0.18339831059128642</v>
      </c>
    </row>
    <row r="12" spans="1:54" s="14" customFormat="1" x14ac:dyDescent="0.25">
      <c r="A12" s="12">
        <v>9</v>
      </c>
      <c r="B12" s="12" t="s">
        <v>15</v>
      </c>
      <c r="C12" s="12" t="s">
        <v>45</v>
      </c>
      <c r="D12" s="12" t="s">
        <v>33</v>
      </c>
      <c r="E12" s="12"/>
      <c r="F12" s="11"/>
      <c r="G12" s="11"/>
      <c r="H12" s="11"/>
      <c r="I12" s="11"/>
      <c r="J12" s="11" t="s">
        <v>14</v>
      </c>
      <c r="K12" s="11" t="s">
        <v>14</v>
      </c>
      <c r="L12" s="13" t="s">
        <v>14</v>
      </c>
      <c r="M12" s="11" t="s">
        <v>14</v>
      </c>
      <c r="O12" s="12"/>
      <c r="P12" s="11"/>
      <c r="Q12" s="11"/>
      <c r="R12" s="11"/>
      <c r="S12" s="11"/>
      <c r="T12" s="11" t="s">
        <v>14</v>
      </c>
      <c r="U12" s="11" t="s">
        <v>14</v>
      </c>
      <c r="V12" s="13" t="s">
        <v>14</v>
      </c>
      <c r="W12" s="11" t="s">
        <v>14</v>
      </c>
      <c r="Y12" s="12"/>
      <c r="Z12" s="11"/>
      <c r="AA12" s="11"/>
      <c r="AB12" s="11"/>
      <c r="AC12" s="11"/>
      <c r="AD12" s="11" t="s">
        <v>14</v>
      </c>
      <c r="AE12" s="11" t="s">
        <v>14</v>
      </c>
      <c r="AF12" s="13" t="s">
        <v>14</v>
      </c>
      <c r="AG12" s="11" t="s">
        <v>14</v>
      </c>
      <c r="AI12" s="12"/>
      <c r="AJ12" s="11"/>
      <c r="AK12" s="11"/>
      <c r="AL12" s="11"/>
      <c r="AM12" s="11"/>
      <c r="AN12" s="11" t="s">
        <v>14</v>
      </c>
      <c r="AO12" s="11" t="s">
        <v>14</v>
      </c>
      <c r="AP12" s="13" t="s">
        <v>14</v>
      </c>
      <c r="AQ12" s="11" t="s">
        <v>14</v>
      </c>
      <c r="AS12" s="12">
        <v>7</v>
      </c>
      <c r="AT12" s="11">
        <v>30.657142857142862</v>
      </c>
      <c r="AU12" s="11">
        <v>28.071428571428573</v>
      </c>
      <c r="AV12" s="11">
        <v>15.114285714285716</v>
      </c>
      <c r="AW12" s="11"/>
      <c r="AX12" s="11">
        <v>73.842857142857156</v>
      </c>
      <c r="AY12" s="11">
        <v>24.614285714285717</v>
      </c>
      <c r="AZ12" s="13">
        <v>307</v>
      </c>
      <c r="BA12" s="11" t="e">
        <v>#VALUE!</v>
      </c>
    </row>
    <row r="13" spans="1:54" s="14" customFormat="1" x14ac:dyDescent="0.25">
      <c r="A13" s="12">
        <v>10</v>
      </c>
      <c r="B13" s="12" t="s">
        <v>15</v>
      </c>
      <c r="C13" s="12">
        <v>115</v>
      </c>
      <c r="D13" s="12" t="s">
        <v>12</v>
      </c>
      <c r="E13" s="12">
        <v>123</v>
      </c>
      <c r="F13" s="11">
        <v>57.1081300813008</v>
      </c>
      <c r="G13" s="11">
        <v>41.430894308943095</v>
      </c>
      <c r="H13" s="11"/>
      <c r="I13" s="11"/>
      <c r="J13" s="11">
        <v>98.539024390243895</v>
      </c>
      <c r="K13" s="11">
        <v>49.269512195121948</v>
      </c>
      <c r="L13" s="13">
        <v>117</v>
      </c>
      <c r="M13" s="11">
        <v>-1.7808211382113797</v>
      </c>
      <c r="O13" s="12">
        <v>149</v>
      </c>
      <c r="P13" s="11">
        <v>53.817567567567565</v>
      </c>
      <c r="Q13" s="11">
        <v>42.810810810810814</v>
      </c>
      <c r="R13" s="11">
        <v>41.993243243243242</v>
      </c>
      <c r="S13" s="11"/>
      <c r="T13" s="11">
        <v>96.628378378378386</v>
      </c>
      <c r="U13" s="11">
        <v>48.314189189189193</v>
      </c>
      <c r="V13" s="13">
        <v>123</v>
      </c>
      <c r="W13" s="11">
        <v>-0.95532300593275465</v>
      </c>
      <c r="Y13" s="12">
        <v>135</v>
      </c>
      <c r="Z13" s="11">
        <v>58.611111111111114</v>
      </c>
      <c r="AA13" s="11">
        <v>53.402777777777779</v>
      </c>
      <c r="AB13" s="11">
        <v>43.194444444444443</v>
      </c>
      <c r="AC13" s="11"/>
      <c r="AD13" s="11">
        <v>155.20833333333331</v>
      </c>
      <c r="AE13" s="11">
        <v>51.736111111111107</v>
      </c>
      <c r="AF13" s="13">
        <v>71</v>
      </c>
      <c r="AG13" s="11">
        <v>3.4219219219219141</v>
      </c>
      <c r="AI13" s="12">
        <v>144</v>
      </c>
      <c r="AJ13" s="11">
        <v>52.069444444444443</v>
      </c>
      <c r="AK13" s="11">
        <v>40.555555555555557</v>
      </c>
      <c r="AL13" s="11">
        <v>44.229166666666664</v>
      </c>
      <c r="AM13" s="11">
        <v>54.384615384615387</v>
      </c>
      <c r="AN13" s="11">
        <v>136.85416666666666</v>
      </c>
      <c r="AO13" s="11">
        <v>45.61805555555555</v>
      </c>
      <c r="AP13" s="13">
        <v>124</v>
      </c>
      <c r="AQ13" s="11">
        <v>-6.1180555555555571</v>
      </c>
      <c r="AS13" s="12">
        <v>132</v>
      </c>
      <c r="AT13" s="11">
        <v>57.45454545454546</v>
      </c>
      <c r="AU13" s="11">
        <v>31.694696969696981</v>
      </c>
      <c r="AV13" s="11">
        <v>39.592424242424258</v>
      </c>
      <c r="AW13" s="11">
        <v>53.222222222222221</v>
      </c>
      <c r="AX13" s="11">
        <v>128.7416666666667</v>
      </c>
      <c r="AY13" s="11">
        <v>42.913888888888899</v>
      </c>
      <c r="AZ13" s="13">
        <v>121</v>
      </c>
      <c r="BA13" s="11">
        <v>-2.7041666666666515</v>
      </c>
    </row>
    <row r="14" spans="1:54" s="14" customFormat="1" x14ac:dyDescent="0.25">
      <c r="A14" s="12">
        <v>11</v>
      </c>
      <c r="B14" s="12" t="s">
        <v>15</v>
      </c>
      <c r="C14" s="12">
        <v>126</v>
      </c>
      <c r="D14" s="12" t="s">
        <v>36</v>
      </c>
      <c r="E14" s="12">
        <v>53</v>
      </c>
      <c r="F14" s="11">
        <v>56.318867924528313</v>
      </c>
      <c r="G14" s="11">
        <v>41.456603773584909</v>
      </c>
      <c r="H14" s="11"/>
      <c r="I14" s="11"/>
      <c r="J14" s="11">
        <v>97.775471698113222</v>
      </c>
      <c r="K14" s="11">
        <v>48.887735849056611</v>
      </c>
      <c r="L14" s="13">
        <v>123</v>
      </c>
      <c r="M14" s="11">
        <v>2.1885691823899407</v>
      </c>
      <c r="O14" s="12">
        <v>73</v>
      </c>
      <c r="P14" s="11">
        <v>49.236111111111114</v>
      </c>
      <c r="Q14" s="11">
        <v>35.736111111111114</v>
      </c>
      <c r="R14" s="11">
        <v>33.055555555555557</v>
      </c>
      <c r="S14" s="11"/>
      <c r="T14" s="11">
        <v>84.972222222222229</v>
      </c>
      <c r="U14" s="11">
        <v>42.486111111111114</v>
      </c>
      <c r="V14" s="13">
        <v>216</v>
      </c>
      <c r="W14" s="11">
        <v>-6.4016247379454967</v>
      </c>
      <c r="Y14" s="12">
        <v>85</v>
      </c>
      <c r="Z14" s="11">
        <v>52.589041095890408</v>
      </c>
      <c r="AA14" s="11">
        <v>42.767123287671232</v>
      </c>
      <c r="AB14" s="11">
        <v>36.863013698630134</v>
      </c>
      <c r="AC14" s="11"/>
      <c r="AD14" s="11">
        <v>132.21917808219177</v>
      </c>
      <c r="AE14" s="11">
        <v>44.073059360730589</v>
      </c>
      <c r="AF14" s="13">
        <v>227</v>
      </c>
      <c r="AG14" s="11">
        <v>1.5869482496194749</v>
      </c>
      <c r="AI14" s="12">
        <v>84</v>
      </c>
      <c r="AJ14" s="11">
        <v>44.80952380952381</v>
      </c>
      <c r="AK14" s="11">
        <v>36.666666666666664</v>
      </c>
      <c r="AL14" s="11">
        <v>35.36904761904762</v>
      </c>
      <c r="AM14" s="11">
        <v>51.578947368421055</v>
      </c>
      <c r="AN14" s="11">
        <v>116.8452380952381</v>
      </c>
      <c r="AO14" s="11">
        <v>38.948412698412703</v>
      </c>
      <c r="AP14" s="13">
        <v>218</v>
      </c>
      <c r="AQ14" s="11">
        <v>-5.1246466623178861</v>
      </c>
      <c r="AS14" s="12">
        <v>80</v>
      </c>
      <c r="AT14" s="11">
        <v>54.131645569620247</v>
      </c>
      <c r="AU14" s="11">
        <v>27.674683544303807</v>
      </c>
      <c r="AV14" s="11">
        <v>38.345569620253158</v>
      </c>
      <c r="AW14" s="11">
        <v>52.8</v>
      </c>
      <c r="AX14" s="11">
        <v>120.15189873417721</v>
      </c>
      <c r="AY14" s="11">
        <v>40.050632911392405</v>
      </c>
      <c r="AZ14" s="13">
        <v>163</v>
      </c>
      <c r="BA14" s="11">
        <v>1.1022202129797023</v>
      </c>
    </row>
    <row r="15" spans="1:54" s="14" customFormat="1" x14ac:dyDescent="0.25">
      <c r="A15" s="12">
        <v>12</v>
      </c>
      <c r="B15" s="12" t="s">
        <v>15</v>
      </c>
      <c r="C15" s="12">
        <v>135</v>
      </c>
      <c r="D15" s="12" t="s">
        <v>12</v>
      </c>
      <c r="E15" s="12">
        <v>43</v>
      </c>
      <c r="F15" s="11">
        <v>50.73488372093022</v>
      </c>
      <c r="G15" s="11">
        <v>37.755813953488364</v>
      </c>
      <c r="H15" s="11"/>
      <c r="I15" s="11"/>
      <c r="J15" s="11">
        <v>88.490697674418584</v>
      </c>
      <c r="K15" s="11">
        <v>44.245348837209292</v>
      </c>
      <c r="L15" s="13">
        <v>189</v>
      </c>
      <c r="M15" s="11">
        <v>0.71284883720930736</v>
      </c>
      <c r="O15" s="12">
        <v>43</v>
      </c>
      <c r="P15" s="11">
        <v>51.627906976744185</v>
      </c>
      <c r="Q15" s="11">
        <v>46.093023255813954</v>
      </c>
      <c r="R15" s="11">
        <v>40.674418604651166</v>
      </c>
      <c r="S15" s="11"/>
      <c r="T15" s="11">
        <v>97.720930232558146</v>
      </c>
      <c r="U15" s="11">
        <v>48.860465116279073</v>
      </c>
      <c r="V15" s="13">
        <v>115</v>
      </c>
      <c r="W15" s="11">
        <v>4.6151162790697811</v>
      </c>
      <c r="Y15" s="12">
        <v>56</v>
      </c>
      <c r="Z15" s="11">
        <v>49.714285714285715</v>
      </c>
      <c r="AA15" s="11">
        <v>46.023809523809526</v>
      </c>
      <c r="AB15" s="11">
        <v>36.738095238095241</v>
      </c>
      <c r="AC15" s="11"/>
      <c r="AD15" s="11">
        <v>132.47619047619048</v>
      </c>
      <c r="AE15" s="11">
        <v>44.158730158730158</v>
      </c>
      <c r="AF15" s="13">
        <v>225</v>
      </c>
      <c r="AG15" s="11">
        <v>-4.7017349575489149</v>
      </c>
      <c r="AI15" s="12">
        <v>49</v>
      </c>
      <c r="AJ15" s="11">
        <v>45.693877551020407</v>
      </c>
      <c r="AK15" s="11">
        <v>38.122448979591837</v>
      </c>
      <c r="AL15" s="11">
        <v>42.795918367346935</v>
      </c>
      <c r="AM15" s="11" t="s">
        <v>14</v>
      </c>
      <c r="AN15" s="11">
        <v>126.61224489795919</v>
      </c>
      <c r="AO15" s="11">
        <v>42.204081632653065</v>
      </c>
      <c r="AP15" s="13">
        <v>171</v>
      </c>
      <c r="AQ15" s="11">
        <v>-1.9546485260770936</v>
      </c>
      <c r="AS15" s="12">
        <v>54</v>
      </c>
      <c r="AT15" s="11">
        <v>55.524074074074079</v>
      </c>
      <c r="AU15" s="11">
        <v>31.446296296296303</v>
      </c>
      <c r="AV15" s="11">
        <v>41.942592592592597</v>
      </c>
      <c r="AW15" s="11"/>
      <c r="AX15" s="11">
        <v>128.91296296296298</v>
      </c>
      <c r="AY15" s="11">
        <v>42.970987654320993</v>
      </c>
      <c r="AZ15" s="13">
        <v>118</v>
      </c>
      <c r="BA15" s="11">
        <v>0.76690602166792843</v>
      </c>
    </row>
    <row r="16" spans="1:54" s="14" customFormat="1" x14ac:dyDescent="0.25">
      <c r="A16" s="12">
        <v>13</v>
      </c>
      <c r="B16" s="12" t="s">
        <v>15</v>
      </c>
      <c r="C16" s="12">
        <v>143</v>
      </c>
      <c r="D16" s="12" t="s">
        <v>12</v>
      </c>
      <c r="E16" s="12">
        <v>74</v>
      </c>
      <c r="F16" s="11">
        <v>62.343243243243229</v>
      </c>
      <c r="G16" s="11">
        <v>42.14594594594594</v>
      </c>
      <c r="H16" s="11"/>
      <c r="I16" s="11"/>
      <c r="J16" s="11">
        <v>104.48918918918918</v>
      </c>
      <c r="K16" s="11">
        <v>52.244594594594588</v>
      </c>
      <c r="L16" s="13">
        <v>73</v>
      </c>
      <c r="M16" s="11">
        <v>1.9985945945945787</v>
      </c>
      <c r="O16" s="12">
        <v>58</v>
      </c>
      <c r="P16" s="11">
        <v>55.741379310344826</v>
      </c>
      <c r="Q16" s="11">
        <v>43.96551724137931</v>
      </c>
      <c r="R16" s="11">
        <v>41.724137931034484</v>
      </c>
      <c r="S16" s="11"/>
      <c r="T16" s="11">
        <v>99.706896551724128</v>
      </c>
      <c r="U16" s="11">
        <v>49.853448275862064</v>
      </c>
      <c r="V16" s="13">
        <v>104</v>
      </c>
      <c r="W16" s="11">
        <v>-2.3911463187325239</v>
      </c>
      <c r="Y16" s="12">
        <v>89</v>
      </c>
      <c r="Z16" s="11">
        <v>59.783783783783782</v>
      </c>
      <c r="AA16" s="11">
        <v>51.256756756756758</v>
      </c>
      <c r="AB16" s="11">
        <v>44.121621621621621</v>
      </c>
      <c r="AC16" s="11"/>
      <c r="AD16" s="11">
        <v>155.16216216216216</v>
      </c>
      <c r="AE16" s="11">
        <v>51.72072072072072</v>
      </c>
      <c r="AF16" s="13">
        <v>73</v>
      </c>
      <c r="AG16" s="11">
        <v>1.8672724448586564</v>
      </c>
      <c r="AI16" s="12">
        <v>89</v>
      </c>
      <c r="AJ16" s="11">
        <v>53.977528089887642</v>
      </c>
      <c r="AK16" s="11">
        <v>42.337078651685395</v>
      </c>
      <c r="AL16" s="11">
        <v>38.449438202247194</v>
      </c>
      <c r="AM16" s="11">
        <v>58.695652173913047</v>
      </c>
      <c r="AN16" s="11">
        <v>134.76404494382024</v>
      </c>
      <c r="AO16" s="11">
        <v>44.921348314606746</v>
      </c>
      <c r="AP16" s="13">
        <v>135</v>
      </c>
      <c r="AQ16" s="11">
        <v>-6.7993724061139744</v>
      </c>
      <c r="AS16" s="12">
        <v>91</v>
      </c>
      <c r="AT16" s="11">
        <v>56.659340659340678</v>
      </c>
      <c r="AU16" s="11">
        <v>27.490109890109899</v>
      </c>
      <c r="AV16" s="11">
        <v>38.97912087912087</v>
      </c>
      <c r="AW16" s="11">
        <v>63.772727272727273</v>
      </c>
      <c r="AX16" s="11">
        <v>123.12857142857145</v>
      </c>
      <c r="AY16" s="11">
        <v>41.042857142857152</v>
      </c>
      <c r="AZ16" s="13">
        <v>147</v>
      </c>
      <c r="BA16" s="11">
        <v>-3.8784911717495945</v>
      </c>
    </row>
    <row r="17" spans="1:53" s="14" customFormat="1" x14ac:dyDescent="0.25">
      <c r="A17" s="12">
        <v>14</v>
      </c>
      <c r="B17" s="12" t="s">
        <v>15</v>
      </c>
      <c r="C17" s="12">
        <v>144</v>
      </c>
      <c r="D17" s="12" t="s">
        <v>12</v>
      </c>
      <c r="E17" s="12">
        <v>51</v>
      </c>
      <c r="F17" s="11">
        <v>59.049019607843135</v>
      </c>
      <c r="G17" s="11">
        <v>47.688235294117646</v>
      </c>
      <c r="H17" s="11"/>
      <c r="I17" s="11"/>
      <c r="J17" s="11">
        <v>106.73725490196078</v>
      </c>
      <c r="K17" s="11">
        <v>53.368627450980391</v>
      </c>
      <c r="L17" s="13">
        <v>56</v>
      </c>
      <c r="M17" s="11">
        <v>5.8280614132445336</v>
      </c>
      <c r="O17" s="12">
        <v>49</v>
      </c>
      <c r="P17" s="11">
        <v>61.857142857142854</v>
      </c>
      <c r="Q17" s="11">
        <v>48.918367346938773</v>
      </c>
      <c r="R17" s="11">
        <v>44.510204081632651</v>
      </c>
      <c r="S17" s="11"/>
      <c r="T17" s="11">
        <v>110.77551020408163</v>
      </c>
      <c r="U17" s="11">
        <v>55.387755102040813</v>
      </c>
      <c r="V17" s="13">
        <v>29</v>
      </c>
      <c r="W17" s="11">
        <v>2.0191276510604226</v>
      </c>
      <c r="Y17" s="12">
        <v>70</v>
      </c>
      <c r="Z17" s="11">
        <v>57.903225806451616</v>
      </c>
      <c r="AA17" s="11">
        <v>54.08064516129032</v>
      </c>
      <c r="AB17" s="11">
        <v>42.20967741935484</v>
      </c>
      <c r="AC17" s="11"/>
      <c r="AD17" s="11">
        <v>154.19354838709677</v>
      </c>
      <c r="AE17" s="11">
        <v>51.397849462365592</v>
      </c>
      <c r="AF17" s="13">
        <v>82</v>
      </c>
      <c r="AG17" s="11">
        <v>-3.9899056396752215</v>
      </c>
      <c r="AI17" s="12">
        <v>70</v>
      </c>
      <c r="AJ17" s="11">
        <v>51.628571428571426</v>
      </c>
      <c r="AK17" s="11">
        <v>48.057142857142857</v>
      </c>
      <c r="AL17" s="11">
        <v>40.457142857142856</v>
      </c>
      <c r="AM17" s="11" t="s">
        <v>14</v>
      </c>
      <c r="AN17" s="11">
        <v>140.14285714285714</v>
      </c>
      <c r="AO17" s="11">
        <v>46.714285714285715</v>
      </c>
      <c r="AP17" s="13">
        <v>110</v>
      </c>
      <c r="AQ17" s="11">
        <v>-4.6835637480798766</v>
      </c>
      <c r="AS17" s="12">
        <v>68</v>
      </c>
      <c r="AT17" s="11">
        <v>57.627941176470571</v>
      </c>
      <c r="AU17" s="11">
        <v>34.60588235294118</v>
      </c>
      <c r="AV17" s="11">
        <v>39.529411764705877</v>
      </c>
      <c r="AW17" s="11"/>
      <c r="AX17" s="11">
        <v>131.76323529411764</v>
      </c>
      <c r="AY17" s="11">
        <v>43.921078431372543</v>
      </c>
      <c r="AZ17" s="13">
        <v>102</v>
      </c>
      <c r="BA17" s="11">
        <v>-2.7932072829131727</v>
      </c>
    </row>
    <row r="18" spans="1:53" s="14" customFormat="1" x14ac:dyDescent="0.25">
      <c r="A18" s="12">
        <v>15</v>
      </c>
      <c r="B18" s="12" t="s">
        <v>15</v>
      </c>
      <c r="C18" s="12">
        <v>157</v>
      </c>
      <c r="D18" s="12" t="s">
        <v>12</v>
      </c>
      <c r="E18" s="12">
        <v>95</v>
      </c>
      <c r="F18" s="11">
        <v>57.996842105263163</v>
      </c>
      <c r="G18" s="11">
        <v>46.284210526315782</v>
      </c>
      <c r="H18" s="11"/>
      <c r="I18" s="11"/>
      <c r="J18" s="11">
        <v>104.28105263157894</v>
      </c>
      <c r="K18" s="11">
        <v>52.140526315789472</v>
      </c>
      <c r="L18" s="13">
        <v>74</v>
      </c>
      <c r="M18" s="11">
        <v>-2.3961403508771895</v>
      </c>
      <c r="O18" s="12">
        <v>89</v>
      </c>
      <c r="P18" s="11">
        <v>55.247191011235955</v>
      </c>
      <c r="Q18" s="11">
        <v>48.921348314606739</v>
      </c>
      <c r="R18" s="11">
        <v>43.460674157303373</v>
      </c>
      <c r="S18" s="11"/>
      <c r="T18" s="11">
        <v>104.16853932584269</v>
      </c>
      <c r="U18" s="11">
        <v>52.084269662921344</v>
      </c>
      <c r="V18" s="13">
        <v>67</v>
      </c>
      <c r="W18" s="11">
        <v>-5.6256652868128754E-2</v>
      </c>
      <c r="Y18" s="12">
        <v>110</v>
      </c>
      <c r="Z18" s="11">
        <v>56.88607594936709</v>
      </c>
      <c r="AA18" s="11">
        <v>50.303797468354432</v>
      </c>
      <c r="AB18" s="11">
        <v>40.759493670886073</v>
      </c>
      <c r="AC18" s="11"/>
      <c r="AD18" s="11">
        <v>147.94936708860757</v>
      </c>
      <c r="AE18" s="11">
        <v>49.316455696202524</v>
      </c>
      <c r="AF18" s="13">
        <v>128</v>
      </c>
      <c r="AG18" s="11">
        <v>-2.7678139667188191</v>
      </c>
      <c r="AI18" s="12">
        <v>91</v>
      </c>
      <c r="AJ18" s="11">
        <v>54.032967032967036</v>
      </c>
      <c r="AK18" s="11">
        <v>47.868131868131869</v>
      </c>
      <c r="AL18" s="11">
        <v>41.417582417582416</v>
      </c>
      <c r="AM18" s="11">
        <v>55.5</v>
      </c>
      <c r="AN18" s="11">
        <v>143.31868131868131</v>
      </c>
      <c r="AO18" s="11">
        <v>47.772893772893774</v>
      </c>
      <c r="AP18" s="13">
        <v>96</v>
      </c>
      <c r="AQ18" s="11">
        <v>-1.5435619233087507</v>
      </c>
      <c r="AS18" s="12">
        <v>107</v>
      </c>
      <c r="AT18" s="11">
        <v>59.49158878504673</v>
      </c>
      <c r="AU18" s="11">
        <v>38.248598130841117</v>
      </c>
      <c r="AV18" s="11">
        <v>43.542056074766371</v>
      </c>
      <c r="AW18" s="11">
        <v>57.1875</v>
      </c>
      <c r="AX18" s="11">
        <v>141.28224299065423</v>
      </c>
      <c r="AY18" s="11">
        <v>47.094080996884742</v>
      </c>
      <c r="AZ18" s="13">
        <v>62</v>
      </c>
      <c r="BA18" s="11">
        <v>-0.67881277600903189</v>
      </c>
    </row>
    <row r="19" spans="1:53" s="14" customFormat="1" x14ac:dyDescent="0.25">
      <c r="A19" s="12">
        <v>16</v>
      </c>
      <c r="B19" s="12" t="s">
        <v>15</v>
      </c>
      <c r="C19" s="12">
        <v>179</v>
      </c>
      <c r="D19" s="12" t="s">
        <v>12</v>
      </c>
      <c r="E19" s="12">
        <v>193</v>
      </c>
      <c r="F19" s="11">
        <v>52.366839378238318</v>
      </c>
      <c r="G19" s="11">
        <v>39.43108808290156</v>
      </c>
      <c r="H19" s="11"/>
      <c r="I19" s="11"/>
      <c r="J19" s="11">
        <v>91.797927461139878</v>
      </c>
      <c r="K19" s="11">
        <v>45.898963730569939</v>
      </c>
      <c r="L19" s="13">
        <v>162</v>
      </c>
      <c r="M19" s="11">
        <v>2.1570718386780499</v>
      </c>
      <c r="O19" s="12">
        <v>202</v>
      </c>
      <c r="P19" s="11">
        <v>43.28217821782178</v>
      </c>
      <c r="Q19" s="11">
        <v>33.316831683168317</v>
      </c>
      <c r="R19" s="11">
        <v>30.787128712871286</v>
      </c>
      <c r="S19" s="11"/>
      <c r="T19" s="11">
        <v>76.599009900990097</v>
      </c>
      <c r="U19" s="11">
        <v>38.299504950495049</v>
      </c>
      <c r="V19" s="13">
        <v>271</v>
      </c>
      <c r="W19" s="11">
        <v>-7.5994587800748903</v>
      </c>
      <c r="Y19" s="12">
        <v>262</v>
      </c>
      <c r="Z19" s="11">
        <v>53.118421052631582</v>
      </c>
      <c r="AA19" s="11">
        <v>43.991228070175438</v>
      </c>
      <c r="AB19" s="11">
        <v>38.412280701754383</v>
      </c>
      <c r="AC19" s="11"/>
      <c r="AD19" s="11">
        <v>135.5219298245614</v>
      </c>
      <c r="AE19" s="11">
        <v>45.173976608187132</v>
      </c>
      <c r="AF19" s="13">
        <v>203</v>
      </c>
      <c r="AG19" s="11">
        <v>6.8744716576920837</v>
      </c>
      <c r="AI19" s="12">
        <v>270</v>
      </c>
      <c r="AJ19" s="11">
        <v>43.851851851851855</v>
      </c>
      <c r="AK19" s="11">
        <v>36.770370370370372</v>
      </c>
      <c r="AL19" s="11">
        <v>31.848148148148148</v>
      </c>
      <c r="AM19" s="11">
        <v>61.058823529411768</v>
      </c>
      <c r="AN19" s="11">
        <v>112.47037037037038</v>
      </c>
      <c r="AO19" s="11">
        <v>37.490123456790123</v>
      </c>
      <c r="AP19" s="13">
        <v>233</v>
      </c>
      <c r="AQ19" s="11">
        <v>-7.6838531513970096</v>
      </c>
      <c r="AS19" s="12">
        <v>258</v>
      </c>
      <c r="AT19" s="11">
        <v>46.229133858267765</v>
      </c>
      <c r="AU19" s="11">
        <v>24.413385826771684</v>
      </c>
      <c r="AV19" s="11">
        <v>29.516535433070871</v>
      </c>
      <c r="AW19" s="11">
        <v>55.583333333333336</v>
      </c>
      <c r="AX19" s="11">
        <v>100.15905511811032</v>
      </c>
      <c r="AY19" s="11">
        <v>33.38635170603677</v>
      </c>
      <c r="AZ19" s="13">
        <v>268</v>
      </c>
      <c r="BA19" s="11">
        <v>-4.1037717507533529</v>
      </c>
    </row>
    <row r="20" spans="1:53" s="14" customFormat="1" x14ac:dyDescent="0.25">
      <c r="A20" s="12">
        <v>17</v>
      </c>
      <c r="B20" s="12" t="s">
        <v>15</v>
      </c>
      <c r="C20" s="12">
        <v>182</v>
      </c>
      <c r="D20" s="12" t="s">
        <v>12</v>
      </c>
      <c r="E20" s="12">
        <v>254</v>
      </c>
      <c r="F20" s="11">
        <v>49.931889763779516</v>
      </c>
      <c r="G20" s="11">
        <v>38.291338582677191</v>
      </c>
      <c r="H20" s="11"/>
      <c r="I20" s="11"/>
      <c r="J20" s="11">
        <v>88.223228346456708</v>
      </c>
      <c r="K20" s="11">
        <v>44.111614173228354</v>
      </c>
      <c r="L20" s="13">
        <v>191</v>
      </c>
      <c r="M20" s="11">
        <v>-0.88919883490171259</v>
      </c>
      <c r="O20" s="12">
        <v>276</v>
      </c>
      <c r="P20" s="11">
        <v>50.61090909090909</v>
      </c>
      <c r="Q20" s="11">
        <v>38.272727272727273</v>
      </c>
      <c r="R20" s="11">
        <v>36.592727272727274</v>
      </c>
      <c r="S20" s="11"/>
      <c r="T20" s="11">
        <v>88.883636363636356</v>
      </c>
      <c r="U20" s="11">
        <v>44.441818181818178</v>
      </c>
      <c r="V20" s="13">
        <v>188</v>
      </c>
      <c r="W20" s="11">
        <v>0.33020400858982413</v>
      </c>
      <c r="Y20" s="12">
        <v>414</v>
      </c>
      <c r="Z20" s="11">
        <v>51.582758620689653</v>
      </c>
      <c r="AA20" s="11">
        <v>45.54137931034483</v>
      </c>
      <c r="AB20" s="11">
        <v>37.972413793103449</v>
      </c>
      <c r="AC20" s="11"/>
      <c r="AD20" s="11">
        <v>135.09655172413792</v>
      </c>
      <c r="AE20" s="11">
        <v>45.032183908045972</v>
      </c>
      <c r="AF20" s="13">
        <v>208</v>
      </c>
      <c r="AG20" s="11">
        <v>0.5903657262277946</v>
      </c>
      <c r="AI20" s="12">
        <v>363</v>
      </c>
      <c r="AJ20" s="11">
        <v>45.991735537190081</v>
      </c>
      <c r="AK20" s="11">
        <v>41.564738292011022</v>
      </c>
      <c r="AL20" s="11">
        <v>33.920110192837463</v>
      </c>
      <c r="AM20" s="11" t="s">
        <v>14</v>
      </c>
      <c r="AN20" s="11">
        <v>121.47658402203857</v>
      </c>
      <c r="AO20" s="11">
        <v>40.492194674012858</v>
      </c>
      <c r="AP20" s="13">
        <v>196</v>
      </c>
      <c r="AQ20" s="11">
        <v>-4.5399892340331149</v>
      </c>
      <c r="AS20" s="12">
        <v>415</v>
      </c>
      <c r="AT20" s="11">
        <v>52.037772397094429</v>
      </c>
      <c r="AU20" s="11">
        <v>29.792009685230038</v>
      </c>
      <c r="AV20" s="11">
        <v>33.639467312348685</v>
      </c>
      <c r="AW20" s="11"/>
      <c r="AX20" s="11">
        <v>115.46924939467316</v>
      </c>
      <c r="AY20" s="11">
        <v>38.489749798224388</v>
      </c>
      <c r="AZ20" s="13">
        <v>195</v>
      </c>
      <c r="BA20" s="11">
        <v>-2.0024448757884699</v>
      </c>
    </row>
    <row r="21" spans="1:53" s="14" customFormat="1" x14ac:dyDescent="0.25">
      <c r="A21" s="12">
        <v>18</v>
      </c>
      <c r="B21" s="12" t="s">
        <v>15</v>
      </c>
      <c r="C21" s="12">
        <v>205</v>
      </c>
      <c r="D21" s="12" t="s">
        <v>12</v>
      </c>
      <c r="E21" s="12">
        <v>112</v>
      </c>
      <c r="F21" s="11">
        <v>42.292857142857137</v>
      </c>
      <c r="G21" s="11">
        <v>31.232142857142861</v>
      </c>
      <c r="H21" s="11"/>
      <c r="I21" s="11"/>
      <c r="J21" s="11">
        <v>73.525000000000006</v>
      </c>
      <c r="K21" s="11">
        <v>36.762500000000003</v>
      </c>
      <c r="L21" s="13">
        <v>266</v>
      </c>
      <c r="M21" s="11">
        <v>-4.951355421686749</v>
      </c>
      <c r="O21" s="12">
        <v>90</v>
      </c>
      <c r="P21" s="11">
        <v>48.977777777777774</v>
      </c>
      <c r="Q21" s="11">
        <v>39.466666666666669</v>
      </c>
      <c r="R21" s="11">
        <v>32.022222222222226</v>
      </c>
      <c r="S21" s="11"/>
      <c r="T21" s="11">
        <v>88.444444444444443</v>
      </c>
      <c r="U21" s="11">
        <v>44.222222222222221</v>
      </c>
      <c r="V21" s="13">
        <v>194</v>
      </c>
      <c r="W21" s="11">
        <v>7.4597222222222186</v>
      </c>
      <c r="Y21" s="12">
        <v>116</v>
      </c>
      <c r="Z21" s="11">
        <v>51</v>
      </c>
      <c r="AA21" s="11">
        <v>45.009174311926607</v>
      </c>
      <c r="AB21" s="11">
        <v>37.275229357798167</v>
      </c>
      <c r="AC21" s="11"/>
      <c r="AD21" s="11">
        <v>133.28440366972478</v>
      </c>
      <c r="AE21" s="11">
        <v>44.428134556574925</v>
      </c>
      <c r="AF21" s="13">
        <v>218</v>
      </c>
      <c r="AG21" s="11">
        <v>0.2059123343527034</v>
      </c>
      <c r="AI21" s="12">
        <v>109</v>
      </c>
      <c r="AJ21" s="11">
        <v>40.330275229357795</v>
      </c>
      <c r="AK21" s="11">
        <v>35.853211009174309</v>
      </c>
      <c r="AL21" s="11">
        <v>30.98165137614679</v>
      </c>
      <c r="AM21" s="11" t="s">
        <v>14</v>
      </c>
      <c r="AN21" s="11">
        <v>107.1651376146789</v>
      </c>
      <c r="AO21" s="11">
        <v>35.721712538226299</v>
      </c>
      <c r="AP21" s="13">
        <v>256</v>
      </c>
      <c r="AQ21" s="11">
        <v>-8.7064220183486256</v>
      </c>
      <c r="AS21" s="12">
        <v>115</v>
      </c>
      <c r="AT21" s="11">
        <v>50.600869565217373</v>
      </c>
      <c r="AU21" s="11">
        <v>25.63304347826087</v>
      </c>
      <c r="AV21" s="11">
        <v>33.142608695652171</v>
      </c>
      <c r="AW21" s="11"/>
      <c r="AX21" s="11">
        <v>109.37652173913041</v>
      </c>
      <c r="AY21" s="11">
        <v>36.458840579710134</v>
      </c>
      <c r="AZ21" s="13">
        <v>234</v>
      </c>
      <c r="BA21" s="11">
        <v>0.73712804148383526</v>
      </c>
    </row>
    <row r="22" spans="1:53" s="14" customFormat="1" x14ac:dyDescent="0.25">
      <c r="A22" s="12">
        <v>19</v>
      </c>
      <c r="B22" s="12" t="s">
        <v>15</v>
      </c>
      <c r="C22" s="12">
        <v>217</v>
      </c>
      <c r="D22" s="12" t="s">
        <v>12</v>
      </c>
      <c r="E22" s="12">
        <v>189</v>
      </c>
      <c r="F22" s="11">
        <v>50.810582010582003</v>
      </c>
      <c r="G22" s="11">
        <v>35.872486772486766</v>
      </c>
      <c r="H22" s="11"/>
      <c r="I22" s="11"/>
      <c r="J22" s="11">
        <v>86.683068783068762</v>
      </c>
      <c r="K22" s="11">
        <v>43.341534391534381</v>
      </c>
      <c r="L22" s="13">
        <v>202</v>
      </c>
      <c r="M22" s="11">
        <v>-6.5986295428918496</v>
      </c>
      <c r="O22" s="12">
        <v>188</v>
      </c>
      <c r="P22" s="11">
        <v>51.271276595744681</v>
      </c>
      <c r="Q22" s="11">
        <v>40.691489361702125</v>
      </c>
      <c r="R22" s="11">
        <v>34.856382978723403</v>
      </c>
      <c r="S22" s="11"/>
      <c r="T22" s="11">
        <v>91.962765957446805</v>
      </c>
      <c r="U22" s="11">
        <v>45.981382978723403</v>
      </c>
      <c r="V22" s="13">
        <v>159</v>
      </c>
      <c r="W22" s="11">
        <v>2.6398485871890216</v>
      </c>
      <c r="Y22" s="12">
        <v>236</v>
      </c>
      <c r="Z22" s="11">
        <v>53.946078431372548</v>
      </c>
      <c r="AA22" s="11">
        <v>48.941176470588232</v>
      </c>
      <c r="AB22" s="11">
        <v>35.784313725490193</v>
      </c>
      <c r="AC22" s="11"/>
      <c r="AD22" s="11">
        <v>138.67156862745097</v>
      </c>
      <c r="AE22" s="11">
        <v>46.22385620915032</v>
      </c>
      <c r="AF22" s="13">
        <v>181</v>
      </c>
      <c r="AG22" s="11">
        <v>0.24247323042691704</v>
      </c>
      <c r="AI22" s="12">
        <v>224</v>
      </c>
      <c r="AJ22" s="11">
        <v>46.450892857142854</v>
      </c>
      <c r="AK22" s="11">
        <v>38</v>
      </c>
      <c r="AL22" s="11">
        <v>32.834821428571431</v>
      </c>
      <c r="AM22" s="11" t="s">
        <v>14</v>
      </c>
      <c r="AN22" s="11">
        <v>117.28571428571429</v>
      </c>
      <c r="AO22" s="11">
        <v>39.095238095238095</v>
      </c>
      <c r="AP22" s="13">
        <v>213</v>
      </c>
      <c r="AQ22" s="11">
        <v>-7.1286181139122249</v>
      </c>
      <c r="AS22" s="12">
        <v>229</v>
      </c>
      <c r="AT22" s="11">
        <v>49.210964912280708</v>
      </c>
      <c r="AU22" s="11">
        <v>26.892982456140327</v>
      </c>
      <c r="AV22" s="11">
        <v>30.735964912280721</v>
      </c>
      <c r="AW22" s="11"/>
      <c r="AX22" s="11">
        <v>106.83991228070175</v>
      </c>
      <c r="AY22" s="11">
        <v>35.613304093567251</v>
      </c>
      <c r="AZ22" s="13">
        <v>244</v>
      </c>
      <c r="BA22" s="11">
        <v>-3.4819340016708438</v>
      </c>
    </row>
    <row r="23" spans="1:53" s="14" customFormat="1" x14ac:dyDescent="0.25">
      <c r="A23" s="12">
        <v>20</v>
      </c>
      <c r="B23" s="12" t="s">
        <v>15</v>
      </c>
      <c r="C23" s="12">
        <v>244</v>
      </c>
      <c r="D23" s="12" t="s">
        <v>12</v>
      </c>
      <c r="E23" s="12">
        <v>167</v>
      </c>
      <c r="F23" s="11">
        <v>58.407784431137713</v>
      </c>
      <c r="G23" s="11">
        <v>46.824550898203583</v>
      </c>
      <c r="H23" s="11"/>
      <c r="I23" s="11"/>
      <c r="J23" s="11">
        <v>105.2323353293413</v>
      </c>
      <c r="K23" s="11">
        <v>52.616167664670648</v>
      </c>
      <c r="L23" s="13">
        <v>71</v>
      </c>
      <c r="M23" s="11">
        <v>-2.1457528651306745</v>
      </c>
      <c r="O23" s="12">
        <v>154</v>
      </c>
      <c r="P23" s="11">
        <v>58.68181818181818</v>
      </c>
      <c r="Q23" s="11">
        <v>45.805194805194802</v>
      </c>
      <c r="R23" s="11">
        <v>44.844155844155843</v>
      </c>
      <c r="S23" s="11"/>
      <c r="T23" s="11">
        <v>104.48701298701297</v>
      </c>
      <c r="U23" s="11">
        <v>52.243506493506487</v>
      </c>
      <c r="V23" s="13">
        <v>64</v>
      </c>
      <c r="W23" s="11">
        <v>-0.37266117116416098</v>
      </c>
      <c r="Y23" s="12">
        <v>208</v>
      </c>
      <c r="Z23" s="11">
        <v>59.204968944099377</v>
      </c>
      <c r="AA23" s="11">
        <v>53.577639751552795</v>
      </c>
      <c r="AB23" s="11">
        <v>42.298136645962735</v>
      </c>
      <c r="AC23" s="11"/>
      <c r="AD23" s="11">
        <v>155.08074534161491</v>
      </c>
      <c r="AE23" s="11">
        <v>51.693581780538302</v>
      </c>
      <c r="AF23" s="13">
        <v>74</v>
      </c>
      <c r="AG23" s="11">
        <v>-0.54992471296818479</v>
      </c>
      <c r="AI23" s="12">
        <v>199</v>
      </c>
      <c r="AJ23" s="11">
        <v>48.477386934673369</v>
      </c>
      <c r="AK23" s="11">
        <v>36.241206030150757</v>
      </c>
      <c r="AL23" s="11">
        <v>41.904522613065325</v>
      </c>
      <c r="AM23" s="11"/>
      <c r="AN23" s="11">
        <v>126.62311557788945</v>
      </c>
      <c r="AO23" s="11">
        <v>42.207705192629817</v>
      </c>
      <c r="AP23" s="13">
        <v>170</v>
      </c>
      <c r="AQ23" s="11">
        <v>-9.4858765879084856</v>
      </c>
      <c r="AS23" s="12">
        <v>207</v>
      </c>
      <c r="AT23" s="11">
        <v>60.372946859903365</v>
      </c>
      <c r="AU23" s="11">
        <v>34.483091787439612</v>
      </c>
      <c r="AV23" s="11">
        <v>42.070531400966182</v>
      </c>
      <c r="AW23" s="11">
        <v>58.611111111111114</v>
      </c>
      <c r="AX23" s="11">
        <v>136.92657004830917</v>
      </c>
      <c r="AY23" s="11">
        <v>45.642190016103058</v>
      </c>
      <c r="AZ23" s="13">
        <v>87</v>
      </c>
      <c r="BA23" s="11">
        <v>3.434484823473241</v>
      </c>
    </row>
    <row r="24" spans="1:53" s="14" customFormat="1" x14ac:dyDescent="0.25">
      <c r="A24" s="12">
        <v>21</v>
      </c>
      <c r="B24" s="12" t="s">
        <v>15</v>
      </c>
      <c r="C24" s="12">
        <v>246</v>
      </c>
      <c r="D24" s="12" t="s">
        <v>13</v>
      </c>
      <c r="E24" s="12">
        <v>98</v>
      </c>
      <c r="F24" s="11">
        <v>61.991836734693877</v>
      </c>
      <c r="G24" s="11">
        <v>44.30408163265308</v>
      </c>
      <c r="H24" s="11"/>
      <c r="I24" s="11"/>
      <c r="J24" s="11">
        <v>106.29591836734696</v>
      </c>
      <c r="K24" s="11">
        <v>53.147959183673478</v>
      </c>
      <c r="L24" s="13">
        <v>61</v>
      </c>
      <c r="M24" s="11">
        <v>3.8433200084157448</v>
      </c>
      <c r="O24" s="12">
        <v>111</v>
      </c>
      <c r="P24" s="11">
        <v>58.198198198198199</v>
      </c>
      <c r="Q24" s="11">
        <v>46.63963963963964</v>
      </c>
      <c r="R24" s="11">
        <v>44.324324324324323</v>
      </c>
      <c r="S24" s="11"/>
      <c r="T24" s="11">
        <v>104.83783783783784</v>
      </c>
      <c r="U24" s="11">
        <v>52.418918918918919</v>
      </c>
      <c r="V24" s="13">
        <v>61</v>
      </c>
      <c r="W24" s="11">
        <v>-0.72904026475455908</v>
      </c>
      <c r="Y24" s="12">
        <v>145</v>
      </c>
      <c r="Z24" s="11">
        <v>55.991150442477874</v>
      </c>
      <c r="AA24" s="11">
        <v>51.89380530973451</v>
      </c>
      <c r="AB24" s="11">
        <v>41.884955752212392</v>
      </c>
      <c r="AC24" s="11"/>
      <c r="AD24" s="11">
        <v>149.76991150442478</v>
      </c>
      <c r="AE24" s="11">
        <v>49.923303834808259</v>
      </c>
      <c r="AF24" s="13">
        <v>116</v>
      </c>
      <c r="AG24" s="11">
        <v>-2.4956150841106606</v>
      </c>
      <c r="AI24" s="12">
        <v>138</v>
      </c>
      <c r="AJ24" s="11">
        <v>50.376811594202898</v>
      </c>
      <c r="AK24" s="11">
        <v>43.971014492753625</v>
      </c>
      <c r="AL24" s="11">
        <v>42.173913043478258</v>
      </c>
      <c r="AM24" s="11">
        <v>57.555555555555557</v>
      </c>
      <c r="AN24" s="11">
        <v>136.52173913043478</v>
      </c>
      <c r="AO24" s="11">
        <v>45.507246376811594</v>
      </c>
      <c r="AP24" s="13">
        <v>125</v>
      </c>
      <c r="AQ24" s="11">
        <v>-4.4160574579966649</v>
      </c>
      <c r="AS24" s="12">
        <v>138</v>
      </c>
      <c r="AT24" s="11">
        <v>59.938970588235335</v>
      </c>
      <c r="AU24" s="11">
        <v>36.70000000000001</v>
      </c>
      <c r="AV24" s="11">
        <v>42.343382352941155</v>
      </c>
      <c r="AW24" s="11">
        <v>59.444444444444443</v>
      </c>
      <c r="AX24" s="11">
        <v>138.98235294117649</v>
      </c>
      <c r="AY24" s="11">
        <v>46.327450980392165</v>
      </c>
      <c r="AZ24" s="13">
        <v>74</v>
      </c>
      <c r="BA24" s="11">
        <v>0.82020460358057079</v>
      </c>
    </row>
    <row r="25" spans="1:53" s="14" customFormat="1" x14ac:dyDescent="0.25">
      <c r="A25" s="12">
        <v>22</v>
      </c>
      <c r="B25" s="12" t="s">
        <v>15</v>
      </c>
      <c r="C25" s="12">
        <v>248</v>
      </c>
      <c r="D25" s="12" t="s">
        <v>12</v>
      </c>
      <c r="E25" s="12">
        <v>92</v>
      </c>
      <c r="F25" s="11">
        <v>54.191304347826112</v>
      </c>
      <c r="G25" s="11">
        <v>40.740217391304348</v>
      </c>
      <c r="H25" s="11"/>
      <c r="I25" s="11"/>
      <c r="J25" s="11">
        <v>94.93152173913046</v>
      </c>
      <c r="K25" s="11">
        <v>47.46576086956523</v>
      </c>
      <c r="L25" s="13">
        <v>143</v>
      </c>
      <c r="M25" s="11">
        <v>-4.5474259436215902</v>
      </c>
      <c r="O25" s="12">
        <v>120</v>
      </c>
      <c r="P25" s="11">
        <v>53.666666666666664</v>
      </c>
      <c r="Q25" s="11">
        <v>47.85</v>
      </c>
      <c r="R25" s="11">
        <v>44.06666666666667</v>
      </c>
      <c r="S25" s="11"/>
      <c r="T25" s="11">
        <v>101.51666666666667</v>
      </c>
      <c r="U25" s="11">
        <v>50.758333333333333</v>
      </c>
      <c r="V25" s="13">
        <v>92</v>
      </c>
      <c r="W25" s="11">
        <v>3.2925724637681029</v>
      </c>
      <c r="Y25" s="12">
        <v>141</v>
      </c>
      <c r="Z25" s="11">
        <v>57.145454545454548</v>
      </c>
      <c r="AA25" s="11">
        <v>51.1</v>
      </c>
      <c r="AB25" s="11">
        <v>44.590909090909093</v>
      </c>
      <c r="AC25" s="11"/>
      <c r="AD25" s="11">
        <v>152.83636363636364</v>
      </c>
      <c r="AE25" s="11">
        <v>50.945454545454545</v>
      </c>
      <c r="AF25" s="13">
        <v>93</v>
      </c>
      <c r="AG25" s="11">
        <v>0.18712121212121247</v>
      </c>
      <c r="AI25" s="12">
        <v>108</v>
      </c>
      <c r="AJ25" s="11">
        <v>49.638888888888886</v>
      </c>
      <c r="AK25" s="11">
        <v>39.74074074074074</v>
      </c>
      <c r="AL25" s="11">
        <v>42.138888888888886</v>
      </c>
      <c r="AM25" s="11">
        <v>54.054054054054056</v>
      </c>
      <c r="AN25" s="11">
        <v>131.5185185185185</v>
      </c>
      <c r="AO25" s="11">
        <v>43.839506172839499</v>
      </c>
      <c r="AP25" s="13">
        <v>144</v>
      </c>
      <c r="AQ25" s="11">
        <v>-7.1059483726150461</v>
      </c>
      <c r="AS25" s="12">
        <v>145</v>
      </c>
      <c r="AT25" s="11">
        <v>60.911034482758609</v>
      </c>
      <c r="AU25" s="11">
        <v>36.266896551724173</v>
      </c>
      <c r="AV25" s="11">
        <v>46.131724137931037</v>
      </c>
      <c r="AW25" s="11">
        <v>58.166666666666664</v>
      </c>
      <c r="AX25" s="11">
        <v>143.30965517241381</v>
      </c>
      <c r="AY25" s="11">
        <v>47.769885057471271</v>
      </c>
      <c r="AZ25" s="13">
        <v>56</v>
      </c>
      <c r="BA25" s="11">
        <v>3.9303788846317715</v>
      </c>
    </row>
    <row r="26" spans="1:53" s="14" customFormat="1" x14ac:dyDescent="0.25">
      <c r="A26" s="12">
        <v>23</v>
      </c>
      <c r="B26" s="12" t="s">
        <v>15</v>
      </c>
      <c r="C26" s="12">
        <v>267</v>
      </c>
      <c r="D26" s="12" t="s">
        <v>13</v>
      </c>
      <c r="E26" s="12">
        <v>100</v>
      </c>
      <c r="F26" s="11">
        <v>60.893999999999998</v>
      </c>
      <c r="G26" s="11">
        <v>50.849000000000004</v>
      </c>
      <c r="H26" s="11"/>
      <c r="I26" s="11"/>
      <c r="J26" s="11">
        <v>111.74299999999999</v>
      </c>
      <c r="K26" s="11">
        <v>55.871499999999997</v>
      </c>
      <c r="L26" s="13">
        <v>34</v>
      </c>
      <c r="M26" s="11">
        <v>2.7819838709677498</v>
      </c>
      <c r="O26" s="12">
        <v>110</v>
      </c>
      <c r="P26" s="11">
        <v>58.272727272727273</v>
      </c>
      <c r="Q26" s="11">
        <v>51.281818181818181</v>
      </c>
      <c r="R26" s="11">
        <v>46.309090909090912</v>
      </c>
      <c r="S26" s="11"/>
      <c r="T26" s="11">
        <v>109.55454545454546</v>
      </c>
      <c r="U26" s="11">
        <v>54.777272727272731</v>
      </c>
      <c r="V26" s="13">
        <v>34</v>
      </c>
      <c r="W26" s="11">
        <v>-1.0942272727272666</v>
      </c>
      <c r="Y26" s="12">
        <v>142</v>
      </c>
      <c r="Z26" s="11">
        <v>62.378151260504204</v>
      </c>
      <c r="AA26" s="11">
        <v>55.831932773109244</v>
      </c>
      <c r="AB26" s="11">
        <v>49.042016806722692</v>
      </c>
      <c r="AC26" s="11"/>
      <c r="AD26" s="11">
        <v>167.25210084033614</v>
      </c>
      <c r="AE26" s="11">
        <v>55.750700280112049</v>
      </c>
      <c r="AF26" s="13">
        <v>30</v>
      </c>
      <c r="AG26" s="11">
        <v>0.97342755283931837</v>
      </c>
      <c r="AI26" s="12">
        <v>143</v>
      </c>
      <c r="AJ26" s="11">
        <v>55.92307692307692</v>
      </c>
      <c r="AK26" s="11">
        <v>46.37762237762238</v>
      </c>
      <c r="AL26" s="11">
        <v>50.048951048951047</v>
      </c>
      <c r="AM26" s="11">
        <v>56.927710843373497</v>
      </c>
      <c r="AN26" s="11">
        <v>152.34965034965035</v>
      </c>
      <c r="AO26" s="11">
        <v>50.78321678321678</v>
      </c>
      <c r="AP26" s="13">
        <v>60</v>
      </c>
      <c r="AQ26" s="11">
        <v>-4.9674834968952695</v>
      </c>
      <c r="AS26" s="12">
        <v>133</v>
      </c>
      <c r="AT26" s="11">
        <v>61.586466165413547</v>
      </c>
      <c r="AU26" s="11">
        <v>37.15563909774437</v>
      </c>
      <c r="AV26" s="11">
        <v>44.736090225563935</v>
      </c>
      <c r="AW26" s="11">
        <v>57.435483870967744</v>
      </c>
      <c r="AX26" s="11">
        <v>143.47819548872187</v>
      </c>
      <c r="AY26" s="11">
        <v>47.826065162907291</v>
      </c>
      <c r="AZ26" s="13">
        <v>55</v>
      </c>
      <c r="BA26" s="11">
        <v>-2.9571516203094887</v>
      </c>
    </row>
    <row r="27" spans="1:53" s="14" customFormat="1" x14ac:dyDescent="0.25">
      <c r="A27" s="12">
        <v>24</v>
      </c>
      <c r="B27" s="12" t="s">
        <v>15</v>
      </c>
      <c r="C27" s="12">
        <v>276</v>
      </c>
      <c r="D27" s="12" t="s">
        <v>12</v>
      </c>
      <c r="E27" s="12">
        <v>100</v>
      </c>
      <c r="F27" s="11">
        <v>56.341999999999977</v>
      </c>
      <c r="G27" s="11">
        <v>45.408999999999999</v>
      </c>
      <c r="H27" s="11"/>
      <c r="I27" s="11"/>
      <c r="J27" s="11">
        <v>101.75099999999998</v>
      </c>
      <c r="K27" s="11">
        <v>50.875499999999988</v>
      </c>
      <c r="L27" s="13">
        <v>96</v>
      </c>
      <c r="M27" s="11">
        <v>3.5153936170212674</v>
      </c>
      <c r="O27" s="12">
        <v>101</v>
      </c>
      <c r="P27" s="11">
        <v>54.059405940594061</v>
      </c>
      <c r="Q27" s="11">
        <v>46.722772277227726</v>
      </c>
      <c r="R27" s="11">
        <v>42.801980198019805</v>
      </c>
      <c r="S27" s="11"/>
      <c r="T27" s="11">
        <v>100.78217821782178</v>
      </c>
      <c r="U27" s="11">
        <v>50.39108910891089</v>
      </c>
      <c r="V27" s="13">
        <v>99</v>
      </c>
      <c r="W27" s="11">
        <v>-0.48441089108909807</v>
      </c>
      <c r="Y27" s="12">
        <v>135</v>
      </c>
      <c r="Z27" s="11">
        <v>57.487179487179489</v>
      </c>
      <c r="AA27" s="11">
        <v>50.017094017094017</v>
      </c>
      <c r="AB27" s="11">
        <v>44.547008547008545</v>
      </c>
      <c r="AC27" s="11"/>
      <c r="AD27" s="11">
        <v>152.05128205128204</v>
      </c>
      <c r="AE27" s="11">
        <v>50.683760683760681</v>
      </c>
      <c r="AF27" s="13">
        <v>97</v>
      </c>
      <c r="AG27" s="11">
        <v>0.29267157484979123</v>
      </c>
      <c r="AI27" s="12">
        <v>129</v>
      </c>
      <c r="AJ27" s="11">
        <v>51.449612403100772</v>
      </c>
      <c r="AK27" s="11">
        <v>43.782945736434108</v>
      </c>
      <c r="AL27" s="11">
        <v>43.209302325581397</v>
      </c>
      <c r="AM27" s="11">
        <v>52.863636363636367</v>
      </c>
      <c r="AN27" s="11">
        <v>138.44186046511629</v>
      </c>
      <c r="AO27" s="11">
        <v>46.147286821705428</v>
      </c>
      <c r="AP27" s="13">
        <v>120</v>
      </c>
      <c r="AQ27" s="11">
        <v>-4.5364738620552529</v>
      </c>
      <c r="AS27" s="12">
        <v>132</v>
      </c>
      <c r="AT27" s="11">
        <v>59.577862595419852</v>
      </c>
      <c r="AU27" s="11">
        <v>31.258015267175569</v>
      </c>
      <c r="AV27" s="11">
        <v>45.754198473282457</v>
      </c>
      <c r="AW27" s="11">
        <v>54.822222222222223</v>
      </c>
      <c r="AX27" s="11">
        <v>136.59007633587788</v>
      </c>
      <c r="AY27" s="11">
        <v>45.53002544529263</v>
      </c>
      <c r="AZ27" s="13">
        <v>90</v>
      </c>
      <c r="BA27" s="11">
        <v>-0.61726137641279877</v>
      </c>
    </row>
    <row r="28" spans="1:53" s="14" customFormat="1" x14ac:dyDescent="0.25">
      <c r="A28" s="12">
        <v>25</v>
      </c>
      <c r="B28" s="12" t="s">
        <v>15</v>
      </c>
      <c r="C28" s="12">
        <v>283</v>
      </c>
      <c r="D28" s="12" t="s">
        <v>12</v>
      </c>
      <c r="E28" s="12">
        <v>92</v>
      </c>
      <c r="F28" s="11">
        <v>58.786956521739114</v>
      </c>
      <c r="G28" s="11">
        <v>47.010869565217369</v>
      </c>
      <c r="H28" s="11"/>
      <c r="I28" s="11"/>
      <c r="J28" s="11">
        <v>105.79782608695649</v>
      </c>
      <c r="K28" s="11">
        <v>52.898913043478245</v>
      </c>
      <c r="L28" s="13">
        <v>63</v>
      </c>
      <c r="M28" s="11">
        <v>1.4440217391303989</v>
      </c>
      <c r="O28" s="12">
        <v>93</v>
      </c>
      <c r="P28" s="11">
        <v>60.752688172043008</v>
      </c>
      <c r="Q28" s="11">
        <v>56.86021505376344</v>
      </c>
      <c r="R28" s="11">
        <v>46.354838709677416</v>
      </c>
      <c r="S28" s="11"/>
      <c r="T28" s="11">
        <v>117.61290322580645</v>
      </c>
      <c r="U28" s="11">
        <v>58.806451612903224</v>
      </c>
      <c r="V28" s="13">
        <v>20</v>
      </c>
      <c r="W28" s="11">
        <v>5.9075385694249789</v>
      </c>
      <c r="Y28" s="12">
        <v>112</v>
      </c>
      <c r="Z28" s="11">
        <v>61.27927927927928</v>
      </c>
      <c r="AA28" s="11">
        <v>56.828828828828826</v>
      </c>
      <c r="AB28" s="11">
        <v>45.45945945945946</v>
      </c>
      <c r="AC28" s="11"/>
      <c r="AD28" s="11">
        <v>163.56756756756755</v>
      </c>
      <c r="AE28" s="11">
        <v>54.522522522522515</v>
      </c>
      <c r="AF28" s="13">
        <v>39</v>
      </c>
      <c r="AG28" s="11">
        <v>-4.2839290903807097</v>
      </c>
      <c r="AI28" s="12">
        <v>115</v>
      </c>
      <c r="AJ28" s="11">
        <v>49.342105263157897</v>
      </c>
      <c r="AK28" s="11">
        <v>42.10526315789474</v>
      </c>
      <c r="AL28" s="11">
        <v>41.280701754385966</v>
      </c>
      <c r="AM28" s="11">
        <v>67.5</v>
      </c>
      <c r="AN28" s="11">
        <v>132.7280701754386</v>
      </c>
      <c r="AO28" s="11">
        <v>44.242690058479532</v>
      </c>
      <c r="AP28" s="13">
        <v>142</v>
      </c>
      <c r="AQ28" s="11">
        <v>-10.279832464042983</v>
      </c>
      <c r="AS28" s="12">
        <v>107</v>
      </c>
      <c r="AT28" s="11">
        <v>54.299038461538437</v>
      </c>
      <c r="AU28" s="11">
        <v>33.236538461538458</v>
      </c>
      <c r="AV28" s="11">
        <v>38.881730769230757</v>
      </c>
      <c r="AW28" s="11">
        <v>60.5</v>
      </c>
      <c r="AX28" s="11">
        <v>126.41730769230765</v>
      </c>
      <c r="AY28" s="11">
        <v>42.139102564102551</v>
      </c>
      <c r="AZ28" s="13">
        <v>131</v>
      </c>
      <c r="BA28" s="11">
        <v>-2.1035874943769812</v>
      </c>
    </row>
    <row r="29" spans="1:53" s="14" customFormat="1" x14ac:dyDescent="0.25">
      <c r="A29" s="12">
        <v>26</v>
      </c>
      <c r="B29" s="12" t="s">
        <v>15</v>
      </c>
      <c r="C29" s="12">
        <v>284</v>
      </c>
      <c r="D29" s="12" t="s">
        <v>12</v>
      </c>
      <c r="E29" s="12">
        <v>163</v>
      </c>
      <c r="F29" s="11">
        <v>51.16012269938652</v>
      </c>
      <c r="G29" s="11">
        <v>38.988957055214748</v>
      </c>
      <c r="H29" s="11"/>
      <c r="I29" s="11"/>
      <c r="J29" s="11">
        <v>90.149079754601274</v>
      </c>
      <c r="K29" s="11">
        <v>45.074539877300637</v>
      </c>
      <c r="L29" s="13">
        <v>173</v>
      </c>
      <c r="M29" s="11">
        <v>1.6289616460081362</v>
      </c>
      <c r="O29" s="12">
        <v>215</v>
      </c>
      <c r="P29" s="11">
        <v>48.893023255813951</v>
      </c>
      <c r="Q29" s="11">
        <v>38.283720930232555</v>
      </c>
      <c r="R29" s="11">
        <v>33.520930232558136</v>
      </c>
      <c r="S29" s="11"/>
      <c r="T29" s="11">
        <v>87.176744186046506</v>
      </c>
      <c r="U29" s="11">
        <v>43.588372093023253</v>
      </c>
      <c r="V29" s="13">
        <v>202</v>
      </c>
      <c r="W29" s="11">
        <v>-1.4861677842773844</v>
      </c>
      <c r="Y29" s="12">
        <v>264</v>
      </c>
      <c r="Z29" s="11">
        <v>49.900900900900901</v>
      </c>
      <c r="AA29" s="11">
        <v>46.671171171171174</v>
      </c>
      <c r="AB29" s="11">
        <v>35.783783783783782</v>
      </c>
      <c r="AC29" s="11"/>
      <c r="AD29" s="11">
        <v>132.35585585585585</v>
      </c>
      <c r="AE29" s="11">
        <v>44.118618618618619</v>
      </c>
      <c r="AF29" s="13">
        <v>226</v>
      </c>
      <c r="AG29" s="11">
        <v>0.53024652559536634</v>
      </c>
      <c r="AI29" s="12">
        <v>262</v>
      </c>
      <c r="AJ29" s="11">
        <v>43.385496183206108</v>
      </c>
      <c r="AK29" s="11">
        <v>34.473282442748094</v>
      </c>
      <c r="AL29" s="11">
        <v>32.045801526717554</v>
      </c>
      <c r="AM29" s="11">
        <v>54.235294117647058</v>
      </c>
      <c r="AN29" s="11">
        <v>109.90458015267176</v>
      </c>
      <c r="AO29" s="11">
        <v>36.634860050890588</v>
      </c>
      <c r="AP29" s="13">
        <v>247</v>
      </c>
      <c r="AQ29" s="11">
        <v>-7.4837585677280316</v>
      </c>
      <c r="AS29" s="12">
        <v>284</v>
      </c>
      <c r="AT29" s="11">
        <v>50.148042704626306</v>
      </c>
      <c r="AU29" s="11">
        <v>27.85302491103203</v>
      </c>
      <c r="AV29" s="11">
        <v>32.301779359430618</v>
      </c>
      <c r="AW29" s="11">
        <v>61.60526315789474</v>
      </c>
      <c r="AX29" s="11">
        <v>110.30284697508895</v>
      </c>
      <c r="AY29" s="11">
        <v>36.767615658362985</v>
      </c>
      <c r="AZ29" s="13">
        <v>229</v>
      </c>
      <c r="BA29" s="11">
        <v>0.13275560747239723</v>
      </c>
    </row>
    <row r="30" spans="1:53" s="14" customFormat="1" x14ac:dyDescent="0.25">
      <c r="A30" s="12">
        <v>27</v>
      </c>
      <c r="B30" s="12" t="s">
        <v>15</v>
      </c>
      <c r="C30" s="12">
        <v>297</v>
      </c>
      <c r="D30" s="12" t="s">
        <v>12</v>
      </c>
      <c r="E30" s="12">
        <v>141</v>
      </c>
      <c r="F30" s="11">
        <v>58.648936170212764</v>
      </c>
      <c r="G30" s="11">
        <v>42.180851063829799</v>
      </c>
      <c r="H30" s="11"/>
      <c r="I30" s="11"/>
      <c r="J30" s="11">
        <v>100.82978723404256</v>
      </c>
      <c r="K30" s="11">
        <v>50.414893617021278</v>
      </c>
      <c r="L30" s="13">
        <v>101</v>
      </c>
      <c r="M30" s="11">
        <v>2.5568399257461181</v>
      </c>
      <c r="O30" s="12">
        <v>155</v>
      </c>
      <c r="P30" s="11">
        <v>49.409090909090907</v>
      </c>
      <c r="Q30" s="11">
        <v>40.344155844155843</v>
      </c>
      <c r="R30" s="11">
        <v>37.623376623376622</v>
      </c>
      <c r="S30" s="11"/>
      <c r="T30" s="11">
        <v>89.753246753246742</v>
      </c>
      <c r="U30" s="11">
        <v>44.876623376623371</v>
      </c>
      <c r="V30" s="13">
        <v>184</v>
      </c>
      <c r="W30" s="11">
        <v>-5.5382702403979067</v>
      </c>
      <c r="Y30" s="12">
        <v>204</v>
      </c>
      <c r="Z30" s="11">
        <v>55.216049382716051</v>
      </c>
      <c r="AA30" s="11">
        <v>47.876543209876544</v>
      </c>
      <c r="AB30" s="11">
        <v>38.320987654320987</v>
      </c>
      <c r="AC30" s="11"/>
      <c r="AD30" s="11">
        <v>141.41358024691357</v>
      </c>
      <c r="AE30" s="11">
        <v>47.13786008230452</v>
      </c>
      <c r="AF30" s="13">
        <v>165</v>
      </c>
      <c r="AG30" s="11">
        <v>2.2612367056811493</v>
      </c>
      <c r="AI30" s="12">
        <v>172</v>
      </c>
      <c r="AJ30" s="11">
        <v>46.563953488372093</v>
      </c>
      <c r="AK30" s="11">
        <v>37.906976744186046</v>
      </c>
      <c r="AL30" s="11">
        <v>34.25</v>
      </c>
      <c r="AM30" s="11">
        <v>56.888888888888886</v>
      </c>
      <c r="AN30" s="11">
        <v>118.72093023255815</v>
      </c>
      <c r="AO30" s="11">
        <v>39.573643410852718</v>
      </c>
      <c r="AP30" s="13">
        <v>207</v>
      </c>
      <c r="AQ30" s="11">
        <v>-7.5642166714518027</v>
      </c>
      <c r="AS30" s="12">
        <v>198</v>
      </c>
      <c r="AT30" s="11">
        <v>57.983838383838382</v>
      </c>
      <c r="AU30" s="11">
        <v>33.034848484848503</v>
      </c>
      <c r="AV30" s="11">
        <v>38.218686868686831</v>
      </c>
      <c r="AW30" s="11">
        <v>53.59375</v>
      </c>
      <c r="AX30" s="11">
        <v>129.23737373737373</v>
      </c>
      <c r="AY30" s="11">
        <v>43.079124579124574</v>
      </c>
      <c r="AZ30" s="13">
        <v>114</v>
      </c>
      <c r="BA30" s="11">
        <v>3.5054811682718565</v>
      </c>
    </row>
    <row r="31" spans="1:53" s="14" customFormat="1" x14ac:dyDescent="0.25">
      <c r="A31" s="12">
        <v>28</v>
      </c>
      <c r="B31" s="12" t="s">
        <v>15</v>
      </c>
      <c r="C31" s="12">
        <v>298</v>
      </c>
      <c r="D31" s="12" t="s">
        <v>12</v>
      </c>
      <c r="E31" s="12">
        <v>67</v>
      </c>
      <c r="F31" s="11">
        <v>47.089552238805972</v>
      </c>
      <c r="G31" s="11">
        <v>33.147761194029854</v>
      </c>
      <c r="H31" s="11"/>
      <c r="I31" s="11"/>
      <c r="J31" s="11">
        <v>80.237313432835833</v>
      </c>
      <c r="K31" s="11">
        <v>40.118656716417917</v>
      </c>
      <c r="L31" s="13">
        <v>245</v>
      </c>
      <c r="M31" s="11">
        <v>-8.8988036010424025</v>
      </c>
      <c r="O31" s="12">
        <v>66</v>
      </c>
      <c r="P31" s="11">
        <v>52.484848484848484</v>
      </c>
      <c r="Q31" s="11">
        <v>35.712121212121211</v>
      </c>
      <c r="R31" s="11">
        <v>30.803030303030305</v>
      </c>
      <c r="S31" s="11"/>
      <c r="T31" s="11">
        <v>88.196969696969688</v>
      </c>
      <c r="U31" s="11">
        <v>44.098484848484844</v>
      </c>
      <c r="V31" s="13">
        <v>196</v>
      </c>
      <c r="W31" s="11">
        <v>3.9798281320669275</v>
      </c>
      <c r="Y31" s="12">
        <v>80</v>
      </c>
      <c r="Z31" s="11">
        <v>58.590909090909093</v>
      </c>
      <c r="AA31" s="11">
        <v>41.340909090909093</v>
      </c>
      <c r="AB31" s="11">
        <v>34.522727272727273</v>
      </c>
      <c r="AC31" s="11"/>
      <c r="AD31" s="11">
        <v>134.45454545454547</v>
      </c>
      <c r="AE31" s="11">
        <v>44.81818181818182</v>
      </c>
      <c r="AF31" s="13">
        <v>213</v>
      </c>
      <c r="AG31" s="11">
        <v>0.71969696969697594</v>
      </c>
      <c r="AI31" s="12">
        <v>63</v>
      </c>
      <c r="AJ31" s="11">
        <v>45.063492063492063</v>
      </c>
      <c r="AK31" s="11">
        <v>37.079365079365083</v>
      </c>
      <c r="AL31" s="11">
        <v>29.841269841269842</v>
      </c>
      <c r="AM31" s="11" t="s">
        <v>14</v>
      </c>
      <c r="AN31" s="11">
        <v>111.98412698412699</v>
      </c>
      <c r="AO31" s="11">
        <v>37.328042328042329</v>
      </c>
      <c r="AP31" s="13">
        <v>236</v>
      </c>
      <c r="AQ31" s="11">
        <v>-7.4901394901394909</v>
      </c>
      <c r="AS31" s="12">
        <v>77</v>
      </c>
      <c r="AT31" s="11">
        <v>57.397368421052626</v>
      </c>
      <c r="AU31" s="11">
        <v>27.443421052631589</v>
      </c>
      <c r="AV31" s="11">
        <v>31.969736842105259</v>
      </c>
      <c r="AW31" s="11"/>
      <c r="AX31" s="11">
        <v>116.81052631578947</v>
      </c>
      <c r="AY31" s="11">
        <v>38.93684210526316</v>
      </c>
      <c r="AZ31" s="13">
        <v>188</v>
      </c>
      <c r="BA31" s="11">
        <v>1.6087997772208311</v>
      </c>
    </row>
    <row r="32" spans="1:53" s="14" customFormat="1" x14ac:dyDescent="0.25">
      <c r="A32" s="12">
        <v>29</v>
      </c>
      <c r="B32" s="12" t="s">
        <v>15</v>
      </c>
      <c r="C32" s="12">
        <v>299</v>
      </c>
      <c r="D32" s="12" t="s">
        <v>13</v>
      </c>
      <c r="E32" s="12">
        <v>167</v>
      </c>
      <c r="F32" s="11">
        <v>58.663473053892233</v>
      </c>
      <c r="G32" s="11">
        <v>47.979640718562862</v>
      </c>
      <c r="H32" s="11"/>
      <c r="I32" s="11"/>
      <c r="J32" s="11">
        <v>106.6431137724551</v>
      </c>
      <c r="K32" s="11">
        <v>53.321556886227548</v>
      </c>
      <c r="L32" s="13">
        <v>59</v>
      </c>
      <c r="M32" s="11">
        <v>1.4789762410662561</v>
      </c>
      <c r="O32" s="12">
        <v>160</v>
      </c>
      <c r="P32" s="11">
        <v>56.59375</v>
      </c>
      <c r="Q32" s="11">
        <v>47.618749999999999</v>
      </c>
      <c r="R32" s="11">
        <v>44.3</v>
      </c>
      <c r="S32" s="11"/>
      <c r="T32" s="11">
        <v>104.21250000000001</v>
      </c>
      <c r="U32" s="11">
        <v>52.106250000000003</v>
      </c>
      <c r="V32" s="13">
        <v>65</v>
      </c>
      <c r="W32" s="11">
        <v>-1.2153068862275447</v>
      </c>
      <c r="Y32" s="12">
        <v>205</v>
      </c>
      <c r="Z32" s="11">
        <v>63.857142857142854</v>
      </c>
      <c r="AA32" s="11">
        <v>59.06878306878307</v>
      </c>
      <c r="AB32" s="11">
        <v>46.137566137566139</v>
      </c>
      <c r="AC32" s="11"/>
      <c r="AD32" s="11">
        <v>169.06349206349205</v>
      </c>
      <c r="AE32" s="11">
        <v>56.354497354497347</v>
      </c>
      <c r="AF32" s="13">
        <v>27</v>
      </c>
      <c r="AG32" s="11">
        <v>4.2482473544973445</v>
      </c>
      <c r="AI32" s="12">
        <v>176</v>
      </c>
      <c r="AJ32" s="11">
        <v>55.573863636363633</v>
      </c>
      <c r="AK32" s="11">
        <v>48.613636363636367</v>
      </c>
      <c r="AL32" s="11">
        <v>48.329545454545453</v>
      </c>
      <c r="AM32" s="11">
        <v>62.25925925925926</v>
      </c>
      <c r="AN32" s="11">
        <v>152.51704545454544</v>
      </c>
      <c r="AO32" s="11">
        <v>50.839015151515149</v>
      </c>
      <c r="AP32" s="13">
        <v>59</v>
      </c>
      <c r="AQ32" s="11">
        <v>-5.5154822029821986</v>
      </c>
      <c r="AS32" s="12">
        <v>193</v>
      </c>
      <c r="AT32" s="11">
        <v>62.977720207253917</v>
      </c>
      <c r="AU32" s="11">
        <v>38.170984455958546</v>
      </c>
      <c r="AV32" s="11">
        <v>43.994300518134715</v>
      </c>
      <c r="AW32" s="11">
        <v>65.064516129032256</v>
      </c>
      <c r="AX32" s="11">
        <v>145.14300518134718</v>
      </c>
      <c r="AY32" s="11">
        <v>48.381001727115724</v>
      </c>
      <c r="AZ32" s="13">
        <v>48</v>
      </c>
      <c r="BA32" s="11">
        <v>-2.4580134243994252</v>
      </c>
    </row>
    <row r="33" spans="1:53" s="14" customFormat="1" x14ac:dyDescent="0.25">
      <c r="A33" s="12">
        <v>30</v>
      </c>
      <c r="B33" s="12" t="s">
        <v>15</v>
      </c>
      <c r="C33" s="12">
        <v>300</v>
      </c>
      <c r="D33" s="12" t="s">
        <v>12</v>
      </c>
      <c r="E33" s="12">
        <v>108</v>
      </c>
      <c r="F33" s="11">
        <v>49.942592592592568</v>
      </c>
      <c r="G33" s="11">
        <v>34.079629629629622</v>
      </c>
      <c r="H33" s="11"/>
      <c r="I33" s="11"/>
      <c r="J33" s="11">
        <v>84.022222222222183</v>
      </c>
      <c r="K33" s="11">
        <v>42.011111111111092</v>
      </c>
      <c r="L33" s="13">
        <v>220</v>
      </c>
      <c r="M33" s="11">
        <v>-7.1453774385072393</v>
      </c>
      <c r="O33" s="12">
        <v>131</v>
      </c>
      <c r="P33" s="11">
        <v>51.404580152671755</v>
      </c>
      <c r="Q33" s="11">
        <v>38.374045801526719</v>
      </c>
      <c r="R33" s="11">
        <v>35.664122137404583</v>
      </c>
      <c r="S33" s="11"/>
      <c r="T33" s="11">
        <v>89.778625954198475</v>
      </c>
      <c r="U33" s="11">
        <v>44.889312977099237</v>
      </c>
      <c r="V33" s="13">
        <v>183</v>
      </c>
      <c r="W33" s="11">
        <v>2.8782018659881459</v>
      </c>
      <c r="Y33" s="12">
        <v>154</v>
      </c>
      <c r="Z33" s="11">
        <v>55.899159663865547</v>
      </c>
      <c r="AA33" s="11">
        <v>47.899159663865547</v>
      </c>
      <c r="AB33" s="11">
        <v>40.815126050420169</v>
      </c>
      <c r="AC33" s="11"/>
      <c r="AD33" s="11">
        <v>144.61344537815125</v>
      </c>
      <c r="AE33" s="11">
        <v>48.204481792717083</v>
      </c>
      <c r="AF33" s="13">
        <v>148</v>
      </c>
      <c r="AG33" s="11">
        <v>3.3151688156178452</v>
      </c>
      <c r="AI33" s="12">
        <v>166</v>
      </c>
      <c r="AJ33" s="11">
        <v>53.542168674698793</v>
      </c>
      <c r="AK33" s="11">
        <v>44.048192771084338</v>
      </c>
      <c r="AL33" s="11">
        <v>40.710843373493979</v>
      </c>
      <c r="AM33" s="11">
        <v>51.344827586206897</v>
      </c>
      <c r="AN33" s="11">
        <v>138.3012048192771</v>
      </c>
      <c r="AO33" s="11">
        <v>46.100401606425699</v>
      </c>
      <c r="AP33" s="13">
        <v>121</v>
      </c>
      <c r="AQ33" s="11">
        <v>-2.1040801862913838</v>
      </c>
      <c r="AS33" s="12">
        <v>148</v>
      </c>
      <c r="AT33" s="11">
        <v>58.948299319727916</v>
      </c>
      <c r="AU33" s="11">
        <v>29.740816326530616</v>
      </c>
      <c r="AV33" s="11">
        <v>39.213605442176878</v>
      </c>
      <c r="AW33" s="11">
        <v>65.925925925925924</v>
      </c>
      <c r="AX33" s="11">
        <v>127.90272108843541</v>
      </c>
      <c r="AY33" s="11">
        <v>42.634240362811802</v>
      </c>
      <c r="AZ33" s="13">
        <v>126</v>
      </c>
      <c r="BA33" s="11">
        <v>-3.4661612436138967</v>
      </c>
    </row>
    <row r="34" spans="1:53" s="14" customFormat="1" x14ac:dyDescent="0.25">
      <c r="A34" s="12">
        <v>31</v>
      </c>
      <c r="B34" s="12" t="s">
        <v>15</v>
      </c>
      <c r="C34" s="12">
        <v>301</v>
      </c>
      <c r="D34" s="12" t="s">
        <v>12</v>
      </c>
      <c r="E34" s="12">
        <v>76</v>
      </c>
      <c r="F34" s="11">
        <v>48.199999999999989</v>
      </c>
      <c r="G34" s="11">
        <v>34.96973684210527</v>
      </c>
      <c r="H34" s="11"/>
      <c r="I34" s="11"/>
      <c r="J34" s="11">
        <v>83.169736842105266</v>
      </c>
      <c r="K34" s="11">
        <v>41.584868421052633</v>
      </c>
      <c r="L34" s="13">
        <v>226</v>
      </c>
      <c r="M34" s="11">
        <v>-1.1496770334928215</v>
      </c>
      <c r="O34" s="12">
        <v>62</v>
      </c>
      <c r="P34" s="11">
        <v>41.822580645161288</v>
      </c>
      <c r="Q34" s="11">
        <v>33.20967741935484</v>
      </c>
      <c r="R34" s="11">
        <v>27.096774193548388</v>
      </c>
      <c r="S34" s="11"/>
      <c r="T34" s="11">
        <v>75.032258064516128</v>
      </c>
      <c r="U34" s="11">
        <v>37.516129032258064</v>
      </c>
      <c r="V34" s="13">
        <v>277</v>
      </c>
      <c r="W34" s="11">
        <v>-4.0687393887945689</v>
      </c>
      <c r="Y34" s="12">
        <v>78</v>
      </c>
      <c r="Z34" s="11">
        <v>47.029411764705884</v>
      </c>
      <c r="AA34" s="11">
        <v>44.352941176470587</v>
      </c>
      <c r="AB34" s="11">
        <v>31.264705882352942</v>
      </c>
      <c r="AC34" s="11"/>
      <c r="AD34" s="11">
        <v>122.64705882352941</v>
      </c>
      <c r="AE34" s="11">
        <v>40.882352941176471</v>
      </c>
      <c r="AF34" s="13">
        <v>265</v>
      </c>
      <c r="AG34" s="11">
        <v>3.3662239089184069</v>
      </c>
      <c r="AI34" s="12">
        <v>84</v>
      </c>
      <c r="AJ34" s="11">
        <v>40.083333333333336</v>
      </c>
      <c r="AK34" s="11">
        <v>34.19047619047619</v>
      </c>
      <c r="AL34" s="11">
        <v>31.952380952380953</v>
      </c>
      <c r="AM34" s="11" t="s">
        <v>14</v>
      </c>
      <c r="AN34" s="11">
        <v>106.22619047619047</v>
      </c>
      <c r="AO34" s="11">
        <v>35.408730158730158</v>
      </c>
      <c r="AP34" s="13">
        <v>261</v>
      </c>
      <c r="AQ34" s="11">
        <v>-5.4736227824463128</v>
      </c>
      <c r="AS34" s="12">
        <v>75</v>
      </c>
      <c r="AT34" s="11">
        <v>48.954666666666668</v>
      </c>
      <c r="AU34" s="11">
        <v>24.464000000000006</v>
      </c>
      <c r="AV34" s="11">
        <v>30.15733333333333</v>
      </c>
      <c r="AW34" s="11"/>
      <c r="AX34" s="11">
        <v>103.57599999999999</v>
      </c>
      <c r="AY34" s="11">
        <v>34.525333333333329</v>
      </c>
      <c r="AZ34" s="13">
        <v>259</v>
      </c>
      <c r="BA34" s="11">
        <v>-0.8833968253968294</v>
      </c>
    </row>
    <row r="35" spans="1:53" s="14" customFormat="1" x14ac:dyDescent="0.25">
      <c r="A35" s="12">
        <v>32</v>
      </c>
      <c r="B35" s="12" t="s">
        <v>15</v>
      </c>
      <c r="C35" s="12">
        <v>306</v>
      </c>
      <c r="D35" s="12" t="s">
        <v>12</v>
      </c>
      <c r="E35" s="12">
        <v>69</v>
      </c>
      <c r="F35" s="11">
        <v>43.2</v>
      </c>
      <c r="G35" s="11">
        <v>32.507246376811601</v>
      </c>
      <c r="H35" s="11"/>
      <c r="I35" s="11"/>
      <c r="J35" s="11">
        <v>75.707246376811611</v>
      </c>
      <c r="K35" s="11">
        <v>37.853623188405805</v>
      </c>
      <c r="L35" s="13">
        <v>260</v>
      </c>
      <c r="M35" s="11">
        <v>-6.2830434782608577</v>
      </c>
      <c r="O35" s="12">
        <v>66</v>
      </c>
      <c r="P35" s="11">
        <v>43.227272727272727</v>
      </c>
      <c r="Q35" s="11">
        <v>33.363636363636367</v>
      </c>
      <c r="R35" s="11">
        <v>31.257575757575758</v>
      </c>
      <c r="S35" s="11"/>
      <c r="T35" s="11">
        <v>76.590909090909093</v>
      </c>
      <c r="U35" s="11">
        <v>38.295454545454547</v>
      </c>
      <c r="V35" s="13">
        <v>272</v>
      </c>
      <c r="W35" s="11">
        <v>0.44183135704874132</v>
      </c>
      <c r="Y35" s="12">
        <v>115</v>
      </c>
      <c r="Z35" s="11">
        <v>50.883720930232556</v>
      </c>
      <c r="AA35" s="11">
        <v>46.383720930232556</v>
      </c>
      <c r="AB35" s="11">
        <v>36.372093023255815</v>
      </c>
      <c r="AC35" s="11"/>
      <c r="AD35" s="11">
        <v>133.63953488372093</v>
      </c>
      <c r="AE35" s="11">
        <v>44.546511627906973</v>
      </c>
      <c r="AF35" s="13">
        <v>217</v>
      </c>
      <c r="AG35" s="11">
        <v>6.2510570824524265</v>
      </c>
      <c r="AI35" s="12">
        <v>88</v>
      </c>
      <c r="AJ35" s="11">
        <v>41.238636363636367</v>
      </c>
      <c r="AK35" s="11">
        <v>36.090909090909093</v>
      </c>
      <c r="AL35" s="11">
        <v>29.068181818181817</v>
      </c>
      <c r="AM35" s="11" t="s">
        <v>14</v>
      </c>
      <c r="AN35" s="11">
        <v>106.39772727272728</v>
      </c>
      <c r="AO35" s="11">
        <v>35.465909090909093</v>
      </c>
      <c r="AP35" s="13">
        <v>260</v>
      </c>
      <c r="AQ35" s="11">
        <v>-9.0806025369978798</v>
      </c>
      <c r="AS35" s="12">
        <v>112</v>
      </c>
      <c r="AT35" s="11">
        <v>47.203571428571408</v>
      </c>
      <c r="AU35" s="11">
        <v>22.833928571428583</v>
      </c>
      <c r="AV35" s="11">
        <v>30.245535714285712</v>
      </c>
      <c r="AW35" s="11"/>
      <c r="AX35" s="11">
        <v>100.2830357142857</v>
      </c>
      <c r="AY35" s="11">
        <v>33.427678571428565</v>
      </c>
      <c r="AZ35" s="13">
        <v>267</v>
      </c>
      <c r="BA35" s="11">
        <v>-2.0382305194805284</v>
      </c>
    </row>
    <row r="36" spans="1:53" s="14" customFormat="1" x14ac:dyDescent="0.25">
      <c r="A36" s="12">
        <v>33</v>
      </c>
      <c r="B36" s="12" t="s">
        <v>15</v>
      </c>
      <c r="C36" s="12">
        <v>313</v>
      </c>
      <c r="D36" s="12" t="s">
        <v>12</v>
      </c>
      <c r="E36" s="12">
        <v>109</v>
      </c>
      <c r="F36" s="11">
        <v>68.276146788990829</v>
      </c>
      <c r="G36" s="11">
        <v>50.433944954128435</v>
      </c>
      <c r="H36" s="11"/>
      <c r="I36" s="11"/>
      <c r="J36" s="11">
        <v>118.71009174311926</v>
      </c>
      <c r="K36" s="11">
        <v>59.355045871559632</v>
      </c>
      <c r="L36" s="13">
        <v>15</v>
      </c>
      <c r="M36" s="11">
        <v>2.8435516186860568</v>
      </c>
      <c r="O36" s="12">
        <v>108</v>
      </c>
      <c r="P36" s="11">
        <v>67.018518518518519</v>
      </c>
      <c r="Q36" s="11">
        <v>51.24074074074074</v>
      </c>
      <c r="R36" s="11">
        <v>41.694444444444443</v>
      </c>
      <c r="S36" s="11"/>
      <c r="T36" s="11">
        <v>118.25925925925927</v>
      </c>
      <c r="U36" s="11">
        <v>59.129629629629633</v>
      </c>
      <c r="V36" s="13">
        <v>17</v>
      </c>
      <c r="W36" s="11">
        <v>-0.22541624192999876</v>
      </c>
      <c r="Y36" s="12">
        <v>194</v>
      </c>
      <c r="Z36" s="11">
        <v>63.808</v>
      </c>
      <c r="AA36" s="11">
        <v>53.792000000000002</v>
      </c>
      <c r="AB36" s="11">
        <v>43.008000000000003</v>
      </c>
      <c r="AC36" s="11"/>
      <c r="AD36" s="11">
        <v>160.608</v>
      </c>
      <c r="AE36" s="11">
        <v>53.536000000000001</v>
      </c>
      <c r="AF36" s="13">
        <v>52</v>
      </c>
      <c r="AG36" s="11">
        <v>-5.5936296296296319</v>
      </c>
      <c r="AI36" s="12">
        <v>151</v>
      </c>
      <c r="AJ36" s="11">
        <v>53.880794701986758</v>
      </c>
      <c r="AK36" s="11">
        <v>47.549668874172184</v>
      </c>
      <c r="AL36" s="11">
        <v>38.092715231788077</v>
      </c>
      <c r="AM36" s="11" t="s">
        <v>14</v>
      </c>
      <c r="AN36" s="11">
        <v>139.52317880794703</v>
      </c>
      <c r="AO36" s="11">
        <v>46.507726269315675</v>
      </c>
      <c r="AP36" s="13">
        <v>111</v>
      </c>
      <c r="AQ36" s="11">
        <v>-7.0282737306843259</v>
      </c>
      <c r="AS36" s="12">
        <v>189</v>
      </c>
      <c r="AT36" s="11">
        <v>57.443617021276602</v>
      </c>
      <c r="AU36" s="11">
        <v>31.471808510638287</v>
      </c>
      <c r="AV36" s="11">
        <v>37.264361702127658</v>
      </c>
      <c r="AW36" s="11"/>
      <c r="AX36" s="11">
        <v>126.17978723404255</v>
      </c>
      <c r="AY36" s="11">
        <v>42.059929078014186</v>
      </c>
      <c r="AZ36" s="13">
        <v>133</v>
      </c>
      <c r="BA36" s="11">
        <v>-4.4477971913014898</v>
      </c>
    </row>
    <row r="37" spans="1:53" s="14" customFormat="1" x14ac:dyDescent="0.25">
      <c r="A37" s="12">
        <v>34</v>
      </c>
      <c r="B37" s="12" t="s">
        <v>15</v>
      </c>
      <c r="C37" s="12">
        <v>314</v>
      </c>
      <c r="D37" s="12" t="s">
        <v>12</v>
      </c>
      <c r="E37" s="12">
        <v>104</v>
      </c>
      <c r="F37" s="11">
        <v>58.344230769230762</v>
      </c>
      <c r="G37" s="11">
        <v>45.443269230769232</v>
      </c>
      <c r="H37" s="11"/>
      <c r="I37" s="11"/>
      <c r="J37" s="11">
        <v>103.78749999999999</v>
      </c>
      <c r="K37" s="11">
        <v>51.893749999999997</v>
      </c>
      <c r="L37" s="13">
        <v>81</v>
      </c>
      <c r="M37" s="11">
        <v>-0.31967592592593519</v>
      </c>
      <c r="O37" s="12">
        <v>141</v>
      </c>
      <c r="P37" s="11">
        <v>53.928571428571431</v>
      </c>
      <c r="Q37" s="11">
        <v>48.557142857142857</v>
      </c>
      <c r="R37" s="11">
        <v>40.799999999999997</v>
      </c>
      <c r="S37" s="11"/>
      <c r="T37" s="11">
        <v>102.48571428571429</v>
      </c>
      <c r="U37" s="11">
        <v>51.242857142857147</v>
      </c>
      <c r="V37" s="13">
        <v>84</v>
      </c>
      <c r="W37" s="11">
        <v>-0.65089285714284983</v>
      </c>
      <c r="Y37" s="12">
        <v>178</v>
      </c>
      <c r="Z37" s="11">
        <v>56.948905109489054</v>
      </c>
      <c r="AA37" s="11">
        <v>50.510948905109487</v>
      </c>
      <c r="AB37" s="11">
        <v>36.737226277372265</v>
      </c>
      <c r="AC37" s="11"/>
      <c r="AD37" s="11">
        <v>144.19708029197079</v>
      </c>
      <c r="AE37" s="11">
        <v>48.065693430656928</v>
      </c>
      <c r="AF37" s="13">
        <v>149</v>
      </c>
      <c r="AG37" s="11">
        <v>-3.177163712200219</v>
      </c>
      <c r="AI37" s="12">
        <v>147</v>
      </c>
      <c r="AJ37" s="11">
        <v>49.944444444444443</v>
      </c>
      <c r="AK37" s="11">
        <v>45.583333333333336</v>
      </c>
      <c r="AL37" s="11">
        <v>37.902777777777779</v>
      </c>
      <c r="AM37" s="11" t="s">
        <v>14</v>
      </c>
      <c r="AN37" s="11">
        <v>133.43055555555554</v>
      </c>
      <c r="AO37" s="11">
        <v>44.476851851851848</v>
      </c>
      <c r="AP37" s="13">
        <v>139</v>
      </c>
      <c r="AQ37" s="11">
        <v>-3.5888415788050807</v>
      </c>
      <c r="AS37" s="12">
        <v>175</v>
      </c>
      <c r="AT37" s="11">
        <v>55.984117647058874</v>
      </c>
      <c r="AU37" s="11">
        <v>31.771764705882372</v>
      </c>
      <c r="AV37" s="11">
        <v>37.2664705882353</v>
      </c>
      <c r="AW37" s="11"/>
      <c r="AX37" s="11">
        <v>125.02235294117654</v>
      </c>
      <c r="AY37" s="11">
        <v>41.674117647058843</v>
      </c>
      <c r="AZ37" s="13">
        <v>137</v>
      </c>
      <c r="BA37" s="11">
        <v>-2.8027342047930048</v>
      </c>
    </row>
    <row r="38" spans="1:53" s="14" customFormat="1" x14ac:dyDescent="0.25">
      <c r="A38" s="12">
        <v>35</v>
      </c>
      <c r="B38" s="12" t="s">
        <v>16</v>
      </c>
      <c r="C38" s="12" t="s">
        <v>46</v>
      </c>
      <c r="D38" s="12" t="s">
        <v>34</v>
      </c>
      <c r="E38" s="12"/>
      <c r="F38" s="11"/>
      <c r="G38" s="11"/>
      <c r="H38" s="11"/>
      <c r="I38" s="11"/>
      <c r="J38" s="11" t="s">
        <v>14</v>
      </c>
      <c r="K38" s="11" t="s">
        <v>14</v>
      </c>
      <c r="L38" s="13" t="s">
        <v>14</v>
      </c>
      <c r="M38" s="11" t="s">
        <v>14</v>
      </c>
      <c r="O38" s="12"/>
      <c r="P38" s="11"/>
      <c r="Q38" s="11"/>
      <c r="R38" s="11"/>
      <c r="S38" s="11"/>
      <c r="T38" s="11" t="s">
        <v>14</v>
      </c>
      <c r="U38" s="11" t="s">
        <v>14</v>
      </c>
      <c r="V38" s="13" t="s">
        <v>14</v>
      </c>
      <c r="W38" s="11" t="s">
        <v>14</v>
      </c>
      <c r="Y38" s="12"/>
      <c r="Z38" s="11"/>
      <c r="AA38" s="11"/>
      <c r="AB38" s="11"/>
      <c r="AC38" s="11"/>
      <c r="AD38" s="11" t="s">
        <v>14</v>
      </c>
      <c r="AE38" s="11" t="s">
        <v>14</v>
      </c>
      <c r="AF38" s="13" t="s">
        <v>14</v>
      </c>
      <c r="AG38" s="11" t="s">
        <v>14</v>
      </c>
      <c r="AI38" s="12"/>
      <c r="AJ38" s="11"/>
      <c r="AK38" s="11"/>
      <c r="AL38" s="11"/>
      <c r="AM38" s="11"/>
      <c r="AN38" s="11" t="s">
        <v>14</v>
      </c>
      <c r="AO38" s="11" t="s">
        <v>14</v>
      </c>
      <c r="AP38" s="13" t="s">
        <v>14</v>
      </c>
      <c r="AQ38" s="11" t="s">
        <v>14</v>
      </c>
      <c r="AS38" s="12">
        <v>0</v>
      </c>
      <c r="AT38" s="11"/>
      <c r="AU38" s="11"/>
      <c r="AV38" s="11"/>
      <c r="AW38" s="11"/>
      <c r="AX38" s="11" t="s">
        <v>14</v>
      </c>
      <c r="AY38" s="11" t="s">
        <v>14</v>
      </c>
      <c r="AZ38" s="13" t="s">
        <v>14</v>
      </c>
      <c r="BA38" s="11" t="s">
        <v>14</v>
      </c>
    </row>
    <row r="39" spans="1:53" s="14" customFormat="1" x14ac:dyDescent="0.25">
      <c r="A39" s="12">
        <v>36</v>
      </c>
      <c r="B39" s="12" t="s">
        <v>16</v>
      </c>
      <c r="C39" s="12">
        <v>34</v>
      </c>
      <c r="D39" s="12" t="s">
        <v>12</v>
      </c>
      <c r="E39" s="12">
        <v>62</v>
      </c>
      <c r="F39" s="11">
        <v>52.432258064516141</v>
      </c>
      <c r="G39" s="11">
        <v>42.683870967741946</v>
      </c>
      <c r="H39" s="11"/>
      <c r="I39" s="11"/>
      <c r="J39" s="11">
        <v>95.116129032258087</v>
      </c>
      <c r="K39" s="11">
        <v>47.558064516129043</v>
      </c>
      <c r="L39" s="13">
        <v>141</v>
      </c>
      <c r="M39" s="11">
        <v>-6.4205069124423773</v>
      </c>
      <c r="O39" s="12">
        <v>37</v>
      </c>
      <c r="P39" s="11">
        <v>53.864864864864863</v>
      </c>
      <c r="Q39" s="11">
        <v>48.270270270270274</v>
      </c>
      <c r="R39" s="11">
        <v>38</v>
      </c>
      <c r="S39" s="11"/>
      <c r="T39" s="11">
        <v>102.13513513513513</v>
      </c>
      <c r="U39" s="11">
        <v>51.067567567567565</v>
      </c>
      <c r="V39" s="13">
        <v>86</v>
      </c>
      <c r="W39" s="11">
        <v>3.5095030514385215</v>
      </c>
      <c r="Y39" s="12">
        <v>54</v>
      </c>
      <c r="Z39" s="11">
        <v>61.904761904761905</v>
      </c>
      <c r="AA39" s="11">
        <v>51.714285714285715</v>
      </c>
      <c r="AB39" s="11">
        <v>44.428571428571431</v>
      </c>
      <c r="AC39" s="11"/>
      <c r="AD39" s="11">
        <v>158.04761904761904</v>
      </c>
      <c r="AE39" s="11">
        <v>52.682539682539677</v>
      </c>
      <c r="AF39" s="13">
        <v>64</v>
      </c>
      <c r="AG39" s="11">
        <v>1.6149721149721117</v>
      </c>
      <c r="AI39" s="12">
        <v>67</v>
      </c>
      <c r="AJ39" s="11">
        <v>57.388059701492537</v>
      </c>
      <c r="AK39" s="11">
        <v>45.373134328358212</v>
      </c>
      <c r="AL39" s="11">
        <v>44.343283582089555</v>
      </c>
      <c r="AM39" s="11" t="s">
        <v>14</v>
      </c>
      <c r="AN39" s="11">
        <v>147.1044776119403</v>
      </c>
      <c r="AO39" s="11">
        <v>49.034825870646763</v>
      </c>
      <c r="AP39" s="13">
        <v>73</v>
      </c>
      <c r="AQ39" s="11">
        <v>-3.6477138118929133</v>
      </c>
      <c r="AS39" s="12">
        <v>52</v>
      </c>
      <c r="AT39" s="11">
        <v>48.174509803921573</v>
      </c>
      <c r="AU39" s="11">
        <v>37.607843137254896</v>
      </c>
      <c r="AV39" s="11">
        <v>37.190196078431363</v>
      </c>
      <c r="AW39" s="11"/>
      <c r="AX39" s="11">
        <v>122.97254901960784</v>
      </c>
      <c r="AY39" s="11">
        <v>40.990849673202611</v>
      </c>
      <c r="AZ39" s="13">
        <v>149</v>
      </c>
      <c r="BA39" s="11">
        <v>-8.0439761974441524</v>
      </c>
    </row>
    <row r="40" spans="1:53" s="14" customFormat="1" x14ac:dyDescent="0.25">
      <c r="A40" s="12">
        <v>37</v>
      </c>
      <c r="B40" s="12" t="s">
        <v>16</v>
      </c>
      <c r="C40" s="12">
        <v>36</v>
      </c>
      <c r="D40" s="12" t="s">
        <v>12</v>
      </c>
      <c r="E40" s="12">
        <v>67</v>
      </c>
      <c r="F40" s="11">
        <v>50.449253731343305</v>
      </c>
      <c r="G40" s="11">
        <v>37.992537313432827</v>
      </c>
      <c r="H40" s="11"/>
      <c r="I40" s="11"/>
      <c r="J40" s="11">
        <v>88.441791044776124</v>
      </c>
      <c r="K40" s="11">
        <v>44.220895522388062</v>
      </c>
      <c r="L40" s="13">
        <v>190</v>
      </c>
      <c r="M40" s="11">
        <v>3.7719159305513301</v>
      </c>
      <c r="O40" s="12">
        <v>61</v>
      </c>
      <c r="P40" s="11">
        <v>54.377049180327866</v>
      </c>
      <c r="Q40" s="11">
        <v>41.754098360655739</v>
      </c>
      <c r="R40" s="11">
        <v>41.590163934426229</v>
      </c>
      <c r="S40" s="11"/>
      <c r="T40" s="11">
        <v>96.131147540983605</v>
      </c>
      <c r="U40" s="11">
        <v>48.065573770491802</v>
      </c>
      <c r="V40" s="13">
        <v>126</v>
      </c>
      <c r="W40" s="11">
        <v>3.8446782481037403</v>
      </c>
      <c r="Y40" s="12">
        <v>93</v>
      </c>
      <c r="Z40" s="11">
        <v>56.560975609756099</v>
      </c>
      <c r="AA40" s="11">
        <v>52.195121951219512</v>
      </c>
      <c r="AB40" s="11">
        <v>42.963414634146339</v>
      </c>
      <c r="AC40" s="11"/>
      <c r="AD40" s="11">
        <v>151.71951219512195</v>
      </c>
      <c r="AE40" s="11">
        <v>50.573170731707314</v>
      </c>
      <c r="AF40" s="13">
        <v>102</v>
      </c>
      <c r="AG40" s="11">
        <v>2.507596961215512</v>
      </c>
      <c r="AI40" s="12">
        <v>84</v>
      </c>
      <c r="AJ40" s="11">
        <v>55.285714285714285</v>
      </c>
      <c r="AK40" s="11">
        <v>41.238095238095241</v>
      </c>
      <c r="AL40" s="11">
        <v>43.69047619047619</v>
      </c>
      <c r="AM40" s="11" t="s">
        <v>14</v>
      </c>
      <c r="AN40" s="11">
        <v>140.21428571428572</v>
      </c>
      <c r="AO40" s="11">
        <v>46.738095238095241</v>
      </c>
      <c r="AP40" s="13">
        <v>109</v>
      </c>
      <c r="AQ40" s="11">
        <v>-3.8350754936120737</v>
      </c>
      <c r="AS40" s="12">
        <v>96</v>
      </c>
      <c r="AT40" s="11">
        <v>48.021978021978022</v>
      </c>
      <c r="AU40" s="11">
        <v>34.445054945054942</v>
      </c>
      <c r="AV40" s="11">
        <v>36.718681318681327</v>
      </c>
      <c r="AW40" s="11"/>
      <c r="AX40" s="11">
        <v>119.18571428571428</v>
      </c>
      <c r="AY40" s="11">
        <v>39.728571428571428</v>
      </c>
      <c r="AZ40" s="13">
        <v>170</v>
      </c>
      <c r="BA40" s="11">
        <v>-7.009523809523813</v>
      </c>
    </row>
    <row r="41" spans="1:53" s="14" customFormat="1" x14ac:dyDescent="0.25">
      <c r="A41" s="12">
        <v>38</v>
      </c>
      <c r="B41" s="12" t="s">
        <v>16</v>
      </c>
      <c r="C41" s="12">
        <v>37</v>
      </c>
      <c r="D41" s="12" t="s">
        <v>12</v>
      </c>
      <c r="E41" s="12">
        <v>49</v>
      </c>
      <c r="F41" s="11">
        <v>45.267346938775518</v>
      </c>
      <c r="G41" s="11">
        <v>34.218367346938777</v>
      </c>
      <c r="H41" s="11"/>
      <c r="I41" s="11"/>
      <c r="J41" s="11">
        <v>79.485714285714295</v>
      </c>
      <c r="K41" s="11">
        <v>39.742857142857147</v>
      </c>
      <c r="L41" s="13">
        <v>250</v>
      </c>
      <c r="M41" s="11">
        <v>-3.5973067915690891</v>
      </c>
      <c r="O41" s="12">
        <v>40</v>
      </c>
      <c r="P41" s="11">
        <v>51.274999999999999</v>
      </c>
      <c r="Q41" s="11">
        <v>40.950000000000003</v>
      </c>
      <c r="R41" s="11">
        <v>35.575000000000003</v>
      </c>
      <c r="S41" s="11"/>
      <c r="T41" s="11">
        <v>92.224999999999994</v>
      </c>
      <c r="U41" s="11">
        <v>46.112499999999997</v>
      </c>
      <c r="V41" s="13">
        <v>157</v>
      </c>
      <c r="W41" s="11">
        <v>6.3696428571428498</v>
      </c>
      <c r="Y41" s="12">
        <v>63</v>
      </c>
      <c r="Z41" s="11">
        <v>50.916666666666664</v>
      </c>
      <c r="AA41" s="11">
        <v>48.020833333333336</v>
      </c>
      <c r="AB41" s="11">
        <v>36.916666666666664</v>
      </c>
      <c r="AC41" s="11"/>
      <c r="AD41" s="11">
        <v>135.85416666666666</v>
      </c>
      <c r="AE41" s="11">
        <v>45.284722222222221</v>
      </c>
      <c r="AF41" s="13">
        <v>201</v>
      </c>
      <c r="AG41" s="11">
        <v>-0.82777777777777573</v>
      </c>
      <c r="AI41" s="12">
        <v>39</v>
      </c>
      <c r="AJ41" s="11">
        <v>46.153846153846153</v>
      </c>
      <c r="AK41" s="11">
        <v>36.205128205128204</v>
      </c>
      <c r="AL41" s="11">
        <v>35.564102564102562</v>
      </c>
      <c r="AM41" s="11" t="s">
        <v>14</v>
      </c>
      <c r="AN41" s="11">
        <v>117.92307692307693</v>
      </c>
      <c r="AO41" s="11">
        <v>39.307692307692314</v>
      </c>
      <c r="AP41" s="13">
        <v>210</v>
      </c>
      <c r="AQ41" s="11">
        <v>-5.9770299145299077</v>
      </c>
      <c r="AS41" s="12">
        <v>72</v>
      </c>
      <c r="AT41" s="11">
        <v>43.073611111111113</v>
      </c>
      <c r="AU41" s="11">
        <v>29.14027777777779</v>
      </c>
      <c r="AV41" s="11">
        <v>33.98472222222221</v>
      </c>
      <c r="AW41" s="11"/>
      <c r="AX41" s="11">
        <v>106.19861111111112</v>
      </c>
      <c r="AY41" s="11">
        <v>35.399537037037042</v>
      </c>
      <c r="AZ41" s="13">
        <v>246</v>
      </c>
      <c r="BA41" s="11">
        <v>-3.9081552706552714</v>
      </c>
    </row>
    <row r="42" spans="1:53" s="14" customFormat="1" x14ac:dyDescent="0.25">
      <c r="A42" s="12">
        <v>39</v>
      </c>
      <c r="B42" s="12" t="s">
        <v>16</v>
      </c>
      <c r="C42" s="12">
        <v>39</v>
      </c>
      <c r="D42" s="12" t="s">
        <v>12</v>
      </c>
      <c r="E42" s="12">
        <v>71</v>
      </c>
      <c r="F42" s="11">
        <v>62.569014084507039</v>
      </c>
      <c r="G42" s="11">
        <v>51.632394366197168</v>
      </c>
      <c r="H42" s="11"/>
      <c r="I42" s="11"/>
      <c r="J42" s="11">
        <v>114.20140845070421</v>
      </c>
      <c r="K42" s="11">
        <v>57.100704225352104</v>
      </c>
      <c r="L42" s="13">
        <v>26</v>
      </c>
      <c r="M42" s="11">
        <v>5.4982042253521044</v>
      </c>
      <c r="O42" s="12">
        <v>60</v>
      </c>
      <c r="P42" s="11">
        <v>60.35</v>
      </c>
      <c r="Q42" s="11">
        <v>48.68333333333333</v>
      </c>
      <c r="R42" s="11">
        <v>46.85</v>
      </c>
      <c r="S42" s="11"/>
      <c r="T42" s="11">
        <v>109.03333333333333</v>
      </c>
      <c r="U42" s="11">
        <v>54.516666666666666</v>
      </c>
      <c r="V42" s="13">
        <v>37</v>
      </c>
      <c r="W42" s="11">
        <v>-2.5840375586854378</v>
      </c>
      <c r="Y42" s="12">
        <v>72</v>
      </c>
      <c r="Z42" s="11">
        <v>54.37096774193548</v>
      </c>
      <c r="AA42" s="11">
        <v>51.338709677419352</v>
      </c>
      <c r="AB42" s="11">
        <v>40.838709677419352</v>
      </c>
      <c r="AC42" s="11"/>
      <c r="AD42" s="11">
        <v>146.54838709677418</v>
      </c>
      <c r="AE42" s="11">
        <v>48.849462365591393</v>
      </c>
      <c r="AF42" s="13">
        <v>139</v>
      </c>
      <c r="AG42" s="11">
        <v>-5.6672043010752731</v>
      </c>
      <c r="AI42" s="12">
        <v>92</v>
      </c>
      <c r="AJ42" s="11">
        <v>59.173913043478258</v>
      </c>
      <c r="AK42" s="11">
        <v>46.608695652173914</v>
      </c>
      <c r="AL42" s="11">
        <v>50.336956521739133</v>
      </c>
      <c r="AM42" s="11">
        <v>54</v>
      </c>
      <c r="AN42" s="11">
        <v>156.11956521739131</v>
      </c>
      <c r="AO42" s="11">
        <v>52.039855072463773</v>
      </c>
      <c r="AP42" s="13">
        <v>47</v>
      </c>
      <c r="AQ42" s="11">
        <v>3.1903927068723803</v>
      </c>
      <c r="AS42" s="12">
        <v>70</v>
      </c>
      <c r="AT42" s="11">
        <v>56.519117647058827</v>
      </c>
      <c r="AU42" s="11">
        <v>38.723529411764694</v>
      </c>
      <c r="AV42" s="11">
        <v>46.316176470588246</v>
      </c>
      <c r="AW42" s="11">
        <v>69.956521739130437</v>
      </c>
      <c r="AX42" s="11">
        <v>141.55882352941177</v>
      </c>
      <c r="AY42" s="11">
        <v>47.186274509803923</v>
      </c>
      <c r="AZ42" s="13">
        <v>61</v>
      </c>
      <c r="BA42" s="11">
        <v>-4.8535805626598503</v>
      </c>
    </row>
    <row r="43" spans="1:53" s="14" customFormat="1" x14ac:dyDescent="0.25">
      <c r="A43" s="12">
        <v>40</v>
      </c>
      <c r="B43" s="12" t="s">
        <v>16</v>
      </c>
      <c r="C43" s="12">
        <v>45</v>
      </c>
      <c r="D43" s="12" t="s">
        <v>12</v>
      </c>
      <c r="E43" s="12">
        <v>117</v>
      </c>
      <c r="F43" s="11">
        <v>58.211965811965811</v>
      </c>
      <c r="G43" s="11">
        <v>45.069230769230778</v>
      </c>
      <c r="H43" s="11"/>
      <c r="I43" s="11"/>
      <c r="J43" s="11">
        <v>103.28119658119658</v>
      </c>
      <c r="K43" s="11">
        <v>51.640598290598291</v>
      </c>
      <c r="L43" s="13">
        <v>83</v>
      </c>
      <c r="M43" s="11">
        <v>-2.8143635414627752</v>
      </c>
      <c r="O43" s="12">
        <v>101</v>
      </c>
      <c r="P43" s="11">
        <v>55.61</v>
      </c>
      <c r="Q43" s="11">
        <v>45.86</v>
      </c>
      <c r="R43" s="11">
        <v>40.89</v>
      </c>
      <c r="S43" s="11"/>
      <c r="T43" s="11">
        <v>101.47</v>
      </c>
      <c r="U43" s="11">
        <v>50.734999999999999</v>
      </c>
      <c r="V43" s="13">
        <v>93</v>
      </c>
      <c r="W43" s="11">
        <v>-0.90559829059829156</v>
      </c>
      <c r="Y43" s="12">
        <v>146</v>
      </c>
      <c r="Z43" s="11">
        <v>58.313131313131315</v>
      </c>
      <c r="AA43" s="11">
        <v>50.727272727272727</v>
      </c>
      <c r="AB43" s="11">
        <v>42.686868686868685</v>
      </c>
      <c r="AC43" s="11"/>
      <c r="AD43" s="11">
        <v>151.72727272727272</v>
      </c>
      <c r="AE43" s="11">
        <v>50.575757575757571</v>
      </c>
      <c r="AF43" s="13">
        <v>101</v>
      </c>
      <c r="AG43" s="11">
        <v>-0.15924242424242863</v>
      </c>
      <c r="AI43" s="12">
        <v>123</v>
      </c>
      <c r="AJ43" s="11">
        <v>60.235772357723576</v>
      </c>
      <c r="AK43" s="11">
        <v>47.674796747967477</v>
      </c>
      <c r="AL43" s="11">
        <v>46.68292682926829</v>
      </c>
      <c r="AM43" s="11" t="s">
        <v>14</v>
      </c>
      <c r="AN43" s="11">
        <v>154.59349593495935</v>
      </c>
      <c r="AO43" s="11">
        <v>51.531165311653119</v>
      </c>
      <c r="AP43" s="13">
        <v>51</v>
      </c>
      <c r="AQ43" s="11">
        <v>0.95540773589554817</v>
      </c>
      <c r="AS43" s="12">
        <v>139</v>
      </c>
      <c r="AT43" s="11">
        <v>52.353956834532362</v>
      </c>
      <c r="AU43" s="11">
        <v>37.386330935251792</v>
      </c>
      <c r="AV43" s="11">
        <v>40.860431654676255</v>
      </c>
      <c r="AW43" s="11"/>
      <c r="AX43" s="11">
        <v>130.60071942446041</v>
      </c>
      <c r="AY43" s="11">
        <v>43.533573141486805</v>
      </c>
      <c r="AZ43" s="13">
        <v>107</v>
      </c>
      <c r="BA43" s="11">
        <v>-7.997592170166314</v>
      </c>
    </row>
    <row r="44" spans="1:53" s="14" customFormat="1" x14ac:dyDescent="0.25">
      <c r="A44" s="12">
        <v>41</v>
      </c>
      <c r="B44" s="12" t="s">
        <v>16</v>
      </c>
      <c r="C44" s="12">
        <v>47</v>
      </c>
      <c r="D44" s="12" t="s">
        <v>12</v>
      </c>
      <c r="E44" s="12">
        <v>99</v>
      </c>
      <c r="F44" s="11">
        <v>57.430303030303023</v>
      </c>
      <c r="G44" s="11">
        <v>42.334343434343431</v>
      </c>
      <c r="H44" s="11"/>
      <c r="I44" s="11"/>
      <c r="J44" s="11">
        <v>99.764646464646461</v>
      </c>
      <c r="K44" s="11">
        <v>49.88232323232323</v>
      </c>
      <c r="L44" s="13">
        <v>110</v>
      </c>
      <c r="M44" s="11">
        <v>-2.0062906290628888</v>
      </c>
      <c r="O44" s="12">
        <v>139</v>
      </c>
      <c r="P44" s="11">
        <v>59.607407407407408</v>
      </c>
      <c r="Q44" s="11">
        <v>49.62222222222222</v>
      </c>
      <c r="R44" s="11">
        <v>49.42962962962963</v>
      </c>
      <c r="S44" s="11"/>
      <c r="T44" s="11">
        <v>109.22962962962963</v>
      </c>
      <c r="U44" s="11">
        <v>54.614814814814814</v>
      </c>
      <c r="V44" s="13">
        <v>35</v>
      </c>
      <c r="W44" s="11">
        <v>4.7324915824915834</v>
      </c>
      <c r="Y44" s="12">
        <v>149</v>
      </c>
      <c r="Z44" s="11">
        <v>57.904000000000003</v>
      </c>
      <c r="AA44" s="11">
        <v>51.823999999999998</v>
      </c>
      <c r="AB44" s="11">
        <v>45.287999999999997</v>
      </c>
      <c r="AC44" s="11"/>
      <c r="AD44" s="11">
        <v>155.01600000000002</v>
      </c>
      <c r="AE44" s="11">
        <v>51.672000000000004</v>
      </c>
      <c r="AF44" s="13">
        <v>75</v>
      </c>
      <c r="AG44" s="11">
        <v>-2.9428148148148097</v>
      </c>
      <c r="AI44" s="12">
        <v>129</v>
      </c>
      <c r="AJ44" s="11">
        <v>57.031007751937985</v>
      </c>
      <c r="AK44" s="11">
        <v>45.333333333333336</v>
      </c>
      <c r="AL44" s="11">
        <v>53.821705426356587</v>
      </c>
      <c r="AM44" s="11">
        <v>51.68333333333333</v>
      </c>
      <c r="AN44" s="11">
        <v>156.18604651162792</v>
      </c>
      <c r="AO44" s="11">
        <v>52.062015503875976</v>
      </c>
      <c r="AP44" s="13">
        <v>45</v>
      </c>
      <c r="AQ44" s="11">
        <v>0.39001550387597206</v>
      </c>
      <c r="AS44" s="12">
        <v>142</v>
      </c>
      <c r="AT44" s="11">
        <v>56.888732394366201</v>
      </c>
      <c r="AU44" s="11">
        <v>34.553521126760565</v>
      </c>
      <c r="AV44" s="11">
        <v>47.203521126760577</v>
      </c>
      <c r="AW44" s="11">
        <v>55.270270270270274</v>
      </c>
      <c r="AX44" s="11">
        <v>138.64577464788732</v>
      </c>
      <c r="AY44" s="11">
        <v>46.215258215962443</v>
      </c>
      <c r="AZ44" s="13">
        <v>76</v>
      </c>
      <c r="BA44" s="11">
        <v>-5.8467572879135332</v>
      </c>
    </row>
    <row r="45" spans="1:53" s="14" customFormat="1" x14ac:dyDescent="0.25">
      <c r="A45" s="12">
        <v>42</v>
      </c>
      <c r="B45" s="12" t="s">
        <v>16</v>
      </c>
      <c r="C45" s="12">
        <v>57</v>
      </c>
      <c r="D45" s="12" t="s">
        <v>12</v>
      </c>
      <c r="E45" s="12">
        <v>58</v>
      </c>
      <c r="F45" s="11">
        <v>52.924137931034473</v>
      </c>
      <c r="G45" s="11">
        <v>47.355172413793092</v>
      </c>
      <c r="H45" s="11"/>
      <c r="I45" s="11"/>
      <c r="J45" s="11">
        <v>100.27931034482756</v>
      </c>
      <c r="K45" s="11">
        <v>50.139655172413782</v>
      </c>
      <c r="L45" s="13">
        <v>105</v>
      </c>
      <c r="M45" s="11">
        <v>5.2757662835248809</v>
      </c>
      <c r="O45" s="12">
        <v>58</v>
      </c>
      <c r="P45" s="11">
        <v>44.689655172413794</v>
      </c>
      <c r="Q45" s="11">
        <v>36.586206896551722</v>
      </c>
      <c r="R45" s="11">
        <v>31.155172413793103</v>
      </c>
      <c r="S45" s="11"/>
      <c r="T45" s="11">
        <v>81.275862068965523</v>
      </c>
      <c r="U45" s="11">
        <v>40.637931034482762</v>
      </c>
      <c r="V45" s="13">
        <v>248</v>
      </c>
      <c r="W45" s="11">
        <v>-9.5017241379310207</v>
      </c>
      <c r="Y45" s="12">
        <v>73</v>
      </c>
      <c r="Z45" s="11">
        <v>45.530303030303031</v>
      </c>
      <c r="AA45" s="11">
        <v>43.31818181818182</v>
      </c>
      <c r="AB45" s="11">
        <v>33.242424242424242</v>
      </c>
      <c r="AC45" s="11"/>
      <c r="AD45" s="11">
        <v>122.09090909090909</v>
      </c>
      <c r="AE45" s="11">
        <v>40.696969696969695</v>
      </c>
      <c r="AF45" s="13">
        <v>267</v>
      </c>
      <c r="AG45" s="11">
        <v>5.9038662486933902E-2</v>
      </c>
      <c r="AI45" s="12">
        <v>61</v>
      </c>
      <c r="AJ45" s="11">
        <v>44.213114754098363</v>
      </c>
      <c r="AK45" s="11">
        <v>37.639344262295083</v>
      </c>
      <c r="AL45" s="11">
        <v>30.032786885245901</v>
      </c>
      <c r="AM45" s="11" t="s">
        <v>14</v>
      </c>
      <c r="AN45" s="11">
        <v>111.88524590163935</v>
      </c>
      <c r="AO45" s="11">
        <v>37.295081967213115</v>
      </c>
      <c r="AP45" s="13">
        <v>238</v>
      </c>
      <c r="AQ45" s="11">
        <v>-3.4018877297565808</v>
      </c>
      <c r="AS45" s="12">
        <v>75</v>
      </c>
      <c r="AT45" s="11">
        <v>44.138666666666666</v>
      </c>
      <c r="AU45" s="11">
        <v>37.986666666666657</v>
      </c>
      <c r="AV45" s="11">
        <v>32.046666666666674</v>
      </c>
      <c r="AW45" s="11"/>
      <c r="AX45" s="11">
        <v>114.172</v>
      </c>
      <c r="AY45" s="11">
        <v>38.057333333333332</v>
      </c>
      <c r="AZ45" s="13">
        <v>212</v>
      </c>
      <c r="BA45" s="11">
        <v>0.76225136612021771</v>
      </c>
    </row>
    <row r="46" spans="1:53" s="14" customFormat="1" x14ac:dyDescent="0.25">
      <c r="A46" s="12">
        <v>43</v>
      </c>
      <c r="B46" s="12" t="s">
        <v>16</v>
      </c>
      <c r="C46" s="12">
        <v>73</v>
      </c>
      <c r="D46" s="12" t="s">
        <v>12</v>
      </c>
      <c r="E46" s="12">
        <v>62</v>
      </c>
      <c r="F46" s="11">
        <v>44.758064516129039</v>
      </c>
      <c r="G46" s="11">
        <v>34.290322580645153</v>
      </c>
      <c r="H46" s="11"/>
      <c r="I46" s="11"/>
      <c r="J46" s="11">
        <v>79.048387096774192</v>
      </c>
      <c r="K46" s="11">
        <v>39.524193548387096</v>
      </c>
      <c r="L46" s="13">
        <v>254</v>
      </c>
      <c r="M46" s="11">
        <v>-0.18734491315137092</v>
      </c>
      <c r="O46" s="12">
        <v>55</v>
      </c>
      <c r="P46" s="11">
        <v>43.763636363636365</v>
      </c>
      <c r="Q46" s="11">
        <v>38.763636363636365</v>
      </c>
      <c r="R46" s="11">
        <v>30.472727272727273</v>
      </c>
      <c r="S46" s="11"/>
      <c r="T46" s="11">
        <v>82.527272727272731</v>
      </c>
      <c r="U46" s="11">
        <v>41.263636363636365</v>
      </c>
      <c r="V46" s="13">
        <v>234</v>
      </c>
      <c r="W46" s="11">
        <v>1.7394428152492694</v>
      </c>
      <c r="Y46" s="12">
        <v>76</v>
      </c>
      <c r="Z46" s="11">
        <v>53.720588235294116</v>
      </c>
      <c r="AA46" s="11">
        <v>52.867647058823529</v>
      </c>
      <c r="AB46" s="11">
        <v>34.75</v>
      </c>
      <c r="AC46" s="11"/>
      <c r="AD46" s="11">
        <v>141.33823529411765</v>
      </c>
      <c r="AE46" s="11">
        <v>47.11274509803922</v>
      </c>
      <c r="AF46" s="13">
        <v>166</v>
      </c>
      <c r="AG46" s="11">
        <v>5.8491087344028543</v>
      </c>
      <c r="AI46" s="12">
        <v>80</v>
      </c>
      <c r="AJ46" s="11">
        <v>46.825000000000003</v>
      </c>
      <c r="AK46" s="11">
        <v>38.9</v>
      </c>
      <c r="AL46" s="11">
        <v>31.55</v>
      </c>
      <c r="AM46" s="11" t="s">
        <v>14</v>
      </c>
      <c r="AN46" s="11">
        <v>117.27499999999999</v>
      </c>
      <c r="AO46" s="11">
        <v>39.091666666666661</v>
      </c>
      <c r="AP46" s="13">
        <v>214</v>
      </c>
      <c r="AQ46" s="11">
        <v>-8.0210784313725583</v>
      </c>
      <c r="AS46" s="12">
        <v>72</v>
      </c>
      <c r="AT46" s="11">
        <v>46.843055555555551</v>
      </c>
      <c r="AU46" s="11">
        <v>32.987499999999997</v>
      </c>
      <c r="AV46" s="11">
        <v>34.759722222222209</v>
      </c>
      <c r="AW46" s="11"/>
      <c r="AX46" s="11">
        <v>114.59027777777776</v>
      </c>
      <c r="AY46" s="11">
        <v>38.196759259259252</v>
      </c>
      <c r="AZ46" s="13">
        <v>205</v>
      </c>
      <c r="BA46" s="11">
        <v>-0.89490740740740904</v>
      </c>
    </row>
    <row r="47" spans="1:53" s="14" customFormat="1" x14ac:dyDescent="0.25">
      <c r="A47" s="12">
        <v>44</v>
      </c>
      <c r="B47" s="12" t="s">
        <v>16</v>
      </c>
      <c r="C47" s="12">
        <v>82</v>
      </c>
      <c r="D47" s="12" t="s">
        <v>12</v>
      </c>
      <c r="E47" s="12">
        <v>121</v>
      </c>
      <c r="F47" s="11">
        <v>60.561983471074349</v>
      </c>
      <c r="G47" s="11">
        <v>41.630578512396696</v>
      </c>
      <c r="H47" s="11"/>
      <c r="I47" s="11"/>
      <c r="J47" s="11">
        <v>102.19256198347105</v>
      </c>
      <c r="K47" s="11">
        <v>51.096280991735526</v>
      </c>
      <c r="L47" s="13">
        <v>90</v>
      </c>
      <c r="M47" s="11">
        <v>-4.2761489148065408</v>
      </c>
      <c r="O47" s="12">
        <v>103</v>
      </c>
      <c r="P47" s="11">
        <v>59.708737864077669</v>
      </c>
      <c r="Q47" s="11">
        <v>50.601941747572816</v>
      </c>
      <c r="R47" s="11">
        <v>47.349514563106794</v>
      </c>
      <c r="S47" s="11"/>
      <c r="T47" s="11">
        <v>110.31067961165049</v>
      </c>
      <c r="U47" s="11">
        <v>55.155339805825243</v>
      </c>
      <c r="V47" s="13">
        <v>30</v>
      </c>
      <c r="W47" s="11">
        <v>4.0590588140897168</v>
      </c>
      <c r="Y47" s="12">
        <v>135</v>
      </c>
      <c r="Z47" s="11">
        <v>64.054054054054049</v>
      </c>
      <c r="AA47" s="11">
        <v>59.531531531531535</v>
      </c>
      <c r="AB47" s="11">
        <v>45.837837837837839</v>
      </c>
      <c r="AC47" s="11"/>
      <c r="AD47" s="11">
        <v>169.42342342342343</v>
      </c>
      <c r="AE47" s="11">
        <v>56.474474474474476</v>
      </c>
      <c r="AF47" s="13">
        <v>26</v>
      </c>
      <c r="AG47" s="11">
        <v>1.3191346686492338</v>
      </c>
      <c r="AI47" s="12">
        <v>120</v>
      </c>
      <c r="AJ47" s="11">
        <v>62.159663865546221</v>
      </c>
      <c r="AK47" s="11">
        <v>49.680672268907564</v>
      </c>
      <c r="AL47" s="11">
        <v>51.235294117647058</v>
      </c>
      <c r="AM47" s="11">
        <v>53.567567567567565</v>
      </c>
      <c r="AN47" s="11">
        <v>163.07563025210084</v>
      </c>
      <c r="AO47" s="11">
        <v>54.358543417366946</v>
      </c>
      <c r="AP47" s="13">
        <v>34</v>
      </c>
      <c r="AQ47" s="11">
        <v>-2.1159310571075309</v>
      </c>
      <c r="AS47" s="12">
        <v>124</v>
      </c>
      <c r="AT47" s="11">
        <v>65.127642276422776</v>
      </c>
      <c r="AU47" s="11">
        <v>42.534959349593514</v>
      </c>
      <c r="AV47" s="11">
        <v>52.101626016260155</v>
      </c>
      <c r="AW47" s="11">
        <v>56.696428571428569</v>
      </c>
      <c r="AX47" s="11">
        <v>159.76422764227644</v>
      </c>
      <c r="AY47" s="11">
        <v>53.254742547425479</v>
      </c>
      <c r="AZ47" s="13">
        <v>17</v>
      </c>
      <c r="BA47" s="11">
        <v>-1.1038008699414661</v>
      </c>
    </row>
    <row r="48" spans="1:53" s="14" customFormat="1" x14ac:dyDescent="0.25">
      <c r="A48" s="12">
        <v>45</v>
      </c>
      <c r="B48" s="12" t="s">
        <v>16</v>
      </c>
      <c r="C48" s="12" t="s">
        <v>47</v>
      </c>
      <c r="D48" s="12" t="s">
        <v>34</v>
      </c>
      <c r="E48" s="12"/>
      <c r="F48" s="11"/>
      <c r="G48" s="11"/>
      <c r="H48" s="11"/>
      <c r="I48" s="11"/>
      <c r="J48" s="11" t="s">
        <v>14</v>
      </c>
      <c r="K48" s="11" t="s">
        <v>14</v>
      </c>
      <c r="L48" s="13" t="s">
        <v>14</v>
      </c>
      <c r="M48" s="11" t="s">
        <v>14</v>
      </c>
      <c r="O48" s="12"/>
      <c r="P48" s="11"/>
      <c r="Q48" s="11"/>
      <c r="R48" s="11"/>
      <c r="S48" s="11"/>
      <c r="T48" s="11" t="s">
        <v>14</v>
      </c>
      <c r="U48" s="11" t="s">
        <v>14</v>
      </c>
      <c r="V48" s="13" t="s">
        <v>14</v>
      </c>
      <c r="W48" s="11" t="s">
        <v>14</v>
      </c>
      <c r="Y48" s="12"/>
      <c r="Z48" s="11"/>
      <c r="AA48" s="11"/>
      <c r="AB48" s="11"/>
      <c r="AC48" s="11"/>
      <c r="AD48" s="11" t="s">
        <v>14</v>
      </c>
      <c r="AE48" s="11" t="s">
        <v>14</v>
      </c>
      <c r="AF48" s="13" t="s">
        <v>14</v>
      </c>
      <c r="AG48" s="11" t="s">
        <v>14</v>
      </c>
      <c r="AI48" s="12">
        <v>12</v>
      </c>
      <c r="AJ48" s="11">
        <v>7.83</v>
      </c>
      <c r="AK48" s="11">
        <v>24</v>
      </c>
      <c r="AL48" s="11">
        <v>12.42</v>
      </c>
      <c r="AM48" s="11"/>
      <c r="AN48" s="11">
        <v>44.25</v>
      </c>
      <c r="AO48" s="11">
        <v>14.75</v>
      </c>
      <c r="AP48" s="13">
        <v>312</v>
      </c>
      <c r="AQ48" s="11" t="e">
        <v>#VALUE!</v>
      </c>
      <c r="AS48" s="12">
        <v>20</v>
      </c>
      <c r="AT48" s="11">
        <v>16.327777777777776</v>
      </c>
      <c r="AU48" s="11">
        <v>20.483333333333331</v>
      </c>
      <c r="AV48" s="11">
        <v>15.511111111111111</v>
      </c>
      <c r="AW48" s="11"/>
      <c r="AX48" s="11">
        <v>52.322222222222216</v>
      </c>
      <c r="AY48" s="11">
        <v>17.44074074074074</v>
      </c>
      <c r="AZ48" s="13">
        <v>314</v>
      </c>
      <c r="BA48" s="11">
        <v>2.6907407407407398</v>
      </c>
    </row>
    <row r="49" spans="1:53" s="14" customFormat="1" x14ac:dyDescent="0.25">
      <c r="A49" s="12">
        <v>46</v>
      </c>
      <c r="B49" s="12" t="s">
        <v>16</v>
      </c>
      <c r="C49" s="12">
        <v>93</v>
      </c>
      <c r="D49" s="12" t="s">
        <v>12</v>
      </c>
      <c r="E49" s="12">
        <v>61</v>
      </c>
      <c r="F49" s="11">
        <v>48.8655737704918</v>
      </c>
      <c r="G49" s="11">
        <v>38.386885245901624</v>
      </c>
      <c r="H49" s="11"/>
      <c r="I49" s="11"/>
      <c r="J49" s="11">
        <v>87.252459016393431</v>
      </c>
      <c r="K49" s="11">
        <v>43.626229508196715</v>
      </c>
      <c r="L49" s="13">
        <v>199</v>
      </c>
      <c r="M49" s="11">
        <v>-6.4073525813555108</v>
      </c>
      <c r="O49" s="12">
        <v>73</v>
      </c>
      <c r="P49" s="11">
        <v>45.753424657534246</v>
      </c>
      <c r="Q49" s="11">
        <v>34</v>
      </c>
      <c r="R49" s="11">
        <v>31.575342465753426</v>
      </c>
      <c r="S49" s="11"/>
      <c r="T49" s="11">
        <v>79.753424657534254</v>
      </c>
      <c r="U49" s="11">
        <v>39.876712328767127</v>
      </c>
      <c r="V49" s="13">
        <v>261</v>
      </c>
      <c r="W49" s="11">
        <v>-3.7495171794295885</v>
      </c>
      <c r="Y49" s="12">
        <v>82</v>
      </c>
      <c r="Z49" s="11">
        <v>52.344262295081968</v>
      </c>
      <c r="AA49" s="11">
        <v>44.540983606557376</v>
      </c>
      <c r="AB49" s="11">
        <v>37.377049180327866</v>
      </c>
      <c r="AC49" s="11"/>
      <c r="AD49" s="11">
        <v>134.26229508196721</v>
      </c>
      <c r="AE49" s="11">
        <v>44.754098360655739</v>
      </c>
      <c r="AF49" s="13">
        <v>215</v>
      </c>
      <c r="AG49" s="11">
        <v>4.8773860318886122</v>
      </c>
      <c r="AI49" s="12">
        <v>87</v>
      </c>
      <c r="AJ49" s="11">
        <v>51.139534883720927</v>
      </c>
      <c r="AK49" s="11">
        <v>41.116279069767444</v>
      </c>
      <c r="AL49" s="11">
        <v>35.802325581395351</v>
      </c>
      <c r="AM49" s="11" t="s">
        <v>14</v>
      </c>
      <c r="AN49" s="11">
        <v>128.05813953488371</v>
      </c>
      <c r="AO49" s="11">
        <v>42.6860465116279</v>
      </c>
      <c r="AP49" s="13">
        <v>161</v>
      </c>
      <c r="AQ49" s="11">
        <v>-2.0680518490278388</v>
      </c>
      <c r="AS49" s="12">
        <v>84</v>
      </c>
      <c r="AT49" s="11">
        <v>48.296428571428564</v>
      </c>
      <c r="AU49" s="11">
        <v>35.584523809523809</v>
      </c>
      <c r="AV49" s="11">
        <v>35.292857142857137</v>
      </c>
      <c r="AW49" s="11"/>
      <c r="AX49" s="11">
        <v>119.17380952380952</v>
      </c>
      <c r="AY49" s="11">
        <v>39.724603174603175</v>
      </c>
      <c r="AZ49" s="13">
        <v>171</v>
      </c>
      <c r="BA49" s="11">
        <v>-2.9614433370247255</v>
      </c>
    </row>
    <row r="50" spans="1:53" s="14" customFormat="1" x14ac:dyDescent="0.25">
      <c r="A50" s="12">
        <v>47</v>
      </c>
      <c r="B50" s="12" t="s">
        <v>16</v>
      </c>
      <c r="C50" s="12">
        <v>177</v>
      </c>
      <c r="D50" s="12" t="s">
        <v>12</v>
      </c>
      <c r="E50" s="12">
        <v>67</v>
      </c>
      <c r="F50" s="11">
        <v>58.864179104477628</v>
      </c>
      <c r="G50" s="11">
        <v>45.968656716417897</v>
      </c>
      <c r="H50" s="11"/>
      <c r="I50" s="11"/>
      <c r="J50" s="11">
        <v>104.83283582089553</v>
      </c>
      <c r="K50" s="11">
        <v>52.416417910447763</v>
      </c>
      <c r="L50" s="13">
        <v>72</v>
      </c>
      <c r="M50" s="11">
        <v>9.0456631934666305</v>
      </c>
      <c r="O50" s="12">
        <v>73</v>
      </c>
      <c r="P50" s="11">
        <v>54.794520547945204</v>
      </c>
      <c r="Q50" s="11">
        <v>46.205479452054796</v>
      </c>
      <c r="R50" s="11">
        <v>44.342465753424655</v>
      </c>
      <c r="S50" s="11"/>
      <c r="T50" s="11">
        <v>101</v>
      </c>
      <c r="U50" s="11">
        <v>50.5</v>
      </c>
      <c r="V50" s="13">
        <v>97</v>
      </c>
      <c r="W50" s="11">
        <v>-1.9164179104477626</v>
      </c>
      <c r="Y50" s="12">
        <v>101</v>
      </c>
      <c r="Z50" s="11">
        <v>59.793650793650791</v>
      </c>
      <c r="AA50" s="11">
        <v>55.206349206349209</v>
      </c>
      <c r="AB50" s="11">
        <v>46</v>
      </c>
      <c r="AC50" s="11"/>
      <c r="AD50" s="11">
        <v>161</v>
      </c>
      <c r="AE50" s="11">
        <v>53.666666666666664</v>
      </c>
      <c r="AF50" s="13">
        <v>50</v>
      </c>
      <c r="AG50" s="11">
        <v>3.1666666666666643</v>
      </c>
      <c r="AI50" s="12">
        <v>105</v>
      </c>
      <c r="AJ50" s="11">
        <v>53.333333333333336</v>
      </c>
      <c r="AK50" s="11">
        <v>41.790476190476191</v>
      </c>
      <c r="AL50" s="11">
        <v>47.876190476190473</v>
      </c>
      <c r="AM50" s="11">
        <v>53.36</v>
      </c>
      <c r="AN50" s="11">
        <v>143</v>
      </c>
      <c r="AO50" s="11">
        <v>47.666666666666664</v>
      </c>
      <c r="AP50" s="13">
        <v>97</v>
      </c>
      <c r="AQ50" s="11">
        <v>-6</v>
      </c>
      <c r="AS50" s="12">
        <v>97</v>
      </c>
      <c r="AT50" s="11">
        <v>50.995876288659801</v>
      </c>
      <c r="AU50" s="11">
        <v>31.106185567010325</v>
      </c>
      <c r="AV50" s="11">
        <v>38.175257731958766</v>
      </c>
      <c r="AW50" s="11">
        <v>49.15</v>
      </c>
      <c r="AX50" s="11">
        <v>120.2773195876289</v>
      </c>
      <c r="AY50" s="11">
        <v>40.092439862542967</v>
      </c>
      <c r="AZ50" s="13">
        <v>162</v>
      </c>
      <c r="BA50" s="11">
        <v>-7.5742268041236969</v>
      </c>
    </row>
    <row r="51" spans="1:53" s="14" customFormat="1" x14ac:dyDescent="0.25">
      <c r="A51" s="12">
        <v>48</v>
      </c>
      <c r="B51" s="12" t="s">
        <v>16</v>
      </c>
      <c r="C51" s="12">
        <v>178</v>
      </c>
      <c r="D51" s="12" t="s">
        <v>12</v>
      </c>
      <c r="E51" s="12">
        <v>85</v>
      </c>
      <c r="F51" s="11">
        <v>46.74235294117647</v>
      </c>
      <c r="G51" s="11">
        <v>37.905882352941184</v>
      </c>
      <c r="H51" s="11"/>
      <c r="I51" s="11"/>
      <c r="J51" s="11">
        <v>84.648235294117654</v>
      </c>
      <c r="K51" s="11">
        <v>42.324117647058827</v>
      </c>
      <c r="L51" s="13">
        <v>212</v>
      </c>
      <c r="M51" s="11">
        <v>-4.2827789046653066</v>
      </c>
      <c r="O51" s="12">
        <v>85</v>
      </c>
      <c r="P51" s="11">
        <v>46.914634146341463</v>
      </c>
      <c r="Q51" s="11">
        <v>38.012195121951223</v>
      </c>
      <c r="R51" s="11">
        <v>34.451219512195124</v>
      </c>
      <c r="S51" s="11"/>
      <c r="T51" s="11">
        <v>84.926829268292693</v>
      </c>
      <c r="U51" s="11">
        <v>42.463414634146346</v>
      </c>
      <c r="V51" s="13">
        <v>217</v>
      </c>
      <c r="W51" s="11">
        <v>0.13929698708751914</v>
      </c>
      <c r="Y51" s="12">
        <v>85</v>
      </c>
      <c r="Z51" s="11">
        <v>44.060606060606062</v>
      </c>
      <c r="AA51" s="11">
        <v>38.545454545454547</v>
      </c>
      <c r="AB51" s="11">
        <v>33.212121212121211</v>
      </c>
      <c r="AC51" s="11"/>
      <c r="AD51" s="11">
        <v>115.81818181818181</v>
      </c>
      <c r="AE51" s="11">
        <v>38.606060606060602</v>
      </c>
      <c r="AF51" s="13">
        <v>285</v>
      </c>
      <c r="AG51" s="11">
        <v>-3.8573540280857443</v>
      </c>
      <c r="AI51" s="12">
        <v>89</v>
      </c>
      <c r="AJ51" s="11">
        <v>51.179775280898873</v>
      </c>
      <c r="AK51" s="11">
        <v>41.213483146067418</v>
      </c>
      <c r="AL51" s="11">
        <v>38.426966292134829</v>
      </c>
      <c r="AM51" s="11" t="s">
        <v>14</v>
      </c>
      <c r="AN51" s="11">
        <v>130.82022471910113</v>
      </c>
      <c r="AO51" s="11">
        <v>43.606741573033709</v>
      </c>
      <c r="AP51" s="13">
        <v>151</v>
      </c>
      <c r="AQ51" s="11">
        <v>5.0006809669731069</v>
      </c>
      <c r="AS51" s="12">
        <v>84</v>
      </c>
      <c r="AT51" s="11">
        <v>36.934939759036155</v>
      </c>
      <c r="AU51" s="11">
        <v>25.379518072289162</v>
      </c>
      <c r="AV51" s="11">
        <v>29.513253012048182</v>
      </c>
      <c r="AW51" s="11"/>
      <c r="AX51" s="11">
        <v>91.827710843373495</v>
      </c>
      <c r="AY51" s="11">
        <v>30.609236947791164</v>
      </c>
      <c r="AZ51" s="13">
        <v>286</v>
      </c>
      <c r="BA51" s="11">
        <v>-12.997504625242545</v>
      </c>
    </row>
    <row r="52" spans="1:53" s="14" customFormat="1" x14ac:dyDescent="0.25">
      <c r="A52" s="12">
        <v>49</v>
      </c>
      <c r="B52" s="12" t="s">
        <v>16</v>
      </c>
      <c r="C52" s="12">
        <v>193</v>
      </c>
      <c r="D52" s="12" t="s">
        <v>12</v>
      </c>
      <c r="E52" s="12">
        <v>117</v>
      </c>
      <c r="F52" s="11">
        <v>55.908547008547025</v>
      </c>
      <c r="G52" s="11">
        <v>44.248717948717946</v>
      </c>
      <c r="H52" s="11"/>
      <c r="I52" s="11"/>
      <c r="J52" s="11">
        <v>100.15726495726497</v>
      </c>
      <c r="K52" s="11">
        <v>50.078632478632485</v>
      </c>
      <c r="L52" s="13">
        <v>106</v>
      </c>
      <c r="M52" s="11">
        <v>2.4315170940171029</v>
      </c>
      <c r="O52" s="12">
        <v>138</v>
      </c>
      <c r="P52" s="11">
        <v>56.181159420289852</v>
      </c>
      <c r="Q52" s="11">
        <v>48.007246376811594</v>
      </c>
      <c r="R52" s="11">
        <v>46.253623188405797</v>
      </c>
      <c r="S52" s="11"/>
      <c r="T52" s="11">
        <v>104.18840579710144</v>
      </c>
      <c r="U52" s="11">
        <v>52.094202898550719</v>
      </c>
      <c r="V52" s="13">
        <v>66</v>
      </c>
      <c r="W52" s="11">
        <v>2.0155704199182338</v>
      </c>
      <c r="Y52" s="12">
        <v>125</v>
      </c>
      <c r="Z52" s="11">
        <v>57.306930693069305</v>
      </c>
      <c r="AA52" s="11">
        <v>51.693069306930695</v>
      </c>
      <c r="AB52" s="11">
        <v>44.970297029702969</v>
      </c>
      <c r="AC52" s="11"/>
      <c r="AD52" s="11">
        <v>153.97029702970298</v>
      </c>
      <c r="AE52" s="11">
        <v>51.323432343234323</v>
      </c>
      <c r="AF52" s="13">
        <v>84</v>
      </c>
      <c r="AG52" s="11">
        <v>-0.77077055531639616</v>
      </c>
      <c r="AI52" s="12">
        <v>120</v>
      </c>
      <c r="AJ52" s="11">
        <v>54.924999999999997</v>
      </c>
      <c r="AK52" s="11">
        <v>45.466666666666669</v>
      </c>
      <c r="AL52" s="11">
        <v>46.69166666666667</v>
      </c>
      <c r="AM52" s="11">
        <v>45.352941176470587</v>
      </c>
      <c r="AN52" s="11">
        <v>147.08333333333334</v>
      </c>
      <c r="AO52" s="11">
        <v>49.027777777777779</v>
      </c>
      <c r="AP52" s="13">
        <v>74</v>
      </c>
      <c r="AQ52" s="11">
        <v>-2.2956545654565446</v>
      </c>
      <c r="AS52" s="12">
        <v>125</v>
      </c>
      <c r="AT52" s="11">
        <v>53.118548387096794</v>
      </c>
      <c r="AU52" s="11">
        <v>34.1225806451613</v>
      </c>
      <c r="AV52" s="11">
        <v>43.070967741935497</v>
      </c>
      <c r="AW52" s="11">
        <v>55.413793103448278</v>
      </c>
      <c r="AX52" s="11">
        <v>130.31209677419361</v>
      </c>
      <c r="AY52" s="11">
        <v>43.437365591397871</v>
      </c>
      <c r="AZ52" s="13">
        <v>108</v>
      </c>
      <c r="BA52" s="11">
        <v>-5.5904121863799077</v>
      </c>
    </row>
    <row r="53" spans="1:53" s="14" customFormat="1" x14ac:dyDescent="0.25">
      <c r="A53" s="12">
        <v>50</v>
      </c>
      <c r="B53" s="12" t="s">
        <v>16</v>
      </c>
      <c r="C53" s="12">
        <v>202</v>
      </c>
      <c r="D53" s="12" t="s">
        <v>12</v>
      </c>
      <c r="E53" s="12">
        <v>27</v>
      </c>
      <c r="F53" s="11">
        <v>59.725925925925921</v>
      </c>
      <c r="G53" s="11">
        <v>45.681481481481477</v>
      </c>
      <c r="H53" s="11"/>
      <c r="I53" s="11"/>
      <c r="J53" s="11">
        <v>105.40740740740739</v>
      </c>
      <c r="K53" s="11">
        <v>52.703703703703695</v>
      </c>
      <c r="L53" s="13">
        <v>68</v>
      </c>
      <c r="M53" s="11">
        <v>8.6724537037037024</v>
      </c>
      <c r="O53" s="12">
        <v>46</v>
      </c>
      <c r="P53" s="11">
        <v>46.760869565217391</v>
      </c>
      <c r="Q53" s="11">
        <v>39.260869565217391</v>
      </c>
      <c r="R53" s="11">
        <v>34.913043478260867</v>
      </c>
      <c r="S53" s="11"/>
      <c r="T53" s="11">
        <v>86.021739130434781</v>
      </c>
      <c r="U53" s="11">
        <v>43.010869565217391</v>
      </c>
      <c r="V53" s="13">
        <v>210</v>
      </c>
      <c r="W53" s="11">
        <v>-9.6928341384863046</v>
      </c>
      <c r="Y53" s="12">
        <v>44</v>
      </c>
      <c r="Z53" s="11">
        <v>52.04081632653061</v>
      </c>
      <c r="AA53" s="11">
        <v>50.673469387755105</v>
      </c>
      <c r="AB53" s="11">
        <v>36.653061224489797</v>
      </c>
      <c r="AC53" s="11"/>
      <c r="AD53" s="11">
        <v>139.36734693877551</v>
      </c>
      <c r="AE53" s="11">
        <v>46.455782312925173</v>
      </c>
      <c r="AF53" s="13">
        <v>178</v>
      </c>
      <c r="AG53" s="11">
        <v>3.4449127477077823</v>
      </c>
      <c r="AI53" s="12">
        <v>37</v>
      </c>
      <c r="AJ53" s="11">
        <v>53.810810810810814</v>
      </c>
      <c r="AK53" s="11">
        <v>44.324324324324323</v>
      </c>
      <c r="AL53" s="11">
        <v>45.783783783783782</v>
      </c>
      <c r="AM53" s="11" t="s">
        <v>14</v>
      </c>
      <c r="AN53" s="11">
        <v>143.91891891891891</v>
      </c>
      <c r="AO53" s="11">
        <v>47.972972972972968</v>
      </c>
      <c r="AP53" s="13">
        <v>93</v>
      </c>
      <c r="AQ53" s="11">
        <v>1.5171906600477953</v>
      </c>
      <c r="AS53" s="12">
        <v>44</v>
      </c>
      <c r="AT53" s="11">
        <v>49.046511627906973</v>
      </c>
      <c r="AU53" s="11">
        <v>30.304651162790694</v>
      </c>
      <c r="AV53" s="11">
        <v>34.951162790697666</v>
      </c>
      <c r="AW53" s="11"/>
      <c r="AX53" s="11">
        <v>114.30232558139534</v>
      </c>
      <c r="AY53" s="11">
        <v>38.100775193798448</v>
      </c>
      <c r="AZ53" s="13">
        <v>207</v>
      </c>
      <c r="BA53" s="11">
        <v>-9.8721977791745203</v>
      </c>
    </row>
    <row r="54" spans="1:53" s="14" customFormat="1" x14ac:dyDescent="0.25">
      <c r="A54" s="12">
        <v>51</v>
      </c>
      <c r="B54" s="12" t="s">
        <v>16</v>
      </c>
      <c r="C54" s="12">
        <v>207</v>
      </c>
      <c r="D54" s="12" t="s">
        <v>12</v>
      </c>
      <c r="E54" s="12">
        <v>82</v>
      </c>
      <c r="F54" s="11">
        <v>64.218292682926844</v>
      </c>
      <c r="G54" s="11">
        <v>51.763414634146336</v>
      </c>
      <c r="H54" s="11"/>
      <c r="I54" s="11"/>
      <c r="J54" s="11">
        <v>115.98170731707319</v>
      </c>
      <c r="K54" s="11">
        <v>57.990853658536594</v>
      </c>
      <c r="L54" s="13">
        <v>22</v>
      </c>
      <c r="M54" s="11">
        <v>-3.437407211028642</v>
      </c>
      <c r="O54" s="12">
        <v>89</v>
      </c>
      <c r="P54" s="11">
        <v>63.426966292134829</v>
      </c>
      <c r="Q54" s="11">
        <v>52.49438202247191</v>
      </c>
      <c r="R54" s="11">
        <v>48.707865168539328</v>
      </c>
      <c r="S54" s="11"/>
      <c r="T54" s="11">
        <v>115.92134831460675</v>
      </c>
      <c r="U54" s="11">
        <v>57.960674157303373</v>
      </c>
      <c r="V54" s="13">
        <v>23</v>
      </c>
      <c r="W54" s="11">
        <v>-3.0179501233220662E-2</v>
      </c>
      <c r="Y54" s="12">
        <v>106</v>
      </c>
      <c r="Z54" s="11">
        <v>60.393939393939391</v>
      </c>
      <c r="AA54" s="11">
        <v>58.469696969696969</v>
      </c>
      <c r="AB54" s="11">
        <v>43.696969696969695</v>
      </c>
      <c r="AC54" s="11"/>
      <c r="AD54" s="11">
        <v>162.56060606060606</v>
      </c>
      <c r="AE54" s="11">
        <v>54.186868686868685</v>
      </c>
      <c r="AF54" s="13">
        <v>46</v>
      </c>
      <c r="AG54" s="11">
        <v>-3.7738054704346879</v>
      </c>
      <c r="AI54" s="12">
        <v>95</v>
      </c>
      <c r="AJ54" s="11">
        <v>61.831578947368421</v>
      </c>
      <c r="AK54" s="11">
        <v>54.273684210526319</v>
      </c>
      <c r="AL54" s="11">
        <v>55.368421052631582</v>
      </c>
      <c r="AM54" s="11">
        <v>55.517241379310342</v>
      </c>
      <c r="AN54" s="11">
        <v>171.47368421052633</v>
      </c>
      <c r="AO54" s="11">
        <v>57.15789473684211</v>
      </c>
      <c r="AP54" s="13">
        <v>17</v>
      </c>
      <c r="AQ54" s="11">
        <v>2.9710260499734247</v>
      </c>
      <c r="AS54" s="12">
        <v>106</v>
      </c>
      <c r="AT54" s="11">
        <v>56.58018867924531</v>
      </c>
      <c r="AU54" s="11">
        <v>39.472641509433942</v>
      </c>
      <c r="AV54" s="11">
        <v>45.531132075471703</v>
      </c>
      <c r="AW54" s="11">
        <v>62.5</v>
      </c>
      <c r="AX54" s="11">
        <v>141.58396226415095</v>
      </c>
      <c r="AY54" s="11">
        <v>47.194654088050321</v>
      </c>
      <c r="AZ54" s="13">
        <v>60</v>
      </c>
      <c r="BA54" s="11">
        <v>-9.9632406487917891</v>
      </c>
    </row>
    <row r="55" spans="1:53" s="14" customFormat="1" x14ac:dyDescent="0.25">
      <c r="A55" s="12">
        <v>52</v>
      </c>
      <c r="B55" s="12" t="s">
        <v>16</v>
      </c>
      <c r="C55" s="12">
        <v>212</v>
      </c>
      <c r="D55" s="12" t="s">
        <v>12</v>
      </c>
      <c r="E55" s="12">
        <v>155</v>
      </c>
      <c r="F55" s="11">
        <v>57.432258064516127</v>
      </c>
      <c r="G55" s="11">
        <v>42.496774193548383</v>
      </c>
      <c r="H55" s="11"/>
      <c r="I55" s="11"/>
      <c r="J55" s="11">
        <v>99.92903225806451</v>
      </c>
      <c r="K55" s="11">
        <v>49.964516129032255</v>
      </c>
      <c r="L55" s="13">
        <v>109</v>
      </c>
      <c r="M55" s="11">
        <v>2.1057441992076988</v>
      </c>
      <c r="O55" s="12">
        <v>149</v>
      </c>
      <c r="P55" s="11">
        <v>52.979865771812079</v>
      </c>
      <c r="Q55" s="11">
        <v>40.825503355704697</v>
      </c>
      <c r="R55" s="11">
        <v>37.758389261744966</v>
      </c>
      <c r="S55" s="11"/>
      <c r="T55" s="11">
        <v>93.805369127516769</v>
      </c>
      <c r="U55" s="11">
        <v>46.902684563758385</v>
      </c>
      <c r="V55" s="13">
        <v>143</v>
      </c>
      <c r="W55" s="11">
        <v>-3.0618315652738701</v>
      </c>
      <c r="Y55" s="12">
        <v>161</v>
      </c>
      <c r="Z55" s="11">
        <v>55.987421383647799</v>
      </c>
      <c r="AA55" s="11">
        <v>46.257861635220124</v>
      </c>
      <c r="AB55" s="11">
        <v>41.289308176100626</v>
      </c>
      <c r="AC55" s="11"/>
      <c r="AD55" s="11">
        <v>143.53459119496856</v>
      </c>
      <c r="AE55" s="11">
        <v>47.844863731656183</v>
      </c>
      <c r="AF55" s="13">
        <v>152</v>
      </c>
      <c r="AG55" s="11">
        <v>0.94217916789779821</v>
      </c>
      <c r="AI55" s="12">
        <v>137</v>
      </c>
      <c r="AJ55" s="11">
        <v>51.386861313868614</v>
      </c>
      <c r="AK55" s="11">
        <v>37.868613138686129</v>
      </c>
      <c r="AL55" s="11">
        <v>41.029197080291972</v>
      </c>
      <c r="AM55" s="11">
        <v>49.389830508474574</v>
      </c>
      <c r="AN55" s="11">
        <v>130.28467153284672</v>
      </c>
      <c r="AO55" s="11">
        <v>43.428223844282236</v>
      </c>
      <c r="AP55" s="13">
        <v>154</v>
      </c>
      <c r="AQ55" s="11">
        <v>-4.4166398873739467</v>
      </c>
      <c r="AS55" s="12">
        <v>161</v>
      </c>
      <c r="AT55" s="11">
        <v>51.972500000000011</v>
      </c>
      <c r="AU55" s="11">
        <v>31.900624999999984</v>
      </c>
      <c r="AV55" s="11">
        <v>37.939375000000013</v>
      </c>
      <c r="AW55" s="11">
        <v>51.402985074626862</v>
      </c>
      <c r="AX55" s="11">
        <v>121.8125</v>
      </c>
      <c r="AY55" s="11">
        <v>40.604166666666664</v>
      </c>
      <c r="AZ55" s="13">
        <v>156</v>
      </c>
      <c r="BA55" s="11">
        <v>-2.8240571776155718</v>
      </c>
    </row>
    <row r="56" spans="1:53" s="14" customFormat="1" x14ac:dyDescent="0.25">
      <c r="A56" s="12">
        <v>53</v>
      </c>
      <c r="B56" s="12" t="s">
        <v>16</v>
      </c>
      <c r="C56" s="12">
        <v>258</v>
      </c>
      <c r="D56" s="12" t="s">
        <v>12</v>
      </c>
      <c r="E56" s="12">
        <v>153</v>
      </c>
      <c r="F56" s="11">
        <v>60.878431372549016</v>
      </c>
      <c r="G56" s="11">
        <v>48.422875816993468</v>
      </c>
      <c r="H56" s="11"/>
      <c r="I56" s="11"/>
      <c r="J56" s="11">
        <v>109.30130718954248</v>
      </c>
      <c r="K56" s="11">
        <v>54.650653594771242</v>
      </c>
      <c r="L56" s="13">
        <v>41</v>
      </c>
      <c r="M56" s="11">
        <v>0.41949974861739037</v>
      </c>
      <c r="O56" s="12">
        <v>94</v>
      </c>
      <c r="P56" s="11">
        <v>58.191489361702125</v>
      </c>
      <c r="Q56" s="11">
        <v>50.01063829787234</v>
      </c>
      <c r="R56" s="11">
        <v>41.01063829787234</v>
      </c>
      <c r="S56" s="11"/>
      <c r="T56" s="11">
        <v>108.20212765957447</v>
      </c>
      <c r="U56" s="11">
        <v>54.101063829787236</v>
      </c>
      <c r="V56" s="13">
        <v>40</v>
      </c>
      <c r="W56" s="11">
        <v>-0.54958976498400602</v>
      </c>
      <c r="Y56" s="12">
        <v>182</v>
      </c>
      <c r="Z56" s="11">
        <v>56.586206896551722</v>
      </c>
      <c r="AA56" s="11">
        <v>49.982758620689658</v>
      </c>
      <c r="AB56" s="11">
        <v>43.78448275862069</v>
      </c>
      <c r="AC56" s="11"/>
      <c r="AD56" s="11">
        <v>150.35344827586206</v>
      </c>
      <c r="AE56" s="11">
        <v>50.117816091954019</v>
      </c>
      <c r="AF56" s="13">
        <v>112</v>
      </c>
      <c r="AG56" s="11">
        <v>-3.9832477378332172</v>
      </c>
      <c r="AI56" s="12">
        <v>189</v>
      </c>
      <c r="AJ56" s="11">
        <v>58.560846560846564</v>
      </c>
      <c r="AK56" s="11">
        <v>49.058201058201057</v>
      </c>
      <c r="AL56" s="11">
        <v>50.888888888888886</v>
      </c>
      <c r="AM56" s="11">
        <v>51.458333333333336</v>
      </c>
      <c r="AN56" s="11">
        <v>158.50793650793651</v>
      </c>
      <c r="AO56" s="11">
        <v>52.835978835978835</v>
      </c>
      <c r="AP56" s="13">
        <v>41</v>
      </c>
      <c r="AQ56" s="11">
        <v>2.7181627440248164</v>
      </c>
      <c r="AS56" s="12">
        <v>175</v>
      </c>
      <c r="AT56" s="11">
        <v>54.697142857142836</v>
      </c>
      <c r="AU56" s="11">
        <v>37.559428571428583</v>
      </c>
      <c r="AV56" s="11">
        <v>42.453142857142879</v>
      </c>
      <c r="AW56" s="11">
        <v>62.089285714285715</v>
      </c>
      <c r="AX56" s="11">
        <v>134.70971428571431</v>
      </c>
      <c r="AY56" s="11">
        <v>44.903238095238102</v>
      </c>
      <c r="AZ56" s="13">
        <v>94</v>
      </c>
      <c r="BA56" s="11">
        <v>-7.9327407407407335</v>
      </c>
    </row>
    <row r="57" spans="1:53" s="14" customFormat="1" x14ac:dyDescent="0.25">
      <c r="A57" s="12">
        <v>54</v>
      </c>
      <c r="B57" s="12" t="s">
        <v>16</v>
      </c>
      <c r="C57" s="12">
        <v>291</v>
      </c>
      <c r="D57" s="12" t="s">
        <v>17</v>
      </c>
      <c r="E57" s="12">
        <v>41</v>
      </c>
      <c r="F57" s="11">
        <v>72.321951219512187</v>
      </c>
      <c r="G57" s="11">
        <v>70.021951219512189</v>
      </c>
      <c r="H57" s="11"/>
      <c r="I57" s="11"/>
      <c r="J57" s="11">
        <v>142.34390243902436</v>
      </c>
      <c r="K57" s="11">
        <v>71.171951219512181</v>
      </c>
      <c r="L57" s="13">
        <v>1</v>
      </c>
      <c r="M57" s="11">
        <v>0.71718931475027148</v>
      </c>
      <c r="O57" s="12">
        <v>69</v>
      </c>
      <c r="P57" s="11">
        <v>79.971014492753625</v>
      </c>
      <c r="Q57" s="11">
        <v>81.101449275362313</v>
      </c>
      <c r="R57" s="11">
        <v>74.159420289855078</v>
      </c>
      <c r="S57" s="11"/>
      <c r="T57" s="11">
        <v>161.07246376811594</v>
      </c>
      <c r="U57" s="11">
        <v>80.536231884057969</v>
      </c>
      <c r="V57" s="13">
        <v>1</v>
      </c>
      <c r="W57" s="11">
        <v>9.3642806645457881</v>
      </c>
      <c r="Y57" s="12">
        <v>109</v>
      </c>
      <c r="Z57" s="11">
        <v>77.74545454545455</v>
      </c>
      <c r="AA57" s="11">
        <v>85.181818181818187</v>
      </c>
      <c r="AB57" s="11">
        <v>64.490909090909085</v>
      </c>
      <c r="AC57" s="11"/>
      <c r="AD57" s="11">
        <v>227.41818181818184</v>
      </c>
      <c r="AE57" s="11">
        <v>75.806060606060612</v>
      </c>
      <c r="AF57" s="13">
        <v>1</v>
      </c>
      <c r="AG57" s="11">
        <v>-4.730171277997357</v>
      </c>
      <c r="AI57" s="12">
        <v>100</v>
      </c>
      <c r="AJ57" s="11">
        <v>75.760000000000005</v>
      </c>
      <c r="AK57" s="11">
        <v>76.959999999999994</v>
      </c>
      <c r="AL57" s="11">
        <v>73.819999999999993</v>
      </c>
      <c r="AM57" s="11"/>
      <c r="AN57" s="11">
        <v>226.54</v>
      </c>
      <c r="AO57" s="11">
        <v>75.513333333333335</v>
      </c>
      <c r="AP57" s="13">
        <v>2</v>
      </c>
      <c r="AQ57" s="11">
        <v>-0.2927272727272765</v>
      </c>
      <c r="AS57" s="12">
        <v>100</v>
      </c>
      <c r="AT57" s="11">
        <v>77.714000000000013</v>
      </c>
      <c r="AU57" s="11">
        <v>64.27300000000001</v>
      </c>
      <c r="AV57" s="11">
        <v>67.827000000000041</v>
      </c>
      <c r="AW57" s="11">
        <v>72.354166666666671</v>
      </c>
      <c r="AX57" s="11">
        <v>209.81400000000008</v>
      </c>
      <c r="AY57" s="11">
        <v>69.938000000000031</v>
      </c>
      <c r="AZ57" s="13">
        <v>1</v>
      </c>
      <c r="BA57" s="11">
        <v>-5.5753333333333046</v>
      </c>
    </row>
    <row r="58" spans="1:53" s="14" customFormat="1" x14ac:dyDescent="0.25">
      <c r="A58" s="12">
        <v>55</v>
      </c>
      <c r="B58" s="12" t="s">
        <v>16</v>
      </c>
      <c r="C58" s="12" t="s">
        <v>18</v>
      </c>
      <c r="D58" s="12" t="s">
        <v>13</v>
      </c>
      <c r="E58" s="12">
        <v>250</v>
      </c>
      <c r="F58" s="11">
        <v>63.610400000000055</v>
      </c>
      <c r="G58" s="11">
        <v>49.581999999999972</v>
      </c>
      <c r="H58" s="11"/>
      <c r="I58" s="11"/>
      <c r="J58" s="11">
        <v>113.19240000000002</v>
      </c>
      <c r="K58" s="11">
        <v>56.59620000000001</v>
      </c>
      <c r="L58" s="13">
        <v>31</v>
      </c>
      <c r="M58" s="11">
        <v>-1.5104914498141255</v>
      </c>
      <c r="O58" s="12">
        <v>218</v>
      </c>
      <c r="P58" s="11">
        <v>57</v>
      </c>
      <c r="Q58" s="11">
        <v>49.198156682027651</v>
      </c>
      <c r="R58" s="11">
        <v>48.815668202764975</v>
      </c>
      <c r="S58" s="11"/>
      <c r="T58" s="11">
        <v>106.19815668202764</v>
      </c>
      <c r="U58" s="11">
        <v>53.099078341013822</v>
      </c>
      <c r="V58" s="13">
        <v>50</v>
      </c>
      <c r="W58" s="11">
        <v>-3.4971216589861882</v>
      </c>
      <c r="Y58" s="12">
        <v>287</v>
      </c>
      <c r="Z58" s="11">
        <v>60.5726872246696</v>
      </c>
      <c r="AA58" s="11">
        <v>54.277533039647579</v>
      </c>
      <c r="AB58" s="11">
        <v>48.352422907488986</v>
      </c>
      <c r="AC58" s="11"/>
      <c r="AD58" s="11">
        <v>163.20264317180619</v>
      </c>
      <c r="AE58" s="11">
        <v>54.400881057268727</v>
      </c>
      <c r="AF58" s="13">
        <v>40</v>
      </c>
      <c r="AG58" s="11">
        <v>1.3018027162549046</v>
      </c>
      <c r="AI58" s="12">
        <v>260</v>
      </c>
      <c r="AJ58" s="11">
        <v>62.55</v>
      </c>
      <c r="AK58" s="11">
        <v>53.061538461538461</v>
      </c>
      <c r="AL58" s="11">
        <v>56.246153846153845</v>
      </c>
      <c r="AM58" s="11">
        <v>57.018518518518519</v>
      </c>
      <c r="AN58" s="11">
        <v>171.8576923076923</v>
      </c>
      <c r="AO58" s="11">
        <v>57.285897435897432</v>
      </c>
      <c r="AP58" s="13">
        <v>16</v>
      </c>
      <c r="AQ58" s="11">
        <v>2.8850163786287055</v>
      </c>
      <c r="AS58" s="12">
        <v>269</v>
      </c>
      <c r="AT58" s="11">
        <v>60.832462686567169</v>
      </c>
      <c r="AU58" s="11">
        <v>37.187313432835857</v>
      </c>
      <c r="AV58" s="11">
        <v>51.339179104477623</v>
      </c>
      <c r="AW58" s="11">
        <v>60.956896551724135</v>
      </c>
      <c r="AX58" s="11">
        <v>149.35895522388063</v>
      </c>
      <c r="AY58" s="11">
        <v>49.786318407960209</v>
      </c>
      <c r="AZ58" s="13">
        <v>37</v>
      </c>
      <c r="BA58" s="11">
        <v>-7.499579027937223</v>
      </c>
    </row>
    <row r="59" spans="1:53" s="14" customFormat="1" x14ac:dyDescent="0.25">
      <c r="A59" s="12">
        <v>56</v>
      </c>
      <c r="B59" s="12" t="s">
        <v>19</v>
      </c>
      <c r="C59" s="12">
        <v>1</v>
      </c>
      <c r="D59" s="12" t="s">
        <v>12</v>
      </c>
      <c r="E59" s="12">
        <v>65</v>
      </c>
      <c r="F59" s="11">
        <v>60.006153846153872</v>
      </c>
      <c r="G59" s="11">
        <v>48.527692307692291</v>
      </c>
      <c r="H59" s="11"/>
      <c r="I59" s="11"/>
      <c r="J59" s="11">
        <v>108.53384615384616</v>
      </c>
      <c r="K59" s="11">
        <v>54.266923076923078</v>
      </c>
      <c r="L59" s="13">
        <v>45</v>
      </c>
      <c r="M59" s="11">
        <v>2.9419230769230751</v>
      </c>
      <c r="O59" s="12">
        <v>52</v>
      </c>
      <c r="P59" s="11">
        <v>61.71153846153846</v>
      </c>
      <c r="Q59" s="11">
        <v>56.96153846153846</v>
      </c>
      <c r="R59" s="11">
        <v>48.82692307692308</v>
      </c>
      <c r="S59" s="11"/>
      <c r="T59" s="11">
        <v>118.67307692307692</v>
      </c>
      <c r="U59" s="11">
        <v>59.33653846153846</v>
      </c>
      <c r="V59" s="13">
        <v>15</v>
      </c>
      <c r="W59" s="11">
        <v>5.069615384615382</v>
      </c>
      <c r="Y59" s="12">
        <v>73</v>
      </c>
      <c r="Z59" s="11">
        <v>66.704225352112672</v>
      </c>
      <c r="AA59" s="11">
        <v>63.605633802816904</v>
      </c>
      <c r="AB59" s="11">
        <v>53.12676056338028</v>
      </c>
      <c r="AC59" s="11"/>
      <c r="AD59" s="11">
        <v>183.43661971830986</v>
      </c>
      <c r="AE59" s="11">
        <v>61.145539906103288</v>
      </c>
      <c r="AF59" s="13">
        <v>11</v>
      </c>
      <c r="AG59" s="11">
        <v>1.8090014445648279</v>
      </c>
      <c r="AI59" s="12">
        <v>52</v>
      </c>
      <c r="AJ59" s="11">
        <v>63.807692307692307</v>
      </c>
      <c r="AK59" s="11">
        <v>48.615384615384613</v>
      </c>
      <c r="AL59" s="11">
        <v>53.557692307692307</v>
      </c>
      <c r="AM59" s="11">
        <v>47.810810810810814</v>
      </c>
      <c r="AN59" s="11">
        <v>165.98076923076923</v>
      </c>
      <c r="AO59" s="11">
        <v>55.326923076923073</v>
      </c>
      <c r="AP59" s="13">
        <v>30</v>
      </c>
      <c r="AQ59" s="11">
        <v>-5.8186168291802147</v>
      </c>
      <c r="AS59" s="12">
        <v>71</v>
      </c>
      <c r="AT59" s="11">
        <v>64.623943661971808</v>
      </c>
      <c r="AU59" s="11">
        <v>37.440845070422533</v>
      </c>
      <c r="AV59" s="11">
        <v>47.725352112676063</v>
      </c>
      <c r="AW59" s="11">
        <v>47.810344827586206</v>
      </c>
      <c r="AX59" s="11">
        <v>149.7901408450704</v>
      </c>
      <c r="AY59" s="11">
        <v>49.930046948356797</v>
      </c>
      <c r="AZ59" s="13">
        <v>36</v>
      </c>
      <c r="BA59" s="11">
        <v>-5.3968761285662765</v>
      </c>
    </row>
    <row r="60" spans="1:53" s="14" customFormat="1" x14ac:dyDescent="0.25">
      <c r="A60" s="12">
        <v>57</v>
      </c>
      <c r="B60" s="12" t="s">
        <v>19</v>
      </c>
      <c r="C60" s="12">
        <v>5</v>
      </c>
      <c r="D60" s="12" t="s">
        <v>12</v>
      </c>
      <c r="E60" s="12">
        <v>129</v>
      </c>
      <c r="F60" s="11">
        <v>60.054263565891461</v>
      </c>
      <c r="G60" s="11">
        <v>51.203100775193789</v>
      </c>
      <c r="H60" s="11"/>
      <c r="I60" s="11"/>
      <c r="J60" s="11">
        <v>111.25736434108525</v>
      </c>
      <c r="K60" s="11">
        <v>55.628682170542625</v>
      </c>
      <c r="L60" s="13">
        <v>36</v>
      </c>
      <c r="M60" s="11">
        <v>3.113265503875958</v>
      </c>
      <c r="O60" s="12">
        <v>121</v>
      </c>
      <c r="P60" s="11">
        <v>56.438016528925623</v>
      </c>
      <c r="Q60" s="11">
        <v>47.173553719008261</v>
      </c>
      <c r="R60" s="11">
        <v>47.355371900826448</v>
      </c>
      <c r="S60" s="11"/>
      <c r="T60" s="11">
        <v>103.61157024793388</v>
      </c>
      <c r="U60" s="11">
        <v>51.805785123966942</v>
      </c>
      <c r="V60" s="13">
        <v>73</v>
      </c>
      <c r="W60" s="11">
        <v>-3.8228970465756831</v>
      </c>
      <c r="Y60" s="12">
        <v>161</v>
      </c>
      <c r="Z60" s="11">
        <v>58.944444444444443</v>
      </c>
      <c r="AA60" s="11">
        <v>54.215277777777779</v>
      </c>
      <c r="AB60" s="11">
        <v>47.347222222222221</v>
      </c>
      <c r="AC60" s="11"/>
      <c r="AD60" s="11">
        <v>160.50694444444446</v>
      </c>
      <c r="AE60" s="11">
        <v>53.502314814814817</v>
      </c>
      <c r="AF60" s="13">
        <v>54</v>
      </c>
      <c r="AG60" s="11">
        <v>1.6965296908478749</v>
      </c>
      <c r="AI60" s="12">
        <v>144</v>
      </c>
      <c r="AJ60" s="11">
        <v>55.5</v>
      </c>
      <c r="AK60" s="11">
        <v>47.888888888888886</v>
      </c>
      <c r="AL60" s="11">
        <v>48.472222222222221</v>
      </c>
      <c r="AM60" s="11">
        <v>53.166666666666664</v>
      </c>
      <c r="AN60" s="11">
        <v>151.86111111111111</v>
      </c>
      <c r="AO60" s="11">
        <v>50.620370370370374</v>
      </c>
      <c r="AP60" s="13">
        <v>62</v>
      </c>
      <c r="AQ60" s="11">
        <v>-2.8819444444444429</v>
      </c>
      <c r="AS60" s="12">
        <v>162</v>
      </c>
      <c r="AT60" s="11">
        <v>56.458385093167678</v>
      </c>
      <c r="AU60" s="11">
        <v>37.165838509316778</v>
      </c>
      <c r="AV60" s="11">
        <v>46.053416149068347</v>
      </c>
      <c r="AW60" s="11">
        <v>61.783333333333331</v>
      </c>
      <c r="AX60" s="11">
        <v>139.67763975155279</v>
      </c>
      <c r="AY60" s="11">
        <v>46.559213250517594</v>
      </c>
      <c r="AZ60" s="13">
        <v>68</v>
      </c>
      <c r="BA60" s="11">
        <v>-4.0611571198527798</v>
      </c>
    </row>
    <row r="61" spans="1:53" s="14" customFormat="1" x14ac:dyDescent="0.25">
      <c r="A61" s="12">
        <v>58</v>
      </c>
      <c r="B61" s="12" t="s">
        <v>19</v>
      </c>
      <c r="C61" s="12" t="s">
        <v>48</v>
      </c>
      <c r="D61" s="12" t="s">
        <v>32</v>
      </c>
      <c r="E61" s="12"/>
      <c r="F61" s="11"/>
      <c r="G61" s="11"/>
      <c r="H61" s="11"/>
      <c r="I61" s="11"/>
      <c r="J61" s="11" t="s">
        <v>14</v>
      </c>
      <c r="K61" s="11" t="s">
        <v>14</v>
      </c>
      <c r="L61" s="13" t="s">
        <v>14</v>
      </c>
      <c r="M61" s="11" t="s">
        <v>14</v>
      </c>
      <c r="O61" s="12"/>
      <c r="P61" s="11"/>
      <c r="Q61" s="11"/>
      <c r="R61" s="11"/>
      <c r="S61" s="11"/>
      <c r="T61" s="11" t="s">
        <v>14</v>
      </c>
      <c r="U61" s="11" t="s">
        <v>14</v>
      </c>
      <c r="V61" s="13" t="s">
        <v>14</v>
      </c>
      <c r="W61" s="11" t="s">
        <v>14</v>
      </c>
      <c r="Y61" s="12"/>
      <c r="Z61" s="11"/>
      <c r="AA61" s="11"/>
      <c r="AB61" s="11"/>
      <c r="AC61" s="11"/>
      <c r="AD61" s="11" t="s">
        <v>14</v>
      </c>
      <c r="AE61" s="11" t="s">
        <v>14</v>
      </c>
      <c r="AF61" s="13" t="s">
        <v>14</v>
      </c>
      <c r="AG61" s="11" t="s">
        <v>14</v>
      </c>
      <c r="AI61" s="12"/>
      <c r="AJ61" s="11"/>
      <c r="AK61" s="11"/>
      <c r="AL61" s="11"/>
      <c r="AM61" s="11"/>
      <c r="AN61" s="11" t="s">
        <v>14</v>
      </c>
      <c r="AO61" s="11" t="s">
        <v>14</v>
      </c>
      <c r="AP61" s="13" t="s">
        <v>14</v>
      </c>
      <c r="AQ61" s="11" t="s">
        <v>14</v>
      </c>
      <c r="AS61" s="12">
        <v>0</v>
      </c>
      <c r="AT61" s="11"/>
      <c r="AU61" s="11"/>
      <c r="AV61" s="11"/>
      <c r="AW61" s="11"/>
      <c r="AX61" s="11" t="s">
        <v>14</v>
      </c>
      <c r="AY61" s="11" t="s">
        <v>14</v>
      </c>
      <c r="AZ61" s="13" t="s">
        <v>14</v>
      </c>
      <c r="BA61" s="11" t="s">
        <v>14</v>
      </c>
    </row>
    <row r="62" spans="1:53" s="14" customFormat="1" x14ac:dyDescent="0.25">
      <c r="A62" s="12">
        <v>59</v>
      </c>
      <c r="B62" s="12" t="s">
        <v>19</v>
      </c>
      <c r="C62" s="12">
        <v>8</v>
      </c>
      <c r="D62" s="12" t="s">
        <v>12</v>
      </c>
      <c r="E62" s="12">
        <v>72</v>
      </c>
      <c r="F62" s="11">
        <v>53.024999999999999</v>
      </c>
      <c r="G62" s="11">
        <v>38.358333333333341</v>
      </c>
      <c r="H62" s="11"/>
      <c r="I62" s="11"/>
      <c r="J62" s="11">
        <v>91.38333333333334</v>
      </c>
      <c r="K62" s="11">
        <v>45.69166666666667</v>
      </c>
      <c r="L62" s="13">
        <v>164</v>
      </c>
      <c r="M62" s="11">
        <v>1.4313926940639377</v>
      </c>
      <c r="O62" s="12">
        <v>55</v>
      </c>
      <c r="P62" s="11">
        <v>59.529411764705884</v>
      </c>
      <c r="Q62" s="11">
        <v>46.803921568627452</v>
      </c>
      <c r="R62" s="11">
        <v>47.980392156862742</v>
      </c>
      <c r="S62" s="11"/>
      <c r="T62" s="11">
        <v>106.33333333333334</v>
      </c>
      <c r="U62" s="11">
        <v>53.166666666666671</v>
      </c>
      <c r="V62" s="13">
        <v>47</v>
      </c>
      <c r="W62" s="11">
        <v>7.4750000000000014</v>
      </c>
      <c r="Y62" s="12">
        <v>75</v>
      </c>
      <c r="Z62" s="11">
        <v>61.723684210526315</v>
      </c>
      <c r="AA62" s="11">
        <v>50.60526315789474</v>
      </c>
      <c r="AB62" s="11">
        <v>49.55263157894737</v>
      </c>
      <c r="AC62" s="11"/>
      <c r="AD62" s="11">
        <v>161.88157894736844</v>
      </c>
      <c r="AE62" s="11">
        <v>53.96052631578948</v>
      </c>
      <c r="AF62" s="13">
        <v>48</v>
      </c>
      <c r="AG62" s="11">
        <v>0.79385964912280826</v>
      </c>
      <c r="AI62" s="12">
        <v>66</v>
      </c>
      <c r="AJ62" s="11">
        <v>57.878787878787875</v>
      </c>
      <c r="AK62" s="11">
        <v>44.424242424242422</v>
      </c>
      <c r="AL62" s="11">
        <v>51.727272727272727</v>
      </c>
      <c r="AM62" s="11">
        <v>42.519230769230766</v>
      </c>
      <c r="AN62" s="11">
        <v>154.03030303030303</v>
      </c>
      <c r="AO62" s="11">
        <v>51.343434343434346</v>
      </c>
      <c r="AP62" s="13">
        <v>52</v>
      </c>
      <c r="AQ62" s="11">
        <v>-2.6170919723551336</v>
      </c>
      <c r="AS62" s="12">
        <v>79</v>
      </c>
      <c r="AT62" s="11">
        <v>67.613924050632875</v>
      </c>
      <c r="AU62" s="11">
        <v>35.801265822784814</v>
      </c>
      <c r="AV62" s="11">
        <v>53.091139240506337</v>
      </c>
      <c r="AW62" s="11">
        <v>52.03125</v>
      </c>
      <c r="AX62" s="11">
        <v>156.50632911392404</v>
      </c>
      <c r="AY62" s="11">
        <v>52.168776371308013</v>
      </c>
      <c r="AZ62" s="13">
        <v>21</v>
      </c>
      <c r="BA62" s="11">
        <v>0.82534202787366695</v>
      </c>
    </row>
    <row r="63" spans="1:53" s="14" customFormat="1" x14ac:dyDescent="0.25">
      <c r="A63" s="12">
        <v>60</v>
      </c>
      <c r="B63" s="12" t="s">
        <v>19</v>
      </c>
      <c r="C63" s="12">
        <v>9</v>
      </c>
      <c r="D63" s="12" t="s">
        <v>12</v>
      </c>
      <c r="E63" s="12">
        <v>85</v>
      </c>
      <c r="F63" s="11">
        <v>53.977647058823521</v>
      </c>
      <c r="G63" s="11">
        <v>42.811764705882361</v>
      </c>
      <c r="H63" s="11"/>
      <c r="I63" s="11"/>
      <c r="J63" s="11">
        <v>96.789411764705875</v>
      </c>
      <c r="K63" s="11">
        <v>48.394705882352937</v>
      </c>
      <c r="L63" s="13">
        <v>131</v>
      </c>
      <c r="M63" s="11">
        <v>2.3436069812540339</v>
      </c>
      <c r="O63" s="12">
        <v>72</v>
      </c>
      <c r="P63" s="11">
        <v>50.361111111111114</v>
      </c>
      <c r="Q63" s="11">
        <v>41.388888888888886</v>
      </c>
      <c r="R63" s="11">
        <v>35.041666666666664</v>
      </c>
      <c r="S63" s="11"/>
      <c r="T63" s="11">
        <v>91.75</v>
      </c>
      <c r="U63" s="11">
        <v>45.875</v>
      </c>
      <c r="V63" s="13">
        <v>160</v>
      </c>
      <c r="W63" s="11">
        <v>-2.5197058823529375</v>
      </c>
      <c r="Y63" s="12">
        <v>75</v>
      </c>
      <c r="Z63" s="11">
        <v>59.895348837209305</v>
      </c>
      <c r="AA63" s="11">
        <v>54.302325581395351</v>
      </c>
      <c r="AB63" s="11">
        <v>42.232558139534881</v>
      </c>
      <c r="AC63" s="11"/>
      <c r="AD63" s="11">
        <v>156.43023255813955</v>
      </c>
      <c r="AE63" s="11">
        <v>52.143410852713181</v>
      </c>
      <c r="AF63" s="13">
        <v>67</v>
      </c>
      <c r="AG63" s="11">
        <v>6.2684108527131812</v>
      </c>
      <c r="AI63" s="12">
        <v>88</v>
      </c>
      <c r="AJ63" s="11">
        <v>54.840909090909093</v>
      </c>
      <c r="AK63" s="11">
        <v>45.31818181818182</v>
      </c>
      <c r="AL63" s="11">
        <v>44.05681818181818</v>
      </c>
      <c r="AM63" s="11">
        <v>55.956521739130437</v>
      </c>
      <c r="AN63" s="11">
        <v>144.21590909090909</v>
      </c>
      <c r="AO63" s="11">
        <v>48.071969696969695</v>
      </c>
      <c r="AP63" s="13">
        <v>90</v>
      </c>
      <c r="AQ63" s="11">
        <v>-4.0714411557434858</v>
      </c>
      <c r="AS63" s="12">
        <v>72</v>
      </c>
      <c r="AT63" s="11">
        <v>49.55</v>
      </c>
      <c r="AU63" s="11">
        <v>31.601388888888884</v>
      </c>
      <c r="AV63" s="11">
        <v>34.113888888888887</v>
      </c>
      <c r="AW63" s="11">
        <v>54.962962962962962</v>
      </c>
      <c r="AX63" s="11">
        <v>115.26527777777775</v>
      </c>
      <c r="AY63" s="11">
        <v>38.421759259259254</v>
      </c>
      <c r="AZ63" s="13">
        <v>197</v>
      </c>
      <c r="BA63" s="11">
        <v>-9.6502104377104416</v>
      </c>
    </row>
    <row r="64" spans="1:53" s="14" customFormat="1" x14ac:dyDescent="0.25">
      <c r="A64" s="12">
        <v>61</v>
      </c>
      <c r="B64" s="12" t="s">
        <v>19</v>
      </c>
      <c r="C64" s="12">
        <v>14</v>
      </c>
      <c r="D64" s="12" t="s">
        <v>12</v>
      </c>
      <c r="E64" s="12">
        <v>92</v>
      </c>
      <c r="F64" s="11">
        <v>61.133695652173927</v>
      </c>
      <c r="G64" s="11">
        <v>46.403260869565223</v>
      </c>
      <c r="H64" s="11"/>
      <c r="I64" s="11"/>
      <c r="J64" s="11">
        <v>107.53695652173914</v>
      </c>
      <c r="K64" s="11">
        <v>53.768478260869571</v>
      </c>
      <c r="L64" s="13">
        <v>53</v>
      </c>
      <c r="M64" s="11">
        <v>-0.81462033067971618</v>
      </c>
      <c r="O64" s="12">
        <v>89</v>
      </c>
      <c r="P64" s="11">
        <v>60.651685393258425</v>
      </c>
      <c r="Q64" s="11">
        <v>47.348314606741575</v>
      </c>
      <c r="R64" s="11">
        <v>40.786516853932582</v>
      </c>
      <c r="S64" s="11"/>
      <c r="T64" s="11">
        <v>108</v>
      </c>
      <c r="U64" s="11">
        <v>54</v>
      </c>
      <c r="V64" s="13">
        <v>42</v>
      </c>
      <c r="W64" s="11">
        <v>0.23152173913042873</v>
      </c>
      <c r="Y64" s="12">
        <v>135</v>
      </c>
      <c r="Z64" s="11">
        <v>62.261904761904759</v>
      </c>
      <c r="AA64" s="11">
        <v>54.75</v>
      </c>
      <c r="AB64" s="11">
        <v>42.428571428571431</v>
      </c>
      <c r="AC64" s="11"/>
      <c r="AD64" s="11">
        <v>159.4404761904762</v>
      </c>
      <c r="AE64" s="11">
        <v>53.146825396825399</v>
      </c>
      <c r="AF64" s="13">
        <v>58</v>
      </c>
      <c r="AG64" s="11">
        <v>-0.85317460317460103</v>
      </c>
      <c r="AI64" s="12">
        <v>114</v>
      </c>
      <c r="AJ64" s="11">
        <v>60.763157894736842</v>
      </c>
      <c r="AK64" s="11">
        <v>46.421052631578945</v>
      </c>
      <c r="AL64" s="11">
        <v>44.657894736842103</v>
      </c>
      <c r="AM64" s="11">
        <v>61.465116279069768</v>
      </c>
      <c r="AN64" s="11">
        <v>151.84210526315789</v>
      </c>
      <c r="AO64" s="11">
        <v>50.614035087719294</v>
      </c>
      <c r="AP64" s="13">
        <v>63</v>
      </c>
      <c r="AQ64" s="11">
        <v>-2.5327903091061046</v>
      </c>
      <c r="AS64" s="12">
        <v>127</v>
      </c>
      <c r="AT64" s="11">
        <v>57.87007874015746</v>
      </c>
      <c r="AU64" s="11">
        <v>36.140157480314969</v>
      </c>
      <c r="AV64" s="11">
        <v>40.944094488188973</v>
      </c>
      <c r="AW64" s="11">
        <v>61.854166666666664</v>
      </c>
      <c r="AX64" s="11">
        <v>134.95433070866139</v>
      </c>
      <c r="AY64" s="11">
        <v>44.984776902887127</v>
      </c>
      <c r="AZ64" s="13">
        <v>93</v>
      </c>
      <c r="BA64" s="11">
        <v>-5.6292581848321674</v>
      </c>
    </row>
    <row r="65" spans="1:53" s="14" customFormat="1" x14ac:dyDescent="0.25">
      <c r="A65" s="12">
        <v>62</v>
      </c>
      <c r="B65" s="12" t="s">
        <v>19</v>
      </c>
      <c r="C65" s="12">
        <v>16</v>
      </c>
      <c r="D65" s="12" t="s">
        <v>20</v>
      </c>
      <c r="E65" s="12">
        <v>23</v>
      </c>
      <c r="F65" s="11">
        <v>59.204347826086952</v>
      </c>
      <c r="G65" s="11">
        <v>51.539130434782599</v>
      </c>
      <c r="H65" s="11"/>
      <c r="I65" s="11"/>
      <c r="J65" s="11">
        <v>110.74347826086955</v>
      </c>
      <c r="K65" s="11">
        <v>55.371739130434776</v>
      </c>
      <c r="L65" s="13">
        <v>38</v>
      </c>
      <c r="M65" s="11">
        <v>5.5554125998225388</v>
      </c>
      <c r="O65" s="12">
        <v>32</v>
      </c>
      <c r="P65" s="11">
        <v>61.625</v>
      </c>
      <c r="Q65" s="11">
        <v>52.0625</v>
      </c>
      <c r="R65" s="11">
        <v>50.78125</v>
      </c>
      <c r="S65" s="11"/>
      <c r="T65" s="11">
        <v>113.6875</v>
      </c>
      <c r="U65" s="11">
        <v>56.84375</v>
      </c>
      <c r="V65" s="13">
        <v>27</v>
      </c>
      <c r="W65" s="11">
        <v>1.4720108695652243</v>
      </c>
      <c r="Y65" s="12">
        <v>48</v>
      </c>
      <c r="Z65" s="11">
        <v>64.807692307692307</v>
      </c>
      <c r="AA65" s="11">
        <v>62.615384615384613</v>
      </c>
      <c r="AB65" s="11">
        <v>54.615384615384613</v>
      </c>
      <c r="AC65" s="11"/>
      <c r="AD65" s="11">
        <v>182.03846153846155</v>
      </c>
      <c r="AE65" s="11">
        <v>60.679487179487182</v>
      </c>
      <c r="AF65" s="13">
        <v>12</v>
      </c>
      <c r="AG65" s="11">
        <v>3.8357371794871824</v>
      </c>
      <c r="AI65" s="12">
        <v>34</v>
      </c>
      <c r="AJ65" s="11">
        <v>64.82352941176471</v>
      </c>
      <c r="AK65" s="11">
        <v>48.823529411764703</v>
      </c>
      <c r="AL65" s="11">
        <v>53.294117647058826</v>
      </c>
      <c r="AM65" s="11">
        <v>49.125</v>
      </c>
      <c r="AN65" s="11">
        <v>166.94117647058823</v>
      </c>
      <c r="AO65" s="11">
        <v>55.647058823529413</v>
      </c>
      <c r="AP65" s="13">
        <v>27</v>
      </c>
      <c r="AQ65" s="11">
        <v>-5.0324283559577694</v>
      </c>
      <c r="AS65" s="12">
        <v>42</v>
      </c>
      <c r="AT65" s="11">
        <v>67.347619047619048</v>
      </c>
      <c r="AU65" s="11">
        <v>38.250000000000007</v>
      </c>
      <c r="AV65" s="11">
        <v>52.30952380952381</v>
      </c>
      <c r="AW65" s="11">
        <v>48.714285714285715</v>
      </c>
      <c r="AX65" s="11">
        <v>157.90714285714284</v>
      </c>
      <c r="AY65" s="11">
        <v>52.635714285714279</v>
      </c>
      <c r="AZ65" s="13">
        <v>18</v>
      </c>
      <c r="BA65" s="11">
        <v>-3.011344537815134</v>
      </c>
    </row>
    <row r="66" spans="1:53" s="14" customFormat="1" x14ac:dyDescent="0.25">
      <c r="A66" s="12">
        <v>63</v>
      </c>
      <c r="B66" s="12" t="s">
        <v>19</v>
      </c>
      <c r="C66" s="12">
        <v>19</v>
      </c>
      <c r="D66" s="12" t="s">
        <v>12</v>
      </c>
      <c r="E66" s="12">
        <v>110</v>
      </c>
      <c r="F66" s="11">
        <v>52.335454545454525</v>
      </c>
      <c r="G66" s="11">
        <v>37.039090909090902</v>
      </c>
      <c r="H66" s="11"/>
      <c r="I66" s="11"/>
      <c r="J66" s="11">
        <v>89.374545454545427</v>
      </c>
      <c r="K66" s="11">
        <v>44.687272727272713</v>
      </c>
      <c r="L66" s="13">
        <v>179</v>
      </c>
      <c r="M66" s="11">
        <v>2.4290637720488348</v>
      </c>
      <c r="O66" s="12">
        <v>102</v>
      </c>
      <c r="P66" s="11">
        <v>49.871287128712872</v>
      </c>
      <c r="Q66" s="11">
        <v>40.514851485148512</v>
      </c>
      <c r="R66" s="11">
        <v>35.128712871287128</v>
      </c>
      <c r="S66" s="11"/>
      <c r="T66" s="11">
        <v>90.386138613861391</v>
      </c>
      <c r="U66" s="11">
        <v>45.193069306930695</v>
      </c>
      <c r="V66" s="13">
        <v>174</v>
      </c>
      <c r="W66" s="11">
        <v>0.50579657965798219</v>
      </c>
      <c r="Y66" s="12">
        <v>125</v>
      </c>
      <c r="Z66" s="11">
        <v>53.735294117647058</v>
      </c>
      <c r="AA66" s="11">
        <v>48.5</v>
      </c>
      <c r="AB66" s="11">
        <v>36.029411764705884</v>
      </c>
      <c r="AC66" s="11"/>
      <c r="AD66" s="11">
        <v>138.26470588235293</v>
      </c>
      <c r="AE66" s="11">
        <v>46.088235294117645</v>
      </c>
      <c r="AF66" s="13">
        <v>184</v>
      </c>
      <c r="AG66" s="11">
        <v>0.89516598718694951</v>
      </c>
      <c r="AI66" s="12">
        <v>120</v>
      </c>
      <c r="AJ66" s="11">
        <v>46.361344537815128</v>
      </c>
      <c r="AK66" s="11">
        <v>33.680672268907564</v>
      </c>
      <c r="AL66" s="11">
        <v>31.840336134453782</v>
      </c>
      <c r="AM66" s="11" t="s">
        <v>14</v>
      </c>
      <c r="AN66" s="11">
        <v>111.88235294117648</v>
      </c>
      <c r="AO66" s="11">
        <v>37.294117647058826</v>
      </c>
      <c r="AP66" s="13">
        <v>239</v>
      </c>
      <c r="AQ66" s="11">
        <v>-8.7941176470588189</v>
      </c>
      <c r="AS66" s="12">
        <v>125</v>
      </c>
      <c r="AT66" s="11">
        <v>43.161788617886195</v>
      </c>
      <c r="AU66" s="11">
        <v>29.846341463414625</v>
      </c>
      <c r="AV66" s="11">
        <v>29.577235772357721</v>
      </c>
      <c r="AW66" s="11"/>
      <c r="AX66" s="11">
        <v>102.58536585365854</v>
      </c>
      <c r="AY66" s="11">
        <v>34.195121951219512</v>
      </c>
      <c r="AZ66" s="13">
        <v>262</v>
      </c>
      <c r="BA66" s="11">
        <v>-3.0989956958393137</v>
      </c>
    </row>
    <row r="67" spans="1:53" s="14" customFormat="1" x14ac:dyDescent="0.25">
      <c r="A67" s="12">
        <v>64</v>
      </c>
      <c r="B67" s="12" t="s">
        <v>19</v>
      </c>
      <c r="C67" s="12">
        <v>35</v>
      </c>
      <c r="D67" s="12" t="s">
        <v>12</v>
      </c>
      <c r="E67" s="12">
        <v>45</v>
      </c>
      <c r="F67" s="11">
        <v>48.362222222222229</v>
      </c>
      <c r="G67" s="11">
        <v>45.675555555555547</v>
      </c>
      <c r="H67" s="11"/>
      <c r="I67" s="11"/>
      <c r="J67" s="11">
        <v>94.037777777777777</v>
      </c>
      <c r="K67" s="11">
        <v>47.018888888888888</v>
      </c>
      <c r="L67" s="13">
        <v>150</v>
      </c>
      <c r="M67" s="11">
        <v>3.5207756813417248</v>
      </c>
      <c r="O67" s="12">
        <v>35</v>
      </c>
      <c r="P67" s="11">
        <v>45.514285714285712</v>
      </c>
      <c r="Q67" s="11">
        <v>45.371428571428574</v>
      </c>
      <c r="R67" s="11">
        <v>34.057142857142857</v>
      </c>
      <c r="S67" s="11"/>
      <c r="T67" s="11">
        <v>90.885714285714286</v>
      </c>
      <c r="U67" s="11">
        <v>45.442857142857143</v>
      </c>
      <c r="V67" s="13">
        <v>167</v>
      </c>
      <c r="W67" s="11">
        <v>-1.5760317460317452</v>
      </c>
      <c r="Y67" s="12">
        <v>42</v>
      </c>
      <c r="Z67" s="11">
        <v>49.897435897435898</v>
      </c>
      <c r="AA67" s="11">
        <v>43</v>
      </c>
      <c r="AB67" s="11">
        <v>34.974358974358971</v>
      </c>
      <c r="AC67" s="11"/>
      <c r="AD67" s="11">
        <v>127.87179487179486</v>
      </c>
      <c r="AE67" s="11">
        <v>42.623931623931618</v>
      </c>
      <c r="AF67" s="13">
        <v>250</v>
      </c>
      <c r="AG67" s="11">
        <v>-2.8189255189255249</v>
      </c>
      <c r="AI67" s="12">
        <v>50</v>
      </c>
      <c r="AJ67" s="11">
        <v>46.72</v>
      </c>
      <c r="AK67" s="11">
        <v>38.159999999999997</v>
      </c>
      <c r="AL67" s="11">
        <v>32.04</v>
      </c>
      <c r="AM67" s="11" t="s">
        <v>14</v>
      </c>
      <c r="AN67" s="11">
        <v>116.91999999999999</v>
      </c>
      <c r="AO67" s="11">
        <v>38.973333333333329</v>
      </c>
      <c r="AP67" s="13">
        <v>217</v>
      </c>
      <c r="AQ67" s="11">
        <v>-3.650598290598289</v>
      </c>
      <c r="AS67" s="12">
        <v>40</v>
      </c>
      <c r="AT67" s="11">
        <v>42.285000000000004</v>
      </c>
      <c r="AU67" s="11">
        <v>33.697499999999991</v>
      </c>
      <c r="AV67" s="11">
        <v>31.902500000000014</v>
      </c>
      <c r="AW67" s="11"/>
      <c r="AX67" s="11">
        <v>107.88500000000001</v>
      </c>
      <c r="AY67" s="11">
        <v>35.961666666666666</v>
      </c>
      <c r="AZ67" s="13">
        <v>240</v>
      </c>
      <c r="BA67" s="11">
        <v>-3.0116666666666632</v>
      </c>
    </row>
    <row r="68" spans="1:53" s="14" customFormat="1" x14ac:dyDescent="0.25">
      <c r="A68" s="12">
        <v>65</v>
      </c>
      <c r="B68" s="12" t="s">
        <v>19</v>
      </c>
      <c r="C68" s="12">
        <v>42</v>
      </c>
      <c r="D68" s="12" t="s">
        <v>12</v>
      </c>
      <c r="E68" s="12">
        <v>86</v>
      </c>
      <c r="F68" s="11">
        <v>62.030232558139552</v>
      </c>
      <c r="G68" s="11">
        <v>46.831395348837212</v>
      </c>
      <c r="H68" s="11"/>
      <c r="I68" s="11"/>
      <c r="J68" s="11">
        <v>108.86162790697676</v>
      </c>
      <c r="K68" s="11">
        <v>54.430813953488382</v>
      </c>
      <c r="L68" s="13">
        <v>43</v>
      </c>
      <c r="M68" s="11">
        <v>-0.35851937984494953</v>
      </c>
      <c r="O68" s="12">
        <v>90</v>
      </c>
      <c r="P68" s="11">
        <v>64.533333333333331</v>
      </c>
      <c r="Q68" s="11">
        <v>50.31111111111111</v>
      </c>
      <c r="R68" s="11">
        <v>46.655555555555559</v>
      </c>
      <c r="S68" s="11"/>
      <c r="T68" s="11">
        <v>114.84444444444443</v>
      </c>
      <c r="U68" s="11">
        <v>57.422222222222217</v>
      </c>
      <c r="V68" s="13">
        <v>26</v>
      </c>
      <c r="W68" s="11">
        <v>2.991408268733835</v>
      </c>
      <c r="Y68" s="12">
        <v>101</v>
      </c>
      <c r="Z68" s="11">
        <v>60.847222222222221</v>
      </c>
      <c r="AA68" s="11">
        <v>56.472222222222221</v>
      </c>
      <c r="AB68" s="11">
        <v>44.694444444444443</v>
      </c>
      <c r="AC68" s="11"/>
      <c r="AD68" s="11">
        <v>162.01388888888889</v>
      </c>
      <c r="AE68" s="11">
        <v>54.004629629629626</v>
      </c>
      <c r="AF68" s="13">
        <v>47</v>
      </c>
      <c r="AG68" s="11">
        <v>-3.417592592592591</v>
      </c>
      <c r="AI68" s="12">
        <v>104</v>
      </c>
      <c r="AJ68" s="11">
        <v>63.115384615384613</v>
      </c>
      <c r="AK68" s="11">
        <v>50</v>
      </c>
      <c r="AL68" s="11">
        <v>54.182692307692307</v>
      </c>
      <c r="AM68" s="11">
        <v>57.594594594594597</v>
      </c>
      <c r="AN68" s="11">
        <v>167.29807692307691</v>
      </c>
      <c r="AO68" s="11">
        <v>55.766025641025635</v>
      </c>
      <c r="AP68" s="13">
        <v>26</v>
      </c>
      <c r="AQ68" s="11">
        <v>1.761396011396009</v>
      </c>
      <c r="AS68" s="12">
        <v>92</v>
      </c>
      <c r="AT68" s="11">
        <v>61.472527472527496</v>
      </c>
      <c r="AU68" s="11">
        <v>38.013186813186806</v>
      </c>
      <c r="AV68" s="11">
        <v>47.538461538461512</v>
      </c>
      <c r="AW68" s="11">
        <v>66.875</v>
      </c>
      <c r="AX68" s="11">
        <v>147.02417582417581</v>
      </c>
      <c r="AY68" s="11">
        <v>49.008058608058604</v>
      </c>
      <c r="AZ68" s="13">
        <v>41</v>
      </c>
      <c r="BA68" s="11">
        <v>-6.7579670329670307</v>
      </c>
    </row>
    <row r="69" spans="1:53" s="14" customFormat="1" x14ac:dyDescent="0.25">
      <c r="A69" s="12">
        <v>66</v>
      </c>
      <c r="B69" s="12" t="s">
        <v>19</v>
      </c>
      <c r="C69" s="12">
        <v>44</v>
      </c>
      <c r="D69" s="12" t="s">
        <v>12</v>
      </c>
      <c r="E69" s="12">
        <v>42</v>
      </c>
      <c r="F69" s="11">
        <v>36.592857142857142</v>
      </c>
      <c r="G69" s="11">
        <v>23.080952380952382</v>
      </c>
      <c r="H69" s="11"/>
      <c r="I69" s="11"/>
      <c r="J69" s="11">
        <v>59.673809523809524</v>
      </c>
      <c r="K69" s="11">
        <v>29.836904761904762</v>
      </c>
      <c r="L69" s="13">
        <v>294</v>
      </c>
      <c r="M69" s="11">
        <v>-13.909458874458878</v>
      </c>
      <c r="O69" s="12">
        <v>56</v>
      </c>
      <c r="P69" s="11">
        <v>44.678571428571431</v>
      </c>
      <c r="Q69" s="11">
        <v>35.160714285714285</v>
      </c>
      <c r="R69" s="11">
        <v>29.785714285714285</v>
      </c>
      <c r="S69" s="11"/>
      <c r="T69" s="11">
        <v>79.839285714285722</v>
      </c>
      <c r="U69" s="11">
        <v>39.919642857142861</v>
      </c>
      <c r="V69" s="13">
        <v>260</v>
      </c>
      <c r="W69" s="11">
        <v>10.082738095238099</v>
      </c>
      <c r="Y69" s="12">
        <v>40</v>
      </c>
      <c r="Z69" s="11">
        <v>50.549019607843135</v>
      </c>
      <c r="AA69" s="11">
        <v>49.588235294117645</v>
      </c>
      <c r="AB69" s="11">
        <v>35.862745098039213</v>
      </c>
      <c r="AC69" s="11"/>
      <c r="AD69" s="11">
        <v>136</v>
      </c>
      <c r="AE69" s="11">
        <v>45.333333333333336</v>
      </c>
      <c r="AF69" s="13">
        <v>200</v>
      </c>
      <c r="AG69" s="11">
        <v>5.4136904761904745</v>
      </c>
      <c r="AI69" s="12">
        <v>57</v>
      </c>
      <c r="AJ69" s="11">
        <v>48.157894736842103</v>
      </c>
      <c r="AK69" s="11">
        <v>39.719298245614034</v>
      </c>
      <c r="AL69" s="11">
        <v>37.245614035087719</v>
      </c>
      <c r="AM69" s="11" t="s">
        <v>14</v>
      </c>
      <c r="AN69" s="11">
        <v>125.12280701754386</v>
      </c>
      <c r="AO69" s="11">
        <v>41.707602339181285</v>
      </c>
      <c r="AP69" s="13">
        <v>179</v>
      </c>
      <c r="AQ69" s="11">
        <v>-3.6257309941520504</v>
      </c>
      <c r="AS69" s="12">
        <v>32</v>
      </c>
      <c r="AT69" s="11">
        <v>51.012499999999996</v>
      </c>
      <c r="AU69" s="11">
        <v>35.518750000000004</v>
      </c>
      <c r="AV69" s="11">
        <v>46.603124999999999</v>
      </c>
      <c r="AW69" s="11"/>
      <c r="AX69" s="11">
        <v>133.13437500000001</v>
      </c>
      <c r="AY69" s="11">
        <v>44.378125000000004</v>
      </c>
      <c r="AZ69" s="13">
        <v>99</v>
      </c>
      <c r="BA69" s="11">
        <v>2.6705226608187189</v>
      </c>
    </row>
    <row r="70" spans="1:53" s="14" customFormat="1" x14ac:dyDescent="0.25">
      <c r="A70" s="12">
        <v>67</v>
      </c>
      <c r="B70" s="12" t="s">
        <v>19</v>
      </c>
      <c r="C70" s="12">
        <v>46</v>
      </c>
      <c r="D70" s="12" t="s">
        <v>12</v>
      </c>
      <c r="E70" s="12">
        <v>73</v>
      </c>
      <c r="F70" s="11">
        <v>54.228767123287682</v>
      </c>
      <c r="G70" s="11">
        <v>47.172602739726017</v>
      </c>
      <c r="H70" s="11"/>
      <c r="I70" s="11"/>
      <c r="J70" s="11">
        <v>101.4013698630137</v>
      </c>
      <c r="K70" s="11">
        <v>50.700684931506849</v>
      </c>
      <c r="L70" s="13">
        <v>99</v>
      </c>
      <c r="M70" s="11">
        <v>2.0463371054198873</v>
      </c>
      <c r="O70" s="12">
        <v>79</v>
      </c>
      <c r="P70" s="11">
        <v>55.911392405063289</v>
      </c>
      <c r="Q70" s="11">
        <v>48.151898734177216</v>
      </c>
      <c r="R70" s="11">
        <v>43.025316455696199</v>
      </c>
      <c r="S70" s="11"/>
      <c r="T70" s="11">
        <v>104.0632911392405</v>
      </c>
      <c r="U70" s="11">
        <v>52.031645569620252</v>
      </c>
      <c r="V70" s="13">
        <v>68</v>
      </c>
      <c r="W70" s="11">
        <v>1.3309606381134031</v>
      </c>
      <c r="Y70" s="12">
        <v>110</v>
      </c>
      <c r="Z70" s="11">
        <v>56.910714285714285</v>
      </c>
      <c r="AA70" s="11">
        <v>57.607142857142854</v>
      </c>
      <c r="AB70" s="11">
        <v>46</v>
      </c>
      <c r="AC70" s="11"/>
      <c r="AD70" s="11">
        <v>160.51785714285714</v>
      </c>
      <c r="AE70" s="11">
        <v>53.50595238095238</v>
      </c>
      <c r="AF70" s="13">
        <v>53</v>
      </c>
      <c r="AG70" s="11">
        <v>1.4743068113321272</v>
      </c>
      <c r="AI70" s="12">
        <v>75</v>
      </c>
      <c r="AJ70" s="11">
        <v>58.733333333333334</v>
      </c>
      <c r="AK70" s="11">
        <v>45.973333333333336</v>
      </c>
      <c r="AL70" s="11">
        <v>51.413333333333334</v>
      </c>
      <c r="AM70" s="11">
        <v>46.204081632653065</v>
      </c>
      <c r="AN70" s="11">
        <v>156.12</v>
      </c>
      <c r="AO70" s="11">
        <v>52.04</v>
      </c>
      <c r="AP70" s="13">
        <v>46</v>
      </c>
      <c r="AQ70" s="11">
        <v>-1.4659523809523805</v>
      </c>
      <c r="AS70" s="12">
        <v>111</v>
      </c>
      <c r="AT70" s="11">
        <v>58.40900900900899</v>
      </c>
      <c r="AU70" s="11">
        <v>39.094594594594604</v>
      </c>
      <c r="AV70" s="11">
        <v>47.163063063063063</v>
      </c>
      <c r="AW70" s="11">
        <v>54.878787878787875</v>
      </c>
      <c r="AX70" s="11">
        <v>144.66666666666666</v>
      </c>
      <c r="AY70" s="11">
        <v>48.222222222222221</v>
      </c>
      <c r="AZ70" s="13">
        <v>51</v>
      </c>
      <c r="BA70" s="11">
        <v>-3.8177777777777777</v>
      </c>
    </row>
    <row r="71" spans="1:53" s="14" customFormat="1" x14ac:dyDescent="0.25">
      <c r="A71" s="12">
        <v>68</v>
      </c>
      <c r="B71" s="12" t="s">
        <v>19</v>
      </c>
      <c r="C71" s="12">
        <v>54</v>
      </c>
      <c r="D71" s="12" t="s">
        <v>12</v>
      </c>
      <c r="E71" s="12">
        <v>105</v>
      </c>
      <c r="F71" s="11">
        <v>68.174285714285716</v>
      </c>
      <c r="G71" s="11">
        <v>57.230476190476196</v>
      </c>
      <c r="H71" s="11"/>
      <c r="I71" s="11"/>
      <c r="J71" s="11">
        <v>125.40476190476191</v>
      </c>
      <c r="K71" s="11">
        <v>62.702380952380956</v>
      </c>
      <c r="L71" s="13">
        <v>9</v>
      </c>
      <c r="M71" s="11">
        <v>4.2034013605442411</v>
      </c>
      <c r="O71" s="12">
        <v>112</v>
      </c>
      <c r="P71" s="11">
        <v>64.339285714285708</v>
      </c>
      <c r="Q71" s="11">
        <v>58.526785714285715</v>
      </c>
      <c r="R71" s="11">
        <v>48.4375</v>
      </c>
      <c r="S71" s="11"/>
      <c r="T71" s="11">
        <v>122.86607142857142</v>
      </c>
      <c r="U71" s="11">
        <v>61.433035714285708</v>
      </c>
      <c r="V71" s="13">
        <v>11</v>
      </c>
      <c r="W71" s="11">
        <v>-1.2693452380952479</v>
      </c>
      <c r="Y71" s="12">
        <v>118</v>
      </c>
      <c r="Z71" s="11">
        <v>63.183673469387756</v>
      </c>
      <c r="AA71" s="11">
        <v>58.765306122448976</v>
      </c>
      <c r="AB71" s="11">
        <v>44.642857142857146</v>
      </c>
      <c r="AC71" s="11"/>
      <c r="AD71" s="11">
        <v>166.59183673469389</v>
      </c>
      <c r="AE71" s="11">
        <v>55.530612244897959</v>
      </c>
      <c r="AF71" s="13">
        <v>31</v>
      </c>
      <c r="AG71" s="11">
        <v>-5.9024234693877489</v>
      </c>
      <c r="AI71" s="12">
        <v>136</v>
      </c>
      <c r="AJ71" s="11">
        <v>63.691176470588232</v>
      </c>
      <c r="AK71" s="11">
        <v>53.764705882352942</v>
      </c>
      <c r="AL71" s="11">
        <v>51.742647058823529</v>
      </c>
      <c r="AM71" s="11" t="s">
        <v>14</v>
      </c>
      <c r="AN71" s="11">
        <v>169.1985294117647</v>
      </c>
      <c r="AO71" s="11">
        <v>56.399509803921568</v>
      </c>
      <c r="AP71" s="13">
        <v>20</v>
      </c>
      <c r="AQ71" s="11">
        <v>0.86889755902360832</v>
      </c>
      <c r="AS71" s="12">
        <v>106</v>
      </c>
      <c r="AT71" s="11">
        <v>52.758095238095244</v>
      </c>
      <c r="AU71" s="11">
        <v>40.545714285714297</v>
      </c>
      <c r="AV71" s="11">
        <v>39.859999999999992</v>
      </c>
      <c r="AW71" s="11"/>
      <c r="AX71" s="11">
        <v>133.16380952380953</v>
      </c>
      <c r="AY71" s="11">
        <v>44.387936507936509</v>
      </c>
      <c r="AZ71" s="13">
        <v>98</v>
      </c>
      <c r="BA71" s="11">
        <v>-12.011573295985059</v>
      </c>
    </row>
    <row r="72" spans="1:53" s="14" customFormat="1" x14ac:dyDescent="0.25">
      <c r="A72" s="12">
        <v>69</v>
      </c>
      <c r="B72" s="12" t="s">
        <v>19</v>
      </c>
      <c r="C72" s="12">
        <v>111</v>
      </c>
      <c r="D72" s="12" t="s">
        <v>12</v>
      </c>
      <c r="E72" s="12">
        <v>72</v>
      </c>
      <c r="F72" s="11">
        <v>58.695833333333326</v>
      </c>
      <c r="G72" s="11">
        <v>44.18611111111111</v>
      </c>
      <c r="H72" s="11"/>
      <c r="I72" s="11"/>
      <c r="J72" s="11">
        <v>102.88194444444443</v>
      </c>
      <c r="K72" s="11">
        <v>51.440972222222214</v>
      </c>
      <c r="L72" s="13">
        <v>85</v>
      </c>
      <c r="M72" s="11">
        <v>1.8889985380116912</v>
      </c>
      <c r="O72" s="12">
        <v>94</v>
      </c>
      <c r="P72" s="11">
        <v>52.765957446808514</v>
      </c>
      <c r="Q72" s="11">
        <v>49.351063829787236</v>
      </c>
      <c r="R72" s="11">
        <v>42.648936170212764</v>
      </c>
      <c r="S72" s="11"/>
      <c r="T72" s="11">
        <v>102.11702127659575</v>
      </c>
      <c r="U72" s="11">
        <v>51.058510638297875</v>
      </c>
      <c r="V72" s="13">
        <v>87</v>
      </c>
      <c r="W72" s="11">
        <v>-0.38246158392433927</v>
      </c>
      <c r="Y72" s="12">
        <v>101</v>
      </c>
      <c r="Z72" s="11">
        <v>58.892857142857146</v>
      </c>
      <c r="AA72" s="11">
        <v>54.11904761904762</v>
      </c>
      <c r="AB72" s="11">
        <v>42.166666666666664</v>
      </c>
      <c r="AC72" s="11"/>
      <c r="AD72" s="11">
        <v>155.17857142857142</v>
      </c>
      <c r="AE72" s="11">
        <v>51.726190476190474</v>
      </c>
      <c r="AF72" s="13">
        <v>72</v>
      </c>
      <c r="AG72" s="11">
        <v>0.66767983789259944</v>
      </c>
      <c r="AI72" s="12">
        <v>106</v>
      </c>
      <c r="AJ72" s="11">
        <v>51.056603773584904</v>
      </c>
      <c r="AK72" s="11">
        <v>39.245283018867923</v>
      </c>
      <c r="AL72" s="11">
        <v>41.509433962264154</v>
      </c>
      <c r="AM72" s="11">
        <v>52.6</v>
      </c>
      <c r="AN72" s="11">
        <v>131.81132075471697</v>
      </c>
      <c r="AO72" s="11">
        <v>43.937106918238989</v>
      </c>
      <c r="AP72" s="13">
        <v>143</v>
      </c>
      <c r="AQ72" s="11">
        <v>-7.7890835579514857</v>
      </c>
      <c r="AS72" s="12">
        <v>99</v>
      </c>
      <c r="AT72" s="11">
        <v>53.485416666666659</v>
      </c>
      <c r="AU72" s="11">
        <v>31.538541666666664</v>
      </c>
      <c r="AV72" s="11">
        <v>37.374999999999993</v>
      </c>
      <c r="AW72" s="11">
        <v>58.833333333333336</v>
      </c>
      <c r="AX72" s="11">
        <v>122.39895833333333</v>
      </c>
      <c r="AY72" s="11">
        <v>40.799652777777773</v>
      </c>
      <c r="AZ72" s="13">
        <v>153</v>
      </c>
      <c r="BA72" s="11">
        <v>-3.137454140461216</v>
      </c>
    </row>
    <row r="73" spans="1:53" s="14" customFormat="1" x14ac:dyDescent="0.25">
      <c r="A73" s="12">
        <v>70</v>
      </c>
      <c r="B73" s="12" t="s">
        <v>19</v>
      </c>
      <c r="C73" s="12">
        <v>151</v>
      </c>
      <c r="D73" s="12" t="s">
        <v>12</v>
      </c>
      <c r="E73" s="12">
        <v>40</v>
      </c>
      <c r="F73" s="11">
        <v>61.65</v>
      </c>
      <c r="G73" s="11">
        <v>47.062499999999993</v>
      </c>
      <c r="H73" s="11"/>
      <c r="I73" s="11"/>
      <c r="J73" s="11">
        <v>108.71249999999999</v>
      </c>
      <c r="K73" s="11">
        <v>54.356249999999996</v>
      </c>
      <c r="L73" s="13">
        <v>44</v>
      </c>
      <c r="M73" s="11">
        <v>7.5050304878048735</v>
      </c>
      <c r="O73" s="12">
        <v>35</v>
      </c>
      <c r="P73" s="11">
        <v>49.542857142857144</v>
      </c>
      <c r="Q73" s="11">
        <v>36.771428571428572</v>
      </c>
      <c r="R73" s="11">
        <v>42.114285714285714</v>
      </c>
      <c r="S73" s="11"/>
      <c r="T73" s="11">
        <v>86.314285714285717</v>
      </c>
      <c r="U73" s="11">
        <v>43.157142857142858</v>
      </c>
      <c r="V73" s="13">
        <v>207</v>
      </c>
      <c r="W73" s="11">
        <v>-11.199107142857137</v>
      </c>
      <c r="Y73" s="12">
        <v>60</v>
      </c>
      <c r="Z73" s="11">
        <v>51.185185185185183</v>
      </c>
      <c r="AA73" s="11">
        <v>50.222222222222221</v>
      </c>
      <c r="AB73" s="11">
        <v>45.296296296296298</v>
      </c>
      <c r="AC73" s="11"/>
      <c r="AD73" s="11">
        <v>146.7037037037037</v>
      </c>
      <c r="AE73" s="11">
        <v>48.901234567901234</v>
      </c>
      <c r="AF73" s="13">
        <v>138</v>
      </c>
      <c r="AG73" s="11">
        <v>5.7440917107583758</v>
      </c>
      <c r="AI73" s="12">
        <v>46</v>
      </c>
      <c r="AJ73" s="11">
        <v>56.434782608695649</v>
      </c>
      <c r="AK73" s="11">
        <v>39.130434782608695</v>
      </c>
      <c r="AL73" s="11">
        <v>45.956521739130437</v>
      </c>
      <c r="AM73" s="11">
        <v>49.086956521739133</v>
      </c>
      <c r="AN73" s="11">
        <v>141.52173913043478</v>
      </c>
      <c r="AO73" s="11">
        <v>47.173913043478258</v>
      </c>
      <c r="AP73" s="13">
        <v>106</v>
      </c>
      <c r="AQ73" s="11">
        <v>-1.727321524422976</v>
      </c>
      <c r="AS73" s="12">
        <v>67</v>
      </c>
      <c r="AT73" s="11">
        <v>59.52272727272728</v>
      </c>
      <c r="AU73" s="11">
        <v>34.756060606060608</v>
      </c>
      <c r="AV73" s="11">
        <v>48.6621212121212</v>
      </c>
      <c r="AW73" s="11">
        <v>57.871794871794869</v>
      </c>
      <c r="AX73" s="11">
        <v>142.94090909090909</v>
      </c>
      <c r="AY73" s="11">
        <v>47.646969696969698</v>
      </c>
      <c r="AZ73" s="13">
        <v>57</v>
      </c>
      <c r="BA73" s="11">
        <v>0.47305665349144022</v>
      </c>
    </row>
    <row r="74" spans="1:53" s="14" customFormat="1" x14ac:dyDescent="0.25">
      <c r="A74" s="12">
        <v>71</v>
      </c>
      <c r="B74" s="12" t="s">
        <v>19</v>
      </c>
      <c r="C74" s="12">
        <v>159</v>
      </c>
      <c r="D74" s="12" t="s">
        <v>12</v>
      </c>
      <c r="E74" s="12">
        <v>88</v>
      </c>
      <c r="F74" s="11">
        <v>53.66477272727272</v>
      </c>
      <c r="G74" s="11">
        <v>43.44318181818182</v>
      </c>
      <c r="H74" s="11"/>
      <c r="I74" s="11"/>
      <c r="J74" s="11">
        <v>97.107954545454533</v>
      </c>
      <c r="K74" s="11">
        <v>48.553977272727266</v>
      </c>
      <c r="L74" s="13">
        <v>128</v>
      </c>
      <c r="M74" s="11">
        <v>-1.6589440755873355</v>
      </c>
      <c r="O74" s="12">
        <v>87</v>
      </c>
      <c r="P74" s="11">
        <v>58.151162790697676</v>
      </c>
      <c r="Q74" s="11">
        <v>48.360465116279073</v>
      </c>
      <c r="R74" s="11">
        <v>42.116279069767444</v>
      </c>
      <c r="S74" s="11"/>
      <c r="T74" s="11">
        <v>106.51162790697674</v>
      </c>
      <c r="U74" s="11">
        <v>53.255813953488371</v>
      </c>
      <c r="V74" s="13">
        <v>46</v>
      </c>
      <c r="W74" s="11">
        <v>4.7018366807611045</v>
      </c>
      <c r="Y74" s="12">
        <v>100</v>
      </c>
      <c r="Z74" s="11">
        <v>60.321839080459768</v>
      </c>
      <c r="AA74" s="11">
        <v>56.804597701149426</v>
      </c>
      <c r="AB74" s="11">
        <v>39.206896551724135</v>
      </c>
      <c r="AC74" s="11"/>
      <c r="AD74" s="11">
        <v>156.33333333333331</v>
      </c>
      <c r="AE74" s="11">
        <v>52.111111111111107</v>
      </c>
      <c r="AF74" s="13">
        <v>68</v>
      </c>
      <c r="AG74" s="11">
        <v>-1.1447028423772636</v>
      </c>
      <c r="AI74" s="12">
        <v>118</v>
      </c>
      <c r="AJ74" s="11">
        <v>55.347457627118644</v>
      </c>
      <c r="AK74" s="11">
        <v>45.491525423728817</v>
      </c>
      <c r="AL74" s="11">
        <v>43.694915254237287</v>
      </c>
      <c r="AM74" s="11" t="s">
        <v>14</v>
      </c>
      <c r="AN74" s="11">
        <v>144.53389830508473</v>
      </c>
      <c r="AO74" s="11">
        <v>48.177966101694913</v>
      </c>
      <c r="AP74" s="13">
        <v>86</v>
      </c>
      <c r="AQ74" s="11">
        <v>-3.9331450094161937</v>
      </c>
      <c r="AS74" s="12">
        <v>88</v>
      </c>
      <c r="AT74" s="11">
        <v>50.77272727272728</v>
      </c>
      <c r="AU74" s="11">
        <v>32.396590909090911</v>
      </c>
      <c r="AV74" s="11">
        <v>39.407954545454544</v>
      </c>
      <c r="AW74" s="11"/>
      <c r="AX74" s="11">
        <v>122.57727272727274</v>
      </c>
      <c r="AY74" s="11">
        <v>40.859090909090916</v>
      </c>
      <c r="AZ74" s="13">
        <v>150</v>
      </c>
      <c r="BA74" s="11">
        <v>-7.318875192603997</v>
      </c>
    </row>
    <row r="75" spans="1:53" s="14" customFormat="1" x14ac:dyDescent="0.25">
      <c r="A75" s="12">
        <v>72</v>
      </c>
      <c r="B75" s="12" t="s">
        <v>19</v>
      </c>
      <c r="C75" s="12">
        <v>164</v>
      </c>
      <c r="D75" s="12" t="s">
        <v>12</v>
      </c>
      <c r="E75" s="12">
        <v>93</v>
      </c>
      <c r="F75" s="11">
        <v>62.435483870967744</v>
      </c>
      <c r="G75" s="11">
        <v>45.991397849462366</v>
      </c>
      <c r="H75" s="11"/>
      <c r="I75" s="11"/>
      <c r="J75" s="11">
        <v>108.42688172043012</v>
      </c>
      <c r="K75" s="11">
        <v>54.213440860215059</v>
      </c>
      <c r="L75" s="13">
        <v>46</v>
      </c>
      <c r="M75" s="11">
        <v>-1.4543557499544306</v>
      </c>
      <c r="O75" s="12">
        <v>111</v>
      </c>
      <c r="P75" s="11">
        <v>58.477477477477478</v>
      </c>
      <c r="Q75" s="11">
        <v>51.387387387387385</v>
      </c>
      <c r="R75" s="11">
        <v>54.198198198198199</v>
      </c>
      <c r="S75" s="11"/>
      <c r="T75" s="11">
        <v>109.86486486486487</v>
      </c>
      <c r="U75" s="11">
        <v>54.932432432432435</v>
      </c>
      <c r="V75" s="13">
        <v>33</v>
      </c>
      <c r="W75" s="11">
        <v>0.71899157221737653</v>
      </c>
      <c r="Y75" s="12">
        <v>138</v>
      </c>
      <c r="Z75" s="11">
        <v>61.449541284403672</v>
      </c>
      <c r="AA75" s="11">
        <v>61.018348623853214</v>
      </c>
      <c r="AB75" s="11">
        <v>50.4954128440367</v>
      </c>
      <c r="AC75" s="11"/>
      <c r="AD75" s="11">
        <v>172.9633027522936</v>
      </c>
      <c r="AE75" s="11">
        <v>57.654434250764531</v>
      </c>
      <c r="AF75" s="13">
        <v>20</v>
      </c>
      <c r="AG75" s="11">
        <v>2.722001818332096</v>
      </c>
      <c r="AI75" s="12">
        <v>119</v>
      </c>
      <c r="AJ75" s="11">
        <v>63.008403361344541</v>
      </c>
      <c r="AK75" s="11">
        <v>55.596638655462186</v>
      </c>
      <c r="AL75" s="11">
        <v>61.84873949579832</v>
      </c>
      <c r="AM75" s="11">
        <v>52.970588235294116</v>
      </c>
      <c r="AN75" s="11">
        <v>180.45378151260505</v>
      </c>
      <c r="AO75" s="11">
        <v>60.15126050420168</v>
      </c>
      <c r="AP75" s="13">
        <v>10</v>
      </c>
      <c r="AQ75" s="11">
        <v>2.496826253437149</v>
      </c>
      <c r="AS75" s="12">
        <v>125</v>
      </c>
      <c r="AT75" s="11">
        <v>65.475999999999999</v>
      </c>
      <c r="AU75" s="11">
        <v>35.462400000000009</v>
      </c>
      <c r="AV75" s="11">
        <v>50.161600000000021</v>
      </c>
      <c r="AW75" s="11">
        <v>54.3125</v>
      </c>
      <c r="AX75" s="11">
        <v>151.10000000000002</v>
      </c>
      <c r="AY75" s="11">
        <v>50.366666666666674</v>
      </c>
      <c r="AZ75" s="13">
        <v>30</v>
      </c>
      <c r="BA75" s="11">
        <v>-9.7845938375350059</v>
      </c>
    </row>
    <row r="76" spans="1:53" s="14" customFormat="1" x14ac:dyDescent="0.25">
      <c r="A76" s="12">
        <v>73</v>
      </c>
      <c r="B76" s="12" t="s">
        <v>19</v>
      </c>
      <c r="C76" s="12">
        <v>211</v>
      </c>
      <c r="D76" s="12" t="s">
        <v>12</v>
      </c>
      <c r="E76" s="12">
        <v>115</v>
      </c>
      <c r="F76" s="11">
        <v>55.179130434782614</v>
      </c>
      <c r="G76" s="11">
        <v>41.494782608695644</v>
      </c>
      <c r="H76" s="11"/>
      <c r="I76" s="11"/>
      <c r="J76" s="11">
        <v>96.673913043478251</v>
      </c>
      <c r="K76" s="11">
        <v>48.336956521739125</v>
      </c>
      <c r="L76" s="13">
        <v>134</v>
      </c>
      <c r="M76" s="11">
        <v>-3.8800537875392109</v>
      </c>
      <c r="O76" s="12">
        <v>103</v>
      </c>
      <c r="P76" s="11">
        <v>56.067961165048544</v>
      </c>
      <c r="Q76" s="11">
        <v>46.310679611650485</v>
      </c>
      <c r="R76" s="11">
        <v>40</v>
      </c>
      <c r="S76" s="11"/>
      <c r="T76" s="11">
        <v>102.37864077669903</v>
      </c>
      <c r="U76" s="11">
        <v>51.189320388349515</v>
      </c>
      <c r="V76" s="13">
        <v>85</v>
      </c>
      <c r="W76" s="11">
        <v>2.8523638666103892</v>
      </c>
      <c r="Y76" s="12">
        <v>134</v>
      </c>
      <c r="Z76" s="11">
        <v>55.75</v>
      </c>
      <c r="AA76" s="11">
        <v>48.88</v>
      </c>
      <c r="AB76" s="11">
        <v>40.53</v>
      </c>
      <c r="AC76" s="11"/>
      <c r="AD76" s="11">
        <v>145.16</v>
      </c>
      <c r="AE76" s="11">
        <v>48.386666666666663</v>
      </c>
      <c r="AF76" s="13">
        <v>142</v>
      </c>
      <c r="AG76" s="11">
        <v>-2.8026537216828515</v>
      </c>
      <c r="AI76" s="12">
        <v>150</v>
      </c>
      <c r="AJ76" s="11">
        <v>59.493333333333332</v>
      </c>
      <c r="AK76" s="11">
        <v>49.973333333333336</v>
      </c>
      <c r="AL76" s="11">
        <v>46.593333333333334</v>
      </c>
      <c r="AM76" s="11">
        <v>53.5</v>
      </c>
      <c r="AN76" s="11">
        <v>156.06</v>
      </c>
      <c r="AO76" s="11">
        <v>52.02</v>
      </c>
      <c r="AP76" s="13">
        <v>48</v>
      </c>
      <c r="AQ76" s="11">
        <v>3.63333333333334</v>
      </c>
      <c r="AS76" s="12">
        <v>128</v>
      </c>
      <c r="AT76" s="11">
        <v>59.724999999999987</v>
      </c>
      <c r="AU76" s="11">
        <v>37.827343749999997</v>
      </c>
      <c r="AV76" s="11">
        <v>42.117968750000003</v>
      </c>
      <c r="AW76" s="11">
        <v>60.955555555555556</v>
      </c>
      <c r="AX76" s="11">
        <v>139.67031249999997</v>
      </c>
      <c r="AY76" s="11">
        <v>46.556770833333324</v>
      </c>
      <c r="AZ76" s="13">
        <v>69</v>
      </c>
      <c r="BA76" s="11">
        <v>-5.4632291666666788</v>
      </c>
    </row>
    <row r="77" spans="1:53" s="14" customFormat="1" x14ac:dyDescent="0.25">
      <c r="A77" s="12">
        <v>74</v>
      </c>
      <c r="B77" s="12" t="s">
        <v>19</v>
      </c>
      <c r="C77" s="12">
        <v>240</v>
      </c>
      <c r="D77" s="12" t="s">
        <v>12</v>
      </c>
      <c r="E77" s="12">
        <v>76</v>
      </c>
      <c r="F77" s="11">
        <v>64.18421052631578</v>
      </c>
      <c r="G77" s="11">
        <v>52.760526315789477</v>
      </c>
      <c r="H77" s="11"/>
      <c r="I77" s="11"/>
      <c r="J77" s="11">
        <v>116.94473684210526</v>
      </c>
      <c r="K77" s="11">
        <v>58.472368421052629</v>
      </c>
      <c r="L77" s="13">
        <v>19</v>
      </c>
      <c r="M77" s="11">
        <v>0.52396416573348858</v>
      </c>
      <c r="O77" s="12">
        <v>89</v>
      </c>
      <c r="P77" s="11">
        <v>64.640449438202253</v>
      </c>
      <c r="Q77" s="11">
        <v>54.966292134831463</v>
      </c>
      <c r="R77" s="11">
        <v>50.269662921348313</v>
      </c>
      <c r="S77" s="11"/>
      <c r="T77" s="11">
        <v>119.60674157303372</v>
      </c>
      <c r="U77" s="11">
        <v>59.803370786516858</v>
      </c>
      <c r="V77" s="13">
        <v>13</v>
      </c>
      <c r="W77" s="11">
        <v>1.3310023654642293</v>
      </c>
      <c r="Y77" s="12">
        <v>127</v>
      </c>
      <c r="Z77" s="11">
        <v>65.15384615384616</v>
      </c>
      <c r="AA77" s="11">
        <v>57.79807692307692</v>
      </c>
      <c r="AB77" s="11">
        <v>43.221153846153847</v>
      </c>
      <c r="AC77" s="11"/>
      <c r="AD77" s="11">
        <v>166.17307692307693</v>
      </c>
      <c r="AE77" s="11">
        <v>55.391025641025642</v>
      </c>
      <c r="AF77" s="13">
        <v>34</v>
      </c>
      <c r="AG77" s="11">
        <v>-4.4123451454912157</v>
      </c>
      <c r="AI77" s="12">
        <v>134</v>
      </c>
      <c r="AJ77" s="11">
        <v>65.552238805970148</v>
      </c>
      <c r="AK77" s="11">
        <v>56.059701492537314</v>
      </c>
      <c r="AL77" s="11">
        <v>55.64179104477612</v>
      </c>
      <c r="AM77" s="11"/>
      <c r="AN77" s="11">
        <v>177.25373134328359</v>
      </c>
      <c r="AO77" s="11">
        <v>59.084577114427866</v>
      </c>
      <c r="AP77" s="13">
        <v>12</v>
      </c>
      <c r="AQ77" s="11">
        <v>3.6935514734022235</v>
      </c>
      <c r="AS77" s="12">
        <v>120</v>
      </c>
      <c r="AT77" s="11">
        <v>62.02416666666668</v>
      </c>
      <c r="AU77" s="11">
        <v>42.881666666666661</v>
      </c>
      <c r="AV77" s="11">
        <v>45.835833333333341</v>
      </c>
      <c r="AW77" s="11">
        <v>54.684210526315788</v>
      </c>
      <c r="AX77" s="11">
        <v>150.74166666666667</v>
      </c>
      <c r="AY77" s="11">
        <v>50.247222222222227</v>
      </c>
      <c r="AZ77" s="13">
        <v>32</v>
      </c>
      <c r="BA77" s="11">
        <v>-8.8373548922056386</v>
      </c>
    </row>
    <row r="78" spans="1:53" s="14" customFormat="1" x14ac:dyDescent="0.25">
      <c r="A78" s="12">
        <v>75</v>
      </c>
      <c r="B78" s="12" t="s">
        <v>19</v>
      </c>
      <c r="C78" s="12">
        <v>247</v>
      </c>
      <c r="D78" s="12" t="s">
        <v>12</v>
      </c>
      <c r="E78" s="12">
        <v>44</v>
      </c>
      <c r="F78" s="11">
        <v>59.854545454545445</v>
      </c>
      <c r="G78" s="11">
        <v>39.638636363636365</v>
      </c>
      <c r="H78" s="11"/>
      <c r="I78" s="11"/>
      <c r="J78" s="11">
        <v>99.49318181818181</v>
      </c>
      <c r="K78" s="11">
        <v>49.746590909090905</v>
      </c>
      <c r="L78" s="13">
        <v>111</v>
      </c>
      <c r="M78" s="11">
        <v>-3.8823564593301469</v>
      </c>
      <c r="O78" s="12">
        <v>37</v>
      </c>
      <c r="P78" s="11">
        <v>55.189189189189186</v>
      </c>
      <c r="Q78" s="11">
        <v>46.756756756756758</v>
      </c>
      <c r="R78" s="11">
        <v>36.54054054054054</v>
      </c>
      <c r="S78" s="11"/>
      <c r="T78" s="11">
        <v>101.94594594594594</v>
      </c>
      <c r="U78" s="11">
        <v>50.972972972972968</v>
      </c>
      <c r="V78" s="13">
        <v>88</v>
      </c>
      <c r="W78" s="11">
        <v>1.2263820638820633</v>
      </c>
      <c r="Y78" s="12">
        <v>71</v>
      </c>
      <c r="Z78" s="11">
        <v>58.795454545454547</v>
      </c>
      <c r="AA78" s="11">
        <v>49.136363636363633</v>
      </c>
      <c r="AB78" s="11">
        <v>42</v>
      </c>
      <c r="AC78" s="11"/>
      <c r="AD78" s="11">
        <v>149.93181818181819</v>
      </c>
      <c r="AE78" s="11">
        <v>49.977272727272727</v>
      </c>
      <c r="AF78" s="13">
        <v>114</v>
      </c>
      <c r="AG78" s="11">
        <v>-0.99570024570024174</v>
      </c>
      <c r="AI78" s="12">
        <v>57</v>
      </c>
      <c r="AJ78" s="11">
        <v>58.614035087719301</v>
      </c>
      <c r="AK78" s="11">
        <v>39.438596491228068</v>
      </c>
      <c r="AL78" s="11">
        <v>40.89473684210526</v>
      </c>
      <c r="AM78" s="11">
        <v>55.647058823529413</v>
      </c>
      <c r="AN78" s="11">
        <v>138.94736842105263</v>
      </c>
      <c r="AO78" s="11">
        <v>46.315789473684212</v>
      </c>
      <c r="AP78" s="13">
        <v>118</v>
      </c>
      <c r="AQ78" s="11">
        <v>-3.6614832535885142</v>
      </c>
      <c r="AS78" s="12">
        <v>71</v>
      </c>
      <c r="AT78" s="11">
        <v>51.119718309859145</v>
      </c>
      <c r="AU78" s="11">
        <v>34.481690140845046</v>
      </c>
      <c r="AV78" s="11">
        <v>39.184507042253514</v>
      </c>
      <c r="AW78" s="11">
        <v>61.5</v>
      </c>
      <c r="AX78" s="11">
        <v>124.7859154929577</v>
      </c>
      <c r="AY78" s="11">
        <v>41.595305164319235</v>
      </c>
      <c r="AZ78" s="13">
        <v>139</v>
      </c>
      <c r="BA78" s="11">
        <v>-4.7204843093649771</v>
      </c>
    </row>
    <row r="79" spans="1:53" s="14" customFormat="1" x14ac:dyDescent="0.25">
      <c r="A79" s="12">
        <v>76</v>
      </c>
      <c r="B79" s="12" t="s">
        <v>19</v>
      </c>
      <c r="C79" s="12">
        <v>266</v>
      </c>
      <c r="D79" s="12" t="s">
        <v>12</v>
      </c>
      <c r="E79" s="12">
        <v>70</v>
      </c>
      <c r="F79" s="11">
        <v>55.108571428571423</v>
      </c>
      <c r="G79" s="11">
        <v>37.018571428571441</v>
      </c>
      <c r="H79" s="11"/>
      <c r="I79" s="11"/>
      <c r="J79" s="11">
        <v>92.127142857142871</v>
      </c>
      <c r="K79" s="11">
        <v>46.063571428571436</v>
      </c>
      <c r="L79" s="13">
        <v>158</v>
      </c>
      <c r="M79" s="11">
        <v>-9.5269458128078597</v>
      </c>
      <c r="O79" s="12">
        <v>36</v>
      </c>
      <c r="P79" s="11">
        <v>52.277777777777779</v>
      </c>
      <c r="Q79" s="11">
        <v>38.888888888888886</v>
      </c>
      <c r="R79" s="11">
        <v>32.138888888888886</v>
      </c>
      <c r="S79" s="11"/>
      <c r="T79" s="11">
        <v>91.166666666666657</v>
      </c>
      <c r="U79" s="11">
        <v>45.583333333333329</v>
      </c>
      <c r="V79" s="13">
        <v>164</v>
      </c>
      <c r="W79" s="11">
        <v>-0.48023809523810712</v>
      </c>
      <c r="Y79" s="12">
        <v>52</v>
      </c>
      <c r="Z79" s="11">
        <v>53.150943396226417</v>
      </c>
      <c r="AA79" s="11">
        <v>49.811320754716981</v>
      </c>
      <c r="AB79" s="11">
        <v>35.547169811320757</v>
      </c>
      <c r="AC79" s="11"/>
      <c r="AD79" s="11">
        <v>138.50943396226415</v>
      </c>
      <c r="AE79" s="11">
        <v>46.169811320754718</v>
      </c>
      <c r="AF79" s="13">
        <v>182</v>
      </c>
      <c r="AG79" s="11">
        <v>0.58647798742138946</v>
      </c>
      <c r="AI79" s="12">
        <v>59</v>
      </c>
      <c r="AJ79" s="11">
        <v>53.711864406779661</v>
      </c>
      <c r="AK79" s="11">
        <v>46.237288135593218</v>
      </c>
      <c r="AL79" s="11">
        <v>41.881355932203391</v>
      </c>
      <c r="AM79" s="11" t="s">
        <v>14</v>
      </c>
      <c r="AN79" s="11">
        <v>141.83050847457628</v>
      </c>
      <c r="AO79" s="11">
        <v>47.27683615819209</v>
      </c>
      <c r="AP79" s="13">
        <v>104</v>
      </c>
      <c r="AQ79" s="11">
        <v>1.1070248374373719</v>
      </c>
      <c r="AS79" s="12">
        <v>51</v>
      </c>
      <c r="AT79" s="11">
        <v>43.427450980392166</v>
      </c>
      <c r="AU79" s="11">
        <v>32.23921568627452</v>
      </c>
      <c r="AV79" s="11">
        <v>34.198039215686272</v>
      </c>
      <c r="AW79" s="11"/>
      <c r="AX79" s="11">
        <v>109.86470588235295</v>
      </c>
      <c r="AY79" s="11">
        <v>36.621568627450984</v>
      </c>
      <c r="AZ79" s="13">
        <v>233</v>
      </c>
      <c r="BA79" s="11">
        <v>-10.655267530741106</v>
      </c>
    </row>
    <row r="80" spans="1:53" s="14" customFormat="1" x14ac:dyDescent="0.25">
      <c r="A80" s="12">
        <v>77</v>
      </c>
      <c r="B80" s="12" t="s">
        <v>19</v>
      </c>
      <c r="C80" s="12" t="s">
        <v>49</v>
      </c>
      <c r="D80" s="12" t="s">
        <v>34</v>
      </c>
      <c r="E80" s="12"/>
      <c r="F80" s="11"/>
      <c r="G80" s="11"/>
      <c r="H80" s="11"/>
      <c r="I80" s="11"/>
      <c r="J80" s="11" t="s">
        <v>14</v>
      </c>
      <c r="K80" s="11" t="s">
        <v>14</v>
      </c>
      <c r="L80" s="13" t="s">
        <v>14</v>
      </c>
      <c r="M80" s="11" t="s">
        <v>14</v>
      </c>
      <c r="O80" s="12"/>
      <c r="P80" s="11"/>
      <c r="Q80" s="11"/>
      <c r="R80" s="11"/>
      <c r="S80" s="11"/>
      <c r="T80" s="11" t="s">
        <v>14</v>
      </c>
      <c r="U80" s="11" t="s">
        <v>14</v>
      </c>
      <c r="V80" s="13" t="s">
        <v>14</v>
      </c>
      <c r="W80" s="11" t="s">
        <v>14</v>
      </c>
      <c r="Y80" s="12"/>
      <c r="Z80" s="11"/>
      <c r="AA80" s="11"/>
      <c r="AB80" s="11"/>
      <c r="AC80" s="11"/>
      <c r="AD80" s="11" t="s">
        <v>14</v>
      </c>
      <c r="AE80" s="11" t="s">
        <v>14</v>
      </c>
      <c r="AF80" s="13" t="s">
        <v>14</v>
      </c>
      <c r="AG80" s="11" t="s">
        <v>14</v>
      </c>
      <c r="AI80" s="12"/>
      <c r="AJ80" s="11"/>
      <c r="AK80" s="11"/>
      <c r="AL80" s="11"/>
      <c r="AM80" s="11"/>
      <c r="AN80" s="11" t="s">
        <v>14</v>
      </c>
      <c r="AO80" s="11" t="s">
        <v>14</v>
      </c>
      <c r="AP80" s="13" t="s">
        <v>14</v>
      </c>
      <c r="AQ80" s="11" t="s">
        <v>14</v>
      </c>
      <c r="AS80" s="12">
        <v>63</v>
      </c>
      <c r="AT80" s="11"/>
      <c r="AU80" s="11"/>
      <c r="AV80" s="11"/>
      <c r="AW80" s="11"/>
      <c r="AX80" s="11" t="s">
        <v>14</v>
      </c>
      <c r="AY80" s="11" t="s">
        <v>14</v>
      </c>
      <c r="AZ80" s="13" t="s">
        <v>14</v>
      </c>
      <c r="BA80" s="11" t="s">
        <v>14</v>
      </c>
    </row>
    <row r="81" spans="1:53" s="14" customFormat="1" x14ac:dyDescent="0.25">
      <c r="A81" s="12">
        <v>78</v>
      </c>
      <c r="B81" s="12" t="s">
        <v>19</v>
      </c>
      <c r="C81" s="12" t="s">
        <v>20</v>
      </c>
      <c r="D81" s="12" t="s">
        <v>20</v>
      </c>
      <c r="E81" s="12">
        <v>120</v>
      </c>
      <c r="F81" s="11">
        <v>73.779166666666697</v>
      </c>
      <c r="G81" s="11">
        <v>67.487499999999997</v>
      </c>
      <c r="H81" s="11"/>
      <c r="I81" s="11"/>
      <c r="J81" s="11">
        <v>141.26666666666671</v>
      </c>
      <c r="K81" s="11">
        <v>70.633333333333354</v>
      </c>
      <c r="L81" s="13">
        <v>3</v>
      </c>
      <c r="M81" s="11">
        <v>2.6891812865497258</v>
      </c>
      <c r="O81" s="12">
        <v>101</v>
      </c>
      <c r="P81" s="11">
        <v>67.267326732673268</v>
      </c>
      <c r="Q81" s="11">
        <v>66.366336633663366</v>
      </c>
      <c r="R81" s="11">
        <v>53.950495049504951</v>
      </c>
      <c r="S81" s="11"/>
      <c r="T81" s="11">
        <v>133.63366336633663</v>
      </c>
      <c r="U81" s="11">
        <v>66.816831683168317</v>
      </c>
      <c r="V81" s="13">
        <v>6</v>
      </c>
      <c r="W81" s="11">
        <v>-3.8165016501650371</v>
      </c>
      <c r="Y81" s="12">
        <v>171</v>
      </c>
      <c r="Z81" s="11">
        <v>69.773869346733662</v>
      </c>
      <c r="AA81" s="11">
        <v>75.557788944723612</v>
      </c>
      <c r="AB81" s="11">
        <v>57.165829145728644</v>
      </c>
      <c r="AC81" s="11"/>
      <c r="AD81" s="11">
        <v>202.49748743718592</v>
      </c>
      <c r="AE81" s="11">
        <v>67.49916247906198</v>
      </c>
      <c r="AF81" s="13">
        <v>5</v>
      </c>
      <c r="AG81" s="11">
        <v>0.68233079589366241</v>
      </c>
      <c r="AI81" s="12">
        <v>140</v>
      </c>
      <c r="AJ81" s="11">
        <v>76.421428571428578</v>
      </c>
      <c r="AK81" s="11">
        <v>74.571428571428569</v>
      </c>
      <c r="AL81" s="11">
        <v>70.221428571428575</v>
      </c>
      <c r="AM81" s="11">
        <v>71</v>
      </c>
      <c r="AN81" s="11">
        <v>221.21428571428572</v>
      </c>
      <c r="AO81" s="11">
        <v>73.738095238095241</v>
      </c>
      <c r="AP81" s="13">
        <v>3</v>
      </c>
      <c r="AQ81" s="11">
        <v>6.2389327590332613</v>
      </c>
      <c r="AS81" s="12">
        <v>135</v>
      </c>
      <c r="AT81" s="11">
        <v>69.897014925373142</v>
      </c>
      <c r="AU81" s="11">
        <v>58.735074626865661</v>
      </c>
      <c r="AV81" s="11">
        <v>58.0544776119403</v>
      </c>
      <c r="AW81" s="11">
        <v>71.962962962962962</v>
      </c>
      <c r="AX81" s="11">
        <v>186.68656716417911</v>
      </c>
      <c r="AY81" s="11">
        <v>62.228855721393039</v>
      </c>
      <c r="AZ81" s="13">
        <v>4</v>
      </c>
      <c r="BA81" s="11">
        <v>-11.509239516702202</v>
      </c>
    </row>
    <row r="82" spans="1:53" s="14" customFormat="1" x14ac:dyDescent="0.25">
      <c r="A82" s="12">
        <v>79</v>
      </c>
      <c r="B82" s="12" t="s">
        <v>21</v>
      </c>
      <c r="C82" s="12" t="s">
        <v>50</v>
      </c>
      <c r="D82" s="12" t="s">
        <v>33</v>
      </c>
      <c r="E82" s="12"/>
      <c r="F82" s="11"/>
      <c r="G82" s="11"/>
      <c r="H82" s="11"/>
      <c r="I82" s="11"/>
      <c r="J82" s="11" t="s">
        <v>14</v>
      </c>
      <c r="K82" s="11" t="s">
        <v>14</v>
      </c>
      <c r="L82" s="13" t="s">
        <v>14</v>
      </c>
      <c r="M82" s="11" t="s">
        <v>14</v>
      </c>
      <c r="O82" s="12"/>
      <c r="P82" s="11"/>
      <c r="Q82" s="11"/>
      <c r="R82" s="11"/>
      <c r="S82" s="11"/>
      <c r="T82" s="11" t="s">
        <v>14</v>
      </c>
      <c r="U82" s="11" t="s">
        <v>14</v>
      </c>
      <c r="V82" s="13" t="s">
        <v>14</v>
      </c>
      <c r="W82" s="11" t="s">
        <v>14</v>
      </c>
      <c r="Y82" s="12"/>
      <c r="Z82" s="11"/>
      <c r="AA82" s="11"/>
      <c r="AB82" s="11"/>
      <c r="AC82" s="11"/>
      <c r="AD82" s="11" t="s">
        <v>14</v>
      </c>
      <c r="AE82" s="11" t="s">
        <v>14</v>
      </c>
      <c r="AF82" s="13" t="s">
        <v>14</v>
      </c>
      <c r="AG82" s="11" t="s">
        <v>14</v>
      </c>
      <c r="AI82" s="12">
        <v>16</v>
      </c>
      <c r="AJ82" s="11">
        <v>27.9375</v>
      </c>
      <c r="AK82" s="11">
        <v>42</v>
      </c>
      <c r="AL82" s="11">
        <v>10.3</v>
      </c>
      <c r="AM82" s="11">
        <v>36.5</v>
      </c>
      <c r="AN82" s="11">
        <v>80.237499999999997</v>
      </c>
      <c r="AO82" s="11">
        <v>26.745833333333334</v>
      </c>
      <c r="AP82" s="13">
        <v>303</v>
      </c>
      <c r="AQ82" s="11" t="e">
        <v>#VALUE!</v>
      </c>
      <c r="AS82" s="12">
        <v>17</v>
      </c>
      <c r="AT82" s="11">
        <v>24.570588235294125</v>
      </c>
      <c r="AU82" s="11">
        <v>26.958823529411767</v>
      </c>
      <c r="AV82" s="11">
        <v>20.235294117647058</v>
      </c>
      <c r="AW82" s="11">
        <v>20</v>
      </c>
      <c r="AX82" s="11">
        <v>71.764705882352956</v>
      </c>
      <c r="AY82" s="11">
        <v>23.921568627450984</v>
      </c>
      <c r="AZ82" s="13">
        <v>309</v>
      </c>
      <c r="BA82" s="11">
        <v>-2.8242647058823493</v>
      </c>
    </row>
    <row r="83" spans="1:53" s="14" customFormat="1" x14ac:dyDescent="0.25">
      <c r="A83" s="12">
        <v>80</v>
      </c>
      <c r="B83" s="12" t="s">
        <v>21</v>
      </c>
      <c r="C83" s="12" t="s">
        <v>52</v>
      </c>
      <c r="D83" s="12" t="s">
        <v>34</v>
      </c>
      <c r="E83" s="12"/>
      <c r="F83" s="11"/>
      <c r="G83" s="11"/>
      <c r="H83" s="11"/>
      <c r="I83" s="11"/>
      <c r="J83" s="11" t="s">
        <v>14</v>
      </c>
      <c r="K83" s="11" t="s">
        <v>14</v>
      </c>
      <c r="L83" s="13" t="s">
        <v>14</v>
      </c>
      <c r="M83" s="11" t="s">
        <v>14</v>
      </c>
      <c r="O83" s="12"/>
      <c r="P83" s="11"/>
      <c r="Q83" s="11"/>
      <c r="R83" s="11"/>
      <c r="S83" s="11"/>
      <c r="T83" s="11" t="s">
        <v>14</v>
      </c>
      <c r="U83" s="11" t="s">
        <v>14</v>
      </c>
      <c r="V83" s="13" t="s">
        <v>14</v>
      </c>
      <c r="W83" s="11" t="s">
        <v>14</v>
      </c>
      <c r="Y83" s="12"/>
      <c r="Z83" s="11"/>
      <c r="AA83" s="11"/>
      <c r="AB83" s="11"/>
      <c r="AC83" s="11"/>
      <c r="AD83" s="11" t="s">
        <v>14</v>
      </c>
      <c r="AE83" s="11" t="s">
        <v>14</v>
      </c>
      <c r="AF83" s="13" t="s">
        <v>14</v>
      </c>
      <c r="AG83" s="11" t="s">
        <v>14</v>
      </c>
      <c r="AI83" s="12">
        <v>53</v>
      </c>
      <c r="AJ83" s="11">
        <v>9.9622641509433958</v>
      </c>
      <c r="AK83" s="11">
        <v>13.358490566037736</v>
      </c>
      <c r="AL83" s="11">
        <v>11.76595744680851</v>
      </c>
      <c r="AM83" s="11">
        <v>26.166666666666668</v>
      </c>
      <c r="AN83" s="11">
        <v>35.086712163789642</v>
      </c>
      <c r="AO83" s="11">
        <v>11.695570721263215</v>
      </c>
      <c r="AP83" s="13">
        <v>313</v>
      </c>
      <c r="AQ83" s="11" t="e">
        <v>#VALUE!</v>
      </c>
      <c r="AS83" s="12">
        <v>69</v>
      </c>
      <c r="AT83" s="11"/>
      <c r="AU83" s="11"/>
      <c r="AV83" s="11"/>
      <c r="AW83" s="11"/>
      <c r="AX83" s="11" t="s">
        <v>14</v>
      </c>
      <c r="AY83" s="11" t="s">
        <v>14</v>
      </c>
      <c r="AZ83" s="13" t="s">
        <v>14</v>
      </c>
      <c r="BA83" s="11" t="e">
        <v>#VALUE!</v>
      </c>
    </row>
    <row r="84" spans="1:53" s="14" customFormat="1" x14ac:dyDescent="0.25">
      <c r="A84" s="12">
        <v>81</v>
      </c>
      <c r="B84" s="12" t="s">
        <v>21</v>
      </c>
      <c r="C84" s="12" t="s">
        <v>51</v>
      </c>
      <c r="D84" s="12" t="s">
        <v>32</v>
      </c>
      <c r="E84" s="12"/>
      <c r="F84" s="11"/>
      <c r="G84" s="11"/>
      <c r="H84" s="11"/>
      <c r="I84" s="11"/>
      <c r="J84" s="11" t="s">
        <v>14</v>
      </c>
      <c r="K84" s="11" t="s">
        <v>14</v>
      </c>
      <c r="L84" s="13" t="s">
        <v>14</v>
      </c>
      <c r="M84" s="11" t="s">
        <v>14</v>
      </c>
      <c r="O84" s="12"/>
      <c r="P84" s="11"/>
      <c r="Q84" s="11"/>
      <c r="R84" s="11"/>
      <c r="S84" s="11"/>
      <c r="T84" s="11" t="s">
        <v>14</v>
      </c>
      <c r="U84" s="11" t="s">
        <v>14</v>
      </c>
      <c r="V84" s="13" t="s">
        <v>14</v>
      </c>
      <c r="W84" s="11" t="s">
        <v>14</v>
      </c>
      <c r="Y84" s="12"/>
      <c r="Z84" s="11"/>
      <c r="AA84" s="11"/>
      <c r="AB84" s="11"/>
      <c r="AC84" s="11"/>
      <c r="AD84" s="11" t="s">
        <v>14</v>
      </c>
      <c r="AE84" s="11" t="s">
        <v>14</v>
      </c>
      <c r="AF84" s="13" t="s">
        <v>14</v>
      </c>
      <c r="AG84" s="11" t="s">
        <v>14</v>
      </c>
      <c r="AI84" s="12"/>
      <c r="AJ84" s="11"/>
      <c r="AK84" s="11"/>
      <c r="AL84" s="11"/>
      <c r="AM84" s="11"/>
      <c r="AN84" s="11" t="s">
        <v>14</v>
      </c>
      <c r="AO84" s="11" t="s">
        <v>14</v>
      </c>
      <c r="AP84" s="13" t="s">
        <v>14</v>
      </c>
      <c r="AQ84" s="11" t="s">
        <v>14</v>
      </c>
      <c r="AS84" s="12">
        <v>0</v>
      </c>
      <c r="AT84" s="11"/>
      <c r="AU84" s="11"/>
      <c r="AV84" s="11"/>
      <c r="AW84" s="11"/>
      <c r="AX84" s="11" t="s">
        <v>14</v>
      </c>
      <c r="AY84" s="11" t="s">
        <v>14</v>
      </c>
      <c r="AZ84" s="13" t="s">
        <v>14</v>
      </c>
      <c r="BA84" s="11" t="s">
        <v>14</v>
      </c>
    </row>
    <row r="85" spans="1:53" s="14" customFormat="1" x14ac:dyDescent="0.25">
      <c r="A85" s="12">
        <v>82</v>
      </c>
      <c r="B85" s="12" t="s">
        <v>21</v>
      </c>
      <c r="C85" s="12">
        <v>10</v>
      </c>
      <c r="D85" s="12" t="s">
        <v>12</v>
      </c>
      <c r="E85" s="12">
        <v>52</v>
      </c>
      <c r="F85" s="11">
        <v>48.934615384615384</v>
      </c>
      <c r="G85" s="11">
        <v>34.992307692307698</v>
      </c>
      <c r="H85" s="11"/>
      <c r="I85" s="11"/>
      <c r="J85" s="11">
        <v>83.926923076923089</v>
      </c>
      <c r="K85" s="11">
        <v>41.963461538461544</v>
      </c>
      <c r="L85" s="13">
        <v>222</v>
      </c>
      <c r="M85" s="11">
        <v>-11.610347985347971</v>
      </c>
      <c r="O85" s="12">
        <v>78</v>
      </c>
      <c r="P85" s="11">
        <v>57.192307692307693</v>
      </c>
      <c r="Q85" s="11">
        <v>47.615384615384613</v>
      </c>
      <c r="R85" s="11">
        <v>45.435897435897438</v>
      </c>
      <c r="S85" s="11"/>
      <c r="T85" s="11">
        <v>104.80769230769231</v>
      </c>
      <c r="U85" s="11">
        <v>52.403846153846153</v>
      </c>
      <c r="V85" s="13">
        <v>62</v>
      </c>
      <c r="W85" s="11">
        <v>10.440384615384609</v>
      </c>
      <c r="Y85" s="12">
        <v>82</v>
      </c>
      <c r="Z85" s="11">
        <v>58.82</v>
      </c>
      <c r="AA85" s="11">
        <v>51.79</v>
      </c>
      <c r="AB85" s="11">
        <v>47.91</v>
      </c>
      <c r="AC85" s="11"/>
      <c r="AD85" s="11">
        <v>158.51999999999998</v>
      </c>
      <c r="AE85" s="11">
        <v>52.839999999999996</v>
      </c>
      <c r="AF85" s="13">
        <v>62</v>
      </c>
      <c r="AG85" s="11">
        <v>0.43615384615384301</v>
      </c>
      <c r="AI85" s="12">
        <v>103</v>
      </c>
      <c r="AJ85" s="11">
        <v>54.485436893203882</v>
      </c>
      <c r="AK85" s="11">
        <v>41.708737864077669</v>
      </c>
      <c r="AL85" s="11">
        <v>47.757281553398059</v>
      </c>
      <c r="AM85" s="11">
        <v>52.79245283018868</v>
      </c>
      <c r="AN85" s="11">
        <v>143.95145631067962</v>
      </c>
      <c r="AO85" s="11">
        <v>47.983818770226542</v>
      </c>
      <c r="AP85" s="13">
        <v>91</v>
      </c>
      <c r="AQ85" s="11">
        <v>-4.8561812297734548</v>
      </c>
      <c r="AS85" s="12">
        <v>82</v>
      </c>
      <c r="AT85" s="11">
        <v>62.828048780487798</v>
      </c>
      <c r="AU85" s="11">
        <v>38.978048780487811</v>
      </c>
      <c r="AV85" s="11">
        <v>48.098780487804873</v>
      </c>
      <c r="AW85" s="11">
        <v>59.432432432432435</v>
      </c>
      <c r="AX85" s="11">
        <v>149.90487804878049</v>
      </c>
      <c r="AY85" s="11">
        <v>49.96829268292683</v>
      </c>
      <c r="AZ85" s="13">
        <v>35</v>
      </c>
      <c r="BA85" s="11">
        <v>1.9844739127002882</v>
      </c>
    </row>
    <row r="86" spans="1:53" s="14" customFormat="1" x14ac:dyDescent="0.25">
      <c r="A86" s="12">
        <v>83</v>
      </c>
      <c r="B86" s="12" t="s">
        <v>21</v>
      </c>
      <c r="C86" s="12">
        <v>12</v>
      </c>
      <c r="D86" s="12" t="s">
        <v>12</v>
      </c>
      <c r="E86" s="12">
        <v>105</v>
      </c>
      <c r="F86" s="11">
        <v>58.793333333333337</v>
      </c>
      <c r="G86" s="11">
        <v>46.495238095238093</v>
      </c>
      <c r="H86" s="11"/>
      <c r="I86" s="11"/>
      <c r="J86" s="11">
        <v>105.28857142857143</v>
      </c>
      <c r="K86" s="11">
        <v>52.644285714285715</v>
      </c>
      <c r="L86" s="13">
        <v>70</v>
      </c>
      <c r="M86" s="11">
        <v>1.2007512315271072</v>
      </c>
      <c r="O86" s="12">
        <v>101</v>
      </c>
      <c r="P86" s="11">
        <v>54.861386138613859</v>
      </c>
      <c r="Q86" s="11">
        <v>47.831683168316829</v>
      </c>
      <c r="R86" s="11">
        <v>39.039603960396036</v>
      </c>
      <c r="S86" s="11"/>
      <c r="T86" s="11">
        <v>102.69306930693068</v>
      </c>
      <c r="U86" s="11">
        <v>51.346534653465341</v>
      </c>
      <c r="V86" s="13">
        <v>79</v>
      </c>
      <c r="W86" s="11">
        <v>-1.2977510608203744</v>
      </c>
      <c r="Y86" s="12">
        <v>134</v>
      </c>
      <c r="Z86" s="11">
        <v>54.118811881188115</v>
      </c>
      <c r="AA86" s="11">
        <v>49.75247524752475</v>
      </c>
      <c r="AB86" s="11">
        <v>34.900990099009903</v>
      </c>
      <c r="AC86" s="11"/>
      <c r="AD86" s="11">
        <v>138.77227722772278</v>
      </c>
      <c r="AE86" s="11">
        <v>46.257425742574263</v>
      </c>
      <c r="AF86" s="13">
        <v>180</v>
      </c>
      <c r="AG86" s="11">
        <v>-5.0891089108910776</v>
      </c>
      <c r="AI86" s="12">
        <v>125</v>
      </c>
      <c r="AJ86" s="11">
        <v>56.816000000000003</v>
      </c>
      <c r="AK86" s="11">
        <v>48.192</v>
      </c>
      <c r="AL86" s="11">
        <v>42.295999999999999</v>
      </c>
      <c r="AM86" s="11" t="s">
        <v>14</v>
      </c>
      <c r="AN86" s="11">
        <v>147.304</v>
      </c>
      <c r="AO86" s="11">
        <v>49.101333333333336</v>
      </c>
      <c r="AP86" s="13">
        <v>70</v>
      </c>
      <c r="AQ86" s="11">
        <v>2.8439075907590734</v>
      </c>
      <c r="AS86" s="12">
        <v>126</v>
      </c>
      <c r="AT86" s="11">
        <v>53.478571428571442</v>
      </c>
      <c r="AU86" s="11">
        <v>36.223015873015882</v>
      </c>
      <c r="AV86" s="11">
        <v>38.888888888888879</v>
      </c>
      <c r="AW86" s="11"/>
      <c r="AX86" s="11">
        <v>128.59047619047621</v>
      </c>
      <c r="AY86" s="11">
        <v>42.863492063492068</v>
      </c>
      <c r="AZ86" s="13">
        <v>122</v>
      </c>
      <c r="BA86" s="11">
        <v>-6.2378412698412689</v>
      </c>
    </row>
    <row r="87" spans="1:53" s="14" customFormat="1" x14ac:dyDescent="0.25">
      <c r="A87" s="12">
        <v>84</v>
      </c>
      <c r="B87" s="12" t="s">
        <v>21</v>
      </c>
      <c r="C87" s="12">
        <v>32</v>
      </c>
      <c r="D87" s="12" t="s">
        <v>12</v>
      </c>
      <c r="E87" s="12">
        <v>101</v>
      </c>
      <c r="F87" s="11">
        <v>58.468316831683168</v>
      </c>
      <c r="G87" s="11">
        <v>45.020792079207936</v>
      </c>
      <c r="H87" s="11"/>
      <c r="I87" s="11"/>
      <c r="J87" s="11">
        <v>103.4891089108911</v>
      </c>
      <c r="K87" s="11">
        <v>51.744554455445552</v>
      </c>
      <c r="L87" s="13">
        <v>82</v>
      </c>
      <c r="M87" s="11">
        <v>-0.89995773967639536</v>
      </c>
      <c r="O87" s="12">
        <v>79</v>
      </c>
      <c r="P87" s="11">
        <v>53.518987341772153</v>
      </c>
      <c r="Q87" s="11">
        <v>46</v>
      </c>
      <c r="R87" s="11">
        <v>45.911392405063289</v>
      </c>
      <c r="S87" s="11"/>
      <c r="T87" s="11">
        <v>99.518987341772146</v>
      </c>
      <c r="U87" s="11">
        <v>49.759493670886073</v>
      </c>
      <c r="V87" s="13">
        <v>105</v>
      </c>
      <c r="W87" s="11">
        <v>-1.9850607845594794</v>
      </c>
      <c r="Y87" s="12">
        <v>96</v>
      </c>
      <c r="Z87" s="11">
        <v>61.657657657657658</v>
      </c>
      <c r="AA87" s="11">
        <v>55.270270270270274</v>
      </c>
      <c r="AB87" s="11">
        <v>46.009009009009006</v>
      </c>
      <c r="AC87" s="11"/>
      <c r="AD87" s="11">
        <v>162.93693693693695</v>
      </c>
      <c r="AE87" s="11">
        <v>54.312312312312315</v>
      </c>
      <c r="AF87" s="13">
        <v>43</v>
      </c>
      <c r="AG87" s="11">
        <v>4.5528186414262422</v>
      </c>
      <c r="AI87" s="12">
        <v>111</v>
      </c>
      <c r="AJ87" s="11">
        <v>60.378378378378379</v>
      </c>
      <c r="AK87" s="11">
        <v>52.504504504504503</v>
      </c>
      <c r="AL87" s="11">
        <v>51.324324324324323</v>
      </c>
      <c r="AM87" s="11">
        <v>53.78125</v>
      </c>
      <c r="AN87" s="11">
        <v>164.2072072072072</v>
      </c>
      <c r="AO87" s="11">
        <v>54.735735735735737</v>
      </c>
      <c r="AP87" s="13">
        <v>31</v>
      </c>
      <c r="AQ87" s="11">
        <v>0.42342342342342221</v>
      </c>
      <c r="AS87" s="12">
        <v>91</v>
      </c>
      <c r="AT87" s="11">
        <v>55.392307692307703</v>
      </c>
      <c r="AU87" s="11">
        <v>37.063736263736274</v>
      </c>
      <c r="AV87" s="11">
        <v>45.862637362637365</v>
      </c>
      <c r="AW87" s="11">
        <v>58.666666666666664</v>
      </c>
      <c r="AX87" s="11">
        <v>138.31868131868134</v>
      </c>
      <c r="AY87" s="11">
        <v>46.106227106227117</v>
      </c>
      <c r="AZ87" s="13">
        <v>79</v>
      </c>
      <c r="BA87" s="11">
        <v>-8.6295086295086207</v>
      </c>
    </row>
    <row r="88" spans="1:53" s="14" customFormat="1" x14ac:dyDescent="0.25">
      <c r="A88" s="12">
        <v>85</v>
      </c>
      <c r="B88" s="12" t="s">
        <v>21</v>
      </c>
      <c r="C88" s="12">
        <v>61</v>
      </c>
      <c r="D88" s="12" t="s">
        <v>12</v>
      </c>
      <c r="E88" s="12">
        <v>62</v>
      </c>
      <c r="F88" s="11">
        <v>51.895161290322612</v>
      </c>
      <c r="G88" s="11">
        <v>42.609677419354838</v>
      </c>
      <c r="H88" s="11"/>
      <c r="I88" s="11"/>
      <c r="J88" s="11">
        <v>94.504838709677443</v>
      </c>
      <c r="K88" s="11">
        <v>47.252419354838722</v>
      </c>
      <c r="L88" s="13">
        <v>148</v>
      </c>
      <c r="M88" s="11">
        <v>-6.2082363828661755</v>
      </c>
      <c r="O88" s="12">
        <v>58</v>
      </c>
      <c r="P88" s="11">
        <v>51.649122807017541</v>
      </c>
      <c r="Q88" s="11">
        <v>37.89473684210526</v>
      </c>
      <c r="R88" s="11">
        <v>34.578947368421055</v>
      </c>
      <c r="S88" s="11"/>
      <c r="T88" s="11">
        <v>89.543859649122794</v>
      </c>
      <c r="U88" s="11">
        <v>44.771929824561397</v>
      </c>
      <c r="V88" s="13">
        <v>185</v>
      </c>
      <c r="W88" s="11">
        <v>-2.4804895302773247</v>
      </c>
      <c r="Y88" s="12">
        <v>95</v>
      </c>
      <c r="Z88" s="11">
        <v>59.59375</v>
      </c>
      <c r="AA88" s="11">
        <v>52.0625</v>
      </c>
      <c r="AB88" s="11">
        <v>43.359375</v>
      </c>
      <c r="AC88" s="11"/>
      <c r="AD88" s="11">
        <v>155.015625</v>
      </c>
      <c r="AE88" s="11">
        <v>51.671875</v>
      </c>
      <c r="AF88" s="13">
        <v>76</v>
      </c>
      <c r="AG88" s="11">
        <v>6.899945175438603</v>
      </c>
      <c r="AI88" s="12">
        <v>109</v>
      </c>
      <c r="AJ88" s="11">
        <v>54.925233644859816</v>
      </c>
      <c r="AK88" s="11">
        <v>44.747663551401871</v>
      </c>
      <c r="AL88" s="11">
        <v>44.859813084112147</v>
      </c>
      <c r="AM88" s="11">
        <v>49.263157894736842</v>
      </c>
      <c r="AN88" s="11">
        <v>144.53271028037383</v>
      </c>
      <c r="AO88" s="11">
        <v>48.177570093457945</v>
      </c>
      <c r="AP88" s="13">
        <v>87</v>
      </c>
      <c r="AQ88" s="11">
        <v>-3.4943049065420553</v>
      </c>
      <c r="AS88" s="12">
        <v>92</v>
      </c>
      <c r="AT88" s="11">
        <v>57.242857142857147</v>
      </c>
      <c r="AU88" s="11">
        <v>37.786813186813191</v>
      </c>
      <c r="AV88" s="11">
        <v>44.279120879120882</v>
      </c>
      <c r="AW88" s="11">
        <v>62.1</v>
      </c>
      <c r="AX88" s="11">
        <v>139.30879120879121</v>
      </c>
      <c r="AY88" s="11">
        <v>46.436263736263733</v>
      </c>
      <c r="AZ88" s="13">
        <v>71</v>
      </c>
      <c r="BA88" s="11">
        <v>-1.7413063571942118</v>
      </c>
    </row>
    <row r="89" spans="1:53" s="14" customFormat="1" x14ac:dyDescent="0.25">
      <c r="A89" s="12">
        <v>86</v>
      </c>
      <c r="B89" s="12" t="s">
        <v>21</v>
      </c>
      <c r="C89" s="12">
        <v>62</v>
      </c>
      <c r="D89" s="12" t="s">
        <v>13</v>
      </c>
      <c r="E89" s="12">
        <v>81</v>
      </c>
      <c r="F89" s="11">
        <v>72.46790123456789</v>
      </c>
      <c r="G89" s="11">
        <v>67.306172839506175</v>
      </c>
      <c r="H89" s="11"/>
      <c r="I89" s="11"/>
      <c r="J89" s="11">
        <v>139.77407407407406</v>
      </c>
      <c r="K89" s="11">
        <v>69.887037037037032</v>
      </c>
      <c r="L89" s="13">
        <v>5</v>
      </c>
      <c r="M89" s="11">
        <v>4.2442738791422983</v>
      </c>
      <c r="O89" s="12">
        <v>61</v>
      </c>
      <c r="P89" s="11">
        <v>72.688524590163937</v>
      </c>
      <c r="Q89" s="11">
        <v>66</v>
      </c>
      <c r="R89" s="11">
        <v>55.245901639344261</v>
      </c>
      <c r="S89" s="11"/>
      <c r="T89" s="11">
        <v>138.68852459016392</v>
      </c>
      <c r="U89" s="11">
        <v>69.344262295081961</v>
      </c>
      <c r="V89" s="13">
        <v>5</v>
      </c>
      <c r="W89" s="11">
        <v>-0.54277474195507125</v>
      </c>
      <c r="Y89" s="12">
        <v>85</v>
      </c>
      <c r="Z89" s="11">
        <v>72.38636363636364</v>
      </c>
      <c r="AA89" s="11">
        <v>71.73863636363636</v>
      </c>
      <c r="AB89" s="11">
        <v>54.488636363636367</v>
      </c>
      <c r="AC89" s="11"/>
      <c r="AD89" s="11">
        <v>198.61363636363637</v>
      </c>
      <c r="AE89" s="11">
        <v>66.204545454545453</v>
      </c>
      <c r="AF89" s="13">
        <v>6</v>
      </c>
      <c r="AG89" s="11">
        <v>-3.1397168405365079</v>
      </c>
      <c r="AI89" s="12">
        <v>111</v>
      </c>
      <c r="AJ89" s="11">
        <v>71.486486486486484</v>
      </c>
      <c r="AK89" s="11">
        <v>64.50450450450451</v>
      </c>
      <c r="AL89" s="11">
        <v>60.585585585585584</v>
      </c>
      <c r="AM89" s="11" t="s">
        <v>14</v>
      </c>
      <c r="AN89" s="11">
        <v>196.5765765765766</v>
      </c>
      <c r="AO89" s="11">
        <v>65.525525525525538</v>
      </c>
      <c r="AP89" s="13">
        <v>6</v>
      </c>
      <c r="AQ89" s="11">
        <v>-0.67901992901991548</v>
      </c>
      <c r="AS89" s="12">
        <v>82</v>
      </c>
      <c r="AT89" s="11">
        <v>69.778048780487822</v>
      </c>
      <c r="AU89" s="11">
        <v>56.78536585365854</v>
      </c>
      <c r="AV89" s="11">
        <v>55.848780487804895</v>
      </c>
      <c r="AW89" s="11"/>
      <c r="AX89" s="11">
        <v>182.41219512195127</v>
      </c>
      <c r="AY89" s="11">
        <v>60.804065040650421</v>
      </c>
      <c r="AZ89" s="13">
        <v>6</v>
      </c>
      <c r="BA89" s="11">
        <v>-4.7214604848751165</v>
      </c>
    </row>
    <row r="90" spans="1:53" s="14" customFormat="1" x14ac:dyDescent="0.25">
      <c r="A90" s="12">
        <v>87</v>
      </c>
      <c r="B90" s="12" t="s">
        <v>21</v>
      </c>
      <c r="C90" s="12">
        <v>70</v>
      </c>
      <c r="D90" s="12" t="s">
        <v>13</v>
      </c>
      <c r="E90" s="12">
        <v>164</v>
      </c>
      <c r="F90" s="11">
        <v>60.010365853658556</v>
      </c>
      <c r="G90" s="11">
        <v>50.587195121951218</v>
      </c>
      <c r="H90" s="11"/>
      <c r="I90" s="11"/>
      <c r="J90" s="11">
        <v>110.59756097560978</v>
      </c>
      <c r="K90" s="11">
        <v>55.298780487804891</v>
      </c>
      <c r="L90" s="13">
        <v>39</v>
      </c>
      <c r="M90" s="11">
        <v>1.6440929878048962</v>
      </c>
      <c r="O90" s="12">
        <v>160</v>
      </c>
      <c r="P90" s="11">
        <v>53.96875</v>
      </c>
      <c r="Q90" s="11">
        <v>46.106250000000003</v>
      </c>
      <c r="R90" s="11">
        <v>39.393749999999997</v>
      </c>
      <c r="S90" s="11"/>
      <c r="T90" s="11">
        <v>100.075</v>
      </c>
      <c r="U90" s="11">
        <v>50.037500000000001</v>
      </c>
      <c r="V90" s="13">
        <v>103</v>
      </c>
      <c r="W90" s="11">
        <v>-5.2612804878048891</v>
      </c>
      <c r="Y90" s="12">
        <v>146</v>
      </c>
      <c r="Z90" s="11">
        <v>59.148936170212764</v>
      </c>
      <c r="AA90" s="11">
        <v>59.659574468085104</v>
      </c>
      <c r="AB90" s="11">
        <v>47.106382978723403</v>
      </c>
      <c r="AC90" s="11"/>
      <c r="AD90" s="11">
        <v>165.91489361702128</v>
      </c>
      <c r="AE90" s="11">
        <v>55.304964539007095</v>
      </c>
      <c r="AF90" s="13">
        <v>35</v>
      </c>
      <c r="AG90" s="11">
        <v>5.2674645390070935</v>
      </c>
      <c r="AI90" s="12">
        <v>177</v>
      </c>
      <c r="AJ90" s="11">
        <v>62.757062146892657</v>
      </c>
      <c r="AK90" s="11">
        <v>55.502824858757059</v>
      </c>
      <c r="AL90" s="11">
        <v>50.056497175141246</v>
      </c>
      <c r="AM90" s="11" t="s">
        <v>14</v>
      </c>
      <c r="AN90" s="11">
        <v>168.31638418079098</v>
      </c>
      <c r="AO90" s="11">
        <v>56.10546139359699</v>
      </c>
      <c r="AP90" s="13">
        <v>24</v>
      </c>
      <c r="AQ90" s="11">
        <v>0.80049685458989472</v>
      </c>
      <c r="AS90" s="12">
        <v>140</v>
      </c>
      <c r="AT90" s="11">
        <v>60.990647482014367</v>
      </c>
      <c r="AU90" s="11">
        <v>44.594964028776978</v>
      </c>
      <c r="AV90" s="11">
        <v>49.510071942446025</v>
      </c>
      <c r="AW90" s="11"/>
      <c r="AX90" s="11">
        <v>155.09568345323737</v>
      </c>
      <c r="AY90" s="11">
        <v>51.698561151079126</v>
      </c>
      <c r="AZ90" s="13">
        <v>25</v>
      </c>
      <c r="BA90" s="11">
        <v>-4.4069002425178638</v>
      </c>
    </row>
    <row r="91" spans="1:53" s="14" customFormat="1" x14ac:dyDescent="0.25">
      <c r="A91" s="12">
        <v>88</v>
      </c>
      <c r="B91" s="12" t="s">
        <v>21</v>
      </c>
      <c r="C91" s="12">
        <v>109</v>
      </c>
      <c r="D91" s="12" t="s">
        <v>12</v>
      </c>
      <c r="E91" s="12">
        <v>47</v>
      </c>
      <c r="F91" s="11">
        <v>55.914893617021278</v>
      </c>
      <c r="G91" s="11">
        <v>35.423404255319149</v>
      </c>
      <c r="H91" s="11"/>
      <c r="I91" s="11"/>
      <c r="J91" s="11">
        <v>91.338297872340434</v>
      </c>
      <c r="K91" s="11">
        <v>45.669148936170217</v>
      </c>
      <c r="L91" s="13">
        <v>166</v>
      </c>
      <c r="M91" s="11">
        <v>-4.7686288416075584</v>
      </c>
      <c r="O91" s="12">
        <v>61</v>
      </c>
      <c r="P91" s="11">
        <v>47.868852459016395</v>
      </c>
      <c r="Q91" s="11">
        <v>35.213114754098363</v>
      </c>
      <c r="R91" s="11">
        <v>30.491803278688526</v>
      </c>
      <c r="S91" s="11"/>
      <c r="T91" s="11">
        <v>83.081967213114751</v>
      </c>
      <c r="U91" s="11">
        <v>41.540983606557376</v>
      </c>
      <c r="V91" s="13">
        <v>230</v>
      </c>
      <c r="W91" s="11">
        <v>-4.1281653296128411</v>
      </c>
      <c r="Y91" s="12">
        <v>40</v>
      </c>
      <c r="Z91" s="11">
        <v>53.583333333333336</v>
      </c>
      <c r="AA91" s="11">
        <v>41.375</v>
      </c>
      <c r="AB91" s="11">
        <v>36.5</v>
      </c>
      <c r="AC91" s="11"/>
      <c r="AD91" s="11">
        <v>131.45833333333334</v>
      </c>
      <c r="AE91" s="11">
        <v>43.81944444444445</v>
      </c>
      <c r="AF91" s="13">
        <v>236</v>
      </c>
      <c r="AG91" s="11">
        <v>2.2784608378870743</v>
      </c>
      <c r="AI91" s="12">
        <v>63</v>
      </c>
      <c r="AJ91" s="11">
        <v>58.349206349206348</v>
      </c>
      <c r="AK91" s="11">
        <v>44.571428571428569</v>
      </c>
      <c r="AL91" s="11">
        <v>42.412698412698411</v>
      </c>
      <c r="AM91" s="11" t="s">
        <v>14</v>
      </c>
      <c r="AN91" s="11">
        <v>145.33333333333331</v>
      </c>
      <c r="AO91" s="11">
        <v>48.444444444444436</v>
      </c>
      <c r="AP91" s="13">
        <v>82</v>
      </c>
      <c r="AQ91" s="11">
        <v>4.6249999999999858</v>
      </c>
      <c r="AS91" s="12">
        <v>36</v>
      </c>
      <c r="AT91" s="11">
        <v>58.797142857142859</v>
      </c>
      <c r="AU91" s="11">
        <v>37.145714285714284</v>
      </c>
      <c r="AV91" s="11">
        <v>33.53142857142857</v>
      </c>
      <c r="AW91" s="11"/>
      <c r="AX91" s="11">
        <v>129.47428571428571</v>
      </c>
      <c r="AY91" s="11">
        <v>43.158095238095235</v>
      </c>
      <c r="AZ91" s="13">
        <v>113</v>
      </c>
      <c r="BA91" s="11">
        <v>-5.2863492063492004</v>
      </c>
    </row>
    <row r="92" spans="1:53" s="14" customFormat="1" x14ac:dyDescent="0.25">
      <c r="A92" s="12">
        <v>89</v>
      </c>
      <c r="B92" s="12" t="s">
        <v>21</v>
      </c>
      <c r="C92" s="12">
        <v>129</v>
      </c>
      <c r="D92" s="12" t="s">
        <v>12</v>
      </c>
      <c r="E92" s="12">
        <v>81</v>
      </c>
      <c r="F92" s="11">
        <v>67.101234567901216</v>
      </c>
      <c r="G92" s="11">
        <v>56.251851851851868</v>
      </c>
      <c r="H92" s="11"/>
      <c r="I92" s="11"/>
      <c r="J92" s="11">
        <v>123.35308641975308</v>
      </c>
      <c r="K92" s="11">
        <v>61.676543209876542</v>
      </c>
      <c r="L92" s="13">
        <v>12</v>
      </c>
      <c r="M92" s="11">
        <v>5.94292252022138</v>
      </c>
      <c r="O92" s="12">
        <v>93</v>
      </c>
      <c r="P92" s="11">
        <v>63.225806451612904</v>
      </c>
      <c r="Q92" s="11">
        <v>52.096774193548384</v>
      </c>
      <c r="R92" s="11">
        <v>47.096774193548384</v>
      </c>
      <c r="S92" s="11"/>
      <c r="T92" s="11">
        <v>115.32258064516128</v>
      </c>
      <c r="U92" s="11">
        <v>57.661290322580641</v>
      </c>
      <c r="V92" s="13">
        <v>24</v>
      </c>
      <c r="W92" s="11">
        <v>-4.015252887295901</v>
      </c>
      <c r="Y92" s="12">
        <v>108</v>
      </c>
      <c r="Z92" s="11">
        <v>66.058139534883722</v>
      </c>
      <c r="AA92" s="11">
        <v>63.709302325581397</v>
      </c>
      <c r="AB92" s="11">
        <v>50.895348837209305</v>
      </c>
      <c r="AC92" s="11"/>
      <c r="AD92" s="11">
        <v>180.66279069767441</v>
      </c>
      <c r="AE92" s="11">
        <v>60.220930232558139</v>
      </c>
      <c r="AF92" s="13">
        <v>13</v>
      </c>
      <c r="AG92" s="11">
        <v>2.5596399099774985</v>
      </c>
      <c r="AI92" s="12">
        <v>92</v>
      </c>
      <c r="AJ92" s="11">
        <v>66.858695652173907</v>
      </c>
      <c r="AK92" s="11">
        <v>53.565217391304351</v>
      </c>
      <c r="AL92" s="11">
        <v>47.956521739130437</v>
      </c>
      <c r="AM92" s="11" t="s">
        <v>14</v>
      </c>
      <c r="AN92" s="11">
        <v>168.38043478260869</v>
      </c>
      <c r="AO92" s="11">
        <v>56.126811594202898</v>
      </c>
      <c r="AP92" s="13">
        <v>23</v>
      </c>
      <c r="AQ92" s="11">
        <v>-4.0941186383552406</v>
      </c>
      <c r="AS92" s="12">
        <v>103</v>
      </c>
      <c r="AT92" s="11">
        <v>65.819417475728144</v>
      </c>
      <c r="AU92" s="11">
        <v>45.034951456310672</v>
      </c>
      <c r="AV92" s="11">
        <v>49.770873786407734</v>
      </c>
      <c r="AW92" s="11"/>
      <c r="AX92" s="11">
        <v>160.62524271844654</v>
      </c>
      <c r="AY92" s="11">
        <v>53.541747572815517</v>
      </c>
      <c r="AZ92" s="13">
        <v>15</v>
      </c>
      <c r="BA92" s="11">
        <v>-2.5850640213873817</v>
      </c>
    </row>
    <row r="93" spans="1:53" s="14" customFormat="1" x14ac:dyDescent="0.25">
      <c r="A93" s="12">
        <v>90</v>
      </c>
      <c r="B93" s="12" t="s">
        <v>21</v>
      </c>
      <c r="C93" s="12">
        <v>145</v>
      </c>
      <c r="D93" s="12" t="s">
        <v>12</v>
      </c>
      <c r="E93" s="12">
        <v>139</v>
      </c>
      <c r="F93" s="11">
        <v>67.180575539568324</v>
      </c>
      <c r="G93" s="11">
        <v>55.773381294964011</v>
      </c>
      <c r="H93" s="11"/>
      <c r="I93" s="11"/>
      <c r="J93" s="11">
        <v>122.95395683453233</v>
      </c>
      <c r="K93" s="11">
        <v>61.476978417266167</v>
      </c>
      <c r="L93" s="13">
        <v>13</v>
      </c>
      <c r="M93" s="11">
        <v>3.5023630326507913</v>
      </c>
      <c r="O93" s="12">
        <v>142</v>
      </c>
      <c r="P93" s="11">
        <v>65.176056338028175</v>
      </c>
      <c r="Q93" s="11">
        <v>57.394366197183096</v>
      </c>
      <c r="R93" s="11">
        <v>60.176056338028168</v>
      </c>
      <c r="S93" s="11"/>
      <c r="T93" s="11">
        <v>122.57042253521126</v>
      </c>
      <c r="U93" s="11">
        <v>61.285211267605632</v>
      </c>
      <c r="V93" s="13">
        <v>12</v>
      </c>
      <c r="W93" s="11">
        <v>-0.1917671496605351</v>
      </c>
      <c r="Y93" s="12">
        <v>216</v>
      </c>
      <c r="Z93" s="11">
        <v>69.474820143884898</v>
      </c>
      <c r="AA93" s="11">
        <v>62.942446043165468</v>
      </c>
      <c r="AB93" s="11">
        <v>62.345323741007192</v>
      </c>
      <c r="AC93" s="11"/>
      <c r="AD93" s="11">
        <v>194.76258992805754</v>
      </c>
      <c r="AE93" s="11">
        <v>64.920863309352512</v>
      </c>
      <c r="AF93" s="13">
        <v>7</v>
      </c>
      <c r="AG93" s="11">
        <v>3.6356520417468801</v>
      </c>
      <c r="AI93" s="12">
        <v>188</v>
      </c>
      <c r="AJ93" s="11">
        <v>61.856382978723403</v>
      </c>
      <c r="AK93" s="11">
        <v>54.744680851063826</v>
      </c>
      <c r="AL93" s="11">
        <v>61.590425531914896</v>
      </c>
      <c r="AM93" s="11">
        <v>51.711656441717793</v>
      </c>
      <c r="AN93" s="11">
        <v>178.19148936170211</v>
      </c>
      <c r="AO93" s="11">
        <v>59.39716312056737</v>
      </c>
      <c r="AP93" s="13">
        <v>11</v>
      </c>
      <c r="AQ93" s="11">
        <v>-5.523700188785142</v>
      </c>
      <c r="AS93" s="12">
        <v>203</v>
      </c>
      <c r="AT93" s="11">
        <v>71.192610837438409</v>
      </c>
      <c r="AU93" s="11">
        <v>43.446305418719213</v>
      </c>
      <c r="AV93" s="11">
        <v>58.254679802955714</v>
      </c>
      <c r="AW93" s="11">
        <v>59.252747252747255</v>
      </c>
      <c r="AX93" s="11">
        <v>172.89359605911332</v>
      </c>
      <c r="AY93" s="11">
        <v>57.631198686371107</v>
      </c>
      <c r="AZ93" s="13">
        <v>9</v>
      </c>
      <c r="BA93" s="11">
        <v>-1.7659644341962633</v>
      </c>
    </row>
    <row r="94" spans="1:53" s="14" customFormat="1" x14ac:dyDescent="0.25">
      <c r="A94" s="12">
        <v>91</v>
      </c>
      <c r="B94" s="12" t="s">
        <v>21</v>
      </c>
      <c r="C94" s="12">
        <v>201</v>
      </c>
      <c r="D94" s="12" t="s">
        <v>12</v>
      </c>
      <c r="E94" s="12">
        <v>89</v>
      </c>
      <c r="F94" s="11">
        <v>47.519101123595512</v>
      </c>
      <c r="G94" s="11">
        <v>36.093258426966301</v>
      </c>
      <c r="H94" s="11"/>
      <c r="I94" s="11"/>
      <c r="J94" s="11">
        <v>83.61235955056182</v>
      </c>
      <c r="K94" s="11">
        <v>41.80617977528091</v>
      </c>
      <c r="L94" s="13">
        <v>223</v>
      </c>
      <c r="M94" s="11">
        <v>-3.2255406548266308</v>
      </c>
      <c r="O94" s="12">
        <v>105</v>
      </c>
      <c r="P94" s="11">
        <v>48.047619047619051</v>
      </c>
      <c r="Q94" s="11">
        <v>42.638095238095239</v>
      </c>
      <c r="R94" s="11">
        <v>34.561904761904763</v>
      </c>
      <c r="S94" s="11"/>
      <c r="T94" s="11">
        <v>90.685714285714283</v>
      </c>
      <c r="U94" s="11">
        <v>45.342857142857142</v>
      </c>
      <c r="V94" s="13">
        <v>170</v>
      </c>
      <c r="W94" s="11">
        <v>3.5366773675762317</v>
      </c>
      <c r="Y94" s="12">
        <v>125</v>
      </c>
      <c r="Z94" s="11">
        <v>50.233333333333334</v>
      </c>
      <c r="AA94" s="11">
        <v>44.755555555555553</v>
      </c>
      <c r="AB94" s="11">
        <v>36.788888888888891</v>
      </c>
      <c r="AC94" s="11"/>
      <c r="AD94" s="11">
        <v>131.77777777777777</v>
      </c>
      <c r="AE94" s="11">
        <v>43.925925925925924</v>
      </c>
      <c r="AF94" s="13">
        <v>232</v>
      </c>
      <c r="AG94" s="11">
        <v>-1.4169312169312178</v>
      </c>
      <c r="AI94" s="12">
        <v>100</v>
      </c>
      <c r="AJ94" s="11">
        <v>44.575757575757578</v>
      </c>
      <c r="AK94" s="11">
        <v>36.686868686868685</v>
      </c>
      <c r="AL94" s="11">
        <v>35.121212121212125</v>
      </c>
      <c r="AM94" s="11">
        <v>45.722222222222221</v>
      </c>
      <c r="AN94" s="11">
        <v>116.38383838383839</v>
      </c>
      <c r="AO94" s="11">
        <v>38.794612794612796</v>
      </c>
      <c r="AP94" s="13">
        <v>219</v>
      </c>
      <c r="AQ94" s="11">
        <v>-5.1313131313131279</v>
      </c>
      <c r="AS94" s="12">
        <v>119</v>
      </c>
      <c r="AT94" s="11">
        <v>51.622881355932229</v>
      </c>
      <c r="AU94" s="11">
        <v>32.609322033898309</v>
      </c>
      <c r="AV94" s="11">
        <v>31.75762711864407</v>
      </c>
      <c r="AW94" s="11">
        <v>65.599999999999994</v>
      </c>
      <c r="AX94" s="11">
        <v>115.98983050847461</v>
      </c>
      <c r="AY94" s="11">
        <v>38.663276836158204</v>
      </c>
      <c r="AZ94" s="13">
        <v>194</v>
      </c>
      <c r="BA94" s="11">
        <v>-0.13133595845459212</v>
      </c>
    </row>
    <row r="95" spans="1:53" s="14" customFormat="1" x14ac:dyDescent="0.25">
      <c r="A95" s="12">
        <v>92</v>
      </c>
      <c r="B95" s="12" t="s">
        <v>21</v>
      </c>
      <c r="C95" s="12">
        <v>210</v>
      </c>
      <c r="D95" s="12" t="s">
        <v>12</v>
      </c>
      <c r="E95" s="12">
        <v>87</v>
      </c>
      <c r="F95" s="11">
        <v>59.614942528735625</v>
      </c>
      <c r="G95" s="11">
        <v>48.521839080459777</v>
      </c>
      <c r="H95" s="11"/>
      <c r="I95" s="11"/>
      <c r="J95" s="11">
        <v>108.1367816091954</v>
      </c>
      <c r="K95" s="11">
        <v>54.068390804597698</v>
      </c>
      <c r="L95" s="13">
        <v>50</v>
      </c>
      <c r="M95" s="11">
        <v>1.2717691829760724</v>
      </c>
      <c r="O95" s="12">
        <v>67</v>
      </c>
      <c r="P95" s="11">
        <v>58.287878787878789</v>
      </c>
      <c r="Q95" s="11">
        <v>49.848484848484851</v>
      </c>
      <c r="R95" s="11">
        <v>48.606060606060609</v>
      </c>
      <c r="S95" s="11"/>
      <c r="T95" s="11">
        <v>108.13636363636364</v>
      </c>
      <c r="U95" s="11">
        <v>54.06818181818182</v>
      </c>
      <c r="V95" s="13">
        <v>41</v>
      </c>
      <c r="W95" s="11">
        <v>-2.0898641587763223E-4</v>
      </c>
      <c r="Y95" s="12">
        <v>106</v>
      </c>
      <c r="Z95" s="11">
        <v>59.609195402298852</v>
      </c>
      <c r="AA95" s="11">
        <v>59.770114942528735</v>
      </c>
      <c r="AB95" s="11">
        <v>46.482758620689658</v>
      </c>
      <c r="AC95" s="11"/>
      <c r="AD95" s="11">
        <v>165.86206896551724</v>
      </c>
      <c r="AE95" s="11">
        <v>55.287356321839077</v>
      </c>
      <c r="AF95" s="13">
        <v>36</v>
      </c>
      <c r="AG95" s="11">
        <v>1.219174503657257</v>
      </c>
      <c r="AI95" s="12">
        <v>104</v>
      </c>
      <c r="AJ95" s="11">
        <v>55.740384615384613</v>
      </c>
      <c r="AK95" s="11">
        <v>49.53846153846154</v>
      </c>
      <c r="AL95" s="11">
        <v>48.307692307692307</v>
      </c>
      <c r="AM95" s="11">
        <v>54.872727272727275</v>
      </c>
      <c r="AN95" s="11">
        <v>153.58653846153845</v>
      </c>
      <c r="AO95" s="11">
        <v>51.195512820512818</v>
      </c>
      <c r="AP95" s="13">
        <v>56</v>
      </c>
      <c r="AQ95" s="11">
        <v>-4.0918435013262595</v>
      </c>
      <c r="AS95" s="12">
        <v>102</v>
      </c>
      <c r="AT95" s="11">
        <v>62.910891089108894</v>
      </c>
      <c r="AU95" s="11">
        <v>43.661386138613864</v>
      </c>
      <c r="AV95" s="11">
        <v>44.34950495049506</v>
      </c>
      <c r="AW95" s="11">
        <v>60.722222222222221</v>
      </c>
      <c r="AX95" s="11">
        <v>150.92178217821782</v>
      </c>
      <c r="AY95" s="11">
        <v>50.307260726072606</v>
      </c>
      <c r="AZ95" s="13">
        <v>31</v>
      </c>
      <c r="BA95" s="11">
        <v>-0.88825209444021169</v>
      </c>
    </row>
    <row r="96" spans="1:53" s="14" customFormat="1" x14ac:dyDescent="0.25">
      <c r="A96" s="12">
        <v>93</v>
      </c>
      <c r="B96" s="12" t="s">
        <v>21</v>
      </c>
      <c r="C96" s="12">
        <v>214</v>
      </c>
      <c r="D96" s="12" t="s">
        <v>12</v>
      </c>
      <c r="E96" s="12">
        <v>123</v>
      </c>
      <c r="F96" s="11">
        <v>59.795934959349601</v>
      </c>
      <c r="G96" s="11">
        <v>46.940650406504062</v>
      </c>
      <c r="H96" s="11"/>
      <c r="I96" s="11"/>
      <c r="J96" s="11">
        <v>106.73658536585367</v>
      </c>
      <c r="K96" s="11">
        <v>53.368292682926835</v>
      </c>
      <c r="L96" s="13">
        <v>57</v>
      </c>
      <c r="M96" s="11">
        <v>-1.7038161606105717</v>
      </c>
      <c r="O96" s="12">
        <v>126</v>
      </c>
      <c r="P96" s="11">
        <v>54.712000000000003</v>
      </c>
      <c r="Q96" s="11">
        <v>46.192</v>
      </c>
      <c r="R96" s="11">
        <v>44.16</v>
      </c>
      <c r="S96" s="11"/>
      <c r="T96" s="11">
        <v>100.904</v>
      </c>
      <c r="U96" s="11">
        <v>50.451999999999998</v>
      </c>
      <c r="V96" s="13">
        <v>98</v>
      </c>
      <c r="W96" s="11">
        <v>-2.9162926829268372</v>
      </c>
      <c r="Y96" s="12">
        <v>191</v>
      </c>
      <c r="Z96" s="11">
        <v>63.682634730538922</v>
      </c>
      <c r="AA96" s="11">
        <v>59.538922155688624</v>
      </c>
      <c r="AB96" s="11">
        <v>51.395209580838326</v>
      </c>
      <c r="AC96" s="11"/>
      <c r="AD96" s="11">
        <v>174.61676646706587</v>
      </c>
      <c r="AE96" s="11">
        <v>58.205588822355288</v>
      </c>
      <c r="AF96" s="13">
        <v>16</v>
      </c>
      <c r="AG96" s="11">
        <v>7.7535888223552902</v>
      </c>
      <c r="AI96" s="12">
        <v>155</v>
      </c>
      <c r="AJ96" s="11">
        <v>56.78709677419355</v>
      </c>
      <c r="AK96" s="11">
        <v>45.21290322580645</v>
      </c>
      <c r="AL96" s="11">
        <v>50.335483870967742</v>
      </c>
      <c r="AM96" s="11">
        <v>48.607594936708864</v>
      </c>
      <c r="AN96" s="11">
        <v>152.33548387096775</v>
      </c>
      <c r="AO96" s="11">
        <v>50.778494623655916</v>
      </c>
      <c r="AP96" s="13">
        <v>61</v>
      </c>
      <c r="AQ96" s="11">
        <v>-7.4270941986993719</v>
      </c>
      <c r="AS96" s="12">
        <v>186</v>
      </c>
      <c r="AT96" s="11">
        <v>62.496774193548347</v>
      </c>
      <c r="AU96" s="11">
        <v>40.176881720430117</v>
      </c>
      <c r="AV96" s="11">
        <v>49.034408602150535</v>
      </c>
      <c r="AW96" s="11">
        <v>55.663716814159294</v>
      </c>
      <c r="AX96" s="11">
        <v>151.70806451612901</v>
      </c>
      <c r="AY96" s="11">
        <v>50.569354838709671</v>
      </c>
      <c r="AZ96" s="13">
        <v>29</v>
      </c>
      <c r="BA96" s="11">
        <v>-0.2091397849462453</v>
      </c>
    </row>
    <row r="97" spans="1:53" s="14" customFormat="1" x14ac:dyDescent="0.25">
      <c r="A97" s="12">
        <v>94</v>
      </c>
      <c r="B97" s="12" t="s">
        <v>21</v>
      </c>
      <c r="C97" s="12">
        <v>220</v>
      </c>
      <c r="D97" s="12" t="s">
        <v>13</v>
      </c>
      <c r="E97" s="12">
        <v>178</v>
      </c>
      <c r="F97" s="11">
        <v>67.947752808988753</v>
      </c>
      <c r="G97" s="11">
        <v>56.847752808988794</v>
      </c>
      <c r="H97" s="11"/>
      <c r="I97" s="11"/>
      <c r="J97" s="11">
        <v>124.79550561797754</v>
      </c>
      <c r="K97" s="11">
        <v>62.39775280898877</v>
      </c>
      <c r="L97" s="13">
        <v>10</v>
      </c>
      <c r="M97" s="11">
        <v>-0.45059156187216587</v>
      </c>
      <c r="O97" s="12">
        <v>166</v>
      </c>
      <c r="P97" s="11">
        <v>67.96987951807229</v>
      </c>
      <c r="Q97" s="11">
        <v>61.885542168674696</v>
      </c>
      <c r="R97" s="11">
        <v>53.939759036144579</v>
      </c>
      <c r="S97" s="11"/>
      <c r="T97" s="11">
        <v>129.85542168674698</v>
      </c>
      <c r="U97" s="11">
        <v>64.92771084337349</v>
      </c>
      <c r="V97" s="13">
        <v>8</v>
      </c>
      <c r="W97" s="11">
        <v>2.5299580343847197</v>
      </c>
      <c r="Y97" s="12">
        <v>181</v>
      </c>
      <c r="Z97" s="11">
        <v>67.78947368421052</v>
      </c>
      <c r="AA97" s="11">
        <v>68.135338345864668</v>
      </c>
      <c r="AB97" s="11">
        <v>52.819548872180448</v>
      </c>
      <c r="AC97" s="11"/>
      <c r="AD97" s="11">
        <v>188.74436090225566</v>
      </c>
      <c r="AE97" s="11">
        <v>62.914786967418557</v>
      </c>
      <c r="AF97" s="13">
        <v>8</v>
      </c>
      <c r="AG97" s="11">
        <v>-2.0129238759549324</v>
      </c>
      <c r="AI97" s="12">
        <v>178</v>
      </c>
      <c r="AJ97" s="11">
        <v>67.079096045197744</v>
      </c>
      <c r="AK97" s="11">
        <v>59.073446327683612</v>
      </c>
      <c r="AL97" s="11">
        <v>56.011299435028249</v>
      </c>
      <c r="AM97" s="11" t="s">
        <v>14</v>
      </c>
      <c r="AN97" s="11">
        <v>182.16384180790959</v>
      </c>
      <c r="AO97" s="11">
        <v>60.721280602636533</v>
      </c>
      <c r="AP97" s="13">
        <v>9</v>
      </c>
      <c r="AQ97" s="11">
        <v>-2.1935063647820243</v>
      </c>
      <c r="AS97" s="12">
        <v>160</v>
      </c>
      <c r="AT97" s="11">
        <v>66.133124999999978</v>
      </c>
      <c r="AU97" s="11">
        <v>52.311875000000001</v>
      </c>
      <c r="AV97" s="11">
        <v>54.871250000000032</v>
      </c>
      <c r="AW97" s="11"/>
      <c r="AX97" s="11">
        <v>173.31625000000003</v>
      </c>
      <c r="AY97" s="11">
        <v>57.772083333333342</v>
      </c>
      <c r="AZ97" s="13">
        <v>8</v>
      </c>
      <c r="BA97" s="11">
        <v>-2.9491972693031911</v>
      </c>
    </row>
    <row r="98" spans="1:53" s="14" customFormat="1" x14ac:dyDescent="0.25">
      <c r="A98" s="12">
        <v>95</v>
      </c>
      <c r="B98" s="12" t="s">
        <v>21</v>
      </c>
      <c r="C98" s="12">
        <v>227</v>
      </c>
      <c r="D98" s="12" t="s">
        <v>12</v>
      </c>
      <c r="E98" s="12">
        <v>106</v>
      </c>
      <c r="F98" s="11">
        <v>53.988679245283031</v>
      </c>
      <c r="G98" s="11">
        <v>36.454716981132073</v>
      </c>
      <c r="H98" s="11"/>
      <c r="I98" s="11"/>
      <c r="J98" s="11">
        <v>90.443396226415103</v>
      </c>
      <c r="K98" s="11">
        <v>45.221698113207552</v>
      </c>
      <c r="L98" s="13">
        <v>171</v>
      </c>
      <c r="M98" s="11">
        <v>-4.8967229394240377</v>
      </c>
      <c r="O98" s="12">
        <v>87</v>
      </c>
      <c r="P98" s="11">
        <v>52.068965517241381</v>
      </c>
      <c r="Q98" s="11">
        <v>41.494252873563219</v>
      </c>
      <c r="R98" s="11">
        <v>34.390804597701148</v>
      </c>
      <c r="S98" s="11"/>
      <c r="T98" s="11">
        <v>93.563218390804593</v>
      </c>
      <c r="U98" s="11">
        <v>46.781609195402297</v>
      </c>
      <c r="V98" s="13">
        <v>145</v>
      </c>
      <c r="W98" s="11">
        <v>1.5599110821947448</v>
      </c>
      <c r="Y98" s="12">
        <v>87</v>
      </c>
      <c r="Z98" s="11">
        <v>53.402061855670105</v>
      </c>
      <c r="AA98" s="11">
        <v>48.546391752577321</v>
      </c>
      <c r="AB98" s="11">
        <v>39.350515463917525</v>
      </c>
      <c r="AC98" s="11"/>
      <c r="AD98" s="11">
        <v>141.29896907216497</v>
      </c>
      <c r="AE98" s="11">
        <v>47.099656357388319</v>
      </c>
      <c r="AF98" s="13">
        <v>167</v>
      </c>
      <c r="AG98" s="11">
        <v>0.31804716198602279</v>
      </c>
      <c r="AI98" s="12">
        <v>88</v>
      </c>
      <c r="AJ98" s="11">
        <v>56.96551724137931</v>
      </c>
      <c r="AK98" s="11">
        <v>40.689655172413794</v>
      </c>
      <c r="AL98" s="11">
        <v>39.551724137931032</v>
      </c>
      <c r="AM98" s="11" t="s">
        <v>14</v>
      </c>
      <c r="AN98" s="11">
        <v>137.20689655172413</v>
      </c>
      <c r="AO98" s="11">
        <v>45.735632183908045</v>
      </c>
      <c r="AP98" s="13">
        <v>122</v>
      </c>
      <c r="AQ98" s="11">
        <v>-1.3640241734802743</v>
      </c>
      <c r="AS98" s="12">
        <v>82</v>
      </c>
      <c r="AT98" s="11">
        <v>52.367901234567896</v>
      </c>
      <c r="AU98" s="11">
        <v>34.295061728395062</v>
      </c>
      <c r="AV98" s="11">
        <v>32.492592592592587</v>
      </c>
      <c r="AW98" s="11"/>
      <c r="AX98" s="11">
        <v>119.15555555555554</v>
      </c>
      <c r="AY98" s="11">
        <v>39.718518518518515</v>
      </c>
      <c r="AZ98" s="13">
        <v>172</v>
      </c>
      <c r="BA98" s="11">
        <v>-6.0171136653895303</v>
      </c>
    </row>
    <row r="99" spans="1:53" s="14" customFormat="1" x14ac:dyDescent="0.25">
      <c r="A99" s="12">
        <v>96</v>
      </c>
      <c r="B99" s="12" t="s">
        <v>21</v>
      </c>
      <c r="C99" s="12">
        <v>229</v>
      </c>
      <c r="D99" s="12" t="s">
        <v>12</v>
      </c>
      <c r="E99" s="12">
        <v>96</v>
      </c>
      <c r="F99" s="11">
        <v>54.483333333333341</v>
      </c>
      <c r="G99" s="11">
        <v>43.65625</v>
      </c>
      <c r="H99" s="11"/>
      <c r="I99" s="11"/>
      <c r="J99" s="11">
        <v>98.139583333333348</v>
      </c>
      <c r="K99" s="11">
        <v>49.069791666666674</v>
      </c>
      <c r="L99" s="13">
        <v>119</v>
      </c>
      <c r="M99" s="11">
        <v>-1.6566128277153425</v>
      </c>
      <c r="O99" s="12">
        <v>107</v>
      </c>
      <c r="P99" s="11">
        <v>59.523364485981311</v>
      </c>
      <c r="Q99" s="11">
        <v>45.86915887850467</v>
      </c>
      <c r="R99" s="11">
        <v>45.168224299065422</v>
      </c>
      <c r="S99" s="11"/>
      <c r="T99" s="11">
        <v>105.39252336448598</v>
      </c>
      <c r="U99" s="11">
        <v>52.696261682242991</v>
      </c>
      <c r="V99" s="13">
        <v>56</v>
      </c>
      <c r="W99" s="11">
        <v>3.6264700155763165</v>
      </c>
      <c r="Y99" s="12">
        <v>109</v>
      </c>
      <c r="Z99" s="11">
        <v>60.225490196078432</v>
      </c>
      <c r="AA99" s="11">
        <v>49.5</v>
      </c>
      <c r="AB99" s="11">
        <v>44.049019607843135</v>
      </c>
      <c r="AC99" s="11"/>
      <c r="AD99" s="11">
        <v>153.77450980392155</v>
      </c>
      <c r="AE99" s="11">
        <v>51.258169934640513</v>
      </c>
      <c r="AF99" s="13">
        <v>86</v>
      </c>
      <c r="AG99" s="11">
        <v>-1.4380917476024777</v>
      </c>
      <c r="AI99" s="12">
        <v>116</v>
      </c>
      <c r="AJ99" s="11">
        <v>58.75</v>
      </c>
      <c r="AK99" s="11">
        <v>46.103448275862071</v>
      </c>
      <c r="AL99" s="11">
        <v>49.060344827586206</v>
      </c>
      <c r="AM99" s="11">
        <v>57.193548387096776</v>
      </c>
      <c r="AN99" s="11">
        <v>153.91379310344826</v>
      </c>
      <c r="AO99" s="11">
        <v>51.304597701149419</v>
      </c>
      <c r="AP99" s="13">
        <v>54</v>
      </c>
      <c r="AQ99" s="11">
        <v>4.6427766508905677E-2</v>
      </c>
      <c r="AS99" s="12">
        <v>112</v>
      </c>
      <c r="AT99" s="11">
        <v>61.538392857142831</v>
      </c>
      <c r="AU99" s="11">
        <v>38.579464285714288</v>
      </c>
      <c r="AV99" s="11">
        <v>46.34821428571427</v>
      </c>
      <c r="AW99" s="11">
        <v>57.266666666666666</v>
      </c>
      <c r="AX99" s="11">
        <v>146.46607142857138</v>
      </c>
      <c r="AY99" s="11">
        <v>48.822023809523792</v>
      </c>
      <c r="AZ99" s="13">
        <v>44</v>
      </c>
      <c r="BA99" s="11">
        <v>-2.482573891625627</v>
      </c>
    </row>
    <row r="100" spans="1:53" s="14" customFormat="1" x14ac:dyDescent="0.25">
      <c r="A100" s="12">
        <v>97</v>
      </c>
      <c r="B100" s="12" t="s">
        <v>21</v>
      </c>
      <c r="C100" s="12">
        <v>238</v>
      </c>
      <c r="D100" s="12" t="s">
        <v>12</v>
      </c>
      <c r="E100" s="12">
        <v>119</v>
      </c>
      <c r="F100" s="11">
        <v>61.258823529411757</v>
      </c>
      <c r="G100" s="11">
        <v>45.657983193277317</v>
      </c>
      <c r="H100" s="11"/>
      <c r="I100" s="11"/>
      <c r="J100" s="11">
        <v>106.91680672268907</v>
      </c>
      <c r="K100" s="11">
        <v>53.458403361344537</v>
      </c>
      <c r="L100" s="13">
        <v>55</v>
      </c>
      <c r="M100" s="11">
        <v>4.5250700280112142</v>
      </c>
      <c r="O100" s="12">
        <v>111</v>
      </c>
      <c r="P100" s="11">
        <v>56.981981981981981</v>
      </c>
      <c r="Q100" s="11">
        <v>47.081081081081081</v>
      </c>
      <c r="R100" s="11">
        <v>44.063063063063062</v>
      </c>
      <c r="S100" s="11"/>
      <c r="T100" s="11">
        <v>104.06306306306305</v>
      </c>
      <c r="U100" s="11">
        <v>52.031531531531527</v>
      </c>
      <c r="V100" s="13">
        <v>69</v>
      </c>
      <c r="W100" s="11">
        <v>-1.4268718298130096</v>
      </c>
      <c r="Y100" s="12">
        <v>127</v>
      </c>
      <c r="Z100" s="11">
        <v>57.097222222222221</v>
      </c>
      <c r="AA100" s="11">
        <v>49.590277777777779</v>
      </c>
      <c r="AB100" s="11">
        <v>42.840277777777779</v>
      </c>
      <c r="AC100" s="11"/>
      <c r="AD100" s="11">
        <v>149.52777777777777</v>
      </c>
      <c r="AE100" s="11">
        <v>49.842592592592588</v>
      </c>
      <c r="AF100" s="13">
        <v>117</v>
      </c>
      <c r="AG100" s="11">
        <v>-2.1889389389389393</v>
      </c>
      <c r="AI100" s="12">
        <v>128</v>
      </c>
      <c r="AJ100" s="11">
        <v>57.425196850393704</v>
      </c>
      <c r="AK100" s="11">
        <v>44.535433070866141</v>
      </c>
      <c r="AL100" s="11">
        <v>44.708661417322837</v>
      </c>
      <c r="AM100" s="11" t="s">
        <v>14</v>
      </c>
      <c r="AN100" s="11">
        <v>146.6692913385827</v>
      </c>
      <c r="AO100" s="11">
        <v>48.889763779527563</v>
      </c>
      <c r="AP100" s="13">
        <v>76</v>
      </c>
      <c r="AQ100" s="11">
        <v>-0.95282881306502532</v>
      </c>
      <c r="AS100" s="12">
        <v>121</v>
      </c>
      <c r="AT100" s="11">
        <v>59.788429752066129</v>
      </c>
      <c r="AU100" s="11">
        <v>42.495867768595048</v>
      </c>
      <c r="AV100" s="11">
        <v>44.480165289256192</v>
      </c>
      <c r="AW100" s="11"/>
      <c r="AX100" s="11">
        <v>146.76446280991735</v>
      </c>
      <c r="AY100" s="11">
        <v>48.921487603305785</v>
      </c>
      <c r="AZ100" s="13">
        <v>43</v>
      </c>
      <c r="BA100" s="11">
        <v>3.1723823778222027E-2</v>
      </c>
    </row>
    <row r="101" spans="1:53" s="14" customFormat="1" x14ac:dyDescent="0.25">
      <c r="A101" s="12">
        <v>98</v>
      </c>
      <c r="B101" s="12" t="s">
        <v>21</v>
      </c>
      <c r="C101" s="12">
        <v>242</v>
      </c>
      <c r="D101" s="12" t="s">
        <v>12</v>
      </c>
      <c r="E101" s="12">
        <v>55</v>
      </c>
      <c r="F101" s="11">
        <v>53.7709090909091</v>
      </c>
      <c r="G101" s="11">
        <v>40.974545454545456</v>
      </c>
      <c r="H101" s="11"/>
      <c r="I101" s="11"/>
      <c r="J101" s="11">
        <v>94.74545454545455</v>
      </c>
      <c r="K101" s="11">
        <v>47.372727272727275</v>
      </c>
      <c r="L101" s="13">
        <v>145</v>
      </c>
      <c r="M101" s="11">
        <v>-2.8994949494949367</v>
      </c>
      <c r="O101" s="12">
        <v>55</v>
      </c>
      <c r="P101" s="11">
        <v>47.581818181818178</v>
      </c>
      <c r="Q101" s="11">
        <v>35.200000000000003</v>
      </c>
      <c r="R101" s="11">
        <v>39.109090909090909</v>
      </c>
      <c r="S101" s="11"/>
      <c r="T101" s="11">
        <v>82.781818181818181</v>
      </c>
      <c r="U101" s="11">
        <v>41.390909090909091</v>
      </c>
      <c r="V101" s="13">
        <v>233</v>
      </c>
      <c r="W101" s="11">
        <v>-5.9818181818181841</v>
      </c>
      <c r="Y101" s="12">
        <v>69</v>
      </c>
      <c r="Z101" s="11">
        <v>54.794117647058826</v>
      </c>
      <c r="AA101" s="11">
        <v>49.897058823529413</v>
      </c>
      <c r="AB101" s="11">
        <v>41.044117647058826</v>
      </c>
      <c r="AC101" s="11"/>
      <c r="AD101" s="11">
        <v>145.73529411764707</v>
      </c>
      <c r="AE101" s="11">
        <v>48.578431372549026</v>
      </c>
      <c r="AF101" s="13">
        <v>141</v>
      </c>
      <c r="AG101" s="11">
        <v>7.1875222816399358</v>
      </c>
      <c r="AI101" s="12">
        <v>60</v>
      </c>
      <c r="AJ101" s="11">
        <v>43.406779661016948</v>
      </c>
      <c r="AK101" s="11">
        <v>38.305084745762713</v>
      </c>
      <c r="AL101" s="11">
        <v>35.576271186440678</v>
      </c>
      <c r="AM101" s="11">
        <v>48</v>
      </c>
      <c r="AN101" s="11">
        <v>117.28813559322033</v>
      </c>
      <c r="AO101" s="11">
        <v>39.096045197740111</v>
      </c>
      <c r="AP101" s="13">
        <v>212</v>
      </c>
      <c r="AQ101" s="11">
        <v>-9.4823861748089158</v>
      </c>
      <c r="AS101" s="12">
        <v>70</v>
      </c>
      <c r="AT101" s="11">
        <v>57.747826086956522</v>
      </c>
      <c r="AU101" s="11">
        <v>33.957971014492756</v>
      </c>
      <c r="AV101" s="11">
        <v>40.920289855072454</v>
      </c>
      <c r="AW101" s="11">
        <v>54.558823529411768</v>
      </c>
      <c r="AX101" s="11">
        <v>132.62608695652173</v>
      </c>
      <c r="AY101" s="11">
        <v>44.208695652173908</v>
      </c>
      <c r="AZ101" s="13">
        <v>100</v>
      </c>
      <c r="BA101" s="11">
        <v>5.1126504544337976</v>
      </c>
    </row>
    <row r="102" spans="1:53" s="14" customFormat="1" x14ac:dyDescent="0.25">
      <c r="A102" s="12">
        <v>99</v>
      </c>
      <c r="B102" s="12" t="s">
        <v>21</v>
      </c>
      <c r="C102" s="12">
        <v>250</v>
      </c>
      <c r="D102" s="12" t="s">
        <v>12</v>
      </c>
      <c r="E102" s="12">
        <v>77</v>
      </c>
      <c r="F102" s="11">
        <v>56.016883116883122</v>
      </c>
      <c r="G102" s="11">
        <v>45.82987012987013</v>
      </c>
      <c r="H102" s="11"/>
      <c r="I102" s="11"/>
      <c r="J102" s="11">
        <v>101.84675324675325</v>
      </c>
      <c r="K102" s="11">
        <v>50.923376623376626</v>
      </c>
      <c r="L102" s="13">
        <v>93</v>
      </c>
      <c r="M102" s="11">
        <v>-5.204748376623364</v>
      </c>
      <c r="O102" s="12">
        <v>94</v>
      </c>
      <c r="P102" s="11">
        <v>49.712765957446805</v>
      </c>
      <c r="Q102" s="11">
        <v>40.340425531914896</v>
      </c>
      <c r="R102" s="11">
        <v>32.627659574468083</v>
      </c>
      <c r="S102" s="11"/>
      <c r="T102" s="11">
        <v>90.053191489361694</v>
      </c>
      <c r="U102" s="11">
        <v>45.026595744680847</v>
      </c>
      <c r="V102" s="13">
        <v>180</v>
      </c>
      <c r="W102" s="11">
        <v>-5.8967808786957789</v>
      </c>
      <c r="Y102" s="12">
        <v>77</v>
      </c>
      <c r="Z102" s="11">
        <v>52.135802469135804</v>
      </c>
      <c r="AA102" s="11">
        <v>52.061728395061728</v>
      </c>
      <c r="AB102" s="11">
        <v>39.543209876543209</v>
      </c>
      <c r="AC102" s="11"/>
      <c r="AD102" s="11">
        <v>143.74074074074073</v>
      </c>
      <c r="AE102" s="11">
        <v>47.913580246913575</v>
      </c>
      <c r="AF102" s="13">
        <v>151</v>
      </c>
      <c r="AG102" s="11">
        <v>2.8869845022327283</v>
      </c>
      <c r="AI102" s="12">
        <v>68</v>
      </c>
      <c r="AJ102" s="11">
        <v>54.102941176470587</v>
      </c>
      <c r="AK102" s="11">
        <v>41.176470588235297</v>
      </c>
      <c r="AL102" s="11">
        <v>37.764705882352942</v>
      </c>
      <c r="AM102" s="11"/>
      <c r="AN102" s="11">
        <v>133.04411764705884</v>
      </c>
      <c r="AO102" s="11">
        <v>44.348039215686278</v>
      </c>
      <c r="AP102" s="13">
        <v>140</v>
      </c>
      <c r="AQ102" s="11">
        <v>-3.5655410312272977</v>
      </c>
      <c r="AS102" s="12">
        <v>81</v>
      </c>
      <c r="AT102" s="11">
        <v>46.052499999999995</v>
      </c>
      <c r="AU102" s="11">
        <v>28.830000000000002</v>
      </c>
      <c r="AV102" s="11">
        <v>33.751250000000006</v>
      </c>
      <c r="AW102" s="11"/>
      <c r="AX102" s="11">
        <v>108.63374999999999</v>
      </c>
      <c r="AY102" s="11">
        <v>36.21125</v>
      </c>
      <c r="AZ102" s="13">
        <v>236</v>
      </c>
      <c r="BA102" s="11">
        <v>-8.136789215686278</v>
      </c>
    </row>
    <row r="103" spans="1:53" s="14" customFormat="1" x14ac:dyDescent="0.25">
      <c r="A103" s="12">
        <v>100</v>
      </c>
      <c r="B103" s="12" t="s">
        <v>21</v>
      </c>
      <c r="C103" s="12">
        <v>251</v>
      </c>
      <c r="D103" s="12" t="s">
        <v>12</v>
      </c>
      <c r="E103" s="12">
        <v>92</v>
      </c>
      <c r="F103" s="11">
        <v>56.085869565217379</v>
      </c>
      <c r="G103" s="11">
        <v>46.472826086956509</v>
      </c>
      <c r="H103" s="11"/>
      <c r="I103" s="11"/>
      <c r="J103" s="11">
        <v>102.5586956521739</v>
      </c>
      <c r="K103" s="11">
        <v>51.279347826086948</v>
      </c>
      <c r="L103" s="13">
        <v>87</v>
      </c>
      <c r="M103" s="11">
        <v>-2.4795669025952236</v>
      </c>
      <c r="O103" s="12">
        <v>120</v>
      </c>
      <c r="P103" s="11">
        <v>56.05833333333333</v>
      </c>
      <c r="Q103" s="11">
        <v>45.56666666666667</v>
      </c>
      <c r="R103" s="11">
        <v>42.424999999999997</v>
      </c>
      <c r="S103" s="11"/>
      <c r="T103" s="11">
        <v>101.625</v>
      </c>
      <c r="U103" s="11">
        <v>50.8125</v>
      </c>
      <c r="V103" s="13">
        <v>90</v>
      </c>
      <c r="W103" s="11">
        <v>-0.46684782608694775</v>
      </c>
      <c r="Y103" s="12">
        <v>132</v>
      </c>
      <c r="Z103" s="11">
        <v>60.826530612244895</v>
      </c>
      <c r="AA103" s="11">
        <v>56.367346938775512</v>
      </c>
      <c r="AB103" s="11">
        <v>49.387755102040813</v>
      </c>
      <c r="AC103" s="11"/>
      <c r="AD103" s="11">
        <v>166.58163265306121</v>
      </c>
      <c r="AE103" s="11">
        <v>55.527210884353735</v>
      </c>
      <c r="AF103" s="13">
        <v>32</v>
      </c>
      <c r="AG103" s="11">
        <v>4.7147108843537353</v>
      </c>
      <c r="AI103" s="12">
        <v>118</v>
      </c>
      <c r="AJ103" s="11">
        <v>61.966101694915253</v>
      </c>
      <c r="AK103" s="11">
        <v>50.779661016949156</v>
      </c>
      <c r="AL103" s="11">
        <v>48</v>
      </c>
      <c r="AM103" s="11">
        <v>53.037037037037038</v>
      </c>
      <c r="AN103" s="11">
        <v>160.74576271186442</v>
      </c>
      <c r="AO103" s="11">
        <v>53.581920903954803</v>
      </c>
      <c r="AP103" s="13">
        <v>38</v>
      </c>
      <c r="AQ103" s="11">
        <v>-1.9452899803989325</v>
      </c>
      <c r="AS103" s="12">
        <v>127</v>
      </c>
      <c r="AT103" s="11">
        <v>57.064566929133861</v>
      </c>
      <c r="AU103" s="11">
        <v>34.644881889763802</v>
      </c>
      <c r="AV103" s="11">
        <v>41.543307086614178</v>
      </c>
      <c r="AW103" s="11">
        <v>63.102040816326529</v>
      </c>
      <c r="AX103" s="11">
        <v>133.25275590551183</v>
      </c>
      <c r="AY103" s="11">
        <v>44.417585301837278</v>
      </c>
      <c r="AZ103" s="13">
        <v>97</v>
      </c>
      <c r="BA103" s="11">
        <v>-9.1643356021175251</v>
      </c>
    </row>
    <row r="104" spans="1:53" s="14" customFormat="1" x14ac:dyDescent="0.25">
      <c r="A104" s="12">
        <v>101</v>
      </c>
      <c r="B104" s="12" t="s">
        <v>21</v>
      </c>
      <c r="C104" s="12">
        <v>272</v>
      </c>
      <c r="D104" s="12" t="s">
        <v>12</v>
      </c>
      <c r="E104" s="12">
        <v>115</v>
      </c>
      <c r="F104" s="11">
        <v>51.054782608695653</v>
      </c>
      <c r="G104" s="11">
        <v>36.860000000000028</v>
      </c>
      <c r="H104" s="11"/>
      <c r="I104" s="11"/>
      <c r="J104" s="11">
        <v>87.914782608695674</v>
      </c>
      <c r="K104" s="11">
        <v>43.957391304347837</v>
      </c>
      <c r="L104" s="13">
        <v>195</v>
      </c>
      <c r="M104" s="11">
        <v>-6.8375239498894373</v>
      </c>
      <c r="O104" s="12">
        <v>117</v>
      </c>
      <c r="P104" s="11">
        <v>53.128205128205131</v>
      </c>
      <c r="Q104" s="11">
        <v>39.965811965811966</v>
      </c>
      <c r="R104" s="11">
        <v>38.555555555555557</v>
      </c>
      <c r="S104" s="11"/>
      <c r="T104" s="11">
        <v>93.09401709401709</v>
      </c>
      <c r="U104" s="11">
        <v>46.547008547008545</v>
      </c>
      <c r="V104" s="13">
        <v>151</v>
      </c>
      <c r="W104" s="11">
        <v>2.589617242660708</v>
      </c>
      <c r="Y104" s="12">
        <v>154</v>
      </c>
      <c r="Z104" s="11">
        <v>57.831858407079643</v>
      </c>
      <c r="AA104" s="11">
        <v>49.513274336283189</v>
      </c>
      <c r="AB104" s="11">
        <v>43.415929203539825</v>
      </c>
      <c r="AC104" s="11"/>
      <c r="AD104" s="11">
        <v>150.76106194690266</v>
      </c>
      <c r="AE104" s="11">
        <v>50.253687315634217</v>
      </c>
      <c r="AF104" s="13">
        <v>109</v>
      </c>
      <c r="AG104" s="11">
        <v>3.7066787686256717</v>
      </c>
      <c r="AI104" s="12">
        <v>134</v>
      </c>
      <c r="AJ104" s="11">
        <v>57.492537313432834</v>
      </c>
      <c r="AK104" s="11">
        <v>47.28358208955224</v>
      </c>
      <c r="AL104" s="11">
        <v>49.828358208955223</v>
      </c>
      <c r="AM104" s="11">
        <v>46.785714285714285</v>
      </c>
      <c r="AN104" s="11">
        <v>154.6044776119403</v>
      </c>
      <c r="AO104" s="11">
        <v>51.534825870646763</v>
      </c>
      <c r="AP104" s="13">
        <v>50</v>
      </c>
      <c r="AQ104" s="11">
        <v>1.2811385550125465</v>
      </c>
      <c r="AS104" s="12">
        <v>158</v>
      </c>
      <c r="AT104" s="11">
        <v>58.862420382165624</v>
      </c>
      <c r="AU104" s="11">
        <v>37.286624203821638</v>
      </c>
      <c r="AV104" s="11">
        <v>44.567515923566901</v>
      </c>
      <c r="AW104" s="11">
        <v>59.964285714285715</v>
      </c>
      <c r="AX104" s="11">
        <v>140.71656050955417</v>
      </c>
      <c r="AY104" s="11">
        <v>46.905520169851393</v>
      </c>
      <c r="AZ104" s="13">
        <v>64</v>
      </c>
      <c r="BA104" s="11">
        <v>-4.6293057007953706</v>
      </c>
    </row>
    <row r="105" spans="1:53" s="14" customFormat="1" x14ac:dyDescent="0.25">
      <c r="A105" s="12">
        <v>102</v>
      </c>
      <c r="B105" s="12" t="s">
        <v>21</v>
      </c>
      <c r="C105" s="12">
        <v>277</v>
      </c>
      <c r="D105" s="12" t="s">
        <v>36</v>
      </c>
      <c r="E105" s="12">
        <v>100</v>
      </c>
      <c r="F105" s="11">
        <v>35.679000000000002</v>
      </c>
      <c r="G105" s="11">
        <v>23.592999999999989</v>
      </c>
      <c r="H105" s="11"/>
      <c r="I105" s="11"/>
      <c r="J105" s="11">
        <v>59.271999999999991</v>
      </c>
      <c r="K105" s="11">
        <v>29.635999999999996</v>
      </c>
      <c r="L105" s="13">
        <v>295</v>
      </c>
      <c r="M105" s="11">
        <v>-0.41400000000000858</v>
      </c>
      <c r="O105" s="12">
        <v>93</v>
      </c>
      <c r="P105" s="11">
        <v>35.795698924731184</v>
      </c>
      <c r="Q105" s="11">
        <v>23.795698924731184</v>
      </c>
      <c r="R105" s="11">
        <v>25.440860215053764</v>
      </c>
      <c r="S105" s="11"/>
      <c r="T105" s="11">
        <v>59.591397849462368</v>
      </c>
      <c r="U105" s="11">
        <v>29.795698924731184</v>
      </c>
      <c r="V105" s="13">
        <v>299</v>
      </c>
      <c r="W105" s="11">
        <v>0.15969892473118819</v>
      </c>
      <c r="Y105" s="12">
        <v>76</v>
      </c>
      <c r="Z105" s="11">
        <v>38.674698795180724</v>
      </c>
      <c r="AA105" s="11">
        <v>34.072289156626503</v>
      </c>
      <c r="AB105" s="11">
        <v>29.626506024096386</v>
      </c>
      <c r="AC105" s="11"/>
      <c r="AD105" s="11">
        <v>102.37349397590361</v>
      </c>
      <c r="AE105" s="11">
        <v>34.124497991967871</v>
      </c>
      <c r="AF105" s="13">
        <v>296</v>
      </c>
      <c r="AG105" s="11">
        <v>4.3287990672366874</v>
      </c>
      <c r="AI105" s="12">
        <v>73</v>
      </c>
      <c r="AJ105" s="11">
        <v>37.739726027397261</v>
      </c>
      <c r="AK105" s="11">
        <v>24</v>
      </c>
      <c r="AL105" s="11">
        <v>27.876712328767123</v>
      </c>
      <c r="AM105" s="11">
        <v>34.56666666666667</v>
      </c>
      <c r="AN105" s="11">
        <v>89.61643835616438</v>
      </c>
      <c r="AO105" s="11">
        <v>29.87214611872146</v>
      </c>
      <c r="AP105" s="13">
        <v>296</v>
      </c>
      <c r="AQ105" s="11">
        <v>-4.2523518732464112</v>
      </c>
      <c r="AS105" s="12">
        <v>96</v>
      </c>
      <c r="AT105" s="11">
        <v>38.476842105263167</v>
      </c>
      <c r="AU105" s="11">
        <v>16.921052631578945</v>
      </c>
      <c r="AV105" s="11">
        <v>26.190526315789477</v>
      </c>
      <c r="AW105" s="11">
        <v>39.731707317073173</v>
      </c>
      <c r="AX105" s="11">
        <v>81.588421052631588</v>
      </c>
      <c r="AY105" s="11">
        <v>27.196140350877197</v>
      </c>
      <c r="AZ105" s="13">
        <v>299</v>
      </c>
      <c r="BA105" s="11">
        <v>-2.6760057678442628</v>
      </c>
    </row>
    <row r="106" spans="1:53" s="14" customFormat="1" x14ac:dyDescent="0.25">
      <c r="A106" s="12">
        <v>103</v>
      </c>
      <c r="B106" s="12" t="s">
        <v>21</v>
      </c>
      <c r="C106" s="12">
        <v>312</v>
      </c>
      <c r="D106" s="12" t="s">
        <v>12</v>
      </c>
      <c r="E106" s="12">
        <v>40</v>
      </c>
      <c r="F106" s="11">
        <v>48.712499999999991</v>
      </c>
      <c r="G106" s="11">
        <v>36.972500000000004</v>
      </c>
      <c r="H106" s="11"/>
      <c r="I106" s="11"/>
      <c r="J106" s="11">
        <v>85.685000000000002</v>
      </c>
      <c r="K106" s="11">
        <v>42.842500000000001</v>
      </c>
      <c r="L106" s="13">
        <v>206</v>
      </c>
      <c r="M106" s="11">
        <v>-2.505860655737699</v>
      </c>
      <c r="O106" s="12">
        <v>24</v>
      </c>
      <c r="P106" s="11">
        <v>45.375</v>
      </c>
      <c r="Q106" s="11">
        <v>38.208333333333336</v>
      </c>
      <c r="R106" s="11">
        <v>35.5</v>
      </c>
      <c r="S106" s="11"/>
      <c r="T106" s="11">
        <v>83.583333333333343</v>
      </c>
      <c r="U106" s="11">
        <v>41.791666666666671</v>
      </c>
      <c r="V106" s="13">
        <v>224</v>
      </c>
      <c r="W106" s="11">
        <v>-1.0508333333333297</v>
      </c>
      <c r="Y106" s="12">
        <v>35</v>
      </c>
      <c r="Z106" s="11">
        <v>52.972222222222221</v>
      </c>
      <c r="AA106" s="11">
        <v>49.138888888888886</v>
      </c>
      <c r="AB106" s="11">
        <v>38.583333333333336</v>
      </c>
      <c r="AC106" s="11"/>
      <c r="AD106" s="11">
        <v>140.69444444444446</v>
      </c>
      <c r="AE106" s="11">
        <v>46.898148148148152</v>
      </c>
      <c r="AF106" s="13">
        <v>169</v>
      </c>
      <c r="AG106" s="11">
        <v>5.106481481481481</v>
      </c>
      <c r="AI106" s="12">
        <v>36</v>
      </c>
      <c r="AJ106" s="11">
        <v>55.944444444444443</v>
      </c>
      <c r="AK106" s="11">
        <v>41.333333333333336</v>
      </c>
      <c r="AL106" s="11">
        <v>37.694444444444443</v>
      </c>
      <c r="AM106" s="11" t="s">
        <v>14</v>
      </c>
      <c r="AN106" s="11">
        <v>134.97222222222223</v>
      </c>
      <c r="AO106" s="11">
        <v>44.99074074074074</v>
      </c>
      <c r="AP106" s="13">
        <v>133</v>
      </c>
      <c r="AQ106" s="11">
        <v>-1.9074074074074119</v>
      </c>
      <c r="AS106" s="12">
        <v>37</v>
      </c>
      <c r="AT106" s="11">
        <v>56.070270270270271</v>
      </c>
      <c r="AU106" s="11">
        <v>39.732432432432432</v>
      </c>
      <c r="AV106" s="11">
        <v>33.699999999999989</v>
      </c>
      <c r="AW106" s="11"/>
      <c r="AX106" s="11">
        <v>129.50270270270269</v>
      </c>
      <c r="AY106" s="11">
        <v>43.167567567567566</v>
      </c>
      <c r="AZ106" s="13">
        <v>112</v>
      </c>
      <c r="BA106" s="11">
        <v>-1.8231731731731742</v>
      </c>
    </row>
    <row r="107" spans="1:53" s="14" customFormat="1" x14ac:dyDescent="0.25">
      <c r="A107" s="12">
        <v>104</v>
      </c>
      <c r="B107" s="12" t="s">
        <v>21</v>
      </c>
      <c r="C107" s="12">
        <v>328</v>
      </c>
      <c r="D107" s="12" t="s">
        <v>12</v>
      </c>
      <c r="E107" s="12">
        <v>44</v>
      </c>
      <c r="F107" s="11">
        <v>54.793181818181807</v>
      </c>
      <c r="G107" s="11">
        <v>44.14772727272728</v>
      </c>
      <c r="H107" s="11"/>
      <c r="I107" s="11"/>
      <c r="J107" s="11">
        <v>98.940909090909088</v>
      </c>
      <c r="K107" s="11">
        <v>49.470454545454544</v>
      </c>
      <c r="L107" s="13">
        <v>114</v>
      </c>
      <c r="M107" s="11">
        <v>1.7188416422287389</v>
      </c>
      <c r="O107" s="12">
        <v>56</v>
      </c>
      <c r="P107" s="11">
        <v>50.428571428571431</v>
      </c>
      <c r="Q107" s="11">
        <v>39.553571428571431</v>
      </c>
      <c r="R107" s="11">
        <v>31.017857142857142</v>
      </c>
      <c r="S107" s="11"/>
      <c r="T107" s="11">
        <v>89.982142857142861</v>
      </c>
      <c r="U107" s="11">
        <v>44.991071428571431</v>
      </c>
      <c r="V107" s="13">
        <v>181</v>
      </c>
      <c r="W107" s="11">
        <v>-4.4793831168831133</v>
      </c>
      <c r="Y107" s="12">
        <v>79</v>
      </c>
      <c r="Z107" s="11">
        <v>50.625</v>
      </c>
      <c r="AA107" s="11">
        <v>43.145833333333336</v>
      </c>
      <c r="AB107" s="11">
        <v>38.75</v>
      </c>
      <c r="AC107" s="11"/>
      <c r="AD107" s="11">
        <v>132.52083333333334</v>
      </c>
      <c r="AE107" s="11">
        <v>44.173611111111114</v>
      </c>
      <c r="AF107" s="13">
        <v>224</v>
      </c>
      <c r="AG107" s="11">
        <v>-0.81746031746031633</v>
      </c>
      <c r="AI107" s="12">
        <v>61</v>
      </c>
      <c r="AJ107" s="11">
        <v>53.065573770491802</v>
      </c>
      <c r="AK107" s="11">
        <v>36.786885245901637</v>
      </c>
      <c r="AL107" s="11">
        <v>40.491803278688522</v>
      </c>
      <c r="AM107" s="11" t="s">
        <v>14</v>
      </c>
      <c r="AN107" s="11">
        <v>130.34426229508196</v>
      </c>
      <c r="AO107" s="11">
        <v>43.448087431693985</v>
      </c>
      <c r="AP107" s="13">
        <v>153</v>
      </c>
      <c r="AQ107" s="11">
        <v>-0.72552367941712959</v>
      </c>
      <c r="AS107" s="12">
        <v>85</v>
      </c>
      <c r="AT107" s="11">
        <v>55.696470588235293</v>
      </c>
      <c r="AU107" s="11">
        <v>39.520000000000003</v>
      </c>
      <c r="AV107" s="11">
        <v>41.727058823529418</v>
      </c>
      <c r="AW107" s="11"/>
      <c r="AX107" s="11">
        <v>136.9435294117647</v>
      </c>
      <c r="AY107" s="11">
        <v>45.647843137254903</v>
      </c>
      <c r="AZ107" s="13">
        <v>86</v>
      </c>
      <c r="BA107" s="11">
        <v>2.1997557055609178</v>
      </c>
    </row>
    <row r="108" spans="1:53" x14ac:dyDescent="0.25">
      <c r="A108" s="12">
        <v>105</v>
      </c>
      <c r="B108" s="12" t="s">
        <v>22</v>
      </c>
      <c r="C108" s="12">
        <v>131</v>
      </c>
      <c r="D108" s="12" t="s">
        <v>12</v>
      </c>
      <c r="E108" s="12">
        <v>7</v>
      </c>
      <c r="F108" s="11">
        <v>61.24285714285714</v>
      </c>
      <c r="G108" s="11">
        <v>54.2</v>
      </c>
      <c r="H108" s="11"/>
      <c r="I108" s="11"/>
      <c r="J108" s="11">
        <v>115.44285714285715</v>
      </c>
      <c r="K108" s="11">
        <v>57.721428571428575</v>
      </c>
      <c r="L108" s="13">
        <v>23</v>
      </c>
      <c r="M108" s="11">
        <v>13.081428571428575</v>
      </c>
      <c r="O108" s="12">
        <v>6</v>
      </c>
      <c r="P108" s="11">
        <v>46.5</v>
      </c>
      <c r="Q108" s="11">
        <v>39.833333333333336</v>
      </c>
      <c r="R108" s="11">
        <v>33.833333333333336</v>
      </c>
      <c r="S108" s="11"/>
      <c r="T108" s="11">
        <v>86.333333333333343</v>
      </c>
      <c r="U108" s="11">
        <v>43.166666666666671</v>
      </c>
      <c r="V108" s="13">
        <v>206</v>
      </c>
      <c r="W108" s="11">
        <v>-14.554761904761904</v>
      </c>
      <c r="Y108" s="12">
        <v>3</v>
      </c>
      <c r="Z108" s="11">
        <v>33.333333333333336</v>
      </c>
      <c r="AA108" s="11">
        <v>23.333333333333332</v>
      </c>
      <c r="AB108" s="11">
        <v>31</v>
      </c>
      <c r="AC108" s="11"/>
      <c r="AD108" s="11">
        <v>87.666666666666671</v>
      </c>
      <c r="AE108" s="11">
        <v>29.222222222222225</v>
      </c>
      <c r="AF108" s="13">
        <v>305</v>
      </c>
      <c r="AG108" s="11">
        <v>-13.944444444444446</v>
      </c>
      <c r="AI108" s="12">
        <v>7</v>
      </c>
      <c r="AJ108" s="11">
        <v>39.571428571428569</v>
      </c>
      <c r="AK108" s="11">
        <v>28.571428571428573</v>
      </c>
      <c r="AL108" s="11">
        <v>27.571428571428573</v>
      </c>
      <c r="AM108" s="11" t="s">
        <v>14</v>
      </c>
      <c r="AN108" s="11">
        <v>95.714285714285708</v>
      </c>
      <c r="AO108" s="11">
        <v>31.904761904761902</v>
      </c>
      <c r="AP108" s="13">
        <v>285</v>
      </c>
      <c r="AQ108" s="11">
        <v>2.6825396825396766</v>
      </c>
      <c r="AS108" s="12">
        <v>10</v>
      </c>
      <c r="AT108" s="11">
        <v>33.74</v>
      </c>
      <c r="AU108" s="11">
        <v>26.419999999999998</v>
      </c>
      <c r="AV108" s="11">
        <v>26.459999999999997</v>
      </c>
      <c r="AW108" s="11"/>
      <c r="AX108" s="11">
        <v>86.61999999999999</v>
      </c>
      <c r="AY108" s="11">
        <v>28.873333333333331</v>
      </c>
      <c r="AZ108" s="13">
        <v>292</v>
      </c>
      <c r="BA108" s="11">
        <v>-3.0314285714285703</v>
      </c>
    </row>
    <row r="109" spans="1:53" x14ac:dyDescent="0.25">
      <c r="A109" s="12">
        <v>106</v>
      </c>
      <c r="B109" s="12" t="s">
        <v>22</v>
      </c>
      <c r="C109" s="12">
        <v>168</v>
      </c>
      <c r="D109" s="12" t="s">
        <v>12</v>
      </c>
      <c r="E109" s="12">
        <v>39</v>
      </c>
      <c r="F109" s="11">
        <v>48.161538461538463</v>
      </c>
      <c r="G109" s="11">
        <v>33.079487179487181</v>
      </c>
      <c r="H109" s="11"/>
      <c r="I109" s="11"/>
      <c r="J109" s="11">
        <v>81.241025641025644</v>
      </c>
      <c r="K109" s="11">
        <v>40.620512820512822</v>
      </c>
      <c r="L109" s="13">
        <v>235</v>
      </c>
      <c r="M109" s="11">
        <v>-3.2294871794871725</v>
      </c>
      <c r="O109" s="12">
        <v>41</v>
      </c>
      <c r="P109" s="11">
        <v>44.536585365853661</v>
      </c>
      <c r="Q109" s="11">
        <v>31.804878048780488</v>
      </c>
      <c r="R109" s="11">
        <v>33.341463414634148</v>
      </c>
      <c r="S109" s="11"/>
      <c r="T109" s="11">
        <v>76.341463414634148</v>
      </c>
      <c r="U109" s="11">
        <v>38.170731707317074</v>
      </c>
      <c r="V109" s="13">
        <v>273</v>
      </c>
      <c r="W109" s="11">
        <v>-2.4497811131957477</v>
      </c>
      <c r="Y109" s="12">
        <v>54</v>
      </c>
      <c r="Z109" s="11">
        <v>54.557377049180324</v>
      </c>
      <c r="AA109" s="11">
        <v>40.655737704918032</v>
      </c>
      <c r="AB109" s="11">
        <v>50.754098360655739</v>
      </c>
      <c r="AC109" s="11"/>
      <c r="AD109" s="11">
        <v>145.96721311475409</v>
      </c>
      <c r="AE109" s="11">
        <v>48.655737704918032</v>
      </c>
      <c r="AF109" s="13">
        <v>140</v>
      </c>
      <c r="AG109" s="11">
        <v>10.485005997600958</v>
      </c>
      <c r="AI109" s="12">
        <v>82</v>
      </c>
      <c r="AJ109" s="11">
        <v>45.695121951219512</v>
      </c>
      <c r="AK109" s="11">
        <v>36.146341463414636</v>
      </c>
      <c r="AL109" s="11">
        <v>38.170731707317074</v>
      </c>
      <c r="AM109" s="11" t="s">
        <v>14</v>
      </c>
      <c r="AN109" s="11">
        <v>120.01219512195122</v>
      </c>
      <c r="AO109" s="11">
        <v>40.00406504065041</v>
      </c>
      <c r="AP109" s="13">
        <v>203</v>
      </c>
      <c r="AQ109" s="11">
        <v>-8.6516726642676218</v>
      </c>
      <c r="AS109" s="12">
        <v>53</v>
      </c>
      <c r="AT109" s="11">
        <v>44.652830188679253</v>
      </c>
      <c r="AU109" s="11">
        <v>24.773584905660378</v>
      </c>
      <c r="AV109" s="11">
        <v>30.907547169811306</v>
      </c>
      <c r="AW109" s="11"/>
      <c r="AX109" s="11">
        <v>100.33396226415094</v>
      </c>
      <c r="AY109" s="11">
        <v>33.444654088050314</v>
      </c>
      <c r="AZ109" s="13">
        <v>266</v>
      </c>
      <c r="BA109" s="11">
        <v>-6.5594109526000963</v>
      </c>
    </row>
    <row r="110" spans="1:53" x14ac:dyDescent="0.25">
      <c r="A110" s="12">
        <v>107</v>
      </c>
      <c r="B110" s="12" t="s">
        <v>22</v>
      </c>
      <c r="C110" s="12">
        <v>186</v>
      </c>
      <c r="D110" s="12" t="s">
        <v>12</v>
      </c>
      <c r="E110" s="12">
        <v>43</v>
      </c>
      <c r="F110" s="11">
        <v>52.800000000000004</v>
      </c>
      <c r="G110" s="11">
        <v>33.669767441860472</v>
      </c>
      <c r="H110" s="11"/>
      <c r="I110" s="11"/>
      <c r="J110" s="11">
        <v>86.469767441860483</v>
      </c>
      <c r="K110" s="11">
        <v>43.234883720930242</v>
      </c>
      <c r="L110" s="13">
        <v>204</v>
      </c>
      <c r="M110" s="11">
        <v>1.2913353338334659</v>
      </c>
      <c r="O110" s="12">
        <v>51</v>
      </c>
      <c r="P110" s="11">
        <v>53.725490196078432</v>
      </c>
      <c r="Q110" s="11">
        <v>36.117647058823529</v>
      </c>
      <c r="R110" s="11">
        <v>36.745098039215684</v>
      </c>
      <c r="S110" s="11"/>
      <c r="T110" s="11">
        <v>89.843137254901961</v>
      </c>
      <c r="U110" s="11">
        <v>44.921568627450981</v>
      </c>
      <c r="V110" s="13">
        <v>182</v>
      </c>
      <c r="W110" s="11">
        <v>1.686684906520739</v>
      </c>
      <c r="Y110" s="12">
        <v>46</v>
      </c>
      <c r="Z110" s="11">
        <v>48.75</v>
      </c>
      <c r="AA110" s="11">
        <v>38.519230769230766</v>
      </c>
      <c r="AB110" s="11">
        <v>39.46153846153846</v>
      </c>
      <c r="AC110" s="11"/>
      <c r="AD110" s="11">
        <v>126.73076923076923</v>
      </c>
      <c r="AE110" s="11">
        <v>42.243589743589745</v>
      </c>
      <c r="AF110" s="13">
        <v>253</v>
      </c>
      <c r="AG110" s="11">
        <v>-2.6779788838612362</v>
      </c>
      <c r="AI110" s="12">
        <v>46</v>
      </c>
      <c r="AJ110" s="11">
        <v>42</v>
      </c>
      <c r="AK110" s="11">
        <v>33.913043478260867</v>
      </c>
      <c r="AL110" s="11">
        <v>30.804347826086957</v>
      </c>
      <c r="AM110" s="11">
        <v>44.888888888888886</v>
      </c>
      <c r="AN110" s="11">
        <v>106.71739130434783</v>
      </c>
      <c r="AO110" s="11">
        <v>35.572463768115945</v>
      </c>
      <c r="AP110" s="13">
        <v>258</v>
      </c>
      <c r="AQ110" s="11">
        <v>-6.6711259754737995</v>
      </c>
      <c r="AS110" s="12">
        <v>46</v>
      </c>
      <c r="AT110" s="11">
        <v>60.086666666666659</v>
      </c>
      <c r="AU110" s="11">
        <v>34.095555555555549</v>
      </c>
      <c r="AV110" s="11">
        <v>35.882222222222225</v>
      </c>
      <c r="AW110" s="11">
        <v>51.777777777777779</v>
      </c>
      <c r="AX110" s="11">
        <v>130.06444444444443</v>
      </c>
      <c r="AY110" s="11">
        <v>43.354814814814809</v>
      </c>
      <c r="AZ110" s="13">
        <v>109</v>
      </c>
      <c r="BA110" s="11">
        <v>7.7823510466988637</v>
      </c>
    </row>
    <row r="111" spans="1:53" x14ac:dyDescent="0.25">
      <c r="A111" s="12">
        <v>108</v>
      </c>
      <c r="B111" s="12" t="s">
        <v>22</v>
      </c>
      <c r="C111" s="12">
        <v>231</v>
      </c>
      <c r="D111" s="12" t="s">
        <v>12</v>
      </c>
      <c r="E111" s="12">
        <v>17</v>
      </c>
      <c r="F111" s="11">
        <v>37.711764705882345</v>
      </c>
      <c r="G111" s="11">
        <v>24.794117647058822</v>
      </c>
      <c r="H111" s="11"/>
      <c r="I111" s="11"/>
      <c r="J111" s="11">
        <v>62.505882352941171</v>
      </c>
      <c r="K111" s="11">
        <v>31.252941176470586</v>
      </c>
      <c r="L111" s="13">
        <v>292</v>
      </c>
      <c r="M111" s="11">
        <v>-26.94372549019608</v>
      </c>
      <c r="O111" s="12">
        <v>19</v>
      </c>
      <c r="P111" s="11">
        <v>45.473684210526315</v>
      </c>
      <c r="Q111" s="11">
        <v>36.578947368421055</v>
      </c>
      <c r="R111" s="11">
        <v>30.368421052631579</v>
      </c>
      <c r="S111" s="11"/>
      <c r="T111" s="11">
        <v>82.05263157894737</v>
      </c>
      <c r="U111" s="11">
        <v>41.026315789473685</v>
      </c>
      <c r="V111" s="13">
        <v>240</v>
      </c>
      <c r="W111" s="11">
        <v>9.7733746130030994</v>
      </c>
      <c r="Y111" s="12">
        <v>18</v>
      </c>
      <c r="Z111" s="11">
        <v>43.06666666666667</v>
      </c>
      <c r="AA111" s="11">
        <v>35.93333333333333</v>
      </c>
      <c r="AB111" s="11">
        <v>27.333333333333332</v>
      </c>
      <c r="AC111" s="11"/>
      <c r="AD111" s="11">
        <v>106.33333333333333</v>
      </c>
      <c r="AE111" s="11">
        <v>35.444444444444443</v>
      </c>
      <c r="AF111" s="13">
        <v>294</v>
      </c>
      <c r="AG111" s="11">
        <v>-5.5818713450292421</v>
      </c>
      <c r="AI111" s="12">
        <v>15</v>
      </c>
      <c r="AJ111" s="11">
        <v>30.933333333333334</v>
      </c>
      <c r="AK111" s="11">
        <v>27.466666666666665</v>
      </c>
      <c r="AL111" s="11">
        <v>24.933333333333334</v>
      </c>
      <c r="AM111" s="11" t="s">
        <v>14</v>
      </c>
      <c r="AN111" s="11">
        <v>83.333333333333329</v>
      </c>
      <c r="AO111" s="11">
        <v>27.777777777777775</v>
      </c>
      <c r="AP111" s="13">
        <v>300</v>
      </c>
      <c r="AQ111" s="11">
        <v>-7.6666666666666679</v>
      </c>
      <c r="AS111" s="12">
        <v>18</v>
      </c>
      <c r="AT111" s="11">
        <v>42.638888888888886</v>
      </c>
      <c r="AU111" s="11">
        <v>31.983333333333334</v>
      </c>
      <c r="AV111" s="11">
        <v>29.405555555555551</v>
      </c>
      <c r="AW111" s="11"/>
      <c r="AX111" s="11">
        <v>104.02777777777777</v>
      </c>
      <c r="AY111" s="11">
        <v>34.675925925925924</v>
      </c>
      <c r="AZ111" s="13">
        <v>256</v>
      </c>
      <c r="BA111" s="11">
        <v>6.8981481481481488</v>
      </c>
    </row>
    <row r="112" spans="1:53" x14ac:dyDescent="0.25">
      <c r="A112" s="12">
        <v>109</v>
      </c>
      <c r="B112" s="12" t="s">
        <v>22</v>
      </c>
      <c r="C112" s="12">
        <v>235</v>
      </c>
      <c r="D112" s="12" t="s">
        <v>12</v>
      </c>
      <c r="E112" s="12">
        <v>68</v>
      </c>
      <c r="F112" s="11">
        <v>50.227941176470587</v>
      </c>
      <c r="G112" s="11">
        <v>36.505882352941185</v>
      </c>
      <c r="H112" s="11"/>
      <c r="I112" s="11"/>
      <c r="J112" s="11">
        <v>86.733823529411779</v>
      </c>
      <c r="K112" s="11">
        <v>43.36691176470589</v>
      </c>
      <c r="L112" s="13">
        <v>201</v>
      </c>
      <c r="M112" s="11">
        <v>1.3200863678804922</v>
      </c>
      <c r="O112" s="12">
        <v>59</v>
      </c>
      <c r="P112" s="11">
        <v>49.457627118644069</v>
      </c>
      <c r="Q112" s="11">
        <v>38.423728813559322</v>
      </c>
      <c r="R112" s="11">
        <v>33.677966101694913</v>
      </c>
      <c r="S112" s="11"/>
      <c r="T112" s="11">
        <v>87.881355932203391</v>
      </c>
      <c r="U112" s="11">
        <v>43.940677966101696</v>
      </c>
      <c r="V112" s="13">
        <v>199</v>
      </c>
      <c r="W112" s="11">
        <v>0.57376620139580581</v>
      </c>
      <c r="Y112" s="12">
        <v>59</v>
      </c>
      <c r="Z112" s="11">
        <v>53.982142857142854</v>
      </c>
      <c r="AA112" s="11">
        <v>48.517857142857146</v>
      </c>
      <c r="AB112" s="11">
        <v>36.946428571428569</v>
      </c>
      <c r="AC112" s="11"/>
      <c r="AD112" s="11">
        <v>139.44642857142856</v>
      </c>
      <c r="AE112" s="11">
        <v>46.482142857142854</v>
      </c>
      <c r="AF112" s="13">
        <v>176</v>
      </c>
      <c r="AG112" s="11">
        <v>2.5414648910411586</v>
      </c>
      <c r="AI112" s="12">
        <v>62</v>
      </c>
      <c r="AJ112" s="11">
        <v>43.467741935483872</v>
      </c>
      <c r="AK112" s="11">
        <v>37.096774193548384</v>
      </c>
      <c r="AL112" s="11">
        <v>35.532258064516128</v>
      </c>
      <c r="AM112" s="11">
        <v>43.944444444444443</v>
      </c>
      <c r="AN112" s="11">
        <v>116.09677419354838</v>
      </c>
      <c r="AO112" s="11">
        <v>38.698924731182792</v>
      </c>
      <c r="AP112" s="13">
        <v>221</v>
      </c>
      <c r="AQ112" s="11">
        <v>-7.7832181259600617</v>
      </c>
      <c r="AS112" s="12">
        <v>56</v>
      </c>
      <c r="AT112" s="11">
        <v>52.903571428571425</v>
      </c>
      <c r="AU112" s="11">
        <v>30.491071428571423</v>
      </c>
      <c r="AV112" s="11">
        <v>30.826785714285712</v>
      </c>
      <c r="AW112" s="11">
        <v>46.153846153846153</v>
      </c>
      <c r="AX112" s="11">
        <v>114.22142857142856</v>
      </c>
      <c r="AY112" s="11">
        <v>38.073809523809523</v>
      </c>
      <c r="AZ112" s="13">
        <v>211</v>
      </c>
      <c r="BA112" s="11">
        <v>-0.62511520737326975</v>
      </c>
    </row>
    <row r="113" spans="1:53" x14ac:dyDescent="0.25">
      <c r="A113" s="12">
        <v>110</v>
      </c>
      <c r="B113" s="12" t="s">
        <v>22</v>
      </c>
      <c r="C113" s="12">
        <v>243</v>
      </c>
      <c r="D113" s="12" t="s">
        <v>12</v>
      </c>
      <c r="E113" s="12">
        <v>28</v>
      </c>
      <c r="F113" s="11">
        <v>43</v>
      </c>
      <c r="G113" s="11">
        <v>36.032142857142851</v>
      </c>
      <c r="H113" s="11"/>
      <c r="I113" s="11"/>
      <c r="J113" s="11">
        <v>79.032142857142844</v>
      </c>
      <c r="K113" s="11">
        <v>39.516071428571422</v>
      </c>
      <c r="L113" s="13">
        <v>255</v>
      </c>
      <c r="M113" s="11">
        <v>1.842261904761898</v>
      </c>
      <c r="O113" s="12">
        <v>36</v>
      </c>
      <c r="P113" s="11">
        <v>43.444444444444443</v>
      </c>
      <c r="Q113" s="11">
        <v>32.527777777777779</v>
      </c>
      <c r="R113" s="11">
        <v>35.25</v>
      </c>
      <c r="S113" s="11"/>
      <c r="T113" s="11">
        <v>75.972222222222229</v>
      </c>
      <c r="U113" s="11">
        <v>37.986111111111114</v>
      </c>
      <c r="V113" s="13">
        <v>275</v>
      </c>
      <c r="W113" s="11">
        <v>-1.5299603174603078</v>
      </c>
      <c r="Y113" s="12">
        <v>18</v>
      </c>
      <c r="Z113" s="11">
        <v>53.863636363636367</v>
      </c>
      <c r="AA113" s="11">
        <v>53.31818181818182</v>
      </c>
      <c r="AB113" s="11">
        <v>41.5</v>
      </c>
      <c r="AC113" s="11"/>
      <c r="AD113" s="11">
        <v>148.68181818181819</v>
      </c>
      <c r="AE113" s="11">
        <v>49.560606060606062</v>
      </c>
      <c r="AF113" s="13">
        <v>124</v>
      </c>
      <c r="AG113" s="11">
        <v>11.574494949494948</v>
      </c>
      <c r="AI113" s="12">
        <v>21</v>
      </c>
      <c r="AJ113" s="11">
        <v>39.714285714285715</v>
      </c>
      <c r="AK113" s="11">
        <v>34.285714285714285</v>
      </c>
      <c r="AL113" s="11">
        <v>32.904761904761905</v>
      </c>
      <c r="AM113" s="11">
        <v>33.857142857142854</v>
      </c>
      <c r="AN113" s="11">
        <v>106.9047619047619</v>
      </c>
      <c r="AO113" s="11">
        <v>35.634920634920633</v>
      </c>
      <c r="AP113" s="13">
        <v>257</v>
      </c>
      <c r="AQ113" s="11">
        <v>-13.92568542568543</v>
      </c>
      <c r="AS113" s="12">
        <v>17</v>
      </c>
      <c r="AT113" s="11">
        <v>38.82352941176471</v>
      </c>
      <c r="AU113" s="11">
        <v>18.71764705882353</v>
      </c>
      <c r="AV113" s="11">
        <v>19.370588235294115</v>
      </c>
      <c r="AW113" s="11">
        <v>26.428571428571427</v>
      </c>
      <c r="AX113" s="11">
        <v>76.911764705882348</v>
      </c>
      <c r="AY113" s="11">
        <v>25.637254901960784</v>
      </c>
      <c r="AZ113" s="13">
        <v>304</v>
      </c>
      <c r="BA113" s="11">
        <v>-9.9976657329598488</v>
      </c>
    </row>
    <row r="114" spans="1:53" x14ac:dyDescent="0.25">
      <c r="A114" s="12">
        <v>111</v>
      </c>
      <c r="B114" s="12" t="s">
        <v>23</v>
      </c>
      <c r="C114" s="12" t="s">
        <v>53</v>
      </c>
      <c r="D114" s="12" t="s">
        <v>32</v>
      </c>
      <c r="E114" s="12"/>
      <c r="F114" s="11"/>
      <c r="G114" s="11"/>
      <c r="H114" s="11"/>
      <c r="I114" s="11"/>
      <c r="J114" s="11" t="s">
        <v>14</v>
      </c>
      <c r="K114" s="11" t="s">
        <v>14</v>
      </c>
      <c r="L114" s="13" t="s">
        <v>14</v>
      </c>
      <c r="M114" s="11" t="s">
        <v>14</v>
      </c>
      <c r="O114" s="12"/>
      <c r="P114" s="11"/>
      <c r="Q114" s="11"/>
      <c r="R114" s="11"/>
      <c r="S114" s="11"/>
      <c r="T114" s="11" t="s">
        <v>14</v>
      </c>
      <c r="U114" s="11" t="s">
        <v>14</v>
      </c>
      <c r="V114" s="13" t="s">
        <v>14</v>
      </c>
      <c r="W114" s="11" t="s">
        <v>14</v>
      </c>
      <c r="Y114" s="12"/>
      <c r="Z114" s="11"/>
      <c r="AA114" s="11"/>
      <c r="AB114" s="11"/>
      <c r="AC114" s="11"/>
      <c r="AD114" s="11" t="s">
        <v>14</v>
      </c>
      <c r="AE114" s="11" t="s">
        <v>14</v>
      </c>
      <c r="AF114" s="13" t="s">
        <v>14</v>
      </c>
      <c r="AG114" s="11" t="s">
        <v>14</v>
      </c>
      <c r="AI114" s="12"/>
      <c r="AJ114" s="11"/>
      <c r="AK114" s="11"/>
      <c r="AL114" s="11"/>
      <c r="AM114" s="11"/>
      <c r="AN114" s="11" t="s">
        <v>14</v>
      </c>
      <c r="AO114" s="11" t="s">
        <v>14</v>
      </c>
      <c r="AP114" s="13" t="s">
        <v>14</v>
      </c>
      <c r="AQ114" s="11" t="s">
        <v>14</v>
      </c>
      <c r="AS114" s="12">
        <v>0</v>
      </c>
      <c r="AT114" s="11"/>
      <c r="AU114" s="11"/>
      <c r="AV114" s="11"/>
      <c r="AW114" s="11"/>
      <c r="AX114" s="11" t="s">
        <v>14</v>
      </c>
      <c r="AY114" s="11" t="s">
        <v>14</v>
      </c>
      <c r="AZ114" s="13" t="s">
        <v>14</v>
      </c>
      <c r="BA114" s="11" t="s">
        <v>14</v>
      </c>
    </row>
    <row r="115" spans="1:53" x14ac:dyDescent="0.25">
      <c r="A115" s="12">
        <v>112</v>
      </c>
      <c r="B115" s="12" t="s">
        <v>23</v>
      </c>
      <c r="C115" s="12">
        <v>105</v>
      </c>
      <c r="D115" s="12" t="s">
        <v>12</v>
      </c>
      <c r="E115" s="12">
        <v>17</v>
      </c>
      <c r="F115" s="11">
        <v>40.588235294117645</v>
      </c>
      <c r="G115" s="11">
        <v>23.394117647058827</v>
      </c>
      <c r="H115" s="11"/>
      <c r="I115" s="11"/>
      <c r="J115" s="11">
        <v>63.982352941176472</v>
      </c>
      <c r="K115" s="11">
        <v>31.991176470588236</v>
      </c>
      <c r="L115" s="13">
        <v>290</v>
      </c>
      <c r="M115" s="11">
        <v>1.8611764705882408</v>
      </c>
      <c r="O115" s="12">
        <v>14</v>
      </c>
      <c r="P115" s="11">
        <v>49.357142857142854</v>
      </c>
      <c r="Q115" s="11">
        <v>33.571428571428569</v>
      </c>
      <c r="R115" s="11">
        <v>28.857142857142858</v>
      </c>
      <c r="S115" s="11"/>
      <c r="T115" s="11">
        <v>82.928571428571416</v>
      </c>
      <c r="U115" s="11">
        <v>41.464285714285708</v>
      </c>
      <c r="V115" s="13">
        <v>232</v>
      </c>
      <c r="W115" s="11">
        <v>9.473109243697472</v>
      </c>
      <c r="Y115" s="12">
        <v>27</v>
      </c>
      <c r="Z115" s="11">
        <v>33.227272727272727</v>
      </c>
      <c r="AA115" s="11">
        <v>31</v>
      </c>
      <c r="AB115" s="11">
        <v>26</v>
      </c>
      <c r="AC115" s="11"/>
      <c r="AD115" s="11">
        <v>90.22727272727272</v>
      </c>
      <c r="AE115" s="11">
        <v>30.075757575757574</v>
      </c>
      <c r="AF115" s="13">
        <v>304</v>
      </c>
      <c r="AG115" s="11">
        <v>-11.388528138528134</v>
      </c>
      <c r="AI115" s="12">
        <v>22</v>
      </c>
      <c r="AJ115" s="11">
        <v>43.545454545454547</v>
      </c>
      <c r="AK115" s="11">
        <v>35.090909090909093</v>
      </c>
      <c r="AL115" s="11">
        <v>26.727272727272727</v>
      </c>
      <c r="AM115" s="11" t="s">
        <v>14</v>
      </c>
      <c r="AN115" s="11">
        <v>105.36363636363637</v>
      </c>
      <c r="AO115" s="11">
        <v>35.121212121212125</v>
      </c>
      <c r="AP115" s="13">
        <v>266</v>
      </c>
      <c r="AQ115" s="11">
        <v>5.0454545454545503</v>
      </c>
      <c r="AS115" s="12">
        <v>27</v>
      </c>
      <c r="AT115" s="11">
        <v>28.696153846153852</v>
      </c>
      <c r="AU115" s="11">
        <v>13.692307692307686</v>
      </c>
      <c r="AV115" s="11">
        <v>18.888461538461538</v>
      </c>
      <c r="AW115" s="11"/>
      <c r="AX115" s="11">
        <v>61.276923076923083</v>
      </c>
      <c r="AY115" s="11">
        <v>20.425641025641028</v>
      </c>
      <c r="AZ115" s="13">
        <v>310</v>
      </c>
      <c r="BA115" s="11">
        <v>-14.695571095571097</v>
      </c>
    </row>
    <row r="116" spans="1:53" x14ac:dyDescent="0.25">
      <c r="A116" s="12">
        <v>113</v>
      </c>
      <c r="B116" s="12" t="s">
        <v>23</v>
      </c>
      <c r="C116" s="12">
        <v>106</v>
      </c>
      <c r="D116" s="12" t="s">
        <v>12</v>
      </c>
      <c r="E116" s="12">
        <v>121</v>
      </c>
      <c r="F116" s="11">
        <v>48.831404958677695</v>
      </c>
      <c r="G116" s="11">
        <v>32.783471074380166</v>
      </c>
      <c r="H116" s="11"/>
      <c r="I116" s="11"/>
      <c r="J116" s="11">
        <v>81.614876033057868</v>
      </c>
      <c r="K116" s="11">
        <v>40.807438016528934</v>
      </c>
      <c r="L116" s="13">
        <v>232</v>
      </c>
      <c r="M116" s="11">
        <v>-0.17883649327498574</v>
      </c>
      <c r="O116" s="12">
        <v>118</v>
      </c>
      <c r="P116" s="11">
        <v>46.686440677966104</v>
      </c>
      <c r="Q116" s="11">
        <v>38.771186440677965</v>
      </c>
      <c r="R116" s="11">
        <v>32.567796610169495</v>
      </c>
      <c r="S116" s="11"/>
      <c r="T116" s="11">
        <v>85.457627118644069</v>
      </c>
      <c r="U116" s="11">
        <v>42.728813559322035</v>
      </c>
      <c r="V116" s="13">
        <v>215</v>
      </c>
      <c r="W116" s="11">
        <v>1.9213755427931005</v>
      </c>
      <c r="Y116" s="12">
        <v>145</v>
      </c>
      <c r="Z116" s="11">
        <v>52.656716417910445</v>
      </c>
      <c r="AA116" s="11">
        <v>45.022388059701491</v>
      </c>
      <c r="AB116" s="11">
        <v>37.186567164179102</v>
      </c>
      <c r="AC116" s="11"/>
      <c r="AD116" s="11">
        <v>134.86567164179104</v>
      </c>
      <c r="AE116" s="11">
        <v>44.955223880597011</v>
      </c>
      <c r="AF116" s="13">
        <v>209</v>
      </c>
      <c r="AG116" s="11">
        <v>2.226410321274976</v>
      </c>
      <c r="AI116" s="12">
        <v>131</v>
      </c>
      <c r="AJ116" s="11">
        <v>47.190839694656489</v>
      </c>
      <c r="AK116" s="11">
        <v>33.526717557251906</v>
      </c>
      <c r="AL116" s="11">
        <v>31.786259541984734</v>
      </c>
      <c r="AM116" s="11" t="s">
        <v>14</v>
      </c>
      <c r="AN116" s="11">
        <v>112.50381679389314</v>
      </c>
      <c r="AO116" s="11">
        <v>37.501272264631048</v>
      </c>
      <c r="AP116" s="13">
        <v>232</v>
      </c>
      <c r="AQ116" s="11">
        <v>-7.4539516159659627</v>
      </c>
      <c r="AS116" s="12">
        <v>143</v>
      </c>
      <c r="AT116" s="11">
        <v>52.67588652482268</v>
      </c>
      <c r="AU116" s="11">
        <v>31.102836879432644</v>
      </c>
      <c r="AV116" s="11">
        <v>35.795744680851065</v>
      </c>
      <c r="AW116" s="11"/>
      <c r="AX116" s="11">
        <v>119.57446808510639</v>
      </c>
      <c r="AY116" s="11">
        <v>39.858156028368796</v>
      </c>
      <c r="AZ116" s="13">
        <v>167</v>
      </c>
      <c r="BA116" s="11">
        <v>2.3568837637377484</v>
      </c>
    </row>
    <row r="117" spans="1:53" x14ac:dyDescent="0.25">
      <c r="A117" s="12">
        <v>114</v>
      </c>
      <c r="B117" s="12" t="s">
        <v>23</v>
      </c>
      <c r="C117" s="12">
        <v>110</v>
      </c>
      <c r="D117" s="12" t="s">
        <v>12</v>
      </c>
      <c r="E117" s="12">
        <v>42</v>
      </c>
      <c r="F117" s="11">
        <v>42.866666666666667</v>
      </c>
      <c r="G117" s="11">
        <v>38.569047619047609</v>
      </c>
      <c r="H117" s="11"/>
      <c r="I117" s="11"/>
      <c r="J117" s="11">
        <v>81.435714285714283</v>
      </c>
      <c r="K117" s="11">
        <v>40.717857142857142</v>
      </c>
      <c r="L117" s="13">
        <v>233</v>
      </c>
      <c r="M117" s="11">
        <v>-5.2181428571428725</v>
      </c>
      <c r="O117" s="12">
        <v>67</v>
      </c>
      <c r="P117" s="11">
        <v>48.253731343283583</v>
      </c>
      <c r="Q117" s="11">
        <v>41.029850746268657</v>
      </c>
      <c r="R117" s="11">
        <v>29.447761194029852</v>
      </c>
      <c r="S117" s="11"/>
      <c r="T117" s="11">
        <v>89.28358208955224</v>
      </c>
      <c r="U117" s="11">
        <v>44.64179104477612</v>
      </c>
      <c r="V117" s="13">
        <v>187</v>
      </c>
      <c r="W117" s="11">
        <v>3.9239339019189785</v>
      </c>
      <c r="Y117" s="12">
        <v>66</v>
      </c>
      <c r="Z117" s="11">
        <v>46.955882352941174</v>
      </c>
      <c r="AA117" s="11">
        <v>50.338235294117645</v>
      </c>
      <c r="AB117" s="11">
        <v>34.161764705882355</v>
      </c>
      <c r="AC117" s="11"/>
      <c r="AD117" s="11">
        <v>131.45588235294116</v>
      </c>
      <c r="AE117" s="11">
        <v>43.818627450980387</v>
      </c>
      <c r="AF117" s="13">
        <v>237</v>
      </c>
      <c r="AG117" s="11">
        <v>-0.82316359379573356</v>
      </c>
      <c r="AI117" s="12">
        <v>85</v>
      </c>
      <c r="AJ117" s="11">
        <v>44.658823529411762</v>
      </c>
      <c r="AK117" s="11">
        <v>35.058823529411768</v>
      </c>
      <c r="AL117" s="11">
        <v>29.164705882352941</v>
      </c>
      <c r="AM117" s="11" t="s">
        <v>14</v>
      </c>
      <c r="AN117" s="11">
        <v>108.88235294117646</v>
      </c>
      <c r="AO117" s="11">
        <v>36.294117647058819</v>
      </c>
      <c r="AP117" s="13">
        <v>251</v>
      </c>
      <c r="AQ117" s="11">
        <v>-7.5245098039215677</v>
      </c>
      <c r="AS117" s="12">
        <v>66</v>
      </c>
      <c r="AT117" s="11">
        <v>48.515151515151501</v>
      </c>
      <c r="AU117" s="11">
        <v>36.669696969696972</v>
      </c>
      <c r="AV117" s="11">
        <v>28.290909090909082</v>
      </c>
      <c r="AW117" s="11"/>
      <c r="AX117" s="11">
        <v>113.47575757575756</v>
      </c>
      <c r="AY117" s="11">
        <v>37.825252525252516</v>
      </c>
      <c r="AZ117" s="13">
        <v>213</v>
      </c>
      <c r="BA117" s="11">
        <v>1.5311348781936971</v>
      </c>
    </row>
    <row r="118" spans="1:53" x14ac:dyDescent="0.25">
      <c r="A118" s="12">
        <v>115</v>
      </c>
      <c r="B118" s="12" t="s">
        <v>23</v>
      </c>
      <c r="C118" s="12">
        <v>127</v>
      </c>
      <c r="D118" s="12" t="s">
        <v>12</v>
      </c>
      <c r="E118" s="12">
        <v>66</v>
      </c>
      <c r="F118" s="11">
        <v>46.336363636363622</v>
      </c>
      <c r="G118" s="11">
        <v>37.828787878787885</v>
      </c>
      <c r="H118" s="11"/>
      <c r="I118" s="11"/>
      <c r="J118" s="11">
        <v>84.165151515151507</v>
      </c>
      <c r="K118" s="11">
        <v>42.082575757575754</v>
      </c>
      <c r="L118" s="13">
        <v>219</v>
      </c>
      <c r="M118" s="11">
        <v>1.1836395873629755</v>
      </c>
      <c r="O118" s="12">
        <v>63</v>
      </c>
      <c r="P118" s="11">
        <v>43.857142857142854</v>
      </c>
      <c r="Q118" s="11">
        <v>39.523809523809526</v>
      </c>
      <c r="R118" s="11">
        <v>31.349206349206348</v>
      </c>
      <c r="S118" s="11"/>
      <c r="T118" s="11">
        <v>83.38095238095238</v>
      </c>
      <c r="U118" s="11">
        <v>41.69047619047619</v>
      </c>
      <c r="V118" s="13">
        <v>226</v>
      </c>
      <c r="W118" s="11">
        <v>-0.39209956709956373</v>
      </c>
      <c r="Y118" s="12">
        <v>90</v>
      </c>
      <c r="Z118" s="11">
        <v>47.758241758241759</v>
      </c>
      <c r="AA118" s="11">
        <v>45.53846153846154</v>
      </c>
      <c r="AB118" s="11">
        <v>31.505494505494507</v>
      </c>
      <c r="AC118" s="11"/>
      <c r="AD118" s="11">
        <v>124.80219780219781</v>
      </c>
      <c r="AE118" s="11">
        <v>41.600732600732606</v>
      </c>
      <c r="AF118" s="13">
        <v>259</v>
      </c>
      <c r="AG118" s="11">
        <v>-8.9743589743584096E-2</v>
      </c>
      <c r="AI118" s="12">
        <v>98</v>
      </c>
      <c r="AJ118" s="11">
        <v>46.612244897959187</v>
      </c>
      <c r="AK118" s="11">
        <v>40.408163265306122</v>
      </c>
      <c r="AL118" s="11">
        <v>34.428571428571431</v>
      </c>
      <c r="AM118" s="11" t="s">
        <v>14</v>
      </c>
      <c r="AN118" s="11">
        <v>121.44897959183673</v>
      </c>
      <c r="AO118" s="11">
        <v>40.482993197278908</v>
      </c>
      <c r="AP118" s="13">
        <v>197</v>
      </c>
      <c r="AQ118" s="11">
        <v>-1.1177394034536974</v>
      </c>
      <c r="AS118" s="12">
        <v>89</v>
      </c>
      <c r="AT118" s="11">
        <v>47.964044943820227</v>
      </c>
      <c r="AU118" s="11">
        <v>35.739325842696658</v>
      </c>
      <c r="AV118" s="11">
        <v>34.731460674157312</v>
      </c>
      <c r="AW118" s="11"/>
      <c r="AX118" s="11">
        <v>118.43483146067419</v>
      </c>
      <c r="AY118" s="11">
        <v>39.478277153558061</v>
      </c>
      <c r="AZ118" s="13">
        <v>179</v>
      </c>
      <c r="BA118" s="11">
        <v>-1.0047160437208476</v>
      </c>
    </row>
    <row r="119" spans="1:53" x14ac:dyDescent="0.25">
      <c r="A119" s="12">
        <v>116</v>
      </c>
      <c r="B119" s="12" t="s">
        <v>23</v>
      </c>
      <c r="C119" s="12">
        <v>139</v>
      </c>
      <c r="D119" s="12" t="s">
        <v>12</v>
      </c>
      <c r="E119" s="12">
        <v>88</v>
      </c>
      <c r="F119" s="11">
        <v>54.301136363636367</v>
      </c>
      <c r="G119" s="11">
        <v>34.500000000000007</v>
      </c>
      <c r="H119" s="11"/>
      <c r="I119" s="11"/>
      <c r="J119" s="11">
        <v>88.801136363636374</v>
      </c>
      <c r="K119" s="11">
        <v>44.400568181818187</v>
      </c>
      <c r="L119" s="13">
        <v>185</v>
      </c>
      <c r="M119" s="11">
        <v>0.97155583613917429</v>
      </c>
      <c r="O119" s="12">
        <v>118</v>
      </c>
      <c r="P119" s="11">
        <v>50.974576271186443</v>
      </c>
      <c r="Q119" s="11">
        <v>42.101694915254235</v>
      </c>
      <c r="R119" s="11">
        <v>38.771186440677965</v>
      </c>
      <c r="S119" s="11"/>
      <c r="T119" s="11">
        <v>93.076271186440678</v>
      </c>
      <c r="U119" s="11">
        <v>46.538135593220339</v>
      </c>
      <c r="V119" s="13">
        <v>152</v>
      </c>
      <c r="W119" s="11">
        <v>2.1375674114021521</v>
      </c>
      <c r="Y119" s="12">
        <v>139</v>
      </c>
      <c r="Z119" s="11">
        <v>55.898148148148145</v>
      </c>
      <c r="AA119" s="11">
        <v>49.064814814814817</v>
      </c>
      <c r="AB119" s="11">
        <v>43.583333333333336</v>
      </c>
      <c r="AC119" s="11"/>
      <c r="AD119" s="11">
        <v>148.5462962962963</v>
      </c>
      <c r="AE119" s="11">
        <v>49.515432098765437</v>
      </c>
      <c r="AF119" s="13">
        <v>126</v>
      </c>
      <c r="AG119" s="11">
        <v>2.9772965055450982</v>
      </c>
      <c r="AI119" s="12">
        <v>147</v>
      </c>
      <c r="AJ119" s="11">
        <v>54.142857142857146</v>
      </c>
      <c r="AK119" s="11">
        <v>40.897959183673471</v>
      </c>
      <c r="AL119" s="11">
        <v>43.442176870748298</v>
      </c>
      <c r="AM119" s="11">
        <v>44.887323943661968</v>
      </c>
      <c r="AN119" s="11">
        <v>138.48299319727892</v>
      </c>
      <c r="AO119" s="11">
        <v>46.160997732426303</v>
      </c>
      <c r="AP119" s="13">
        <v>119</v>
      </c>
      <c r="AQ119" s="11">
        <v>-3.3544343663391345</v>
      </c>
      <c r="AS119" s="12">
        <v>138</v>
      </c>
      <c r="AT119" s="11">
        <v>57.212318840579712</v>
      </c>
      <c r="AU119" s="11">
        <v>36.66811594202899</v>
      </c>
      <c r="AV119" s="11">
        <v>44.630434782608738</v>
      </c>
      <c r="AW119" s="11">
        <v>49.963636363636361</v>
      </c>
      <c r="AX119" s="11">
        <v>138.51086956521743</v>
      </c>
      <c r="AY119" s="11">
        <v>46.170289855072475</v>
      </c>
      <c r="AZ119" s="13">
        <v>77</v>
      </c>
      <c r="BA119" s="11">
        <v>9.2921226461726292E-3</v>
      </c>
    </row>
    <row r="120" spans="1:53" x14ac:dyDescent="0.25">
      <c r="A120" s="12">
        <v>117</v>
      </c>
      <c r="B120" s="12" t="s">
        <v>23</v>
      </c>
      <c r="C120" s="12">
        <v>166</v>
      </c>
      <c r="D120" s="12" t="s">
        <v>13</v>
      </c>
      <c r="E120" s="12">
        <v>127</v>
      </c>
      <c r="F120" s="11">
        <v>49.981889763779535</v>
      </c>
      <c r="G120" s="11">
        <v>34.469291338582657</v>
      </c>
      <c r="H120" s="11"/>
      <c r="I120" s="11"/>
      <c r="J120" s="11">
        <v>84.451181102362199</v>
      </c>
      <c r="K120" s="11">
        <v>42.225590551181099</v>
      </c>
      <c r="L120" s="13">
        <v>216</v>
      </c>
      <c r="M120" s="11">
        <v>-2.2759094488188936</v>
      </c>
      <c r="O120" s="12">
        <v>123</v>
      </c>
      <c r="P120" s="11">
        <v>50.886178861788615</v>
      </c>
      <c r="Q120" s="11">
        <v>39.447154471544714</v>
      </c>
      <c r="R120" s="11">
        <v>33.162601626016261</v>
      </c>
      <c r="S120" s="11"/>
      <c r="T120" s="11">
        <v>90.333333333333329</v>
      </c>
      <c r="U120" s="11">
        <v>45.166666666666664</v>
      </c>
      <c r="V120" s="13">
        <v>175</v>
      </c>
      <c r="W120" s="11">
        <v>2.9410761154855649</v>
      </c>
      <c r="Y120" s="12">
        <v>150</v>
      </c>
      <c r="Z120" s="11">
        <v>58.660714285714285</v>
      </c>
      <c r="AA120" s="11">
        <v>49.464285714285715</v>
      </c>
      <c r="AB120" s="11">
        <v>39.892857142857146</v>
      </c>
      <c r="AC120" s="11"/>
      <c r="AD120" s="11">
        <v>148.01785714285714</v>
      </c>
      <c r="AE120" s="11">
        <v>49.339285714285715</v>
      </c>
      <c r="AF120" s="13">
        <v>127</v>
      </c>
      <c r="AG120" s="11">
        <v>4.172619047619051</v>
      </c>
      <c r="AI120" s="12">
        <v>128</v>
      </c>
      <c r="AJ120" s="11">
        <v>58.5546875</v>
      </c>
      <c r="AK120" s="11">
        <v>43.1875</v>
      </c>
      <c r="AL120" s="11">
        <v>40.6796875</v>
      </c>
      <c r="AM120" s="11" t="s">
        <v>14</v>
      </c>
      <c r="AN120" s="11">
        <v>142.421875</v>
      </c>
      <c r="AO120" s="11">
        <v>47.473958333333336</v>
      </c>
      <c r="AP120" s="13">
        <v>100</v>
      </c>
      <c r="AQ120" s="11">
        <v>-1.8653273809523796</v>
      </c>
      <c r="AS120" s="12">
        <v>146</v>
      </c>
      <c r="AT120" s="11">
        <v>53.691780821917824</v>
      </c>
      <c r="AU120" s="11">
        <v>33.369178082191773</v>
      </c>
      <c r="AV120" s="11">
        <v>36.542465753424636</v>
      </c>
      <c r="AW120" s="11">
        <v>49.363636363636367</v>
      </c>
      <c r="AX120" s="11">
        <v>123.60342465753423</v>
      </c>
      <c r="AY120" s="11">
        <v>41.201141552511409</v>
      </c>
      <c r="AZ120" s="13">
        <v>144</v>
      </c>
      <c r="BA120" s="11">
        <v>-6.2728167808219268</v>
      </c>
    </row>
    <row r="121" spans="1:53" x14ac:dyDescent="0.25">
      <c r="A121" s="12">
        <v>118</v>
      </c>
      <c r="B121" s="12" t="s">
        <v>23</v>
      </c>
      <c r="C121" s="12">
        <v>180</v>
      </c>
      <c r="D121" s="12" t="s">
        <v>12</v>
      </c>
      <c r="E121" s="12">
        <v>93</v>
      </c>
      <c r="F121" s="11">
        <v>41.658064516129024</v>
      </c>
      <c r="G121" s="11">
        <v>30.9247311827957</v>
      </c>
      <c r="H121" s="11"/>
      <c r="I121" s="11"/>
      <c r="J121" s="11">
        <v>72.582795698924727</v>
      </c>
      <c r="K121" s="11">
        <v>36.291397849462363</v>
      </c>
      <c r="L121" s="13">
        <v>268</v>
      </c>
      <c r="M121" s="11">
        <v>4.8026223392582779</v>
      </c>
      <c r="O121" s="12">
        <v>99</v>
      </c>
      <c r="P121" s="11">
        <v>43.909090909090907</v>
      </c>
      <c r="Q121" s="11">
        <v>38.040404040404042</v>
      </c>
      <c r="R121" s="11">
        <v>24.505050505050505</v>
      </c>
      <c r="S121" s="11"/>
      <c r="T121" s="11">
        <v>81.949494949494948</v>
      </c>
      <c r="U121" s="11">
        <v>40.974747474747474</v>
      </c>
      <c r="V121" s="13">
        <v>241</v>
      </c>
      <c r="W121" s="11">
        <v>4.6833496252851106</v>
      </c>
      <c r="Y121" s="12">
        <v>131</v>
      </c>
      <c r="Z121" s="11">
        <v>45.422413793103445</v>
      </c>
      <c r="AA121" s="11">
        <v>44.129310344827587</v>
      </c>
      <c r="AB121" s="11">
        <v>33.741379310344826</v>
      </c>
      <c r="AC121" s="11"/>
      <c r="AD121" s="11">
        <v>123.29310344827586</v>
      </c>
      <c r="AE121" s="11">
        <v>41.097701149425284</v>
      </c>
      <c r="AF121" s="13">
        <v>262</v>
      </c>
      <c r="AG121" s="11">
        <v>0.12295367467780949</v>
      </c>
      <c r="AI121" s="12">
        <v>116</v>
      </c>
      <c r="AJ121" s="11">
        <v>40.181034482758619</v>
      </c>
      <c r="AK121" s="11">
        <v>31.206896551724139</v>
      </c>
      <c r="AL121" s="11">
        <v>23.913793103448278</v>
      </c>
      <c r="AM121" s="11" t="s">
        <v>14</v>
      </c>
      <c r="AN121" s="11">
        <v>95.301724137931046</v>
      </c>
      <c r="AO121" s="11">
        <v>31.767241379310349</v>
      </c>
      <c r="AP121" s="13">
        <v>286</v>
      </c>
      <c r="AQ121" s="11">
        <v>-9.3304597701149348</v>
      </c>
      <c r="AS121" s="12">
        <v>131</v>
      </c>
      <c r="AT121" s="11">
        <v>40.109230769230777</v>
      </c>
      <c r="AU121" s="11">
        <v>27.822307692307703</v>
      </c>
      <c r="AV121" s="11">
        <v>23.43384615384614</v>
      </c>
      <c r="AW121" s="11"/>
      <c r="AX121" s="11">
        <v>91.365384615384613</v>
      </c>
      <c r="AY121" s="11">
        <v>30.455128205128204</v>
      </c>
      <c r="AZ121" s="13">
        <v>288</v>
      </c>
      <c r="BA121" s="11">
        <v>-1.3121131741821443</v>
      </c>
    </row>
    <row r="122" spans="1:53" x14ac:dyDescent="0.25">
      <c r="A122" s="12">
        <v>119</v>
      </c>
      <c r="B122" s="12" t="s">
        <v>23</v>
      </c>
      <c r="C122" s="12">
        <v>184</v>
      </c>
      <c r="D122" s="12" t="s">
        <v>12</v>
      </c>
      <c r="E122" s="12">
        <v>46</v>
      </c>
      <c r="F122" s="11">
        <v>45.810869565217388</v>
      </c>
      <c r="G122" s="11">
        <v>33.215217391304343</v>
      </c>
      <c r="H122" s="11"/>
      <c r="I122" s="11"/>
      <c r="J122" s="11">
        <v>79.026086956521738</v>
      </c>
      <c r="K122" s="11">
        <v>39.513043478260869</v>
      </c>
      <c r="L122" s="13">
        <v>256</v>
      </c>
      <c r="M122" s="11">
        <v>6.3870434782608712</v>
      </c>
      <c r="O122" s="12">
        <v>37</v>
      </c>
      <c r="P122" s="11">
        <v>40.621621621621621</v>
      </c>
      <c r="Q122" s="11">
        <v>30.594594594594593</v>
      </c>
      <c r="R122" s="11">
        <v>25.297297297297298</v>
      </c>
      <c r="S122" s="11"/>
      <c r="T122" s="11">
        <v>71.21621621621621</v>
      </c>
      <c r="U122" s="11">
        <v>35.608108108108105</v>
      </c>
      <c r="V122" s="13">
        <v>286</v>
      </c>
      <c r="W122" s="11">
        <v>-3.9049353701527636</v>
      </c>
      <c r="Y122" s="12">
        <v>52</v>
      </c>
      <c r="Z122" s="11">
        <v>46.730769230769234</v>
      </c>
      <c r="AA122" s="11">
        <v>39.53846153846154</v>
      </c>
      <c r="AB122" s="11">
        <v>31.807692307692307</v>
      </c>
      <c r="AC122" s="11"/>
      <c r="AD122" s="11">
        <v>118.07692307692308</v>
      </c>
      <c r="AE122" s="11">
        <v>39.358974358974358</v>
      </c>
      <c r="AF122" s="13">
        <v>275</v>
      </c>
      <c r="AG122" s="11">
        <v>3.7508662508662525</v>
      </c>
      <c r="AI122" s="12">
        <v>36</v>
      </c>
      <c r="AJ122" s="11">
        <v>42.055555555555557</v>
      </c>
      <c r="AK122" s="11">
        <v>32.666666666666664</v>
      </c>
      <c r="AL122" s="11">
        <v>27.361111111111111</v>
      </c>
      <c r="AM122" s="11" t="s">
        <v>14</v>
      </c>
      <c r="AN122" s="11">
        <v>102.08333333333334</v>
      </c>
      <c r="AO122" s="11">
        <v>34.027777777777779</v>
      </c>
      <c r="AP122" s="13">
        <v>271</v>
      </c>
      <c r="AQ122" s="11">
        <v>-5.3311965811965791</v>
      </c>
      <c r="AS122" s="12">
        <v>53</v>
      </c>
      <c r="AT122" s="11">
        <v>45.011320754716991</v>
      </c>
      <c r="AU122" s="11">
        <v>24.303773584905663</v>
      </c>
      <c r="AV122" s="11">
        <v>28.130188679245276</v>
      </c>
      <c r="AW122" s="11"/>
      <c r="AX122" s="11">
        <v>97.445283018867926</v>
      </c>
      <c r="AY122" s="11">
        <v>32.481761006289311</v>
      </c>
      <c r="AZ122" s="13">
        <v>275</v>
      </c>
      <c r="BA122" s="11">
        <v>-1.5460167714884676</v>
      </c>
    </row>
    <row r="123" spans="1:53" x14ac:dyDescent="0.25">
      <c r="A123" s="12">
        <v>120</v>
      </c>
      <c r="B123" s="12" t="s">
        <v>23</v>
      </c>
      <c r="C123" s="12">
        <v>195</v>
      </c>
      <c r="D123" s="12" t="s">
        <v>12</v>
      </c>
      <c r="E123" s="12">
        <v>92</v>
      </c>
      <c r="F123" s="11">
        <v>33.583695652173915</v>
      </c>
      <c r="G123" s="11">
        <v>27.483695652173914</v>
      </c>
      <c r="H123" s="11"/>
      <c r="I123" s="11"/>
      <c r="J123" s="11">
        <v>61.067391304347829</v>
      </c>
      <c r="K123" s="11">
        <v>30.533695652173915</v>
      </c>
      <c r="L123" s="13">
        <v>293</v>
      </c>
      <c r="M123" s="11">
        <v>-2.4561853002070286</v>
      </c>
      <c r="O123" s="12">
        <v>99</v>
      </c>
      <c r="P123" s="11">
        <v>39.111111111111114</v>
      </c>
      <c r="Q123" s="11">
        <v>32.676767676767675</v>
      </c>
      <c r="R123" s="11">
        <v>24.070707070707069</v>
      </c>
      <c r="S123" s="11"/>
      <c r="T123" s="11">
        <v>71.787878787878782</v>
      </c>
      <c r="U123" s="11">
        <v>35.893939393939391</v>
      </c>
      <c r="V123" s="13">
        <v>285</v>
      </c>
      <c r="W123" s="11">
        <v>5.3602437417654762</v>
      </c>
      <c r="Y123" s="12">
        <v>119</v>
      </c>
      <c r="Z123" s="11">
        <v>45.71</v>
      </c>
      <c r="AA123" s="11">
        <v>41.81</v>
      </c>
      <c r="AB123" s="11">
        <v>30.52</v>
      </c>
      <c r="AC123" s="11"/>
      <c r="AD123" s="11">
        <v>118.04</v>
      </c>
      <c r="AE123" s="11">
        <v>39.346666666666671</v>
      </c>
      <c r="AF123" s="13">
        <v>276</v>
      </c>
      <c r="AG123" s="11">
        <v>3.4527272727272802</v>
      </c>
      <c r="AI123" s="12">
        <v>123</v>
      </c>
      <c r="AJ123" s="11">
        <v>41.024390243902438</v>
      </c>
      <c r="AK123" s="11">
        <v>38.048780487804876</v>
      </c>
      <c r="AL123" s="11">
        <v>28.601626016260163</v>
      </c>
      <c r="AM123" s="11" t="s">
        <v>14</v>
      </c>
      <c r="AN123" s="11">
        <v>107.67479674796746</v>
      </c>
      <c r="AO123" s="11">
        <v>35.891598915989157</v>
      </c>
      <c r="AP123" s="13">
        <v>253</v>
      </c>
      <c r="AQ123" s="11">
        <v>-3.4550677506775145</v>
      </c>
      <c r="AS123" s="12">
        <v>119</v>
      </c>
      <c r="AT123" s="11">
        <v>44.477310924369718</v>
      </c>
      <c r="AU123" s="11">
        <v>32.264705882352949</v>
      </c>
      <c r="AV123" s="11">
        <v>27.705042016806701</v>
      </c>
      <c r="AW123" s="11"/>
      <c r="AX123" s="11">
        <v>104.44705882352936</v>
      </c>
      <c r="AY123" s="11">
        <v>34.815686274509787</v>
      </c>
      <c r="AZ123" s="13">
        <v>254</v>
      </c>
      <c r="BA123" s="11">
        <v>-1.0759126414793698</v>
      </c>
    </row>
    <row r="124" spans="1:53" x14ac:dyDescent="0.25">
      <c r="A124" s="12">
        <v>121</v>
      </c>
      <c r="B124" s="12" t="s">
        <v>23</v>
      </c>
      <c r="C124" s="12">
        <v>197</v>
      </c>
      <c r="D124" s="12" t="s">
        <v>12</v>
      </c>
      <c r="E124" s="12">
        <v>37</v>
      </c>
      <c r="F124" s="11">
        <v>40.400000000000006</v>
      </c>
      <c r="G124" s="11">
        <v>25.732432432432436</v>
      </c>
      <c r="H124" s="11"/>
      <c r="I124" s="11"/>
      <c r="J124" s="11">
        <v>66.132432432432438</v>
      </c>
      <c r="K124" s="11">
        <v>33.066216216216219</v>
      </c>
      <c r="L124" s="13">
        <v>285</v>
      </c>
      <c r="M124" s="11">
        <v>4.321771771771779</v>
      </c>
      <c r="O124" s="12">
        <v>24</v>
      </c>
      <c r="P124" s="11">
        <v>49.375</v>
      </c>
      <c r="Q124" s="11">
        <v>38.791666666666664</v>
      </c>
      <c r="R124" s="11">
        <v>32.833333333333336</v>
      </c>
      <c r="S124" s="11"/>
      <c r="T124" s="11">
        <v>88.166666666666657</v>
      </c>
      <c r="U124" s="11">
        <v>44.083333333333329</v>
      </c>
      <c r="V124" s="13">
        <v>197</v>
      </c>
      <c r="W124" s="11">
        <v>11.01711711711711</v>
      </c>
      <c r="Y124" s="12">
        <v>43</v>
      </c>
      <c r="Z124" s="11">
        <v>45.93181818181818</v>
      </c>
      <c r="AA124" s="11">
        <v>39.113636363636367</v>
      </c>
      <c r="AB124" s="11">
        <v>31.454545454545453</v>
      </c>
      <c r="AC124" s="11"/>
      <c r="AD124" s="11">
        <v>116.5</v>
      </c>
      <c r="AE124" s="11">
        <v>38.833333333333336</v>
      </c>
      <c r="AF124" s="13">
        <v>282</v>
      </c>
      <c r="AG124" s="11">
        <v>-5.2499999999999929</v>
      </c>
      <c r="AI124" s="12">
        <v>39</v>
      </c>
      <c r="AJ124" s="11">
        <v>41.179487179487182</v>
      </c>
      <c r="AK124" s="11">
        <v>27.692307692307693</v>
      </c>
      <c r="AL124" s="11">
        <v>21.46153846153846</v>
      </c>
      <c r="AM124" s="11" t="s">
        <v>14</v>
      </c>
      <c r="AN124" s="11">
        <v>90.333333333333343</v>
      </c>
      <c r="AO124" s="11">
        <v>30.111111111111114</v>
      </c>
      <c r="AP124" s="13">
        <v>293</v>
      </c>
      <c r="AQ124" s="11">
        <v>-8.7222222222222214</v>
      </c>
      <c r="AS124" s="12">
        <v>49</v>
      </c>
      <c r="AT124" s="11">
        <v>41.836956521739118</v>
      </c>
      <c r="AU124" s="11">
        <v>22.449999999999992</v>
      </c>
      <c r="AV124" s="11">
        <v>22.693478260869561</v>
      </c>
      <c r="AW124" s="11"/>
      <c r="AX124" s="11">
        <v>86.980434782608683</v>
      </c>
      <c r="AY124" s="11">
        <v>28.993478260869562</v>
      </c>
      <c r="AZ124" s="13">
        <v>291</v>
      </c>
      <c r="BA124" s="11">
        <v>-1.1176328502415522</v>
      </c>
    </row>
    <row r="125" spans="1:53" x14ac:dyDescent="0.25">
      <c r="A125" s="12">
        <v>122</v>
      </c>
      <c r="B125" s="12" t="s">
        <v>23</v>
      </c>
      <c r="C125" s="12">
        <v>222</v>
      </c>
      <c r="D125" s="12" t="s">
        <v>12</v>
      </c>
      <c r="E125" s="12">
        <v>72</v>
      </c>
      <c r="F125" s="11">
        <v>47.227777777777781</v>
      </c>
      <c r="G125" s="11">
        <v>33.484722222222217</v>
      </c>
      <c r="H125" s="11"/>
      <c r="I125" s="11"/>
      <c r="J125" s="11">
        <v>80.712500000000006</v>
      </c>
      <c r="K125" s="11">
        <v>40.356250000000003</v>
      </c>
      <c r="L125" s="13">
        <v>241</v>
      </c>
      <c r="M125" s="11">
        <v>2.8462500000000048</v>
      </c>
      <c r="O125" s="12">
        <v>90</v>
      </c>
      <c r="P125" s="11">
        <v>42.533333333333331</v>
      </c>
      <c r="Q125" s="11">
        <v>28.555555555555557</v>
      </c>
      <c r="R125" s="11">
        <v>26.588888888888889</v>
      </c>
      <c r="S125" s="11"/>
      <c r="T125" s="11">
        <v>71.088888888888889</v>
      </c>
      <c r="U125" s="11">
        <v>35.544444444444444</v>
      </c>
      <c r="V125" s="13">
        <v>287</v>
      </c>
      <c r="W125" s="11">
        <v>-4.8118055555555586</v>
      </c>
      <c r="Y125" s="12">
        <v>89</v>
      </c>
      <c r="Z125" s="11">
        <v>47.189189189189186</v>
      </c>
      <c r="AA125" s="11">
        <v>39.648648648648646</v>
      </c>
      <c r="AB125" s="11">
        <v>33.162162162162161</v>
      </c>
      <c r="AC125" s="11"/>
      <c r="AD125" s="11">
        <v>120</v>
      </c>
      <c r="AE125" s="11">
        <v>40</v>
      </c>
      <c r="AF125" s="13">
        <v>272</v>
      </c>
      <c r="AG125" s="11">
        <v>4.4555555555555557</v>
      </c>
      <c r="AI125" s="12">
        <v>92</v>
      </c>
      <c r="AJ125" s="11">
        <v>47.608695652173914</v>
      </c>
      <c r="AK125" s="11">
        <v>36.826086956521742</v>
      </c>
      <c r="AL125" s="11">
        <v>37.326086956521742</v>
      </c>
      <c r="AM125" s="11" t="s">
        <v>14</v>
      </c>
      <c r="AN125" s="11">
        <v>121.7608695652174</v>
      </c>
      <c r="AO125" s="11">
        <v>40.586956521739133</v>
      </c>
      <c r="AP125" s="13">
        <v>195</v>
      </c>
      <c r="AQ125" s="11">
        <v>0.5869565217391326</v>
      </c>
      <c r="AS125" s="12">
        <v>86</v>
      </c>
      <c r="AT125" s="11">
        <v>41.784883720930225</v>
      </c>
      <c r="AU125" s="11">
        <v>24.01627906976745</v>
      </c>
      <c r="AV125" s="11">
        <v>28.723255813953493</v>
      </c>
      <c r="AW125" s="11"/>
      <c r="AX125" s="11">
        <v>94.524418604651174</v>
      </c>
      <c r="AY125" s="11">
        <v>31.508139534883725</v>
      </c>
      <c r="AZ125" s="13">
        <v>281</v>
      </c>
      <c r="BA125" s="11">
        <v>-9.0788169868554078</v>
      </c>
    </row>
    <row r="126" spans="1:53" x14ac:dyDescent="0.25">
      <c r="A126" s="12">
        <v>123</v>
      </c>
      <c r="B126" s="12" t="s">
        <v>23</v>
      </c>
      <c r="C126" s="12">
        <v>223</v>
      </c>
      <c r="D126" s="12" t="s">
        <v>12</v>
      </c>
      <c r="E126" s="12">
        <v>82</v>
      </c>
      <c r="F126" s="11">
        <v>39.146341463414643</v>
      </c>
      <c r="G126" s="11">
        <v>26.343902439024387</v>
      </c>
      <c r="H126" s="11"/>
      <c r="I126" s="11"/>
      <c r="J126" s="11">
        <v>65.490243902439033</v>
      </c>
      <c r="K126" s="11">
        <v>32.745121951219517</v>
      </c>
      <c r="L126" s="13">
        <v>288</v>
      </c>
      <c r="M126" s="11">
        <v>3.4963565191207522</v>
      </c>
      <c r="O126" s="12">
        <v>73</v>
      </c>
      <c r="P126" s="11">
        <v>35.356164383561641</v>
      </c>
      <c r="Q126" s="11">
        <v>27.904109589041095</v>
      </c>
      <c r="R126" s="11">
        <v>23.671232876712327</v>
      </c>
      <c r="S126" s="11"/>
      <c r="T126" s="11">
        <v>63.260273972602732</v>
      </c>
      <c r="U126" s="11">
        <v>31.630136986301366</v>
      </c>
      <c r="V126" s="13">
        <v>295</v>
      </c>
      <c r="W126" s="11">
        <v>-1.1149849649181505</v>
      </c>
      <c r="Y126" s="12">
        <v>117</v>
      </c>
      <c r="Z126" s="11">
        <v>35.877551020408163</v>
      </c>
      <c r="AA126" s="11">
        <v>37.183673469387756</v>
      </c>
      <c r="AB126" s="11">
        <v>27.459183673469386</v>
      </c>
      <c r="AC126" s="11"/>
      <c r="AD126" s="11">
        <v>100.5204081632653</v>
      </c>
      <c r="AE126" s="11">
        <v>33.506802721088434</v>
      </c>
      <c r="AF126" s="13">
        <v>299</v>
      </c>
      <c r="AG126" s="11">
        <v>1.8766657347870677</v>
      </c>
      <c r="AI126" s="12">
        <v>97</v>
      </c>
      <c r="AJ126" s="11">
        <v>37.350515463917525</v>
      </c>
      <c r="AK126" s="11">
        <v>29.237113402061855</v>
      </c>
      <c r="AL126" s="11">
        <v>24.298969072164947</v>
      </c>
      <c r="AM126" s="11" t="s">
        <v>14</v>
      </c>
      <c r="AN126" s="11">
        <v>90.886597938144334</v>
      </c>
      <c r="AO126" s="11">
        <v>30.295532646048112</v>
      </c>
      <c r="AP126" s="13">
        <v>292</v>
      </c>
      <c r="AQ126" s="11">
        <v>-3.2112700750403214</v>
      </c>
      <c r="AS126" s="12">
        <v>116</v>
      </c>
      <c r="AT126" s="11">
        <v>37.590350877193003</v>
      </c>
      <c r="AU126" s="11">
        <v>21.643859649122835</v>
      </c>
      <c r="AV126" s="11">
        <v>19.837719298245606</v>
      </c>
      <c r="AW126" s="11"/>
      <c r="AX126" s="11">
        <v>79.071929824561437</v>
      </c>
      <c r="AY126" s="11">
        <v>26.35730994152048</v>
      </c>
      <c r="AZ126" s="13">
        <v>301</v>
      </c>
      <c r="BA126" s="11">
        <v>-3.9382227045276323</v>
      </c>
    </row>
    <row r="127" spans="1:53" x14ac:dyDescent="0.25">
      <c r="A127" s="12">
        <v>124</v>
      </c>
      <c r="B127" s="12" t="s">
        <v>23</v>
      </c>
      <c r="C127" s="12">
        <v>224</v>
      </c>
      <c r="D127" s="12" t="s">
        <v>30</v>
      </c>
      <c r="E127" s="12">
        <v>10</v>
      </c>
      <c r="F127" s="11">
        <v>25.130000000000003</v>
      </c>
      <c r="G127" s="11">
        <v>16.100000000000001</v>
      </c>
      <c r="H127" s="11"/>
      <c r="I127" s="11"/>
      <c r="J127" s="11">
        <v>41.230000000000004</v>
      </c>
      <c r="K127" s="11">
        <v>20.615000000000002</v>
      </c>
      <c r="L127" s="13">
        <v>303</v>
      </c>
      <c r="M127" s="11">
        <v>-18.285000000000004</v>
      </c>
      <c r="O127" s="12">
        <v>9</v>
      </c>
      <c r="P127" s="11">
        <v>33.777777777777779</v>
      </c>
      <c r="Q127" s="11">
        <v>24</v>
      </c>
      <c r="R127" s="11">
        <v>18</v>
      </c>
      <c r="S127" s="11"/>
      <c r="T127" s="11">
        <v>57.777777777777779</v>
      </c>
      <c r="U127" s="11">
        <v>28.888888888888889</v>
      </c>
      <c r="V127" s="13">
        <v>301</v>
      </c>
      <c r="W127" s="11">
        <v>8.2738888888888873</v>
      </c>
      <c r="Y127" s="12">
        <v>13</v>
      </c>
      <c r="Z127" s="11">
        <v>37.714285714285715</v>
      </c>
      <c r="AA127" s="11">
        <v>32.214285714285715</v>
      </c>
      <c r="AB127" s="11">
        <v>26.928571428571427</v>
      </c>
      <c r="AC127" s="11"/>
      <c r="AD127" s="11">
        <v>96.857142857142861</v>
      </c>
      <c r="AE127" s="11">
        <v>32.285714285714285</v>
      </c>
      <c r="AF127" s="13">
        <v>301</v>
      </c>
      <c r="AG127" s="11">
        <v>3.3968253968253954</v>
      </c>
      <c r="AI127" s="12">
        <v>13</v>
      </c>
      <c r="AJ127" s="11">
        <v>37.46153846153846</v>
      </c>
      <c r="AK127" s="11">
        <v>26.153846153846153</v>
      </c>
      <c r="AL127" s="11">
        <v>17.076923076923077</v>
      </c>
      <c r="AM127" s="11" t="s">
        <v>14</v>
      </c>
      <c r="AN127" s="11">
        <v>80.692307692307693</v>
      </c>
      <c r="AO127" s="11">
        <v>26.897435897435898</v>
      </c>
      <c r="AP127" s="13">
        <v>302</v>
      </c>
      <c r="AQ127" s="11">
        <v>-5.3882783882783869</v>
      </c>
      <c r="AS127" s="12">
        <v>11</v>
      </c>
      <c r="AT127" s="11">
        <v>42.427272727272729</v>
      </c>
      <c r="AU127" s="11">
        <v>20.054545454545455</v>
      </c>
      <c r="AV127" s="11">
        <v>15.509090909090908</v>
      </c>
      <c r="AW127" s="11"/>
      <c r="AX127" s="11">
        <v>77.990909090909099</v>
      </c>
      <c r="AY127" s="11">
        <v>25.9969696969697</v>
      </c>
      <c r="AZ127" s="13">
        <v>303</v>
      </c>
      <c r="BA127" s="11">
        <v>-0.90046620046619807</v>
      </c>
    </row>
    <row r="128" spans="1:53" x14ac:dyDescent="0.25">
      <c r="A128" s="12">
        <v>125</v>
      </c>
      <c r="B128" s="12" t="s">
        <v>23</v>
      </c>
      <c r="C128" s="12">
        <v>228</v>
      </c>
      <c r="D128" s="12" t="s">
        <v>12</v>
      </c>
      <c r="E128" s="12">
        <v>61</v>
      </c>
      <c r="F128" s="11">
        <v>53.50491803278689</v>
      </c>
      <c r="G128" s="11">
        <v>36.627868852459017</v>
      </c>
      <c r="H128" s="11"/>
      <c r="I128" s="11"/>
      <c r="J128" s="11">
        <v>90.132786885245906</v>
      </c>
      <c r="K128" s="11">
        <v>45.066393442622953</v>
      </c>
      <c r="L128" s="13">
        <v>174</v>
      </c>
      <c r="M128" s="11">
        <v>-5.7291422716627665</v>
      </c>
      <c r="O128" s="12">
        <v>67</v>
      </c>
      <c r="P128" s="11">
        <v>44.621212121212125</v>
      </c>
      <c r="Q128" s="11">
        <v>36.393939393939391</v>
      </c>
      <c r="R128" s="11">
        <v>32.18181818181818</v>
      </c>
      <c r="S128" s="11"/>
      <c r="T128" s="11">
        <v>81.015151515151516</v>
      </c>
      <c r="U128" s="11">
        <v>40.507575757575758</v>
      </c>
      <c r="V128" s="13">
        <v>251</v>
      </c>
      <c r="W128" s="11">
        <v>-4.5588176850471953</v>
      </c>
      <c r="Y128" s="12">
        <v>89</v>
      </c>
      <c r="Z128" s="11">
        <v>53.467741935483872</v>
      </c>
      <c r="AA128" s="11">
        <v>44.532258064516128</v>
      </c>
      <c r="AB128" s="11">
        <v>36.725806451612904</v>
      </c>
      <c r="AC128" s="11"/>
      <c r="AD128" s="11">
        <v>134.7258064516129</v>
      </c>
      <c r="AE128" s="11">
        <v>44.908602150537632</v>
      </c>
      <c r="AF128" s="13">
        <v>212</v>
      </c>
      <c r="AG128" s="11">
        <v>4.4010263929618745</v>
      </c>
      <c r="AI128" s="12">
        <v>78</v>
      </c>
      <c r="AJ128" s="11">
        <v>52.935064935064936</v>
      </c>
      <c r="AK128" s="11">
        <v>42.805194805194802</v>
      </c>
      <c r="AL128" s="11">
        <v>40.519480519480517</v>
      </c>
      <c r="AM128" s="11">
        <v>40.4</v>
      </c>
      <c r="AN128" s="11">
        <v>136.25974025974025</v>
      </c>
      <c r="AO128" s="11">
        <v>45.419913419913421</v>
      </c>
      <c r="AP128" s="13">
        <v>128</v>
      </c>
      <c r="AQ128" s="11">
        <v>0.51131126937578841</v>
      </c>
      <c r="AS128" s="12">
        <v>100</v>
      </c>
      <c r="AT128" s="11">
        <v>53.293103448275851</v>
      </c>
      <c r="AU128" s="11">
        <v>29.729885057471265</v>
      </c>
      <c r="AV128" s="11">
        <v>35.598850574712642</v>
      </c>
      <c r="AW128" s="11">
        <v>46.705882352941174</v>
      </c>
      <c r="AX128" s="11">
        <v>118.62183908045976</v>
      </c>
      <c r="AY128" s="11">
        <v>39.540613026819919</v>
      </c>
      <c r="AZ128" s="13">
        <v>177</v>
      </c>
      <c r="BA128" s="11">
        <v>-5.8793003930935015</v>
      </c>
    </row>
    <row r="129" spans="1:53" x14ac:dyDescent="0.25">
      <c r="A129" s="12">
        <v>126</v>
      </c>
      <c r="B129" s="12" t="s">
        <v>23</v>
      </c>
      <c r="C129" s="12">
        <v>233</v>
      </c>
      <c r="D129" s="12" t="s">
        <v>12</v>
      </c>
      <c r="E129" s="12">
        <v>108</v>
      </c>
      <c r="F129" s="11">
        <v>50.105555555555554</v>
      </c>
      <c r="G129" s="11">
        <v>38.595370370370375</v>
      </c>
      <c r="H129" s="11"/>
      <c r="I129" s="11"/>
      <c r="J129" s="11">
        <v>88.70092592592593</v>
      </c>
      <c r="K129" s="11">
        <v>44.350462962962965</v>
      </c>
      <c r="L129" s="13">
        <v>186</v>
      </c>
      <c r="M129" s="11">
        <v>1.0396296296296299</v>
      </c>
      <c r="O129" s="12">
        <v>156</v>
      </c>
      <c r="P129" s="11">
        <v>45.282051282051285</v>
      </c>
      <c r="Q129" s="11">
        <v>35.03846153846154</v>
      </c>
      <c r="R129" s="11">
        <v>31.608974358974358</v>
      </c>
      <c r="S129" s="11"/>
      <c r="T129" s="11">
        <v>80.320512820512818</v>
      </c>
      <c r="U129" s="11">
        <v>40.160256410256409</v>
      </c>
      <c r="V129" s="13">
        <v>257</v>
      </c>
      <c r="W129" s="11">
        <v>-4.190206552706556</v>
      </c>
      <c r="Y129" s="12">
        <v>162</v>
      </c>
      <c r="Z129" s="11">
        <v>49.811594202898547</v>
      </c>
      <c r="AA129" s="11">
        <v>42.55797101449275</v>
      </c>
      <c r="AB129" s="11">
        <v>36.333333333333336</v>
      </c>
      <c r="AC129" s="11"/>
      <c r="AD129" s="11">
        <v>128.70289855072463</v>
      </c>
      <c r="AE129" s="11">
        <v>42.900966183574873</v>
      </c>
      <c r="AF129" s="13">
        <v>245</v>
      </c>
      <c r="AG129" s="11">
        <v>2.7407097733184642</v>
      </c>
      <c r="AI129" s="12">
        <v>151</v>
      </c>
      <c r="AJ129" s="11">
        <v>48.549668874172184</v>
      </c>
      <c r="AK129" s="11">
        <v>40.476821192052981</v>
      </c>
      <c r="AL129" s="11">
        <v>35.192052980132452</v>
      </c>
      <c r="AM129" s="11">
        <v>45.772727272727273</v>
      </c>
      <c r="AN129" s="11">
        <v>124.21854304635761</v>
      </c>
      <c r="AO129" s="11">
        <v>41.406181015452539</v>
      </c>
      <c r="AP129" s="13">
        <v>182</v>
      </c>
      <c r="AQ129" s="11">
        <v>-1.4947851681223341</v>
      </c>
      <c r="AS129" s="12">
        <v>159</v>
      </c>
      <c r="AT129" s="11">
        <v>44.771974522292972</v>
      </c>
      <c r="AU129" s="11">
        <v>24.115286624203847</v>
      </c>
      <c r="AV129" s="11">
        <v>28.623566878980906</v>
      </c>
      <c r="AW129" s="11">
        <v>53</v>
      </c>
      <c r="AX129" s="11">
        <v>97.510828025477736</v>
      </c>
      <c r="AY129" s="11">
        <v>32.503609341825914</v>
      </c>
      <c r="AZ129" s="13">
        <v>274</v>
      </c>
      <c r="BA129" s="11">
        <v>-8.9025716736266247</v>
      </c>
    </row>
    <row r="130" spans="1:53" x14ac:dyDescent="0.25">
      <c r="A130" s="12">
        <v>127</v>
      </c>
      <c r="B130" s="12" t="s">
        <v>23</v>
      </c>
      <c r="C130" s="12">
        <v>253</v>
      </c>
      <c r="D130" s="12" t="s">
        <v>12</v>
      </c>
      <c r="E130" s="12">
        <v>74</v>
      </c>
      <c r="F130" s="11">
        <v>57.839189189189185</v>
      </c>
      <c r="G130" s="11">
        <v>38.833783783783794</v>
      </c>
      <c r="H130" s="11"/>
      <c r="I130" s="11"/>
      <c r="J130" s="11">
        <v>96.672972972972985</v>
      </c>
      <c r="K130" s="11">
        <v>48.336486486486493</v>
      </c>
      <c r="L130" s="13">
        <v>135</v>
      </c>
      <c r="M130" s="11">
        <v>2.4661966314140287</v>
      </c>
      <c r="O130" s="12">
        <v>76</v>
      </c>
      <c r="P130" s="11">
        <v>57.35526315789474</v>
      </c>
      <c r="Q130" s="11">
        <v>42.881578947368418</v>
      </c>
      <c r="R130" s="11">
        <v>40.526315789473685</v>
      </c>
      <c r="S130" s="11"/>
      <c r="T130" s="11">
        <v>100.23684210526315</v>
      </c>
      <c r="U130" s="11">
        <v>50.118421052631575</v>
      </c>
      <c r="V130" s="13">
        <v>101</v>
      </c>
      <c r="W130" s="11">
        <v>1.7819345661450825</v>
      </c>
      <c r="Y130" s="12">
        <v>100</v>
      </c>
      <c r="Z130" s="11">
        <v>58.825396825396822</v>
      </c>
      <c r="AA130" s="11">
        <v>48.920634920634917</v>
      </c>
      <c r="AB130" s="11">
        <v>39.698412698412696</v>
      </c>
      <c r="AC130" s="11"/>
      <c r="AD130" s="11">
        <v>147.44444444444446</v>
      </c>
      <c r="AE130" s="11">
        <v>49.148148148148152</v>
      </c>
      <c r="AF130" s="13">
        <v>131</v>
      </c>
      <c r="AG130" s="11">
        <v>-0.97027290448342285</v>
      </c>
      <c r="AI130" s="12">
        <v>78</v>
      </c>
      <c r="AJ130" s="11">
        <v>51.269230769230766</v>
      </c>
      <c r="AK130" s="11">
        <v>41.333333333333336</v>
      </c>
      <c r="AL130" s="11">
        <v>38.628205128205131</v>
      </c>
      <c r="AM130" s="11" t="s">
        <v>14</v>
      </c>
      <c r="AN130" s="11">
        <v>131.23076923076923</v>
      </c>
      <c r="AO130" s="11">
        <v>43.743589743589745</v>
      </c>
      <c r="AP130" s="13">
        <v>147</v>
      </c>
      <c r="AQ130" s="11">
        <v>-5.4045584045584079</v>
      </c>
      <c r="AS130" s="12">
        <v>102</v>
      </c>
      <c r="AT130" s="11">
        <v>53.007843137254916</v>
      </c>
      <c r="AU130" s="11">
        <v>36.122549019607831</v>
      </c>
      <c r="AV130" s="11">
        <v>39.2127450980392</v>
      </c>
      <c r="AW130" s="11"/>
      <c r="AX130" s="11">
        <v>128.34313725490193</v>
      </c>
      <c r="AY130" s="11">
        <v>42.781045751633975</v>
      </c>
      <c r="AZ130" s="13">
        <v>124</v>
      </c>
      <c r="BA130" s="11">
        <v>-0.96254399195576923</v>
      </c>
    </row>
    <row r="131" spans="1:53" x14ac:dyDescent="0.25">
      <c r="A131" s="12">
        <v>128</v>
      </c>
      <c r="B131" s="12" t="s">
        <v>23</v>
      </c>
      <c r="C131" s="12">
        <v>273</v>
      </c>
      <c r="D131" s="12" t="s">
        <v>12</v>
      </c>
      <c r="E131" s="12">
        <v>101</v>
      </c>
      <c r="F131" s="11">
        <v>49.841584158415849</v>
      </c>
      <c r="G131" s="11">
        <v>35.247524752475222</v>
      </c>
      <c r="H131" s="11"/>
      <c r="I131" s="11"/>
      <c r="J131" s="11">
        <v>85.089108910891071</v>
      </c>
      <c r="K131" s="11">
        <v>42.544554455445535</v>
      </c>
      <c r="L131" s="13">
        <v>209</v>
      </c>
      <c r="M131" s="11">
        <v>-2.6889406901855324</v>
      </c>
      <c r="O131" s="12">
        <v>94</v>
      </c>
      <c r="P131" s="11">
        <v>54.234042553191486</v>
      </c>
      <c r="Q131" s="11">
        <v>39.212765957446805</v>
      </c>
      <c r="R131" s="11">
        <v>35.946808510638299</v>
      </c>
      <c r="S131" s="11"/>
      <c r="T131" s="11">
        <v>93.446808510638292</v>
      </c>
      <c r="U131" s="11">
        <v>46.723404255319146</v>
      </c>
      <c r="V131" s="13">
        <v>147</v>
      </c>
      <c r="W131" s="11">
        <v>4.1788497998736105</v>
      </c>
      <c r="Y131" s="12">
        <v>104</v>
      </c>
      <c r="Z131" s="11">
        <v>52.373913043478261</v>
      </c>
      <c r="AA131" s="11">
        <v>47.304347826086953</v>
      </c>
      <c r="AB131" s="11">
        <v>36</v>
      </c>
      <c r="AC131" s="11"/>
      <c r="AD131" s="11">
        <v>135.67826086956521</v>
      </c>
      <c r="AE131" s="11">
        <v>45.226086956521733</v>
      </c>
      <c r="AF131" s="13">
        <v>202</v>
      </c>
      <c r="AG131" s="11">
        <v>-1.4973172987974124</v>
      </c>
      <c r="AI131" s="12">
        <v>114</v>
      </c>
      <c r="AJ131" s="11">
        <v>51.315789473684212</v>
      </c>
      <c r="AK131" s="11">
        <v>40.315789473684212</v>
      </c>
      <c r="AL131" s="11">
        <v>39.254385964912281</v>
      </c>
      <c r="AM131" s="11">
        <v>55</v>
      </c>
      <c r="AN131" s="11">
        <v>130.88596491228071</v>
      </c>
      <c r="AO131" s="11">
        <v>43.628654970760238</v>
      </c>
      <c r="AP131" s="13">
        <v>149</v>
      </c>
      <c r="AQ131" s="11">
        <v>-1.5974319857614958</v>
      </c>
      <c r="AS131" s="12">
        <v>104</v>
      </c>
      <c r="AT131" s="11">
        <v>52.386538461538457</v>
      </c>
      <c r="AU131" s="11">
        <v>29.694230769230781</v>
      </c>
      <c r="AV131" s="11">
        <v>36.989423076923067</v>
      </c>
      <c r="AW131" s="11">
        <v>55.5625</v>
      </c>
      <c r="AX131" s="11">
        <v>119.07019230769231</v>
      </c>
      <c r="AY131" s="11">
        <v>39.690064102564101</v>
      </c>
      <c r="AZ131" s="13">
        <v>174</v>
      </c>
      <c r="BA131" s="11">
        <v>-3.9385908681961368</v>
      </c>
    </row>
    <row r="132" spans="1:53" x14ac:dyDescent="0.25">
      <c r="A132" s="12">
        <v>129</v>
      </c>
      <c r="B132" s="12" t="s">
        <v>23</v>
      </c>
      <c r="C132" s="12">
        <v>274</v>
      </c>
      <c r="D132" s="12" t="s">
        <v>12</v>
      </c>
      <c r="E132" s="12">
        <v>219</v>
      </c>
      <c r="F132" s="11">
        <v>44.121461187214607</v>
      </c>
      <c r="G132" s="11">
        <v>34.390410958904113</v>
      </c>
      <c r="H132" s="11"/>
      <c r="I132" s="11"/>
      <c r="J132" s="11">
        <v>78.511872146118719</v>
      </c>
      <c r="K132" s="11">
        <v>39.25593607305936</v>
      </c>
      <c r="L132" s="13">
        <v>257</v>
      </c>
      <c r="M132" s="11">
        <v>-0.44668172798775885</v>
      </c>
      <c r="O132" s="12">
        <v>203</v>
      </c>
      <c r="P132" s="11">
        <v>43.832512315270939</v>
      </c>
      <c r="Q132" s="11">
        <v>35.477832512315274</v>
      </c>
      <c r="R132" s="11">
        <v>29.660098522167488</v>
      </c>
      <c r="S132" s="11"/>
      <c r="T132" s="11">
        <v>79.310344827586221</v>
      </c>
      <c r="U132" s="11">
        <v>39.65517241379311</v>
      </c>
      <c r="V132" s="13">
        <v>263</v>
      </c>
      <c r="W132" s="11">
        <v>0.39923634073375069</v>
      </c>
      <c r="Y132" s="12">
        <v>285</v>
      </c>
      <c r="Z132" s="11">
        <v>50.094999999999999</v>
      </c>
      <c r="AA132" s="11">
        <v>44.59</v>
      </c>
      <c r="AB132" s="11">
        <v>32.975000000000001</v>
      </c>
      <c r="AC132" s="11"/>
      <c r="AD132" s="11">
        <v>127.66</v>
      </c>
      <c r="AE132" s="11">
        <v>42.553333333333335</v>
      </c>
      <c r="AF132" s="13">
        <v>251</v>
      </c>
      <c r="AG132" s="11">
        <v>2.8981609195402243</v>
      </c>
      <c r="AI132" s="12">
        <v>226</v>
      </c>
      <c r="AJ132" s="11">
        <v>44.438053097345133</v>
      </c>
      <c r="AK132" s="11">
        <v>36.159292035398231</v>
      </c>
      <c r="AL132" s="11">
        <v>29.743362831858406</v>
      </c>
      <c r="AM132" s="11"/>
      <c r="AN132" s="11">
        <v>110.34070796460176</v>
      </c>
      <c r="AO132" s="11">
        <v>36.780235988200587</v>
      </c>
      <c r="AP132" s="13">
        <v>245</v>
      </c>
      <c r="AQ132" s="11">
        <v>-5.7730973451327472</v>
      </c>
      <c r="AS132" s="12">
        <v>290</v>
      </c>
      <c r="AT132" s="11">
        <v>49.962499999999991</v>
      </c>
      <c r="AU132" s="11">
        <v>28.930357142857126</v>
      </c>
      <c r="AV132" s="11">
        <v>31.732142857142865</v>
      </c>
      <c r="AW132" s="11">
        <v>55.68</v>
      </c>
      <c r="AX132" s="11">
        <v>110.62499999999997</v>
      </c>
      <c r="AY132" s="11">
        <v>36.874999999999993</v>
      </c>
      <c r="AZ132" s="13">
        <v>226</v>
      </c>
      <c r="BA132" s="11">
        <v>9.4764011799405523E-2</v>
      </c>
    </row>
    <row r="133" spans="1:53" x14ac:dyDescent="0.25">
      <c r="A133" s="12">
        <v>130</v>
      </c>
      <c r="B133" s="12" t="s">
        <v>23</v>
      </c>
      <c r="C133" s="12">
        <v>288</v>
      </c>
      <c r="D133" s="12" t="s">
        <v>12</v>
      </c>
      <c r="E133" s="12">
        <v>149</v>
      </c>
      <c r="F133" s="11">
        <v>56.796644295302009</v>
      </c>
      <c r="G133" s="11">
        <v>39.479865771812086</v>
      </c>
      <c r="H133" s="11"/>
      <c r="I133" s="11"/>
      <c r="J133" s="11">
        <v>96.276510067114089</v>
      </c>
      <c r="K133" s="11">
        <v>48.138255033557044</v>
      </c>
      <c r="L133" s="13">
        <v>138</v>
      </c>
      <c r="M133" s="11">
        <v>0.4568940868114737</v>
      </c>
      <c r="O133" s="12">
        <v>184</v>
      </c>
      <c r="P133" s="11">
        <v>51.048913043478258</v>
      </c>
      <c r="Q133" s="11">
        <v>39.391304347826086</v>
      </c>
      <c r="R133" s="11">
        <v>32.755434782608695</v>
      </c>
      <c r="S133" s="11"/>
      <c r="T133" s="11">
        <v>90.440217391304344</v>
      </c>
      <c r="U133" s="11">
        <v>45.220108695652172</v>
      </c>
      <c r="V133" s="13">
        <v>173</v>
      </c>
      <c r="W133" s="11">
        <v>-2.9181463379048722</v>
      </c>
      <c r="Y133" s="12">
        <v>197</v>
      </c>
      <c r="Z133" s="11">
        <v>58.038251366120221</v>
      </c>
      <c r="AA133" s="11">
        <v>50.814207650273225</v>
      </c>
      <c r="AB133" s="11">
        <v>38.409836065573771</v>
      </c>
      <c r="AC133" s="11"/>
      <c r="AD133" s="11">
        <v>147.26229508196724</v>
      </c>
      <c r="AE133" s="11">
        <v>49.087431693989082</v>
      </c>
      <c r="AF133" s="13">
        <v>132</v>
      </c>
      <c r="AG133" s="11">
        <v>3.8673229983369097</v>
      </c>
      <c r="AI133" s="12">
        <v>202</v>
      </c>
      <c r="AJ133" s="11">
        <v>52.965346534653463</v>
      </c>
      <c r="AK133" s="11">
        <v>40.475247524752476</v>
      </c>
      <c r="AL133" s="11">
        <v>39.450495049504951</v>
      </c>
      <c r="AM133" s="11" t="s">
        <v>14</v>
      </c>
      <c r="AN133" s="11">
        <v>132.89108910891088</v>
      </c>
      <c r="AO133" s="11">
        <v>44.297029702970292</v>
      </c>
      <c r="AP133" s="13">
        <v>141</v>
      </c>
      <c r="AQ133" s="11">
        <v>-4.7904019910187898</v>
      </c>
      <c r="AS133" s="12">
        <v>192</v>
      </c>
      <c r="AT133" s="11">
        <v>54.926041666666642</v>
      </c>
      <c r="AU133" s="11">
        <v>35.182812500000011</v>
      </c>
      <c r="AV133" s="11">
        <v>38.416666666666664</v>
      </c>
      <c r="AW133" s="11"/>
      <c r="AX133" s="11">
        <v>128.5255208333333</v>
      </c>
      <c r="AY133" s="11">
        <v>42.84184027777777</v>
      </c>
      <c r="AZ133" s="13">
        <v>123</v>
      </c>
      <c r="BA133" s="11">
        <v>-1.4551894251925219</v>
      </c>
    </row>
    <row r="134" spans="1:53" x14ac:dyDescent="0.25">
      <c r="A134" s="12">
        <v>131</v>
      </c>
      <c r="B134" s="12" t="s">
        <v>23</v>
      </c>
      <c r="C134" s="12">
        <v>294</v>
      </c>
      <c r="D134" s="12" t="s">
        <v>12</v>
      </c>
      <c r="E134" s="12">
        <v>35</v>
      </c>
      <c r="F134" s="11">
        <v>59.000000000000014</v>
      </c>
      <c r="G134" s="11">
        <v>47.3</v>
      </c>
      <c r="H134" s="11"/>
      <c r="I134" s="11"/>
      <c r="J134" s="11">
        <v>106.30000000000001</v>
      </c>
      <c r="K134" s="11">
        <v>53.150000000000006</v>
      </c>
      <c r="L134" s="13">
        <v>60</v>
      </c>
      <c r="M134" s="11">
        <v>7.7655172413793139</v>
      </c>
      <c r="O134" s="12">
        <v>31</v>
      </c>
      <c r="P134" s="11">
        <v>56.741935483870968</v>
      </c>
      <c r="Q134" s="11">
        <v>46.806451612903224</v>
      </c>
      <c r="R134" s="11">
        <v>38.161290322580648</v>
      </c>
      <c r="S134" s="11"/>
      <c r="T134" s="11">
        <v>103.54838709677419</v>
      </c>
      <c r="U134" s="11">
        <v>51.774193548387096</v>
      </c>
      <c r="V134" s="13">
        <v>74</v>
      </c>
      <c r="W134" s="11">
        <v>-1.3758064516129096</v>
      </c>
      <c r="Y134" s="12">
        <v>42</v>
      </c>
      <c r="Z134" s="11">
        <v>46.666666666666664</v>
      </c>
      <c r="AA134" s="11">
        <v>49.38095238095238</v>
      </c>
      <c r="AB134" s="11">
        <v>32.428571428571431</v>
      </c>
      <c r="AC134" s="11"/>
      <c r="AD134" s="11">
        <v>128.47619047619048</v>
      </c>
      <c r="AE134" s="11">
        <v>42.82539682539683</v>
      </c>
      <c r="AF134" s="13">
        <v>247</v>
      </c>
      <c r="AG134" s="11">
        <v>-8.9487967229902665</v>
      </c>
      <c r="AI134" s="12">
        <v>32</v>
      </c>
      <c r="AJ134" s="11">
        <v>51.1875</v>
      </c>
      <c r="AK134" s="11">
        <v>40</v>
      </c>
      <c r="AL134" s="11">
        <v>37.90625</v>
      </c>
      <c r="AM134" s="11" t="s">
        <v>14</v>
      </c>
      <c r="AN134" s="11">
        <v>129.09375</v>
      </c>
      <c r="AO134" s="11">
        <v>43.03125</v>
      </c>
      <c r="AP134" s="13">
        <v>157</v>
      </c>
      <c r="AQ134" s="11">
        <v>0.20585317460317043</v>
      </c>
      <c r="AS134" s="12">
        <v>42</v>
      </c>
      <c r="AT134" s="11">
        <v>57.653658536585361</v>
      </c>
      <c r="AU134" s="11">
        <v>45.268292682926827</v>
      </c>
      <c r="AV134" s="11">
        <v>38.163414634146335</v>
      </c>
      <c r="AW134" s="11"/>
      <c r="AX134" s="11">
        <v>141.08536585365852</v>
      </c>
      <c r="AY134" s="11">
        <v>47.028455284552841</v>
      </c>
      <c r="AZ134" s="13">
        <v>63</v>
      </c>
      <c r="BA134" s="11">
        <v>3.997205284552841</v>
      </c>
    </row>
    <row r="135" spans="1:53" x14ac:dyDescent="0.25">
      <c r="A135" s="12">
        <v>132</v>
      </c>
      <c r="B135" s="12" t="s">
        <v>23</v>
      </c>
      <c r="C135" s="12">
        <v>302</v>
      </c>
      <c r="D135" s="12" t="s">
        <v>12</v>
      </c>
      <c r="E135" s="12">
        <v>40</v>
      </c>
      <c r="F135" s="11">
        <v>41.682499999999997</v>
      </c>
      <c r="G135" s="11">
        <v>29.520000000000003</v>
      </c>
      <c r="H135" s="11"/>
      <c r="I135" s="11"/>
      <c r="J135" s="11">
        <v>71.202500000000001</v>
      </c>
      <c r="K135" s="11">
        <v>35.60125</v>
      </c>
      <c r="L135" s="13">
        <v>271</v>
      </c>
      <c r="M135" s="11">
        <v>3.9768313953488317</v>
      </c>
      <c r="O135" s="12">
        <v>31</v>
      </c>
      <c r="P135" s="11">
        <v>51.741935483870968</v>
      </c>
      <c r="Q135" s="11">
        <v>42.193548387096776</v>
      </c>
      <c r="R135" s="11">
        <v>34.903225806451616</v>
      </c>
      <c r="S135" s="11"/>
      <c r="T135" s="11">
        <v>93.935483870967744</v>
      </c>
      <c r="U135" s="11">
        <v>46.967741935483872</v>
      </c>
      <c r="V135" s="13">
        <v>141</v>
      </c>
      <c r="W135" s="11">
        <v>11.366491935483872</v>
      </c>
      <c r="Y135" s="12">
        <v>56</v>
      </c>
      <c r="Z135" s="11">
        <v>44.814814814814817</v>
      </c>
      <c r="AA135" s="11">
        <v>40.870370370370374</v>
      </c>
      <c r="AB135" s="11">
        <v>31.018518518518519</v>
      </c>
      <c r="AC135" s="11"/>
      <c r="AD135" s="11">
        <v>116.70370370370371</v>
      </c>
      <c r="AE135" s="11">
        <v>38.901234567901234</v>
      </c>
      <c r="AF135" s="13">
        <v>281</v>
      </c>
      <c r="AG135" s="11">
        <v>-8.0665073675826378</v>
      </c>
      <c r="AI135" s="12">
        <v>58</v>
      </c>
      <c r="AJ135" s="11">
        <v>48.844827586206897</v>
      </c>
      <c r="AK135" s="11">
        <v>37.931034482758619</v>
      </c>
      <c r="AL135" s="11">
        <v>34.206896551724135</v>
      </c>
      <c r="AM135" s="11" t="s">
        <v>14</v>
      </c>
      <c r="AN135" s="11">
        <v>120.98275862068965</v>
      </c>
      <c r="AO135" s="11">
        <v>40.327586206896548</v>
      </c>
      <c r="AP135" s="13">
        <v>201</v>
      </c>
      <c r="AQ135" s="11">
        <v>1.4263516389953139</v>
      </c>
      <c r="AS135" s="12">
        <v>55</v>
      </c>
      <c r="AT135" s="11">
        <v>51.981818181818163</v>
      </c>
      <c r="AU135" s="11">
        <v>34.434545454545464</v>
      </c>
      <c r="AV135" s="11">
        <v>32.034545454545452</v>
      </c>
      <c r="AW135" s="11"/>
      <c r="AX135" s="11">
        <v>118.45090909090908</v>
      </c>
      <c r="AY135" s="11">
        <v>39.483636363636357</v>
      </c>
      <c r="AZ135" s="13">
        <v>178</v>
      </c>
      <c r="BA135" s="11">
        <v>-0.84394984326019085</v>
      </c>
    </row>
    <row r="136" spans="1:53" x14ac:dyDescent="0.25">
      <c r="A136" s="12">
        <v>133</v>
      </c>
      <c r="B136" s="12" t="s">
        <v>23</v>
      </c>
      <c r="C136" s="12">
        <v>303</v>
      </c>
      <c r="D136" s="12" t="s">
        <v>30</v>
      </c>
      <c r="E136" s="12">
        <v>14</v>
      </c>
      <c r="F136" s="11">
        <v>20.092857142857145</v>
      </c>
      <c r="G136" s="11">
        <v>14.171428571428569</v>
      </c>
      <c r="H136" s="11"/>
      <c r="I136" s="11"/>
      <c r="J136" s="11">
        <v>34.264285714285712</v>
      </c>
      <c r="K136" s="11">
        <v>17.132142857142856</v>
      </c>
      <c r="L136" s="13">
        <v>304</v>
      </c>
      <c r="M136" s="11">
        <v>-13.071857142857144</v>
      </c>
      <c r="O136" s="12">
        <v>26</v>
      </c>
      <c r="P136" s="11">
        <v>30.692307692307693</v>
      </c>
      <c r="Q136" s="11">
        <v>23.46153846153846</v>
      </c>
      <c r="R136" s="11">
        <v>19.576923076923077</v>
      </c>
      <c r="S136" s="11"/>
      <c r="T136" s="11">
        <v>54.153846153846153</v>
      </c>
      <c r="U136" s="11">
        <v>27.076923076923077</v>
      </c>
      <c r="V136" s="13">
        <v>303</v>
      </c>
      <c r="W136" s="11">
        <v>9.9447802197802204</v>
      </c>
      <c r="Y136" s="12">
        <v>20</v>
      </c>
      <c r="Z136" s="11">
        <v>34.75</v>
      </c>
      <c r="AA136" s="11">
        <v>31.5</v>
      </c>
      <c r="AB136" s="11">
        <v>26.5</v>
      </c>
      <c r="AC136" s="11"/>
      <c r="AD136" s="11">
        <v>92.75</v>
      </c>
      <c r="AE136" s="11">
        <v>30.916666666666668</v>
      </c>
      <c r="AF136" s="13">
        <v>303</v>
      </c>
      <c r="AG136" s="11">
        <v>3.8397435897435912</v>
      </c>
      <c r="AI136" s="12">
        <v>23</v>
      </c>
      <c r="AJ136" s="11">
        <v>33.434782608695649</v>
      </c>
      <c r="AK136" s="11">
        <v>23.130434782608695</v>
      </c>
      <c r="AL136" s="11">
        <v>19.130434782608695</v>
      </c>
      <c r="AM136" s="11" t="s">
        <v>14</v>
      </c>
      <c r="AN136" s="11">
        <v>75.695652173913032</v>
      </c>
      <c r="AO136" s="11">
        <v>25.231884057971012</v>
      </c>
      <c r="AP136" s="13">
        <v>305</v>
      </c>
      <c r="AQ136" s="11">
        <v>-5.6847826086956559</v>
      </c>
      <c r="AS136" s="12">
        <v>18</v>
      </c>
      <c r="AT136" s="11">
        <v>37.522222222222219</v>
      </c>
      <c r="AU136" s="11">
        <v>23.938888888888883</v>
      </c>
      <c r="AV136" s="11">
        <v>32.18333333333333</v>
      </c>
      <c r="AW136" s="11"/>
      <c r="AX136" s="11">
        <v>93.644444444444431</v>
      </c>
      <c r="AY136" s="11">
        <v>31.214814814814812</v>
      </c>
      <c r="AZ136" s="13">
        <v>284</v>
      </c>
      <c r="BA136" s="11">
        <v>5.9829307568437997</v>
      </c>
    </row>
    <row r="137" spans="1:53" x14ac:dyDescent="0.25">
      <c r="A137" s="12">
        <v>134</v>
      </c>
      <c r="B137" s="12" t="s">
        <v>23</v>
      </c>
      <c r="C137" s="12">
        <v>319</v>
      </c>
      <c r="D137" s="12" t="s">
        <v>12</v>
      </c>
      <c r="E137" s="12">
        <v>53</v>
      </c>
      <c r="F137" s="11">
        <v>67.060377358490541</v>
      </c>
      <c r="G137" s="11">
        <v>50.618867924528303</v>
      </c>
      <c r="H137" s="11"/>
      <c r="I137" s="11"/>
      <c r="J137" s="11">
        <v>117.67924528301884</v>
      </c>
      <c r="K137" s="11">
        <v>58.839622641509422</v>
      </c>
      <c r="L137" s="13">
        <v>18</v>
      </c>
      <c r="M137" s="11">
        <v>7.9096226415094293</v>
      </c>
      <c r="O137" s="12">
        <v>61</v>
      </c>
      <c r="P137" s="11">
        <v>55.475409836065573</v>
      </c>
      <c r="Q137" s="11">
        <v>46.360655737704917</v>
      </c>
      <c r="R137" s="11">
        <v>38.147540983606561</v>
      </c>
      <c r="S137" s="11"/>
      <c r="T137" s="11">
        <v>101.8360655737705</v>
      </c>
      <c r="U137" s="11">
        <v>50.918032786885249</v>
      </c>
      <c r="V137" s="13">
        <v>89</v>
      </c>
      <c r="W137" s="11">
        <v>-7.9215898546241732</v>
      </c>
      <c r="Y137" s="12">
        <v>65</v>
      </c>
      <c r="Z137" s="11">
        <v>61.728395061728392</v>
      </c>
      <c r="AA137" s="11">
        <v>54.246913580246911</v>
      </c>
      <c r="AB137" s="11">
        <v>43.641975308641975</v>
      </c>
      <c r="AC137" s="11"/>
      <c r="AD137" s="11">
        <v>159.61728395061726</v>
      </c>
      <c r="AE137" s="11">
        <v>53.205761316872419</v>
      </c>
      <c r="AF137" s="13">
        <v>57</v>
      </c>
      <c r="AG137" s="11">
        <v>2.2877285299871701</v>
      </c>
      <c r="AI137" s="12">
        <v>88</v>
      </c>
      <c r="AJ137" s="11">
        <v>54.329545454545453</v>
      </c>
      <c r="AK137" s="11">
        <v>46.227272727272727</v>
      </c>
      <c r="AL137" s="11">
        <v>45.079545454545453</v>
      </c>
      <c r="AM137" s="11" t="s">
        <v>14</v>
      </c>
      <c r="AN137" s="11">
        <v>145.63636363636363</v>
      </c>
      <c r="AO137" s="11">
        <v>48.54545454545454</v>
      </c>
      <c r="AP137" s="13">
        <v>81</v>
      </c>
      <c r="AQ137" s="11">
        <v>-4.6603067714178792</v>
      </c>
      <c r="AS137" s="12">
        <v>69</v>
      </c>
      <c r="AT137" s="11">
        <v>51.771014492753636</v>
      </c>
      <c r="AU137" s="11">
        <v>38.066666666666677</v>
      </c>
      <c r="AV137" s="11">
        <v>40.92173913043478</v>
      </c>
      <c r="AW137" s="11"/>
      <c r="AX137" s="11">
        <v>130.75942028985509</v>
      </c>
      <c r="AY137" s="11">
        <v>43.586473429951695</v>
      </c>
      <c r="AZ137" s="13">
        <v>105</v>
      </c>
      <c r="BA137" s="11">
        <v>-4.9589811155028443</v>
      </c>
    </row>
    <row r="138" spans="1:53" x14ac:dyDescent="0.25">
      <c r="A138" s="12">
        <v>135</v>
      </c>
      <c r="B138" s="12" t="s">
        <v>23</v>
      </c>
      <c r="C138" s="12">
        <v>320</v>
      </c>
      <c r="D138" s="12" t="s">
        <v>12</v>
      </c>
      <c r="E138" s="12">
        <v>69</v>
      </c>
      <c r="F138" s="11">
        <v>44.288405797101447</v>
      </c>
      <c r="G138" s="11">
        <v>34.997101449275362</v>
      </c>
      <c r="H138" s="11"/>
      <c r="I138" s="11"/>
      <c r="J138" s="11">
        <v>79.28550724637681</v>
      </c>
      <c r="K138" s="11">
        <v>39.642753623188405</v>
      </c>
      <c r="L138" s="13">
        <v>253</v>
      </c>
      <c r="M138" s="11">
        <v>1.1781468816153691</v>
      </c>
      <c r="O138" s="12">
        <v>102</v>
      </c>
      <c r="P138" s="11">
        <v>44.470588235294116</v>
      </c>
      <c r="Q138" s="11">
        <v>36.862745098039213</v>
      </c>
      <c r="R138" s="11">
        <v>27.127450980392158</v>
      </c>
      <c r="S138" s="11"/>
      <c r="T138" s="11">
        <v>81.333333333333329</v>
      </c>
      <c r="U138" s="11">
        <v>40.666666666666664</v>
      </c>
      <c r="V138" s="13">
        <v>246</v>
      </c>
      <c r="W138" s="11">
        <v>1.0239130434782595</v>
      </c>
      <c r="Y138" s="12">
        <v>111</v>
      </c>
      <c r="Z138" s="11">
        <v>51.10526315789474</v>
      </c>
      <c r="AA138" s="11">
        <v>50.073684210526316</v>
      </c>
      <c r="AB138" s="11">
        <v>35.473684210526315</v>
      </c>
      <c r="AC138" s="11"/>
      <c r="AD138" s="11">
        <v>136.65263157894736</v>
      </c>
      <c r="AE138" s="11">
        <v>45.550877192982455</v>
      </c>
      <c r="AF138" s="13">
        <v>196</v>
      </c>
      <c r="AG138" s="11">
        <v>4.8842105263157904</v>
      </c>
      <c r="AI138" s="12">
        <v>107</v>
      </c>
      <c r="AJ138" s="11">
        <v>45.878504672897193</v>
      </c>
      <c r="AK138" s="11">
        <v>39.738317757009348</v>
      </c>
      <c r="AL138" s="11">
        <v>33.065420560747661</v>
      </c>
      <c r="AM138" s="11" t="s">
        <v>14</v>
      </c>
      <c r="AN138" s="11">
        <v>118.6822429906542</v>
      </c>
      <c r="AO138" s="11">
        <v>39.560747663551403</v>
      </c>
      <c r="AP138" s="13">
        <v>208</v>
      </c>
      <c r="AQ138" s="11">
        <v>-5.9901295294310515</v>
      </c>
      <c r="AS138" s="12">
        <v>110</v>
      </c>
      <c r="AT138" s="11">
        <v>44.26</v>
      </c>
      <c r="AU138" s="11">
        <v>26.646363636363663</v>
      </c>
      <c r="AV138" s="11">
        <v>26.390909090909091</v>
      </c>
      <c r="AW138" s="11"/>
      <c r="AX138" s="11">
        <v>97.297272727272755</v>
      </c>
      <c r="AY138" s="11">
        <v>32.432424242424254</v>
      </c>
      <c r="AZ138" s="13">
        <v>276</v>
      </c>
      <c r="BA138" s="11">
        <v>-7.1283234211271491</v>
      </c>
    </row>
    <row r="139" spans="1:53" x14ac:dyDescent="0.25">
      <c r="A139" s="12">
        <v>136</v>
      </c>
      <c r="B139" s="12" t="s">
        <v>23</v>
      </c>
      <c r="C139" s="12">
        <v>321</v>
      </c>
      <c r="D139" s="12" t="s">
        <v>12</v>
      </c>
      <c r="E139" s="12">
        <v>60</v>
      </c>
      <c r="F139" s="11">
        <v>30.616666666666664</v>
      </c>
      <c r="G139" s="11">
        <v>20.708333333333332</v>
      </c>
      <c r="H139" s="11"/>
      <c r="I139" s="11"/>
      <c r="J139" s="11">
        <v>51.324999999999996</v>
      </c>
      <c r="K139" s="11">
        <v>25.662499999999998</v>
      </c>
      <c r="L139" s="13">
        <v>300</v>
      </c>
      <c r="M139" s="11">
        <v>-4.8946428571428591</v>
      </c>
      <c r="O139" s="12">
        <v>66</v>
      </c>
      <c r="P139" s="11">
        <v>35.333333333333336</v>
      </c>
      <c r="Q139" s="11">
        <v>26.772727272727273</v>
      </c>
      <c r="R139" s="11">
        <v>23.666666666666668</v>
      </c>
      <c r="S139" s="11"/>
      <c r="T139" s="11">
        <v>62.106060606060609</v>
      </c>
      <c r="U139" s="11">
        <v>31.053030303030305</v>
      </c>
      <c r="V139" s="13">
        <v>296</v>
      </c>
      <c r="W139" s="11">
        <v>5.3905303030303067</v>
      </c>
      <c r="Y139" s="12">
        <v>86</v>
      </c>
      <c r="Z139" s="11">
        <v>34.70967741935484</v>
      </c>
      <c r="AA139" s="11">
        <v>33.903225806451616</v>
      </c>
      <c r="AB139" s="11">
        <v>29.70967741935484</v>
      </c>
      <c r="AC139" s="11"/>
      <c r="AD139" s="11">
        <v>98.32258064516131</v>
      </c>
      <c r="AE139" s="11">
        <v>32.774193548387103</v>
      </c>
      <c r="AF139" s="13">
        <v>300</v>
      </c>
      <c r="AG139" s="11">
        <v>1.7211632453567987</v>
      </c>
      <c r="AI139" s="12">
        <v>88</v>
      </c>
      <c r="AJ139" s="11">
        <v>36.647727272727273</v>
      </c>
      <c r="AK139" s="11">
        <v>28.045454545454547</v>
      </c>
      <c r="AL139" s="11">
        <v>24.931818181818183</v>
      </c>
      <c r="AM139" s="11" t="s">
        <v>14</v>
      </c>
      <c r="AN139" s="11">
        <v>89.625</v>
      </c>
      <c r="AO139" s="11">
        <v>29.875</v>
      </c>
      <c r="AP139" s="13">
        <v>295</v>
      </c>
      <c r="AQ139" s="11">
        <v>-2.8991935483871032</v>
      </c>
      <c r="AS139" s="12">
        <v>78</v>
      </c>
      <c r="AT139" s="11">
        <v>34.311999999999998</v>
      </c>
      <c r="AU139" s="11">
        <v>23.45333333333333</v>
      </c>
      <c r="AV139" s="11">
        <v>27.605333333333316</v>
      </c>
      <c r="AW139" s="11"/>
      <c r="AX139" s="11">
        <v>85.370666666666651</v>
      </c>
      <c r="AY139" s="11">
        <v>28.456888888888884</v>
      </c>
      <c r="AZ139" s="13">
        <v>294</v>
      </c>
      <c r="BA139" s="11">
        <v>-1.4181111111111164</v>
      </c>
    </row>
    <row r="140" spans="1:53" x14ac:dyDescent="0.25">
      <c r="A140" s="12">
        <v>137</v>
      </c>
      <c r="B140" s="12" t="s">
        <v>23</v>
      </c>
      <c r="C140" s="12">
        <v>331</v>
      </c>
      <c r="D140" s="12" t="s">
        <v>30</v>
      </c>
      <c r="E140" s="12"/>
      <c r="F140" s="11"/>
      <c r="G140" s="11"/>
      <c r="H140" s="11"/>
      <c r="I140" s="11"/>
      <c r="J140" s="11" t="s">
        <v>14</v>
      </c>
      <c r="K140" s="11" t="s">
        <v>14</v>
      </c>
      <c r="L140" s="13" t="s">
        <v>14</v>
      </c>
      <c r="M140" s="11" t="s">
        <v>14</v>
      </c>
      <c r="O140" s="12"/>
      <c r="P140" s="11"/>
      <c r="Q140" s="11"/>
      <c r="R140" s="11"/>
      <c r="S140" s="11"/>
      <c r="T140" s="11" t="s">
        <v>14</v>
      </c>
      <c r="U140" s="11" t="s">
        <v>14</v>
      </c>
      <c r="V140" s="13" t="s">
        <v>14</v>
      </c>
      <c r="W140" s="11" t="s">
        <v>14</v>
      </c>
      <c r="Y140" s="12"/>
      <c r="Z140" s="11"/>
      <c r="AA140" s="11"/>
      <c r="AB140" s="11"/>
      <c r="AC140" s="11"/>
      <c r="AD140" s="11" t="s">
        <v>14</v>
      </c>
      <c r="AE140" s="11" t="s">
        <v>14</v>
      </c>
      <c r="AF140" s="13" t="s">
        <v>14</v>
      </c>
      <c r="AG140" s="11" t="s">
        <v>14</v>
      </c>
      <c r="AI140" s="12">
        <v>4</v>
      </c>
      <c r="AJ140" s="11">
        <v>33.25</v>
      </c>
      <c r="AK140" s="11">
        <v>19</v>
      </c>
      <c r="AL140" s="11">
        <v>16.5</v>
      </c>
      <c r="AM140" s="11" t="s">
        <v>14</v>
      </c>
      <c r="AN140" s="11">
        <v>68.75</v>
      </c>
      <c r="AO140" s="11">
        <v>22.916666666666668</v>
      </c>
      <c r="AP140" s="13">
        <v>310</v>
      </c>
      <c r="AQ140" s="11" t="e">
        <v>#VALUE!</v>
      </c>
      <c r="AS140" s="12">
        <v>14</v>
      </c>
      <c r="AT140" s="11">
        <v>29.325000000000003</v>
      </c>
      <c r="AU140" s="11">
        <v>11.774999999999999</v>
      </c>
      <c r="AV140" s="11">
        <v>20.083333333333332</v>
      </c>
      <c r="AW140" s="11"/>
      <c r="AX140" s="11">
        <v>61.183333333333337</v>
      </c>
      <c r="AY140" s="11">
        <v>20.394444444444446</v>
      </c>
      <c r="AZ140" s="13">
        <v>311</v>
      </c>
      <c r="BA140" s="11">
        <v>-2.5222222222222221</v>
      </c>
    </row>
    <row r="141" spans="1:53" x14ac:dyDescent="0.25">
      <c r="A141" s="12">
        <v>138</v>
      </c>
      <c r="B141" s="12" t="s">
        <v>11</v>
      </c>
      <c r="C141" s="12">
        <v>4</v>
      </c>
      <c r="D141" s="12" t="s">
        <v>12</v>
      </c>
      <c r="E141" s="12">
        <v>50</v>
      </c>
      <c r="F141" s="11">
        <v>43.931999999999995</v>
      </c>
      <c r="G141" s="11">
        <v>31.402000000000001</v>
      </c>
      <c r="H141" s="11"/>
      <c r="I141" s="11"/>
      <c r="J141" s="11">
        <v>75.334000000000003</v>
      </c>
      <c r="K141" s="11">
        <v>37.667000000000002</v>
      </c>
      <c r="L141" s="13">
        <v>261</v>
      </c>
      <c r="M141" s="11">
        <v>3.1748947368421057</v>
      </c>
      <c r="O141" s="12">
        <v>51</v>
      </c>
      <c r="P141" s="11">
        <v>52.196078431372548</v>
      </c>
      <c r="Q141" s="11">
        <v>39.941176470588232</v>
      </c>
      <c r="R141" s="11">
        <v>33.647058823529413</v>
      </c>
      <c r="S141" s="11"/>
      <c r="T141" s="11">
        <v>92.137254901960773</v>
      </c>
      <c r="U141" s="11">
        <v>46.068627450980387</v>
      </c>
      <c r="V141" s="13">
        <v>158</v>
      </c>
      <c r="W141" s="11">
        <v>8.401627450980385</v>
      </c>
      <c r="Y141" s="12">
        <v>84</v>
      </c>
      <c r="Z141" s="11">
        <v>47.842857142857142</v>
      </c>
      <c r="AA141" s="11">
        <v>44.9</v>
      </c>
      <c r="AB141" s="11">
        <v>33.714285714285715</v>
      </c>
      <c r="AC141" s="11"/>
      <c r="AD141" s="11">
        <v>126.45714285714286</v>
      </c>
      <c r="AE141" s="11">
        <v>42.152380952380952</v>
      </c>
      <c r="AF141" s="13">
        <v>255</v>
      </c>
      <c r="AG141" s="11">
        <v>-3.9162464985994347</v>
      </c>
      <c r="AI141" s="12">
        <v>71</v>
      </c>
      <c r="AJ141" s="11">
        <v>36.2112676056338</v>
      </c>
      <c r="AK141" s="11">
        <v>27.943661971830984</v>
      </c>
      <c r="AL141" s="11">
        <v>25.492957746478872</v>
      </c>
      <c r="AM141" s="11" t="s">
        <v>14</v>
      </c>
      <c r="AN141" s="11">
        <v>89.64788732394365</v>
      </c>
      <c r="AO141" s="11">
        <v>29.882629107981217</v>
      </c>
      <c r="AP141" s="13">
        <v>294</v>
      </c>
      <c r="AQ141" s="11">
        <v>-12.269751844399735</v>
      </c>
      <c r="AS141" s="12">
        <v>79</v>
      </c>
      <c r="AT141" s="11">
        <v>40.182278481012652</v>
      </c>
      <c r="AU141" s="11">
        <v>22.013924050632912</v>
      </c>
      <c r="AV141" s="11">
        <v>23.041772151898737</v>
      </c>
      <c r="AW141" s="11"/>
      <c r="AX141" s="11">
        <v>85.237974683544309</v>
      </c>
      <c r="AY141" s="11">
        <v>28.412658227848102</v>
      </c>
      <c r="AZ141" s="13">
        <v>295</v>
      </c>
      <c r="BA141" s="11">
        <v>-1.4699708801331148</v>
      </c>
    </row>
    <row r="142" spans="1:53" x14ac:dyDescent="0.25">
      <c r="A142" s="12">
        <v>139</v>
      </c>
      <c r="B142" s="12" t="s">
        <v>11</v>
      </c>
      <c r="C142" s="12">
        <v>22</v>
      </c>
      <c r="D142" s="12" t="s">
        <v>12</v>
      </c>
      <c r="E142" s="12">
        <v>167</v>
      </c>
      <c r="F142" s="11">
        <v>47.12634730538921</v>
      </c>
      <c r="G142" s="11">
        <v>30.886826347305401</v>
      </c>
      <c r="H142" s="11"/>
      <c r="I142" s="11"/>
      <c r="J142" s="11">
        <v>78.013173652694604</v>
      </c>
      <c r="K142" s="11">
        <v>39.006586826347302</v>
      </c>
      <c r="L142" s="13">
        <v>258</v>
      </c>
      <c r="M142" s="11">
        <v>-3.7253280672697215</v>
      </c>
      <c r="O142" s="12">
        <v>140</v>
      </c>
      <c r="P142" s="11">
        <v>49.035714285714285</v>
      </c>
      <c r="Q142" s="11">
        <v>34.414285714285711</v>
      </c>
      <c r="R142" s="11">
        <v>30.907142857142858</v>
      </c>
      <c r="S142" s="11"/>
      <c r="T142" s="11">
        <v>83.449999999999989</v>
      </c>
      <c r="U142" s="11">
        <v>41.724999999999994</v>
      </c>
      <c r="V142" s="13">
        <v>225</v>
      </c>
      <c r="W142" s="11">
        <v>2.7184131736526922</v>
      </c>
      <c r="Y142" s="12">
        <v>191</v>
      </c>
      <c r="Z142" s="11">
        <v>52.360946745562131</v>
      </c>
      <c r="AA142" s="11">
        <v>39.514792899408285</v>
      </c>
      <c r="AB142" s="11">
        <v>33.355029585798817</v>
      </c>
      <c r="AC142" s="11"/>
      <c r="AD142" s="11">
        <v>125.23076923076924</v>
      </c>
      <c r="AE142" s="11">
        <v>41.743589743589745</v>
      </c>
      <c r="AF142" s="13">
        <v>258</v>
      </c>
      <c r="AG142" s="11">
        <v>1.8589743589750185E-2</v>
      </c>
      <c r="AI142" s="12">
        <v>174</v>
      </c>
      <c r="AJ142" s="11">
        <v>42.862068965517238</v>
      </c>
      <c r="AK142" s="11">
        <v>34.942528735632187</v>
      </c>
      <c r="AL142" s="11">
        <v>31.028735632183906</v>
      </c>
      <c r="AM142" s="11" t="s">
        <v>14</v>
      </c>
      <c r="AN142" s="11">
        <v>108.83333333333333</v>
      </c>
      <c r="AO142" s="11">
        <v>36.277777777777779</v>
      </c>
      <c r="AP142" s="13">
        <v>252</v>
      </c>
      <c r="AQ142" s="11">
        <v>-5.4658119658119659</v>
      </c>
      <c r="AS142" s="12">
        <v>181</v>
      </c>
      <c r="AT142" s="11">
        <v>47.549723756906104</v>
      </c>
      <c r="AU142" s="11">
        <v>29.429834254143643</v>
      </c>
      <c r="AV142" s="11">
        <v>29.897237569060785</v>
      </c>
      <c r="AW142" s="11"/>
      <c r="AX142" s="11">
        <v>106.87679558011052</v>
      </c>
      <c r="AY142" s="11">
        <v>35.625598526703506</v>
      </c>
      <c r="AZ142" s="13">
        <v>243</v>
      </c>
      <c r="BA142" s="11">
        <v>-0.65217925107427277</v>
      </c>
    </row>
    <row r="143" spans="1:53" x14ac:dyDescent="0.25">
      <c r="A143" s="12">
        <v>140</v>
      </c>
      <c r="B143" s="12" t="s">
        <v>11</v>
      </c>
      <c r="C143" s="12">
        <v>28</v>
      </c>
      <c r="D143" s="12" t="s">
        <v>12</v>
      </c>
      <c r="E143" s="12"/>
      <c r="F143" s="11"/>
      <c r="G143" s="11"/>
      <c r="H143" s="11"/>
      <c r="I143" s="11"/>
      <c r="J143" s="11" t="s">
        <v>14</v>
      </c>
      <c r="K143" s="11" t="s">
        <v>14</v>
      </c>
      <c r="L143" s="13" t="s">
        <v>14</v>
      </c>
      <c r="M143" s="11" t="s">
        <v>14</v>
      </c>
      <c r="O143" s="12">
        <v>63</v>
      </c>
      <c r="P143" s="11">
        <v>44.777777777777779</v>
      </c>
      <c r="Q143" s="11">
        <v>35.61904761904762</v>
      </c>
      <c r="R143" s="11">
        <v>31.873015873015873</v>
      </c>
      <c r="S143" s="11"/>
      <c r="T143" s="11">
        <v>80.396825396825392</v>
      </c>
      <c r="U143" s="11">
        <v>40.198412698412696</v>
      </c>
      <c r="V143" s="13">
        <v>256</v>
      </c>
      <c r="W143" s="11" t="e">
        <v>#VALUE!</v>
      </c>
      <c r="Y143" s="12">
        <v>174</v>
      </c>
      <c r="Z143" s="11">
        <v>54.6</v>
      </c>
      <c r="AA143" s="11">
        <v>52.757894736842104</v>
      </c>
      <c r="AB143" s="11">
        <v>39.357894736842105</v>
      </c>
      <c r="AC143" s="11"/>
      <c r="AD143" s="11">
        <v>146.7157894736842</v>
      </c>
      <c r="AE143" s="11">
        <v>48.90526315789473</v>
      </c>
      <c r="AF143" s="13">
        <v>137</v>
      </c>
      <c r="AG143" s="11">
        <v>8.706850459482034</v>
      </c>
      <c r="AI143" s="12">
        <v>126</v>
      </c>
      <c r="AJ143" s="11">
        <v>42.761904761904759</v>
      </c>
      <c r="AK143" s="11">
        <v>36.634920634920633</v>
      </c>
      <c r="AL143" s="11">
        <v>30.468253968253968</v>
      </c>
      <c r="AM143" s="11" t="s">
        <v>14</v>
      </c>
      <c r="AN143" s="11">
        <v>109.86507936507937</v>
      </c>
      <c r="AO143" s="11">
        <v>36.62169312169312</v>
      </c>
      <c r="AP143" s="13">
        <v>248</v>
      </c>
      <c r="AQ143" s="11">
        <v>-12.28357003620161</v>
      </c>
      <c r="AS143" s="12">
        <v>164</v>
      </c>
      <c r="AT143" s="11">
        <v>48.562195121951227</v>
      </c>
      <c r="AU143" s="11">
        <v>36.564634146341447</v>
      </c>
      <c r="AV143" s="11">
        <v>31.059146341463414</v>
      </c>
      <c r="AW143" s="11"/>
      <c r="AX143" s="11">
        <v>116.1859756097561</v>
      </c>
      <c r="AY143" s="11">
        <v>38.728658536585364</v>
      </c>
      <c r="AZ143" s="13">
        <v>191</v>
      </c>
      <c r="BA143" s="11">
        <v>2.1069654148922439</v>
      </c>
    </row>
    <row r="144" spans="1:53" x14ac:dyDescent="0.25">
      <c r="A144" s="12">
        <v>141</v>
      </c>
      <c r="B144" s="12" t="s">
        <v>11</v>
      </c>
      <c r="C144" s="12">
        <v>67</v>
      </c>
      <c r="D144" s="12" t="s">
        <v>12</v>
      </c>
      <c r="E144" s="12">
        <v>218</v>
      </c>
      <c r="F144" s="11">
        <v>50.488532110091754</v>
      </c>
      <c r="G144" s="11">
        <v>39.978440366972485</v>
      </c>
      <c r="H144" s="11"/>
      <c r="I144" s="11"/>
      <c r="J144" s="11">
        <v>90.466972477064246</v>
      </c>
      <c r="K144" s="11">
        <v>45.233486238532123</v>
      </c>
      <c r="L144" s="13">
        <v>170</v>
      </c>
      <c r="M144" s="11">
        <v>-0.62815759708428232</v>
      </c>
      <c r="O144" s="12">
        <v>215</v>
      </c>
      <c r="P144" s="11">
        <v>53.074418604651164</v>
      </c>
      <c r="Q144" s="11">
        <v>43.539534883720933</v>
      </c>
      <c r="R144" s="11">
        <v>35.046511627906973</v>
      </c>
      <c r="S144" s="11"/>
      <c r="T144" s="11">
        <v>96.61395348837209</v>
      </c>
      <c r="U144" s="11">
        <v>48.306976744186045</v>
      </c>
      <c r="V144" s="13">
        <v>124</v>
      </c>
      <c r="W144" s="11">
        <v>3.0734905056539219</v>
      </c>
      <c r="Y144" s="12">
        <v>290</v>
      </c>
      <c r="Z144" s="11">
        <v>55.030303030303031</v>
      </c>
      <c r="AA144" s="11">
        <v>47.441558441558442</v>
      </c>
      <c r="AB144" s="11">
        <v>35.341991341991339</v>
      </c>
      <c r="AC144" s="11"/>
      <c r="AD144" s="11">
        <v>137.8138528138528</v>
      </c>
      <c r="AE144" s="11">
        <v>45.937950937950937</v>
      </c>
      <c r="AF144" s="13">
        <v>188</v>
      </c>
      <c r="AG144" s="11">
        <v>-2.3690258062351077</v>
      </c>
      <c r="AI144" s="12">
        <v>263</v>
      </c>
      <c r="AJ144" s="11">
        <v>48.923954372623577</v>
      </c>
      <c r="AK144" s="11">
        <v>40.669201520912544</v>
      </c>
      <c r="AL144" s="11">
        <v>36.281368821292773</v>
      </c>
      <c r="AM144" s="11">
        <v>51.509433962264154</v>
      </c>
      <c r="AN144" s="11">
        <v>125.87452471482889</v>
      </c>
      <c r="AO144" s="11">
        <v>41.958174904942965</v>
      </c>
      <c r="AP144" s="13">
        <v>176</v>
      </c>
      <c r="AQ144" s="11">
        <v>-3.9797760330079726</v>
      </c>
      <c r="AS144" s="12">
        <v>293</v>
      </c>
      <c r="AT144" s="11">
        <v>49.19655172413794</v>
      </c>
      <c r="AU144" s="11">
        <v>31.917241379310312</v>
      </c>
      <c r="AV144" s="11">
        <v>30.40448275862072</v>
      </c>
      <c r="AW144" s="11">
        <v>52.285714285714285</v>
      </c>
      <c r="AX144" s="11">
        <v>111.51827586206896</v>
      </c>
      <c r="AY144" s="11">
        <v>37.172758620689656</v>
      </c>
      <c r="AZ144" s="13">
        <v>220</v>
      </c>
      <c r="BA144" s="11">
        <v>-4.7854162842533086</v>
      </c>
    </row>
    <row r="145" spans="1:53" x14ac:dyDescent="0.25">
      <c r="A145" s="12">
        <v>142</v>
      </c>
      <c r="B145" s="12" t="s">
        <v>11</v>
      </c>
      <c r="C145" s="12">
        <v>68</v>
      </c>
      <c r="D145" s="12" t="s">
        <v>12</v>
      </c>
      <c r="E145" s="12">
        <v>34</v>
      </c>
      <c r="F145" s="11">
        <v>49.994117647058829</v>
      </c>
      <c r="G145" s="11">
        <v>32.938235294117646</v>
      </c>
      <c r="H145" s="11"/>
      <c r="I145" s="11"/>
      <c r="J145" s="11">
        <v>82.932352941176475</v>
      </c>
      <c r="K145" s="11">
        <v>41.466176470588238</v>
      </c>
      <c r="L145" s="13">
        <v>228</v>
      </c>
      <c r="M145" s="11">
        <v>-1.017823529411757</v>
      </c>
      <c r="O145" s="12">
        <v>26</v>
      </c>
      <c r="P145" s="11">
        <v>36.307692307692307</v>
      </c>
      <c r="Q145" s="11">
        <v>23.346153846153847</v>
      </c>
      <c r="R145" s="11">
        <v>23.692307692307693</v>
      </c>
      <c r="S145" s="11"/>
      <c r="T145" s="11">
        <v>59.653846153846153</v>
      </c>
      <c r="U145" s="11">
        <v>29.826923076923077</v>
      </c>
      <c r="V145" s="13">
        <v>298</v>
      </c>
      <c r="W145" s="11">
        <v>-11.639253393665161</v>
      </c>
      <c r="Y145" s="12">
        <v>38</v>
      </c>
      <c r="Z145" s="11">
        <v>62.195652173913047</v>
      </c>
      <c r="AA145" s="11">
        <v>51.021739130434781</v>
      </c>
      <c r="AB145" s="11">
        <v>41.217391304347828</v>
      </c>
      <c r="AC145" s="11"/>
      <c r="AD145" s="11">
        <v>154.43478260869566</v>
      </c>
      <c r="AE145" s="11">
        <v>51.478260869565219</v>
      </c>
      <c r="AF145" s="13">
        <v>79</v>
      </c>
      <c r="AG145" s="11">
        <v>21.651337792642142</v>
      </c>
      <c r="AI145" s="12">
        <v>40</v>
      </c>
      <c r="AJ145" s="11">
        <v>46.674999999999997</v>
      </c>
      <c r="AK145" s="11">
        <v>29.7</v>
      </c>
      <c r="AL145" s="11">
        <v>28.625</v>
      </c>
      <c r="AM145" s="11">
        <v>42.315789473684212</v>
      </c>
      <c r="AN145" s="11">
        <v>105</v>
      </c>
      <c r="AO145" s="11">
        <v>35</v>
      </c>
      <c r="AP145" s="13">
        <v>268</v>
      </c>
      <c r="AQ145" s="11">
        <v>-16.478260869565219</v>
      </c>
      <c r="AS145" s="12">
        <v>39</v>
      </c>
      <c r="AT145" s="11">
        <v>38.584615384615383</v>
      </c>
      <c r="AU145" s="11">
        <v>29.025641025641015</v>
      </c>
      <c r="AV145" s="11">
        <v>26.687179487179492</v>
      </c>
      <c r="AW145" s="11">
        <v>50.571428571428569</v>
      </c>
      <c r="AX145" s="11">
        <v>94.297435897435889</v>
      </c>
      <c r="AY145" s="11">
        <v>31.432478632478631</v>
      </c>
      <c r="AZ145" s="13">
        <v>282</v>
      </c>
      <c r="BA145" s="11">
        <v>-3.5675213675213691</v>
      </c>
    </row>
    <row r="146" spans="1:53" x14ac:dyDescent="0.25">
      <c r="A146" s="12">
        <v>143</v>
      </c>
      <c r="B146" s="12" t="s">
        <v>11</v>
      </c>
      <c r="C146" s="12">
        <v>69</v>
      </c>
      <c r="D146" s="12" t="s">
        <v>12</v>
      </c>
      <c r="E146" s="12">
        <v>83</v>
      </c>
      <c r="F146" s="11">
        <v>49.161445783132542</v>
      </c>
      <c r="G146" s="11">
        <v>34.802409638554224</v>
      </c>
      <c r="H146" s="11"/>
      <c r="I146" s="11"/>
      <c r="J146" s="11">
        <v>83.963855421686759</v>
      </c>
      <c r="K146" s="11">
        <v>41.981927710843379</v>
      </c>
      <c r="L146" s="13">
        <v>221</v>
      </c>
      <c r="M146" s="11">
        <v>2.8166838084043633</v>
      </c>
      <c r="O146" s="12">
        <v>110</v>
      </c>
      <c r="P146" s="11">
        <v>53.954545454545453</v>
      </c>
      <c r="Q146" s="11">
        <v>41.218181818181819</v>
      </c>
      <c r="R146" s="11">
        <v>36.445454545454545</v>
      </c>
      <c r="S146" s="11"/>
      <c r="T146" s="11">
        <v>95.172727272727272</v>
      </c>
      <c r="U146" s="11">
        <v>47.586363636363636</v>
      </c>
      <c r="V146" s="13">
        <v>131</v>
      </c>
      <c r="W146" s="11">
        <v>5.6044359255202565</v>
      </c>
      <c r="Y146" s="12">
        <v>113</v>
      </c>
      <c r="Z146" s="11">
        <v>61.193548387096776</v>
      </c>
      <c r="AA146" s="11">
        <v>49.193548387096776</v>
      </c>
      <c r="AB146" s="11">
        <v>39.13978494623656</v>
      </c>
      <c r="AC146" s="11"/>
      <c r="AD146" s="11">
        <v>149.52688172043011</v>
      </c>
      <c r="AE146" s="11">
        <v>49.842293906810035</v>
      </c>
      <c r="AF146" s="13">
        <v>118</v>
      </c>
      <c r="AG146" s="11">
        <v>2.2559302704463988</v>
      </c>
      <c r="AI146" s="12">
        <v>134</v>
      </c>
      <c r="AJ146" s="11">
        <v>45.13533834586466</v>
      </c>
      <c r="AK146" s="11">
        <v>34.586466165413533</v>
      </c>
      <c r="AL146" s="11">
        <v>31.421052631578949</v>
      </c>
      <c r="AM146" s="11" t="s">
        <v>14</v>
      </c>
      <c r="AN146" s="11">
        <v>111.14285714285714</v>
      </c>
      <c r="AO146" s="11">
        <v>37.047619047619044</v>
      </c>
      <c r="AP146" s="13">
        <v>241</v>
      </c>
      <c r="AQ146" s="11">
        <v>-12.794674859190991</v>
      </c>
      <c r="AS146" s="12">
        <v>107</v>
      </c>
      <c r="AT146" s="11">
        <v>45.524299065420571</v>
      </c>
      <c r="AU146" s="11">
        <v>27.17757009345797</v>
      </c>
      <c r="AV146" s="11">
        <v>26.988785046728971</v>
      </c>
      <c r="AW146" s="11"/>
      <c r="AX146" s="11">
        <v>99.690654205607501</v>
      </c>
      <c r="AY146" s="11">
        <v>33.230218068535834</v>
      </c>
      <c r="AZ146" s="13">
        <v>269</v>
      </c>
      <c r="BA146" s="11">
        <v>-3.8174009790832102</v>
      </c>
    </row>
    <row r="147" spans="1:53" x14ac:dyDescent="0.25">
      <c r="A147" s="12">
        <v>144</v>
      </c>
      <c r="B147" s="12" t="s">
        <v>11</v>
      </c>
      <c r="C147" s="12">
        <v>71</v>
      </c>
      <c r="D147" s="12" t="s">
        <v>12</v>
      </c>
      <c r="E147" s="12">
        <v>186</v>
      </c>
      <c r="F147" s="11">
        <v>48.5532258064516</v>
      </c>
      <c r="G147" s="11">
        <v>34.188172043010745</v>
      </c>
      <c r="H147" s="11"/>
      <c r="I147" s="11"/>
      <c r="J147" s="11">
        <v>82.741397849462345</v>
      </c>
      <c r="K147" s="11">
        <v>41.370698924731172</v>
      </c>
      <c r="L147" s="13">
        <v>230</v>
      </c>
      <c r="M147" s="11">
        <v>0.44360215053761465</v>
      </c>
      <c r="O147" s="12">
        <v>119</v>
      </c>
      <c r="P147" s="11">
        <v>46.882352941176471</v>
      </c>
      <c r="Q147" s="11">
        <v>34.54621848739496</v>
      </c>
      <c r="R147" s="11">
        <v>34.260504201680675</v>
      </c>
      <c r="S147" s="11"/>
      <c r="T147" s="11">
        <v>81.428571428571431</v>
      </c>
      <c r="U147" s="11">
        <v>40.714285714285715</v>
      </c>
      <c r="V147" s="13">
        <v>245</v>
      </c>
      <c r="W147" s="11">
        <v>-0.6564132104454572</v>
      </c>
      <c r="Y147" s="12">
        <v>153</v>
      </c>
      <c r="Z147" s="11">
        <v>54.59375</v>
      </c>
      <c r="AA147" s="11">
        <v>44.9296875</v>
      </c>
      <c r="AB147" s="11">
        <v>35.6484375</v>
      </c>
      <c r="AC147" s="11"/>
      <c r="AD147" s="11">
        <v>135.171875</v>
      </c>
      <c r="AE147" s="11">
        <v>45.057291666666664</v>
      </c>
      <c r="AF147" s="13">
        <v>206</v>
      </c>
      <c r="AG147" s="11">
        <v>4.343005952380949</v>
      </c>
      <c r="AI147" s="12">
        <v>156</v>
      </c>
      <c r="AJ147" s="11">
        <v>44.224358974358971</v>
      </c>
      <c r="AK147" s="11">
        <v>34.333333333333336</v>
      </c>
      <c r="AL147" s="11">
        <v>33.403846153846153</v>
      </c>
      <c r="AM147" s="11" t="s">
        <v>14</v>
      </c>
      <c r="AN147" s="11">
        <v>111.96153846153845</v>
      </c>
      <c r="AO147" s="11">
        <v>37.320512820512818</v>
      </c>
      <c r="AP147" s="13">
        <v>237</v>
      </c>
      <c r="AQ147" s="11">
        <v>-7.7367788461538467</v>
      </c>
      <c r="AS147" s="12">
        <v>152</v>
      </c>
      <c r="AT147" s="11">
        <v>49.372368421052649</v>
      </c>
      <c r="AU147" s="11">
        <v>30.900657894736835</v>
      </c>
      <c r="AV147" s="11">
        <v>31.173026315789468</v>
      </c>
      <c r="AW147" s="11"/>
      <c r="AX147" s="11">
        <v>111.44605263157895</v>
      </c>
      <c r="AY147" s="11">
        <v>37.148684210526319</v>
      </c>
      <c r="AZ147" s="13">
        <v>222</v>
      </c>
      <c r="BA147" s="11">
        <v>-0.17182860998649829</v>
      </c>
    </row>
    <row r="148" spans="1:53" x14ac:dyDescent="0.25">
      <c r="A148" s="12">
        <v>145</v>
      </c>
      <c r="B148" s="12" t="s">
        <v>11</v>
      </c>
      <c r="C148" s="12">
        <v>72</v>
      </c>
      <c r="D148" s="12" t="s">
        <v>13</v>
      </c>
      <c r="E148" s="12">
        <v>90</v>
      </c>
      <c r="F148" s="11">
        <v>69.997777777777785</v>
      </c>
      <c r="G148" s="11">
        <v>61.778888888888872</v>
      </c>
      <c r="H148" s="11"/>
      <c r="I148" s="11"/>
      <c r="J148" s="11">
        <v>131.77666666666664</v>
      </c>
      <c r="K148" s="11">
        <v>65.888333333333321</v>
      </c>
      <c r="L148" s="13">
        <v>6</v>
      </c>
      <c r="M148" s="11">
        <v>-6.8271305841924459</v>
      </c>
      <c r="O148" s="12">
        <v>123</v>
      </c>
      <c r="P148" s="11">
        <v>67.278688524590166</v>
      </c>
      <c r="Q148" s="11">
        <v>62.893442622950822</v>
      </c>
      <c r="R148" s="11">
        <v>58.655737704918032</v>
      </c>
      <c r="S148" s="11"/>
      <c r="T148" s="11">
        <v>130.17213114754099</v>
      </c>
      <c r="U148" s="11">
        <v>65.086065573770497</v>
      </c>
      <c r="V148" s="13">
        <v>7</v>
      </c>
      <c r="W148" s="11">
        <v>-0.80226775956282381</v>
      </c>
      <c r="Y148" s="12">
        <v>183</v>
      </c>
      <c r="Z148" s="11">
        <v>67.120253164556956</v>
      </c>
      <c r="AA148" s="11">
        <v>63.72784810126582</v>
      </c>
      <c r="AB148" s="11">
        <v>52.62658227848101</v>
      </c>
      <c r="AC148" s="11"/>
      <c r="AD148" s="11">
        <v>183.47468354430379</v>
      </c>
      <c r="AE148" s="11">
        <v>61.158227848101262</v>
      </c>
      <c r="AF148" s="13">
        <v>10</v>
      </c>
      <c r="AG148" s="11">
        <v>-3.9278377256692352</v>
      </c>
      <c r="AI148" s="12">
        <v>197</v>
      </c>
      <c r="AJ148" s="11">
        <v>60.659898477157363</v>
      </c>
      <c r="AK148" s="11">
        <v>55.18781725888325</v>
      </c>
      <c r="AL148" s="11">
        <v>56.54314720812183</v>
      </c>
      <c r="AM148" s="11">
        <v>52.191176470588232</v>
      </c>
      <c r="AN148" s="11">
        <v>172.39086294416245</v>
      </c>
      <c r="AO148" s="11">
        <v>57.463620981387486</v>
      </c>
      <c r="AP148" s="13">
        <v>15</v>
      </c>
      <c r="AQ148" s="11">
        <v>-3.6946068667137766</v>
      </c>
      <c r="AS148" s="12">
        <v>167</v>
      </c>
      <c r="AT148" s="11">
        <v>60.123353293413189</v>
      </c>
      <c r="AU148" s="11">
        <v>45.004790419161687</v>
      </c>
      <c r="AV148" s="11">
        <v>48.571257485029946</v>
      </c>
      <c r="AW148" s="11">
        <v>54.07462686567164</v>
      </c>
      <c r="AX148" s="11">
        <v>153.69940119760483</v>
      </c>
      <c r="AY148" s="11">
        <v>51.233133732534945</v>
      </c>
      <c r="AZ148" s="13">
        <v>27</v>
      </c>
      <c r="BA148" s="11">
        <v>-6.2304872488525405</v>
      </c>
    </row>
    <row r="149" spans="1:53" x14ac:dyDescent="0.25">
      <c r="A149" s="12">
        <v>146</v>
      </c>
      <c r="B149" s="12" t="s">
        <v>11</v>
      </c>
      <c r="C149" s="12">
        <v>74</v>
      </c>
      <c r="D149" s="12" t="s">
        <v>12</v>
      </c>
      <c r="E149" s="12">
        <v>79</v>
      </c>
      <c r="F149" s="11">
        <v>54.467088607594953</v>
      </c>
      <c r="G149" s="11">
        <v>39.369620253164534</v>
      </c>
      <c r="H149" s="11"/>
      <c r="I149" s="11"/>
      <c r="J149" s="11">
        <v>93.836708860759487</v>
      </c>
      <c r="K149" s="11">
        <v>46.918354430379743</v>
      </c>
      <c r="L149" s="13">
        <v>151</v>
      </c>
      <c r="M149" s="11">
        <v>-0.69220894990193216</v>
      </c>
      <c r="O149" s="12">
        <v>69</v>
      </c>
      <c r="P149" s="11">
        <v>49.985507246376812</v>
      </c>
      <c r="Q149" s="11">
        <v>40.304347826086953</v>
      </c>
      <c r="R149" s="11">
        <v>36.840579710144929</v>
      </c>
      <c r="S149" s="11"/>
      <c r="T149" s="11">
        <v>90.289855072463766</v>
      </c>
      <c r="U149" s="11">
        <v>45.144927536231883</v>
      </c>
      <c r="V149" s="13">
        <v>177</v>
      </c>
      <c r="W149" s="11">
        <v>-1.7734268941478604</v>
      </c>
      <c r="Y149" s="12">
        <v>135</v>
      </c>
      <c r="Z149" s="11">
        <v>60.393939393939391</v>
      </c>
      <c r="AA149" s="11">
        <v>42.863636363636367</v>
      </c>
      <c r="AB149" s="11">
        <v>39.045454545454547</v>
      </c>
      <c r="AC149" s="11"/>
      <c r="AD149" s="11">
        <v>142.30303030303031</v>
      </c>
      <c r="AE149" s="11">
        <v>47.43434343434344</v>
      </c>
      <c r="AF149" s="13">
        <v>159</v>
      </c>
      <c r="AG149" s="11">
        <v>2.2894158981115567</v>
      </c>
      <c r="AI149" s="12">
        <v>95</v>
      </c>
      <c r="AJ149" s="11">
        <v>51.526315789473685</v>
      </c>
      <c r="AK149" s="11">
        <v>37.221052631578949</v>
      </c>
      <c r="AL149" s="11">
        <v>38.557894736842108</v>
      </c>
      <c r="AM149" s="11">
        <v>48.325000000000003</v>
      </c>
      <c r="AN149" s="11">
        <v>127.30526315789476</v>
      </c>
      <c r="AO149" s="11">
        <v>42.435087719298252</v>
      </c>
      <c r="AP149" s="13">
        <v>165</v>
      </c>
      <c r="AQ149" s="11">
        <v>-4.9992557150451873</v>
      </c>
      <c r="AS149" s="12">
        <v>135</v>
      </c>
      <c r="AT149" s="11">
        <v>50.474809160305341</v>
      </c>
      <c r="AU149" s="11">
        <v>30.379389312977107</v>
      </c>
      <c r="AV149" s="11">
        <v>38.189312977099235</v>
      </c>
      <c r="AW149" s="11">
        <v>59.981132075471699</v>
      </c>
      <c r="AX149" s="11">
        <v>119.04351145038169</v>
      </c>
      <c r="AY149" s="11">
        <v>39.681170483460562</v>
      </c>
      <c r="AZ149" s="13">
        <v>175</v>
      </c>
      <c r="BA149" s="11">
        <v>-2.7539172358376902</v>
      </c>
    </row>
    <row r="150" spans="1:53" x14ac:dyDescent="0.25">
      <c r="A150" s="12">
        <v>147</v>
      </c>
      <c r="B150" s="12" t="s">
        <v>11</v>
      </c>
      <c r="C150" s="12">
        <v>75</v>
      </c>
      <c r="D150" s="12" t="s">
        <v>12</v>
      </c>
      <c r="E150" s="12">
        <v>36</v>
      </c>
      <c r="F150" s="11">
        <v>59.525000000000006</v>
      </c>
      <c r="G150" s="11">
        <v>48.836111111111109</v>
      </c>
      <c r="H150" s="11"/>
      <c r="I150" s="11"/>
      <c r="J150" s="11">
        <v>108.36111111111111</v>
      </c>
      <c r="K150" s="11">
        <v>54.180555555555557</v>
      </c>
      <c r="L150" s="13">
        <v>48</v>
      </c>
      <c r="M150" s="11">
        <v>-1.9350694444444443</v>
      </c>
      <c r="O150" s="12">
        <v>25</v>
      </c>
      <c r="P150" s="11">
        <v>56.08</v>
      </c>
      <c r="Q150" s="11">
        <v>42.84</v>
      </c>
      <c r="R150" s="11">
        <v>29.64</v>
      </c>
      <c r="S150" s="11"/>
      <c r="T150" s="11">
        <v>98.92</v>
      </c>
      <c r="U150" s="11">
        <v>49.46</v>
      </c>
      <c r="V150" s="13">
        <v>107</v>
      </c>
      <c r="W150" s="11">
        <v>-4.7205555555555563</v>
      </c>
      <c r="Y150" s="12">
        <v>61</v>
      </c>
      <c r="Z150" s="11">
        <v>62.48</v>
      </c>
      <c r="AA150" s="11">
        <v>51.4</v>
      </c>
      <c r="AB150" s="11">
        <v>36.36</v>
      </c>
      <c r="AC150" s="11"/>
      <c r="AD150" s="11">
        <v>150.24</v>
      </c>
      <c r="AE150" s="11">
        <v>50.080000000000005</v>
      </c>
      <c r="AF150" s="13">
        <v>113</v>
      </c>
      <c r="AG150" s="11">
        <v>0.62000000000000455</v>
      </c>
      <c r="AI150" s="12">
        <v>49</v>
      </c>
      <c r="AJ150" s="11">
        <v>47.938775510204081</v>
      </c>
      <c r="AK150" s="11">
        <v>43.265306122448976</v>
      </c>
      <c r="AL150" s="11">
        <v>34.95918367346939</v>
      </c>
      <c r="AM150" s="11" t="s">
        <v>14</v>
      </c>
      <c r="AN150" s="11">
        <v>126.16326530612244</v>
      </c>
      <c r="AO150" s="11">
        <v>42.054421768707478</v>
      </c>
      <c r="AP150" s="13">
        <v>173</v>
      </c>
      <c r="AQ150" s="11">
        <v>-8.0255782312925277</v>
      </c>
      <c r="AS150" s="12">
        <v>61</v>
      </c>
      <c r="AT150" s="11">
        <v>51.401666666666657</v>
      </c>
      <c r="AU150" s="11">
        <v>30.796666666666678</v>
      </c>
      <c r="AV150" s="11">
        <v>28.574999999999989</v>
      </c>
      <c r="AW150" s="11"/>
      <c r="AX150" s="11">
        <v>110.77333333333333</v>
      </c>
      <c r="AY150" s="11">
        <v>36.92444444444444</v>
      </c>
      <c r="AZ150" s="13">
        <v>225</v>
      </c>
      <c r="BA150" s="11">
        <v>-5.129977324263038</v>
      </c>
    </row>
    <row r="151" spans="1:53" x14ac:dyDescent="0.25">
      <c r="A151" s="12">
        <v>148</v>
      </c>
      <c r="B151" s="12" t="s">
        <v>11</v>
      </c>
      <c r="C151" s="12">
        <v>78</v>
      </c>
      <c r="D151" s="12" t="s">
        <v>12</v>
      </c>
      <c r="E151" s="12">
        <v>54</v>
      </c>
      <c r="F151" s="11">
        <v>37.796296296296298</v>
      </c>
      <c r="G151" s="11">
        <v>28.638888888888886</v>
      </c>
      <c r="H151" s="11"/>
      <c r="I151" s="11"/>
      <c r="J151" s="11">
        <v>66.43518518518519</v>
      </c>
      <c r="K151" s="11">
        <v>33.217592592592595</v>
      </c>
      <c r="L151" s="13">
        <v>284</v>
      </c>
      <c r="M151" s="11">
        <v>1.1102155434122665</v>
      </c>
      <c r="O151" s="12">
        <v>49</v>
      </c>
      <c r="P151" s="11">
        <v>46.265306122448976</v>
      </c>
      <c r="Q151" s="11">
        <v>37.081632653061227</v>
      </c>
      <c r="R151" s="11">
        <v>28.959183673469386</v>
      </c>
      <c r="S151" s="11"/>
      <c r="T151" s="11">
        <v>83.34693877551021</v>
      </c>
      <c r="U151" s="11">
        <v>41.673469387755105</v>
      </c>
      <c r="V151" s="13">
        <v>228</v>
      </c>
      <c r="W151" s="11">
        <v>8.45587679516251</v>
      </c>
      <c r="Y151" s="12">
        <v>69</v>
      </c>
      <c r="Z151" s="11">
        <v>44.04</v>
      </c>
      <c r="AA151" s="11">
        <v>40.56</v>
      </c>
      <c r="AB151" s="11">
        <v>32.18</v>
      </c>
      <c r="AC151" s="11"/>
      <c r="AD151" s="11">
        <v>116.78</v>
      </c>
      <c r="AE151" s="11">
        <v>38.926666666666669</v>
      </c>
      <c r="AF151" s="13">
        <v>280</v>
      </c>
      <c r="AG151" s="11">
        <v>-2.7468027210884358</v>
      </c>
      <c r="AI151" s="12">
        <v>58</v>
      </c>
      <c r="AJ151" s="11">
        <v>38.827586206896555</v>
      </c>
      <c r="AK151" s="11">
        <v>28.827586206896552</v>
      </c>
      <c r="AL151" s="11">
        <v>25.810344827586206</v>
      </c>
      <c r="AM151" s="11" t="s">
        <v>14</v>
      </c>
      <c r="AN151" s="11">
        <v>93.465517241379317</v>
      </c>
      <c r="AO151" s="11">
        <v>31.155172413793107</v>
      </c>
      <c r="AP151" s="13">
        <v>290</v>
      </c>
      <c r="AQ151" s="11">
        <v>-7.7714942528735627</v>
      </c>
      <c r="AS151" s="12">
        <v>70</v>
      </c>
      <c r="AT151" s="11">
        <v>40.977941176470608</v>
      </c>
      <c r="AU151" s="11">
        <v>26.475000000000005</v>
      </c>
      <c r="AV151" s="11">
        <v>26.504411764705875</v>
      </c>
      <c r="AW151" s="11"/>
      <c r="AX151" s="11">
        <v>93.957352941176495</v>
      </c>
      <c r="AY151" s="11">
        <v>31.319117647058832</v>
      </c>
      <c r="AZ151" s="13">
        <v>283</v>
      </c>
      <c r="BA151" s="11">
        <v>0.16394523326572497</v>
      </c>
    </row>
    <row r="152" spans="1:53" x14ac:dyDescent="0.25">
      <c r="A152" s="12">
        <v>149</v>
      </c>
      <c r="B152" s="12" t="s">
        <v>11</v>
      </c>
      <c r="C152" s="12">
        <v>80</v>
      </c>
      <c r="D152" s="12" t="s">
        <v>12</v>
      </c>
      <c r="E152" s="12">
        <v>138</v>
      </c>
      <c r="F152" s="11">
        <v>59.219565217391306</v>
      </c>
      <c r="G152" s="11">
        <v>41.402173913043477</v>
      </c>
      <c r="H152" s="11"/>
      <c r="I152" s="11"/>
      <c r="J152" s="11">
        <v>100.62173913043478</v>
      </c>
      <c r="K152" s="11">
        <v>50.310869565217388</v>
      </c>
      <c r="L152" s="13">
        <v>102</v>
      </c>
      <c r="M152" s="11">
        <v>5.0424733388022815</v>
      </c>
      <c r="O152" s="12">
        <v>124</v>
      </c>
      <c r="P152" s="11">
        <v>54.411290322580648</v>
      </c>
      <c r="Q152" s="11">
        <v>40.056451612903224</v>
      </c>
      <c r="R152" s="11">
        <v>33.58064516129032</v>
      </c>
      <c r="S152" s="11"/>
      <c r="T152" s="11">
        <v>94.467741935483872</v>
      </c>
      <c r="U152" s="11">
        <v>47.233870967741936</v>
      </c>
      <c r="V152" s="13">
        <v>132</v>
      </c>
      <c r="W152" s="11">
        <v>-3.0769985974754519</v>
      </c>
      <c r="Y152" s="12">
        <v>144</v>
      </c>
      <c r="Z152" s="11">
        <v>54.877192982456137</v>
      </c>
      <c r="AA152" s="11">
        <v>48.192982456140349</v>
      </c>
      <c r="AB152" s="11">
        <v>36.885964912280699</v>
      </c>
      <c r="AC152" s="11"/>
      <c r="AD152" s="11">
        <v>139.95614035087721</v>
      </c>
      <c r="AE152" s="11">
        <v>46.652046783625735</v>
      </c>
      <c r="AF152" s="13">
        <v>172</v>
      </c>
      <c r="AG152" s="11">
        <v>-0.58182418411620063</v>
      </c>
      <c r="AI152" s="12">
        <v>142</v>
      </c>
      <c r="AJ152" s="11">
        <v>47.190140845070424</v>
      </c>
      <c r="AK152" s="11">
        <v>38.112676056338032</v>
      </c>
      <c r="AL152" s="11">
        <v>34.760563380281688</v>
      </c>
      <c r="AM152" s="11" t="s">
        <v>14</v>
      </c>
      <c r="AN152" s="11">
        <v>120.06338028169014</v>
      </c>
      <c r="AO152" s="11">
        <v>40.021126760563384</v>
      </c>
      <c r="AP152" s="13">
        <v>202</v>
      </c>
      <c r="AQ152" s="11">
        <v>-6.6309200230623517</v>
      </c>
      <c r="AS152" s="12">
        <v>137</v>
      </c>
      <c r="AT152" s="11">
        <v>52.478102189781012</v>
      </c>
      <c r="AU152" s="11">
        <v>34.140145985401453</v>
      </c>
      <c r="AV152" s="11">
        <v>32.713868613138693</v>
      </c>
      <c r="AW152" s="11"/>
      <c r="AX152" s="11">
        <v>119.33211678832114</v>
      </c>
      <c r="AY152" s="11">
        <v>39.777372262773717</v>
      </c>
      <c r="AZ152" s="13">
        <v>168</v>
      </c>
      <c r="BA152" s="11">
        <v>-0.2437544977896664</v>
      </c>
    </row>
    <row r="153" spans="1:53" x14ac:dyDescent="0.25">
      <c r="A153" s="12">
        <v>150</v>
      </c>
      <c r="B153" s="12" t="s">
        <v>11</v>
      </c>
      <c r="C153" s="12">
        <v>81</v>
      </c>
      <c r="D153" s="12" t="s">
        <v>12</v>
      </c>
      <c r="E153" s="12">
        <v>102</v>
      </c>
      <c r="F153" s="11">
        <v>46.823529411764703</v>
      </c>
      <c r="G153" s="11">
        <v>32.938235294117646</v>
      </c>
      <c r="H153" s="11"/>
      <c r="I153" s="11"/>
      <c r="J153" s="11">
        <v>79.761764705882342</v>
      </c>
      <c r="K153" s="11">
        <v>39.880882352941171</v>
      </c>
      <c r="L153" s="13">
        <v>247</v>
      </c>
      <c r="M153" s="11">
        <v>-3.9020721925133728</v>
      </c>
      <c r="O153" s="12">
        <v>79</v>
      </c>
      <c r="P153" s="11">
        <v>53.177215189873415</v>
      </c>
      <c r="Q153" s="11">
        <v>39.949367088607595</v>
      </c>
      <c r="R153" s="11">
        <v>40.367088607594937</v>
      </c>
      <c r="S153" s="11"/>
      <c r="T153" s="11">
        <v>93.12658227848101</v>
      </c>
      <c r="U153" s="11">
        <v>46.563291139240505</v>
      </c>
      <c r="V153" s="13">
        <v>150</v>
      </c>
      <c r="W153" s="11">
        <v>6.6824087862993338</v>
      </c>
      <c r="Y153" s="12">
        <v>138</v>
      </c>
      <c r="Z153" s="11">
        <v>53.386792452830186</v>
      </c>
      <c r="AA153" s="11">
        <v>47.424528301886795</v>
      </c>
      <c r="AB153" s="11">
        <v>38.584905660377359</v>
      </c>
      <c r="AC153" s="11"/>
      <c r="AD153" s="11">
        <v>139.39622641509433</v>
      </c>
      <c r="AE153" s="11">
        <v>46.465408805031444</v>
      </c>
      <c r="AF153" s="13">
        <v>177</v>
      </c>
      <c r="AG153" s="11">
        <v>-9.7882334209060673E-2</v>
      </c>
      <c r="AI153" s="12">
        <v>109</v>
      </c>
      <c r="AJ153" s="11">
        <v>47.348623853211009</v>
      </c>
      <c r="AK153" s="11">
        <v>38.128440366972477</v>
      </c>
      <c r="AL153" s="11">
        <v>37.247706422018346</v>
      </c>
      <c r="AM153" s="11">
        <v>52.735294117647058</v>
      </c>
      <c r="AN153" s="11">
        <v>122.72477064220183</v>
      </c>
      <c r="AO153" s="11">
        <v>40.908256880733944</v>
      </c>
      <c r="AP153" s="13">
        <v>188</v>
      </c>
      <c r="AQ153" s="11">
        <v>-5.5571519242975</v>
      </c>
      <c r="AS153" s="12">
        <v>133</v>
      </c>
      <c r="AT153" s="11">
        <v>52.934586466165392</v>
      </c>
      <c r="AU153" s="11">
        <v>32.692481203007532</v>
      </c>
      <c r="AV153" s="11">
        <v>38.547368421052639</v>
      </c>
      <c r="AW153" s="11">
        <v>54.791666666666664</v>
      </c>
      <c r="AX153" s="11">
        <v>124.17443609022557</v>
      </c>
      <c r="AY153" s="11">
        <v>41.391478696741856</v>
      </c>
      <c r="AZ153" s="13">
        <v>142</v>
      </c>
      <c r="BA153" s="11">
        <v>0.48322181600791225</v>
      </c>
    </row>
    <row r="154" spans="1:53" x14ac:dyDescent="0.25">
      <c r="A154" s="12">
        <v>151</v>
      </c>
      <c r="B154" s="12" t="s">
        <v>11</v>
      </c>
      <c r="C154" s="12">
        <v>90</v>
      </c>
      <c r="D154" s="12" t="s">
        <v>12</v>
      </c>
      <c r="E154" s="12">
        <v>93</v>
      </c>
      <c r="F154" s="11">
        <v>48.648387096774194</v>
      </c>
      <c r="G154" s="11">
        <v>38.772043010752697</v>
      </c>
      <c r="H154" s="11"/>
      <c r="I154" s="11"/>
      <c r="J154" s="11">
        <v>87.420430107526897</v>
      </c>
      <c r="K154" s="11">
        <v>43.710215053763449</v>
      </c>
      <c r="L154" s="13">
        <v>197</v>
      </c>
      <c r="M154" s="11">
        <v>2.1217150537634666</v>
      </c>
      <c r="O154" s="12">
        <v>79</v>
      </c>
      <c r="P154" s="11">
        <v>47.12658227848101</v>
      </c>
      <c r="Q154" s="11">
        <v>40.329113924050631</v>
      </c>
      <c r="R154" s="11">
        <v>30.443037974683545</v>
      </c>
      <c r="S154" s="11"/>
      <c r="T154" s="11">
        <v>87.455696202531641</v>
      </c>
      <c r="U154" s="11">
        <v>43.72784810126582</v>
      </c>
      <c r="V154" s="13">
        <v>201</v>
      </c>
      <c r="W154" s="11">
        <v>1.7633047502371824E-2</v>
      </c>
      <c r="Y154" s="12">
        <v>137</v>
      </c>
      <c r="Z154" s="11">
        <v>51.893442622950822</v>
      </c>
      <c r="AA154" s="11">
        <v>48.434426229508198</v>
      </c>
      <c r="AB154" s="11">
        <v>36.049180327868854</v>
      </c>
      <c r="AC154" s="11"/>
      <c r="AD154" s="11">
        <v>136.37704918032787</v>
      </c>
      <c r="AE154" s="11">
        <v>45.459016393442624</v>
      </c>
      <c r="AF154" s="13">
        <v>199</v>
      </c>
      <c r="AG154" s="11">
        <v>1.7311682921768039</v>
      </c>
      <c r="AI154" s="12">
        <v>134</v>
      </c>
      <c r="AJ154" s="11">
        <v>40.368421052631582</v>
      </c>
      <c r="AK154" s="11">
        <v>36.270676691729321</v>
      </c>
      <c r="AL154" s="11">
        <v>29.94736842105263</v>
      </c>
      <c r="AM154" s="11">
        <v>47.071428571428569</v>
      </c>
      <c r="AN154" s="11">
        <v>106.58646616541353</v>
      </c>
      <c r="AO154" s="11">
        <v>35.528822055137844</v>
      </c>
      <c r="AP154" s="13">
        <v>259</v>
      </c>
      <c r="AQ154" s="11">
        <v>-9.9301943383047799</v>
      </c>
      <c r="AS154" s="12">
        <v>145</v>
      </c>
      <c r="AT154" s="11">
        <v>42.938620689655188</v>
      </c>
      <c r="AU154" s="11">
        <v>27.710344827586219</v>
      </c>
      <c r="AV154" s="11">
        <v>26.935862068965502</v>
      </c>
      <c r="AW154" s="11">
        <v>55.210526315789473</v>
      </c>
      <c r="AX154" s="11">
        <v>97.584827586206913</v>
      </c>
      <c r="AY154" s="11">
        <v>32.528275862068973</v>
      </c>
      <c r="AZ154" s="13">
        <v>273</v>
      </c>
      <c r="BA154" s="11">
        <v>-3.000546193068871</v>
      </c>
    </row>
    <row r="155" spans="1:53" x14ac:dyDescent="0.25">
      <c r="A155" s="12">
        <v>152</v>
      </c>
      <c r="B155" s="12" t="s">
        <v>11</v>
      </c>
      <c r="C155" s="12">
        <v>94</v>
      </c>
      <c r="D155" s="12" t="s">
        <v>12</v>
      </c>
      <c r="E155" s="12">
        <v>52</v>
      </c>
      <c r="F155" s="11">
        <v>59.21153846153846</v>
      </c>
      <c r="G155" s="11">
        <v>44.682692307692307</v>
      </c>
      <c r="H155" s="11"/>
      <c r="I155" s="11"/>
      <c r="J155" s="11">
        <v>103.89423076923077</v>
      </c>
      <c r="K155" s="11">
        <v>51.947115384615387</v>
      </c>
      <c r="L155" s="13">
        <v>80</v>
      </c>
      <c r="M155" s="11">
        <v>2.5648573200992502</v>
      </c>
      <c r="O155" s="12">
        <v>73</v>
      </c>
      <c r="P155" s="11">
        <v>60.273972602739725</v>
      </c>
      <c r="Q155" s="11">
        <v>48.863013698630134</v>
      </c>
      <c r="R155" s="11">
        <v>44.684931506849317</v>
      </c>
      <c r="S155" s="11"/>
      <c r="T155" s="11">
        <v>109.13698630136986</v>
      </c>
      <c r="U155" s="11">
        <v>54.56849315068493</v>
      </c>
      <c r="V155" s="13">
        <v>36</v>
      </c>
      <c r="W155" s="11">
        <v>2.6213777660695428</v>
      </c>
      <c r="Y155" s="12">
        <v>78</v>
      </c>
      <c r="Z155" s="11">
        <v>48.571428571428569</v>
      </c>
      <c r="AA155" s="11">
        <v>40.653061224489797</v>
      </c>
      <c r="AB155" s="11">
        <v>40.714285714285715</v>
      </c>
      <c r="AC155" s="11"/>
      <c r="AD155" s="11">
        <v>129.9387755102041</v>
      </c>
      <c r="AE155" s="11">
        <v>43.312925170068034</v>
      </c>
      <c r="AF155" s="13">
        <v>243</v>
      </c>
      <c r="AG155" s="11">
        <v>-11.255567980616895</v>
      </c>
      <c r="AI155" s="12">
        <v>60</v>
      </c>
      <c r="AJ155" s="11">
        <v>47.133333333333333</v>
      </c>
      <c r="AK155" s="11">
        <v>37.266666666666666</v>
      </c>
      <c r="AL155" s="11">
        <v>36.68333333333333</v>
      </c>
      <c r="AM155" s="11">
        <v>48.833333333333336</v>
      </c>
      <c r="AN155" s="11">
        <v>121.08333333333334</v>
      </c>
      <c r="AO155" s="11">
        <v>40.361111111111114</v>
      </c>
      <c r="AP155" s="13">
        <v>199</v>
      </c>
      <c r="AQ155" s="11">
        <v>-2.95181405895692</v>
      </c>
      <c r="AS155" s="12">
        <v>78</v>
      </c>
      <c r="AT155" s="11">
        <v>52.802564102564098</v>
      </c>
      <c r="AU155" s="11">
        <v>33.874358974358977</v>
      </c>
      <c r="AV155" s="11">
        <v>38.30641025641026</v>
      </c>
      <c r="AW155" s="11">
        <v>43.931034482758619</v>
      </c>
      <c r="AX155" s="11">
        <v>124.98333333333333</v>
      </c>
      <c r="AY155" s="11">
        <v>41.661111111111111</v>
      </c>
      <c r="AZ155" s="13">
        <v>138</v>
      </c>
      <c r="BA155" s="11">
        <v>1.2999999999999972</v>
      </c>
    </row>
    <row r="156" spans="1:53" x14ac:dyDescent="0.25">
      <c r="A156" s="12">
        <v>153</v>
      </c>
      <c r="B156" s="12" t="s">
        <v>11</v>
      </c>
      <c r="C156" s="12">
        <v>96</v>
      </c>
      <c r="D156" s="12" t="s">
        <v>12</v>
      </c>
      <c r="E156" s="12">
        <v>54</v>
      </c>
      <c r="F156" s="11">
        <v>56.93518518518519</v>
      </c>
      <c r="G156" s="11">
        <v>41.75925925925926</v>
      </c>
      <c r="H156" s="11"/>
      <c r="I156" s="11"/>
      <c r="J156" s="11">
        <v>98.694444444444457</v>
      </c>
      <c r="K156" s="11">
        <v>49.347222222222229</v>
      </c>
      <c r="L156" s="13">
        <v>116</v>
      </c>
      <c r="M156" s="11">
        <v>-2.8759920634920491</v>
      </c>
      <c r="O156" s="12">
        <v>66</v>
      </c>
      <c r="P156" s="11">
        <v>51.81818181818182</v>
      </c>
      <c r="Q156" s="11">
        <v>49.803030303030305</v>
      </c>
      <c r="R156" s="11">
        <v>38.333333333333336</v>
      </c>
      <c r="S156" s="11"/>
      <c r="T156" s="11">
        <v>101.62121212121212</v>
      </c>
      <c r="U156" s="11">
        <v>50.810606060606062</v>
      </c>
      <c r="V156" s="13">
        <v>91</v>
      </c>
      <c r="W156" s="11">
        <v>1.4633838383838338</v>
      </c>
      <c r="Y156" s="12">
        <v>68</v>
      </c>
      <c r="Z156" s="11">
        <v>56.637681159420289</v>
      </c>
      <c r="AA156" s="11">
        <v>58.782608695652172</v>
      </c>
      <c r="AB156" s="11">
        <v>41.10144927536232</v>
      </c>
      <c r="AC156" s="11"/>
      <c r="AD156" s="11">
        <v>156.52173913043478</v>
      </c>
      <c r="AE156" s="11">
        <v>52.173913043478258</v>
      </c>
      <c r="AF156" s="13">
        <v>66</v>
      </c>
      <c r="AG156" s="11">
        <v>1.3633069828721958</v>
      </c>
      <c r="AI156" s="12">
        <v>71</v>
      </c>
      <c r="AJ156" s="11">
        <v>40.87323943661972</v>
      </c>
      <c r="AK156" s="11">
        <v>37.464788732394368</v>
      </c>
      <c r="AL156" s="11">
        <v>32.690140845070424</v>
      </c>
      <c r="AM156" s="11" t="s">
        <v>14</v>
      </c>
      <c r="AN156" s="11">
        <v>111.02816901408451</v>
      </c>
      <c r="AO156" s="11">
        <v>37.009389671361504</v>
      </c>
      <c r="AP156" s="13">
        <v>242</v>
      </c>
      <c r="AQ156" s="11">
        <v>-15.164523372116754</v>
      </c>
      <c r="AS156" s="12">
        <v>86</v>
      </c>
      <c r="AT156" s="11">
        <v>44.978823529411777</v>
      </c>
      <c r="AU156" s="11">
        <v>34.108235294117648</v>
      </c>
      <c r="AV156" s="11">
        <v>32.518823529411769</v>
      </c>
      <c r="AW156" s="11"/>
      <c r="AX156" s="11">
        <v>111.60588235294119</v>
      </c>
      <c r="AY156" s="11">
        <v>37.201960784313734</v>
      </c>
      <c r="AZ156" s="13">
        <v>219</v>
      </c>
      <c r="BA156" s="11">
        <v>0.19257111295222984</v>
      </c>
    </row>
    <row r="157" spans="1:53" x14ac:dyDescent="0.25">
      <c r="A157" s="12">
        <v>154</v>
      </c>
      <c r="B157" s="12" t="s">
        <v>11</v>
      </c>
      <c r="C157" s="12">
        <v>107</v>
      </c>
      <c r="D157" s="12" t="s">
        <v>12</v>
      </c>
      <c r="E157" s="12">
        <v>47</v>
      </c>
      <c r="F157" s="11">
        <v>53.791489361702133</v>
      </c>
      <c r="G157" s="11">
        <v>38.791489361702133</v>
      </c>
      <c r="H157" s="11"/>
      <c r="I157" s="11"/>
      <c r="J157" s="11">
        <v>92.582978723404267</v>
      </c>
      <c r="K157" s="11">
        <v>46.291489361702133</v>
      </c>
      <c r="L157" s="13">
        <v>157</v>
      </c>
      <c r="M157" s="11">
        <v>-4.7150895856662913</v>
      </c>
      <c r="O157" s="12">
        <v>41</v>
      </c>
      <c r="P157" s="11">
        <v>45.536585365853661</v>
      </c>
      <c r="Q157" s="11">
        <v>40.170731707317074</v>
      </c>
      <c r="R157" s="11">
        <v>34.780487804878049</v>
      </c>
      <c r="S157" s="11"/>
      <c r="T157" s="11">
        <v>85.707317073170742</v>
      </c>
      <c r="U157" s="11">
        <v>42.853658536585371</v>
      </c>
      <c r="V157" s="13">
        <v>214</v>
      </c>
      <c r="W157" s="11">
        <v>-3.4378308251167624</v>
      </c>
      <c r="Y157" s="12">
        <v>30</v>
      </c>
      <c r="Z157" s="11">
        <v>54.877551020408163</v>
      </c>
      <c r="AA157" s="11">
        <v>46.428571428571431</v>
      </c>
      <c r="AB157" s="11">
        <v>42.510204081632651</v>
      </c>
      <c r="AC157" s="11"/>
      <c r="AD157" s="11">
        <v>143.81632653061223</v>
      </c>
      <c r="AE157" s="11">
        <v>47.938775510204074</v>
      </c>
      <c r="AF157" s="13">
        <v>150</v>
      </c>
      <c r="AG157" s="11">
        <v>5.0851169736187032</v>
      </c>
      <c r="AI157" s="12">
        <v>45</v>
      </c>
      <c r="AJ157" s="11">
        <v>44.555555555555557</v>
      </c>
      <c r="AK157" s="11">
        <v>33.68888888888889</v>
      </c>
      <c r="AL157" s="11">
        <v>31.155555555555555</v>
      </c>
      <c r="AM157" s="11">
        <v>36.733333333333334</v>
      </c>
      <c r="AN157" s="11">
        <v>109.39999999999999</v>
      </c>
      <c r="AO157" s="11">
        <v>36.466666666666661</v>
      </c>
      <c r="AP157" s="13">
        <v>249</v>
      </c>
      <c r="AQ157" s="11">
        <v>-11.472108843537413</v>
      </c>
      <c r="AS157" s="12">
        <v>32</v>
      </c>
      <c r="AT157" s="11">
        <v>51.284375000000004</v>
      </c>
      <c r="AU157" s="11">
        <v>30.812500000000004</v>
      </c>
      <c r="AV157" s="11">
        <v>32.174999999999997</v>
      </c>
      <c r="AW157" s="11">
        <v>54.823529411764703</v>
      </c>
      <c r="AX157" s="11">
        <v>114.27187500000001</v>
      </c>
      <c r="AY157" s="11">
        <v>38.090625000000003</v>
      </c>
      <c r="AZ157" s="13">
        <v>209</v>
      </c>
      <c r="BA157" s="11">
        <v>1.6239583333333414</v>
      </c>
    </row>
    <row r="158" spans="1:53" x14ac:dyDescent="0.25">
      <c r="A158" s="12">
        <v>155</v>
      </c>
      <c r="B158" s="12" t="s">
        <v>11</v>
      </c>
      <c r="C158" s="12">
        <v>108</v>
      </c>
      <c r="D158" s="12" t="s">
        <v>12</v>
      </c>
      <c r="E158" s="12">
        <v>65</v>
      </c>
      <c r="F158" s="11">
        <v>50.972307692307673</v>
      </c>
      <c r="G158" s="11">
        <v>34.618461538461538</v>
      </c>
      <c r="H158" s="11"/>
      <c r="I158" s="11"/>
      <c r="J158" s="11">
        <v>85.590769230769212</v>
      </c>
      <c r="K158" s="11">
        <v>42.795384615384606</v>
      </c>
      <c r="L158" s="13">
        <v>207</v>
      </c>
      <c r="M158" s="11">
        <v>0.77933523266855786</v>
      </c>
      <c r="O158" s="12">
        <v>78</v>
      </c>
      <c r="P158" s="11">
        <v>42.282051282051285</v>
      </c>
      <c r="Q158" s="11">
        <v>27.03846153846154</v>
      </c>
      <c r="R158" s="11">
        <v>24.884615384615383</v>
      </c>
      <c r="S158" s="11"/>
      <c r="T158" s="11">
        <v>69.320512820512818</v>
      </c>
      <c r="U158" s="11">
        <v>34.660256410256409</v>
      </c>
      <c r="V158" s="13">
        <v>289</v>
      </c>
      <c r="W158" s="11">
        <v>-8.135128205128197</v>
      </c>
      <c r="Y158" s="12">
        <v>110</v>
      </c>
      <c r="Z158" s="11">
        <v>51.906976744186046</v>
      </c>
      <c r="AA158" s="11">
        <v>47.709302325581397</v>
      </c>
      <c r="AB158" s="11">
        <v>35.220930232558139</v>
      </c>
      <c r="AC158" s="11"/>
      <c r="AD158" s="11">
        <v>134.83720930232559</v>
      </c>
      <c r="AE158" s="11">
        <v>44.945736434108532</v>
      </c>
      <c r="AF158" s="13">
        <v>211</v>
      </c>
      <c r="AG158" s="11">
        <v>10.285480023852124</v>
      </c>
      <c r="AI158" s="12">
        <v>109</v>
      </c>
      <c r="AJ158" s="11">
        <v>41.431192660550458</v>
      </c>
      <c r="AK158" s="11">
        <v>36.110091743119263</v>
      </c>
      <c r="AL158" s="11">
        <v>29.908256880733944</v>
      </c>
      <c r="AM158" s="11" t="s">
        <v>14</v>
      </c>
      <c r="AN158" s="11">
        <v>107.44954128440367</v>
      </c>
      <c r="AO158" s="11">
        <v>35.816513761467888</v>
      </c>
      <c r="AP158" s="13">
        <v>254</v>
      </c>
      <c r="AQ158" s="11">
        <v>-9.129222672640644</v>
      </c>
      <c r="AS158" s="12">
        <v>107</v>
      </c>
      <c r="AT158" s="11">
        <v>41.696261682242998</v>
      </c>
      <c r="AU158" s="11">
        <v>26.064485981308426</v>
      </c>
      <c r="AV158" s="11">
        <v>24.242990654205606</v>
      </c>
      <c r="AW158" s="11"/>
      <c r="AX158" s="11">
        <v>92.00373831775704</v>
      </c>
      <c r="AY158" s="11">
        <v>30.66791277258568</v>
      </c>
      <c r="AZ158" s="13">
        <v>285</v>
      </c>
      <c r="BA158" s="11">
        <v>-5.1486009888822082</v>
      </c>
    </row>
    <row r="159" spans="1:53" x14ac:dyDescent="0.25">
      <c r="A159" s="12">
        <v>156</v>
      </c>
      <c r="B159" s="12" t="s">
        <v>11</v>
      </c>
      <c r="C159" s="12">
        <v>112</v>
      </c>
      <c r="D159" s="12" t="s">
        <v>12</v>
      </c>
      <c r="E159" s="12">
        <v>60</v>
      </c>
      <c r="F159" s="11">
        <v>51.335000000000008</v>
      </c>
      <c r="G159" s="11">
        <v>34.143333333333331</v>
      </c>
      <c r="H159" s="11"/>
      <c r="I159" s="11"/>
      <c r="J159" s="11">
        <v>85.478333333333339</v>
      </c>
      <c r="K159" s="11">
        <v>42.739166666666669</v>
      </c>
      <c r="L159" s="13">
        <v>208</v>
      </c>
      <c r="M159" s="11">
        <v>-9.1944444444443718E-2</v>
      </c>
      <c r="O159" s="12">
        <v>77</v>
      </c>
      <c r="P159" s="11">
        <v>50.623376623376622</v>
      </c>
      <c r="Q159" s="11">
        <v>35.428571428571431</v>
      </c>
      <c r="R159" s="11">
        <v>31.220779220779221</v>
      </c>
      <c r="S159" s="11"/>
      <c r="T159" s="11">
        <v>86.051948051948045</v>
      </c>
      <c r="U159" s="11">
        <v>43.025974025974023</v>
      </c>
      <c r="V159" s="13">
        <v>209</v>
      </c>
      <c r="W159" s="11">
        <v>0.28680735930735324</v>
      </c>
      <c r="Y159" s="12">
        <v>106</v>
      </c>
      <c r="Z159" s="11">
        <v>52.621951219512198</v>
      </c>
      <c r="AA159" s="11">
        <v>43.81707317073171</v>
      </c>
      <c r="AB159" s="11">
        <v>35.109756097560975</v>
      </c>
      <c r="AC159" s="11"/>
      <c r="AD159" s="11">
        <v>131.54878048780489</v>
      </c>
      <c r="AE159" s="11">
        <v>43.849593495934961</v>
      </c>
      <c r="AF159" s="13">
        <v>235</v>
      </c>
      <c r="AG159" s="11">
        <v>0.82361946996093849</v>
      </c>
      <c r="AI159" s="12">
        <v>94</v>
      </c>
      <c r="AJ159" s="11">
        <v>42.776595744680854</v>
      </c>
      <c r="AK159" s="11">
        <v>34.978723404255319</v>
      </c>
      <c r="AL159" s="11">
        <v>28.063829787234042</v>
      </c>
      <c r="AM159" s="11" t="s">
        <v>14</v>
      </c>
      <c r="AN159" s="11">
        <v>105.81914893617021</v>
      </c>
      <c r="AO159" s="11">
        <v>35.273049645390067</v>
      </c>
      <c r="AP159" s="13">
        <v>263</v>
      </c>
      <c r="AQ159" s="11">
        <v>-8.5765438505448941</v>
      </c>
      <c r="AS159" s="12">
        <v>104</v>
      </c>
      <c r="AT159" s="11">
        <v>47.949019607843141</v>
      </c>
      <c r="AU159" s="11">
        <v>28.242156862745105</v>
      </c>
      <c r="AV159" s="11">
        <v>28.371568627450962</v>
      </c>
      <c r="AW159" s="11"/>
      <c r="AX159" s="11">
        <v>104.56274509803922</v>
      </c>
      <c r="AY159" s="11">
        <v>34.854248366013074</v>
      </c>
      <c r="AZ159" s="13">
        <v>253</v>
      </c>
      <c r="BA159" s="11">
        <v>-0.41880127937699285</v>
      </c>
    </row>
    <row r="160" spans="1:53" x14ac:dyDescent="0.25">
      <c r="A160" s="12">
        <v>157</v>
      </c>
      <c r="B160" s="12" t="s">
        <v>11</v>
      </c>
      <c r="C160" s="12">
        <v>113</v>
      </c>
      <c r="D160" s="12" t="s">
        <v>12</v>
      </c>
      <c r="E160" s="12">
        <v>142</v>
      </c>
      <c r="F160" s="11">
        <v>46.440845070422554</v>
      </c>
      <c r="G160" s="11">
        <v>34.549295774647902</v>
      </c>
      <c r="H160" s="11"/>
      <c r="I160" s="11"/>
      <c r="J160" s="11">
        <v>80.990140845070457</v>
      </c>
      <c r="K160" s="11">
        <v>40.495070422535228</v>
      </c>
      <c r="L160" s="13">
        <v>238</v>
      </c>
      <c r="M160" s="11">
        <v>-1.3784370401513328</v>
      </c>
      <c r="O160" s="12">
        <v>159</v>
      </c>
      <c r="P160" s="11">
        <v>50.119496855345915</v>
      </c>
      <c r="Q160" s="11">
        <v>38.465408805031444</v>
      </c>
      <c r="R160" s="11">
        <v>31.031446540880502</v>
      </c>
      <c r="S160" s="11"/>
      <c r="T160" s="11">
        <v>88.584905660377359</v>
      </c>
      <c r="U160" s="11">
        <v>44.29245283018868</v>
      </c>
      <c r="V160" s="13">
        <v>191</v>
      </c>
      <c r="W160" s="11">
        <v>3.7973824076534513</v>
      </c>
      <c r="Y160" s="12">
        <v>223</v>
      </c>
      <c r="Z160" s="11">
        <v>53.768361581920907</v>
      </c>
      <c r="AA160" s="11">
        <v>45.423728813559322</v>
      </c>
      <c r="AB160" s="11">
        <v>33.672316384180789</v>
      </c>
      <c r="AC160" s="11"/>
      <c r="AD160" s="11">
        <v>132.86440677966101</v>
      </c>
      <c r="AE160" s="11">
        <v>44.288135593220339</v>
      </c>
      <c r="AF160" s="13">
        <v>223</v>
      </c>
      <c r="AG160" s="11">
        <v>-4.3172369683404099E-3</v>
      </c>
      <c r="AI160" s="12">
        <v>198</v>
      </c>
      <c r="AJ160" s="11">
        <v>38.202020202020201</v>
      </c>
      <c r="AK160" s="11">
        <v>31.171717171717173</v>
      </c>
      <c r="AL160" s="11">
        <v>24.575757575757574</v>
      </c>
      <c r="AM160" s="11" t="s">
        <v>14</v>
      </c>
      <c r="AN160" s="11">
        <v>93.949494949494948</v>
      </c>
      <c r="AO160" s="11">
        <v>31.316498316498315</v>
      </c>
      <c r="AP160" s="13">
        <v>288</v>
      </c>
      <c r="AQ160" s="11">
        <v>-12.971637276722024</v>
      </c>
      <c r="AS160" s="12">
        <v>216</v>
      </c>
      <c r="AT160" s="11">
        <v>48.114009661835787</v>
      </c>
      <c r="AU160" s="11">
        <v>29.2695652173913</v>
      </c>
      <c r="AV160" s="11">
        <v>27.889855072463789</v>
      </c>
      <c r="AW160" s="11"/>
      <c r="AX160" s="11">
        <v>105.27342995169087</v>
      </c>
      <c r="AY160" s="11">
        <v>35.091143317230291</v>
      </c>
      <c r="AZ160" s="13">
        <v>251</v>
      </c>
      <c r="BA160" s="11">
        <v>3.7746450007319758</v>
      </c>
    </row>
    <row r="161" spans="1:53" x14ac:dyDescent="0.25">
      <c r="A161" s="12">
        <v>158</v>
      </c>
      <c r="B161" s="12" t="s">
        <v>11</v>
      </c>
      <c r="C161" s="12">
        <v>128</v>
      </c>
      <c r="D161" s="12" t="s">
        <v>12</v>
      </c>
      <c r="E161" s="12">
        <v>98</v>
      </c>
      <c r="F161" s="11">
        <v>45.522448979591836</v>
      </c>
      <c r="G161" s="11">
        <v>29.662244897959177</v>
      </c>
      <c r="H161" s="11"/>
      <c r="I161" s="11"/>
      <c r="J161" s="11">
        <v>75.184693877551013</v>
      </c>
      <c r="K161" s="11">
        <v>37.592346938775506</v>
      </c>
      <c r="L161" s="13">
        <v>263</v>
      </c>
      <c r="M161" s="11">
        <v>-3.1627666975881397</v>
      </c>
      <c r="O161" s="12">
        <v>98</v>
      </c>
      <c r="P161" s="11">
        <v>43.836734693877553</v>
      </c>
      <c r="Q161" s="11">
        <v>29.255102040816325</v>
      </c>
      <c r="R161" s="11">
        <v>26.530612244897959</v>
      </c>
      <c r="S161" s="11"/>
      <c r="T161" s="11">
        <v>73.091836734693885</v>
      </c>
      <c r="U161" s="11">
        <v>36.545918367346943</v>
      </c>
      <c r="V161" s="13">
        <v>283</v>
      </c>
      <c r="W161" s="11">
        <v>-1.0464285714285637</v>
      </c>
      <c r="Y161" s="12">
        <v>143</v>
      </c>
      <c r="Z161" s="11">
        <v>47.444444444444443</v>
      </c>
      <c r="AA161" s="11">
        <v>41.555555555555557</v>
      </c>
      <c r="AB161" s="11">
        <v>31.623931623931625</v>
      </c>
      <c r="AC161" s="11"/>
      <c r="AD161" s="11">
        <v>120.62393162393163</v>
      </c>
      <c r="AE161" s="11">
        <v>40.207977207977208</v>
      </c>
      <c r="AF161" s="13">
        <v>271</v>
      </c>
      <c r="AG161" s="11">
        <v>3.6620588406302659</v>
      </c>
      <c r="AI161" s="12">
        <v>143</v>
      </c>
      <c r="AJ161" s="11">
        <v>40.388489208633096</v>
      </c>
      <c r="AK161" s="11">
        <v>33.410071942446045</v>
      </c>
      <c r="AL161" s="11">
        <v>25.532374100719423</v>
      </c>
      <c r="AM161" s="11" t="s">
        <v>14</v>
      </c>
      <c r="AN161" s="11">
        <v>99.330935251798564</v>
      </c>
      <c r="AO161" s="11">
        <v>33.110311750599521</v>
      </c>
      <c r="AP161" s="13">
        <v>277</v>
      </c>
      <c r="AQ161" s="11">
        <v>-7.0976654573776869</v>
      </c>
      <c r="AS161" s="12">
        <v>146</v>
      </c>
      <c r="AT161" s="11">
        <v>42.168531468531491</v>
      </c>
      <c r="AU161" s="11">
        <v>26.393006993007017</v>
      </c>
      <c r="AV161" s="11">
        <v>23.219580419580417</v>
      </c>
      <c r="AW161" s="11"/>
      <c r="AX161" s="11">
        <v>91.781118881118914</v>
      </c>
      <c r="AY161" s="11">
        <v>30.593706293706305</v>
      </c>
      <c r="AZ161" s="13">
        <v>287</v>
      </c>
      <c r="BA161" s="11">
        <v>-2.5166054568932168</v>
      </c>
    </row>
    <row r="162" spans="1:53" x14ac:dyDescent="0.25">
      <c r="A162" s="12">
        <v>159</v>
      </c>
      <c r="B162" s="12" t="s">
        <v>11</v>
      </c>
      <c r="C162" s="12">
        <v>130</v>
      </c>
      <c r="D162" s="12" t="s">
        <v>12</v>
      </c>
      <c r="E162" s="12">
        <v>55</v>
      </c>
      <c r="F162" s="11">
        <v>33.996363636363633</v>
      </c>
      <c r="G162" s="11">
        <v>19.323636363636364</v>
      </c>
      <c r="H162" s="11"/>
      <c r="I162" s="11"/>
      <c r="J162" s="11">
        <v>53.319999999999993</v>
      </c>
      <c r="K162" s="11">
        <v>26.659999999999997</v>
      </c>
      <c r="L162" s="13">
        <v>299</v>
      </c>
      <c r="M162" s="11">
        <v>-1.5287755102040776</v>
      </c>
      <c r="O162" s="12">
        <v>56</v>
      </c>
      <c r="P162" s="11">
        <v>35.678571428571431</v>
      </c>
      <c r="Q162" s="11">
        <v>23.285714285714285</v>
      </c>
      <c r="R162" s="11">
        <v>20.375</v>
      </c>
      <c r="S162" s="11"/>
      <c r="T162" s="11">
        <v>58.964285714285715</v>
      </c>
      <c r="U162" s="11">
        <v>29.482142857142858</v>
      </c>
      <c r="V162" s="13">
        <v>300</v>
      </c>
      <c r="W162" s="11">
        <v>2.8221428571428611</v>
      </c>
      <c r="Y162" s="12">
        <v>60</v>
      </c>
      <c r="Z162" s="11">
        <v>39.333333333333336</v>
      </c>
      <c r="AA162" s="11">
        <v>33.196078431372548</v>
      </c>
      <c r="AB162" s="11">
        <v>28.764705882352942</v>
      </c>
      <c r="AC162" s="11"/>
      <c r="AD162" s="11">
        <v>101.29411764705883</v>
      </c>
      <c r="AE162" s="11">
        <v>33.764705882352942</v>
      </c>
      <c r="AF162" s="13">
        <v>297</v>
      </c>
      <c r="AG162" s="11">
        <v>4.2825630252100844</v>
      </c>
      <c r="AI162" s="12">
        <v>53</v>
      </c>
      <c r="AJ162" s="11">
        <v>27.943396226415093</v>
      </c>
      <c r="AK162" s="11">
        <v>25.660377358490567</v>
      </c>
      <c r="AL162" s="11">
        <v>18.716981132075471</v>
      </c>
      <c r="AM162" s="11" t="s">
        <v>14</v>
      </c>
      <c r="AN162" s="11">
        <v>72.320754716981128</v>
      </c>
      <c r="AO162" s="11">
        <v>24.10691823899371</v>
      </c>
      <c r="AP162" s="13">
        <v>309</v>
      </c>
      <c r="AQ162" s="11">
        <v>-9.6577876433592316</v>
      </c>
      <c r="AS162" s="12">
        <v>59</v>
      </c>
      <c r="AT162" s="11">
        <v>35.771186440677965</v>
      </c>
      <c r="AU162" s="11">
        <v>19.115254237288131</v>
      </c>
      <c r="AV162" s="11">
        <v>19.633898305084749</v>
      </c>
      <c r="AW162" s="11"/>
      <c r="AX162" s="11">
        <v>74.520338983050834</v>
      </c>
      <c r="AY162" s="11">
        <v>24.840112994350278</v>
      </c>
      <c r="AZ162" s="13">
        <v>306</v>
      </c>
      <c r="BA162" s="11">
        <v>0.73319475535656764</v>
      </c>
    </row>
    <row r="163" spans="1:53" x14ac:dyDescent="0.25">
      <c r="A163" s="12">
        <v>160</v>
      </c>
      <c r="B163" s="12" t="s">
        <v>11</v>
      </c>
      <c r="C163" s="12">
        <v>137</v>
      </c>
      <c r="D163" s="12" t="s">
        <v>12</v>
      </c>
      <c r="E163" s="12">
        <v>118</v>
      </c>
      <c r="F163" s="11">
        <v>47.632203389830494</v>
      </c>
      <c r="G163" s="11">
        <v>32.12033898305085</v>
      </c>
      <c r="H163" s="11"/>
      <c r="I163" s="11"/>
      <c r="J163" s="11">
        <v>79.752542372881351</v>
      </c>
      <c r="K163" s="11">
        <v>39.876271186440675</v>
      </c>
      <c r="L163" s="13">
        <v>248</v>
      </c>
      <c r="M163" s="11">
        <v>1.5350947158524448</v>
      </c>
      <c r="O163" s="12">
        <v>140</v>
      </c>
      <c r="P163" s="11">
        <v>44.528571428571432</v>
      </c>
      <c r="Q163" s="11">
        <v>34.307142857142857</v>
      </c>
      <c r="R163" s="11">
        <v>30.507142857142856</v>
      </c>
      <c r="S163" s="11"/>
      <c r="T163" s="11">
        <v>78.835714285714289</v>
      </c>
      <c r="U163" s="11">
        <v>39.417857142857144</v>
      </c>
      <c r="V163" s="13">
        <v>265</v>
      </c>
      <c r="W163" s="11">
        <v>-0.45841404358353088</v>
      </c>
      <c r="Y163" s="12">
        <v>146</v>
      </c>
      <c r="Z163" s="11">
        <v>50.363636363636367</v>
      </c>
      <c r="AA163" s="11">
        <v>45.113636363636367</v>
      </c>
      <c r="AB163" s="11">
        <v>36.113636363636367</v>
      </c>
      <c r="AC163" s="11"/>
      <c r="AD163" s="11">
        <v>131.59090909090909</v>
      </c>
      <c r="AE163" s="11">
        <v>43.863636363636367</v>
      </c>
      <c r="AF163" s="13">
        <v>234</v>
      </c>
      <c r="AG163" s="11">
        <v>4.4457792207792224</v>
      </c>
      <c r="AI163" s="12">
        <v>137</v>
      </c>
      <c r="AJ163" s="11">
        <v>39.189781021897808</v>
      </c>
      <c r="AK163" s="11">
        <v>32.43795620437956</v>
      </c>
      <c r="AL163" s="11">
        <v>28.883211678832115</v>
      </c>
      <c r="AM163" s="11" t="s">
        <v>14</v>
      </c>
      <c r="AN163" s="11">
        <v>100.51094890510947</v>
      </c>
      <c r="AO163" s="11">
        <v>33.503649635036489</v>
      </c>
      <c r="AP163" s="13">
        <v>273</v>
      </c>
      <c r="AQ163" s="11">
        <v>-10.359986728599878</v>
      </c>
      <c r="AS163" s="12">
        <v>143</v>
      </c>
      <c r="AT163" s="11">
        <v>41.843356643356643</v>
      </c>
      <c r="AU163" s="11">
        <v>28.646853146853161</v>
      </c>
      <c r="AV163" s="11">
        <v>27.535664335664322</v>
      </c>
      <c r="AW163" s="11"/>
      <c r="AX163" s="11">
        <v>98.025874125874125</v>
      </c>
      <c r="AY163" s="11">
        <v>32.675291375291373</v>
      </c>
      <c r="AZ163" s="13">
        <v>272</v>
      </c>
      <c r="BA163" s="11">
        <v>-0.82835825974511579</v>
      </c>
    </row>
    <row r="164" spans="1:53" x14ac:dyDescent="0.25">
      <c r="A164" s="12">
        <v>161</v>
      </c>
      <c r="B164" s="12" t="s">
        <v>11</v>
      </c>
      <c r="C164" s="12">
        <v>142</v>
      </c>
      <c r="D164" s="12" t="s">
        <v>12</v>
      </c>
      <c r="E164" s="12">
        <v>87</v>
      </c>
      <c r="F164" s="11">
        <v>39.447126436781602</v>
      </c>
      <c r="G164" s="11">
        <v>23.317241379310342</v>
      </c>
      <c r="H164" s="11"/>
      <c r="I164" s="11"/>
      <c r="J164" s="11">
        <v>62.764367816091948</v>
      </c>
      <c r="K164" s="11">
        <v>31.382183908045974</v>
      </c>
      <c r="L164" s="13">
        <v>291</v>
      </c>
      <c r="M164" s="11">
        <v>-0.93222287161503914</v>
      </c>
      <c r="O164" s="12">
        <v>92</v>
      </c>
      <c r="P164" s="11">
        <v>40.576086956521742</v>
      </c>
      <c r="Q164" s="11">
        <v>24.152173913043477</v>
      </c>
      <c r="R164" s="11">
        <v>24.989130434782609</v>
      </c>
      <c r="S164" s="11"/>
      <c r="T164" s="11">
        <v>64.728260869565219</v>
      </c>
      <c r="U164" s="11">
        <v>32.364130434782609</v>
      </c>
      <c r="V164" s="13">
        <v>293</v>
      </c>
      <c r="W164" s="11">
        <v>0.98194652673663541</v>
      </c>
      <c r="Y164" s="12">
        <v>118</v>
      </c>
      <c r="Z164" s="11">
        <v>40.690721649484537</v>
      </c>
      <c r="AA164" s="11">
        <v>38.123711340206185</v>
      </c>
      <c r="AB164" s="11">
        <v>30.020618556701031</v>
      </c>
      <c r="AC164" s="11"/>
      <c r="AD164" s="11">
        <v>108.83505154639175</v>
      </c>
      <c r="AE164" s="11">
        <v>36.27835051546392</v>
      </c>
      <c r="AF164" s="13">
        <v>291</v>
      </c>
      <c r="AG164" s="11">
        <v>3.9142200806813108</v>
      </c>
      <c r="AI164" s="12">
        <v>113</v>
      </c>
      <c r="AJ164" s="11">
        <v>35.451327433628322</v>
      </c>
      <c r="AK164" s="11">
        <v>26.159292035398231</v>
      </c>
      <c r="AL164" s="11">
        <v>23.424778761061948</v>
      </c>
      <c r="AM164" s="11" t="s">
        <v>14</v>
      </c>
      <c r="AN164" s="11">
        <v>85.035398230088504</v>
      </c>
      <c r="AO164" s="11">
        <v>28.345132743362836</v>
      </c>
      <c r="AP164" s="13">
        <v>299</v>
      </c>
      <c r="AQ164" s="11">
        <v>-7.9332177721010844</v>
      </c>
      <c r="AS164" s="12">
        <v>113</v>
      </c>
      <c r="AT164" s="11">
        <v>34.34454545454544</v>
      </c>
      <c r="AU164" s="11">
        <v>18.020000000000003</v>
      </c>
      <c r="AV164" s="11">
        <v>20.689999999999998</v>
      </c>
      <c r="AW164" s="11"/>
      <c r="AX164" s="11">
        <v>73.054545454545433</v>
      </c>
      <c r="AY164" s="11">
        <v>24.351515151515144</v>
      </c>
      <c r="AZ164" s="13">
        <v>308</v>
      </c>
      <c r="BA164" s="11">
        <v>-3.9936175918476913</v>
      </c>
    </row>
    <row r="165" spans="1:53" x14ac:dyDescent="0.25">
      <c r="A165" s="12">
        <v>162</v>
      </c>
      <c r="B165" s="12" t="s">
        <v>11</v>
      </c>
      <c r="C165" s="12">
        <v>148</v>
      </c>
      <c r="D165" s="12" t="s">
        <v>12</v>
      </c>
      <c r="E165" s="12">
        <v>75</v>
      </c>
      <c r="F165" s="11">
        <v>51.717333333333336</v>
      </c>
      <c r="G165" s="11">
        <v>34.932000000000009</v>
      </c>
      <c r="H165" s="11"/>
      <c r="I165" s="11"/>
      <c r="J165" s="11">
        <v>86.649333333333345</v>
      </c>
      <c r="K165" s="11">
        <v>43.324666666666673</v>
      </c>
      <c r="L165" s="13">
        <v>203</v>
      </c>
      <c r="M165" s="11">
        <v>-5.8325555555555439</v>
      </c>
      <c r="O165" s="12">
        <v>95</v>
      </c>
      <c r="P165" s="11">
        <v>50.642105263157895</v>
      </c>
      <c r="Q165" s="11">
        <v>39.652631578947371</v>
      </c>
      <c r="R165" s="11">
        <v>35.484210526315792</v>
      </c>
      <c r="S165" s="11"/>
      <c r="T165" s="11">
        <v>90.294736842105266</v>
      </c>
      <c r="U165" s="11">
        <v>45.147368421052633</v>
      </c>
      <c r="V165" s="13">
        <v>176</v>
      </c>
      <c r="W165" s="11">
        <v>1.8227017543859603</v>
      </c>
      <c r="Y165" s="12">
        <v>88</v>
      </c>
      <c r="Z165" s="11">
        <v>60.3</v>
      </c>
      <c r="AA165" s="11">
        <v>51.6875</v>
      </c>
      <c r="AB165" s="11">
        <v>43.6</v>
      </c>
      <c r="AC165" s="11"/>
      <c r="AD165" s="11">
        <v>155.58750000000001</v>
      </c>
      <c r="AE165" s="11">
        <v>51.862500000000004</v>
      </c>
      <c r="AF165" s="13">
        <v>70</v>
      </c>
      <c r="AG165" s="11">
        <v>6.7151315789473713</v>
      </c>
      <c r="AI165" s="12">
        <v>87</v>
      </c>
      <c r="AJ165" s="11">
        <v>48.586206896551722</v>
      </c>
      <c r="AK165" s="11">
        <v>38.298850574712645</v>
      </c>
      <c r="AL165" s="11">
        <v>35.701149425287355</v>
      </c>
      <c r="AM165" s="11" t="s">
        <v>14</v>
      </c>
      <c r="AN165" s="11">
        <v>122.58620689655172</v>
      </c>
      <c r="AO165" s="11">
        <v>40.862068965517238</v>
      </c>
      <c r="AP165" s="13">
        <v>190</v>
      </c>
      <c r="AQ165" s="11">
        <v>-11.000431034482766</v>
      </c>
      <c r="AS165" s="12">
        <v>84</v>
      </c>
      <c r="AT165" s="11">
        <v>54.095180722891563</v>
      </c>
      <c r="AU165" s="11">
        <v>32.866265060240963</v>
      </c>
      <c r="AV165" s="11">
        <v>31.848192771084321</v>
      </c>
      <c r="AW165" s="11"/>
      <c r="AX165" s="11">
        <v>118.80963855421683</v>
      </c>
      <c r="AY165" s="11">
        <v>39.603212851405608</v>
      </c>
      <c r="AZ165" s="13">
        <v>176</v>
      </c>
      <c r="BA165" s="11">
        <v>-1.2588561141116301</v>
      </c>
    </row>
    <row r="166" spans="1:53" x14ac:dyDescent="0.25">
      <c r="A166" s="12">
        <v>163</v>
      </c>
      <c r="B166" s="12" t="s">
        <v>11</v>
      </c>
      <c r="C166" s="12">
        <v>155</v>
      </c>
      <c r="D166" s="12" t="s">
        <v>12</v>
      </c>
      <c r="E166" s="12">
        <v>69</v>
      </c>
      <c r="F166" s="11">
        <v>37.786956521739128</v>
      </c>
      <c r="G166" s="11">
        <v>28.67536231884058</v>
      </c>
      <c r="H166" s="11"/>
      <c r="I166" s="11"/>
      <c r="J166" s="11">
        <v>66.462318840579712</v>
      </c>
      <c r="K166" s="11">
        <v>33.231159420289856</v>
      </c>
      <c r="L166" s="13">
        <v>283</v>
      </c>
      <c r="M166" s="11">
        <v>-5.1888405797101456</v>
      </c>
      <c r="O166" s="12">
        <v>70</v>
      </c>
      <c r="P166" s="11">
        <v>43.442857142857143</v>
      </c>
      <c r="Q166" s="11">
        <v>33.871428571428574</v>
      </c>
      <c r="R166" s="11">
        <v>30.114285714285714</v>
      </c>
      <c r="S166" s="11"/>
      <c r="T166" s="11">
        <v>77.314285714285717</v>
      </c>
      <c r="U166" s="11">
        <v>38.657142857142858</v>
      </c>
      <c r="V166" s="13">
        <v>269</v>
      </c>
      <c r="W166" s="11">
        <v>5.4259834368530022</v>
      </c>
      <c r="Y166" s="12">
        <v>75</v>
      </c>
      <c r="Z166" s="11">
        <v>47.873015873015873</v>
      </c>
      <c r="AA166" s="11">
        <v>44.968253968253968</v>
      </c>
      <c r="AB166" s="11">
        <v>31.730158730158731</v>
      </c>
      <c r="AC166" s="11"/>
      <c r="AD166" s="11">
        <v>124.57142857142858</v>
      </c>
      <c r="AE166" s="11">
        <v>41.523809523809526</v>
      </c>
      <c r="AF166" s="13">
        <v>260</v>
      </c>
      <c r="AG166" s="11">
        <v>2.8666666666666671</v>
      </c>
      <c r="AI166" s="12">
        <v>74</v>
      </c>
      <c r="AJ166" s="11">
        <v>40.905405405405403</v>
      </c>
      <c r="AK166" s="11">
        <v>28.864864864864863</v>
      </c>
      <c r="AL166" s="11">
        <v>27.445945945945947</v>
      </c>
      <c r="AM166" s="11" t="s">
        <v>14</v>
      </c>
      <c r="AN166" s="11">
        <v>97.21621621621621</v>
      </c>
      <c r="AO166" s="11">
        <v>32.405405405405403</v>
      </c>
      <c r="AP166" s="13">
        <v>280</v>
      </c>
      <c r="AQ166" s="11">
        <v>-9.118404118404122</v>
      </c>
      <c r="AS166" s="12">
        <v>75</v>
      </c>
      <c r="AT166" s="11">
        <v>44.680000000000007</v>
      </c>
      <c r="AU166" s="11">
        <v>30.198666666666668</v>
      </c>
      <c r="AV166" s="11">
        <v>28.781333333333325</v>
      </c>
      <c r="AW166" s="11"/>
      <c r="AX166" s="11">
        <v>103.66</v>
      </c>
      <c r="AY166" s="11">
        <v>34.553333333333335</v>
      </c>
      <c r="AZ166" s="13">
        <v>257</v>
      </c>
      <c r="BA166" s="11">
        <v>2.1479279279279311</v>
      </c>
    </row>
    <row r="167" spans="1:53" x14ac:dyDescent="0.25">
      <c r="A167" s="12">
        <v>164</v>
      </c>
      <c r="B167" s="12" t="s">
        <v>11</v>
      </c>
      <c r="C167" s="12">
        <v>169</v>
      </c>
      <c r="D167" s="12" t="s">
        <v>12</v>
      </c>
      <c r="E167" s="12">
        <v>97</v>
      </c>
      <c r="F167" s="11">
        <v>56.954639175257739</v>
      </c>
      <c r="G167" s="11">
        <v>43.064948453608238</v>
      </c>
      <c r="H167" s="11"/>
      <c r="I167" s="11"/>
      <c r="J167" s="11">
        <v>100.01958762886598</v>
      </c>
      <c r="K167" s="11">
        <v>50.009793814432989</v>
      </c>
      <c r="L167" s="13">
        <v>108</v>
      </c>
      <c r="M167" s="11">
        <v>-4.3406916224602057</v>
      </c>
      <c r="O167" s="12">
        <v>95</v>
      </c>
      <c r="P167" s="11">
        <v>47.2</v>
      </c>
      <c r="Q167" s="11">
        <v>43.484210526315792</v>
      </c>
      <c r="R167" s="11">
        <v>38.200000000000003</v>
      </c>
      <c r="S167" s="11"/>
      <c r="T167" s="11">
        <v>90.684210526315795</v>
      </c>
      <c r="U167" s="11">
        <v>45.342105263157897</v>
      </c>
      <c r="V167" s="13">
        <v>171</v>
      </c>
      <c r="W167" s="11">
        <v>-4.6676885512750914</v>
      </c>
      <c r="Y167" s="12">
        <v>136</v>
      </c>
      <c r="Z167" s="11">
        <v>56.363636363636367</v>
      </c>
      <c r="AA167" s="11">
        <v>48.644628099173552</v>
      </c>
      <c r="AB167" s="11">
        <v>44.190082644628099</v>
      </c>
      <c r="AC167" s="11"/>
      <c r="AD167" s="11">
        <v>149.19834710743802</v>
      </c>
      <c r="AE167" s="11">
        <v>49.732782369146008</v>
      </c>
      <c r="AF167" s="13">
        <v>120</v>
      </c>
      <c r="AG167" s="11">
        <v>4.3906771059881109</v>
      </c>
      <c r="AI167" s="12">
        <v>144</v>
      </c>
      <c r="AJ167" s="11">
        <v>52.833333333333336</v>
      </c>
      <c r="AK167" s="11">
        <v>40.972222222222221</v>
      </c>
      <c r="AL167" s="11">
        <v>42.020833333333336</v>
      </c>
      <c r="AM167" s="11">
        <v>46.455555555555556</v>
      </c>
      <c r="AN167" s="11">
        <v>135.82638888888889</v>
      </c>
      <c r="AO167" s="11">
        <v>45.275462962962962</v>
      </c>
      <c r="AP167" s="13">
        <v>131</v>
      </c>
      <c r="AQ167" s="11">
        <v>-4.4573194061830463</v>
      </c>
      <c r="AS167" s="12">
        <v>136</v>
      </c>
      <c r="AT167" s="11">
        <v>55.027407407407402</v>
      </c>
      <c r="AU167" s="11">
        <v>34.850370370370385</v>
      </c>
      <c r="AV167" s="11">
        <v>43.424444444444475</v>
      </c>
      <c r="AW167" s="11">
        <v>55.166666666666664</v>
      </c>
      <c r="AX167" s="11">
        <v>133.30222222222227</v>
      </c>
      <c r="AY167" s="11">
        <v>44.43407407407409</v>
      </c>
      <c r="AZ167" s="13">
        <v>96</v>
      </c>
      <c r="BA167" s="11">
        <v>-0.84138888888887209</v>
      </c>
    </row>
    <row r="168" spans="1:53" x14ac:dyDescent="0.25">
      <c r="A168" s="12">
        <v>165</v>
      </c>
      <c r="B168" s="12" t="s">
        <v>11</v>
      </c>
      <c r="C168" s="12">
        <v>170</v>
      </c>
      <c r="D168" s="12" t="s">
        <v>12</v>
      </c>
      <c r="E168" s="12">
        <v>47</v>
      </c>
      <c r="F168" s="11">
        <v>50.678723404255322</v>
      </c>
      <c r="G168" s="11">
        <v>38.340425531914889</v>
      </c>
      <c r="H168" s="11"/>
      <c r="I168" s="11"/>
      <c r="J168" s="11">
        <v>89.019148936170211</v>
      </c>
      <c r="K168" s="11">
        <v>44.509574468085106</v>
      </c>
      <c r="L168" s="13">
        <v>184</v>
      </c>
      <c r="M168" s="11">
        <v>3.2220744680851183</v>
      </c>
      <c r="O168" s="12">
        <v>40</v>
      </c>
      <c r="P168" s="11">
        <v>54.325000000000003</v>
      </c>
      <c r="Q168" s="11">
        <v>42.424999999999997</v>
      </c>
      <c r="R168" s="11">
        <v>35.375</v>
      </c>
      <c r="S168" s="11"/>
      <c r="T168" s="11">
        <v>96.75</v>
      </c>
      <c r="U168" s="11">
        <v>48.375</v>
      </c>
      <c r="V168" s="13">
        <v>122</v>
      </c>
      <c r="W168" s="11">
        <v>3.8654255319148945</v>
      </c>
      <c r="Y168" s="12">
        <v>59</v>
      </c>
      <c r="Z168" s="11">
        <v>57.929824561403507</v>
      </c>
      <c r="AA168" s="11">
        <v>43.631578947368418</v>
      </c>
      <c r="AB168" s="11">
        <v>36.666666666666664</v>
      </c>
      <c r="AC168" s="11"/>
      <c r="AD168" s="11">
        <v>138.22807017543857</v>
      </c>
      <c r="AE168" s="11">
        <v>46.076023391812861</v>
      </c>
      <c r="AF168" s="13">
        <v>185</v>
      </c>
      <c r="AG168" s="11">
        <v>-2.2989766081871394</v>
      </c>
      <c r="AI168" s="12">
        <v>51</v>
      </c>
      <c r="AJ168" s="11">
        <v>50.352941176470587</v>
      </c>
      <c r="AK168" s="11">
        <v>36.627450980392155</v>
      </c>
      <c r="AL168" s="11">
        <v>32.019607843137258</v>
      </c>
      <c r="AM168" s="11" t="s">
        <v>14</v>
      </c>
      <c r="AN168" s="11">
        <v>119</v>
      </c>
      <c r="AO168" s="11">
        <v>39.666666666666664</v>
      </c>
      <c r="AP168" s="13">
        <v>206</v>
      </c>
      <c r="AQ168" s="11">
        <v>-6.4093567251461963</v>
      </c>
      <c r="AS168" s="12">
        <v>85</v>
      </c>
      <c r="AT168" s="11">
        <v>50.271428571428558</v>
      </c>
      <c r="AU168" s="11">
        <v>33.985714285714288</v>
      </c>
      <c r="AV168" s="11">
        <v>30.8469387755102</v>
      </c>
      <c r="AW168" s="11"/>
      <c r="AX168" s="11">
        <v>115.10408163265303</v>
      </c>
      <c r="AY168" s="11">
        <v>38.368027210884343</v>
      </c>
      <c r="AZ168" s="13">
        <v>198</v>
      </c>
      <c r="BA168" s="11">
        <v>-1.2986394557823218</v>
      </c>
    </row>
    <row r="169" spans="1:53" x14ac:dyDescent="0.25">
      <c r="A169" s="12">
        <v>166</v>
      </c>
      <c r="B169" s="12" t="s">
        <v>11</v>
      </c>
      <c r="C169" s="12">
        <v>187</v>
      </c>
      <c r="D169" s="12" t="s">
        <v>12</v>
      </c>
      <c r="E169" s="12">
        <v>187</v>
      </c>
      <c r="F169" s="11">
        <v>47.142245989304804</v>
      </c>
      <c r="G169" s="11">
        <v>32.647058823529413</v>
      </c>
      <c r="H169" s="11"/>
      <c r="I169" s="11"/>
      <c r="J169" s="11">
        <v>79.789304812834217</v>
      </c>
      <c r="K169" s="11">
        <v>39.894652406417109</v>
      </c>
      <c r="L169" s="13">
        <v>246</v>
      </c>
      <c r="M169" s="11">
        <v>-1.1001960784313809</v>
      </c>
      <c r="O169" s="12">
        <v>179</v>
      </c>
      <c r="P169" s="11">
        <v>45.58659217877095</v>
      </c>
      <c r="Q169" s="11">
        <v>33.329608938547487</v>
      </c>
      <c r="R169" s="11">
        <v>30.910614525139664</v>
      </c>
      <c r="S169" s="11"/>
      <c r="T169" s="11">
        <v>78.916201117318437</v>
      </c>
      <c r="U169" s="11">
        <v>39.458100558659218</v>
      </c>
      <c r="V169" s="13">
        <v>264</v>
      </c>
      <c r="W169" s="11">
        <v>-0.43655184775789024</v>
      </c>
      <c r="Y169" s="12">
        <v>207</v>
      </c>
      <c r="Z169" s="11">
        <v>53.28846153846154</v>
      </c>
      <c r="AA169" s="11">
        <v>44.551282051282051</v>
      </c>
      <c r="AB169" s="11">
        <v>35.929487179487182</v>
      </c>
      <c r="AC169" s="11"/>
      <c r="AD169" s="11">
        <v>133.76923076923077</v>
      </c>
      <c r="AE169" s="11">
        <v>44.589743589743591</v>
      </c>
      <c r="AF169" s="13">
        <v>216</v>
      </c>
      <c r="AG169" s="11">
        <v>5.1316430310843728</v>
      </c>
      <c r="AI169" s="12">
        <v>166</v>
      </c>
      <c r="AJ169" s="11">
        <v>42.662650602409641</v>
      </c>
      <c r="AK169" s="11">
        <v>33.036144578313255</v>
      </c>
      <c r="AL169" s="11">
        <v>27.759036144578314</v>
      </c>
      <c r="AM169" s="11">
        <v>52.454545454545453</v>
      </c>
      <c r="AN169" s="11">
        <v>103.45783132530121</v>
      </c>
      <c r="AO169" s="11">
        <v>34.485943775100402</v>
      </c>
      <c r="AP169" s="13">
        <v>270</v>
      </c>
      <c r="AQ169" s="11">
        <v>-10.103799814643189</v>
      </c>
      <c r="AS169" s="12">
        <v>206</v>
      </c>
      <c r="AT169" s="11">
        <v>44.795609756097562</v>
      </c>
      <c r="AU169" s="11">
        <v>26.567804878048793</v>
      </c>
      <c r="AV169" s="11">
        <v>27.814634146341483</v>
      </c>
      <c r="AW169" s="11">
        <v>60.512195121951223</v>
      </c>
      <c r="AX169" s="11">
        <v>99.178048780487842</v>
      </c>
      <c r="AY169" s="11">
        <v>33.059349593495945</v>
      </c>
      <c r="AZ169" s="13">
        <v>270</v>
      </c>
      <c r="BA169" s="11">
        <v>-1.4265941816044574</v>
      </c>
    </row>
    <row r="170" spans="1:53" x14ac:dyDescent="0.25">
      <c r="A170" s="12">
        <v>167</v>
      </c>
      <c r="B170" s="12" t="s">
        <v>11</v>
      </c>
      <c r="C170" s="12">
        <v>188</v>
      </c>
      <c r="D170" s="12" t="s">
        <v>12</v>
      </c>
      <c r="E170" s="12">
        <v>89</v>
      </c>
      <c r="F170" s="11">
        <v>54.658426966292126</v>
      </c>
      <c r="G170" s="11">
        <v>43.013483146067436</v>
      </c>
      <c r="H170" s="11"/>
      <c r="I170" s="11"/>
      <c r="J170" s="11">
        <v>97.671910112359569</v>
      </c>
      <c r="K170" s="11">
        <v>48.835955056179785</v>
      </c>
      <c r="L170" s="13">
        <v>124</v>
      </c>
      <c r="M170" s="11">
        <v>2.7868479133226458</v>
      </c>
      <c r="O170" s="12">
        <v>68</v>
      </c>
      <c r="P170" s="11">
        <v>46.382352941176471</v>
      </c>
      <c r="Q170" s="11">
        <v>34.911764705882355</v>
      </c>
      <c r="R170" s="11">
        <v>31.338235294117649</v>
      </c>
      <c r="S170" s="11"/>
      <c r="T170" s="11">
        <v>81.294117647058826</v>
      </c>
      <c r="U170" s="11">
        <v>40.647058823529413</v>
      </c>
      <c r="V170" s="13">
        <v>247</v>
      </c>
      <c r="W170" s="11">
        <v>-8.1888962326503716</v>
      </c>
      <c r="Y170" s="12">
        <v>101</v>
      </c>
      <c r="Z170" s="11">
        <v>52.55263157894737</v>
      </c>
      <c r="AA170" s="11">
        <v>46.157894736842103</v>
      </c>
      <c r="AB170" s="11">
        <v>35.60526315789474</v>
      </c>
      <c r="AC170" s="11"/>
      <c r="AD170" s="11">
        <v>134.31578947368422</v>
      </c>
      <c r="AE170" s="11">
        <v>44.771929824561404</v>
      </c>
      <c r="AF170" s="13">
        <v>214</v>
      </c>
      <c r="AG170" s="11">
        <v>4.1248710010319911</v>
      </c>
      <c r="AI170" s="12">
        <v>90</v>
      </c>
      <c r="AJ170" s="11">
        <v>37.81111111111111</v>
      </c>
      <c r="AK170" s="11">
        <v>32.266666666666666</v>
      </c>
      <c r="AL170" s="11">
        <v>28.18888888888889</v>
      </c>
      <c r="AM170" s="11" t="s">
        <v>14</v>
      </c>
      <c r="AN170" s="11">
        <v>98.26666666666668</v>
      </c>
      <c r="AO170" s="11">
        <v>32.75555555555556</v>
      </c>
      <c r="AP170" s="13">
        <v>279</v>
      </c>
      <c r="AQ170" s="11">
        <v>-12.016374269005844</v>
      </c>
      <c r="AS170" s="12">
        <v>101</v>
      </c>
      <c r="AT170" s="11">
        <v>50.927000000000035</v>
      </c>
      <c r="AU170" s="11">
        <v>37.326000000000001</v>
      </c>
      <c r="AV170" s="11">
        <v>33.029000000000003</v>
      </c>
      <c r="AW170" s="11"/>
      <c r="AX170" s="11">
        <v>121.28200000000004</v>
      </c>
      <c r="AY170" s="11">
        <v>40.427333333333344</v>
      </c>
      <c r="AZ170" s="13">
        <v>160</v>
      </c>
      <c r="BA170" s="11">
        <v>7.671777777777784</v>
      </c>
    </row>
    <row r="171" spans="1:53" x14ac:dyDescent="0.25">
      <c r="A171" s="12">
        <v>168</v>
      </c>
      <c r="B171" s="12" t="s">
        <v>11</v>
      </c>
      <c r="C171" s="12">
        <v>192</v>
      </c>
      <c r="D171" s="12" t="s">
        <v>12</v>
      </c>
      <c r="E171" s="12">
        <v>167</v>
      </c>
      <c r="F171" s="11">
        <v>51.253892215568861</v>
      </c>
      <c r="G171" s="11">
        <v>39.574850299401191</v>
      </c>
      <c r="H171" s="11"/>
      <c r="I171" s="11"/>
      <c r="J171" s="11">
        <v>90.82874251497006</v>
      </c>
      <c r="K171" s="11">
        <v>45.41437125748503</v>
      </c>
      <c r="L171" s="13">
        <v>167</v>
      </c>
      <c r="M171" s="11">
        <v>-1.214448186959423</v>
      </c>
      <c r="O171" s="12">
        <v>182</v>
      </c>
      <c r="P171" s="11">
        <v>53.428571428571431</v>
      </c>
      <c r="Q171" s="11">
        <v>40.653846153846153</v>
      </c>
      <c r="R171" s="11">
        <v>34.302197802197803</v>
      </c>
      <c r="S171" s="11"/>
      <c r="T171" s="11">
        <v>94.082417582417577</v>
      </c>
      <c r="U171" s="11">
        <v>47.041208791208788</v>
      </c>
      <c r="V171" s="13">
        <v>136</v>
      </c>
      <c r="W171" s="11">
        <v>1.6268375337237586</v>
      </c>
      <c r="Y171" s="12">
        <v>193</v>
      </c>
      <c r="Z171" s="11">
        <v>53.324022346368714</v>
      </c>
      <c r="AA171" s="11">
        <v>47.804469273743017</v>
      </c>
      <c r="AB171" s="11">
        <v>36.709497206703908</v>
      </c>
      <c r="AC171" s="11"/>
      <c r="AD171" s="11">
        <v>137.83798882681563</v>
      </c>
      <c r="AE171" s="11">
        <v>45.945996275605211</v>
      </c>
      <c r="AF171" s="13">
        <v>187</v>
      </c>
      <c r="AG171" s="11">
        <v>-1.0952125156035777</v>
      </c>
      <c r="AI171" s="12">
        <v>205</v>
      </c>
      <c r="AJ171" s="11">
        <v>46.2</v>
      </c>
      <c r="AK171" s="11">
        <v>39.024390243902438</v>
      </c>
      <c r="AL171" s="11">
        <v>35.780487804878049</v>
      </c>
      <c r="AM171" s="11" t="s">
        <v>14</v>
      </c>
      <c r="AN171" s="11">
        <v>121.00487804878048</v>
      </c>
      <c r="AO171" s="11">
        <v>40.334959349593497</v>
      </c>
      <c r="AP171" s="13">
        <v>200</v>
      </c>
      <c r="AQ171" s="11">
        <v>-5.6110369260117139</v>
      </c>
      <c r="AS171" s="12">
        <v>188</v>
      </c>
      <c r="AT171" s="11">
        <v>49.49521276595744</v>
      </c>
      <c r="AU171" s="11">
        <v>32.508510638297842</v>
      </c>
      <c r="AV171" s="11">
        <v>30.084574468085115</v>
      </c>
      <c r="AW171" s="11"/>
      <c r="AX171" s="11">
        <v>112.08829787234041</v>
      </c>
      <c r="AY171" s="11">
        <v>37.362765957446804</v>
      </c>
      <c r="AZ171" s="13">
        <v>216</v>
      </c>
      <c r="BA171" s="11">
        <v>-2.9721933921466928</v>
      </c>
    </row>
    <row r="172" spans="1:53" x14ac:dyDescent="0.25">
      <c r="A172" s="12">
        <v>169</v>
      </c>
      <c r="B172" s="12" t="s">
        <v>11</v>
      </c>
      <c r="C172" s="12">
        <v>198</v>
      </c>
      <c r="D172" s="12" t="s">
        <v>12</v>
      </c>
      <c r="E172" s="12">
        <v>44</v>
      </c>
      <c r="F172" s="11">
        <v>48.906818181818196</v>
      </c>
      <c r="G172" s="11">
        <v>36.140909090909084</v>
      </c>
      <c r="H172" s="11"/>
      <c r="I172" s="11"/>
      <c r="J172" s="11">
        <v>85.047727272727286</v>
      </c>
      <c r="K172" s="11">
        <v>42.523863636363643</v>
      </c>
      <c r="L172" s="13">
        <v>210</v>
      </c>
      <c r="M172" s="11">
        <v>1.1615829346092639</v>
      </c>
      <c r="O172" s="12">
        <v>62</v>
      </c>
      <c r="P172" s="11">
        <v>51.064516129032256</v>
      </c>
      <c r="Q172" s="11">
        <v>42.516129032258064</v>
      </c>
      <c r="R172" s="11">
        <v>37.806451612903224</v>
      </c>
      <c r="S172" s="11"/>
      <c r="T172" s="11">
        <v>93.58064516129032</v>
      </c>
      <c r="U172" s="11">
        <v>46.79032258064516</v>
      </c>
      <c r="V172" s="13">
        <v>144</v>
      </c>
      <c r="W172" s="11">
        <v>4.2664589442815171</v>
      </c>
      <c r="Y172" s="12">
        <v>88</v>
      </c>
      <c r="Z172" s="11">
        <v>54.029850746268657</v>
      </c>
      <c r="AA172" s="11">
        <v>47.328358208955223</v>
      </c>
      <c r="AB172" s="11">
        <v>36.522388059701491</v>
      </c>
      <c r="AC172" s="11"/>
      <c r="AD172" s="11">
        <v>137.88059701492537</v>
      </c>
      <c r="AE172" s="11">
        <v>45.960199004975124</v>
      </c>
      <c r="AF172" s="13">
        <v>186</v>
      </c>
      <c r="AG172" s="11">
        <v>-0.83012357567003647</v>
      </c>
      <c r="AI172" s="12">
        <v>82</v>
      </c>
      <c r="AJ172" s="11">
        <v>42.951219512195124</v>
      </c>
      <c r="AK172" s="11">
        <v>32.926829268292686</v>
      </c>
      <c r="AL172" s="11">
        <v>29.804878048780488</v>
      </c>
      <c r="AM172" s="11"/>
      <c r="AN172" s="11">
        <v>105.6829268292683</v>
      </c>
      <c r="AO172" s="11">
        <v>35.227642276422763</v>
      </c>
      <c r="AP172" s="13">
        <v>264</v>
      </c>
      <c r="AQ172" s="11">
        <v>-10.73255672855236</v>
      </c>
      <c r="AS172" s="12">
        <v>86</v>
      </c>
      <c r="AT172" s="11">
        <v>50.692941176470597</v>
      </c>
      <c r="AU172" s="11">
        <v>29.86470588235294</v>
      </c>
      <c r="AV172" s="11">
        <v>30.828235294117636</v>
      </c>
      <c r="AW172" s="11"/>
      <c r="AX172" s="11">
        <v>111.38588235294117</v>
      </c>
      <c r="AY172" s="11">
        <v>37.128627450980389</v>
      </c>
      <c r="AZ172" s="13">
        <v>223</v>
      </c>
      <c r="BA172" s="11">
        <v>1.9009851745576256</v>
      </c>
    </row>
    <row r="173" spans="1:53" x14ac:dyDescent="0.25">
      <c r="A173" s="12">
        <v>170</v>
      </c>
      <c r="B173" s="12" t="s">
        <v>11</v>
      </c>
      <c r="C173" s="12">
        <v>209</v>
      </c>
      <c r="D173" s="12" t="s">
        <v>12</v>
      </c>
      <c r="E173" s="12">
        <v>30</v>
      </c>
      <c r="F173" s="11">
        <v>29.726666666666663</v>
      </c>
      <c r="G173" s="11">
        <v>21.436666666666664</v>
      </c>
      <c r="H173" s="11"/>
      <c r="I173" s="11"/>
      <c r="J173" s="11">
        <v>51.163333333333327</v>
      </c>
      <c r="K173" s="11">
        <v>25.581666666666663</v>
      </c>
      <c r="L173" s="13">
        <v>301</v>
      </c>
      <c r="M173" s="11">
        <v>-2.5605208333333387</v>
      </c>
      <c r="O173" s="12">
        <v>33</v>
      </c>
      <c r="P173" s="11">
        <v>31.515151515151516</v>
      </c>
      <c r="Q173" s="11">
        <v>18.060606060606062</v>
      </c>
      <c r="R173" s="11">
        <v>20.666666666666668</v>
      </c>
      <c r="S173" s="11"/>
      <c r="T173" s="11">
        <v>49.575757575757578</v>
      </c>
      <c r="U173" s="11">
        <v>24.787878787878789</v>
      </c>
      <c r="V173" s="13">
        <v>305</v>
      </c>
      <c r="W173" s="11">
        <v>-0.79378787878787449</v>
      </c>
      <c r="Y173" s="12">
        <v>44</v>
      </c>
      <c r="Z173" s="11">
        <v>41.8125</v>
      </c>
      <c r="AA173" s="11">
        <v>36.75</v>
      </c>
      <c r="AB173" s="11">
        <v>31.25</v>
      </c>
      <c r="AC173" s="11"/>
      <c r="AD173" s="11">
        <v>109.8125</v>
      </c>
      <c r="AE173" s="11">
        <v>36.604166666666664</v>
      </c>
      <c r="AF173" s="13">
        <v>289</v>
      </c>
      <c r="AG173" s="11">
        <v>11.816287878787875</v>
      </c>
      <c r="AI173" s="12">
        <v>60</v>
      </c>
      <c r="AJ173" s="11">
        <v>32.283333333333331</v>
      </c>
      <c r="AK173" s="11">
        <v>25.266666666666666</v>
      </c>
      <c r="AL173" s="11">
        <v>25.383333333333333</v>
      </c>
      <c r="AM173" s="11" t="s">
        <v>14</v>
      </c>
      <c r="AN173" s="11">
        <v>82.933333333333337</v>
      </c>
      <c r="AO173" s="11">
        <v>27.644444444444446</v>
      </c>
      <c r="AP173" s="13">
        <v>301</v>
      </c>
      <c r="AQ173" s="11">
        <v>-8.9597222222222186</v>
      </c>
      <c r="AS173" s="12">
        <v>40</v>
      </c>
      <c r="AT173" s="11">
        <v>37.571794871794857</v>
      </c>
      <c r="AU173" s="11">
        <v>20.179487179487179</v>
      </c>
      <c r="AV173" s="11">
        <v>20.356410256410257</v>
      </c>
      <c r="AW173" s="11"/>
      <c r="AX173" s="11">
        <v>78.10769230769229</v>
      </c>
      <c r="AY173" s="11">
        <v>26.035897435897429</v>
      </c>
      <c r="AZ173" s="13">
        <v>302</v>
      </c>
      <c r="BA173" s="11">
        <v>-1.608547008547017</v>
      </c>
    </row>
    <row r="174" spans="1:53" x14ac:dyDescent="0.25">
      <c r="A174" s="12">
        <v>171</v>
      </c>
      <c r="B174" s="12" t="s">
        <v>11</v>
      </c>
      <c r="C174" s="12">
        <v>213</v>
      </c>
      <c r="D174" s="12" t="s">
        <v>13</v>
      </c>
      <c r="E174" s="12">
        <v>56</v>
      </c>
      <c r="F174" s="11">
        <v>53.774999999999977</v>
      </c>
      <c r="G174" s="11">
        <v>38.274999999999991</v>
      </c>
      <c r="H174" s="11"/>
      <c r="I174" s="11"/>
      <c r="J174" s="11">
        <v>92.049999999999969</v>
      </c>
      <c r="K174" s="11">
        <v>46.024999999999984</v>
      </c>
      <c r="L174" s="13">
        <v>159</v>
      </c>
      <c r="M174" s="11">
        <v>-0.38308823529413871</v>
      </c>
      <c r="O174" s="12">
        <v>66</v>
      </c>
      <c r="P174" s="11">
        <v>45.545454545454547</v>
      </c>
      <c r="Q174" s="11">
        <v>35.424242424242422</v>
      </c>
      <c r="R174" s="11">
        <v>30</v>
      </c>
      <c r="S174" s="11"/>
      <c r="T174" s="11">
        <v>80.969696969696969</v>
      </c>
      <c r="U174" s="11">
        <v>40.484848484848484</v>
      </c>
      <c r="V174" s="13">
        <v>254</v>
      </c>
      <c r="W174" s="11">
        <v>-5.5401515151515</v>
      </c>
      <c r="Y174" s="12">
        <v>43</v>
      </c>
      <c r="Z174" s="11">
        <v>52.537037037037038</v>
      </c>
      <c r="AA174" s="11">
        <v>49.129629629629626</v>
      </c>
      <c r="AB174" s="11">
        <v>35.777777777777779</v>
      </c>
      <c r="AC174" s="11"/>
      <c r="AD174" s="11">
        <v>137.44444444444443</v>
      </c>
      <c r="AE174" s="11">
        <v>45.81481481481481</v>
      </c>
      <c r="AF174" s="13">
        <v>189</v>
      </c>
      <c r="AG174" s="11">
        <v>5.3299663299663251</v>
      </c>
      <c r="AI174" s="12">
        <v>65</v>
      </c>
      <c r="AJ174" s="11">
        <v>44.646153846153844</v>
      </c>
      <c r="AK174" s="11">
        <v>42.030769230769231</v>
      </c>
      <c r="AL174" s="11">
        <v>34.615384615384613</v>
      </c>
      <c r="AM174" s="11" t="s">
        <v>14</v>
      </c>
      <c r="AN174" s="11">
        <v>121.29230769230769</v>
      </c>
      <c r="AO174" s="11">
        <v>40.430769230769229</v>
      </c>
      <c r="AP174" s="13">
        <v>198</v>
      </c>
      <c r="AQ174" s="11">
        <v>-5.3840455840455803</v>
      </c>
      <c r="AS174" s="12">
        <v>42</v>
      </c>
      <c r="AT174" s="11">
        <v>42.607317073170726</v>
      </c>
      <c r="AU174" s="11">
        <v>29.478048780487793</v>
      </c>
      <c r="AV174" s="11">
        <v>31.568292682926824</v>
      </c>
      <c r="AW174" s="11"/>
      <c r="AX174" s="11">
        <v>103.65365853658534</v>
      </c>
      <c r="AY174" s="11">
        <v>34.551219512195111</v>
      </c>
      <c r="AZ174" s="13">
        <v>258</v>
      </c>
      <c r="BA174" s="11">
        <v>-5.8795497185741183</v>
      </c>
    </row>
    <row r="175" spans="1:53" x14ac:dyDescent="0.25">
      <c r="A175" s="12">
        <v>172</v>
      </c>
      <c r="B175" s="12" t="s">
        <v>11</v>
      </c>
      <c r="C175" s="12">
        <v>215</v>
      </c>
      <c r="D175" s="12" t="s">
        <v>12</v>
      </c>
      <c r="E175" s="12">
        <v>70</v>
      </c>
      <c r="F175" s="11">
        <v>57.181428571428569</v>
      </c>
      <c r="G175" s="11">
        <v>42.897142857142853</v>
      </c>
      <c r="H175" s="11"/>
      <c r="I175" s="11"/>
      <c r="J175" s="11">
        <v>100.07857142857142</v>
      </c>
      <c r="K175" s="11">
        <v>50.039285714285711</v>
      </c>
      <c r="L175" s="13">
        <v>107</v>
      </c>
      <c r="M175" s="11">
        <v>-2.119188861985478</v>
      </c>
      <c r="O175" s="12">
        <v>82</v>
      </c>
      <c r="P175" s="11">
        <v>57.792682926829265</v>
      </c>
      <c r="Q175" s="11">
        <v>44.756097560975611</v>
      </c>
      <c r="R175" s="11">
        <v>37.695121951219512</v>
      </c>
      <c r="S175" s="11"/>
      <c r="T175" s="11">
        <v>102.54878048780488</v>
      </c>
      <c r="U175" s="11">
        <v>51.274390243902438</v>
      </c>
      <c r="V175" s="13">
        <v>82</v>
      </c>
      <c r="W175" s="11">
        <v>1.2351045296167271</v>
      </c>
      <c r="Y175" s="12">
        <v>92</v>
      </c>
      <c r="Z175" s="11">
        <v>57.851351351351354</v>
      </c>
      <c r="AA175" s="11">
        <v>47.918918918918919</v>
      </c>
      <c r="AB175" s="11">
        <v>37.608108108108105</v>
      </c>
      <c r="AC175" s="11"/>
      <c r="AD175" s="11">
        <v>143.37837837837839</v>
      </c>
      <c r="AE175" s="11">
        <v>47.792792792792795</v>
      </c>
      <c r="AF175" s="13">
        <v>154</v>
      </c>
      <c r="AG175" s="11">
        <v>-3.4815974511096428</v>
      </c>
      <c r="AI175" s="12">
        <v>71</v>
      </c>
      <c r="AJ175" s="11">
        <v>42.802816901408448</v>
      </c>
      <c r="AK175" s="11">
        <v>35.605633802816904</v>
      </c>
      <c r="AL175" s="11">
        <v>32.352112676056336</v>
      </c>
      <c r="AM175" s="11" t="s">
        <v>14</v>
      </c>
      <c r="AN175" s="11">
        <v>110.76056338028168</v>
      </c>
      <c r="AO175" s="11">
        <v>36.920187793427225</v>
      </c>
      <c r="AP175" s="13">
        <v>243</v>
      </c>
      <c r="AQ175" s="11">
        <v>-10.872604999365571</v>
      </c>
      <c r="AS175" s="12">
        <v>86</v>
      </c>
      <c r="AT175" s="11">
        <v>48.732558139534873</v>
      </c>
      <c r="AU175" s="11">
        <v>35.080232558139542</v>
      </c>
      <c r="AV175" s="11">
        <v>32.247674418604646</v>
      </c>
      <c r="AW175" s="11"/>
      <c r="AX175" s="11">
        <v>116.06046511627906</v>
      </c>
      <c r="AY175" s="11">
        <v>38.686821705426354</v>
      </c>
      <c r="AZ175" s="13">
        <v>193</v>
      </c>
      <c r="BA175" s="11">
        <v>1.7666339119991292</v>
      </c>
    </row>
    <row r="176" spans="1:53" x14ac:dyDescent="0.25">
      <c r="A176" s="12">
        <v>173</v>
      </c>
      <c r="B176" s="12" t="s">
        <v>11</v>
      </c>
      <c r="C176" s="12">
        <v>252</v>
      </c>
      <c r="D176" s="12" t="s">
        <v>13</v>
      </c>
      <c r="E176" s="12">
        <v>177</v>
      </c>
      <c r="F176" s="11">
        <v>55.997175141242948</v>
      </c>
      <c r="G176" s="11">
        <v>41.290395480225989</v>
      </c>
      <c r="H176" s="11"/>
      <c r="I176" s="11"/>
      <c r="J176" s="11">
        <v>97.287570621468944</v>
      </c>
      <c r="K176" s="11">
        <v>48.643785310734472</v>
      </c>
      <c r="L176" s="13">
        <v>127</v>
      </c>
      <c r="M176" s="11">
        <v>0.97711864406780791</v>
      </c>
      <c r="O176" s="12">
        <v>161</v>
      </c>
      <c r="P176" s="11">
        <v>51.130434782608695</v>
      </c>
      <c r="Q176" s="11">
        <v>41.590062111801245</v>
      </c>
      <c r="R176" s="11">
        <v>38.136645962732921</v>
      </c>
      <c r="S176" s="11"/>
      <c r="T176" s="11">
        <v>92.720496894409933</v>
      </c>
      <c r="U176" s="11">
        <v>46.360248447204967</v>
      </c>
      <c r="V176" s="13">
        <v>155</v>
      </c>
      <c r="W176" s="11">
        <v>-2.2835368635295055</v>
      </c>
      <c r="Y176" s="12">
        <v>213</v>
      </c>
      <c r="Z176" s="11">
        <v>53.81</v>
      </c>
      <c r="AA176" s="11">
        <v>49.58</v>
      </c>
      <c r="AB176" s="11">
        <v>37.57</v>
      </c>
      <c r="AC176" s="11"/>
      <c r="AD176" s="11">
        <v>140.96</v>
      </c>
      <c r="AE176" s="11">
        <v>46.986666666666672</v>
      </c>
      <c r="AF176" s="13">
        <v>168</v>
      </c>
      <c r="AG176" s="11">
        <v>0.62641821946170495</v>
      </c>
      <c r="AI176" s="12">
        <v>205</v>
      </c>
      <c r="AJ176" s="11">
        <v>46.648780487804878</v>
      </c>
      <c r="AK176" s="11">
        <v>38.575609756097563</v>
      </c>
      <c r="AL176" s="11">
        <v>38.117073170731707</v>
      </c>
      <c r="AM176" s="11" t="s">
        <v>14</v>
      </c>
      <c r="AN176" s="11">
        <v>123.34146341463415</v>
      </c>
      <c r="AO176" s="11">
        <v>41.113821138211385</v>
      </c>
      <c r="AP176" s="13">
        <v>184</v>
      </c>
      <c r="AQ176" s="11">
        <v>-5.8728455284552865</v>
      </c>
      <c r="AS176" s="12">
        <v>201</v>
      </c>
      <c r="AT176" s="11">
        <v>48.405970149253754</v>
      </c>
      <c r="AU176" s="11">
        <v>33.240298507462661</v>
      </c>
      <c r="AV176" s="11">
        <v>34.460696517412948</v>
      </c>
      <c r="AW176" s="11"/>
      <c r="AX176" s="11">
        <v>116.10696517412936</v>
      </c>
      <c r="AY176" s="11">
        <v>38.702321724709783</v>
      </c>
      <c r="AZ176" s="13">
        <v>192</v>
      </c>
      <c r="BA176" s="11">
        <v>-2.4114994135016019</v>
      </c>
    </row>
    <row r="177" spans="1:53" x14ac:dyDescent="0.25">
      <c r="A177" s="12">
        <v>174</v>
      </c>
      <c r="B177" s="12" t="s">
        <v>11</v>
      </c>
      <c r="C177" s="12">
        <v>255</v>
      </c>
      <c r="D177" s="12" t="s">
        <v>12</v>
      </c>
      <c r="E177" s="12">
        <v>78</v>
      </c>
      <c r="F177" s="11">
        <v>50.544871794871774</v>
      </c>
      <c r="G177" s="11">
        <v>29.724358974358967</v>
      </c>
      <c r="H177" s="11"/>
      <c r="I177" s="11"/>
      <c r="J177" s="11">
        <v>80.269230769230745</v>
      </c>
      <c r="K177" s="11">
        <v>40.134615384615373</v>
      </c>
      <c r="L177" s="13">
        <v>244</v>
      </c>
      <c r="M177" s="11">
        <v>-0.29364548494984888</v>
      </c>
      <c r="O177" s="12">
        <v>92</v>
      </c>
      <c r="P177" s="11">
        <v>50.728260869565219</v>
      </c>
      <c r="Q177" s="11">
        <v>40.163043478260867</v>
      </c>
      <c r="R177" s="11">
        <v>36.630434782608695</v>
      </c>
      <c r="S177" s="11"/>
      <c r="T177" s="11">
        <v>90.891304347826093</v>
      </c>
      <c r="U177" s="11">
        <v>45.445652173913047</v>
      </c>
      <c r="V177" s="13">
        <v>166</v>
      </c>
      <c r="W177" s="11">
        <v>5.311036789297674</v>
      </c>
      <c r="Y177" s="12">
        <v>148</v>
      </c>
      <c r="Z177" s="11">
        <v>48.391304347826086</v>
      </c>
      <c r="AA177" s="11">
        <v>42.173913043478258</v>
      </c>
      <c r="AB177" s="11">
        <v>41.184782608695649</v>
      </c>
      <c r="AC177" s="11"/>
      <c r="AD177" s="11">
        <v>131.75</v>
      </c>
      <c r="AE177" s="11">
        <v>43.916666666666664</v>
      </c>
      <c r="AF177" s="13">
        <v>233</v>
      </c>
      <c r="AG177" s="11">
        <v>-1.5289855072463823</v>
      </c>
      <c r="AI177" s="12">
        <v>142</v>
      </c>
      <c r="AJ177" s="11">
        <v>42.154929577464792</v>
      </c>
      <c r="AK177" s="11">
        <v>33.04225352112676</v>
      </c>
      <c r="AL177" s="11">
        <v>29.809859154929576</v>
      </c>
      <c r="AM177" s="11" t="s">
        <v>14</v>
      </c>
      <c r="AN177" s="11">
        <v>105.00704225352112</v>
      </c>
      <c r="AO177" s="11">
        <v>35.002347417840376</v>
      </c>
      <c r="AP177" s="13">
        <v>267</v>
      </c>
      <c r="AQ177" s="11">
        <v>-8.9143192488262883</v>
      </c>
      <c r="AS177" s="12">
        <v>142</v>
      </c>
      <c r="AT177" s="11">
        <v>50.921985815602838</v>
      </c>
      <c r="AU177" s="11">
        <v>32.479432624113464</v>
      </c>
      <c r="AV177" s="11">
        <v>31.117730496453891</v>
      </c>
      <c r="AW177" s="11"/>
      <c r="AX177" s="11">
        <v>114.5191489361702</v>
      </c>
      <c r="AY177" s="11">
        <v>38.173049645390066</v>
      </c>
      <c r="AZ177" s="13">
        <v>206</v>
      </c>
      <c r="BA177" s="11">
        <v>3.1707022275496897</v>
      </c>
    </row>
    <row r="178" spans="1:53" x14ac:dyDescent="0.25">
      <c r="A178" s="12">
        <v>175</v>
      </c>
      <c r="B178" s="12" t="s">
        <v>11</v>
      </c>
      <c r="C178" s="12">
        <v>259</v>
      </c>
      <c r="D178" s="12" t="s">
        <v>12</v>
      </c>
      <c r="E178" s="12">
        <v>68</v>
      </c>
      <c r="F178" s="11">
        <v>42.501470588235279</v>
      </c>
      <c r="G178" s="11">
        <v>32.40588235294117</v>
      </c>
      <c r="H178" s="11"/>
      <c r="I178" s="11"/>
      <c r="J178" s="11">
        <v>74.907352941176441</v>
      </c>
      <c r="K178" s="11">
        <v>37.453676470588221</v>
      </c>
      <c r="L178" s="13">
        <v>264</v>
      </c>
      <c r="M178" s="11">
        <v>-2.4592545638945467</v>
      </c>
      <c r="O178" s="12">
        <v>75</v>
      </c>
      <c r="P178" s="11">
        <v>45.16</v>
      </c>
      <c r="Q178" s="11">
        <v>35.813333333333333</v>
      </c>
      <c r="R178" s="11">
        <v>34.506666666666668</v>
      </c>
      <c r="S178" s="11"/>
      <c r="T178" s="11">
        <v>80.973333333333329</v>
      </c>
      <c r="U178" s="11">
        <v>40.486666666666665</v>
      </c>
      <c r="V178" s="13">
        <v>253</v>
      </c>
      <c r="W178" s="11">
        <v>3.032990196078444</v>
      </c>
      <c r="Y178" s="12">
        <v>84</v>
      </c>
      <c r="Z178" s="11">
        <v>48.56</v>
      </c>
      <c r="AA178" s="11">
        <v>44.226666666666667</v>
      </c>
      <c r="AB178" s="11">
        <v>35.880000000000003</v>
      </c>
      <c r="AC178" s="11"/>
      <c r="AD178" s="11">
        <v>128.66666666666666</v>
      </c>
      <c r="AE178" s="11">
        <v>42.888888888888886</v>
      </c>
      <c r="AF178" s="13">
        <v>246</v>
      </c>
      <c r="AG178" s="11">
        <v>2.4022222222222211</v>
      </c>
      <c r="AI178" s="12">
        <v>83</v>
      </c>
      <c r="AJ178" s="11">
        <v>37.325301204819276</v>
      </c>
      <c r="AK178" s="11">
        <v>28.481927710843372</v>
      </c>
      <c r="AL178" s="11">
        <v>28.3855421686747</v>
      </c>
      <c r="AM178" s="11" t="s">
        <v>14</v>
      </c>
      <c r="AN178" s="11">
        <v>94.192771084337352</v>
      </c>
      <c r="AO178" s="11">
        <v>31.397590361445783</v>
      </c>
      <c r="AP178" s="13">
        <v>287</v>
      </c>
      <c r="AQ178" s="11">
        <v>-11.491298527443103</v>
      </c>
      <c r="AS178" s="12">
        <v>78</v>
      </c>
      <c r="AT178" s="11">
        <v>43.511538461538443</v>
      </c>
      <c r="AU178" s="11">
        <v>27.147435897435891</v>
      </c>
      <c r="AV178" s="11">
        <v>31.114102564102566</v>
      </c>
      <c r="AW178" s="11"/>
      <c r="AX178" s="11">
        <v>101.7730769230769</v>
      </c>
      <c r="AY178" s="11">
        <v>33.924358974358967</v>
      </c>
      <c r="AZ178" s="13">
        <v>263</v>
      </c>
      <c r="BA178" s="11">
        <v>2.5267686129131839</v>
      </c>
    </row>
    <row r="179" spans="1:53" x14ac:dyDescent="0.25">
      <c r="A179" s="12">
        <v>176</v>
      </c>
      <c r="B179" s="12" t="s">
        <v>11</v>
      </c>
      <c r="C179" s="12">
        <v>271</v>
      </c>
      <c r="D179" s="12" t="s">
        <v>12</v>
      </c>
      <c r="E179" s="12">
        <v>152</v>
      </c>
      <c r="F179" s="11">
        <v>55.221710526315782</v>
      </c>
      <c r="G179" s="11">
        <v>41.632894736842125</v>
      </c>
      <c r="H179" s="11"/>
      <c r="I179" s="11"/>
      <c r="J179" s="11">
        <v>96.854605263157907</v>
      </c>
      <c r="K179" s="11">
        <v>48.427302631578954</v>
      </c>
      <c r="L179" s="13">
        <v>130</v>
      </c>
      <c r="M179" s="11">
        <v>-1.5845678720181766</v>
      </c>
      <c r="O179" s="12">
        <v>141</v>
      </c>
      <c r="P179" s="11">
        <v>53.851063829787236</v>
      </c>
      <c r="Q179" s="11">
        <v>46.524822695035461</v>
      </c>
      <c r="R179" s="11">
        <v>40.851063829787236</v>
      </c>
      <c r="S179" s="11"/>
      <c r="T179" s="11">
        <v>100.3758865248227</v>
      </c>
      <c r="U179" s="11">
        <v>50.187943262411352</v>
      </c>
      <c r="V179" s="13">
        <v>100</v>
      </c>
      <c r="W179" s="11">
        <v>1.7606406308323983</v>
      </c>
      <c r="Y179" s="12">
        <v>165</v>
      </c>
      <c r="Z179" s="11">
        <v>52.278911564625851</v>
      </c>
      <c r="AA179" s="11">
        <v>47.843537414965986</v>
      </c>
      <c r="AB179" s="11">
        <v>36.299319727891159</v>
      </c>
      <c r="AC179" s="11"/>
      <c r="AD179" s="11">
        <v>136.42176870748301</v>
      </c>
      <c r="AE179" s="11">
        <v>45.473922902494337</v>
      </c>
      <c r="AF179" s="13">
        <v>198</v>
      </c>
      <c r="AG179" s="11">
        <v>-4.714020359917015</v>
      </c>
      <c r="AI179" s="12">
        <v>128</v>
      </c>
      <c r="AJ179" s="11">
        <v>48.0390625</v>
      </c>
      <c r="AK179" s="11">
        <v>42.03125</v>
      </c>
      <c r="AL179" s="11">
        <v>36.3671875</v>
      </c>
      <c r="AM179" s="11">
        <v>45.411764705882355</v>
      </c>
      <c r="AN179" s="11">
        <v>126.4375</v>
      </c>
      <c r="AO179" s="11">
        <v>42.145833333333336</v>
      </c>
      <c r="AP179" s="13">
        <v>172</v>
      </c>
      <c r="AQ179" s="11">
        <v>-3.3280895691610013</v>
      </c>
      <c r="AS179" s="12">
        <v>160</v>
      </c>
      <c r="AT179" s="11">
        <v>48.879746835443058</v>
      </c>
      <c r="AU179" s="11">
        <v>31.77215189873419</v>
      </c>
      <c r="AV179" s="11">
        <v>36.113291139240495</v>
      </c>
      <c r="AW179" s="11">
        <v>50.96551724137931</v>
      </c>
      <c r="AX179" s="11">
        <v>116.76518987341774</v>
      </c>
      <c r="AY179" s="11">
        <v>38.921729957805915</v>
      </c>
      <c r="AZ179" s="13">
        <v>189</v>
      </c>
      <c r="BA179" s="11">
        <v>-3.2241033755274202</v>
      </c>
    </row>
    <row r="180" spans="1:53" x14ac:dyDescent="0.25">
      <c r="A180" s="12">
        <v>177</v>
      </c>
      <c r="B180" s="12" t="s">
        <v>11</v>
      </c>
      <c r="C180" s="12">
        <v>293</v>
      </c>
      <c r="D180" s="12" t="s">
        <v>12</v>
      </c>
      <c r="E180" s="12">
        <v>56</v>
      </c>
      <c r="F180" s="11">
        <v>36.93035714285714</v>
      </c>
      <c r="G180" s="11">
        <v>22.096428571428572</v>
      </c>
      <c r="H180" s="11"/>
      <c r="I180" s="11"/>
      <c r="J180" s="11">
        <v>59.026785714285708</v>
      </c>
      <c r="K180" s="11">
        <v>29.513392857142854</v>
      </c>
      <c r="L180" s="13">
        <v>296</v>
      </c>
      <c r="M180" s="11">
        <v>-3.1847889610389686</v>
      </c>
      <c r="O180" s="12">
        <v>80</v>
      </c>
      <c r="P180" s="11">
        <v>35.975000000000001</v>
      </c>
      <c r="Q180" s="11">
        <v>19.625</v>
      </c>
      <c r="R180" s="11">
        <v>20.95</v>
      </c>
      <c r="S180" s="11"/>
      <c r="T180" s="11">
        <v>55.6</v>
      </c>
      <c r="U180" s="11">
        <v>27.8</v>
      </c>
      <c r="V180" s="13">
        <v>302</v>
      </c>
      <c r="W180" s="11">
        <v>-1.7133928571428534</v>
      </c>
      <c r="Y180" s="12">
        <v>91</v>
      </c>
      <c r="Z180" s="11">
        <v>35.061538461538461</v>
      </c>
      <c r="AA180" s="11">
        <v>32.984615384615381</v>
      </c>
      <c r="AB180" s="11">
        <v>25.923076923076923</v>
      </c>
      <c r="AC180" s="11"/>
      <c r="AD180" s="11">
        <v>93.969230769230762</v>
      </c>
      <c r="AE180" s="11">
        <v>31.323076923076922</v>
      </c>
      <c r="AF180" s="13">
        <v>302</v>
      </c>
      <c r="AG180" s="11">
        <v>3.5230769230769212</v>
      </c>
      <c r="AI180" s="12">
        <v>91</v>
      </c>
      <c r="AJ180" s="11">
        <v>31.032967032967033</v>
      </c>
      <c r="AK180" s="11">
        <v>22.945054945054945</v>
      </c>
      <c r="AL180" s="11">
        <v>23.725274725274726</v>
      </c>
      <c r="AM180" s="11" t="s">
        <v>14</v>
      </c>
      <c r="AN180" s="11">
        <v>77.703296703296701</v>
      </c>
      <c r="AO180" s="11">
        <v>25.901098901098901</v>
      </c>
      <c r="AP180" s="13">
        <v>304</v>
      </c>
      <c r="AQ180" s="11">
        <v>-5.4219780219780205</v>
      </c>
      <c r="AS180" s="12">
        <v>83</v>
      </c>
      <c r="AT180" s="11">
        <v>40.218987341772156</v>
      </c>
      <c r="AU180" s="11">
        <v>20.702531645569625</v>
      </c>
      <c r="AV180" s="11">
        <v>21.779746835443028</v>
      </c>
      <c r="AW180" s="11"/>
      <c r="AX180" s="11">
        <v>82.701265822784819</v>
      </c>
      <c r="AY180" s="11">
        <v>27.56708860759494</v>
      </c>
      <c r="AZ180" s="13">
        <v>297</v>
      </c>
      <c r="BA180" s="11">
        <v>1.6659897064960383</v>
      </c>
    </row>
    <row r="181" spans="1:53" x14ac:dyDescent="0.25">
      <c r="A181" s="12">
        <v>178</v>
      </c>
      <c r="B181" s="12" t="s">
        <v>11</v>
      </c>
      <c r="C181" s="12">
        <v>295</v>
      </c>
      <c r="D181" s="12" t="s">
        <v>12</v>
      </c>
      <c r="E181" s="12">
        <v>66</v>
      </c>
      <c r="F181" s="11">
        <v>41.174242424242422</v>
      </c>
      <c r="G181" s="11">
        <v>31.762121212121222</v>
      </c>
      <c r="H181" s="11"/>
      <c r="I181" s="11"/>
      <c r="J181" s="11">
        <v>72.936363636363637</v>
      </c>
      <c r="K181" s="11">
        <v>36.468181818181819</v>
      </c>
      <c r="L181" s="13">
        <v>267</v>
      </c>
      <c r="M181" s="11">
        <v>6.2992163009404436</v>
      </c>
      <c r="O181" s="12">
        <v>72</v>
      </c>
      <c r="P181" s="11">
        <v>38.125</v>
      </c>
      <c r="Q181" s="11">
        <v>26.5</v>
      </c>
      <c r="R181" s="11">
        <v>20.527777777777779</v>
      </c>
      <c r="S181" s="11"/>
      <c r="T181" s="11">
        <v>64.625</v>
      </c>
      <c r="U181" s="11">
        <v>32.3125</v>
      </c>
      <c r="V181" s="13">
        <v>294</v>
      </c>
      <c r="W181" s="11">
        <v>-4.1556818181818187</v>
      </c>
      <c r="Y181" s="12">
        <v>87</v>
      </c>
      <c r="Z181" s="11">
        <v>42.61904761904762</v>
      </c>
      <c r="AA181" s="11">
        <v>36.19047619047619</v>
      </c>
      <c r="AB181" s="11">
        <v>29.095238095238095</v>
      </c>
      <c r="AC181" s="11"/>
      <c r="AD181" s="11">
        <v>107.9047619047619</v>
      </c>
      <c r="AE181" s="11">
        <v>35.968253968253968</v>
      </c>
      <c r="AF181" s="13">
        <v>292</v>
      </c>
      <c r="AG181" s="11">
        <v>3.6557539682539684</v>
      </c>
      <c r="AI181" s="12">
        <v>82</v>
      </c>
      <c r="AJ181" s="11">
        <v>37.207317073170735</v>
      </c>
      <c r="AK181" s="11">
        <v>24.536585365853657</v>
      </c>
      <c r="AL181" s="11">
        <v>24.548780487804876</v>
      </c>
      <c r="AM181" s="11" t="s">
        <v>14</v>
      </c>
      <c r="AN181" s="11">
        <v>86.292682926829272</v>
      </c>
      <c r="AO181" s="11">
        <v>28.764227642276424</v>
      </c>
      <c r="AP181" s="13">
        <v>298</v>
      </c>
      <c r="AQ181" s="11">
        <v>-7.2040263259775443</v>
      </c>
      <c r="AS181" s="12">
        <v>89</v>
      </c>
      <c r="AT181" s="11">
        <v>34.86931818181818</v>
      </c>
      <c r="AU181" s="11">
        <v>20.671590909090909</v>
      </c>
      <c r="AV181" s="11">
        <v>19.74318181818181</v>
      </c>
      <c r="AW181" s="11"/>
      <c r="AX181" s="11">
        <v>75.284090909090907</v>
      </c>
      <c r="AY181" s="11">
        <v>25.094696969696969</v>
      </c>
      <c r="AZ181" s="13">
        <v>305</v>
      </c>
      <c r="BA181" s="11">
        <v>-3.6695306725794552</v>
      </c>
    </row>
    <row r="182" spans="1:53" x14ac:dyDescent="0.25">
      <c r="A182" s="12">
        <v>179</v>
      </c>
      <c r="B182" s="12" t="s">
        <v>11</v>
      </c>
      <c r="C182" s="12">
        <v>296</v>
      </c>
      <c r="D182" s="12" t="s">
        <v>12</v>
      </c>
      <c r="E182" s="12">
        <v>66</v>
      </c>
      <c r="F182" s="11">
        <v>49.478787878787891</v>
      </c>
      <c r="G182" s="11">
        <v>36.548484848484854</v>
      </c>
      <c r="H182" s="11"/>
      <c r="I182" s="11"/>
      <c r="J182" s="11">
        <v>86.027272727272745</v>
      </c>
      <c r="K182" s="11">
        <v>43.013636363636373</v>
      </c>
      <c r="L182" s="13">
        <v>205</v>
      </c>
      <c r="M182" s="11">
        <v>-0.69144838212633175</v>
      </c>
      <c r="O182" s="12">
        <v>78</v>
      </c>
      <c r="P182" s="11">
        <v>47.666666666666664</v>
      </c>
      <c r="Q182" s="11">
        <v>34.487179487179489</v>
      </c>
      <c r="R182" s="11">
        <v>32.205128205128204</v>
      </c>
      <c r="S182" s="11"/>
      <c r="T182" s="11">
        <v>82.15384615384616</v>
      </c>
      <c r="U182" s="11">
        <v>41.07692307692308</v>
      </c>
      <c r="V182" s="13">
        <v>237</v>
      </c>
      <c r="W182" s="11">
        <v>-1.9367132867132923</v>
      </c>
      <c r="Y182" s="12">
        <v>87</v>
      </c>
      <c r="Z182" s="11">
        <v>55.95</v>
      </c>
      <c r="AA182" s="11">
        <v>42.966666666666669</v>
      </c>
      <c r="AB182" s="11">
        <v>37.766666666666666</v>
      </c>
      <c r="AC182" s="11"/>
      <c r="AD182" s="11">
        <v>136.68333333333334</v>
      </c>
      <c r="AE182" s="11">
        <v>45.56111111111111</v>
      </c>
      <c r="AF182" s="13">
        <v>195</v>
      </c>
      <c r="AG182" s="11">
        <v>4.4841880341880298</v>
      </c>
      <c r="AI182" s="12">
        <v>100</v>
      </c>
      <c r="AJ182" s="11">
        <v>46.9</v>
      </c>
      <c r="AK182" s="11">
        <v>38.56</v>
      </c>
      <c r="AL182" s="11">
        <v>33.72</v>
      </c>
      <c r="AM182" s="11" t="s">
        <v>14</v>
      </c>
      <c r="AN182" s="11">
        <v>119.18</v>
      </c>
      <c r="AO182" s="11">
        <v>39.726666666666667</v>
      </c>
      <c r="AP182" s="13">
        <v>205</v>
      </c>
      <c r="AQ182" s="11">
        <v>-5.8344444444444434</v>
      </c>
      <c r="AS182" s="12">
        <v>78</v>
      </c>
      <c r="AT182" s="11">
        <v>49.842105263157897</v>
      </c>
      <c r="AU182" s="11">
        <v>35.76184210526317</v>
      </c>
      <c r="AV182" s="11">
        <v>35.839473684210532</v>
      </c>
      <c r="AW182" s="11"/>
      <c r="AX182" s="11">
        <v>121.44342105263161</v>
      </c>
      <c r="AY182" s="11">
        <v>40.481140350877205</v>
      </c>
      <c r="AZ182" s="13">
        <v>158</v>
      </c>
      <c r="BA182" s="11">
        <v>0.75447368421053795</v>
      </c>
    </row>
    <row r="183" spans="1:53" x14ac:dyDescent="0.25">
      <c r="A183" s="12">
        <v>180</v>
      </c>
      <c r="B183" s="12" t="s">
        <v>11</v>
      </c>
      <c r="C183" s="12">
        <v>305</v>
      </c>
      <c r="D183" s="12" t="s">
        <v>12</v>
      </c>
      <c r="E183" s="12">
        <v>25</v>
      </c>
      <c r="F183" s="11">
        <v>47.315999999999995</v>
      </c>
      <c r="G183" s="11">
        <v>32.136000000000003</v>
      </c>
      <c r="H183" s="11"/>
      <c r="I183" s="11"/>
      <c r="J183" s="11">
        <v>79.451999999999998</v>
      </c>
      <c r="K183" s="11">
        <v>39.725999999999999</v>
      </c>
      <c r="L183" s="13">
        <v>251</v>
      </c>
      <c r="M183" s="11">
        <v>-3.730000000000004</v>
      </c>
      <c r="O183" s="12">
        <v>26</v>
      </c>
      <c r="P183" s="11">
        <v>47.846153846153847</v>
      </c>
      <c r="Q183" s="11">
        <v>27.807692307692307</v>
      </c>
      <c r="R183" s="11">
        <v>31.153846153846153</v>
      </c>
      <c r="S183" s="11"/>
      <c r="T183" s="11">
        <v>75.65384615384616</v>
      </c>
      <c r="U183" s="11">
        <v>37.82692307692308</v>
      </c>
      <c r="V183" s="13">
        <v>276</v>
      </c>
      <c r="W183" s="11">
        <v>-1.8990769230769189</v>
      </c>
      <c r="Y183" s="12">
        <v>35</v>
      </c>
      <c r="Z183" s="11">
        <v>54.523809523809526</v>
      </c>
      <c r="AA183" s="11">
        <v>51.595238095238095</v>
      </c>
      <c r="AB183" s="11">
        <v>36.047619047619051</v>
      </c>
      <c r="AC183" s="11"/>
      <c r="AD183" s="11">
        <v>142.16666666666669</v>
      </c>
      <c r="AE183" s="11">
        <v>47.388888888888893</v>
      </c>
      <c r="AF183" s="13">
        <v>161</v>
      </c>
      <c r="AG183" s="11">
        <v>9.5619658119658126</v>
      </c>
      <c r="AI183" s="12">
        <v>40</v>
      </c>
      <c r="AJ183" s="11">
        <v>46.825000000000003</v>
      </c>
      <c r="AK183" s="11">
        <v>31.7</v>
      </c>
      <c r="AL183" s="11">
        <v>34.950000000000003</v>
      </c>
      <c r="AM183" s="11" t="s">
        <v>14</v>
      </c>
      <c r="AN183" s="11">
        <v>113.47500000000001</v>
      </c>
      <c r="AO183" s="11">
        <v>37.825000000000003</v>
      </c>
      <c r="AP183" s="13">
        <v>230</v>
      </c>
      <c r="AQ183" s="11">
        <v>-9.56388888888889</v>
      </c>
      <c r="AS183" s="12">
        <v>38</v>
      </c>
      <c r="AT183" s="11">
        <v>54.471052631578949</v>
      </c>
      <c r="AU183" s="11">
        <v>33.047368421052624</v>
      </c>
      <c r="AV183" s="11">
        <v>30.731578947368419</v>
      </c>
      <c r="AW183" s="11"/>
      <c r="AX183" s="11">
        <v>118.24999999999999</v>
      </c>
      <c r="AY183" s="11">
        <v>39.416666666666664</v>
      </c>
      <c r="AZ183" s="13">
        <v>182</v>
      </c>
      <c r="BA183" s="11">
        <v>1.5916666666666615</v>
      </c>
    </row>
    <row r="184" spans="1:53" x14ac:dyDescent="0.25">
      <c r="A184" s="12">
        <v>181</v>
      </c>
      <c r="B184" s="12" t="s">
        <v>11</v>
      </c>
      <c r="C184" s="12">
        <v>307</v>
      </c>
      <c r="D184" s="12" t="s">
        <v>12</v>
      </c>
      <c r="E184" s="12">
        <v>153</v>
      </c>
      <c r="F184" s="11">
        <v>50.14444444444446</v>
      </c>
      <c r="G184" s="11">
        <v>39.126797385620939</v>
      </c>
      <c r="H184" s="11"/>
      <c r="I184" s="11"/>
      <c r="J184" s="11">
        <v>89.271241830065406</v>
      </c>
      <c r="K184" s="11">
        <v>44.635620915032703</v>
      </c>
      <c r="L184" s="13">
        <v>182</v>
      </c>
      <c r="M184" s="11">
        <v>-1.2329741262896121</v>
      </c>
      <c r="O184" s="12">
        <v>165</v>
      </c>
      <c r="P184" s="11">
        <v>48.103030303030302</v>
      </c>
      <c r="Q184" s="11">
        <v>32.309090909090912</v>
      </c>
      <c r="R184" s="11">
        <v>31.066666666666666</v>
      </c>
      <c r="S184" s="11"/>
      <c r="T184" s="11">
        <v>80.412121212121207</v>
      </c>
      <c r="U184" s="11">
        <v>40.206060606060603</v>
      </c>
      <c r="V184" s="13">
        <v>255</v>
      </c>
      <c r="W184" s="11">
        <v>-4.4295603089720998</v>
      </c>
      <c r="Y184" s="12">
        <v>180</v>
      </c>
      <c r="Z184" s="11">
        <v>55.659574468085104</v>
      </c>
      <c r="AA184" s="11">
        <v>44.971631205673759</v>
      </c>
      <c r="AB184" s="11">
        <v>38.943262411347519</v>
      </c>
      <c r="AC184" s="11"/>
      <c r="AD184" s="11">
        <v>139.57446808510639</v>
      </c>
      <c r="AE184" s="11">
        <v>46.524822695035461</v>
      </c>
      <c r="AF184" s="13">
        <v>174</v>
      </c>
      <c r="AG184" s="11">
        <v>6.3187620889748572</v>
      </c>
      <c r="AI184" s="12">
        <v>198</v>
      </c>
      <c r="AJ184" s="11">
        <v>45.282828282828284</v>
      </c>
      <c r="AK184" s="11">
        <v>36.666666666666664</v>
      </c>
      <c r="AL184" s="11">
        <v>35.095959595959599</v>
      </c>
      <c r="AM184" s="11" t="s">
        <v>14</v>
      </c>
      <c r="AN184" s="11">
        <v>117.04545454545455</v>
      </c>
      <c r="AO184" s="11">
        <v>39.015151515151516</v>
      </c>
      <c r="AP184" s="13">
        <v>215</v>
      </c>
      <c r="AQ184" s="11">
        <v>-7.5096711798839451</v>
      </c>
      <c r="AS184" s="12">
        <v>178</v>
      </c>
      <c r="AT184" s="11">
        <v>48.77865168539325</v>
      </c>
      <c r="AU184" s="11">
        <v>29.098314606741546</v>
      </c>
      <c r="AV184" s="11">
        <v>32.483707865168547</v>
      </c>
      <c r="AW184" s="11"/>
      <c r="AX184" s="11">
        <v>110.36067415730335</v>
      </c>
      <c r="AY184" s="11">
        <v>36.786891385767781</v>
      </c>
      <c r="AZ184" s="13">
        <v>228</v>
      </c>
      <c r="BA184" s="11">
        <v>-2.2282601293837345</v>
      </c>
    </row>
    <row r="185" spans="1:53" x14ac:dyDescent="0.25">
      <c r="A185" s="12">
        <v>182</v>
      </c>
      <c r="B185" s="12" t="s">
        <v>11</v>
      </c>
      <c r="C185" s="12">
        <v>309</v>
      </c>
      <c r="D185" s="12" t="s">
        <v>12</v>
      </c>
      <c r="E185" s="12">
        <v>41</v>
      </c>
      <c r="F185" s="11">
        <v>57.392682926829281</v>
      </c>
      <c r="G185" s="11">
        <v>40.512195121951223</v>
      </c>
      <c r="H185" s="11"/>
      <c r="I185" s="11"/>
      <c r="J185" s="11">
        <v>97.904878048780503</v>
      </c>
      <c r="K185" s="11">
        <v>48.952439024390252</v>
      </c>
      <c r="L185" s="13">
        <v>122</v>
      </c>
      <c r="M185" s="11">
        <v>-0.66156097560975269</v>
      </c>
      <c r="O185" s="12">
        <v>58</v>
      </c>
      <c r="P185" s="11">
        <v>54.078431372549019</v>
      </c>
      <c r="Q185" s="11">
        <v>41.764705882352942</v>
      </c>
      <c r="R185" s="11">
        <v>38.235294117647058</v>
      </c>
      <c r="S185" s="11"/>
      <c r="T185" s="11">
        <v>95.843137254901961</v>
      </c>
      <c r="U185" s="11">
        <v>47.921568627450981</v>
      </c>
      <c r="V185" s="13">
        <v>127</v>
      </c>
      <c r="W185" s="11">
        <v>-1.030870396939271</v>
      </c>
      <c r="Y185" s="12">
        <v>53</v>
      </c>
      <c r="Z185" s="11">
        <v>57.234375</v>
      </c>
      <c r="AA185" s="11">
        <v>49.421875</v>
      </c>
      <c r="AB185" s="11">
        <v>40.328125</v>
      </c>
      <c r="AC185" s="11"/>
      <c r="AD185" s="11">
        <v>146.984375</v>
      </c>
      <c r="AE185" s="11">
        <v>48.994791666666664</v>
      </c>
      <c r="AF185" s="13">
        <v>134</v>
      </c>
      <c r="AG185" s="11">
        <v>1.0732230392156836</v>
      </c>
      <c r="AI185" s="12">
        <v>75</v>
      </c>
      <c r="AJ185" s="11">
        <v>53.308823529411768</v>
      </c>
      <c r="AK185" s="11">
        <v>45.882352941176471</v>
      </c>
      <c r="AL185" s="11">
        <v>43.808823529411768</v>
      </c>
      <c r="AM185" s="11" t="s">
        <v>14</v>
      </c>
      <c r="AN185" s="11">
        <v>143</v>
      </c>
      <c r="AO185" s="11">
        <v>47.666666666666664</v>
      </c>
      <c r="AP185" s="13">
        <v>97</v>
      </c>
      <c r="AQ185" s="11">
        <v>-1.328125</v>
      </c>
      <c r="AS185" s="12">
        <v>53</v>
      </c>
      <c r="AT185" s="11">
        <v>49.005882352941171</v>
      </c>
      <c r="AU185" s="11">
        <v>28.547058823529415</v>
      </c>
      <c r="AV185" s="11">
        <v>31.423529411764719</v>
      </c>
      <c r="AW185" s="11"/>
      <c r="AX185" s="11">
        <v>108.9764705882353</v>
      </c>
      <c r="AY185" s="11">
        <v>36.325490196078434</v>
      </c>
      <c r="AZ185" s="13">
        <v>235</v>
      </c>
      <c r="BA185" s="11">
        <v>-11.341176470588231</v>
      </c>
    </row>
    <row r="186" spans="1:53" x14ac:dyDescent="0.25">
      <c r="A186" s="12">
        <v>183</v>
      </c>
      <c r="B186" s="12" t="s">
        <v>11</v>
      </c>
      <c r="C186" s="12">
        <v>310</v>
      </c>
      <c r="D186" s="12" t="s">
        <v>12</v>
      </c>
      <c r="E186" s="12">
        <v>110</v>
      </c>
      <c r="F186" s="11">
        <v>54.909090909090899</v>
      </c>
      <c r="G186" s="11">
        <v>43.207272727272738</v>
      </c>
      <c r="H186" s="11"/>
      <c r="I186" s="11"/>
      <c r="J186" s="11">
        <v>98.116363636363644</v>
      </c>
      <c r="K186" s="11">
        <v>49.058181818181822</v>
      </c>
      <c r="L186" s="13">
        <v>120</v>
      </c>
      <c r="M186" s="11">
        <v>-4.8563851109520471</v>
      </c>
      <c r="O186" s="12">
        <v>130</v>
      </c>
      <c r="P186" s="11">
        <v>51.261538461538464</v>
      </c>
      <c r="Q186" s="11">
        <v>41.569230769230771</v>
      </c>
      <c r="R186" s="11">
        <v>38.130769230769232</v>
      </c>
      <c r="S186" s="11"/>
      <c r="T186" s="11">
        <v>92.830769230769235</v>
      </c>
      <c r="U186" s="11">
        <v>46.415384615384617</v>
      </c>
      <c r="V186" s="13">
        <v>154</v>
      </c>
      <c r="W186" s="11">
        <v>-2.6427972027972046</v>
      </c>
      <c r="Y186" s="12">
        <v>133</v>
      </c>
      <c r="Z186" s="11">
        <v>54.9</v>
      </c>
      <c r="AA186" s="11">
        <v>53.25</v>
      </c>
      <c r="AB186" s="11">
        <v>39.758333333333333</v>
      </c>
      <c r="AC186" s="11"/>
      <c r="AD186" s="11">
        <v>147.90833333333333</v>
      </c>
      <c r="AE186" s="11">
        <v>49.302777777777777</v>
      </c>
      <c r="AF186" s="13">
        <v>129</v>
      </c>
      <c r="AG186" s="11">
        <v>2.8873931623931597</v>
      </c>
      <c r="AI186" s="12">
        <v>132</v>
      </c>
      <c r="AJ186" s="11">
        <v>47.795454545454547</v>
      </c>
      <c r="AK186" s="11">
        <v>39.939393939393938</v>
      </c>
      <c r="AL186" s="11">
        <v>38.287878787878789</v>
      </c>
      <c r="AM186" s="11">
        <v>50.1875</v>
      </c>
      <c r="AN186" s="11">
        <v>126.02272727272728</v>
      </c>
      <c r="AO186" s="11">
        <v>42.007575757575758</v>
      </c>
      <c r="AP186" s="13">
        <v>175</v>
      </c>
      <c r="AQ186" s="11">
        <v>-7.2952020202020194</v>
      </c>
      <c r="AS186" s="12">
        <v>136</v>
      </c>
      <c r="AT186" s="11">
        <v>52.214705882352952</v>
      </c>
      <c r="AU186" s="11">
        <v>31.506617647058835</v>
      </c>
      <c r="AV186" s="11">
        <v>33.932352941176475</v>
      </c>
      <c r="AW186" s="11">
        <v>54.771428571428572</v>
      </c>
      <c r="AX186" s="11">
        <v>117.65367647058827</v>
      </c>
      <c r="AY186" s="11">
        <v>39.217892156862753</v>
      </c>
      <c r="AZ186" s="13">
        <v>185</v>
      </c>
      <c r="BA186" s="11">
        <v>-2.7896836007130048</v>
      </c>
    </row>
    <row r="187" spans="1:53" x14ac:dyDescent="0.25">
      <c r="A187" s="12">
        <v>184</v>
      </c>
      <c r="B187" s="12" t="s">
        <v>11</v>
      </c>
      <c r="C187" s="12">
        <v>311</v>
      </c>
      <c r="D187" s="12" t="s">
        <v>12</v>
      </c>
      <c r="E187" s="12">
        <v>149</v>
      </c>
      <c r="F187" s="11">
        <v>53.183221476510056</v>
      </c>
      <c r="G187" s="11">
        <v>41.205369127516761</v>
      </c>
      <c r="H187" s="11"/>
      <c r="I187" s="11"/>
      <c r="J187" s="11">
        <v>94.388590604026817</v>
      </c>
      <c r="K187" s="11">
        <v>47.194295302013408</v>
      </c>
      <c r="L187" s="13">
        <v>149</v>
      </c>
      <c r="M187" s="11">
        <v>-1.6632704874602879</v>
      </c>
      <c r="O187" s="12">
        <v>172</v>
      </c>
      <c r="P187" s="11">
        <v>50.883720930232556</v>
      </c>
      <c r="Q187" s="11">
        <v>40.808139534883722</v>
      </c>
      <c r="R187" s="11">
        <v>40.52325581395349</v>
      </c>
      <c r="S187" s="11"/>
      <c r="T187" s="11">
        <v>91.691860465116278</v>
      </c>
      <c r="U187" s="11">
        <v>45.845930232558139</v>
      </c>
      <c r="V187" s="13">
        <v>162</v>
      </c>
      <c r="W187" s="11">
        <v>-1.3483650694552693</v>
      </c>
      <c r="Y187" s="12">
        <v>177</v>
      </c>
      <c r="Z187" s="11">
        <v>54.320754716981135</v>
      </c>
      <c r="AA187" s="11">
        <v>50.985849056603776</v>
      </c>
      <c r="AB187" s="11">
        <v>41.485849056603776</v>
      </c>
      <c r="AC187" s="11"/>
      <c r="AD187" s="11">
        <v>146.79245283018869</v>
      </c>
      <c r="AE187" s="11">
        <v>48.930817610062896</v>
      </c>
      <c r="AF187" s="13">
        <v>135</v>
      </c>
      <c r="AG187" s="11">
        <v>3.0848873775047565</v>
      </c>
      <c r="AI187" s="12">
        <v>172</v>
      </c>
      <c r="AJ187" s="11">
        <v>47.517441860465119</v>
      </c>
      <c r="AK187" s="11">
        <v>45.162790697674417</v>
      </c>
      <c r="AL187" s="11">
        <v>35.860465116279073</v>
      </c>
      <c r="AM187" s="11" t="s">
        <v>14</v>
      </c>
      <c r="AN187" s="11">
        <v>128.5406976744186</v>
      </c>
      <c r="AO187" s="11">
        <v>42.846899224806201</v>
      </c>
      <c r="AP187" s="13">
        <v>159</v>
      </c>
      <c r="AQ187" s="11">
        <v>-6.0839183852566947</v>
      </c>
      <c r="AS187" s="12">
        <v>172</v>
      </c>
      <c r="AT187" s="11">
        <v>52.952352941176471</v>
      </c>
      <c r="AU187" s="11">
        <v>33.700588235294106</v>
      </c>
      <c r="AV187" s="11">
        <v>34.879411764705907</v>
      </c>
      <c r="AW187" s="11"/>
      <c r="AX187" s="11">
        <v>121.53235294117648</v>
      </c>
      <c r="AY187" s="11">
        <v>40.510784313725495</v>
      </c>
      <c r="AZ187" s="13">
        <v>157</v>
      </c>
      <c r="BA187" s="11">
        <v>-2.3361149110807062</v>
      </c>
    </row>
    <row r="188" spans="1:53" x14ac:dyDescent="0.25">
      <c r="A188" s="12">
        <v>185</v>
      </c>
      <c r="B188" s="12" t="s">
        <v>24</v>
      </c>
      <c r="C188" s="12">
        <v>2</v>
      </c>
      <c r="D188" s="12" t="s">
        <v>20</v>
      </c>
      <c r="E188" s="12">
        <v>80</v>
      </c>
      <c r="F188" s="11">
        <v>65.498749999999987</v>
      </c>
      <c r="G188" s="11">
        <v>53.155000000000008</v>
      </c>
      <c r="H188" s="11"/>
      <c r="I188" s="11"/>
      <c r="J188" s="11">
        <v>118.65375</v>
      </c>
      <c r="K188" s="11">
        <v>59.326875000000001</v>
      </c>
      <c r="L188" s="13">
        <v>16</v>
      </c>
      <c r="M188" s="11">
        <v>1.095208333333332</v>
      </c>
      <c r="O188" s="12">
        <v>72</v>
      </c>
      <c r="P188" s="11">
        <v>63.549295774647888</v>
      </c>
      <c r="Q188" s="11">
        <v>54.943661971830984</v>
      </c>
      <c r="R188" s="11">
        <v>54.690140845070424</v>
      </c>
      <c r="S188" s="11"/>
      <c r="T188" s="11">
        <v>118.49295774647888</v>
      </c>
      <c r="U188" s="11">
        <v>59.24647887323944</v>
      </c>
      <c r="V188" s="13">
        <v>16</v>
      </c>
      <c r="W188" s="11">
        <v>-8.0396126760561515E-2</v>
      </c>
      <c r="Y188" s="12">
        <v>77</v>
      </c>
      <c r="Z188" s="11">
        <v>64.322033898305079</v>
      </c>
      <c r="AA188" s="11">
        <v>61.542372881355931</v>
      </c>
      <c r="AB188" s="11">
        <v>52.101694915254235</v>
      </c>
      <c r="AC188" s="11"/>
      <c r="AD188" s="11">
        <v>177.96610169491524</v>
      </c>
      <c r="AE188" s="11">
        <v>59.322033898305079</v>
      </c>
      <c r="AF188" s="13">
        <v>15</v>
      </c>
      <c r="AG188" s="11">
        <v>7.5555025065639825E-2</v>
      </c>
      <c r="AI188" s="12">
        <v>69</v>
      </c>
      <c r="AJ188" s="11">
        <v>69.710144927536234</v>
      </c>
      <c r="AK188" s="11">
        <v>59.188405797101453</v>
      </c>
      <c r="AL188" s="11">
        <v>60.753623188405797</v>
      </c>
      <c r="AM188" s="11">
        <v>50.227272727272727</v>
      </c>
      <c r="AN188" s="11">
        <v>189.6521739130435</v>
      </c>
      <c r="AO188" s="11">
        <v>63.217391304347835</v>
      </c>
      <c r="AP188" s="13">
        <v>8</v>
      </c>
      <c r="AQ188" s="11">
        <v>3.8953574060427556</v>
      </c>
      <c r="AS188" s="12">
        <v>73</v>
      </c>
      <c r="AT188" s="11">
        <v>72.243835616438375</v>
      </c>
      <c r="AU188" s="11">
        <v>45.504109589041093</v>
      </c>
      <c r="AV188" s="11">
        <v>53.545205479452029</v>
      </c>
      <c r="AW188" s="11">
        <v>66.444444444444443</v>
      </c>
      <c r="AX188" s="11">
        <v>171.2931506849315</v>
      </c>
      <c r="AY188" s="11">
        <v>57.097716894977168</v>
      </c>
      <c r="AZ188" s="13">
        <v>10</v>
      </c>
      <c r="BA188" s="11">
        <v>-6.119674409370667</v>
      </c>
    </row>
    <row r="189" spans="1:53" x14ac:dyDescent="0.25">
      <c r="A189" s="12">
        <v>186</v>
      </c>
      <c r="B189" s="12" t="s">
        <v>24</v>
      </c>
      <c r="C189" s="12">
        <v>7</v>
      </c>
      <c r="D189" s="12" t="s">
        <v>12</v>
      </c>
      <c r="E189" s="12">
        <v>85</v>
      </c>
      <c r="F189" s="11">
        <v>58.428235294117634</v>
      </c>
      <c r="G189" s="11">
        <v>48.304705882352955</v>
      </c>
      <c r="H189" s="11"/>
      <c r="I189" s="11"/>
      <c r="J189" s="11">
        <v>106.73294117647059</v>
      </c>
      <c r="K189" s="11">
        <v>53.366470588235295</v>
      </c>
      <c r="L189" s="13">
        <v>58</v>
      </c>
      <c r="M189" s="11">
        <v>2.0759642591213918</v>
      </c>
      <c r="O189" s="12">
        <v>60</v>
      </c>
      <c r="P189" s="11">
        <v>52.85</v>
      </c>
      <c r="Q189" s="11">
        <v>44.283333333333331</v>
      </c>
      <c r="R189" s="11">
        <v>44.733333333333334</v>
      </c>
      <c r="S189" s="11"/>
      <c r="T189" s="11">
        <v>97.133333333333326</v>
      </c>
      <c r="U189" s="11">
        <v>48.566666666666663</v>
      </c>
      <c r="V189" s="13">
        <v>119</v>
      </c>
      <c r="W189" s="11">
        <v>-4.7998039215686319</v>
      </c>
      <c r="Y189" s="12">
        <v>104</v>
      </c>
      <c r="Z189" s="11">
        <v>58.027027027027025</v>
      </c>
      <c r="AA189" s="11">
        <v>53.189189189189186</v>
      </c>
      <c r="AB189" s="11">
        <v>42.581081081081081</v>
      </c>
      <c r="AC189" s="11"/>
      <c r="AD189" s="11">
        <v>153.79729729729729</v>
      </c>
      <c r="AE189" s="11">
        <v>51.265765765765764</v>
      </c>
      <c r="AF189" s="13">
        <v>85</v>
      </c>
      <c r="AG189" s="11">
        <v>2.6990990990991008</v>
      </c>
      <c r="AI189" s="12">
        <v>80</v>
      </c>
      <c r="AJ189" s="11">
        <v>55.837499999999999</v>
      </c>
      <c r="AK189" s="11">
        <v>45.7</v>
      </c>
      <c r="AL189" s="11">
        <v>51.287500000000001</v>
      </c>
      <c r="AM189" s="11">
        <v>51.230769230769234</v>
      </c>
      <c r="AN189" s="11">
        <v>152.82499999999999</v>
      </c>
      <c r="AO189" s="11">
        <v>50.941666666666663</v>
      </c>
      <c r="AP189" s="13">
        <v>57</v>
      </c>
      <c r="AQ189" s="11">
        <v>-0.32409909909910084</v>
      </c>
      <c r="AS189" s="12">
        <v>102</v>
      </c>
      <c r="AT189" s="11">
        <v>60.738235294117651</v>
      </c>
      <c r="AU189" s="11">
        <v>32.717647058823523</v>
      </c>
      <c r="AV189" s="11">
        <v>44.315686274509829</v>
      </c>
      <c r="AW189" s="11">
        <v>51.52</v>
      </c>
      <c r="AX189" s="11">
        <v>137.77156862745102</v>
      </c>
      <c r="AY189" s="11">
        <v>45.923856209150337</v>
      </c>
      <c r="AZ189" s="13">
        <v>81</v>
      </c>
      <c r="BA189" s="11">
        <v>-5.017810457516326</v>
      </c>
    </row>
    <row r="190" spans="1:53" x14ac:dyDescent="0.25">
      <c r="A190" s="12">
        <v>187</v>
      </c>
      <c r="B190" s="12" t="s">
        <v>24</v>
      </c>
      <c r="C190" s="12">
        <v>49</v>
      </c>
      <c r="D190" s="12" t="s">
        <v>13</v>
      </c>
      <c r="E190" s="12">
        <v>101</v>
      </c>
      <c r="F190" s="11">
        <v>59.175247524752464</v>
      </c>
      <c r="G190" s="11">
        <v>46.783168316831699</v>
      </c>
      <c r="H190" s="11"/>
      <c r="I190" s="11"/>
      <c r="J190" s="11">
        <v>105.95841584158416</v>
      </c>
      <c r="K190" s="11">
        <v>52.979207920792078</v>
      </c>
      <c r="L190" s="13">
        <v>62</v>
      </c>
      <c r="M190" s="11">
        <v>4.2144538224314232</v>
      </c>
      <c r="O190" s="12">
        <v>112</v>
      </c>
      <c r="P190" s="11">
        <v>56.839285714285715</v>
      </c>
      <c r="Q190" s="11">
        <v>49.410714285714285</v>
      </c>
      <c r="R190" s="11">
        <v>38.107142857142854</v>
      </c>
      <c r="S190" s="11"/>
      <c r="T190" s="11">
        <v>106.25</v>
      </c>
      <c r="U190" s="11">
        <v>53.125</v>
      </c>
      <c r="V190" s="13">
        <v>49</v>
      </c>
      <c r="W190" s="11">
        <v>0.14579207920792214</v>
      </c>
      <c r="Y190" s="12">
        <v>138</v>
      </c>
      <c r="Z190" s="11">
        <v>58.74074074074074</v>
      </c>
      <c r="AA190" s="11">
        <v>52.583333333333336</v>
      </c>
      <c r="AB190" s="11">
        <v>38.472222222222221</v>
      </c>
      <c r="AC190" s="11"/>
      <c r="AD190" s="11">
        <v>149.7962962962963</v>
      </c>
      <c r="AE190" s="11">
        <v>49.932098765432102</v>
      </c>
      <c r="AF190" s="13">
        <v>115</v>
      </c>
      <c r="AG190" s="11">
        <v>-3.1929012345678984</v>
      </c>
      <c r="AI190" s="12">
        <v>125</v>
      </c>
      <c r="AJ190" s="11">
        <v>56.591999999999999</v>
      </c>
      <c r="AK190" s="11">
        <v>43.392000000000003</v>
      </c>
      <c r="AL190" s="11">
        <v>41.576000000000001</v>
      </c>
      <c r="AM190" s="11" t="s">
        <v>14</v>
      </c>
      <c r="AN190" s="11">
        <v>141.56</v>
      </c>
      <c r="AO190" s="11">
        <v>47.186666666666667</v>
      </c>
      <c r="AP190" s="13">
        <v>105</v>
      </c>
      <c r="AQ190" s="11">
        <v>-2.7454320987654341</v>
      </c>
      <c r="AS190" s="12">
        <v>137</v>
      </c>
      <c r="AT190" s="11">
        <v>57.587591240875931</v>
      </c>
      <c r="AU190" s="11">
        <v>30.681021897810222</v>
      </c>
      <c r="AV190" s="11">
        <v>34.845985401459842</v>
      </c>
      <c r="AW190" s="11"/>
      <c r="AX190" s="11">
        <v>123.11459854014599</v>
      </c>
      <c r="AY190" s="11">
        <v>41.038199513381997</v>
      </c>
      <c r="AZ190" s="13">
        <v>148</v>
      </c>
      <c r="BA190" s="11">
        <v>-6.1484671532846704</v>
      </c>
    </row>
    <row r="191" spans="1:53" x14ac:dyDescent="0.25">
      <c r="A191" s="12">
        <v>188</v>
      </c>
      <c r="B191" s="12" t="s">
        <v>24</v>
      </c>
      <c r="C191" s="12">
        <v>50</v>
      </c>
      <c r="D191" s="12" t="s">
        <v>12</v>
      </c>
      <c r="E191" s="12">
        <v>27</v>
      </c>
      <c r="F191" s="11">
        <v>45.481481481481488</v>
      </c>
      <c r="G191" s="11">
        <v>26.662962962962961</v>
      </c>
      <c r="H191" s="11"/>
      <c r="I191" s="11"/>
      <c r="J191" s="11">
        <v>72.144444444444446</v>
      </c>
      <c r="K191" s="11">
        <v>36.072222222222223</v>
      </c>
      <c r="L191" s="13">
        <v>269</v>
      </c>
      <c r="M191" s="11">
        <v>-13.44777777777778</v>
      </c>
      <c r="O191" s="12">
        <v>32</v>
      </c>
      <c r="P191" s="11">
        <v>41.96875</v>
      </c>
      <c r="Q191" s="11">
        <v>32.21875</v>
      </c>
      <c r="R191" s="11">
        <v>26.6875</v>
      </c>
      <c r="S191" s="11"/>
      <c r="T191" s="11">
        <v>74.1875</v>
      </c>
      <c r="U191" s="11">
        <v>37.09375</v>
      </c>
      <c r="V191" s="13">
        <v>279</v>
      </c>
      <c r="W191" s="11">
        <v>1.0215277777777771</v>
      </c>
      <c r="Y191" s="12">
        <v>20</v>
      </c>
      <c r="Z191" s="11">
        <v>44.81818181818182</v>
      </c>
      <c r="AA191" s="11">
        <v>42.090909090909093</v>
      </c>
      <c r="AB191" s="11">
        <v>34.136363636363633</v>
      </c>
      <c r="AC191" s="11"/>
      <c r="AD191" s="11">
        <v>121.04545454545453</v>
      </c>
      <c r="AE191" s="11">
        <v>40.348484848484844</v>
      </c>
      <c r="AF191" s="13">
        <v>269</v>
      </c>
      <c r="AG191" s="11">
        <v>3.2547348484848442</v>
      </c>
      <c r="AI191" s="12">
        <v>27</v>
      </c>
      <c r="AJ191" s="11">
        <v>45.592592592592595</v>
      </c>
      <c r="AK191" s="11">
        <v>24.296296296296298</v>
      </c>
      <c r="AL191" s="11">
        <v>30.37037037037037</v>
      </c>
      <c r="AM191" s="11" t="s">
        <v>14</v>
      </c>
      <c r="AN191" s="11">
        <v>100.25925925925925</v>
      </c>
      <c r="AO191" s="11">
        <v>33.419753086419753</v>
      </c>
      <c r="AP191" s="13">
        <v>274</v>
      </c>
      <c r="AQ191" s="11">
        <v>-6.928731762065091</v>
      </c>
      <c r="AS191" s="12">
        <v>24</v>
      </c>
      <c r="AT191" s="11">
        <v>40.93333333333333</v>
      </c>
      <c r="AU191" s="11">
        <v>16.700000000000003</v>
      </c>
      <c r="AV191" s="11">
        <v>25.604166666666675</v>
      </c>
      <c r="AW191" s="11"/>
      <c r="AX191" s="11">
        <v>83.237500000000011</v>
      </c>
      <c r="AY191" s="11">
        <v>27.745833333333337</v>
      </c>
      <c r="AZ191" s="13">
        <v>296</v>
      </c>
      <c r="BA191" s="11">
        <v>-5.6739197530864161</v>
      </c>
    </row>
    <row r="192" spans="1:53" x14ac:dyDescent="0.25">
      <c r="A192" s="12">
        <v>189</v>
      </c>
      <c r="B192" s="12" t="s">
        <v>24</v>
      </c>
      <c r="C192" s="12">
        <v>51</v>
      </c>
      <c r="D192" s="12" t="s">
        <v>12</v>
      </c>
      <c r="E192" s="12">
        <v>116</v>
      </c>
      <c r="F192" s="11">
        <v>50.897413793103446</v>
      </c>
      <c r="G192" s="11">
        <v>37.255172413793105</v>
      </c>
      <c r="H192" s="11"/>
      <c r="I192" s="11"/>
      <c r="J192" s="11">
        <v>88.152586206896558</v>
      </c>
      <c r="K192" s="11">
        <v>44.076293103448279</v>
      </c>
      <c r="L192" s="13">
        <v>193</v>
      </c>
      <c r="M192" s="11">
        <v>-2.7947349339348975</v>
      </c>
      <c r="O192" s="12">
        <v>104</v>
      </c>
      <c r="P192" s="11">
        <v>51.78846153846154</v>
      </c>
      <c r="Q192" s="11">
        <v>38.740384615384613</v>
      </c>
      <c r="R192" s="11">
        <v>31.89423076923077</v>
      </c>
      <c r="S192" s="11"/>
      <c r="T192" s="11">
        <v>90.52884615384616</v>
      </c>
      <c r="U192" s="11">
        <v>45.26442307692308</v>
      </c>
      <c r="V192" s="13">
        <v>172</v>
      </c>
      <c r="W192" s="11">
        <v>1.1881299734748012</v>
      </c>
      <c r="Y192" s="12">
        <v>113</v>
      </c>
      <c r="Z192" s="11">
        <v>51.5</v>
      </c>
      <c r="AA192" s="11">
        <v>46.25</v>
      </c>
      <c r="AB192" s="11">
        <v>32.266666666666666</v>
      </c>
      <c r="AC192" s="11"/>
      <c r="AD192" s="11">
        <v>130.01666666666665</v>
      </c>
      <c r="AE192" s="11">
        <v>43.338888888888881</v>
      </c>
      <c r="AF192" s="13">
        <v>241</v>
      </c>
      <c r="AG192" s="11">
        <v>-1.9255341880341987</v>
      </c>
      <c r="AI192" s="12">
        <v>138</v>
      </c>
      <c r="AJ192" s="11">
        <v>48.94202898550725</v>
      </c>
      <c r="AK192" s="11">
        <v>35.014492753623188</v>
      </c>
      <c r="AL192" s="11">
        <v>31.920289855072465</v>
      </c>
      <c r="AM192" s="11" t="s">
        <v>14</v>
      </c>
      <c r="AN192" s="11">
        <v>115.87681159420291</v>
      </c>
      <c r="AO192" s="11">
        <v>38.625603864734302</v>
      </c>
      <c r="AP192" s="13">
        <v>222</v>
      </c>
      <c r="AQ192" s="11">
        <v>-4.7132850241545796</v>
      </c>
      <c r="AS192" s="12">
        <v>115</v>
      </c>
      <c r="AT192" s="11">
        <v>51.775652173913016</v>
      </c>
      <c r="AU192" s="11">
        <v>29.177391304347847</v>
      </c>
      <c r="AV192" s="11">
        <v>31.809565217391292</v>
      </c>
      <c r="AW192" s="11"/>
      <c r="AX192" s="11">
        <v>112.76260869565216</v>
      </c>
      <c r="AY192" s="11">
        <v>37.587536231884052</v>
      </c>
      <c r="AZ192" s="13">
        <v>215</v>
      </c>
      <c r="BA192" s="11">
        <v>-1.0380676328502503</v>
      </c>
    </row>
    <row r="193" spans="1:53" x14ac:dyDescent="0.25">
      <c r="A193" s="12">
        <v>190</v>
      </c>
      <c r="B193" s="12" t="s">
        <v>24</v>
      </c>
      <c r="C193" s="12">
        <v>91</v>
      </c>
      <c r="D193" s="12" t="s">
        <v>12</v>
      </c>
      <c r="E193" s="12">
        <v>90</v>
      </c>
      <c r="F193" s="11">
        <v>55.85888888888892</v>
      </c>
      <c r="G193" s="11">
        <v>46.627777777777759</v>
      </c>
      <c r="H193" s="11"/>
      <c r="I193" s="11"/>
      <c r="J193" s="11">
        <v>102.48666666666668</v>
      </c>
      <c r="K193" s="11">
        <v>51.243333333333339</v>
      </c>
      <c r="L193" s="13">
        <v>88</v>
      </c>
      <c r="M193" s="11">
        <v>-0.76666666666665151</v>
      </c>
      <c r="O193" s="12">
        <v>87</v>
      </c>
      <c r="P193" s="11">
        <v>53.448275862068968</v>
      </c>
      <c r="Q193" s="11">
        <v>47.632183908045974</v>
      </c>
      <c r="R193" s="11">
        <v>39.908045977011497</v>
      </c>
      <c r="S193" s="11"/>
      <c r="T193" s="11">
        <v>101.08045977011494</v>
      </c>
      <c r="U193" s="11">
        <v>50.540229885057471</v>
      </c>
      <c r="V193" s="13">
        <v>96</v>
      </c>
      <c r="W193" s="11">
        <v>-0.70310344827586846</v>
      </c>
      <c r="Y193" s="12">
        <v>99</v>
      </c>
      <c r="Z193" s="11">
        <v>57.297619047619051</v>
      </c>
      <c r="AA193" s="11">
        <v>53.88095238095238</v>
      </c>
      <c r="AB193" s="11">
        <v>40.107142857142854</v>
      </c>
      <c r="AC193" s="11"/>
      <c r="AD193" s="11">
        <v>151.28571428571428</v>
      </c>
      <c r="AE193" s="11">
        <v>50.428571428571423</v>
      </c>
      <c r="AF193" s="13">
        <v>103</v>
      </c>
      <c r="AG193" s="11">
        <v>-0.11165845648604744</v>
      </c>
      <c r="AI193" s="12">
        <v>88</v>
      </c>
      <c r="AJ193" s="11">
        <v>50.340909090909093</v>
      </c>
      <c r="AK193" s="11">
        <v>38.136363636363633</v>
      </c>
      <c r="AL193" s="11">
        <v>36.829545454545453</v>
      </c>
      <c r="AM193" s="11"/>
      <c r="AN193" s="11">
        <v>125.30681818181817</v>
      </c>
      <c r="AO193" s="11">
        <v>41.768939393939391</v>
      </c>
      <c r="AP193" s="13">
        <v>177</v>
      </c>
      <c r="AQ193" s="11">
        <v>-8.6596320346320326</v>
      </c>
      <c r="AS193" s="12">
        <v>100</v>
      </c>
      <c r="AT193" s="11">
        <v>53.075000000000017</v>
      </c>
      <c r="AU193" s="11">
        <v>29.359000000000002</v>
      </c>
      <c r="AV193" s="11">
        <v>35.997</v>
      </c>
      <c r="AW193" s="11">
        <v>41.310344827586206</v>
      </c>
      <c r="AX193" s="11">
        <v>118.43100000000003</v>
      </c>
      <c r="AY193" s="11">
        <v>39.477000000000011</v>
      </c>
      <c r="AZ193" s="13">
        <v>180</v>
      </c>
      <c r="BA193" s="11">
        <v>-2.29193939393938</v>
      </c>
    </row>
    <row r="194" spans="1:53" x14ac:dyDescent="0.25">
      <c r="A194" s="12">
        <v>191</v>
      </c>
      <c r="B194" s="12" t="s">
        <v>24</v>
      </c>
      <c r="C194" s="12">
        <v>160</v>
      </c>
      <c r="D194" s="12" t="s">
        <v>25</v>
      </c>
      <c r="E194" s="12">
        <v>154</v>
      </c>
      <c r="F194" s="11">
        <v>74.166883116883071</v>
      </c>
      <c r="G194" s="11">
        <v>67.802597402597414</v>
      </c>
      <c r="H194" s="11"/>
      <c r="I194" s="11"/>
      <c r="J194" s="11">
        <v>141.9694805194805</v>
      </c>
      <c r="K194" s="11">
        <v>70.984740259740249</v>
      </c>
      <c r="L194" s="13">
        <v>2</v>
      </c>
      <c r="M194" s="11">
        <v>-1.1797128652597735</v>
      </c>
      <c r="O194" s="12">
        <v>171</v>
      </c>
      <c r="P194" s="11">
        <v>72.37426900584795</v>
      </c>
      <c r="Q194" s="11">
        <v>68.78947368421052</v>
      </c>
      <c r="R194" s="11">
        <v>69.011695906432749</v>
      </c>
      <c r="S194" s="11"/>
      <c r="T194" s="11">
        <v>141.16374269005848</v>
      </c>
      <c r="U194" s="11">
        <v>70.581871345029242</v>
      </c>
      <c r="V194" s="13">
        <v>3</v>
      </c>
      <c r="W194" s="11">
        <v>-0.40286891471100716</v>
      </c>
      <c r="Y194" s="12">
        <v>167</v>
      </c>
      <c r="Z194" s="11">
        <v>75.291390728476827</v>
      </c>
      <c r="AA194" s="11">
        <v>76.860927152317885</v>
      </c>
      <c r="AB194" s="11">
        <v>66.52980132450331</v>
      </c>
      <c r="AC194" s="11"/>
      <c r="AD194" s="11">
        <v>218.68211920529802</v>
      </c>
      <c r="AE194" s="11">
        <v>72.894039735099341</v>
      </c>
      <c r="AF194" s="13">
        <v>2</v>
      </c>
      <c r="AG194" s="11">
        <v>2.3121683900700987</v>
      </c>
      <c r="AI194" s="12">
        <v>191</v>
      </c>
      <c r="AJ194" s="11">
        <v>73.858638743455501</v>
      </c>
      <c r="AK194" s="11">
        <v>71.3717277486911</v>
      </c>
      <c r="AL194" s="11">
        <v>73.099476439790578</v>
      </c>
      <c r="AM194" s="11">
        <v>57.286666666666669</v>
      </c>
      <c r="AN194" s="11">
        <v>218.32984293193718</v>
      </c>
      <c r="AO194" s="11">
        <v>72.776614310645726</v>
      </c>
      <c r="AP194" s="13">
        <v>4</v>
      </c>
      <c r="AQ194" s="11">
        <v>-0.11742542445361437</v>
      </c>
      <c r="AS194" s="12">
        <v>147</v>
      </c>
      <c r="AT194" s="11">
        <v>79.442176870748298</v>
      </c>
      <c r="AU194" s="11">
        <v>56.076870748299328</v>
      </c>
      <c r="AV194" s="11">
        <v>61.27959183673471</v>
      </c>
      <c r="AW194" s="11">
        <v>64.615384615384613</v>
      </c>
      <c r="AX194" s="11">
        <v>196.79863945578234</v>
      </c>
      <c r="AY194" s="11">
        <v>65.599546485260774</v>
      </c>
      <c r="AZ194" s="13">
        <v>3</v>
      </c>
      <c r="BA194" s="11">
        <v>-7.1770678253849525</v>
      </c>
    </row>
    <row r="195" spans="1:53" x14ac:dyDescent="0.25">
      <c r="A195" s="12">
        <v>192</v>
      </c>
      <c r="B195" s="12" t="s">
        <v>24</v>
      </c>
      <c r="C195" s="12">
        <v>162</v>
      </c>
      <c r="D195" s="12" t="s">
        <v>12</v>
      </c>
      <c r="E195" s="12">
        <v>108</v>
      </c>
      <c r="F195" s="11">
        <v>48.655555555555559</v>
      </c>
      <c r="G195" s="11">
        <v>35.934259259259264</v>
      </c>
      <c r="H195" s="11"/>
      <c r="I195" s="11"/>
      <c r="J195" s="11">
        <v>84.589814814814815</v>
      </c>
      <c r="K195" s="11">
        <v>42.294907407407408</v>
      </c>
      <c r="L195" s="13">
        <v>213</v>
      </c>
      <c r="M195" s="11">
        <v>-0.29559259259258397</v>
      </c>
      <c r="O195" s="12">
        <v>97</v>
      </c>
      <c r="P195" s="11">
        <v>48.948453608247419</v>
      </c>
      <c r="Q195" s="11">
        <v>37.288659793814432</v>
      </c>
      <c r="R195" s="11">
        <v>32.360824742268044</v>
      </c>
      <c r="S195" s="11"/>
      <c r="T195" s="11">
        <v>86.237113402061851</v>
      </c>
      <c r="U195" s="11">
        <v>43.118556701030926</v>
      </c>
      <c r="V195" s="13">
        <v>208</v>
      </c>
      <c r="W195" s="11">
        <v>0.82364929362351802</v>
      </c>
      <c r="Y195" s="12">
        <v>106</v>
      </c>
      <c r="Z195" s="11">
        <v>49.982456140350877</v>
      </c>
      <c r="AA195" s="11">
        <v>42.885964912280699</v>
      </c>
      <c r="AB195" s="11">
        <v>35.456140350877192</v>
      </c>
      <c r="AC195" s="11"/>
      <c r="AD195" s="11">
        <v>128.32456140350877</v>
      </c>
      <c r="AE195" s="11">
        <v>42.774853801169591</v>
      </c>
      <c r="AF195" s="13">
        <v>248</v>
      </c>
      <c r="AG195" s="11">
        <v>-0.34370289986133429</v>
      </c>
      <c r="AI195" s="12">
        <v>147</v>
      </c>
      <c r="AJ195" s="11">
        <v>46.401360544217688</v>
      </c>
      <c r="AK195" s="11">
        <v>33.877551020408163</v>
      </c>
      <c r="AL195" s="11">
        <v>33.57823129251701</v>
      </c>
      <c r="AM195" s="11">
        <v>38.5</v>
      </c>
      <c r="AN195" s="11">
        <v>113.85714285714286</v>
      </c>
      <c r="AO195" s="11">
        <v>37.952380952380956</v>
      </c>
      <c r="AP195" s="13">
        <v>228</v>
      </c>
      <c r="AQ195" s="11">
        <v>-4.8224728487886352</v>
      </c>
      <c r="AS195" s="12">
        <v>106</v>
      </c>
      <c r="AT195" s="11">
        <v>51.171698113207547</v>
      </c>
      <c r="AU195" s="11">
        <v>28.832075471698111</v>
      </c>
      <c r="AV195" s="11">
        <v>35.010377358490558</v>
      </c>
      <c r="AW195" s="11">
        <v>59.56</v>
      </c>
      <c r="AX195" s="11">
        <v>115.01415094339622</v>
      </c>
      <c r="AY195" s="11">
        <v>38.338050314465406</v>
      </c>
      <c r="AZ195" s="13">
        <v>199</v>
      </c>
      <c r="BA195" s="11">
        <v>0.38566936208444957</v>
      </c>
    </row>
    <row r="196" spans="1:53" x14ac:dyDescent="0.25">
      <c r="A196" s="12">
        <v>193</v>
      </c>
      <c r="B196" s="12" t="s">
        <v>24</v>
      </c>
      <c r="C196" s="12">
        <v>163</v>
      </c>
      <c r="D196" s="12" t="s">
        <v>12</v>
      </c>
      <c r="E196" s="12">
        <v>49</v>
      </c>
      <c r="F196" s="11">
        <v>47.3</v>
      </c>
      <c r="G196" s="11">
        <v>33.512244897959185</v>
      </c>
      <c r="H196" s="11"/>
      <c r="I196" s="11"/>
      <c r="J196" s="11">
        <v>80.812244897959175</v>
      </c>
      <c r="K196" s="11">
        <v>40.406122448979588</v>
      </c>
      <c r="L196" s="13">
        <v>240</v>
      </c>
      <c r="M196" s="11">
        <v>-6.9178358843537424</v>
      </c>
      <c r="O196" s="12">
        <v>70</v>
      </c>
      <c r="P196" s="11">
        <v>46.571428571428569</v>
      </c>
      <c r="Q196" s="11">
        <v>39.371428571428574</v>
      </c>
      <c r="R196" s="11">
        <v>32.385714285714286</v>
      </c>
      <c r="S196" s="11"/>
      <c r="T196" s="11">
        <v>85.94285714285715</v>
      </c>
      <c r="U196" s="11">
        <v>42.971428571428575</v>
      </c>
      <c r="V196" s="13">
        <v>212</v>
      </c>
      <c r="W196" s="11">
        <v>2.5653061224489875</v>
      </c>
      <c r="Y196" s="12">
        <v>80</v>
      </c>
      <c r="Z196" s="11">
        <v>51.632352941176471</v>
      </c>
      <c r="AA196" s="11">
        <v>50.617647058823529</v>
      </c>
      <c r="AB196" s="11">
        <v>32.588235294117645</v>
      </c>
      <c r="AC196" s="11"/>
      <c r="AD196" s="11">
        <v>134.83823529411765</v>
      </c>
      <c r="AE196" s="11">
        <v>44.946078431372548</v>
      </c>
      <c r="AF196" s="13">
        <v>210</v>
      </c>
      <c r="AG196" s="11">
        <v>1.9746498599439732</v>
      </c>
      <c r="AI196" s="12">
        <v>74</v>
      </c>
      <c r="AJ196" s="11">
        <v>52.189189189189186</v>
      </c>
      <c r="AK196" s="11">
        <v>39.675675675675677</v>
      </c>
      <c r="AL196" s="11">
        <v>35.216216216216218</v>
      </c>
      <c r="AM196" s="11" t="s">
        <v>14</v>
      </c>
      <c r="AN196" s="11">
        <v>127.08108108108109</v>
      </c>
      <c r="AO196" s="11">
        <v>42.360360360360367</v>
      </c>
      <c r="AP196" s="13">
        <v>167</v>
      </c>
      <c r="AQ196" s="11">
        <v>-2.585718071012181</v>
      </c>
      <c r="AS196" s="12">
        <v>82</v>
      </c>
      <c r="AT196" s="11">
        <v>49.053164556962017</v>
      </c>
      <c r="AU196" s="11">
        <v>27.034177215189871</v>
      </c>
      <c r="AV196" s="11">
        <v>30.224050632911379</v>
      </c>
      <c r="AW196" s="11"/>
      <c r="AX196" s="11">
        <v>106.31139240506326</v>
      </c>
      <c r="AY196" s="11">
        <v>35.437130801687751</v>
      </c>
      <c r="AZ196" s="13">
        <v>245</v>
      </c>
      <c r="BA196" s="11">
        <v>-6.9232295586726167</v>
      </c>
    </row>
    <row r="197" spans="1:53" x14ac:dyDescent="0.25">
      <c r="A197" s="12">
        <v>194</v>
      </c>
      <c r="B197" s="12" t="s">
        <v>24</v>
      </c>
      <c r="C197" s="12">
        <v>203</v>
      </c>
      <c r="D197" s="12" t="s">
        <v>12</v>
      </c>
      <c r="E197" s="12">
        <v>36</v>
      </c>
      <c r="F197" s="11">
        <v>52.738888888888887</v>
      </c>
      <c r="G197" s="11">
        <v>41.769444444444431</v>
      </c>
      <c r="H197" s="11"/>
      <c r="I197" s="11"/>
      <c r="J197" s="11">
        <v>94.508333333333326</v>
      </c>
      <c r="K197" s="11">
        <v>47.254166666666663</v>
      </c>
      <c r="L197" s="13">
        <v>147</v>
      </c>
      <c r="M197" s="11">
        <v>-7.3114583333333343</v>
      </c>
      <c r="O197" s="12">
        <v>45</v>
      </c>
      <c r="P197" s="11">
        <v>49.466666666666669</v>
      </c>
      <c r="Q197" s="11">
        <v>36.244444444444447</v>
      </c>
      <c r="R197" s="11">
        <v>34.755555555555553</v>
      </c>
      <c r="S197" s="11"/>
      <c r="T197" s="11">
        <v>85.711111111111109</v>
      </c>
      <c r="U197" s="11">
        <v>42.855555555555554</v>
      </c>
      <c r="V197" s="13">
        <v>213</v>
      </c>
      <c r="W197" s="11">
        <v>-4.3986111111111086</v>
      </c>
      <c r="Y197" s="12">
        <v>76</v>
      </c>
      <c r="Z197" s="11">
        <v>52.869565217391305</v>
      </c>
      <c r="AA197" s="11">
        <v>47.543478260869563</v>
      </c>
      <c r="AB197" s="11">
        <v>39.739130434782609</v>
      </c>
      <c r="AC197" s="11"/>
      <c r="AD197" s="11">
        <v>140.1521739130435</v>
      </c>
      <c r="AE197" s="11">
        <v>46.717391304347835</v>
      </c>
      <c r="AF197" s="13">
        <v>171</v>
      </c>
      <c r="AG197" s="11">
        <v>3.8618357487922808</v>
      </c>
      <c r="AI197" s="12">
        <v>42</v>
      </c>
      <c r="AJ197" s="11">
        <v>51.804878048780488</v>
      </c>
      <c r="AK197" s="11">
        <v>35.219512195121951</v>
      </c>
      <c r="AL197" s="11">
        <v>42.195121951219512</v>
      </c>
      <c r="AM197" s="11">
        <v>44.482758620689658</v>
      </c>
      <c r="AN197" s="11">
        <v>129.21951219512195</v>
      </c>
      <c r="AO197" s="11">
        <v>43.073170731707314</v>
      </c>
      <c r="AP197" s="13">
        <v>156</v>
      </c>
      <c r="AQ197" s="11">
        <v>-3.6442205726405206</v>
      </c>
      <c r="AS197" s="12">
        <v>79</v>
      </c>
      <c r="AT197" s="11">
        <v>66.302564102564091</v>
      </c>
      <c r="AU197" s="11">
        <v>34.034615384615392</v>
      </c>
      <c r="AV197" s="11">
        <v>45.508974358974356</v>
      </c>
      <c r="AW197" s="11">
        <v>50.035714285714285</v>
      </c>
      <c r="AX197" s="11">
        <v>145.84615384615384</v>
      </c>
      <c r="AY197" s="11">
        <v>48.615384615384613</v>
      </c>
      <c r="AZ197" s="13">
        <v>46</v>
      </c>
      <c r="BA197" s="11">
        <v>5.5422138836772987</v>
      </c>
    </row>
    <row r="198" spans="1:53" x14ac:dyDescent="0.25">
      <c r="A198" s="12">
        <v>195</v>
      </c>
      <c r="B198" s="12" t="s">
        <v>24</v>
      </c>
      <c r="C198" s="12" t="s">
        <v>54</v>
      </c>
      <c r="D198" s="12" t="s">
        <v>35</v>
      </c>
      <c r="E198" s="12"/>
      <c r="F198" s="11"/>
      <c r="G198" s="11"/>
      <c r="H198" s="11"/>
      <c r="I198" s="11"/>
      <c r="J198" s="11" t="s">
        <v>14</v>
      </c>
      <c r="K198" s="11" t="s">
        <v>14</v>
      </c>
      <c r="L198" s="13" t="s">
        <v>14</v>
      </c>
      <c r="M198" s="11" t="s">
        <v>14</v>
      </c>
      <c r="O198" s="12"/>
      <c r="P198" s="11"/>
      <c r="Q198" s="11"/>
      <c r="R198" s="11"/>
      <c r="S198" s="11"/>
      <c r="T198" s="11" t="s">
        <v>14</v>
      </c>
      <c r="U198" s="11" t="s">
        <v>14</v>
      </c>
      <c r="V198" s="13" t="s">
        <v>14</v>
      </c>
      <c r="W198" s="11" t="s">
        <v>14</v>
      </c>
      <c r="Y198" s="12"/>
      <c r="Z198" s="11"/>
      <c r="AA198" s="11"/>
      <c r="AB198" s="11"/>
      <c r="AC198" s="11"/>
      <c r="AD198" s="11" t="s">
        <v>14</v>
      </c>
      <c r="AE198" s="11" t="s">
        <v>14</v>
      </c>
      <c r="AF198" s="13" t="s">
        <v>14</v>
      </c>
      <c r="AG198" s="11" t="s">
        <v>14</v>
      </c>
      <c r="AI198" s="12">
        <v>60</v>
      </c>
      <c r="AJ198" s="11">
        <v>60.736842105263158</v>
      </c>
      <c r="AK198" s="11">
        <v>42.10526315789474</v>
      </c>
      <c r="AL198" s="11">
        <v>57</v>
      </c>
      <c r="AM198" s="11">
        <v>52.153846153846153</v>
      </c>
      <c r="AN198" s="11">
        <v>159.84210526315789</v>
      </c>
      <c r="AO198" s="11">
        <v>53.280701754385966</v>
      </c>
      <c r="AP198" s="13">
        <v>39</v>
      </c>
      <c r="AQ198" s="11" t="e">
        <v>#VALUE!</v>
      </c>
      <c r="AS198" s="12">
        <v>47</v>
      </c>
      <c r="AT198" s="11">
        <v>59.61</v>
      </c>
      <c r="AU198" s="11">
        <v>32.295000000000002</v>
      </c>
      <c r="AV198" s="11">
        <v>47.35</v>
      </c>
      <c r="AW198" s="11">
        <v>43.583333333333336</v>
      </c>
      <c r="AX198" s="11">
        <v>139.255</v>
      </c>
      <c r="AY198" s="11">
        <v>46.418333333333329</v>
      </c>
      <c r="AZ198" s="13">
        <v>72</v>
      </c>
      <c r="BA198" s="11">
        <v>-6.8623684210526363</v>
      </c>
    </row>
    <row r="199" spans="1:53" x14ac:dyDescent="0.25">
      <c r="A199" s="12">
        <v>196</v>
      </c>
      <c r="B199" s="12" t="s">
        <v>24</v>
      </c>
      <c r="C199" s="12">
        <v>236</v>
      </c>
      <c r="D199" s="12" t="s">
        <v>12</v>
      </c>
      <c r="E199" s="12">
        <v>149</v>
      </c>
      <c r="F199" s="11">
        <v>52.508053691275151</v>
      </c>
      <c r="G199" s="11">
        <v>43.286577181208045</v>
      </c>
      <c r="H199" s="11"/>
      <c r="I199" s="11"/>
      <c r="J199" s="11">
        <v>95.794630872483197</v>
      </c>
      <c r="K199" s="11">
        <v>47.897315436241598</v>
      </c>
      <c r="L199" s="13">
        <v>140</v>
      </c>
      <c r="M199" s="11">
        <v>-1.6901845637584074</v>
      </c>
      <c r="O199" s="12">
        <v>125</v>
      </c>
      <c r="P199" s="11">
        <v>50.36</v>
      </c>
      <c r="Q199" s="11">
        <v>43.664000000000001</v>
      </c>
      <c r="R199" s="11">
        <v>36.295999999999999</v>
      </c>
      <c r="S199" s="11"/>
      <c r="T199" s="11">
        <v>94.024000000000001</v>
      </c>
      <c r="U199" s="11">
        <v>47.012</v>
      </c>
      <c r="V199" s="13">
        <v>138</v>
      </c>
      <c r="W199" s="11">
        <v>-0.88531543624159781</v>
      </c>
      <c r="Y199" s="12">
        <v>185</v>
      </c>
      <c r="Z199" s="11">
        <v>55.617142857142859</v>
      </c>
      <c r="AA199" s="11">
        <v>50.982857142857142</v>
      </c>
      <c r="AB199" s="11">
        <v>41.274285714285718</v>
      </c>
      <c r="AC199" s="11"/>
      <c r="AD199" s="11">
        <v>147.87428571428572</v>
      </c>
      <c r="AE199" s="11">
        <v>49.291428571428575</v>
      </c>
      <c r="AF199" s="13">
        <v>130</v>
      </c>
      <c r="AG199" s="11">
        <v>2.2794285714285749</v>
      </c>
      <c r="AI199" s="12">
        <v>192</v>
      </c>
      <c r="AJ199" s="11">
        <v>55.34375</v>
      </c>
      <c r="AK199" s="11">
        <v>47.604166666666664</v>
      </c>
      <c r="AL199" s="11">
        <v>46.546875</v>
      </c>
      <c r="AM199" s="11">
        <v>56.857142857142854</v>
      </c>
      <c r="AN199" s="11">
        <v>149.49479166666666</v>
      </c>
      <c r="AO199" s="11">
        <v>49.831597222222221</v>
      </c>
      <c r="AP199" s="13">
        <v>67</v>
      </c>
      <c r="AQ199" s="11">
        <v>0.54016865079364607</v>
      </c>
      <c r="AS199" s="12">
        <v>193</v>
      </c>
      <c r="AT199" s="11">
        <v>57.181347150259079</v>
      </c>
      <c r="AU199" s="11">
        <v>31.75699481865286</v>
      </c>
      <c r="AV199" s="11">
        <v>40.808808290155433</v>
      </c>
      <c r="AW199" s="11">
        <v>53.866666666666667</v>
      </c>
      <c r="AX199" s="11">
        <v>129.74715025906738</v>
      </c>
      <c r="AY199" s="11">
        <v>43.249050086355794</v>
      </c>
      <c r="AZ199" s="13">
        <v>111</v>
      </c>
      <c r="BA199" s="11">
        <v>-6.5825471358664274</v>
      </c>
    </row>
    <row r="200" spans="1:53" x14ac:dyDescent="0.25">
      <c r="A200" s="12">
        <v>197</v>
      </c>
      <c r="B200" s="12" t="s">
        <v>24</v>
      </c>
      <c r="C200" s="12">
        <v>239</v>
      </c>
      <c r="D200" s="12" t="s">
        <v>12</v>
      </c>
      <c r="E200" s="12">
        <v>85</v>
      </c>
      <c r="F200" s="11">
        <v>55.536470588235275</v>
      </c>
      <c r="G200" s="11">
        <v>48.450588235294106</v>
      </c>
      <c r="H200" s="11"/>
      <c r="I200" s="11"/>
      <c r="J200" s="11">
        <v>103.98705882352938</v>
      </c>
      <c r="K200" s="11">
        <v>51.99352941176469</v>
      </c>
      <c r="L200" s="13">
        <v>78</v>
      </c>
      <c r="M200" s="11">
        <v>4.6779044117647075</v>
      </c>
      <c r="O200" s="12">
        <v>98</v>
      </c>
      <c r="P200" s="11">
        <v>54.367346938775512</v>
      </c>
      <c r="Q200" s="11">
        <v>44.520408163265309</v>
      </c>
      <c r="R200" s="11">
        <v>42.622448979591837</v>
      </c>
      <c r="S200" s="11"/>
      <c r="T200" s="11">
        <v>98.887755102040813</v>
      </c>
      <c r="U200" s="11">
        <v>49.443877551020407</v>
      </c>
      <c r="V200" s="13">
        <v>108</v>
      </c>
      <c r="W200" s="11">
        <v>-2.5496518607442837</v>
      </c>
      <c r="Y200" s="12">
        <v>90</v>
      </c>
      <c r="Z200" s="11">
        <v>55.012048192771083</v>
      </c>
      <c r="AA200" s="11">
        <v>49.855421686746986</v>
      </c>
      <c r="AB200" s="11">
        <v>47.542168674698793</v>
      </c>
      <c r="AC200" s="11"/>
      <c r="AD200" s="11">
        <v>152.40963855421685</v>
      </c>
      <c r="AE200" s="11">
        <v>50.803212851405618</v>
      </c>
      <c r="AF200" s="13">
        <v>95</v>
      </c>
      <c r="AG200" s="11">
        <v>1.3593353003852116</v>
      </c>
      <c r="AI200" s="12">
        <v>81</v>
      </c>
      <c r="AJ200" s="11">
        <v>57.382716049382715</v>
      </c>
      <c r="AK200" s="11">
        <v>46.469135802469133</v>
      </c>
      <c r="AL200" s="11">
        <v>43.395061728395063</v>
      </c>
      <c r="AM200" s="11" t="s">
        <v>14</v>
      </c>
      <c r="AN200" s="11">
        <v>147.24691358024691</v>
      </c>
      <c r="AO200" s="11">
        <v>49.08230452674897</v>
      </c>
      <c r="AP200" s="13">
        <v>71</v>
      </c>
      <c r="AQ200" s="11">
        <v>-1.7209083246566479</v>
      </c>
      <c r="AS200" s="12">
        <v>84</v>
      </c>
      <c r="AT200" s="11">
        <v>60.682142857142857</v>
      </c>
      <c r="AU200" s="11">
        <v>38.311904761904785</v>
      </c>
      <c r="AV200" s="11">
        <v>37.467857142857142</v>
      </c>
      <c r="AW200" s="11"/>
      <c r="AX200" s="11">
        <v>136.4619047619048</v>
      </c>
      <c r="AY200" s="11">
        <v>45.487301587301602</v>
      </c>
      <c r="AZ200" s="13">
        <v>91</v>
      </c>
      <c r="BA200" s="11">
        <v>-3.5950029394473688</v>
      </c>
    </row>
    <row r="201" spans="1:53" x14ac:dyDescent="0.25">
      <c r="A201" s="12">
        <v>198</v>
      </c>
      <c r="B201" s="12" t="s">
        <v>24</v>
      </c>
      <c r="C201" s="12">
        <v>329</v>
      </c>
      <c r="D201" s="12" t="s">
        <v>12</v>
      </c>
      <c r="E201" s="12">
        <v>32</v>
      </c>
      <c r="F201" s="11">
        <v>62.790625000000006</v>
      </c>
      <c r="G201" s="11">
        <v>45.631250000000001</v>
      </c>
      <c r="H201" s="11"/>
      <c r="I201" s="11"/>
      <c r="J201" s="11">
        <v>108.421875</v>
      </c>
      <c r="K201" s="11">
        <v>54.2109375</v>
      </c>
      <c r="L201" s="13">
        <v>47</v>
      </c>
      <c r="M201" s="11">
        <v>-0.71562500000000284</v>
      </c>
      <c r="O201" s="12">
        <v>21</v>
      </c>
      <c r="P201" s="11">
        <v>59.047619047619051</v>
      </c>
      <c r="Q201" s="11">
        <v>46.714285714285715</v>
      </c>
      <c r="R201" s="11">
        <v>40.666666666666664</v>
      </c>
      <c r="S201" s="11"/>
      <c r="T201" s="11">
        <v>105.76190476190476</v>
      </c>
      <c r="U201" s="11">
        <v>52.88095238095238</v>
      </c>
      <c r="V201" s="13">
        <v>55</v>
      </c>
      <c r="W201" s="11">
        <v>-1.3299851190476204</v>
      </c>
      <c r="Y201" s="12">
        <v>44</v>
      </c>
      <c r="Z201" s="11">
        <v>58.2</v>
      </c>
      <c r="AA201" s="11">
        <v>55.266666666666666</v>
      </c>
      <c r="AB201" s="11">
        <v>40.966666666666669</v>
      </c>
      <c r="AC201" s="11"/>
      <c r="AD201" s="11">
        <v>154.43333333333334</v>
      </c>
      <c r="AE201" s="11">
        <v>51.477777777777781</v>
      </c>
      <c r="AF201" s="13">
        <v>80</v>
      </c>
      <c r="AG201" s="11">
        <v>-1.4031746031745982</v>
      </c>
      <c r="AI201" s="12">
        <v>34</v>
      </c>
      <c r="AJ201" s="11">
        <v>57.176470588235297</v>
      </c>
      <c r="AK201" s="11">
        <v>46</v>
      </c>
      <c r="AL201" s="11">
        <v>39.117647058823529</v>
      </c>
      <c r="AM201" s="11" t="s">
        <v>14</v>
      </c>
      <c r="AN201" s="11">
        <v>142.29411764705884</v>
      </c>
      <c r="AO201" s="11">
        <v>47.431372549019613</v>
      </c>
      <c r="AP201" s="13">
        <v>101</v>
      </c>
      <c r="AQ201" s="11">
        <v>-4.046405228758168</v>
      </c>
      <c r="AS201" s="12">
        <v>41</v>
      </c>
      <c r="AT201" s="11">
        <v>51.195121951219498</v>
      </c>
      <c r="AU201" s="11">
        <v>28.895121951219512</v>
      </c>
      <c r="AV201" s="11">
        <v>37.158536585365859</v>
      </c>
      <c r="AW201" s="11"/>
      <c r="AX201" s="11">
        <v>117.24878048780488</v>
      </c>
      <c r="AY201" s="11">
        <v>39.082926829268295</v>
      </c>
      <c r="AZ201" s="13">
        <v>186</v>
      </c>
      <c r="BA201" s="11">
        <v>-8.348445719751318</v>
      </c>
    </row>
    <row r="202" spans="1:53" x14ac:dyDescent="0.25">
      <c r="A202" s="12">
        <v>199</v>
      </c>
      <c r="B202" s="12" t="s">
        <v>24</v>
      </c>
      <c r="C202" s="12" t="s">
        <v>26</v>
      </c>
      <c r="D202" s="12" t="s">
        <v>12</v>
      </c>
      <c r="E202" s="12">
        <v>74</v>
      </c>
      <c r="F202" s="11">
        <v>71.378378378378372</v>
      </c>
      <c r="G202" s="11">
        <v>58.993243243243242</v>
      </c>
      <c r="H202" s="11"/>
      <c r="I202" s="11"/>
      <c r="J202" s="11">
        <v>130.37162162162161</v>
      </c>
      <c r="K202" s="11">
        <v>65.185810810810807</v>
      </c>
      <c r="L202" s="13">
        <v>7</v>
      </c>
      <c r="M202" s="11">
        <v>-6.1038950715421549</v>
      </c>
      <c r="O202" s="12">
        <v>94</v>
      </c>
      <c r="P202" s="11">
        <v>66.829787234042556</v>
      </c>
      <c r="Q202" s="11">
        <v>60.446808510638299</v>
      </c>
      <c r="R202" s="11">
        <v>54.446808510638299</v>
      </c>
      <c r="S202" s="11"/>
      <c r="T202" s="11">
        <v>127.27659574468086</v>
      </c>
      <c r="U202" s="11">
        <v>63.638297872340431</v>
      </c>
      <c r="V202" s="13">
        <v>9</v>
      </c>
      <c r="W202" s="11">
        <v>-1.5475129384703763</v>
      </c>
      <c r="Y202" s="12">
        <v>106</v>
      </c>
      <c r="Z202" s="11">
        <v>68.011904761904759</v>
      </c>
      <c r="AA202" s="11">
        <v>63.845238095238095</v>
      </c>
      <c r="AB202" s="11">
        <v>53.392857142857146</v>
      </c>
      <c r="AC202" s="11"/>
      <c r="AD202" s="11">
        <v>185.25</v>
      </c>
      <c r="AE202" s="11">
        <v>61.75</v>
      </c>
      <c r="AF202" s="13">
        <v>9</v>
      </c>
      <c r="AG202" s="11">
        <v>-1.8882978723404307</v>
      </c>
      <c r="AI202" s="12">
        <v>105</v>
      </c>
      <c r="AJ202" s="11">
        <v>68.695238095238096</v>
      </c>
      <c r="AK202" s="11">
        <v>59.80952380952381</v>
      </c>
      <c r="AL202" s="11">
        <v>63.361904761904761</v>
      </c>
      <c r="AM202" s="11">
        <v>49.557692307692307</v>
      </c>
      <c r="AN202" s="11">
        <v>191.86666666666665</v>
      </c>
      <c r="AO202" s="11">
        <v>63.955555555555549</v>
      </c>
      <c r="AP202" s="13">
        <v>7</v>
      </c>
      <c r="AQ202" s="11">
        <v>2.2055555555555486</v>
      </c>
      <c r="AS202" s="12">
        <v>95</v>
      </c>
      <c r="AT202" s="11">
        <v>71.95052631578946</v>
      </c>
      <c r="AU202" s="11">
        <v>46.687368421052646</v>
      </c>
      <c r="AV202" s="11">
        <v>55.601052631578959</v>
      </c>
      <c r="AW202" s="11">
        <v>54.762711864406782</v>
      </c>
      <c r="AX202" s="11">
        <v>174.23894736842107</v>
      </c>
      <c r="AY202" s="11">
        <v>58.07964912280702</v>
      </c>
      <c r="AZ202" s="13">
        <v>7</v>
      </c>
      <c r="BA202" s="11">
        <v>-5.8759064327485291</v>
      </c>
    </row>
    <row r="203" spans="1:53" x14ac:dyDescent="0.25">
      <c r="A203" s="12">
        <v>200</v>
      </c>
      <c r="B203" s="12" t="s">
        <v>27</v>
      </c>
      <c r="C203" s="12">
        <v>65</v>
      </c>
      <c r="D203" s="12" t="s">
        <v>12</v>
      </c>
      <c r="E203" s="12">
        <v>59</v>
      </c>
      <c r="F203" s="11">
        <v>47.666101694915234</v>
      </c>
      <c r="G203" s="11">
        <v>39.722033898305099</v>
      </c>
      <c r="H203" s="11"/>
      <c r="I203" s="11"/>
      <c r="J203" s="11">
        <v>87.388135593220341</v>
      </c>
      <c r="K203" s="11">
        <v>43.69406779661017</v>
      </c>
      <c r="L203" s="13">
        <v>198</v>
      </c>
      <c r="M203" s="11">
        <v>4.0940677966101688</v>
      </c>
      <c r="O203" s="12">
        <v>69</v>
      </c>
      <c r="P203" s="11">
        <v>51.869565217391305</v>
      </c>
      <c r="Q203" s="11">
        <v>41.637681159420289</v>
      </c>
      <c r="R203" s="11">
        <v>35.130434782608695</v>
      </c>
      <c r="S203" s="11"/>
      <c r="T203" s="11">
        <v>93.507246376811594</v>
      </c>
      <c r="U203" s="11">
        <v>46.753623188405797</v>
      </c>
      <c r="V203" s="13">
        <v>146</v>
      </c>
      <c r="W203" s="11">
        <v>3.0595553917956266</v>
      </c>
      <c r="Y203" s="12">
        <v>81</v>
      </c>
      <c r="Z203" s="11">
        <v>47.920634920634917</v>
      </c>
      <c r="AA203" s="11">
        <v>39.61904761904762</v>
      </c>
      <c r="AB203" s="11">
        <v>33.095238095238095</v>
      </c>
      <c r="AC203" s="11"/>
      <c r="AD203" s="11">
        <v>120.63492063492063</v>
      </c>
      <c r="AE203" s="11">
        <v>40.211640211640209</v>
      </c>
      <c r="AF203" s="13">
        <v>270</v>
      </c>
      <c r="AG203" s="11">
        <v>-6.5419829767655884</v>
      </c>
      <c r="AI203" s="12">
        <v>79</v>
      </c>
      <c r="AJ203" s="11">
        <v>49.12658227848101</v>
      </c>
      <c r="AK203" s="11">
        <v>37.77215189873418</v>
      </c>
      <c r="AL203" s="11">
        <v>35.493670886075947</v>
      </c>
      <c r="AM203" s="11" t="s">
        <v>14</v>
      </c>
      <c r="AN203" s="11">
        <v>122.39240506329114</v>
      </c>
      <c r="AO203" s="11">
        <v>40.797468354430379</v>
      </c>
      <c r="AP203" s="13">
        <v>192</v>
      </c>
      <c r="AQ203" s="11">
        <v>0.58582814279017015</v>
      </c>
      <c r="AS203" s="12">
        <v>80</v>
      </c>
      <c r="AT203" s="11">
        <v>47.865822784810113</v>
      </c>
      <c r="AU203" s="11">
        <v>31.306329113924054</v>
      </c>
      <c r="AV203" s="11">
        <v>31.054430379746844</v>
      </c>
      <c r="AW203" s="11"/>
      <c r="AX203" s="11">
        <v>110.22658227848102</v>
      </c>
      <c r="AY203" s="11">
        <v>36.742194092827006</v>
      </c>
      <c r="AZ203" s="13">
        <v>231</v>
      </c>
      <c r="BA203" s="11">
        <v>-4.0552742616033726</v>
      </c>
    </row>
    <row r="204" spans="1:53" x14ac:dyDescent="0.25">
      <c r="A204" s="12">
        <v>201</v>
      </c>
      <c r="B204" s="12" t="s">
        <v>27</v>
      </c>
      <c r="C204" s="12">
        <v>76</v>
      </c>
      <c r="D204" s="12" t="s">
        <v>12</v>
      </c>
      <c r="E204" s="12">
        <v>109</v>
      </c>
      <c r="F204" s="11">
        <v>50.601834862385324</v>
      </c>
      <c r="G204" s="11">
        <v>34.108256880733947</v>
      </c>
      <c r="H204" s="11"/>
      <c r="I204" s="11"/>
      <c r="J204" s="11">
        <v>84.710091743119278</v>
      </c>
      <c r="K204" s="11">
        <v>42.355045871559639</v>
      </c>
      <c r="L204" s="13">
        <v>211</v>
      </c>
      <c r="M204" s="11">
        <v>-2.4287636522498701</v>
      </c>
      <c r="O204" s="12">
        <v>104</v>
      </c>
      <c r="P204" s="11">
        <v>51.25</v>
      </c>
      <c r="Q204" s="11">
        <v>42.66346153846154</v>
      </c>
      <c r="R204" s="11">
        <v>38.125</v>
      </c>
      <c r="S204" s="11"/>
      <c r="T204" s="11">
        <v>93.913461538461547</v>
      </c>
      <c r="U204" s="11">
        <v>46.956730769230774</v>
      </c>
      <c r="V204" s="13">
        <v>142</v>
      </c>
      <c r="W204" s="11">
        <v>4.6016848976711344</v>
      </c>
      <c r="Y204" s="12">
        <v>130</v>
      </c>
      <c r="Z204" s="11">
        <v>56.387931034482762</v>
      </c>
      <c r="AA204" s="11">
        <v>46.620689655172413</v>
      </c>
      <c r="AB204" s="11">
        <v>38.732758620689658</v>
      </c>
      <c r="AC204" s="11"/>
      <c r="AD204" s="11">
        <v>141.74137931034483</v>
      </c>
      <c r="AE204" s="11">
        <v>47.247126436781606</v>
      </c>
      <c r="AF204" s="13">
        <v>163</v>
      </c>
      <c r="AG204" s="11">
        <v>0.29039566755083257</v>
      </c>
      <c r="AI204" s="12">
        <v>140</v>
      </c>
      <c r="AJ204" s="11">
        <v>51.690647482014391</v>
      </c>
      <c r="AK204" s="11">
        <v>39.539568345323744</v>
      </c>
      <c r="AL204" s="11">
        <v>40.273381294964025</v>
      </c>
      <c r="AM204" s="11">
        <v>49.906666666666666</v>
      </c>
      <c r="AN204" s="11">
        <v>131.50359712230215</v>
      </c>
      <c r="AO204" s="11">
        <v>43.834532374100718</v>
      </c>
      <c r="AP204" s="13">
        <v>145</v>
      </c>
      <c r="AQ204" s="11">
        <v>-3.4125940626808884</v>
      </c>
      <c r="AS204" s="12">
        <v>125</v>
      </c>
      <c r="AT204" s="11">
        <v>58.636000000000003</v>
      </c>
      <c r="AU204" s="11">
        <v>30.122400000000013</v>
      </c>
      <c r="AV204" s="11">
        <v>33.363199999999999</v>
      </c>
      <c r="AW204" s="11">
        <v>50.047058823529412</v>
      </c>
      <c r="AX204" s="11">
        <v>122.12160000000003</v>
      </c>
      <c r="AY204" s="11">
        <v>40.707200000000007</v>
      </c>
      <c r="AZ204" s="13">
        <v>154</v>
      </c>
      <c r="BA204" s="11">
        <v>-3.1273323741007104</v>
      </c>
    </row>
    <row r="205" spans="1:53" x14ac:dyDescent="0.25">
      <c r="A205" s="12">
        <v>202</v>
      </c>
      <c r="B205" s="12" t="s">
        <v>27</v>
      </c>
      <c r="C205" s="12">
        <v>79</v>
      </c>
      <c r="D205" s="12" t="s">
        <v>12</v>
      </c>
      <c r="E205" s="12">
        <v>19</v>
      </c>
      <c r="F205" s="11">
        <v>51.699999999999996</v>
      </c>
      <c r="G205" s="11">
        <v>31.094736842105267</v>
      </c>
      <c r="H205" s="11"/>
      <c r="I205" s="11"/>
      <c r="J205" s="11">
        <v>82.794736842105266</v>
      </c>
      <c r="K205" s="11">
        <v>41.397368421052633</v>
      </c>
      <c r="L205" s="13">
        <v>229</v>
      </c>
      <c r="M205" s="11">
        <v>1.8378446115288156</v>
      </c>
      <c r="O205" s="12">
        <v>19</v>
      </c>
      <c r="P205" s="11">
        <v>50.263157894736842</v>
      </c>
      <c r="Q205" s="11">
        <v>34.631578947368418</v>
      </c>
      <c r="R205" s="11">
        <v>28.842105263157894</v>
      </c>
      <c r="S205" s="11"/>
      <c r="T205" s="11">
        <v>84.89473684210526</v>
      </c>
      <c r="U205" s="11">
        <v>42.44736842105263</v>
      </c>
      <c r="V205" s="13">
        <v>218</v>
      </c>
      <c r="W205" s="11">
        <v>1.0499999999999972</v>
      </c>
      <c r="Y205" s="12">
        <v>24</v>
      </c>
      <c r="Z205" s="11">
        <v>65.409090909090907</v>
      </c>
      <c r="AA205" s="11">
        <v>60.454545454545453</v>
      </c>
      <c r="AB205" s="11">
        <v>47.18181818181818</v>
      </c>
      <c r="AC205" s="11"/>
      <c r="AD205" s="11">
        <v>173.04545454545453</v>
      </c>
      <c r="AE205" s="11">
        <v>57.68181818181818</v>
      </c>
      <c r="AF205" s="13">
        <v>19</v>
      </c>
      <c r="AG205" s="11">
        <v>15.23444976076555</v>
      </c>
      <c r="AI205" s="12">
        <v>14</v>
      </c>
      <c r="AJ205" s="11">
        <v>61.285714285714285</v>
      </c>
      <c r="AK205" s="11">
        <v>48.857142857142854</v>
      </c>
      <c r="AL205" s="11">
        <v>53.071428571428569</v>
      </c>
      <c r="AM205" s="11" t="s">
        <v>14</v>
      </c>
      <c r="AN205" s="11">
        <v>163.21428571428572</v>
      </c>
      <c r="AO205" s="11">
        <v>54.404761904761905</v>
      </c>
      <c r="AP205" s="13">
        <v>33</v>
      </c>
      <c r="AQ205" s="11">
        <v>-3.2770562770562748</v>
      </c>
      <c r="AS205" s="12">
        <v>24</v>
      </c>
      <c r="AT205" s="11">
        <v>50.249999999999993</v>
      </c>
      <c r="AU205" s="11">
        <v>26.129166666666666</v>
      </c>
      <c r="AV205" s="11">
        <v>37.87083333333333</v>
      </c>
      <c r="AW205" s="11"/>
      <c r="AX205" s="11">
        <v>114.25</v>
      </c>
      <c r="AY205" s="11">
        <v>38.083333333333336</v>
      </c>
      <c r="AZ205" s="13">
        <v>210</v>
      </c>
      <c r="BA205" s="11">
        <v>-16.321428571428569</v>
      </c>
    </row>
    <row r="206" spans="1:53" x14ac:dyDescent="0.25">
      <c r="A206" s="12">
        <v>203</v>
      </c>
      <c r="B206" s="12" t="s">
        <v>27</v>
      </c>
      <c r="C206" s="12">
        <v>84</v>
      </c>
      <c r="D206" s="12" t="s">
        <v>12</v>
      </c>
      <c r="E206" s="12">
        <v>28</v>
      </c>
      <c r="F206" s="11">
        <v>50.221428571428568</v>
      </c>
      <c r="G206" s="11">
        <v>37.964285714285715</v>
      </c>
      <c r="H206" s="11"/>
      <c r="I206" s="11"/>
      <c r="J206" s="11">
        <v>88.185714285714283</v>
      </c>
      <c r="K206" s="11">
        <v>44.092857142857142</v>
      </c>
      <c r="L206" s="13">
        <v>192</v>
      </c>
      <c r="M206" s="11">
        <v>-1.0547038327526224</v>
      </c>
      <c r="O206" s="12">
        <v>43</v>
      </c>
      <c r="P206" s="11">
        <v>46.441860465116278</v>
      </c>
      <c r="Q206" s="11">
        <v>35</v>
      </c>
      <c r="R206" s="11">
        <v>28.11627906976744</v>
      </c>
      <c r="S206" s="11"/>
      <c r="T206" s="11">
        <v>81.441860465116278</v>
      </c>
      <c r="U206" s="11">
        <v>40.720930232558139</v>
      </c>
      <c r="V206" s="13">
        <v>244</v>
      </c>
      <c r="W206" s="11">
        <v>-3.3719269102990026</v>
      </c>
      <c r="Y206" s="12">
        <v>46</v>
      </c>
      <c r="Z206" s="11">
        <v>46.978260869565219</v>
      </c>
      <c r="AA206" s="11">
        <v>40.913043478260867</v>
      </c>
      <c r="AB206" s="11">
        <v>35.021739130434781</v>
      </c>
      <c r="AC206" s="11"/>
      <c r="AD206" s="11">
        <v>122.91304347826087</v>
      </c>
      <c r="AE206" s="11">
        <v>40.971014492753625</v>
      </c>
      <c r="AF206" s="13">
        <v>264</v>
      </c>
      <c r="AG206" s="11">
        <v>0.2500842601954858</v>
      </c>
      <c r="AI206" s="12">
        <v>33</v>
      </c>
      <c r="AJ206" s="11">
        <v>52.212121212121211</v>
      </c>
      <c r="AK206" s="11">
        <v>47.272727272727273</v>
      </c>
      <c r="AL206" s="11">
        <v>43.969696969696969</v>
      </c>
      <c r="AM206" s="11" t="s">
        <v>14</v>
      </c>
      <c r="AN206" s="11">
        <v>143.45454545454544</v>
      </c>
      <c r="AO206" s="11">
        <v>47.818181818181813</v>
      </c>
      <c r="AP206" s="13">
        <v>95</v>
      </c>
      <c r="AQ206" s="11">
        <v>6.8471673254281882</v>
      </c>
      <c r="AS206" s="12">
        <v>45</v>
      </c>
      <c r="AT206" s="11">
        <v>54.086046511627906</v>
      </c>
      <c r="AU206" s="11">
        <v>28.239534883720928</v>
      </c>
      <c r="AV206" s="11">
        <v>35.967441860465115</v>
      </c>
      <c r="AW206" s="11"/>
      <c r="AX206" s="11">
        <v>118.29302325581395</v>
      </c>
      <c r="AY206" s="11">
        <v>39.431007751937983</v>
      </c>
      <c r="AZ206" s="13">
        <v>181</v>
      </c>
      <c r="BA206" s="11">
        <v>-8.3871740662438299</v>
      </c>
    </row>
    <row r="207" spans="1:53" x14ac:dyDescent="0.25">
      <c r="A207" s="12">
        <v>204</v>
      </c>
      <c r="B207" s="12" t="s">
        <v>27</v>
      </c>
      <c r="C207" s="12">
        <v>85</v>
      </c>
      <c r="D207" s="12" t="s">
        <v>12</v>
      </c>
      <c r="E207" s="12">
        <v>39</v>
      </c>
      <c r="F207" s="11">
        <v>51.215384615384615</v>
      </c>
      <c r="G207" s="11">
        <v>40.125641025641016</v>
      </c>
      <c r="H207" s="11"/>
      <c r="I207" s="11"/>
      <c r="J207" s="11">
        <v>91.341025641025624</v>
      </c>
      <c r="K207" s="11">
        <v>45.670512820512812</v>
      </c>
      <c r="L207" s="13">
        <v>165</v>
      </c>
      <c r="M207" s="11">
        <v>1.9219620958751378</v>
      </c>
      <c r="O207" s="12">
        <v>71</v>
      </c>
      <c r="P207" s="11">
        <v>46.577464788732392</v>
      </c>
      <c r="Q207" s="11">
        <v>41.183098591549296</v>
      </c>
      <c r="R207" s="11">
        <v>33.29577464788732</v>
      </c>
      <c r="S207" s="11"/>
      <c r="T207" s="11">
        <v>87.760563380281695</v>
      </c>
      <c r="U207" s="11">
        <v>43.880281690140848</v>
      </c>
      <c r="V207" s="13">
        <v>200</v>
      </c>
      <c r="W207" s="11">
        <v>-1.7902311303719642</v>
      </c>
      <c r="Y207" s="12">
        <v>72</v>
      </c>
      <c r="Z207" s="11">
        <v>52.74666666666667</v>
      </c>
      <c r="AA207" s="11">
        <v>50.293333333333337</v>
      </c>
      <c r="AB207" s="11">
        <v>36.706666666666663</v>
      </c>
      <c r="AC207" s="11"/>
      <c r="AD207" s="11">
        <v>139.74666666666667</v>
      </c>
      <c r="AE207" s="11">
        <v>46.582222222222221</v>
      </c>
      <c r="AF207" s="13">
        <v>173</v>
      </c>
      <c r="AG207" s="11">
        <v>2.7019405320813732</v>
      </c>
      <c r="AI207" s="12">
        <v>81</v>
      </c>
      <c r="AJ207" s="11">
        <v>54.123456790123456</v>
      </c>
      <c r="AK207" s="11">
        <v>44.74074074074074</v>
      </c>
      <c r="AL207" s="11">
        <v>40.209876543209873</v>
      </c>
      <c r="AM207" s="11" t="s">
        <v>14</v>
      </c>
      <c r="AN207" s="11">
        <v>139.07407407407408</v>
      </c>
      <c r="AO207" s="11">
        <v>46.358024691358025</v>
      </c>
      <c r="AP207" s="13">
        <v>116</v>
      </c>
      <c r="AQ207" s="11">
        <v>-0.22419753086419547</v>
      </c>
      <c r="AS207" s="12">
        <v>72</v>
      </c>
      <c r="AT207" s="11">
        <v>53.504285714285729</v>
      </c>
      <c r="AU207" s="11">
        <v>38.169999999999995</v>
      </c>
      <c r="AV207" s="11">
        <v>37.4342857142857</v>
      </c>
      <c r="AW207" s="11"/>
      <c r="AX207" s="11">
        <v>129.10857142857142</v>
      </c>
      <c r="AY207" s="11">
        <v>43.036190476190477</v>
      </c>
      <c r="AZ207" s="13">
        <v>116</v>
      </c>
      <c r="BA207" s="11">
        <v>-3.3218342151675486</v>
      </c>
    </row>
    <row r="208" spans="1:53" x14ac:dyDescent="0.25">
      <c r="A208" s="12">
        <v>205</v>
      </c>
      <c r="B208" s="12" t="s">
        <v>27</v>
      </c>
      <c r="C208" s="12">
        <v>87</v>
      </c>
      <c r="D208" s="12" t="s">
        <v>12</v>
      </c>
      <c r="E208" s="12">
        <v>118</v>
      </c>
      <c r="F208" s="11">
        <v>50.381355932203398</v>
      </c>
      <c r="G208" s="11">
        <v>41.253389830508461</v>
      </c>
      <c r="H208" s="11"/>
      <c r="I208" s="11"/>
      <c r="J208" s="11">
        <v>91.634745762711859</v>
      </c>
      <c r="K208" s="11">
        <v>45.817372881355929</v>
      </c>
      <c r="L208" s="13">
        <v>163</v>
      </c>
      <c r="M208" s="11">
        <v>-2.1865641265180997</v>
      </c>
      <c r="O208" s="12">
        <v>111</v>
      </c>
      <c r="P208" s="11">
        <v>51.522522522522522</v>
      </c>
      <c r="Q208" s="11">
        <v>45.72072072072072</v>
      </c>
      <c r="R208" s="11">
        <v>39.927927927927925</v>
      </c>
      <c r="S208" s="11"/>
      <c r="T208" s="11">
        <v>97.243243243243242</v>
      </c>
      <c r="U208" s="11">
        <v>48.621621621621621</v>
      </c>
      <c r="V208" s="13">
        <v>118</v>
      </c>
      <c r="W208" s="11">
        <v>2.8042487402656917</v>
      </c>
      <c r="Y208" s="12">
        <v>163</v>
      </c>
      <c r="Z208" s="11">
        <v>60.193548387096776</v>
      </c>
      <c r="AA208" s="11">
        <v>58.064516129032256</v>
      </c>
      <c r="AB208" s="11">
        <v>48.051612903225809</v>
      </c>
      <c r="AC208" s="11"/>
      <c r="AD208" s="11">
        <v>166.30967741935484</v>
      </c>
      <c r="AE208" s="11">
        <v>55.436559139784947</v>
      </c>
      <c r="AF208" s="13">
        <v>33</v>
      </c>
      <c r="AG208" s="11">
        <v>6.814937518163326</v>
      </c>
      <c r="AI208" s="12">
        <v>146</v>
      </c>
      <c r="AJ208" s="11">
        <v>56.390410958904113</v>
      </c>
      <c r="AK208" s="11">
        <v>45.80821917808219</v>
      </c>
      <c r="AL208" s="11">
        <v>44.746575342465754</v>
      </c>
      <c r="AM208" s="11">
        <v>52.309859154929576</v>
      </c>
      <c r="AN208" s="11">
        <v>146.94520547945206</v>
      </c>
      <c r="AO208" s="11">
        <v>48.981735159817354</v>
      </c>
      <c r="AP208" s="13">
        <v>75</v>
      </c>
      <c r="AQ208" s="11">
        <v>-6.4548239799675926</v>
      </c>
      <c r="AS208" s="12">
        <v>163</v>
      </c>
      <c r="AT208" s="11">
        <v>58.880246913580237</v>
      </c>
      <c r="AU208" s="11">
        <v>38.079629629629594</v>
      </c>
      <c r="AV208" s="11">
        <v>43.09753086419753</v>
      </c>
      <c r="AW208" s="11">
        <v>55.0625</v>
      </c>
      <c r="AX208" s="11">
        <v>140.05740740740737</v>
      </c>
      <c r="AY208" s="11">
        <v>46.685802469135787</v>
      </c>
      <c r="AZ208" s="13">
        <v>66</v>
      </c>
      <c r="BA208" s="11">
        <v>-2.2959326906815676</v>
      </c>
    </row>
    <row r="209" spans="1:53" x14ac:dyDescent="0.25">
      <c r="A209" s="12">
        <v>206</v>
      </c>
      <c r="B209" s="12" t="s">
        <v>27</v>
      </c>
      <c r="C209" s="12">
        <v>89</v>
      </c>
      <c r="D209" s="12" t="s">
        <v>12</v>
      </c>
      <c r="E209" s="12">
        <v>118</v>
      </c>
      <c r="F209" s="11">
        <v>53.016101694915243</v>
      </c>
      <c r="G209" s="11">
        <v>43.725423728813546</v>
      </c>
      <c r="H209" s="11"/>
      <c r="I209" s="11"/>
      <c r="J209" s="11">
        <v>96.741525423728788</v>
      </c>
      <c r="K209" s="11">
        <v>48.370762711864394</v>
      </c>
      <c r="L209" s="13">
        <v>133</v>
      </c>
      <c r="M209" s="11">
        <v>6.5972933241092946</v>
      </c>
      <c r="O209" s="12">
        <v>111</v>
      </c>
      <c r="P209" s="11">
        <v>45.675675675675677</v>
      </c>
      <c r="Q209" s="11">
        <v>42.837837837837839</v>
      </c>
      <c r="R209" s="11">
        <v>31.243243243243242</v>
      </c>
      <c r="S209" s="11"/>
      <c r="T209" s="11">
        <v>88.513513513513516</v>
      </c>
      <c r="U209" s="11">
        <v>44.256756756756758</v>
      </c>
      <c r="V209" s="13">
        <v>192</v>
      </c>
      <c r="W209" s="11">
        <v>-4.1140059551076362</v>
      </c>
      <c r="Y209" s="12">
        <v>153</v>
      </c>
      <c r="Z209" s="11">
        <v>52.346774193548384</v>
      </c>
      <c r="AA209" s="11">
        <v>51.685483870967744</v>
      </c>
      <c r="AB209" s="11">
        <v>38.5</v>
      </c>
      <c r="AC209" s="11"/>
      <c r="AD209" s="11">
        <v>142.53225806451613</v>
      </c>
      <c r="AE209" s="11">
        <v>47.51075268817204</v>
      </c>
      <c r="AF209" s="13">
        <v>156</v>
      </c>
      <c r="AG209" s="11">
        <v>3.2539959314152824</v>
      </c>
      <c r="AI209" s="12">
        <v>128</v>
      </c>
      <c r="AJ209" s="11">
        <v>53.265625</v>
      </c>
      <c r="AK209" s="11">
        <v>42.46875</v>
      </c>
      <c r="AL209" s="11">
        <v>37.984375</v>
      </c>
      <c r="AM209" s="11">
        <v>59.153846153846153</v>
      </c>
      <c r="AN209" s="11">
        <v>133.71875</v>
      </c>
      <c r="AO209" s="11">
        <v>44.572916666666664</v>
      </c>
      <c r="AP209" s="13">
        <v>137</v>
      </c>
      <c r="AQ209" s="11">
        <v>-2.937836021505376</v>
      </c>
      <c r="AS209" s="12">
        <v>152</v>
      </c>
      <c r="AT209" s="11">
        <v>53.321333333333364</v>
      </c>
      <c r="AU209" s="11">
        <v>37.643333333333345</v>
      </c>
      <c r="AV209" s="11">
        <v>34.901333333333341</v>
      </c>
      <c r="AW209" s="11">
        <v>49.823529411764703</v>
      </c>
      <c r="AX209" s="11">
        <v>125.86600000000006</v>
      </c>
      <c r="AY209" s="11">
        <v>41.95533333333335</v>
      </c>
      <c r="AZ209" s="13">
        <v>134</v>
      </c>
      <c r="BA209" s="11">
        <v>-2.6175833333333145</v>
      </c>
    </row>
    <row r="210" spans="1:53" x14ac:dyDescent="0.25">
      <c r="A210" s="12">
        <v>207</v>
      </c>
      <c r="B210" s="12" t="s">
        <v>27</v>
      </c>
      <c r="C210" s="12">
        <v>97</v>
      </c>
      <c r="D210" s="12" t="s">
        <v>12</v>
      </c>
      <c r="E210" s="12">
        <v>47</v>
      </c>
      <c r="F210" s="11">
        <v>45.363829787234039</v>
      </c>
      <c r="G210" s="11">
        <v>34.195744680851064</v>
      </c>
      <c r="H210" s="11"/>
      <c r="I210" s="11"/>
      <c r="J210" s="11">
        <v>79.559574468085103</v>
      </c>
      <c r="K210" s="11">
        <v>39.779787234042551</v>
      </c>
      <c r="L210" s="13">
        <v>249</v>
      </c>
      <c r="M210" s="11">
        <v>2.9228427895981</v>
      </c>
      <c r="O210" s="12">
        <v>41</v>
      </c>
      <c r="P210" s="11">
        <v>41.902439024390247</v>
      </c>
      <c r="Q210" s="11">
        <v>34.390243902439025</v>
      </c>
      <c r="R210" s="11">
        <v>33.463414634146339</v>
      </c>
      <c r="S210" s="11"/>
      <c r="T210" s="11">
        <v>76.292682926829272</v>
      </c>
      <c r="U210" s="11">
        <v>38.146341463414636</v>
      </c>
      <c r="V210" s="13">
        <v>274</v>
      </c>
      <c r="W210" s="11">
        <v>-1.6334457706279153</v>
      </c>
      <c r="Y210" s="12">
        <v>46</v>
      </c>
      <c r="Z210" s="11">
        <v>41.44</v>
      </c>
      <c r="AA210" s="11">
        <v>40.08</v>
      </c>
      <c r="AB210" s="11">
        <v>27.76</v>
      </c>
      <c r="AC210" s="11"/>
      <c r="AD210" s="11">
        <v>109.28</v>
      </c>
      <c r="AE210" s="11">
        <v>36.426666666666669</v>
      </c>
      <c r="AF210" s="13">
        <v>290</v>
      </c>
      <c r="AG210" s="11">
        <v>-1.7196747967479666</v>
      </c>
      <c r="AI210" s="12">
        <v>37</v>
      </c>
      <c r="AJ210" s="11">
        <v>41.027027027027025</v>
      </c>
      <c r="AK210" s="11">
        <v>32</v>
      </c>
      <c r="AL210" s="11">
        <v>26.513513513513512</v>
      </c>
      <c r="AM210" s="11" t="s">
        <v>14</v>
      </c>
      <c r="AN210" s="11">
        <v>99.540540540540547</v>
      </c>
      <c r="AO210" s="11">
        <v>33.18018018018018</v>
      </c>
      <c r="AP210" s="13">
        <v>276</v>
      </c>
      <c r="AQ210" s="11">
        <v>-3.2464864864864893</v>
      </c>
      <c r="AS210" s="12">
        <v>45</v>
      </c>
      <c r="AT210" s="11">
        <v>44.179999999999986</v>
      </c>
      <c r="AU210" s="11">
        <v>27.837777777777788</v>
      </c>
      <c r="AV210" s="11">
        <v>29.084444444444443</v>
      </c>
      <c r="AW210" s="11"/>
      <c r="AX210" s="11">
        <v>101.10222222222222</v>
      </c>
      <c r="AY210" s="11">
        <v>33.700740740740741</v>
      </c>
      <c r="AZ210" s="13">
        <v>264</v>
      </c>
      <c r="BA210" s="11">
        <v>0.52056056056056121</v>
      </c>
    </row>
    <row r="211" spans="1:53" x14ac:dyDescent="0.25">
      <c r="A211" s="12">
        <v>208</v>
      </c>
      <c r="B211" s="12" t="s">
        <v>27</v>
      </c>
      <c r="C211" s="12">
        <v>101</v>
      </c>
      <c r="D211" s="12" t="s">
        <v>12</v>
      </c>
      <c r="E211" s="12">
        <v>58</v>
      </c>
      <c r="F211" s="11">
        <v>37.693103448275856</v>
      </c>
      <c r="G211" s="11">
        <v>27.96551724137931</v>
      </c>
      <c r="H211" s="11"/>
      <c r="I211" s="11"/>
      <c r="J211" s="11">
        <v>65.658620689655166</v>
      </c>
      <c r="K211" s="11">
        <v>32.829310344827583</v>
      </c>
      <c r="L211" s="13">
        <v>287</v>
      </c>
      <c r="M211" s="11">
        <v>-6.8259926854754553</v>
      </c>
      <c r="O211" s="12">
        <v>73</v>
      </c>
      <c r="P211" s="11">
        <v>47.342465753424655</v>
      </c>
      <c r="Q211" s="11">
        <v>35.178082191780824</v>
      </c>
      <c r="R211" s="11">
        <v>33.876712328767127</v>
      </c>
      <c r="S211" s="11"/>
      <c r="T211" s="11">
        <v>82.520547945205479</v>
      </c>
      <c r="U211" s="11">
        <v>41.260273972602739</v>
      </c>
      <c r="V211" s="13">
        <v>235</v>
      </c>
      <c r="W211" s="11">
        <v>8.4309636277751565</v>
      </c>
      <c r="Y211" s="12">
        <v>72</v>
      </c>
      <c r="Z211" s="11">
        <v>51.724637681159422</v>
      </c>
      <c r="AA211" s="11">
        <v>48.173913043478258</v>
      </c>
      <c r="AB211" s="11">
        <v>37.144927536231883</v>
      </c>
      <c r="AC211" s="11"/>
      <c r="AD211" s="11">
        <v>137.04347826086956</v>
      </c>
      <c r="AE211" s="11">
        <v>45.681159420289852</v>
      </c>
      <c r="AF211" s="13">
        <v>192</v>
      </c>
      <c r="AG211" s="11">
        <v>4.4208854476871124</v>
      </c>
      <c r="AI211" s="12">
        <v>69</v>
      </c>
      <c r="AJ211" s="11">
        <v>48.289855072463766</v>
      </c>
      <c r="AK211" s="11">
        <v>38.956521739130437</v>
      </c>
      <c r="AL211" s="11">
        <v>37.275362318840578</v>
      </c>
      <c r="AM211" s="11" t="s">
        <v>14</v>
      </c>
      <c r="AN211" s="11">
        <v>124.52173913043478</v>
      </c>
      <c r="AO211" s="11">
        <v>41.507246376811594</v>
      </c>
      <c r="AP211" s="13">
        <v>181</v>
      </c>
      <c r="AQ211" s="11">
        <v>-4.1739130434782581</v>
      </c>
      <c r="AS211" s="12">
        <v>68</v>
      </c>
      <c r="AT211" s="11">
        <v>45.258823529411785</v>
      </c>
      <c r="AU211" s="11">
        <v>32.414705882352955</v>
      </c>
      <c r="AV211" s="11">
        <v>30.488235294117644</v>
      </c>
      <c r="AW211" s="11"/>
      <c r="AX211" s="11">
        <v>108.16176470588239</v>
      </c>
      <c r="AY211" s="11">
        <v>36.053921568627466</v>
      </c>
      <c r="AZ211" s="13">
        <v>239</v>
      </c>
      <c r="BA211" s="11">
        <v>-5.4533248081841279</v>
      </c>
    </row>
    <row r="212" spans="1:53" x14ac:dyDescent="0.25">
      <c r="A212" s="12">
        <v>209</v>
      </c>
      <c r="B212" s="12" t="s">
        <v>27</v>
      </c>
      <c r="C212" s="12">
        <v>104</v>
      </c>
      <c r="D212" s="12" t="s">
        <v>12</v>
      </c>
      <c r="E212" s="12">
        <v>135</v>
      </c>
      <c r="F212" s="11">
        <v>57.272592592592588</v>
      </c>
      <c r="G212" s="11">
        <v>45.128888888888902</v>
      </c>
      <c r="H212" s="11"/>
      <c r="I212" s="11"/>
      <c r="J212" s="11">
        <v>102.40148148148148</v>
      </c>
      <c r="K212" s="11">
        <v>51.200740740740741</v>
      </c>
      <c r="L212" s="13">
        <v>89</v>
      </c>
      <c r="M212" s="11">
        <v>4.9118518518518428</v>
      </c>
      <c r="O212" s="12">
        <v>131</v>
      </c>
      <c r="P212" s="11">
        <v>53.297709923664122</v>
      </c>
      <c r="Q212" s="11">
        <v>43.954198473282446</v>
      </c>
      <c r="R212" s="11">
        <v>36.18320610687023</v>
      </c>
      <c r="S212" s="11"/>
      <c r="T212" s="11">
        <v>97.251908396946561</v>
      </c>
      <c r="U212" s="11">
        <v>48.625954198473281</v>
      </c>
      <c r="V212" s="13">
        <v>117</v>
      </c>
      <c r="W212" s="11">
        <v>-2.5747865422674607</v>
      </c>
      <c r="Y212" s="12">
        <v>158</v>
      </c>
      <c r="Z212" s="11">
        <v>61.453237410071942</v>
      </c>
      <c r="AA212" s="11">
        <v>49.39568345323741</v>
      </c>
      <c r="AB212" s="11">
        <v>38.079136690647481</v>
      </c>
      <c r="AC212" s="11"/>
      <c r="AD212" s="11">
        <v>148.92805755395685</v>
      </c>
      <c r="AE212" s="11">
        <v>49.642685851318952</v>
      </c>
      <c r="AF212" s="13">
        <v>122</v>
      </c>
      <c r="AG212" s="11">
        <v>1.0167316528456709</v>
      </c>
      <c r="AI212" s="12">
        <v>179</v>
      </c>
      <c r="AJ212" s="11">
        <v>55.486033519553075</v>
      </c>
      <c r="AK212" s="11">
        <v>43.351955307262571</v>
      </c>
      <c r="AL212" s="11">
        <v>40.351955307262571</v>
      </c>
      <c r="AM212" s="11" t="s">
        <v>14</v>
      </c>
      <c r="AN212" s="11">
        <v>139.18994413407822</v>
      </c>
      <c r="AO212" s="11">
        <v>46.396648044692739</v>
      </c>
      <c r="AP212" s="13">
        <v>115</v>
      </c>
      <c r="AQ212" s="11">
        <v>-3.2460378066262123</v>
      </c>
      <c r="AS212" s="12">
        <v>135</v>
      </c>
      <c r="AT212" s="11">
        <v>52.063703703703695</v>
      </c>
      <c r="AU212" s="11">
        <v>34.262222222222228</v>
      </c>
      <c r="AV212" s="11">
        <v>36.100740740740747</v>
      </c>
      <c r="AW212" s="11"/>
      <c r="AX212" s="11">
        <v>122.42666666666668</v>
      </c>
      <c r="AY212" s="11">
        <v>40.808888888888895</v>
      </c>
      <c r="AZ212" s="13">
        <v>152</v>
      </c>
      <c r="BA212" s="11">
        <v>-5.5877591558038446</v>
      </c>
    </row>
    <row r="213" spans="1:53" x14ac:dyDescent="0.25">
      <c r="A213" s="12">
        <v>210</v>
      </c>
      <c r="B213" s="12" t="s">
        <v>27</v>
      </c>
      <c r="C213" s="12">
        <v>114</v>
      </c>
      <c r="D213" s="12" t="s">
        <v>12</v>
      </c>
      <c r="E213" s="12">
        <v>176</v>
      </c>
      <c r="F213" s="11">
        <v>48.054545454545476</v>
      </c>
      <c r="G213" s="11">
        <v>33.035227272727269</v>
      </c>
      <c r="H213" s="11"/>
      <c r="I213" s="11"/>
      <c r="J213" s="11">
        <v>81.089772727272745</v>
      </c>
      <c r="K213" s="11">
        <v>40.544886363636373</v>
      </c>
      <c r="L213" s="13">
        <v>236</v>
      </c>
      <c r="M213" s="11">
        <v>-2.1830898268398116</v>
      </c>
      <c r="O213" s="12">
        <v>159</v>
      </c>
      <c r="P213" s="11">
        <v>46.477987421383645</v>
      </c>
      <c r="Q213" s="11">
        <v>36.886792452830186</v>
      </c>
      <c r="R213" s="11">
        <v>33.893081761006286</v>
      </c>
      <c r="S213" s="11"/>
      <c r="T213" s="11">
        <v>83.364779874213838</v>
      </c>
      <c r="U213" s="11">
        <v>41.682389937106919</v>
      </c>
      <c r="V213" s="13">
        <v>227</v>
      </c>
      <c r="W213" s="11">
        <v>1.1375035734705463</v>
      </c>
      <c r="Y213" s="12">
        <v>178</v>
      </c>
      <c r="Z213" s="11">
        <v>51.356321839080458</v>
      </c>
      <c r="AA213" s="11">
        <v>45.143678160919542</v>
      </c>
      <c r="AB213" s="11">
        <v>36.5632183908046</v>
      </c>
      <c r="AC213" s="11"/>
      <c r="AD213" s="11">
        <v>133.06321839080459</v>
      </c>
      <c r="AE213" s="11">
        <v>44.354406130268195</v>
      </c>
      <c r="AF213" s="13">
        <v>220</v>
      </c>
      <c r="AG213" s="11">
        <v>2.6720161931612765</v>
      </c>
      <c r="AI213" s="12">
        <v>205</v>
      </c>
      <c r="AJ213" s="11">
        <v>51.165853658536584</v>
      </c>
      <c r="AK213" s="11">
        <v>38.458536585365856</v>
      </c>
      <c r="AL213" s="11">
        <v>34.512195121951223</v>
      </c>
      <c r="AM213" s="11" t="s">
        <v>14</v>
      </c>
      <c r="AN213" s="11">
        <v>124.13658536585366</v>
      </c>
      <c r="AO213" s="11">
        <v>41.37886178861789</v>
      </c>
      <c r="AP213" s="13">
        <v>183</v>
      </c>
      <c r="AQ213" s="11">
        <v>-2.9755443416503056</v>
      </c>
      <c r="AS213" s="12">
        <v>178</v>
      </c>
      <c r="AT213" s="11">
        <v>49.225000000000016</v>
      </c>
      <c r="AU213" s="11">
        <v>28.99261363636365</v>
      </c>
      <c r="AV213" s="11">
        <v>32.003977272727276</v>
      </c>
      <c r="AW213" s="11"/>
      <c r="AX213" s="11">
        <v>110.22159090909093</v>
      </c>
      <c r="AY213" s="11">
        <v>36.740530303030312</v>
      </c>
      <c r="AZ213" s="13">
        <v>232</v>
      </c>
      <c r="BA213" s="11">
        <v>-4.6383314855875781</v>
      </c>
    </row>
    <row r="214" spans="1:53" x14ac:dyDescent="0.25">
      <c r="A214" s="12">
        <v>211</v>
      </c>
      <c r="B214" s="12" t="s">
        <v>27</v>
      </c>
      <c r="C214" s="12">
        <v>118</v>
      </c>
      <c r="D214" s="12" t="s">
        <v>12</v>
      </c>
      <c r="E214" s="12">
        <v>92</v>
      </c>
      <c r="F214" s="11">
        <v>42.045652173913048</v>
      </c>
      <c r="G214" s="11">
        <v>28.585869565217397</v>
      </c>
      <c r="H214" s="11"/>
      <c r="I214" s="11"/>
      <c r="J214" s="11">
        <v>70.631521739130449</v>
      </c>
      <c r="K214" s="11">
        <v>35.315760869565224</v>
      </c>
      <c r="L214" s="13">
        <v>272</v>
      </c>
      <c r="M214" s="11">
        <v>-5.0442391304347751</v>
      </c>
      <c r="O214" s="12">
        <v>83</v>
      </c>
      <c r="P214" s="11">
        <v>45.132530120481931</v>
      </c>
      <c r="Q214" s="11">
        <v>36.036144578313255</v>
      </c>
      <c r="R214" s="11">
        <v>31.421686746987952</v>
      </c>
      <c r="S214" s="11"/>
      <c r="T214" s="11">
        <v>81.168674698795186</v>
      </c>
      <c r="U214" s="11">
        <v>40.584337349397593</v>
      </c>
      <c r="V214" s="13">
        <v>249</v>
      </c>
      <c r="W214" s="11">
        <v>5.2685764798323689</v>
      </c>
      <c r="Y214" s="12">
        <v>122</v>
      </c>
      <c r="Z214" s="11">
        <v>46.234042553191486</v>
      </c>
      <c r="AA214" s="11">
        <v>44.691489361702125</v>
      </c>
      <c r="AB214" s="11">
        <v>32.425531914893618</v>
      </c>
      <c r="AC214" s="11"/>
      <c r="AD214" s="11">
        <v>123.35106382978722</v>
      </c>
      <c r="AE214" s="11">
        <v>41.117021276595743</v>
      </c>
      <c r="AF214" s="13">
        <v>261</v>
      </c>
      <c r="AG214" s="11">
        <v>0.53268392719814983</v>
      </c>
      <c r="AI214" s="12">
        <v>115</v>
      </c>
      <c r="AJ214" s="11">
        <v>40.92173913043478</v>
      </c>
      <c r="AK214" s="11">
        <v>29.530434782608694</v>
      </c>
      <c r="AL214" s="11">
        <v>25.521739130434781</v>
      </c>
      <c r="AM214" s="11" t="s">
        <v>14</v>
      </c>
      <c r="AN214" s="11">
        <v>95.973913043478262</v>
      </c>
      <c r="AO214" s="11">
        <v>31.991304347826087</v>
      </c>
      <c r="AP214" s="13">
        <v>283</v>
      </c>
      <c r="AQ214" s="11">
        <v>-9.1257169287696556</v>
      </c>
      <c r="AS214" s="12">
        <v>114</v>
      </c>
      <c r="AT214" s="11">
        <v>46.534234234234226</v>
      </c>
      <c r="AU214" s="11">
        <v>28.619819819819813</v>
      </c>
      <c r="AV214" s="11">
        <v>28.929729729729715</v>
      </c>
      <c r="AW214" s="11"/>
      <c r="AX214" s="11">
        <v>104.08378378378376</v>
      </c>
      <c r="AY214" s="11">
        <v>34.694594594594584</v>
      </c>
      <c r="AZ214" s="13">
        <v>255</v>
      </c>
      <c r="BA214" s="11">
        <v>2.7032902467684963</v>
      </c>
    </row>
    <row r="215" spans="1:53" x14ac:dyDescent="0.25">
      <c r="A215" s="12">
        <v>212</v>
      </c>
      <c r="B215" s="12" t="s">
        <v>27</v>
      </c>
      <c r="C215" s="12">
        <v>140</v>
      </c>
      <c r="D215" s="12" t="s">
        <v>12</v>
      </c>
      <c r="E215" s="12">
        <v>10</v>
      </c>
      <c r="F215" s="11">
        <v>44.64</v>
      </c>
      <c r="G215" s="11">
        <v>21.229999999999997</v>
      </c>
      <c r="H215" s="11"/>
      <c r="I215" s="11"/>
      <c r="J215" s="11">
        <v>65.87</v>
      </c>
      <c r="K215" s="11">
        <v>32.935000000000002</v>
      </c>
      <c r="L215" s="13">
        <v>286</v>
      </c>
      <c r="M215" s="11">
        <v>-3.0916666666666686</v>
      </c>
      <c r="O215" s="12">
        <v>31</v>
      </c>
      <c r="P215" s="11">
        <v>49.354838709677416</v>
      </c>
      <c r="Q215" s="11">
        <v>32.096774193548384</v>
      </c>
      <c r="R215" s="11">
        <v>27.677419354838708</v>
      </c>
      <c r="S215" s="11"/>
      <c r="T215" s="11">
        <v>81.451612903225794</v>
      </c>
      <c r="U215" s="11">
        <v>40.725806451612897</v>
      </c>
      <c r="V215" s="13">
        <v>243</v>
      </c>
      <c r="W215" s="11">
        <v>7.7908064516128945</v>
      </c>
      <c r="Y215" s="12">
        <v>20</v>
      </c>
      <c r="Z215" s="11">
        <v>49.863636363636367</v>
      </c>
      <c r="AA215" s="11">
        <v>35.81818181818182</v>
      </c>
      <c r="AB215" s="11">
        <v>31.40909090909091</v>
      </c>
      <c r="AC215" s="11"/>
      <c r="AD215" s="11">
        <v>117.09090909090909</v>
      </c>
      <c r="AE215" s="11">
        <v>39.030303030303031</v>
      </c>
      <c r="AF215" s="13">
        <v>277</v>
      </c>
      <c r="AG215" s="11">
        <v>-1.6955034213098656</v>
      </c>
      <c r="AI215" s="12">
        <v>26</v>
      </c>
      <c r="AJ215" s="11">
        <v>51.57692307692308</v>
      </c>
      <c r="AK215" s="11">
        <v>34.615384615384613</v>
      </c>
      <c r="AL215" s="11">
        <v>33.615384615384613</v>
      </c>
      <c r="AM215" s="11" t="s">
        <v>14</v>
      </c>
      <c r="AN215" s="11">
        <v>119.80769230769231</v>
      </c>
      <c r="AO215" s="11">
        <v>39.935897435897438</v>
      </c>
      <c r="AP215" s="13">
        <v>204</v>
      </c>
      <c r="AQ215" s="11">
        <v>0.90559440559440674</v>
      </c>
      <c r="AS215" s="12">
        <v>20</v>
      </c>
      <c r="AT215" s="11">
        <v>52.260000000000005</v>
      </c>
      <c r="AU215" s="11">
        <v>29.135000000000002</v>
      </c>
      <c r="AV215" s="11">
        <v>29.849999999999994</v>
      </c>
      <c r="AW215" s="11"/>
      <c r="AX215" s="11">
        <v>111.245</v>
      </c>
      <c r="AY215" s="11">
        <v>37.081666666666671</v>
      </c>
      <c r="AZ215" s="13">
        <v>224</v>
      </c>
      <c r="BA215" s="11">
        <v>-2.8542307692307674</v>
      </c>
    </row>
    <row r="216" spans="1:53" x14ac:dyDescent="0.25">
      <c r="A216" s="12">
        <v>213</v>
      </c>
      <c r="B216" s="12" t="s">
        <v>27</v>
      </c>
      <c r="C216" s="12">
        <v>141</v>
      </c>
      <c r="D216" s="12" t="s">
        <v>12</v>
      </c>
      <c r="E216" s="12">
        <v>91</v>
      </c>
      <c r="F216" s="11">
        <v>53.230769230769234</v>
      </c>
      <c r="G216" s="11">
        <v>41.498901098901094</v>
      </c>
      <c r="H216" s="11"/>
      <c r="I216" s="11"/>
      <c r="J216" s="11">
        <v>94.729670329670327</v>
      </c>
      <c r="K216" s="11">
        <v>47.364835164835164</v>
      </c>
      <c r="L216" s="13">
        <v>146</v>
      </c>
      <c r="M216" s="11">
        <v>-1.4812517916865673</v>
      </c>
      <c r="O216" s="12">
        <v>103</v>
      </c>
      <c r="P216" s="11">
        <v>58.378640776699029</v>
      </c>
      <c r="Q216" s="11">
        <v>47.757281553398059</v>
      </c>
      <c r="R216" s="11">
        <v>43.660194174757279</v>
      </c>
      <c r="S216" s="11"/>
      <c r="T216" s="11">
        <v>106.13592233009709</v>
      </c>
      <c r="U216" s="11">
        <v>53.067961165048544</v>
      </c>
      <c r="V216" s="13">
        <v>51</v>
      </c>
      <c r="W216" s="11">
        <v>5.7031260002133806</v>
      </c>
      <c r="Y216" s="12">
        <v>124</v>
      </c>
      <c r="Z216" s="11">
        <v>57.5</v>
      </c>
      <c r="AA216" s="11">
        <v>51.421052631578945</v>
      </c>
      <c r="AB216" s="11">
        <v>43.114035087719301</v>
      </c>
      <c r="AC216" s="11"/>
      <c r="AD216" s="11">
        <v>152.03508771929825</v>
      </c>
      <c r="AE216" s="11">
        <v>50.678362573099413</v>
      </c>
      <c r="AF216" s="13">
        <v>98</v>
      </c>
      <c r="AG216" s="11">
        <v>-2.3895985919491309</v>
      </c>
      <c r="AI216" s="12">
        <v>121</v>
      </c>
      <c r="AJ216" s="11">
        <v>51.508333333333333</v>
      </c>
      <c r="AK216" s="11">
        <v>38.533333333333331</v>
      </c>
      <c r="AL216" s="11">
        <v>37.975000000000001</v>
      </c>
      <c r="AM216" s="11">
        <v>46.983050847457626</v>
      </c>
      <c r="AN216" s="11">
        <v>128.01666666666665</v>
      </c>
      <c r="AO216" s="11">
        <v>42.672222222222217</v>
      </c>
      <c r="AP216" s="13">
        <v>162</v>
      </c>
      <c r="AQ216" s="11">
        <v>-8.006140350877196</v>
      </c>
      <c r="AS216" s="12">
        <v>127</v>
      </c>
      <c r="AT216" s="11">
        <v>62.596062992125979</v>
      </c>
      <c r="AU216" s="11">
        <v>37.525984251968502</v>
      </c>
      <c r="AV216" s="11">
        <v>44.163779527559036</v>
      </c>
      <c r="AW216" s="11">
        <v>53.459016393442624</v>
      </c>
      <c r="AX216" s="11">
        <v>144.28582677165352</v>
      </c>
      <c r="AY216" s="11">
        <v>48.095275590551175</v>
      </c>
      <c r="AZ216" s="13">
        <v>52</v>
      </c>
      <c r="BA216" s="11">
        <v>5.4230533683289579</v>
      </c>
    </row>
    <row r="217" spans="1:53" x14ac:dyDescent="0.25">
      <c r="A217" s="12">
        <v>214</v>
      </c>
      <c r="B217" s="12" t="s">
        <v>27</v>
      </c>
      <c r="C217" s="12">
        <v>146</v>
      </c>
      <c r="D217" s="12" t="s">
        <v>12</v>
      </c>
      <c r="E217" s="12">
        <v>106</v>
      </c>
      <c r="F217" s="11">
        <v>50.334905660377359</v>
      </c>
      <c r="G217" s="11">
        <v>39.266037735849054</v>
      </c>
      <c r="H217" s="11"/>
      <c r="I217" s="11"/>
      <c r="J217" s="11">
        <v>89.600943396226413</v>
      </c>
      <c r="K217" s="11">
        <v>44.800471698113206</v>
      </c>
      <c r="L217" s="13">
        <v>178</v>
      </c>
      <c r="M217" s="11">
        <v>-5.5307783018868051</v>
      </c>
      <c r="O217" s="12">
        <v>88</v>
      </c>
      <c r="P217" s="11">
        <v>49.329545454545453</v>
      </c>
      <c r="Q217" s="11">
        <v>37.602272727272727</v>
      </c>
      <c r="R217" s="11">
        <v>33.852272727272727</v>
      </c>
      <c r="S217" s="11"/>
      <c r="T217" s="11">
        <v>86.931818181818187</v>
      </c>
      <c r="U217" s="11">
        <v>43.465909090909093</v>
      </c>
      <c r="V217" s="13">
        <v>204</v>
      </c>
      <c r="W217" s="11">
        <v>-1.3345626072041128</v>
      </c>
      <c r="Y217" s="12">
        <v>114</v>
      </c>
      <c r="Z217" s="11">
        <v>55.623762376237622</v>
      </c>
      <c r="AA217" s="11">
        <v>49.138613861386141</v>
      </c>
      <c r="AB217" s="11">
        <v>39.861386138613859</v>
      </c>
      <c r="AC217" s="11"/>
      <c r="AD217" s="11">
        <v>144.62376237623761</v>
      </c>
      <c r="AE217" s="11">
        <v>48.2079207920792</v>
      </c>
      <c r="AF217" s="13">
        <v>147</v>
      </c>
      <c r="AG217" s="11">
        <v>4.7420117011701066</v>
      </c>
      <c r="AI217" s="12">
        <v>96</v>
      </c>
      <c r="AJ217" s="11">
        <v>43.822916666666664</v>
      </c>
      <c r="AK217" s="11">
        <v>30.458333333333332</v>
      </c>
      <c r="AL217" s="11">
        <v>32.947916666666664</v>
      </c>
      <c r="AM217" s="11" t="s">
        <v>14</v>
      </c>
      <c r="AN217" s="11">
        <v>107.22916666666666</v>
      </c>
      <c r="AO217" s="11">
        <v>35.74305555555555</v>
      </c>
      <c r="AP217" s="13">
        <v>255</v>
      </c>
      <c r="AQ217" s="11">
        <v>-12.46486523652365</v>
      </c>
      <c r="AS217" s="12">
        <v>116</v>
      </c>
      <c r="AT217" s="11">
        <v>50.372173913043483</v>
      </c>
      <c r="AU217" s="11">
        <v>32.554782608695668</v>
      </c>
      <c r="AV217" s="11">
        <v>33.679130434782607</v>
      </c>
      <c r="AW217" s="11"/>
      <c r="AX217" s="11">
        <v>116.60608695652176</v>
      </c>
      <c r="AY217" s="11">
        <v>38.868695652173919</v>
      </c>
      <c r="AZ217" s="13">
        <v>190</v>
      </c>
      <c r="BA217" s="11">
        <v>3.1256400966183691</v>
      </c>
    </row>
    <row r="218" spans="1:53" x14ac:dyDescent="0.25">
      <c r="A218" s="12">
        <v>215</v>
      </c>
      <c r="B218" s="12" t="s">
        <v>27</v>
      </c>
      <c r="C218" s="12">
        <v>154</v>
      </c>
      <c r="D218" s="12" t="s">
        <v>12</v>
      </c>
      <c r="E218" s="12">
        <v>51</v>
      </c>
      <c r="F218" s="11">
        <v>40.280392156862746</v>
      </c>
      <c r="G218" s="11">
        <v>26.829411764705878</v>
      </c>
      <c r="H218" s="11"/>
      <c r="I218" s="11"/>
      <c r="J218" s="11">
        <v>67.109803921568627</v>
      </c>
      <c r="K218" s="11">
        <v>33.554901960784314</v>
      </c>
      <c r="L218" s="13">
        <v>282</v>
      </c>
      <c r="M218" s="11">
        <v>-13.559870766488416</v>
      </c>
      <c r="O218" s="12">
        <v>52</v>
      </c>
      <c r="P218" s="11">
        <v>48.17307692307692</v>
      </c>
      <c r="Q218" s="11">
        <v>40.480769230769234</v>
      </c>
      <c r="R218" s="11">
        <v>35.057692307692307</v>
      </c>
      <c r="S218" s="11"/>
      <c r="T218" s="11">
        <v>88.65384615384616</v>
      </c>
      <c r="U218" s="11">
        <v>44.32692307692308</v>
      </c>
      <c r="V218" s="13">
        <v>190</v>
      </c>
      <c r="W218" s="11">
        <v>10.772021116138767</v>
      </c>
      <c r="Y218" s="12">
        <v>62</v>
      </c>
      <c r="Z218" s="11">
        <v>51.895522388059703</v>
      </c>
      <c r="AA218" s="11">
        <v>40.149253731343286</v>
      </c>
      <c r="AB218" s="11">
        <v>30.507462686567163</v>
      </c>
      <c r="AC218" s="11"/>
      <c r="AD218" s="11">
        <v>122.55223880597016</v>
      </c>
      <c r="AE218" s="11">
        <v>40.850746268656721</v>
      </c>
      <c r="AF218" s="13">
        <v>266</v>
      </c>
      <c r="AG218" s="11">
        <v>-3.4761768082663593</v>
      </c>
      <c r="AI218" s="12">
        <v>59</v>
      </c>
      <c r="AJ218" s="11">
        <v>46.118644067796609</v>
      </c>
      <c r="AK218" s="11">
        <v>32.813559322033896</v>
      </c>
      <c r="AL218" s="11">
        <v>35.728813559322035</v>
      </c>
      <c r="AM218" s="11">
        <v>48.466666666666669</v>
      </c>
      <c r="AN218" s="11">
        <v>114.66101694915254</v>
      </c>
      <c r="AO218" s="11">
        <v>38.220338983050844</v>
      </c>
      <c r="AP218" s="13">
        <v>226</v>
      </c>
      <c r="AQ218" s="11">
        <v>-2.6304072856058767</v>
      </c>
      <c r="AS218" s="12">
        <v>69</v>
      </c>
      <c r="AT218" s="11">
        <v>48.224637681159415</v>
      </c>
      <c r="AU218" s="11">
        <v>26.639130434782597</v>
      </c>
      <c r="AV218" s="11">
        <v>30.734782608695649</v>
      </c>
      <c r="AW218" s="11">
        <v>49.057142857142857</v>
      </c>
      <c r="AX218" s="11">
        <v>105.59855072463766</v>
      </c>
      <c r="AY218" s="11">
        <v>35.199516908212551</v>
      </c>
      <c r="AZ218" s="13">
        <v>249</v>
      </c>
      <c r="BA218" s="11">
        <v>-3.0208220748382928</v>
      </c>
    </row>
    <row r="219" spans="1:53" x14ac:dyDescent="0.25">
      <c r="A219" s="12">
        <v>216</v>
      </c>
      <c r="B219" s="12" t="s">
        <v>27</v>
      </c>
      <c r="C219" s="12">
        <v>172</v>
      </c>
      <c r="D219" s="12" t="s">
        <v>12</v>
      </c>
      <c r="E219" s="12"/>
      <c r="F219" s="11"/>
      <c r="G219" s="11"/>
      <c r="H219" s="11"/>
      <c r="I219" s="11"/>
      <c r="J219" s="11" t="s">
        <v>14</v>
      </c>
      <c r="K219" s="11" t="s">
        <v>14</v>
      </c>
      <c r="L219" s="13" t="s">
        <v>14</v>
      </c>
      <c r="M219" s="11" t="s">
        <v>14</v>
      </c>
      <c r="O219" s="12"/>
      <c r="P219" s="11"/>
      <c r="Q219" s="11"/>
      <c r="R219" s="11"/>
      <c r="S219" s="11"/>
      <c r="T219" s="11" t="s">
        <v>14</v>
      </c>
      <c r="U219" s="11" t="s">
        <v>14</v>
      </c>
      <c r="V219" s="13" t="s">
        <v>14</v>
      </c>
      <c r="W219" s="11" t="s">
        <v>14</v>
      </c>
      <c r="Y219" s="12"/>
      <c r="Z219" s="11"/>
      <c r="AA219" s="11"/>
      <c r="AB219" s="11"/>
      <c r="AC219" s="11"/>
      <c r="AD219" s="11" t="s">
        <v>14</v>
      </c>
      <c r="AE219" s="11" t="s">
        <v>14</v>
      </c>
      <c r="AF219" s="13" t="s">
        <v>14</v>
      </c>
      <c r="AG219" s="11" t="s">
        <v>14</v>
      </c>
      <c r="AI219" s="12"/>
      <c r="AJ219" s="11"/>
      <c r="AK219" s="11"/>
      <c r="AL219" s="11"/>
      <c r="AM219" s="11"/>
      <c r="AN219" s="11" t="s">
        <v>14</v>
      </c>
      <c r="AO219" s="11" t="s">
        <v>14</v>
      </c>
      <c r="AP219" s="13" t="s">
        <v>14</v>
      </c>
      <c r="AQ219" s="11" t="s">
        <v>14</v>
      </c>
      <c r="AS219" s="12">
        <v>26</v>
      </c>
      <c r="AT219" s="11">
        <v>57.423076923076913</v>
      </c>
      <c r="AU219" s="11">
        <v>36.819230769230771</v>
      </c>
      <c r="AV219" s="11">
        <v>37.438461538461539</v>
      </c>
      <c r="AW219" s="11"/>
      <c r="AX219" s="11">
        <v>131.68076923076922</v>
      </c>
      <c r="AY219" s="11">
        <v>43.893589743589736</v>
      </c>
      <c r="AZ219" s="13">
        <v>103</v>
      </c>
      <c r="BA219" s="11" t="e">
        <v>#VALUE!</v>
      </c>
    </row>
    <row r="220" spans="1:53" x14ac:dyDescent="0.25">
      <c r="A220" s="12">
        <v>217</v>
      </c>
      <c r="B220" s="12" t="s">
        <v>27</v>
      </c>
      <c r="C220" s="12">
        <v>196</v>
      </c>
      <c r="D220" s="12" t="s">
        <v>12</v>
      </c>
      <c r="E220" s="12">
        <v>67</v>
      </c>
      <c r="F220" s="11">
        <v>43.410447761194028</v>
      </c>
      <c r="G220" s="11">
        <v>31.908955223880593</v>
      </c>
      <c r="H220" s="11"/>
      <c r="I220" s="11"/>
      <c r="J220" s="11">
        <v>75.319402985074618</v>
      </c>
      <c r="K220" s="11">
        <v>37.659701492537309</v>
      </c>
      <c r="L220" s="13">
        <v>262</v>
      </c>
      <c r="M220" s="11">
        <v>-0.68260619977038317</v>
      </c>
      <c r="O220" s="12">
        <v>47</v>
      </c>
      <c r="P220" s="11">
        <v>47.872340425531917</v>
      </c>
      <c r="Q220" s="11">
        <v>32.255319148936174</v>
      </c>
      <c r="R220" s="11">
        <v>35.021276595744681</v>
      </c>
      <c r="S220" s="11"/>
      <c r="T220" s="11">
        <v>80.127659574468083</v>
      </c>
      <c r="U220" s="11">
        <v>40.063829787234042</v>
      </c>
      <c r="V220" s="13">
        <v>258</v>
      </c>
      <c r="W220" s="11">
        <v>2.4041282946967328</v>
      </c>
      <c r="Y220" s="12">
        <v>90</v>
      </c>
      <c r="Z220" s="11">
        <v>53.544303797468352</v>
      </c>
      <c r="AA220" s="11">
        <v>48.88607594936709</v>
      </c>
      <c r="AB220" s="11">
        <v>39.025316455696199</v>
      </c>
      <c r="AC220" s="11"/>
      <c r="AD220" s="11">
        <v>141.45569620253164</v>
      </c>
      <c r="AE220" s="11">
        <v>47.151898734177216</v>
      </c>
      <c r="AF220" s="13">
        <v>164</v>
      </c>
      <c r="AG220" s="11">
        <v>7.0880689469431744</v>
      </c>
      <c r="AI220" s="12">
        <v>67</v>
      </c>
      <c r="AJ220" s="11">
        <v>49.343283582089555</v>
      </c>
      <c r="AK220" s="11">
        <v>34.805970149253731</v>
      </c>
      <c r="AL220" s="11">
        <v>32.835820895522389</v>
      </c>
      <c r="AM220" s="11" t="s">
        <v>14</v>
      </c>
      <c r="AN220" s="11">
        <v>116.98507462686568</v>
      </c>
      <c r="AO220" s="11">
        <v>38.995024875621894</v>
      </c>
      <c r="AP220" s="13">
        <v>216</v>
      </c>
      <c r="AQ220" s="11">
        <v>-8.156873858555322</v>
      </c>
      <c r="AS220" s="12">
        <v>87</v>
      </c>
      <c r="AT220" s="11">
        <v>47.1404761904762</v>
      </c>
      <c r="AU220" s="11">
        <v>26.942857142857136</v>
      </c>
      <c r="AV220" s="11">
        <v>31.407142857142865</v>
      </c>
      <c r="AW220" s="11"/>
      <c r="AX220" s="11">
        <v>105.49047619047622</v>
      </c>
      <c r="AY220" s="11">
        <v>35.163492063492072</v>
      </c>
      <c r="AZ220" s="13">
        <v>250</v>
      </c>
      <c r="BA220" s="11">
        <v>-3.8315328121298222</v>
      </c>
    </row>
    <row r="221" spans="1:53" x14ac:dyDescent="0.25">
      <c r="A221" s="12">
        <v>218</v>
      </c>
      <c r="B221" s="12" t="s">
        <v>27</v>
      </c>
      <c r="C221" s="12">
        <v>208</v>
      </c>
      <c r="D221" s="12" t="s">
        <v>12</v>
      </c>
      <c r="E221" s="12">
        <v>19</v>
      </c>
      <c r="F221" s="11">
        <v>42.378947368421052</v>
      </c>
      <c r="G221" s="11">
        <v>26.057894736842105</v>
      </c>
      <c r="H221" s="11"/>
      <c r="I221" s="11"/>
      <c r="J221" s="11">
        <v>68.436842105263153</v>
      </c>
      <c r="K221" s="11">
        <v>34.218421052631577</v>
      </c>
      <c r="L221" s="13">
        <v>278</v>
      </c>
      <c r="M221" s="11">
        <v>4.4299595141700365</v>
      </c>
      <c r="O221" s="12">
        <v>22</v>
      </c>
      <c r="P221" s="11">
        <v>51.227272727272727</v>
      </c>
      <c r="Q221" s="11">
        <v>39.863636363636367</v>
      </c>
      <c r="R221" s="11">
        <v>36.545454545454547</v>
      </c>
      <c r="S221" s="11"/>
      <c r="T221" s="11">
        <v>91.090909090909093</v>
      </c>
      <c r="U221" s="11">
        <v>45.545454545454547</v>
      </c>
      <c r="V221" s="13">
        <v>165</v>
      </c>
      <c r="W221" s="11">
        <v>11.32703349282297</v>
      </c>
      <c r="Y221" s="12">
        <v>27</v>
      </c>
      <c r="Z221" s="11">
        <v>50.81818181818182</v>
      </c>
      <c r="AA221" s="11">
        <v>47</v>
      </c>
      <c r="AB221" s="11">
        <v>34.31818181818182</v>
      </c>
      <c r="AC221" s="11"/>
      <c r="AD221" s="11">
        <v>132.13636363636363</v>
      </c>
      <c r="AE221" s="11">
        <v>44.04545454545454</v>
      </c>
      <c r="AF221" s="13">
        <v>228</v>
      </c>
      <c r="AG221" s="11">
        <v>-1.5000000000000071</v>
      </c>
      <c r="AI221" s="12">
        <v>24</v>
      </c>
      <c r="AJ221" s="11">
        <v>44.391304347826086</v>
      </c>
      <c r="AK221" s="11">
        <v>34.260869565217391</v>
      </c>
      <c r="AL221" s="11">
        <v>31.869565217391305</v>
      </c>
      <c r="AM221" s="11" t="s">
        <v>14</v>
      </c>
      <c r="AN221" s="11">
        <v>110.52173913043478</v>
      </c>
      <c r="AO221" s="11">
        <v>36.840579710144929</v>
      </c>
      <c r="AP221" s="13">
        <v>244</v>
      </c>
      <c r="AQ221" s="11">
        <v>-7.2048748353096101</v>
      </c>
      <c r="AS221" s="12">
        <v>28</v>
      </c>
      <c r="AT221" s="11">
        <v>50.900000000000013</v>
      </c>
      <c r="AU221" s="11">
        <v>36.196428571428577</v>
      </c>
      <c r="AV221" s="11">
        <v>36.342857142857142</v>
      </c>
      <c r="AW221" s="11"/>
      <c r="AX221" s="11">
        <v>123.43928571428573</v>
      </c>
      <c r="AY221" s="11">
        <v>41.146428571428579</v>
      </c>
      <c r="AZ221" s="13">
        <v>145</v>
      </c>
      <c r="BA221" s="11">
        <v>4.3058488612836499</v>
      </c>
    </row>
    <row r="222" spans="1:53" x14ac:dyDescent="0.25">
      <c r="A222" s="12">
        <v>219</v>
      </c>
      <c r="B222" s="12" t="s">
        <v>27</v>
      </c>
      <c r="C222" s="12">
        <v>226</v>
      </c>
      <c r="D222" s="12" t="s">
        <v>12</v>
      </c>
      <c r="E222" s="12">
        <v>65</v>
      </c>
      <c r="F222" s="11">
        <v>46.759999999999991</v>
      </c>
      <c r="G222" s="11">
        <v>32.644615384615392</v>
      </c>
      <c r="H222" s="11"/>
      <c r="I222" s="11"/>
      <c r="J222" s="11">
        <v>79.404615384615383</v>
      </c>
      <c r="K222" s="11">
        <v>39.702307692307691</v>
      </c>
      <c r="L222" s="13">
        <v>252</v>
      </c>
      <c r="M222" s="11">
        <v>-9.9839423076923097</v>
      </c>
      <c r="O222" s="12">
        <v>49</v>
      </c>
      <c r="P222" s="11">
        <v>41.693877551020407</v>
      </c>
      <c r="Q222" s="11">
        <v>31.673469387755102</v>
      </c>
      <c r="R222" s="11">
        <v>27.285714285714285</v>
      </c>
      <c r="S222" s="11"/>
      <c r="T222" s="11">
        <v>73.367346938775512</v>
      </c>
      <c r="U222" s="11">
        <v>36.683673469387756</v>
      </c>
      <c r="V222" s="13">
        <v>281</v>
      </c>
      <c r="W222" s="11">
        <v>-3.0186342229199354</v>
      </c>
      <c r="Y222" s="12">
        <v>65</v>
      </c>
      <c r="Z222" s="11">
        <v>51.11904761904762</v>
      </c>
      <c r="AA222" s="11">
        <v>48.107142857142854</v>
      </c>
      <c r="AB222" s="11">
        <v>37.928571428571431</v>
      </c>
      <c r="AC222" s="11"/>
      <c r="AD222" s="11">
        <v>137.15476190476193</v>
      </c>
      <c r="AE222" s="11">
        <v>45.718253968253975</v>
      </c>
      <c r="AF222" s="13">
        <v>191</v>
      </c>
      <c r="AG222" s="11">
        <v>9.0345804988662195</v>
      </c>
      <c r="AI222" s="12">
        <v>72</v>
      </c>
      <c r="AJ222" s="11">
        <v>53.166666666666664</v>
      </c>
      <c r="AK222" s="11">
        <v>36</v>
      </c>
      <c r="AL222" s="11">
        <v>38.388888888888886</v>
      </c>
      <c r="AM222" s="11" t="s">
        <v>14</v>
      </c>
      <c r="AN222" s="11">
        <v>127.55555555555554</v>
      </c>
      <c r="AO222" s="11">
        <v>42.518518518518512</v>
      </c>
      <c r="AP222" s="13">
        <v>163</v>
      </c>
      <c r="AQ222" s="11">
        <v>-3.1997354497354635</v>
      </c>
      <c r="AS222" s="12">
        <v>65</v>
      </c>
      <c r="AT222" s="11">
        <v>52.326562499999994</v>
      </c>
      <c r="AU222" s="11">
        <v>26.821875000000006</v>
      </c>
      <c r="AV222" s="11">
        <v>35.479687499999997</v>
      </c>
      <c r="AW222" s="11"/>
      <c r="AX222" s="11">
        <v>114.628125</v>
      </c>
      <c r="AY222" s="11">
        <v>38.209375000000001</v>
      </c>
      <c r="AZ222" s="13">
        <v>203</v>
      </c>
      <c r="BA222" s="11">
        <v>-4.3091435185185105</v>
      </c>
    </row>
    <row r="223" spans="1:53" x14ac:dyDescent="0.25">
      <c r="A223" s="12">
        <v>220</v>
      </c>
      <c r="B223" s="12" t="s">
        <v>27</v>
      </c>
      <c r="C223" s="12">
        <v>232</v>
      </c>
      <c r="D223" s="12" t="s">
        <v>12</v>
      </c>
      <c r="E223" s="12">
        <v>46</v>
      </c>
      <c r="F223" s="11">
        <v>60.271739130434781</v>
      </c>
      <c r="G223" s="11">
        <v>50.543478260869577</v>
      </c>
      <c r="H223" s="11"/>
      <c r="I223" s="11"/>
      <c r="J223" s="11">
        <v>110.81521739130436</v>
      </c>
      <c r="K223" s="11">
        <v>55.407608695652179</v>
      </c>
      <c r="L223" s="13">
        <v>37</v>
      </c>
      <c r="M223" s="11">
        <v>12.152251552795029</v>
      </c>
      <c r="O223" s="12">
        <v>50</v>
      </c>
      <c r="P223" s="11">
        <v>61.32</v>
      </c>
      <c r="Q223" s="11">
        <v>53.8</v>
      </c>
      <c r="R223" s="11">
        <v>44.12</v>
      </c>
      <c r="S223" s="11"/>
      <c r="T223" s="11">
        <v>115.12</v>
      </c>
      <c r="U223" s="11">
        <v>57.56</v>
      </c>
      <c r="V223" s="13">
        <v>25</v>
      </c>
      <c r="W223" s="11">
        <v>2.1523913043478231</v>
      </c>
      <c r="Y223" s="12">
        <v>56</v>
      </c>
      <c r="Z223" s="11">
        <v>58.183673469387756</v>
      </c>
      <c r="AA223" s="11">
        <v>57.326530612244895</v>
      </c>
      <c r="AB223" s="11">
        <v>38</v>
      </c>
      <c r="AC223" s="11"/>
      <c r="AD223" s="11">
        <v>153.51020408163265</v>
      </c>
      <c r="AE223" s="11">
        <v>51.170068027210881</v>
      </c>
      <c r="AF223" s="13">
        <v>89</v>
      </c>
      <c r="AG223" s="11">
        <v>-6.3899319727891211</v>
      </c>
      <c r="AI223" s="12">
        <v>62</v>
      </c>
      <c r="AJ223" s="11">
        <v>57.112903225806448</v>
      </c>
      <c r="AK223" s="11">
        <v>46.967741935483872</v>
      </c>
      <c r="AL223" s="11">
        <v>39.838709677419352</v>
      </c>
      <c r="AM223" s="11" t="s">
        <v>14</v>
      </c>
      <c r="AN223" s="11">
        <v>143.91935483870967</v>
      </c>
      <c r="AO223" s="11">
        <v>47.973118279569889</v>
      </c>
      <c r="AP223" s="13">
        <v>92</v>
      </c>
      <c r="AQ223" s="11">
        <v>-3.1969497476409927</v>
      </c>
      <c r="AS223" s="12">
        <v>56</v>
      </c>
      <c r="AT223" s="11">
        <v>55.949090909090913</v>
      </c>
      <c r="AU223" s="11">
        <v>38.04545454545454</v>
      </c>
      <c r="AV223" s="11">
        <v>35.136363636363633</v>
      </c>
      <c r="AW223" s="11"/>
      <c r="AX223" s="11">
        <v>129.13090909090909</v>
      </c>
      <c r="AY223" s="11">
        <v>43.043636363636359</v>
      </c>
      <c r="AZ223" s="13">
        <v>115</v>
      </c>
      <c r="BA223" s="11">
        <v>-4.929481915933529</v>
      </c>
    </row>
    <row r="224" spans="1:53" x14ac:dyDescent="0.25">
      <c r="A224" s="12">
        <v>221</v>
      </c>
      <c r="B224" s="12" t="s">
        <v>27</v>
      </c>
      <c r="C224" s="12">
        <v>270</v>
      </c>
      <c r="D224" s="12" t="s">
        <v>12</v>
      </c>
      <c r="E224" s="12">
        <v>118</v>
      </c>
      <c r="F224" s="11">
        <v>54.724576271186436</v>
      </c>
      <c r="G224" s="11">
        <v>41.187288135593221</v>
      </c>
      <c r="H224" s="11"/>
      <c r="I224" s="11"/>
      <c r="J224" s="11">
        <v>95.911864406779657</v>
      </c>
      <c r="K224" s="11">
        <v>47.955932203389828</v>
      </c>
      <c r="L224" s="13">
        <v>139</v>
      </c>
      <c r="M224" s="11">
        <v>0.68483128595864429</v>
      </c>
      <c r="O224" s="12">
        <v>125</v>
      </c>
      <c r="P224" s="11">
        <v>53.128</v>
      </c>
      <c r="Q224" s="11">
        <v>37.655999999999999</v>
      </c>
      <c r="R224" s="11">
        <v>37.624000000000002</v>
      </c>
      <c r="S224" s="11"/>
      <c r="T224" s="11">
        <v>90.783999999999992</v>
      </c>
      <c r="U224" s="11">
        <v>45.391999999999996</v>
      </c>
      <c r="V224" s="13">
        <v>169</v>
      </c>
      <c r="W224" s="11">
        <v>-2.5639322033898324</v>
      </c>
      <c r="Y224" s="12">
        <v>177</v>
      </c>
      <c r="Z224" s="11">
        <v>63.845070422535208</v>
      </c>
      <c r="AA224" s="11">
        <v>52.035211267605632</v>
      </c>
      <c r="AB224" s="11">
        <v>47.147887323943664</v>
      </c>
      <c r="AC224" s="11"/>
      <c r="AD224" s="11">
        <v>163.02816901408448</v>
      </c>
      <c r="AE224" s="11">
        <v>54.342723004694825</v>
      </c>
      <c r="AF224" s="13">
        <v>42</v>
      </c>
      <c r="AG224" s="11">
        <v>8.9507230046948294</v>
      </c>
      <c r="AI224" s="12">
        <v>138</v>
      </c>
      <c r="AJ224" s="11">
        <v>57.496296296296293</v>
      </c>
      <c r="AK224" s="11">
        <v>47.170370370370371</v>
      </c>
      <c r="AL224" s="11">
        <v>39.014814814814812</v>
      </c>
      <c r="AM224" s="11" t="s">
        <v>14</v>
      </c>
      <c r="AN224" s="11">
        <v>143.68148148148146</v>
      </c>
      <c r="AO224" s="11">
        <v>47.893827160493821</v>
      </c>
      <c r="AP224" s="13">
        <v>94</v>
      </c>
      <c r="AQ224" s="11">
        <v>-6.4488958442010045</v>
      </c>
      <c r="AS224" s="12">
        <v>176</v>
      </c>
      <c r="AT224" s="11">
        <v>55.995906432748569</v>
      </c>
      <c r="AU224" s="11">
        <v>37.694736842105257</v>
      </c>
      <c r="AV224" s="11">
        <v>36.173099415204689</v>
      </c>
      <c r="AW224" s="11"/>
      <c r="AX224" s="11">
        <v>129.86374269005853</v>
      </c>
      <c r="AY224" s="11">
        <v>43.28791423001951</v>
      </c>
      <c r="AZ224" s="13">
        <v>110</v>
      </c>
      <c r="BA224" s="11">
        <v>-4.6059129304743109</v>
      </c>
    </row>
    <row r="225" spans="1:53" x14ac:dyDescent="0.25">
      <c r="A225" s="12">
        <v>222</v>
      </c>
      <c r="B225" s="12" t="s">
        <v>27</v>
      </c>
      <c r="C225" s="12">
        <v>275</v>
      </c>
      <c r="D225" s="12" t="s">
        <v>12</v>
      </c>
      <c r="E225" s="12">
        <v>126</v>
      </c>
      <c r="F225" s="11">
        <v>59.607142857142861</v>
      </c>
      <c r="G225" s="11">
        <v>44.615873015873021</v>
      </c>
      <c r="H225" s="11"/>
      <c r="I225" s="11"/>
      <c r="J225" s="11">
        <v>104.22301587301588</v>
      </c>
      <c r="K225" s="11">
        <v>52.111507936507941</v>
      </c>
      <c r="L225" s="13">
        <v>75</v>
      </c>
      <c r="M225" s="11">
        <v>2.1415079365079492</v>
      </c>
      <c r="O225" s="12">
        <v>123</v>
      </c>
      <c r="P225" s="11">
        <v>57.211382113821138</v>
      </c>
      <c r="Q225" s="11">
        <v>45.943089430894311</v>
      </c>
      <c r="R225" s="11">
        <v>43.333333333333336</v>
      </c>
      <c r="S225" s="11"/>
      <c r="T225" s="11">
        <v>103.15447154471545</v>
      </c>
      <c r="U225" s="11">
        <v>51.577235772357724</v>
      </c>
      <c r="V225" s="13">
        <v>77</v>
      </c>
      <c r="W225" s="11">
        <v>-0.53427216415021661</v>
      </c>
      <c r="Y225" s="12">
        <v>119</v>
      </c>
      <c r="Z225" s="11">
        <v>57.15126050420168</v>
      </c>
      <c r="AA225" s="11">
        <v>53.571428571428569</v>
      </c>
      <c r="AB225" s="11">
        <v>42.974789915966383</v>
      </c>
      <c r="AC225" s="11"/>
      <c r="AD225" s="11">
        <v>153.69747899159665</v>
      </c>
      <c r="AE225" s="11">
        <v>51.232492997198882</v>
      </c>
      <c r="AF225" s="13">
        <v>87</v>
      </c>
      <c r="AG225" s="11">
        <v>-0.34474277515884211</v>
      </c>
      <c r="AI225" s="12">
        <v>126</v>
      </c>
      <c r="AJ225" s="11">
        <v>60.412698412698411</v>
      </c>
      <c r="AK225" s="11">
        <v>48.317460317460316</v>
      </c>
      <c r="AL225" s="11">
        <v>52.761904761904759</v>
      </c>
      <c r="AM225" s="11">
        <v>58.758620689655174</v>
      </c>
      <c r="AN225" s="11">
        <v>161.49206349206349</v>
      </c>
      <c r="AO225" s="11">
        <v>53.830687830687829</v>
      </c>
      <c r="AP225" s="13">
        <v>37</v>
      </c>
      <c r="AQ225" s="11">
        <v>2.5981948334889466</v>
      </c>
      <c r="AS225" s="12">
        <v>123</v>
      </c>
      <c r="AT225" s="11">
        <v>63.307377049180346</v>
      </c>
      <c r="AU225" s="11">
        <v>39.444262295081948</v>
      </c>
      <c r="AV225" s="11">
        <v>45.59098360655738</v>
      </c>
      <c r="AW225" s="11">
        <v>66</v>
      </c>
      <c r="AX225" s="11">
        <v>148.34262295081967</v>
      </c>
      <c r="AY225" s="11">
        <v>49.447540983606558</v>
      </c>
      <c r="AZ225" s="13">
        <v>39</v>
      </c>
      <c r="BA225" s="11">
        <v>-4.3831468470812709</v>
      </c>
    </row>
    <row r="226" spans="1:53" x14ac:dyDescent="0.25">
      <c r="A226" s="12">
        <v>223</v>
      </c>
      <c r="B226" s="12" t="s">
        <v>27</v>
      </c>
      <c r="C226" s="12">
        <v>278</v>
      </c>
      <c r="D226" s="12" t="s">
        <v>12</v>
      </c>
      <c r="E226" s="12">
        <v>114</v>
      </c>
      <c r="F226" s="11">
        <v>64.023684210526312</v>
      </c>
      <c r="G226" s="11">
        <v>49.98245614035087</v>
      </c>
      <c r="H226" s="11"/>
      <c r="I226" s="11"/>
      <c r="J226" s="11">
        <v>114.00614035087719</v>
      </c>
      <c r="K226" s="11">
        <v>57.003070175438594</v>
      </c>
      <c r="L226" s="13">
        <v>27</v>
      </c>
      <c r="M226" s="11">
        <v>8.6925010697475358</v>
      </c>
      <c r="O226" s="12">
        <v>128</v>
      </c>
      <c r="P226" s="11">
        <v>57.359375</v>
      </c>
      <c r="Q226" s="11">
        <v>46.59375</v>
      </c>
      <c r="R226" s="11">
        <v>40.3984375</v>
      </c>
      <c r="S226" s="11"/>
      <c r="T226" s="11">
        <v>103.953125</v>
      </c>
      <c r="U226" s="11">
        <v>51.9765625</v>
      </c>
      <c r="V226" s="13">
        <v>71</v>
      </c>
      <c r="W226" s="11">
        <v>-5.0265076754385944</v>
      </c>
      <c r="Y226" s="12">
        <v>170</v>
      </c>
      <c r="Z226" s="11">
        <v>55.064748201438846</v>
      </c>
      <c r="AA226" s="11">
        <v>49.705035971223019</v>
      </c>
      <c r="AB226" s="11">
        <v>39.856115107913666</v>
      </c>
      <c r="AC226" s="11"/>
      <c r="AD226" s="11">
        <v>144.62589928057554</v>
      </c>
      <c r="AE226" s="11">
        <v>48.208633093525179</v>
      </c>
      <c r="AF226" s="13">
        <v>146</v>
      </c>
      <c r="AG226" s="11">
        <v>-3.7679294064748206</v>
      </c>
      <c r="AI226" s="12">
        <v>145</v>
      </c>
      <c r="AJ226" s="11">
        <v>56.593103448275862</v>
      </c>
      <c r="AK226" s="11">
        <v>44.358620689655176</v>
      </c>
      <c r="AL226" s="11">
        <v>46.179310344827584</v>
      </c>
      <c r="AM226" s="11">
        <v>43.806451612903224</v>
      </c>
      <c r="AN226" s="11">
        <v>147.13103448275862</v>
      </c>
      <c r="AO226" s="11">
        <v>49.043678160919541</v>
      </c>
      <c r="AP226" s="13">
        <v>72</v>
      </c>
      <c r="AQ226" s="11">
        <v>0.83504506739436124</v>
      </c>
      <c r="AS226" s="12">
        <v>171</v>
      </c>
      <c r="AT226" s="11">
        <v>58.09647058823527</v>
      </c>
      <c r="AU226" s="11">
        <v>37.286470588235289</v>
      </c>
      <c r="AV226" s="11">
        <v>42.197058823529453</v>
      </c>
      <c r="AW226" s="11">
        <v>51.666666666666664</v>
      </c>
      <c r="AX226" s="11">
        <v>137.58000000000001</v>
      </c>
      <c r="AY226" s="11">
        <v>45.860000000000007</v>
      </c>
      <c r="AZ226" s="13">
        <v>84</v>
      </c>
      <c r="BA226" s="11">
        <v>-3.1836781609195342</v>
      </c>
    </row>
    <row r="227" spans="1:53" x14ac:dyDescent="0.25">
      <c r="A227" s="12">
        <v>224</v>
      </c>
      <c r="B227" s="12" t="s">
        <v>27</v>
      </c>
      <c r="C227" s="12">
        <v>279</v>
      </c>
      <c r="D227" s="12" t="s">
        <v>12</v>
      </c>
      <c r="E227" s="12">
        <v>88</v>
      </c>
      <c r="F227" s="11">
        <v>63.984090909090895</v>
      </c>
      <c r="G227" s="11">
        <v>51.223863636363667</v>
      </c>
      <c r="H227" s="11"/>
      <c r="I227" s="11"/>
      <c r="J227" s="11">
        <v>115.20795454545456</v>
      </c>
      <c r="K227" s="11">
        <v>57.603977272727278</v>
      </c>
      <c r="L227" s="13">
        <v>24</v>
      </c>
      <c r="M227" s="11">
        <v>7.4643939393939505</v>
      </c>
      <c r="O227" s="12">
        <v>70</v>
      </c>
      <c r="P227" s="11">
        <v>52.735294117647058</v>
      </c>
      <c r="Q227" s="11">
        <v>45.779411764705884</v>
      </c>
      <c r="R227" s="11">
        <v>39.926470588235297</v>
      </c>
      <c r="S227" s="11"/>
      <c r="T227" s="11">
        <v>98.514705882352942</v>
      </c>
      <c r="U227" s="11">
        <v>49.257352941176471</v>
      </c>
      <c r="V227" s="13">
        <v>110</v>
      </c>
      <c r="W227" s="11">
        <v>-8.3466243315508066</v>
      </c>
      <c r="Y227" s="12">
        <v>131</v>
      </c>
      <c r="Z227" s="11">
        <v>57.621951219512198</v>
      </c>
      <c r="AA227" s="11">
        <v>49.390243902439025</v>
      </c>
      <c r="AB227" s="11">
        <v>45.756097560975611</v>
      </c>
      <c r="AC227" s="11"/>
      <c r="AD227" s="11">
        <v>152.76829268292684</v>
      </c>
      <c r="AE227" s="11">
        <v>50.922764227642283</v>
      </c>
      <c r="AF227" s="13">
        <v>94</v>
      </c>
      <c r="AG227" s="11">
        <v>1.6654112864658117</v>
      </c>
      <c r="AI227" s="12">
        <v>94</v>
      </c>
      <c r="AJ227" s="11">
        <v>57.054945054945058</v>
      </c>
      <c r="AK227" s="11">
        <v>47.032967032967036</v>
      </c>
      <c r="AL227" s="11">
        <v>49.912087912087912</v>
      </c>
      <c r="AM227" s="11">
        <v>50.777777777777779</v>
      </c>
      <c r="AN227" s="11">
        <v>154</v>
      </c>
      <c r="AO227" s="11">
        <v>51.333333333333336</v>
      </c>
      <c r="AP227" s="13">
        <v>53</v>
      </c>
      <c r="AQ227" s="11">
        <v>0.41056910569105298</v>
      </c>
      <c r="AS227" s="12">
        <v>133</v>
      </c>
      <c r="AT227" s="11">
        <v>58.733593750000004</v>
      </c>
      <c r="AU227" s="11">
        <v>40.609375</v>
      </c>
      <c r="AV227" s="11">
        <v>44.210937500000007</v>
      </c>
      <c r="AW227" s="11">
        <v>54.851851851851855</v>
      </c>
      <c r="AX227" s="11">
        <v>143.55390625000001</v>
      </c>
      <c r="AY227" s="11">
        <v>47.851302083333337</v>
      </c>
      <c r="AZ227" s="13">
        <v>54</v>
      </c>
      <c r="BA227" s="11">
        <v>-3.4820312499999986</v>
      </c>
    </row>
    <row r="228" spans="1:53" x14ac:dyDescent="0.25">
      <c r="A228" s="12">
        <v>225</v>
      </c>
      <c r="B228" s="12" t="s">
        <v>27</v>
      </c>
      <c r="C228" s="12">
        <v>280</v>
      </c>
      <c r="D228" s="12" t="s">
        <v>12</v>
      </c>
      <c r="E228" s="12">
        <v>126</v>
      </c>
      <c r="F228" s="11">
        <v>52.313492063492049</v>
      </c>
      <c r="G228" s="11">
        <v>34.740476190476201</v>
      </c>
      <c r="H228" s="11"/>
      <c r="I228" s="11"/>
      <c r="J228" s="11">
        <v>87.05396825396825</v>
      </c>
      <c r="K228" s="11">
        <v>43.526984126984125</v>
      </c>
      <c r="L228" s="13">
        <v>200</v>
      </c>
      <c r="M228" s="11">
        <v>0.58234126984125822</v>
      </c>
      <c r="O228" s="12">
        <v>125</v>
      </c>
      <c r="P228" s="11">
        <v>48.6</v>
      </c>
      <c r="Q228" s="11">
        <v>33.823999999999998</v>
      </c>
      <c r="R228" s="11">
        <v>31.423999999999999</v>
      </c>
      <c r="S228" s="11"/>
      <c r="T228" s="11">
        <v>82.424000000000007</v>
      </c>
      <c r="U228" s="11">
        <v>41.212000000000003</v>
      </c>
      <c r="V228" s="13">
        <v>236</v>
      </c>
      <c r="W228" s="11">
        <v>-2.3149841269841218</v>
      </c>
      <c r="Y228" s="12">
        <v>215</v>
      </c>
      <c r="Z228" s="11">
        <v>53.006849315068493</v>
      </c>
      <c r="AA228" s="11">
        <v>43.719178082191782</v>
      </c>
      <c r="AB228" s="11">
        <v>35.226027397260275</v>
      </c>
      <c r="AC228" s="11"/>
      <c r="AD228" s="11">
        <v>131.95205479452056</v>
      </c>
      <c r="AE228" s="11">
        <v>43.984018264840188</v>
      </c>
      <c r="AF228" s="13">
        <v>231</v>
      </c>
      <c r="AG228" s="11">
        <v>2.7720182648401845</v>
      </c>
      <c r="AI228" s="12">
        <v>168</v>
      </c>
      <c r="AJ228" s="11">
        <v>51.386904761904759</v>
      </c>
      <c r="AK228" s="11">
        <v>37.976190476190474</v>
      </c>
      <c r="AL228" s="11">
        <v>33.416666666666664</v>
      </c>
      <c r="AM228" s="11" t="s">
        <v>14</v>
      </c>
      <c r="AN228" s="11">
        <v>122.7797619047619</v>
      </c>
      <c r="AO228" s="11">
        <v>40.926587301587297</v>
      </c>
      <c r="AP228" s="13">
        <v>187</v>
      </c>
      <c r="AQ228" s="11">
        <v>-3.0574309632528909</v>
      </c>
      <c r="AS228" s="12">
        <v>208</v>
      </c>
      <c r="AT228" s="11">
        <v>49.112621359223304</v>
      </c>
      <c r="AU228" s="11">
        <v>28.86067961165049</v>
      </c>
      <c r="AV228" s="11">
        <v>29.182524271844674</v>
      </c>
      <c r="AW228" s="11"/>
      <c r="AX228" s="11">
        <v>107.15582524271846</v>
      </c>
      <c r="AY228" s="11">
        <v>35.71860841423949</v>
      </c>
      <c r="AZ228" s="13">
        <v>241</v>
      </c>
      <c r="BA228" s="11">
        <v>-5.2079788873478066</v>
      </c>
    </row>
    <row r="229" spans="1:53" x14ac:dyDescent="0.25">
      <c r="A229" s="12">
        <v>226</v>
      </c>
      <c r="B229" s="12" t="s">
        <v>27</v>
      </c>
      <c r="C229" s="12">
        <v>281</v>
      </c>
      <c r="D229" s="12" t="s">
        <v>12</v>
      </c>
      <c r="E229" s="12">
        <v>160</v>
      </c>
      <c r="F229" s="11">
        <v>54.456250000000011</v>
      </c>
      <c r="G229" s="11">
        <v>39.32312499999999</v>
      </c>
      <c r="H229" s="11"/>
      <c r="I229" s="11"/>
      <c r="J229" s="11">
        <v>93.779375000000002</v>
      </c>
      <c r="K229" s="11">
        <v>46.889687500000001</v>
      </c>
      <c r="L229" s="13">
        <v>154</v>
      </c>
      <c r="M229" s="11">
        <v>-5.3739488636363575</v>
      </c>
      <c r="O229" s="12">
        <v>168</v>
      </c>
      <c r="P229" s="11">
        <v>54.898809523809526</v>
      </c>
      <c r="Q229" s="11">
        <v>45.178571428571431</v>
      </c>
      <c r="R229" s="11">
        <v>35.232142857142854</v>
      </c>
      <c r="S229" s="11"/>
      <c r="T229" s="11">
        <v>100.07738095238096</v>
      </c>
      <c r="U229" s="11">
        <v>50.038690476190482</v>
      </c>
      <c r="V229" s="13">
        <v>102</v>
      </c>
      <c r="W229" s="11">
        <v>3.1490029761904808</v>
      </c>
      <c r="Y229" s="12">
        <v>238</v>
      </c>
      <c r="Z229" s="11">
        <v>58.442105263157892</v>
      </c>
      <c r="AA229" s="11">
        <v>55.421052631578945</v>
      </c>
      <c r="AB229" s="11">
        <v>43.763157894736842</v>
      </c>
      <c r="AC229" s="11"/>
      <c r="AD229" s="11">
        <v>157.62631578947369</v>
      </c>
      <c r="AE229" s="11">
        <v>52.5421052631579</v>
      </c>
      <c r="AF229" s="13">
        <v>65</v>
      </c>
      <c r="AG229" s="11">
        <v>2.5034147869674186</v>
      </c>
      <c r="AI229" s="12">
        <v>229</v>
      </c>
      <c r="AJ229" s="11">
        <v>56.663755458515283</v>
      </c>
      <c r="AK229" s="11">
        <v>45.082969432314414</v>
      </c>
      <c r="AL229" s="11">
        <v>40.248908296943235</v>
      </c>
      <c r="AM229" s="11"/>
      <c r="AN229" s="11">
        <v>141.99563318777294</v>
      </c>
      <c r="AO229" s="11">
        <v>47.331877729257648</v>
      </c>
      <c r="AP229" s="13">
        <v>103</v>
      </c>
      <c r="AQ229" s="11">
        <v>-5.2102275339002517</v>
      </c>
      <c r="AS229" s="12">
        <v>230</v>
      </c>
      <c r="AT229" s="11">
        <v>55.675877192982483</v>
      </c>
      <c r="AU229" s="11">
        <v>38.219298245614027</v>
      </c>
      <c r="AV229" s="11">
        <v>37.977192982456131</v>
      </c>
      <c r="AW229" s="11"/>
      <c r="AX229" s="11">
        <v>131.87236842105264</v>
      </c>
      <c r="AY229" s="11">
        <v>43.957456140350878</v>
      </c>
      <c r="AZ229" s="13">
        <v>101</v>
      </c>
      <c r="BA229" s="11">
        <v>-3.3744215889067704</v>
      </c>
    </row>
    <row r="230" spans="1:53" x14ac:dyDescent="0.25">
      <c r="A230" s="12">
        <v>227</v>
      </c>
      <c r="B230" s="12" t="s">
        <v>27</v>
      </c>
      <c r="C230" s="12">
        <v>282</v>
      </c>
      <c r="D230" s="12" t="s">
        <v>12</v>
      </c>
      <c r="E230" s="12">
        <v>77</v>
      </c>
      <c r="F230" s="11">
        <v>56.911688311688309</v>
      </c>
      <c r="G230" s="11">
        <v>45.03766233766234</v>
      </c>
      <c r="H230" s="11"/>
      <c r="I230" s="11"/>
      <c r="J230" s="11">
        <v>101.94935064935065</v>
      </c>
      <c r="K230" s="11">
        <v>50.974675324675324</v>
      </c>
      <c r="L230" s="13">
        <v>92</v>
      </c>
      <c r="M230" s="11">
        <v>1.3607408984458189</v>
      </c>
      <c r="O230" s="12">
        <v>93</v>
      </c>
      <c r="P230" s="11">
        <v>54.053763440860216</v>
      </c>
      <c r="Q230" s="11">
        <v>44.1505376344086</v>
      </c>
      <c r="R230" s="11">
        <v>39.698924731182792</v>
      </c>
      <c r="S230" s="11"/>
      <c r="T230" s="11">
        <v>98.204301075268816</v>
      </c>
      <c r="U230" s="11">
        <v>49.102150537634408</v>
      </c>
      <c r="V230" s="13">
        <v>113</v>
      </c>
      <c r="W230" s="11">
        <v>-1.8725247870409163</v>
      </c>
      <c r="Y230" s="12">
        <v>91</v>
      </c>
      <c r="Z230" s="11">
        <v>57.356164383561641</v>
      </c>
      <c r="AA230" s="11">
        <v>50.575342465753423</v>
      </c>
      <c r="AB230" s="11">
        <v>41.452054794520549</v>
      </c>
      <c r="AC230" s="11"/>
      <c r="AD230" s="11">
        <v>149.38356164383561</v>
      </c>
      <c r="AE230" s="11">
        <v>49.794520547945204</v>
      </c>
      <c r="AF230" s="13">
        <v>119</v>
      </c>
      <c r="AG230" s="11">
        <v>0.69237001031079615</v>
      </c>
      <c r="AI230" s="12">
        <v>117</v>
      </c>
      <c r="AJ230" s="11">
        <v>55.307692307692307</v>
      </c>
      <c r="AK230" s="11">
        <v>42.222222222222221</v>
      </c>
      <c r="AL230" s="11">
        <v>44.70940170940171</v>
      </c>
      <c r="AM230" s="11">
        <v>50.8</v>
      </c>
      <c r="AN230" s="11">
        <v>142.23931623931622</v>
      </c>
      <c r="AO230" s="11">
        <v>47.413105413105406</v>
      </c>
      <c r="AP230" s="13">
        <v>102</v>
      </c>
      <c r="AQ230" s="11">
        <v>-2.3814151348397985</v>
      </c>
      <c r="AS230" s="12">
        <v>87</v>
      </c>
      <c r="AT230" s="11">
        <v>54.189655172413779</v>
      </c>
      <c r="AU230" s="11">
        <v>31.818390804597698</v>
      </c>
      <c r="AV230" s="11">
        <v>39.555172413793102</v>
      </c>
      <c r="AW230" s="11">
        <v>55.583333333333336</v>
      </c>
      <c r="AX230" s="11">
        <v>125.56321839080458</v>
      </c>
      <c r="AY230" s="11">
        <v>41.854406130268195</v>
      </c>
      <c r="AZ230" s="13">
        <v>135</v>
      </c>
      <c r="BA230" s="11">
        <v>-5.5586992828372104</v>
      </c>
    </row>
    <row r="231" spans="1:53" x14ac:dyDescent="0.25">
      <c r="A231" s="12">
        <v>228</v>
      </c>
      <c r="B231" s="12" t="s">
        <v>27</v>
      </c>
      <c r="C231" s="12">
        <v>285</v>
      </c>
      <c r="D231" s="12" t="s">
        <v>12</v>
      </c>
      <c r="E231" s="12">
        <v>47</v>
      </c>
      <c r="F231" s="11">
        <v>47.193617021276594</v>
      </c>
      <c r="G231" s="11">
        <v>33.221276595744683</v>
      </c>
      <c r="H231" s="11"/>
      <c r="I231" s="11"/>
      <c r="J231" s="11">
        <v>80.414893617021278</v>
      </c>
      <c r="K231" s="11">
        <v>40.207446808510639</v>
      </c>
      <c r="L231" s="13">
        <v>243</v>
      </c>
      <c r="M231" s="11">
        <v>0.2612442768650709</v>
      </c>
      <c r="O231" s="12">
        <v>64</v>
      </c>
      <c r="P231" s="11">
        <v>52.90625</v>
      </c>
      <c r="Q231" s="11">
        <v>45.515625</v>
      </c>
      <c r="R231" s="11">
        <v>35.578125</v>
      </c>
      <c r="S231" s="11"/>
      <c r="T231" s="11">
        <v>98.421875</v>
      </c>
      <c r="U231" s="11">
        <v>49.2109375</v>
      </c>
      <c r="V231" s="13">
        <v>111</v>
      </c>
      <c r="W231" s="11">
        <v>9.0034906914893611</v>
      </c>
      <c r="Y231" s="12">
        <v>85</v>
      </c>
      <c r="Z231" s="11">
        <v>53.548387096774192</v>
      </c>
      <c r="AA231" s="11">
        <v>48.741935483870968</v>
      </c>
      <c r="AB231" s="11">
        <v>35.016129032258064</v>
      </c>
      <c r="AC231" s="11"/>
      <c r="AD231" s="11">
        <v>137.30645161290323</v>
      </c>
      <c r="AE231" s="11">
        <v>45.768817204301079</v>
      </c>
      <c r="AF231" s="13">
        <v>190</v>
      </c>
      <c r="AG231" s="11">
        <v>-3.4421202956989205</v>
      </c>
      <c r="AI231" s="12">
        <v>94</v>
      </c>
      <c r="AJ231" s="11">
        <v>53.212765957446805</v>
      </c>
      <c r="AK231" s="11">
        <v>43.021276595744681</v>
      </c>
      <c r="AL231" s="11">
        <v>38.712765957446805</v>
      </c>
      <c r="AM231" s="11" t="s">
        <v>14</v>
      </c>
      <c r="AN231" s="11">
        <v>134.94680851063828</v>
      </c>
      <c r="AO231" s="11">
        <v>44.982269503546092</v>
      </c>
      <c r="AP231" s="13">
        <v>134</v>
      </c>
      <c r="AQ231" s="11">
        <v>-0.78654770075498703</v>
      </c>
      <c r="AS231" s="12">
        <v>83</v>
      </c>
      <c r="AT231" s="11">
        <v>57.786746987951787</v>
      </c>
      <c r="AU231" s="11">
        <v>38.145783132530127</v>
      </c>
      <c r="AV231" s="11">
        <v>40.18915662650604</v>
      </c>
      <c r="AW231" s="11"/>
      <c r="AX231" s="11">
        <v>136.12168674698796</v>
      </c>
      <c r="AY231" s="11">
        <v>45.373895582329318</v>
      </c>
      <c r="AZ231" s="13">
        <v>92</v>
      </c>
      <c r="BA231" s="11">
        <v>0.39162607878322575</v>
      </c>
    </row>
    <row r="232" spans="1:53" x14ac:dyDescent="0.25">
      <c r="A232" s="12">
        <v>229</v>
      </c>
      <c r="B232" s="12" t="s">
        <v>27</v>
      </c>
      <c r="C232" s="12">
        <v>290</v>
      </c>
      <c r="D232" s="12" t="s">
        <v>12</v>
      </c>
      <c r="E232" s="12">
        <v>66</v>
      </c>
      <c r="F232" s="11">
        <v>57.418181818181807</v>
      </c>
      <c r="G232" s="11">
        <v>44.404545454545463</v>
      </c>
      <c r="H232" s="11"/>
      <c r="I232" s="11"/>
      <c r="J232" s="11">
        <v>101.82272727272726</v>
      </c>
      <c r="K232" s="11">
        <v>50.911363636363632</v>
      </c>
      <c r="L232" s="13">
        <v>94</v>
      </c>
      <c r="M232" s="11">
        <v>0.97961760461758729</v>
      </c>
      <c r="O232" s="12">
        <v>79</v>
      </c>
      <c r="P232" s="11">
        <v>54.949367088607595</v>
      </c>
      <c r="Q232" s="11">
        <v>41.430379746835442</v>
      </c>
      <c r="R232" s="11">
        <v>40.77215189873418</v>
      </c>
      <c r="S232" s="11"/>
      <c r="T232" s="11">
        <v>96.379746835443029</v>
      </c>
      <c r="U232" s="11">
        <v>48.189873417721515</v>
      </c>
      <c r="V232" s="13">
        <v>125</v>
      </c>
      <c r="W232" s="11">
        <v>-2.721490218642117</v>
      </c>
      <c r="Y232" s="12">
        <v>75</v>
      </c>
      <c r="Z232" s="11">
        <v>62.376623376623378</v>
      </c>
      <c r="AA232" s="11">
        <v>46.831168831168831</v>
      </c>
      <c r="AB232" s="11">
        <v>41.779220779220779</v>
      </c>
      <c r="AC232" s="11"/>
      <c r="AD232" s="11">
        <v>150.98701298701297</v>
      </c>
      <c r="AE232" s="11">
        <v>50.329004329004327</v>
      </c>
      <c r="AF232" s="13">
        <v>106</v>
      </c>
      <c r="AG232" s="11">
        <v>2.1391309112828125</v>
      </c>
      <c r="AI232" s="12">
        <v>71</v>
      </c>
      <c r="AJ232" s="11">
        <v>52.450704225352112</v>
      </c>
      <c r="AK232" s="11">
        <v>36.112676056338032</v>
      </c>
      <c r="AL232" s="11">
        <v>40.408450704225352</v>
      </c>
      <c r="AM232" s="11" t="s">
        <v>14</v>
      </c>
      <c r="AN232" s="11">
        <v>128.97183098591549</v>
      </c>
      <c r="AO232" s="11">
        <v>42.990610328638496</v>
      </c>
      <c r="AP232" s="13">
        <v>158</v>
      </c>
      <c r="AQ232" s="11">
        <v>-7.338394000365831</v>
      </c>
      <c r="AS232" s="12">
        <v>72</v>
      </c>
      <c r="AT232" s="11">
        <v>56.695833333333347</v>
      </c>
      <c r="AU232" s="11">
        <v>39.025000000000013</v>
      </c>
      <c r="AV232" s="11">
        <v>44.362499999999983</v>
      </c>
      <c r="AW232" s="11"/>
      <c r="AX232" s="11">
        <v>140.08333333333334</v>
      </c>
      <c r="AY232" s="11">
        <v>46.69444444444445</v>
      </c>
      <c r="AZ232" s="13">
        <v>65</v>
      </c>
      <c r="BA232" s="11">
        <v>3.7038341158059538</v>
      </c>
    </row>
    <row r="233" spans="1:53" x14ac:dyDescent="0.25">
      <c r="A233" s="12">
        <v>230</v>
      </c>
      <c r="B233" s="12" t="s">
        <v>27</v>
      </c>
      <c r="C233" s="12">
        <v>315</v>
      </c>
      <c r="D233" s="12" t="s">
        <v>12</v>
      </c>
      <c r="E233" s="12">
        <v>45</v>
      </c>
      <c r="F233" s="11">
        <v>54.295555555555552</v>
      </c>
      <c r="G233" s="11">
        <v>34.379999999999995</v>
      </c>
      <c r="H233" s="11"/>
      <c r="I233" s="11"/>
      <c r="J233" s="11">
        <v>88.675555555555547</v>
      </c>
      <c r="K233" s="11">
        <v>44.337777777777774</v>
      </c>
      <c r="L233" s="13">
        <v>188</v>
      </c>
      <c r="M233" s="11">
        <v>-1.1638888888888914</v>
      </c>
      <c r="O233" s="12">
        <v>41</v>
      </c>
      <c r="P233" s="11">
        <v>57.121951219512198</v>
      </c>
      <c r="Q233" s="11">
        <v>42.243902439024389</v>
      </c>
      <c r="R233" s="11">
        <v>38.341463414634148</v>
      </c>
      <c r="S233" s="11"/>
      <c r="T233" s="11">
        <v>99.365853658536594</v>
      </c>
      <c r="U233" s="11">
        <v>49.682926829268297</v>
      </c>
      <c r="V233" s="13">
        <v>106</v>
      </c>
      <c r="W233" s="11">
        <v>5.3451490514905231</v>
      </c>
      <c r="Y233" s="12">
        <v>64</v>
      </c>
      <c r="Z233" s="11">
        <v>53.018867924528301</v>
      </c>
      <c r="AA233" s="11">
        <v>54.056603773584904</v>
      </c>
      <c r="AB233" s="11">
        <v>44.905660377358494</v>
      </c>
      <c r="AC233" s="11"/>
      <c r="AD233" s="11">
        <v>151.98113207547169</v>
      </c>
      <c r="AE233" s="11">
        <v>50.660377358490564</v>
      </c>
      <c r="AF233" s="13">
        <v>99</v>
      </c>
      <c r="AG233" s="11">
        <v>0.97745052922226705</v>
      </c>
      <c r="AI233" s="12">
        <v>69</v>
      </c>
      <c r="AJ233" s="11">
        <v>51.144927536231883</v>
      </c>
      <c r="AK233" s="11">
        <v>40</v>
      </c>
      <c r="AL233" s="11">
        <v>39.681159420289852</v>
      </c>
      <c r="AM233" s="11" t="s">
        <v>14</v>
      </c>
      <c r="AN233" s="11">
        <v>130.82608695652172</v>
      </c>
      <c r="AO233" s="11">
        <v>43.608695652173907</v>
      </c>
      <c r="AP233" s="13">
        <v>150</v>
      </c>
      <c r="AQ233" s="11">
        <v>-7.051681706316657</v>
      </c>
      <c r="AS233" s="12">
        <v>67</v>
      </c>
      <c r="AT233" s="11">
        <v>52.365671641791067</v>
      </c>
      <c r="AU233" s="11">
        <v>31.400000000000002</v>
      </c>
      <c r="AV233" s="11">
        <v>38.720895522388048</v>
      </c>
      <c r="AW233" s="11"/>
      <c r="AX233" s="11">
        <v>122.48656716417912</v>
      </c>
      <c r="AY233" s="11">
        <v>40.82885572139304</v>
      </c>
      <c r="AZ233" s="13">
        <v>151</v>
      </c>
      <c r="BA233" s="11">
        <v>-2.7798399307808666</v>
      </c>
    </row>
    <row r="234" spans="1:53" x14ac:dyDescent="0.25">
      <c r="A234" s="12">
        <v>231</v>
      </c>
      <c r="B234" s="12" t="s">
        <v>27</v>
      </c>
      <c r="C234" s="12">
        <v>316</v>
      </c>
      <c r="D234" s="12" t="s">
        <v>12</v>
      </c>
      <c r="E234" s="12">
        <v>134</v>
      </c>
      <c r="F234" s="11">
        <v>51.235074626865675</v>
      </c>
      <c r="G234" s="11">
        <v>38.114925373134326</v>
      </c>
      <c r="H234" s="11"/>
      <c r="I234" s="11"/>
      <c r="J234" s="11">
        <v>89.35</v>
      </c>
      <c r="K234" s="11">
        <v>44.674999999999997</v>
      </c>
      <c r="L234" s="13">
        <v>180</v>
      </c>
      <c r="M234" s="11">
        <v>-3.1820921985815502</v>
      </c>
      <c r="O234" s="12">
        <v>136</v>
      </c>
      <c r="P234" s="11">
        <v>49.838235294117645</v>
      </c>
      <c r="Q234" s="11">
        <v>43.308823529411768</v>
      </c>
      <c r="R234" s="11">
        <v>35.948529411764703</v>
      </c>
      <c r="S234" s="11"/>
      <c r="T234" s="11">
        <v>93.14705882352942</v>
      </c>
      <c r="U234" s="11">
        <v>46.57352941176471</v>
      </c>
      <c r="V234" s="13">
        <v>149</v>
      </c>
      <c r="W234" s="11">
        <v>1.8985294117647129</v>
      </c>
      <c r="Y234" s="12">
        <v>199</v>
      </c>
      <c r="Z234" s="11">
        <v>53.451219512195124</v>
      </c>
      <c r="AA234" s="11">
        <v>53.353658536585364</v>
      </c>
      <c r="AB234" s="11">
        <v>38.31707317073171</v>
      </c>
      <c r="AC234" s="11"/>
      <c r="AD234" s="11">
        <v>145.1219512195122</v>
      </c>
      <c r="AE234" s="11">
        <v>48.373983739837399</v>
      </c>
      <c r="AF234" s="13">
        <v>143</v>
      </c>
      <c r="AG234" s="11">
        <v>1.8004543280726892</v>
      </c>
      <c r="AI234" s="12">
        <v>184</v>
      </c>
      <c r="AJ234" s="11">
        <v>54.054347826086953</v>
      </c>
      <c r="AK234" s="11">
        <v>43.565217391304351</v>
      </c>
      <c r="AL234" s="11">
        <v>37.690217391304351</v>
      </c>
      <c r="AM234" s="11" t="s">
        <v>14</v>
      </c>
      <c r="AN234" s="11">
        <v>135.30978260869566</v>
      </c>
      <c r="AO234" s="11">
        <v>45.103260869565219</v>
      </c>
      <c r="AP234" s="13">
        <v>132</v>
      </c>
      <c r="AQ234" s="11">
        <v>-3.2707228702721807</v>
      </c>
      <c r="AS234" s="12">
        <v>193</v>
      </c>
      <c r="AT234" s="11">
        <v>47.871875000000017</v>
      </c>
      <c r="AU234" s="11">
        <v>31.251562500000006</v>
      </c>
      <c r="AV234" s="11">
        <v>34.143229166666671</v>
      </c>
      <c r="AW234" s="11"/>
      <c r="AX234" s="11">
        <v>113.26666666666669</v>
      </c>
      <c r="AY234" s="11">
        <v>37.755555555555567</v>
      </c>
      <c r="AZ234" s="13">
        <v>214</v>
      </c>
      <c r="BA234" s="11">
        <v>-7.3477053140096515</v>
      </c>
    </row>
    <row r="235" spans="1:53" x14ac:dyDescent="0.25">
      <c r="A235" s="12">
        <v>232</v>
      </c>
      <c r="B235" s="12" t="s">
        <v>27</v>
      </c>
      <c r="C235" s="12">
        <v>317</v>
      </c>
      <c r="D235" s="12" t="s">
        <v>12</v>
      </c>
      <c r="E235" s="12">
        <v>60</v>
      </c>
      <c r="F235" s="11">
        <v>59.931666666666665</v>
      </c>
      <c r="G235" s="11">
        <v>41.571666666666673</v>
      </c>
      <c r="H235" s="11"/>
      <c r="I235" s="11"/>
      <c r="J235" s="11">
        <v>101.50333333333333</v>
      </c>
      <c r="K235" s="11">
        <v>50.751666666666665</v>
      </c>
      <c r="L235" s="13">
        <v>98</v>
      </c>
      <c r="M235" s="11">
        <v>-0.58394977168948969</v>
      </c>
      <c r="O235" s="12">
        <v>48</v>
      </c>
      <c r="P235" s="11">
        <v>56.770833333333336</v>
      </c>
      <c r="Q235" s="11">
        <v>42.041666666666664</v>
      </c>
      <c r="R235" s="11">
        <v>35.291666666666664</v>
      </c>
      <c r="S235" s="11"/>
      <c r="T235" s="11">
        <v>98.8125</v>
      </c>
      <c r="U235" s="11">
        <v>49.40625</v>
      </c>
      <c r="V235" s="13">
        <v>109</v>
      </c>
      <c r="W235" s="11">
        <v>-1.3454166666666652</v>
      </c>
      <c r="Y235" s="12">
        <v>88</v>
      </c>
      <c r="Z235" s="11">
        <v>56.870588235294115</v>
      </c>
      <c r="AA235" s="11">
        <v>55.082352941176474</v>
      </c>
      <c r="AB235" s="11">
        <v>38.988235294117644</v>
      </c>
      <c r="AC235" s="11"/>
      <c r="AD235" s="11">
        <v>150.94117647058823</v>
      </c>
      <c r="AE235" s="11">
        <v>50.313725490196077</v>
      </c>
      <c r="AF235" s="13">
        <v>107</v>
      </c>
      <c r="AG235" s="11">
        <v>0.90747549019607732</v>
      </c>
      <c r="AI235" s="12">
        <v>84</v>
      </c>
      <c r="AJ235" s="11">
        <v>58.154761904761905</v>
      </c>
      <c r="AK235" s="11">
        <v>41.095238095238095</v>
      </c>
      <c r="AL235" s="11">
        <v>41.083333333333336</v>
      </c>
      <c r="AM235" s="11" t="s">
        <v>14</v>
      </c>
      <c r="AN235" s="11">
        <v>140.33333333333334</v>
      </c>
      <c r="AO235" s="11">
        <v>46.777777777777779</v>
      </c>
      <c r="AP235" s="13">
        <v>108</v>
      </c>
      <c r="AQ235" s="11">
        <v>-3.5359477124182987</v>
      </c>
      <c r="AS235" s="12">
        <v>85</v>
      </c>
      <c r="AT235" s="11">
        <v>59.931764705882358</v>
      </c>
      <c r="AU235" s="11">
        <v>40.494117647058815</v>
      </c>
      <c r="AV235" s="11">
        <v>44.292941176470592</v>
      </c>
      <c r="AW235" s="11"/>
      <c r="AX235" s="11">
        <v>144.71882352941176</v>
      </c>
      <c r="AY235" s="11">
        <v>48.239607843137257</v>
      </c>
      <c r="AZ235" s="13">
        <v>50</v>
      </c>
      <c r="BA235" s="11">
        <v>1.4618300653594787</v>
      </c>
    </row>
    <row r="236" spans="1:53" x14ac:dyDescent="0.25">
      <c r="A236" s="12">
        <v>233</v>
      </c>
      <c r="B236" s="12" t="s">
        <v>27</v>
      </c>
      <c r="C236" s="12">
        <v>318</v>
      </c>
      <c r="D236" s="12" t="s">
        <v>12</v>
      </c>
      <c r="E236" s="12">
        <v>137</v>
      </c>
      <c r="F236" s="11">
        <v>56.879562043795602</v>
      </c>
      <c r="G236" s="11">
        <v>45.89051094890511</v>
      </c>
      <c r="H236" s="11"/>
      <c r="I236" s="11"/>
      <c r="J236" s="11">
        <v>102.7700729927007</v>
      </c>
      <c r="K236" s="11">
        <v>51.385036496350352</v>
      </c>
      <c r="L236" s="13">
        <v>86</v>
      </c>
      <c r="M236" s="11">
        <v>-1.788097832007864</v>
      </c>
      <c r="O236" s="12">
        <v>146</v>
      </c>
      <c r="P236" s="11">
        <v>54.657534246575345</v>
      </c>
      <c r="Q236" s="11">
        <v>46.767123287671232</v>
      </c>
      <c r="R236" s="11">
        <v>40.082191780821915</v>
      </c>
      <c r="S236" s="11"/>
      <c r="T236" s="11">
        <v>101.42465753424658</v>
      </c>
      <c r="U236" s="11">
        <v>50.712328767123289</v>
      </c>
      <c r="V236" s="13">
        <v>94</v>
      </c>
      <c r="W236" s="11">
        <v>-0.67270772922706357</v>
      </c>
      <c r="Y236" s="12">
        <v>122</v>
      </c>
      <c r="Z236" s="11">
        <v>57.441379310344828</v>
      </c>
      <c r="AA236" s="11">
        <v>50.04137931034483</v>
      </c>
      <c r="AB236" s="11">
        <v>41.248275862068965</v>
      </c>
      <c r="AC236" s="11"/>
      <c r="AD236" s="11">
        <v>148.73103448275862</v>
      </c>
      <c r="AE236" s="11">
        <v>49.577011494252872</v>
      </c>
      <c r="AF236" s="13">
        <v>123</v>
      </c>
      <c r="AG236" s="11">
        <v>-1.1353172728704166</v>
      </c>
      <c r="AI236" s="12">
        <v>179</v>
      </c>
      <c r="AJ236" s="11">
        <v>58.446927374301673</v>
      </c>
      <c r="AK236" s="11">
        <v>43.821229050279328</v>
      </c>
      <c r="AL236" s="11">
        <v>44.162011173184361</v>
      </c>
      <c r="AM236" s="11" t="s">
        <v>14</v>
      </c>
      <c r="AN236" s="11">
        <v>146.43016759776538</v>
      </c>
      <c r="AO236" s="11">
        <v>48.81005586592179</v>
      </c>
      <c r="AP236" s="13">
        <v>77</v>
      </c>
      <c r="AQ236" s="11">
        <v>-0.76695562833108255</v>
      </c>
      <c r="AS236" s="12">
        <v>126</v>
      </c>
      <c r="AT236" s="11">
        <v>55.141269841269839</v>
      </c>
      <c r="AU236" s="11">
        <v>36.939682539682543</v>
      </c>
      <c r="AV236" s="11">
        <v>39.075396825396808</v>
      </c>
      <c r="AW236" s="11"/>
      <c r="AX236" s="11">
        <v>131.1563492063492</v>
      </c>
      <c r="AY236" s="11">
        <v>43.718783068783068</v>
      </c>
      <c r="AZ236" s="13">
        <v>104</v>
      </c>
      <c r="BA236" s="11">
        <v>-5.0912727971387213</v>
      </c>
    </row>
    <row r="237" spans="1:53" x14ac:dyDescent="0.25">
      <c r="A237" s="12">
        <v>234</v>
      </c>
      <c r="B237" s="12" t="s">
        <v>27</v>
      </c>
      <c r="C237" s="12">
        <v>327</v>
      </c>
      <c r="D237" s="12" t="s">
        <v>12</v>
      </c>
      <c r="E237" s="12">
        <v>39</v>
      </c>
      <c r="F237" s="11">
        <v>61.315384615384623</v>
      </c>
      <c r="G237" s="11">
        <v>47.707692307692298</v>
      </c>
      <c r="H237" s="11"/>
      <c r="I237" s="11"/>
      <c r="J237" s="11">
        <v>109.02307692307693</v>
      </c>
      <c r="K237" s="11">
        <v>54.511538461538464</v>
      </c>
      <c r="L237" s="13">
        <v>42</v>
      </c>
      <c r="M237" s="11">
        <v>9.2323717948717956</v>
      </c>
      <c r="O237" s="12">
        <v>33</v>
      </c>
      <c r="P237" s="11">
        <v>56.272727272727273</v>
      </c>
      <c r="Q237" s="11">
        <v>46.272727272727273</v>
      </c>
      <c r="R237" s="11">
        <v>38.424242424242422</v>
      </c>
      <c r="S237" s="11"/>
      <c r="T237" s="11">
        <v>102.54545454545455</v>
      </c>
      <c r="U237" s="11">
        <v>51.272727272727273</v>
      </c>
      <c r="V237" s="13">
        <v>83</v>
      </c>
      <c r="W237" s="11">
        <v>-3.2388111888111908</v>
      </c>
      <c r="Y237" s="12">
        <v>63</v>
      </c>
      <c r="Z237" s="11">
        <v>57.948717948717949</v>
      </c>
      <c r="AA237" s="11">
        <v>53.282051282051285</v>
      </c>
      <c r="AB237" s="11">
        <v>39.53846153846154</v>
      </c>
      <c r="AC237" s="11"/>
      <c r="AD237" s="11">
        <v>150.76923076923077</v>
      </c>
      <c r="AE237" s="11">
        <v>50.256410256410255</v>
      </c>
      <c r="AF237" s="13">
        <v>108</v>
      </c>
      <c r="AG237" s="11">
        <v>-1.0163170163170179</v>
      </c>
      <c r="AI237" s="12">
        <v>69</v>
      </c>
      <c r="AJ237" s="11">
        <v>51.333333333333336</v>
      </c>
      <c r="AK237" s="11">
        <v>41.507246376811594</v>
      </c>
      <c r="AL237" s="11">
        <v>35.565217391304351</v>
      </c>
      <c r="AM237" s="11" t="s">
        <v>14</v>
      </c>
      <c r="AN237" s="11">
        <v>128.40579710144928</v>
      </c>
      <c r="AO237" s="11">
        <v>42.80193236714976</v>
      </c>
      <c r="AP237" s="13">
        <v>160</v>
      </c>
      <c r="AQ237" s="11">
        <v>-7.4544778892604953</v>
      </c>
      <c r="AS237" s="12">
        <v>59</v>
      </c>
      <c r="AT237" s="11">
        <v>51.315254237288116</v>
      </c>
      <c r="AU237" s="11">
        <v>35.391525423728815</v>
      </c>
      <c r="AV237" s="11">
        <v>35.194915254237273</v>
      </c>
      <c r="AW237" s="11"/>
      <c r="AX237" s="11">
        <v>121.9016949152542</v>
      </c>
      <c r="AY237" s="11">
        <v>40.633898305084735</v>
      </c>
      <c r="AZ237" s="13">
        <v>155</v>
      </c>
      <c r="BA237" s="11">
        <v>-2.1680340620650256</v>
      </c>
    </row>
    <row r="238" spans="1:53" x14ac:dyDescent="0.25">
      <c r="A238" s="12">
        <v>235</v>
      </c>
      <c r="B238" s="12" t="s">
        <v>28</v>
      </c>
      <c r="C238" s="12">
        <v>17</v>
      </c>
      <c r="D238" s="12" t="s">
        <v>12</v>
      </c>
      <c r="E238" s="12">
        <v>161</v>
      </c>
      <c r="F238" s="11">
        <v>61.042857142857173</v>
      </c>
      <c r="G238" s="11">
        <v>52.368944099378865</v>
      </c>
      <c r="H238" s="11"/>
      <c r="I238" s="11"/>
      <c r="J238" s="11">
        <v>113.41180124223604</v>
      </c>
      <c r="K238" s="11">
        <v>56.705900621118019</v>
      </c>
      <c r="L238" s="13">
        <v>28</v>
      </c>
      <c r="M238" s="11">
        <v>4.5616383260360607</v>
      </c>
      <c r="O238" s="12">
        <v>147</v>
      </c>
      <c r="P238" s="11">
        <v>57.38095238095238</v>
      </c>
      <c r="Q238" s="11">
        <v>48.503401360544217</v>
      </c>
      <c r="R238" s="11">
        <v>45.251700680272108</v>
      </c>
      <c r="S238" s="11"/>
      <c r="T238" s="11">
        <v>105.8843537414966</v>
      </c>
      <c r="U238" s="11">
        <v>52.942176870748298</v>
      </c>
      <c r="V238" s="13">
        <v>54</v>
      </c>
      <c r="W238" s="11">
        <v>-3.7637237503697207</v>
      </c>
      <c r="Y238" s="12">
        <v>174</v>
      </c>
      <c r="Z238" s="11">
        <v>62.14173228346457</v>
      </c>
      <c r="AA238" s="11">
        <v>57.976377952755904</v>
      </c>
      <c r="AB238" s="11">
        <v>49.401574803149607</v>
      </c>
      <c r="AC238" s="11"/>
      <c r="AD238" s="11">
        <v>169.51968503937007</v>
      </c>
      <c r="AE238" s="11">
        <v>56.506561679790025</v>
      </c>
      <c r="AF238" s="13">
        <v>25</v>
      </c>
      <c r="AG238" s="11">
        <v>3.5643848090417265</v>
      </c>
      <c r="AI238" s="12">
        <v>197</v>
      </c>
      <c r="AJ238" s="11">
        <v>59.182741116751266</v>
      </c>
      <c r="AK238" s="11">
        <v>49.98984771573604</v>
      </c>
      <c r="AL238" s="11">
        <v>62.045685279187815</v>
      </c>
      <c r="AM238" s="11">
        <v>58.068376068376068</v>
      </c>
      <c r="AN238" s="11">
        <v>171.21827411167513</v>
      </c>
      <c r="AO238" s="11">
        <v>57.072758037225043</v>
      </c>
      <c r="AP238" s="13">
        <v>18</v>
      </c>
      <c r="AQ238" s="11">
        <v>0.56619635743501817</v>
      </c>
      <c r="AS238" s="12">
        <v>169</v>
      </c>
      <c r="AT238" s="11">
        <v>66.341071428571468</v>
      </c>
      <c r="AU238" s="11">
        <v>36.146428571428572</v>
      </c>
      <c r="AV238" s="11">
        <v>53.398214285714324</v>
      </c>
      <c r="AW238" s="11">
        <v>60.028301886792455</v>
      </c>
      <c r="AX238" s="11">
        <v>155.88571428571436</v>
      </c>
      <c r="AY238" s="11">
        <v>51.961904761904783</v>
      </c>
      <c r="AZ238" s="13">
        <v>22</v>
      </c>
      <c r="BA238" s="11">
        <v>-5.1108532753202596</v>
      </c>
    </row>
    <row r="239" spans="1:53" x14ac:dyDescent="0.25">
      <c r="A239" s="12">
        <v>236</v>
      </c>
      <c r="B239" s="12" t="s">
        <v>28</v>
      </c>
      <c r="C239" s="12">
        <v>24</v>
      </c>
      <c r="D239" s="12" t="s">
        <v>12</v>
      </c>
      <c r="E239" s="12">
        <v>61</v>
      </c>
      <c r="F239" s="11">
        <v>59.618032786885244</v>
      </c>
      <c r="G239" s="11">
        <v>48.55573770491803</v>
      </c>
      <c r="H239" s="11"/>
      <c r="I239" s="11"/>
      <c r="J239" s="11">
        <v>108.17377049180328</v>
      </c>
      <c r="K239" s="11">
        <v>54.086885245901641</v>
      </c>
      <c r="L239" s="13">
        <v>49</v>
      </c>
      <c r="M239" s="11">
        <v>3.719176912568301</v>
      </c>
      <c r="O239" s="12">
        <v>49</v>
      </c>
      <c r="P239" s="11">
        <v>49.244897959183675</v>
      </c>
      <c r="Q239" s="11">
        <v>39.204081632653065</v>
      </c>
      <c r="R239" s="11">
        <v>35.387755102040813</v>
      </c>
      <c r="S239" s="11"/>
      <c r="T239" s="11">
        <v>88.448979591836746</v>
      </c>
      <c r="U239" s="11">
        <v>44.224489795918373</v>
      </c>
      <c r="V239" s="13">
        <v>193</v>
      </c>
      <c r="W239" s="11">
        <v>-9.8623954499832678</v>
      </c>
      <c r="Y239" s="12">
        <v>82</v>
      </c>
      <c r="Z239" s="11">
        <v>52.860759493670884</v>
      </c>
      <c r="AA239" s="11">
        <v>47.050632911392405</v>
      </c>
      <c r="AB239" s="11">
        <v>38.594936708860757</v>
      </c>
      <c r="AC239" s="11"/>
      <c r="AD239" s="11">
        <v>138.50632911392404</v>
      </c>
      <c r="AE239" s="11">
        <v>46.168776371308013</v>
      </c>
      <c r="AF239" s="13">
        <v>183</v>
      </c>
      <c r="AG239" s="11">
        <v>1.9442865753896399</v>
      </c>
      <c r="AI239" s="12">
        <v>75</v>
      </c>
      <c r="AJ239" s="11">
        <v>52.266666666666666</v>
      </c>
      <c r="AK239" s="11">
        <v>41.386666666666663</v>
      </c>
      <c r="AL239" s="11">
        <v>45.866666666666667</v>
      </c>
      <c r="AM239" s="11">
        <v>52.5</v>
      </c>
      <c r="AN239" s="11">
        <v>139.52000000000001</v>
      </c>
      <c r="AO239" s="11">
        <v>46.506666666666668</v>
      </c>
      <c r="AP239" s="13">
        <v>112</v>
      </c>
      <c r="AQ239" s="11">
        <v>0.33789029535865467</v>
      </c>
      <c r="AS239" s="12">
        <v>80</v>
      </c>
      <c r="AT239" s="11">
        <v>57.293749999999989</v>
      </c>
      <c r="AU239" s="11">
        <v>28.96875</v>
      </c>
      <c r="AV239" s="11">
        <v>40.371250000000003</v>
      </c>
      <c r="AW239" s="11">
        <v>55.466666666666669</v>
      </c>
      <c r="AX239" s="11">
        <v>126.63374999999999</v>
      </c>
      <c r="AY239" s="11">
        <v>42.21125</v>
      </c>
      <c r="AZ239" s="13">
        <v>129</v>
      </c>
      <c r="BA239" s="11">
        <v>-4.295416666666668</v>
      </c>
    </row>
    <row r="240" spans="1:53" x14ac:dyDescent="0.25">
      <c r="A240" s="12">
        <v>237</v>
      </c>
      <c r="B240" s="12" t="s">
        <v>28</v>
      </c>
      <c r="C240" s="12">
        <v>25</v>
      </c>
      <c r="D240" s="12" t="s">
        <v>12</v>
      </c>
      <c r="E240" s="12">
        <v>64</v>
      </c>
      <c r="F240" s="11">
        <v>57.043749999999989</v>
      </c>
      <c r="G240" s="11">
        <v>43.498437500000009</v>
      </c>
      <c r="H240" s="11"/>
      <c r="I240" s="11"/>
      <c r="J240" s="11">
        <v>100.5421875</v>
      </c>
      <c r="K240" s="11">
        <v>50.271093749999999</v>
      </c>
      <c r="L240" s="13">
        <v>104</v>
      </c>
      <c r="M240" s="11">
        <v>0.79008109177215857</v>
      </c>
      <c r="O240" s="12">
        <v>62</v>
      </c>
      <c r="P240" s="11">
        <v>54.564516129032256</v>
      </c>
      <c r="Q240" s="11">
        <v>46.645161290322584</v>
      </c>
      <c r="R240" s="11">
        <v>41.193548387096776</v>
      </c>
      <c r="S240" s="11"/>
      <c r="T240" s="11">
        <v>101.20967741935485</v>
      </c>
      <c r="U240" s="11">
        <v>50.604838709677423</v>
      </c>
      <c r="V240" s="13">
        <v>95</v>
      </c>
      <c r="W240" s="11">
        <v>0.3337449596774249</v>
      </c>
      <c r="Y240" s="12">
        <v>103</v>
      </c>
      <c r="Z240" s="11">
        <v>57.738636363636367</v>
      </c>
      <c r="AA240" s="11">
        <v>56.579545454545453</v>
      </c>
      <c r="AB240" s="11">
        <v>48.43181818181818</v>
      </c>
      <c r="AC240" s="11"/>
      <c r="AD240" s="11">
        <v>162.75</v>
      </c>
      <c r="AE240" s="11">
        <v>54.25</v>
      </c>
      <c r="AF240" s="13">
        <v>44</v>
      </c>
      <c r="AG240" s="11">
        <v>3.6451612903225765</v>
      </c>
      <c r="AI240" s="12">
        <v>96</v>
      </c>
      <c r="AJ240" s="11">
        <v>48.15625</v>
      </c>
      <c r="AK240" s="11">
        <v>41.708333333333336</v>
      </c>
      <c r="AL240" s="11">
        <v>49.4375</v>
      </c>
      <c r="AM240" s="11">
        <v>54.31111111111111</v>
      </c>
      <c r="AN240" s="11">
        <v>139.30208333333334</v>
      </c>
      <c r="AO240" s="11">
        <v>46.434027777777779</v>
      </c>
      <c r="AP240" s="13">
        <v>113</v>
      </c>
      <c r="AQ240" s="11">
        <v>-7.8159722222222214</v>
      </c>
      <c r="AS240" s="12">
        <v>106</v>
      </c>
      <c r="AT240" s="11">
        <v>57.136190476190485</v>
      </c>
      <c r="AU240" s="11">
        <v>33.292380952380952</v>
      </c>
      <c r="AV240" s="11">
        <v>47.559047619047611</v>
      </c>
      <c r="AW240" s="11">
        <v>62.442307692307693</v>
      </c>
      <c r="AX240" s="11">
        <v>137.98761904761906</v>
      </c>
      <c r="AY240" s="11">
        <v>45.995873015873023</v>
      </c>
      <c r="AZ240" s="13">
        <v>80</v>
      </c>
      <c r="BA240" s="11">
        <v>-0.43815476190475522</v>
      </c>
    </row>
    <row r="241" spans="1:53" x14ac:dyDescent="0.25">
      <c r="A241" s="12">
        <v>238</v>
      </c>
      <c r="B241" s="12" t="s">
        <v>28</v>
      </c>
      <c r="C241" s="12">
        <v>27</v>
      </c>
      <c r="D241" s="12" t="s">
        <v>12</v>
      </c>
      <c r="E241" s="12">
        <v>170</v>
      </c>
      <c r="F241" s="11">
        <v>62.272941176470589</v>
      </c>
      <c r="G241" s="11">
        <v>48.005294117647054</v>
      </c>
      <c r="H241" s="11"/>
      <c r="I241" s="11"/>
      <c r="J241" s="11">
        <v>110.27823529411765</v>
      </c>
      <c r="K241" s="11">
        <v>55.139117647058825</v>
      </c>
      <c r="L241" s="13">
        <v>40</v>
      </c>
      <c r="M241" s="11">
        <v>-2.735168067226887</v>
      </c>
      <c r="O241" s="12">
        <v>129</v>
      </c>
      <c r="P241" s="11">
        <v>62.4375</v>
      </c>
      <c r="Q241" s="11">
        <v>47.6484375</v>
      </c>
      <c r="R241" s="11">
        <v>48.796875</v>
      </c>
      <c r="S241" s="11"/>
      <c r="T241" s="11">
        <v>110.0859375</v>
      </c>
      <c r="U241" s="11">
        <v>55.04296875</v>
      </c>
      <c r="V241" s="13">
        <v>32</v>
      </c>
      <c r="W241" s="11">
        <v>-9.61488970588249E-2</v>
      </c>
      <c r="Y241" s="12">
        <v>168</v>
      </c>
      <c r="Z241" s="11">
        <v>65.681528662420376</v>
      </c>
      <c r="AA241" s="11">
        <v>53.910828025477706</v>
      </c>
      <c r="AB241" s="11">
        <v>54.675159235668787</v>
      </c>
      <c r="AC241" s="11"/>
      <c r="AD241" s="11">
        <v>174.26751592356686</v>
      </c>
      <c r="AE241" s="11">
        <v>58.089171974522287</v>
      </c>
      <c r="AF241" s="13">
        <v>17</v>
      </c>
      <c r="AG241" s="11">
        <v>3.0462032245222872</v>
      </c>
      <c r="AI241" s="12">
        <v>206</v>
      </c>
      <c r="AJ241" s="11">
        <v>59.61165048543689</v>
      </c>
      <c r="AK241" s="11">
        <v>46.543689320388353</v>
      </c>
      <c r="AL241" s="11">
        <v>62.344660194174757</v>
      </c>
      <c r="AM241" s="11">
        <v>50.141509433962263</v>
      </c>
      <c r="AN241" s="11">
        <v>168.5</v>
      </c>
      <c r="AO241" s="11">
        <v>56.166666666666664</v>
      </c>
      <c r="AP241" s="13">
        <v>22</v>
      </c>
      <c r="AQ241" s="11">
        <v>-1.9225053078556229</v>
      </c>
      <c r="AS241" s="12">
        <v>162</v>
      </c>
      <c r="AT241" s="11">
        <v>66.311874999999958</v>
      </c>
      <c r="AU241" s="11">
        <v>32.14687499999998</v>
      </c>
      <c r="AV241" s="11">
        <v>55.474375000000009</v>
      </c>
      <c r="AW241" s="11">
        <v>51.659340659340657</v>
      </c>
      <c r="AX241" s="11">
        <v>153.93312499999996</v>
      </c>
      <c r="AY241" s="11">
        <v>51.311041666666654</v>
      </c>
      <c r="AZ241" s="13">
        <v>26</v>
      </c>
      <c r="BA241" s="11">
        <v>-4.8556250000000105</v>
      </c>
    </row>
    <row r="242" spans="1:53" x14ac:dyDescent="0.25">
      <c r="A242" s="12">
        <v>239</v>
      </c>
      <c r="B242" s="12" t="s">
        <v>28</v>
      </c>
      <c r="C242" s="12">
        <v>29</v>
      </c>
      <c r="D242" s="12" t="s">
        <v>12</v>
      </c>
      <c r="E242" s="12">
        <v>60</v>
      </c>
      <c r="F242" s="11">
        <v>51.995000000000026</v>
      </c>
      <c r="G242" s="11">
        <v>41.376666666666665</v>
      </c>
      <c r="H242" s="11"/>
      <c r="I242" s="11"/>
      <c r="J242" s="11">
        <v>93.371666666666698</v>
      </c>
      <c r="K242" s="11">
        <v>46.685833333333349</v>
      </c>
      <c r="L242" s="13">
        <v>155</v>
      </c>
      <c r="M242" s="11">
        <v>3.559642857142876</v>
      </c>
      <c r="O242" s="12">
        <v>37</v>
      </c>
      <c r="P242" s="11">
        <v>46.324324324324323</v>
      </c>
      <c r="Q242" s="11">
        <v>35.783783783783782</v>
      </c>
      <c r="R242" s="11">
        <v>26.324324324324323</v>
      </c>
      <c r="S242" s="11"/>
      <c r="T242" s="11">
        <v>82.108108108108098</v>
      </c>
      <c r="U242" s="11">
        <v>41.054054054054049</v>
      </c>
      <c r="V242" s="13">
        <v>238</v>
      </c>
      <c r="W242" s="11">
        <v>-5.6317792792793</v>
      </c>
      <c r="Y242" s="12">
        <v>41</v>
      </c>
      <c r="Z242" s="11">
        <v>49.509803921568626</v>
      </c>
      <c r="AA242" s="11">
        <v>45.450980392156865</v>
      </c>
      <c r="AB242" s="11">
        <v>34.882352941176471</v>
      </c>
      <c r="AC242" s="11"/>
      <c r="AD242" s="11">
        <v>129.84313725490196</v>
      </c>
      <c r="AE242" s="11">
        <v>43.281045751633989</v>
      </c>
      <c r="AF242" s="13">
        <v>244</v>
      </c>
      <c r="AG242" s="11">
        <v>2.2269916975799404</v>
      </c>
      <c r="AI242" s="12">
        <v>49</v>
      </c>
      <c r="AJ242" s="11">
        <v>43.591836734693878</v>
      </c>
      <c r="AK242" s="11">
        <v>33.306122448979593</v>
      </c>
      <c r="AL242" s="11">
        <v>37.979591836734691</v>
      </c>
      <c r="AM242" s="11" t="s">
        <v>14</v>
      </c>
      <c r="AN242" s="11">
        <v>114.87755102040816</v>
      </c>
      <c r="AO242" s="11">
        <v>38.292517006802719</v>
      </c>
      <c r="AP242" s="13">
        <v>225</v>
      </c>
      <c r="AQ242" s="11">
        <v>-4.988528744831271</v>
      </c>
      <c r="AS242" s="12">
        <v>47</v>
      </c>
      <c r="AT242" s="11">
        <v>53.980851063829796</v>
      </c>
      <c r="AU242" s="11">
        <v>25.595744680851062</v>
      </c>
      <c r="AV242" s="11">
        <v>39.7340425531915</v>
      </c>
      <c r="AW242" s="11"/>
      <c r="AX242" s="11">
        <v>119.31063829787236</v>
      </c>
      <c r="AY242" s="11">
        <v>39.770212765957453</v>
      </c>
      <c r="AZ242" s="13">
        <v>169</v>
      </c>
      <c r="BA242" s="11">
        <v>1.4776957591547344</v>
      </c>
    </row>
    <row r="243" spans="1:53" x14ac:dyDescent="0.25">
      <c r="A243" s="12">
        <v>240</v>
      </c>
      <c r="B243" s="12" t="s">
        <v>28</v>
      </c>
      <c r="C243" s="12">
        <v>48</v>
      </c>
      <c r="D243" s="12" t="s">
        <v>12</v>
      </c>
      <c r="E243" s="12">
        <v>40</v>
      </c>
      <c r="F243" s="11">
        <v>61.962500000000013</v>
      </c>
      <c r="G243" s="11">
        <v>43.675000000000004</v>
      </c>
      <c r="H243" s="11"/>
      <c r="I243" s="11"/>
      <c r="J243" s="11">
        <v>105.63750000000002</v>
      </c>
      <c r="K243" s="11">
        <v>52.818750000000009</v>
      </c>
      <c r="L243" s="13">
        <v>66</v>
      </c>
      <c r="M243" s="11">
        <v>0.83081896551723844</v>
      </c>
      <c r="O243" s="12">
        <v>28</v>
      </c>
      <c r="P243" s="11">
        <v>50.928571428571431</v>
      </c>
      <c r="Q243" s="11">
        <v>39.285714285714285</v>
      </c>
      <c r="R243" s="11">
        <v>37.142857142857146</v>
      </c>
      <c r="S243" s="11"/>
      <c r="T243" s="11">
        <v>90.214285714285722</v>
      </c>
      <c r="U243" s="11">
        <v>45.107142857142861</v>
      </c>
      <c r="V243" s="13">
        <v>179</v>
      </c>
      <c r="W243" s="11">
        <v>-7.7116071428571473</v>
      </c>
      <c r="Y243" s="12">
        <v>35</v>
      </c>
      <c r="Z243" s="11">
        <v>59.1875</v>
      </c>
      <c r="AA243" s="11">
        <v>50.09375</v>
      </c>
      <c r="AB243" s="11">
        <v>43.90625</v>
      </c>
      <c r="AC243" s="11"/>
      <c r="AD243" s="11">
        <v>153.1875</v>
      </c>
      <c r="AE243" s="11">
        <v>51.0625</v>
      </c>
      <c r="AF243" s="13">
        <v>92</v>
      </c>
      <c r="AG243" s="11">
        <v>5.9553571428571388</v>
      </c>
      <c r="AI243" s="12">
        <v>50</v>
      </c>
      <c r="AJ243" s="11">
        <v>49.612244897959187</v>
      </c>
      <c r="AK243" s="11">
        <v>38.204081632653065</v>
      </c>
      <c r="AL243" s="11">
        <v>42.285714285714285</v>
      </c>
      <c r="AM243" s="11">
        <v>36</v>
      </c>
      <c r="AN243" s="11">
        <v>130.10204081632654</v>
      </c>
      <c r="AO243" s="11">
        <v>43.367346938775512</v>
      </c>
      <c r="AP243" s="13">
        <v>155</v>
      </c>
      <c r="AQ243" s="11">
        <v>-7.6951530612244881</v>
      </c>
      <c r="AS243" s="12">
        <v>33</v>
      </c>
      <c r="AT243" s="11">
        <v>53.627272727272711</v>
      </c>
      <c r="AU243" s="11">
        <v>23.148484848484848</v>
      </c>
      <c r="AV243" s="11">
        <v>37.963636363636354</v>
      </c>
      <c r="AW243" s="11"/>
      <c r="AX243" s="11">
        <v>114.73939393939391</v>
      </c>
      <c r="AY243" s="11">
        <v>38.246464646464638</v>
      </c>
      <c r="AZ243" s="13">
        <v>202</v>
      </c>
      <c r="BA243" s="11">
        <v>-5.1208822923108741</v>
      </c>
    </row>
    <row r="244" spans="1:53" x14ac:dyDescent="0.25">
      <c r="A244" s="12">
        <v>241</v>
      </c>
      <c r="B244" s="12" t="s">
        <v>28</v>
      </c>
      <c r="C244" s="12">
        <v>55</v>
      </c>
      <c r="D244" s="12" t="s">
        <v>12</v>
      </c>
      <c r="E244" s="12">
        <v>55</v>
      </c>
      <c r="F244" s="11">
        <v>57.658181818181824</v>
      </c>
      <c r="G244" s="11">
        <v>44.432727272727263</v>
      </c>
      <c r="H244" s="11"/>
      <c r="I244" s="11"/>
      <c r="J244" s="11">
        <v>102.09090909090909</v>
      </c>
      <c r="K244" s="11">
        <v>51.045454545454547</v>
      </c>
      <c r="L244" s="13">
        <v>91</v>
      </c>
      <c r="M244" s="11">
        <v>9.7023172905525854</v>
      </c>
      <c r="O244" s="12">
        <v>42</v>
      </c>
      <c r="P244" s="11">
        <v>43.45</v>
      </c>
      <c r="Q244" s="11">
        <v>39.549999999999997</v>
      </c>
      <c r="R244" s="11">
        <v>31.625</v>
      </c>
      <c r="S244" s="11"/>
      <c r="T244" s="11">
        <v>83</v>
      </c>
      <c r="U244" s="11">
        <v>41.5</v>
      </c>
      <c r="V244" s="13">
        <v>231</v>
      </c>
      <c r="W244" s="11">
        <v>-9.5454545454545467</v>
      </c>
      <c r="Y244" s="12">
        <v>56</v>
      </c>
      <c r="Z244" s="11">
        <v>59.725490196078432</v>
      </c>
      <c r="AA244" s="11">
        <v>53.372549019607845</v>
      </c>
      <c r="AB244" s="11">
        <v>42.686274509803923</v>
      </c>
      <c r="AC244" s="11"/>
      <c r="AD244" s="11">
        <v>155.78431372549019</v>
      </c>
      <c r="AE244" s="11">
        <v>51.928104575163395</v>
      </c>
      <c r="AF244" s="13">
        <v>69</v>
      </c>
      <c r="AG244" s="11">
        <v>10.428104575163395</v>
      </c>
      <c r="AI244" s="12">
        <v>63</v>
      </c>
      <c r="AJ244" s="11">
        <v>56.396825396825399</v>
      </c>
      <c r="AK244" s="11">
        <v>45.142857142857146</v>
      </c>
      <c r="AL244" s="11">
        <v>46.206349206349209</v>
      </c>
      <c r="AM244" s="11" t="s">
        <v>14</v>
      </c>
      <c r="AN244" s="11">
        <v>147.74603174603175</v>
      </c>
      <c r="AO244" s="11">
        <v>49.248677248677247</v>
      </c>
      <c r="AP244" s="13">
        <v>68</v>
      </c>
      <c r="AQ244" s="11">
        <v>-2.6794273264861488</v>
      </c>
      <c r="AS244" s="12">
        <v>61</v>
      </c>
      <c r="AT244" s="11">
        <v>52.475000000000001</v>
      </c>
      <c r="AU244" s="11">
        <v>31.638333333333339</v>
      </c>
      <c r="AV244" s="11">
        <v>40.980000000000011</v>
      </c>
      <c r="AW244" s="11"/>
      <c r="AX244" s="11">
        <v>125.09333333333336</v>
      </c>
      <c r="AY244" s="11">
        <v>41.697777777777787</v>
      </c>
      <c r="AZ244" s="13">
        <v>136</v>
      </c>
      <c r="BA244" s="11">
        <v>-7.5508994708994592</v>
      </c>
    </row>
    <row r="245" spans="1:53" x14ac:dyDescent="0.25">
      <c r="A245" s="12">
        <v>242</v>
      </c>
      <c r="B245" s="12" t="s">
        <v>28</v>
      </c>
      <c r="C245" s="12">
        <v>56</v>
      </c>
      <c r="D245" s="12" t="s">
        <v>12</v>
      </c>
      <c r="E245" s="12">
        <v>26</v>
      </c>
      <c r="F245" s="11">
        <v>51.70384615384615</v>
      </c>
      <c r="G245" s="11">
        <v>44.576923076923087</v>
      </c>
      <c r="H245" s="11"/>
      <c r="I245" s="11"/>
      <c r="J245" s="11">
        <v>96.280769230769238</v>
      </c>
      <c r="K245" s="11">
        <v>48.140384615384619</v>
      </c>
      <c r="L245" s="13">
        <v>137</v>
      </c>
      <c r="M245" s="11">
        <v>8.421029776674942</v>
      </c>
      <c r="O245" s="12">
        <v>31</v>
      </c>
      <c r="P245" s="11">
        <v>59.366666666666667</v>
      </c>
      <c r="Q245" s="11">
        <v>46.733333333333334</v>
      </c>
      <c r="R245" s="11">
        <v>45.43333333333333</v>
      </c>
      <c r="S245" s="11"/>
      <c r="T245" s="11">
        <v>106.1</v>
      </c>
      <c r="U245" s="11">
        <v>53.05</v>
      </c>
      <c r="V245" s="13">
        <v>52</v>
      </c>
      <c r="W245" s="11">
        <v>4.9096153846153783</v>
      </c>
      <c r="Y245" s="12">
        <v>60</v>
      </c>
      <c r="Z245" s="11">
        <v>56</v>
      </c>
      <c r="AA245" s="11">
        <v>54.6</v>
      </c>
      <c r="AB245" s="11">
        <v>38.04</v>
      </c>
      <c r="AC245" s="11"/>
      <c r="AD245" s="11">
        <v>148.63999999999999</v>
      </c>
      <c r="AE245" s="11">
        <v>49.54666666666666</v>
      </c>
      <c r="AF245" s="13">
        <v>125</v>
      </c>
      <c r="AG245" s="11">
        <v>-3.5033333333333374</v>
      </c>
      <c r="AI245" s="12">
        <v>43</v>
      </c>
      <c r="AJ245" s="11">
        <v>52.906976744186046</v>
      </c>
      <c r="AK245" s="11">
        <v>45.02325581395349</v>
      </c>
      <c r="AL245" s="11">
        <v>52.767441860465119</v>
      </c>
      <c r="AM245" s="11">
        <v>45.7</v>
      </c>
      <c r="AN245" s="11">
        <v>150.69767441860466</v>
      </c>
      <c r="AO245" s="11">
        <v>50.232558139534888</v>
      </c>
      <c r="AP245" s="13">
        <v>65</v>
      </c>
      <c r="AQ245" s="11">
        <v>0.68589147286822794</v>
      </c>
      <c r="AS245" s="12">
        <v>60</v>
      </c>
      <c r="AT245" s="11">
        <v>54.671666666666667</v>
      </c>
      <c r="AU245" s="11">
        <v>23.801666666666669</v>
      </c>
      <c r="AV245" s="11">
        <v>41.18666666666666</v>
      </c>
      <c r="AW245" s="11">
        <v>48.972972972972975</v>
      </c>
      <c r="AX245" s="11">
        <v>119.66</v>
      </c>
      <c r="AY245" s="11">
        <v>39.886666666666663</v>
      </c>
      <c r="AZ245" s="13">
        <v>165</v>
      </c>
      <c r="BA245" s="11">
        <v>-10.345891472868225</v>
      </c>
    </row>
    <row r="246" spans="1:53" x14ac:dyDescent="0.25">
      <c r="A246" s="12">
        <v>243</v>
      </c>
      <c r="B246" s="12" t="s">
        <v>28</v>
      </c>
      <c r="C246" s="12">
        <v>58</v>
      </c>
      <c r="D246" s="12" t="s">
        <v>12</v>
      </c>
      <c r="E246" s="12">
        <v>62</v>
      </c>
      <c r="F246" s="11">
        <v>56.398387096774215</v>
      </c>
      <c r="G246" s="11">
        <v>47.762903225806454</v>
      </c>
      <c r="H246" s="11"/>
      <c r="I246" s="11"/>
      <c r="J246" s="11">
        <v>104.16129032258067</v>
      </c>
      <c r="K246" s="11">
        <v>52.080645161290334</v>
      </c>
      <c r="L246" s="13">
        <v>77</v>
      </c>
      <c r="M246" s="11">
        <v>5.0631451612903362</v>
      </c>
      <c r="O246" s="12">
        <v>75</v>
      </c>
      <c r="P246" s="11">
        <v>49.013333333333335</v>
      </c>
      <c r="Q246" s="11">
        <v>39.293333333333337</v>
      </c>
      <c r="R246" s="11">
        <v>32.986666666666665</v>
      </c>
      <c r="S246" s="11"/>
      <c r="T246" s="11">
        <v>88.306666666666672</v>
      </c>
      <c r="U246" s="11">
        <v>44.153333333333336</v>
      </c>
      <c r="V246" s="13">
        <v>195</v>
      </c>
      <c r="W246" s="11">
        <v>-7.9273118279569985</v>
      </c>
      <c r="Y246" s="12">
        <v>95</v>
      </c>
      <c r="Z246" s="11">
        <v>53.846153846153847</v>
      </c>
      <c r="AA246" s="11">
        <v>52.868131868131869</v>
      </c>
      <c r="AB246" s="11">
        <v>38.021978021978022</v>
      </c>
      <c r="AC246" s="11"/>
      <c r="AD246" s="11">
        <v>144.73626373626374</v>
      </c>
      <c r="AE246" s="11">
        <v>48.245421245421248</v>
      </c>
      <c r="AF246" s="13">
        <v>145</v>
      </c>
      <c r="AG246" s="11">
        <v>4.0920879120879121</v>
      </c>
      <c r="AI246" s="12">
        <v>91</v>
      </c>
      <c r="AJ246" s="11">
        <v>46.670329670329672</v>
      </c>
      <c r="AK246" s="11">
        <v>40.571428571428569</v>
      </c>
      <c r="AL246" s="11">
        <v>35.901098901098898</v>
      </c>
      <c r="AM246" s="11" t="s">
        <v>14</v>
      </c>
      <c r="AN246" s="11">
        <v>123.14285714285714</v>
      </c>
      <c r="AO246" s="11">
        <v>41.047619047619044</v>
      </c>
      <c r="AP246" s="13">
        <v>186</v>
      </c>
      <c r="AQ246" s="11">
        <v>-7.1978021978022042</v>
      </c>
      <c r="AS246" s="12">
        <v>94</v>
      </c>
      <c r="AT246" s="11">
        <v>55.703225806451606</v>
      </c>
      <c r="AU246" s="11">
        <v>26.834408602150535</v>
      </c>
      <c r="AV246" s="11">
        <v>41.86881720430106</v>
      </c>
      <c r="AW246" s="11"/>
      <c r="AX246" s="11">
        <v>124.4064516129032</v>
      </c>
      <c r="AY246" s="11">
        <v>41.468817204301068</v>
      </c>
      <c r="AZ246" s="13">
        <v>141</v>
      </c>
      <c r="BA246" s="11">
        <v>0.42119815668202421</v>
      </c>
    </row>
    <row r="247" spans="1:53" x14ac:dyDescent="0.25">
      <c r="A247" s="12">
        <v>244</v>
      </c>
      <c r="B247" s="12" t="s">
        <v>28</v>
      </c>
      <c r="C247" s="12">
        <v>59</v>
      </c>
      <c r="D247" s="12" t="s">
        <v>12</v>
      </c>
      <c r="E247" s="12">
        <v>127</v>
      </c>
      <c r="F247" s="11">
        <v>59.317322834645658</v>
      </c>
      <c r="G247" s="11">
        <v>44.880314960629924</v>
      </c>
      <c r="H247" s="11"/>
      <c r="I247" s="11"/>
      <c r="J247" s="11">
        <v>104.19763779527558</v>
      </c>
      <c r="K247" s="11">
        <v>52.098818897637791</v>
      </c>
      <c r="L247" s="13">
        <v>76</v>
      </c>
      <c r="M247" s="11">
        <v>3.761063795596975</v>
      </c>
      <c r="O247" s="12">
        <v>129</v>
      </c>
      <c r="P247" s="11">
        <v>59.68217054263566</v>
      </c>
      <c r="Q247" s="11">
        <v>43.945736434108525</v>
      </c>
      <c r="R247" s="11">
        <v>48.232558139534881</v>
      </c>
      <c r="S247" s="11"/>
      <c r="T247" s="11">
        <v>103.62790697674419</v>
      </c>
      <c r="U247" s="11">
        <v>51.813953488372093</v>
      </c>
      <c r="V247" s="13">
        <v>72</v>
      </c>
      <c r="W247" s="11">
        <v>-0.28486540926569859</v>
      </c>
      <c r="Y247" s="12">
        <v>155</v>
      </c>
      <c r="Z247" s="11">
        <v>52.630769230769232</v>
      </c>
      <c r="AA247" s="11">
        <v>47.7</v>
      </c>
      <c r="AB247" s="11">
        <v>42.3</v>
      </c>
      <c r="AC247" s="11"/>
      <c r="AD247" s="11">
        <v>142.63076923076923</v>
      </c>
      <c r="AE247" s="11">
        <v>47.543589743589742</v>
      </c>
      <c r="AF247" s="13">
        <v>155</v>
      </c>
      <c r="AG247" s="11">
        <v>-4.270363744782351</v>
      </c>
      <c r="AI247" s="12">
        <v>133</v>
      </c>
      <c r="AJ247" s="11">
        <v>50.29323308270677</v>
      </c>
      <c r="AK247" s="11">
        <v>41.263157894736842</v>
      </c>
      <c r="AL247" s="11">
        <v>45.353383458646618</v>
      </c>
      <c r="AM247" s="11">
        <v>58.208333333333336</v>
      </c>
      <c r="AN247" s="11">
        <v>136.90977443609023</v>
      </c>
      <c r="AO247" s="11">
        <v>45.636591478696744</v>
      </c>
      <c r="AP247" s="13">
        <v>123</v>
      </c>
      <c r="AQ247" s="11">
        <v>-1.906998264892998</v>
      </c>
      <c r="AS247" s="12">
        <v>157</v>
      </c>
      <c r="AT247" s="11">
        <v>59.158598726114661</v>
      </c>
      <c r="AU247" s="11">
        <v>31.964331210191073</v>
      </c>
      <c r="AV247" s="11">
        <v>45.559235668789817</v>
      </c>
      <c r="AW247" s="11">
        <v>59.42307692307692</v>
      </c>
      <c r="AX247" s="11">
        <v>136.68216560509555</v>
      </c>
      <c r="AY247" s="11">
        <v>45.560721868365185</v>
      </c>
      <c r="AZ247" s="13">
        <v>89</v>
      </c>
      <c r="BA247" s="11">
        <v>-7.586961033155859E-2</v>
      </c>
    </row>
    <row r="248" spans="1:53" x14ac:dyDescent="0.25">
      <c r="A248" s="12">
        <v>245</v>
      </c>
      <c r="B248" s="12" t="s">
        <v>28</v>
      </c>
      <c r="C248" s="12">
        <v>63</v>
      </c>
      <c r="D248" s="12" t="s">
        <v>12</v>
      </c>
      <c r="E248" s="12">
        <v>99</v>
      </c>
      <c r="F248" s="11">
        <v>51.162626262626254</v>
      </c>
      <c r="G248" s="11">
        <v>37.996969696969686</v>
      </c>
      <c r="H248" s="11"/>
      <c r="I248" s="11"/>
      <c r="J248" s="11">
        <v>89.159595959595947</v>
      </c>
      <c r="K248" s="11">
        <v>44.579797979797974</v>
      </c>
      <c r="L248" s="13">
        <v>183</v>
      </c>
      <c r="M248" s="11">
        <v>-3.5008838383838281</v>
      </c>
      <c r="O248" s="12">
        <v>87</v>
      </c>
      <c r="P248" s="11">
        <v>51.96551724137931</v>
      </c>
      <c r="Q248" s="11">
        <v>45.045977011494251</v>
      </c>
      <c r="R248" s="11">
        <v>39.321839080459768</v>
      </c>
      <c r="S248" s="11"/>
      <c r="T248" s="11">
        <v>97.011494252873561</v>
      </c>
      <c r="U248" s="11">
        <v>48.505747126436781</v>
      </c>
      <c r="V248" s="13">
        <v>120</v>
      </c>
      <c r="W248" s="11">
        <v>3.925949146638807</v>
      </c>
      <c r="Y248" s="12">
        <v>109</v>
      </c>
      <c r="Z248" s="11">
        <v>59.070422535211264</v>
      </c>
      <c r="AA248" s="11">
        <v>52.661971830985912</v>
      </c>
      <c r="AB248" s="11">
        <v>43.225352112676056</v>
      </c>
      <c r="AC248" s="11"/>
      <c r="AD248" s="11">
        <v>154.95774647887325</v>
      </c>
      <c r="AE248" s="11">
        <v>51.652582159624416</v>
      </c>
      <c r="AF248" s="13">
        <v>77</v>
      </c>
      <c r="AG248" s="11">
        <v>3.1468350331876351</v>
      </c>
      <c r="AI248" s="12">
        <v>109</v>
      </c>
      <c r="AJ248" s="11">
        <v>48.834862385321102</v>
      </c>
      <c r="AK248" s="11">
        <v>39.816513761467888</v>
      </c>
      <c r="AL248" s="11">
        <v>41.779816513761467</v>
      </c>
      <c r="AM248" s="11">
        <v>49.307692307692307</v>
      </c>
      <c r="AN248" s="11">
        <v>130.43119266055047</v>
      </c>
      <c r="AO248" s="11">
        <v>43.477064220183486</v>
      </c>
      <c r="AP248" s="13">
        <v>152</v>
      </c>
      <c r="AQ248" s="11">
        <v>-8.1755179394409296</v>
      </c>
      <c r="AS248" s="12">
        <v>108</v>
      </c>
      <c r="AT248" s="11">
        <v>56.615887850467281</v>
      </c>
      <c r="AU248" s="11">
        <v>28.531775700934588</v>
      </c>
      <c r="AV248" s="11">
        <v>43.733644859813104</v>
      </c>
      <c r="AW248" s="11">
        <v>61.379310344827587</v>
      </c>
      <c r="AX248" s="11">
        <v>128.88130841121497</v>
      </c>
      <c r="AY248" s="11">
        <v>42.96043613707166</v>
      </c>
      <c r="AZ248" s="13">
        <v>119</v>
      </c>
      <c r="BA248" s="11">
        <v>-0.51662808311182573</v>
      </c>
    </row>
    <row r="249" spans="1:53" x14ac:dyDescent="0.25">
      <c r="A249" s="12">
        <v>246</v>
      </c>
      <c r="B249" s="12" t="s">
        <v>28</v>
      </c>
      <c r="C249" s="12">
        <v>64</v>
      </c>
      <c r="D249" s="12" t="s">
        <v>12</v>
      </c>
      <c r="E249" s="12">
        <v>63</v>
      </c>
      <c r="F249" s="11">
        <v>50.620634920634942</v>
      </c>
      <c r="G249" s="11">
        <v>37.333333333333336</v>
      </c>
      <c r="H249" s="11"/>
      <c r="I249" s="11"/>
      <c r="J249" s="11">
        <v>87.95396825396827</v>
      </c>
      <c r="K249" s="11">
        <v>43.976984126984135</v>
      </c>
      <c r="L249" s="13">
        <v>194</v>
      </c>
      <c r="M249" s="11">
        <v>1.0338591269841473</v>
      </c>
      <c r="O249" s="12">
        <v>91</v>
      </c>
      <c r="P249" s="11">
        <v>43.626373626373628</v>
      </c>
      <c r="Q249" s="11">
        <v>36.043956043956044</v>
      </c>
      <c r="R249" s="11">
        <v>30.53846153846154</v>
      </c>
      <c r="S249" s="11"/>
      <c r="T249" s="11">
        <v>79.670329670329664</v>
      </c>
      <c r="U249" s="11">
        <v>39.835164835164832</v>
      </c>
      <c r="V249" s="13">
        <v>262</v>
      </c>
      <c r="W249" s="11">
        <v>-4.1418192918193029</v>
      </c>
      <c r="Y249" s="12">
        <v>102</v>
      </c>
      <c r="Z249" s="11">
        <v>50.136986301369866</v>
      </c>
      <c r="AA249" s="11">
        <v>47.630136986301373</v>
      </c>
      <c r="AB249" s="11">
        <v>37.561643835616437</v>
      </c>
      <c r="AC249" s="11"/>
      <c r="AD249" s="11">
        <v>135.32876712328766</v>
      </c>
      <c r="AE249" s="11">
        <v>45.109589041095887</v>
      </c>
      <c r="AF249" s="13">
        <v>204</v>
      </c>
      <c r="AG249" s="11">
        <v>5.2744242059310551</v>
      </c>
      <c r="AI249" s="12">
        <v>88</v>
      </c>
      <c r="AJ249" s="11">
        <v>42.670454545454547</v>
      </c>
      <c r="AK249" s="11">
        <v>33.5</v>
      </c>
      <c r="AL249" s="11">
        <v>33.988636363636367</v>
      </c>
      <c r="AM249" s="11" t="s">
        <v>14</v>
      </c>
      <c r="AN249" s="11">
        <v>110.15909090909091</v>
      </c>
      <c r="AO249" s="11">
        <v>36.719696969696969</v>
      </c>
      <c r="AP249" s="13">
        <v>246</v>
      </c>
      <c r="AQ249" s="11">
        <v>-8.3898920713989185</v>
      </c>
      <c r="AS249" s="12">
        <v>102</v>
      </c>
      <c r="AT249" s="11">
        <v>54.221568627450985</v>
      </c>
      <c r="AU249" s="11">
        <v>28.323529411764721</v>
      </c>
      <c r="AV249" s="11">
        <v>37.050980392156859</v>
      </c>
      <c r="AW249" s="11"/>
      <c r="AX249" s="11">
        <v>119.59607843137256</v>
      </c>
      <c r="AY249" s="11">
        <v>39.865359477124187</v>
      </c>
      <c r="AZ249" s="13">
        <v>166</v>
      </c>
      <c r="BA249" s="11">
        <v>3.1456625074272182</v>
      </c>
    </row>
    <row r="250" spans="1:53" x14ac:dyDescent="0.25">
      <c r="A250" s="12">
        <v>247</v>
      </c>
      <c r="B250" s="12" t="s">
        <v>28</v>
      </c>
      <c r="C250" s="12">
        <v>86</v>
      </c>
      <c r="D250" s="12" t="s">
        <v>12</v>
      </c>
      <c r="E250" s="12">
        <v>47</v>
      </c>
      <c r="F250" s="11">
        <v>61.538297872340422</v>
      </c>
      <c r="G250" s="11">
        <v>46.329787234042556</v>
      </c>
      <c r="H250" s="11"/>
      <c r="I250" s="11"/>
      <c r="J250" s="11">
        <v>107.86808510638298</v>
      </c>
      <c r="K250" s="11">
        <v>53.934042553191489</v>
      </c>
      <c r="L250" s="13">
        <v>52</v>
      </c>
      <c r="M250" s="11">
        <v>0.35279255319147751</v>
      </c>
      <c r="O250" s="12">
        <v>72</v>
      </c>
      <c r="P250" s="11">
        <v>57.305555555555557</v>
      </c>
      <c r="Q250" s="11">
        <v>48.958333333333336</v>
      </c>
      <c r="R250" s="11">
        <v>49.333333333333336</v>
      </c>
      <c r="S250" s="11"/>
      <c r="T250" s="11">
        <v>106.26388888888889</v>
      </c>
      <c r="U250" s="11">
        <v>53.131944444444443</v>
      </c>
      <c r="V250" s="13">
        <v>48</v>
      </c>
      <c r="W250" s="11">
        <v>-0.80209810874704601</v>
      </c>
      <c r="Y250" s="12">
        <v>114</v>
      </c>
      <c r="Z250" s="11">
        <v>59.097087378640779</v>
      </c>
      <c r="AA250" s="11">
        <v>54.805825242718448</v>
      </c>
      <c r="AB250" s="11">
        <v>46.805825242718448</v>
      </c>
      <c r="AC250" s="11"/>
      <c r="AD250" s="11">
        <v>160.70873786407768</v>
      </c>
      <c r="AE250" s="11">
        <v>53.569579288025892</v>
      </c>
      <c r="AF250" s="13">
        <v>51</v>
      </c>
      <c r="AG250" s="11">
        <v>0.43763484358144922</v>
      </c>
      <c r="AI250" s="12">
        <v>101</v>
      </c>
      <c r="AJ250" s="11">
        <v>59.495049504950494</v>
      </c>
      <c r="AK250" s="11">
        <v>50.138613861386141</v>
      </c>
      <c r="AL250" s="11">
        <v>57.079207920792079</v>
      </c>
      <c r="AM250" s="11">
        <v>53.30952380952381</v>
      </c>
      <c r="AN250" s="11">
        <v>166.71287128712871</v>
      </c>
      <c r="AO250" s="11">
        <v>55.570957095709566</v>
      </c>
      <c r="AP250" s="13">
        <v>29</v>
      </c>
      <c r="AQ250" s="11">
        <v>2.0013778076836743</v>
      </c>
      <c r="AS250" s="12">
        <v>118</v>
      </c>
      <c r="AT250" s="11">
        <v>60.405084745762721</v>
      </c>
      <c r="AU250" s="11">
        <v>31.894067796610162</v>
      </c>
      <c r="AV250" s="11">
        <v>47.284745762711857</v>
      </c>
      <c r="AW250" s="11">
        <v>56.46551724137931</v>
      </c>
      <c r="AX250" s="11">
        <v>139.58389830508474</v>
      </c>
      <c r="AY250" s="11">
        <v>46.527966101694915</v>
      </c>
      <c r="AZ250" s="13">
        <v>70</v>
      </c>
      <c r="BA250" s="11">
        <v>-9.0429909940146516</v>
      </c>
    </row>
    <row r="251" spans="1:53" x14ac:dyDescent="0.25">
      <c r="A251" s="12">
        <v>248</v>
      </c>
      <c r="B251" s="12" t="s">
        <v>28</v>
      </c>
      <c r="C251" s="12">
        <v>95</v>
      </c>
      <c r="D251" s="12" t="s">
        <v>12</v>
      </c>
      <c r="E251" s="12">
        <v>108</v>
      </c>
      <c r="F251" s="11">
        <v>62.857407407407401</v>
      </c>
      <c r="G251" s="11">
        <v>50.520370370370365</v>
      </c>
      <c r="H251" s="11"/>
      <c r="I251" s="11"/>
      <c r="J251" s="11">
        <v>113.37777777777777</v>
      </c>
      <c r="K251" s="11">
        <v>56.688888888888883</v>
      </c>
      <c r="L251" s="13">
        <v>30</v>
      </c>
      <c r="M251" s="11">
        <v>1.0065613026819875</v>
      </c>
      <c r="O251" s="12">
        <v>112</v>
      </c>
      <c r="P251" s="11">
        <v>63.724770642201833</v>
      </c>
      <c r="Q251" s="11">
        <v>53.761467889908253</v>
      </c>
      <c r="R251" s="11">
        <v>46.486238532110093</v>
      </c>
      <c r="S251" s="11"/>
      <c r="T251" s="11">
        <v>117.48623853211009</v>
      </c>
      <c r="U251" s="11">
        <v>58.743119266055047</v>
      </c>
      <c r="V251" s="13">
        <v>21</v>
      </c>
      <c r="W251" s="11">
        <v>2.0542303771661636</v>
      </c>
      <c r="Y251" s="12">
        <v>187</v>
      </c>
      <c r="Z251" s="11">
        <v>62.69178082191781</v>
      </c>
      <c r="AA251" s="11">
        <v>56.952054794520549</v>
      </c>
      <c r="AB251" s="11">
        <v>47.856164383561641</v>
      </c>
      <c r="AC251" s="11"/>
      <c r="AD251" s="11">
        <v>167.5</v>
      </c>
      <c r="AE251" s="11">
        <v>55.833333333333336</v>
      </c>
      <c r="AF251" s="13">
        <v>29</v>
      </c>
      <c r="AG251" s="11">
        <v>-2.9097859327217108</v>
      </c>
      <c r="AI251" s="12">
        <v>161</v>
      </c>
      <c r="AJ251" s="11">
        <v>59.79245283018868</v>
      </c>
      <c r="AK251" s="11">
        <v>55.345911949685537</v>
      </c>
      <c r="AL251" s="11">
        <v>53.459119496855344</v>
      </c>
      <c r="AM251" s="11" t="s">
        <v>14</v>
      </c>
      <c r="AN251" s="11">
        <v>168.59748427672957</v>
      </c>
      <c r="AO251" s="11">
        <v>56.199161425576527</v>
      </c>
      <c r="AP251" s="13">
        <v>21</v>
      </c>
      <c r="AQ251" s="11">
        <v>0.36582809224319135</v>
      </c>
      <c r="AS251" s="12">
        <v>160</v>
      </c>
      <c r="AT251" s="11">
        <v>62.686538461538454</v>
      </c>
      <c r="AU251" s="11">
        <v>33.098717948717955</v>
      </c>
      <c r="AV251" s="11">
        <v>48.471153846153854</v>
      </c>
      <c r="AW251" s="11"/>
      <c r="AX251" s="11">
        <v>144.25641025641028</v>
      </c>
      <c r="AY251" s="11">
        <v>48.085470085470092</v>
      </c>
      <c r="AZ251" s="13">
        <v>53</v>
      </c>
      <c r="BA251" s="11">
        <v>-8.1136913401064348</v>
      </c>
    </row>
    <row r="252" spans="1:53" x14ac:dyDescent="0.25">
      <c r="A252" s="12">
        <v>249</v>
      </c>
      <c r="B252" s="12" t="s">
        <v>28</v>
      </c>
      <c r="C252" s="12">
        <v>98</v>
      </c>
      <c r="D252" s="12" t="s">
        <v>12</v>
      </c>
      <c r="E252" s="12">
        <v>51</v>
      </c>
      <c r="F252" s="11">
        <v>55.290196078431379</v>
      </c>
      <c r="G252" s="11">
        <v>43.792156862745117</v>
      </c>
      <c r="H252" s="11"/>
      <c r="I252" s="11"/>
      <c r="J252" s="11">
        <v>99.082352941176495</v>
      </c>
      <c r="K252" s="11">
        <v>49.541176470588248</v>
      </c>
      <c r="L252" s="13">
        <v>113</v>
      </c>
      <c r="M252" s="11">
        <v>-5.5186061381074083</v>
      </c>
      <c r="O252" s="12">
        <v>47</v>
      </c>
      <c r="P252" s="11">
        <v>57.765957446808514</v>
      </c>
      <c r="Q252" s="11">
        <v>52.468085106382979</v>
      </c>
      <c r="R252" s="11">
        <v>43.978723404255319</v>
      </c>
      <c r="S252" s="11"/>
      <c r="T252" s="11">
        <v>110.2340425531915</v>
      </c>
      <c r="U252" s="11">
        <v>55.11702127659575</v>
      </c>
      <c r="V252" s="13">
        <v>31</v>
      </c>
      <c r="W252" s="11">
        <v>5.5758448060075025</v>
      </c>
      <c r="Y252" s="12">
        <v>58</v>
      </c>
      <c r="Z252" s="11">
        <v>62.512820512820511</v>
      </c>
      <c r="AA252" s="11">
        <v>59.92307692307692</v>
      </c>
      <c r="AB252" s="11">
        <v>47.46153846153846</v>
      </c>
      <c r="AC252" s="11"/>
      <c r="AD252" s="11">
        <v>169.89743589743588</v>
      </c>
      <c r="AE252" s="11">
        <v>56.63247863247863</v>
      </c>
      <c r="AF252" s="13">
        <v>23</v>
      </c>
      <c r="AG252" s="11">
        <v>1.5154573558828801</v>
      </c>
      <c r="AI252" s="12">
        <v>54</v>
      </c>
      <c r="AJ252" s="11">
        <v>57.444444444444443</v>
      </c>
      <c r="AK252" s="11">
        <v>46.148148148148145</v>
      </c>
      <c r="AL252" s="11">
        <v>46.407407407407405</v>
      </c>
      <c r="AM252" s="11" t="s">
        <v>14</v>
      </c>
      <c r="AN252" s="11">
        <v>150</v>
      </c>
      <c r="AO252" s="11">
        <v>50</v>
      </c>
      <c r="AP252" s="13">
        <v>66</v>
      </c>
      <c r="AQ252" s="11">
        <v>-6.6324786324786302</v>
      </c>
      <c r="AS252" s="12">
        <v>61</v>
      </c>
      <c r="AT252" s="11">
        <v>61.796721311475423</v>
      </c>
      <c r="AU252" s="11">
        <v>34.419672131147543</v>
      </c>
      <c r="AV252" s="11">
        <v>48.649180327868841</v>
      </c>
      <c r="AW252" s="11"/>
      <c r="AX252" s="11">
        <v>144.86557377049181</v>
      </c>
      <c r="AY252" s="11">
        <v>48.288524590163938</v>
      </c>
      <c r="AZ252" s="13">
        <v>49</v>
      </c>
      <c r="BA252" s="11">
        <v>-1.7114754098360621</v>
      </c>
    </row>
    <row r="253" spans="1:53" x14ac:dyDescent="0.25">
      <c r="A253" s="12">
        <v>250</v>
      </c>
      <c r="B253" s="12" t="s">
        <v>28</v>
      </c>
      <c r="C253" s="12" t="s">
        <v>55</v>
      </c>
      <c r="D253" s="12" t="s">
        <v>33</v>
      </c>
      <c r="E253" s="12"/>
      <c r="F253" s="11"/>
      <c r="G253" s="11"/>
      <c r="H253" s="11"/>
      <c r="I253" s="11"/>
      <c r="J253" s="11" t="s">
        <v>14</v>
      </c>
      <c r="K253" s="11" t="s">
        <v>14</v>
      </c>
      <c r="L253" s="13" t="s">
        <v>14</v>
      </c>
      <c r="M253" s="11" t="s">
        <v>14</v>
      </c>
      <c r="O253" s="12"/>
      <c r="P253" s="11"/>
      <c r="Q253" s="11"/>
      <c r="R253" s="11"/>
      <c r="S253" s="11"/>
      <c r="T253" s="11" t="s">
        <v>14</v>
      </c>
      <c r="U253" s="11" t="s">
        <v>14</v>
      </c>
      <c r="V253" s="13" t="s">
        <v>14</v>
      </c>
      <c r="W253" s="11" t="s">
        <v>14</v>
      </c>
      <c r="Y253" s="12"/>
      <c r="Z253" s="11"/>
      <c r="AA253" s="11"/>
      <c r="AB253" s="11"/>
      <c r="AC253" s="11"/>
      <c r="AD253" s="11" t="s">
        <v>14</v>
      </c>
      <c r="AE253" s="11" t="s">
        <v>14</v>
      </c>
      <c r="AF253" s="13" t="s">
        <v>14</v>
      </c>
      <c r="AG253" s="11" t="s">
        <v>14</v>
      </c>
      <c r="AI253" s="12">
        <v>11</v>
      </c>
      <c r="AJ253" s="11">
        <v>30.727272727272727</v>
      </c>
      <c r="AK253" s="11">
        <v>48.727272727272727</v>
      </c>
      <c r="AL253" s="11">
        <v>16.545454545454547</v>
      </c>
      <c r="AM253" s="11" t="s">
        <v>14</v>
      </c>
      <c r="AN253" s="11">
        <v>96</v>
      </c>
      <c r="AO253" s="11">
        <v>32</v>
      </c>
      <c r="AP253" s="13">
        <v>282</v>
      </c>
      <c r="AQ253" s="11" t="e">
        <v>#VALUE!</v>
      </c>
      <c r="AS253" s="12">
        <v>11</v>
      </c>
      <c r="AT253" s="11">
        <v>23.518181818181816</v>
      </c>
      <c r="AU253" s="11">
        <v>23.509090909090911</v>
      </c>
      <c r="AV253" s="11">
        <v>5.336363636363636</v>
      </c>
      <c r="AW253" s="11"/>
      <c r="AX253" s="11">
        <v>52.363636363636367</v>
      </c>
      <c r="AY253" s="11">
        <v>17.454545454545457</v>
      </c>
      <c r="AZ253" s="13">
        <v>313</v>
      </c>
      <c r="BA253" s="11">
        <v>-14.545454545454543</v>
      </c>
    </row>
    <row r="254" spans="1:53" x14ac:dyDescent="0.25">
      <c r="A254" s="12">
        <v>251</v>
      </c>
      <c r="B254" s="12" t="s">
        <v>28</v>
      </c>
      <c r="C254" s="12">
        <v>116</v>
      </c>
      <c r="D254" s="12" t="s">
        <v>12</v>
      </c>
      <c r="E254" s="12">
        <v>82</v>
      </c>
      <c r="F254" s="11">
        <v>64.198780487804896</v>
      </c>
      <c r="G254" s="11">
        <v>50.5292682926829</v>
      </c>
      <c r="H254" s="11"/>
      <c r="I254" s="11"/>
      <c r="J254" s="11">
        <v>114.7280487804878</v>
      </c>
      <c r="K254" s="11">
        <v>57.364024390243898</v>
      </c>
      <c r="L254" s="13">
        <v>25</v>
      </c>
      <c r="M254" s="11">
        <v>0.38870793454768204</v>
      </c>
      <c r="O254" s="12">
        <v>63</v>
      </c>
      <c r="P254" s="11">
        <v>56.222222222222221</v>
      </c>
      <c r="Q254" s="11">
        <v>48.460317460317462</v>
      </c>
      <c r="R254" s="11">
        <v>43.920634920634917</v>
      </c>
      <c r="S254" s="11"/>
      <c r="T254" s="11">
        <v>104.68253968253968</v>
      </c>
      <c r="U254" s="11">
        <v>52.341269841269842</v>
      </c>
      <c r="V254" s="13">
        <v>63</v>
      </c>
      <c r="W254" s="11">
        <v>-5.0227545489740564</v>
      </c>
      <c r="Y254" s="12">
        <v>105</v>
      </c>
      <c r="Z254" s="11">
        <v>58.012048192771083</v>
      </c>
      <c r="AA254" s="11">
        <v>57.253012048192772</v>
      </c>
      <c r="AB254" s="11">
        <v>43.987951807228917</v>
      </c>
      <c r="AC254" s="11"/>
      <c r="AD254" s="11">
        <v>159.25301204819277</v>
      </c>
      <c r="AE254" s="11">
        <v>53.084337349397593</v>
      </c>
      <c r="AF254" s="13">
        <v>59</v>
      </c>
      <c r="AG254" s="11">
        <v>0.74306750812775135</v>
      </c>
      <c r="AI254" s="12">
        <v>99</v>
      </c>
      <c r="AJ254" s="11">
        <v>57.214285714285715</v>
      </c>
      <c r="AK254" s="11">
        <v>48.163265306122447</v>
      </c>
      <c r="AL254" s="11">
        <v>51.693877551020407</v>
      </c>
      <c r="AM254" s="11" t="s">
        <v>14</v>
      </c>
      <c r="AN254" s="11">
        <v>157.07142857142856</v>
      </c>
      <c r="AO254" s="11">
        <v>52.357142857142854</v>
      </c>
      <c r="AP254" s="13">
        <v>44</v>
      </c>
      <c r="AQ254" s="11">
        <v>-0.72719449225473909</v>
      </c>
      <c r="AS254" s="12">
        <v>106</v>
      </c>
      <c r="AT254" s="11">
        <v>60.068269230769225</v>
      </c>
      <c r="AU254" s="11">
        <v>32.343269230769202</v>
      </c>
      <c r="AV254" s="11">
        <v>46.831730769230759</v>
      </c>
      <c r="AW254" s="11"/>
      <c r="AX254" s="11">
        <v>139.24326923076919</v>
      </c>
      <c r="AY254" s="11">
        <v>46.414423076923065</v>
      </c>
      <c r="AZ254" s="13">
        <v>73</v>
      </c>
      <c r="BA254" s="11">
        <v>-5.9427197802197895</v>
      </c>
    </row>
    <row r="255" spans="1:53" x14ac:dyDescent="0.25">
      <c r="A255" s="12">
        <v>252</v>
      </c>
      <c r="B255" s="12" t="s">
        <v>28</v>
      </c>
      <c r="C255" s="12">
        <v>138</v>
      </c>
      <c r="D255" s="12" t="s">
        <v>12</v>
      </c>
      <c r="E255" s="12">
        <v>77</v>
      </c>
      <c r="F255" s="11">
        <v>53.312987012987008</v>
      </c>
      <c r="G255" s="11">
        <v>40.494805194805188</v>
      </c>
      <c r="H255" s="11"/>
      <c r="I255" s="11"/>
      <c r="J255" s="11">
        <v>93.807792207792204</v>
      </c>
      <c r="K255" s="11">
        <v>46.903896103896102</v>
      </c>
      <c r="L255" s="13">
        <v>153</v>
      </c>
      <c r="M255" s="11">
        <v>-0.77451298701298299</v>
      </c>
      <c r="O255" s="12">
        <v>96</v>
      </c>
      <c r="P255" s="11">
        <v>50.75</v>
      </c>
      <c r="Q255" s="11">
        <v>42.65625</v>
      </c>
      <c r="R255" s="11">
        <v>43</v>
      </c>
      <c r="S255" s="11"/>
      <c r="T255" s="11">
        <v>93.40625</v>
      </c>
      <c r="U255" s="11">
        <v>46.703125</v>
      </c>
      <c r="V255" s="13">
        <v>148</v>
      </c>
      <c r="W255" s="11">
        <v>-0.20077110389610198</v>
      </c>
      <c r="Y255" s="12">
        <v>110</v>
      </c>
      <c r="Z255" s="11">
        <v>54.031578947368423</v>
      </c>
      <c r="AA255" s="11">
        <v>47.189473684210526</v>
      </c>
      <c r="AB255" s="11">
        <v>41.284210526315789</v>
      </c>
      <c r="AC255" s="11"/>
      <c r="AD255" s="11">
        <v>142.50526315789472</v>
      </c>
      <c r="AE255" s="11">
        <v>47.501754385964908</v>
      </c>
      <c r="AF255" s="13">
        <v>157</v>
      </c>
      <c r="AG255" s="11">
        <v>0.79862938596490807</v>
      </c>
      <c r="AI255" s="12">
        <v>107</v>
      </c>
      <c r="AJ255" s="11">
        <v>50.560747663551403</v>
      </c>
      <c r="AK255" s="11">
        <v>41.794392523364486</v>
      </c>
      <c r="AL255" s="11">
        <v>50.32710280373832</v>
      </c>
      <c r="AM255" s="11">
        <v>49.5</v>
      </c>
      <c r="AN255" s="11">
        <v>142.6822429906542</v>
      </c>
      <c r="AO255" s="11">
        <v>47.560747663551403</v>
      </c>
      <c r="AP255" s="13">
        <v>99</v>
      </c>
      <c r="AQ255" s="11">
        <v>5.8993277586495196E-2</v>
      </c>
      <c r="AS255" s="12">
        <v>112</v>
      </c>
      <c r="AT255" s="11">
        <v>57.489189189189169</v>
      </c>
      <c r="AU255" s="11">
        <v>29.791891891891908</v>
      </c>
      <c r="AV255" s="11">
        <v>47.185585585585578</v>
      </c>
      <c r="AW255" s="11">
        <v>53.96</v>
      </c>
      <c r="AX255" s="11">
        <v>134.46666666666667</v>
      </c>
      <c r="AY255" s="11">
        <v>44.822222222222223</v>
      </c>
      <c r="AZ255" s="13">
        <v>95</v>
      </c>
      <c r="BA255" s="11">
        <v>-2.7385254413291804</v>
      </c>
    </row>
    <row r="256" spans="1:53" x14ac:dyDescent="0.25">
      <c r="A256" s="12">
        <v>253</v>
      </c>
      <c r="B256" s="12" t="s">
        <v>28</v>
      </c>
      <c r="C256" s="12">
        <v>147</v>
      </c>
      <c r="D256" s="12" t="s">
        <v>20</v>
      </c>
      <c r="E256" s="12">
        <v>61</v>
      </c>
      <c r="F256" s="11">
        <v>70.159016393442613</v>
      </c>
      <c r="G256" s="11">
        <v>58.831147540983601</v>
      </c>
      <c r="H256" s="11"/>
      <c r="I256" s="11"/>
      <c r="J256" s="11">
        <v>128.99016393442622</v>
      </c>
      <c r="K256" s="11">
        <v>64.49508196721311</v>
      </c>
      <c r="L256" s="13">
        <v>8</v>
      </c>
      <c r="M256" s="11">
        <v>3.2395874617185925</v>
      </c>
      <c r="O256" s="12">
        <v>56</v>
      </c>
      <c r="P256" s="11">
        <v>70.927272727272722</v>
      </c>
      <c r="Q256" s="11">
        <v>67.854545454545459</v>
      </c>
      <c r="R256" s="11">
        <v>64.345454545454544</v>
      </c>
      <c r="S256" s="11"/>
      <c r="T256" s="11">
        <v>138.78181818181818</v>
      </c>
      <c r="U256" s="11">
        <v>69.390909090909091</v>
      </c>
      <c r="V256" s="13">
        <v>4</v>
      </c>
      <c r="W256" s="11">
        <v>4.8958271236959803</v>
      </c>
      <c r="Y256" s="12">
        <v>98</v>
      </c>
      <c r="Z256" s="11">
        <v>75.147540983606561</v>
      </c>
      <c r="AA256" s="11">
        <v>70.311475409836063</v>
      </c>
      <c r="AB256" s="11">
        <v>61.016393442622949</v>
      </c>
      <c r="AC256" s="11"/>
      <c r="AD256" s="11">
        <v>206.47540983606558</v>
      </c>
      <c r="AE256" s="11">
        <v>68.825136612021865</v>
      </c>
      <c r="AF256" s="13">
        <v>4</v>
      </c>
      <c r="AG256" s="11">
        <v>-0.56577247888722582</v>
      </c>
      <c r="AI256" s="12">
        <v>66</v>
      </c>
      <c r="AJ256" s="11">
        <v>70.121212121212125</v>
      </c>
      <c r="AK256" s="11">
        <v>64.303030303030297</v>
      </c>
      <c r="AL256" s="11">
        <v>65.560606060606062</v>
      </c>
      <c r="AM256" s="11"/>
      <c r="AN256" s="11">
        <v>199.9848484848485</v>
      </c>
      <c r="AO256" s="11">
        <v>66.661616161616166</v>
      </c>
      <c r="AP256" s="13">
        <v>5</v>
      </c>
      <c r="AQ256" s="11">
        <v>-2.1635204504056986</v>
      </c>
      <c r="AS256" s="12">
        <v>89</v>
      </c>
      <c r="AT256" s="11">
        <v>74.265168539325842</v>
      </c>
      <c r="AU256" s="11">
        <v>50.712359550561807</v>
      </c>
      <c r="AV256" s="11">
        <v>60.776404494382014</v>
      </c>
      <c r="AW256" s="11">
        <v>63.85</v>
      </c>
      <c r="AX256" s="11">
        <v>185.75393258426965</v>
      </c>
      <c r="AY256" s="11">
        <v>61.917977528089885</v>
      </c>
      <c r="AZ256" s="13">
        <v>5</v>
      </c>
      <c r="BA256" s="11">
        <v>-4.743638633526281</v>
      </c>
    </row>
    <row r="257" spans="1:53" x14ac:dyDescent="0.25">
      <c r="A257" s="12">
        <v>254</v>
      </c>
      <c r="B257" s="12" t="s">
        <v>28</v>
      </c>
      <c r="C257" s="12">
        <v>152</v>
      </c>
      <c r="D257" s="12" t="s">
        <v>12</v>
      </c>
      <c r="E257" s="12"/>
      <c r="F257" s="11"/>
      <c r="G257" s="11"/>
      <c r="H257" s="11"/>
      <c r="I257" s="11"/>
      <c r="J257" s="11" t="s">
        <v>14</v>
      </c>
      <c r="K257" s="11" t="s">
        <v>14</v>
      </c>
      <c r="L257" s="13" t="s">
        <v>14</v>
      </c>
      <c r="M257" s="11" t="s">
        <v>14</v>
      </c>
      <c r="O257" s="12"/>
      <c r="P257" s="11"/>
      <c r="Q257" s="11"/>
      <c r="R257" s="11"/>
      <c r="S257" s="11"/>
      <c r="T257" s="11" t="s">
        <v>14</v>
      </c>
      <c r="U257" s="11" t="s">
        <v>14</v>
      </c>
      <c r="V257" s="13" t="s">
        <v>14</v>
      </c>
      <c r="W257" s="11" t="s">
        <v>14</v>
      </c>
      <c r="Y257" s="12"/>
      <c r="Z257" s="11"/>
      <c r="AA257" s="11"/>
      <c r="AB257" s="11"/>
      <c r="AC257" s="11"/>
      <c r="AD257" s="11" t="s">
        <v>14</v>
      </c>
      <c r="AE257" s="11" t="s">
        <v>14</v>
      </c>
      <c r="AF257" s="13" t="s">
        <v>14</v>
      </c>
      <c r="AG257" s="11" t="s">
        <v>14</v>
      </c>
      <c r="AI257" s="12">
        <v>6</v>
      </c>
      <c r="AJ257" s="11">
        <v>54.5</v>
      </c>
      <c r="AK257" s="11">
        <v>51.333333333333336</v>
      </c>
      <c r="AL257" s="11">
        <v>61</v>
      </c>
      <c r="AM257" s="11">
        <v>48.333333333333336</v>
      </c>
      <c r="AN257" s="11">
        <v>166.83333333333334</v>
      </c>
      <c r="AO257" s="11">
        <v>55.611111111111114</v>
      </c>
      <c r="AP257" s="13">
        <v>28</v>
      </c>
      <c r="AQ257" s="11" t="e">
        <v>#VALUE!</v>
      </c>
      <c r="AS257" s="12">
        <v>12</v>
      </c>
      <c r="AT257" s="11">
        <v>57.183333333333337</v>
      </c>
      <c r="AU257" s="11">
        <v>28.333333333333332</v>
      </c>
      <c r="AV257" s="11">
        <v>51.466666666666661</v>
      </c>
      <c r="AW257" s="11">
        <v>41.916666666666664</v>
      </c>
      <c r="AX257" s="11">
        <v>136.98333333333332</v>
      </c>
      <c r="AY257" s="11">
        <v>45.661111111111104</v>
      </c>
      <c r="AZ257" s="13">
        <v>85</v>
      </c>
      <c r="BA257" s="11">
        <v>-9.9500000000000099</v>
      </c>
    </row>
    <row r="258" spans="1:53" x14ac:dyDescent="0.25">
      <c r="A258" s="12">
        <v>255</v>
      </c>
      <c r="B258" s="12" t="s">
        <v>28</v>
      </c>
      <c r="C258" s="12">
        <v>165</v>
      </c>
      <c r="D258" s="12" t="s">
        <v>12</v>
      </c>
      <c r="E258" s="12">
        <v>108</v>
      </c>
      <c r="F258" s="11">
        <v>49.391666666666659</v>
      </c>
      <c r="G258" s="11">
        <v>39.302777777777784</v>
      </c>
      <c r="H258" s="11"/>
      <c r="I258" s="11"/>
      <c r="J258" s="11">
        <v>88.694444444444443</v>
      </c>
      <c r="K258" s="11">
        <v>44.347222222222221</v>
      </c>
      <c r="L258" s="13">
        <v>187</v>
      </c>
      <c r="M258" s="11">
        <v>1.2868773946360221</v>
      </c>
      <c r="O258" s="12">
        <v>94</v>
      </c>
      <c r="P258" s="11">
        <v>43.872340425531917</v>
      </c>
      <c r="Q258" s="11">
        <v>38.212765957446805</v>
      </c>
      <c r="R258" s="11">
        <v>31.159574468085108</v>
      </c>
      <c r="S258" s="11"/>
      <c r="T258" s="11">
        <v>82.085106382978722</v>
      </c>
      <c r="U258" s="11">
        <v>41.042553191489361</v>
      </c>
      <c r="V258" s="13">
        <v>239</v>
      </c>
      <c r="W258" s="11">
        <v>-3.3046690307328603</v>
      </c>
      <c r="Y258" s="12">
        <v>138</v>
      </c>
      <c r="Z258" s="11">
        <v>52.707964601769909</v>
      </c>
      <c r="AA258" s="11">
        <v>47.973451327433629</v>
      </c>
      <c r="AB258" s="11">
        <v>36.203539823008846</v>
      </c>
      <c r="AC258" s="11"/>
      <c r="AD258" s="11">
        <v>136.88495575221239</v>
      </c>
      <c r="AE258" s="11">
        <v>45.628318584070797</v>
      </c>
      <c r="AF258" s="13">
        <v>193</v>
      </c>
      <c r="AG258" s="11">
        <v>4.5857653925814361</v>
      </c>
      <c r="AI258" s="12">
        <v>127</v>
      </c>
      <c r="AJ258" s="11">
        <v>47.590551181102363</v>
      </c>
      <c r="AK258" s="11">
        <v>42.173228346456696</v>
      </c>
      <c r="AL258" s="11">
        <v>37.322834645669289</v>
      </c>
      <c r="AM258" s="11">
        <v>49.357142857142854</v>
      </c>
      <c r="AN258" s="11">
        <v>127.08661417322834</v>
      </c>
      <c r="AO258" s="11">
        <v>42.362204724409445</v>
      </c>
      <c r="AP258" s="13">
        <v>166</v>
      </c>
      <c r="AQ258" s="11">
        <v>-3.2661138596613526</v>
      </c>
      <c r="AS258" s="12">
        <v>134</v>
      </c>
      <c r="AT258" s="11">
        <v>48.587786259542</v>
      </c>
      <c r="AU258" s="11">
        <v>23.826717557251918</v>
      </c>
      <c r="AV258" s="11">
        <v>32.842748091603028</v>
      </c>
      <c r="AW258" s="11">
        <v>45.888888888888886</v>
      </c>
      <c r="AX258" s="11">
        <v>105.25725190839694</v>
      </c>
      <c r="AY258" s="11">
        <v>35.08575063613231</v>
      </c>
      <c r="AZ258" s="13">
        <v>252</v>
      </c>
      <c r="BA258" s="11">
        <v>-7.2764540882771342</v>
      </c>
    </row>
    <row r="259" spans="1:53" x14ac:dyDescent="0.25">
      <c r="A259" s="12">
        <v>256</v>
      </c>
      <c r="B259" s="12" t="s">
        <v>28</v>
      </c>
      <c r="C259" s="12">
        <v>171</v>
      </c>
      <c r="D259" s="12" t="s">
        <v>12</v>
      </c>
      <c r="E259" s="12">
        <v>105</v>
      </c>
      <c r="F259" s="11">
        <v>59.095238095238109</v>
      </c>
      <c r="G259" s="11">
        <v>46.521904761904764</v>
      </c>
      <c r="H259" s="11"/>
      <c r="I259" s="11"/>
      <c r="J259" s="11">
        <v>105.61714285714288</v>
      </c>
      <c r="K259" s="11">
        <v>52.80857142857144</v>
      </c>
      <c r="L259" s="13">
        <v>67</v>
      </c>
      <c r="M259" s="11">
        <v>1.4789417989418112</v>
      </c>
      <c r="O259" s="12">
        <v>126</v>
      </c>
      <c r="P259" s="11">
        <v>55.666666666666664</v>
      </c>
      <c r="Q259" s="11">
        <v>49.428571428571431</v>
      </c>
      <c r="R259" s="11">
        <v>47.206349206349209</v>
      </c>
      <c r="S259" s="11"/>
      <c r="T259" s="11">
        <v>105.0952380952381</v>
      </c>
      <c r="U259" s="11">
        <v>52.547619047619051</v>
      </c>
      <c r="V259" s="13">
        <v>60</v>
      </c>
      <c r="W259" s="11">
        <v>-0.26095238095238926</v>
      </c>
      <c r="Y259" s="12">
        <v>127</v>
      </c>
      <c r="Z259" s="11">
        <v>58.28125</v>
      </c>
      <c r="AA259" s="11">
        <v>52.921875</v>
      </c>
      <c r="AB259" s="11">
        <v>47.3671875</v>
      </c>
      <c r="AC259" s="11"/>
      <c r="AD259" s="11">
        <v>158.5703125</v>
      </c>
      <c r="AE259" s="11">
        <v>52.856770833333336</v>
      </c>
      <c r="AF259" s="13">
        <v>61</v>
      </c>
      <c r="AG259" s="11">
        <v>0.3091517857142847</v>
      </c>
      <c r="AI259" s="12">
        <v>117</v>
      </c>
      <c r="AJ259" s="11">
        <v>55.564102564102562</v>
      </c>
      <c r="AK259" s="11">
        <v>48.273504273504273</v>
      </c>
      <c r="AL259" s="11">
        <v>53.282051282051285</v>
      </c>
      <c r="AM259" s="11">
        <v>47.857142857142854</v>
      </c>
      <c r="AN259" s="11">
        <v>157.11965811965814</v>
      </c>
      <c r="AO259" s="11">
        <v>52.373219373219378</v>
      </c>
      <c r="AP259" s="13">
        <v>43</v>
      </c>
      <c r="AQ259" s="11">
        <v>-0.48355146011395789</v>
      </c>
      <c r="AS259" s="12">
        <v>120</v>
      </c>
      <c r="AT259" s="11">
        <v>63.46134453781513</v>
      </c>
      <c r="AU259" s="11">
        <v>35.394117647058835</v>
      </c>
      <c r="AV259" s="11">
        <v>53.883193277310937</v>
      </c>
      <c r="AW259" s="11">
        <v>56.085106382978722</v>
      </c>
      <c r="AX259" s="11">
        <v>152.73865546218491</v>
      </c>
      <c r="AY259" s="11">
        <v>50.912885154061634</v>
      </c>
      <c r="AZ259" s="13">
        <v>28</v>
      </c>
      <c r="BA259" s="11">
        <v>-1.460334219157744</v>
      </c>
    </row>
    <row r="260" spans="1:53" x14ac:dyDescent="0.25">
      <c r="A260" s="12">
        <v>257</v>
      </c>
      <c r="B260" s="12" t="s">
        <v>28</v>
      </c>
      <c r="C260" s="12">
        <v>191</v>
      </c>
      <c r="D260" s="12" t="s">
        <v>12</v>
      </c>
      <c r="E260" s="12">
        <v>105</v>
      </c>
      <c r="F260" s="11">
        <v>55.72571428571429</v>
      </c>
      <c r="G260" s="11">
        <v>41.927619047619046</v>
      </c>
      <c r="H260" s="11"/>
      <c r="I260" s="11"/>
      <c r="J260" s="11">
        <v>97.653333333333336</v>
      </c>
      <c r="K260" s="11">
        <v>48.826666666666668</v>
      </c>
      <c r="L260" s="13">
        <v>125</v>
      </c>
      <c r="M260" s="11">
        <v>-5.4995833333333337</v>
      </c>
      <c r="O260" s="12">
        <v>109</v>
      </c>
      <c r="P260" s="11">
        <v>57.348623853211009</v>
      </c>
      <c r="Q260" s="11">
        <v>50.247706422018346</v>
      </c>
      <c r="R260" s="11">
        <v>46.669724770642205</v>
      </c>
      <c r="S260" s="11"/>
      <c r="T260" s="11">
        <v>107.59633027522935</v>
      </c>
      <c r="U260" s="11">
        <v>53.798165137614674</v>
      </c>
      <c r="V260" s="13">
        <v>43</v>
      </c>
      <c r="W260" s="11">
        <v>4.9714984709480063</v>
      </c>
      <c r="Y260" s="12">
        <v>131</v>
      </c>
      <c r="Z260" s="11">
        <v>62.795081967213115</v>
      </c>
      <c r="AA260" s="11">
        <v>55.098360655737707</v>
      </c>
      <c r="AB260" s="11">
        <v>47.016393442622949</v>
      </c>
      <c r="AC260" s="11"/>
      <c r="AD260" s="11">
        <v>164.90983606557378</v>
      </c>
      <c r="AE260" s="11">
        <v>54.969945355191264</v>
      </c>
      <c r="AF260" s="13">
        <v>38</v>
      </c>
      <c r="AG260" s="11">
        <v>1.1717802175765897</v>
      </c>
      <c r="AI260" s="12">
        <v>125</v>
      </c>
      <c r="AJ260" s="11">
        <v>51.776000000000003</v>
      </c>
      <c r="AK260" s="11">
        <v>45.728000000000002</v>
      </c>
      <c r="AL260" s="11">
        <v>48.808</v>
      </c>
      <c r="AM260" s="11">
        <v>50.0625</v>
      </c>
      <c r="AN260" s="11">
        <v>146.31200000000001</v>
      </c>
      <c r="AO260" s="11">
        <v>48.770666666666671</v>
      </c>
      <c r="AP260" s="13">
        <v>78</v>
      </c>
      <c r="AQ260" s="11">
        <v>-6.1992786885245934</v>
      </c>
      <c r="AS260" s="12">
        <v>133</v>
      </c>
      <c r="AT260" s="11">
        <v>64.857894736842098</v>
      </c>
      <c r="AU260" s="11">
        <v>40.851879699248123</v>
      </c>
      <c r="AV260" s="11">
        <v>51.127067669172945</v>
      </c>
      <c r="AW260" s="11">
        <v>63.611111111111114</v>
      </c>
      <c r="AX260" s="11">
        <v>156.83684210526314</v>
      </c>
      <c r="AY260" s="11">
        <v>52.278947368421051</v>
      </c>
      <c r="AZ260" s="13">
        <v>20</v>
      </c>
      <c r="BA260" s="11">
        <v>3.50828070175438</v>
      </c>
    </row>
    <row r="261" spans="1:53" x14ac:dyDescent="0.25">
      <c r="A261" s="12">
        <v>258</v>
      </c>
      <c r="B261" s="12" t="s">
        <v>28</v>
      </c>
      <c r="C261" s="12">
        <v>194</v>
      </c>
      <c r="D261" s="12" t="s">
        <v>12</v>
      </c>
      <c r="E261" s="12">
        <v>90</v>
      </c>
      <c r="F261" s="11">
        <v>53.222222222222221</v>
      </c>
      <c r="G261" s="11">
        <v>39.94777777777778</v>
      </c>
      <c r="H261" s="11"/>
      <c r="I261" s="11"/>
      <c r="J261" s="11">
        <v>93.17</v>
      </c>
      <c r="K261" s="11">
        <v>46.585000000000001</v>
      </c>
      <c r="L261" s="13">
        <v>156</v>
      </c>
      <c r="M261" s="11">
        <v>0.98115384615384471</v>
      </c>
      <c r="O261" s="12">
        <v>98</v>
      </c>
      <c r="P261" s="11">
        <v>45.285714285714285</v>
      </c>
      <c r="Q261" s="11">
        <v>36.591836734693878</v>
      </c>
      <c r="R261" s="11">
        <v>32.173469387755105</v>
      </c>
      <c r="S261" s="11"/>
      <c r="T261" s="11">
        <v>81.877551020408163</v>
      </c>
      <c r="U261" s="11">
        <v>40.938775510204081</v>
      </c>
      <c r="V261" s="13">
        <v>242</v>
      </c>
      <c r="W261" s="11">
        <v>-5.6462244897959195</v>
      </c>
      <c r="Y261" s="12">
        <v>113</v>
      </c>
      <c r="Z261" s="11">
        <v>55.811881188118811</v>
      </c>
      <c r="AA261" s="11">
        <v>47.67326732673267</v>
      </c>
      <c r="AB261" s="11">
        <v>35.336633663366335</v>
      </c>
      <c r="AC261" s="11"/>
      <c r="AD261" s="11">
        <v>138.82178217821783</v>
      </c>
      <c r="AE261" s="11">
        <v>46.273927392739274</v>
      </c>
      <c r="AF261" s="13">
        <v>179</v>
      </c>
      <c r="AG261" s="11">
        <v>5.3351518825351931</v>
      </c>
      <c r="AI261" s="12">
        <v>98</v>
      </c>
      <c r="AJ261" s="11">
        <v>48.306122448979593</v>
      </c>
      <c r="AK261" s="11">
        <v>43.95918367346939</v>
      </c>
      <c r="AL261" s="11">
        <v>42.132653061224488</v>
      </c>
      <c r="AM261" s="11" t="s">
        <v>14</v>
      </c>
      <c r="AN261" s="11">
        <v>134.39795918367346</v>
      </c>
      <c r="AO261" s="11">
        <v>44.799319727891152</v>
      </c>
      <c r="AP261" s="13">
        <v>136</v>
      </c>
      <c r="AQ261" s="11">
        <v>-1.4746076648481221</v>
      </c>
      <c r="AS261" s="12">
        <v>120</v>
      </c>
      <c r="AT261" s="11">
        <v>56.936974789915958</v>
      </c>
      <c r="AU261" s="11">
        <v>28.115966386554629</v>
      </c>
      <c r="AV261" s="11">
        <v>38.628571428571433</v>
      </c>
      <c r="AW261" s="11"/>
      <c r="AX261" s="11">
        <v>123.68151260504202</v>
      </c>
      <c r="AY261" s="11">
        <v>41.227170868347336</v>
      </c>
      <c r="AZ261" s="13">
        <v>143</v>
      </c>
      <c r="BA261" s="11">
        <v>-3.572148859543816</v>
      </c>
    </row>
    <row r="262" spans="1:53" x14ac:dyDescent="0.25">
      <c r="A262" s="12">
        <v>259</v>
      </c>
      <c r="B262" s="12" t="s">
        <v>28</v>
      </c>
      <c r="C262" s="12">
        <v>204</v>
      </c>
      <c r="D262" s="12" t="s">
        <v>12</v>
      </c>
      <c r="E262" s="12">
        <v>103</v>
      </c>
      <c r="F262" s="11">
        <v>59.376699029126215</v>
      </c>
      <c r="G262" s="11">
        <v>48.06699029126213</v>
      </c>
      <c r="H262" s="11"/>
      <c r="I262" s="11"/>
      <c r="J262" s="11">
        <v>107.44368932038834</v>
      </c>
      <c r="K262" s="11">
        <v>53.721844660194172</v>
      </c>
      <c r="L262" s="13">
        <v>54</v>
      </c>
      <c r="M262" s="11">
        <v>-3.1655290771795492</v>
      </c>
      <c r="O262" s="12">
        <v>104</v>
      </c>
      <c r="P262" s="11">
        <v>57.66346153846154</v>
      </c>
      <c r="Q262" s="11">
        <v>50.778846153846153</v>
      </c>
      <c r="R262" s="11">
        <v>44.740384615384613</v>
      </c>
      <c r="S262" s="11"/>
      <c r="T262" s="11">
        <v>108.44230769230769</v>
      </c>
      <c r="U262" s="11">
        <v>54.221153846153847</v>
      </c>
      <c r="V262" s="13">
        <v>38</v>
      </c>
      <c r="W262" s="11">
        <v>0.49930918595967455</v>
      </c>
      <c r="Y262" s="12">
        <v>119</v>
      </c>
      <c r="Z262" s="11">
        <v>60.76</v>
      </c>
      <c r="AA262" s="11">
        <v>60.69</v>
      </c>
      <c r="AB262" s="11">
        <v>46.59</v>
      </c>
      <c r="AC262" s="11"/>
      <c r="AD262" s="11">
        <v>168.04</v>
      </c>
      <c r="AE262" s="11">
        <v>56.013333333333328</v>
      </c>
      <c r="AF262" s="13">
        <v>28</v>
      </c>
      <c r="AG262" s="11">
        <v>1.7921794871794816</v>
      </c>
      <c r="AI262" s="12">
        <v>111</v>
      </c>
      <c r="AJ262" s="11">
        <v>57.657657657657658</v>
      </c>
      <c r="AK262" s="11">
        <v>51.963963963963963</v>
      </c>
      <c r="AL262" s="11">
        <v>49.81981981981982</v>
      </c>
      <c r="AM262" s="11" t="s">
        <v>14</v>
      </c>
      <c r="AN262" s="11">
        <v>159.44144144144144</v>
      </c>
      <c r="AO262" s="11">
        <v>53.147147147147145</v>
      </c>
      <c r="AP262" s="13">
        <v>40</v>
      </c>
      <c r="AQ262" s="11">
        <v>-2.8661861861861837</v>
      </c>
      <c r="AS262" s="12">
        <v>115</v>
      </c>
      <c r="AT262" s="11">
        <v>64.34210526315789</v>
      </c>
      <c r="AU262" s="11">
        <v>36.777192982456135</v>
      </c>
      <c r="AV262" s="11">
        <v>45.742982456140346</v>
      </c>
      <c r="AW262" s="11"/>
      <c r="AX262" s="11">
        <v>146.86228070175437</v>
      </c>
      <c r="AY262" s="11">
        <v>48.954093567251455</v>
      </c>
      <c r="AZ262" s="13">
        <v>42</v>
      </c>
      <c r="BA262" s="11">
        <v>-4.1930535798956896</v>
      </c>
    </row>
    <row r="263" spans="1:53" x14ac:dyDescent="0.25">
      <c r="A263" s="12">
        <v>260</v>
      </c>
      <c r="B263" s="12" t="s">
        <v>28</v>
      </c>
      <c r="C263" s="12">
        <v>221</v>
      </c>
      <c r="D263" s="12" t="s">
        <v>12</v>
      </c>
      <c r="E263" s="12">
        <v>130</v>
      </c>
      <c r="F263" s="11">
        <v>51.560769230769218</v>
      </c>
      <c r="G263" s="11">
        <v>40.355384615384615</v>
      </c>
      <c r="H263" s="11"/>
      <c r="I263" s="11"/>
      <c r="J263" s="11">
        <v>91.916153846153833</v>
      </c>
      <c r="K263" s="11">
        <v>45.958076923076916</v>
      </c>
      <c r="L263" s="13">
        <v>160</v>
      </c>
      <c r="M263" s="11">
        <v>-6.2594055944055995</v>
      </c>
      <c r="O263" s="12">
        <v>115</v>
      </c>
      <c r="P263" s="11">
        <v>50.391304347826086</v>
      </c>
      <c r="Q263" s="11">
        <v>39.878260869565217</v>
      </c>
      <c r="R263" s="11">
        <v>32.817391304347829</v>
      </c>
      <c r="S263" s="11"/>
      <c r="T263" s="11">
        <v>90.269565217391303</v>
      </c>
      <c r="U263" s="11">
        <v>45.134782608695652</v>
      </c>
      <c r="V263" s="13">
        <v>178</v>
      </c>
      <c r="W263" s="11">
        <v>-0.82329431438126477</v>
      </c>
      <c r="Y263" s="12">
        <v>162</v>
      </c>
      <c r="Z263" s="11">
        <v>54.621794871794869</v>
      </c>
      <c r="AA263" s="11">
        <v>47.871794871794869</v>
      </c>
      <c r="AB263" s="11">
        <v>38.07692307692308</v>
      </c>
      <c r="AC263" s="11"/>
      <c r="AD263" s="11">
        <v>140.57051282051282</v>
      </c>
      <c r="AE263" s="11">
        <v>46.856837606837608</v>
      </c>
      <c r="AF263" s="13">
        <v>170</v>
      </c>
      <c r="AG263" s="11">
        <v>1.7220549981419566</v>
      </c>
      <c r="AI263" s="12">
        <v>158</v>
      </c>
      <c r="AJ263" s="11">
        <v>49.12658227848101</v>
      </c>
      <c r="AK263" s="11">
        <v>39.164556962025316</v>
      </c>
      <c r="AL263" s="11">
        <v>36.911392405063289</v>
      </c>
      <c r="AM263" s="11">
        <v>27</v>
      </c>
      <c r="AN263" s="11">
        <v>125.20253164556962</v>
      </c>
      <c r="AO263" s="11">
        <v>41.734177215189874</v>
      </c>
      <c r="AP263" s="13">
        <v>178</v>
      </c>
      <c r="AQ263" s="11">
        <v>-5.1226603916477345</v>
      </c>
      <c r="AS263" s="12">
        <v>158</v>
      </c>
      <c r="AT263" s="11">
        <v>53.285350318471345</v>
      </c>
      <c r="AU263" s="11">
        <v>27.24840764331212</v>
      </c>
      <c r="AV263" s="11">
        <v>33.754140127388524</v>
      </c>
      <c r="AW263" s="11">
        <v>49.65</v>
      </c>
      <c r="AX263" s="11">
        <v>114.28789808917199</v>
      </c>
      <c r="AY263" s="11">
        <v>38.095966029723996</v>
      </c>
      <c r="AZ263" s="13">
        <v>208</v>
      </c>
      <c r="BA263" s="11">
        <v>-3.6382111854658774</v>
      </c>
    </row>
    <row r="264" spans="1:53" x14ac:dyDescent="0.25">
      <c r="A264" s="12">
        <v>261</v>
      </c>
      <c r="B264" s="12" t="s">
        <v>28</v>
      </c>
      <c r="C264" s="12">
        <v>245</v>
      </c>
      <c r="D264" s="12" t="s">
        <v>12</v>
      </c>
      <c r="E264" s="12">
        <v>159</v>
      </c>
      <c r="F264" s="11">
        <v>66.102515723270457</v>
      </c>
      <c r="G264" s="11">
        <v>53.599371069182375</v>
      </c>
      <c r="H264" s="11"/>
      <c r="I264" s="11"/>
      <c r="J264" s="11">
        <v>119.70188679245283</v>
      </c>
      <c r="K264" s="11">
        <v>59.850943396226413</v>
      </c>
      <c r="L264" s="13">
        <v>14</v>
      </c>
      <c r="M264" s="11">
        <v>0.39741398446172127</v>
      </c>
      <c r="O264" s="12">
        <v>174</v>
      </c>
      <c r="P264" s="11">
        <v>62.261627906976742</v>
      </c>
      <c r="Q264" s="11">
        <v>55.593023255813954</v>
      </c>
      <c r="R264" s="11">
        <v>49.941860465116278</v>
      </c>
      <c r="S264" s="11"/>
      <c r="T264" s="11">
        <v>117.8546511627907</v>
      </c>
      <c r="U264" s="11">
        <v>58.927325581395351</v>
      </c>
      <c r="V264" s="13">
        <v>19</v>
      </c>
      <c r="W264" s="11">
        <v>-0.92361781483106142</v>
      </c>
      <c r="Y264" s="12">
        <v>220</v>
      </c>
      <c r="Z264" s="11">
        <v>62.75661375661376</v>
      </c>
      <c r="AA264" s="11">
        <v>58.476190476190474</v>
      </c>
      <c r="AB264" s="11">
        <v>48.296296296296298</v>
      </c>
      <c r="AC264" s="11"/>
      <c r="AD264" s="11">
        <v>169.52910052910053</v>
      </c>
      <c r="AE264" s="11">
        <v>56.509700176366842</v>
      </c>
      <c r="AF264" s="13">
        <v>24</v>
      </c>
      <c r="AG264" s="11">
        <v>-2.4176254050285095</v>
      </c>
      <c r="AI264" s="12">
        <v>198</v>
      </c>
      <c r="AJ264" s="11">
        <v>61.63451776649746</v>
      </c>
      <c r="AK264" s="11">
        <v>54.984771573604064</v>
      </c>
      <c r="AL264" s="11">
        <v>58.949238578680202</v>
      </c>
      <c r="AM264" s="11">
        <v>47.967213114754095</v>
      </c>
      <c r="AN264" s="11">
        <v>175.56852791878171</v>
      </c>
      <c r="AO264" s="11">
        <v>58.522842639593904</v>
      </c>
      <c r="AP264" s="13">
        <v>13</v>
      </c>
      <c r="AQ264" s="11">
        <v>2.0131424632270623</v>
      </c>
      <c r="AS264" s="12">
        <v>215</v>
      </c>
      <c r="AT264" s="11">
        <v>66.382629107981273</v>
      </c>
      <c r="AU264" s="11">
        <v>39.951173708920187</v>
      </c>
      <c r="AV264" s="11">
        <v>57.195305164319279</v>
      </c>
      <c r="AW264" s="11">
        <v>58.432098765432102</v>
      </c>
      <c r="AX264" s="11">
        <v>163.52910798122073</v>
      </c>
      <c r="AY264" s="11">
        <v>54.509702660406909</v>
      </c>
      <c r="AZ264" s="13">
        <v>12</v>
      </c>
      <c r="BA264" s="11">
        <v>-4.0131399791869953</v>
      </c>
    </row>
    <row r="265" spans="1:53" x14ac:dyDescent="0.25">
      <c r="A265" s="12">
        <v>262</v>
      </c>
      <c r="B265" s="12" t="s">
        <v>28</v>
      </c>
      <c r="C265" s="12">
        <v>249</v>
      </c>
      <c r="D265" s="12" t="s">
        <v>12</v>
      </c>
      <c r="E265" s="12">
        <v>165</v>
      </c>
      <c r="F265" s="11">
        <v>60.372121212121222</v>
      </c>
      <c r="G265" s="11">
        <v>42.771515151515139</v>
      </c>
      <c r="H265" s="11"/>
      <c r="I265" s="11"/>
      <c r="J265" s="11">
        <v>103.14363636363636</v>
      </c>
      <c r="K265" s="11">
        <v>51.57181818181818</v>
      </c>
      <c r="L265" s="13">
        <v>84</v>
      </c>
      <c r="M265" s="11">
        <v>-0.85465240641710949</v>
      </c>
      <c r="O265" s="12">
        <v>130</v>
      </c>
      <c r="P265" s="11">
        <v>54.4</v>
      </c>
      <c r="Q265" s="11">
        <v>43.123076923076923</v>
      </c>
      <c r="R265" s="11">
        <v>43.161538461538463</v>
      </c>
      <c r="S265" s="11"/>
      <c r="T265" s="11">
        <v>97.523076923076928</v>
      </c>
      <c r="U265" s="11">
        <v>48.761538461538464</v>
      </c>
      <c r="V265" s="13">
        <v>116</v>
      </c>
      <c r="W265" s="11">
        <v>-2.8102797202797163</v>
      </c>
      <c r="Y265" s="12">
        <v>148</v>
      </c>
      <c r="Z265" s="11">
        <v>60.21678321678322</v>
      </c>
      <c r="AA265" s="11">
        <v>49.468531468531467</v>
      </c>
      <c r="AB265" s="11">
        <v>43.95804195804196</v>
      </c>
      <c r="AC265" s="11"/>
      <c r="AD265" s="11">
        <v>153.64335664335664</v>
      </c>
      <c r="AE265" s="11">
        <v>51.214452214452216</v>
      </c>
      <c r="AF265" s="13">
        <v>88</v>
      </c>
      <c r="AG265" s="11">
        <v>2.4529137529137515</v>
      </c>
      <c r="AI265" s="12">
        <v>159</v>
      </c>
      <c r="AJ265" s="11">
        <v>56.20754716981132</v>
      </c>
      <c r="AK265" s="11">
        <v>41.232704402515722</v>
      </c>
      <c r="AL265" s="11">
        <v>47.635220125786162</v>
      </c>
      <c r="AM265" s="11">
        <v>51.366666666666667</v>
      </c>
      <c r="AN265" s="11">
        <v>145.0754716981132</v>
      </c>
      <c r="AO265" s="11">
        <v>48.358490566037737</v>
      </c>
      <c r="AP265" s="13">
        <v>84</v>
      </c>
      <c r="AQ265" s="11">
        <v>-2.8559616484144783</v>
      </c>
      <c r="AS265" s="12">
        <v>134</v>
      </c>
      <c r="AT265" s="11">
        <v>55.13134328358209</v>
      </c>
      <c r="AU265" s="11">
        <v>29.696268656716434</v>
      </c>
      <c r="AV265" s="11">
        <v>43.259701492537317</v>
      </c>
      <c r="AW265" s="11">
        <v>50.5</v>
      </c>
      <c r="AX265" s="11">
        <v>128.08731343283586</v>
      </c>
      <c r="AY265" s="11">
        <v>42.695771144278616</v>
      </c>
      <c r="AZ265" s="13">
        <v>125</v>
      </c>
      <c r="BA265" s="11">
        <v>-5.662719421759121</v>
      </c>
    </row>
    <row r="266" spans="1:53" x14ac:dyDescent="0.25">
      <c r="A266" s="12">
        <v>263</v>
      </c>
      <c r="B266" s="12" t="s">
        <v>28</v>
      </c>
      <c r="C266" s="12">
        <v>254</v>
      </c>
      <c r="D266" s="12" t="s">
        <v>12</v>
      </c>
      <c r="E266" s="12">
        <v>80</v>
      </c>
      <c r="F266" s="11">
        <v>59.797499999999999</v>
      </c>
      <c r="G266" s="11">
        <v>45.978750000000005</v>
      </c>
      <c r="H266" s="11"/>
      <c r="I266" s="11"/>
      <c r="J266" s="11">
        <v>105.77625</v>
      </c>
      <c r="K266" s="11">
        <v>52.888125000000002</v>
      </c>
      <c r="L266" s="13">
        <v>64</v>
      </c>
      <c r="M266" s="11">
        <v>3.5711895161290315</v>
      </c>
      <c r="O266" s="12">
        <v>57</v>
      </c>
      <c r="P266" s="11">
        <v>57.754385964912281</v>
      </c>
      <c r="Q266" s="11">
        <v>46.228070175438596</v>
      </c>
      <c r="R266" s="11">
        <v>41.298245614035089</v>
      </c>
      <c r="S266" s="11"/>
      <c r="T266" s="11">
        <v>103.98245614035088</v>
      </c>
      <c r="U266" s="11">
        <v>51.991228070175438</v>
      </c>
      <c r="V266" s="13">
        <v>70</v>
      </c>
      <c r="W266" s="11">
        <v>-0.89689692982456393</v>
      </c>
      <c r="Y266" s="12">
        <v>81</v>
      </c>
      <c r="Z266" s="11">
        <v>58.305882352941175</v>
      </c>
      <c r="AA266" s="11">
        <v>52.611764705882351</v>
      </c>
      <c r="AB266" s="11">
        <v>43.741176470588236</v>
      </c>
      <c r="AC266" s="11"/>
      <c r="AD266" s="11">
        <v>154.65882352941176</v>
      </c>
      <c r="AE266" s="11">
        <v>51.55294117647059</v>
      </c>
      <c r="AF266" s="13">
        <v>78</v>
      </c>
      <c r="AG266" s="11">
        <v>-0.43828689370484852</v>
      </c>
      <c r="AI266" s="12">
        <v>100</v>
      </c>
      <c r="AJ266" s="11">
        <v>51.696969696969695</v>
      </c>
      <c r="AK266" s="11">
        <v>43.878787878787875</v>
      </c>
      <c r="AL266" s="11">
        <v>48.666666666666664</v>
      </c>
      <c r="AM266" s="11" t="s">
        <v>14</v>
      </c>
      <c r="AN266" s="11">
        <v>144.24242424242422</v>
      </c>
      <c r="AO266" s="11">
        <v>48.080808080808076</v>
      </c>
      <c r="AP266" s="13">
        <v>89</v>
      </c>
      <c r="AQ266" s="11">
        <v>-3.4721330956625138</v>
      </c>
      <c r="AS266" s="12">
        <v>81</v>
      </c>
      <c r="AT266" s="11">
        <v>60.023456790123454</v>
      </c>
      <c r="AU266" s="11">
        <v>32.050617283950629</v>
      </c>
      <c r="AV266" s="11">
        <v>47.751851851851846</v>
      </c>
      <c r="AW266" s="11"/>
      <c r="AX266" s="11">
        <v>139.82592592592593</v>
      </c>
      <c r="AY266" s="11">
        <v>46.608641975308643</v>
      </c>
      <c r="AZ266" s="13">
        <v>67</v>
      </c>
      <c r="BA266" s="11">
        <v>-1.4721661054994328</v>
      </c>
    </row>
    <row r="267" spans="1:53" x14ac:dyDescent="0.25">
      <c r="A267" s="12">
        <v>264</v>
      </c>
      <c r="B267" s="12" t="s">
        <v>28</v>
      </c>
      <c r="C267" s="12">
        <v>257</v>
      </c>
      <c r="D267" s="12" t="s">
        <v>12</v>
      </c>
      <c r="E267" s="12">
        <v>133</v>
      </c>
      <c r="F267" s="11">
        <v>57.147368421052626</v>
      </c>
      <c r="G267" s="11">
        <v>43.454135338345864</v>
      </c>
      <c r="H267" s="11"/>
      <c r="I267" s="11"/>
      <c r="J267" s="11">
        <v>100.6015037593985</v>
      </c>
      <c r="K267" s="11">
        <v>50.300751879699249</v>
      </c>
      <c r="L267" s="13">
        <v>103</v>
      </c>
      <c r="M267" s="11">
        <v>4.8950817766064461</v>
      </c>
      <c r="O267" s="12">
        <v>156</v>
      </c>
      <c r="P267" s="11">
        <v>52.32692307692308</v>
      </c>
      <c r="Q267" s="11">
        <v>44.570512820512818</v>
      </c>
      <c r="R267" s="11">
        <v>40.057692307692307</v>
      </c>
      <c r="S267" s="11"/>
      <c r="T267" s="11">
        <v>96.897435897435898</v>
      </c>
      <c r="U267" s="11">
        <v>48.448717948717949</v>
      </c>
      <c r="V267" s="13">
        <v>121</v>
      </c>
      <c r="W267" s="11">
        <v>-1.8520339309812996</v>
      </c>
      <c r="Y267" s="12">
        <v>166</v>
      </c>
      <c r="Z267" s="11">
        <v>61.608108108108105</v>
      </c>
      <c r="AA267" s="11">
        <v>52.871621621621621</v>
      </c>
      <c r="AB267" s="11">
        <v>43.635135135135137</v>
      </c>
      <c r="AC267" s="11"/>
      <c r="AD267" s="11">
        <v>158.11486486486487</v>
      </c>
      <c r="AE267" s="11">
        <v>52.704954954954957</v>
      </c>
      <c r="AF267" s="13">
        <v>63</v>
      </c>
      <c r="AG267" s="11">
        <v>4.2562370062370078</v>
      </c>
      <c r="AI267" s="12">
        <v>211</v>
      </c>
      <c r="AJ267" s="11">
        <v>51.905213270142177</v>
      </c>
      <c r="AK267" s="11">
        <v>42.729857819905213</v>
      </c>
      <c r="AL267" s="11">
        <v>44.606635071090047</v>
      </c>
      <c r="AM267" s="11">
        <v>47.85</v>
      </c>
      <c r="AN267" s="11">
        <v>139.24170616113744</v>
      </c>
      <c r="AO267" s="11">
        <v>46.413902053712484</v>
      </c>
      <c r="AP267" s="13">
        <v>114</v>
      </c>
      <c r="AQ267" s="11">
        <v>-6.2910529012424732</v>
      </c>
      <c r="AS267" s="12">
        <v>165</v>
      </c>
      <c r="AT267" s="11">
        <v>59.407975460122685</v>
      </c>
      <c r="AU267" s="11">
        <v>34.205521472392633</v>
      </c>
      <c r="AV267" s="11">
        <v>44.85828220858896</v>
      </c>
      <c r="AW267" s="11">
        <v>53.441176470588232</v>
      </c>
      <c r="AX267" s="11">
        <v>138.47177914110426</v>
      </c>
      <c r="AY267" s="11">
        <v>46.157259713701421</v>
      </c>
      <c r="AZ267" s="13">
        <v>78</v>
      </c>
      <c r="BA267" s="11">
        <v>-0.25664234001106223</v>
      </c>
    </row>
    <row r="268" spans="1:53" x14ac:dyDescent="0.25">
      <c r="A268" s="12">
        <v>265</v>
      </c>
      <c r="B268" s="12" t="s">
        <v>28</v>
      </c>
      <c r="C268" s="12">
        <v>260</v>
      </c>
      <c r="D268" s="12" t="s">
        <v>12</v>
      </c>
      <c r="E268" s="12">
        <v>49</v>
      </c>
      <c r="F268" s="11">
        <v>62.732653061224482</v>
      </c>
      <c r="G268" s="11">
        <v>50.371428571428588</v>
      </c>
      <c r="H268" s="11"/>
      <c r="I268" s="11"/>
      <c r="J268" s="11">
        <v>113.10408163265308</v>
      </c>
      <c r="K268" s="11">
        <v>56.552040816326539</v>
      </c>
      <c r="L268" s="13">
        <v>32</v>
      </c>
      <c r="M268" s="11">
        <v>4.4176658163265472</v>
      </c>
      <c r="O268" s="12">
        <v>47</v>
      </c>
      <c r="P268" s="11">
        <v>51.680851063829785</v>
      </c>
      <c r="Q268" s="11">
        <v>40.680851063829785</v>
      </c>
      <c r="R268" s="11">
        <v>37.531914893617021</v>
      </c>
      <c r="S268" s="11"/>
      <c r="T268" s="11">
        <v>92.361702127659569</v>
      </c>
      <c r="U268" s="11">
        <v>46.180851063829785</v>
      </c>
      <c r="V268" s="13">
        <v>156</v>
      </c>
      <c r="W268" s="11">
        <v>-10.371189752496754</v>
      </c>
      <c r="Y268" s="12">
        <v>49</v>
      </c>
      <c r="Z268" s="11">
        <v>52.078431372549019</v>
      </c>
      <c r="AA268" s="11">
        <v>46.568627450980394</v>
      </c>
      <c r="AB268" s="11">
        <v>36.470588235294116</v>
      </c>
      <c r="AC268" s="11"/>
      <c r="AD268" s="11">
        <v>135.11764705882354</v>
      </c>
      <c r="AE268" s="11">
        <v>45.03921568627451</v>
      </c>
      <c r="AF268" s="13">
        <v>207</v>
      </c>
      <c r="AG268" s="11">
        <v>-1.141635377555275</v>
      </c>
      <c r="AI268" s="12">
        <v>55</v>
      </c>
      <c r="AJ268" s="11">
        <v>47.236363636363635</v>
      </c>
      <c r="AK268" s="11">
        <v>36.436363636363637</v>
      </c>
      <c r="AL268" s="11">
        <v>41.090909090909093</v>
      </c>
      <c r="AM268" s="11" t="s">
        <v>14</v>
      </c>
      <c r="AN268" s="11">
        <v>124.76363636363637</v>
      </c>
      <c r="AO268" s="11">
        <v>41.587878787878786</v>
      </c>
      <c r="AP268" s="13">
        <v>180</v>
      </c>
      <c r="AQ268" s="11">
        <v>-3.4513368983957236</v>
      </c>
      <c r="AS268" s="12">
        <v>52</v>
      </c>
      <c r="AT268" s="11">
        <v>59.04807692307692</v>
      </c>
      <c r="AU268" s="11">
        <v>31.161538461538463</v>
      </c>
      <c r="AV268" s="11">
        <v>40.548076923076913</v>
      </c>
      <c r="AW268" s="11"/>
      <c r="AX268" s="11">
        <v>130.75769230769228</v>
      </c>
      <c r="AY268" s="11">
        <v>43.585897435897429</v>
      </c>
      <c r="AZ268" s="13">
        <v>106</v>
      </c>
      <c r="BA268" s="11">
        <v>1.9980186480186433</v>
      </c>
    </row>
    <row r="269" spans="1:53" x14ac:dyDescent="0.25">
      <c r="A269" s="12">
        <v>266</v>
      </c>
      <c r="B269" s="12" t="s">
        <v>28</v>
      </c>
      <c r="C269" s="12">
        <v>261</v>
      </c>
      <c r="D269" s="12" t="s">
        <v>13</v>
      </c>
      <c r="E269" s="12">
        <v>110</v>
      </c>
      <c r="F269" s="11">
        <v>64.301818181818177</v>
      </c>
      <c r="G269" s="11">
        <v>49.090909090909079</v>
      </c>
      <c r="H269" s="11"/>
      <c r="I269" s="11"/>
      <c r="J269" s="11">
        <v>113.39272727272726</v>
      </c>
      <c r="K269" s="11">
        <v>56.696363636363628</v>
      </c>
      <c r="L269" s="13">
        <v>29</v>
      </c>
      <c r="M269" s="11">
        <v>-5.6918477457501879</v>
      </c>
      <c r="O269" s="12">
        <v>123</v>
      </c>
      <c r="P269" s="11">
        <v>65.983739837398375</v>
      </c>
      <c r="Q269" s="11">
        <v>57.68292682926829</v>
      </c>
      <c r="R269" s="11">
        <v>49.560975609756099</v>
      </c>
      <c r="S269" s="11"/>
      <c r="T269" s="11">
        <v>123.66666666666666</v>
      </c>
      <c r="U269" s="11">
        <v>61.833333333333329</v>
      </c>
      <c r="V269" s="13">
        <v>10</v>
      </c>
      <c r="W269" s="11">
        <v>5.1369696969697003</v>
      </c>
      <c r="Y269" s="12">
        <v>129</v>
      </c>
      <c r="Z269" s="11">
        <v>63.3</v>
      </c>
      <c r="AA269" s="11">
        <v>53.936363636363637</v>
      </c>
      <c r="AB269" s="11">
        <v>43.263636363636365</v>
      </c>
      <c r="AC269" s="11"/>
      <c r="AD269" s="11">
        <v>160.5</v>
      </c>
      <c r="AE269" s="11">
        <v>53.5</v>
      </c>
      <c r="AF269" s="13">
        <v>55</v>
      </c>
      <c r="AG269" s="11">
        <v>-8.3333333333333286</v>
      </c>
      <c r="AI269" s="12">
        <v>136</v>
      </c>
      <c r="AJ269" s="11">
        <v>60.632352941176471</v>
      </c>
      <c r="AK269" s="11">
        <v>49.264705882352942</v>
      </c>
      <c r="AL269" s="11">
        <v>52.463235294117645</v>
      </c>
      <c r="AM269" s="11" t="s">
        <v>14</v>
      </c>
      <c r="AN269" s="11">
        <v>162.36029411764707</v>
      </c>
      <c r="AO269" s="11">
        <v>54.120098039215691</v>
      </c>
      <c r="AP269" s="13">
        <v>36</v>
      </c>
      <c r="AQ269" s="11">
        <v>0.62009803921569073</v>
      </c>
      <c r="AS269" s="12">
        <v>121</v>
      </c>
      <c r="AT269" s="11">
        <v>66.910743801652899</v>
      </c>
      <c r="AU269" s="11">
        <v>38.514876033057853</v>
      </c>
      <c r="AV269" s="11">
        <v>50.437190082644634</v>
      </c>
      <c r="AW269" s="11"/>
      <c r="AX269" s="11">
        <v>155.86280991735538</v>
      </c>
      <c r="AY269" s="11">
        <v>51.95426997245179</v>
      </c>
      <c r="AZ269" s="13">
        <v>23</v>
      </c>
      <c r="BA269" s="11">
        <v>-2.1658280667639005</v>
      </c>
    </row>
    <row r="270" spans="1:53" x14ac:dyDescent="0.25">
      <c r="A270" s="12">
        <v>267</v>
      </c>
      <c r="B270" s="12" t="s">
        <v>28</v>
      </c>
      <c r="C270" s="12">
        <v>263</v>
      </c>
      <c r="D270" s="12" t="s">
        <v>12</v>
      </c>
      <c r="E270" s="12">
        <v>100</v>
      </c>
      <c r="F270" s="11">
        <v>56.201000000000001</v>
      </c>
      <c r="G270" s="11">
        <v>44.748999999999981</v>
      </c>
      <c r="H270" s="11"/>
      <c r="I270" s="11"/>
      <c r="J270" s="11">
        <v>100.94999999999999</v>
      </c>
      <c r="K270" s="11">
        <v>50.474999999999994</v>
      </c>
      <c r="L270" s="13">
        <v>100</v>
      </c>
      <c r="M270" s="11">
        <v>-0.9175373134328666</v>
      </c>
      <c r="O270" s="12">
        <v>116</v>
      </c>
      <c r="P270" s="11">
        <v>57.853448275862071</v>
      </c>
      <c r="Q270" s="11">
        <v>49.637931034482762</v>
      </c>
      <c r="R270" s="11">
        <v>41.913793103448278</v>
      </c>
      <c r="S270" s="11"/>
      <c r="T270" s="11">
        <v>107.49137931034483</v>
      </c>
      <c r="U270" s="11">
        <v>53.745689655172413</v>
      </c>
      <c r="V270" s="13">
        <v>44</v>
      </c>
      <c r="W270" s="11">
        <v>3.2706896551724185</v>
      </c>
      <c r="Y270" s="12">
        <v>124</v>
      </c>
      <c r="Z270" s="11">
        <v>56.287878787878789</v>
      </c>
      <c r="AA270" s="11">
        <v>53.651515151515149</v>
      </c>
      <c r="AB270" s="11">
        <v>41.848484848484851</v>
      </c>
      <c r="AC270" s="11"/>
      <c r="AD270" s="11">
        <v>151.78787878787878</v>
      </c>
      <c r="AE270" s="11">
        <v>50.595959595959592</v>
      </c>
      <c r="AF270" s="13">
        <v>100</v>
      </c>
      <c r="AG270" s="11">
        <v>-3.1497300592128212</v>
      </c>
      <c r="AI270" s="12">
        <v>132</v>
      </c>
      <c r="AJ270" s="11">
        <v>54.863636363636367</v>
      </c>
      <c r="AK270" s="11">
        <v>45.969696969696969</v>
      </c>
      <c r="AL270" s="11">
        <v>49.992424242424242</v>
      </c>
      <c r="AM270" s="11" t="s">
        <v>14</v>
      </c>
      <c r="AN270" s="11">
        <v>150.82575757575759</v>
      </c>
      <c r="AO270" s="11">
        <v>50.275252525252533</v>
      </c>
      <c r="AP270" s="13">
        <v>64</v>
      </c>
      <c r="AQ270" s="11">
        <v>-0.32070707070705851</v>
      </c>
      <c r="AS270" s="12">
        <v>124</v>
      </c>
      <c r="AT270" s="11">
        <v>61.71707317073168</v>
      </c>
      <c r="AU270" s="11">
        <v>39.665853658536598</v>
      </c>
      <c r="AV270" s="11">
        <v>48.608943089430923</v>
      </c>
      <c r="AW270" s="11"/>
      <c r="AX270" s="11">
        <v>149.99186991869919</v>
      </c>
      <c r="AY270" s="11">
        <v>49.997289972899729</v>
      </c>
      <c r="AZ270" s="13">
        <v>34</v>
      </c>
      <c r="BA270" s="11">
        <v>-0.27796255235280398</v>
      </c>
    </row>
    <row r="271" spans="1:53" x14ac:dyDescent="0.25">
      <c r="A271" s="12">
        <v>268</v>
      </c>
      <c r="B271" s="12" t="s">
        <v>28</v>
      </c>
      <c r="C271" s="12">
        <v>264</v>
      </c>
      <c r="D271" s="12" t="s">
        <v>13</v>
      </c>
      <c r="E271" s="12">
        <v>123</v>
      </c>
      <c r="F271" s="11">
        <v>65.39837398373983</v>
      </c>
      <c r="G271" s="11">
        <v>52.326829268292684</v>
      </c>
      <c r="H271" s="11"/>
      <c r="I271" s="11"/>
      <c r="J271" s="11">
        <v>117.72520325203251</v>
      </c>
      <c r="K271" s="11">
        <v>58.862601626016257</v>
      </c>
      <c r="L271" s="13">
        <v>17</v>
      </c>
      <c r="M271" s="11">
        <v>-3.130667604752972</v>
      </c>
      <c r="O271" s="12">
        <v>133</v>
      </c>
      <c r="P271" s="11">
        <v>62.428571428571431</v>
      </c>
      <c r="Q271" s="11">
        <v>54.180451127819552</v>
      </c>
      <c r="R271" s="11">
        <v>50.932330827067666</v>
      </c>
      <c r="S271" s="11"/>
      <c r="T271" s="11">
        <v>116.60902255639098</v>
      </c>
      <c r="U271" s="11">
        <v>58.304511278195491</v>
      </c>
      <c r="V271" s="13">
        <v>22</v>
      </c>
      <c r="W271" s="11">
        <v>-0.55809034782076594</v>
      </c>
      <c r="Y271" s="12">
        <v>158</v>
      </c>
      <c r="Z271" s="11">
        <v>62.79054054054054</v>
      </c>
      <c r="AA271" s="11">
        <v>60.5</v>
      </c>
      <c r="AB271" s="11">
        <v>49.297297297297298</v>
      </c>
      <c r="AC271" s="11"/>
      <c r="AD271" s="11">
        <v>172.58783783783784</v>
      </c>
      <c r="AE271" s="11">
        <v>57.52927927927928</v>
      </c>
      <c r="AF271" s="13">
        <v>21</v>
      </c>
      <c r="AG271" s="11">
        <v>-0.77523199891621175</v>
      </c>
      <c r="AI271" s="12">
        <v>160</v>
      </c>
      <c r="AJ271" s="11">
        <v>60.34375</v>
      </c>
      <c r="AK271" s="11">
        <v>52.6</v>
      </c>
      <c r="AL271" s="11">
        <v>60.40625</v>
      </c>
      <c r="AM271" s="11">
        <v>55.313953488372093</v>
      </c>
      <c r="AN271" s="11">
        <v>173.35</v>
      </c>
      <c r="AO271" s="11">
        <v>57.783333333333331</v>
      </c>
      <c r="AP271" s="13">
        <v>14</v>
      </c>
      <c r="AQ271" s="11">
        <v>0.2540540540540519</v>
      </c>
      <c r="AS271" s="12">
        <v>151</v>
      </c>
      <c r="AT271" s="11">
        <v>66.207947019867518</v>
      </c>
      <c r="AU271" s="11">
        <v>39.39999999999997</v>
      </c>
      <c r="AV271" s="11">
        <v>54.270198675496687</v>
      </c>
      <c r="AW271" s="11">
        <v>61.25</v>
      </c>
      <c r="AX271" s="11">
        <v>159.87814569536417</v>
      </c>
      <c r="AY271" s="11">
        <v>53.292715231788058</v>
      </c>
      <c r="AZ271" s="13">
        <v>16</v>
      </c>
      <c r="BA271" s="11">
        <v>-4.4906181015452731</v>
      </c>
    </row>
    <row r="272" spans="1:53" x14ac:dyDescent="0.25">
      <c r="A272" s="12">
        <v>269</v>
      </c>
      <c r="B272" s="12" t="s">
        <v>28</v>
      </c>
      <c r="C272" s="12">
        <v>265</v>
      </c>
      <c r="D272" s="12" t="s">
        <v>12</v>
      </c>
      <c r="E272" s="12">
        <v>91</v>
      </c>
      <c r="F272" s="11">
        <v>52.607692307692297</v>
      </c>
      <c r="G272" s="11">
        <v>41.206593406593406</v>
      </c>
      <c r="H272" s="11"/>
      <c r="I272" s="11"/>
      <c r="J272" s="11">
        <v>93.814285714285703</v>
      </c>
      <c r="K272" s="11">
        <v>46.907142857142851</v>
      </c>
      <c r="L272" s="13">
        <v>152</v>
      </c>
      <c r="M272" s="11">
        <v>2.9229656419529633</v>
      </c>
      <c r="O272" s="12">
        <v>85</v>
      </c>
      <c r="P272" s="11">
        <v>52.376470588235293</v>
      </c>
      <c r="Q272" s="11">
        <v>45.423529411764704</v>
      </c>
      <c r="R272" s="11">
        <v>38.89411764705882</v>
      </c>
      <c r="S272" s="11"/>
      <c r="T272" s="11">
        <v>97.8</v>
      </c>
      <c r="U272" s="11">
        <v>48.9</v>
      </c>
      <c r="V272" s="13">
        <v>114</v>
      </c>
      <c r="W272" s="11">
        <v>1.9928571428571473</v>
      </c>
      <c r="Y272" s="12">
        <v>96</v>
      </c>
      <c r="Z272" s="11">
        <v>58.964705882352938</v>
      </c>
      <c r="AA272" s="11">
        <v>50.294117647058826</v>
      </c>
      <c r="AB272" s="11">
        <v>41.164705882352941</v>
      </c>
      <c r="AC272" s="11"/>
      <c r="AD272" s="11">
        <v>150.42352941176469</v>
      </c>
      <c r="AE272" s="11">
        <v>50.141176470588228</v>
      </c>
      <c r="AF272" s="13">
        <v>110</v>
      </c>
      <c r="AG272" s="11">
        <v>1.2411764705882291</v>
      </c>
      <c r="AI272" s="12">
        <v>97</v>
      </c>
      <c r="AJ272" s="11">
        <v>50.505154639175259</v>
      </c>
      <c r="AK272" s="11">
        <v>46.886597938144327</v>
      </c>
      <c r="AL272" s="11">
        <v>47.072164948453612</v>
      </c>
      <c r="AM272" s="11">
        <v>50.142857142857146</v>
      </c>
      <c r="AN272" s="11">
        <v>144.46391752577318</v>
      </c>
      <c r="AO272" s="11">
        <v>48.154639175257728</v>
      </c>
      <c r="AP272" s="13">
        <v>88</v>
      </c>
      <c r="AQ272" s="11">
        <v>-1.9865372953304998</v>
      </c>
      <c r="AS272" s="12">
        <v>93</v>
      </c>
      <c r="AT272" s="11">
        <v>53.032258064516149</v>
      </c>
      <c r="AU272" s="11">
        <v>25.596774193548402</v>
      </c>
      <c r="AV272" s="11">
        <v>38.392473118279568</v>
      </c>
      <c r="AW272" s="11">
        <v>44.347826086956523</v>
      </c>
      <c r="AX272" s="11">
        <v>117.02150537634412</v>
      </c>
      <c r="AY272" s="11">
        <v>39.007168458781372</v>
      </c>
      <c r="AZ272" s="13">
        <v>187</v>
      </c>
      <c r="BA272" s="11">
        <v>-9.1474707164763558</v>
      </c>
    </row>
    <row r="273" spans="1:53" x14ac:dyDescent="0.25">
      <c r="A273" s="12">
        <v>270</v>
      </c>
      <c r="B273" s="12" t="s">
        <v>28</v>
      </c>
      <c r="C273" s="12">
        <v>269</v>
      </c>
      <c r="D273" s="12" t="s">
        <v>12</v>
      </c>
      <c r="E273" s="12">
        <v>101</v>
      </c>
      <c r="F273" s="11">
        <v>56.911881188118777</v>
      </c>
      <c r="G273" s="11">
        <v>41.49900990099011</v>
      </c>
      <c r="H273" s="11"/>
      <c r="I273" s="11"/>
      <c r="J273" s="11">
        <v>98.410891089108887</v>
      </c>
      <c r="K273" s="11">
        <v>49.205445544554443</v>
      </c>
      <c r="L273" s="13">
        <v>118</v>
      </c>
      <c r="M273" s="11">
        <v>-0.35484857309261741</v>
      </c>
      <c r="O273" s="12">
        <v>104</v>
      </c>
      <c r="P273" s="11">
        <v>60.115384615384613</v>
      </c>
      <c r="Q273" s="11">
        <v>51.33653846153846</v>
      </c>
      <c r="R273" s="11">
        <v>48.144230769230766</v>
      </c>
      <c r="S273" s="11"/>
      <c r="T273" s="11">
        <v>111.45192307692307</v>
      </c>
      <c r="U273" s="11">
        <v>55.725961538461533</v>
      </c>
      <c r="V273" s="13">
        <v>28</v>
      </c>
      <c r="W273" s="11">
        <v>6.5205159939070896</v>
      </c>
      <c r="Y273" s="12">
        <v>152</v>
      </c>
      <c r="Z273" s="11">
        <v>60.326530612244895</v>
      </c>
      <c r="AA273" s="11">
        <v>55.482993197278908</v>
      </c>
      <c r="AB273" s="11">
        <v>46.823129251700678</v>
      </c>
      <c r="AC273" s="11"/>
      <c r="AD273" s="11">
        <v>162.63265306122446</v>
      </c>
      <c r="AE273" s="11">
        <v>54.210884353741484</v>
      </c>
      <c r="AF273" s="13">
        <v>45</v>
      </c>
      <c r="AG273" s="11">
        <v>-1.5150771847200488</v>
      </c>
      <c r="AI273" s="12">
        <v>150</v>
      </c>
      <c r="AJ273" s="11">
        <v>55.586666666666666</v>
      </c>
      <c r="AK273" s="11">
        <v>48.16</v>
      </c>
      <c r="AL273" s="11">
        <v>53.42</v>
      </c>
      <c r="AM273" s="11">
        <v>52.938775510204081</v>
      </c>
      <c r="AN273" s="11">
        <v>157.16666666666669</v>
      </c>
      <c r="AO273" s="11">
        <v>52.388888888888893</v>
      </c>
      <c r="AP273" s="13">
        <v>42</v>
      </c>
      <c r="AQ273" s="11">
        <v>-1.8219954648525913</v>
      </c>
      <c r="AS273" s="12">
        <v>149</v>
      </c>
      <c r="AT273" s="11">
        <v>58.724832214765101</v>
      </c>
      <c r="AU273" s="11">
        <v>35.951677852348993</v>
      </c>
      <c r="AV273" s="11">
        <v>44.075838926174484</v>
      </c>
      <c r="AW273" s="11">
        <v>60.137254901960787</v>
      </c>
      <c r="AX273" s="11">
        <v>138.75234899328859</v>
      </c>
      <c r="AY273" s="11">
        <v>46.250782997762862</v>
      </c>
      <c r="AZ273" s="13">
        <v>75</v>
      </c>
      <c r="BA273" s="11">
        <v>-6.1381058911260311</v>
      </c>
    </row>
    <row r="274" spans="1:53" x14ac:dyDescent="0.25">
      <c r="A274" s="12">
        <v>271</v>
      </c>
      <c r="B274" s="12" t="s">
        <v>28</v>
      </c>
      <c r="C274" s="12">
        <v>287</v>
      </c>
      <c r="D274" s="12" t="s">
        <v>17</v>
      </c>
      <c r="E274" s="12">
        <v>89</v>
      </c>
      <c r="F274" s="11">
        <v>75.906741573033699</v>
      </c>
      <c r="G274" s="11">
        <v>64.922471910112364</v>
      </c>
      <c r="H274" s="11"/>
      <c r="I274" s="11"/>
      <c r="J274" s="11">
        <v>140.82921348314608</v>
      </c>
      <c r="K274" s="11">
        <v>70.414606741573039</v>
      </c>
      <c r="L274" s="13">
        <v>4</v>
      </c>
      <c r="M274" s="11">
        <v>-3.607517152232262</v>
      </c>
      <c r="O274" s="12">
        <v>89</v>
      </c>
      <c r="P274" s="11">
        <v>75.19101123595506</v>
      </c>
      <c r="Q274" s="11">
        <v>70.022471910112358</v>
      </c>
      <c r="R274" s="11">
        <v>63.393258426966291</v>
      </c>
      <c r="S274" s="11"/>
      <c r="T274" s="11">
        <v>145.2134831460674</v>
      </c>
      <c r="U274" s="11">
        <v>72.606741573033702</v>
      </c>
      <c r="V274" s="13">
        <v>2</v>
      </c>
      <c r="W274" s="11">
        <v>2.1921348314606632</v>
      </c>
      <c r="Y274" s="12">
        <v>132</v>
      </c>
      <c r="Z274" s="11">
        <v>75.057851239669418</v>
      </c>
      <c r="AA274" s="11">
        <v>78.347107438016522</v>
      </c>
      <c r="AB274" s="11">
        <v>64.710743801652896</v>
      </c>
      <c r="AC274" s="11"/>
      <c r="AD274" s="11">
        <v>218.11570247933884</v>
      </c>
      <c r="AE274" s="11">
        <v>72.705234159779607</v>
      </c>
      <c r="AF274" s="13">
        <v>3</v>
      </c>
      <c r="AG274" s="11">
        <v>9.8492586745905442E-2</v>
      </c>
      <c r="AI274" s="12">
        <v>128</v>
      </c>
      <c r="AJ274" s="11">
        <v>77.3671875</v>
      </c>
      <c r="AK274" s="11">
        <v>74.375</v>
      </c>
      <c r="AL274" s="11">
        <v>76.7265625</v>
      </c>
      <c r="AM274" s="11" t="s">
        <v>14</v>
      </c>
      <c r="AN274" s="11">
        <v>228.46875</v>
      </c>
      <c r="AO274" s="11">
        <v>76.15625</v>
      </c>
      <c r="AP274" s="13">
        <v>1</v>
      </c>
      <c r="AQ274" s="11">
        <v>3.4510158402203928</v>
      </c>
      <c r="AS274" s="12">
        <v>121</v>
      </c>
      <c r="AT274" s="11">
        <v>76.320661157024816</v>
      </c>
      <c r="AU274" s="11">
        <v>59.14876033057849</v>
      </c>
      <c r="AV274" s="11">
        <v>72.166115702479374</v>
      </c>
      <c r="AW274" s="11"/>
      <c r="AX274" s="11">
        <v>207.63553719008269</v>
      </c>
      <c r="AY274" s="11">
        <v>69.211845730027562</v>
      </c>
      <c r="AZ274" s="13">
        <v>2</v>
      </c>
      <c r="BA274" s="11">
        <v>-6.9444042699724378</v>
      </c>
    </row>
    <row r="275" spans="1:53" x14ac:dyDescent="0.25">
      <c r="A275" s="12">
        <v>272</v>
      </c>
      <c r="B275" s="12" t="s">
        <v>29</v>
      </c>
      <c r="C275" s="12" t="s">
        <v>57</v>
      </c>
      <c r="D275" s="12" t="s">
        <v>33</v>
      </c>
      <c r="E275" s="12"/>
      <c r="F275" s="11"/>
      <c r="G275" s="11"/>
      <c r="H275" s="11"/>
      <c r="I275" s="11"/>
      <c r="J275" s="11" t="s">
        <v>14</v>
      </c>
      <c r="K275" s="11" t="s">
        <v>14</v>
      </c>
      <c r="L275" s="13" t="s">
        <v>14</v>
      </c>
      <c r="M275" s="11" t="s">
        <v>14</v>
      </c>
      <c r="O275" s="12"/>
      <c r="P275" s="11"/>
      <c r="Q275" s="11"/>
      <c r="R275" s="11"/>
      <c r="S275" s="11"/>
      <c r="T275" s="11" t="s">
        <v>14</v>
      </c>
      <c r="U275" s="11" t="s">
        <v>14</v>
      </c>
      <c r="V275" s="13" t="s">
        <v>14</v>
      </c>
      <c r="W275" s="11" t="s">
        <v>14</v>
      </c>
      <c r="Y275" s="12"/>
      <c r="Z275" s="11"/>
      <c r="AA275" s="11"/>
      <c r="AB275" s="11"/>
      <c r="AC275" s="11"/>
      <c r="AD275" s="11" t="s">
        <v>14</v>
      </c>
      <c r="AE275" s="11" t="s">
        <v>14</v>
      </c>
      <c r="AF275" s="13" t="s">
        <v>14</v>
      </c>
      <c r="AG275" s="11" t="s">
        <v>14</v>
      </c>
      <c r="AI275" s="12">
        <v>28</v>
      </c>
      <c r="AJ275" s="11">
        <v>16.035714285714285</v>
      </c>
      <c r="AK275" s="11">
        <v>27.428571428571427</v>
      </c>
      <c r="AL275" s="11">
        <v>13.428571428571429</v>
      </c>
      <c r="AM275" s="11" t="s">
        <v>14</v>
      </c>
      <c r="AN275" s="11">
        <v>56.892857142857139</v>
      </c>
      <c r="AO275" s="11">
        <v>18.964285714285712</v>
      </c>
      <c r="AP275" s="13">
        <v>311</v>
      </c>
      <c r="AQ275" s="11" t="e">
        <v>#VALUE!</v>
      </c>
      <c r="AS275" s="12">
        <v>24</v>
      </c>
      <c r="AT275" s="11">
        <v>13.229166666666666</v>
      </c>
      <c r="AU275" s="11">
        <v>27.287500000000005</v>
      </c>
      <c r="AV275" s="11">
        <v>16.166666666666668</v>
      </c>
      <c r="AW275" s="11"/>
      <c r="AX275" s="11">
        <v>56.683333333333337</v>
      </c>
      <c r="AY275" s="11">
        <v>18.894444444444446</v>
      </c>
      <c r="AZ275" s="13">
        <v>312</v>
      </c>
      <c r="BA275" s="11">
        <v>-6.984126984126604E-2</v>
      </c>
    </row>
    <row r="276" spans="1:53" x14ac:dyDescent="0.25">
      <c r="A276" s="12">
        <v>273</v>
      </c>
      <c r="B276" s="12" t="s">
        <v>29</v>
      </c>
      <c r="C276" s="12">
        <v>26</v>
      </c>
      <c r="D276" s="12" t="s">
        <v>12</v>
      </c>
      <c r="E276" s="12">
        <v>247</v>
      </c>
      <c r="F276" s="11">
        <v>56.0230769230769</v>
      </c>
      <c r="G276" s="11">
        <v>39.061538461538461</v>
      </c>
      <c r="H276" s="11"/>
      <c r="I276" s="11"/>
      <c r="J276" s="11">
        <v>95.084615384615361</v>
      </c>
      <c r="K276" s="11">
        <v>47.542307692307681</v>
      </c>
      <c r="L276" s="13">
        <v>142</v>
      </c>
      <c r="M276" s="11">
        <v>-1.1057160231073482</v>
      </c>
      <c r="O276" s="12">
        <v>226</v>
      </c>
      <c r="P276" s="11">
        <v>53.796460176991154</v>
      </c>
      <c r="Q276" s="11">
        <v>41.681415929203538</v>
      </c>
      <c r="R276" s="11">
        <v>37.407079646017699</v>
      </c>
      <c r="S276" s="11"/>
      <c r="T276" s="11">
        <v>95.477876106194685</v>
      </c>
      <c r="U276" s="11">
        <v>47.738938053097343</v>
      </c>
      <c r="V276" s="13">
        <v>129</v>
      </c>
      <c r="W276" s="11">
        <v>0.19663036078966201</v>
      </c>
      <c r="Y276" s="12">
        <v>309</v>
      </c>
      <c r="Z276" s="11">
        <v>54.033195020746888</v>
      </c>
      <c r="AA276" s="11">
        <v>47.078838174273862</v>
      </c>
      <c r="AB276" s="11">
        <v>41.369294605809131</v>
      </c>
      <c r="AC276" s="11"/>
      <c r="AD276" s="11">
        <v>142.48132780082989</v>
      </c>
      <c r="AE276" s="11">
        <v>47.49377593360996</v>
      </c>
      <c r="AF276" s="13">
        <v>158</v>
      </c>
      <c r="AG276" s="11">
        <v>-0.24516211948738231</v>
      </c>
      <c r="AI276" s="12">
        <v>288</v>
      </c>
      <c r="AJ276" s="11">
        <v>51.413194444444443</v>
      </c>
      <c r="AK276" s="11">
        <v>42.458333333333336</v>
      </c>
      <c r="AL276" s="11">
        <v>42.138888888888886</v>
      </c>
      <c r="AM276" s="11">
        <v>51.560606060606062</v>
      </c>
      <c r="AN276" s="11">
        <v>136.01041666666666</v>
      </c>
      <c r="AO276" s="11">
        <v>45.33680555555555</v>
      </c>
      <c r="AP276" s="13">
        <v>130</v>
      </c>
      <c r="AQ276" s="11">
        <v>-2.1569703780544103</v>
      </c>
      <c r="AS276" s="12">
        <v>300</v>
      </c>
      <c r="AT276" s="11">
        <v>57.628762541806019</v>
      </c>
      <c r="AU276" s="11">
        <v>28.115050167224073</v>
      </c>
      <c r="AV276" s="11">
        <v>38.871906354515076</v>
      </c>
      <c r="AW276" s="11">
        <v>58.692307692307693</v>
      </c>
      <c r="AX276" s="11">
        <v>124.61571906354517</v>
      </c>
      <c r="AY276" s="11">
        <v>41.538573021181726</v>
      </c>
      <c r="AZ276" s="13">
        <v>140</v>
      </c>
      <c r="BA276" s="11">
        <v>-3.7982325343738239</v>
      </c>
    </row>
    <row r="277" spans="1:53" x14ac:dyDescent="0.25">
      <c r="A277" s="12">
        <v>274</v>
      </c>
      <c r="B277" s="12" t="s">
        <v>29</v>
      </c>
      <c r="C277" s="12">
        <v>33</v>
      </c>
      <c r="D277" s="12" t="s">
        <v>12</v>
      </c>
      <c r="E277" s="12">
        <v>16</v>
      </c>
      <c r="F277" s="11">
        <v>54.168750000000003</v>
      </c>
      <c r="G277" s="11">
        <v>42.306249999999999</v>
      </c>
      <c r="H277" s="11"/>
      <c r="I277" s="11"/>
      <c r="J277" s="11">
        <v>96.474999999999994</v>
      </c>
      <c r="K277" s="11">
        <v>48.237499999999997</v>
      </c>
      <c r="L277" s="13">
        <v>136</v>
      </c>
      <c r="M277" s="11">
        <v>-8.3562500000000028</v>
      </c>
      <c r="O277" s="12">
        <v>20</v>
      </c>
      <c r="P277" s="11">
        <v>53.526315789473685</v>
      </c>
      <c r="Q277" s="11">
        <v>49.157894736842103</v>
      </c>
      <c r="R277" s="11">
        <v>34.421052631578945</v>
      </c>
      <c r="S277" s="11"/>
      <c r="T277" s="11">
        <v>102.68421052631578</v>
      </c>
      <c r="U277" s="11">
        <v>51.34210526315789</v>
      </c>
      <c r="V277" s="13">
        <v>80</v>
      </c>
      <c r="W277" s="11">
        <v>3.1046052631578931</v>
      </c>
      <c r="Y277" s="12">
        <v>33</v>
      </c>
      <c r="Z277" s="11">
        <v>54.888888888888886</v>
      </c>
      <c r="AA277" s="11">
        <v>49.851851851851855</v>
      </c>
      <c r="AB277" s="11">
        <v>40.074074074074076</v>
      </c>
      <c r="AC277" s="11"/>
      <c r="AD277" s="11">
        <v>144.81481481481481</v>
      </c>
      <c r="AE277" s="11">
        <v>48.271604938271601</v>
      </c>
      <c r="AF277" s="13">
        <v>144</v>
      </c>
      <c r="AG277" s="11">
        <v>-3.0705003248862894</v>
      </c>
      <c r="AI277" s="12">
        <v>27</v>
      </c>
      <c r="AJ277" s="11">
        <v>43.333333333333336</v>
      </c>
      <c r="AK277" s="11">
        <v>33.925925925925924</v>
      </c>
      <c r="AL277" s="11">
        <v>34.74074074074074</v>
      </c>
      <c r="AM277" s="11" t="s">
        <v>14</v>
      </c>
      <c r="AN277" s="11">
        <v>112</v>
      </c>
      <c r="AO277" s="11">
        <v>37.333333333333336</v>
      </c>
      <c r="AP277" s="13">
        <v>235</v>
      </c>
      <c r="AQ277" s="11">
        <v>-10.938271604938265</v>
      </c>
      <c r="AS277" s="12">
        <v>32</v>
      </c>
      <c r="AT277" s="11">
        <v>46.784374999999997</v>
      </c>
      <c r="AU277" s="11">
        <v>19.312499999999996</v>
      </c>
      <c r="AV277" s="11">
        <v>32.259375000000006</v>
      </c>
      <c r="AW277" s="11"/>
      <c r="AX277" s="11">
        <v>98.356250000000003</v>
      </c>
      <c r="AY277" s="11">
        <v>32.78541666666667</v>
      </c>
      <c r="AZ277" s="13">
        <v>271</v>
      </c>
      <c r="BA277" s="11">
        <v>-4.5479166666666657</v>
      </c>
    </row>
    <row r="278" spans="1:53" x14ac:dyDescent="0.25">
      <c r="A278" s="12">
        <v>275</v>
      </c>
      <c r="B278" s="12" t="s">
        <v>29</v>
      </c>
      <c r="C278" s="12">
        <v>92</v>
      </c>
      <c r="D278" s="12" t="s">
        <v>12</v>
      </c>
      <c r="E278" s="12">
        <v>62</v>
      </c>
      <c r="F278" s="11">
        <v>57.766129032258085</v>
      </c>
      <c r="G278" s="11">
        <v>41.059677419354841</v>
      </c>
      <c r="H278" s="11"/>
      <c r="I278" s="11"/>
      <c r="J278" s="11">
        <v>98.82580645161292</v>
      </c>
      <c r="K278" s="11">
        <v>49.41290322580646</v>
      </c>
      <c r="L278" s="13">
        <v>115</v>
      </c>
      <c r="M278" s="11">
        <v>1.0832422088573281</v>
      </c>
      <c r="O278" s="12">
        <v>52</v>
      </c>
      <c r="P278" s="11">
        <v>52.384615384615387</v>
      </c>
      <c r="Q278" s="11">
        <v>41.884615384615387</v>
      </c>
      <c r="R278" s="11">
        <v>36.692307692307693</v>
      </c>
      <c r="S278" s="11"/>
      <c r="T278" s="11">
        <v>94.269230769230774</v>
      </c>
      <c r="U278" s="11">
        <v>47.134615384615387</v>
      </c>
      <c r="V278" s="13">
        <v>135</v>
      </c>
      <c r="W278" s="11">
        <v>-2.278287841191073</v>
      </c>
      <c r="Y278" s="12">
        <v>78</v>
      </c>
      <c r="Z278" s="11">
        <v>55.446808510638299</v>
      </c>
      <c r="AA278" s="11">
        <v>45.787234042553195</v>
      </c>
      <c r="AB278" s="11">
        <v>42.276595744680854</v>
      </c>
      <c r="AC278" s="11"/>
      <c r="AD278" s="11">
        <v>143.51063829787236</v>
      </c>
      <c r="AE278" s="11">
        <v>47.836879432624123</v>
      </c>
      <c r="AF278" s="13">
        <v>153</v>
      </c>
      <c r="AG278" s="11">
        <v>0.7022640480087361</v>
      </c>
      <c r="AI278" s="12">
        <v>88</v>
      </c>
      <c r="AJ278" s="11">
        <v>51.647727272727273</v>
      </c>
      <c r="AK278" s="11">
        <v>41.090909090909093</v>
      </c>
      <c r="AL278" s="11">
        <v>40.954545454545453</v>
      </c>
      <c r="AM278" s="11" t="s">
        <v>14</v>
      </c>
      <c r="AN278" s="11">
        <v>133.69318181818181</v>
      </c>
      <c r="AO278" s="11">
        <v>44.564393939393938</v>
      </c>
      <c r="AP278" s="13">
        <v>138</v>
      </c>
      <c r="AQ278" s="11">
        <v>-3.2724854932301852</v>
      </c>
      <c r="AS278" s="12">
        <v>77</v>
      </c>
      <c r="AT278" s="11">
        <v>54.485714285714295</v>
      </c>
      <c r="AU278" s="11">
        <v>24.4051948051948</v>
      </c>
      <c r="AV278" s="11">
        <v>39.149350649350659</v>
      </c>
      <c r="AW278" s="11"/>
      <c r="AX278" s="11">
        <v>118.04025974025976</v>
      </c>
      <c r="AY278" s="11">
        <v>39.346753246753252</v>
      </c>
      <c r="AZ278" s="13">
        <v>184</v>
      </c>
      <c r="BA278" s="11">
        <v>-5.2176406926406855</v>
      </c>
    </row>
    <row r="279" spans="1:53" x14ac:dyDescent="0.25">
      <c r="A279" s="12">
        <v>276</v>
      </c>
      <c r="B279" s="12" t="s">
        <v>29</v>
      </c>
      <c r="C279" s="12">
        <v>117</v>
      </c>
      <c r="D279" s="12" t="s">
        <v>12</v>
      </c>
      <c r="E279" s="12">
        <v>184</v>
      </c>
      <c r="F279" s="11">
        <v>52.879891304347815</v>
      </c>
      <c r="G279" s="11">
        <v>37.753804347826083</v>
      </c>
      <c r="H279" s="11"/>
      <c r="I279" s="11"/>
      <c r="J279" s="11">
        <v>90.633695652173898</v>
      </c>
      <c r="K279" s="11">
        <v>45.316847826086949</v>
      </c>
      <c r="L279" s="13">
        <v>168</v>
      </c>
      <c r="M279" s="11">
        <v>2.0953788995332729</v>
      </c>
      <c r="O279" s="12">
        <v>194</v>
      </c>
      <c r="P279" s="11">
        <v>52.647668393782382</v>
      </c>
      <c r="Q279" s="11">
        <v>38.647668393782382</v>
      </c>
      <c r="R279" s="11">
        <v>30.259067357512954</v>
      </c>
      <c r="S279" s="11"/>
      <c r="T279" s="11">
        <v>91.295336787564764</v>
      </c>
      <c r="U279" s="11">
        <v>45.647668393782382</v>
      </c>
      <c r="V279" s="13">
        <v>163</v>
      </c>
      <c r="W279" s="11">
        <v>0.330820567695433</v>
      </c>
      <c r="Y279" s="12">
        <v>300</v>
      </c>
      <c r="Z279" s="11">
        <v>54.334841628959275</v>
      </c>
      <c r="AA279" s="11">
        <v>43.800904977375566</v>
      </c>
      <c r="AB279" s="11">
        <v>32.393665158371043</v>
      </c>
      <c r="AC279" s="11"/>
      <c r="AD279" s="11">
        <v>130.52941176470588</v>
      </c>
      <c r="AE279" s="11">
        <v>43.509803921568626</v>
      </c>
      <c r="AF279" s="13">
        <v>240</v>
      </c>
      <c r="AG279" s="11">
        <v>-2.1378644722137565</v>
      </c>
      <c r="AI279" s="12">
        <v>266</v>
      </c>
      <c r="AJ279" s="11">
        <v>49.2406015037594</v>
      </c>
      <c r="AK279" s="11">
        <v>38</v>
      </c>
      <c r="AL279" s="11">
        <v>34.556390977443606</v>
      </c>
      <c r="AM279" s="11" t="s">
        <v>14</v>
      </c>
      <c r="AN279" s="11">
        <v>121.79699248120301</v>
      </c>
      <c r="AO279" s="11">
        <v>40.598997493734338</v>
      </c>
      <c r="AP279" s="13">
        <v>193</v>
      </c>
      <c r="AQ279" s="11">
        <v>-2.910806427834288</v>
      </c>
      <c r="AS279" s="12">
        <v>296</v>
      </c>
      <c r="AT279" s="11">
        <v>54.281355932203375</v>
      </c>
      <c r="AU279" s="11">
        <v>25.53288135593219</v>
      </c>
      <c r="AV279" s="11">
        <v>34.972203389830547</v>
      </c>
      <c r="AW279" s="11"/>
      <c r="AX279" s="11">
        <v>114.78644067796611</v>
      </c>
      <c r="AY279" s="11">
        <v>38.262146892655373</v>
      </c>
      <c r="AZ279" s="13">
        <v>201</v>
      </c>
      <c r="BA279" s="11">
        <v>-2.3368506010789645</v>
      </c>
    </row>
    <row r="280" spans="1:53" x14ac:dyDescent="0.25">
      <c r="A280" s="12">
        <v>277</v>
      </c>
      <c r="B280" s="12" t="s">
        <v>29</v>
      </c>
      <c r="C280" s="12">
        <v>119</v>
      </c>
      <c r="D280" s="12" t="s">
        <v>12</v>
      </c>
      <c r="E280" s="12">
        <v>38</v>
      </c>
      <c r="F280" s="11">
        <v>42.076315789473689</v>
      </c>
      <c r="G280" s="11">
        <v>27.789473684210527</v>
      </c>
      <c r="H280" s="11"/>
      <c r="I280" s="11"/>
      <c r="J280" s="11">
        <v>69.865789473684217</v>
      </c>
      <c r="K280" s="11">
        <v>34.932894736842108</v>
      </c>
      <c r="L280" s="13">
        <v>276</v>
      </c>
      <c r="M280" s="11">
        <v>5.0772129186602868</v>
      </c>
      <c r="O280" s="12">
        <v>45</v>
      </c>
      <c r="P280" s="11">
        <v>34.222222222222221</v>
      </c>
      <c r="Q280" s="11">
        <v>26.155555555555555</v>
      </c>
      <c r="R280" s="11">
        <v>24.888888888888889</v>
      </c>
      <c r="S280" s="11"/>
      <c r="T280" s="11">
        <v>60.37777777777778</v>
      </c>
      <c r="U280" s="11">
        <v>30.18888888888889</v>
      </c>
      <c r="V280" s="13">
        <v>297</v>
      </c>
      <c r="W280" s="11">
        <v>-4.7440058479532183</v>
      </c>
      <c r="Y280" s="12">
        <v>55</v>
      </c>
      <c r="Z280" s="11">
        <v>42.325581395348834</v>
      </c>
      <c r="AA280" s="11">
        <v>37.767441860465119</v>
      </c>
      <c r="AB280" s="11">
        <v>27.023255813953487</v>
      </c>
      <c r="AC280" s="11"/>
      <c r="AD280" s="11">
        <v>107.11627906976744</v>
      </c>
      <c r="AE280" s="11">
        <v>35.70542635658915</v>
      </c>
      <c r="AF280" s="13">
        <v>293</v>
      </c>
      <c r="AG280" s="11">
        <v>5.5165374677002603</v>
      </c>
      <c r="AI280" s="12">
        <v>49</v>
      </c>
      <c r="AJ280" s="11">
        <v>31.326530612244898</v>
      </c>
      <c r="AK280" s="11">
        <v>23.428571428571427</v>
      </c>
      <c r="AL280" s="11">
        <v>20.775510204081634</v>
      </c>
      <c r="AM280" s="11" t="s">
        <v>14</v>
      </c>
      <c r="AN280" s="11">
        <v>75.530612244897952</v>
      </c>
      <c r="AO280" s="11">
        <v>25.176870748299319</v>
      </c>
      <c r="AP280" s="13">
        <v>306</v>
      </c>
      <c r="AQ280" s="11">
        <v>-10.528555608289832</v>
      </c>
      <c r="AS280" s="12">
        <v>50</v>
      </c>
      <c r="AT280" s="11">
        <v>43.993478260869558</v>
      </c>
      <c r="AU280" s="11">
        <v>23.923913043478251</v>
      </c>
      <c r="AV280" s="11">
        <v>28.952173913043481</v>
      </c>
      <c r="AW280" s="11"/>
      <c r="AX280" s="11">
        <v>96.869565217391283</v>
      </c>
      <c r="AY280" s="11">
        <v>32.289855072463759</v>
      </c>
      <c r="AZ280" s="13">
        <v>277</v>
      </c>
      <c r="BA280" s="11">
        <v>7.1129843241644402</v>
      </c>
    </row>
    <row r="281" spans="1:53" x14ac:dyDescent="0.25">
      <c r="A281" s="12">
        <v>278</v>
      </c>
      <c r="B281" s="12" t="s">
        <v>29</v>
      </c>
      <c r="C281" s="12">
        <v>120</v>
      </c>
      <c r="D281" s="12" t="s">
        <v>12</v>
      </c>
      <c r="E281" s="12">
        <v>82</v>
      </c>
      <c r="F281" s="11">
        <v>50.325609756097577</v>
      </c>
      <c r="G281" s="11">
        <v>34.257317073170711</v>
      </c>
      <c r="H281" s="11"/>
      <c r="I281" s="11"/>
      <c r="J281" s="11">
        <v>84.582926829268288</v>
      </c>
      <c r="K281" s="11">
        <v>42.291463414634144</v>
      </c>
      <c r="L281" s="13">
        <v>215</v>
      </c>
      <c r="M281" s="11">
        <v>0.68271341463414359</v>
      </c>
      <c r="O281" s="12">
        <v>82</v>
      </c>
      <c r="P281" s="11">
        <v>52.304878048780488</v>
      </c>
      <c r="Q281" s="11">
        <v>42.012195121951223</v>
      </c>
      <c r="R281" s="11">
        <v>35.195121951219512</v>
      </c>
      <c r="S281" s="11"/>
      <c r="T281" s="11">
        <v>94.317073170731703</v>
      </c>
      <c r="U281" s="11">
        <v>47.158536585365852</v>
      </c>
      <c r="V281" s="13">
        <v>134</v>
      </c>
      <c r="W281" s="11">
        <v>4.8670731707317074</v>
      </c>
      <c r="Y281" s="12">
        <v>97</v>
      </c>
      <c r="Z281" s="11">
        <v>50.4</v>
      </c>
      <c r="AA281" s="11">
        <v>46.255555555555553</v>
      </c>
      <c r="AB281" s="11">
        <v>35.299999999999997</v>
      </c>
      <c r="AC281" s="11"/>
      <c r="AD281" s="11">
        <v>131.95555555555555</v>
      </c>
      <c r="AE281" s="11">
        <v>43.985185185185181</v>
      </c>
      <c r="AF281" s="13">
        <v>229</v>
      </c>
      <c r="AG281" s="11">
        <v>-3.1733514001806711</v>
      </c>
      <c r="AI281" s="12">
        <v>87</v>
      </c>
      <c r="AJ281" s="11">
        <v>43.574712643678161</v>
      </c>
      <c r="AK281" s="11">
        <v>37.517241379310342</v>
      </c>
      <c r="AL281" s="11">
        <v>32.482758620689658</v>
      </c>
      <c r="AM281" s="11" t="s">
        <v>14</v>
      </c>
      <c r="AN281" s="11">
        <v>113.57471264367817</v>
      </c>
      <c r="AO281" s="11">
        <v>37.85823754789272</v>
      </c>
      <c r="AP281" s="13">
        <v>229</v>
      </c>
      <c r="AQ281" s="11">
        <v>-6.1269476372924601</v>
      </c>
      <c r="AS281" s="12">
        <v>95</v>
      </c>
      <c r="AT281" s="11">
        <v>52.670526315789473</v>
      </c>
      <c r="AU281" s="11">
        <v>37.792631578947372</v>
      </c>
      <c r="AV281" s="11">
        <v>36.097894736842115</v>
      </c>
      <c r="AW281" s="11"/>
      <c r="AX281" s="11">
        <v>126.56105263157895</v>
      </c>
      <c r="AY281" s="11">
        <v>42.187017543859646</v>
      </c>
      <c r="AZ281" s="13">
        <v>130</v>
      </c>
      <c r="BA281" s="11">
        <v>4.3287799959669258</v>
      </c>
    </row>
    <row r="282" spans="1:53" x14ac:dyDescent="0.25">
      <c r="A282" s="12">
        <v>279</v>
      </c>
      <c r="B282" s="12" t="s">
        <v>29</v>
      </c>
      <c r="C282" s="12">
        <v>121</v>
      </c>
      <c r="D282" s="12" t="s">
        <v>12</v>
      </c>
      <c r="E282" s="12">
        <v>111</v>
      </c>
      <c r="F282" s="11">
        <v>39.808108108108108</v>
      </c>
      <c r="G282" s="11">
        <v>28.530630630630633</v>
      </c>
      <c r="H282" s="11"/>
      <c r="I282" s="11"/>
      <c r="J282" s="11">
        <v>68.338738738738741</v>
      </c>
      <c r="K282" s="11">
        <v>34.16936936936937</v>
      </c>
      <c r="L282" s="13">
        <v>279</v>
      </c>
      <c r="M282" s="11">
        <v>-1.8470023120465555</v>
      </c>
      <c r="O282" s="12">
        <v>128</v>
      </c>
      <c r="P282" s="11">
        <v>40</v>
      </c>
      <c r="Q282" s="11">
        <v>28.5703125</v>
      </c>
      <c r="R282" s="11">
        <v>22.2421875</v>
      </c>
      <c r="S282" s="11"/>
      <c r="T282" s="11">
        <v>68.5703125</v>
      </c>
      <c r="U282" s="11">
        <v>34.28515625</v>
      </c>
      <c r="V282" s="13">
        <v>291</v>
      </c>
      <c r="W282" s="11">
        <v>0.1157868806306297</v>
      </c>
      <c r="Y282" s="12">
        <v>156</v>
      </c>
      <c r="Z282" s="11">
        <v>48.589147286821706</v>
      </c>
      <c r="AA282" s="11">
        <v>38.310077519379846</v>
      </c>
      <c r="AB282" s="11">
        <v>29.961240310077521</v>
      </c>
      <c r="AC282" s="11"/>
      <c r="AD282" s="11">
        <v>116.86046511627907</v>
      </c>
      <c r="AE282" s="11">
        <v>38.953488372093027</v>
      </c>
      <c r="AF282" s="13">
        <v>278</v>
      </c>
      <c r="AG282" s="11">
        <v>4.6683321220930267</v>
      </c>
      <c r="AI282" s="12">
        <v>142</v>
      </c>
      <c r="AJ282" s="11">
        <v>37.577464788732392</v>
      </c>
      <c r="AK282" s="11">
        <v>30.056338028169016</v>
      </c>
      <c r="AL282" s="11">
        <v>28.267605633802816</v>
      </c>
      <c r="AM282" s="11" t="s">
        <v>14</v>
      </c>
      <c r="AN282" s="11">
        <v>95.901408450704224</v>
      </c>
      <c r="AO282" s="11">
        <v>31.96713615023474</v>
      </c>
      <c r="AP282" s="13">
        <v>284</v>
      </c>
      <c r="AQ282" s="11">
        <v>-6.9863522218582865</v>
      </c>
      <c r="AS282" s="12">
        <v>160</v>
      </c>
      <c r="AT282" s="11">
        <v>41.373584905660373</v>
      </c>
      <c r="AU282" s="11">
        <v>19.186163522012588</v>
      </c>
      <c r="AV282" s="11">
        <v>25.447169811320748</v>
      </c>
      <c r="AW282" s="11"/>
      <c r="AX282" s="11">
        <v>86.006918238993705</v>
      </c>
      <c r="AY282" s="11">
        <v>28.668972746331235</v>
      </c>
      <c r="AZ282" s="13">
        <v>293</v>
      </c>
      <c r="BA282" s="11">
        <v>-3.298163403903505</v>
      </c>
    </row>
    <row r="283" spans="1:53" x14ac:dyDescent="0.25">
      <c r="A283" s="12">
        <v>280</v>
      </c>
      <c r="B283" s="12" t="s">
        <v>29</v>
      </c>
      <c r="C283" s="12">
        <v>122</v>
      </c>
      <c r="D283" s="12" t="s">
        <v>30</v>
      </c>
      <c r="E283" s="12">
        <v>7</v>
      </c>
      <c r="F283" s="11">
        <v>33.1</v>
      </c>
      <c r="G283" s="11">
        <v>20.971428571428572</v>
      </c>
      <c r="H283" s="11"/>
      <c r="I283" s="11"/>
      <c r="J283" s="11">
        <v>54.071428571428569</v>
      </c>
      <c r="K283" s="11">
        <v>27.035714285714285</v>
      </c>
      <c r="L283" s="13">
        <v>298</v>
      </c>
      <c r="M283" s="11">
        <v>-20.43571428571429</v>
      </c>
      <c r="O283" s="12">
        <v>7</v>
      </c>
      <c r="P283" s="11">
        <v>42</v>
      </c>
      <c r="Q283" s="11">
        <v>35.428571428571431</v>
      </c>
      <c r="R283" s="11">
        <v>25.714285714285715</v>
      </c>
      <c r="S283" s="11"/>
      <c r="T283" s="11">
        <v>77.428571428571431</v>
      </c>
      <c r="U283" s="11">
        <v>38.714285714285715</v>
      </c>
      <c r="V283" s="13">
        <v>268</v>
      </c>
      <c r="W283" s="11">
        <v>11.678571428571431</v>
      </c>
      <c r="Y283" s="12">
        <v>6</v>
      </c>
      <c r="Z283" s="11">
        <v>43.111111111111114</v>
      </c>
      <c r="AA283" s="11">
        <v>42.333333333333336</v>
      </c>
      <c r="AB283" s="11">
        <v>27.555555555555557</v>
      </c>
      <c r="AC283" s="11"/>
      <c r="AD283" s="11">
        <v>113.00000000000001</v>
      </c>
      <c r="AE283" s="11">
        <v>37.666666666666671</v>
      </c>
      <c r="AF283" s="13">
        <v>287</v>
      </c>
      <c r="AG283" s="11">
        <v>-1.0476190476190439</v>
      </c>
      <c r="AI283" s="12">
        <v>8</v>
      </c>
      <c r="AJ283" s="11">
        <v>38.5</v>
      </c>
      <c r="AK283" s="11">
        <v>36.5</v>
      </c>
      <c r="AL283" s="11">
        <v>17.375</v>
      </c>
      <c r="AM283" s="11" t="s">
        <v>14</v>
      </c>
      <c r="AN283" s="11">
        <v>92.375</v>
      </c>
      <c r="AO283" s="11">
        <v>30.791666666666668</v>
      </c>
      <c r="AP283" s="13">
        <v>291</v>
      </c>
      <c r="AQ283" s="11">
        <v>-6.8750000000000036</v>
      </c>
      <c r="AS283" s="12">
        <v>0</v>
      </c>
      <c r="AT283" s="11"/>
      <c r="AU283" s="11"/>
      <c r="AV283" s="11"/>
      <c r="AW283" s="11"/>
      <c r="AX283" s="11" t="s">
        <v>14</v>
      </c>
      <c r="AY283" s="11" t="s">
        <v>14</v>
      </c>
      <c r="AZ283" s="13" t="s">
        <v>14</v>
      </c>
      <c r="BA283" s="11" t="e">
        <v>#VALUE!</v>
      </c>
    </row>
    <row r="284" spans="1:53" x14ac:dyDescent="0.25">
      <c r="A284" s="12">
        <v>281</v>
      </c>
      <c r="B284" s="12" t="s">
        <v>29</v>
      </c>
      <c r="C284" s="12">
        <v>123</v>
      </c>
      <c r="D284" s="12" t="s">
        <v>12</v>
      </c>
      <c r="E284" s="12">
        <v>63</v>
      </c>
      <c r="F284" s="11">
        <v>48.247619047619025</v>
      </c>
      <c r="G284" s="11">
        <v>35.946031746031743</v>
      </c>
      <c r="H284" s="11"/>
      <c r="I284" s="11"/>
      <c r="J284" s="11">
        <v>84.193650793650761</v>
      </c>
      <c r="K284" s="11">
        <v>42.09682539682538</v>
      </c>
      <c r="L284" s="13">
        <v>218</v>
      </c>
      <c r="M284" s="11">
        <v>-4.124268353174628</v>
      </c>
      <c r="O284" s="12">
        <v>66</v>
      </c>
      <c r="P284" s="11">
        <v>46.227272727272727</v>
      </c>
      <c r="Q284" s="11">
        <v>33.696969696969695</v>
      </c>
      <c r="R284" s="11">
        <v>31.924242424242426</v>
      </c>
      <c r="S284" s="11"/>
      <c r="T284" s="11">
        <v>79.924242424242422</v>
      </c>
      <c r="U284" s="11">
        <v>39.962121212121211</v>
      </c>
      <c r="V284" s="13">
        <v>259</v>
      </c>
      <c r="W284" s="11">
        <v>-2.1347041847041694</v>
      </c>
      <c r="Y284" s="12">
        <v>89</v>
      </c>
      <c r="Z284" s="11">
        <v>43.983050847457626</v>
      </c>
      <c r="AA284" s="11">
        <v>38.525423728813557</v>
      </c>
      <c r="AB284" s="11">
        <v>30.050847457627118</v>
      </c>
      <c r="AC284" s="11"/>
      <c r="AD284" s="11">
        <v>112.5593220338983</v>
      </c>
      <c r="AE284" s="11">
        <v>37.519774011299432</v>
      </c>
      <c r="AF284" s="13">
        <v>288</v>
      </c>
      <c r="AG284" s="11">
        <v>-2.4423472008217786</v>
      </c>
      <c r="AI284" s="12">
        <v>72</v>
      </c>
      <c r="AJ284" s="11">
        <v>46.816901408450704</v>
      </c>
      <c r="AK284" s="11">
        <v>32.95774647887324</v>
      </c>
      <c r="AL284" s="11">
        <v>38.352112676056336</v>
      </c>
      <c r="AM284" s="11" t="s">
        <v>14</v>
      </c>
      <c r="AN284" s="11">
        <v>118.12676056338027</v>
      </c>
      <c r="AO284" s="11">
        <v>39.375586854460089</v>
      </c>
      <c r="AP284" s="13">
        <v>209</v>
      </c>
      <c r="AQ284" s="11">
        <v>1.8558128431606562</v>
      </c>
      <c r="AS284" s="12">
        <v>91</v>
      </c>
      <c r="AT284" s="11">
        <v>49.748351648351644</v>
      </c>
      <c r="AU284" s="11">
        <v>23.637362637362628</v>
      </c>
      <c r="AV284" s="11">
        <v>36.9087912087912</v>
      </c>
      <c r="AW284" s="11"/>
      <c r="AX284" s="11">
        <v>110.29450549450547</v>
      </c>
      <c r="AY284" s="11">
        <v>36.764835164835155</v>
      </c>
      <c r="AZ284" s="13">
        <v>230</v>
      </c>
      <c r="BA284" s="11">
        <v>-2.6107516896249336</v>
      </c>
    </row>
    <row r="285" spans="1:53" x14ac:dyDescent="0.25">
      <c r="A285" s="12">
        <v>282</v>
      </c>
      <c r="B285" s="12" t="s">
        <v>29</v>
      </c>
      <c r="C285" s="12">
        <v>124</v>
      </c>
      <c r="D285" s="12" t="s">
        <v>12</v>
      </c>
      <c r="E285" s="12">
        <v>73</v>
      </c>
      <c r="F285" s="11">
        <v>40.575342465753423</v>
      </c>
      <c r="G285" s="11">
        <v>29.860273972602737</v>
      </c>
      <c r="H285" s="11"/>
      <c r="I285" s="11"/>
      <c r="J285" s="11">
        <v>70.435616438356163</v>
      </c>
      <c r="K285" s="11">
        <v>35.217808219178082</v>
      </c>
      <c r="L285" s="13">
        <v>274</v>
      </c>
      <c r="M285" s="11">
        <v>-5.9821917808219069</v>
      </c>
      <c r="O285" s="12">
        <v>122</v>
      </c>
      <c r="P285" s="11">
        <v>44.040983606557376</v>
      </c>
      <c r="Q285" s="11">
        <v>34.66393442622951</v>
      </c>
      <c r="R285" s="11">
        <v>35.42622950819672</v>
      </c>
      <c r="S285" s="11"/>
      <c r="T285" s="11">
        <v>78.704918032786878</v>
      </c>
      <c r="U285" s="11">
        <v>39.352459016393439</v>
      </c>
      <c r="V285" s="13">
        <v>266</v>
      </c>
      <c r="W285" s="11">
        <v>4.1346507972153574</v>
      </c>
      <c r="Y285" s="12">
        <v>131</v>
      </c>
      <c r="Z285" s="11">
        <v>52.238938053097343</v>
      </c>
      <c r="AA285" s="11">
        <v>45.097345132743364</v>
      </c>
      <c r="AB285" s="11">
        <v>35.539823008849559</v>
      </c>
      <c r="AC285" s="11"/>
      <c r="AD285" s="11">
        <v>132.87610619469027</v>
      </c>
      <c r="AE285" s="11">
        <v>44.292035398230091</v>
      </c>
      <c r="AF285" s="13">
        <v>222</v>
      </c>
      <c r="AG285" s="11">
        <v>4.9395763818366518</v>
      </c>
      <c r="AI285" s="12">
        <v>132</v>
      </c>
      <c r="AJ285" s="11">
        <v>44.424242424242422</v>
      </c>
      <c r="AK285" s="11">
        <v>34.81818181818182</v>
      </c>
      <c r="AL285" s="11">
        <v>33.030303030303031</v>
      </c>
      <c r="AM285" s="11" t="s">
        <v>14</v>
      </c>
      <c r="AN285" s="11">
        <v>112.27272727272728</v>
      </c>
      <c r="AO285" s="11">
        <v>37.424242424242429</v>
      </c>
      <c r="AP285" s="13">
        <v>234</v>
      </c>
      <c r="AQ285" s="11">
        <v>-6.8677929739876618</v>
      </c>
      <c r="AS285" s="12">
        <v>127</v>
      </c>
      <c r="AT285" s="11">
        <v>49.926771653543298</v>
      </c>
      <c r="AU285" s="11">
        <v>25.762992125984258</v>
      </c>
      <c r="AV285" s="11">
        <v>34.856692913385821</v>
      </c>
      <c r="AW285" s="11"/>
      <c r="AX285" s="11">
        <v>110.54645669291338</v>
      </c>
      <c r="AY285" s="11">
        <v>36.848818897637791</v>
      </c>
      <c r="AZ285" s="13">
        <v>227</v>
      </c>
      <c r="BA285" s="11">
        <v>-0.57542352660463791</v>
      </c>
    </row>
    <row r="286" spans="1:53" x14ac:dyDescent="0.25">
      <c r="A286" s="12">
        <v>283</v>
      </c>
      <c r="B286" s="12" t="s">
        <v>29</v>
      </c>
      <c r="C286" s="12">
        <v>125</v>
      </c>
      <c r="D286" s="12" t="s">
        <v>12</v>
      </c>
      <c r="E286" s="12">
        <v>57</v>
      </c>
      <c r="F286" s="11">
        <v>47.963157894736838</v>
      </c>
      <c r="G286" s="11">
        <v>36.391228070175444</v>
      </c>
      <c r="H286" s="11"/>
      <c r="I286" s="11"/>
      <c r="J286" s="11">
        <v>84.354385964912282</v>
      </c>
      <c r="K286" s="11">
        <v>42.177192982456141</v>
      </c>
      <c r="L286" s="13">
        <v>217</v>
      </c>
      <c r="M286" s="11">
        <v>-3.2324224021592372</v>
      </c>
      <c r="O286" s="12">
        <v>49</v>
      </c>
      <c r="P286" s="11">
        <v>52.979591836734691</v>
      </c>
      <c r="Q286" s="11">
        <v>38.734693877551024</v>
      </c>
      <c r="R286" s="11">
        <v>33.653061224489797</v>
      </c>
      <c r="S286" s="11"/>
      <c r="T286" s="11">
        <v>91.714285714285722</v>
      </c>
      <c r="U286" s="11">
        <v>45.857142857142861</v>
      </c>
      <c r="V286" s="13">
        <v>161</v>
      </c>
      <c r="W286" s="11">
        <v>3.6799498746867201</v>
      </c>
      <c r="Y286" s="12">
        <v>56</v>
      </c>
      <c r="Z286" s="11">
        <v>53.018518518518519</v>
      </c>
      <c r="AA286" s="11">
        <v>46.222222222222221</v>
      </c>
      <c r="AB286" s="11">
        <v>37.185185185185183</v>
      </c>
      <c r="AC286" s="11"/>
      <c r="AD286" s="11">
        <v>136.42592592592592</v>
      </c>
      <c r="AE286" s="11">
        <v>45.47530864197531</v>
      </c>
      <c r="AF286" s="13">
        <v>197</v>
      </c>
      <c r="AG286" s="11">
        <v>-0.38183421516755089</v>
      </c>
      <c r="AI286" s="12">
        <v>63</v>
      </c>
      <c r="AJ286" s="11">
        <v>50.396825396825399</v>
      </c>
      <c r="AK286" s="11">
        <v>33.777777777777779</v>
      </c>
      <c r="AL286" s="11">
        <v>38.444444444444443</v>
      </c>
      <c r="AM286" s="11" t="s">
        <v>14</v>
      </c>
      <c r="AN286" s="11">
        <v>122.61904761904762</v>
      </c>
      <c r="AO286" s="11">
        <v>40.873015873015873</v>
      </c>
      <c r="AP286" s="13">
        <v>189</v>
      </c>
      <c r="AQ286" s="11">
        <v>-4.6022927689594368</v>
      </c>
      <c r="AS286" s="12">
        <v>56</v>
      </c>
      <c r="AT286" s="11">
        <v>46.135714285714265</v>
      </c>
      <c r="AU286" s="11">
        <v>19.419642857142854</v>
      </c>
      <c r="AV286" s="11">
        <v>30.146428571428565</v>
      </c>
      <c r="AW286" s="11"/>
      <c r="AX286" s="11">
        <v>95.701785714285677</v>
      </c>
      <c r="AY286" s="11">
        <v>31.900595238095224</v>
      </c>
      <c r="AZ286" s="13">
        <v>280</v>
      </c>
      <c r="BA286" s="11">
        <v>-8.972420634920649</v>
      </c>
    </row>
    <row r="287" spans="1:53" x14ac:dyDescent="0.25">
      <c r="A287" s="12">
        <v>284</v>
      </c>
      <c r="B287" s="12" t="s">
        <v>29</v>
      </c>
      <c r="C287" s="12">
        <v>136</v>
      </c>
      <c r="D287" s="12" t="s">
        <v>12</v>
      </c>
      <c r="E287" s="12">
        <v>108</v>
      </c>
      <c r="F287" s="11">
        <v>53.280555555555551</v>
      </c>
      <c r="G287" s="11">
        <v>37.259259259259252</v>
      </c>
      <c r="H287" s="11"/>
      <c r="I287" s="11"/>
      <c r="J287" s="11">
        <v>90.539814814814804</v>
      </c>
      <c r="K287" s="11">
        <v>45.269907407407402</v>
      </c>
      <c r="L287" s="13">
        <v>169</v>
      </c>
      <c r="M287" s="11">
        <v>4.2737290634583616</v>
      </c>
      <c r="O287" s="12">
        <v>138</v>
      </c>
      <c r="P287" s="11">
        <v>47.79710144927536</v>
      </c>
      <c r="Q287" s="11">
        <v>38.586956521739133</v>
      </c>
      <c r="R287" s="11">
        <v>30.833333333333332</v>
      </c>
      <c r="S287" s="11"/>
      <c r="T287" s="11">
        <v>86.384057971014499</v>
      </c>
      <c r="U287" s="11">
        <v>43.19202898550725</v>
      </c>
      <c r="V287" s="13">
        <v>205</v>
      </c>
      <c r="W287" s="11">
        <v>-2.0778784219001523</v>
      </c>
      <c r="Y287" s="12">
        <v>168</v>
      </c>
      <c r="Z287" s="11">
        <v>55.014492753623188</v>
      </c>
      <c r="AA287" s="11">
        <v>50.014492753623188</v>
      </c>
      <c r="AB287" s="11">
        <v>37.20289855072464</v>
      </c>
      <c r="AC287" s="11"/>
      <c r="AD287" s="11">
        <v>142.231884057971</v>
      </c>
      <c r="AE287" s="11">
        <v>47.410628019323667</v>
      </c>
      <c r="AF287" s="13">
        <v>160</v>
      </c>
      <c r="AG287" s="11">
        <v>4.2185990338164174</v>
      </c>
      <c r="AI287" s="12">
        <v>184</v>
      </c>
      <c r="AJ287" s="11">
        <v>48.451086956521742</v>
      </c>
      <c r="AK287" s="11">
        <v>41.913043478260867</v>
      </c>
      <c r="AL287" s="11">
        <v>37.005434782608695</v>
      </c>
      <c r="AM287" s="11" t="s">
        <v>14</v>
      </c>
      <c r="AN287" s="11">
        <v>127.36956521739131</v>
      </c>
      <c r="AO287" s="11">
        <v>42.456521739130437</v>
      </c>
      <c r="AP287" s="13">
        <v>164</v>
      </c>
      <c r="AQ287" s="11">
        <v>-4.9541062801932298</v>
      </c>
      <c r="AS287" s="12">
        <v>154</v>
      </c>
      <c r="AT287" s="11">
        <v>51.092763157894737</v>
      </c>
      <c r="AU287" s="11">
        <v>27.657236842105277</v>
      </c>
      <c r="AV287" s="11">
        <v>32.930921052631582</v>
      </c>
      <c r="AW287" s="11"/>
      <c r="AX287" s="11">
        <v>111.68092105263159</v>
      </c>
      <c r="AY287" s="11">
        <v>37.226973684210527</v>
      </c>
      <c r="AZ287" s="13">
        <v>218</v>
      </c>
      <c r="BA287" s="11">
        <v>-5.2295480549199098</v>
      </c>
    </row>
    <row r="288" spans="1:53" x14ac:dyDescent="0.25">
      <c r="A288" s="12">
        <v>285</v>
      </c>
      <c r="B288" s="12" t="s">
        <v>29</v>
      </c>
      <c r="C288" s="12">
        <v>149</v>
      </c>
      <c r="D288" s="12" t="s">
        <v>12</v>
      </c>
      <c r="E288" s="12">
        <v>266</v>
      </c>
      <c r="F288" s="11">
        <v>55.781954887218042</v>
      </c>
      <c r="G288" s="11">
        <v>41.217669172932347</v>
      </c>
      <c r="H288" s="11"/>
      <c r="I288" s="11"/>
      <c r="J288" s="11">
        <v>96.999624060150381</v>
      </c>
      <c r="K288" s="11">
        <v>48.499812030075191</v>
      </c>
      <c r="L288" s="13">
        <v>129</v>
      </c>
      <c r="M288" s="11">
        <v>3.5430602052576674</v>
      </c>
      <c r="O288" s="12">
        <v>265</v>
      </c>
      <c r="P288" s="11">
        <v>55.113207547169814</v>
      </c>
      <c r="Q288" s="11">
        <v>47.550943396226415</v>
      </c>
      <c r="R288" s="11">
        <v>37.064150943396228</v>
      </c>
      <c r="S288" s="11"/>
      <c r="T288" s="11">
        <v>102.66415094339624</v>
      </c>
      <c r="U288" s="11">
        <v>51.332075471698118</v>
      </c>
      <c r="V288" s="13">
        <v>81</v>
      </c>
      <c r="W288" s="11">
        <v>2.8322634416229278</v>
      </c>
      <c r="Y288" s="12">
        <v>397</v>
      </c>
      <c r="Z288" s="11">
        <v>57.96</v>
      </c>
      <c r="AA288" s="11">
        <v>51.95384615384615</v>
      </c>
      <c r="AB288" s="11">
        <v>37.258461538461539</v>
      </c>
      <c r="AC288" s="11"/>
      <c r="AD288" s="11">
        <v>147.1723076923077</v>
      </c>
      <c r="AE288" s="11">
        <v>49.057435897435901</v>
      </c>
      <c r="AF288" s="13">
        <v>133</v>
      </c>
      <c r="AG288" s="11">
        <v>-2.274639574262217</v>
      </c>
      <c r="AI288" s="12">
        <v>390</v>
      </c>
      <c r="AJ288" s="11">
        <v>52.89203084832905</v>
      </c>
      <c r="AK288" s="11">
        <v>45.583547557840618</v>
      </c>
      <c r="AL288" s="11">
        <v>40.570694087403602</v>
      </c>
      <c r="AM288" s="11">
        <v>56.8</v>
      </c>
      <c r="AN288" s="11">
        <v>139.04627249357327</v>
      </c>
      <c r="AO288" s="11">
        <v>46.348757497857754</v>
      </c>
      <c r="AP288" s="13">
        <v>117</v>
      </c>
      <c r="AQ288" s="11">
        <v>-2.7086783995781474</v>
      </c>
      <c r="AS288" s="12">
        <v>379</v>
      </c>
      <c r="AT288" s="11">
        <v>58.136411609498651</v>
      </c>
      <c r="AU288" s="11">
        <v>31.252770448548759</v>
      </c>
      <c r="AV288" s="11">
        <v>39.381002638522439</v>
      </c>
      <c r="AW288" s="11">
        <v>59.492063492063494</v>
      </c>
      <c r="AX288" s="11">
        <v>128.77018469656986</v>
      </c>
      <c r="AY288" s="11">
        <v>42.923394898856621</v>
      </c>
      <c r="AZ288" s="13">
        <v>120</v>
      </c>
      <c r="BA288" s="11">
        <v>-3.4253625990011329</v>
      </c>
    </row>
    <row r="289" spans="1:53" x14ac:dyDescent="0.25">
      <c r="A289" s="12">
        <v>286</v>
      </c>
      <c r="B289" s="12" t="s">
        <v>29</v>
      </c>
      <c r="C289" s="12">
        <v>156</v>
      </c>
      <c r="D289" s="12" t="s">
        <v>12</v>
      </c>
      <c r="E289" s="12">
        <v>95</v>
      </c>
      <c r="F289" s="11">
        <v>43.047368421052632</v>
      </c>
      <c r="G289" s="11">
        <v>31.027368421052635</v>
      </c>
      <c r="H289" s="11"/>
      <c r="I289" s="11"/>
      <c r="J289" s="11">
        <v>74.074736842105267</v>
      </c>
      <c r="K289" s="11">
        <v>37.037368421052633</v>
      </c>
      <c r="L289" s="13">
        <v>265</v>
      </c>
      <c r="M289" s="11">
        <v>-8.4202786377708918</v>
      </c>
      <c r="O289" s="12">
        <v>78</v>
      </c>
      <c r="P289" s="11">
        <v>47</v>
      </c>
      <c r="Q289" s="11">
        <v>38.974358974358971</v>
      </c>
      <c r="R289" s="11">
        <v>31.333333333333332</v>
      </c>
      <c r="S289" s="11"/>
      <c r="T289" s="11">
        <v>85.974358974358978</v>
      </c>
      <c r="U289" s="11">
        <v>42.987179487179489</v>
      </c>
      <c r="V289" s="13">
        <v>211</v>
      </c>
      <c r="W289" s="11">
        <v>5.9498110661268555</v>
      </c>
      <c r="Y289" s="12">
        <v>114</v>
      </c>
      <c r="Z289" s="11">
        <v>47.146788990825691</v>
      </c>
      <c r="AA289" s="11">
        <v>43.018348623853214</v>
      </c>
      <c r="AB289" s="11">
        <v>31.816513761467888</v>
      </c>
      <c r="AC289" s="11"/>
      <c r="AD289" s="11">
        <v>121.9816513761468</v>
      </c>
      <c r="AE289" s="11">
        <v>40.660550458715598</v>
      </c>
      <c r="AF289" s="13">
        <v>268</v>
      </c>
      <c r="AG289" s="11">
        <v>-2.3266290284638913</v>
      </c>
      <c r="AI289" s="12">
        <v>119</v>
      </c>
      <c r="AJ289" s="11">
        <v>44.075630252100844</v>
      </c>
      <c r="AK289" s="11">
        <v>35.966386554621849</v>
      </c>
      <c r="AL289" s="11">
        <v>35.663865546218489</v>
      </c>
      <c r="AM289" s="11" t="s">
        <v>14</v>
      </c>
      <c r="AN289" s="11">
        <v>115.70588235294119</v>
      </c>
      <c r="AO289" s="11">
        <v>38.568627450980394</v>
      </c>
      <c r="AP289" s="13">
        <v>223</v>
      </c>
      <c r="AQ289" s="11">
        <v>-2.091923007735204</v>
      </c>
      <c r="AS289" s="12">
        <v>111</v>
      </c>
      <c r="AT289" s="11">
        <v>48.927927927927918</v>
      </c>
      <c r="AU289" s="11">
        <v>25.233333333333338</v>
      </c>
      <c r="AV289" s="11">
        <v>34.038738738738729</v>
      </c>
      <c r="AW289" s="11"/>
      <c r="AX289" s="11">
        <v>108.19999999999999</v>
      </c>
      <c r="AY289" s="11">
        <v>36.066666666666663</v>
      </c>
      <c r="AZ289" s="13">
        <v>238</v>
      </c>
      <c r="BA289" s="11">
        <v>-2.5019607843137308</v>
      </c>
    </row>
    <row r="290" spans="1:53" x14ac:dyDescent="0.25">
      <c r="A290" s="12">
        <v>287</v>
      </c>
      <c r="B290" s="12" t="s">
        <v>29</v>
      </c>
      <c r="C290" s="12">
        <v>181</v>
      </c>
      <c r="D290" s="12" t="s">
        <v>12</v>
      </c>
      <c r="E290" s="12">
        <v>109</v>
      </c>
      <c r="F290" s="11">
        <v>47.299082568807357</v>
      </c>
      <c r="G290" s="11">
        <v>34.055963302752296</v>
      </c>
      <c r="H290" s="11"/>
      <c r="I290" s="11"/>
      <c r="J290" s="11">
        <v>81.355045871559653</v>
      </c>
      <c r="K290" s="11">
        <v>40.677522935779827</v>
      </c>
      <c r="L290" s="13">
        <v>234</v>
      </c>
      <c r="M290" s="11">
        <v>0.98078380534504106</v>
      </c>
      <c r="O290" s="12">
        <v>95</v>
      </c>
      <c r="P290" s="11">
        <v>49.263157894736842</v>
      </c>
      <c r="Q290" s="11">
        <v>34.4</v>
      </c>
      <c r="R290" s="11">
        <v>30.6</v>
      </c>
      <c r="S290" s="11"/>
      <c r="T290" s="11">
        <v>83.663157894736841</v>
      </c>
      <c r="U290" s="11">
        <v>41.831578947368421</v>
      </c>
      <c r="V290" s="13">
        <v>223</v>
      </c>
      <c r="W290" s="11">
        <v>1.1540560115885938</v>
      </c>
      <c r="Y290" s="12">
        <v>130</v>
      </c>
      <c r="Z290" s="11">
        <v>54.613636363636367</v>
      </c>
      <c r="AA290" s="11">
        <v>42.393939393939391</v>
      </c>
      <c r="AB290" s="11">
        <v>38.265151515151516</v>
      </c>
      <c r="AC290" s="11"/>
      <c r="AD290" s="11">
        <v>135.27272727272725</v>
      </c>
      <c r="AE290" s="11">
        <v>45.090909090909086</v>
      </c>
      <c r="AF290" s="13">
        <v>205</v>
      </c>
      <c r="AG290" s="11">
        <v>3.2593301435406659</v>
      </c>
      <c r="AI290" s="12">
        <v>122</v>
      </c>
      <c r="AJ290" s="11">
        <v>43.669421487603309</v>
      </c>
      <c r="AK290" s="11">
        <v>32.462809917355372</v>
      </c>
      <c r="AL290" s="11">
        <v>40.099173553719005</v>
      </c>
      <c r="AM290" s="11">
        <v>44.666666666666664</v>
      </c>
      <c r="AN290" s="11">
        <v>116.23140495867767</v>
      </c>
      <c r="AO290" s="11">
        <v>38.743801652892557</v>
      </c>
      <c r="AP290" s="13">
        <v>220</v>
      </c>
      <c r="AQ290" s="11">
        <v>-6.3471074380165291</v>
      </c>
      <c r="AS290" s="12">
        <v>131</v>
      </c>
      <c r="AT290" s="11">
        <v>55.923846153846149</v>
      </c>
      <c r="AU290" s="11">
        <v>25.239230769230772</v>
      </c>
      <c r="AV290" s="11">
        <v>40.136923076923061</v>
      </c>
      <c r="AW290" s="11">
        <v>55.883333333333333</v>
      </c>
      <c r="AX290" s="11">
        <v>121.29999999999998</v>
      </c>
      <c r="AY290" s="11">
        <v>40.43333333333333</v>
      </c>
      <c r="AZ290" s="13">
        <v>159</v>
      </c>
      <c r="BA290" s="11">
        <v>1.6895316804407727</v>
      </c>
    </row>
    <row r="291" spans="1:53" x14ac:dyDescent="0.25">
      <c r="A291" s="12">
        <v>288</v>
      </c>
      <c r="B291" s="12" t="s">
        <v>29</v>
      </c>
      <c r="C291" s="12">
        <v>183</v>
      </c>
      <c r="D291" s="12" t="s">
        <v>12</v>
      </c>
      <c r="E291" s="12">
        <v>78</v>
      </c>
      <c r="F291" s="11">
        <v>51.305128205128199</v>
      </c>
      <c r="G291" s="11">
        <v>33.28205128205127</v>
      </c>
      <c r="H291" s="11"/>
      <c r="I291" s="11"/>
      <c r="J291" s="11">
        <v>84.587179487179469</v>
      </c>
      <c r="K291" s="11">
        <v>42.293589743589735</v>
      </c>
      <c r="L291" s="13">
        <v>214</v>
      </c>
      <c r="M291" s="11">
        <v>3.6608311229000776</v>
      </c>
      <c r="O291" s="12">
        <v>68</v>
      </c>
      <c r="P291" s="11">
        <v>49.544117647058826</v>
      </c>
      <c r="Q291" s="11">
        <v>34.352941176470587</v>
      </c>
      <c r="R291" s="11">
        <v>33.029411764705884</v>
      </c>
      <c r="S291" s="11"/>
      <c r="T291" s="11">
        <v>83.89705882352942</v>
      </c>
      <c r="U291" s="11">
        <v>41.94852941176471</v>
      </c>
      <c r="V291" s="13">
        <v>221</v>
      </c>
      <c r="W291" s="11">
        <v>-0.34506033182502449</v>
      </c>
      <c r="Y291" s="12">
        <v>92</v>
      </c>
      <c r="Z291" s="11">
        <v>52.423529411764704</v>
      </c>
      <c r="AA291" s="11">
        <v>43.458823529411767</v>
      </c>
      <c r="AB291" s="11">
        <v>36.070588235294117</v>
      </c>
      <c r="AC291" s="11"/>
      <c r="AD291" s="11">
        <v>131.95294117647057</v>
      </c>
      <c r="AE291" s="11">
        <v>43.984313725490189</v>
      </c>
      <c r="AF291" s="13">
        <v>230</v>
      </c>
      <c r="AG291" s="11">
        <v>2.035784313725479</v>
      </c>
      <c r="AI291" s="12">
        <v>101</v>
      </c>
      <c r="AJ291" s="11">
        <v>48.019801980198018</v>
      </c>
      <c r="AK291" s="11">
        <v>37.742574257425744</v>
      </c>
      <c r="AL291" s="11">
        <v>40.297029702970299</v>
      </c>
      <c r="AM291" s="11">
        <v>47.366666666666667</v>
      </c>
      <c r="AN291" s="11">
        <v>126.05940594059405</v>
      </c>
      <c r="AO291" s="11">
        <v>42.019801980198018</v>
      </c>
      <c r="AP291" s="13">
        <v>174</v>
      </c>
      <c r="AQ291" s="11">
        <v>-1.964511745292171</v>
      </c>
      <c r="AS291" s="12">
        <v>91</v>
      </c>
      <c r="AT291" s="11">
        <v>51.045555555555559</v>
      </c>
      <c r="AU291" s="11">
        <v>20.753333333333334</v>
      </c>
      <c r="AV291" s="11">
        <v>36.79</v>
      </c>
      <c r="AW291" s="11">
        <v>53.03846153846154</v>
      </c>
      <c r="AX291" s="11">
        <v>108.5888888888889</v>
      </c>
      <c r="AY291" s="11">
        <v>36.196296296296303</v>
      </c>
      <c r="AZ291" s="13">
        <v>237</v>
      </c>
      <c r="BA291" s="11">
        <v>-5.8235056839017147</v>
      </c>
    </row>
    <row r="292" spans="1:53" x14ac:dyDescent="0.25">
      <c r="A292" s="12">
        <v>289</v>
      </c>
      <c r="B292" s="12" t="s">
        <v>29</v>
      </c>
      <c r="C292" s="12">
        <v>185</v>
      </c>
      <c r="D292" s="12" t="s">
        <v>12</v>
      </c>
      <c r="E292" s="12">
        <v>48</v>
      </c>
      <c r="F292" s="11">
        <v>30.366666666666664</v>
      </c>
      <c r="G292" s="11">
        <v>19.443749999999998</v>
      </c>
      <c r="H292" s="11"/>
      <c r="I292" s="11"/>
      <c r="J292" s="11">
        <v>49.810416666666661</v>
      </c>
      <c r="K292" s="11">
        <v>24.905208333333331</v>
      </c>
      <c r="L292" s="13">
        <v>302</v>
      </c>
      <c r="M292" s="11">
        <v>-4.4138392857142819</v>
      </c>
      <c r="O292" s="12">
        <v>33</v>
      </c>
      <c r="P292" s="11">
        <v>32.81818181818182</v>
      </c>
      <c r="Q292" s="11">
        <v>18.272727272727273</v>
      </c>
      <c r="R292" s="11">
        <v>21.272727272727273</v>
      </c>
      <c r="S292" s="11"/>
      <c r="T292" s="11">
        <v>51.090909090909093</v>
      </c>
      <c r="U292" s="11">
        <v>25.545454545454547</v>
      </c>
      <c r="V292" s="13">
        <v>304</v>
      </c>
      <c r="W292" s="11">
        <v>0.64024621212121602</v>
      </c>
      <c r="Y292" s="12">
        <v>68</v>
      </c>
      <c r="Z292" s="11">
        <v>41.346153846153847</v>
      </c>
      <c r="AA292" s="11">
        <v>36</v>
      </c>
      <c r="AB292" s="11">
        <v>28.403846153846153</v>
      </c>
      <c r="AC292" s="11"/>
      <c r="AD292" s="11">
        <v>105.75</v>
      </c>
      <c r="AE292" s="11">
        <v>35.25</v>
      </c>
      <c r="AF292" s="13">
        <v>295</v>
      </c>
      <c r="AG292" s="11">
        <v>9.7045454545454533</v>
      </c>
      <c r="AI292" s="12">
        <v>58</v>
      </c>
      <c r="AJ292" s="11">
        <v>28.586206896551722</v>
      </c>
      <c r="AK292" s="11">
        <v>23.310344827586206</v>
      </c>
      <c r="AL292" s="11">
        <v>21.120689655172413</v>
      </c>
      <c r="AM292" s="11" t="s">
        <v>14</v>
      </c>
      <c r="AN292" s="11">
        <v>73.017241379310349</v>
      </c>
      <c r="AO292" s="11">
        <v>24.339080459770116</v>
      </c>
      <c r="AP292" s="13">
        <v>307</v>
      </c>
      <c r="AQ292" s="11">
        <v>-10.910919540229884</v>
      </c>
      <c r="AS292" s="12">
        <v>64</v>
      </c>
      <c r="AT292" s="11">
        <v>38.09687499999999</v>
      </c>
      <c r="AU292" s="11">
        <v>15.551562499999992</v>
      </c>
      <c r="AV292" s="11">
        <v>26.834374999999987</v>
      </c>
      <c r="AW292" s="11"/>
      <c r="AX292" s="11">
        <v>80.482812499999966</v>
      </c>
      <c r="AY292" s="11">
        <v>26.827604166666656</v>
      </c>
      <c r="AZ292" s="13">
        <v>300</v>
      </c>
      <c r="BA292" s="11">
        <v>2.4885237068965402</v>
      </c>
    </row>
    <row r="293" spans="1:53" x14ac:dyDescent="0.25">
      <c r="A293" s="12">
        <v>290</v>
      </c>
      <c r="B293" s="12" t="s">
        <v>29</v>
      </c>
      <c r="C293" s="12">
        <v>206</v>
      </c>
      <c r="D293" s="12" t="s">
        <v>12</v>
      </c>
      <c r="E293" s="12">
        <v>39</v>
      </c>
      <c r="F293" s="11">
        <v>55.228205128205133</v>
      </c>
      <c r="G293" s="11">
        <v>36.648717948717938</v>
      </c>
      <c r="H293" s="11"/>
      <c r="I293" s="11"/>
      <c r="J293" s="11">
        <v>91.876923076923077</v>
      </c>
      <c r="K293" s="11">
        <v>45.938461538461539</v>
      </c>
      <c r="L293" s="13">
        <v>161</v>
      </c>
      <c r="M293" s="11">
        <v>4.5566433566433631</v>
      </c>
      <c r="O293" s="12">
        <v>25</v>
      </c>
      <c r="P293" s="11">
        <v>45.96</v>
      </c>
      <c r="Q293" s="11">
        <v>37.72</v>
      </c>
      <c r="R293" s="11">
        <v>27.76</v>
      </c>
      <c r="S293" s="11"/>
      <c r="T293" s="11">
        <v>83.68</v>
      </c>
      <c r="U293" s="11">
        <v>41.84</v>
      </c>
      <c r="V293" s="13">
        <v>222</v>
      </c>
      <c r="W293" s="11">
        <v>-4.0984615384615353</v>
      </c>
      <c r="Y293" s="12">
        <v>32</v>
      </c>
      <c r="Z293" s="11">
        <v>49.521739130434781</v>
      </c>
      <c r="AA293" s="11">
        <v>41.978260869565219</v>
      </c>
      <c r="AB293" s="11">
        <v>31.478260869565219</v>
      </c>
      <c r="AC293" s="11"/>
      <c r="AD293" s="11">
        <v>122.97826086956522</v>
      </c>
      <c r="AE293" s="11">
        <v>40.992753623188406</v>
      </c>
      <c r="AF293" s="13">
        <v>263</v>
      </c>
      <c r="AG293" s="11">
        <v>-0.8472463768115972</v>
      </c>
      <c r="AI293" s="12">
        <v>46</v>
      </c>
      <c r="AJ293" s="11">
        <v>45.644444444444446</v>
      </c>
      <c r="AK293" s="11">
        <v>35.466666666666669</v>
      </c>
      <c r="AL293" s="11">
        <v>30.711111111111112</v>
      </c>
      <c r="AM293" s="11" t="s">
        <v>14</v>
      </c>
      <c r="AN293" s="11">
        <v>111.82222222222222</v>
      </c>
      <c r="AO293" s="11">
        <v>37.274074074074072</v>
      </c>
      <c r="AP293" s="13">
        <v>240</v>
      </c>
      <c r="AQ293" s="11">
        <v>-3.7186795491143343</v>
      </c>
      <c r="AS293" s="12">
        <v>31</v>
      </c>
      <c r="AT293" s="11">
        <v>58.283870967741933</v>
      </c>
      <c r="AU293" s="11">
        <v>28.541935483870972</v>
      </c>
      <c r="AV293" s="11">
        <v>32.254838709677415</v>
      </c>
      <c r="AW293" s="11"/>
      <c r="AX293" s="11">
        <v>119.08064516129032</v>
      </c>
      <c r="AY293" s="11">
        <v>39.693548387096776</v>
      </c>
      <c r="AZ293" s="13">
        <v>173</v>
      </c>
      <c r="BA293" s="11">
        <v>2.4194743130227039</v>
      </c>
    </row>
    <row r="294" spans="1:53" x14ac:dyDescent="0.25">
      <c r="A294" s="12">
        <v>291</v>
      </c>
      <c r="B294" s="12" t="s">
        <v>29</v>
      </c>
      <c r="C294" s="12">
        <v>216</v>
      </c>
      <c r="D294" s="12" t="s">
        <v>12</v>
      </c>
      <c r="E294" s="12">
        <v>44</v>
      </c>
      <c r="F294" s="11">
        <v>42.225000000000001</v>
      </c>
      <c r="G294" s="11">
        <v>29.597727272727266</v>
      </c>
      <c r="H294" s="11"/>
      <c r="I294" s="11"/>
      <c r="J294" s="11">
        <v>71.822727272727263</v>
      </c>
      <c r="K294" s="11">
        <v>35.911363636363632</v>
      </c>
      <c r="L294" s="13">
        <v>270</v>
      </c>
      <c r="M294" s="11">
        <v>-2.1642461197339316</v>
      </c>
      <c r="O294" s="12">
        <v>37</v>
      </c>
      <c r="P294" s="11">
        <v>45.324324324324323</v>
      </c>
      <c r="Q294" s="11">
        <v>33.324324324324323</v>
      </c>
      <c r="R294" s="11">
        <v>26.324324324324323</v>
      </c>
      <c r="S294" s="11"/>
      <c r="T294" s="11">
        <v>78.648648648648646</v>
      </c>
      <c r="U294" s="11">
        <v>39.324324324324323</v>
      </c>
      <c r="V294" s="13">
        <v>267</v>
      </c>
      <c r="W294" s="11">
        <v>3.4129606879606911</v>
      </c>
      <c r="Y294" s="12">
        <v>61</v>
      </c>
      <c r="Z294" s="11">
        <v>54.952380952380949</v>
      </c>
      <c r="AA294" s="11">
        <v>44.976190476190474</v>
      </c>
      <c r="AB294" s="11">
        <v>36.904761904761905</v>
      </c>
      <c r="AC294" s="11"/>
      <c r="AD294" s="11">
        <v>136.83333333333331</v>
      </c>
      <c r="AE294" s="11">
        <v>45.611111111111107</v>
      </c>
      <c r="AF294" s="13">
        <v>194</v>
      </c>
      <c r="AG294" s="11">
        <v>6.2867867867867844</v>
      </c>
      <c r="AI294" s="12">
        <v>55</v>
      </c>
      <c r="AJ294" s="11">
        <v>41.909090909090907</v>
      </c>
      <c r="AK294" s="11">
        <v>25.963636363636365</v>
      </c>
      <c r="AL294" s="11">
        <v>32.109090909090909</v>
      </c>
      <c r="AM294" s="11">
        <v>41.333333333333336</v>
      </c>
      <c r="AN294" s="11">
        <v>99.981818181818184</v>
      </c>
      <c r="AO294" s="11">
        <v>33.327272727272728</v>
      </c>
      <c r="AP294" s="13">
        <v>275</v>
      </c>
      <c r="AQ294" s="11">
        <v>-12.283838383838379</v>
      </c>
      <c r="AS294" s="12">
        <v>56</v>
      </c>
      <c r="AT294" s="11">
        <v>46.383928571428562</v>
      </c>
      <c r="AU294" s="11">
        <v>21.048214285714284</v>
      </c>
      <c r="AV294" s="11">
        <v>28.416071428571431</v>
      </c>
      <c r="AW294" s="11">
        <v>53.833333333333336</v>
      </c>
      <c r="AX294" s="11">
        <v>95.848214285714278</v>
      </c>
      <c r="AY294" s="11">
        <v>31.949404761904759</v>
      </c>
      <c r="AZ294" s="13">
        <v>279</v>
      </c>
      <c r="BA294" s="11">
        <v>-1.3778679653679688</v>
      </c>
    </row>
    <row r="295" spans="1:53" x14ac:dyDescent="0.25">
      <c r="A295" s="12">
        <v>292</v>
      </c>
      <c r="B295" s="12" t="s">
        <v>29</v>
      </c>
      <c r="C295" s="12">
        <v>218</v>
      </c>
      <c r="D295" s="12" t="s">
        <v>12</v>
      </c>
      <c r="E295" s="12">
        <v>296</v>
      </c>
      <c r="F295" s="11">
        <v>51.760472972972956</v>
      </c>
      <c r="G295" s="11">
        <v>37.993918918918908</v>
      </c>
      <c r="H295" s="11"/>
      <c r="I295" s="11"/>
      <c r="J295" s="11">
        <v>89.754391891891856</v>
      </c>
      <c r="K295" s="11">
        <v>44.877195945945928</v>
      </c>
      <c r="L295" s="13">
        <v>176</v>
      </c>
      <c r="M295" s="11">
        <v>1.2609063531857387</v>
      </c>
      <c r="O295" s="12">
        <v>286</v>
      </c>
      <c r="P295" s="11">
        <v>49.052447552447553</v>
      </c>
      <c r="Q295" s="11">
        <v>37.884615384615387</v>
      </c>
      <c r="R295" s="11">
        <v>30.832167832167833</v>
      </c>
      <c r="S295" s="11"/>
      <c r="T295" s="11">
        <v>86.937062937062933</v>
      </c>
      <c r="U295" s="11">
        <v>43.468531468531467</v>
      </c>
      <c r="V295" s="13">
        <v>203</v>
      </c>
      <c r="W295" s="11">
        <v>-1.4086644774144617</v>
      </c>
      <c r="Y295" s="12">
        <v>349</v>
      </c>
      <c r="Z295" s="11">
        <v>51.158783783783782</v>
      </c>
      <c r="AA295" s="11">
        <v>46.905405405405403</v>
      </c>
      <c r="AB295" s="11">
        <v>33.050675675675677</v>
      </c>
      <c r="AC295" s="11"/>
      <c r="AD295" s="11">
        <v>131.11486486486487</v>
      </c>
      <c r="AE295" s="11">
        <v>43.704954954954957</v>
      </c>
      <c r="AF295" s="13">
        <v>238</v>
      </c>
      <c r="AG295" s="11">
        <v>0.2364234864234902</v>
      </c>
      <c r="AI295" s="12">
        <v>317</v>
      </c>
      <c r="AJ295" s="11">
        <v>42.239747634069403</v>
      </c>
      <c r="AK295" s="11">
        <v>33.716088328075713</v>
      </c>
      <c r="AL295" s="11">
        <v>29.425867507886434</v>
      </c>
      <c r="AM295" s="11"/>
      <c r="AN295" s="11">
        <v>105.38170347003155</v>
      </c>
      <c r="AO295" s="11">
        <v>35.127234490010515</v>
      </c>
      <c r="AP295" s="13">
        <v>265</v>
      </c>
      <c r="AQ295" s="11">
        <v>-8.5777204649444414</v>
      </c>
      <c r="AS295" s="12">
        <v>339</v>
      </c>
      <c r="AT295" s="11">
        <v>51.559226190476203</v>
      </c>
      <c r="AU295" s="11">
        <v>24.076488095238094</v>
      </c>
      <c r="AV295" s="11">
        <v>30.399404761904758</v>
      </c>
      <c r="AW295" s="11"/>
      <c r="AX295" s="11">
        <v>106.03511904761906</v>
      </c>
      <c r="AY295" s="11">
        <v>35.345039682539685</v>
      </c>
      <c r="AZ295" s="13">
        <v>247</v>
      </c>
      <c r="BA295" s="11">
        <v>0.21780519252916974</v>
      </c>
    </row>
    <row r="296" spans="1:53" x14ac:dyDescent="0.25">
      <c r="A296" s="12">
        <v>293</v>
      </c>
      <c r="B296" s="12" t="s">
        <v>29</v>
      </c>
      <c r="C296" s="12">
        <v>230</v>
      </c>
      <c r="D296" s="12" t="s">
        <v>12</v>
      </c>
      <c r="E296" s="12">
        <v>52</v>
      </c>
      <c r="F296" s="11">
        <v>51.438461538461524</v>
      </c>
      <c r="G296" s="11">
        <v>36.251923076923077</v>
      </c>
      <c r="H296" s="11"/>
      <c r="I296" s="11"/>
      <c r="J296" s="11">
        <v>87.690384615384602</v>
      </c>
      <c r="K296" s="11">
        <v>43.845192307692301</v>
      </c>
      <c r="L296" s="13">
        <v>196</v>
      </c>
      <c r="M296" s="11">
        <v>-0.66418269230770477</v>
      </c>
      <c r="O296" s="12">
        <v>65</v>
      </c>
      <c r="P296" s="11">
        <v>52.892307692307689</v>
      </c>
      <c r="Q296" s="11">
        <v>41.07692307692308</v>
      </c>
      <c r="R296" s="11">
        <v>38.07692307692308</v>
      </c>
      <c r="S296" s="11"/>
      <c r="T296" s="11">
        <v>93.969230769230762</v>
      </c>
      <c r="U296" s="11">
        <v>46.984615384615381</v>
      </c>
      <c r="V296" s="13">
        <v>139</v>
      </c>
      <c r="W296" s="11">
        <v>3.1394230769230802</v>
      </c>
      <c r="Y296" s="12">
        <v>98</v>
      </c>
      <c r="Z296" s="11">
        <v>53.230769230769234</v>
      </c>
      <c r="AA296" s="11">
        <v>42.179487179487182</v>
      </c>
      <c r="AB296" s="11">
        <v>34.53846153846154</v>
      </c>
      <c r="AC296" s="11"/>
      <c r="AD296" s="11">
        <v>129.94871794871796</v>
      </c>
      <c r="AE296" s="11">
        <v>43.316239316239319</v>
      </c>
      <c r="AF296" s="13">
        <v>242</v>
      </c>
      <c r="AG296" s="11">
        <v>-3.6683760683760624</v>
      </c>
      <c r="AI296" s="12">
        <v>97</v>
      </c>
      <c r="AJ296" s="11">
        <v>38.515463917525771</v>
      </c>
      <c r="AK296" s="11">
        <v>34.597938144329895</v>
      </c>
      <c r="AL296" s="11">
        <v>32.989690721649481</v>
      </c>
      <c r="AM296" s="11">
        <v>50.285714285714285</v>
      </c>
      <c r="AN296" s="11">
        <v>106.10309278350515</v>
      </c>
      <c r="AO296" s="11">
        <v>35.367697594501713</v>
      </c>
      <c r="AP296" s="13">
        <v>262</v>
      </c>
      <c r="AQ296" s="11">
        <v>-7.9485417217376053</v>
      </c>
      <c r="AS296" s="12">
        <v>93</v>
      </c>
      <c r="AT296" s="11">
        <v>50.103225806451618</v>
      </c>
      <c r="AU296" s="11">
        <v>23.035483870967745</v>
      </c>
      <c r="AV296" s="11">
        <v>29.915053763440856</v>
      </c>
      <c r="AW296" s="11">
        <v>49.666666666666664</v>
      </c>
      <c r="AX296" s="11">
        <v>103.05376344086022</v>
      </c>
      <c r="AY296" s="11">
        <v>34.351254480286741</v>
      </c>
      <c r="AZ296" s="13">
        <v>260</v>
      </c>
      <c r="BA296" s="11">
        <v>-1.0164431142149724</v>
      </c>
    </row>
    <row r="297" spans="1:53" x14ac:dyDescent="0.25">
      <c r="A297" s="12">
        <v>294</v>
      </c>
      <c r="B297" s="12" t="s">
        <v>29</v>
      </c>
      <c r="C297" s="12">
        <v>234</v>
      </c>
      <c r="D297" s="12" t="s">
        <v>12</v>
      </c>
      <c r="E297" s="12">
        <v>75</v>
      </c>
      <c r="F297" s="11">
        <v>56.37866666666666</v>
      </c>
      <c r="G297" s="11">
        <v>41.688000000000002</v>
      </c>
      <c r="H297" s="11"/>
      <c r="I297" s="11"/>
      <c r="J297" s="11">
        <v>98.066666666666663</v>
      </c>
      <c r="K297" s="11">
        <v>49.033333333333331</v>
      </c>
      <c r="L297" s="13">
        <v>121</v>
      </c>
      <c r="M297" s="11">
        <v>-6.7228395061728463</v>
      </c>
      <c r="O297" s="12">
        <v>78</v>
      </c>
      <c r="P297" s="11">
        <v>55.282051282051285</v>
      </c>
      <c r="Q297" s="11">
        <v>40.410256410256409</v>
      </c>
      <c r="R297" s="11">
        <v>38.96153846153846</v>
      </c>
      <c r="S297" s="11"/>
      <c r="T297" s="11">
        <v>95.692307692307693</v>
      </c>
      <c r="U297" s="11">
        <v>47.846153846153847</v>
      </c>
      <c r="V297" s="13">
        <v>128</v>
      </c>
      <c r="W297" s="11">
        <v>-1.1871794871794847</v>
      </c>
      <c r="Y297" s="12">
        <v>88</v>
      </c>
      <c r="Z297" s="11">
        <v>57.587499999999999</v>
      </c>
      <c r="AA297" s="11">
        <v>48.112499999999997</v>
      </c>
      <c r="AB297" s="11">
        <v>44.712499999999999</v>
      </c>
      <c r="AC297" s="11"/>
      <c r="AD297" s="11">
        <v>150.41249999999999</v>
      </c>
      <c r="AE297" s="11">
        <v>50.137499999999996</v>
      </c>
      <c r="AF297" s="13">
        <v>111</v>
      </c>
      <c r="AG297" s="11">
        <v>2.291346153846149</v>
      </c>
      <c r="AI297" s="12">
        <v>76</v>
      </c>
      <c r="AJ297" s="11">
        <v>53.631578947368418</v>
      </c>
      <c r="AK297" s="11">
        <v>46.368421052631582</v>
      </c>
      <c r="AL297" s="11">
        <v>44.69736842105263</v>
      </c>
      <c r="AM297" s="11" t="s">
        <v>14</v>
      </c>
      <c r="AN297" s="11">
        <v>144.69736842105263</v>
      </c>
      <c r="AO297" s="11">
        <v>48.232456140350877</v>
      </c>
      <c r="AP297" s="13">
        <v>85</v>
      </c>
      <c r="AQ297" s="11">
        <v>-1.905043859649119</v>
      </c>
      <c r="AS297" s="12">
        <v>87</v>
      </c>
      <c r="AT297" s="11">
        <v>57.597701149425319</v>
      </c>
      <c r="AU297" s="11">
        <v>27.988505747126435</v>
      </c>
      <c r="AV297" s="11">
        <v>43.342528735632186</v>
      </c>
      <c r="AW297" s="11"/>
      <c r="AX297" s="11">
        <v>128.92873563218393</v>
      </c>
      <c r="AY297" s="11">
        <v>42.976245210727974</v>
      </c>
      <c r="AZ297" s="13">
        <v>117</v>
      </c>
      <c r="BA297" s="11">
        <v>-5.2562109296229025</v>
      </c>
    </row>
    <row r="298" spans="1:53" x14ac:dyDescent="0.25">
      <c r="A298" s="12">
        <v>295</v>
      </c>
      <c r="B298" s="12" t="s">
        <v>29</v>
      </c>
      <c r="C298" s="12">
        <v>237</v>
      </c>
      <c r="D298" s="12" t="s">
        <v>12</v>
      </c>
      <c r="E298" s="12">
        <v>63</v>
      </c>
      <c r="F298" s="11">
        <v>42.728571428571435</v>
      </c>
      <c r="G298" s="11">
        <v>27.76984126984128</v>
      </c>
      <c r="H298" s="11"/>
      <c r="I298" s="11"/>
      <c r="J298" s="11">
        <v>70.498412698412722</v>
      </c>
      <c r="K298" s="11">
        <v>35.249206349206361</v>
      </c>
      <c r="L298" s="13">
        <v>273</v>
      </c>
      <c r="M298" s="11">
        <v>-5.0285714285714107</v>
      </c>
      <c r="O298" s="12">
        <v>73</v>
      </c>
      <c r="P298" s="11">
        <v>39.712328767123289</v>
      </c>
      <c r="Q298" s="11">
        <v>30.465753424657535</v>
      </c>
      <c r="R298" s="11">
        <v>28.315068493150687</v>
      </c>
      <c r="S298" s="11"/>
      <c r="T298" s="11">
        <v>70.178082191780817</v>
      </c>
      <c r="U298" s="11">
        <v>35.089041095890408</v>
      </c>
      <c r="V298" s="13">
        <v>288</v>
      </c>
      <c r="W298" s="11">
        <v>-0.16016525331595233</v>
      </c>
      <c r="Y298" s="12">
        <v>69</v>
      </c>
      <c r="Z298" s="11">
        <v>45.492307692307691</v>
      </c>
      <c r="AA298" s="11">
        <v>40.292307692307695</v>
      </c>
      <c r="AB298" s="11">
        <v>34.153846153846153</v>
      </c>
      <c r="AC298" s="11"/>
      <c r="AD298" s="11">
        <v>119.93846153846155</v>
      </c>
      <c r="AE298" s="11">
        <v>39.979487179487187</v>
      </c>
      <c r="AF298" s="13">
        <v>273</v>
      </c>
      <c r="AG298" s="11">
        <v>4.8904460835967782</v>
      </c>
      <c r="AI298" s="12">
        <v>56</v>
      </c>
      <c r="AJ298" s="11">
        <v>34.785714285714285</v>
      </c>
      <c r="AK298" s="11">
        <v>27.928571428571427</v>
      </c>
      <c r="AL298" s="11">
        <v>26.839285714285715</v>
      </c>
      <c r="AM298" s="11" t="s">
        <v>14</v>
      </c>
      <c r="AN298" s="11">
        <v>89.553571428571416</v>
      </c>
      <c r="AO298" s="11">
        <v>29.851190476190471</v>
      </c>
      <c r="AP298" s="13">
        <v>297</v>
      </c>
      <c r="AQ298" s="11">
        <v>-10.128296703296716</v>
      </c>
      <c r="AS298" s="12">
        <v>70</v>
      </c>
      <c r="AT298" s="11">
        <v>50.655714285714275</v>
      </c>
      <c r="AU298" s="11">
        <v>21.645714285714277</v>
      </c>
      <c r="AV298" s="11">
        <v>30.501428571428569</v>
      </c>
      <c r="AW298" s="11"/>
      <c r="AX298" s="11">
        <v>102.80285714285711</v>
      </c>
      <c r="AY298" s="11">
        <v>34.267619047619036</v>
      </c>
      <c r="AZ298" s="13">
        <v>261</v>
      </c>
      <c r="BA298" s="11">
        <v>4.4164285714285647</v>
      </c>
    </row>
    <row r="299" spans="1:53" x14ac:dyDescent="0.25">
      <c r="A299" s="12">
        <v>296</v>
      </c>
      <c r="B299" s="12" t="s">
        <v>29</v>
      </c>
      <c r="C299" s="12">
        <v>241</v>
      </c>
      <c r="D299" s="12" t="s">
        <v>12</v>
      </c>
      <c r="E299" s="12">
        <v>58</v>
      </c>
      <c r="F299" s="11">
        <v>37.462068965517247</v>
      </c>
      <c r="G299" s="11">
        <v>27.967241379310341</v>
      </c>
      <c r="H299" s="11"/>
      <c r="I299" s="11"/>
      <c r="J299" s="11">
        <v>65.429310344827584</v>
      </c>
      <c r="K299" s="11">
        <v>32.714655172413792</v>
      </c>
      <c r="L299" s="13">
        <v>289</v>
      </c>
      <c r="M299" s="11">
        <v>-9.7842578710644759</v>
      </c>
      <c r="O299" s="12">
        <v>62</v>
      </c>
      <c r="P299" s="11">
        <v>42.774193548387096</v>
      </c>
      <c r="Q299" s="11">
        <v>33.87096774193548</v>
      </c>
      <c r="R299" s="11">
        <v>30.516129032258064</v>
      </c>
      <c r="S299" s="11"/>
      <c r="T299" s="11">
        <v>76.645161290322577</v>
      </c>
      <c r="U299" s="11">
        <v>38.322580645161288</v>
      </c>
      <c r="V299" s="13">
        <v>270</v>
      </c>
      <c r="W299" s="11">
        <v>5.6079254727474961</v>
      </c>
      <c r="Y299" s="12">
        <v>49</v>
      </c>
      <c r="Z299" s="11">
        <v>47.723684210526315</v>
      </c>
      <c r="AA299" s="11">
        <v>46.236842105263158</v>
      </c>
      <c r="AB299" s="11">
        <v>32.578947368421055</v>
      </c>
      <c r="AC299" s="11"/>
      <c r="AD299" s="11">
        <v>126.53947368421053</v>
      </c>
      <c r="AE299" s="11">
        <v>42.179824561403514</v>
      </c>
      <c r="AF299" s="13">
        <v>254</v>
      </c>
      <c r="AG299" s="11">
        <v>3.8572439162422256</v>
      </c>
      <c r="AI299" s="12">
        <v>60</v>
      </c>
      <c r="AJ299" s="11">
        <v>40.5</v>
      </c>
      <c r="AK299" s="11">
        <v>33.4</v>
      </c>
      <c r="AL299" s="11">
        <v>29.6</v>
      </c>
      <c r="AM299" s="11" t="s">
        <v>14</v>
      </c>
      <c r="AN299" s="11">
        <v>103.5</v>
      </c>
      <c r="AO299" s="11">
        <v>34.5</v>
      </c>
      <c r="AP299" s="13">
        <v>269</v>
      </c>
      <c r="AQ299" s="11">
        <v>-7.6798245614035139</v>
      </c>
      <c r="AS299" s="12">
        <v>48</v>
      </c>
      <c r="AT299" s="11">
        <v>44.139583333333341</v>
      </c>
      <c r="AU299" s="11">
        <v>25.15625</v>
      </c>
      <c r="AV299" s="11">
        <v>27.572916666666661</v>
      </c>
      <c r="AW299" s="11"/>
      <c r="AX299" s="11">
        <v>96.868750000000006</v>
      </c>
      <c r="AY299" s="11">
        <v>32.289583333333333</v>
      </c>
      <c r="AZ299" s="13">
        <v>278</v>
      </c>
      <c r="BA299" s="11">
        <v>-2.2104166666666671</v>
      </c>
    </row>
    <row r="300" spans="1:53" x14ac:dyDescent="0.25">
      <c r="A300" s="12">
        <v>297</v>
      </c>
      <c r="B300" s="12" t="s">
        <v>29</v>
      </c>
      <c r="C300" s="12">
        <v>256</v>
      </c>
      <c r="D300" s="12" t="s">
        <v>12</v>
      </c>
      <c r="E300" s="12">
        <v>17</v>
      </c>
      <c r="F300" s="11">
        <v>39.311764705882354</v>
      </c>
      <c r="G300" s="11">
        <v>27.964705882352945</v>
      </c>
      <c r="H300" s="11"/>
      <c r="I300" s="11"/>
      <c r="J300" s="11">
        <v>67.276470588235298</v>
      </c>
      <c r="K300" s="11">
        <v>33.638235294117649</v>
      </c>
      <c r="L300" s="13">
        <v>281</v>
      </c>
      <c r="M300" s="11">
        <v>0.6882352941176535</v>
      </c>
      <c r="O300" s="12">
        <v>25</v>
      </c>
      <c r="P300" s="11">
        <v>40.56</v>
      </c>
      <c r="Q300" s="11">
        <v>32.880000000000003</v>
      </c>
      <c r="R300" s="11">
        <v>27.44</v>
      </c>
      <c r="S300" s="11"/>
      <c r="T300" s="11">
        <v>73.44</v>
      </c>
      <c r="U300" s="11">
        <v>36.72</v>
      </c>
      <c r="V300" s="13">
        <v>280</v>
      </c>
      <c r="W300" s="11">
        <v>3.0817647058823496</v>
      </c>
      <c r="Y300" s="12">
        <v>26</v>
      </c>
      <c r="Z300" s="11">
        <v>43.666666666666664</v>
      </c>
      <c r="AA300" s="11">
        <v>39.266666666666666</v>
      </c>
      <c r="AB300" s="11">
        <v>32.5</v>
      </c>
      <c r="AC300" s="11"/>
      <c r="AD300" s="11">
        <v>115.43333333333334</v>
      </c>
      <c r="AE300" s="11">
        <v>38.477777777777781</v>
      </c>
      <c r="AF300" s="13">
        <v>286</v>
      </c>
      <c r="AG300" s="11">
        <v>1.7577777777777825</v>
      </c>
      <c r="AI300" s="12">
        <v>21</v>
      </c>
      <c r="AJ300" s="11">
        <v>36.142857142857146</v>
      </c>
      <c r="AK300" s="11">
        <v>29.904761904761905</v>
      </c>
      <c r="AL300" s="11">
        <v>32.904761904761905</v>
      </c>
      <c r="AM300" s="11" t="s">
        <v>14</v>
      </c>
      <c r="AN300" s="11">
        <v>98.952380952380963</v>
      </c>
      <c r="AO300" s="11">
        <v>32.984126984126988</v>
      </c>
      <c r="AP300" s="13">
        <v>278</v>
      </c>
      <c r="AQ300" s="11">
        <v>-5.4936507936507937</v>
      </c>
      <c r="AS300" s="12">
        <v>25</v>
      </c>
      <c r="AT300" s="11">
        <v>50.867999999999995</v>
      </c>
      <c r="AU300" s="11">
        <v>29.503999999999991</v>
      </c>
      <c r="AV300" s="11">
        <v>31.524000000000001</v>
      </c>
      <c r="AW300" s="11"/>
      <c r="AX300" s="11">
        <v>111.89599999999999</v>
      </c>
      <c r="AY300" s="11">
        <v>37.298666666666662</v>
      </c>
      <c r="AZ300" s="13">
        <v>217</v>
      </c>
      <c r="BA300" s="11">
        <v>4.3145396825396745</v>
      </c>
    </row>
    <row r="301" spans="1:53" x14ac:dyDescent="0.25">
      <c r="A301" s="12">
        <v>298</v>
      </c>
      <c r="B301" s="12" t="s">
        <v>29</v>
      </c>
      <c r="C301" s="12">
        <v>262</v>
      </c>
      <c r="D301" s="12" t="s">
        <v>12</v>
      </c>
      <c r="E301" s="12">
        <v>53</v>
      </c>
      <c r="F301" s="11">
        <v>34.801886792452827</v>
      </c>
      <c r="G301" s="11">
        <v>23.950943396226407</v>
      </c>
      <c r="H301" s="11"/>
      <c r="I301" s="11"/>
      <c r="J301" s="11">
        <v>58.752830188679233</v>
      </c>
      <c r="K301" s="11">
        <v>29.376415094339617</v>
      </c>
      <c r="L301" s="13">
        <v>297</v>
      </c>
      <c r="M301" s="11">
        <v>-7.8407277628032439</v>
      </c>
      <c r="O301" s="12">
        <v>59</v>
      </c>
      <c r="P301" s="11">
        <v>40.491525423728817</v>
      </c>
      <c r="Q301" s="11">
        <v>31.559322033898304</v>
      </c>
      <c r="R301" s="11">
        <v>22.457627118644069</v>
      </c>
      <c r="S301" s="11"/>
      <c r="T301" s="11">
        <v>72.050847457627128</v>
      </c>
      <c r="U301" s="11">
        <v>36.025423728813564</v>
      </c>
      <c r="V301" s="13">
        <v>284</v>
      </c>
      <c r="W301" s="11">
        <v>6.6490086344739474</v>
      </c>
      <c r="Y301" s="12">
        <v>73</v>
      </c>
      <c r="Z301" s="11">
        <v>47.013698630136986</v>
      </c>
      <c r="AA301" s="11">
        <v>42.164383561643838</v>
      </c>
      <c r="AB301" s="11">
        <v>30.465753424657535</v>
      </c>
      <c r="AC301" s="11"/>
      <c r="AD301" s="11">
        <v>119.64383561643835</v>
      </c>
      <c r="AE301" s="11">
        <v>39.881278538812786</v>
      </c>
      <c r="AF301" s="13">
        <v>274</v>
      </c>
      <c r="AG301" s="11">
        <v>3.8558548099992223</v>
      </c>
      <c r="AI301" s="12">
        <v>88</v>
      </c>
      <c r="AJ301" s="11">
        <v>40.409090909090907</v>
      </c>
      <c r="AK301" s="11">
        <v>29</v>
      </c>
      <c r="AL301" s="11">
        <v>26.681818181818183</v>
      </c>
      <c r="AM301" s="11" t="s">
        <v>14</v>
      </c>
      <c r="AN301" s="11">
        <v>96.090909090909093</v>
      </c>
      <c r="AO301" s="11">
        <v>32.030303030303031</v>
      </c>
      <c r="AP301" s="13">
        <v>281</v>
      </c>
      <c r="AQ301" s="11">
        <v>-7.8509755085097552</v>
      </c>
      <c r="AS301" s="12">
        <v>67</v>
      </c>
      <c r="AT301" s="11">
        <v>42.316417910447761</v>
      </c>
      <c r="AU301" s="11">
        <v>17.63880597014926</v>
      </c>
      <c r="AV301" s="11">
        <v>28.65820895522387</v>
      </c>
      <c r="AW301" s="11"/>
      <c r="AX301" s="11">
        <v>88.613432835820888</v>
      </c>
      <c r="AY301" s="11">
        <v>29.53781094527363</v>
      </c>
      <c r="AZ301" s="13">
        <v>289</v>
      </c>
      <c r="BA301" s="11">
        <v>-2.4924920850294008</v>
      </c>
    </row>
    <row r="302" spans="1:53" x14ac:dyDescent="0.25">
      <c r="A302" s="12">
        <v>299</v>
      </c>
      <c r="B302" s="12" t="s">
        <v>29</v>
      </c>
      <c r="C302" s="12">
        <v>322</v>
      </c>
      <c r="D302" s="12" t="s">
        <v>12</v>
      </c>
      <c r="E302" s="12">
        <v>172</v>
      </c>
      <c r="F302" s="11">
        <v>46.797674418604636</v>
      </c>
      <c r="G302" s="11">
        <v>34.068604651162786</v>
      </c>
      <c r="H302" s="11"/>
      <c r="I302" s="11"/>
      <c r="J302" s="11">
        <v>80.866279069767415</v>
      </c>
      <c r="K302" s="11">
        <v>40.433139534883708</v>
      </c>
      <c r="L302" s="13">
        <v>239</v>
      </c>
      <c r="M302" s="11">
        <v>1.5552659716653139</v>
      </c>
      <c r="O302" s="12">
        <v>185</v>
      </c>
      <c r="P302" s="11">
        <v>42.168478260869563</v>
      </c>
      <c r="Q302" s="11">
        <v>32.282608695652172</v>
      </c>
      <c r="R302" s="11">
        <v>28.298913043478262</v>
      </c>
      <c r="S302" s="11"/>
      <c r="T302" s="11">
        <v>74.451086956521735</v>
      </c>
      <c r="U302" s="11">
        <v>37.225543478260867</v>
      </c>
      <c r="V302" s="13">
        <v>278</v>
      </c>
      <c r="W302" s="11">
        <v>-3.2075960566228403</v>
      </c>
      <c r="Y302" s="12">
        <v>259</v>
      </c>
      <c r="Z302" s="11">
        <v>50.129310344827587</v>
      </c>
      <c r="AA302" s="11">
        <v>44.905172413793103</v>
      </c>
      <c r="AB302" s="11">
        <v>32.547413793103445</v>
      </c>
      <c r="AC302" s="11"/>
      <c r="AD302" s="11">
        <v>127.58189655172414</v>
      </c>
      <c r="AE302" s="11">
        <v>42.527298850574716</v>
      </c>
      <c r="AF302" s="13">
        <v>252</v>
      </c>
      <c r="AG302" s="11">
        <v>5.3017553723138491</v>
      </c>
      <c r="AI302" s="12">
        <v>273</v>
      </c>
      <c r="AJ302" s="11">
        <v>43.439560439560438</v>
      </c>
      <c r="AK302" s="11">
        <v>35.824175824175825</v>
      </c>
      <c r="AL302" s="11">
        <v>29.926739926739927</v>
      </c>
      <c r="AM302" s="11" t="s">
        <v>14</v>
      </c>
      <c r="AN302" s="11">
        <v>109.19047619047619</v>
      </c>
      <c r="AO302" s="11">
        <v>36.396825396825399</v>
      </c>
      <c r="AP302" s="13">
        <v>250</v>
      </c>
      <c r="AQ302" s="11">
        <v>-6.1304734537493175</v>
      </c>
      <c r="AS302" s="12">
        <v>259</v>
      </c>
      <c r="AT302" s="11">
        <v>50.40352941176473</v>
      </c>
      <c r="AU302" s="11">
        <v>26.122352941176466</v>
      </c>
      <c r="AV302" s="11">
        <v>29.352941176470623</v>
      </c>
      <c r="AW302" s="11"/>
      <c r="AX302" s="11">
        <v>105.87882352941182</v>
      </c>
      <c r="AY302" s="11">
        <v>35.292941176470606</v>
      </c>
      <c r="AZ302" s="13">
        <v>248</v>
      </c>
      <c r="BA302" s="11">
        <v>-1.1038842203547929</v>
      </c>
    </row>
    <row r="303" spans="1:53" x14ac:dyDescent="0.25">
      <c r="A303" s="12">
        <v>300</v>
      </c>
      <c r="B303" s="12" t="s">
        <v>29</v>
      </c>
      <c r="C303" s="12">
        <v>323</v>
      </c>
      <c r="D303" s="12" t="s">
        <v>12</v>
      </c>
      <c r="E303" s="12">
        <v>40</v>
      </c>
      <c r="F303" s="11">
        <v>46.707499999999996</v>
      </c>
      <c r="G303" s="11">
        <v>33.72</v>
      </c>
      <c r="H303" s="11"/>
      <c r="I303" s="11"/>
      <c r="J303" s="11">
        <v>80.427499999999995</v>
      </c>
      <c r="K303" s="11">
        <v>40.213749999999997</v>
      </c>
      <c r="L303" s="13">
        <v>242</v>
      </c>
      <c r="M303" s="11">
        <v>-0.33330882352942126</v>
      </c>
      <c r="O303" s="12">
        <v>39</v>
      </c>
      <c r="P303" s="11">
        <v>53.333333333333336</v>
      </c>
      <c r="Q303" s="11">
        <v>44.92307692307692</v>
      </c>
      <c r="R303" s="11">
        <v>37.282051282051285</v>
      </c>
      <c r="S303" s="11"/>
      <c r="T303" s="11">
        <v>98.256410256410248</v>
      </c>
      <c r="U303" s="11">
        <v>49.128205128205124</v>
      </c>
      <c r="V303" s="13">
        <v>112</v>
      </c>
      <c r="W303" s="11">
        <v>8.9144551282051268</v>
      </c>
      <c r="Y303" s="12">
        <v>63</v>
      </c>
      <c r="Z303" s="11">
        <v>44.137931034482762</v>
      </c>
      <c r="AA303" s="11">
        <v>54.551724137931032</v>
      </c>
      <c r="AB303" s="11">
        <v>34.551724137931032</v>
      </c>
      <c r="AC303" s="11"/>
      <c r="AD303" s="11">
        <v>133.24137931034483</v>
      </c>
      <c r="AE303" s="11">
        <v>44.413793103448278</v>
      </c>
      <c r="AF303" s="13">
        <v>219</v>
      </c>
      <c r="AG303" s="11">
        <v>-4.7144120247568466</v>
      </c>
      <c r="AI303" s="12">
        <v>54</v>
      </c>
      <c r="AJ303" s="11">
        <v>43.388888888888886</v>
      </c>
      <c r="AK303" s="11">
        <v>43.851851851851855</v>
      </c>
      <c r="AL303" s="11">
        <v>39.574074074074076</v>
      </c>
      <c r="AM303" s="11" t="s">
        <v>14</v>
      </c>
      <c r="AN303" s="11">
        <v>126.81481481481481</v>
      </c>
      <c r="AO303" s="11">
        <v>42.271604938271601</v>
      </c>
      <c r="AP303" s="13">
        <v>169</v>
      </c>
      <c r="AQ303" s="11">
        <v>-2.1421881651766768</v>
      </c>
      <c r="AS303" s="12">
        <v>61</v>
      </c>
      <c r="AT303" s="11">
        <v>51.814754098360659</v>
      </c>
      <c r="AU303" s="11">
        <v>28.063934426229508</v>
      </c>
      <c r="AV303" s="11">
        <v>34.911475409836072</v>
      </c>
      <c r="AW303" s="11"/>
      <c r="AX303" s="11">
        <v>114.79016393442623</v>
      </c>
      <c r="AY303" s="11">
        <v>38.263387978142077</v>
      </c>
      <c r="AZ303" s="13">
        <v>200</v>
      </c>
      <c r="BA303" s="11">
        <v>-4.0082169601295234</v>
      </c>
    </row>
    <row r="304" spans="1:53" x14ac:dyDescent="0.25">
      <c r="A304" s="12">
        <v>301</v>
      </c>
      <c r="B304" s="12" t="s">
        <v>29</v>
      </c>
      <c r="C304" s="12">
        <v>324</v>
      </c>
      <c r="D304" s="12" t="s">
        <v>12</v>
      </c>
      <c r="E304" s="12">
        <v>28</v>
      </c>
      <c r="F304" s="11">
        <v>40.17499999999999</v>
      </c>
      <c r="G304" s="11">
        <v>27.207142857142859</v>
      </c>
      <c r="H304" s="11"/>
      <c r="I304" s="11"/>
      <c r="J304" s="11">
        <v>67.382142857142853</v>
      </c>
      <c r="K304" s="11">
        <v>33.691071428571426</v>
      </c>
      <c r="L304" s="13">
        <v>280</v>
      </c>
      <c r="M304" s="11">
        <v>10.12678571428571</v>
      </c>
      <c r="O304" s="12">
        <v>30</v>
      </c>
      <c r="P304" s="11">
        <v>37.6</v>
      </c>
      <c r="Q304" s="11">
        <v>28.033333333333335</v>
      </c>
      <c r="R304" s="11">
        <v>18.5</v>
      </c>
      <c r="S304" s="11"/>
      <c r="T304" s="11">
        <v>65.63333333333334</v>
      </c>
      <c r="U304" s="11">
        <v>32.81666666666667</v>
      </c>
      <c r="V304" s="13">
        <v>292</v>
      </c>
      <c r="W304" s="11">
        <v>-0.87440476190475636</v>
      </c>
      <c r="Y304" s="12">
        <v>38</v>
      </c>
      <c r="Z304" s="11">
        <v>36.675675675675677</v>
      </c>
      <c r="AA304" s="11">
        <v>37</v>
      </c>
      <c r="AB304" s="11">
        <v>27.324324324324323</v>
      </c>
      <c r="AC304" s="11"/>
      <c r="AD304" s="11">
        <v>101</v>
      </c>
      <c r="AE304" s="11">
        <v>33.666666666666664</v>
      </c>
      <c r="AF304" s="13">
        <v>298</v>
      </c>
      <c r="AG304" s="11">
        <v>0.84999999999999432</v>
      </c>
      <c r="AI304" s="12">
        <v>37</v>
      </c>
      <c r="AJ304" s="11">
        <v>28.837837837837839</v>
      </c>
      <c r="AK304" s="11">
        <v>24</v>
      </c>
      <c r="AL304" s="11">
        <v>19.648648648648649</v>
      </c>
      <c r="AM304" s="11" t="s">
        <v>14</v>
      </c>
      <c r="AN304" s="11">
        <v>72.486486486486484</v>
      </c>
      <c r="AO304" s="11">
        <v>24.162162162162161</v>
      </c>
      <c r="AP304" s="13">
        <v>308</v>
      </c>
      <c r="AQ304" s="11">
        <v>-9.5045045045045029</v>
      </c>
      <c r="AS304" s="12">
        <v>37</v>
      </c>
      <c r="AT304" s="11">
        <v>39.92702702702703</v>
      </c>
      <c r="AU304" s="11">
        <v>21.729729729729733</v>
      </c>
      <c r="AV304" s="11">
        <v>20.586486486486486</v>
      </c>
      <c r="AW304" s="11"/>
      <c r="AX304" s="11">
        <v>82.243243243243256</v>
      </c>
      <c r="AY304" s="11">
        <v>27.41441441441442</v>
      </c>
      <c r="AZ304" s="13">
        <v>298</v>
      </c>
      <c r="BA304" s="11">
        <v>3.2522522522522586</v>
      </c>
    </row>
    <row r="305" spans="1:53" x14ac:dyDescent="0.25">
      <c r="A305" s="12">
        <v>302</v>
      </c>
      <c r="B305" s="12" t="s">
        <v>29</v>
      </c>
      <c r="C305" s="12">
        <v>326</v>
      </c>
      <c r="D305" s="12" t="s">
        <v>12</v>
      </c>
      <c r="E305" s="12">
        <v>79</v>
      </c>
      <c r="F305" s="11">
        <v>50.948101265822771</v>
      </c>
      <c r="G305" s="11">
        <v>32.518987341772139</v>
      </c>
      <c r="H305" s="11"/>
      <c r="I305" s="11"/>
      <c r="J305" s="11">
        <v>83.467088607594917</v>
      </c>
      <c r="K305" s="11">
        <v>41.733544303797458</v>
      </c>
      <c r="L305" s="13">
        <v>224</v>
      </c>
      <c r="M305" s="11">
        <v>-5.041455696202533</v>
      </c>
      <c r="O305" s="12">
        <v>111</v>
      </c>
      <c r="P305" s="11">
        <v>52.126126126126124</v>
      </c>
      <c r="Q305" s="11">
        <v>36.54054054054054</v>
      </c>
      <c r="R305" s="11">
        <v>35.855855855855857</v>
      </c>
      <c r="S305" s="11"/>
      <c r="T305" s="11">
        <v>88.666666666666657</v>
      </c>
      <c r="U305" s="11">
        <v>44.333333333333329</v>
      </c>
      <c r="V305" s="13">
        <v>189</v>
      </c>
      <c r="W305" s="11">
        <v>2.5997890295358701</v>
      </c>
      <c r="Y305" s="12">
        <v>195</v>
      </c>
      <c r="Z305" s="11">
        <v>53.080357142857146</v>
      </c>
      <c r="AA305" s="11">
        <v>42.5</v>
      </c>
      <c r="AB305" s="11">
        <v>37.392857142857146</v>
      </c>
      <c r="AC305" s="11"/>
      <c r="AD305" s="11">
        <v>132.97321428571428</v>
      </c>
      <c r="AE305" s="11">
        <v>44.324404761904759</v>
      </c>
      <c r="AF305" s="13">
        <v>221</v>
      </c>
      <c r="AG305" s="11">
        <v>-8.9285714285693984E-3</v>
      </c>
      <c r="AI305" s="12">
        <v>175</v>
      </c>
      <c r="AJ305" s="11">
        <v>49.662857142857142</v>
      </c>
      <c r="AK305" s="11">
        <v>36.205714285714286</v>
      </c>
      <c r="AL305" s="11">
        <v>37.348571428571425</v>
      </c>
      <c r="AM305" s="11" t="s">
        <v>14</v>
      </c>
      <c r="AN305" s="11">
        <v>123.21714285714285</v>
      </c>
      <c r="AO305" s="11">
        <v>41.072380952380946</v>
      </c>
      <c r="AP305" s="13">
        <v>185</v>
      </c>
      <c r="AQ305" s="11">
        <v>-3.2520238095238128</v>
      </c>
      <c r="AS305" s="12">
        <v>192</v>
      </c>
      <c r="AT305" s="11">
        <v>54.879687500000017</v>
      </c>
      <c r="AU305" s="11">
        <v>25.233854166666678</v>
      </c>
      <c r="AV305" s="11">
        <v>35.275000000000013</v>
      </c>
      <c r="AW305" s="11"/>
      <c r="AX305" s="11">
        <v>115.3885416666667</v>
      </c>
      <c r="AY305" s="11">
        <v>38.46284722222223</v>
      </c>
      <c r="AZ305" s="13">
        <v>196</v>
      </c>
      <c r="BA305" s="11">
        <v>-2.6095337301587165</v>
      </c>
    </row>
    <row r="306" spans="1:53" x14ac:dyDescent="0.25">
      <c r="A306" s="12">
        <v>303</v>
      </c>
      <c r="B306" s="12" t="s">
        <v>31</v>
      </c>
      <c r="C306" s="12" t="s">
        <v>56</v>
      </c>
      <c r="D306" s="12" t="s">
        <v>32</v>
      </c>
      <c r="E306" s="12"/>
      <c r="F306" s="11"/>
      <c r="G306" s="11"/>
      <c r="H306" s="11"/>
      <c r="I306" s="11"/>
      <c r="J306" s="11" t="s">
        <v>14</v>
      </c>
      <c r="K306" s="11" t="s">
        <v>14</v>
      </c>
      <c r="L306" s="13" t="s">
        <v>14</v>
      </c>
      <c r="M306" s="11" t="s">
        <v>14</v>
      </c>
      <c r="O306" s="12"/>
      <c r="P306" s="11"/>
      <c r="Q306" s="11"/>
      <c r="R306" s="11"/>
      <c r="S306" s="11"/>
      <c r="T306" s="11" t="s">
        <v>14</v>
      </c>
      <c r="U306" s="11" t="s">
        <v>14</v>
      </c>
      <c r="V306" s="13" t="s">
        <v>14</v>
      </c>
      <c r="W306" s="11" t="s">
        <v>14</v>
      </c>
      <c r="Y306" s="12"/>
      <c r="Z306" s="11"/>
      <c r="AA306" s="11"/>
      <c r="AB306" s="11"/>
      <c r="AC306" s="11"/>
      <c r="AD306" s="11" t="s">
        <v>14</v>
      </c>
      <c r="AE306" s="11" t="s">
        <v>14</v>
      </c>
      <c r="AF306" s="13" t="s">
        <v>14</v>
      </c>
      <c r="AG306" s="11" t="s">
        <v>14</v>
      </c>
      <c r="AI306" s="12"/>
      <c r="AJ306" s="11"/>
      <c r="AK306" s="11"/>
      <c r="AL306" s="11"/>
      <c r="AM306" s="11"/>
      <c r="AN306" s="11" t="s">
        <v>14</v>
      </c>
      <c r="AO306" s="11" t="s">
        <v>14</v>
      </c>
      <c r="AP306" s="13" t="s">
        <v>14</v>
      </c>
      <c r="AQ306" s="11" t="s">
        <v>14</v>
      </c>
      <c r="AS306" s="12">
        <v>0</v>
      </c>
      <c r="AT306" s="11"/>
      <c r="AU306" s="11"/>
      <c r="AV306" s="11"/>
      <c r="AW306" s="11"/>
      <c r="AX306" s="11" t="s">
        <v>14</v>
      </c>
      <c r="AY306" s="11" t="s">
        <v>14</v>
      </c>
      <c r="AZ306" s="13" t="s">
        <v>14</v>
      </c>
      <c r="BA306" s="11" t="s">
        <v>14</v>
      </c>
    </row>
    <row r="307" spans="1:53" x14ac:dyDescent="0.25">
      <c r="A307" s="12">
        <v>304</v>
      </c>
      <c r="B307" s="12" t="s">
        <v>31</v>
      </c>
      <c r="C307" s="12">
        <v>13</v>
      </c>
      <c r="D307" s="12" t="s">
        <v>12</v>
      </c>
      <c r="E307" s="12">
        <v>121</v>
      </c>
      <c r="F307" s="11">
        <v>54.650413223140497</v>
      </c>
      <c r="G307" s="11">
        <v>42.134710743801648</v>
      </c>
      <c r="H307" s="11"/>
      <c r="I307" s="11"/>
      <c r="J307" s="11">
        <v>96.785123966942137</v>
      </c>
      <c r="K307" s="11">
        <v>48.392561983471069</v>
      </c>
      <c r="L307" s="13">
        <v>132</v>
      </c>
      <c r="M307" s="11">
        <v>0.7725619834710642</v>
      </c>
      <c r="O307" s="12">
        <v>83</v>
      </c>
      <c r="P307" s="11">
        <v>46.987951807228917</v>
      </c>
      <c r="Q307" s="11">
        <v>36.192771084337352</v>
      </c>
      <c r="R307" s="11">
        <v>33.650602409638552</v>
      </c>
      <c r="S307" s="11"/>
      <c r="T307" s="11">
        <v>83.180722891566262</v>
      </c>
      <c r="U307" s="11">
        <v>41.590361445783131</v>
      </c>
      <c r="V307" s="13">
        <v>229</v>
      </c>
      <c r="W307" s="11">
        <v>-6.8022005376879378</v>
      </c>
      <c r="Y307" s="12">
        <v>120</v>
      </c>
      <c r="Z307" s="11">
        <v>56.846153846153847</v>
      </c>
      <c r="AA307" s="11">
        <v>52.527472527472526</v>
      </c>
      <c r="AB307" s="11">
        <v>41.824175824175825</v>
      </c>
      <c r="AC307" s="11"/>
      <c r="AD307" s="11">
        <v>151.19780219780219</v>
      </c>
      <c r="AE307" s="11">
        <v>50.399267399267394</v>
      </c>
      <c r="AF307" s="13">
        <v>104</v>
      </c>
      <c r="AG307" s="11">
        <v>8.8089059534842633</v>
      </c>
      <c r="AI307" s="12">
        <v>121</v>
      </c>
      <c r="AJ307" s="11">
        <v>51.81818181818182</v>
      </c>
      <c r="AK307" s="11">
        <v>41.719008264462808</v>
      </c>
      <c r="AL307" s="11">
        <v>42.776859504132233</v>
      </c>
      <c r="AM307" s="11" t="s">
        <v>14</v>
      </c>
      <c r="AN307" s="11">
        <v>136.31404958677686</v>
      </c>
      <c r="AO307" s="11">
        <v>45.438016528925623</v>
      </c>
      <c r="AP307" s="13">
        <v>127</v>
      </c>
      <c r="AQ307" s="11">
        <v>-4.9612508703417717</v>
      </c>
      <c r="AS307" s="12">
        <v>120</v>
      </c>
      <c r="AT307" s="11">
        <v>53.929999999999993</v>
      </c>
      <c r="AU307" s="11">
        <v>32.547499999999985</v>
      </c>
      <c r="AV307" s="11">
        <v>41.249999999999993</v>
      </c>
      <c r="AW307" s="11"/>
      <c r="AX307" s="11">
        <v>127.72749999999996</v>
      </c>
      <c r="AY307" s="11">
        <v>42.575833333333321</v>
      </c>
      <c r="AZ307" s="13">
        <v>128</v>
      </c>
      <c r="BA307" s="11">
        <v>-2.8621831955923014</v>
      </c>
    </row>
    <row r="308" spans="1:53" x14ac:dyDescent="0.25">
      <c r="A308" s="12">
        <v>305</v>
      </c>
      <c r="B308" s="12" t="s">
        <v>31</v>
      </c>
      <c r="C308" s="12">
        <v>18</v>
      </c>
      <c r="D308" s="12" t="s">
        <v>12</v>
      </c>
      <c r="E308" s="12">
        <v>97</v>
      </c>
      <c r="F308" s="11">
        <v>51.404123711340212</v>
      </c>
      <c r="G308" s="11">
        <v>37.920618556701008</v>
      </c>
      <c r="H308" s="11"/>
      <c r="I308" s="11"/>
      <c r="J308" s="11">
        <v>89.32474226804122</v>
      </c>
      <c r="K308" s="11">
        <v>44.66237113402061</v>
      </c>
      <c r="L308" s="13">
        <v>181</v>
      </c>
      <c r="M308" s="11">
        <v>0.5748711340205972</v>
      </c>
      <c r="O308" s="12">
        <v>123</v>
      </c>
      <c r="P308" s="11">
        <v>53.76229508196721</v>
      </c>
      <c r="Q308" s="11">
        <v>40.26229508196721</v>
      </c>
      <c r="R308" s="11">
        <v>42.303278688524593</v>
      </c>
      <c r="S308" s="11"/>
      <c r="T308" s="11">
        <v>94.02459016393442</v>
      </c>
      <c r="U308" s="11">
        <v>47.01229508196721</v>
      </c>
      <c r="V308" s="13">
        <v>137</v>
      </c>
      <c r="W308" s="11">
        <v>2.3499239479465999</v>
      </c>
      <c r="Y308" s="12">
        <v>191</v>
      </c>
      <c r="Z308" s="11">
        <v>59.365853658536587</v>
      </c>
      <c r="AA308" s="11">
        <v>49.707317073170735</v>
      </c>
      <c r="AB308" s="11">
        <v>43.162601626016261</v>
      </c>
      <c r="AC308" s="11"/>
      <c r="AD308" s="11">
        <v>152.23577235772359</v>
      </c>
      <c r="AE308" s="11">
        <v>50.745257452574528</v>
      </c>
      <c r="AF308" s="13">
        <v>96</v>
      </c>
      <c r="AG308" s="11">
        <v>3.7329623706073178</v>
      </c>
      <c r="AI308" s="12">
        <v>163</v>
      </c>
      <c r="AJ308" s="11">
        <v>50.834355828220858</v>
      </c>
      <c r="AK308" s="11">
        <v>39.70552147239264</v>
      </c>
      <c r="AL308" s="11">
        <v>45.564417177914109</v>
      </c>
      <c r="AM308" s="11">
        <v>54.754385964912281</v>
      </c>
      <c r="AN308" s="11">
        <v>136.10429447852761</v>
      </c>
      <c r="AO308" s="11">
        <v>45.368098159509202</v>
      </c>
      <c r="AP308" s="13">
        <v>129</v>
      </c>
      <c r="AQ308" s="11">
        <v>-5.3771592930653256</v>
      </c>
      <c r="AS308" s="12">
        <v>187</v>
      </c>
      <c r="AT308" s="11">
        <v>59.057526881720413</v>
      </c>
      <c r="AU308" s="11">
        <v>33.591935483870976</v>
      </c>
      <c r="AV308" s="11">
        <v>44.152150537634427</v>
      </c>
      <c r="AW308" s="11">
        <v>56.647058823529413</v>
      </c>
      <c r="AX308" s="11">
        <v>136.80161290322582</v>
      </c>
      <c r="AY308" s="11">
        <v>45.600537634408603</v>
      </c>
      <c r="AZ308" s="13">
        <v>88</v>
      </c>
      <c r="BA308" s="11">
        <v>0.23243947489940098</v>
      </c>
    </row>
    <row r="309" spans="1:53" x14ac:dyDescent="0.25">
      <c r="A309" s="12">
        <v>306</v>
      </c>
      <c r="B309" s="12" t="s">
        <v>31</v>
      </c>
      <c r="C309" s="12">
        <v>20</v>
      </c>
      <c r="D309" s="12" t="s">
        <v>13</v>
      </c>
      <c r="E309" s="12">
        <v>166</v>
      </c>
      <c r="F309" s="11">
        <v>63.743975903614455</v>
      </c>
      <c r="G309" s="11">
        <v>52.776506024096342</v>
      </c>
      <c r="H309" s="11"/>
      <c r="I309" s="11"/>
      <c r="J309" s="11">
        <v>116.52048192771079</v>
      </c>
      <c r="K309" s="11">
        <v>58.260240963855395</v>
      </c>
      <c r="L309" s="13">
        <v>21</v>
      </c>
      <c r="M309" s="11">
        <v>0.10205914567358576</v>
      </c>
      <c r="O309" s="12">
        <v>168</v>
      </c>
      <c r="P309" s="11">
        <v>56.556886227544908</v>
      </c>
      <c r="Q309" s="11">
        <v>48.82634730538922</v>
      </c>
      <c r="R309" s="11">
        <v>47.185628742514972</v>
      </c>
      <c r="S309" s="11"/>
      <c r="T309" s="11">
        <v>105.38323353293413</v>
      </c>
      <c r="U309" s="11">
        <v>52.691616766467064</v>
      </c>
      <c r="V309" s="13">
        <v>58</v>
      </c>
      <c r="W309" s="11">
        <v>-5.5686241973883313</v>
      </c>
      <c r="Y309" s="12">
        <v>356</v>
      </c>
      <c r="Z309" s="11">
        <v>63.451882845188287</v>
      </c>
      <c r="AA309" s="11">
        <v>58.19246861924686</v>
      </c>
      <c r="AB309" s="11">
        <v>51.97489539748954</v>
      </c>
      <c r="AC309" s="11"/>
      <c r="AD309" s="11">
        <v>173.61924686192469</v>
      </c>
      <c r="AE309" s="11">
        <v>57.873082287308229</v>
      </c>
      <c r="AF309" s="13">
        <v>18</v>
      </c>
      <c r="AG309" s="11">
        <v>5.1814655208411651</v>
      </c>
      <c r="AI309" s="12">
        <v>277</v>
      </c>
      <c r="AJ309" s="11">
        <v>59.007246376811594</v>
      </c>
      <c r="AK309" s="11">
        <v>53</v>
      </c>
      <c r="AL309" s="11">
        <v>58.152173913043477</v>
      </c>
      <c r="AM309" s="11">
        <v>53.22608695652174</v>
      </c>
      <c r="AN309" s="11">
        <v>170.15942028985506</v>
      </c>
      <c r="AO309" s="11">
        <v>56.719806763285021</v>
      </c>
      <c r="AP309" s="13">
        <v>19</v>
      </c>
      <c r="AQ309" s="11">
        <v>-1.1532755240232078</v>
      </c>
      <c r="AS309" s="12">
        <v>347</v>
      </c>
      <c r="AT309" s="11">
        <v>65.226589595375742</v>
      </c>
      <c r="AU309" s="11">
        <v>44.905491329479787</v>
      </c>
      <c r="AV309" s="11">
        <v>55.551734104046297</v>
      </c>
      <c r="AW309" s="11">
        <v>59.588235294117645</v>
      </c>
      <c r="AX309" s="11">
        <v>165.68381502890182</v>
      </c>
      <c r="AY309" s="11">
        <v>55.227938342967271</v>
      </c>
      <c r="AZ309" s="13">
        <v>11</v>
      </c>
      <c r="BA309" s="11">
        <v>-1.4918684203177506</v>
      </c>
    </row>
    <row r="310" spans="1:53" x14ac:dyDescent="0.25">
      <c r="A310" s="12">
        <v>307</v>
      </c>
      <c r="B310" s="12" t="s">
        <v>31</v>
      </c>
      <c r="C310" s="12">
        <v>21</v>
      </c>
      <c r="D310" s="12" t="s">
        <v>12</v>
      </c>
      <c r="E310" s="12">
        <v>91</v>
      </c>
      <c r="F310" s="11">
        <v>48.04505494505495</v>
      </c>
      <c r="G310" s="11">
        <v>33.012087912087914</v>
      </c>
      <c r="H310" s="11"/>
      <c r="I310" s="11"/>
      <c r="J310" s="11">
        <v>81.057142857142864</v>
      </c>
      <c r="K310" s="11">
        <v>40.528571428571432</v>
      </c>
      <c r="L310" s="13">
        <v>237</v>
      </c>
      <c r="M310" s="11">
        <v>-2.0737541528239163</v>
      </c>
      <c r="O310" s="12">
        <v>67</v>
      </c>
      <c r="P310" s="11">
        <v>54.552238805970148</v>
      </c>
      <c r="Q310" s="11">
        <v>39.388059701492537</v>
      </c>
      <c r="R310" s="11">
        <v>31.447761194029852</v>
      </c>
      <c r="S310" s="11"/>
      <c r="T310" s="11">
        <v>93.940298507462686</v>
      </c>
      <c r="U310" s="11">
        <v>46.970149253731343</v>
      </c>
      <c r="V310" s="13">
        <v>140</v>
      </c>
      <c r="W310" s="11">
        <v>6.4415778251599107</v>
      </c>
      <c r="Y310" s="12">
        <v>96</v>
      </c>
      <c r="Z310" s="11">
        <v>55.970588235294116</v>
      </c>
      <c r="AA310" s="11">
        <v>52.882352941176471</v>
      </c>
      <c r="AB310" s="11">
        <v>40.279411764705884</v>
      </c>
      <c r="AC310" s="11"/>
      <c r="AD310" s="11">
        <v>149.13235294117646</v>
      </c>
      <c r="AE310" s="11">
        <v>49.71078431372549</v>
      </c>
      <c r="AF310" s="13">
        <v>121</v>
      </c>
      <c r="AG310" s="11">
        <v>2.7406350599941476</v>
      </c>
      <c r="AI310" s="12">
        <v>98</v>
      </c>
      <c r="AJ310" s="11">
        <v>50.938775510204081</v>
      </c>
      <c r="AK310" s="11">
        <v>41.387755102040813</v>
      </c>
      <c r="AL310" s="11">
        <v>39.132653061224488</v>
      </c>
      <c r="AM310" s="11" t="s">
        <v>14</v>
      </c>
      <c r="AN310" s="11">
        <v>131.4591836734694</v>
      </c>
      <c r="AO310" s="11">
        <v>43.819727891156468</v>
      </c>
      <c r="AP310" s="13">
        <v>146</v>
      </c>
      <c r="AQ310" s="11">
        <v>-5.8910564225690223</v>
      </c>
      <c r="AS310" s="12">
        <v>92</v>
      </c>
      <c r="AT310" s="11">
        <v>54.776923076923076</v>
      </c>
      <c r="AU310" s="11">
        <v>33.628571428571433</v>
      </c>
      <c r="AV310" s="11">
        <v>37.94835164835164</v>
      </c>
      <c r="AW310" s="11"/>
      <c r="AX310" s="11">
        <v>126.35384615384615</v>
      </c>
      <c r="AY310" s="11">
        <v>42.117948717948714</v>
      </c>
      <c r="AZ310" s="13">
        <v>132</v>
      </c>
      <c r="BA310" s="11">
        <v>-1.7017791732077541</v>
      </c>
    </row>
    <row r="311" spans="1:53" x14ac:dyDescent="0.25">
      <c r="A311" s="12">
        <v>308</v>
      </c>
      <c r="B311" s="12" t="s">
        <v>31</v>
      </c>
      <c r="C311" s="12">
        <v>31</v>
      </c>
      <c r="D311" s="12" t="s">
        <v>12</v>
      </c>
      <c r="E311" s="12">
        <v>55</v>
      </c>
      <c r="F311" s="11">
        <v>50.441818181818178</v>
      </c>
      <c r="G311" s="11">
        <v>39.385454545454557</v>
      </c>
      <c r="H311" s="11"/>
      <c r="I311" s="11"/>
      <c r="J311" s="11">
        <v>89.827272727272742</v>
      </c>
      <c r="K311" s="11">
        <v>44.913636363636371</v>
      </c>
      <c r="L311" s="13">
        <v>175</v>
      </c>
      <c r="M311" s="11">
        <v>-1.1053777208706776</v>
      </c>
      <c r="O311" s="12">
        <v>44</v>
      </c>
      <c r="P311" s="11">
        <v>49.06818181818182</v>
      </c>
      <c r="Q311" s="11">
        <v>39.06818181818182</v>
      </c>
      <c r="R311" s="11">
        <v>37.363636363636367</v>
      </c>
      <c r="S311" s="11"/>
      <c r="T311" s="11">
        <v>88.13636363636364</v>
      </c>
      <c r="U311" s="11">
        <v>44.06818181818182</v>
      </c>
      <c r="V311" s="13">
        <v>198</v>
      </c>
      <c r="W311" s="11">
        <v>-0.84545454545455101</v>
      </c>
      <c r="Y311" s="12">
        <v>63</v>
      </c>
      <c r="Z311" s="11">
        <v>50.829787234042556</v>
      </c>
      <c r="AA311" s="11">
        <v>46.106382978723403</v>
      </c>
      <c r="AB311" s="11">
        <v>34.127659574468083</v>
      </c>
      <c r="AC311" s="11"/>
      <c r="AD311" s="11">
        <v>131.06382978723406</v>
      </c>
      <c r="AE311" s="11">
        <v>43.687943262411352</v>
      </c>
      <c r="AF311" s="13">
        <v>239</v>
      </c>
      <c r="AG311" s="11">
        <v>-0.38023855577046817</v>
      </c>
      <c r="AI311" s="12">
        <v>54</v>
      </c>
      <c r="AJ311" s="11">
        <v>54.796296296296298</v>
      </c>
      <c r="AK311" s="11">
        <v>36.814814814814817</v>
      </c>
      <c r="AL311" s="11">
        <v>39.537037037037038</v>
      </c>
      <c r="AM311" s="11" t="s">
        <v>14</v>
      </c>
      <c r="AN311" s="11">
        <v>131.14814814814815</v>
      </c>
      <c r="AO311" s="11">
        <v>43.716049382716051</v>
      </c>
      <c r="AP311" s="13">
        <v>148</v>
      </c>
      <c r="AQ311" s="11">
        <v>2.8106120304698834E-2</v>
      </c>
      <c r="AS311" s="12">
        <v>63</v>
      </c>
      <c r="AT311" s="11">
        <v>53.214285714285708</v>
      </c>
      <c r="AU311" s="11">
        <v>29.398412698412685</v>
      </c>
      <c r="AV311" s="11">
        <v>37.303174603174597</v>
      </c>
      <c r="AW311" s="11"/>
      <c r="AX311" s="11">
        <v>119.91587301587299</v>
      </c>
      <c r="AY311" s="11">
        <v>39.971957671957661</v>
      </c>
      <c r="AZ311" s="13">
        <v>164</v>
      </c>
      <c r="BA311" s="11">
        <v>-3.74409171075839</v>
      </c>
    </row>
    <row r="312" spans="1:53" x14ac:dyDescent="0.25">
      <c r="A312" s="12">
        <v>309</v>
      </c>
      <c r="B312" s="12" t="s">
        <v>31</v>
      </c>
      <c r="C312" s="12">
        <v>38</v>
      </c>
      <c r="D312" s="12" t="s">
        <v>12</v>
      </c>
      <c r="E312" s="12">
        <v>44</v>
      </c>
      <c r="F312" s="11">
        <v>42.384090909090908</v>
      </c>
      <c r="G312" s="11">
        <v>27.793181818181814</v>
      </c>
      <c r="H312" s="11"/>
      <c r="I312" s="11"/>
      <c r="J312" s="11">
        <v>70.177272727272722</v>
      </c>
      <c r="K312" s="11">
        <v>35.088636363636361</v>
      </c>
      <c r="L312" s="13">
        <v>275</v>
      </c>
      <c r="M312" s="11">
        <v>-3.1958874458874433</v>
      </c>
      <c r="O312" s="12">
        <v>61</v>
      </c>
      <c r="P312" s="11">
        <v>49.540983606557376</v>
      </c>
      <c r="Q312" s="11">
        <v>35.098360655737707</v>
      </c>
      <c r="R312" s="11">
        <v>29.721311475409838</v>
      </c>
      <c r="S312" s="11"/>
      <c r="T312" s="11">
        <v>84.639344262295083</v>
      </c>
      <c r="U312" s="11">
        <v>42.319672131147541</v>
      </c>
      <c r="V312" s="13">
        <v>219</v>
      </c>
      <c r="W312" s="11">
        <v>7.2310357675111803</v>
      </c>
      <c r="Y312" s="12">
        <v>68</v>
      </c>
      <c r="Z312" s="11">
        <v>49.048780487804876</v>
      </c>
      <c r="AA312" s="11">
        <v>44.195121951219512</v>
      </c>
      <c r="AB312" s="11">
        <v>32.780487804878049</v>
      </c>
      <c r="AC312" s="11"/>
      <c r="AD312" s="11">
        <v>126.02439024390245</v>
      </c>
      <c r="AE312" s="11">
        <v>42.008130081300813</v>
      </c>
      <c r="AF312" s="13">
        <v>256</v>
      </c>
      <c r="AG312" s="11">
        <v>-0.31154204984672873</v>
      </c>
      <c r="AI312" s="12">
        <v>62</v>
      </c>
      <c r="AJ312" s="11">
        <v>47.064516129032256</v>
      </c>
      <c r="AK312" s="11">
        <v>33.935483870967744</v>
      </c>
      <c r="AL312" s="11">
        <v>33.564516129032256</v>
      </c>
      <c r="AM312" s="11" t="s">
        <v>14</v>
      </c>
      <c r="AN312" s="11">
        <v>114.56451612903226</v>
      </c>
      <c r="AO312" s="11">
        <v>38.188172043010752</v>
      </c>
      <c r="AP312" s="13">
        <v>227</v>
      </c>
      <c r="AQ312" s="11">
        <v>-3.8199580382900606</v>
      </c>
      <c r="AS312" s="12">
        <v>66</v>
      </c>
      <c r="AT312" s="11">
        <v>50.483076923076908</v>
      </c>
      <c r="AU312" s="11">
        <v>28.884615384615394</v>
      </c>
      <c r="AV312" s="11">
        <v>32.123076923076923</v>
      </c>
      <c r="AW312" s="11"/>
      <c r="AX312" s="11">
        <v>111.49076923076922</v>
      </c>
      <c r="AY312" s="11">
        <v>37.163589743589739</v>
      </c>
      <c r="AZ312" s="13">
        <v>221</v>
      </c>
      <c r="BA312" s="11">
        <v>-1.024582299421013</v>
      </c>
    </row>
    <row r="313" spans="1:53" x14ac:dyDescent="0.25">
      <c r="A313" s="12">
        <v>310</v>
      </c>
      <c r="B313" s="12" t="s">
        <v>31</v>
      </c>
      <c r="C313" s="12">
        <v>52</v>
      </c>
      <c r="D313" s="12" t="s">
        <v>12</v>
      </c>
      <c r="E313" s="12">
        <v>75</v>
      </c>
      <c r="F313" s="11">
        <v>48.901333333333341</v>
      </c>
      <c r="G313" s="11">
        <v>34.136000000000003</v>
      </c>
      <c r="H313" s="11"/>
      <c r="I313" s="11"/>
      <c r="J313" s="11">
        <v>83.037333333333351</v>
      </c>
      <c r="K313" s="11">
        <v>41.518666666666675</v>
      </c>
      <c r="L313" s="13">
        <v>227</v>
      </c>
      <c r="M313" s="11">
        <v>-3.3886862745097943</v>
      </c>
      <c r="O313" s="12">
        <v>71</v>
      </c>
      <c r="P313" s="11">
        <v>47.535211267605632</v>
      </c>
      <c r="Q313" s="11">
        <v>33.563380281690144</v>
      </c>
      <c r="R313" s="11">
        <v>32.521126760563384</v>
      </c>
      <c r="S313" s="11"/>
      <c r="T313" s="11">
        <v>81.098591549295776</v>
      </c>
      <c r="U313" s="11">
        <v>40.549295774647888</v>
      </c>
      <c r="V313" s="13">
        <v>250</v>
      </c>
      <c r="W313" s="11">
        <v>-0.96937089201878734</v>
      </c>
      <c r="Y313" s="12">
        <v>63</v>
      </c>
      <c r="Z313" s="11">
        <v>50.85</v>
      </c>
      <c r="AA313" s="11">
        <v>42.466666666666669</v>
      </c>
      <c r="AB313" s="11">
        <v>34.633333333333333</v>
      </c>
      <c r="AC313" s="11"/>
      <c r="AD313" s="11">
        <v>127.94999999999999</v>
      </c>
      <c r="AE313" s="11">
        <v>42.65</v>
      </c>
      <c r="AF313" s="13">
        <v>249</v>
      </c>
      <c r="AG313" s="11">
        <v>2.1007042253521107</v>
      </c>
      <c r="AI313" s="12">
        <v>80</v>
      </c>
      <c r="AJ313" s="11">
        <v>46.274999999999999</v>
      </c>
      <c r="AK313" s="11">
        <v>37.200000000000003</v>
      </c>
      <c r="AL313" s="11">
        <v>39.075000000000003</v>
      </c>
      <c r="AM313" s="11"/>
      <c r="AN313" s="11">
        <v>122.55</v>
      </c>
      <c r="AO313" s="11">
        <v>40.85</v>
      </c>
      <c r="AP313" s="13">
        <v>191</v>
      </c>
      <c r="AQ313" s="11">
        <v>-1.7999999999999972</v>
      </c>
      <c r="AS313" s="12">
        <v>59</v>
      </c>
      <c r="AT313" s="11">
        <v>52.454237288135594</v>
      </c>
      <c r="AU313" s="11">
        <v>28.688135593220338</v>
      </c>
      <c r="AV313" s="11">
        <v>36.988135593220335</v>
      </c>
      <c r="AW313" s="11"/>
      <c r="AX313" s="11">
        <v>118.13050847457626</v>
      </c>
      <c r="AY313" s="11">
        <v>39.376836158192084</v>
      </c>
      <c r="AZ313" s="13">
        <v>183</v>
      </c>
      <c r="BA313" s="11">
        <v>-1.4731638418079172</v>
      </c>
    </row>
    <row r="314" spans="1:53" x14ac:dyDescent="0.25">
      <c r="A314" s="12">
        <v>311</v>
      </c>
      <c r="B314" s="12" t="s">
        <v>31</v>
      </c>
      <c r="C314" s="12">
        <v>53</v>
      </c>
      <c r="D314" s="12" t="s">
        <v>12</v>
      </c>
      <c r="E314" s="12">
        <v>204</v>
      </c>
      <c r="F314" s="11">
        <v>55.336274509803921</v>
      </c>
      <c r="G314" s="11">
        <v>46.242647058823522</v>
      </c>
      <c r="H314" s="11"/>
      <c r="I314" s="11"/>
      <c r="J314" s="11">
        <v>101.57892156862744</v>
      </c>
      <c r="K314" s="11">
        <v>50.789460784313718</v>
      </c>
      <c r="L314" s="13">
        <v>97</v>
      </c>
      <c r="M314" s="11">
        <v>1.4754822896900706</v>
      </c>
      <c r="O314" s="12">
        <v>198</v>
      </c>
      <c r="P314" s="11">
        <v>56.883838383838381</v>
      </c>
      <c r="Q314" s="11">
        <v>50.348484848484851</v>
      </c>
      <c r="R314" s="11">
        <v>46.464646464646464</v>
      </c>
      <c r="S314" s="11"/>
      <c r="T314" s="11">
        <v>107.23232323232324</v>
      </c>
      <c r="U314" s="11">
        <v>53.616161616161619</v>
      </c>
      <c r="V314" s="13">
        <v>45</v>
      </c>
      <c r="W314" s="11">
        <v>2.8267008318479014</v>
      </c>
      <c r="Y314" s="12">
        <v>180</v>
      </c>
      <c r="Z314" s="11">
        <v>58.734883720930235</v>
      </c>
      <c r="AA314" s="11">
        <v>53.413953488372094</v>
      </c>
      <c r="AB314" s="11">
        <v>48.134883720930233</v>
      </c>
      <c r="AC314" s="11"/>
      <c r="AD314" s="11">
        <v>160.28372093023256</v>
      </c>
      <c r="AE314" s="11">
        <v>53.42790697674419</v>
      </c>
      <c r="AF314" s="13">
        <v>56</v>
      </c>
      <c r="AG314" s="11">
        <v>-0.18825463941742981</v>
      </c>
      <c r="AI314" s="12">
        <v>223</v>
      </c>
      <c r="AJ314" s="11">
        <v>55.112612612612615</v>
      </c>
      <c r="AK314" s="11">
        <v>45.747747747747745</v>
      </c>
      <c r="AL314" s="11">
        <v>51.878378378378379</v>
      </c>
      <c r="AM314" s="11">
        <v>56.16</v>
      </c>
      <c r="AN314" s="11">
        <v>152.73873873873873</v>
      </c>
      <c r="AO314" s="11">
        <v>50.912912912912908</v>
      </c>
      <c r="AP314" s="13">
        <v>58</v>
      </c>
      <c r="AQ314" s="11">
        <v>-2.5149940638312813</v>
      </c>
      <c r="AS314" s="12">
        <v>176</v>
      </c>
      <c r="AT314" s="11">
        <v>59.368181818181846</v>
      </c>
      <c r="AU314" s="11">
        <v>35.165909090909082</v>
      </c>
      <c r="AV314" s="11">
        <v>47.713636363636354</v>
      </c>
      <c r="AW314" s="11">
        <v>56.557142857142857</v>
      </c>
      <c r="AX314" s="11">
        <v>142.24772727272727</v>
      </c>
      <c r="AY314" s="11">
        <v>47.415909090909089</v>
      </c>
      <c r="AZ314" s="13">
        <v>59</v>
      </c>
      <c r="BA314" s="11">
        <v>-3.4970038220038191</v>
      </c>
    </row>
    <row r="315" spans="1:53" x14ac:dyDescent="0.25">
      <c r="A315" s="12">
        <v>312</v>
      </c>
      <c r="B315" s="12" t="s">
        <v>31</v>
      </c>
      <c r="C315" s="12">
        <v>60</v>
      </c>
      <c r="D315" s="12" t="s">
        <v>12</v>
      </c>
      <c r="E315" s="12">
        <v>176</v>
      </c>
      <c r="F315" s="11">
        <v>60.616477272727273</v>
      </c>
      <c r="G315" s="11">
        <v>51.697159090909103</v>
      </c>
      <c r="H315" s="11"/>
      <c r="I315" s="11"/>
      <c r="J315" s="11">
        <v>112.31363636363638</v>
      </c>
      <c r="K315" s="11">
        <v>56.156818181818188</v>
      </c>
      <c r="L315" s="13">
        <v>33</v>
      </c>
      <c r="M315" s="11">
        <v>0.96879001280410648</v>
      </c>
      <c r="O315" s="12">
        <v>168</v>
      </c>
      <c r="P315" s="11">
        <v>57.844311377245511</v>
      </c>
      <c r="Q315" s="11">
        <v>47.443113772455092</v>
      </c>
      <c r="R315" s="11">
        <v>51.179640718562872</v>
      </c>
      <c r="S315" s="11"/>
      <c r="T315" s="11">
        <v>105.2874251497006</v>
      </c>
      <c r="U315" s="11">
        <v>52.643712574850298</v>
      </c>
      <c r="V315" s="13">
        <v>59</v>
      </c>
      <c r="W315" s="11">
        <v>-3.5131056069678905</v>
      </c>
      <c r="Y315" s="12">
        <v>220</v>
      </c>
      <c r="Z315" s="11">
        <v>64.361842105263165</v>
      </c>
      <c r="AA315" s="11">
        <v>56.368421052631582</v>
      </c>
      <c r="AB315" s="11">
        <v>51.559210526315788</v>
      </c>
      <c r="AC315" s="11"/>
      <c r="AD315" s="11">
        <v>172.28947368421052</v>
      </c>
      <c r="AE315" s="11">
        <v>57.429824561403507</v>
      </c>
      <c r="AF315" s="13">
        <v>22</v>
      </c>
      <c r="AG315" s="11">
        <v>4.7861119865532089</v>
      </c>
      <c r="AI315" s="12">
        <v>183</v>
      </c>
      <c r="AJ315" s="11">
        <v>58.229508196721312</v>
      </c>
      <c r="AK315" s="11">
        <v>48.153005464480877</v>
      </c>
      <c r="AL315" s="11">
        <v>61.010928961748633</v>
      </c>
      <c r="AM315" s="11">
        <v>52.5</v>
      </c>
      <c r="AN315" s="11">
        <v>167.39344262295083</v>
      </c>
      <c r="AO315" s="11">
        <v>55.797814207650276</v>
      </c>
      <c r="AP315" s="13">
        <v>25</v>
      </c>
      <c r="AQ315" s="11">
        <v>-1.6320103537532304</v>
      </c>
      <c r="AS315" s="12">
        <v>217</v>
      </c>
      <c r="AT315" s="11">
        <v>63.270046082949293</v>
      </c>
      <c r="AU315" s="11">
        <v>41.427649769585265</v>
      </c>
      <c r="AV315" s="11">
        <v>58.543317972350209</v>
      </c>
      <c r="AW315" s="11">
        <v>55.703448275862065</v>
      </c>
      <c r="AX315" s="11">
        <v>163.24101382488476</v>
      </c>
      <c r="AY315" s="11">
        <v>54.413671274961587</v>
      </c>
      <c r="AZ315" s="13">
        <v>13</v>
      </c>
      <c r="BA315" s="11">
        <v>-1.3841429326886896</v>
      </c>
    </row>
    <row r="316" spans="1:53" x14ac:dyDescent="0.25">
      <c r="A316" s="12">
        <v>313</v>
      </c>
      <c r="B316" s="12" t="s">
        <v>31</v>
      </c>
      <c r="C316" s="12">
        <v>150</v>
      </c>
      <c r="D316" s="12" t="s">
        <v>12</v>
      </c>
      <c r="E316" s="12">
        <v>30</v>
      </c>
      <c r="F316" s="11">
        <v>47.019999999999989</v>
      </c>
      <c r="G316" s="11">
        <v>30.873333333333331</v>
      </c>
      <c r="H316" s="11"/>
      <c r="I316" s="11"/>
      <c r="J316" s="11">
        <v>77.893333333333317</v>
      </c>
      <c r="K316" s="11">
        <v>38.946666666666658</v>
      </c>
      <c r="L316" s="13">
        <v>259</v>
      </c>
      <c r="M316" s="11">
        <v>5.3799999999999955</v>
      </c>
      <c r="O316" s="12">
        <v>23</v>
      </c>
      <c r="P316" s="11">
        <v>43.347826086956523</v>
      </c>
      <c r="Q316" s="11">
        <v>29.913043478260871</v>
      </c>
      <c r="R316" s="11">
        <v>25.391304347826086</v>
      </c>
      <c r="S316" s="11"/>
      <c r="T316" s="11">
        <v>73.260869565217391</v>
      </c>
      <c r="U316" s="11">
        <v>36.630434782608695</v>
      </c>
      <c r="V316" s="13">
        <v>282</v>
      </c>
      <c r="W316" s="11">
        <v>-2.316231884057963</v>
      </c>
      <c r="Y316" s="12">
        <v>49</v>
      </c>
      <c r="Z316" s="11">
        <v>45.45945945945946</v>
      </c>
      <c r="AA316" s="11">
        <v>40.594594594594597</v>
      </c>
      <c r="AB316" s="11">
        <v>30.243243243243242</v>
      </c>
      <c r="AC316" s="11"/>
      <c r="AD316" s="11">
        <v>116.29729729729731</v>
      </c>
      <c r="AE316" s="11">
        <v>38.765765765765771</v>
      </c>
      <c r="AF316" s="13">
        <v>283</v>
      </c>
      <c r="AG316" s="11">
        <v>2.1353309831570755</v>
      </c>
      <c r="AI316" s="12">
        <v>39</v>
      </c>
      <c r="AJ316" s="11">
        <v>36.128205128205131</v>
      </c>
      <c r="AK316" s="11">
        <v>28.717948717948719</v>
      </c>
      <c r="AL316" s="11">
        <v>29.025641025641026</v>
      </c>
      <c r="AM316" s="11" t="s">
        <v>14</v>
      </c>
      <c r="AN316" s="11">
        <v>93.871794871794876</v>
      </c>
      <c r="AO316" s="11">
        <v>31.290598290598293</v>
      </c>
      <c r="AP316" s="13">
        <v>289</v>
      </c>
      <c r="AQ316" s="11">
        <v>-7.4751674751674777</v>
      </c>
      <c r="AS316" s="12">
        <v>50</v>
      </c>
      <c r="AT316" s="11">
        <v>49.997916666666669</v>
      </c>
      <c r="AU316" s="11">
        <v>23.691666666666659</v>
      </c>
      <c r="AV316" s="11">
        <v>33.327083333333334</v>
      </c>
      <c r="AW316" s="11">
        <v>50.666666666666664</v>
      </c>
      <c r="AX316" s="11">
        <v>107.01666666666667</v>
      </c>
      <c r="AY316" s="11">
        <v>35.672222222222224</v>
      </c>
      <c r="AZ316" s="13">
        <v>242</v>
      </c>
      <c r="BA316" s="11">
        <v>4.3816239316239312</v>
      </c>
    </row>
    <row r="317" spans="1:53" x14ac:dyDescent="0.25">
      <c r="A317" s="12">
        <v>314</v>
      </c>
      <c r="B317" s="12" t="s">
        <v>31</v>
      </c>
      <c r="C317" s="12">
        <v>153</v>
      </c>
      <c r="D317" s="12" t="s">
        <v>12</v>
      </c>
      <c r="E317" s="12">
        <v>73</v>
      </c>
      <c r="F317" s="11">
        <v>57.052054794520551</v>
      </c>
      <c r="G317" s="11">
        <v>48.680821917808196</v>
      </c>
      <c r="H317" s="11"/>
      <c r="I317" s="11"/>
      <c r="J317" s="11">
        <v>105.73287671232875</v>
      </c>
      <c r="K317" s="11">
        <v>52.866438356164373</v>
      </c>
      <c r="L317" s="13">
        <v>65</v>
      </c>
      <c r="M317" s="11">
        <v>5.1664383561643703</v>
      </c>
      <c r="O317" s="12">
        <v>60</v>
      </c>
      <c r="P317" s="11">
        <v>55.051724137931032</v>
      </c>
      <c r="Q317" s="11">
        <v>51</v>
      </c>
      <c r="R317" s="11">
        <v>46.137931034482762</v>
      </c>
      <c r="S317" s="11"/>
      <c r="T317" s="11">
        <v>106.05172413793103</v>
      </c>
      <c r="U317" s="11">
        <v>53.025862068965516</v>
      </c>
      <c r="V317" s="13">
        <v>53</v>
      </c>
      <c r="W317" s="11">
        <v>0.15942371280114287</v>
      </c>
      <c r="Y317" s="12">
        <v>82</v>
      </c>
      <c r="Z317" s="11">
        <v>57.268656716417908</v>
      </c>
      <c r="AA317" s="11">
        <v>52.865671641791046</v>
      </c>
      <c r="AB317" s="11">
        <v>44.089552238805972</v>
      </c>
      <c r="AC317" s="11"/>
      <c r="AD317" s="11">
        <v>154.22388059701493</v>
      </c>
      <c r="AE317" s="11">
        <v>51.407960199004975</v>
      </c>
      <c r="AF317" s="13">
        <v>81</v>
      </c>
      <c r="AG317" s="11">
        <v>-1.6179018699605408</v>
      </c>
      <c r="AI317" s="12">
        <v>67</v>
      </c>
      <c r="AJ317" s="11">
        <v>51.029850746268657</v>
      </c>
      <c r="AK317" s="11">
        <v>45.552238805970148</v>
      </c>
      <c r="AL317" s="11">
        <v>49.149253731343286</v>
      </c>
      <c r="AM317" s="11">
        <v>44.518518518518519</v>
      </c>
      <c r="AN317" s="11">
        <v>145.73134328358211</v>
      </c>
      <c r="AO317" s="11">
        <v>48.5771144278607</v>
      </c>
      <c r="AP317" s="13">
        <v>80</v>
      </c>
      <c r="AQ317" s="11">
        <v>-2.8308457711442756</v>
      </c>
      <c r="AS317" s="12">
        <v>75</v>
      </c>
      <c r="AT317" s="11">
        <v>58.318666666666672</v>
      </c>
      <c r="AU317" s="11">
        <v>37.186666666666667</v>
      </c>
      <c r="AV317" s="11">
        <v>50.074666666666658</v>
      </c>
      <c r="AW317" s="11">
        <v>58.022727272727273</v>
      </c>
      <c r="AX317" s="11">
        <v>145.57999999999998</v>
      </c>
      <c r="AY317" s="11">
        <v>48.526666666666664</v>
      </c>
      <c r="AZ317" s="13">
        <v>47</v>
      </c>
      <c r="BA317" s="11">
        <v>-5.0447761194035934E-2</v>
      </c>
    </row>
    <row r="318" spans="1:53" x14ac:dyDescent="0.25">
      <c r="A318" s="12">
        <v>315</v>
      </c>
      <c r="B318" s="12" t="s">
        <v>31</v>
      </c>
      <c r="C318" s="12">
        <v>158</v>
      </c>
      <c r="D318" s="12" t="s">
        <v>12</v>
      </c>
      <c r="E318" s="12">
        <v>166</v>
      </c>
      <c r="F318" s="11">
        <v>54.824096385542134</v>
      </c>
      <c r="G318" s="11">
        <v>44.60301204819276</v>
      </c>
      <c r="H318" s="11"/>
      <c r="I318" s="11"/>
      <c r="J318" s="11">
        <v>99.427108433734901</v>
      </c>
      <c r="K318" s="11">
        <v>49.71355421686745</v>
      </c>
      <c r="L318" s="13">
        <v>112</v>
      </c>
      <c r="M318" s="11">
        <v>-2.6080366922234788</v>
      </c>
      <c r="O318" s="12">
        <v>187</v>
      </c>
      <c r="P318" s="11">
        <v>50.376344086021504</v>
      </c>
      <c r="Q318" s="11">
        <v>40.5</v>
      </c>
      <c r="R318" s="11">
        <v>35.935483870967744</v>
      </c>
      <c r="S318" s="11"/>
      <c r="T318" s="11">
        <v>90.876344086021504</v>
      </c>
      <c r="U318" s="11">
        <v>45.438172043010752</v>
      </c>
      <c r="V318" s="13">
        <v>168</v>
      </c>
      <c r="W318" s="11">
        <v>-4.2753821738566984</v>
      </c>
      <c r="Y318" s="12">
        <v>224</v>
      </c>
      <c r="Z318" s="11">
        <v>57.41346153846154</v>
      </c>
      <c r="AA318" s="11">
        <v>54.466346153846153</v>
      </c>
      <c r="AB318" s="11">
        <v>42.23557692307692</v>
      </c>
      <c r="AC318" s="11"/>
      <c r="AD318" s="11">
        <v>154.11538461538461</v>
      </c>
      <c r="AE318" s="11">
        <v>51.371794871794869</v>
      </c>
      <c r="AF318" s="13">
        <v>83</v>
      </c>
      <c r="AG318" s="11">
        <v>5.9336228287841166</v>
      </c>
      <c r="AI318" s="12">
        <v>244</v>
      </c>
      <c r="AJ318" s="11">
        <v>52.709016393442624</v>
      </c>
      <c r="AK318" s="11">
        <v>44.229508196721312</v>
      </c>
      <c r="AL318" s="11">
        <v>48.331967213114751</v>
      </c>
      <c r="AM318" s="11">
        <v>55.841269841269842</v>
      </c>
      <c r="AN318" s="11">
        <v>145.27049180327867</v>
      </c>
      <c r="AO318" s="11">
        <v>48.423497267759558</v>
      </c>
      <c r="AP318" s="13">
        <v>83</v>
      </c>
      <c r="AQ318" s="11">
        <v>-2.9482976040353108</v>
      </c>
      <c r="AS318" s="12">
        <v>221</v>
      </c>
      <c r="AT318" s="11">
        <v>58.200454545454534</v>
      </c>
      <c r="AU318" s="11">
        <v>41.948181818181808</v>
      </c>
      <c r="AV318" s="11">
        <v>45.776363636363669</v>
      </c>
      <c r="AW318" s="11">
        <v>62.014492753623188</v>
      </c>
      <c r="AX318" s="11">
        <v>145.92500000000001</v>
      </c>
      <c r="AY318" s="11">
        <v>48.641666666666673</v>
      </c>
      <c r="AZ318" s="13">
        <v>45</v>
      </c>
      <c r="BA318" s="11">
        <v>0.21816939890711495</v>
      </c>
    </row>
    <row r="319" spans="1:53" x14ac:dyDescent="0.25">
      <c r="A319" s="12">
        <v>316</v>
      </c>
      <c r="B319" s="12" t="s">
        <v>31</v>
      </c>
      <c r="C319" s="12">
        <v>161</v>
      </c>
      <c r="D319" s="12" t="s">
        <v>12</v>
      </c>
      <c r="E319" s="12"/>
      <c r="F319" s="11"/>
      <c r="G319" s="11"/>
      <c r="H319" s="11"/>
      <c r="I319" s="11"/>
      <c r="J319" s="11" t="s">
        <v>14</v>
      </c>
      <c r="K319" s="11" t="s">
        <v>14</v>
      </c>
      <c r="L319" s="13" t="s">
        <v>14</v>
      </c>
      <c r="M319" s="11" t="s">
        <v>14</v>
      </c>
      <c r="O319" s="12"/>
      <c r="P319" s="11"/>
      <c r="Q319" s="11"/>
      <c r="R319" s="11"/>
      <c r="S319" s="11"/>
      <c r="T319" s="11" t="s">
        <v>14</v>
      </c>
      <c r="U319" s="11" t="s">
        <v>14</v>
      </c>
      <c r="V319" s="13" t="s">
        <v>14</v>
      </c>
      <c r="W319" s="11" t="s">
        <v>14</v>
      </c>
      <c r="Y319" s="12">
        <v>22</v>
      </c>
      <c r="Z319" s="11"/>
      <c r="AA319" s="11"/>
      <c r="AB319" s="11"/>
      <c r="AC319" s="11"/>
      <c r="AD319" s="11" t="s">
        <v>14</v>
      </c>
      <c r="AE319" s="11" t="s">
        <v>14</v>
      </c>
      <c r="AF319" s="13" t="s">
        <v>14</v>
      </c>
      <c r="AG319" s="11" t="s">
        <v>14</v>
      </c>
      <c r="AI319" s="12"/>
      <c r="AJ319" s="11"/>
      <c r="AK319" s="11"/>
      <c r="AL319" s="11"/>
      <c r="AM319" s="11"/>
      <c r="AN319" s="11" t="s">
        <v>14</v>
      </c>
      <c r="AO319" s="11" t="s">
        <v>14</v>
      </c>
      <c r="AP319" s="13" t="s">
        <v>14</v>
      </c>
      <c r="AQ319" s="11" t="s">
        <v>14</v>
      </c>
      <c r="AS319" s="12">
        <v>23</v>
      </c>
      <c r="AT319" s="11">
        <v>60.665217391304346</v>
      </c>
      <c r="AU319" s="11">
        <v>44.926086956521736</v>
      </c>
      <c r="AV319" s="11">
        <v>52.182608695652178</v>
      </c>
      <c r="AW319" s="11"/>
      <c r="AX319" s="11">
        <v>157.77391304347827</v>
      </c>
      <c r="AY319" s="11">
        <v>52.591304347826089</v>
      </c>
      <c r="AZ319" s="13">
        <v>19</v>
      </c>
      <c r="BA319" s="11" t="e">
        <v>#VALUE!</v>
      </c>
    </row>
    <row r="320" spans="1:53" x14ac:dyDescent="0.25">
      <c r="A320" s="12">
        <v>317</v>
      </c>
      <c r="B320" s="12" t="s">
        <v>31</v>
      </c>
      <c r="C320" s="12">
        <v>167</v>
      </c>
      <c r="D320" s="12" t="s">
        <v>12</v>
      </c>
      <c r="E320" s="12">
        <v>146</v>
      </c>
      <c r="F320" s="11">
        <v>56.162328767123306</v>
      </c>
      <c r="G320" s="11">
        <v>47.787671232876704</v>
      </c>
      <c r="H320" s="11"/>
      <c r="I320" s="11"/>
      <c r="J320" s="11">
        <v>103.95000000000002</v>
      </c>
      <c r="K320" s="11">
        <v>51.975000000000009</v>
      </c>
      <c r="L320" s="13">
        <v>79</v>
      </c>
      <c r="M320" s="11">
        <v>1.798426573426589</v>
      </c>
      <c r="O320" s="12">
        <v>146</v>
      </c>
      <c r="P320" s="11">
        <v>55.06849315068493</v>
      </c>
      <c r="Q320" s="11">
        <v>48.102739726027394</v>
      </c>
      <c r="R320" s="11">
        <v>46.56849315068493</v>
      </c>
      <c r="S320" s="11"/>
      <c r="T320" s="11">
        <v>103.17123287671232</v>
      </c>
      <c r="U320" s="11">
        <v>51.585616438356162</v>
      </c>
      <c r="V320" s="13">
        <v>76</v>
      </c>
      <c r="W320" s="11">
        <v>-0.38938356164384658</v>
      </c>
      <c r="Y320" s="12">
        <v>217</v>
      </c>
      <c r="Z320" s="11">
        <v>57.205128205128204</v>
      </c>
      <c r="AA320" s="11">
        <v>49.160256410256409</v>
      </c>
      <c r="AB320" s="11">
        <v>44.75</v>
      </c>
      <c r="AC320" s="11"/>
      <c r="AD320" s="11">
        <v>151.11538461538461</v>
      </c>
      <c r="AE320" s="11">
        <v>50.371794871794869</v>
      </c>
      <c r="AF320" s="13">
        <v>105</v>
      </c>
      <c r="AG320" s="11">
        <v>-1.2138215665612933</v>
      </c>
      <c r="AI320" s="12">
        <v>175</v>
      </c>
      <c r="AJ320" s="11">
        <v>52.628571428571426</v>
      </c>
      <c r="AK320" s="11">
        <v>43.817142857142855</v>
      </c>
      <c r="AL320" s="11">
        <v>50.948571428571427</v>
      </c>
      <c r="AM320" s="11">
        <v>57.96</v>
      </c>
      <c r="AN320" s="11">
        <v>147.3942857142857</v>
      </c>
      <c r="AO320" s="11">
        <v>49.131428571428565</v>
      </c>
      <c r="AP320" s="13">
        <v>69</v>
      </c>
      <c r="AQ320" s="11">
        <v>-1.2403663003663041</v>
      </c>
      <c r="AS320" s="12">
        <v>213</v>
      </c>
      <c r="AT320" s="11">
        <v>57.123584905660358</v>
      </c>
      <c r="AU320" s="11">
        <v>35.938207547169803</v>
      </c>
      <c r="AV320" s="11">
        <v>44.519339622641503</v>
      </c>
      <c r="AW320" s="11">
        <v>60.204918032786885</v>
      </c>
      <c r="AX320" s="11">
        <v>137.58113207547166</v>
      </c>
      <c r="AY320" s="11">
        <v>45.860377358490553</v>
      </c>
      <c r="AZ320" s="13">
        <v>83</v>
      </c>
      <c r="BA320" s="11">
        <v>-3.271051212938012</v>
      </c>
    </row>
    <row r="321" spans="1:53" x14ac:dyDescent="0.25">
      <c r="A321" s="12">
        <v>318</v>
      </c>
      <c r="B321" s="12" t="s">
        <v>31</v>
      </c>
      <c r="C321" s="12">
        <v>173</v>
      </c>
      <c r="D321" s="12" t="s">
        <v>12</v>
      </c>
      <c r="E321" s="12">
        <v>49</v>
      </c>
      <c r="F321" s="11">
        <v>41.738775510204086</v>
      </c>
      <c r="G321" s="11">
        <v>28.093877551020412</v>
      </c>
      <c r="H321" s="11"/>
      <c r="I321" s="11"/>
      <c r="J321" s="11">
        <v>69.832653061224505</v>
      </c>
      <c r="K321" s="11">
        <v>34.916326530612253</v>
      </c>
      <c r="L321" s="13">
        <v>277</v>
      </c>
      <c r="M321" s="11">
        <v>-3.3531179138322003</v>
      </c>
      <c r="O321" s="12">
        <v>35</v>
      </c>
      <c r="P321" s="11">
        <v>39.714285714285715</v>
      </c>
      <c r="Q321" s="11">
        <v>29.142857142857142</v>
      </c>
      <c r="R321" s="11">
        <v>27.114285714285714</v>
      </c>
      <c r="S321" s="11"/>
      <c r="T321" s="11">
        <v>68.857142857142861</v>
      </c>
      <c r="U321" s="11">
        <v>34.428571428571431</v>
      </c>
      <c r="V321" s="13">
        <v>290</v>
      </c>
      <c r="W321" s="11">
        <v>-0.48775510204082195</v>
      </c>
      <c r="Y321" s="12">
        <v>37</v>
      </c>
      <c r="Z321" s="11">
        <v>45.368421052631582</v>
      </c>
      <c r="AA321" s="11">
        <v>38.315789473684212</v>
      </c>
      <c r="AB321" s="11">
        <v>32.578947368421055</v>
      </c>
      <c r="AC321" s="11"/>
      <c r="AD321" s="11">
        <v>116.26315789473685</v>
      </c>
      <c r="AE321" s="11">
        <v>38.754385964912281</v>
      </c>
      <c r="AF321" s="13">
        <v>284</v>
      </c>
      <c r="AG321" s="11">
        <v>4.3258145363408502</v>
      </c>
      <c r="AI321" s="12">
        <v>42</v>
      </c>
      <c r="AJ321" s="11">
        <v>46.439024390243901</v>
      </c>
      <c r="AK321" s="11">
        <v>35.414634146341463</v>
      </c>
      <c r="AL321" s="11">
        <v>35.512195121951223</v>
      </c>
      <c r="AM321" s="11" t="s">
        <v>14</v>
      </c>
      <c r="AN321" s="11">
        <v>117.36585365853658</v>
      </c>
      <c r="AO321" s="11">
        <v>39.121951219512191</v>
      </c>
      <c r="AP321" s="13">
        <v>211</v>
      </c>
      <c r="AQ321" s="11">
        <v>0.36756525459990996</v>
      </c>
      <c r="AS321" s="12">
        <v>34</v>
      </c>
      <c r="AT321" s="11">
        <v>41.5</v>
      </c>
      <c r="AU321" s="11">
        <v>24.091176470588234</v>
      </c>
      <c r="AV321" s="11">
        <v>21.79117647058824</v>
      </c>
      <c r="AW321" s="11"/>
      <c r="AX321" s="11">
        <v>87.382352941176478</v>
      </c>
      <c r="AY321" s="11">
        <v>29.127450980392158</v>
      </c>
      <c r="AZ321" s="13">
        <v>290</v>
      </c>
      <c r="BA321" s="11">
        <v>-9.9945002391200326</v>
      </c>
    </row>
    <row r="322" spans="1:53" x14ac:dyDescent="0.25">
      <c r="A322" s="12">
        <v>319</v>
      </c>
      <c r="B322" s="12" t="s">
        <v>31</v>
      </c>
      <c r="C322" s="12">
        <v>175</v>
      </c>
      <c r="D322" s="12" t="s">
        <v>12</v>
      </c>
      <c r="E322" s="12">
        <v>96</v>
      </c>
      <c r="F322" s="11">
        <v>56.969791666666673</v>
      </c>
      <c r="G322" s="11">
        <v>44.798958333333331</v>
      </c>
      <c r="H322" s="11"/>
      <c r="I322" s="11"/>
      <c r="J322" s="11">
        <v>101.76875000000001</v>
      </c>
      <c r="K322" s="11">
        <v>50.884375000000006</v>
      </c>
      <c r="L322" s="13">
        <v>95</v>
      </c>
      <c r="M322" s="11">
        <v>0.33624415887850745</v>
      </c>
      <c r="O322" s="12">
        <v>107</v>
      </c>
      <c r="P322" s="11">
        <v>51.738317757009348</v>
      </c>
      <c r="Q322" s="11">
        <v>43.607476635514018</v>
      </c>
      <c r="R322" s="11">
        <v>44.55140186915888</v>
      </c>
      <c r="S322" s="11"/>
      <c r="T322" s="11">
        <v>95.345794392523374</v>
      </c>
      <c r="U322" s="11">
        <v>47.672897196261687</v>
      </c>
      <c r="V322" s="13">
        <v>130</v>
      </c>
      <c r="W322" s="11">
        <v>-3.2114778037383189</v>
      </c>
      <c r="Y322" s="12">
        <v>97</v>
      </c>
      <c r="Z322" s="11">
        <v>59.649122807017541</v>
      </c>
      <c r="AA322" s="11">
        <v>49.903508771929822</v>
      </c>
      <c r="AB322" s="11">
        <v>49.140350877192979</v>
      </c>
      <c r="AC322" s="11"/>
      <c r="AD322" s="11">
        <v>158.69298245614036</v>
      </c>
      <c r="AE322" s="11">
        <v>52.897660818713454</v>
      </c>
      <c r="AF322" s="13">
        <v>60</v>
      </c>
      <c r="AG322" s="11">
        <v>5.2247636224517677</v>
      </c>
      <c r="AI322" s="12">
        <v>117</v>
      </c>
      <c r="AJ322" s="11">
        <v>57.153846153846153</v>
      </c>
      <c r="AK322" s="11">
        <v>46.051282051282051</v>
      </c>
      <c r="AL322" s="11">
        <v>59.46153846153846</v>
      </c>
      <c r="AM322" s="11">
        <v>51.744186046511629</v>
      </c>
      <c r="AN322" s="11">
        <v>162.66666666666666</v>
      </c>
      <c r="AO322" s="11">
        <v>54.222222222222221</v>
      </c>
      <c r="AP322" s="13">
        <v>35</v>
      </c>
      <c r="AQ322" s="11">
        <v>1.3245614035087669</v>
      </c>
      <c r="AS322" s="12">
        <v>93</v>
      </c>
      <c r="AT322" s="11">
        <v>61.963440860215044</v>
      </c>
      <c r="AU322" s="11">
        <v>39.162365591397858</v>
      </c>
      <c r="AV322" s="11">
        <v>53.977419354838709</v>
      </c>
      <c r="AW322" s="11">
        <v>57.75</v>
      </c>
      <c r="AX322" s="11">
        <v>155.1032258064516</v>
      </c>
      <c r="AY322" s="11">
        <v>51.701075268817199</v>
      </c>
      <c r="AZ322" s="13">
        <v>24</v>
      </c>
      <c r="BA322" s="11">
        <v>-2.5211469534050224</v>
      </c>
    </row>
    <row r="323" spans="1:53" x14ac:dyDescent="0.25">
      <c r="A323" s="12">
        <v>320</v>
      </c>
      <c r="B323" s="12" t="s">
        <v>31</v>
      </c>
      <c r="C323" s="12">
        <v>176</v>
      </c>
      <c r="D323" s="12" t="s">
        <v>12</v>
      </c>
      <c r="E323" s="12">
        <v>43</v>
      </c>
      <c r="F323" s="11">
        <v>51.553488372093035</v>
      </c>
      <c r="G323" s="11">
        <v>38.188372093023261</v>
      </c>
      <c r="H323" s="11"/>
      <c r="I323" s="11"/>
      <c r="J323" s="11">
        <v>89.741860465116304</v>
      </c>
      <c r="K323" s="11">
        <v>44.870930232558152</v>
      </c>
      <c r="L323" s="13">
        <v>177</v>
      </c>
      <c r="M323" s="11">
        <v>1.1783891094751198E-2</v>
      </c>
      <c r="O323" s="12">
        <v>62</v>
      </c>
      <c r="P323" s="11">
        <v>47.70967741935484</v>
      </c>
      <c r="Q323" s="11">
        <v>36.37096774193548</v>
      </c>
      <c r="R323" s="11">
        <v>31.677419354838708</v>
      </c>
      <c r="S323" s="11"/>
      <c r="T323" s="11">
        <v>84.08064516129032</v>
      </c>
      <c r="U323" s="11">
        <v>42.04032258064516</v>
      </c>
      <c r="V323" s="13">
        <v>220</v>
      </c>
      <c r="W323" s="11">
        <v>-2.8306076519129917</v>
      </c>
      <c r="Y323" s="12">
        <v>67</v>
      </c>
      <c r="Z323" s="11">
        <v>49.460317460317462</v>
      </c>
      <c r="AA323" s="11">
        <v>42.111111111111114</v>
      </c>
      <c r="AB323" s="11">
        <v>34.317460317460316</v>
      </c>
      <c r="AC323" s="11"/>
      <c r="AD323" s="11">
        <v>125.8888888888889</v>
      </c>
      <c r="AE323" s="11">
        <v>41.962962962962969</v>
      </c>
      <c r="AF323" s="13">
        <v>257</v>
      </c>
      <c r="AG323" s="11">
        <v>-7.7359617682191129E-2</v>
      </c>
      <c r="AI323" s="12">
        <v>58</v>
      </c>
      <c r="AJ323" s="11">
        <v>42.396551724137929</v>
      </c>
      <c r="AK323" s="11">
        <v>34.206896551724135</v>
      </c>
      <c r="AL323" s="11">
        <v>36.741379310344826</v>
      </c>
      <c r="AM323" s="11" t="s">
        <v>14</v>
      </c>
      <c r="AN323" s="11">
        <v>113.34482758620689</v>
      </c>
      <c r="AO323" s="11">
        <v>37.781609195402297</v>
      </c>
      <c r="AP323" s="13">
        <v>231</v>
      </c>
      <c r="AQ323" s="11">
        <v>-4.1813537675606725</v>
      </c>
      <c r="AS323" s="12">
        <v>69</v>
      </c>
      <c r="AT323" s="11">
        <v>48.497058823529422</v>
      </c>
      <c r="AU323" s="11">
        <v>32.39411764705882</v>
      </c>
      <c r="AV323" s="11">
        <v>33.732352941176458</v>
      </c>
      <c r="AW323" s="11"/>
      <c r="AX323" s="11">
        <v>114.62352941176471</v>
      </c>
      <c r="AY323" s="11">
        <v>38.207843137254905</v>
      </c>
      <c r="AZ323" s="13">
        <v>204</v>
      </c>
      <c r="BA323" s="11">
        <v>0.42623394185260821</v>
      </c>
    </row>
    <row r="324" spans="1:53" x14ac:dyDescent="0.25">
      <c r="A324" s="12">
        <v>321</v>
      </c>
      <c r="B324" s="12" t="s">
        <v>31</v>
      </c>
      <c r="C324" s="12">
        <v>225</v>
      </c>
      <c r="D324" s="12" t="s">
        <v>12</v>
      </c>
      <c r="E324" s="12">
        <v>85</v>
      </c>
      <c r="F324" s="11">
        <v>57.814117647058843</v>
      </c>
      <c r="G324" s="11">
        <v>47.576470588235281</v>
      </c>
      <c r="H324" s="11"/>
      <c r="I324" s="11"/>
      <c r="J324" s="11">
        <v>105.39058823529413</v>
      </c>
      <c r="K324" s="11">
        <v>52.695294117647066</v>
      </c>
      <c r="L324" s="13">
        <v>69</v>
      </c>
      <c r="M324" s="11">
        <v>-0.55848739495796451</v>
      </c>
      <c r="O324" s="12">
        <v>97</v>
      </c>
      <c r="P324" s="11">
        <v>54.659793814432987</v>
      </c>
      <c r="Q324" s="11">
        <v>48.082474226804123</v>
      </c>
      <c r="R324" s="11">
        <v>39.762886597938142</v>
      </c>
      <c r="S324" s="11"/>
      <c r="T324" s="11">
        <v>102.74226804123711</v>
      </c>
      <c r="U324" s="11">
        <v>51.371134020618555</v>
      </c>
      <c r="V324" s="13">
        <v>78</v>
      </c>
      <c r="W324" s="11">
        <v>-1.3241600970285106</v>
      </c>
      <c r="Y324" s="12">
        <v>111</v>
      </c>
      <c r="Z324" s="11">
        <v>57.284090909090907</v>
      </c>
      <c r="AA324" s="11">
        <v>51.590909090909093</v>
      </c>
      <c r="AB324" s="11">
        <v>44.43181818181818</v>
      </c>
      <c r="AC324" s="11"/>
      <c r="AD324" s="11">
        <v>153.30681818181819</v>
      </c>
      <c r="AE324" s="11">
        <v>51.102272727272727</v>
      </c>
      <c r="AF324" s="13">
        <v>91</v>
      </c>
      <c r="AG324" s="11">
        <v>-0.26886129334582876</v>
      </c>
      <c r="AI324" s="12">
        <v>133</v>
      </c>
      <c r="AJ324" s="11">
        <v>51.842105263157897</v>
      </c>
      <c r="AK324" s="11">
        <v>44.270676691729321</v>
      </c>
      <c r="AL324" s="11">
        <v>50.075187969924812</v>
      </c>
      <c r="AM324" s="11">
        <v>52.62</v>
      </c>
      <c r="AN324" s="11">
        <v>146.18796992481202</v>
      </c>
      <c r="AO324" s="11">
        <v>48.729323308270672</v>
      </c>
      <c r="AP324" s="13">
        <v>79</v>
      </c>
      <c r="AQ324" s="11">
        <v>-2.3729494190020546</v>
      </c>
      <c r="AS324" s="12">
        <v>115</v>
      </c>
      <c r="AT324" s="11">
        <v>62.571929824561401</v>
      </c>
      <c r="AU324" s="11">
        <v>39.314912280701762</v>
      </c>
      <c r="AV324" s="11">
        <v>47.442982456140378</v>
      </c>
      <c r="AW324" s="11">
        <v>59.045454545454547</v>
      </c>
      <c r="AX324" s="11">
        <v>149.32982456140354</v>
      </c>
      <c r="AY324" s="11">
        <v>49.776608187134514</v>
      </c>
      <c r="AZ324" s="13">
        <v>38</v>
      </c>
      <c r="BA324" s="11">
        <v>1.0472848788638416</v>
      </c>
    </row>
    <row r="325" spans="1:53" x14ac:dyDescent="0.25">
      <c r="A325" s="12">
        <v>322</v>
      </c>
      <c r="B325" s="12" t="s">
        <v>31</v>
      </c>
      <c r="C325" s="12">
        <v>286</v>
      </c>
      <c r="D325" s="12" t="s">
        <v>12</v>
      </c>
      <c r="E325" s="12">
        <v>143</v>
      </c>
      <c r="F325" s="11">
        <v>54.199999999999996</v>
      </c>
      <c r="G325" s="11">
        <v>43.309790209790187</v>
      </c>
      <c r="H325" s="11"/>
      <c r="I325" s="11"/>
      <c r="J325" s="11">
        <v>97.509790209790182</v>
      </c>
      <c r="K325" s="11">
        <v>48.754895104895091</v>
      </c>
      <c r="L325" s="13">
        <v>126</v>
      </c>
      <c r="M325" s="11">
        <v>-2.4488405272888158</v>
      </c>
      <c r="O325" s="12">
        <v>160</v>
      </c>
      <c r="P325" s="11">
        <v>58.658227848101269</v>
      </c>
      <c r="Q325" s="11">
        <v>46.72784810126582</v>
      </c>
      <c r="R325" s="11">
        <v>41.537974683544306</v>
      </c>
      <c r="S325" s="11"/>
      <c r="T325" s="11">
        <v>105.3860759493671</v>
      </c>
      <c r="U325" s="11">
        <v>52.693037974683548</v>
      </c>
      <c r="V325" s="13">
        <v>57</v>
      </c>
      <c r="W325" s="11">
        <v>3.9381428697884573</v>
      </c>
      <c r="Y325" s="12">
        <v>210</v>
      </c>
      <c r="Z325" s="11">
        <v>57.39411764705882</v>
      </c>
      <c r="AA325" s="11">
        <v>54.194117647058825</v>
      </c>
      <c r="AB325" s="11">
        <v>41.847058823529409</v>
      </c>
      <c r="AC325" s="11"/>
      <c r="AD325" s="11">
        <v>153.43529411764706</v>
      </c>
      <c r="AE325" s="11">
        <v>51.145098039215689</v>
      </c>
      <c r="AF325" s="13">
        <v>90</v>
      </c>
      <c r="AG325" s="11">
        <v>-1.5479399354678591</v>
      </c>
      <c r="AI325" s="12">
        <v>190</v>
      </c>
      <c r="AJ325" s="11">
        <v>51.573684210526316</v>
      </c>
      <c r="AK325" s="11">
        <v>41.642105263157895</v>
      </c>
      <c r="AL325" s="11">
        <v>47.773684210526319</v>
      </c>
      <c r="AM325" s="11">
        <v>55.285714285714285</v>
      </c>
      <c r="AN325" s="11">
        <v>140.98947368421054</v>
      </c>
      <c r="AO325" s="11">
        <v>46.996491228070177</v>
      </c>
      <c r="AP325" s="13">
        <v>107</v>
      </c>
      <c r="AQ325" s="11">
        <v>-4.1486068111455126</v>
      </c>
      <c r="AS325" s="12">
        <v>206</v>
      </c>
      <c r="AT325" s="11">
        <v>56.983414634146378</v>
      </c>
      <c r="AU325" s="11">
        <v>36.605853658536581</v>
      </c>
      <c r="AV325" s="11">
        <v>44.104390243902436</v>
      </c>
      <c r="AW325" s="11">
        <v>60.017241379310342</v>
      </c>
      <c r="AX325" s="11">
        <v>137.69365853658539</v>
      </c>
      <c r="AY325" s="11">
        <v>45.897886178861796</v>
      </c>
      <c r="AZ325" s="13">
        <v>82</v>
      </c>
      <c r="BA325" s="11">
        <v>-1.0986050492083805</v>
      </c>
    </row>
    <row r="326" spans="1:53" x14ac:dyDescent="0.25">
      <c r="A326" s="12">
        <v>323</v>
      </c>
      <c r="B326" s="12" t="s">
        <v>31</v>
      </c>
      <c r="C326" s="12">
        <v>308</v>
      </c>
      <c r="D326" s="12" t="s">
        <v>12</v>
      </c>
      <c r="E326" s="12">
        <v>125</v>
      </c>
      <c r="F326" s="11">
        <v>65.414399999999986</v>
      </c>
      <c r="G326" s="11">
        <v>51.446400000000018</v>
      </c>
      <c r="H326" s="11"/>
      <c r="I326" s="11"/>
      <c r="J326" s="11">
        <v>116.86080000000001</v>
      </c>
      <c r="K326" s="11">
        <v>58.430400000000006</v>
      </c>
      <c r="L326" s="13">
        <v>20</v>
      </c>
      <c r="M326" s="11">
        <v>4.0294740740740878</v>
      </c>
      <c r="O326" s="12">
        <v>93</v>
      </c>
      <c r="P326" s="11">
        <v>64.516129032258064</v>
      </c>
      <c r="Q326" s="11">
        <v>54.537634408602152</v>
      </c>
      <c r="R326" s="11">
        <v>45.956989247311824</v>
      </c>
      <c r="S326" s="11"/>
      <c r="T326" s="11">
        <v>119.05376344086022</v>
      </c>
      <c r="U326" s="11">
        <v>59.526881720430111</v>
      </c>
      <c r="V326" s="13">
        <v>14</v>
      </c>
      <c r="W326" s="11">
        <v>1.0964817204301056</v>
      </c>
      <c r="Y326" s="12">
        <v>148</v>
      </c>
      <c r="Z326" s="11">
        <v>61.928571428571431</v>
      </c>
      <c r="AA326" s="11">
        <v>56.223214285714285</v>
      </c>
      <c r="AB326" s="11">
        <v>43.5625</v>
      </c>
      <c r="AC326" s="11"/>
      <c r="AD326" s="11">
        <v>161.71428571428572</v>
      </c>
      <c r="AE326" s="11">
        <v>53.904761904761905</v>
      </c>
      <c r="AF326" s="13">
        <v>49</v>
      </c>
      <c r="AG326" s="11">
        <v>-5.6221198156682064</v>
      </c>
      <c r="AI326" s="12">
        <v>153</v>
      </c>
      <c r="AJ326" s="11">
        <v>59.80263157894737</v>
      </c>
      <c r="AK326" s="11">
        <v>52.342105263157897</v>
      </c>
      <c r="AL326" s="11">
        <v>51.256578947368418</v>
      </c>
      <c r="AM326" s="11" t="s">
        <v>14</v>
      </c>
      <c r="AN326" s="11">
        <v>163.40131578947367</v>
      </c>
      <c r="AO326" s="11">
        <v>54.46710526315789</v>
      </c>
      <c r="AP326" s="13">
        <v>32</v>
      </c>
      <c r="AQ326" s="11">
        <v>0.56234335839598515</v>
      </c>
      <c r="AS326" s="12">
        <v>141</v>
      </c>
      <c r="AT326" s="11">
        <v>59.961702127659578</v>
      </c>
      <c r="AU326" s="11">
        <v>39.995035460992881</v>
      </c>
      <c r="AV326" s="11">
        <v>47.287943262411353</v>
      </c>
      <c r="AW326" s="11"/>
      <c r="AX326" s="11">
        <v>147.2446808510638</v>
      </c>
      <c r="AY326" s="11">
        <v>49.081560283687935</v>
      </c>
      <c r="AZ326" s="13">
        <v>40</v>
      </c>
      <c r="BA326" s="11">
        <v>-5.3855449794699553</v>
      </c>
    </row>
  </sheetData>
  <sheetProtection algorithmName="SHA-512" hashValue="z7tyMYM4YGyA2d+hpNan93KmyrCYIDD5k5hdf8SlF7ElNVow1SbAswtqDk0DPVwIWYxU07cUNszb2kFJaT+5OA==" saltValue="GTKW1LbWiS+trkBISn88AA==" spinCount="100000" sheet="1" objects="1" scenarios="1"/>
  <mergeCells count="5">
    <mergeCell ref="E1:L1"/>
    <mergeCell ref="O1:W1"/>
    <mergeCell ref="Y1:AG1"/>
    <mergeCell ref="AI1:AQ1"/>
    <mergeCell ref="AS1:BA1"/>
  </mergeCells>
  <conditionalFormatting sqref="L4:L326">
    <cfRule type="cellIs" dxfId="8" priority="10" operator="between">
      <formula>0</formula>
      <formula>10</formula>
    </cfRule>
  </conditionalFormatting>
  <conditionalFormatting sqref="V4:V326">
    <cfRule type="cellIs" dxfId="7" priority="9" operator="between">
      <formula>0</formula>
      <formula>10</formula>
    </cfRule>
  </conditionalFormatting>
  <conditionalFormatting sqref="AF4:AF326">
    <cfRule type="cellIs" dxfId="6" priority="8" operator="between">
      <formula>0</formula>
      <formula>10</formula>
    </cfRule>
  </conditionalFormatting>
  <conditionalFormatting sqref="AP4:AP326">
    <cfRule type="cellIs" dxfId="5" priority="7" operator="between">
      <formula>0</formula>
      <formula>10</formula>
    </cfRule>
  </conditionalFormatting>
  <conditionalFormatting sqref="AZ4:AZ326">
    <cfRule type="cellIs" dxfId="4" priority="6" operator="between">
      <formula>0</formula>
      <formula>10</formula>
    </cfRule>
  </conditionalFormatting>
  <conditionalFormatting sqref="W3:W326">
    <cfRule type="cellIs" dxfId="3" priority="5" operator="between">
      <formula>-100</formula>
      <formula>0</formula>
    </cfRule>
  </conditionalFormatting>
  <conditionalFormatting sqref="AG3:AG326">
    <cfRule type="cellIs" dxfId="2" priority="4" operator="between">
      <formula>-100</formula>
      <formula>0</formula>
    </cfRule>
  </conditionalFormatting>
  <conditionalFormatting sqref="AQ3:AQ326">
    <cfRule type="cellIs" dxfId="1" priority="3" operator="between">
      <formula>-100</formula>
      <formula>0</formula>
    </cfRule>
  </conditionalFormatting>
  <conditionalFormatting sqref="BA3:BA326">
    <cfRule type="cellIs" dxfId="0" priority="2" operator="between">
      <formula>-100</formula>
      <formula>0</formula>
    </cfRule>
  </conditionalFormatting>
  <pageMargins left="0.25" right="0.25" top="0.75" bottom="0.75" header="0.3" footer="0.3"/>
  <pageSetup paperSize="9" scale="1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Nəticələr dioqramla</vt:lpstr>
      <vt:lpstr>İndekslər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2022-08-10T06:51:30Z</dcterms:modified>
</cp:coreProperties>
</file>