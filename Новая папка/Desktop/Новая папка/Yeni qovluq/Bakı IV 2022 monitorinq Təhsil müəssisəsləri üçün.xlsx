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Z.WORKSTATION\Desktop\"/>
    </mc:Choice>
  </mc:AlternateContent>
  <bookViews>
    <workbookView xWindow="0" yWindow="0" windowWidth="23040" windowHeight="9195"/>
  </bookViews>
  <sheets>
    <sheet name="IV monitorinq nəticələri-2022" sheetId="6" r:id="rId1"/>
  </sheets>
  <definedNames>
    <definedName name="_xlnm._FilterDatabase" localSheetId="0" hidden="1">'IV monitorinq nəticələri-2022'!#REF!</definedName>
  </definedNames>
  <calcPr calcId="162913"/>
</workbook>
</file>

<file path=xl/calcChain.xml><?xml version="1.0" encoding="utf-8"?>
<calcChain xmlns="http://schemas.openxmlformats.org/spreadsheetml/2006/main">
  <c r="DI4" i="6" l="1"/>
  <c r="DK4" i="6"/>
  <c r="DL4" i="6"/>
  <c r="DM4" i="6"/>
  <c r="DN4" i="6"/>
  <c r="DJ4" i="6"/>
  <c r="Y7" i="6" l="1"/>
  <c r="X7" i="6"/>
  <c r="W7" i="6"/>
  <c r="V7" i="6"/>
  <c r="U7" i="6"/>
  <c r="T7" i="6"/>
  <c r="Y4" i="6"/>
  <c r="X4" i="6"/>
  <c r="W4" i="6"/>
  <c r="V4" i="6"/>
  <c r="U4" i="6"/>
  <c r="T4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S5" i="6"/>
  <c r="R5" i="6"/>
  <c r="Q5" i="6"/>
  <c r="P5" i="6"/>
  <c r="O5" i="6"/>
  <c r="N5" i="6"/>
  <c r="M5" i="6"/>
  <c r="L5" i="6"/>
  <c r="K5" i="6"/>
  <c r="J5" i="6"/>
  <c r="I5" i="6"/>
  <c r="H5" i="6"/>
  <c r="G5" i="6"/>
  <c r="A5" i="6"/>
  <c r="F5" i="6"/>
  <c r="E5" i="6"/>
  <c r="D5" i="6"/>
  <c r="C5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DI336" i="6"/>
  <c r="DJ336" i="6"/>
  <c r="DK336" i="6"/>
  <c r="DI337" i="6"/>
  <c r="DJ337" i="6"/>
  <c r="DK337" i="6"/>
  <c r="DI338" i="6"/>
  <c r="DJ338" i="6"/>
  <c r="DK338" i="6"/>
  <c r="DI339" i="6"/>
  <c r="DJ339" i="6"/>
  <c r="DK339" i="6"/>
  <c r="DI340" i="6"/>
  <c r="DJ340" i="6"/>
  <c r="DK340" i="6"/>
  <c r="DI341" i="6"/>
  <c r="DJ341" i="6"/>
  <c r="DK341" i="6"/>
  <c r="DI342" i="6"/>
  <c r="DJ342" i="6"/>
  <c r="DK342" i="6"/>
  <c r="DI343" i="6"/>
  <c r="DJ343" i="6"/>
  <c r="DK343" i="6"/>
  <c r="DI344" i="6"/>
  <c r="DJ344" i="6"/>
  <c r="DK344" i="6"/>
  <c r="DI345" i="6"/>
  <c r="DJ345" i="6"/>
  <c r="DK345" i="6"/>
  <c r="DI346" i="6"/>
  <c r="DJ346" i="6"/>
  <c r="DK346" i="6"/>
  <c r="DK335" i="6"/>
  <c r="DJ335" i="6"/>
  <c r="DI335" i="6"/>
  <c r="DI327" i="6"/>
  <c r="DJ327" i="6"/>
  <c r="DK327" i="6"/>
  <c r="DI328" i="6"/>
  <c r="DJ328" i="6"/>
  <c r="DK328" i="6"/>
  <c r="DI329" i="6"/>
  <c r="DJ329" i="6"/>
  <c r="DK329" i="6"/>
  <c r="DI330" i="6"/>
  <c r="DJ330" i="6"/>
  <c r="DK330" i="6"/>
  <c r="DI331" i="6"/>
  <c r="DJ331" i="6"/>
  <c r="DK331" i="6"/>
  <c r="DI332" i="6"/>
  <c r="DJ332" i="6"/>
  <c r="DK332" i="6"/>
  <c r="DI333" i="6"/>
  <c r="DJ333" i="6"/>
  <c r="DK333" i="6"/>
  <c r="DI334" i="6"/>
  <c r="DJ334" i="6"/>
  <c r="DK334" i="6"/>
  <c r="DN326" i="6"/>
  <c r="DN325" i="6"/>
  <c r="DN324" i="6"/>
  <c r="DN323" i="6"/>
  <c r="DN322" i="6"/>
  <c r="DN321" i="6"/>
  <c r="DN320" i="6"/>
  <c r="DN319" i="6"/>
  <c r="DN318" i="6"/>
  <c r="DN317" i="6"/>
  <c r="DN316" i="6"/>
  <c r="DN315" i="6"/>
  <c r="DN314" i="6"/>
  <c r="DN313" i="6"/>
  <c r="DN312" i="6"/>
  <c r="DN311" i="6"/>
  <c r="DN310" i="6"/>
  <c r="DN309" i="6"/>
  <c r="DN308" i="6"/>
  <c r="DN307" i="6"/>
  <c r="DN306" i="6"/>
  <c r="DN305" i="6"/>
  <c r="DN304" i="6"/>
  <c r="DN303" i="6"/>
  <c r="DN302" i="6"/>
  <c r="DN301" i="6"/>
  <c r="DN300" i="6"/>
  <c r="DN299" i="6"/>
  <c r="DN298" i="6"/>
  <c r="DN297" i="6"/>
  <c r="DN296" i="6"/>
  <c r="DN295" i="6"/>
  <c r="DN294" i="6"/>
  <c r="DN293" i="6"/>
  <c r="DN292" i="6"/>
  <c r="DN291" i="6"/>
  <c r="DN290" i="6"/>
  <c r="DN289" i="6"/>
  <c r="DN288" i="6"/>
  <c r="DN287" i="6"/>
  <c r="DN286" i="6"/>
  <c r="DN285" i="6"/>
  <c r="DN284" i="6"/>
  <c r="DN283" i="6"/>
  <c r="DN282" i="6"/>
  <c r="DN281" i="6"/>
  <c r="DN280" i="6"/>
  <c r="DN279" i="6"/>
  <c r="DN278" i="6"/>
  <c r="DN277" i="6"/>
  <c r="DN276" i="6"/>
  <c r="DN275" i="6"/>
  <c r="DN274" i="6"/>
  <c r="DN273" i="6"/>
  <c r="DN272" i="6"/>
  <c r="DN271" i="6"/>
  <c r="DN270" i="6"/>
  <c r="DN269" i="6"/>
  <c r="DN268" i="6"/>
  <c r="DN267" i="6"/>
  <c r="DN266" i="6"/>
  <c r="DN265" i="6"/>
  <c r="DN264" i="6"/>
  <c r="DN263" i="6"/>
  <c r="DN262" i="6"/>
  <c r="DN261" i="6"/>
  <c r="DN260" i="6"/>
  <c r="DN259" i="6"/>
  <c r="DN258" i="6"/>
  <c r="DN257" i="6"/>
  <c r="DN256" i="6"/>
  <c r="DN255" i="6"/>
  <c r="DN254" i="6"/>
  <c r="DN253" i="6"/>
  <c r="DN252" i="6"/>
  <c r="DN251" i="6"/>
  <c r="DN250" i="6"/>
  <c r="DN249" i="6"/>
  <c r="DN248" i="6"/>
  <c r="DN247" i="6"/>
  <c r="DN246" i="6"/>
  <c r="DN245" i="6"/>
  <c r="DN244" i="6"/>
  <c r="DN243" i="6"/>
  <c r="DN242" i="6"/>
  <c r="DN241" i="6"/>
  <c r="DN240" i="6"/>
  <c r="DN239" i="6"/>
  <c r="DN238" i="6"/>
  <c r="DN237" i="6"/>
  <c r="DN236" i="6"/>
  <c r="DN235" i="6"/>
  <c r="DN234" i="6"/>
  <c r="DN233" i="6"/>
  <c r="DN232" i="6"/>
  <c r="DN231" i="6"/>
  <c r="DN230" i="6"/>
  <c r="DN229" i="6"/>
  <c r="DN228" i="6"/>
  <c r="DN227" i="6"/>
  <c r="DN226" i="6"/>
  <c r="DN225" i="6"/>
  <c r="DN224" i="6"/>
  <c r="DN223" i="6"/>
  <c r="DN222" i="6"/>
  <c r="DN221" i="6"/>
  <c r="DN220" i="6"/>
  <c r="DN219" i="6"/>
  <c r="DN218" i="6"/>
  <c r="DN217" i="6"/>
  <c r="DN216" i="6"/>
  <c r="DN215" i="6"/>
  <c r="DN214" i="6"/>
  <c r="DN213" i="6"/>
  <c r="DN212" i="6"/>
  <c r="DN211" i="6"/>
  <c r="DN210" i="6"/>
  <c r="DN209" i="6"/>
  <c r="DN208" i="6"/>
  <c r="DN207" i="6"/>
  <c r="DN206" i="6"/>
  <c r="DN205" i="6"/>
  <c r="DN204" i="6"/>
  <c r="DN203" i="6"/>
  <c r="DN202" i="6"/>
  <c r="DN201" i="6"/>
  <c r="DN200" i="6"/>
  <c r="DN199" i="6"/>
  <c r="DN198" i="6"/>
  <c r="DN197" i="6"/>
  <c r="DN196" i="6"/>
  <c r="DN195" i="6"/>
  <c r="DN194" i="6"/>
  <c r="DN193" i="6"/>
  <c r="DN192" i="6"/>
  <c r="DN191" i="6"/>
  <c r="DN190" i="6"/>
  <c r="DN189" i="6"/>
  <c r="DN188" i="6"/>
  <c r="DN187" i="6"/>
  <c r="DN186" i="6"/>
  <c r="DN185" i="6"/>
  <c r="DN184" i="6"/>
  <c r="DN183" i="6"/>
  <c r="DN182" i="6"/>
  <c r="DN181" i="6"/>
  <c r="DN180" i="6"/>
  <c r="DN179" i="6"/>
  <c r="DN178" i="6"/>
  <c r="DN177" i="6"/>
  <c r="DN176" i="6"/>
  <c r="DN175" i="6"/>
  <c r="DN174" i="6"/>
  <c r="DN173" i="6"/>
  <c r="DN172" i="6"/>
  <c r="DN171" i="6"/>
  <c r="DN170" i="6"/>
  <c r="DN169" i="6"/>
  <c r="DN168" i="6"/>
  <c r="DN167" i="6"/>
  <c r="DN166" i="6"/>
  <c r="DN165" i="6"/>
  <c r="DN164" i="6"/>
  <c r="DN163" i="6"/>
  <c r="DN162" i="6"/>
  <c r="DN161" i="6"/>
  <c r="DN160" i="6"/>
  <c r="DN159" i="6"/>
  <c r="DN158" i="6"/>
  <c r="DN157" i="6"/>
  <c r="DN156" i="6"/>
  <c r="DN155" i="6"/>
  <c r="DN154" i="6"/>
  <c r="DN153" i="6"/>
  <c r="DN152" i="6"/>
  <c r="DN151" i="6"/>
  <c r="DN150" i="6"/>
  <c r="DN149" i="6"/>
  <c r="DN148" i="6"/>
  <c r="DN147" i="6"/>
  <c r="DN146" i="6"/>
  <c r="DN145" i="6"/>
  <c r="DN144" i="6"/>
  <c r="DN143" i="6"/>
  <c r="DN142" i="6"/>
  <c r="DN141" i="6"/>
  <c r="DN140" i="6"/>
  <c r="DN139" i="6"/>
  <c r="DN138" i="6"/>
  <c r="DN137" i="6"/>
  <c r="DN136" i="6"/>
  <c r="DN135" i="6"/>
  <c r="DN134" i="6"/>
  <c r="DN133" i="6"/>
  <c r="DN132" i="6"/>
  <c r="DN131" i="6"/>
  <c r="DN130" i="6"/>
  <c r="DN129" i="6"/>
  <c r="DN128" i="6"/>
  <c r="DN127" i="6"/>
  <c r="DN126" i="6"/>
  <c r="DN125" i="6"/>
  <c r="DN124" i="6"/>
  <c r="DN123" i="6"/>
  <c r="DN122" i="6"/>
  <c r="DN121" i="6"/>
  <c r="DN120" i="6"/>
  <c r="DN119" i="6"/>
  <c r="DN118" i="6"/>
  <c r="DN117" i="6"/>
  <c r="DN116" i="6"/>
  <c r="DN115" i="6"/>
  <c r="DN114" i="6"/>
  <c r="DN113" i="6"/>
  <c r="DN112" i="6"/>
  <c r="DN111" i="6"/>
  <c r="DN110" i="6"/>
  <c r="DN109" i="6"/>
  <c r="DN108" i="6"/>
  <c r="DN107" i="6"/>
  <c r="DN106" i="6"/>
  <c r="DN105" i="6"/>
  <c r="DN104" i="6"/>
  <c r="DN103" i="6"/>
  <c r="DN102" i="6"/>
  <c r="DN101" i="6"/>
  <c r="DN100" i="6"/>
  <c r="DN99" i="6"/>
  <c r="DN98" i="6"/>
  <c r="DN97" i="6"/>
  <c r="DN96" i="6"/>
  <c r="DN95" i="6"/>
  <c r="DN94" i="6"/>
  <c r="DN93" i="6"/>
  <c r="DN92" i="6"/>
  <c r="DN91" i="6"/>
  <c r="DN90" i="6"/>
  <c r="DN89" i="6"/>
  <c r="DN88" i="6"/>
  <c r="DN87" i="6"/>
  <c r="DN86" i="6"/>
  <c r="DN85" i="6"/>
  <c r="DN84" i="6"/>
  <c r="DN83" i="6"/>
  <c r="DN82" i="6"/>
  <c r="DN81" i="6"/>
  <c r="DN80" i="6"/>
  <c r="DN79" i="6"/>
  <c r="DN78" i="6"/>
  <c r="DN77" i="6"/>
  <c r="DN76" i="6"/>
  <c r="DN75" i="6"/>
  <c r="DN74" i="6"/>
  <c r="DN73" i="6"/>
  <c r="DN72" i="6"/>
  <c r="DN71" i="6"/>
  <c r="DN70" i="6"/>
  <c r="DN69" i="6"/>
  <c r="DN68" i="6"/>
  <c r="DN67" i="6"/>
  <c r="DN66" i="6"/>
  <c r="DN65" i="6"/>
  <c r="DN64" i="6"/>
  <c r="DN63" i="6"/>
  <c r="DN62" i="6"/>
  <c r="DN61" i="6"/>
  <c r="DN60" i="6"/>
  <c r="DN59" i="6"/>
  <c r="DN58" i="6"/>
  <c r="DN57" i="6"/>
  <c r="DN56" i="6"/>
  <c r="DN55" i="6"/>
  <c r="DN54" i="6"/>
  <c r="DN53" i="6"/>
  <c r="DN52" i="6"/>
  <c r="DN51" i="6"/>
  <c r="DN50" i="6"/>
  <c r="DN49" i="6"/>
  <c r="DN48" i="6"/>
  <c r="DN47" i="6"/>
  <c r="DN46" i="6"/>
  <c r="DN45" i="6"/>
  <c r="DN44" i="6"/>
  <c r="DN43" i="6"/>
  <c r="DN42" i="6"/>
  <c r="DN41" i="6"/>
  <c r="DN40" i="6"/>
  <c r="DN39" i="6"/>
  <c r="DN38" i="6"/>
  <c r="DN37" i="6"/>
  <c r="DN36" i="6"/>
  <c r="DN35" i="6"/>
  <c r="DN34" i="6"/>
  <c r="DN33" i="6"/>
  <c r="DN32" i="6"/>
  <c r="DN31" i="6"/>
  <c r="DN30" i="6"/>
  <c r="DN29" i="6"/>
  <c r="DN28" i="6"/>
  <c r="DN27" i="6"/>
  <c r="DN26" i="6"/>
  <c r="DN25" i="6"/>
  <c r="DN24" i="6"/>
  <c r="DN23" i="6"/>
  <c r="DN22" i="6"/>
  <c r="DN21" i="6"/>
  <c r="DN20" i="6"/>
  <c r="DN19" i="6"/>
  <c r="DN18" i="6"/>
  <c r="DN17" i="6"/>
  <c r="DN16" i="6"/>
  <c r="DN15" i="6"/>
  <c r="DN14" i="6"/>
  <c r="DN13" i="6"/>
  <c r="DN12" i="6"/>
  <c r="DN11" i="6"/>
  <c r="DN10" i="6"/>
  <c r="DN9" i="6"/>
  <c r="DN8" i="6"/>
  <c r="DN7" i="6"/>
  <c r="DN6" i="6"/>
  <c r="DN5" i="6"/>
  <c r="DM326" i="6"/>
  <c r="DM325" i="6"/>
  <c r="DM324" i="6"/>
  <c r="DM323" i="6"/>
  <c r="DM322" i="6"/>
  <c r="DM321" i="6"/>
  <c r="DM320" i="6"/>
  <c r="DM319" i="6"/>
  <c r="DM318" i="6"/>
  <c r="DM317" i="6"/>
  <c r="DM316" i="6"/>
  <c r="DM315" i="6"/>
  <c r="DM314" i="6"/>
  <c r="DM313" i="6"/>
  <c r="DM312" i="6"/>
  <c r="DM311" i="6"/>
  <c r="DM310" i="6"/>
  <c r="DM309" i="6"/>
  <c r="DM308" i="6"/>
  <c r="DM307" i="6"/>
  <c r="DM306" i="6"/>
  <c r="DM305" i="6"/>
  <c r="DM304" i="6"/>
  <c r="DM303" i="6"/>
  <c r="DM302" i="6"/>
  <c r="DM301" i="6"/>
  <c r="DM300" i="6"/>
  <c r="DM299" i="6"/>
  <c r="DM298" i="6"/>
  <c r="DM297" i="6"/>
  <c r="DM296" i="6"/>
  <c r="DM295" i="6"/>
  <c r="DM294" i="6"/>
  <c r="DM293" i="6"/>
  <c r="DM292" i="6"/>
  <c r="DM291" i="6"/>
  <c r="DM290" i="6"/>
  <c r="DM289" i="6"/>
  <c r="DM288" i="6"/>
  <c r="DM287" i="6"/>
  <c r="DM286" i="6"/>
  <c r="DM285" i="6"/>
  <c r="DM284" i="6"/>
  <c r="DM283" i="6"/>
  <c r="DM282" i="6"/>
  <c r="DM281" i="6"/>
  <c r="DM280" i="6"/>
  <c r="DM279" i="6"/>
  <c r="DM278" i="6"/>
  <c r="DM277" i="6"/>
  <c r="DM276" i="6"/>
  <c r="DM275" i="6"/>
  <c r="DM274" i="6"/>
  <c r="DM273" i="6"/>
  <c r="DM272" i="6"/>
  <c r="DM271" i="6"/>
  <c r="DM270" i="6"/>
  <c r="DM269" i="6"/>
  <c r="DM268" i="6"/>
  <c r="DM267" i="6"/>
  <c r="DM266" i="6"/>
  <c r="DM265" i="6"/>
  <c r="DM264" i="6"/>
  <c r="DM263" i="6"/>
  <c r="DM262" i="6"/>
  <c r="DM261" i="6"/>
  <c r="DM260" i="6"/>
  <c r="DM259" i="6"/>
  <c r="DM258" i="6"/>
  <c r="DM257" i="6"/>
  <c r="DM256" i="6"/>
  <c r="DM255" i="6"/>
  <c r="DM254" i="6"/>
  <c r="DM253" i="6"/>
  <c r="DM252" i="6"/>
  <c r="DM251" i="6"/>
  <c r="DM250" i="6"/>
  <c r="DM249" i="6"/>
  <c r="DM248" i="6"/>
  <c r="DM247" i="6"/>
  <c r="DM246" i="6"/>
  <c r="DM245" i="6"/>
  <c r="DM244" i="6"/>
  <c r="DM243" i="6"/>
  <c r="DM242" i="6"/>
  <c r="DM241" i="6"/>
  <c r="DM240" i="6"/>
  <c r="DM239" i="6"/>
  <c r="DM238" i="6"/>
  <c r="DM237" i="6"/>
  <c r="DM236" i="6"/>
  <c r="DM235" i="6"/>
  <c r="DM234" i="6"/>
  <c r="DM233" i="6"/>
  <c r="DM232" i="6"/>
  <c r="DM231" i="6"/>
  <c r="DM230" i="6"/>
  <c r="DM229" i="6"/>
  <c r="DM228" i="6"/>
  <c r="DM227" i="6"/>
  <c r="DM226" i="6"/>
  <c r="DM225" i="6"/>
  <c r="DM224" i="6"/>
  <c r="DM223" i="6"/>
  <c r="DM222" i="6"/>
  <c r="DM221" i="6"/>
  <c r="DM220" i="6"/>
  <c r="DM219" i="6"/>
  <c r="DM218" i="6"/>
  <c r="DM217" i="6"/>
  <c r="DM216" i="6"/>
  <c r="DM215" i="6"/>
  <c r="DM214" i="6"/>
  <c r="DM213" i="6"/>
  <c r="DM212" i="6"/>
  <c r="DM211" i="6"/>
  <c r="DM210" i="6"/>
  <c r="DM209" i="6"/>
  <c r="DM208" i="6"/>
  <c r="DM207" i="6"/>
  <c r="DM206" i="6"/>
  <c r="DM205" i="6"/>
  <c r="DM204" i="6"/>
  <c r="DM203" i="6"/>
  <c r="DM202" i="6"/>
  <c r="DM201" i="6"/>
  <c r="DM200" i="6"/>
  <c r="DM199" i="6"/>
  <c r="DM198" i="6"/>
  <c r="DM197" i="6"/>
  <c r="DM196" i="6"/>
  <c r="DM195" i="6"/>
  <c r="DM194" i="6"/>
  <c r="DM193" i="6"/>
  <c r="DM192" i="6"/>
  <c r="DM191" i="6"/>
  <c r="DM190" i="6"/>
  <c r="DM189" i="6"/>
  <c r="DM188" i="6"/>
  <c r="DM187" i="6"/>
  <c r="DM186" i="6"/>
  <c r="DM185" i="6"/>
  <c r="DM184" i="6"/>
  <c r="DM183" i="6"/>
  <c r="DM182" i="6"/>
  <c r="DM181" i="6"/>
  <c r="DM180" i="6"/>
  <c r="DM179" i="6"/>
  <c r="DM178" i="6"/>
  <c r="DM177" i="6"/>
  <c r="DM176" i="6"/>
  <c r="DM175" i="6"/>
  <c r="DM174" i="6"/>
  <c r="DM173" i="6"/>
  <c r="DM172" i="6"/>
  <c r="DM171" i="6"/>
  <c r="DM170" i="6"/>
  <c r="DM169" i="6"/>
  <c r="DM168" i="6"/>
  <c r="DM167" i="6"/>
  <c r="DM166" i="6"/>
  <c r="DM165" i="6"/>
  <c r="DM164" i="6"/>
  <c r="DM163" i="6"/>
  <c r="DM162" i="6"/>
  <c r="DM161" i="6"/>
  <c r="DM160" i="6"/>
  <c r="DM159" i="6"/>
  <c r="DM158" i="6"/>
  <c r="DM157" i="6"/>
  <c r="DM156" i="6"/>
  <c r="DM155" i="6"/>
  <c r="DM154" i="6"/>
  <c r="DM153" i="6"/>
  <c r="DM152" i="6"/>
  <c r="DM151" i="6"/>
  <c r="DM150" i="6"/>
  <c r="DM149" i="6"/>
  <c r="DM148" i="6"/>
  <c r="DM147" i="6"/>
  <c r="DM146" i="6"/>
  <c r="DM145" i="6"/>
  <c r="DM144" i="6"/>
  <c r="DM143" i="6"/>
  <c r="DM142" i="6"/>
  <c r="DM141" i="6"/>
  <c r="DM140" i="6"/>
  <c r="DM139" i="6"/>
  <c r="DM138" i="6"/>
  <c r="DM137" i="6"/>
  <c r="DM136" i="6"/>
  <c r="DM135" i="6"/>
  <c r="DM134" i="6"/>
  <c r="DM133" i="6"/>
  <c r="DM132" i="6"/>
  <c r="DM131" i="6"/>
  <c r="DM130" i="6"/>
  <c r="DM129" i="6"/>
  <c r="DM128" i="6"/>
  <c r="DM127" i="6"/>
  <c r="DM126" i="6"/>
  <c r="DM125" i="6"/>
  <c r="DM124" i="6"/>
  <c r="DM123" i="6"/>
  <c r="DM122" i="6"/>
  <c r="DM121" i="6"/>
  <c r="DM120" i="6"/>
  <c r="DM119" i="6"/>
  <c r="DM118" i="6"/>
  <c r="DM117" i="6"/>
  <c r="DM116" i="6"/>
  <c r="DM115" i="6"/>
  <c r="DM114" i="6"/>
  <c r="DM113" i="6"/>
  <c r="DM112" i="6"/>
  <c r="DM111" i="6"/>
  <c r="DM110" i="6"/>
  <c r="DM109" i="6"/>
  <c r="DM108" i="6"/>
  <c r="DM107" i="6"/>
  <c r="DM106" i="6"/>
  <c r="DM105" i="6"/>
  <c r="DM104" i="6"/>
  <c r="DM103" i="6"/>
  <c r="DM102" i="6"/>
  <c r="DM101" i="6"/>
  <c r="DM100" i="6"/>
  <c r="DM99" i="6"/>
  <c r="DM98" i="6"/>
  <c r="DM97" i="6"/>
  <c r="DM96" i="6"/>
  <c r="DM95" i="6"/>
  <c r="DM94" i="6"/>
  <c r="DM93" i="6"/>
  <c r="DM92" i="6"/>
  <c r="DM91" i="6"/>
  <c r="DM90" i="6"/>
  <c r="DM89" i="6"/>
  <c r="DM88" i="6"/>
  <c r="DM87" i="6"/>
  <c r="DM86" i="6"/>
  <c r="DM85" i="6"/>
  <c r="DM84" i="6"/>
  <c r="DM83" i="6"/>
  <c r="DM82" i="6"/>
  <c r="DM81" i="6"/>
  <c r="DM80" i="6"/>
  <c r="DM79" i="6"/>
  <c r="DM78" i="6"/>
  <c r="DM77" i="6"/>
  <c r="DM76" i="6"/>
  <c r="DM75" i="6"/>
  <c r="DM74" i="6"/>
  <c r="DM73" i="6"/>
  <c r="DM72" i="6"/>
  <c r="DM71" i="6"/>
  <c r="DM70" i="6"/>
  <c r="DM69" i="6"/>
  <c r="DM68" i="6"/>
  <c r="DM67" i="6"/>
  <c r="DM66" i="6"/>
  <c r="DM65" i="6"/>
  <c r="DM64" i="6"/>
  <c r="DM63" i="6"/>
  <c r="DM62" i="6"/>
  <c r="DM61" i="6"/>
  <c r="DM60" i="6"/>
  <c r="DM59" i="6"/>
  <c r="DM58" i="6"/>
  <c r="DM57" i="6"/>
  <c r="DM56" i="6"/>
  <c r="DM55" i="6"/>
  <c r="DM54" i="6"/>
  <c r="DM53" i="6"/>
  <c r="DM52" i="6"/>
  <c r="DM51" i="6"/>
  <c r="DM50" i="6"/>
  <c r="DM49" i="6"/>
  <c r="DM48" i="6"/>
  <c r="DM47" i="6"/>
  <c r="DM46" i="6"/>
  <c r="DM45" i="6"/>
  <c r="DM44" i="6"/>
  <c r="DM43" i="6"/>
  <c r="DM42" i="6"/>
  <c r="DM41" i="6"/>
  <c r="DM40" i="6"/>
  <c r="DM39" i="6"/>
  <c r="DM38" i="6"/>
  <c r="DM37" i="6"/>
  <c r="DM36" i="6"/>
  <c r="DM35" i="6"/>
  <c r="DM34" i="6"/>
  <c r="DM33" i="6"/>
  <c r="DM32" i="6"/>
  <c r="DM31" i="6"/>
  <c r="DM30" i="6"/>
  <c r="DM29" i="6"/>
  <c r="DM28" i="6"/>
  <c r="DM27" i="6"/>
  <c r="DM26" i="6"/>
  <c r="DM25" i="6"/>
  <c r="DM24" i="6"/>
  <c r="DM23" i="6"/>
  <c r="DM22" i="6"/>
  <c r="DM21" i="6"/>
  <c r="DM20" i="6"/>
  <c r="DM19" i="6"/>
  <c r="DM18" i="6"/>
  <c r="DM17" i="6"/>
  <c r="DM16" i="6"/>
  <c r="DM15" i="6"/>
  <c r="DM14" i="6"/>
  <c r="DM13" i="6"/>
  <c r="DM12" i="6"/>
  <c r="DM11" i="6"/>
  <c r="DM10" i="6"/>
  <c r="DM9" i="6"/>
  <c r="DM8" i="6"/>
  <c r="DM7" i="6"/>
  <c r="DM6" i="6"/>
  <c r="DM5" i="6"/>
  <c r="DL326" i="6"/>
  <c r="DL325" i="6"/>
  <c r="DL324" i="6"/>
  <c r="DL323" i="6"/>
  <c r="DL322" i="6"/>
  <c r="DL321" i="6"/>
  <c r="DL320" i="6"/>
  <c r="DL319" i="6"/>
  <c r="DL318" i="6"/>
  <c r="DL317" i="6"/>
  <c r="DL316" i="6"/>
  <c r="DL315" i="6"/>
  <c r="DL314" i="6"/>
  <c r="DL313" i="6"/>
  <c r="DL312" i="6"/>
  <c r="DL311" i="6"/>
  <c r="DL310" i="6"/>
  <c r="DL309" i="6"/>
  <c r="DL308" i="6"/>
  <c r="DL307" i="6"/>
  <c r="DL306" i="6"/>
  <c r="DL305" i="6"/>
  <c r="DL304" i="6"/>
  <c r="DL303" i="6"/>
  <c r="DL302" i="6"/>
  <c r="DL301" i="6"/>
  <c r="DL300" i="6"/>
  <c r="DL299" i="6"/>
  <c r="DL298" i="6"/>
  <c r="DL297" i="6"/>
  <c r="DL296" i="6"/>
  <c r="DL295" i="6"/>
  <c r="DL294" i="6"/>
  <c r="DL293" i="6"/>
  <c r="DL292" i="6"/>
  <c r="DL291" i="6"/>
  <c r="DL290" i="6"/>
  <c r="DL289" i="6"/>
  <c r="DL288" i="6"/>
  <c r="DL287" i="6"/>
  <c r="DL286" i="6"/>
  <c r="DL285" i="6"/>
  <c r="DL284" i="6"/>
  <c r="DL283" i="6"/>
  <c r="DL282" i="6"/>
  <c r="DL281" i="6"/>
  <c r="DL280" i="6"/>
  <c r="DL279" i="6"/>
  <c r="DL278" i="6"/>
  <c r="DL277" i="6"/>
  <c r="DL276" i="6"/>
  <c r="DL275" i="6"/>
  <c r="DL274" i="6"/>
  <c r="DL273" i="6"/>
  <c r="DL272" i="6"/>
  <c r="DL271" i="6"/>
  <c r="DL270" i="6"/>
  <c r="DL269" i="6"/>
  <c r="DL268" i="6"/>
  <c r="DL267" i="6"/>
  <c r="DL266" i="6"/>
  <c r="DL265" i="6"/>
  <c r="DL264" i="6"/>
  <c r="DL263" i="6"/>
  <c r="DL262" i="6"/>
  <c r="DL261" i="6"/>
  <c r="DL260" i="6"/>
  <c r="DL259" i="6"/>
  <c r="DL258" i="6"/>
  <c r="DL257" i="6"/>
  <c r="DL256" i="6"/>
  <c r="DL255" i="6"/>
  <c r="DL254" i="6"/>
  <c r="DL253" i="6"/>
  <c r="DL252" i="6"/>
  <c r="DL251" i="6"/>
  <c r="DL250" i="6"/>
  <c r="DL249" i="6"/>
  <c r="DL248" i="6"/>
  <c r="DL247" i="6"/>
  <c r="DL246" i="6"/>
  <c r="DL245" i="6"/>
  <c r="DL244" i="6"/>
  <c r="DL243" i="6"/>
  <c r="DL242" i="6"/>
  <c r="DL241" i="6"/>
  <c r="DL240" i="6"/>
  <c r="DL239" i="6"/>
  <c r="DL238" i="6"/>
  <c r="DL237" i="6"/>
  <c r="DL236" i="6"/>
  <c r="DL235" i="6"/>
  <c r="DL234" i="6"/>
  <c r="DL233" i="6"/>
  <c r="DL232" i="6"/>
  <c r="DL231" i="6"/>
  <c r="DL230" i="6"/>
  <c r="DL229" i="6"/>
  <c r="DL228" i="6"/>
  <c r="DL227" i="6"/>
  <c r="DL226" i="6"/>
  <c r="DL225" i="6"/>
  <c r="DL224" i="6"/>
  <c r="DL223" i="6"/>
  <c r="DL222" i="6"/>
  <c r="DL221" i="6"/>
  <c r="DL220" i="6"/>
  <c r="DL219" i="6"/>
  <c r="DL218" i="6"/>
  <c r="DL217" i="6"/>
  <c r="DL216" i="6"/>
  <c r="DL215" i="6"/>
  <c r="DL214" i="6"/>
  <c r="DL213" i="6"/>
  <c r="DL212" i="6"/>
  <c r="DL211" i="6"/>
  <c r="DL210" i="6"/>
  <c r="DL209" i="6"/>
  <c r="DL208" i="6"/>
  <c r="DL207" i="6"/>
  <c r="DL206" i="6"/>
  <c r="DL205" i="6"/>
  <c r="DL204" i="6"/>
  <c r="DL203" i="6"/>
  <c r="DL202" i="6"/>
  <c r="DL201" i="6"/>
  <c r="DL200" i="6"/>
  <c r="DL199" i="6"/>
  <c r="DL198" i="6"/>
  <c r="DL197" i="6"/>
  <c r="DL196" i="6"/>
  <c r="DL195" i="6"/>
  <c r="DL194" i="6"/>
  <c r="DL193" i="6"/>
  <c r="DL192" i="6"/>
  <c r="DL191" i="6"/>
  <c r="DL190" i="6"/>
  <c r="DL189" i="6"/>
  <c r="DL188" i="6"/>
  <c r="DL187" i="6"/>
  <c r="DL186" i="6"/>
  <c r="DL185" i="6"/>
  <c r="DL184" i="6"/>
  <c r="DL183" i="6"/>
  <c r="DL182" i="6"/>
  <c r="DL181" i="6"/>
  <c r="DL180" i="6"/>
  <c r="DL179" i="6"/>
  <c r="DL178" i="6"/>
  <c r="DL177" i="6"/>
  <c r="DL176" i="6"/>
  <c r="DL175" i="6"/>
  <c r="DL174" i="6"/>
  <c r="DL173" i="6"/>
  <c r="DL172" i="6"/>
  <c r="DL171" i="6"/>
  <c r="DL170" i="6"/>
  <c r="DL169" i="6"/>
  <c r="DL168" i="6"/>
  <c r="DL167" i="6"/>
  <c r="DL166" i="6"/>
  <c r="DL165" i="6"/>
  <c r="DL164" i="6"/>
  <c r="DL163" i="6"/>
  <c r="DL162" i="6"/>
  <c r="DL161" i="6"/>
  <c r="DL160" i="6"/>
  <c r="DL159" i="6"/>
  <c r="DL158" i="6"/>
  <c r="DL157" i="6"/>
  <c r="DL156" i="6"/>
  <c r="DL155" i="6"/>
  <c r="DL154" i="6"/>
  <c r="DL153" i="6"/>
  <c r="DL152" i="6"/>
  <c r="DL151" i="6"/>
  <c r="DL150" i="6"/>
  <c r="DL149" i="6"/>
  <c r="DL148" i="6"/>
  <c r="DL147" i="6"/>
  <c r="DL146" i="6"/>
  <c r="DL145" i="6"/>
  <c r="DL144" i="6"/>
  <c r="DL143" i="6"/>
  <c r="DL142" i="6"/>
  <c r="DL141" i="6"/>
  <c r="DL140" i="6"/>
  <c r="DL139" i="6"/>
  <c r="DL138" i="6"/>
  <c r="DL137" i="6"/>
  <c r="DL136" i="6"/>
  <c r="DL135" i="6"/>
  <c r="DL134" i="6"/>
  <c r="DL133" i="6"/>
  <c r="DL132" i="6"/>
  <c r="DL131" i="6"/>
  <c r="DL130" i="6"/>
  <c r="DL129" i="6"/>
  <c r="DL128" i="6"/>
  <c r="DL127" i="6"/>
  <c r="DL126" i="6"/>
  <c r="DL125" i="6"/>
  <c r="DL124" i="6"/>
  <c r="DL123" i="6"/>
  <c r="DL122" i="6"/>
  <c r="DL121" i="6"/>
  <c r="DL120" i="6"/>
  <c r="DL119" i="6"/>
  <c r="DL118" i="6"/>
  <c r="DL117" i="6"/>
  <c r="DL116" i="6"/>
  <c r="DL115" i="6"/>
  <c r="DL114" i="6"/>
  <c r="DL113" i="6"/>
  <c r="DL112" i="6"/>
  <c r="DL111" i="6"/>
  <c r="DL110" i="6"/>
  <c r="DL109" i="6"/>
  <c r="DL108" i="6"/>
  <c r="DL107" i="6"/>
  <c r="DL106" i="6"/>
  <c r="DL105" i="6"/>
  <c r="DL104" i="6"/>
  <c r="DL103" i="6"/>
  <c r="DL102" i="6"/>
  <c r="DL101" i="6"/>
  <c r="DL100" i="6"/>
  <c r="DL99" i="6"/>
  <c r="DL98" i="6"/>
  <c r="DL97" i="6"/>
  <c r="DL96" i="6"/>
  <c r="DL95" i="6"/>
  <c r="DL94" i="6"/>
  <c r="DL93" i="6"/>
  <c r="DL92" i="6"/>
  <c r="DL91" i="6"/>
  <c r="DL90" i="6"/>
  <c r="DL89" i="6"/>
  <c r="DL88" i="6"/>
  <c r="DL87" i="6"/>
  <c r="DL86" i="6"/>
  <c r="DL85" i="6"/>
  <c r="DL84" i="6"/>
  <c r="DL83" i="6"/>
  <c r="DL82" i="6"/>
  <c r="DL81" i="6"/>
  <c r="DL80" i="6"/>
  <c r="DL79" i="6"/>
  <c r="DL78" i="6"/>
  <c r="DL77" i="6"/>
  <c r="DL76" i="6"/>
  <c r="DL75" i="6"/>
  <c r="DL74" i="6"/>
  <c r="DL73" i="6"/>
  <c r="DL72" i="6"/>
  <c r="DL71" i="6"/>
  <c r="DL70" i="6"/>
  <c r="DL69" i="6"/>
  <c r="DL68" i="6"/>
  <c r="DL67" i="6"/>
  <c r="DL66" i="6"/>
  <c r="DL65" i="6"/>
  <c r="DL64" i="6"/>
  <c r="DL63" i="6"/>
  <c r="DL62" i="6"/>
  <c r="DL61" i="6"/>
  <c r="DL60" i="6"/>
  <c r="DL59" i="6"/>
  <c r="DL58" i="6"/>
  <c r="DL57" i="6"/>
  <c r="DL56" i="6"/>
  <c r="DL55" i="6"/>
  <c r="DL54" i="6"/>
  <c r="DL53" i="6"/>
  <c r="DL52" i="6"/>
  <c r="DL51" i="6"/>
  <c r="DL50" i="6"/>
  <c r="DL49" i="6"/>
  <c r="DL48" i="6"/>
  <c r="DL47" i="6"/>
  <c r="DL46" i="6"/>
  <c r="DL45" i="6"/>
  <c r="DL44" i="6"/>
  <c r="DL43" i="6"/>
  <c r="DL42" i="6"/>
  <c r="DL41" i="6"/>
  <c r="DL40" i="6"/>
  <c r="DL39" i="6"/>
  <c r="DL38" i="6"/>
  <c r="DL37" i="6"/>
  <c r="DL36" i="6"/>
  <c r="DL35" i="6"/>
  <c r="DL34" i="6"/>
  <c r="DL33" i="6"/>
  <c r="DL32" i="6"/>
  <c r="DL31" i="6"/>
  <c r="DL30" i="6"/>
  <c r="DL29" i="6"/>
  <c r="DL28" i="6"/>
  <c r="DL27" i="6"/>
  <c r="DL26" i="6"/>
  <c r="DL25" i="6"/>
  <c r="DL24" i="6"/>
  <c r="DL23" i="6"/>
  <c r="DL22" i="6"/>
  <c r="DL21" i="6"/>
  <c r="DL20" i="6"/>
  <c r="DL19" i="6"/>
  <c r="DL18" i="6"/>
  <c r="DL17" i="6"/>
  <c r="DL16" i="6"/>
  <c r="DL15" i="6"/>
  <c r="DL14" i="6"/>
  <c r="DL13" i="6"/>
  <c r="DL12" i="6"/>
  <c r="DL11" i="6"/>
  <c r="DL10" i="6"/>
  <c r="DL9" i="6"/>
  <c r="DL8" i="6"/>
  <c r="DL7" i="6"/>
  <c r="DL6" i="6"/>
  <c r="DL5" i="6"/>
  <c r="DI5" i="6"/>
  <c r="DJ5" i="6"/>
  <c r="DK5" i="6"/>
  <c r="DI6" i="6"/>
  <c r="DJ6" i="6"/>
  <c r="DK6" i="6"/>
  <c r="DI7" i="6"/>
  <c r="DJ7" i="6"/>
  <c r="DK7" i="6"/>
  <c r="DI8" i="6"/>
  <c r="DJ8" i="6"/>
  <c r="DK8" i="6"/>
  <c r="DI9" i="6"/>
  <c r="DJ9" i="6"/>
  <c r="DK9" i="6"/>
  <c r="DI10" i="6"/>
  <c r="DJ10" i="6"/>
  <c r="DK10" i="6"/>
  <c r="DI11" i="6"/>
  <c r="DJ11" i="6"/>
  <c r="DK11" i="6"/>
  <c r="DI12" i="6"/>
  <c r="DJ12" i="6"/>
  <c r="DK12" i="6"/>
  <c r="DI13" i="6"/>
  <c r="DJ13" i="6"/>
  <c r="DK13" i="6"/>
  <c r="DI14" i="6"/>
  <c r="DJ14" i="6"/>
  <c r="DK14" i="6"/>
  <c r="DI15" i="6"/>
  <c r="DJ15" i="6"/>
  <c r="DK15" i="6"/>
  <c r="DI16" i="6"/>
  <c r="DJ16" i="6"/>
  <c r="DK16" i="6"/>
  <c r="DI17" i="6"/>
  <c r="DJ17" i="6"/>
  <c r="DK17" i="6"/>
  <c r="DI18" i="6"/>
  <c r="DJ18" i="6"/>
  <c r="DK18" i="6"/>
  <c r="DI19" i="6"/>
  <c r="DJ19" i="6"/>
  <c r="DK19" i="6"/>
  <c r="DI20" i="6"/>
  <c r="DJ20" i="6"/>
  <c r="DK20" i="6"/>
  <c r="DI21" i="6"/>
  <c r="DJ21" i="6"/>
  <c r="DK21" i="6"/>
  <c r="DI22" i="6"/>
  <c r="DJ22" i="6"/>
  <c r="DK22" i="6"/>
  <c r="DI23" i="6"/>
  <c r="DJ23" i="6"/>
  <c r="DK23" i="6"/>
  <c r="DI24" i="6"/>
  <c r="DJ24" i="6"/>
  <c r="DK24" i="6"/>
  <c r="DI25" i="6"/>
  <c r="DJ25" i="6"/>
  <c r="DK25" i="6"/>
  <c r="DI26" i="6"/>
  <c r="DJ26" i="6"/>
  <c r="DK26" i="6"/>
  <c r="DI27" i="6"/>
  <c r="DJ27" i="6"/>
  <c r="DK27" i="6"/>
  <c r="DI28" i="6"/>
  <c r="DJ28" i="6"/>
  <c r="DK28" i="6"/>
  <c r="DI29" i="6"/>
  <c r="DJ29" i="6"/>
  <c r="DK29" i="6"/>
  <c r="DI30" i="6"/>
  <c r="DJ30" i="6"/>
  <c r="DK30" i="6"/>
  <c r="DI31" i="6"/>
  <c r="DJ31" i="6"/>
  <c r="DK31" i="6"/>
  <c r="DI32" i="6"/>
  <c r="DJ32" i="6"/>
  <c r="DK32" i="6"/>
  <c r="DI33" i="6"/>
  <c r="DJ33" i="6"/>
  <c r="DK33" i="6"/>
  <c r="DI34" i="6"/>
  <c r="DJ34" i="6"/>
  <c r="DK34" i="6"/>
  <c r="DI35" i="6"/>
  <c r="DJ35" i="6"/>
  <c r="DK35" i="6"/>
  <c r="DI36" i="6"/>
  <c r="DJ36" i="6"/>
  <c r="DK36" i="6"/>
  <c r="DI37" i="6"/>
  <c r="DJ37" i="6"/>
  <c r="DK37" i="6"/>
  <c r="DI38" i="6"/>
  <c r="DJ38" i="6"/>
  <c r="DK38" i="6"/>
  <c r="DI39" i="6"/>
  <c r="DJ39" i="6"/>
  <c r="DK39" i="6"/>
  <c r="DI40" i="6"/>
  <c r="DJ40" i="6"/>
  <c r="DK40" i="6"/>
  <c r="DI41" i="6"/>
  <c r="DJ41" i="6"/>
  <c r="DK41" i="6"/>
  <c r="DI42" i="6"/>
  <c r="DJ42" i="6"/>
  <c r="DK42" i="6"/>
  <c r="DI43" i="6"/>
  <c r="DJ43" i="6"/>
  <c r="DK43" i="6"/>
  <c r="DI44" i="6"/>
  <c r="DJ44" i="6"/>
  <c r="DK44" i="6"/>
  <c r="DI45" i="6"/>
  <c r="DJ45" i="6"/>
  <c r="DK45" i="6"/>
  <c r="DI46" i="6"/>
  <c r="DJ46" i="6"/>
  <c r="DK46" i="6"/>
  <c r="DI47" i="6"/>
  <c r="DJ47" i="6"/>
  <c r="DK47" i="6"/>
  <c r="DI48" i="6"/>
  <c r="DJ48" i="6"/>
  <c r="DK48" i="6"/>
  <c r="DI49" i="6"/>
  <c r="DJ49" i="6"/>
  <c r="DK49" i="6"/>
  <c r="DI50" i="6"/>
  <c r="DJ50" i="6"/>
  <c r="DK50" i="6"/>
  <c r="DI51" i="6"/>
  <c r="DJ51" i="6"/>
  <c r="DK51" i="6"/>
  <c r="DI52" i="6"/>
  <c r="DJ52" i="6"/>
  <c r="DK52" i="6"/>
  <c r="DI53" i="6"/>
  <c r="DJ53" i="6"/>
  <c r="DK53" i="6"/>
  <c r="DI54" i="6"/>
  <c r="DJ54" i="6"/>
  <c r="DK54" i="6"/>
  <c r="DI55" i="6"/>
  <c r="DJ55" i="6"/>
  <c r="DK55" i="6"/>
  <c r="DI56" i="6"/>
  <c r="DJ56" i="6"/>
  <c r="DK56" i="6"/>
  <c r="DI57" i="6"/>
  <c r="DJ57" i="6"/>
  <c r="DK57" i="6"/>
  <c r="DI58" i="6"/>
  <c r="DJ58" i="6"/>
  <c r="DK58" i="6"/>
  <c r="DI59" i="6"/>
  <c r="DJ59" i="6"/>
  <c r="DK59" i="6"/>
  <c r="DI60" i="6"/>
  <c r="DJ60" i="6"/>
  <c r="DK60" i="6"/>
  <c r="DI61" i="6"/>
  <c r="DJ61" i="6"/>
  <c r="DK61" i="6"/>
  <c r="DI62" i="6"/>
  <c r="DJ62" i="6"/>
  <c r="DK62" i="6"/>
  <c r="DI63" i="6"/>
  <c r="DJ63" i="6"/>
  <c r="DK63" i="6"/>
  <c r="DI64" i="6"/>
  <c r="DJ64" i="6"/>
  <c r="DK64" i="6"/>
  <c r="DI65" i="6"/>
  <c r="DJ65" i="6"/>
  <c r="DK65" i="6"/>
  <c r="DI66" i="6"/>
  <c r="DJ66" i="6"/>
  <c r="DK66" i="6"/>
  <c r="DI67" i="6"/>
  <c r="DJ67" i="6"/>
  <c r="DK67" i="6"/>
  <c r="DI68" i="6"/>
  <c r="DJ68" i="6"/>
  <c r="DK68" i="6"/>
  <c r="DI69" i="6"/>
  <c r="DJ69" i="6"/>
  <c r="DK69" i="6"/>
  <c r="DI70" i="6"/>
  <c r="DJ70" i="6"/>
  <c r="DK70" i="6"/>
  <c r="DI71" i="6"/>
  <c r="DJ71" i="6"/>
  <c r="DK71" i="6"/>
  <c r="DI72" i="6"/>
  <c r="DJ72" i="6"/>
  <c r="DK72" i="6"/>
  <c r="DI73" i="6"/>
  <c r="DJ73" i="6"/>
  <c r="DK73" i="6"/>
  <c r="DI74" i="6"/>
  <c r="DJ74" i="6"/>
  <c r="DK74" i="6"/>
  <c r="DI75" i="6"/>
  <c r="DJ75" i="6"/>
  <c r="DK75" i="6"/>
  <c r="DI76" i="6"/>
  <c r="DJ76" i="6"/>
  <c r="DK76" i="6"/>
  <c r="DI77" i="6"/>
  <c r="DJ77" i="6"/>
  <c r="DK77" i="6"/>
  <c r="DI78" i="6"/>
  <c r="DJ78" i="6"/>
  <c r="DK78" i="6"/>
  <c r="DI79" i="6"/>
  <c r="DJ79" i="6"/>
  <c r="DK79" i="6"/>
  <c r="DI80" i="6"/>
  <c r="DJ80" i="6"/>
  <c r="DK80" i="6"/>
  <c r="DI81" i="6"/>
  <c r="DJ81" i="6"/>
  <c r="DK81" i="6"/>
  <c r="DI82" i="6"/>
  <c r="DJ82" i="6"/>
  <c r="DK82" i="6"/>
  <c r="DI83" i="6"/>
  <c r="DJ83" i="6"/>
  <c r="DK83" i="6"/>
  <c r="DI84" i="6"/>
  <c r="DJ84" i="6"/>
  <c r="DK84" i="6"/>
  <c r="DI85" i="6"/>
  <c r="DJ85" i="6"/>
  <c r="DK85" i="6"/>
  <c r="DI86" i="6"/>
  <c r="DJ86" i="6"/>
  <c r="DK86" i="6"/>
  <c r="DI87" i="6"/>
  <c r="DJ87" i="6"/>
  <c r="DK87" i="6"/>
  <c r="DI88" i="6"/>
  <c r="DJ88" i="6"/>
  <c r="DK88" i="6"/>
  <c r="DI89" i="6"/>
  <c r="DJ89" i="6"/>
  <c r="DK89" i="6"/>
  <c r="DI90" i="6"/>
  <c r="DJ90" i="6"/>
  <c r="DK90" i="6"/>
  <c r="DI91" i="6"/>
  <c r="DJ91" i="6"/>
  <c r="DK91" i="6"/>
  <c r="DI92" i="6"/>
  <c r="DJ92" i="6"/>
  <c r="DK92" i="6"/>
  <c r="DI93" i="6"/>
  <c r="DJ93" i="6"/>
  <c r="DK93" i="6"/>
  <c r="DI94" i="6"/>
  <c r="DJ94" i="6"/>
  <c r="DK94" i="6"/>
  <c r="DI95" i="6"/>
  <c r="DJ95" i="6"/>
  <c r="DK95" i="6"/>
  <c r="DI96" i="6"/>
  <c r="DJ96" i="6"/>
  <c r="DK96" i="6"/>
  <c r="DI97" i="6"/>
  <c r="DJ97" i="6"/>
  <c r="DK97" i="6"/>
  <c r="DI98" i="6"/>
  <c r="DJ98" i="6"/>
  <c r="DK98" i="6"/>
  <c r="DI99" i="6"/>
  <c r="DJ99" i="6"/>
  <c r="DK99" i="6"/>
  <c r="DI100" i="6"/>
  <c r="DJ100" i="6"/>
  <c r="DK100" i="6"/>
  <c r="DI101" i="6"/>
  <c r="DJ101" i="6"/>
  <c r="DK101" i="6"/>
  <c r="DI102" i="6"/>
  <c r="DJ102" i="6"/>
  <c r="DK102" i="6"/>
  <c r="DI103" i="6"/>
  <c r="DJ103" i="6"/>
  <c r="DK103" i="6"/>
  <c r="DI104" i="6"/>
  <c r="DJ104" i="6"/>
  <c r="DK104" i="6"/>
  <c r="DI105" i="6"/>
  <c r="DJ105" i="6"/>
  <c r="DK105" i="6"/>
  <c r="DI106" i="6"/>
  <c r="DJ106" i="6"/>
  <c r="DK106" i="6"/>
  <c r="DI107" i="6"/>
  <c r="DJ107" i="6"/>
  <c r="DK107" i="6"/>
  <c r="DI108" i="6"/>
  <c r="DJ108" i="6"/>
  <c r="DK108" i="6"/>
  <c r="DI109" i="6"/>
  <c r="DJ109" i="6"/>
  <c r="DK109" i="6"/>
  <c r="DI110" i="6"/>
  <c r="DJ110" i="6"/>
  <c r="DK110" i="6"/>
  <c r="DI111" i="6"/>
  <c r="DJ111" i="6"/>
  <c r="DK111" i="6"/>
  <c r="DI112" i="6"/>
  <c r="DJ112" i="6"/>
  <c r="DK112" i="6"/>
  <c r="DI113" i="6"/>
  <c r="DJ113" i="6"/>
  <c r="DK113" i="6"/>
  <c r="DI114" i="6"/>
  <c r="DJ114" i="6"/>
  <c r="DK114" i="6"/>
  <c r="DI115" i="6"/>
  <c r="DJ115" i="6"/>
  <c r="DK115" i="6"/>
  <c r="DI116" i="6"/>
  <c r="DJ116" i="6"/>
  <c r="DK116" i="6"/>
  <c r="DI117" i="6"/>
  <c r="DJ117" i="6"/>
  <c r="DK117" i="6"/>
  <c r="DI118" i="6"/>
  <c r="DJ118" i="6"/>
  <c r="DK118" i="6"/>
  <c r="DI119" i="6"/>
  <c r="DJ119" i="6"/>
  <c r="DK119" i="6"/>
  <c r="DI120" i="6"/>
  <c r="DJ120" i="6"/>
  <c r="DK120" i="6"/>
  <c r="DI121" i="6"/>
  <c r="DJ121" i="6"/>
  <c r="DK121" i="6"/>
  <c r="DI122" i="6"/>
  <c r="DJ122" i="6"/>
  <c r="DK122" i="6"/>
  <c r="DI123" i="6"/>
  <c r="DJ123" i="6"/>
  <c r="DK123" i="6"/>
  <c r="DI124" i="6"/>
  <c r="DJ124" i="6"/>
  <c r="DK124" i="6"/>
  <c r="DI125" i="6"/>
  <c r="DJ125" i="6"/>
  <c r="DK125" i="6"/>
  <c r="DI126" i="6"/>
  <c r="DJ126" i="6"/>
  <c r="DK126" i="6"/>
  <c r="DI127" i="6"/>
  <c r="DJ127" i="6"/>
  <c r="DK127" i="6"/>
  <c r="DI128" i="6"/>
  <c r="DJ128" i="6"/>
  <c r="DK128" i="6"/>
  <c r="DI129" i="6"/>
  <c r="DJ129" i="6"/>
  <c r="DK129" i="6"/>
  <c r="DI130" i="6"/>
  <c r="DJ130" i="6"/>
  <c r="DK130" i="6"/>
  <c r="DI131" i="6"/>
  <c r="DJ131" i="6"/>
  <c r="DK131" i="6"/>
  <c r="DI132" i="6"/>
  <c r="DJ132" i="6"/>
  <c r="DK132" i="6"/>
  <c r="DI133" i="6"/>
  <c r="DJ133" i="6"/>
  <c r="DK133" i="6"/>
  <c r="DI134" i="6"/>
  <c r="DJ134" i="6"/>
  <c r="DK134" i="6"/>
  <c r="DI135" i="6"/>
  <c r="DJ135" i="6"/>
  <c r="DK135" i="6"/>
  <c r="DI136" i="6"/>
  <c r="DJ136" i="6"/>
  <c r="DK136" i="6"/>
  <c r="DI137" i="6"/>
  <c r="DJ137" i="6"/>
  <c r="DK137" i="6"/>
  <c r="DI138" i="6"/>
  <c r="DJ138" i="6"/>
  <c r="DK138" i="6"/>
  <c r="DI139" i="6"/>
  <c r="DJ139" i="6"/>
  <c r="DK139" i="6"/>
  <c r="DI140" i="6"/>
  <c r="DJ140" i="6"/>
  <c r="DK140" i="6"/>
  <c r="DI141" i="6"/>
  <c r="DJ141" i="6"/>
  <c r="DK141" i="6"/>
  <c r="DI142" i="6"/>
  <c r="DJ142" i="6"/>
  <c r="DK142" i="6"/>
  <c r="DI143" i="6"/>
  <c r="DJ143" i="6"/>
  <c r="DK143" i="6"/>
  <c r="DI144" i="6"/>
  <c r="DJ144" i="6"/>
  <c r="DK144" i="6"/>
  <c r="DI145" i="6"/>
  <c r="DJ145" i="6"/>
  <c r="DK145" i="6"/>
  <c r="DI146" i="6"/>
  <c r="DJ146" i="6"/>
  <c r="DK146" i="6"/>
  <c r="DI147" i="6"/>
  <c r="DJ147" i="6"/>
  <c r="DK147" i="6"/>
  <c r="DI148" i="6"/>
  <c r="DJ148" i="6"/>
  <c r="DK148" i="6"/>
  <c r="DI149" i="6"/>
  <c r="DJ149" i="6"/>
  <c r="DK149" i="6"/>
  <c r="DI150" i="6"/>
  <c r="DJ150" i="6"/>
  <c r="DK150" i="6"/>
  <c r="DI151" i="6"/>
  <c r="DJ151" i="6"/>
  <c r="DK151" i="6"/>
  <c r="DI152" i="6"/>
  <c r="DJ152" i="6"/>
  <c r="DK152" i="6"/>
  <c r="DI153" i="6"/>
  <c r="DJ153" i="6"/>
  <c r="DK153" i="6"/>
  <c r="DI154" i="6"/>
  <c r="DJ154" i="6"/>
  <c r="DK154" i="6"/>
  <c r="DI155" i="6"/>
  <c r="DJ155" i="6"/>
  <c r="DK155" i="6"/>
  <c r="DI156" i="6"/>
  <c r="DJ156" i="6"/>
  <c r="DK156" i="6"/>
  <c r="DI157" i="6"/>
  <c r="DJ157" i="6"/>
  <c r="DK157" i="6"/>
  <c r="DI158" i="6"/>
  <c r="DJ158" i="6"/>
  <c r="DK158" i="6"/>
  <c r="DI159" i="6"/>
  <c r="DJ159" i="6"/>
  <c r="DK159" i="6"/>
  <c r="DI160" i="6"/>
  <c r="DJ160" i="6"/>
  <c r="DK160" i="6"/>
  <c r="DI161" i="6"/>
  <c r="DJ161" i="6"/>
  <c r="DK161" i="6"/>
  <c r="DI162" i="6"/>
  <c r="DJ162" i="6"/>
  <c r="DK162" i="6"/>
  <c r="DI163" i="6"/>
  <c r="DJ163" i="6"/>
  <c r="DK163" i="6"/>
  <c r="DI164" i="6"/>
  <c r="DJ164" i="6"/>
  <c r="DK164" i="6"/>
  <c r="DI165" i="6"/>
  <c r="DJ165" i="6"/>
  <c r="DK165" i="6"/>
  <c r="DI166" i="6"/>
  <c r="DJ166" i="6"/>
  <c r="DK166" i="6"/>
  <c r="DI167" i="6"/>
  <c r="DJ167" i="6"/>
  <c r="DK167" i="6"/>
  <c r="DI168" i="6"/>
  <c r="DJ168" i="6"/>
  <c r="DK168" i="6"/>
  <c r="DI169" i="6"/>
  <c r="DJ169" i="6"/>
  <c r="DK169" i="6"/>
  <c r="DI170" i="6"/>
  <c r="DJ170" i="6"/>
  <c r="DK170" i="6"/>
  <c r="DI171" i="6"/>
  <c r="DJ171" i="6"/>
  <c r="DK171" i="6"/>
  <c r="DI172" i="6"/>
  <c r="DJ172" i="6"/>
  <c r="DK172" i="6"/>
  <c r="DI173" i="6"/>
  <c r="DJ173" i="6"/>
  <c r="DK173" i="6"/>
  <c r="DI174" i="6"/>
  <c r="DJ174" i="6"/>
  <c r="DK174" i="6"/>
  <c r="DI175" i="6"/>
  <c r="DJ175" i="6"/>
  <c r="DK175" i="6"/>
  <c r="DI176" i="6"/>
  <c r="DJ176" i="6"/>
  <c r="DK176" i="6"/>
  <c r="DI177" i="6"/>
  <c r="DJ177" i="6"/>
  <c r="DK177" i="6"/>
  <c r="DI178" i="6"/>
  <c r="DJ178" i="6"/>
  <c r="DK178" i="6"/>
  <c r="DI179" i="6"/>
  <c r="DJ179" i="6"/>
  <c r="DK179" i="6"/>
  <c r="DI180" i="6"/>
  <c r="DJ180" i="6"/>
  <c r="DK180" i="6"/>
  <c r="DI181" i="6"/>
  <c r="DJ181" i="6"/>
  <c r="DK181" i="6"/>
  <c r="DI182" i="6"/>
  <c r="DJ182" i="6"/>
  <c r="DK182" i="6"/>
  <c r="DI183" i="6"/>
  <c r="DJ183" i="6"/>
  <c r="DK183" i="6"/>
  <c r="DI184" i="6"/>
  <c r="DJ184" i="6"/>
  <c r="DK184" i="6"/>
  <c r="DI185" i="6"/>
  <c r="DJ185" i="6"/>
  <c r="DK185" i="6"/>
  <c r="DI186" i="6"/>
  <c r="DJ186" i="6"/>
  <c r="DK186" i="6"/>
  <c r="DI187" i="6"/>
  <c r="DJ187" i="6"/>
  <c r="DK187" i="6"/>
  <c r="DI188" i="6"/>
  <c r="DJ188" i="6"/>
  <c r="DK188" i="6"/>
  <c r="DI189" i="6"/>
  <c r="DJ189" i="6"/>
  <c r="DK189" i="6"/>
  <c r="DI190" i="6"/>
  <c r="DJ190" i="6"/>
  <c r="DK190" i="6"/>
  <c r="DI191" i="6"/>
  <c r="DJ191" i="6"/>
  <c r="DK191" i="6"/>
  <c r="DI192" i="6"/>
  <c r="DJ192" i="6"/>
  <c r="DK192" i="6"/>
  <c r="DI193" i="6"/>
  <c r="DJ193" i="6"/>
  <c r="DK193" i="6"/>
  <c r="DI194" i="6"/>
  <c r="DJ194" i="6"/>
  <c r="DK194" i="6"/>
  <c r="DI195" i="6"/>
  <c r="DJ195" i="6"/>
  <c r="DK195" i="6"/>
  <c r="DI196" i="6"/>
  <c r="DJ196" i="6"/>
  <c r="DK196" i="6"/>
  <c r="DI197" i="6"/>
  <c r="DJ197" i="6"/>
  <c r="DK197" i="6"/>
  <c r="DI198" i="6"/>
  <c r="DJ198" i="6"/>
  <c r="DK198" i="6"/>
  <c r="DI199" i="6"/>
  <c r="DJ199" i="6"/>
  <c r="DK199" i="6"/>
  <c r="DI200" i="6"/>
  <c r="DJ200" i="6"/>
  <c r="DK200" i="6"/>
  <c r="DI201" i="6"/>
  <c r="DJ201" i="6"/>
  <c r="DK201" i="6"/>
  <c r="DI202" i="6"/>
  <c r="DJ202" i="6"/>
  <c r="DK202" i="6"/>
  <c r="DI203" i="6"/>
  <c r="DJ203" i="6"/>
  <c r="DK203" i="6"/>
  <c r="DI204" i="6"/>
  <c r="DJ204" i="6"/>
  <c r="DK204" i="6"/>
  <c r="DI205" i="6"/>
  <c r="DJ205" i="6"/>
  <c r="DK205" i="6"/>
  <c r="DI206" i="6"/>
  <c r="DJ206" i="6"/>
  <c r="DK206" i="6"/>
  <c r="DI207" i="6"/>
  <c r="DJ207" i="6"/>
  <c r="DK207" i="6"/>
  <c r="DI208" i="6"/>
  <c r="DJ208" i="6"/>
  <c r="DK208" i="6"/>
  <c r="DI209" i="6"/>
  <c r="DJ209" i="6"/>
  <c r="DK209" i="6"/>
  <c r="DI210" i="6"/>
  <c r="DJ210" i="6"/>
  <c r="DK210" i="6"/>
  <c r="DI211" i="6"/>
  <c r="DJ211" i="6"/>
  <c r="DK211" i="6"/>
  <c r="DI212" i="6"/>
  <c r="DJ212" i="6"/>
  <c r="DK212" i="6"/>
  <c r="DI213" i="6"/>
  <c r="DJ213" i="6"/>
  <c r="DK213" i="6"/>
  <c r="DI214" i="6"/>
  <c r="DJ214" i="6"/>
  <c r="DK214" i="6"/>
  <c r="DI215" i="6"/>
  <c r="DJ215" i="6"/>
  <c r="DK215" i="6"/>
  <c r="DI216" i="6"/>
  <c r="DJ216" i="6"/>
  <c r="DK216" i="6"/>
  <c r="DI217" i="6"/>
  <c r="DJ217" i="6"/>
  <c r="DK217" i="6"/>
  <c r="DI218" i="6"/>
  <c r="DJ218" i="6"/>
  <c r="DK218" i="6"/>
  <c r="DI219" i="6"/>
  <c r="DJ219" i="6"/>
  <c r="DK219" i="6"/>
  <c r="DI220" i="6"/>
  <c r="DJ220" i="6"/>
  <c r="DK220" i="6"/>
  <c r="DI221" i="6"/>
  <c r="DJ221" i="6"/>
  <c r="DK221" i="6"/>
  <c r="DI222" i="6"/>
  <c r="DJ222" i="6"/>
  <c r="DK222" i="6"/>
  <c r="DI223" i="6"/>
  <c r="DJ223" i="6"/>
  <c r="DK223" i="6"/>
  <c r="DI224" i="6"/>
  <c r="DJ224" i="6"/>
  <c r="DK224" i="6"/>
  <c r="DI225" i="6"/>
  <c r="DJ225" i="6"/>
  <c r="DK225" i="6"/>
  <c r="DI226" i="6"/>
  <c r="DJ226" i="6"/>
  <c r="DK226" i="6"/>
  <c r="DI227" i="6"/>
  <c r="DJ227" i="6"/>
  <c r="DK227" i="6"/>
  <c r="DI228" i="6"/>
  <c r="DJ228" i="6"/>
  <c r="DK228" i="6"/>
  <c r="DI229" i="6"/>
  <c r="DJ229" i="6"/>
  <c r="DK229" i="6"/>
  <c r="DI230" i="6"/>
  <c r="DJ230" i="6"/>
  <c r="DK230" i="6"/>
  <c r="DI231" i="6"/>
  <c r="DJ231" i="6"/>
  <c r="DK231" i="6"/>
  <c r="DI232" i="6"/>
  <c r="DJ232" i="6"/>
  <c r="DK232" i="6"/>
  <c r="DI233" i="6"/>
  <c r="DJ233" i="6"/>
  <c r="DK233" i="6"/>
  <c r="DI234" i="6"/>
  <c r="DJ234" i="6"/>
  <c r="DK234" i="6"/>
  <c r="DI235" i="6"/>
  <c r="DJ235" i="6"/>
  <c r="DK235" i="6"/>
  <c r="DI236" i="6"/>
  <c r="DJ236" i="6"/>
  <c r="DK236" i="6"/>
  <c r="DI237" i="6"/>
  <c r="DJ237" i="6"/>
  <c r="DK237" i="6"/>
  <c r="DI238" i="6"/>
  <c r="DJ238" i="6"/>
  <c r="DK238" i="6"/>
  <c r="DI239" i="6"/>
  <c r="DJ239" i="6"/>
  <c r="DK239" i="6"/>
  <c r="DI240" i="6"/>
  <c r="DJ240" i="6"/>
  <c r="DK240" i="6"/>
  <c r="DI241" i="6"/>
  <c r="DJ241" i="6"/>
  <c r="DK241" i="6"/>
  <c r="DI242" i="6"/>
  <c r="DJ242" i="6"/>
  <c r="DK242" i="6"/>
  <c r="DI243" i="6"/>
  <c r="DJ243" i="6"/>
  <c r="DK243" i="6"/>
  <c r="DI244" i="6"/>
  <c r="DJ244" i="6"/>
  <c r="DK244" i="6"/>
  <c r="DI245" i="6"/>
  <c r="DJ245" i="6"/>
  <c r="DK245" i="6"/>
  <c r="DI246" i="6"/>
  <c r="DJ246" i="6"/>
  <c r="DK246" i="6"/>
  <c r="DI247" i="6"/>
  <c r="DJ247" i="6"/>
  <c r="DK247" i="6"/>
  <c r="DI248" i="6"/>
  <c r="DJ248" i="6"/>
  <c r="DK248" i="6"/>
  <c r="DI249" i="6"/>
  <c r="DJ249" i="6"/>
  <c r="DK249" i="6"/>
  <c r="DI250" i="6"/>
  <c r="DJ250" i="6"/>
  <c r="DK250" i="6"/>
  <c r="DI251" i="6"/>
  <c r="DJ251" i="6"/>
  <c r="DK251" i="6"/>
  <c r="DI252" i="6"/>
  <c r="DJ252" i="6"/>
  <c r="DK252" i="6"/>
  <c r="DI253" i="6"/>
  <c r="DJ253" i="6"/>
  <c r="DK253" i="6"/>
  <c r="DI254" i="6"/>
  <c r="DJ254" i="6"/>
  <c r="DK254" i="6"/>
  <c r="DI255" i="6"/>
  <c r="DJ255" i="6"/>
  <c r="DK255" i="6"/>
  <c r="DI256" i="6"/>
  <c r="DJ256" i="6"/>
  <c r="DK256" i="6"/>
  <c r="DI257" i="6"/>
  <c r="DJ257" i="6"/>
  <c r="DK257" i="6"/>
  <c r="DI258" i="6"/>
  <c r="DJ258" i="6"/>
  <c r="DK258" i="6"/>
  <c r="DI259" i="6"/>
  <c r="DJ259" i="6"/>
  <c r="DK259" i="6"/>
  <c r="DI260" i="6"/>
  <c r="DJ260" i="6"/>
  <c r="DK260" i="6"/>
  <c r="DI261" i="6"/>
  <c r="DJ261" i="6"/>
  <c r="DK261" i="6"/>
  <c r="DI262" i="6"/>
  <c r="DJ262" i="6"/>
  <c r="DK262" i="6"/>
  <c r="DI263" i="6"/>
  <c r="DJ263" i="6"/>
  <c r="DK263" i="6"/>
  <c r="DI264" i="6"/>
  <c r="DJ264" i="6"/>
  <c r="DK264" i="6"/>
  <c r="DI265" i="6"/>
  <c r="DJ265" i="6"/>
  <c r="DK265" i="6"/>
  <c r="DI266" i="6"/>
  <c r="DJ266" i="6"/>
  <c r="DK266" i="6"/>
  <c r="DI267" i="6"/>
  <c r="DJ267" i="6"/>
  <c r="DK267" i="6"/>
  <c r="DI268" i="6"/>
  <c r="DJ268" i="6"/>
  <c r="DK268" i="6"/>
  <c r="DI269" i="6"/>
  <c r="DJ269" i="6"/>
  <c r="DK269" i="6"/>
  <c r="DI270" i="6"/>
  <c r="DJ270" i="6"/>
  <c r="DK270" i="6"/>
  <c r="DI271" i="6"/>
  <c r="DJ271" i="6"/>
  <c r="DK271" i="6"/>
  <c r="DI272" i="6"/>
  <c r="DJ272" i="6"/>
  <c r="DK272" i="6"/>
  <c r="DI273" i="6"/>
  <c r="DJ273" i="6"/>
  <c r="DK273" i="6"/>
  <c r="DI274" i="6"/>
  <c r="DJ274" i="6"/>
  <c r="DK274" i="6"/>
  <c r="DI275" i="6"/>
  <c r="DJ275" i="6"/>
  <c r="DK275" i="6"/>
  <c r="DI276" i="6"/>
  <c r="DJ276" i="6"/>
  <c r="DK276" i="6"/>
  <c r="DI277" i="6"/>
  <c r="DJ277" i="6"/>
  <c r="DK277" i="6"/>
  <c r="DI278" i="6"/>
  <c r="DJ278" i="6"/>
  <c r="DK278" i="6"/>
  <c r="DI279" i="6"/>
  <c r="DJ279" i="6"/>
  <c r="DK279" i="6"/>
  <c r="DI280" i="6"/>
  <c r="DJ280" i="6"/>
  <c r="DK280" i="6"/>
  <c r="DI281" i="6"/>
  <c r="DJ281" i="6"/>
  <c r="DK281" i="6"/>
  <c r="DI282" i="6"/>
  <c r="DJ282" i="6"/>
  <c r="DK282" i="6"/>
  <c r="DI283" i="6"/>
  <c r="DJ283" i="6"/>
  <c r="DK283" i="6"/>
  <c r="DI284" i="6"/>
  <c r="DJ284" i="6"/>
  <c r="DK284" i="6"/>
  <c r="DI285" i="6"/>
  <c r="DJ285" i="6"/>
  <c r="DK285" i="6"/>
  <c r="DI286" i="6"/>
  <c r="DJ286" i="6"/>
  <c r="DK286" i="6"/>
  <c r="DI287" i="6"/>
  <c r="DJ287" i="6"/>
  <c r="DK287" i="6"/>
  <c r="DI288" i="6"/>
  <c r="DJ288" i="6"/>
  <c r="DK288" i="6"/>
  <c r="DI289" i="6"/>
  <c r="DJ289" i="6"/>
  <c r="DK289" i="6"/>
  <c r="DI290" i="6"/>
  <c r="DJ290" i="6"/>
  <c r="DK290" i="6"/>
  <c r="DI291" i="6"/>
  <c r="DJ291" i="6"/>
  <c r="DK291" i="6"/>
  <c r="DI292" i="6"/>
  <c r="DJ292" i="6"/>
  <c r="DK292" i="6"/>
  <c r="DI293" i="6"/>
  <c r="DJ293" i="6"/>
  <c r="DK293" i="6"/>
  <c r="DI294" i="6"/>
  <c r="DJ294" i="6"/>
  <c r="DK294" i="6"/>
  <c r="DI295" i="6"/>
  <c r="DJ295" i="6"/>
  <c r="DK295" i="6"/>
  <c r="DI296" i="6"/>
  <c r="DJ296" i="6"/>
  <c r="DK296" i="6"/>
  <c r="DI297" i="6"/>
  <c r="DJ297" i="6"/>
  <c r="DK297" i="6"/>
  <c r="DI298" i="6"/>
  <c r="DJ298" i="6"/>
  <c r="DK298" i="6"/>
  <c r="DI299" i="6"/>
  <c r="DJ299" i="6"/>
  <c r="DK299" i="6"/>
  <c r="DI300" i="6"/>
  <c r="DJ300" i="6"/>
  <c r="DK300" i="6"/>
  <c r="DI301" i="6"/>
  <c r="DJ301" i="6"/>
  <c r="DK301" i="6"/>
  <c r="DI302" i="6"/>
  <c r="DJ302" i="6"/>
  <c r="DK302" i="6"/>
  <c r="DI303" i="6"/>
  <c r="DJ303" i="6"/>
  <c r="DK303" i="6"/>
  <c r="DI304" i="6"/>
  <c r="DJ304" i="6"/>
  <c r="DK304" i="6"/>
  <c r="DI305" i="6"/>
  <c r="DJ305" i="6"/>
  <c r="DK305" i="6"/>
  <c r="DI306" i="6"/>
  <c r="DJ306" i="6"/>
  <c r="DK306" i="6"/>
  <c r="DI307" i="6"/>
  <c r="DJ307" i="6"/>
  <c r="DK307" i="6"/>
  <c r="DI308" i="6"/>
  <c r="DJ308" i="6"/>
  <c r="DK308" i="6"/>
  <c r="DI309" i="6"/>
  <c r="DJ309" i="6"/>
  <c r="DK309" i="6"/>
  <c r="DI310" i="6"/>
  <c r="DJ310" i="6"/>
  <c r="DK310" i="6"/>
  <c r="DI311" i="6"/>
  <c r="DJ311" i="6"/>
  <c r="DK311" i="6"/>
  <c r="DI312" i="6"/>
  <c r="DJ312" i="6"/>
  <c r="DK312" i="6"/>
  <c r="DI313" i="6"/>
  <c r="DJ313" i="6"/>
  <c r="DK313" i="6"/>
  <c r="DI314" i="6"/>
  <c r="DJ314" i="6"/>
  <c r="DK314" i="6"/>
  <c r="DI315" i="6"/>
  <c r="DJ315" i="6"/>
  <c r="DK315" i="6"/>
  <c r="DI316" i="6"/>
  <c r="DJ316" i="6"/>
  <c r="DK316" i="6"/>
  <c r="DI317" i="6"/>
  <c r="DJ317" i="6"/>
  <c r="DK317" i="6"/>
  <c r="DI318" i="6"/>
  <c r="DJ318" i="6"/>
  <c r="DK318" i="6"/>
  <c r="DI319" i="6"/>
  <c r="DJ319" i="6"/>
  <c r="DK319" i="6"/>
  <c r="DI320" i="6"/>
  <c r="DJ320" i="6"/>
  <c r="DK320" i="6"/>
  <c r="DI321" i="6"/>
  <c r="DJ321" i="6"/>
  <c r="DK321" i="6"/>
  <c r="DI322" i="6"/>
  <c r="DJ322" i="6"/>
  <c r="DK322" i="6"/>
  <c r="DI323" i="6"/>
  <c r="DJ323" i="6"/>
  <c r="DK323" i="6"/>
  <c r="DI324" i="6"/>
  <c r="DJ324" i="6"/>
  <c r="DK324" i="6"/>
  <c r="DI325" i="6"/>
  <c r="DJ325" i="6"/>
  <c r="DK325" i="6"/>
  <c r="DI326" i="6"/>
  <c r="DJ326" i="6"/>
  <c r="DK326" i="6"/>
</calcChain>
</file>

<file path=xl/sharedStrings.xml><?xml version="1.0" encoding="utf-8"?>
<sst xmlns="http://schemas.openxmlformats.org/spreadsheetml/2006/main" count="2092" uniqueCount="378">
  <si>
    <t>Rayon</t>
  </si>
  <si>
    <t>Bakı Şəhəri üzrə Təhsil İdarəsi</t>
  </si>
  <si>
    <t>Binəqədi</t>
  </si>
  <si>
    <t>102 nömrəli tam orta məktəb</t>
  </si>
  <si>
    <t>103 nömrəli tam orta məktəb</t>
  </si>
  <si>
    <t>115 nömrəli tam orta məktəb</t>
  </si>
  <si>
    <t>Pirallahı</t>
  </si>
  <si>
    <t>131 nömrəli tam orta məktəb</t>
  </si>
  <si>
    <t>157 nömrəli tam orta məktəb</t>
  </si>
  <si>
    <t>179 nömrəli tam orta məktəb</t>
  </si>
  <si>
    <t>217 nömrəli tam orta məktəb</t>
  </si>
  <si>
    <t>276 nömrəli tam orta məktəb</t>
  </si>
  <si>
    <t>283 nömrəli tam orta məktəb</t>
  </si>
  <si>
    <t>284 nömrəli tam orta məktəb</t>
  </si>
  <si>
    <t>297 nömrəli  tam orta məktəb</t>
  </si>
  <si>
    <t>299 nömrəli məktəb-lisey</t>
  </si>
  <si>
    <t>301 nömrəli tam orta məktəb</t>
  </si>
  <si>
    <t>248 nömrəli tam orta məktəb</t>
  </si>
  <si>
    <t>135 nömrəli tam orta məktəb</t>
  </si>
  <si>
    <t>300 nömrəli tam orta məktəb</t>
  </si>
  <si>
    <t>144 nömrəli tam orta məktəb</t>
  </si>
  <si>
    <t>100 nömrəli tam orta məktəb</t>
  </si>
  <si>
    <t>99 nömrəli tam orta məktəb</t>
  </si>
  <si>
    <t>83 nömrəli məktəb-lisey</t>
  </si>
  <si>
    <t>3 nömrəli tam orta məktəb</t>
  </si>
  <si>
    <t>313 nömrəli tam orta məktəb</t>
  </si>
  <si>
    <t>306 nömrəli tam orta məktəb</t>
  </si>
  <si>
    <t>205 nömrəli tam orta məktəb</t>
  </si>
  <si>
    <t>244 nömrəli tam orta məktəb</t>
  </si>
  <si>
    <t>182 nömrəli tam orta məktəb</t>
  </si>
  <si>
    <t>298 nömrəli tam orta məktəb</t>
  </si>
  <si>
    <t>143 nömrəli tam orta məktəb</t>
  </si>
  <si>
    <t>267 nömrəli məktəb-lisey</t>
  </si>
  <si>
    <t>314 nömrəli tam orta məktəb</t>
  </si>
  <si>
    <t>246 nömrəli məktəb-lisey</t>
  </si>
  <si>
    <t>30 nömrəli tam orta məktəb</t>
  </si>
  <si>
    <t>Nərimanov</t>
  </si>
  <si>
    <t>37 nömrəli tam orta məktəb</t>
  </si>
  <si>
    <t>207 nömrəli tam orta məktəb</t>
  </si>
  <si>
    <t>34 nömrəli tam orta məktəb</t>
  </si>
  <si>
    <t>36 nömrəli tam orta məktəb</t>
  </si>
  <si>
    <t>202 nömrəli tam orta məktəb</t>
  </si>
  <si>
    <t>193 nömrəli tam orta məktəb</t>
  </si>
  <si>
    <t>93 nömrəli  tam orta məktəb</t>
  </si>
  <si>
    <t>177 nömrəli tam orta məktəb</t>
  </si>
  <si>
    <t>Məktəb, Lisey Kompleksi</t>
  </si>
  <si>
    <t>178 nömrəli tam orta məktəb</t>
  </si>
  <si>
    <t>258 nömrəli tam orta məktəb</t>
  </si>
  <si>
    <t>39 nömrəli tam orta məktəb</t>
  </si>
  <si>
    <t>47 nömrəli tam orta məktəb</t>
  </si>
  <si>
    <t>45 nömrəli tam orta məktəb</t>
  </si>
  <si>
    <t>82 nömrəli tam orta məktəb</t>
  </si>
  <si>
    <t>73 nömrəli tam orta məktəb</t>
  </si>
  <si>
    <t>212 nömrəli tam orta məktəb</t>
  </si>
  <si>
    <t>57 nömrəli tam orta məktəb</t>
  </si>
  <si>
    <t>Nəsimi</t>
  </si>
  <si>
    <t>9 nömrəli tam orta məktəb</t>
  </si>
  <si>
    <t>266 nömrəli tam orta məktəb</t>
  </si>
  <si>
    <t>44 nömrəli tam orta məktəb</t>
  </si>
  <si>
    <t>247 nomrəli tam orta məktəb</t>
  </si>
  <si>
    <t>111 nömrəli tam orta məktəb</t>
  </si>
  <si>
    <t>35 nömrəli tam orta məktəb</t>
  </si>
  <si>
    <t>211 nömrəli tam orta məktəb</t>
  </si>
  <si>
    <t>14 nömrəli tam orta məktəb</t>
  </si>
  <si>
    <t>19 nömrəli tam orta məktəb</t>
  </si>
  <si>
    <t>151 nömrəli tam orta məktəb</t>
  </si>
  <si>
    <t>240 nömrəli tam orta məktəb</t>
  </si>
  <si>
    <t>8 nömrəli tam orta məktəb</t>
  </si>
  <si>
    <t>16 nömrəli THL</t>
  </si>
  <si>
    <t>159 nömrəli tam orta məktəb</t>
  </si>
  <si>
    <t>42 nömrəli tam orta məktəb</t>
  </si>
  <si>
    <t>164 nömrəli tam orta məktəb</t>
  </si>
  <si>
    <t>54 nömrəli tam orta məktəb</t>
  </si>
  <si>
    <t>1  nömrəli tam orta məktəb</t>
  </si>
  <si>
    <t>Nizami</t>
  </si>
  <si>
    <t>272 nömrəli tam orta məktəb</t>
  </si>
  <si>
    <t>220 nömrəli məktəb-lisey</t>
  </si>
  <si>
    <t>201 nömrəli orta məktəb</t>
  </si>
  <si>
    <t>62 nömrəli məktəb-lisey</t>
  </si>
  <si>
    <t>12 nömrəli orta məktəb</t>
  </si>
  <si>
    <t>328 nömrəli tam orta məktəb</t>
  </si>
  <si>
    <t>312 nömrəli tam orta məktəb</t>
  </si>
  <si>
    <t>214 nömrəli tam orta məktəb</t>
  </si>
  <si>
    <t>251 nömrəli tam orta məktəb</t>
  </si>
  <si>
    <t>210 nömrəli tam orta məktəb</t>
  </si>
  <si>
    <t>229 nömrəli tam orta məktəb</t>
  </si>
  <si>
    <t>61 nömrəli tam orta məktəb</t>
  </si>
  <si>
    <t>238 nömrəli tam orta məktəb</t>
  </si>
  <si>
    <t>145 nömrəli tam orta məktəb</t>
  </si>
  <si>
    <t>70 nömrəli məktəb-lisey</t>
  </si>
  <si>
    <t>109 nömrəli orta məktəb</t>
  </si>
  <si>
    <t>227 nömrəli tam orta məktəb</t>
  </si>
  <si>
    <t>129 nömrəli tam orta məktəb</t>
  </si>
  <si>
    <t>32 nömrəli orta məktəb</t>
  </si>
  <si>
    <t>242 nömrəli tam orta məktəb</t>
  </si>
  <si>
    <t>10 nömrəli tam orta məktəb</t>
  </si>
  <si>
    <t>250 nömrəli tam orta məktəb</t>
  </si>
  <si>
    <t>Qaradağ</t>
  </si>
  <si>
    <t>303 nömrəli ümumi orta məktəb</t>
  </si>
  <si>
    <t>127 nömrəli tam orta məktəb</t>
  </si>
  <si>
    <t>106 nömrəli tam orta məktəb</t>
  </si>
  <si>
    <t>319 nömrəli tam orta məktəb</t>
  </si>
  <si>
    <t>166 nömrəli tam orta məktəb</t>
  </si>
  <si>
    <t>184 nömrəli tam orta məktəb</t>
  </si>
  <si>
    <t>294 nömrəli tam orta məktəb</t>
  </si>
  <si>
    <t>321 nömrəli tam orta məktəb</t>
  </si>
  <si>
    <t>288 nömrəli tam orta məktəb</t>
  </si>
  <si>
    <t>302 nömrəli tam orta məktəb</t>
  </si>
  <si>
    <t>195 nömrəli tam orta məktəb</t>
  </si>
  <si>
    <t>222 nömrəli tam orta məktəb</t>
  </si>
  <si>
    <t>223 nömrəli tam orta məktəb</t>
  </si>
  <si>
    <t>233 nömrəli tam orta məktəb</t>
  </si>
  <si>
    <t>228 nömrəli tam orta məktəb</t>
  </si>
  <si>
    <t>105 nömrəli tam orta məktəb</t>
  </si>
  <si>
    <t>180 nömrəli tam orta məktəb</t>
  </si>
  <si>
    <t>197 nömrəli tam orta məktəb</t>
  </si>
  <si>
    <t>320 nömrəli tam orta məktəb</t>
  </si>
  <si>
    <t>110 nömrəli tam orta məktəb</t>
  </si>
  <si>
    <t>273 nömrəli tam orta məktəb</t>
  </si>
  <si>
    <t>139 nömrəli tam orta məktəb</t>
  </si>
  <si>
    <t>253 nömrəli tam orta məktəb</t>
  </si>
  <si>
    <t>274 nömrəli tam orta məktəb</t>
  </si>
  <si>
    <t>224 nömrəli ümumi orta məktəb</t>
  </si>
  <si>
    <t>331 nömrəli ümumi orta məktəb</t>
  </si>
  <si>
    <t>Sabunçu</t>
  </si>
  <si>
    <t>187 nömrəli tam orta məktəb</t>
  </si>
  <si>
    <t>169 nömrəli tam orta məktəb</t>
  </si>
  <si>
    <t>170 nömrəli tam orta məktəb</t>
  </si>
  <si>
    <t>75 nömrəli tam orta məktəb</t>
  </si>
  <si>
    <t>22 nömrəli tam orta məktəb</t>
  </si>
  <si>
    <t>213 nömrəli məktəb-lisey</t>
  </si>
  <si>
    <t>137 nömrəli tam orta məktəb</t>
  </si>
  <si>
    <t>255 nömrəli tam orta məktəb</t>
  </si>
  <si>
    <t>215 nömrəli tam orta məktəb</t>
  </si>
  <si>
    <t>94 nömrəli tam orta məktəb</t>
  </si>
  <si>
    <t>128 nömrəli tam orta məktəb</t>
  </si>
  <si>
    <t>209 nömrəli tam orta məktəb</t>
  </si>
  <si>
    <t>293 nömrəli tam orta məktəb</t>
  </si>
  <si>
    <t>108 nömrəli tam orta məktəb</t>
  </si>
  <si>
    <t>130 nömrəli tam orta məktəb</t>
  </si>
  <si>
    <t>74 nömrəli tam orta məktəb</t>
  </si>
  <si>
    <t>271 nömrəli tam orta məktəb</t>
  </si>
  <si>
    <t>67 nömrəli tam orta məktəb</t>
  </si>
  <si>
    <t>90 nömrəli tam orta məktəb</t>
  </si>
  <si>
    <t>142 nömrəli tam orta məktəb</t>
  </si>
  <si>
    <t>81 nömrəli tam orta məktəb</t>
  </si>
  <si>
    <t>80 nömrəli tam orta məktəb</t>
  </si>
  <si>
    <t>310 nömrəli tam orta məktəb</t>
  </si>
  <si>
    <t>107 nömrəli tam orta məktəb</t>
  </si>
  <si>
    <t>78 nömrəli tam orta məktəb</t>
  </si>
  <si>
    <t>295 nömrəli tam orta məktəb</t>
  </si>
  <si>
    <t>96 nömrəli tam orta məktəb</t>
  </si>
  <si>
    <t>69 nömrəli tam orta məktəb</t>
  </si>
  <si>
    <t>148 nömrəli tam orta məktəb</t>
  </si>
  <si>
    <t>296 nömrəli tam orta məktəb</t>
  </si>
  <si>
    <t>192 nömrəli tam orta məktəb</t>
  </si>
  <si>
    <t>113 nömrəli tam orta məktəb</t>
  </si>
  <si>
    <t>72 nömrəli tam orta məktəb</t>
  </si>
  <si>
    <t>71 nömrəli tam orta məktəb</t>
  </si>
  <si>
    <t>188 nömrəli tam orta məktəb</t>
  </si>
  <si>
    <t>28 nömrəli tam orta məktəb (Savalan qəsəbəsi)</t>
  </si>
  <si>
    <t>112 nömrəli tam orta məktəb</t>
  </si>
  <si>
    <t>198 nömrəli tam orta məktəb</t>
  </si>
  <si>
    <t>307 nömrəli tam orta məktəb</t>
  </si>
  <si>
    <t>309 nömrəli tam orta məktəb</t>
  </si>
  <si>
    <t>155 nömrəli tam orta məktəb</t>
  </si>
  <si>
    <t>259 nömrəli tam orta məktəb</t>
  </si>
  <si>
    <t>4 nömrəli tam orta məktəb</t>
  </si>
  <si>
    <t>68 nömrəli tam orta məktəb</t>
  </si>
  <si>
    <t>305 nömrəli tam orta məktəb</t>
  </si>
  <si>
    <t>311 nömrəli tam orta məktəb</t>
  </si>
  <si>
    <t>Səbail</t>
  </si>
  <si>
    <t>49 nömrəli İntellekt məktəb-lisey</t>
  </si>
  <si>
    <t>236 nömrəli tam orta məktəb</t>
  </si>
  <si>
    <t>162 nömrəli tam orta məktəb</t>
  </si>
  <si>
    <t>160 nömrəli Klassik Gimnaziya</t>
  </si>
  <si>
    <t>189-190 saylı nömrəli orta məktəb</t>
  </si>
  <si>
    <t>7 nömrəli orta məktəb</t>
  </si>
  <si>
    <t>50 nömrəli tam orta məktəb</t>
  </si>
  <si>
    <t>329 nömrəli tam orta məktəb</t>
  </si>
  <si>
    <t>51 nömrəli tam orta məktəb</t>
  </si>
  <si>
    <t>91 nömrəli tam orta məktəb</t>
  </si>
  <si>
    <t>163 nömrəli tam orta məktəb</t>
  </si>
  <si>
    <t>203 nömrəli tam orta məktəb</t>
  </si>
  <si>
    <t>239 nömrəli tam orta məktəb</t>
  </si>
  <si>
    <t>Suraxanı</t>
  </si>
  <si>
    <t>76 nömrəli tam orta məktəb</t>
  </si>
  <si>
    <t>79 nömrəli tam orta məktəb</t>
  </si>
  <si>
    <t>84 nömrəli tam orta məktəb</t>
  </si>
  <si>
    <t>85 nömrəli tam orta məktəb</t>
  </si>
  <si>
    <t>87 nömrəli tam orta məktəb</t>
  </si>
  <si>
    <t>89 nömrəli tam orta məktəb</t>
  </si>
  <si>
    <t>97 nömrəli tam orta məktəb</t>
  </si>
  <si>
    <t>101 nömrəli tam orta məktəb</t>
  </si>
  <si>
    <t>104 nömrəli tam orta məktəb</t>
  </si>
  <si>
    <t>208 nömrəli tam orta məktəb</t>
  </si>
  <si>
    <t>270 nömrəli tam orta məktəb</t>
  </si>
  <si>
    <t>278 nömrəli tam orta məktəb</t>
  </si>
  <si>
    <t>279 nömrəli tam orta məktəb</t>
  </si>
  <si>
    <t>282 nömrəli tam orta məktəb</t>
  </si>
  <si>
    <t>285 nömrəli tam orta məktəb</t>
  </si>
  <si>
    <t>290 nömrəli tam orta məktəb</t>
  </si>
  <si>
    <t>140 nömrəli tam orta məktəb</t>
  </si>
  <si>
    <t>141 nömrəli tam orta məktəb</t>
  </si>
  <si>
    <t>146 nömrəli tam orta məktəb</t>
  </si>
  <si>
    <t>154 nömrəli tam orta məktəb</t>
  </si>
  <si>
    <t>65 nömrəli tam orta məktəb</t>
  </si>
  <si>
    <t>114 nömrəli tam orta məktəb</t>
  </si>
  <si>
    <t>118 nömrəli tam orta məktəb</t>
  </si>
  <si>
    <t>196 nömrəli tam orta məktəb</t>
  </si>
  <si>
    <t>226 nömrəli tam orta məktəb</t>
  </si>
  <si>
    <t>232 nömrəli tam orta məktəb</t>
  </si>
  <si>
    <t>275 nömrəli tam orta məktəb</t>
  </si>
  <si>
    <t>280 nömrəli tam orta məktəb</t>
  </si>
  <si>
    <t>281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</si>
  <si>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</si>
  <si>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</si>
  <si>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</si>
  <si>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</si>
  <si>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327 nömrəli tam orta məktəb</t>
  </si>
  <si>
    <t>Xətai</t>
  </si>
  <si>
    <t>204 nömrəli tam orta məktəb</t>
  </si>
  <si>
    <t>25 nömrəli tam orta məktəb</t>
  </si>
  <si>
    <t>17 nömrəli tam orta məktəb</t>
  </si>
  <si>
    <t>245 nömrəli tam orta məktəb</t>
  </si>
  <si>
    <t>221 nömrəli tam orta məktəb</t>
  </si>
  <si>
    <t>86 nömrəli tam orta məktəb</t>
  </si>
  <si>
    <t>59 nömrəli tam orta məktəb</t>
  </si>
  <si>
    <t>287 nömrəli 'Zəkalar' lisey</t>
  </si>
  <si>
    <t>98 nömrəli tam orta məktəb</t>
  </si>
  <si>
    <t>171 nömrəli tam orta məktəb</t>
  </si>
  <si>
    <t>264 nömrəli məktəb-lisey</t>
  </si>
  <si>
    <t>263 nömrəli tam orta məktəb</t>
  </si>
  <si>
    <t>24 nömrəli tam orta məktəb</t>
  </si>
  <si>
    <t>257 nömrəli tam orta məktəb</t>
  </si>
  <si>
    <t>191 nömrəli tam orta məktəb</t>
  </si>
  <si>
    <t>165 nömrəli tam orta məktəb</t>
  </si>
  <si>
    <t>261 nömrəli məktəb-lisey</t>
  </si>
  <si>
    <t>56 nömrəli tam orta məktəb</t>
  </si>
  <si>
    <t>249 nömrəli tam orta məktəb</t>
  </si>
  <si>
    <t>269 nömrəli tam orta məktəb</t>
  </si>
  <si>
    <t>138 nömrəli tam orta məktəb</t>
  </si>
  <si>
    <t>194 nömrəli tam orta məktəb</t>
  </si>
  <si>
    <t>95 nömrəli tam orta məktəb</t>
  </si>
  <si>
    <t>254 nömrəli tam orta məktəb</t>
  </si>
  <si>
    <t>116 nömrəli tam orta məktəb</t>
  </si>
  <si>
    <t>27 nömrəli tam orta məktəb</t>
  </si>
  <si>
    <t>29 nömrəli tam orta məktəb</t>
  </si>
  <si>
    <t>58 nömrəli tam orta məktəb</t>
  </si>
  <si>
    <t>55 nömrəli tam orta məktəb</t>
  </si>
  <si>
    <t>260 nömrəli tam orta məktəb</t>
  </si>
  <si>
    <t>48 nömrəli tam orta məktəb</t>
  </si>
  <si>
    <t>64 nömrəli tam orta məktəb</t>
  </si>
  <si>
    <t>265 nömrəli tam orta məktəb</t>
  </si>
  <si>
    <t>63 nömrəli tam orta məktəb</t>
  </si>
  <si>
    <t>Xəzər</t>
  </si>
  <si>
    <t>92 nömrəli tam orta məktəb</t>
  </si>
  <si>
    <t>122 nömrəli ümumi orta məktəb</t>
  </si>
  <si>
    <t>123 nömrəli tam orta məktəb</t>
  </si>
  <si>
    <t>149 nömrəli tam orta məktəb</t>
  </si>
  <si>
    <t>124 nömrəli tam orta məktəb</t>
  </si>
  <si>
    <t>324 nömrəli tam orta məktəb</t>
  </si>
  <si>
    <t>230 nömrəli tam orta məktəb</t>
  </si>
  <si>
    <t>326 nömrəli tam orta məktəb</t>
  </si>
  <si>
    <t>168 nömrəli tam orta məktəb</t>
  </si>
  <si>
    <t>125 nömrəli tam orta məktəb</t>
  </si>
  <si>
    <t>121 nömrəli tam orta məktəb</t>
  </si>
  <si>
    <t>186 nömrəli tam orta məktəb</t>
  </si>
  <si>
    <t>117 nömrəli tam orta məktəb</t>
  </si>
  <si>
    <t>136 nomrəli tam orta məktəb</t>
  </si>
  <si>
    <t>216 nömrəli tam orta məktəb</t>
  </si>
  <si>
    <t>183 nömrəli tam orta məktəb</t>
  </si>
  <si>
    <t>323 nömrəli tam orta məktəb</t>
  </si>
  <si>
    <t>237 nömrəli tam orta məktəb</t>
  </si>
  <si>
    <t>26 nömrəli tam orta məktəb</t>
  </si>
  <si>
    <t>181 nömrəli tam orta məktəb</t>
  </si>
  <si>
    <t>235 nömrəli tam orta məktəb</t>
  </si>
  <si>
    <t>Yasamal</t>
  </si>
  <si>
    <t>53 nömrəli tam orta məktəb</t>
  </si>
  <si>
    <t>21 nömrəli tam orta məktəb</t>
  </si>
  <si>
    <t>20 nömrəli  məktəb-lisey</t>
  </si>
  <si>
    <t>18 nömrəli tam orta məktəb</t>
  </si>
  <si>
    <t>60 nömrəli tam orta məktəb</t>
  </si>
  <si>
    <t>31 nömrəli tam orta məktəb</t>
  </si>
  <si>
    <t>38 nömrəli tam orta məktəb</t>
  </si>
  <si>
    <t>13 nömrəli tam orta məktəb</t>
  </si>
  <si>
    <t>153 nömrəli tam orta məktəb</t>
  </si>
  <si>
    <t>150 nömrəli tam orta məktəb</t>
  </si>
  <si>
    <t>158 nömrəli tam orta məktəb</t>
  </si>
  <si>
    <t>161 nömrəli tam orta məktəb</t>
  </si>
  <si>
    <t>167 nömrəli tam orta məktəb</t>
  </si>
  <si>
    <t>173 nömrəli tam orta məktəb</t>
  </si>
  <si>
    <t>175 nömrəli tam orta məktəb</t>
  </si>
  <si>
    <t>225 nömrəli tam orta məktəb</t>
  </si>
  <si>
    <t>286 nömrəli tam orta məktəb</t>
  </si>
  <si>
    <t>308 nömrəli tam orta məktəb</t>
  </si>
  <si>
    <t>46 nömrəli tam orta məktəb</t>
  </si>
  <si>
    <t>172 nömrəli tam orta məktəb</t>
  </si>
  <si>
    <t>152 nömrəli tam orta məktəb</t>
  </si>
  <si>
    <t>Təhsil müəssisəsinin UTİS kodu</t>
  </si>
  <si>
    <t>Təhsil müəsisəsinin adı</t>
  </si>
  <si>
    <t>Tədris dili</t>
  </si>
  <si>
    <t>Azərbaycan bölməsi</t>
  </si>
  <si>
    <t>Ümumi</t>
  </si>
  <si>
    <t>Rus bölməsi</t>
  </si>
  <si>
    <t>Riyaziyyat</t>
  </si>
  <si>
    <t>[0-30]</t>
  </si>
  <si>
    <t>(30-60]</t>
  </si>
  <si>
    <t>(60-80]</t>
  </si>
  <si>
    <t>(80-100]</t>
  </si>
  <si>
    <t>0 bal toplayan</t>
  </si>
  <si>
    <t>100 bal toplayan</t>
  </si>
  <si>
    <t>Şagird sayı</t>
  </si>
  <si>
    <t>Orta faiz 2 fənn üzrə</t>
  </si>
  <si>
    <t>Ümumi bal üzrə orta</t>
  </si>
  <si>
    <t>İdarə</t>
  </si>
  <si>
    <t>Azərbaycan Respublikası Təhsil Nazirliyi tərəfindən 07 iyun 2022-ci il tarixdə IV siniflər üzrə keçirilən monitorinqin nəticələri</t>
  </si>
  <si>
    <t>№</t>
  </si>
  <si>
    <t>Təhsil müəssisəsinin növü</t>
  </si>
  <si>
    <t>Təhsil müəssi-səsinin indeksi</t>
  </si>
  <si>
    <t>tam orta məktəb</t>
  </si>
  <si>
    <t>UGİM</t>
  </si>
  <si>
    <t>məktəb-lisey</t>
  </si>
  <si>
    <t>XƏQTOM</t>
  </si>
  <si>
    <t>TN</t>
  </si>
  <si>
    <t>XTM</t>
  </si>
  <si>
    <t>lisey</t>
  </si>
  <si>
    <t>MLK</t>
  </si>
  <si>
    <t>THL</t>
  </si>
  <si>
    <t>ümumi orta məktəb</t>
  </si>
  <si>
    <t>ETTOM</t>
  </si>
  <si>
    <t>189-190</t>
  </si>
  <si>
    <t>BŞTİ</t>
  </si>
  <si>
    <t>126 nömrəli tam orta məktəb</t>
  </si>
  <si>
    <t>11 nömrəli xüsusi təhsil məktəbi</t>
  </si>
  <si>
    <t>82 nömrəli xüsisi əyani - qiyabi tam orta məktəb</t>
  </si>
  <si>
    <t>291 nömrəli 'Araz'  Ekologiya liseyi</t>
  </si>
  <si>
    <t>268 nömrəli xüsusi təhsil məktəbi</t>
  </si>
  <si>
    <t>Texniki Humanitar Lisey</t>
  </si>
  <si>
    <t>5 nömrəli tam orta məktəb</t>
  </si>
  <si>
    <t>Bakı şəhəri 2 saylı xüsusi axşam tam orta məktəb (1 saylı CÇM)</t>
  </si>
  <si>
    <t>3 nömrəli xüsusi təhsil məktəbi</t>
  </si>
  <si>
    <t>277 nömrəli tam orta məktəb</t>
  </si>
  <si>
    <t>231 nömrəli tam orta məktəb</t>
  </si>
  <si>
    <t>243 nömrəli tam orta məktəb</t>
  </si>
  <si>
    <t>2 nömrəli lisey</t>
  </si>
  <si>
    <t>219 nömrəli evdə məktəb</t>
  </si>
  <si>
    <t>Klassik Gimnaziya</t>
  </si>
  <si>
    <t>Bakı şəhəri 103 saylı xüsusi əyani-qiyabi tam orta məktəb məktəb (7 saylı CÇM)</t>
  </si>
  <si>
    <t>147 nömrəli texniki humanitar lisey</t>
  </si>
  <si>
    <t>252 nömrəli məktəb-lisey</t>
  </si>
  <si>
    <t>20 saylı  xüsusi axşam məktəb</t>
  </si>
  <si>
    <t>33 nömrəli tam orta məktəb</t>
  </si>
  <si>
    <t>119 nömrəli tam orta məktəb</t>
  </si>
  <si>
    <t>120 nömrəli tam orta məktəb</t>
  </si>
  <si>
    <t>156 nömrəli tam orta məktəb</t>
  </si>
  <si>
    <t>185 nömrəli tam orta məktəb</t>
  </si>
  <si>
    <t>206 nömrəli tam orta məktəb</t>
  </si>
  <si>
    <t>218 nömrəli tam orta məktəb</t>
  </si>
  <si>
    <t>234 nömrəli tam orta məktəb</t>
  </si>
  <si>
    <t>241 nömrəli tam orta məktəb</t>
  </si>
  <si>
    <t>256 nömrəli tam orta məktəb</t>
  </si>
  <si>
    <t>262 nömrəli tam orta məktəb</t>
  </si>
  <si>
    <t>322 nömrəli tam orta məktəb</t>
  </si>
  <si>
    <t>176 nömrəli tam orta məktəb</t>
  </si>
  <si>
    <t>52 nömrəli tam orta məktəb</t>
  </si>
  <si>
    <t>Bölmələr</t>
  </si>
  <si>
    <t>Azərbaycan</t>
  </si>
  <si>
    <t>Azərbaycan ,Rus</t>
  </si>
  <si>
    <t/>
  </si>
  <si>
    <t>Rus</t>
  </si>
  <si>
    <t>BŞTİ üzrə reytinq</t>
  </si>
  <si>
    <t>Rayon qzrə reytinq</t>
  </si>
  <si>
    <t>Yerlərin sayı</t>
  </si>
  <si>
    <t>Diqqət!
Aşağıdakı qırmızı xanaya təhsil müəssisəsinin UTİS kodunu daxil edin.</t>
  </si>
  <si>
    <t>Rayon üzrə reytinq</t>
  </si>
  <si>
    <t>Azərbaycan Respublikası Təhsil Nazirliyi</t>
  </si>
  <si>
    <t>Azərbaycan Respublikası Təhsil Nazirliyi tərəfindən 7 iyun 2022-ci il tarixdə IV siniflər üzrə keçirilən monitorinqin nəticələri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</si>
</sst>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Palatino Linotype"/>
      <family val="1"/>
    </font>
    <font>
      <sz val="11"/>
      <color theme="1"/>
      <name val="Palatino Linotype"/>
      <family val="1"/>
    </font>
    <font>
      <sz val="8"/>
      <color theme="1"/>
      <name val="Palatino Linotype"/>
      <family val="1"/>
    </font>
    <font>
      <b/>
      <sz val="16"/>
      <color theme="1"/>
      <name val="Palatino Linotype"/>
      <family val="1"/>
    </font>
    <font>
      <b/>
      <sz val="11"/>
      <color theme="1"/>
      <name val="Palatino Linotype"/>
      <family val="1"/>
    </font>
    <font>
      <sz val="12"/>
      <color rgb="FF000000"/>
      <name val="Palatino Linotype"/>
      <family val="1"/>
    </font>
    <font>
      <b/>
      <sz val="16"/>
      <color rgb="FF000000"/>
      <name val="Palatino Linotype"/>
      <family val="1"/>
    </font>
    <font>
      <sz val="8"/>
      <color rgb="FF000000"/>
      <name val="Palatino Linotype"/>
      <family val="1"/>
    </font>
    <font>
      <b/>
      <sz val="12"/>
      <color rgb="FF000000"/>
      <name val="Palatino Linotype"/>
      <family val="1"/>
    </font>
    <font>
      <sz val="14"/>
      <color rgb="FF000000"/>
      <name val="Palatino Linotype"/>
      <family val="1"/>
    </font>
    <font>
      <b/>
      <sz val="18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6" fillId="4" borderId="1" xfId="0" applyFont="1" applyFill="1" applyBorder="1" applyAlignment="1" applyProtection="1">
      <alignment horizontal="center" vertical="center"/>
      <protection hidden="1"/>
    </xf>
    <xf numFmtId="0" fontId="6" fillId="4" borderId="2" xfId="0" applyFont="1" applyFill="1" applyBorder="1" applyAlignment="1" applyProtection="1">
      <alignment horizontal="center" vertical="center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0" fontId="9" fillId="0" borderId="1" xfId="0" applyFont="1" applyFill="1" applyBorder="1" applyAlignment="1" applyProtection="1">
      <alignment horizontal="center" vertical="center"/>
      <protection hidden="1"/>
    </xf>
    <xf numFmtId="2" fontId="7" fillId="0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 wrapText="1"/>
      <protection hidden="1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0" fontId="10" fillId="5" borderId="1" xfId="0" applyFont="1" applyFill="1" applyBorder="1" applyAlignment="1" applyProtection="1">
      <alignment horizontal="center" vertical="center"/>
      <protection hidden="1"/>
    </xf>
    <xf numFmtId="2" fontId="10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10" fillId="0" borderId="1" xfId="0" applyFont="1" applyFill="1" applyBorder="1" applyAlignment="1" applyProtection="1">
      <alignment horizontal="center" vertical="center" wrapText="1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2" fontId="3" fillId="0" borderId="0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7" fillId="0" borderId="1" xfId="0" applyFont="1" applyFill="1" applyBorder="1" applyAlignment="1" applyProtection="1">
      <alignment horizontal="center" vertical="center" wrapText="1"/>
      <protection hidden="1"/>
    </xf>
    <xf numFmtId="0" fontId="9" fillId="4" borderId="1" xfId="0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 wrapText="1"/>
      <protection hidden="1"/>
    </xf>
    <xf numFmtId="0" fontId="4" fillId="4" borderId="1" xfId="0" applyFont="1" applyFill="1" applyBorder="1" applyAlignment="1" applyProtection="1">
      <alignment horizontal="center" vertical="center" wrapText="1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12" fillId="2" borderId="0" xfId="1" applyFont="1" applyFill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2" fillId="4" borderId="5" xfId="0" applyFont="1" applyFill="1" applyBorder="1" applyAlignment="1" applyProtection="1">
      <alignment horizontal="center" vertical="center" wrapText="1"/>
      <protection hidden="1"/>
    </xf>
    <xf numFmtId="0" fontId="2" fillId="4" borderId="6" xfId="0" applyFont="1" applyFill="1" applyBorder="1" applyAlignment="1" applyProtection="1">
      <alignment horizontal="center" vertical="center" wrapText="1"/>
      <protection hidden="1"/>
    </xf>
    <xf numFmtId="0" fontId="2" fillId="4" borderId="7" xfId="0" applyFont="1" applyFill="1" applyBorder="1" applyAlignment="1" applyProtection="1">
      <alignment horizontal="center" vertical="center" wrapText="1"/>
      <protection hidden="1"/>
    </xf>
    <xf numFmtId="0" fontId="2" fillId="4" borderId="8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" vertical="center" wrapText="1"/>
      <protection hidden="1"/>
    </xf>
    <xf numFmtId="0" fontId="2" fillId="4" borderId="4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8" fillId="4" borderId="1" xfId="0" applyFont="1" applyFill="1" applyBorder="1" applyAlignment="1" applyProtection="1">
      <alignment horizontal="center" vertical="center"/>
      <protection hidden="1"/>
    </xf>
    <xf numFmtId="0" fontId="9" fillId="4" borderId="1" xfId="0" applyFont="1" applyFill="1" applyBorder="1" applyAlignment="1" applyProtection="1">
      <alignment horizontal="center" vertical="center" wrapText="1"/>
      <protection hidden="1"/>
    </xf>
    <xf numFmtId="0" fontId="4" fillId="4" borderId="1" xfId="0" applyFont="1" applyFill="1" applyBorder="1" applyAlignment="1" applyProtection="1">
      <alignment horizontal="center" vertical="center" wrapText="1"/>
      <protection hidden="1"/>
    </xf>
    <xf numFmtId="0" fontId="11" fillId="0" borderId="1" xfId="0" applyFont="1" applyFill="1" applyBorder="1" applyAlignment="1" applyProtection="1">
      <alignment horizontal="center" vertical="center" wrapText="1"/>
      <protection hidden="1"/>
    </xf>
    <xf numFmtId="0" fontId="10" fillId="5" borderId="1" xfId="0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" xfId="1"/>
  </cellStyles>
  <dxfs count="1">
    <dxf>
      <font>
        <u val="none"/>
      </font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mruColors>
      <color rgb="FFCCFFFF"/>
      <color rgb="FFFFFF99"/>
      <color rgb="FFFFFFCC"/>
      <color rgb="FF813DB9"/>
      <color rgb="FF33CCCC"/>
      <color rgb="FF66FF66"/>
      <color rgb="FFFFFFF3"/>
      <color rgb="FFFFFFE1"/>
      <color rgb="FF00CC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(Azərbaycan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402-456B-A260-FECDE7D07CD9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A402-456B-A260-FECDE7D07CD9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A402-456B-A260-FECDE7D07CD9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A402-456B-A260-FECDE7D07C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'IV monitorinq nəticələri-2022'!$N$3:$Q$3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'IV monitorinq nəticələri-2022'!$N$4:$Q$4</c:f>
              <c:numCache>
                <c:formatCode>General</c:formatCode>
                <c:ptCount val="4"/>
                <c:pt idx="0">
                  <c:v>31</c:v>
                </c:pt>
                <c:pt idx="1">
                  <c:v>69</c:v>
                </c:pt>
                <c:pt idx="2">
                  <c:v>37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02-456B-A260-FECDE7D07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</a:t>
            </a:r>
            <a:r>
              <a:rPr lang="en-US" sz="1800" b="1"/>
              <a:t>dris</a:t>
            </a:r>
            <a:r>
              <a:rPr lang="en-US" sz="1800" b="1" baseline="0"/>
              <a:t> dili</a:t>
            </a:r>
            <a:endParaRPr lang="az-Latn-AZ" sz="1800" b="1" baseline="0"/>
          </a:p>
          <a:p>
            <a:pPr>
              <a:defRPr/>
            </a:pPr>
            <a:r>
              <a:rPr lang="az-Latn-AZ" sz="1400" i="1" baseline="0"/>
              <a:t>(Azərbaycan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E788-40F9-A8B3-0E8BCC2ADEA6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E788-40F9-A8B3-0E8BCC2ADEA6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E788-40F9-A8B3-0E8BCC2ADEA6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E788-40F9-A8B3-0E8BCC2ADE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'IV monitorinq nəticələri-2022'!$H$3:$K$3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'IV monitorinq nəticələri-2022'!$H$4:$K$4</c:f>
              <c:numCache>
                <c:formatCode>General</c:formatCode>
                <c:ptCount val="4"/>
                <c:pt idx="0">
                  <c:v>19</c:v>
                </c:pt>
                <c:pt idx="1">
                  <c:v>65</c:v>
                </c:pt>
                <c:pt idx="2">
                  <c:v>33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88-40F9-A8B3-0E8BCC2AD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</a:t>
            </a:r>
            <a:r>
              <a:rPr lang="en-US" sz="1800" b="1"/>
              <a:t>dris</a:t>
            </a:r>
            <a:r>
              <a:rPr lang="en-US" sz="1800" b="1" baseline="0"/>
              <a:t> dili</a:t>
            </a:r>
            <a:endParaRPr lang="az-Latn-AZ" sz="1800" b="1" baseline="0"/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96A-4D9B-A21A-AFF6FF98F4F1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96A-4D9B-A21A-AFF6FF98F4F1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496A-4D9B-A21A-AFF6FF98F4F1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496A-4D9B-A21A-AFF6FF98F4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'IV monitorinq nəticələri-2022'!$H$3:$K$3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'IV monitorinq nəticələri-2022'!$H$5:$K$5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6A-4D9B-A21A-AFF6FF98F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009D-40C0-8310-E9E37DFACAFA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009D-40C0-8310-E9E37DFACAFA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009D-40C0-8310-E9E37DFACAFA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009D-40C0-8310-E9E37DFACA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'IV monitorinq nəticələri-2022'!$N$3:$Q$3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'IV monitorinq nəticələri-2022'!$N$5:$Q$5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9D-40C0-8310-E9E37DFAC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</a:t>
            </a:r>
            <a:r>
              <a:rPr lang="en-US" sz="1800" b="1"/>
              <a:t>dris</a:t>
            </a:r>
            <a:r>
              <a:rPr lang="en-US" sz="1800" b="1" baseline="0"/>
              <a:t> dili</a:t>
            </a:r>
            <a:endParaRPr lang="az-Latn-AZ" sz="1800" b="1" baseline="0"/>
          </a:p>
          <a:p>
            <a:pPr>
              <a:defRPr/>
            </a:pPr>
            <a:r>
              <a:rPr lang="az-Latn-AZ" sz="1400" i="1" baseline="0"/>
              <a:t>(Ümumi)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E7BE-4837-A451-21D66EA91963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E7BE-4837-A451-21D66EA91963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E7BE-4837-A451-21D66EA91963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E7BE-4837-A451-21D66EA919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'IV monitorinq nəticələri-2022'!$H$3:$K$3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'IV monitorinq nəticələri-2022'!$H$6:$K$6</c:f>
              <c:numCache>
                <c:formatCode>General</c:formatCode>
                <c:ptCount val="4"/>
                <c:pt idx="0">
                  <c:v>19</c:v>
                </c:pt>
                <c:pt idx="1">
                  <c:v>65</c:v>
                </c:pt>
                <c:pt idx="2">
                  <c:v>33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BE-4837-A451-21D66EA91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(Ümumi)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0CA2-4DC9-857F-9D6C84240115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0CA2-4DC9-857F-9D6C84240115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0CA2-4DC9-857F-9D6C84240115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0CA2-4DC9-857F-9D6C842401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'IV monitorinq nəticələri-2022'!$N$3:$Q$3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'IV monitorinq nəticələri-2022'!$N$6:$Q$6</c:f>
              <c:numCache>
                <c:formatCode>General</c:formatCode>
                <c:ptCount val="4"/>
                <c:pt idx="0">
                  <c:v>31</c:v>
                </c:pt>
                <c:pt idx="1">
                  <c:v>69</c:v>
                </c:pt>
                <c:pt idx="2">
                  <c:v>37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CA2-4DC9-857F-9D6C84240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Fənlər</a:t>
            </a:r>
            <a:r>
              <a:rPr lang="az-Latn-AZ" sz="1600" b="1" baseline="0"/>
              <a:t> üzrə bal göstəriciləri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'IV monitorinq nəticələri-2022'!$B$4</c:f>
              <c:strCache>
                <c:ptCount val="1"/>
                <c:pt idx="0">
                  <c:v>Azərbaycan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'IV monitorinq nəticələri-2022'!$C$2:$G$2</c15:sqref>
                  </c15:fullRef>
                </c:ext>
              </c:extLst>
              <c:f>'IV monitorinq nəticələri-2022'!$D$2:$F$2</c:f>
              <c:strCache>
                <c:ptCount val="3"/>
                <c:pt idx="0">
                  <c:v>Tədris dili</c:v>
                </c:pt>
                <c:pt idx="1">
                  <c:v>Riyaziyyat</c:v>
                </c:pt>
                <c:pt idx="2">
                  <c:v>Orta faiz 2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'IV monitorinq nəticələri-2022'!$C$4:$G$4</c15:sqref>
                  </c15:fullRef>
                </c:ext>
              </c:extLst>
              <c:f>'IV monitorinq nəticələri-2022'!$D$4:$F$4</c:f>
              <c:numCache>
                <c:formatCode>0.00</c:formatCode>
                <c:ptCount val="3"/>
                <c:pt idx="0">
                  <c:v>60.178610738255003</c:v>
                </c:pt>
                <c:pt idx="1">
                  <c:v>51.207724832214765</c:v>
                </c:pt>
                <c:pt idx="2">
                  <c:v>55.693512304250561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9F-45FF-B3F1-D2FD616F0C24}"/>
            </c:ext>
          </c:extLst>
        </c:ser>
        <c:ser>
          <c:idx val="2"/>
          <c:order val="2"/>
          <c:tx>
            <c:strRef>
              <c:f>'IV monitorinq nəticələri-2022'!$B$5</c:f>
              <c:strCache>
                <c:ptCount val="1"/>
                <c:pt idx="0">
                  <c:v>Rus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'IV monitorinq nəticələri-2022'!$C$2:$G$2</c15:sqref>
                  </c15:fullRef>
                </c:ext>
              </c:extLst>
              <c:f>'IV monitorinq nəticələri-2022'!$D$2:$F$2</c:f>
              <c:strCache>
                <c:ptCount val="3"/>
                <c:pt idx="0">
                  <c:v>Tədris dili</c:v>
                </c:pt>
                <c:pt idx="1">
                  <c:v>Riyaziyyat</c:v>
                </c:pt>
                <c:pt idx="2">
                  <c:v>Orta faiz 2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'IV monitorinq nəticələri-2022'!$C$5:$G$5</c15:sqref>
                  </c15:fullRef>
                </c:ext>
              </c:extLst>
              <c:f>'IV monitorinq nəticələri-2022'!$D$5:$F$5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9F-45FF-B3F1-D2FD616F0C24}"/>
            </c:ext>
          </c:extLst>
        </c:ser>
        <c:ser>
          <c:idx val="3"/>
          <c:order val="3"/>
          <c:tx>
            <c:strRef>
              <c:f>'IV monitorinq nəticələri-2022'!$B$6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FFFF99">
                    <a:shade val="30000"/>
                    <a:satMod val="115000"/>
                  </a:srgbClr>
                </a:gs>
                <a:gs pos="50000">
                  <a:srgbClr val="FFFF99">
                    <a:shade val="67500"/>
                    <a:satMod val="115000"/>
                  </a:srgbClr>
                </a:gs>
                <a:gs pos="100000">
                  <a:srgbClr val="FFFF99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'IV monitorinq nəticələri-2022'!$C$2:$G$2</c15:sqref>
                  </c15:fullRef>
                </c:ext>
              </c:extLst>
              <c:f>'IV monitorinq nəticələri-2022'!$D$2:$F$2</c:f>
              <c:strCache>
                <c:ptCount val="3"/>
                <c:pt idx="0">
                  <c:v>Tədris dili</c:v>
                </c:pt>
                <c:pt idx="1">
                  <c:v>Riyaziyyat</c:v>
                </c:pt>
                <c:pt idx="2">
                  <c:v>Orta faiz 2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'IV monitorinq nəticələri-2022'!$C$6:$G$6</c15:sqref>
                  </c15:fullRef>
                </c:ext>
              </c:extLst>
              <c:f>'IV monitorinq nəticələri-2022'!$D$6:$F$6</c:f>
              <c:numCache>
                <c:formatCode>0.00</c:formatCode>
                <c:ptCount val="3"/>
                <c:pt idx="0">
                  <c:v>60.178610738255003</c:v>
                </c:pt>
                <c:pt idx="1">
                  <c:v>51.207724832214765</c:v>
                </c:pt>
                <c:pt idx="2">
                  <c:v>55.693512304250561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9F-45FF-B3F1-D2FD616F0C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9854704"/>
        <c:axId val="5321189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'IV monitorinq nəticələri-2022'!$B$3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'IV monitorinq nəticələri-2022'!$C$2:$G$2</c15:sqref>
                        </c15:fullRef>
                        <c15:formulaRef>
                          <c15:sqref>'IV monitorinq nəticələri-2022'!$D$2:$F$2</c15:sqref>
                        </c15:formulaRef>
                      </c:ext>
                    </c:extLst>
                    <c:strCache>
                      <c:ptCount val="3"/>
                      <c:pt idx="0">
                        <c:v>Tədris dili</c:v>
                      </c:pt>
                      <c:pt idx="1">
                        <c:v>Riyaziyyat</c:v>
                      </c:pt>
                      <c:pt idx="2">
                        <c:v>Orta faiz 2 fənn üzrə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'IV monitorinq nəticələri-2022'!$C$3:$G$3</c15:sqref>
                        </c15:fullRef>
                        <c15:formulaRef>
                          <c15:sqref>'IV monitorinq nəticələri-2022'!$D$3:$F$3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89F-45FF-B3F1-D2FD616F0C24}"/>
                  </c:ext>
                </c:extLst>
              </c15:ser>
            </c15:filteredBarSeries>
          </c:ext>
        </c:extLst>
      </c:barChart>
      <c:catAx>
        <c:axId val="69985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532118976"/>
        <c:crosses val="autoZero"/>
        <c:auto val="1"/>
        <c:lblAlgn val="ctr"/>
        <c:lblOffset val="100"/>
        <c:noMultiLvlLbl val="0"/>
      </c:catAx>
      <c:valAx>
        <c:axId val="532118976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69985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>
                <a:solidFill>
                  <a:schemeClr val="bg1"/>
                </a:solidFill>
              </a:rPr>
              <a:t>"0-30"</a:t>
            </a:r>
            <a:r>
              <a:rPr lang="az-Latn-AZ" b="1" baseline="0">
                <a:solidFill>
                  <a:schemeClr val="bg1"/>
                </a:solidFill>
              </a:rPr>
              <a:t> bal toplamış şagirdlərin sayı</a:t>
            </a:r>
            <a:endParaRPr lang="en-US"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Azərbaycan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'IV monitorinq nəticələri-2022'!$H$2:$S$3</c15:sqref>
                  </c15:fullRef>
                </c:ext>
              </c:extLst>
              <c:f>('IV monitorinq nəticələri-2022'!$H$2:$H$3,'IV monitorinq nəticələri-2022'!$N$2:$N$3)</c:f>
              <c:multiLvlStrCache>
                <c:ptCount val="2"/>
                <c:lvl>
                  <c:pt idx="0">
                    <c:v>[0-30]</c:v>
                  </c:pt>
                  <c:pt idx="1">
                    <c:v>[0-30]</c:v>
                  </c:pt>
                </c:lvl>
                <c:lvl>
                  <c:pt idx="0">
                    <c:v>Tədris dili</c:v>
                  </c:pt>
                  <c:pt idx="1">
                    <c:v>Riyaziyyat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'IV monitorinq nəticələri-2022'!$H$4:$S$4</c15:sqref>
                  </c15:fullRef>
                </c:ext>
              </c:extLst>
              <c:f>('IV monitorinq nəticələri-2022'!$H$4,'IV monitorinq nəticələri-2022'!$N$4)</c:f>
              <c:numCache>
                <c:formatCode>General</c:formatCode>
                <c:ptCount val="2"/>
                <c:pt idx="0">
                  <c:v>19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A-424E-975B-6BB9EF5345B3}"/>
            </c:ext>
          </c:extLst>
        </c:ser>
        <c:ser>
          <c:idx val="1"/>
          <c:order val="1"/>
          <c:tx>
            <c:v>Rus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'IV monitorinq nəticələri-2022'!$H$2:$S$3</c15:sqref>
                  </c15:fullRef>
                </c:ext>
              </c:extLst>
              <c:f>('IV monitorinq nəticələri-2022'!$H$2:$H$3,'IV monitorinq nəticələri-2022'!$N$2:$N$3)</c:f>
              <c:multiLvlStrCache>
                <c:ptCount val="2"/>
                <c:lvl>
                  <c:pt idx="0">
                    <c:v>[0-30]</c:v>
                  </c:pt>
                  <c:pt idx="1">
                    <c:v>[0-30]</c:v>
                  </c:pt>
                </c:lvl>
                <c:lvl>
                  <c:pt idx="0">
                    <c:v>Tədris dili</c:v>
                  </c:pt>
                  <c:pt idx="1">
                    <c:v>Riyaziyyat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'IV monitorinq nəticələri-2022'!$H$5:$S$5</c15:sqref>
                  </c15:fullRef>
                </c:ext>
              </c:extLst>
              <c:f>('IV monitorinq nəticələri-2022'!$H$5,'IV monitorinq nəticələri-2022'!$N$5)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A-424E-975B-6BB9EF5345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810157808"/>
        <c:axId val="81015531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'IV monitorinq nəticələri-2022'!$H$2:$S$3</c15:sqref>
                        </c15:fullRef>
                        <c15:formulaRef>
                          <c15:sqref>('IV monitorinq nəticələri-2022'!$H$2:$H$3,'IV monitorinq nəticələri-2022'!$N$2:$N$3)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[0-30]</c:v>
                        </c:pt>
                        <c:pt idx="1">
                          <c:v>[0-30]</c:v>
                        </c:pt>
                      </c:lvl>
                      <c:lvl>
                        <c:pt idx="0">
                          <c:v>Tədris dili</c:v>
                        </c:pt>
                        <c:pt idx="1">
                          <c:v>Riyaziyyat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'IV monitorinq nəticələri-2022'!$H$6:$S$6</c15:sqref>
                        </c15:fullRef>
                        <c15:formulaRef>
                          <c15:sqref>('IV monitorinq nəticələri-2022'!$H$6,'IV monitorinq nəticələri-2022'!$N$6)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19</c:v>
                      </c:pt>
                      <c:pt idx="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7BA-424E-975B-6BB9EF5345B3}"/>
                  </c:ext>
                </c:extLst>
              </c15:ser>
            </c15:filteredBarSeries>
          </c:ext>
        </c:extLst>
      </c:barChart>
      <c:catAx>
        <c:axId val="81015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10155312"/>
        <c:crosses val="autoZero"/>
        <c:auto val="1"/>
        <c:lblAlgn val="ctr"/>
        <c:lblOffset val="100"/>
        <c:noMultiLvlLbl val="0"/>
      </c:catAx>
      <c:valAx>
        <c:axId val="810155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015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b="1"/>
              <a:t>"0"</a:t>
            </a:r>
            <a:r>
              <a:rPr lang="az-Latn-AZ" b="1" baseline="0"/>
              <a:t> bal və "100" bal toplamış şagirdlərin sayı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Azərbaycan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'IV monitorinq nəticələri-2022'!$H$2:$S$3</c15:sqref>
                  </c15:fullRef>
                </c:ext>
              </c:extLst>
              <c:f>'IV monitorinq nəticələri-2022'!$L$2:$S$3</c:f>
              <c:multiLvlStrCache>
                <c:ptCount val="4"/>
                <c:lvl>
                  <c:pt idx="0">
                    <c:v>0 bal toplayan</c:v>
                  </c:pt>
                  <c:pt idx="1">
                    <c:v>100 bal toplayan</c:v>
                  </c:pt>
                  <c:pt idx="2">
                    <c:v>0 bal toplayan</c:v>
                  </c:pt>
                  <c:pt idx="3">
                    <c:v>100 bal toplayan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'IV monitorinq nəticələri-2022'!$H$4:$S$4</c15:sqref>
                  </c15:fullRef>
                </c:ext>
              </c:extLst>
              <c:f>('IV monitorinq nəticələri-2022'!$L$4:$M$4,'IV monitorinq nəticələri-2022'!$R$4:$S$4)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A-4D40-B4A5-C9F35FD87E39}"/>
            </c:ext>
          </c:extLst>
        </c:ser>
        <c:ser>
          <c:idx val="1"/>
          <c:order val="1"/>
          <c:tx>
            <c:v>Rus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'IV monitorinq nəticələri-2022'!$H$2:$S$3</c15:sqref>
                  </c15:fullRef>
                </c:ext>
              </c:extLst>
              <c:f>'IV monitorinq nəticələri-2022'!$L$2:$S$3</c:f>
              <c:multiLvlStrCache>
                <c:ptCount val="4"/>
                <c:lvl>
                  <c:pt idx="0">
                    <c:v>0 bal toplayan</c:v>
                  </c:pt>
                  <c:pt idx="1">
                    <c:v>100 bal toplayan</c:v>
                  </c:pt>
                  <c:pt idx="2">
                    <c:v>0 bal toplayan</c:v>
                  </c:pt>
                  <c:pt idx="3">
                    <c:v>100 bal toplayan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'IV monitorinq nəticələri-2022'!$H$5:$S$5</c15:sqref>
                  </c15:fullRef>
                </c:ext>
              </c:extLst>
              <c:f>('IV monitorinq nəticələri-2022'!$L$5:$M$5,'IV monitorinq nəticələri-2022'!$R$5:$S$5)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A-4D40-B4A5-C9F35FD87E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810157808"/>
        <c:axId val="810155312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'IV monitorinq nəticələri-2022'!$H$2:$S$3</c15:sqref>
                        </c15:fullRef>
                        <c15:formulaRef>
                          <c15:sqref>'IV monitorinq nəticələri-2022'!$L$2:$S$3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0 bal toplayan</c:v>
                        </c:pt>
                        <c:pt idx="1">
                          <c:v>100 bal toplayan</c:v>
                        </c:pt>
                        <c:pt idx="2">
                          <c:v>0 bal toplayan</c:v>
                        </c:pt>
                        <c:pt idx="3">
                          <c:v>100 bal toplayan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'IV monitorinq nəticələri-2022'!$H$6:$S$6</c15:sqref>
                        </c15:fullRef>
                        <c15:formulaRef>
                          <c15:sqref>('IV monitorinq nəticələri-2022'!$L$6:$M$6,'IV monitorinq nəticələri-2022'!$R$6:$S$6)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1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52A-4D40-B4A5-C9F35FD87E39}"/>
                  </c:ext>
                </c:extLst>
              </c15:ser>
            </c15:filteredBarSeries>
          </c:ext>
        </c:extLst>
      </c:barChart>
      <c:catAx>
        <c:axId val="81015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810155312"/>
        <c:crosses val="autoZero"/>
        <c:auto val="1"/>
        <c:lblAlgn val="ctr"/>
        <c:lblOffset val="100"/>
        <c:noMultiLvlLbl val="0"/>
      </c:catAx>
      <c:valAx>
        <c:axId val="810155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1015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600" b="1"/>
              <a:t>Reytinq</a:t>
            </a:r>
            <a:r>
              <a:rPr lang="az-Latn-AZ" sz="1600" b="1" baseline="0"/>
              <a:t> göstəriciləri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Təhsil müəssisəsinin yeri</c:v>
          </c:tx>
          <c:spPr>
            <a:gradFill flip="none" rotWithShape="1">
              <a:gsLst>
                <a:gs pos="0">
                  <a:schemeClr val="bg2">
                    <a:lumMod val="50000"/>
                    <a:shade val="30000"/>
                    <a:satMod val="115000"/>
                  </a:schemeClr>
                </a:gs>
                <a:gs pos="50000">
                  <a:schemeClr val="bg2">
                    <a:lumMod val="50000"/>
                    <a:shade val="67500"/>
                    <a:satMod val="115000"/>
                  </a:schemeClr>
                </a:gs>
                <a:gs pos="100000">
                  <a:schemeClr val="bg2">
                    <a:lumMod val="50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'IV monitorinq nəticələri-2022'!$T$2:$Y$3</c:f>
              <c:multiLvlStrCache>
                <c:ptCount val="6"/>
                <c:lvl>
                  <c:pt idx="0">
                    <c:v>Azərbaycan bölməsi</c:v>
                  </c:pt>
                  <c:pt idx="1">
                    <c:v>Rus bölməsi</c:v>
                  </c:pt>
                  <c:pt idx="2">
                    <c:v>Ümumi</c:v>
                  </c:pt>
                  <c:pt idx="3">
                    <c:v>Azərbaycan bölməsi</c:v>
                  </c:pt>
                  <c:pt idx="4">
                    <c:v>Rus bölməsi</c:v>
                  </c:pt>
                  <c:pt idx="5">
                    <c:v>Ümumi</c:v>
                  </c:pt>
                </c:lvl>
                <c:lvl>
                  <c:pt idx="0">
                    <c:v>BŞTİ üzrə reytinq</c:v>
                  </c:pt>
                  <c:pt idx="3">
                    <c:v>Rayon üzrə reytinq</c:v>
                  </c:pt>
                </c:lvl>
              </c:multiLvlStrCache>
            </c:multiLvlStrRef>
          </c:cat>
          <c:val>
            <c:numRef>
              <c:f>'IV monitorinq nəticələri-2022'!$T$4:$Y$4</c:f>
              <c:numCache>
                <c:formatCode>General</c:formatCode>
                <c:ptCount val="6"/>
                <c:pt idx="0">
                  <c:v>208</c:v>
                </c:pt>
                <c:pt idx="1">
                  <c:v>0</c:v>
                </c:pt>
                <c:pt idx="2">
                  <c:v>207</c:v>
                </c:pt>
                <c:pt idx="3">
                  <c:v>27</c:v>
                </c:pt>
                <c:pt idx="4">
                  <c:v>0</c:v>
                </c:pt>
                <c:pt idx="5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4-48F6-B411-85E150902523}"/>
            </c:ext>
          </c:extLst>
        </c:ser>
        <c:ser>
          <c:idx val="3"/>
          <c:order val="3"/>
          <c:tx>
            <c:v>Ümumi yerlərin sayı</c:v>
          </c:tx>
          <c:spPr>
            <a:gradFill flip="none" rotWithShape="1">
              <a:gsLst>
                <a:gs pos="0">
                  <a:srgbClr val="0070C0">
                    <a:shade val="30000"/>
                    <a:satMod val="115000"/>
                  </a:srgbClr>
                </a:gs>
                <a:gs pos="50000">
                  <a:srgbClr val="0070C0">
                    <a:shade val="67500"/>
                    <a:satMod val="115000"/>
                  </a:srgbClr>
                </a:gs>
                <a:gs pos="100000">
                  <a:srgbClr val="0070C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'IV monitorinq nəticələri-2022'!$T$2:$Y$3</c:f>
              <c:multiLvlStrCache>
                <c:ptCount val="6"/>
                <c:lvl>
                  <c:pt idx="0">
                    <c:v>Azərbaycan bölməsi</c:v>
                  </c:pt>
                  <c:pt idx="1">
                    <c:v>Rus bölməsi</c:v>
                  </c:pt>
                  <c:pt idx="2">
                    <c:v>Ümumi</c:v>
                  </c:pt>
                  <c:pt idx="3">
                    <c:v>Azərbaycan bölməsi</c:v>
                  </c:pt>
                  <c:pt idx="4">
                    <c:v>Rus bölməsi</c:v>
                  </c:pt>
                  <c:pt idx="5">
                    <c:v>Ümumi</c:v>
                  </c:pt>
                </c:lvl>
                <c:lvl>
                  <c:pt idx="0">
                    <c:v>BŞTİ üzrə reytinq</c:v>
                  </c:pt>
                  <c:pt idx="3">
                    <c:v>Rayon üzrə reytinq</c:v>
                  </c:pt>
                </c:lvl>
              </c:multiLvlStrCache>
            </c:multiLvlStrRef>
          </c:cat>
          <c:val>
            <c:numRef>
              <c:f>'IV monitorinq nəticələri-2022'!$T$7:$Y$7</c:f>
              <c:numCache>
                <c:formatCode>General</c:formatCode>
                <c:ptCount val="6"/>
                <c:pt idx="0">
                  <c:v>313</c:v>
                </c:pt>
                <c:pt idx="1">
                  <c:v>124</c:v>
                </c:pt>
                <c:pt idx="2">
                  <c:v>313</c:v>
                </c:pt>
                <c:pt idx="3">
                  <c:v>34</c:v>
                </c:pt>
                <c:pt idx="4">
                  <c:v>18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B4-48F6-B411-85E1509025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647854416"/>
        <c:axId val="64786356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'IV monitorinq nəticələri-2022'!$T$2:$Y$3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Azərbaycan bölməsi</c:v>
                        </c:pt>
                        <c:pt idx="1">
                          <c:v>Rus bölməsi</c:v>
                        </c:pt>
                        <c:pt idx="2">
                          <c:v>Ümumi</c:v>
                        </c:pt>
                        <c:pt idx="3">
                          <c:v>Azərbaycan bölməsi</c:v>
                        </c:pt>
                        <c:pt idx="4">
                          <c:v>Rus bölməsi</c:v>
                        </c:pt>
                        <c:pt idx="5">
                          <c:v>Ümumi</c:v>
                        </c:pt>
                      </c:lvl>
                      <c:lvl>
                        <c:pt idx="0">
                          <c:v>BŞTİ üzrə reytinq</c:v>
                        </c:pt>
                        <c:pt idx="3">
                          <c:v>Rayon üzrə reytinq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'IV monitorinq nəticələri-2022'!$T$5:$Y$5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F1B4-48F6-B411-85E150902523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95000"/>
                              <a:lumOff val="5000"/>
                            </a:schemeClr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'IV monitorinq nəticələri-2022'!$T$2:$Y$3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Azərbaycan bölməsi</c:v>
                        </c:pt>
                        <c:pt idx="1">
                          <c:v>Rus bölməsi</c:v>
                        </c:pt>
                        <c:pt idx="2">
                          <c:v>Ümumi</c:v>
                        </c:pt>
                        <c:pt idx="3">
                          <c:v>Azərbaycan bölməsi</c:v>
                        </c:pt>
                        <c:pt idx="4">
                          <c:v>Rus bölməsi</c:v>
                        </c:pt>
                        <c:pt idx="5">
                          <c:v>Ümumi</c:v>
                        </c:pt>
                      </c:lvl>
                      <c:lvl>
                        <c:pt idx="0">
                          <c:v>BŞTİ üzrə reytinq</c:v>
                        </c:pt>
                        <c:pt idx="3">
                          <c:v>Rayon üzrə reytinq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'IV monitorinq nəticələri-2022'!$T$6:$Y$6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B4-48F6-B411-85E150902523}"/>
                  </c:ext>
                </c:extLst>
              </c15:ser>
            </c15:filteredBarSeries>
          </c:ext>
        </c:extLst>
      </c:barChart>
      <c:catAx>
        <c:axId val="64785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647863568"/>
        <c:crosses val="autoZero"/>
        <c:auto val="1"/>
        <c:lblAlgn val="ctr"/>
        <c:lblOffset val="100"/>
        <c:noMultiLvlLbl val="0"/>
      </c:catAx>
      <c:valAx>
        <c:axId val="647863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785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101600</xdr:colOff>
      <xdr:row>8</xdr:row>
      <xdr:rowOff>0</xdr:rowOff>
    </xdr:from>
    <xdr:to>
      <xdr:col>18</xdr:col>
      <xdr:colOff>419100</xdr:colOff>
      <xdr:row>29</xdr:row>
      <xdr:rowOff>6350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101600</xdr:colOff>
      <xdr:row>8</xdr:row>
      <xdr:rowOff>0</xdr:rowOff>
    </xdr:from>
    <xdr:to>
      <xdr:col>12</xdr:col>
      <xdr:colOff>419100</xdr:colOff>
      <xdr:row>29</xdr:row>
      <xdr:rowOff>6350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101600</xdr:colOff>
      <xdr:row>30</xdr:row>
      <xdr:rowOff>0</xdr:rowOff>
    </xdr:from>
    <xdr:to>
      <xdr:col>12</xdr:col>
      <xdr:colOff>419100</xdr:colOff>
      <xdr:row>51</xdr:row>
      <xdr:rowOff>6350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101600</xdr:colOff>
      <xdr:row>30</xdr:row>
      <xdr:rowOff>0</xdr:rowOff>
    </xdr:from>
    <xdr:to>
      <xdr:col>18</xdr:col>
      <xdr:colOff>419100</xdr:colOff>
      <xdr:row>51</xdr:row>
      <xdr:rowOff>6350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101600</xdr:colOff>
      <xdr:row>52</xdr:row>
      <xdr:rowOff>0</xdr:rowOff>
    </xdr:from>
    <xdr:to>
      <xdr:col>12</xdr:col>
      <xdr:colOff>419100</xdr:colOff>
      <xdr:row>73</xdr:row>
      <xdr:rowOff>6350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101600</xdr:colOff>
      <xdr:row>52</xdr:row>
      <xdr:rowOff>0</xdr:rowOff>
    </xdr:from>
    <xdr:to>
      <xdr:col>18</xdr:col>
      <xdr:colOff>419100</xdr:colOff>
      <xdr:row>73</xdr:row>
      <xdr:rowOff>6350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19</xdr:col>
      <xdr:colOff>190500</xdr:colOff>
      <xdr:row>8</xdr:row>
      <xdr:rowOff>88900</xdr:rowOff>
    </xdr:from>
    <xdr:to>
      <xdr:col>24</xdr:col>
      <xdr:colOff>469900</xdr:colOff>
      <xdr:row>28</xdr:row>
      <xdr:rowOff>42176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68300" y="3479800"/>
          <a:ext cx="3327400" cy="4024896"/>
        </a:xfrm>
        <a:prstGeom prst="rect">
          <a:avLst/>
        </a:prstGeom>
      </xdr:spPr>
    </xdr:pic>
    <xdr:clientData/>
  </xdr:twoCellAnchor>
  <xdr:twoCellAnchor>
    <xdr:from>
      <xdr:col>0</xdr:col>
      <xdr:colOff>165100</xdr:colOff>
      <xdr:row>8</xdr:row>
      <xdr:rowOff>0</xdr:rowOff>
    </xdr:from>
    <xdr:to>
      <xdr:col>6</xdr:col>
      <xdr:colOff>424180</xdr:colOff>
      <xdr:row>23</xdr:row>
      <xdr:rowOff>152400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165100</xdr:colOff>
      <xdr:row>24</xdr:row>
      <xdr:rowOff>76200</xdr:rowOff>
    </xdr:from>
    <xdr:to>
      <xdr:col>6</xdr:col>
      <xdr:colOff>424180</xdr:colOff>
      <xdr:row>40</xdr:row>
      <xdr:rowOff>25400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165100</xdr:colOff>
      <xdr:row>40</xdr:row>
      <xdr:rowOff>139700</xdr:rowOff>
    </xdr:from>
    <xdr:to>
      <xdr:col>6</xdr:col>
      <xdr:colOff>424180</xdr:colOff>
      <xdr:row>56</xdr:row>
      <xdr:rowOff>88900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165100</xdr:colOff>
      <xdr:row>57</xdr:row>
      <xdr:rowOff>38100</xdr:rowOff>
    </xdr:from>
    <xdr:to>
      <xdr:col>6</xdr:col>
      <xdr:colOff>424180</xdr:colOff>
      <xdr:row>72</xdr:row>
      <xdr:rowOff>190500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Z349"/>
  <sheetViews>
    <sheetView showGridLines="0" tabSelected="1" zoomScale="60" zoomScaleNormal="60" workbookViewId="0">
      <selection sqref="A1:Y73"/>
    </sheetView>
  </sheetViews>
  <sheetFormatPr defaultColWidth="8.85546875" defaultRowHeight="16.5" x14ac:dyDescent="0.25"/>
  <cols>
    <col min="1" max="1" width="27.7109375" style="18" customWidth="1"/>
    <col min="2" max="3" width="8.85546875" style="18"/>
    <col min="4" max="7" width="8.85546875" style="18" customWidth="1"/>
    <col min="8" max="52" width="8.85546875" style="18"/>
    <col min="53" max="53" width="0" style="18" hidden="1" customWidth="1"/>
    <col min="54" max="55" width="8.85546875" style="18" hidden="1" customWidth="1"/>
    <col min="56" max="56" width="13.28515625" style="18" hidden="1" customWidth="1"/>
    <col min="57" max="57" width="16.28515625" style="18" hidden="1" customWidth="1"/>
    <col min="58" max="58" width="48.28515625" style="18" hidden="1" customWidth="1"/>
    <col min="59" max="59" width="10" style="18" hidden="1" customWidth="1"/>
    <col min="60" max="60" width="23.85546875" style="18" hidden="1" customWidth="1"/>
    <col min="61" max="61" width="20.140625" style="18" hidden="1" customWidth="1"/>
    <col min="62" max="124" width="8.85546875" style="18" hidden="1" customWidth="1"/>
    <col min="125" max="125" width="17.28515625" style="18" hidden="1" customWidth="1"/>
    <col min="126" max="130" width="8.85546875" style="18" hidden="1" customWidth="1"/>
    <col min="131" max="131" width="8.85546875" style="18" customWidth="1"/>
    <col min="132" max="16384" width="8.85546875" style="18"/>
  </cols>
  <sheetData>
    <row r="1" spans="1:125" ht="38.450000000000003" customHeight="1" x14ac:dyDescent="0.25">
      <c r="A1" s="39" t="s">
        <v>374</v>
      </c>
      <c r="B1" s="40" t="s">
        <v>377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BB1" s="31" t="s">
        <v>316</v>
      </c>
      <c r="BC1" s="32"/>
      <c r="BD1" s="32"/>
      <c r="BE1" s="32"/>
      <c r="BF1" s="32"/>
      <c r="BG1" s="32"/>
      <c r="BH1" s="32"/>
      <c r="BI1" s="33"/>
      <c r="BJ1" s="28" t="s">
        <v>302</v>
      </c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 t="s">
        <v>304</v>
      </c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 t="s">
        <v>303</v>
      </c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</row>
    <row r="2" spans="1:125" ht="25.15" customHeight="1" x14ac:dyDescent="0.25">
      <c r="A2" s="39"/>
      <c r="B2" s="30" t="s">
        <v>366</v>
      </c>
      <c r="C2" s="41" t="s">
        <v>312</v>
      </c>
      <c r="D2" s="41" t="s">
        <v>301</v>
      </c>
      <c r="E2" s="41" t="s">
        <v>305</v>
      </c>
      <c r="F2" s="42" t="s">
        <v>313</v>
      </c>
      <c r="G2" s="42" t="s">
        <v>314</v>
      </c>
      <c r="H2" s="29" t="s">
        <v>301</v>
      </c>
      <c r="I2" s="29"/>
      <c r="J2" s="29"/>
      <c r="K2" s="29"/>
      <c r="L2" s="29"/>
      <c r="M2" s="29"/>
      <c r="N2" s="29" t="s">
        <v>305</v>
      </c>
      <c r="O2" s="29"/>
      <c r="P2" s="29"/>
      <c r="Q2" s="29"/>
      <c r="R2" s="29"/>
      <c r="S2" s="29"/>
      <c r="T2" s="29" t="s">
        <v>371</v>
      </c>
      <c r="U2" s="29"/>
      <c r="V2" s="29"/>
      <c r="W2" s="29" t="s">
        <v>375</v>
      </c>
      <c r="X2" s="29"/>
      <c r="Y2" s="29"/>
      <c r="BB2" s="34"/>
      <c r="BC2" s="35"/>
      <c r="BD2" s="35"/>
      <c r="BE2" s="35"/>
      <c r="BF2" s="35"/>
      <c r="BG2" s="35"/>
      <c r="BH2" s="35"/>
      <c r="BI2" s="36"/>
      <c r="BJ2" s="29" t="s">
        <v>312</v>
      </c>
      <c r="BK2" s="29" t="s">
        <v>301</v>
      </c>
      <c r="BL2" s="29" t="s">
        <v>305</v>
      </c>
      <c r="BM2" s="29" t="s">
        <v>313</v>
      </c>
      <c r="BN2" s="29" t="s">
        <v>314</v>
      </c>
      <c r="BO2" s="30" t="s">
        <v>301</v>
      </c>
      <c r="BP2" s="30"/>
      <c r="BQ2" s="30"/>
      <c r="BR2" s="30"/>
      <c r="BS2" s="30"/>
      <c r="BT2" s="30"/>
      <c r="BU2" s="30" t="s">
        <v>305</v>
      </c>
      <c r="BV2" s="30"/>
      <c r="BW2" s="30"/>
      <c r="BX2" s="30"/>
      <c r="BY2" s="30"/>
      <c r="BZ2" s="30"/>
      <c r="CA2" s="29" t="s">
        <v>312</v>
      </c>
      <c r="CB2" s="29" t="s">
        <v>301</v>
      </c>
      <c r="CC2" s="29" t="s">
        <v>305</v>
      </c>
      <c r="CD2" s="29" t="s">
        <v>313</v>
      </c>
      <c r="CE2" s="29" t="s">
        <v>314</v>
      </c>
      <c r="CF2" s="30" t="s">
        <v>301</v>
      </c>
      <c r="CG2" s="30"/>
      <c r="CH2" s="30"/>
      <c r="CI2" s="30"/>
      <c r="CJ2" s="30"/>
      <c r="CK2" s="30"/>
      <c r="CL2" s="30" t="s">
        <v>305</v>
      </c>
      <c r="CM2" s="30"/>
      <c r="CN2" s="30"/>
      <c r="CO2" s="30"/>
      <c r="CP2" s="30"/>
      <c r="CQ2" s="30"/>
      <c r="CR2" s="29" t="s">
        <v>312</v>
      </c>
      <c r="CS2" s="29" t="s">
        <v>301</v>
      </c>
      <c r="CT2" s="29" t="s">
        <v>305</v>
      </c>
      <c r="CU2" s="29" t="s">
        <v>313</v>
      </c>
      <c r="CV2" s="29" t="s">
        <v>314</v>
      </c>
      <c r="CW2" s="30" t="s">
        <v>301</v>
      </c>
      <c r="CX2" s="30"/>
      <c r="CY2" s="30"/>
      <c r="CZ2" s="30"/>
      <c r="DA2" s="30"/>
      <c r="DB2" s="30"/>
      <c r="DC2" s="30" t="s">
        <v>305</v>
      </c>
      <c r="DD2" s="30"/>
      <c r="DE2" s="30"/>
      <c r="DF2" s="30"/>
      <c r="DG2" s="30"/>
      <c r="DH2" s="30"/>
      <c r="DI2" s="38" t="s">
        <v>371</v>
      </c>
      <c r="DJ2" s="37"/>
      <c r="DK2" s="37"/>
      <c r="DL2" s="37" t="s">
        <v>372</v>
      </c>
      <c r="DM2" s="37"/>
      <c r="DN2" s="37"/>
      <c r="DO2" s="37" t="s">
        <v>373</v>
      </c>
      <c r="DP2" s="37"/>
      <c r="DQ2" s="37"/>
      <c r="DR2" s="37" t="s">
        <v>373</v>
      </c>
      <c r="DS2" s="37"/>
      <c r="DT2" s="37"/>
    </row>
    <row r="3" spans="1:125" ht="67.900000000000006" customHeight="1" x14ac:dyDescent="0.25">
      <c r="A3" s="39"/>
      <c r="B3" s="30"/>
      <c r="C3" s="41"/>
      <c r="D3" s="41"/>
      <c r="E3" s="41"/>
      <c r="F3" s="42"/>
      <c r="G3" s="42"/>
      <c r="H3" s="21" t="s">
        <v>306</v>
      </c>
      <c r="I3" s="21" t="s">
        <v>307</v>
      </c>
      <c r="J3" s="21" t="s">
        <v>308</v>
      </c>
      <c r="K3" s="21" t="s">
        <v>309</v>
      </c>
      <c r="L3" s="21" t="s">
        <v>310</v>
      </c>
      <c r="M3" s="21" t="s">
        <v>311</v>
      </c>
      <c r="N3" s="21" t="s">
        <v>306</v>
      </c>
      <c r="O3" s="21" t="s">
        <v>307</v>
      </c>
      <c r="P3" s="21" t="s">
        <v>308</v>
      </c>
      <c r="Q3" s="21" t="s">
        <v>309</v>
      </c>
      <c r="R3" s="21" t="s">
        <v>310</v>
      </c>
      <c r="S3" s="21" t="s">
        <v>311</v>
      </c>
      <c r="T3" s="20" t="s">
        <v>302</v>
      </c>
      <c r="U3" s="20" t="s">
        <v>304</v>
      </c>
      <c r="V3" s="20" t="s">
        <v>303</v>
      </c>
      <c r="W3" s="20" t="s">
        <v>302</v>
      </c>
      <c r="X3" s="20" t="s">
        <v>304</v>
      </c>
      <c r="Y3" s="20" t="s">
        <v>303</v>
      </c>
      <c r="BB3" s="1" t="s">
        <v>317</v>
      </c>
      <c r="BC3" s="2" t="s">
        <v>315</v>
      </c>
      <c r="BD3" s="2" t="s">
        <v>0</v>
      </c>
      <c r="BE3" s="4" t="s">
        <v>299</v>
      </c>
      <c r="BF3" s="3" t="s">
        <v>300</v>
      </c>
      <c r="BG3" s="4" t="s">
        <v>319</v>
      </c>
      <c r="BH3" s="4" t="s">
        <v>318</v>
      </c>
      <c r="BI3" s="4" t="s">
        <v>366</v>
      </c>
      <c r="BJ3" s="29"/>
      <c r="BK3" s="29"/>
      <c r="BL3" s="29"/>
      <c r="BM3" s="29"/>
      <c r="BN3" s="29"/>
      <c r="BO3" s="22" t="s">
        <v>306</v>
      </c>
      <c r="BP3" s="22" t="s">
        <v>307</v>
      </c>
      <c r="BQ3" s="22" t="s">
        <v>308</v>
      </c>
      <c r="BR3" s="22" t="s">
        <v>309</v>
      </c>
      <c r="BS3" s="22" t="s">
        <v>310</v>
      </c>
      <c r="BT3" s="22" t="s">
        <v>311</v>
      </c>
      <c r="BU3" s="22" t="s">
        <v>306</v>
      </c>
      <c r="BV3" s="22" t="s">
        <v>307</v>
      </c>
      <c r="BW3" s="22" t="s">
        <v>308</v>
      </c>
      <c r="BX3" s="22" t="s">
        <v>309</v>
      </c>
      <c r="BY3" s="22" t="s">
        <v>310</v>
      </c>
      <c r="BZ3" s="22" t="s">
        <v>311</v>
      </c>
      <c r="CA3" s="29"/>
      <c r="CB3" s="29"/>
      <c r="CC3" s="29"/>
      <c r="CD3" s="29"/>
      <c r="CE3" s="29"/>
      <c r="CF3" s="22" t="s">
        <v>306</v>
      </c>
      <c r="CG3" s="22" t="s">
        <v>307</v>
      </c>
      <c r="CH3" s="22" t="s">
        <v>308</v>
      </c>
      <c r="CI3" s="22" t="s">
        <v>309</v>
      </c>
      <c r="CJ3" s="22" t="s">
        <v>310</v>
      </c>
      <c r="CK3" s="22" t="s">
        <v>311</v>
      </c>
      <c r="CL3" s="22" t="s">
        <v>306</v>
      </c>
      <c r="CM3" s="22" t="s">
        <v>307</v>
      </c>
      <c r="CN3" s="22" t="s">
        <v>308</v>
      </c>
      <c r="CO3" s="22" t="s">
        <v>309</v>
      </c>
      <c r="CP3" s="22" t="s">
        <v>310</v>
      </c>
      <c r="CQ3" s="22" t="s">
        <v>311</v>
      </c>
      <c r="CR3" s="29"/>
      <c r="CS3" s="29"/>
      <c r="CT3" s="29"/>
      <c r="CU3" s="29"/>
      <c r="CV3" s="29"/>
      <c r="CW3" s="22" t="s">
        <v>306</v>
      </c>
      <c r="CX3" s="22" t="s">
        <v>307</v>
      </c>
      <c r="CY3" s="22" t="s">
        <v>308</v>
      </c>
      <c r="CZ3" s="22" t="s">
        <v>309</v>
      </c>
      <c r="DA3" s="22" t="s">
        <v>310</v>
      </c>
      <c r="DB3" s="22" t="s">
        <v>311</v>
      </c>
      <c r="DC3" s="22" t="s">
        <v>306</v>
      </c>
      <c r="DD3" s="22" t="s">
        <v>307</v>
      </c>
      <c r="DE3" s="22" t="s">
        <v>308</v>
      </c>
      <c r="DF3" s="22" t="s">
        <v>309</v>
      </c>
      <c r="DG3" s="22" t="s">
        <v>310</v>
      </c>
      <c r="DH3" s="22" t="s">
        <v>311</v>
      </c>
      <c r="DI3" s="18" t="s">
        <v>367</v>
      </c>
      <c r="DJ3" s="18" t="s">
        <v>370</v>
      </c>
      <c r="DK3" s="18" t="s">
        <v>303</v>
      </c>
      <c r="DL3" s="18" t="s">
        <v>367</v>
      </c>
      <c r="DM3" s="18" t="s">
        <v>370</v>
      </c>
      <c r="DN3" s="18" t="s">
        <v>303</v>
      </c>
    </row>
    <row r="4" spans="1:125" ht="30" customHeight="1" x14ac:dyDescent="0.25">
      <c r="A4" s="27">
        <v>233824167</v>
      </c>
      <c r="B4" s="5" t="s">
        <v>367</v>
      </c>
      <c r="C4" s="19">
        <f>VLOOKUP($A$4,$BE:$DT,6,0)</f>
        <v>149</v>
      </c>
      <c r="D4" s="6">
        <f>VLOOKUP($A$4,$BE:$DT,7,0)</f>
        <v>60.178610738255003</v>
      </c>
      <c r="E4" s="6">
        <f>VLOOKUP($A$4,$BE:$DT,8,0)</f>
        <v>51.207724832214765</v>
      </c>
      <c r="F4" s="6">
        <f>VLOOKUP($A$4,$BE:$DT,9,0)</f>
        <v>55.693512304250561</v>
      </c>
      <c r="G4" s="6">
        <f>VLOOKUP($A$4,$BE:$DT,10,0)</f>
        <v>111.3863355704697</v>
      </c>
      <c r="H4" s="19">
        <f>VLOOKUP($A$4,$BE:$DT,11,0)</f>
        <v>19</v>
      </c>
      <c r="I4" s="19">
        <f>VLOOKUP($A$4,$BE:$DT,12,0)</f>
        <v>65</v>
      </c>
      <c r="J4" s="19">
        <f>VLOOKUP($A$4,$BE:$DT,13,0)</f>
        <v>33</v>
      </c>
      <c r="K4" s="19">
        <f>VLOOKUP($A$4,$BE:$DT,14,0)</f>
        <v>32</v>
      </c>
      <c r="L4" s="19">
        <f>VLOOKUP($A$4,$BE:$DT,15,0)</f>
        <v>0</v>
      </c>
      <c r="M4" s="19">
        <f>VLOOKUP($A$4,$BE:$DT,16,0)</f>
        <v>1</v>
      </c>
      <c r="N4" s="19">
        <f>VLOOKUP($A$4,$BE:$DT,17,0)</f>
        <v>31</v>
      </c>
      <c r="O4" s="19">
        <f>VLOOKUP($A$4,$BE:$DT,18,0)</f>
        <v>69</v>
      </c>
      <c r="P4" s="19">
        <f>VLOOKUP($A$4,$BE:$DT,19,0)</f>
        <v>37</v>
      </c>
      <c r="Q4" s="19">
        <f>VLOOKUP($A$4,$BE:$DT,20,0)</f>
        <v>12</v>
      </c>
      <c r="R4" s="19">
        <f>VLOOKUP($A$4,$BE:$DT,21,0)</f>
        <v>0</v>
      </c>
      <c r="S4" s="19">
        <f>VLOOKUP($A$4,$BE:$DT,22,0)</f>
        <v>0</v>
      </c>
      <c r="T4" s="45">
        <f>VLOOKUP($A$4,$BE:$FC,57,0)</f>
        <v>208</v>
      </c>
      <c r="U4" s="45" t="str">
        <f>VLOOKUP($A$4,$BE:$FC,58,0)</f>
        <v/>
      </c>
      <c r="V4" s="45">
        <f>VLOOKUP($A$4,$BE:$FC,59,0)</f>
        <v>207</v>
      </c>
      <c r="W4" s="45">
        <f>VLOOKUP($A$4,$BE:$FC,60,0)</f>
        <v>27</v>
      </c>
      <c r="X4" s="45" t="str">
        <f>VLOOKUP($A$4,$BE:$FC,61,0)</f>
        <v/>
      </c>
      <c r="Y4" s="45">
        <f>VLOOKUP($A$4,$BE:$FC,62,0)</f>
        <v>27</v>
      </c>
      <c r="BB4" s="7">
        <v>1</v>
      </c>
      <c r="BC4" s="7" t="s">
        <v>332</v>
      </c>
      <c r="BD4" s="23" t="s">
        <v>2</v>
      </c>
      <c r="BE4" s="26">
        <v>321554343</v>
      </c>
      <c r="BF4" s="24" t="s">
        <v>24</v>
      </c>
      <c r="BG4" s="8">
        <v>3</v>
      </c>
      <c r="BH4" s="8" t="s">
        <v>320</v>
      </c>
      <c r="BI4" s="8" t="s">
        <v>367</v>
      </c>
      <c r="BJ4" s="7">
        <v>103</v>
      </c>
      <c r="BK4" s="9">
        <v>72.297398058252426</v>
      </c>
      <c r="BL4" s="9">
        <v>65.501291262135908</v>
      </c>
      <c r="BM4" s="9">
        <v>68.899676375404525</v>
      </c>
      <c r="BN4" s="9">
        <v>137.79868932038829</v>
      </c>
      <c r="BO4" s="7">
        <v>1</v>
      </c>
      <c r="BP4" s="7">
        <v>26</v>
      </c>
      <c r="BQ4" s="7">
        <v>41</v>
      </c>
      <c r="BR4" s="7">
        <v>35</v>
      </c>
      <c r="BS4" s="7">
        <v>0</v>
      </c>
      <c r="BT4" s="7">
        <v>2</v>
      </c>
      <c r="BU4" s="7">
        <v>5</v>
      </c>
      <c r="BV4" s="7">
        <v>36</v>
      </c>
      <c r="BW4" s="7">
        <v>45</v>
      </c>
      <c r="BX4" s="7">
        <v>17</v>
      </c>
      <c r="BY4" s="7">
        <v>0</v>
      </c>
      <c r="BZ4" s="7">
        <v>0</v>
      </c>
      <c r="CA4" s="7"/>
      <c r="CB4" s="9"/>
      <c r="CC4" s="9"/>
      <c r="CD4" s="9"/>
      <c r="CE4" s="9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>
        <v>103</v>
      </c>
      <c r="CS4" s="9">
        <v>72.297398058252426</v>
      </c>
      <c r="CT4" s="9">
        <v>65.501291262135908</v>
      </c>
      <c r="CU4" s="9">
        <v>68.899676375404525</v>
      </c>
      <c r="CV4" s="9">
        <v>137.79868932038829</v>
      </c>
      <c r="CW4" s="7">
        <v>1</v>
      </c>
      <c r="CX4" s="7">
        <v>26</v>
      </c>
      <c r="CY4" s="7">
        <v>41</v>
      </c>
      <c r="CZ4" s="7">
        <v>35</v>
      </c>
      <c r="DA4" s="7">
        <v>0</v>
      </c>
      <c r="DB4" s="7">
        <v>2</v>
      </c>
      <c r="DC4" s="7">
        <v>5</v>
      </c>
      <c r="DD4" s="7">
        <v>36</v>
      </c>
      <c r="DE4" s="7">
        <v>45</v>
      </c>
      <c r="DF4" s="7">
        <v>17</v>
      </c>
      <c r="DG4" s="7">
        <v>0</v>
      </c>
      <c r="DH4" s="7">
        <v>0</v>
      </c>
      <c r="DI4" s="18">
        <f>IF(BN4="","",(RANK(BN4,$BN$4:$BN$326)))</f>
        <v>20</v>
      </c>
      <c r="DJ4" s="18" t="str">
        <f>IF(CE4="","",(RANK(CE4,$CE$4:$CE$326)))</f>
        <v/>
      </c>
      <c r="DK4" s="18">
        <f>IF(CV4="","",(RANK(CV4,$CV$4:$CV$326)))</f>
        <v>12</v>
      </c>
      <c r="DL4" s="18">
        <f t="shared" ref="DL4:DL37" si="0">IF(BN4="","",(RANK(BN4,$BN$4:$BN$37)))</f>
        <v>3</v>
      </c>
      <c r="DM4" s="18" t="str">
        <f t="shared" ref="DM4:DM37" si="1">IF(CE4="","",(RANK(CE4,$CE$4:$CE$37)))</f>
        <v/>
      </c>
      <c r="DN4" s="18">
        <f t="shared" ref="DN4:DN37" si="2">IF(CV4="","",(RANK(CV4,$CV$4:$CV$37)))</f>
        <v>2</v>
      </c>
      <c r="DO4" s="18">
        <v>313</v>
      </c>
      <c r="DP4" s="18">
        <v>124</v>
      </c>
      <c r="DQ4" s="18">
        <v>313</v>
      </c>
      <c r="DR4" s="18">
        <v>34</v>
      </c>
      <c r="DS4" s="18">
        <v>18</v>
      </c>
      <c r="DT4" s="18">
        <v>34</v>
      </c>
      <c r="DU4" s="18" t="s">
        <v>2</v>
      </c>
    </row>
    <row r="5" spans="1:125" ht="30" customHeight="1" x14ac:dyDescent="0.25">
      <c r="A5" s="43" t="str">
        <f>VLOOKUP(A4,BE:BF,2,0)</f>
        <v>99 nömrəli tam orta məktəb</v>
      </c>
      <c r="B5" s="5" t="s">
        <v>370</v>
      </c>
      <c r="C5" s="19">
        <f>VLOOKUP($A$4,$BE:$DT,23,0)</f>
        <v>0</v>
      </c>
      <c r="D5" s="6">
        <f>VLOOKUP($A$4,$BE:$DT,24,0)</f>
        <v>0</v>
      </c>
      <c r="E5" s="6">
        <f>VLOOKUP($A$4,$BE:$DT,25,0)</f>
        <v>0</v>
      </c>
      <c r="F5" s="6">
        <f>VLOOKUP($A$4,$BE:$DT,26,0)</f>
        <v>0</v>
      </c>
      <c r="G5" s="6">
        <f>VLOOKUP($A$4,$BE:$DT,27,0)</f>
        <v>0</v>
      </c>
      <c r="H5" s="19">
        <f>VLOOKUP($A$4,$BE:$DT,28,0)</f>
        <v>0</v>
      </c>
      <c r="I5" s="19">
        <f>VLOOKUP($A$4,$BE:$DT,29,0)</f>
        <v>0</v>
      </c>
      <c r="J5" s="19">
        <f>VLOOKUP($A$4,$BE:$DT,30,0)</f>
        <v>0</v>
      </c>
      <c r="K5" s="19">
        <f>VLOOKUP($A$4,$BE:$DT,31,0)</f>
        <v>0</v>
      </c>
      <c r="L5" s="19">
        <f>VLOOKUP($A$4,$BE:$DT,32,0)</f>
        <v>0</v>
      </c>
      <c r="M5" s="19">
        <f>VLOOKUP($A$4,$BE:$DT,33,0)</f>
        <v>0</v>
      </c>
      <c r="N5" s="19">
        <f>VLOOKUP($A$4,$BE:$DT,34,0)</f>
        <v>0</v>
      </c>
      <c r="O5" s="19">
        <f>VLOOKUP($A$4,$BE:$DT,35,0)</f>
        <v>0</v>
      </c>
      <c r="P5" s="19">
        <f>VLOOKUP($A$4,$BE:$DT,36,0)</f>
        <v>0</v>
      </c>
      <c r="Q5" s="19">
        <f>VLOOKUP($A$4,$BE:$DT,37,0)</f>
        <v>0</v>
      </c>
      <c r="R5" s="19">
        <f>VLOOKUP($A$4,$BE:$DT,38,0)</f>
        <v>0</v>
      </c>
      <c r="S5" s="19">
        <f>VLOOKUP($A$4,$BE:$DT,39,0)</f>
        <v>0</v>
      </c>
      <c r="T5" s="45"/>
      <c r="U5" s="45"/>
      <c r="V5" s="45"/>
      <c r="W5" s="45"/>
      <c r="X5" s="45"/>
      <c r="Y5" s="45"/>
      <c r="BB5" s="7">
        <v>2</v>
      </c>
      <c r="BC5" s="7" t="s">
        <v>332</v>
      </c>
      <c r="BD5" s="23" t="s">
        <v>2</v>
      </c>
      <c r="BE5" s="26"/>
      <c r="BF5" s="25"/>
      <c r="BG5" s="7">
        <v>6</v>
      </c>
      <c r="BH5" s="7" t="s">
        <v>321</v>
      </c>
      <c r="BI5" s="7"/>
      <c r="BJ5" s="7"/>
      <c r="BK5" s="9"/>
      <c r="BL5" s="9"/>
      <c r="BM5" s="9"/>
      <c r="BN5" s="9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9"/>
      <c r="CC5" s="9"/>
      <c r="CD5" s="9"/>
      <c r="CE5" s="9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9"/>
      <c r="CT5" s="9"/>
      <c r="CU5" s="9"/>
      <c r="CV5" s="9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18" t="str">
        <f t="shared" ref="DI5:DI68" si="3">IF(BN5="","",(RANK(BN5,$BN$4:$BN$326)))</f>
        <v/>
      </c>
      <c r="DJ5" s="18" t="str">
        <f t="shared" ref="DJ5:DJ68" si="4">IF(CE5="","",(RANK(CE5,$CE$4:$CE$326)))</f>
        <v/>
      </c>
      <c r="DK5" s="18" t="str">
        <f t="shared" ref="DK5:DK68" si="5">IF(CV5="","",(RANK(CV5,$CV$4:$CV$326)))</f>
        <v/>
      </c>
      <c r="DL5" s="18" t="str">
        <f t="shared" si="0"/>
        <v/>
      </c>
      <c r="DM5" s="18" t="str">
        <f t="shared" si="1"/>
        <v/>
      </c>
      <c r="DN5" s="18" t="str">
        <f t="shared" si="2"/>
        <v/>
      </c>
      <c r="DO5" s="18">
        <v>313</v>
      </c>
      <c r="DP5" s="18">
        <v>124</v>
      </c>
      <c r="DQ5" s="18">
        <v>313</v>
      </c>
      <c r="DR5" s="18">
        <v>34</v>
      </c>
      <c r="DS5" s="18">
        <v>18</v>
      </c>
      <c r="DT5" s="18">
        <v>34</v>
      </c>
      <c r="DU5" s="18" t="s">
        <v>2</v>
      </c>
    </row>
    <row r="6" spans="1:125" ht="30" customHeight="1" x14ac:dyDescent="0.25">
      <c r="A6" s="43"/>
      <c r="B6" s="5" t="s">
        <v>303</v>
      </c>
      <c r="C6" s="19">
        <f>VLOOKUP($A$4,$BE:$DT,40,0)</f>
        <v>149</v>
      </c>
      <c r="D6" s="6">
        <f>VLOOKUP($A$4,$BE:$DT,41,0)</f>
        <v>60.178610738255003</v>
      </c>
      <c r="E6" s="6">
        <f>VLOOKUP($A$4,$BE:$DT,42,0)</f>
        <v>51.207724832214765</v>
      </c>
      <c r="F6" s="6">
        <f>VLOOKUP($A$4,$BE:$DT,43,0)</f>
        <v>55.693512304250561</v>
      </c>
      <c r="G6" s="6">
        <f>VLOOKUP($A$4,$BE:$DT,44,0)</f>
        <v>111.3863355704697</v>
      </c>
      <c r="H6" s="19">
        <f>VLOOKUP($A$4,$BE:$DT,45,0)</f>
        <v>19</v>
      </c>
      <c r="I6" s="19">
        <f>VLOOKUP($A$4,$BE:$DT,46,0)</f>
        <v>65</v>
      </c>
      <c r="J6" s="19">
        <f>VLOOKUP($A$4,$BE:$DT,47,0)</f>
        <v>33</v>
      </c>
      <c r="K6" s="19">
        <f>VLOOKUP($A$4,$BE:$DT,48,0)</f>
        <v>32</v>
      </c>
      <c r="L6" s="19">
        <f>VLOOKUP($A$4,$BE:$DT,49,0)</f>
        <v>0</v>
      </c>
      <c r="M6" s="19">
        <f>VLOOKUP($A$4,$BE:$DT,50,0)</f>
        <v>1</v>
      </c>
      <c r="N6" s="19">
        <f>VLOOKUP($A$4,$BE:$DT,51,0)</f>
        <v>31</v>
      </c>
      <c r="O6" s="19">
        <f>VLOOKUP($A$4,$BE:$DT,52,0)</f>
        <v>69</v>
      </c>
      <c r="P6" s="19">
        <f>VLOOKUP($A$4,$BE:$DT,53,0)</f>
        <v>37</v>
      </c>
      <c r="Q6" s="19">
        <f>VLOOKUP($A$4,$BE:$DT,54,0)</f>
        <v>12</v>
      </c>
      <c r="R6" s="19">
        <f>VLOOKUP($A$4,$BE:$DT,55,0)</f>
        <v>0</v>
      </c>
      <c r="S6" s="19">
        <f>VLOOKUP($A$4,$BE:$DT,56,0)</f>
        <v>0</v>
      </c>
      <c r="T6" s="45"/>
      <c r="U6" s="45"/>
      <c r="V6" s="45"/>
      <c r="W6" s="45"/>
      <c r="X6" s="45"/>
      <c r="Y6" s="45"/>
      <c r="BB6" s="7">
        <v>3</v>
      </c>
      <c r="BC6" s="7" t="s">
        <v>332</v>
      </c>
      <c r="BD6" s="23" t="s">
        <v>2</v>
      </c>
      <c r="BE6" s="26">
        <v>747538865</v>
      </c>
      <c r="BF6" s="25" t="s">
        <v>35</v>
      </c>
      <c r="BG6" s="7">
        <v>30</v>
      </c>
      <c r="BH6" s="7" t="s">
        <v>320</v>
      </c>
      <c r="BI6" s="7" t="s">
        <v>368</v>
      </c>
      <c r="BJ6" s="7">
        <v>50</v>
      </c>
      <c r="BK6" s="9">
        <v>61.932980000000036</v>
      </c>
      <c r="BL6" s="9">
        <v>59.266340000000035</v>
      </c>
      <c r="BM6" s="9">
        <v>60.600000000000009</v>
      </c>
      <c r="BN6" s="9">
        <v>121.19932</v>
      </c>
      <c r="BO6" s="7">
        <v>2</v>
      </c>
      <c r="BP6" s="7">
        <v>22</v>
      </c>
      <c r="BQ6" s="7">
        <v>18</v>
      </c>
      <c r="BR6" s="7">
        <v>8</v>
      </c>
      <c r="BS6" s="7">
        <v>0</v>
      </c>
      <c r="BT6" s="7">
        <v>0</v>
      </c>
      <c r="BU6" s="7">
        <v>5</v>
      </c>
      <c r="BV6" s="7">
        <v>25</v>
      </c>
      <c r="BW6" s="7">
        <v>12</v>
      </c>
      <c r="BX6" s="7">
        <v>8</v>
      </c>
      <c r="BY6" s="7">
        <v>0</v>
      </c>
      <c r="BZ6" s="7">
        <v>0</v>
      </c>
      <c r="CA6" s="7">
        <v>29</v>
      </c>
      <c r="CB6" s="9">
        <v>61.034103448275864</v>
      </c>
      <c r="CC6" s="9">
        <v>55.861758620689642</v>
      </c>
      <c r="CD6" s="9">
        <v>58.448275862068968</v>
      </c>
      <c r="CE6" s="9">
        <v>116.89586206896551</v>
      </c>
      <c r="CF6" s="7">
        <v>3</v>
      </c>
      <c r="CG6" s="7">
        <v>10</v>
      </c>
      <c r="CH6" s="7">
        <v>13</v>
      </c>
      <c r="CI6" s="7">
        <v>3</v>
      </c>
      <c r="CJ6" s="7">
        <v>0</v>
      </c>
      <c r="CK6" s="7">
        <v>0</v>
      </c>
      <c r="CL6" s="7">
        <v>2</v>
      </c>
      <c r="CM6" s="7">
        <v>19</v>
      </c>
      <c r="CN6" s="7">
        <v>7</v>
      </c>
      <c r="CO6" s="7">
        <v>1</v>
      </c>
      <c r="CP6" s="7">
        <v>0</v>
      </c>
      <c r="CQ6" s="7">
        <v>0</v>
      </c>
      <c r="CR6" s="7">
        <v>79</v>
      </c>
      <c r="CS6" s="9">
        <v>61.603012658227883</v>
      </c>
      <c r="CT6" s="9">
        <v>58.016556962025348</v>
      </c>
      <c r="CU6" s="9">
        <v>59.810126582278478</v>
      </c>
      <c r="CV6" s="9">
        <v>119.61956962025312</v>
      </c>
      <c r="CW6" s="7">
        <v>5</v>
      </c>
      <c r="CX6" s="7">
        <v>32</v>
      </c>
      <c r="CY6" s="7">
        <v>31</v>
      </c>
      <c r="CZ6" s="7">
        <v>11</v>
      </c>
      <c r="DA6" s="7">
        <v>0</v>
      </c>
      <c r="DB6" s="7">
        <v>0</v>
      </c>
      <c r="DC6" s="7">
        <v>7</v>
      </c>
      <c r="DD6" s="7">
        <v>44</v>
      </c>
      <c r="DE6" s="7">
        <v>19</v>
      </c>
      <c r="DF6" s="7">
        <v>9</v>
      </c>
      <c r="DG6" s="7">
        <v>0</v>
      </c>
      <c r="DH6" s="7">
        <v>0</v>
      </c>
      <c r="DI6" s="18">
        <f t="shared" si="3"/>
        <v>127</v>
      </c>
      <c r="DJ6" s="18">
        <f t="shared" si="4"/>
        <v>70</v>
      </c>
      <c r="DK6" s="18">
        <f t="shared" si="5"/>
        <v>136</v>
      </c>
      <c r="DL6" s="18">
        <f t="shared" si="0"/>
        <v>15</v>
      </c>
      <c r="DM6" s="18">
        <f t="shared" si="1"/>
        <v>11</v>
      </c>
      <c r="DN6" s="18">
        <f t="shared" si="2"/>
        <v>15</v>
      </c>
      <c r="DO6" s="18">
        <v>313</v>
      </c>
      <c r="DP6" s="18">
        <v>124</v>
      </c>
      <c r="DQ6" s="18">
        <v>313</v>
      </c>
      <c r="DR6" s="18">
        <v>34</v>
      </c>
      <c r="DS6" s="18">
        <v>18</v>
      </c>
      <c r="DT6" s="18">
        <v>34</v>
      </c>
      <c r="DU6" s="18" t="s">
        <v>2</v>
      </c>
    </row>
    <row r="7" spans="1:125" ht="30" customHeight="1" x14ac:dyDescent="0.25">
      <c r="A7" s="44" t="s">
        <v>1</v>
      </c>
      <c r="B7" s="44"/>
      <c r="C7" s="10">
        <v>36000</v>
      </c>
      <c r="D7" s="11">
        <v>62.803741444459661</v>
      </c>
      <c r="E7" s="11">
        <v>56.761888277785474</v>
      </c>
      <c r="F7" s="11">
        <v>59.783148148148101</v>
      </c>
      <c r="G7" s="11">
        <v>119.56562972224781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>
        <f>VLOOKUP($A$4,$BE:$FC,63,0)</f>
        <v>313</v>
      </c>
      <c r="U7" s="13">
        <f>VLOOKUP($A$4,$BE:$FC,64,0)</f>
        <v>124</v>
      </c>
      <c r="V7" s="13">
        <f>VLOOKUP($A$4,$BE:$FC,65,0)</f>
        <v>313</v>
      </c>
      <c r="W7" s="13">
        <f>VLOOKUP($A$4,$BE:$FC,66,0)</f>
        <v>34</v>
      </c>
      <c r="X7" s="13">
        <f>VLOOKUP($A$4,$BE:$FC,67,0)</f>
        <v>18</v>
      </c>
      <c r="Y7" s="13">
        <f>VLOOKUP($A$4,$BE:$FC,68,0)</f>
        <v>34</v>
      </c>
      <c r="BB7" s="7">
        <v>4</v>
      </c>
      <c r="BC7" s="7" t="s">
        <v>332</v>
      </c>
      <c r="BD7" s="23" t="s">
        <v>2</v>
      </c>
      <c r="BE7" s="26">
        <v>466471470</v>
      </c>
      <c r="BF7" s="25" t="s">
        <v>23</v>
      </c>
      <c r="BG7" s="7">
        <v>83</v>
      </c>
      <c r="BH7" s="7" t="s">
        <v>322</v>
      </c>
      <c r="BI7" s="7" t="s">
        <v>368</v>
      </c>
      <c r="BJ7" s="7">
        <v>115</v>
      </c>
      <c r="BK7" s="9">
        <v>75.651834782608674</v>
      </c>
      <c r="BL7" s="9">
        <v>77.680817391304345</v>
      </c>
      <c r="BM7" s="9">
        <v>76.666666666666671</v>
      </c>
      <c r="BN7" s="9">
        <v>153.33265217391295</v>
      </c>
      <c r="BO7" s="7">
        <v>2</v>
      </c>
      <c r="BP7" s="7">
        <v>10</v>
      </c>
      <c r="BQ7" s="7">
        <v>63</v>
      </c>
      <c r="BR7" s="7">
        <v>40</v>
      </c>
      <c r="BS7" s="7">
        <v>0</v>
      </c>
      <c r="BT7" s="7">
        <v>1</v>
      </c>
      <c r="BU7" s="7">
        <v>0</v>
      </c>
      <c r="BV7" s="7">
        <v>11</v>
      </c>
      <c r="BW7" s="7">
        <v>61</v>
      </c>
      <c r="BX7" s="7">
        <v>43</v>
      </c>
      <c r="BY7" s="7">
        <v>0</v>
      </c>
      <c r="BZ7" s="7">
        <v>2</v>
      </c>
      <c r="CA7" s="7">
        <v>87</v>
      </c>
      <c r="CB7" s="9">
        <v>70.191252873563201</v>
      </c>
      <c r="CC7" s="9">
        <v>69.310045977011484</v>
      </c>
      <c r="CD7" s="9">
        <v>69.750957854406153</v>
      </c>
      <c r="CE7" s="9">
        <v>139.5012988505747</v>
      </c>
      <c r="CF7" s="7">
        <v>2</v>
      </c>
      <c r="CG7" s="7">
        <v>19</v>
      </c>
      <c r="CH7" s="7">
        <v>49</v>
      </c>
      <c r="CI7" s="7">
        <v>17</v>
      </c>
      <c r="CJ7" s="7">
        <v>0</v>
      </c>
      <c r="CK7" s="7">
        <v>0</v>
      </c>
      <c r="CL7" s="7">
        <v>2</v>
      </c>
      <c r="CM7" s="7">
        <v>28</v>
      </c>
      <c r="CN7" s="7">
        <v>35</v>
      </c>
      <c r="CO7" s="7">
        <v>22</v>
      </c>
      <c r="CP7" s="7">
        <v>0</v>
      </c>
      <c r="CQ7" s="7">
        <v>0</v>
      </c>
      <c r="CR7" s="7">
        <v>202</v>
      </c>
      <c r="CS7" s="9">
        <v>73.299999999999983</v>
      </c>
      <c r="CT7" s="9">
        <v>74.075584158415865</v>
      </c>
      <c r="CU7" s="9">
        <v>73.688118811881168</v>
      </c>
      <c r="CV7" s="9">
        <v>147.37558415841568</v>
      </c>
      <c r="CW7" s="7">
        <v>4</v>
      </c>
      <c r="CX7" s="7">
        <v>29</v>
      </c>
      <c r="CY7" s="7">
        <v>112</v>
      </c>
      <c r="CZ7" s="7">
        <v>57</v>
      </c>
      <c r="DA7" s="7">
        <v>0</v>
      </c>
      <c r="DB7" s="7">
        <v>1</v>
      </c>
      <c r="DC7" s="7">
        <v>2</v>
      </c>
      <c r="DD7" s="7">
        <v>39</v>
      </c>
      <c r="DE7" s="7">
        <v>96</v>
      </c>
      <c r="DF7" s="7">
        <v>65</v>
      </c>
      <c r="DG7" s="7">
        <v>0</v>
      </c>
      <c r="DH7" s="7">
        <v>2</v>
      </c>
      <c r="DI7" s="18">
        <f t="shared" si="3"/>
        <v>2</v>
      </c>
      <c r="DJ7" s="18">
        <f t="shared" si="4"/>
        <v>5</v>
      </c>
      <c r="DK7" s="18">
        <f t="shared" si="5"/>
        <v>3</v>
      </c>
      <c r="DL7" s="18">
        <f t="shared" si="0"/>
        <v>1</v>
      </c>
      <c r="DM7" s="18">
        <f t="shared" si="1"/>
        <v>1</v>
      </c>
      <c r="DN7" s="18">
        <f t="shared" si="2"/>
        <v>1</v>
      </c>
      <c r="DO7" s="18">
        <v>313</v>
      </c>
      <c r="DP7" s="18">
        <v>124</v>
      </c>
      <c r="DQ7" s="18">
        <v>313</v>
      </c>
      <c r="DR7" s="18">
        <v>34</v>
      </c>
      <c r="DS7" s="18">
        <v>18</v>
      </c>
      <c r="DT7" s="18">
        <v>34</v>
      </c>
      <c r="DU7" s="18" t="s">
        <v>2</v>
      </c>
    </row>
    <row r="8" spans="1:125" x14ac:dyDescent="0.25">
      <c r="BB8" s="7">
        <v>5</v>
      </c>
      <c r="BC8" s="7" t="s">
        <v>332</v>
      </c>
      <c r="BD8" s="23" t="s">
        <v>2</v>
      </c>
      <c r="BE8" s="26">
        <v>233824167</v>
      </c>
      <c r="BF8" s="25" t="s">
        <v>22</v>
      </c>
      <c r="BG8" s="7">
        <v>99</v>
      </c>
      <c r="BH8" s="7" t="s">
        <v>320</v>
      </c>
      <c r="BI8" s="7" t="s">
        <v>367</v>
      </c>
      <c r="BJ8" s="7">
        <v>149</v>
      </c>
      <c r="BK8" s="9">
        <v>60.178610738255003</v>
      </c>
      <c r="BL8" s="9">
        <v>51.207724832214765</v>
      </c>
      <c r="BM8" s="9">
        <v>55.693512304250561</v>
      </c>
      <c r="BN8" s="9">
        <v>111.3863355704697</v>
      </c>
      <c r="BO8" s="7">
        <v>19</v>
      </c>
      <c r="BP8" s="7">
        <v>65</v>
      </c>
      <c r="BQ8" s="7">
        <v>33</v>
      </c>
      <c r="BR8" s="7">
        <v>32</v>
      </c>
      <c r="BS8" s="7">
        <v>0</v>
      </c>
      <c r="BT8" s="7">
        <v>1</v>
      </c>
      <c r="BU8" s="7">
        <v>31</v>
      </c>
      <c r="BV8" s="7">
        <v>69</v>
      </c>
      <c r="BW8" s="7">
        <v>37</v>
      </c>
      <c r="BX8" s="7">
        <v>12</v>
      </c>
      <c r="BY8" s="7">
        <v>0</v>
      </c>
      <c r="BZ8" s="7">
        <v>0</v>
      </c>
      <c r="CA8" s="7"/>
      <c r="CB8" s="9"/>
      <c r="CC8" s="9"/>
      <c r="CD8" s="9"/>
      <c r="CE8" s="9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>
        <v>149</v>
      </c>
      <c r="CS8" s="9">
        <v>60.178610738255003</v>
      </c>
      <c r="CT8" s="9">
        <v>51.207724832214765</v>
      </c>
      <c r="CU8" s="9">
        <v>55.693512304250561</v>
      </c>
      <c r="CV8" s="9">
        <v>111.3863355704697</v>
      </c>
      <c r="CW8" s="7">
        <v>19</v>
      </c>
      <c r="CX8" s="7">
        <v>65</v>
      </c>
      <c r="CY8" s="7">
        <v>33</v>
      </c>
      <c r="CZ8" s="7">
        <v>32</v>
      </c>
      <c r="DA8" s="7">
        <v>0</v>
      </c>
      <c r="DB8" s="7">
        <v>1</v>
      </c>
      <c r="DC8" s="7">
        <v>31</v>
      </c>
      <c r="DD8" s="7">
        <v>69</v>
      </c>
      <c r="DE8" s="7">
        <v>37</v>
      </c>
      <c r="DF8" s="7">
        <v>12</v>
      </c>
      <c r="DG8" s="7">
        <v>0</v>
      </c>
      <c r="DH8" s="7">
        <v>0</v>
      </c>
      <c r="DI8" s="18">
        <f t="shared" si="3"/>
        <v>208</v>
      </c>
      <c r="DJ8" s="18" t="str">
        <f t="shared" si="4"/>
        <v/>
      </c>
      <c r="DK8" s="18">
        <f t="shared" si="5"/>
        <v>207</v>
      </c>
      <c r="DL8" s="18">
        <f t="shared" si="0"/>
        <v>27</v>
      </c>
      <c r="DM8" s="18" t="str">
        <f t="shared" si="1"/>
        <v/>
      </c>
      <c r="DN8" s="18">
        <f t="shared" si="2"/>
        <v>27</v>
      </c>
      <c r="DO8" s="18">
        <v>313</v>
      </c>
      <c r="DP8" s="18">
        <v>124</v>
      </c>
      <c r="DQ8" s="18">
        <v>313</v>
      </c>
      <c r="DR8" s="18">
        <v>34</v>
      </c>
      <c r="DS8" s="18">
        <v>18</v>
      </c>
      <c r="DT8" s="18">
        <v>34</v>
      </c>
      <c r="DU8" s="18" t="s">
        <v>2</v>
      </c>
    </row>
    <row r="9" spans="1:125" x14ac:dyDescent="0.25">
      <c r="T9" s="37"/>
      <c r="U9" s="37"/>
      <c r="V9" s="37"/>
      <c r="W9" s="37"/>
      <c r="X9" s="37"/>
      <c r="Y9" s="37"/>
      <c r="BB9" s="7">
        <v>6</v>
      </c>
      <c r="BC9" s="7" t="s">
        <v>332</v>
      </c>
      <c r="BD9" s="23" t="s">
        <v>2</v>
      </c>
      <c r="BE9" s="26">
        <v>509986830</v>
      </c>
      <c r="BF9" s="25" t="s">
        <v>21</v>
      </c>
      <c r="BG9" s="7">
        <v>100</v>
      </c>
      <c r="BH9" s="7" t="s">
        <v>320</v>
      </c>
      <c r="BI9" s="7" t="s">
        <v>368</v>
      </c>
      <c r="BJ9" s="7">
        <v>159</v>
      </c>
      <c r="BK9" s="9">
        <v>58.888547169811361</v>
      </c>
      <c r="BL9" s="9">
        <v>50.649534591194964</v>
      </c>
      <c r="BM9" s="9">
        <v>54.769392033542971</v>
      </c>
      <c r="BN9" s="9">
        <v>109.53808176100618</v>
      </c>
      <c r="BO9" s="7">
        <v>25</v>
      </c>
      <c r="BP9" s="7">
        <v>52</v>
      </c>
      <c r="BQ9" s="7">
        <v>56</v>
      </c>
      <c r="BR9" s="7">
        <v>26</v>
      </c>
      <c r="BS9" s="7">
        <v>3</v>
      </c>
      <c r="BT9" s="7">
        <v>2</v>
      </c>
      <c r="BU9" s="7">
        <v>27</v>
      </c>
      <c r="BV9" s="7">
        <v>79</v>
      </c>
      <c r="BW9" s="7">
        <v>46</v>
      </c>
      <c r="BX9" s="7">
        <v>7</v>
      </c>
      <c r="BY9" s="7">
        <v>0</v>
      </c>
      <c r="BZ9" s="7">
        <v>0</v>
      </c>
      <c r="CA9" s="7">
        <v>44</v>
      </c>
      <c r="CB9" s="9">
        <v>67.72686363636366</v>
      </c>
      <c r="CC9" s="9">
        <v>64.166409090909113</v>
      </c>
      <c r="CD9" s="9">
        <v>65.946969696969703</v>
      </c>
      <c r="CE9" s="9">
        <v>131.89327272727272</v>
      </c>
      <c r="CF9" s="7">
        <v>1</v>
      </c>
      <c r="CG9" s="7">
        <v>13</v>
      </c>
      <c r="CH9" s="7">
        <v>25</v>
      </c>
      <c r="CI9" s="7">
        <v>5</v>
      </c>
      <c r="CJ9" s="7">
        <v>0</v>
      </c>
      <c r="CK9" s="7">
        <v>0</v>
      </c>
      <c r="CL9" s="7">
        <v>2</v>
      </c>
      <c r="CM9" s="7">
        <v>14</v>
      </c>
      <c r="CN9" s="7">
        <v>20</v>
      </c>
      <c r="CO9" s="7">
        <v>8</v>
      </c>
      <c r="CP9" s="7">
        <v>0</v>
      </c>
      <c r="CQ9" s="7">
        <v>0</v>
      </c>
      <c r="CR9" s="7">
        <v>203</v>
      </c>
      <c r="CS9" s="9">
        <v>60.804241379310319</v>
      </c>
      <c r="CT9" s="9">
        <v>53.579300492610834</v>
      </c>
      <c r="CU9" s="9">
        <v>57.192118226600996</v>
      </c>
      <c r="CV9" s="9">
        <v>114.3835418719211</v>
      </c>
      <c r="CW9" s="7">
        <v>26</v>
      </c>
      <c r="CX9" s="7">
        <v>65</v>
      </c>
      <c r="CY9" s="7">
        <v>81</v>
      </c>
      <c r="CZ9" s="7">
        <v>31</v>
      </c>
      <c r="DA9" s="7">
        <v>3</v>
      </c>
      <c r="DB9" s="7">
        <v>2</v>
      </c>
      <c r="DC9" s="7">
        <v>29</v>
      </c>
      <c r="DD9" s="7">
        <v>93</v>
      </c>
      <c r="DE9" s="7">
        <v>66</v>
      </c>
      <c r="DF9" s="7">
        <v>15</v>
      </c>
      <c r="DG9" s="7">
        <v>0</v>
      </c>
      <c r="DH9" s="7">
        <v>0</v>
      </c>
      <c r="DI9" s="18">
        <f t="shared" si="3"/>
        <v>221</v>
      </c>
      <c r="DJ9" s="18">
        <f t="shared" si="4"/>
        <v>15</v>
      </c>
      <c r="DK9" s="18">
        <f t="shared" si="5"/>
        <v>181</v>
      </c>
      <c r="DL9" s="18">
        <f t="shared" si="0"/>
        <v>29</v>
      </c>
      <c r="DM9" s="18">
        <f t="shared" si="1"/>
        <v>2</v>
      </c>
      <c r="DN9" s="18">
        <f t="shared" si="2"/>
        <v>23</v>
      </c>
      <c r="DO9" s="18">
        <v>313</v>
      </c>
      <c r="DP9" s="18">
        <v>124</v>
      </c>
      <c r="DQ9" s="18">
        <v>313</v>
      </c>
      <c r="DR9" s="18">
        <v>34</v>
      </c>
      <c r="DS9" s="18">
        <v>18</v>
      </c>
      <c r="DT9" s="18">
        <v>34</v>
      </c>
      <c r="DU9" s="18" t="s">
        <v>2</v>
      </c>
    </row>
    <row r="10" spans="1:125" x14ac:dyDescent="0.25">
      <c r="T10" s="37"/>
      <c r="U10" s="37"/>
      <c r="V10" s="37"/>
      <c r="W10" s="37"/>
      <c r="X10" s="37"/>
      <c r="Y10" s="37"/>
      <c r="BB10" s="7">
        <v>7</v>
      </c>
      <c r="BC10" s="7" t="s">
        <v>332</v>
      </c>
      <c r="BD10" s="23" t="s">
        <v>2</v>
      </c>
      <c r="BE10" s="26">
        <v>152156460</v>
      </c>
      <c r="BF10" s="25" t="s">
        <v>3</v>
      </c>
      <c r="BG10" s="7">
        <v>102</v>
      </c>
      <c r="BH10" s="7" t="s">
        <v>320</v>
      </c>
      <c r="BI10" s="7" t="s">
        <v>368</v>
      </c>
      <c r="BJ10" s="7">
        <v>73</v>
      </c>
      <c r="BK10" s="9">
        <v>65.753041095890438</v>
      </c>
      <c r="BL10" s="9">
        <v>65.205123287671256</v>
      </c>
      <c r="BM10" s="9">
        <v>65.47945205479455</v>
      </c>
      <c r="BN10" s="9">
        <v>130.95816438356167</v>
      </c>
      <c r="BO10" s="7">
        <v>4</v>
      </c>
      <c r="BP10" s="7">
        <v>27</v>
      </c>
      <c r="BQ10" s="7">
        <v>21</v>
      </c>
      <c r="BR10" s="7">
        <v>21</v>
      </c>
      <c r="BS10" s="7">
        <v>1</v>
      </c>
      <c r="BT10" s="7">
        <v>2</v>
      </c>
      <c r="BU10" s="7">
        <v>4</v>
      </c>
      <c r="BV10" s="7">
        <v>27</v>
      </c>
      <c r="BW10" s="7">
        <v>27</v>
      </c>
      <c r="BX10" s="7">
        <v>15</v>
      </c>
      <c r="BY10" s="7">
        <v>0</v>
      </c>
      <c r="BZ10" s="7">
        <v>0</v>
      </c>
      <c r="CA10" s="7">
        <v>120</v>
      </c>
      <c r="CB10" s="9">
        <v>60.916374999999974</v>
      </c>
      <c r="CC10" s="9">
        <v>57.166341666666654</v>
      </c>
      <c r="CD10" s="9">
        <v>59.0416666666667</v>
      </c>
      <c r="CE10" s="9">
        <v>118.08271666666666</v>
      </c>
      <c r="CF10" s="7">
        <v>12</v>
      </c>
      <c r="CG10" s="7">
        <v>43</v>
      </c>
      <c r="CH10" s="7">
        <v>52</v>
      </c>
      <c r="CI10" s="7">
        <v>13</v>
      </c>
      <c r="CJ10" s="7">
        <v>0</v>
      </c>
      <c r="CK10" s="7">
        <v>0</v>
      </c>
      <c r="CL10" s="7">
        <v>7</v>
      </c>
      <c r="CM10" s="7">
        <v>66</v>
      </c>
      <c r="CN10" s="7">
        <v>41</v>
      </c>
      <c r="CO10" s="7">
        <v>6</v>
      </c>
      <c r="CP10" s="7">
        <v>0</v>
      </c>
      <c r="CQ10" s="7">
        <v>0</v>
      </c>
      <c r="CR10" s="7">
        <v>193</v>
      </c>
      <c r="CS10" s="9">
        <v>62.745787564766836</v>
      </c>
      <c r="CT10" s="9">
        <v>60.206917098445572</v>
      </c>
      <c r="CU10" s="9">
        <v>61.476683937823793</v>
      </c>
      <c r="CV10" s="9">
        <v>122.95270466321226</v>
      </c>
      <c r="CW10" s="7">
        <v>16</v>
      </c>
      <c r="CX10" s="7">
        <v>70</v>
      </c>
      <c r="CY10" s="7">
        <v>73</v>
      </c>
      <c r="CZ10" s="7">
        <v>34</v>
      </c>
      <c r="DA10" s="7">
        <v>1</v>
      </c>
      <c r="DB10" s="7">
        <v>2</v>
      </c>
      <c r="DC10" s="7">
        <v>11</v>
      </c>
      <c r="DD10" s="7">
        <v>93</v>
      </c>
      <c r="DE10" s="7">
        <v>68</v>
      </c>
      <c r="DF10" s="7">
        <v>21</v>
      </c>
      <c r="DG10" s="7">
        <v>0</v>
      </c>
      <c r="DH10" s="7">
        <v>0</v>
      </c>
      <c r="DI10" s="18">
        <f t="shared" si="3"/>
        <v>50</v>
      </c>
      <c r="DJ10" s="18">
        <f t="shared" si="4"/>
        <v>66</v>
      </c>
      <c r="DK10" s="18">
        <f t="shared" si="5"/>
        <v>103</v>
      </c>
      <c r="DL10" s="18">
        <f t="shared" si="0"/>
        <v>6</v>
      </c>
      <c r="DM10" s="18">
        <f t="shared" si="1"/>
        <v>10</v>
      </c>
      <c r="DN10" s="18">
        <f t="shared" si="2"/>
        <v>12</v>
      </c>
      <c r="DO10" s="18">
        <v>313</v>
      </c>
      <c r="DP10" s="18">
        <v>124</v>
      </c>
      <c r="DQ10" s="18">
        <v>313</v>
      </c>
      <c r="DR10" s="18">
        <v>34</v>
      </c>
      <c r="DS10" s="18">
        <v>18</v>
      </c>
      <c r="DT10" s="18">
        <v>34</v>
      </c>
      <c r="DU10" s="18" t="s">
        <v>2</v>
      </c>
    </row>
    <row r="11" spans="1:125" x14ac:dyDescent="0.25">
      <c r="T11" s="37"/>
      <c r="U11" s="37"/>
      <c r="V11" s="37"/>
      <c r="W11" s="37"/>
      <c r="X11" s="37"/>
      <c r="Y11" s="37"/>
      <c r="BB11" s="7">
        <v>8</v>
      </c>
      <c r="BC11" s="7" t="s">
        <v>332</v>
      </c>
      <c r="BD11" s="23" t="s">
        <v>2</v>
      </c>
      <c r="BE11" s="26">
        <v>951827026</v>
      </c>
      <c r="BF11" s="25" t="s">
        <v>4</v>
      </c>
      <c r="BG11" s="7">
        <v>103</v>
      </c>
      <c r="BH11" s="7" t="s">
        <v>320</v>
      </c>
      <c r="BI11" s="7" t="s">
        <v>367</v>
      </c>
      <c r="BJ11" s="7">
        <v>105</v>
      </c>
      <c r="BK11" s="9">
        <v>61.936152380952365</v>
      </c>
      <c r="BL11" s="9">
        <v>57.555190476190504</v>
      </c>
      <c r="BM11" s="9">
        <v>59.74603174603174</v>
      </c>
      <c r="BN11" s="9">
        <v>119.4913428571428</v>
      </c>
      <c r="BO11" s="7">
        <v>11</v>
      </c>
      <c r="BP11" s="7">
        <v>36</v>
      </c>
      <c r="BQ11" s="7">
        <v>36</v>
      </c>
      <c r="BR11" s="7">
        <v>22</v>
      </c>
      <c r="BS11" s="7">
        <v>0</v>
      </c>
      <c r="BT11" s="7">
        <v>1</v>
      </c>
      <c r="BU11" s="7">
        <v>10</v>
      </c>
      <c r="BV11" s="7">
        <v>47</v>
      </c>
      <c r="BW11" s="7">
        <v>37</v>
      </c>
      <c r="BX11" s="7">
        <v>11</v>
      </c>
      <c r="BY11" s="7">
        <v>0</v>
      </c>
      <c r="BZ11" s="7">
        <v>0</v>
      </c>
      <c r="CA11" s="7"/>
      <c r="CB11" s="9"/>
      <c r="CC11" s="9"/>
      <c r="CD11" s="9"/>
      <c r="CE11" s="9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>
        <v>106</v>
      </c>
      <c r="CS11" s="9">
        <v>61.509075471698097</v>
      </c>
      <c r="CT11" s="9">
        <v>57.421018867924552</v>
      </c>
      <c r="CU11" s="9">
        <v>59.465408805031437</v>
      </c>
      <c r="CV11" s="9">
        <v>118.93009433962257</v>
      </c>
      <c r="CW11" s="7">
        <v>12</v>
      </c>
      <c r="CX11" s="7">
        <v>36</v>
      </c>
      <c r="CY11" s="7">
        <v>36</v>
      </c>
      <c r="CZ11" s="7">
        <v>22</v>
      </c>
      <c r="DA11" s="7">
        <v>0</v>
      </c>
      <c r="DB11" s="7">
        <v>1</v>
      </c>
      <c r="DC11" s="7">
        <v>10</v>
      </c>
      <c r="DD11" s="7">
        <v>48</v>
      </c>
      <c r="DE11" s="7">
        <v>37</v>
      </c>
      <c r="DF11" s="7">
        <v>11</v>
      </c>
      <c r="DG11" s="7">
        <v>0</v>
      </c>
      <c r="DH11" s="7">
        <v>0</v>
      </c>
      <c r="DI11" s="18">
        <f t="shared" si="3"/>
        <v>141</v>
      </c>
      <c r="DJ11" s="18" t="str">
        <f t="shared" si="4"/>
        <v/>
      </c>
      <c r="DK11" s="18">
        <f t="shared" si="5"/>
        <v>142</v>
      </c>
      <c r="DL11" s="18">
        <f t="shared" si="0"/>
        <v>17</v>
      </c>
      <c r="DM11" s="18" t="str">
        <f t="shared" si="1"/>
        <v/>
      </c>
      <c r="DN11" s="18">
        <f t="shared" si="2"/>
        <v>16</v>
      </c>
      <c r="DO11" s="18">
        <v>313</v>
      </c>
      <c r="DP11" s="18">
        <v>124</v>
      </c>
      <c r="DQ11" s="18">
        <v>313</v>
      </c>
      <c r="DR11" s="18">
        <v>34</v>
      </c>
      <c r="DS11" s="18">
        <v>18</v>
      </c>
      <c r="DT11" s="18">
        <v>34</v>
      </c>
      <c r="DU11" s="18" t="s">
        <v>2</v>
      </c>
    </row>
    <row r="12" spans="1:125" x14ac:dyDescent="0.25">
      <c r="T12" s="37"/>
      <c r="U12" s="37"/>
      <c r="V12" s="37"/>
      <c r="W12" s="37"/>
      <c r="X12" s="37"/>
      <c r="Y12" s="37"/>
      <c r="BB12" s="7">
        <v>9</v>
      </c>
      <c r="BC12" s="7" t="s">
        <v>332</v>
      </c>
      <c r="BD12" s="23" t="s">
        <v>2</v>
      </c>
      <c r="BE12" s="26"/>
      <c r="BF12" s="25"/>
      <c r="BG12" s="7">
        <v>115</v>
      </c>
      <c r="BH12" s="7" t="s">
        <v>323</v>
      </c>
      <c r="BI12" s="7"/>
      <c r="BJ12" s="7"/>
      <c r="BK12" s="9"/>
      <c r="BL12" s="9"/>
      <c r="BM12" s="9"/>
      <c r="BN12" s="9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9"/>
      <c r="CC12" s="9"/>
      <c r="CD12" s="9"/>
      <c r="CE12" s="9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9"/>
      <c r="CT12" s="9"/>
      <c r="CU12" s="9"/>
      <c r="CV12" s="9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18" t="str">
        <f t="shared" si="3"/>
        <v/>
      </c>
      <c r="DJ12" s="18" t="str">
        <f t="shared" si="4"/>
        <v/>
      </c>
      <c r="DK12" s="18" t="str">
        <f t="shared" si="5"/>
        <v/>
      </c>
      <c r="DL12" s="18" t="str">
        <f t="shared" si="0"/>
        <v/>
      </c>
      <c r="DM12" s="18" t="str">
        <f t="shared" si="1"/>
        <v/>
      </c>
      <c r="DN12" s="18" t="str">
        <f t="shared" si="2"/>
        <v/>
      </c>
      <c r="DO12" s="18">
        <v>313</v>
      </c>
      <c r="DP12" s="18">
        <v>124</v>
      </c>
      <c r="DQ12" s="18">
        <v>313</v>
      </c>
      <c r="DR12" s="18">
        <v>34</v>
      </c>
      <c r="DS12" s="18">
        <v>18</v>
      </c>
      <c r="DT12" s="18">
        <v>34</v>
      </c>
      <c r="DU12" s="18" t="s">
        <v>2</v>
      </c>
    </row>
    <row r="13" spans="1:125" x14ac:dyDescent="0.25">
      <c r="T13" s="37"/>
      <c r="U13" s="37"/>
      <c r="V13" s="37"/>
      <c r="W13" s="37"/>
      <c r="X13" s="37"/>
      <c r="Y13" s="37"/>
      <c r="BB13" s="7">
        <v>10</v>
      </c>
      <c r="BC13" s="7" t="s">
        <v>332</v>
      </c>
      <c r="BD13" s="23" t="s">
        <v>2</v>
      </c>
      <c r="BE13" s="26">
        <v>542867191</v>
      </c>
      <c r="BF13" s="25" t="s">
        <v>5</v>
      </c>
      <c r="BG13" s="7">
        <v>115</v>
      </c>
      <c r="BH13" s="7" t="s">
        <v>320</v>
      </c>
      <c r="BI13" s="7" t="s">
        <v>368</v>
      </c>
      <c r="BJ13" s="7">
        <v>164</v>
      </c>
      <c r="BK13" s="9">
        <v>68.393987804878051</v>
      </c>
      <c r="BL13" s="9">
        <v>59.024036585365806</v>
      </c>
      <c r="BM13" s="9">
        <v>63.709349593495958</v>
      </c>
      <c r="BN13" s="9">
        <v>127.41802439024386</v>
      </c>
      <c r="BO13" s="7">
        <v>6</v>
      </c>
      <c r="BP13" s="7">
        <v>47</v>
      </c>
      <c r="BQ13" s="7">
        <v>62</v>
      </c>
      <c r="BR13" s="7">
        <v>49</v>
      </c>
      <c r="BS13" s="7">
        <v>0</v>
      </c>
      <c r="BT13" s="7">
        <v>3</v>
      </c>
      <c r="BU13" s="7">
        <v>18</v>
      </c>
      <c r="BV13" s="7">
        <v>62</v>
      </c>
      <c r="BW13" s="7">
        <v>67</v>
      </c>
      <c r="BX13" s="7">
        <v>17</v>
      </c>
      <c r="BY13" s="7">
        <v>0</v>
      </c>
      <c r="BZ13" s="7">
        <v>0</v>
      </c>
      <c r="CA13" s="7">
        <v>37</v>
      </c>
      <c r="CB13" s="9">
        <v>56.846540540540545</v>
      </c>
      <c r="CC13" s="9">
        <v>50.45008108108108</v>
      </c>
      <c r="CD13" s="9">
        <v>53.64864864864866</v>
      </c>
      <c r="CE13" s="9">
        <v>107.29662162162163</v>
      </c>
      <c r="CF13" s="7">
        <v>2</v>
      </c>
      <c r="CG13" s="7">
        <v>20</v>
      </c>
      <c r="CH13" s="7">
        <v>13</v>
      </c>
      <c r="CI13" s="7">
        <v>2</v>
      </c>
      <c r="CJ13" s="7">
        <v>0</v>
      </c>
      <c r="CK13" s="7">
        <v>0</v>
      </c>
      <c r="CL13" s="7">
        <v>5</v>
      </c>
      <c r="CM13" s="7">
        <v>25</v>
      </c>
      <c r="CN13" s="7">
        <v>7</v>
      </c>
      <c r="CO13" s="7">
        <v>0</v>
      </c>
      <c r="CP13" s="7">
        <v>0</v>
      </c>
      <c r="CQ13" s="7">
        <v>0</v>
      </c>
      <c r="CR13" s="7">
        <v>201</v>
      </c>
      <c r="CS13" s="9">
        <v>66.2683383084577</v>
      </c>
      <c r="CT13" s="9">
        <v>57.445746268656656</v>
      </c>
      <c r="CU13" s="9">
        <v>61.857379767827524</v>
      </c>
      <c r="CV13" s="9">
        <v>123.71408457711432</v>
      </c>
      <c r="CW13" s="7">
        <v>8</v>
      </c>
      <c r="CX13" s="7">
        <v>67</v>
      </c>
      <c r="CY13" s="7">
        <v>75</v>
      </c>
      <c r="CZ13" s="7">
        <v>51</v>
      </c>
      <c r="DA13" s="7">
        <v>0</v>
      </c>
      <c r="DB13" s="7">
        <v>3</v>
      </c>
      <c r="DC13" s="7">
        <v>23</v>
      </c>
      <c r="DD13" s="7">
        <v>87</v>
      </c>
      <c r="DE13" s="7">
        <v>74</v>
      </c>
      <c r="DF13" s="7">
        <v>17</v>
      </c>
      <c r="DG13" s="7">
        <v>0</v>
      </c>
      <c r="DH13" s="7">
        <v>0</v>
      </c>
      <c r="DI13" s="18">
        <f t="shared" si="3"/>
        <v>77</v>
      </c>
      <c r="DJ13" s="18">
        <f t="shared" si="4"/>
        <v>107</v>
      </c>
      <c r="DK13" s="18">
        <f t="shared" si="5"/>
        <v>97</v>
      </c>
      <c r="DL13" s="18">
        <f t="shared" si="0"/>
        <v>9</v>
      </c>
      <c r="DM13" s="18">
        <f t="shared" si="1"/>
        <v>17</v>
      </c>
      <c r="DN13" s="18">
        <f t="shared" si="2"/>
        <v>10</v>
      </c>
      <c r="DO13" s="18">
        <v>313</v>
      </c>
      <c r="DP13" s="18">
        <v>124</v>
      </c>
      <c r="DQ13" s="18">
        <v>313</v>
      </c>
      <c r="DR13" s="18">
        <v>34</v>
      </c>
      <c r="DS13" s="18">
        <v>18</v>
      </c>
      <c r="DT13" s="18">
        <v>34</v>
      </c>
      <c r="DU13" s="18" t="s">
        <v>2</v>
      </c>
    </row>
    <row r="14" spans="1:125" x14ac:dyDescent="0.25">
      <c r="T14" s="37"/>
      <c r="U14" s="37"/>
      <c r="V14" s="37"/>
      <c r="W14" s="37"/>
      <c r="X14" s="37"/>
      <c r="Y14" s="37"/>
      <c r="BB14" s="7">
        <v>11</v>
      </c>
      <c r="BC14" s="7" t="s">
        <v>332</v>
      </c>
      <c r="BD14" s="23" t="s">
        <v>2</v>
      </c>
      <c r="BE14" s="26">
        <v>180574458</v>
      </c>
      <c r="BF14" s="25" t="s">
        <v>333</v>
      </c>
      <c r="BG14" s="7">
        <v>126</v>
      </c>
      <c r="BH14" s="7" t="s">
        <v>324</v>
      </c>
      <c r="BI14" s="7" t="s">
        <v>368</v>
      </c>
      <c r="BJ14" s="7"/>
      <c r="BK14" s="9"/>
      <c r="BL14" s="9"/>
      <c r="BM14" s="9"/>
      <c r="BN14" s="9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9"/>
      <c r="CC14" s="9"/>
      <c r="CD14" s="9"/>
      <c r="CE14" s="9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9"/>
      <c r="CT14" s="9"/>
      <c r="CU14" s="9"/>
      <c r="CV14" s="9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18" t="str">
        <f t="shared" si="3"/>
        <v/>
      </c>
      <c r="DJ14" s="18" t="str">
        <f t="shared" si="4"/>
        <v/>
      </c>
      <c r="DK14" s="18" t="str">
        <f t="shared" si="5"/>
        <v/>
      </c>
      <c r="DL14" s="18" t="str">
        <f t="shared" si="0"/>
        <v/>
      </c>
      <c r="DM14" s="18" t="str">
        <f t="shared" si="1"/>
        <v/>
      </c>
      <c r="DN14" s="18" t="str">
        <f t="shared" si="2"/>
        <v/>
      </c>
      <c r="DO14" s="18">
        <v>313</v>
      </c>
      <c r="DP14" s="18">
        <v>124</v>
      </c>
      <c r="DQ14" s="18">
        <v>313</v>
      </c>
      <c r="DR14" s="18">
        <v>34</v>
      </c>
      <c r="DS14" s="18">
        <v>18</v>
      </c>
      <c r="DT14" s="18">
        <v>34</v>
      </c>
      <c r="DU14" s="18" t="s">
        <v>2</v>
      </c>
    </row>
    <row r="15" spans="1:125" x14ac:dyDescent="0.25">
      <c r="T15" s="37"/>
      <c r="U15" s="37"/>
      <c r="V15" s="37"/>
      <c r="W15" s="37"/>
      <c r="X15" s="37"/>
      <c r="Y15" s="37"/>
      <c r="BB15" s="7">
        <v>12</v>
      </c>
      <c r="BC15" s="7" t="s">
        <v>332</v>
      </c>
      <c r="BD15" s="23" t="s">
        <v>2</v>
      </c>
      <c r="BE15" s="26">
        <v>150425330</v>
      </c>
      <c r="BF15" s="25" t="s">
        <v>18</v>
      </c>
      <c r="BG15" s="7">
        <v>135</v>
      </c>
      <c r="BH15" s="7" t="s">
        <v>320</v>
      </c>
      <c r="BI15" s="7" t="s">
        <v>367</v>
      </c>
      <c r="BJ15" s="7">
        <v>64</v>
      </c>
      <c r="BK15" s="9">
        <v>56.718437500000036</v>
      </c>
      <c r="BL15" s="9">
        <v>52.655937500000029</v>
      </c>
      <c r="BM15" s="9">
        <v>54.687500000000007</v>
      </c>
      <c r="BN15" s="9">
        <v>109.37437499999999</v>
      </c>
      <c r="BO15" s="7">
        <v>10</v>
      </c>
      <c r="BP15" s="7">
        <v>29</v>
      </c>
      <c r="BQ15" s="7">
        <v>15</v>
      </c>
      <c r="BR15" s="7">
        <v>10</v>
      </c>
      <c r="BS15" s="7">
        <v>0</v>
      </c>
      <c r="BT15" s="7">
        <v>1</v>
      </c>
      <c r="BU15" s="7">
        <v>10</v>
      </c>
      <c r="BV15" s="7">
        <v>32</v>
      </c>
      <c r="BW15" s="7">
        <v>16</v>
      </c>
      <c r="BX15" s="7">
        <v>6</v>
      </c>
      <c r="BY15" s="7">
        <v>0</v>
      </c>
      <c r="BZ15" s="7">
        <v>0</v>
      </c>
      <c r="CA15" s="7"/>
      <c r="CB15" s="9"/>
      <c r="CC15" s="9"/>
      <c r="CD15" s="9"/>
      <c r="CE15" s="9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>
        <v>64</v>
      </c>
      <c r="CS15" s="9">
        <v>56.718437500000036</v>
      </c>
      <c r="CT15" s="9">
        <v>52.655937500000029</v>
      </c>
      <c r="CU15" s="9">
        <v>54.687500000000007</v>
      </c>
      <c r="CV15" s="9">
        <v>109.37437499999999</v>
      </c>
      <c r="CW15" s="7">
        <v>10</v>
      </c>
      <c r="CX15" s="7">
        <v>29</v>
      </c>
      <c r="CY15" s="7">
        <v>15</v>
      </c>
      <c r="CZ15" s="7">
        <v>10</v>
      </c>
      <c r="DA15" s="7">
        <v>0</v>
      </c>
      <c r="DB15" s="7">
        <v>1</v>
      </c>
      <c r="DC15" s="7">
        <v>10</v>
      </c>
      <c r="DD15" s="7">
        <v>32</v>
      </c>
      <c r="DE15" s="7">
        <v>16</v>
      </c>
      <c r="DF15" s="7">
        <v>6</v>
      </c>
      <c r="DG15" s="7">
        <v>0</v>
      </c>
      <c r="DH15" s="7">
        <v>0</v>
      </c>
      <c r="DI15" s="18">
        <f t="shared" si="3"/>
        <v>224</v>
      </c>
      <c r="DJ15" s="18" t="str">
        <f t="shared" si="4"/>
        <v/>
      </c>
      <c r="DK15" s="18">
        <f t="shared" si="5"/>
        <v>231</v>
      </c>
      <c r="DL15" s="18">
        <f t="shared" si="0"/>
        <v>30</v>
      </c>
      <c r="DM15" s="18" t="str">
        <f t="shared" si="1"/>
        <v/>
      </c>
      <c r="DN15" s="18">
        <f t="shared" si="2"/>
        <v>30</v>
      </c>
      <c r="DO15" s="18">
        <v>313</v>
      </c>
      <c r="DP15" s="18">
        <v>124</v>
      </c>
      <c r="DQ15" s="18">
        <v>313</v>
      </c>
      <c r="DR15" s="18">
        <v>34</v>
      </c>
      <c r="DS15" s="18">
        <v>18</v>
      </c>
      <c r="DT15" s="18">
        <v>34</v>
      </c>
      <c r="DU15" s="18" t="s">
        <v>2</v>
      </c>
    </row>
    <row r="16" spans="1:125" x14ac:dyDescent="0.25">
      <c r="T16" s="37"/>
      <c r="U16" s="37"/>
      <c r="V16" s="37"/>
      <c r="W16" s="37"/>
      <c r="X16" s="37"/>
      <c r="Y16" s="37"/>
      <c r="BB16" s="7">
        <v>13</v>
      </c>
      <c r="BC16" s="7" t="s">
        <v>332</v>
      </c>
      <c r="BD16" s="23" t="s">
        <v>2</v>
      </c>
      <c r="BE16" s="26">
        <v>306648932</v>
      </c>
      <c r="BF16" s="25" t="s">
        <v>31</v>
      </c>
      <c r="BG16" s="7">
        <v>143</v>
      </c>
      <c r="BH16" s="7" t="s">
        <v>320</v>
      </c>
      <c r="BI16" s="7" t="s">
        <v>368</v>
      </c>
      <c r="BJ16" s="7">
        <v>112</v>
      </c>
      <c r="BK16" s="9">
        <v>60.475821428571422</v>
      </c>
      <c r="BL16" s="9">
        <v>56.66632142857145</v>
      </c>
      <c r="BM16" s="9">
        <v>58.571428571428577</v>
      </c>
      <c r="BN16" s="9">
        <v>117.14214285714282</v>
      </c>
      <c r="BO16" s="7">
        <v>15</v>
      </c>
      <c r="BP16" s="7">
        <v>37</v>
      </c>
      <c r="BQ16" s="7">
        <v>47</v>
      </c>
      <c r="BR16" s="7">
        <v>13</v>
      </c>
      <c r="BS16" s="7">
        <v>1</v>
      </c>
      <c r="BT16" s="7">
        <v>0</v>
      </c>
      <c r="BU16" s="7">
        <v>11</v>
      </c>
      <c r="BV16" s="7">
        <v>61</v>
      </c>
      <c r="BW16" s="7">
        <v>24</v>
      </c>
      <c r="BX16" s="7">
        <v>16</v>
      </c>
      <c r="BY16" s="7">
        <v>0</v>
      </c>
      <c r="BZ16" s="7">
        <v>0</v>
      </c>
      <c r="CA16" s="7">
        <v>35</v>
      </c>
      <c r="CB16" s="9">
        <v>58.666400000000003</v>
      </c>
      <c r="CC16" s="9">
        <v>49.332971428571419</v>
      </c>
      <c r="CD16" s="9">
        <v>54</v>
      </c>
      <c r="CE16" s="9">
        <v>107.99937142857144</v>
      </c>
      <c r="CF16" s="7">
        <v>3</v>
      </c>
      <c r="CG16" s="7">
        <v>14</v>
      </c>
      <c r="CH16" s="7">
        <v>17</v>
      </c>
      <c r="CI16" s="7">
        <v>1</v>
      </c>
      <c r="CJ16" s="7">
        <v>0</v>
      </c>
      <c r="CK16" s="7">
        <v>0</v>
      </c>
      <c r="CL16" s="7">
        <v>5</v>
      </c>
      <c r="CM16" s="7">
        <v>21</v>
      </c>
      <c r="CN16" s="7">
        <v>9</v>
      </c>
      <c r="CO16" s="7">
        <v>0</v>
      </c>
      <c r="CP16" s="7">
        <v>0</v>
      </c>
      <c r="CQ16" s="7">
        <v>0</v>
      </c>
      <c r="CR16" s="7">
        <v>147</v>
      </c>
      <c r="CS16" s="9">
        <v>60.045006802721062</v>
      </c>
      <c r="CT16" s="9">
        <v>54.920285714285733</v>
      </c>
      <c r="CU16" s="9">
        <v>57.482993197278901</v>
      </c>
      <c r="CV16" s="9">
        <v>114.96529251700669</v>
      </c>
      <c r="CW16" s="7">
        <v>18</v>
      </c>
      <c r="CX16" s="7">
        <v>51</v>
      </c>
      <c r="CY16" s="7">
        <v>64</v>
      </c>
      <c r="CZ16" s="7">
        <v>14</v>
      </c>
      <c r="DA16" s="7">
        <v>1</v>
      </c>
      <c r="DB16" s="7">
        <v>0</v>
      </c>
      <c r="DC16" s="7">
        <v>16</v>
      </c>
      <c r="DD16" s="7">
        <v>82</v>
      </c>
      <c r="DE16" s="7">
        <v>33</v>
      </c>
      <c r="DF16" s="7">
        <v>16</v>
      </c>
      <c r="DG16" s="7">
        <v>0</v>
      </c>
      <c r="DH16" s="7">
        <v>0</v>
      </c>
      <c r="DI16" s="18">
        <f t="shared" si="3"/>
        <v>162</v>
      </c>
      <c r="DJ16" s="18">
        <f t="shared" si="4"/>
        <v>104</v>
      </c>
      <c r="DK16" s="18">
        <f t="shared" si="5"/>
        <v>175</v>
      </c>
      <c r="DL16" s="18">
        <f t="shared" si="0"/>
        <v>20</v>
      </c>
      <c r="DM16" s="18">
        <f t="shared" si="1"/>
        <v>15</v>
      </c>
      <c r="DN16" s="18">
        <f t="shared" si="2"/>
        <v>22</v>
      </c>
      <c r="DO16" s="18">
        <v>313</v>
      </c>
      <c r="DP16" s="18">
        <v>124</v>
      </c>
      <c r="DQ16" s="18">
        <v>313</v>
      </c>
      <c r="DR16" s="18">
        <v>34</v>
      </c>
      <c r="DS16" s="18">
        <v>18</v>
      </c>
      <c r="DT16" s="18">
        <v>34</v>
      </c>
      <c r="DU16" s="18" t="s">
        <v>2</v>
      </c>
    </row>
    <row r="17" spans="20:125" x14ac:dyDescent="0.25">
      <c r="T17" s="37"/>
      <c r="U17" s="37"/>
      <c r="V17" s="37"/>
      <c r="W17" s="37"/>
      <c r="X17" s="37"/>
      <c r="Y17" s="37"/>
      <c r="BB17" s="7">
        <v>14</v>
      </c>
      <c r="BC17" s="7" t="s">
        <v>332</v>
      </c>
      <c r="BD17" s="23" t="s">
        <v>2</v>
      </c>
      <c r="BE17" s="26">
        <v>750038450</v>
      </c>
      <c r="BF17" s="25" t="s">
        <v>20</v>
      </c>
      <c r="BG17" s="7">
        <v>144</v>
      </c>
      <c r="BH17" s="7" t="s">
        <v>320</v>
      </c>
      <c r="BI17" s="7" t="s">
        <v>367</v>
      </c>
      <c r="BJ17" s="7">
        <v>90</v>
      </c>
      <c r="BK17" s="9">
        <v>68.073700000000017</v>
      </c>
      <c r="BL17" s="9">
        <v>65.962600000000023</v>
      </c>
      <c r="BM17" s="9">
        <v>67.018518518518519</v>
      </c>
      <c r="BN17" s="9">
        <v>134.03629999999993</v>
      </c>
      <c r="BO17" s="7">
        <v>2</v>
      </c>
      <c r="BP17" s="7">
        <v>27</v>
      </c>
      <c r="BQ17" s="7">
        <v>35</v>
      </c>
      <c r="BR17" s="7">
        <v>26</v>
      </c>
      <c r="BS17" s="7">
        <v>0</v>
      </c>
      <c r="BT17" s="7">
        <v>2</v>
      </c>
      <c r="BU17" s="7">
        <v>3</v>
      </c>
      <c r="BV17" s="7">
        <v>31</v>
      </c>
      <c r="BW17" s="7">
        <v>37</v>
      </c>
      <c r="BX17" s="7">
        <v>19</v>
      </c>
      <c r="BY17" s="7">
        <v>0</v>
      </c>
      <c r="BZ17" s="7">
        <v>0</v>
      </c>
      <c r="CA17" s="7"/>
      <c r="CB17" s="9"/>
      <c r="CC17" s="9"/>
      <c r="CD17" s="9"/>
      <c r="CE17" s="9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>
        <v>90</v>
      </c>
      <c r="CS17" s="9">
        <v>68.073700000000017</v>
      </c>
      <c r="CT17" s="9">
        <v>65.962600000000023</v>
      </c>
      <c r="CU17" s="9">
        <v>67.018518518518519</v>
      </c>
      <c r="CV17" s="9">
        <v>134.03629999999993</v>
      </c>
      <c r="CW17" s="7">
        <v>2</v>
      </c>
      <c r="CX17" s="7">
        <v>27</v>
      </c>
      <c r="CY17" s="7">
        <v>35</v>
      </c>
      <c r="CZ17" s="7">
        <v>26</v>
      </c>
      <c r="DA17" s="7">
        <v>0</v>
      </c>
      <c r="DB17" s="7">
        <v>2</v>
      </c>
      <c r="DC17" s="7">
        <v>3</v>
      </c>
      <c r="DD17" s="7">
        <v>31</v>
      </c>
      <c r="DE17" s="7">
        <v>37</v>
      </c>
      <c r="DF17" s="7">
        <v>19</v>
      </c>
      <c r="DG17" s="7">
        <v>0</v>
      </c>
      <c r="DH17" s="7">
        <v>0</v>
      </c>
      <c r="DI17" s="18">
        <f t="shared" si="3"/>
        <v>35</v>
      </c>
      <c r="DJ17" s="18" t="str">
        <f t="shared" si="4"/>
        <v/>
      </c>
      <c r="DK17" s="18">
        <f t="shared" si="5"/>
        <v>27</v>
      </c>
      <c r="DL17" s="18">
        <f t="shared" si="0"/>
        <v>5</v>
      </c>
      <c r="DM17" s="18" t="str">
        <f t="shared" si="1"/>
        <v/>
      </c>
      <c r="DN17" s="18">
        <f t="shared" si="2"/>
        <v>5</v>
      </c>
      <c r="DO17" s="18">
        <v>313</v>
      </c>
      <c r="DP17" s="18">
        <v>124</v>
      </c>
      <c r="DQ17" s="18">
        <v>313</v>
      </c>
      <c r="DR17" s="18">
        <v>34</v>
      </c>
      <c r="DS17" s="18">
        <v>18</v>
      </c>
      <c r="DT17" s="18">
        <v>34</v>
      </c>
      <c r="DU17" s="18" t="s">
        <v>2</v>
      </c>
    </row>
    <row r="18" spans="20:125" x14ac:dyDescent="0.25">
      <c r="T18" s="37"/>
      <c r="U18" s="37"/>
      <c r="V18" s="37"/>
      <c r="W18" s="37"/>
      <c r="X18" s="37"/>
      <c r="Y18" s="37"/>
      <c r="BB18" s="7">
        <v>15</v>
      </c>
      <c r="BC18" s="7" t="s">
        <v>332</v>
      </c>
      <c r="BD18" s="23" t="s">
        <v>2</v>
      </c>
      <c r="BE18" s="26">
        <v>566880664</v>
      </c>
      <c r="BF18" s="25" t="s">
        <v>8</v>
      </c>
      <c r="BG18" s="7">
        <v>157</v>
      </c>
      <c r="BH18" s="7" t="s">
        <v>320</v>
      </c>
      <c r="BI18" s="7" t="s">
        <v>368</v>
      </c>
      <c r="BJ18" s="7">
        <v>78</v>
      </c>
      <c r="BK18" s="9">
        <v>66.281730769230762</v>
      </c>
      <c r="BL18" s="9">
        <v>61.709102564102579</v>
      </c>
      <c r="BM18" s="9">
        <v>63.995726495726501</v>
      </c>
      <c r="BN18" s="9">
        <v>127.99083333333328</v>
      </c>
      <c r="BO18" s="7">
        <v>5</v>
      </c>
      <c r="BP18" s="7">
        <v>21</v>
      </c>
      <c r="BQ18" s="7">
        <v>28</v>
      </c>
      <c r="BR18" s="7">
        <v>24</v>
      </c>
      <c r="BS18" s="7">
        <v>0</v>
      </c>
      <c r="BT18" s="7">
        <v>1</v>
      </c>
      <c r="BU18" s="7">
        <v>5</v>
      </c>
      <c r="BV18" s="7">
        <v>36</v>
      </c>
      <c r="BW18" s="7">
        <v>20</v>
      </c>
      <c r="BX18" s="7">
        <v>17</v>
      </c>
      <c r="BY18" s="7">
        <v>0</v>
      </c>
      <c r="BZ18" s="7">
        <v>2</v>
      </c>
      <c r="CA18" s="7">
        <v>41</v>
      </c>
      <c r="CB18" s="9">
        <v>60.812682926829282</v>
      </c>
      <c r="CC18" s="9">
        <v>57.967146341463433</v>
      </c>
      <c r="CD18" s="9">
        <v>59.390243902439039</v>
      </c>
      <c r="CE18" s="9">
        <v>118.77982926829266</v>
      </c>
      <c r="CF18" s="7">
        <v>3</v>
      </c>
      <c r="CG18" s="7">
        <v>17</v>
      </c>
      <c r="CH18" s="7">
        <v>14</v>
      </c>
      <c r="CI18" s="7">
        <v>7</v>
      </c>
      <c r="CJ18" s="7">
        <v>0</v>
      </c>
      <c r="CK18" s="7">
        <v>0</v>
      </c>
      <c r="CL18" s="7">
        <v>3</v>
      </c>
      <c r="CM18" s="7">
        <v>17</v>
      </c>
      <c r="CN18" s="7">
        <v>16</v>
      </c>
      <c r="CO18" s="7">
        <v>5</v>
      </c>
      <c r="CP18" s="7">
        <v>0</v>
      </c>
      <c r="CQ18" s="7">
        <v>0</v>
      </c>
      <c r="CR18" s="7">
        <v>119</v>
      </c>
      <c r="CS18" s="9">
        <v>64.397436974789883</v>
      </c>
      <c r="CT18" s="9">
        <v>60.419857142857119</v>
      </c>
      <c r="CU18" s="9">
        <v>62.408963585434194</v>
      </c>
      <c r="CV18" s="9">
        <v>124.81729411764701</v>
      </c>
      <c r="CW18" s="7">
        <v>8</v>
      </c>
      <c r="CX18" s="7">
        <v>38</v>
      </c>
      <c r="CY18" s="7">
        <v>42</v>
      </c>
      <c r="CZ18" s="7">
        <v>31</v>
      </c>
      <c r="DA18" s="7">
        <v>0</v>
      </c>
      <c r="DB18" s="7">
        <v>1</v>
      </c>
      <c r="DC18" s="7">
        <v>8</v>
      </c>
      <c r="DD18" s="7">
        <v>53</v>
      </c>
      <c r="DE18" s="7">
        <v>36</v>
      </c>
      <c r="DF18" s="7">
        <v>22</v>
      </c>
      <c r="DG18" s="7">
        <v>0</v>
      </c>
      <c r="DH18" s="7">
        <v>2</v>
      </c>
      <c r="DI18" s="18">
        <f t="shared" si="3"/>
        <v>72</v>
      </c>
      <c r="DJ18" s="18">
        <f t="shared" si="4"/>
        <v>64</v>
      </c>
      <c r="DK18" s="18">
        <f t="shared" si="5"/>
        <v>85</v>
      </c>
      <c r="DL18" s="18">
        <f t="shared" si="0"/>
        <v>7</v>
      </c>
      <c r="DM18" s="18">
        <f t="shared" si="1"/>
        <v>8</v>
      </c>
      <c r="DN18" s="18">
        <f t="shared" si="2"/>
        <v>9</v>
      </c>
      <c r="DO18" s="18">
        <v>313</v>
      </c>
      <c r="DP18" s="18">
        <v>124</v>
      </c>
      <c r="DQ18" s="18">
        <v>313</v>
      </c>
      <c r="DR18" s="18">
        <v>34</v>
      </c>
      <c r="DS18" s="18">
        <v>18</v>
      </c>
      <c r="DT18" s="18">
        <v>34</v>
      </c>
      <c r="DU18" s="18" t="s">
        <v>2</v>
      </c>
    </row>
    <row r="19" spans="20:125" x14ac:dyDescent="0.25">
      <c r="T19" s="37"/>
      <c r="U19" s="37"/>
      <c r="V19" s="37"/>
      <c r="W19" s="37"/>
      <c r="X19" s="37"/>
      <c r="Y19" s="37"/>
      <c r="BB19" s="7">
        <v>16</v>
      </c>
      <c r="BC19" s="7" t="s">
        <v>332</v>
      </c>
      <c r="BD19" s="23" t="s">
        <v>2</v>
      </c>
      <c r="BE19" s="26">
        <v>523653991</v>
      </c>
      <c r="BF19" s="25" t="s">
        <v>9</v>
      </c>
      <c r="BG19" s="7">
        <v>179</v>
      </c>
      <c r="BH19" s="7" t="s">
        <v>320</v>
      </c>
      <c r="BI19" s="7" t="s">
        <v>368</v>
      </c>
      <c r="BJ19" s="7">
        <v>273</v>
      </c>
      <c r="BK19" s="9">
        <v>59.901970695970654</v>
      </c>
      <c r="BL19" s="9">
        <v>53.101007326007299</v>
      </c>
      <c r="BM19" s="9">
        <v>56.501831501831489</v>
      </c>
      <c r="BN19" s="9">
        <v>113.00297802197788</v>
      </c>
      <c r="BO19" s="7">
        <v>32</v>
      </c>
      <c r="BP19" s="7">
        <v>107</v>
      </c>
      <c r="BQ19" s="7">
        <v>86</v>
      </c>
      <c r="BR19" s="7">
        <v>48</v>
      </c>
      <c r="BS19" s="7">
        <v>1</v>
      </c>
      <c r="BT19" s="7">
        <v>2</v>
      </c>
      <c r="BU19" s="7">
        <v>44</v>
      </c>
      <c r="BV19" s="7">
        <v>128</v>
      </c>
      <c r="BW19" s="7">
        <v>76</v>
      </c>
      <c r="BX19" s="7">
        <v>25</v>
      </c>
      <c r="BY19" s="7">
        <v>0</v>
      </c>
      <c r="BZ19" s="7">
        <v>0</v>
      </c>
      <c r="CA19" s="7">
        <v>69</v>
      </c>
      <c r="CB19" s="9">
        <v>57.294362318840612</v>
      </c>
      <c r="CC19" s="9">
        <v>45.845028985507263</v>
      </c>
      <c r="CD19" s="9">
        <v>51.570048309178745</v>
      </c>
      <c r="CE19" s="9">
        <v>103.13939130434782</v>
      </c>
      <c r="CF19" s="7">
        <v>10</v>
      </c>
      <c r="CG19" s="7">
        <v>29</v>
      </c>
      <c r="CH19" s="7">
        <v>22</v>
      </c>
      <c r="CI19" s="7">
        <v>8</v>
      </c>
      <c r="CJ19" s="7">
        <v>0</v>
      </c>
      <c r="CK19" s="7">
        <v>0</v>
      </c>
      <c r="CL19" s="7">
        <v>18</v>
      </c>
      <c r="CM19" s="7">
        <v>35</v>
      </c>
      <c r="CN19" s="7">
        <v>15</v>
      </c>
      <c r="CO19" s="7">
        <v>1</v>
      </c>
      <c r="CP19" s="7">
        <v>0</v>
      </c>
      <c r="CQ19" s="7">
        <v>0</v>
      </c>
      <c r="CR19" s="7">
        <v>342</v>
      </c>
      <c r="CS19" s="9">
        <v>59.375874269005848</v>
      </c>
      <c r="CT19" s="9">
        <v>51.637081871344968</v>
      </c>
      <c r="CU19" s="9">
        <v>55.506822612085756</v>
      </c>
      <c r="CV19" s="9">
        <v>111.01295614035068</v>
      </c>
      <c r="CW19" s="7">
        <v>42</v>
      </c>
      <c r="CX19" s="7">
        <v>136</v>
      </c>
      <c r="CY19" s="7">
        <v>108</v>
      </c>
      <c r="CZ19" s="7">
        <v>56</v>
      </c>
      <c r="DA19" s="7">
        <v>1</v>
      </c>
      <c r="DB19" s="7">
        <v>2</v>
      </c>
      <c r="DC19" s="7">
        <v>62</v>
      </c>
      <c r="DD19" s="7">
        <v>163</v>
      </c>
      <c r="DE19" s="7">
        <v>91</v>
      </c>
      <c r="DF19" s="7">
        <v>26</v>
      </c>
      <c r="DG19" s="7">
        <v>0</v>
      </c>
      <c r="DH19" s="7">
        <v>0</v>
      </c>
      <c r="DI19" s="18">
        <f t="shared" si="3"/>
        <v>194</v>
      </c>
      <c r="DJ19" s="18">
        <f t="shared" si="4"/>
        <v>114</v>
      </c>
      <c r="DK19" s="18">
        <f t="shared" si="5"/>
        <v>213</v>
      </c>
      <c r="DL19" s="18">
        <f t="shared" si="0"/>
        <v>24</v>
      </c>
      <c r="DM19" s="18">
        <f t="shared" si="1"/>
        <v>18</v>
      </c>
      <c r="DN19" s="18">
        <f t="shared" si="2"/>
        <v>28</v>
      </c>
      <c r="DO19" s="18">
        <v>313</v>
      </c>
      <c r="DP19" s="18">
        <v>124</v>
      </c>
      <c r="DQ19" s="18">
        <v>313</v>
      </c>
      <c r="DR19" s="18">
        <v>34</v>
      </c>
      <c r="DS19" s="18">
        <v>18</v>
      </c>
      <c r="DT19" s="18">
        <v>34</v>
      </c>
      <c r="DU19" s="18" t="s">
        <v>2</v>
      </c>
    </row>
    <row r="20" spans="20:125" x14ac:dyDescent="0.25">
      <c r="T20" s="37"/>
      <c r="U20" s="37"/>
      <c r="V20" s="37"/>
      <c r="W20" s="37"/>
      <c r="X20" s="37"/>
      <c r="Y20" s="37"/>
      <c r="BB20" s="7">
        <v>17</v>
      </c>
      <c r="BC20" s="7" t="s">
        <v>332</v>
      </c>
      <c r="BD20" s="23" t="s">
        <v>2</v>
      </c>
      <c r="BE20" s="26">
        <v>891697193</v>
      </c>
      <c r="BF20" s="25" t="s">
        <v>29</v>
      </c>
      <c r="BG20" s="7">
        <v>182</v>
      </c>
      <c r="BH20" s="7" t="s">
        <v>320</v>
      </c>
      <c r="BI20" s="7" t="s">
        <v>367</v>
      </c>
      <c r="BJ20" s="7">
        <v>488</v>
      </c>
      <c r="BK20" s="9">
        <v>61.755137295081937</v>
      </c>
      <c r="BL20" s="9">
        <v>56.413598360655641</v>
      </c>
      <c r="BM20" s="9">
        <v>59.084699453551934</v>
      </c>
      <c r="BN20" s="9">
        <v>118.16873565573762</v>
      </c>
      <c r="BO20" s="7">
        <v>47</v>
      </c>
      <c r="BP20" s="7">
        <v>180</v>
      </c>
      <c r="BQ20" s="7">
        <v>166</v>
      </c>
      <c r="BR20" s="7">
        <v>95</v>
      </c>
      <c r="BS20" s="7">
        <v>4</v>
      </c>
      <c r="BT20" s="7">
        <v>4</v>
      </c>
      <c r="BU20" s="7">
        <v>57</v>
      </c>
      <c r="BV20" s="7">
        <v>219</v>
      </c>
      <c r="BW20" s="7">
        <v>153</v>
      </c>
      <c r="BX20" s="7">
        <v>59</v>
      </c>
      <c r="BY20" s="7">
        <v>0</v>
      </c>
      <c r="BZ20" s="7">
        <v>0</v>
      </c>
      <c r="CA20" s="7"/>
      <c r="CB20" s="9"/>
      <c r="CC20" s="9"/>
      <c r="CD20" s="9"/>
      <c r="CE20" s="9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>
        <v>488</v>
      </c>
      <c r="CS20" s="9">
        <v>61.755137295081937</v>
      </c>
      <c r="CT20" s="9">
        <v>56.413598360655641</v>
      </c>
      <c r="CU20" s="9">
        <v>59.084699453551934</v>
      </c>
      <c r="CV20" s="9">
        <v>118.16873565573762</v>
      </c>
      <c r="CW20" s="7">
        <v>47</v>
      </c>
      <c r="CX20" s="7">
        <v>180</v>
      </c>
      <c r="CY20" s="7">
        <v>166</v>
      </c>
      <c r="CZ20" s="7">
        <v>95</v>
      </c>
      <c r="DA20" s="7">
        <v>4</v>
      </c>
      <c r="DB20" s="7">
        <v>4</v>
      </c>
      <c r="DC20" s="7">
        <v>57</v>
      </c>
      <c r="DD20" s="7">
        <v>219</v>
      </c>
      <c r="DE20" s="7">
        <v>153</v>
      </c>
      <c r="DF20" s="7">
        <v>59</v>
      </c>
      <c r="DG20" s="7">
        <v>0</v>
      </c>
      <c r="DH20" s="7">
        <v>0</v>
      </c>
      <c r="DI20" s="18">
        <f t="shared" si="3"/>
        <v>152</v>
      </c>
      <c r="DJ20" s="18" t="str">
        <f t="shared" si="4"/>
        <v/>
      </c>
      <c r="DK20" s="18">
        <f t="shared" si="5"/>
        <v>148</v>
      </c>
      <c r="DL20" s="18">
        <f t="shared" si="0"/>
        <v>19</v>
      </c>
      <c r="DM20" s="18" t="str">
        <f t="shared" si="1"/>
        <v/>
      </c>
      <c r="DN20" s="18">
        <f t="shared" si="2"/>
        <v>18</v>
      </c>
      <c r="DO20" s="18">
        <v>313</v>
      </c>
      <c r="DP20" s="18">
        <v>124</v>
      </c>
      <c r="DQ20" s="18">
        <v>313</v>
      </c>
      <c r="DR20" s="18">
        <v>34</v>
      </c>
      <c r="DS20" s="18">
        <v>18</v>
      </c>
      <c r="DT20" s="18">
        <v>34</v>
      </c>
      <c r="DU20" s="18" t="s">
        <v>2</v>
      </c>
    </row>
    <row r="21" spans="20:125" x14ac:dyDescent="0.25">
      <c r="T21" s="37"/>
      <c r="U21" s="37"/>
      <c r="V21" s="37"/>
      <c r="W21" s="37"/>
      <c r="X21" s="37"/>
      <c r="Y21" s="37"/>
      <c r="BB21" s="7">
        <v>18</v>
      </c>
      <c r="BC21" s="7" t="s">
        <v>332</v>
      </c>
      <c r="BD21" s="23" t="s">
        <v>2</v>
      </c>
      <c r="BE21" s="26">
        <v>942021214</v>
      </c>
      <c r="BF21" s="25" t="s">
        <v>27</v>
      </c>
      <c r="BG21" s="7">
        <v>205</v>
      </c>
      <c r="BH21" s="7" t="s">
        <v>320</v>
      </c>
      <c r="BI21" s="7" t="s">
        <v>367</v>
      </c>
      <c r="BJ21" s="7">
        <v>141</v>
      </c>
      <c r="BK21" s="9">
        <v>61.158099290780136</v>
      </c>
      <c r="BL21" s="9">
        <v>53.994929078014216</v>
      </c>
      <c r="BM21" s="9">
        <v>57.576832151300231</v>
      </c>
      <c r="BN21" s="9">
        <v>115.15302836879422</v>
      </c>
      <c r="BO21" s="7">
        <v>21</v>
      </c>
      <c r="BP21" s="7">
        <v>44</v>
      </c>
      <c r="BQ21" s="7">
        <v>43</v>
      </c>
      <c r="BR21" s="7">
        <v>33</v>
      </c>
      <c r="BS21" s="7">
        <v>0</v>
      </c>
      <c r="BT21" s="7">
        <v>2</v>
      </c>
      <c r="BU21" s="7">
        <v>28</v>
      </c>
      <c r="BV21" s="7">
        <v>55</v>
      </c>
      <c r="BW21" s="7">
        <v>42</v>
      </c>
      <c r="BX21" s="7">
        <v>16</v>
      </c>
      <c r="BY21" s="7">
        <v>0</v>
      </c>
      <c r="BZ21" s="7">
        <v>0</v>
      </c>
      <c r="CA21" s="7"/>
      <c r="CB21" s="9"/>
      <c r="CC21" s="9"/>
      <c r="CD21" s="9"/>
      <c r="CE21" s="9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>
        <v>141</v>
      </c>
      <c r="CS21" s="9">
        <v>61.158099290780136</v>
      </c>
      <c r="CT21" s="9">
        <v>53.994929078014216</v>
      </c>
      <c r="CU21" s="9">
        <v>57.576832151300231</v>
      </c>
      <c r="CV21" s="9">
        <v>115.15302836879422</v>
      </c>
      <c r="CW21" s="7">
        <v>21</v>
      </c>
      <c r="CX21" s="7">
        <v>44</v>
      </c>
      <c r="CY21" s="7">
        <v>43</v>
      </c>
      <c r="CZ21" s="7">
        <v>33</v>
      </c>
      <c r="DA21" s="7">
        <v>0</v>
      </c>
      <c r="DB21" s="7">
        <v>2</v>
      </c>
      <c r="DC21" s="7">
        <v>28</v>
      </c>
      <c r="DD21" s="7">
        <v>55</v>
      </c>
      <c r="DE21" s="7">
        <v>42</v>
      </c>
      <c r="DF21" s="7">
        <v>16</v>
      </c>
      <c r="DG21" s="7">
        <v>0</v>
      </c>
      <c r="DH21" s="7">
        <v>0</v>
      </c>
      <c r="DI21" s="18">
        <f t="shared" si="3"/>
        <v>177</v>
      </c>
      <c r="DJ21" s="18" t="str">
        <f t="shared" si="4"/>
        <v/>
      </c>
      <c r="DK21" s="18">
        <f t="shared" si="5"/>
        <v>174</v>
      </c>
      <c r="DL21" s="18">
        <f t="shared" si="0"/>
        <v>21</v>
      </c>
      <c r="DM21" s="18" t="str">
        <f t="shared" si="1"/>
        <v/>
      </c>
      <c r="DN21" s="18">
        <f t="shared" si="2"/>
        <v>21</v>
      </c>
      <c r="DO21" s="18">
        <v>313</v>
      </c>
      <c r="DP21" s="18">
        <v>124</v>
      </c>
      <c r="DQ21" s="18">
        <v>313</v>
      </c>
      <c r="DR21" s="18">
        <v>34</v>
      </c>
      <c r="DS21" s="18">
        <v>18</v>
      </c>
      <c r="DT21" s="18">
        <v>34</v>
      </c>
      <c r="DU21" s="18" t="s">
        <v>2</v>
      </c>
    </row>
    <row r="22" spans="20:125" x14ac:dyDescent="0.25">
      <c r="T22" s="37"/>
      <c r="U22" s="37"/>
      <c r="V22" s="37"/>
      <c r="W22" s="37"/>
      <c r="X22" s="37"/>
      <c r="Y22" s="37"/>
      <c r="BB22" s="7">
        <v>19</v>
      </c>
      <c r="BC22" s="7" t="s">
        <v>332</v>
      </c>
      <c r="BD22" s="23" t="s">
        <v>2</v>
      </c>
      <c r="BE22" s="26">
        <v>677788676</v>
      </c>
      <c r="BF22" s="25" t="s">
        <v>10</v>
      </c>
      <c r="BG22" s="7">
        <v>217</v>
      </c>
      <c r="BH22" s="7" t="s">
        <v>320</v>
      </c>
      <c r="BI22" s="7" t="s">
        <v>367</v>
      </c>
      <c r="BJ22" s="7">
        <v>262</v>
      </c>
      <c r="BK22" s="9">
        <v>60.62309541984726</v>
      </c>
      <c r="BL22" s="9">
        <v>49.363538167938913</v>
      </c>
      <c r="BM22" s="9">
        <v>54.993638676844753</v>
      </c>
      <c r="BN22" s="9">
        <v>109.9866335877861</v>
      </c>
      <c r="BO22" s="7">
        <v>22</v>
      </c>
      <c r="BP22" s="7">
        <v>100</v>
      </c>
      <c r="BQ22" s="7">
        <v>102</v>
      </c>
      <c r="BR22" s="7">
        <v>38</v>
      </c>
      <c r="BS22" s="7">
        <v>4</v>
      </c>
      <c r="BT22" s="7">
        <v>0</v>
      </c>
      <c r="BU22" s="7">
        <v>47</v>
      </c>
      <c r="BV22" s="7">
        <v>147</v>
      </c>
      <c r="BW22" s="7">
        <v>61</v>
      </c>
      <c r="BX22" s="7">
        <v>7</v>
      </c>
      <c r="BY22" s="7">
        <v>0</v>
      </c>
      <c r="BZ22" s="7">
        <v>0</v>
      </c>
      <c r="CA22" s="7"/>
      <c r="CB22" s="9"/>
      <c r="CC22" s="9"/>
      <c r="CD22" s="9"/>
      <c r="CE22" s="9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>
        <v>262</v>
      </c>
      <c r="CS22" s="9">
        <v>60.62309541984726</v>
      </c>
      <c r="CT22" s="9">
        <v>49.363538167938913</v>
      </c>
      <c r="CU22" s="9">
        <v>54.993638676844753</v>
      </c>
      <c r="CV22" s="9">
        <v>109.9866335877861</v>
      </c>
      <c r="CW22" s="7">
        <v>22</v>
      </c>
      <c r="CX22" s="7">
        <v>100</v>
      </c>
      <c r="CY22" s="7">
        <v>102</v>
      </c>
      <c r="CZ22" s="7">
        <v>38</v>
      </c>
      <c r="DA22" s="7">
        <v>4</v>
      </c>
      <c r="DB22" s="7">
        <v>0</v>
      </c>
      <c r="DC22" s="7">
        <v>47</v>
      </c>
      <c r="DD22" s="7">
        <v>147</v>
      </c>
      <c r="DE22" s="7">
        <v>61</v>
      </c>
      <c r="DF22" s="7">
        <v>7</v>
      </c>
      <c r="DG22" s="7">
        <v>0</v>
      </c>
      <c r="DH22" s="7">
        <v>0</v>
      </c>
      <c r="DI22" s="18">
        <f t="shared" si="3"/>
        <v>216</v>
      </c>
      <c r="DJ22" s="18" t="str">
        <f t="shared" si="4"/>
        <v/>
      </c>
      <c r="DK22" s="18">
        <f t="shared" si="5"/>
        <v>221</v>
      </c>
      <c r="DL22" s="18">
        <f t="shared" si="0"/>
        <v>28</v>
      </c>
      <c r="DM22" s="18" t="str">
        <f t="shared" si="1"/>
        <v/>
      </c>
      <c r="DN22" s="18">
        <f t="shared" si="2"/>
        <v>29</v>
      </c>
      <c r="DO22" s="18">
        <v>313</v>
      </c>
      <c r="DP22" s="18">
        <v>124</v>
      </c>
      <c r="DQ22" s="18">
        <v>313</v>
      </c>
      <c r="DR22" s="18">
        <v>34</v>
      </c>
      <c r="DS22" s="18">
        <v>18</v>
      </c>
      <c r="DT22" s="18">
        <v>34</v>
      </c>
      <c r="DU22" s="18" t="s">
        <v>2</v>
      </c>
    </row>
    <row r="23" spans="20:125" x14ac:dyDescent="0.25">
      <c r="T23" s="37"/>
      <c r="U23" s="37"/>
      <c r="V23" s="37"/>
      <c r="W23" s="37"/>
      <c r="X23" s="37"/>
      <c r="Y23" s="37"/>
      <c r="BB23" s="7">
        <v>20</v>
      </c>
      <c r="BC23" s="7" t="s">
        <v>332</v>
      </c>
      <c r="BD23" s="23" t="s">
        <v>2</v>
      </c>
      <c r="BE23" s="26">
        <v>783942883</v>
      </c>
      <c r="BF23" s="25" t="s">
        <v>28</v>
      </c>
      <c r="BG23" s="7">
        <v>244</v>
      </c>
      <c r="BH23" s="7" t="s">
        <v>320</v>
      </c>
      <c r="BI23" s="7" t="s">
        <v>368</v>
      </c>
      <c r="BJ23" s="7">
        <v>239</v>
      </c>
      <c r="BK23" s="9">
        <v>64.39295397489532</v>
      </c>
      <c r="BL23" s="9">
        <v>59.455732217573185</v>
      </c>
      <c r="BM23" s="9">
        <v>61.924686192468613</v>
      </c>
      <c r="BN23" s="9">
        <v>123.84868619246849</v>
      </c>
      <c r="BO23" s="7">
        <v>16</v>
      </c>
      <c r="BP23" s="7">
        <v>80</v>
      </c>
      <c r="BQ23" s="7">
        <v>91</v>
      </c>
      <c r="BR23" s="7">
        <v>52</v>
      </c>
      <c r="BS23" s="7">
        <v>1</v>
      </c>
      <c r="BT23" s="7">
        <v>6</v>
      </c>
      <c r="BU23" s="7">
        <v>28</v>
      </c>
      <c r="BV23" s="7">
        <v>89</v>
      </c>
      <c r="BW23" s="7">
        <v>87</v>
      </c>
      <c r="BX23" s="7">
        <v>35</v>
      </c>
      <c r="BY23" s="7">
        <v>0</v>
      </c>
      <c r="BZ23" s="7">
        <v>1</v>
      </c>
      <c r="CA23" s="7">
        <v>103</v>
      </c>
      <c r="CB23" s="9">
        <v>64.983504854368931</v>
      </c>
      <c r="CC23" s="9">
        <v>57.604825242718448</v>
      </c>
      <c r="CD23" s="9">
        <v>61.294498381876984</v>
      </c>
      <c r="CE23" s="9">
        <v>122.58833009708727</v>
      </c>
      <c r="CF23" s="7">
        <v>7</v>
      </c>
      <c r="CG23" s="7">
        <v>24</v>
      </c>
      <c r="CH23" s="7">
        <v>64</v>
      </c>
      <c r="CI23" s="7">
        <v>8</v>
      </c>
      <c r="CJ23" s="7">
        <v>0</v>
      </c>
      <c r="CK23" s="7">
        <v>0</v>
      </c>
      <c r="CL23" s="7">
        <v>9</v>
      </c>
      <c r="CM23" s="7">
        <v>54</v>
      </c>
      <c r="CN23" s="7">
        <v>30</v>
      </c>
      <c r="CO23" s="7">
        <v>10</v>
      </c>
      <c r="CP23" s="7">
        <v>0</v>
      </c>
      <c r="CQ23" s="7">
        <v>0</v>
      </c>
      <c r="CR23" s="7">
        <v>342</v>
      </c>
      <c r="CS23" s="9">
        <v>64.570809941520409</v>
      </c>
      <c r="CT23" s="9">
        <v>58.898295321637399</v>
      </c>
      <c r="CU23" s="9">
        <v>61.734892787524352</v>
      </c>
      <c r="CV23" s="9">
        <v>123.4691052631577</v>
      </c>
      <c r="CW23" s="7">
        <v>23</v>
      </c>
      <c r="CX23" s="7">
        <v>104</v>
      </c>
      <c r="CY23" s="7">
        <v>155</v>
      </c>
      <c r="CZ23" s="7">
        <v>60</v>
      </c>
      <c r="DA23" s="7">
        <v>1</v>
      </c>
      <c r="DB23" s="7">
        <v>6</v>
      </c>
      <c r="DC23" s="7">
        <v>37</v>
      </c>
      <c r="DD23" s="7">
        <v>143</v>
      </c>
      <c r="DE23" s="7">
        <v>117</v>
      </c>
      <c r="DF23" s="7">
        <v>45</v>
      </c>
      <c r="DG23" s="7">
        <v>0</v>
      </c>
      <c r="DH23" s="7">
        <v>1</v>
      </c>
      <c r="DI23" s="18">
        <f t="shared" si="3"/>
        <v>105</v>
      </c>
      <c r="DJ23" s="18">
        <f t="shared" si="4"/>
        <v>42</v>
      </c>
      <c r="DK23" s="18">
        <f t="shared" si="5"/>
        <v>99</v>
      </c>
      <c r="DL23" s="18">
        <f t="shared" si="0"/>
        <v>12</v>
      </c>
      <c r="DM23" s="18">
        <f t="shared" si="1"/>
        <v>6</v>
      </c>
      <c r="DN23" s="18">
        <f t="shared" si="2"/>
        <v>11</v>
      </c>
      <c r="DO23" s="18">
        <v>313</v>
      </c>
      <c r="DP23" s="18">
        <v>124</v>
      </c>
      <c r="DQ23" s="18">
        <v>313</v>
      </c>
      <c r="DR23" s="18">
        <v>34</v>
      </c>
      <c r="DS23" s="18">
        <v>18</v>
      </c>
      <c r="DT23" s="18">
        <v>34</v>
      </c>
      <c r="DU23" s="18" t="s">
        <v>2</v>
      </c>
    </row>
    <row r="24" spans="20:125" x14ac:dyDescent="0.25">
      <c r="T24" s="37"/>
      <c r="U24" s="37"/>
      <c r="V24" s="37"/>
      <c r="W24" s="37"/>
      <c r="X24" s="37"/>
      <c r="Y24" s="37"/>
      <c r="BB24" s="7">
        <v>21</v>
      </c>
      <c r="BC24" s="7" t="s">
        <v>332</v>
      </c>
      <c r="BD24" s="23" t="s">
        <v>2</v>
      </c>
      <c r="BE24" s="26">
        <v>749261545</v>
      </c>
      <c r="BF24" s="25" t="s">
        <v>34</v>
      </c>
      <c r="BG24" s="7">
        <v>246</v>
      </c>
      <c r="BH24" s="7" t="s">
        <v>322</v>
      </c>
      <c r="BI24" s="7" t="s">
        <v>368</v>
      </c>
      <c r="BJ24" s="7">
        <v>157</v>
      </c>
      <c r="BK24" s="9">
        <v>66.645114649681517</v>
      </c>
      <c r="BL24" s="9">
        <v>59.107968152866228</v>
      </c>
      <c r="BM24" s="9">
        <v>62.876857749469224</v>
      </c>
      <c r="BN24" s="9">
        <v>125.75308280254772</v>
      </c>
      <c r="BO24" s="7">
        <v>14</v>
      </c>
      <c r="BP24" s="7">
        <v>47</v>
      </c>
      <c r="BQ24" s="7">
        <v>55</v>
      </c>
      <c r="BR24" s="7">
        <v>41</v>
      </c>
      <c r="BS24" s="7">
        <v>1</v>
      </c>
      <c r="BT24" s="7">
        <v>3</v>
      </c>
      <c r="BU24" s="7">
        <v>18</v>
      </c>
      <c r="BV24" s="7">
        <v>58</v>
      </c>
      <c r="BW24" s="7">
        <v>58</v>
      </c>
      <c r="BX24" s="7">
        <v>23</v>
      </c>
      <c r="BY24" s="7">
        <v>0</v>
      </c>
      <c r="BZ24" s="7">
        <v>0</v>
      </c>
      <c r="CA24" s="7">
        <v>45</v>
      </c>
      <c r="CB24" s="9">
        <v>68.740400000000022</v>
      </c>
      <c r="CC24" s="9">
        <v>61.999600000000022</v>
      </c>
      <c r="CD24" s="9">
        <v>65.370370370370367</v>
      </c>
      <c r="CE24" s="9">
        <v>130.74</v>
      </c>
      <c r="CF24" s="7">
        <v>1</v>
      </c>
      <c r="CG24" s="7">
        <v>12</v>
      </c>
      <c r="CH24" s="7">
        <v>23</v>
      </c>
      <c r="CI24" s="7">
        <v>9</v>
      </c>
      <c r="CJ24" s="7">
        <v>0</v>
      </c>
      <c r="CK24" s="7">
        <v>0</v>
      </c>
      <c r="CL24" s="7">
        <v>2</v>
      </c>
      <c r="CM24" s="7">
        <v>18</v>
      </c>
      <c r="CN24" s="7">
        <v>21</v>
      </c>
      <c r="CO24" s="7">
        <v>4</v>
      </c>
      <c r="CP24" s="7">
        <v>0</v>
      </c>
      <c r="CQ24" s="7">
        <v>0</v>
      </c>
      <c r="CR24" s="7">
        <v>202</v>
      </c>
      <c r="CS24" s="9">
        <v>67.111886138613826</v>
      </c>
      <c r="CT24" s="9">
        <v>59.752143564356395</v>
      </c>
      <c r="CU24" s="9">
        <v>63.432343234323447</v>
      </c>
      <c r="CV24" s="9">
        <v>126.86402970297024</v>
      </c>
      <c r="CW24" s="7">
        <v>15</v>
      </c>
      <c r="CX24" s="7">
        <v>59</v>
      </c>
      <c r="CY24" s="7">
        <v>78</v>
      </c>
      <c r="CZ24" s="7">
        <v>50</v>
      </c>
      <c r="DA24" s="7">
        <v>1</v>
      </c>
      <c r="DB24" s="7">
        <v>3</v>
      </c>
      <c r="DC24" s="7">
        <v>20</v>
      </c>
      <c r="DD24" s="7">
        <v>76</v>
      </c>
      <c r="DE24" s="7">
        <v>79</v>
      </c>
      <c r="DF24" s="7">
        <v>27</v>
      </c>
      <c r="DG24" s="7">
        <v>0</v>
      </c>
      <c r="DH24" s="7">
        <v>0</v>
      </c>
      <c r="DI24" s="18">
        <f t="shared" si="3"/>
        <v>89</v>
      </c>
      <c r="DJ24" s="18">
        <f t="shared" si="4"/>
        <v>20</v>
      </c>
      <c r="DK24" s="18">
        <f t="shared" si="5"/>
        <v>69</v>
      </c>
      <c r="DL24" s="18">
        <f t="shared" si="0"/>
        <v>10</v>
      </c>
      <c r="DM24" s="18">
        <f t="shared" si="1"/>
        <v>4</v>
      </c>
      <c r="DN24" s="18">
        <f t="shared" si="2"/>
        <v>8</v>
      </c>
      <c r="DO24" s="18">
        <v>313</v>
      </c>
      <c r="DP24" s="18">
        <v>124</v>
      </c>
      <c r="DQ24" s="18">
        <v>313</v>
      </c>
      <c r="DR24" s="18">
        <v>34</v>
      </c>
      <c r="DS24" s="18">
        <v>18</v>
      </c>
      <c r="DT24" s="18">
        <v>34</v>
      </c>
      <c r="DU24" s="18" t="s">
        <v>2</v>
      </c>
    </row>
    <row r="25" spans="20:125" x14ac:dyDescent="0.25">
      <c r="T25" s="37"/>
      <c r="U25" s="37"/>
      <c r="V25" s="37"/>
      <c r="W25" s="37"/>
      <c r="X25" s="37"/>
      <c r="Y25" s="37"/>
      <c r="BB25" s="7">
        <v>22</v>
      </c>
      <c r="BC25" s="7" t="s">
        <v>332</v>
      </c>
      <c r="BD25" s="23" t="s">
        <v>2</v>
      </c>
      <c r="BE25" s="26">
        <v>341691360</v>
      </c>
      <c r="BF25" s="25" t="s">
        <v>17</v>
      </c>
      <c r="BG25" s="7">
        <v>248</v>
      </c>
      <c r="BH25" s="7" t="s">
        <v>320</v>
      </c>
      <c r="BI25" s="7" t="s">
        <v>368</v>
      </c>
      <c r="BJ25" s="7">
        <v>105</v>
      </c>
      <c r="BK25" s="9">
        <v>63.904400000000045</v>
      </c>
      <c r="BL25" s="9">
        <v>57.618733333333338</v>
      </c>
      <c r="BM25" s="9">
        <v>60.761904761904752</v>
      </c>
      <c r="BN25" s="9">
        <v>121.52313333333332</v>
      </c>
      <c r="BO25" s="7">
        <v>9</v>
      </c>
      <c r="BP25" s="7">
        <v>34</v>
      </c>
      <c r="BQ25" s="7">
        <v>43</v>
      </c>
      <c r="BR25" s="7">
        <v>19</v>
      </c>
      <c r="BS25" s="7">
        <v>0</v>
      </c>
      <c r="BT25" s="7">
        <v>0</v>
      </c>
      <c r="BU25" s="7">
        <v>10</v>
      </c>
      <c r="BV25" s="7">
        <v>45</v>
      </c>
      <c r="BW25" s="7">
        <v>41</v>
      </c>
      <c r="BX25" s="7">
        <v>9</v>
      </c>
      <c r="BY25" s="7">
        <v>0</v>
      </c>
      <c r="BZ25" s="7">
        <v>0</v>
      </c>
      <c r="CA25" s="7">
        <v>72</v>
      </c>
      <c r="CB25" s="9">
        <v>62.916347222222257</v>
      </c>
      <c r="CC25" s="9">
        <v>55.555222222222255</v>
      </c>
      <c r="CD25" s="9">
        <v>59.236111111111114</v>
      </c>
      <c r="CE25" s="9">
        <v>118.47156944444441</v>
      </c>
      <c r="CF25" s="7">
        <v>3</v>
      </c>
      <c r="CG25" s="7">
        <v>29</v>
      </c>
      <c r="CH25" s="7">
        <v>33</v>
      </c>
      <c r="CI25" s="7">
        <v>7</v>
      </c>
      <c r="CJ25" s="7">
        <v>0</v>
      </c>
      <c r="CK25" s="7">
        <v>0</v>
      </c>
      <c r="CL25" s="7">
        <v>9</v>
      </c>
      <c r="CM25" s="7">
        <v>31</v>
      </c>
      <c r="CN25" s="7">
        <v>30</v>
      </c>
      <c r="CO25" s="7">
        <v>2</v>
      </c>
      <c r="CP25" s="7">
        <v>0</v>
      </c>
      <c r="CQ25" s="7">
        <v>0</v>
      </c>
      <c r="CR25" s="7">
        <v>177</v>
      </c>
      <c r="CS25" s="9">
        <v>63.50248022598872</v>
      </c>
      <c r="CT25" s="9">
        <v>56.77933898305082</v>
      </c>
      <c r="CU25" s="9">
        <v>60.141242937853107</v>
      </c>
      <c r="CV25" s="9">
        <v>120.2818192090395</v>
      </c>
      <c r="CW25" s="7">
        <v>12</v>
      </c>
      <c r="CX25" s="7">
        <v>63</v>
      </c>
      <c r="CY25" s="7">
        <v>76</v>
      </c>
      <c r="CZ25" s="7">
        <v>26</v>
      </c>
      <c r="DA25" s="7">
        <v>0</v>
      </c>
      <c r="DB25" s="7">
        <v>0</v>
      </c>
      <c r="DC25" s="7">
        <v>19</v>
      </c>
      <c r="DD25" s="7">
        <v>76</v>
      </c>
      <c r="DE25" s="7">
        <v>71</v>
      </c>
      <c r="DF25" s="7">
        <v>11</v>
      </c>
      <c r="DG25" s="7">
        <v>0</v>
      </c>
      <c r="DH25" s="7">
        <v>0</v>
      </c>
      <c r="DI25" s="18">
        <f t="shared" si="3"/>
        <v>122</v>
      </c>
      <c r="DJ25" s="18">
        <f t="shared" si="4"/>
        <v>65</v>
      </c>
      <c r="DK25" s="18">
        <f t="shared" si="5"/>
        <v>129</v>
      </c>
      <c r="DL25" s="18">
        <f t="shared" si="0"/>
        <v>14</v>
      </c>
      <c r="DM25" s="18">
        <f t="shared" si="1"/>
        <v>9</v>
      </c>
      <c r="DN25" s="18">
        <f t="shared" si="2"/>
        <v>14</v>
      </c>
      <c r="DO25" s="18">
        <v>313</v>
      </c>
      <c r="DP25" s="18">
        <v>124</v>
      </c>
      <c r="DQ25" s="18">
        <v>313</v>
      </c>
      <c r="DR25" s="18">
        <v>34</v>
      </c>
      <c r="DS25" s="18">
        <v>18</v>
      </c>
      <c r="DT25" s="18">
        <v>34</v>
      </c>
      <c r="DU25" s="18" t="s">
        <v>2</v>
      </c>
    </row>
    <row r="26" spans="20:125" x14ac:dyDescent="0.25">
      <c r="T26" s="37"/>
      <c r="U26" s="37"/>
      <c r="V26" s="37"/>
      <c r="W26" s="37"/>
      <c r="X26" s="37"/>
      <c r="Y26" s="37"/>
      <c r="BB26" s="7">
        <v>23</v>
      </c>
      <c r="BC26" s="7" t="s">
        <v>332</v>
      </c>
      <c r="BD26" s="23" t="s">
        <v>2</v>
      </c>
      <c r="BE26" s="26">
        <v>227519884</v>
      </c>
      <c r="BF26" s="25" t="s">
        <v>32</v>
      </c>
      <c r="BG26" s="7">
        <v>267</v>
      </c>
      <c r="BH26" s="7" t="s">
        <v>322</v>
      </c>
      <c r="BI26" s="7" t="s">
        <v>368</v>
      </c>
      <c r="BJ26" s="7">
        <v>105</v>
      </c>
      <c r="BK26" s="9">
        <v>62.317104761904758</v>
      </c>
      <c r="BL26" s="9">
        <v>62.317114285714283</v>
      </c>
      <c r="BM26" s="9">
        <v>62.317460317460331</v>
      </c>
      <c r="BN26" s="9">
        <v>124.63421904761903</v>
      </c>
      <c r="BO26" s="7">
        <v>7</v>
      </c>
      <c r="BP26" s="7">
        <v>43</v>
      </c>
      <c r="BQ26" s="7">
        <v>38</v>
      </c>
      <c r="BR26" s="7">
        <v>17</v>
      </c>
      <c r="BS26" s="7">
        <v>1</v>
      </c>
      <c r="BT26" s="7">
        <v>0</v>
      </c>
      <c r="BU26" s="7">
        <v>11</v>
      </c>
      <c r="BV26" s="7">
        <v>37</v>
      </c>
      <c r="BW26" s="7">
        <v>33</v>
      </c>
      <c r="BX26" s="7">
        <v>24</v>
      </c>
      <c r="BY26" s="7">
        <v>0</v>
      </c>
      <c r="BZ26" s="7">
        <v>0</v>
      </c>
      <c r="CA26" s="7">
        <v>106</v>
      </c>
      <c r="CB26" s="9">
        <v>67.26378301886794</v>
      </c>
      <c r="CC26" s="9">
        <v>63.836103773584917</v>
      </c>
      <c r="CD26" s="9">
        <v>65.550314465408803</v>
      </c>
      <c r="CE26" s="9">
        <v>131.09988679245274</v>
      </c>
      <c r="CF26" s="7">
        <v>3</v>
      </c>
      <c r="CG26" s="7">
        <v>32</v>
      </c>
      <c r="CH26" s="7">
        <v>49</v>
      </c>
      <c r="CI26" s="7">
        <v>22</v>
      </c>
      <c r="CJ26" s="7">
        <v>0</v>
      </c>
      <c r="CK26" s="7">
        <v>0</v>
      </c>
      <c r="CL26" s="7">
        <v>4</v>
      </c>
      <c r="CM26" s="7">
        <v>43</v>
      </c>
      <c r="CN26" s="7">
        <v>37</v>
      </c>
      <c r="CO26" s="7">
        <v>22</v>
      </c>
      <c r="CP26" s="7">
        <v>0</v>
      </c>
      <c r="CQ26" s="7">
        <v>0</v>
      </c>
      <c r="CR26" s="7">
        <v>211</v>
      </c>
      <c r="CS26" s="9">
        <v>64.802165876777167</v>
      </c>
      <c r="CT26" s="9">
        <v>63.080208530805599</v>
      </c>
      <c r="CU26" s="9">
        <v>63.941548183254376</v>
      </c>
      <c r="CV26" s="9">
        <v>127.88237440758289</v>
      </c>
      <c r="CW26" s="7">
        <v>10</v>
      </c>
      <c r="CX26" s="7">
        <v>75</v>
      </c>
      <c r="CY26" s="7">
        <v>87</v>
      </c>
      <c r="CZ26" s="7">
        <v>39</v>
      </c>
      <c r="DA26" s="7">
        <v>1</v>
      </c>
      <c r="DB26" s="7">
        <v>0</v>
      </c>
      <c r="DC26" s="7">
        <v>15</v>
      </c>
      <c r="DD26" s="7">
        <v>80</v>
      </c>
      <c r="DE26" s="7">
        <v>70</v>
      </c>
      <c r="DF26" s="7">
        <v>46</v>
      </c>
      <c r="DG26" s="7">
        <v>0</v>
      </c>
      <c r="DH26" s="7">
        <v>0</v>
      </c>
      <c r="DI26" s="18">
        <f t="shared" si="3"/>
        <v>98</v>
      </c>
      <c r="DJ26" s="18">
        <f t="shared" si="4"/>
        <v>18</v>
      </c>
      <c r="DK26" s="18">
        <f t="shared" si="5"/>
        <v>63</v>
      </c>
      <c r="DL26" s="18">
        <f t="shared" si="0"/>
        <v>11</v>
      </c>
      <c r="DM26" s="18">
        <f t="shared" si="1"/>
        <v>3</v>
      </c>
      <c r="DN26" s="18">
        <f t="shared" si="2"/>
        <v>6</v>
      </c>
      <c r="DO26" s="18">
        <v>313</v>
      </c>
      <c r="DP26" s="18">
        <v>124</v>
      </c>
      <c r="DQ26" s="18">
        <v>313</v>
      </c>
      <c r="DR26" s="18">
        <v>34</v>
      </c>
      <c r="DS26" s="18">
        <v>18</v>
      </c>
      <c r="DT26" s="18">
        <v>34</v>
      </c>
      <c r="DU26" s="18" t="s">
        <v>2</v>
      </c>
    </row>
    <row r="27" spans="20:125" x14ac:dyDescent="0.25">
      <c r="T27" s="37"/>
      <c r="U27" s="37"/>
      <c r="V27" s="37"/>
      <c r="W27" s="37"/>
      <c r="X27" s="37"/>
      <c r="Y27" s="37"/>
      <c r="BB27" s="7">
        <v>24</v>
      </c>
      <c r="BC27" s="7" t="s">
        <v>332</v>
      </c>
      <c r="BD27" s="23" t="s">
        <v>2</v>
      </c>
      <c r="BE27" s="26">
        <v>793385579</v>
      </c>
      <c r="BF27" s="25" t="s">
        <v>11</v>
      </c>
      <c r="BG27" s="7">
        <v>276</v>
      </c>
      <c r="BH27" s="7" t="s">
        <v>320</v>
      </c>
      <c r="BI27" s="7" t="s">
        <v>368</v>
      </c>
      <c r="BJ27" s="7">
        <v>108</v>
      </c>
      <c r="BK27" s="9">
        <v>64.937953703703698</v>
      </c>
      <c r="BL27" s="9">
        <v>57.499611111111122</v>
      </c>
      <c r="BM27" s="9">
        <v>61.219135802469133</v>
      </c>
      <c r="BN27" s="9">
        <v>122.43756481481476</v>
      </c>
      <c r="BO27" s="7">
        <v>8</v>
      </c>
      <c r="BP27" s="7">
        <v>33</v>
      </c>
      <c r="BQ27" s="7">
        <v>40</v>
      </c>
      <c r="BR27" s="7">
        <v>27</v>
      </c>
      <c r="BS27" s="7">
        <v>2</v>
      </c>
      <c r="BT27" s="7">
        <v>1</v>
      </c>
      <c r="BU27" s="7">
        <v>10</v>
      </c>
      <c r="BV27" s="7">
        <v>44</v>
      </c>
      <c r="BW27" s="7">
        <v>46</v>
      </c>
      <c r="BX27" s="7">
        <v>8</v>
      </c>
      <c r="BY27" s="7">
        <v>0</v>
      </c>
      <c r="BZ27" s="7">
        <v>0</v>
      </c>
      <c r="CA27" s="7">
        <v>67</v>
      </c>
      <c r="CB27" s="9">
        <v>58.258402985074653</v>
      </c>
      <c r="CC27" s="9">
        <v>53.034447761194073</v>
      </c>
      <c r="CD27" s="9">
        <v>55.646766169154226</v>
      </c>
      <c r="CE27" s="9">
        <v>111.29285074626863</v>
      </c>
      <c r="CF27" s="7">
        <v>10</v>
      </c>
      <c r="CG27" s="7">
        <v>22</v>
      </c>
      <c r="CH27" s="7">
        <v>27</v>
      </c>
      <c r="CI27" s="7">
        <v>8</v>
      </c>
      <c r="CJ27" s="7">
        <v>0</v>
      </c>
      <c r="CK27" s="7">
        <v>0</v>
      </c>
      <c r="CL27" s="7">
        <v>11</v>
      </c>
      <c r="CM27" s="7">
        <v>32</v>
      </c>
      <c r="CN27" s="7">
        <v>20</v>
      </c>
      <c r="CO27" s="7">
        <v>4</v>
      </c>
      <c r="CP27" s="7">
        <v>0</v>
      </c>
      <c r="CQ27" s="7">
        <v>0</v>
      </c>
      <c r="CR27" s="7">
        <v>175</v>
      </c>
      <c r="CS27" s="9">
        <v>62.380639999999993</v>
      </c>
      <c r="CT27" s="9">
        <v>55.790091428571415</v>
      </c>
      <c r="CU27" s="9">
        <v>59.085714285714296</v>
      </c>
      <c r="CV27" s="9">
        <v>118.17073142857134</v>
      </c>
      <c r="CW27" s="7">
        <v>18</v>
      </c>
      <c r="CX27" s="7">
        <v>55</v>
      </c>
      <c r="CY27" s="7">
        <v>67</v>
      </c>
      <c r="CZ27" s="7">
        <v>35</v>
      </c>
      <c r="DA27" s="7">
        <v>2</v>
      </c>
      <c r="DB27" s="7">
        <v>1</v>
      </c>
      <c r="DC27" s="7">
        <v>21</v>
      </c>
      <c r="DD27" s="7">
        <v>76</v>
      </c>
      <c r="DE27" s="7">
        <v>66</v>
      </c>
      <c r="DF27" s="7">
        <v>12</v>
      </c>
      <c r="DG27" s="7">
        <v>0</v>
      </c>
      <c r="DH27" s="7">
        <v>0</v>
      </c>
      <c r="DI27" s="18">
        <f t="shared" si="3"/>
        <v>112</v>
      </c>
      <c r="DJ27" s="18">
        <f t="shared" si="4"/>
        <v>95</v>
      </c>
      <c r="DK27" s="18">
        <f t="shared" si="5"/>
        <v>147</v>
      </c>
      <c r="DL27" s="18">
        <f t="shared" si="0"/>
        <v>13</v>
      </c>
      <c r="DM27" s="18">
        <f t="shared" si="1"/>
        <v>13</v>
      </c>
      <c r="DN27" s="18">
        <f t="shared" si="2"/>
        <v>17</v>
      </c>
      <c r="DO27" s="18">
        <v>313</v>
      </c>
      <c r="DP27" s="18">
        <v>124</v>
      </c>
      <c r="DQ27" s="18">
        <v>313</v>
      </c>
      <c r="DR27" s="18">
        <v>34</v>
      </c>
      <c r="DS27" s="18">
        <v>18</v>
      </c>
      <c r="DT27" s="18">
        <v>34</v>
      </c>
      <c r="DU27" s="18" t="s">
        <v>2</v>
      </c>
    </row>
    <row r="28" spans="20:125" x14ac:dyDescent="0.25">
      <c r="T28" s="37"/>
      <c r="U28" s="37"/>
      <c r="V28" s="37"/>
      <c r="W28" s="37"/>
      <c r="X28" s="37"/>
      <c r="Y28" s="37"/>
      <c r="BB28" s="7">
        <v>25</v>
      </c>
      <c r="BC28" s="7" t="s">
        <v>332</v>
      </c>
      <c r="BD28" s="23" t="s">
        <v>2</v>
      </c>
      <c r="BE28" s="26">
        <v>199201762</v>
      </c>
      <c r="BF28" s="25" t="s">
        <v>12</v>
      </c>
      <c r="BG28" s="7">
        <v>283</v>
      </c>
      <c r="BH28" s="7" t="s">
        <v>320</v>
      </c>
      <c r="BI28" s="7" t="s">
        <v>368</v>
      </c>
      <c r="BJ28" s="7">
        <v>141</v>
      </c>
      <c r="BK28" s="9">
        <v>71.158028368794263</v>
      </c>
      <c r="BL28" s="9">
        <v>64.633248226950357</v>
      </c>
      <c r="BM28" s="9">
        <v>67.895981087470417</v>
      </c>
      <c r="BN28" s="9">
        <v>135.79127659574456</v>
      </c>
      <c r="BO28" s="7">
        <v>7</v>
      </c>
      <c r="BP28" s="7">
        <v>26</v>
      </c>
      <c r="BQ28" s="7">
        <v>70</v>
      </c>
      <c r="BR28" s="7">
        <v>38</v>
      </c>
      <c r="BS28" s="7">
        <v>0</v>
      </c>
      <c r="BT28" s="7">
        <v>6</v>
      </c>
      <c r="BU28" s="7">
        <v>4</v>
      </c>
      <c r="BV28" s="7">
        <v>56</v>
      </c>
      <c r="BW28" s="7">
        <v>62</v>
      </c>
      <c r="BX28" s="7">
        <v>19</v>
      </c>
      <c r="BY28" s="7">
        <v>0</v>
      </c>
      <c r="BZ28" s="7">
        <v>5</v>
      </c>
      <c r="CA28" s="7">
        <v>35</v>
      </c>
      <c r="CB28" s="9">
        <v>67.428228571428548</v>
      </c>
      <c r="CC28" s="9">
        <v>60.475828571428572</v>
      </c>
      <c r="CD28" s="9">
        <v>63.95238095238097</v>
      </c>
      <c r="CE28" s="9">
        <v>127.90405714285714</v>
      </c>
      <c r="CF28" s="7">
        <v>0</v>
      </c>
      <c r="CG28" s="7">
        <v>12</v>
      </c>
      <c r="CH28" s="7">
        <v>18</v>
      </c>
      <c r="CI28" s="7">
        <v>5</v>
      </c>
      <c r="CJ28" s="7">
        <v>0</v>
      </c>
      <c r="CK28" s="7">
        <v>0</v>
      </c>
      <c r="CL28" s="7">
        <v>1</v>
      </c>
      <c r="CM28" s="7">
        <v>18</v>
      </c>
      <c r="CN28" s="7">
        <v>12</v>
      </c>
      <c r="CO28" s="7">
        <v>4</v>
      </c>
      <c r="CP28" s="7">
        <v>0</v>
      </c>
      <c r="CQ28" s="7">
        <v>0</v>
      </c>
      <c r="CR28" s="7">
        <v>176</v>
      </c>
      <c r="CS28" s="9">
        <v>70.416306818181752</v>
      </c>
      <c r="CT28" s="9">
        <v>63.806488636363603</v>
      </c>
      <c r="CU28" s="9">
        <v>67.111742424242394</v>
      </c>
      <c r="CV28" s="9">
        <v>134.22279545454532</v>
      </c>
      <c r="CW28" s="7">
        <v>7</v>
      </c>
      <c r="CX28" s="7">
        <v>38</v>
      </c>
      <c r="CY28" s="7">
        <v>88</v>
      </c>
      <c r="CZ28" s="7">
        <v>43</v>
      </c>
      <c r="DA28" s="7">
        <v>0</v>
      </c>
      <c r="DB28" s="7">
        <v>6</v>
      </c>
      <c r="DC28" s="7">
        <v>5</v>
      </c>
      <c r="DD28" s="7">
        <v>74</v>
      </c>
      <c r="DE28" s="7">
        <v>74</v>
      </c>
      <c r="DF28" s="7">
        <v>23</v>
      </c>
      <c r="DG28" s="7">
        <v>0</v>
      </c>
      <c r="DH28" s="7">
        <v>5</v>
      </c>
      <c r="DI28" s="18">
        <f t="shared" si="3"/>
        <v>26</v>
      </c>
      <c r="DJ28" s="18">
        <f t="shared" si="4"/>
        <v>24</v>
      </c>
      <c r="DK28" s="18">
        <f t="shared" si="5"/>
        <v>24</v>
      </c>
      <c r="DL28" s="18">
        <f t="shared" si="0"/>
        <v>4</v>
      </c>
      <c r="DM28" s="18">
        <f t="shared" si="1"/>
        <v>5</v>
      </c>
      <c r="DN28" s="18">
        <f t="shared" si="2"/>
        <v>4</v>
      </c>
      <c r="DO28" s="18">
        <v>313</v>
      </c>
      <c r="DP28" s="18">
        <v>124</v>
      </c>
      <c r="DQ28" s="18">
        <v>313</v>
      </c>
      <c r="DR28" s="18">
        <v>34</v>
      </c>
      <c r="DS28" s="18">
        <v>18</v>
      </c>
      <c r="DT28" s="18">
        <v>34</v>
      </c>
      <c r="DU28" s="18" t="s">
        <v>2</v>
      </c>
    </row>
    <row r="29" spans="20:125" x14ac:dyDescent="0.25">
      <c r="T29" s="37"/>
      <c r="U29" s="37"/>
      <c r="V29" s="37"/>
      <c r="W29" s="37"/>
      <c r="X29" s="37"/>
      <c r="Y29" s="37"/>
      <c r="BB29" s="7">
        <v>26</v>
      </c>
      <c r="BC29" s="7" t="s">
        <v>332</v>
      </c>
      <c r="BD29" s="23" t="s">
        <v>2</v>
      </c>
      <c r="BE29" s="26">
        <v>692159867</v>
      </c>
      <c r="BF29" s="25" t="s">
        <v>13</v>
      </c>
      <c r="BG29" s="7">
        <v>284</v>
      </c>
      <c r="BH29" s="7" t="s">
        <v>320</v>
      </c>
      <c r="BI29" s="7" t="s">
        <v>368</v>
      </c>
      <c r="BJ29" s="7">
        <v>262</v>
      </c>
      <c r="BK29" s="9">
        <v>60.037820610686964</v>
      </c>
      <c r="BL29" s="9">
        <v>52.582362595419816</v>
      </c>
      <c r="BM29" s="9">
        <v>56.310432569974573</v>
      </c>
      <c r="BN29" s="9">
        <v>112.62018320610679</v>
      </c>
      <c r="BO29" s="7">
        <v>23</v>
      </c>
      <c r="BP29" s="7">
        <v>114</v>
      </c>
      <c r="BQ29" s="7">
        <v>85</v>
      </c>
      <c r="BR29" s="7">
        <v>40</v>
      </c>
      <c r="BS29" s="7">
        <v>1</v>
      </c>
      <c r="BT29" s="7">
        <v>2</v>
      </c>
      <c r="BU29" s="7">
        <v>32</v>
      </c>
      <c r="BV29" s="7">
        <v>149</v>
      </c>
      <c r="BW29" s="7">
        <v>67</v>
      </c>
      <c r="BX29" s="7">
        <v>14</v>
      </c>
      <c r="BY29" s="7">
        <v>0</v>
      </c>
      <c r="BZ29" s="7">
        <v>0</v>
      </c>
      <c r="CA29" s="7">
        <v>40</v>
      </c>
      <c r="CB29" s="9">
        <v>58.333000000000006</v>
      </c>
      <c r="CC29" s="9">
        <v>49.58297499999999</v>
      </c>
      <c r="CD29" s="9">
        <v>53.958333333333336</v>
      </c>
      <c r="CE29" s="9">
        <v>107.91597499999997</v>
      </c>
      <c r="CF29" s="7">
        <v>3</v>
      </c>
      <c r="CG29" s="7">
        <v>19</v>
      </c>
      <c r="CH29" s="7">
        <v>14</v>
      </c>
      <c r="CI29" s="7">
        <v>4</v>
      </c>
      <c r="CJ29" s="7">
        <v>0</v>
      </c>
      <c r="CK29" s="7">
        <v>0</v>
      </c>
      <c r="CL29" s="7">
        <v>8</v>
      </c>
      <c r="CM29" s="7">
        <v>20</v>
      </c>
      <c r="CN29" s="7">
        <v>11</v>
      </c>
      <c r="CO29" s="7">
        <v>1</v>
      </c>
      <c r="CP29" s="7">
        <v>0</v>
      </c>
      <c r="CQ29" s="7">
        <v>0</v>
      </c>
      <c r="CR29" s="7">
        <v>302</v>
      </c>
      <c r="CS29" s="9">
        <v>59.812016556291326</v>
      </c>
      <c r="CT29" s="9">
        <v>52.18509271523174</v>
      </c>
      <c r="CU29" s="9">
        <v>55.998896247240609</v>
      </c>
      <c r="CV29" s="9">
        <v>111.99710927152306</v>
      </c>
      <c r="CW29" s="7">
        <v>26</v>
      </c>
      <c r="CX29" s="7">
        <v>133</v>
      </c>
      <c r="CY29" s="7">
        <v>99</v>
      </c>
      <c r="CZ29" s="7">
        <v>44</v>
      </c>
      <c r="DA29" s="7">
        <v>1</v>
      </c>
      <c r="DB29" s="7">
        <v>2</v>
      </c>
      <c r="DC29" s="7">
        <v>40</v>
      </c>
      <c r="DD29" s="7">
        <v>169</v>
      </c>
      <c r="DE29" s="7">
        <v>78</v>
      </c>
      <c r="DF29" s="7">
        <v>15</v>
      </c>
      <c r="DG29" s="7">
        <v>0</v>
      </c>
      <c r="DH29" s="7">
        <v>0</v>
      </c>
      <c r="DI29" s="18">
        <f t="shared" si="3"/>
        <v>196</v>
      </c>
      <c r="DJ29" s="18">
        <f t="shared" si="4"/>
        <v>105</v>
      </c>
      <c r="DK29" s="18">
        <f t="shared" si="5"/>
        <v>203</v>
      </c>
      <c r="DL29" s="18">
        <f t="shared" si="0"/>
        <v>25</v>
      </c>
      <c r="DM29" s="18">
        <f t="shared" si="1"/>
        <v>16</v>
      </c>
      <c r="DN29" s="18">
        <f t="shared" si="2"/>
        <v>26</v>
      </c>
      <c r="DO29" s="18">
        <v>313</v>
      </c>
      <c r="DP29" s="18">
        <v>124</v>
      </c>
      <c r="DQ29" s="18">
        <v>313</v>
      </c>
      <c r="DR29" s="18">
        <v>34</v>
      </c>
      <c r="DS29" s="18">
        <v>18</v>
      </c>
      <c r="DT29" s="18">
        <v>34</v>
      </c>
      <c r="DU29" s="18" t="s">
        <v>2</v>
      </c>
    </row>
    <row r="30" spans="20:125" x14ac:dyDescent="0.25">
      <c r="BB30" s="7">
        <v>27</v>
      </c>
      <c r="BC30" s="7" t="s">
        <v>332</v>
      </c>
      <c r="BD30" s="23" t="s">
        <v>2</v>
      </c>
      <c r="BE30" s="26">
        <v>407697984</v>
      </c>
      <c r="BF30" s="25" t="s">
        <v>14</v>
      </c>
      <c r="BG30" s="7">
        <v>297</v>
      </c>
      <c r="BH30" s="7" t="s">
        <v>320</v>
      </c>
      <c r="BI30" s="7" t="s">
        <v>368</v>
      </c>
      <c r="BJ30" s="7">
        <v>202</v>
      </c>
      <c r="BK30" s="9">
        <v>61.336311881188088</v>
      </c>
      <c r="BL30" s="9">
        <v>57.326381188118752</v>
      </c>
      <c r="BM30" s="9">
        <v>59.331683168316857</v>
      </c>
      <c r="BN30" s="9">
        <v>118.66269306930687</v>
      </c>
      <c r="BO30" s="7">
        <v>17</v>
      </c>
      <c r="BP30" s="7">
        <v>69</v>
      </c>
      <c r="BQ30" s="7">
        <v>85</v>
      </c>
      <c r="BR30" s="7">
        <v>31</v>
      </c>
      <c r="BS30" s="7">
        <v>4</v>
      </c>
      <c r="BT30" s="7">
        <v>1</v>
      </c>
      <c r="BU30" s="7">
        <v>29</v>
      </c>
      <c r="BV30" s="7">
        <v>80</v>
      </c>
      <c r="BW30" s="7">
        <v>61</v>
      </c>
      <c r="BX30" s="7">
        <v>32</v>
      </c>
      <c r="BY30" s="7">
        <v>0</v>
      </c>
      <c r="BZ30" s="7">
        <v>0</v>
      </c>
      <c r="CA30" s="7">
        <v>46</v>
      </c>
      <c r="CB30" s="9">
        <v>61.52141304347829</v>
      </c>
      <c r="CC30" s="9">
        <v>49.637369565217412</v>
      </c>
      <c r="CD30" s="9">
        <v>55.579710144927525</v>
      </c>
      <c r="CE30" s="9">
        <v>111.15878260869562</v>
      </c>
      <c r="CF30" s="7">
        <v>3</v>
      </c>
      <c r="CG30" s="7">
        <v>16</v>
      </c>
      <c r="CH30" s="7">
        <v>21</v>
      </c>
      <c r="CI30" s="7">
        <v>6</v>
      </c>
      <c r="CJ30" s="7">
        <v>0</v>
      </c>
      <c r="CK30" s="7">
        <v>0</v>
      </c>
      <c r="CL30" s="7">
        <v>3</v>
      </c>
      <c r="CM30" s="7">
        <v>35</v>
      </c>
      <c r="CN30" s="7">
        <v>5</v>
      </c>
      <c r="CO30" s="7">
        <v>3</v>
      </c>
      <c r="CP30" s="7">
        <v>0</v>
      </c>
      <c r="CQ30" s="7">
        <v>0</v>
      </c>
      <c r="CR30" s="7">
        <v>248</v>
      </c>
      <c r="CS30" s="9">
        <v>61.370645161290277</v>
      </c>
      <c r="CT30" s="9">
        <v>55.900193548387065</v>
      </c>
      <c r="CU30" s="9">
        <v>58.635752688172055</v>
      </c>
      <c r="CV30" s="9">
        <v>117.27083870967732</v>
      </c>
      <c r="CW30" s="7">
        <v>20</v>
      </c>
      <c r="CX30" s="7">
        <v>85</v>
      </c>
      <c r="CY30" s="7">
        <v>106</v>
      </c>
      <c r="CZ30" s="7">
        <v>37</v>
      </c>
      <c r="DA30" s="7">
        <v>4</v>
      </c>
      <c r="DB30" s="7">
        <v>1</v>
      </c>
      <c r="DC30" s="7">
        <v>32</v>
      </c>
      <c r="DD30" s="7">
        <v>115</v>
      </c>
      <c r="DE30" s="7">
        <v>66</v>
      </c>
      <c r="DF30" s="7">
        <v>35</v>
      </c>
      <c r="DG30" s="7">
        <v>0</v>
      </c>
      <c r="DH30" s="7">
        <v>0</v>
      </c>
      <c r="DI30" s="18">
        <f t="shared" si="3"/>
        <v>149</v>
      </c>
      <c r="DJ30" s="18">
        <f t="shared" si="4"/>
        <v>96</v>
      </c>
      <c r="DK30" s="18">
        <f t="shared" si="5"/>
        <v>157</v>
      </c>
      <c r="DL30" s="18">
        <f t="shared" si="0"/>
        <v>18</v>
      </c>
      <c r="DM30" s="18">
        <f t="shared" si="1"/>
        <v>14</v>
      </c>
      <c r="DN30" s="18">
        <f t="shared" si="2"/>
        <v>19</v>
      </c>
      <c r="DO30" s="18">
        <v>313</v>
      </c>
      <c r="DP30" s="18">
        <v>124</v>
      </c>
      <c r="DQ30" s="18">
        <v>313</v>
      </c>
      <c r="DR30" s="18">
        <v>34</v>
      </c>
      <c r="DS30" s="18">
        <v>18</v>
      </c>
      <c r="DT30" s="18">
        <v>34</v>
      </c>
      <c r="DU30" s="18" t="s">
        <v>2</v>
      </c>
    </row>
    <row r="31" spans="20:125" x14ac:dyDescent="0.25">
      <c r="BB31" s="7">
        <v>28</v>
      </c>
      <c r="BC31" s="7" t="s">
        <v>332</v>
      </c>
      <c r="BD31" s="23" t="s">
        <v>2</v>
      </c>
      <c r="BE31" s="26">
        <v>558335700</v>
      </c>
      <c r="BF31" s="25" t="s">
        <v>30</v>
      </c>
      <c r="BG31" s="7">
        <v>298</v>
      </c>
      <c r="BH31" s="7" t="s">
        <v>320</v>
      </c>
      <c r="BI31" s="7" t="s">
        <v>367</v>
      </c>
      <c r="BJ31" s="7">
        <v>116</v>
      </c>
      <c r="BK31" s="9">
        <v>61.781267241379297</v>
      </c>
      <c r="BL31" s="9">
        <v>51.982396551724143</v>
      </c>
      <c r="BM31" s="9">
        <v>56.882183908045967</v>
      </c>
      <c r="BN31" s="9">
        <v>113.76366379310335</v>
      </c>
      <c r="BO31" s="7">
        <v>10</v>
      </c>
      <c r="BP31" s="7">
        <v>47</v>
      </c>
      <c r="BQ31" s="7">
        <v>35</v>
      </c>
      <c r="BR31" s="7">
        <v>24</v>
      </c>
      <c r="BS31" s="7">
        <v>0</v>
      </c>
      <c r="BT31" s="7">
        <v>0</v>
      </c>
      <c r="BU31" s="7">
        <v>24</v>
      </c>
      <c r="BV31" s="7">
        <v>58</v>
      </c>
      <c r="BW31" s="7">
        <v>24</v>
      </c>
      <c r="BX31" s="7">
        <v>10</v>
      </c>
      <c r="BY31" s="7">
        <v>0</v>
      </c>
      <c r="BZ31" s="7">
        <v>0</v>
      </c>
      <c r="CA31" s="7"/>
      <c r="CB31" s="9"/>
      <c r="CC31" s="9"/>
      <c r="CD31" s="9"/>
      <c r="CE31" s="9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>
        <v>116</v>
      </c>
      <c r="CS31" s="9">
        <v>61.781267241379297</v>
      </c>
      <c r="CT31" s="9">
        <v>51.982396551724143</v>
      </c>
      <c r="CU31" s="9">
        <v>56.882183908045967</v>
      </c>
      <c r="CV31" s="9">
        <v>113.76366379310335</v>
      </c>
      <c r="CW31" s="7">
        <v>10</v>
      </c>
      <c r="CX31" s="7">
        <v>47</v>
      </c>
      <c r="CY31" s="7">
        <v>35</v>
      </c>
      <c r="CZ31" s="7">
        <v>24</v>
      </c>
      <c r="DA31" s="7">
        <v>0</v>
      </c>
      <c r="DB31" s="7">
        <v>0</v>
      </c>
      <c r="DC31" s="7">
        <v>24</v>
      </c>
      <c r="DD31" s="7">
        <v>58</v>
      </c>
      <c r="DE31" s="7">
        <v>24</v>
      </c>
      <c r="DF31" s="7">
        <v>10</v>
      </c>
      <c r="DG31" s="7">
        <v>0</v>
      </c>
      <c r="DH31" s="7">
        <v>0</v>
      </c>
      <c r="DI31" s="18">
        <f t="shared" si="3"/>
        <v>186</v>
      </c>
      <c r="DJ31" s="18" t="str">
        <f t="shared" si="4"/>
        <v/>
      </c>
      <c r="DK31" s="18">
        <f t="shared" si="5"/>
        <v>186</v>
      </c>
      <c r="DL31" s="18">
        <f t="shared" si="0"/>
        <v>23</v>
      </c>
      <c r="DM31" s="18" t="str">
        <f t="shared" si="1"/>
        <v/>
      </c>
      <c r="DN31" s="18">
        <f t="shared" si="2"/>
        <v>24</v>
      </c>
      <c r="DO31" s="18">
        <v>313</v>
      </c>
      <c r="DP31" s="18">
        <v>124</v>
      </c>
      <c r="DQ31" s="18">
        <v>313</v>
      </c>
      <c r="DR31" s="18">
        <v>34</v>
      </c>
      <c r="DS31" s="18">
        <v>18</v>
      </c>
      <c r="DT31" s="18">
        <v>34</v>
      </c>
      <c r="DU31" s="18" t="s">
        <v>2</v>
      </c>
    </row>
    <row r="32" spans="20:125" x14ac:dyDescent="0.25">
      <c r="BB32" s="7">
        <v>29</v>
      </c>
      <c r="BC32" s="7" t="s">
        <v>332</v>
      </c>
      <c r="BD32" s="23" t="s">
        <v>2</v>
      </c>
      <c r="BE32" s="26">
        <v>316299466</v>
      </c>
      <c r="BF32" s="25" t="s">
        <v>15</v>
      </c>
      <c r="BG32" s="7">
        <v>299</v>
      </c>
      <c r="BH32" s="7" t="s">
        <v>322</v>
      </c>
      <c r="BI32" s="7" t="s">
        <v>368</v>
      </c>
      <c r="BJ32" s="7">
        <v>185</v>
      </c>
      <c r="BK32" s="9">
        <v>71.152789189189136</v>
      </c>
      <c r="BL32" s="9">
        <v>67.89152972972974</v>
      </c>
      <c r="BM32" s="9">
        <v>69.522522522522507</v>
      </c>
      <c r="BN32" s="9">
        <v>139.04431891891878</v>
      </c>
      <c r="BO32" s="7">
        <v>3</v>
      </c>
      <c r="BP32" s="7">
        <v>57</v>
      </c>
      <c r="BQ32" s="7">
        <v>57</v>
      </c>
      <c r="BR32" s="7">
        <v>68</v>
      </c>
      <c r="BS32" s="7">
        <v>0</v>
      </c>
      <c r="BT32" s="7">
        <v>2</v>
      </c>
      <c r="BU32" s="7">
        <v>9</v>
      </c>
      <c r="BV32" s="7">
        <v>53</v>
      </c>
      <c r="BW32" s="7">
        <v>70</v>
      </c>
      <c r="BX32" s="7">
        <v>53</v>
      </c>
      <c r="BY32" s="7">
        <v>0</v>
      </c>
      <c r="BZ32" s="7">
        <v>0</v>
      </c>
      <c r="CA32" s="7">
        <v>27</v>
      </c>
      <c r="CB32" s="9">
        <v>65.061444444444462</v>
      </c>
      <c r="CC32" s="9">
        <v>51.357629629629614</v>
      </c>
      <c r="CD32" s="9">
        <v>58.20987654320988</v>
      </c>
      <c r="CE32" s="9">
        <v>116.41907407407403</v>
      </c>
      <c r="CF32" s="7">
        <v>1</v>
      </c>
      <c r="CG32" s="7">
        <v>8</v>
      </c>
      <c r="CH32" s="7">
        <v>13</v>
      </c>
      <c r="CI32" s="7">
        <v>5</v>
      </c>
      <c r="CJ32" s="7">
        <v>0</v>
      </c>
      <c r="CK32" s="7">
        <v>0</v>
      </c>
      <c r="CL32" s="7">
        <v>3</v>
      </c>
      <c r="CM32" s="7">
        <v>18</v>
      </c>
      <c r="CN32" s="7">
        <v>6</v>
      </c>
      <c r="CO32" s="7">
        <v>0</v>
      </c>
      <c r="CP32" s="7">
        <v>0</v>
      </c>
      <c r="CQ32" s="7">
        <v>0</v>
      </c>
      <c r="CR32" s="7">
        <v>212</v>
      </c>
      <c r="CS32" s="9">
        <v>70.377004716981091</v>
      </c>
      <c r="CT32" s="9">
        <v>65.785797169811289</v>
      </c>
      <c r="CU32" s="9">
        <v>68.081761006289298</v>
      </c>
      <c r="CV32" s="9">
        <v>136.16280188679232</v>
      </c>
      <c r="CW32" s="7">
        <v>4</v>
      </c>
      <c r="CX32" s="7">
        <v>65</v>
      </c>
      <c r="CY32" s="7">
        <v>70</v>
      </c>
      <c r="CZ32" s="7">
        <v>73</v>
      </c>
      <c r="DA32" s="7">
        <v>0</v>
      </c>
      <c r="DB32" s="7">
        <v>2</v>
      </c>
      <c r="DC32" s="7">
        <v>12</v>
      </c>
      <c r="DD32" s="7">
        <v>71</v>
      </c>
      <c r="DE32" s="7">
        <v>76</v>
      </c>
      <c r="DF32" s="7">
        <v>53</v>
      </c>
      <c r="DG32" s="7">
        <v>0</v>
      </c>
      <c r="DH32" s="7">
        <v>0</v>
      </c>
      <c r="DI32" s="18">
        <f t="shared" si="3"/>
        <v>18</v>
      </c>
      <c r="DJ32" s="18">
        <f t="shared" si="4"/>
        <v>73</v>
      </c>
      <c r="DK32" s="18">
        <f t="shared" si="5"/>
        <v>15</v>
      </c>
      <c r="DL32" s="18">
        <f t="shared" si="0"/>
        <v>2</v>
      </c>
      <c r="DM32" s="18">
        <f t="shared" si="1"/>
        <v>12</v>
      </c>
      <c r="DN32" s="18">
        <f t="shared" si="2"/>
        <v>3</v>
      </c>
      <c r="DO32" s="18">
        <v>313</v>
      </c>
      <c r="DP32" s="18">
        <v>124</v>
      </c>
      <c r="DQ32" s="18">
        <v>313</v>
      </c>
      <c r="DR32" s="18">
        <v>34</v>
      </c>
      <c r="DS32" s="18">
        <v>18</v>
      </c>
      <c r="DT32" s="18">
        <v>34</v>
      </c>
      <c r="DU32" s="18" t="s">
        <v>2</v>
      </c>
    </row>
    <row r="33" spans="54:125" x14ac:dyDescent="0.25">
      <c r="BB33" s="7">
        <v>30</v>
      </c>
      <c r="BC33" s="7" t="s">
        <v>332</v>
      </c>
      <c r="BD33" s="23" t="s">
        <v>2</v>
      </c>
      <c r="BE33" s="26">
        <v>896967625</v>
      </c>
      <c r="BF33" s="25" t="s">
        <v>19</v>
      </c>
      <c r="BG33" s="7">
        <v>300</v>
      </c>
      <c r="BH33" s="7" t="s">
        <v>320</v>
      </c>
      <c r="BI33" s="7" t="s">
        <v>368</v>
      </c>
      <c r="BJ33" s="7">
        <v>164</v>
      </c>
      <c r="BK33" s="9">
        <v>62.215109756097554</v>
      </c>
      <c r="BL33" s="9">
        <v>52.438689024390229</v>
      </c>
      <c r="BM33" s="9">
        <v>57.327235772357717</v>
      </c>
      <c r="BN33" s="9">
        <v>114.65379878048773</v>
      </c>
      <c r="BO33" s="7">
        <v>20</v>
      </c>
      <c r="BP33" s="7">
        <v>45</v>
      </c>
      <c r="BQ33" s="7">
        <v>68</v>
      </c>
      <c r="BR33" s="7">
        <v>31</v>
      </c>
      <c r="BS33" s="7">
        <v>1</v>
      </c>
      <c r="BT33" s="7">
        <v>1</v>
      </c>
      <c r="BU33" s="7">
        <v>25</v>
      </c>
      <c r="BV33" s="7">
        <v>85</v>
      </c>
      <c r="BW33" s="7">
        <v>38</v>
      </c>
      <c r="BX33" s="7">
        <v>16</v>
      </c>
      <c r="BY33" s="7">
        <v>0</v>
      </c>
      <c r="BZ33" s="7">
        <v>0</v>
      </c>
      <c r="CA33" s="7">
        <v>65</v>
      </c>
      <c r="CB33" s="9">
        <v>61.435584615384656</v>
      </c>
      <c r="CC33" s="9">
        <v>57.486830769230814</v>
      </c>
      <c r="CD33" s="9">
        <v>59.461538461538481</v>
      </c>
      <c r="CE33" s="9">
        <v>118.92241538461538</v>
      </c>
      <c r="CF33" s="7">
        <v>6</v>
      </c>
      <c r="CG33" s="7">
        <v>24</v>
      </c>
      <c r="CH33" s="7">
        <v>20</v>
      </c>
      <c r="CI33" s="7">
        <v>15</v>
      </c>
      <c r="CJ33" s="7">
        <v>0</v>
      </c>
      <c r="CK33" s="7">
        <v>0</v>
      </c>
      <c r="CL33" s="7">
        <v>2</v>
      </c>
      <c r="CM33" s="7">
        <v>38</v>
      </c>
      <c r="CN33" s="7">
        <v>16</v>
      </c>
      <c r="CO33" s="7">
        <v>9</v>
      </c>
      <c r="CP33" s="7">
        <v>0</v>
      </c>
      <c r="CQ33" s="7">
        <v>0</v>
      </c>
      <c r="CR33" s="7">
        <v>229</v>
      </c>
      <c r="CS33" s="9">
        <v>61.993847161572063</v>
      </c>
      <c r="CT33" s="9">
        <v>53.871567685589504</v>
      </c>
      <c r="CU33" s="9">
        <v>57.93304221251821</v>
      </c>
      <c r="CV33" s="9">
        <v>115.8654148471615</v>
      </c>
      <c r="CW33" s="7">
        <v>26</v>
      </c>
      <c r="CX33" s="7">
        <v>69</v>
      </c>
      <c r="CY33" s="7">
        <v>88</v>
      </c>
      <c r="CZ33" s="7">
        <v>46</v>
      </c>
      <c r="DA33" s="7">
        <v>1</v>
      </c>
      <c r="DB33" s="7">
        <v>1</v>
      </c>
      <c r="DC33" s="7">
        <v>27</v>
      </c>
      <c r="DD33" s="7">
        <v>123</v>
      </c>
      <c r="DE33" s="7">
        <v>54</v>
      </c>
      <c r="DF33" s="7">
        <v>25</v>
      </c>
      <c r="DG33" s="7">
        <v>0</v>
      </c>
      <c r="DH33" s="7">
        <v>0</v>
      </c>
      <c r="DI33" s="18">
        <f t="shared" si="3"/>
        <v>181</v>
      </c>
      <c r="DJ33" s="18">
        <f t="shared" si="4"/>
        <v>63</v>
      </c>
      <c r="DK33" s="18">
        <f t="shared" si="5"/>
        <v>165</v>
      </c>
      <c r="DL33" s="18">
        <f t="shared" si="0"/>
        <v>22</v>
      </c>
      <c r="DM33" s="18">
        <f t="shared" si="1"/>
        <v>7</v>
      </c>
      <c r="DN33" s="18">
        <f t="shared" si="2"/>
        <v>20</v>
      </c>
      <c r="DO33" s="18">
        <v>313</v>
      </c>
      <c r="DP33" s="18">
        <v>124</v>
      </c>
      <c r="DQ33" s="18">
        <v>313</v>
      </c>
      <c r="DR33" s="18">
        <v>34</v>
      </c>
      <c r="DS33" s="18">
        <v>18</v>
      </c>
      <c r="DT33" s="18">
        <v>34</v>
      </c>
      <c r="DU33" s="18" t="s">
        <v>2</v>
      </c>
    </row>
    <row r="34" spans="54:125" x14ac:dyDescent="0.25">
      <c r="BB34" s="7">
        <v>31</v>
      </c>
      <c r="BC34" s="7" t="s">
        <v>332</v>
      </c>
      <c r="BD34" s="23" t="s">
        <v>2</v>
      </c>
      <c r="BE34" s="26">
        <v>647738207</v>
      </c>
      <c r="BF34" s="25" t="s">
        <v>16</v>
      </c>
      <c r="BG34" s="7">
        <v>301</v>
      </c>
      <c r="BH34" s="7" t="s">
        <v>320</v>
      </c>
      <c r="BI34" s="7" t="s">
        <v>367</v>
      </c>
      <c r="BJ34" s="7">
        <v>83</v>
      </c>
      <c r="BK34" s="9">
        <v>58.031771084337365</v>
      </c>
      <c r="BL34" s="9">
        <v>54.457493975903645</v>
      </c>
      <c r="BM34" s="9">
        <v>56.244979919678698</v>
      </c>
      <c r="BN34" s="9">
        <v>112.48926506024095</v>
      </c>
      <c r="BO34" s="7">
        <v>10</v>
      </c>
      <c r="BP34" s="7">
        <v>38</v>
      </c>
      <c r="BQ34" s="7">
        <v>20</v>
      </c>
      <c r="BR34" s="7">
        <v>15</v>
      </c>
      <c r="BS34" s="7">
        <v>0</v>
      </c>
      <c r="BT34" s="7">
        <v>2</v>
      </c>
      <c r="BU34" s="7">
        <v>11</v>
      </c>
      <c r="BV34" s="7">
        <v>38</v>
      </c>
      <c r="BW34" s="7">
        <v>24</v>
      </c>
      <c r="BX34" s="7">
        <v>10</v>
      </c>
      <c r="BY34" s="7">
        <v>0</v>
      </c>
      <c r="BZ34" s="7">
        <v>0</v>
      </c>
      <c r="CA34" s="7"/>
      <c r="CB34" s="9"/>
      <c r="CC34" s="9"/>
      <c r="CD34" s="9"/>
      <c r="CE34" s="9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>
        <v>83</v>
      </c>
      <c r="CS34" s="9">
        <v>58.031771084337365</v>
      </c>
      <c r="CT34" s="9">
        <v>54.457493975903645</v>
      </c>
      <c r="CU34" s="9">
        <v>56.244979919678698</v>
      </c>
      <c r="CV34" s="9">
        <v>112.48926506024095</v>
      </c>
      <c r="CW34" s="7">
        <v>10</v>
      </c>
      <c r="CX34" s="7">
        <v>38</v>
      </c>
      <c r="CY34" s="7">
        <v>20</v>
      </c>
      <c r="CZ34" s="7">
        <v>15</v>
      </c>
      <c r="DA34" s="7">
        <v>0</v>
      </c>
      <c r="DB34" s="7">
        <v>2</v>
      </c>
      <c r="DC34" s="7">
        <v>11</v>
      </c>
      <c r="DD34" s="7">
        <v>38</v>
      </c>
      <c r="DE34" s="7">
        <v>24</v>
      </c>
      <c r="DF34" s="7">
        <v>10</v>
      </c>
      <c r="DG34" s="7">
        <v>0</v>
      </c>
      <c r="DH34" s="7">
        <v>0</v>
      </c>
      <c r="DI34" s="18">
        <f t="shared" si="3"/>
        <v>199</v>
      </c>
      <c r="DJ34" s="18" t="str">
        <f t="shared" si="4"/>
        <v/>
      </c>
      <c r="DK34" s="18">
        <f t="shared" si="5"/>
        <v>197</v>
      </c>
      <c r="DL34" s="18">
        <f t="shared" si="0"/>
        <v>26</v>
      </c>
      <c r="DM34" s="18" t="str">
        <f t="shared" si="1"/>
        <v/>
      </c>
      <c r="DN34" s="18">
        <f t="shared" si="2"/>
        <v>25</v>
      </c>
      <c r="DO34" s="18">
        <v>313</v>
      </c>
      <c r="DP34" s="18">
        <v>124</v>
      </c>
      <c r="DQ34" s="18">
        <v>313</v>
      </c>
      <c r="DR34" s="18">
        <v>34</v>
      </c>
      <c r="DS34" s="18">
        <v>18</v>
      </c>
      <c r="DT34" s="18">
        <v>34</v>
      </c>
      <c r="DU34" s="18" t="s">
        <v>2</v>
      </c>
    </row>
    <row r="35" spans="54:125" x14ac:dyDescent="0.25">
      <c r="BB35" s="7">
        <v>32</v>
      </c>
      <c r="BC35" s="7" t="s">
        <v>332</v>
      </c>
      <c r="BD35" s="23" t="s">
        <v>2</v>
      </c>
      <c r="BE35" s="26">
        <v>415956063</v>
      </c>
      <c r="BF35" s="25" t="s">
        <v>26</v>
      </c>
      <c r="BG35" s="7">
        <v>306</v>
      </c>
      <c r="BH35" s="7" t="s">
        <v>320</v>
      </c>
      <c r="BI35" s="7" t="s">
        <v>367</v>
      </c>
      <c r="BJ35" s="7">
        <v>170</v>
      </c>
      <c r="BK35" s="9">
        <v>56.097688235294086</v>
      </c>
      <c r="BL35" s="9">
        <v>48.352558823529407</v>
      </c>
      <c r="BM35" s="9">
        <v>52.225490196078432</v>
      </c>
      <c r="BN35" s="9">
        <v>104.45024705882345</v>
      </c>
      <c r="BO35" s="7">
        <v>25</v>
      </c>
      <c r="BP35" s="7">
        <v>66</v>
      </c>
      <c r="BQ35" s="7">
        <v>61</v>
      </c>
      <c r="BR35" s="7">
        <v>18</v>
      </c>
      <c r="BS35" s="7">
        <v>1</v>
      </c>
      <c r="BT35" s="7">
        <v>0</v>
      </c>
      <c r="BU35" s="7">
        <v>40</v>
      </c>
      <c r="BV35" s="7">
        <v>87</v>
      </c>
      <c r="BW35" s="7">
        <v>37</v>
      </c>
      <c r="BX35" s="7">
        <v>6</v>
      </c>
      <c r="BY35" s="7">
        <v>0</v>
      </c>
      <c r="BZ35" s="7">
        <v>0</v>
      </c>
      <c r="CA35" s="7"/>
      <c r="CB35" s="9"/>
      <c r="CC35" s="9"/>
      <c r="CD35" s="9"/>
      <c r="CE35" s="9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>
        <v>170</v>
      </c>
      <c r="CS35" s="9">
        <v>56.097688235294086</v>
      </c>
      <c r="CT35" s="9">
        <v>48.352558823529407</v>
      </c>
      <c r="CU35" s="9">
        <v>52.225490196078432</v>
      </c>
      <c r="CV35" s="9">
        <v>104.45024705882345</v>
      </c>
      <c r="CW35" s="7">
        <v>25</v>
      </c>
      <c r="CX35" s="7">
        <v>66</v>
      </c>
      <c r="CY35" s="7">
        <v>61</v>
      </c>
      <c r="CZ35" s="7">
        <v>18</v>
      </c>
      <c r="DA35" s="7">
        <v>1</v>
      </c>
      <c r="DB35" s="7">
        <v>0</v>
      </c>
      <c r="DC35" s="7">
        <v>40</v>
      </c>
      <c r="DD35" s="7">
        <v>87</v>
      </c>
      <c r="DE35" s="7">
        <v>37</v>
      </c>
      <c r="DF35" s="7">
        <v>6</v>
      </c>
      <c r="DG35" s="7">
        <v>0</v>
      </c>
      <c r="DH35" s="7">
        <v>0</v>
      </c>
      <c r="DI35" s="18">
        <f t="shared" si="3"/>
        <v>260</v>
      </c>
      <c r="DJ35" s="18" t="str">
        <f t="shared" si="4"/>
        <v/>
      </c>
      <c r="DK35" s="18">
        <f t="shared" si="5"/>
        <v>264</v>
      </c>
      <c r="DL35" s="18">
        <f t="shared" si="0"/>
        <v>31</v>
      </c>
      <c r="DM35" s="18" t="str">
        <f t="shared" si="1"/>
        <v/>
      </c>
      <c r="DN35" s="18">
        <f t="shared" si="2"/>
        <v>31</v>
      </c>
      <c r="DO35" s="18">
        <v>313</v>
      </c>
      <c r="DP35" s="18">
        <v>124</v>
      </c>
      <c r="DQ35" s="18">
        <v>313</v>
      </c>
      <c r="DR35" s="18">
        <v>34</v>
      </c>
      <c r="DS35" s="18">
        <v>18</v>
      </c>
      <c r="DT35" s="18">
        <v>34</v>
      </c>
      <c r="DU35" s="18" t="s">
        <v>2</v>
      </c>
    </row>
    <row r="36" spans="54:125" x14ac:dyDescent="0.25">
      <c r="BB36" s="7">
        <v>33</v>
      </c>
      <c r="BC36" s="7" t="s">
        <v>332</v>
      </c>
      <c r="BD36" s="23" t="s">
        <v>2</v>
      </c>
      <c r="BE36" s="26">
        <v>485798325</v>
      </c>
      <c r="BF36" s="25" t="s">
        <v>25</v>
      </c>
      <c r="BG36" s="7">
        <v>313</v>
      </c>
      <c r="BH36" s="7" t="s">
        <v>320</v>
      </c>
      <c r="BI36" s="7" t="s">
        <v>367</v>
      </c>
      <c r="BJ36" s="7">
        <v>258</v>
      </c>
      <c r="BK36" s="9">
        <v>65.994511627906959</v>
      </c>
      <c r="BL36" s="9">
        <v>61.446666666666601</v>
      </c>
      <c r="BM36" s="9">
        <v>63.720930232558111</v>
      </c>
      <c r="BN36" s="9">
        <v>127.4411782945735</v>
      </c>
      <c r="BO36" s="7">
        <v>13</v>
      </c>
      <c r="BP36" s="7">
        <v>75</v>
      </c>
      <c r="BQ36" s="7">
        <v>116</v>
      </c>
      <c r="BR36" s="7">
        <v>54</v>
      </c>
      <c r="BS36" s="7">
        <v>0</v>
      </c>
      <c r="BT36" s="7">
        <v>7</v>
      </c>
      <c r="BU36" s="7">
        <v>13</v>
      </c>
      <c r="BV36" s="7">
        <v>108</v>
      </c>
      <c r="BW36" s="7">
        <v>108</v>
      </c>
      <c r="BX36" s="7">
        <v>29</v>
      </c>
      <c r="BY36" s="7">
        <v>0</v>
      </c>
      <c r="BZ36" s="7">
        <v>0</v>
      </c>
      <c r="CA36" s="7"/>
      <c r="CB36" s="9"/>
      <c r="CC36" s="9"/>
      <c r="CD36" s="9"/>
      <c r="CE36" s="9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>
        <v>258</v>
      </c>
      <c r="CS36" s="9">
        <v>65.994511627906959</v>
      </c>
      <c r="CT36" s="9">
        <v>61.446666666666601</v>
      </c>
      <c r="CU36" s="9">
        <v>63.720930232558111</v>
      </c>
      <c r="CV36" s="9">
        <v>127.4411782945735</v>
      </c>
      <c r="CW36" s="7">
        <v>13</v>
      </c>
      <c r="CX36" s="7">
        <v>75</v>
      </c>
      <c r="CY36" s="7">
        <v>116</v>
      </c>
      <c r="CZ36" s="7">
        <v>54</v>
      </c>
      <c r="DA36" s="7">
        <v>0</v>
      </c>
      <c r="DB36" s="7">
        <v>7</v>
      </c>
      <c r="DC36" s="7">
        <v>13</v>
      </c>
      <c r="DD36" s="7">
        <v>108</v>
      </c>
      <c r="DE36" s="7">
        <v>108</v>
      </c>
      <c r="DF36" s="7">
        <v>29</v>
      </c>
      <c r="DG36" s="7">
        <v>0</v>
      </c>
      <c r="DH36" s="7">
        <v>0</v>
      </c>
      <c r="DI36" s="18">
        <f t="shared" si="3"/>
        <v>76</v>
      </c>
      <c r="DJ36" s="18" t="str">
        <f t="shared" si="4"/>
        <v/>
      </c>
      <c r="DK36" s="18">
        <f t="shared" si="5"/>
        <v>66</v>
      </c>
      <c r="DL36" s="18">
        <f t="shared" si="0"/>
        <v>8</v>
      </c>
      <c r="DM36" s="18" t="str">
        <f t="shared" si="1"/>
        <v/>
      </c>
      <c r="DN36" s="18">
        <f t="shared" si="2"/>
        <v>7</v>
      </c>
      <c r="DO36" s="18">
        <v>313</v>
      </c>
      <c r="DP36" s="18">
        <v>124</v>
      </c>
      <c r="DQ36" s="18">
        <v>313</v>
      </c>
      <c r="DR36" s="18">
        <v>34</v>
      </c>
      <c r="DS36" s="18">
        <v>18</v>
      </c>
      <c r="DT36" s="18">
        <v>34</v>
      </c>
      <c r="DU36" s="18" t="s">
        <v>2</v>
      </c>
    </row>
    <row r="37" spans="54:125" x14ac:dyDescent="0.25">
      <c r="BB37" s="7">
        <v>34</v>
      </c>
      <c r="BC37" s="7" t="s">
        <v>332</v>
      </c>
      <c r="BD37" s="23" t="s">
        <v>2</v>
      </c>
      <c r="BE37" s="26">
        <v>532167695</v>
      </c>
      <c r="BF37" s="25" t="s">
        <v>33</v>
      </c>
      <c r="BG37" s="7">
        <v>314</v>
      </c>
      <c r="BH37" s="7" t="s">
        <v>320</v>
      </c>
      <c r="BI37" s="7" t="s">
        <v>367</v>
      </c>
      <c r="BJ37" s="7">
        <v>197</v>
      </c>
      <c r="BK37" s="9">
        <v>62.013218274111601</v>
      </c>
      <c r="BL37" s="9">
        <v>59.17053807106597</v>
      </c>
      <c r="BM37" s="9">
        <v>60.592216582064324</v>
      </c>
      <c r="BN37" s="9">
        <v>121.18375634517761</v>
      </c>
      <c r="BO37" s="7">
        <v>26</v>
      </c>
      <c r="BP37" s="7">
        <v>59</v>
      </c>
      <c r="BQ37" s="7">
        <v>72</v>
      </c>
      <c r="BR37" s="7">
        <v>40</v>
      </c>
      <c r="BS37" s="7">
        <v>3</v>
      </c>
      <c r="BT37" s="7">
        <v>3</v>
      </c>
      <c r="BU37" s="7">
        <v>28</v>
      </c>
      <c r="BV37" s="7">
        <v>60</v>
      </c>
      <c r="BW37" s="7">
        <v>76</v>
      </c>
      <c r="BX37" s="7">
        <v>33</v>
      </c>
      <c r="BY37" s="7">
        <v>0</v>
      </c>
      <c r="BZ37" s="7">
        <v>0</v>
      </c>
      <c r="CA37" s="7"/>
      <c r="CB37" s="9"/>
      <c r="CC37" s="9"/>
      <c r="CD37" s="9"/>
      <c r="CE37" s="9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>
        <v>197</v>
      </c>
      <c r="CS37" s="9">
        <v>62.013218274111601</v>
      </c>
      <c r="CT37" s="9">
        <v>59.17053807106597</v>
      </c>
      <c r="CU37" s="9">
        <v>60.592216582064324</v>
      </c>
      <c r="CV37" s="9">
        <v>121.18375634517761</v>
      </c>
      <c r="CW37" s="7">
        <v>26</v>
      </c>
      <c r="CX37" s="7">
        <v>59</v>
      </c>
      <c r="CY37" s="7">
        <v>72</v>
      </c>
      <c r="CZ37" s="7">
        <v>40</v>
      </c>
      <c r="DA37" s="7">
        <v>3</v>
      </c>
      <c r="DB37" s="7">
        <v>3</v>
      </c>
      <c r="DC37" s="7">
        <v>28</v>
      </c>
      <c r="DD37" s="7">
        <v>60</v>
      </c>
      <c r="DE37" s="7">
        <v>76</v>
      </c>
      <c r="DF37" s="7">
        <v>33</v>
      </c>
      <c r="DG37" s="7">
        <v>0</v>
      </c>
      <c r="DH37" s="7">
        <v>0</v>
      </c>
      <c r="DI37" s="18">
        <f t="shared" si="3"/>
        <v>128</v>
      </c>
      <c r="DJ37" s="18" t="str">
        <f t="shared" si="4"/>
        <v/>
      </c>
      <c r="DK37" s="18">
        <f t="shared" si="5"/>
        <v>122</v>
      </c>
      <c r="DL37" s="18">
        <f t="shared" si="0"/>
        <v>16</v>
      </c>
      <c r="DM37" s="18" t="str">
        <f t="shared" si="1"/>
        <v/>
      </c>
      <c r="DN37" s="18">
        <f t="shared" si="2"/>
        <v>13</v>
      </c>
      <c r="DO37" s="18">
        <v>313</v>
      </c>
      <c r="DP37" s="18">
        <v>124</v>
      </c>
      <c r="DQ37" s="18">
        <v>313</v>
      </c>
      <c r="DR37" s="18">
        <v>34</v>
      </c>
      <c r="DS37" s="18">
        <v>18</v>
      </c>
      <c r="DT37" s="18">
        <v>34</v>
      </c>
      <c r="DU37" s="18" t="s">
        <v>2</v>
      </c>
    </row>
    <row r="38" spans="54:125" x14ac:dyDescent="0.25">
      <c r="BB38" s="7">
        <v>35</v>
      </c>
      <c r="BC38" s="7" t="s">
        <v>332</v>
      </c>
      <c r="BD38" s="23" t="s">
        <v>36</v>
      </c>
      <c r="BE38" s="26">
        <v>618081585</v>
      </c>
      <c r="BF38" s="25" t="s">
        <v>334</v>
      </c>
      <c r="BG38" s="7">
        <v>11</v>
      </c>
      <c r="BH38" s="7" t="s">
        <v>325</v>
      </c>
      <c r="BI38" s="7" t="s">
        <v>367</v>
      </c>
      <c r="BJ38" s="7"/>
      <c r="BK38" s="9"/>
      <c r="BL38" s="9"/>
      <c r="BM38" s="9"/>
      <c r="BN38" s="9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9"/>
      <c r="CC38" s="9"/>
      <c r="CD38" s="9"/>
      <c r="CE38" s="9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9"/>
      <c r="CT38" s="9"/>
      <c r="CU38" s="9"/>
      <c r="CV38" s="9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18" t="str">
        <f t="shared" si="3"/>
        <v/>
      </c>
      <c r="DJ38" s="18" t="str">
        <f t="shared" si="4"/>
        <v/>
      </c>
      <c r="DK38" s="18" t="str">
        <f t="shared" si="5"/>
        <v/>
      </c>
      <c r="DL38" s="18" t="str">
        <f t="shared" ref="DL38:DL58" si="6">IF(BN38="","",(RANK(BN38,$BN$38:$BN$58)))</f>
        <v/>
      </c>
      <c r="DM38" s="18" t="str">
        <f t="shared" ref="DM38:DM58" si="7">IF(CE38="","",(RANK(CE38,$CE$38:$CE$58)))</f>
        <v/>
      </c>
      <c r="DN38" s="18" t="str">
        <f t="shared" ref="DN38:DN58" si="8">IF(CV38="","",(RANK(CV38,$CV$38:$CV$58)))</f>
        <v/>
      </c>
      <c r="DO38" s="18">
        <v>313</v>
      </c>
      <c r="DP38" s="18">
        <v>124</v>
      </c>
      <c r="DQ38" s="18">
        <v>313</v>
      </c>
      <c r="DR38" s="18">
        <v>21</v>
      </c>
      <c r="DS38" s="18">
        <v>9</v>
      </c>
      <c r="DT38" s="18">
        <v>21</v>
      </c>
      <c r="DU38" s="18" t="s">
        <v>36</v>
      </c>
    </row>
    <row r="39" spans="54:125" x14ac:dyDescent="0.25">
      <c r="BB39" s="7">
        <v>36</v>
      </c>
      <c r="BC39" s="7" t="s">
        <v>332</v>
      </c>
      <c r="BD39" s="23" t="s">
        <v>36</v>
      </c>
      <c r="BE39" s="26">
        <v>764548582</v>
      </c>
      <c r="BF39" s="25" t="s">
        <v>39</v>
      </c>
      <c r="BG39" s="7">
        <v>34</v>
      </c>
      <c r="BH39" s="7" t="s">
        <v>320</v>
      </c>
      <c r="BI39" s="7" t="s">
        <v>367</v>
      </c>
      <c r="BJ39" s="7">
        <v>45</v>
      </c>
      <c r="BK39" s="9">
        <v>60.740422222222229</v>
      </c>
      <c r="BL39" s="9">
        <v>57.999688888888905</v>
      </c>
      <c r="BM39" s="9">
        <v>59.37037037037036</v>
      </c>
      <c r="BN39" s="9">
        <v>118.74011111111112</v>
      </c>
      <c r="BO39" s="7">
        <v>5</v>
      </c>
      <c r="BP39" s="7">
        <v>15</v>
      </c>
      <c r="BQ39" s="7">
        <v>21</v>
      </c>
      <c r="BR39" s="7">
        <v>4</v>
      </c>
      <c r="BS39" s="7">
        <v>0</v>
      </c>
      <c r="BT39" s="7">
        <v>0</v>
      </c>
      <c r="BU39" s="7">
        <v>6</v>
      </c>
      <c r="BV39" s="7">
        <v>21</v>
      </c>
      <c r="BW39" s="7">
        <v>12</v>
      </c>
      <c r="BX39" s="7">
        <v>6</v>
      </c>
      <c r="BY39" s="7">
        <v>0</v>
      </c>
      <c r="BZ39" s="7">
        <v>0</v>
      </c>
      <c r="CA39" s="7"/>
      <c r="CB39" s="9"/>
      <c r="CC39" s="9"/>
      <c r="CD39" s="9"/>
      <c r="CE39" s="9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>
        <v>45</v>
      </c>
      <c r="CS39" s="9">
        <v>60.740422222222229</v>
      </c>
      <c r="CT39" s="9">
        <v>57.999688888888905</v>
      </c>
      <c r="CU39" s="9">
        <v>59.37037037037036</v>
      </c>
      <c r="CV39" s="9">
        <v>118.74011111111112</v>
      </c>
      <c r="CW39" s="7">
        <v>5</v>
      </c>
      <c r="CX39" s="7">
        <v>15</v>
      </c>
      <c r="CY39" s="7">
        <v>21</v>
      </c>
      <c r="CZ39" s="7">
        <v>4</v>
      </c>
      <c r="DA39" s="7">
        <v>0</v>
      </c>
      <c r="DB39" s="7">
        <v>0</v>
      </c>
      <c r="DC39" s="7">
        <v>6</v>
      </c>
      <c r="DD39" s="7">
        <v>21</v>
      </c>
      <c r="DE39" s="7">
        <v>12</v>
      </c>
      <c r="DF39" s="7">
        <v>6</v>
      </c>
      <c r="DG39" s="7">
        <v>0</v>
      </c>
      <c r="DH39" s="7">
        <v>0</v>
      </c>
      <c r="DI39" s="18">
        <f t="shared" si="3"/>
        <v>145</v>
      </c>
      <c r="DJ39" s="18" t="str">
        <f t="shared" si="4"/>
        <v/>
      </c>
      <c r="DK39" s="18">
        <f t="shared" si="5"/>
        <v>144</v>
      </c>
      <c r="DL39" s="18">
        <f t="shared" si="6"/>
        <v>8</v>
      </c>
      <c r="DM39" s="18" t="str">
        <f t="shared" si="7"/>
        <v/>
      </c>
      <c r="DN39" s="18">
        <f t="shared" si="8"/>
        <v>8</v>
      </c>
      <c r="DO39" s="18">
        <v>313</v>
      </c>
      <c r="DP39" s="18">
        <v>124</v>
      </c>
      <c r="DQ39" s="18">
        <v>313</v>
      </c>
      <c r="DR39" s="18">
        <v>21</v>
      </c>
      <c r="DS39" s="18">
        <v>9</v>
      </c>
      <c r="DT39" s="18">
        <v>21</v>
      </c>
      <c r="DU39" s="18" t="s">
        <v>36</v>
      </c>
    </row>
    <row r="40" spans="54:125" x14ac:dyDescent="0.25">
      <c r="BB40" s="7">
        <v>37</v>
      </c>
      <c r="BC40" s="7" t="s">
        <v>332</v>
      </c>
      <c r="BD40" s="23" t="s">
        <v>36</v>
      </c>
      <c r="BE40" s="26">
        <v>310686851</v>
      </c>
      <c r="BF40" s="25" t="s">
        <v>40</v>
      </c>
      <c r="BG40" s="7">
        <v>36</v>
      </c>
      <c r="BH40" s="7" t="s">
        <v>320</v>
      </c>
      <c r="BI40" s="7" t="s">
        <v>367</v>
      </c>
      <c r="BJ40" s="7">
        <v>69</v>
      </c>
      <c r="BK40" s="9">
        <v>60.579362318840616</v>
      </c>
      <c r="BL40" s="9">
        <v>51.497231884058003</v>
      </c>
      <c r="BM40" s="9">
        <v>56.038647342995176</v>
      </c>
      <c r="BN40" s="9">
        <v>112.07659420289853</v>
      </c>
      <c r="BO40" s="7">
        <v>7</v>
      </c>
      <c r="BP40" s="7">
        <v>31</v>
      </c>
      <c r="BQ40" s="7">
        <v>18</v>
      </c>
      <c r="BR40" s="7">
        <v>13</v>
      </c>
      <c r="BS40" s="7">
        <v>0</v>
      </c>
      <c r="BT40" s="7">
        <v>0</v>
      </c>
      <c r="BU40" s="7">
        <v>17</v>
      </c>
      <c r="BV40" s="7">
        <v>25</v>
      </c>
      <c r="BW40" s="7">
        <v>20</v>
      </c>
      <c r="BX40" s="7">
        <v>7</v>
      </c>
      <c r="BY40" s="7">
        <v>0</v>
      </c>
      <c r="BZ40" s="7">
        <v>0</v>
      </c>
      <c r="CA40" s="7"/>
      <c r="CB40" s="9"/>
      <c r="CC40" s="9"/>
      <c r="CD40" s="9"/>
      <c r="CE40" s="9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>
        <v>69</v>
      </c>
      <c r="CS40" s="9">
        <v>60.579362318840616</v>
      </c>
      <c r="CT40" s="9">
        <v>51.497231884058003</v>
      </c>
      <c r="CU40" s="9">
        <v>56.038647342995176</v>
      </c>
      <c r="CV40" s="9">
        <v>112.07659420289853</v>
      </c>
      <c r="CW40" s="7">
        <v>7</v>
      </c>
      <c r="CX40" s="7">
        <v>31</v>
      </c>
      <c r="CY40" s="7">
        <v>18</v>
      </c>
      <c r="CZ40" s="7">
        <v>13</v>
      </c>
      <c r="DA40" s="7">
        <v>0</v>
      </c>
      <c r="DB40" s="7">
        <v>0</v>
      </c>
      <c r="DC40" s="7">
        <v>17</v>
      </c>
      <c r="DD40" s="7">
        <v>25</v>
      </c>
      <c r="DE40" s="7">
        <v>20</v>
      </c>
      <c r="DF40" s="7">
        <v>7</v>
      </c>
      <c r="DG40" s="7">
        <v>0</v>
      </c>
      <c r="DH40" s="7">
        <v>0</v>
      </c>
      <c r="DI40" s="18">
        <f t="shared" si="3"/>
        <v>200</v>
      </c>
      <c r="DJ40" s="18" t="str">
        <f t="shared" si="4"/>
        <v/>
      </c>
      <c r="DK40" s="18">
        <f t="shared" si="5"/>
        <v>199</v>
      </c>
      <c r="DL40" s="18">
        <f t="shared" si="6"/>
        <v>13</v>
      </c>
      <c r="DM40" s="18" t="str">
        <f t="shared" si="7"/>
        <v/>
      </c>
      <c r="DN40" s="18">
        <f t="shared" si="8"/>
        <v>13</v>
      </c>
      <c r="DO40" s="18">
        <v>313</v>
      </c>
      <c r="DP40" s="18">
        <v>124</v>
      </c>
      <c r="DQ40" s="18">
        <v>313</v>
      </c>
      <c r="DR40" s="18">
        <v>21</v>
      </c>
      <c r="DS40" s="18">
        <v>9</v>
      </c>
      <c r="DT40" s="18">
        <v>21</v>
      </c>
      <c r="DU40" s="18" t="s">
        <v>36</v>
      </c>
    </row>
    <row r="41" spans="54:125" x14ac:dyDescent="0.25">
      <c r="BB41" s="7">
        <v>38</v>
      </c>
      <c r="BC41" s="7" t="s">
        <v>332</v>
      </c>
      <c r="BD41" s="23" t="s">
        <v>36</v>
      </c>
      <c r="BE41" s="26">
        <v>213616556</v>
      </c>
      <c r="BF41" s="25" t="s">
        <v>37</v>
      </c>
      <c r="BG41" s="7">
        <v>37</v>
      </c>
      <c r="BH41" s="7" t="s">
        <v>320</v>
      </c>
      <c r="BI41" s="7" t="s">
        <v>367</v>
      </c>
      <c r="BJ41" s="7">
        <v>65</v>
      </c>
      <c r="BK41" s="9">
        <v>57.897076923076966</v>
      </c>
      <c r="BL41" s="9">
        <v>50.871461538461567</v>
      </c>
      <c r="BM41" s="9">
        <v>54.384615384615387</v>
      </c>
      <c r="BN41" s="9">
        <v>108.76853846153843</v>
      </c>
      <c r="BO41" s="7">
        <v>9</v>
      </c>
      <c r="BP41" s="7">
        <v>24</v>
      </c>
      <c r="BQ41" s="7">
        <v>26</v>
      </c>
      <c r="BR41" s="7">
        <v>6</v>
      </c>
      <c r="BS41" s="7">
        <v>0</v>
      </c>
      <c r="BT41" s="7">
        <v>0</v>
      </c>
      <c r="BU41" s="7">
        <v>12</v>
      </c>
      <c r="BV41" s="7">
        <v>28</v>
      </c>
      <c r="BW41" s="7">
        <v>21</v>
      </c>
      <c r="BX41" s="7">
        <v>4</v>
      </c>
      <c r="BY41" s="7">
        <v>0</v>
      </c>
      <c r="BZ41" s="7">
        <v>0</v>
      </c>
      <c r="CA41" s="7"/>
      <c r="CB41" s="9"/>
      <c r="CC41" s="9"/>
      <c r="CD41" s="9"/>
      <c r="CE41" s="9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>
        <v>65</v>
      </c>
      <c r="CS41" s="9">
        <v>57.897076923076966</v>
      </c>
      <c r="CT41" s="9">
        <v>50.871461538461567</v>
      </c>
      <c r="CU41" s="9">
        <v>54.384615384615387</v>
      </c>
      <c r="CV41" s="9">
        <v>108.76853846153843</v>
      </c>
      <c r="CW41" s="7">
        <v>9</v>
      </c>
      <c r="CX41" s="7">
        <v>24</v>
      </c>
      <c r="CY41" s="7">
        <v>26</v>
      </c>
      <c r="CZ41" s="7">
        <v>6</v>
      </c>
      <c r="DA41" s="7">
        <v>0</v>
      </c>
      <c r="DB41" s="7">
        <v>0</v>
      </c>
      <c r="DC41" s="7">
        <v>12</v>
      </c>
      <c r="DD41" s="7">
        <v>28</v>
      </c>
      <c r="DE41" s="7">
        <v>21</v>
      </c>
      <c r="DF41" s="7">
        <v>4</v>
      </c>
      <c r="DG41" s="7">
        <v>0</v>
      </c>
      <c r="DH41" s="7">
        <v>0</v>
      </c>
      <c r="DI41" s="18">
        <f t="shared" si="3"/>
        <v>227</v>
      </c>
      <c r="DJ41" s="18" t="str">
        <f t="shared" si="4"/>
        <v/>
      </c>
      <c r="DK41" s="18">
        <f t="shared" si="5"/>
        <v>233</v>
      </c>
      <c r="DL41" s="18">
        <f t="shared" si="6"/>
        <v>15</v>
      </c>
      <c r="DM41" s="18" t="str">
        <f t="shared" si="7"/>
        <v/>
      </c>
      <c r="DN41" s="18">
        <f t="shared" si="8"/>
        <v>15</v>
      </c>
      <c r="DO41" s="18">
        <v>313</v>
      </c>
      <c r="DP41" s="18">
        <v>124</v>
      </c>
      <c r="DQ41" s="18">
        <v>313</v>
      </c>
      <c r="DR41" s="18">
        <v>21</v>
      </c>
      <c r="DS41" s="18">
        <v>9</v>
      </c>
      <c r="DT41" s="18">
        <v>21</v>
      </c>
      <c r="DU41" s="18" t="s">
        <v>36</v>
      </c>
    </row>
    <row r="42" spans="54:125" x14ac:dyDescent="0.25">
      <c r="BB42" s="7">
        <v>39</v>
      </c>
      <c r="BC42" s="7" t="s">
        <v>332</v>
      </c>
      <c r="BD42" s="23" t="s">
        <v>36</v>
      </c>
      <c r="BE42" s="26">
        <v>703873635</v>
      </c>
      <c r="BF42" s="25" t="s">
        <v>48</v>
      </c>
      <c r="BG42" s="7">
        <v>39</v>
      </c>
      <c r="BH42" s="7" t="s">
        <v>320</v>
      </c>
      <c r="BI42" s="7" t="s">
        <v>368</v>
      </c>
      <c r="BJ42" s="7">
        <v>37</v>
      </c>
      <c r="BK42" s="9">
        <v>64.323945945945951</v>
      </c>
      <c r="BL42" s="9">
        <v>59.999621621621621</v>
      </c>
      <c r="BM42" s="9">
        <v>62.162162162162161</v>
      </c>
      <c r="BN42" s="9">
        <v>124.32356756756758</v>
      </c>
      <c r="BO42" s="7">
        <v>3</v>
      </c>
      <c r="BP42" s="7">
        <v>14</v>
      </c>
      <c r="BQ42" s="7">
        <v>10</v>
      </c>
      <c r="BR42" s="7">
        <v>10</v>
      </c>
      <c r="BS42" s="7">
        <v>0</v>
      </c>
      <c r="BT42" s="7">
        <v>0</v>
      </c>
      <c r="BU42" s="7">
        <v>3</v>
      </c>
      <c r="BV42" s="7">
        <v>16</v>
      </c>
      <c r="BW42" s="7">
        <v>14</v>
      </c>
      <c r="BX42" s="7">
        <v>4</v>
      </c>
      <c r="BY42" s="7">
        <v>0</v>
      </c>
      <c r="BZ42" s="7">
        <v>0</v>
      </c>
      <c r="CA42" s="7">
        <v>40</v>
      </c>
      <c r="CB42" s="9">
        <v>66.916350000000008</v>
      </c>
      <c r="CC42" s="9">
        <v>56.249675000000003</v>
      </c>
      <c r="CD42" s="9">
        <v>61.583333333333336</v>
      </c>
      <c r="CE42" s="9">
        <v>123.16602499999996</v>
      </c>
      <c r="CF42" s="7">
        <v>2</v>
      </c>
      <c r="CG42" s="7">
        <v>12</v>
      </c>
      <c r="CH42" s="7">
        <v>16</v>
      </c>
      <c r="CI42" s="7">
        <v>10</v>
      </c>
      <c r="CJ42" s="7">
        <v>0</v>
      </c>
      <c r="CK42" s="7">
        <v>0</v>
      </c>
      <c r="CL42" s="7">
        <v>6</v>
      </c>
      <c r="CM42" s="7">
        <v>16</v>
      </c>
      <c r="CN42" s="7">
        <v>17</v>
      </c>
      <c r="CO42" s="7">
        <v>1</v>
      </c>
      <c r="CP42" s="7">
        <v>0</v>
      </c>
      <c r="CQ42" s="7">
        <v>0</v>
      </c>
      <c r="CR42" s="7">
        <v>77</v>
      </c>
      <c r="CS42" s="9">
        <v>65.67064935064937</v>
      </c>
      <c r="CT42" s="9">
        <v>58.051597402597437</v>
      </c>
      <c r="CU42" s="9">
        <v>61.861471861471884</v>
      </c>
      <c r="CV42" s="9">
        <v>123.72224675324675</v>
      </c>
      <c r="CW42" s="7">
        <v>5</v>
      </c>
      <c r="CX42" s="7">
        <v>26</v>
      </c>
      <c r="CY42" s="7">
        <v>26</v>
      </c>
      <c r="CZ42" s="7">
        <v>20</v>
      </c>
      <c r="DA42" s="7">
        <v>0</v>
      </c>
      <c r="DB42" s="7">
        <v>0</v>
      </c>
      <c r="DC42" s="7">
        <v>9</v>
      </c>
      <c r="DD42" s="7">
        <v>32</v>
      </c>
      <c r="DE42" s="7">
        <v>31</v>
      </c>
      <c r="DF42" s="7">
        <v>5</v>
      </c>
      <c r="DG42" s="7">
        <v>0</v>
      </c>
      <c r="DH42" s="7">
        <v>0</v>
      </c>
      <c r="DI42" s="18">
        <f t="shared" si="3"/>
        <v>102</v>
      </c>
      <c r="DJ42" s="18">
        <f t="shared" si="4"/>
        <v>39</v>
      </c>
      <c r="DK42" s="18">
        <f t="shared" si="5"/>
        <v>96</v>
      </c>
      <c r="DL42" s="18">
        <f t="shared" si="6"/>
        <v>5</v>
      </c>
      <c r="DM42" s="18">
        <f t="shared" si="7"/>
        <v>2</v>
      </c>
      <c r="DN42" s="18">
        <f t="shared" si="8"/>
        <v>6</v>
      </c>
      <c r="DO42" s="18">
        <v>313</v>
      </c>
      <c r="DP42" s="18">
        <v>124</v>
      </c>
      <c r="DQ42" s="18">
        <v>313</v>
      </c>
      <c r="DR42" s="18">
        <v>21</v>
      </c>
      <c r="DS42" s="18">
        <v>9</v>
      </c>
      <c r="DT42" s="18">
        <v>21</v>
      </c>
      <c r="DU42" s="18" t="s">
        <v>36</v>
      </c>
    </row>
    <row r="43" spans="54:125" x14ac:dyDescent="0.25">
      <c r="BB43" s="7">
        <v>40</v>
      </c>
      <c r="BC43" s="7" t="s">
        <v>332</v>
      </c>
      <c r="BD43" s="23" t="s">
        <v>36</v>
      </c>
      <c r="BE43" s="26">
        <v>864517341</v>
      </c>
      <c r="BF43" s="25" t="s">
        <v>50</v>
      </c>
      <c r="BG43" s="7">
        <v>45</v>
      </c>
      <c r="BH43" s="7" t="s">
        <v>320</v>
      </c>
      <c r="BI43" s="7" t="s">
        <v>367</v>
      </c>
      <c r="BJ43" s="7">
        <v>147</v>
      </c>
      <c r="BK43" s="9">
        <v>64.103979591836705</v>
      </c>
      <c r="BL43" s="9">
        <v>60.725299319727895</v>
      </c>
      <c r="BM43" s="9">
        <v>62.41496598639452</v>
      </c>
      <c r="BN43" s="9">
        <v>124.82927891156447</v>
      </c>
      <c r="BO43" s="7">
        <v>8</v>
      </c>
      <c r="BP43" s="7">
        <v>57</v>
      </c>
      <c r="BQ43" s="7">
        <v>52</v>
      </c>
      <c r="BR43" s="7">
        <v>30</v>
      </c>
      <c r="BS43" s="7">
        <v>0</v>
      </c>
      <c r="BT43" s="7">
        <v>3</v>
      </c>
      <c r="BU43" s="7">
        <v>5</v>
      </c>
      <c r="BV43" s="7">
        <v>70</v>
      </c>
      <c r="BW43" s="7">
        <v>56</v>
      </c>
      <c r="BX43" s="7">
        <v>16</v>
      </c>
      <c r="BY43" s="7">
        <v>0</v>
      </c>
      <c r="BZ43" s="7">
        <v>0</v>
      </c>
      <c r="CA43" s="7"/>
      <c r="CB43" s="9"/>
      <c r="CC43" s="9"/>
      <c r="CD43" s="9"/>
      <c r="CE43" s="9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>
        <v>147</v>
      </c>
      <c r="CS43" s="9">
        <v>64.103979591836705</v>
      </c>
      <c r="CT43" s="9">
        <v>60.725299319727895</v>
      </c>
      <c r="CU43" s="9">
        <v>62.41496598639452</v>
      </c>
      <c r="CV43" s="9">
        <v>124.82927891156447</v>
      </c>
      <c r="CW43" s="7">
        <v>8</v>
      </c>
      <c r="CX43" s="7">
        <v>57</v>
      </c>
      <c r="CY43" s="7">
        <v>52</v>
      </c>
      <c r="CZ43" s="7">
        <v>30</v>
      </c>
      <c r="DA43" s="7">
        <v>0</v>
      </c>
      <c r="DB43" s="7">
        <v>3</v>
      </c>
      <c r="DC43" s="7">
        <v>5</v>
      </c>
      <c r="DD43" s="7">
        <v>70</v>
      </c>
      <c r="DE43" s="7">
        <v>56</v>
      </c>
      <c r="DF43" s="7">
        <v>16</v>
      </c>
      <c r="DG43" s="7">
        <v>0</v>
      </c>
      <c r="DH43" s="7">
        <v>0</v>
      </c>
      <c r="DI43" s="18">
        <f t="shared" si="3"/>
        <v>97</v>
      </c>
      <c r="DJ43" s="18" t="str">
        <f t="shared" si="4"/>
        <v/>
      </c>
      <c r="DK43" s="18">
        <f t="shared" si="5"/>
        <v>84</v>
      </c>
      <c r="DL43" s="18">
        <f t="shared" si="6"/>
        <v>4</v>
      </c>
      <c r="DM43" s="18" t="str">
        <f t="shared" si="7"/>
        <v/>
      </c>
      <c r="DN43" s="18">
        <f t="shared" si="8"/>
        <v>5</v>
      </c>
      <c r="DO43" s="18">
        <v>313</v>
      </c>
      <c r="DP43" s="18">
        <v>124</v>
      </c>
      <c r="DQ43" s="18">
        <v>313</v>
      </c>
      <c r="DR43" s="18">
        <v>21</v>
      </c>
      <c r="DS43" s="18">
        <v>9</v>
      </c>
      <c r="DT43" s="18">
        <v>21</v>
      </c>
      <c r="DU43" s="18" t="s">
        <v>36</v>
      </c>
    </row>
    <row r="44" spans="54:125" x14ac:dyDescent="0.25">
      <c r="BB44" s="7">
        <v>41</v>
      </c>
      <c r="BC44" s="7" t="s">
        <v>332</v>
      </c>
      <c r="BD44" s="23" t="s">
        <v>36</v>
      </c>
      <c r="BE44" s="26">
        <v>930476253</v>
      </c>
      <c r="BF44" s="25" t="s">
        <v>49</v>
      </c>
      <c r="BG44" s="7">
        <v>47</v>
      </c>
      <c r="BH44" s="7" t="s">
        <v>320</v>
      </c>
      <c r="BI44" s="7" t="s">
        <v>368</v>
      </c>
      <c r="BJ44" s="7">
        <v>70</v>
      </c>
      <c r="BK44" s="9">
        <v>59.523414285714324</v>
      </c>
      <c r="BL44" s="9">
        <v>54.713971428571455</v>
      </c>
      <c r="BM44" s="9">
        <v>57.11904761904762</v>
      </c>
      <c r="BN44" s="9">
        <v>114.23738571428571</v>
      </c>
      <c r="BO44" s="7">
        <v>8</v>
      </c>
      <c r="BP44" s="7">
        <v>30</v>
      </c>
      <c r="BQ44" s="7">
        <v>23</v>
      </c>
      <c r="BR44" s="7">
        <v>9</v>
      </c>
      <c r="BS44" s="7">
        <v>0</v>
      </c>
      <c r="BT44" s="7">
        <v>0</v>
      </c>
      <c r="BU44" s="7">
        <v>9</v>
      </c>
      <c r="BV44" s="7">
        <v>35</v>
      </c>
      <c r="BW44" s="7">
        <v>20</v>
      </c>
      <c r="BX44" s="7">
        <v>6</v>
      </c>
      <c r="BY44" s="7">
        <v>0</v>
      </c>
      <c r="BZ44" s="7">
        <v>0</v>
      </c>
      <c r="CA44" s="7">
        <v>81</v>
      </c>
      <c r="CB44" s="9">
        <v>61.5222839506173</v>
      </c>
      <c r="CC44" s="9">
        <v>53.456481481481518</v>
      </c>
      <c r="CD44" s="9">
        <v>57.489711934156382</v>
      </c>
      <c r="CE44" s="9">
        <v>114.97876543209877</v>
      </c>
      <c r="CF44" s="7">
        <v>7</v>
      </c>
      <c r="CG44" s="7">
        <v>30</v>
      </c>
      <c r="CH44" s="7">
        <v>32</v>
      </c>
      <c r="CI44" s="7">
        <v>12</v>
      </c>
      <c r="CJ44" s="7">
        <v>0</v>
      </c>
      <c r="CK44" s="7">
        <v>0</v>
      </c>
      <c r="CL44" s="7">
        <v>13</v>
      </c>
      <c r="CM44" s="7">
        <v>38</v>
      </c>
      <c r="CN44" s="7">
        <v>24</v>
      </c>
      <c r="CO44" s="7">
        <v>6</v>
      </c>
      <c r="CP44" s="7">
        <v>0</v>
      </c>
      <c r="CQ44" s="7">
        <v>1</v>
      </c>
      <c r="CR44" s="7">
        <v>151</v>
      </c>
      <c r="CS44" s="9">
        <v>60.595655629139046</v>
      </c>
      <c r="CT44" s="9">
        <v>54.039423841059595</v>
      </c>
      <c r="CU44" s="9">
        <v>57.317880794701999</v>
      </c>
      <c r="CV44" s="9">
        <v>114.6350794701986</v>
      </c>
      <c r="CW44" s="7">
        <v>15</v>
      </c>
      <c r="CX44" s="7">
        <v>60</v>
      </c>
      <c r="CY44" s="7">
        <v>55</v>
      </c>
      <c r="CZ44" s="7">
        <v>21</v>
      </c>
      <c r="DA44" s="7">
        <v>0</v>
      </c>
      <c r="DB44" s="7">
        <v>0</v>
      </c>
      <c r="DC44" s="7">
        <v>22</v>
      </c>
      <c r="DD44" s="7">
        <v>73</v>
      </c>
      <c r="DE44" s="7">
        <v>44</v>
      </c>
      <c r="DF44" s="7">
        <v>12</v>
      </c>
      <c r="DG44" s="7">
        <v>0</v>
      </c>
      <c r="DH44" s="7">
        <v>1</v>
      </c>
      <c r="DI44" s="18">
        <f t="shared" si="3"/>
        <v>184</v>
      </c>
      <c r="DJ44" s="18">
        <f t="shared" si="4"/>
        <v>79</v>
      </c>
      <c r="DK44" s="18">
        <f t="shared" si="5"/>
        <v>178</v>
      </c>
      <c r="DL44" s="18">
        <f t="shared" si="6"/>
        <v>11</v>
      </c>
      <c r="DM44" s="18">
        <f t="shared" si="7"/>
        <v>7</v>
      </c>
      <c r="DN44" s="18">
        <f t="shared" si="8"/>
        <v>10</v>
      </c>
      <c r="DO44" s="18">
        <v>313</v>
      </c>
      <c r="DP44" s="18">
        <v>124</v>
      </c>
      <c r="DQ44" s="18">
        <v>313</v>
      </c>
      <c r="DR44" s="18">
        <v>21</v>
      </c>
      <c r="DS44" s="18">
        <v>9</v>
      </c>
      <c r="DT44" s="18">
        <v>21</v>
      </c>
      <c r="DU44" s="18" t="s">
        <v>36</v>
      </c>
    </row>
    <row r="45" spans="54:125" x14ac:dyDescent="0.25">
      <c r="BB45" s="7">
        <v>42</v>
      </c>
      <c r="BC45" s="7" t="s">
        <v>332</v>
      </c>
      <c r="BD45" s="23" t="s">
        <v>36</v>
      </c>
      <c r="BE45" s="26">
        <v>877558334</v>
      </c>
      <c r="BF45" s="25" t="s">
        <v>54</v>
      </c>
      <c r="BG45" s="7">
        <v>57</v>
      </c>
      <c r="BH45" s="7" t="s">
        <v>320</v>
      </c>
      <c r="BI45" s="7" t="s">
        <v>367</v>
      </c>
      <c r="BJ45" s="7">
        <v>83</v>
      </c>
      <c r="BK45" s="9">
        <v>59.116120481927744</v>
      </c>
      <c r="BL45" s="9">
        <v>49.357108433734979</v>
      </c>
      <c r="BM45" s="9">
        <v>54.236947791164653</v>
      </c>
      <c r="BN45" s="9">
        <v>108.47322891566262</v>
      </c>
      <c r="BO45" s="7">
        <v>12</v>
      </c>
      <c r="BP45" s="7">
        <v>31</v>
      </c>
      <c r="BQ45" s="7">
        <v>21</v>
      </c>
      <c r="BR45" s="7">
        <v>19</v>
      </c>
      <c r="BS45" s="7">
        <v>0</v>
      </c>
      <c r="BT45" s="7">
        <v>2</v>
      </c>
      <c r="BU45" s="7">
        <v>12</v>
      </c>
      <c r="BV45" s="7">
        <v>44</v>
      </c>
      <c r="BW45" s="7">
        <v>25</v>
      </c>
      <c r="BX45" s="7">
        <v>2</v>
      </c>
      <c r="BY45" s="7">
        <v>0</v>
      </c>
      <c r="BZ45" s="7">
        <v>0</v>
      </c>
      <c r="CA45" s="7"/>
      <c r="CB45" s="9"/>
      <c r="CC45" s="9"/>
      <c r="CD45" s="9"/>
      <c r="CE45" s="9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>
        <v>83</v>
      </c>
      <c r="CS45" s="9">
        <v>59.116120481927744</v>
      </c>
      <c r="CT45" s="9">
        <v>49.357108433734979</v>
      </c>
      <c r="CU45" s="9">
        <v>54.236947791164653</v>
      </c>
      <c r="CV45" s="9">
        <v>108.47322891566262</v>
      </c>
      <c r="CW45" s="7">
        <v>12</v>
      </c>
      <c r="CX45" s="7">
        <v>31</v>
      </c>
      <c r="CY45" s="7">
        <v>21</v>
      </c>
      <c r="CZ45" s="7">
        <v>19</v>
      </c>
      <c r="DA45" s="7">
        <v>0</v>
      </c>
      <c r="DB45" s="7">
        <v>2</v>
      </c>
      <c r="DC45" s="7">
        <v>12</v>
      </c>
      <c r="DD45" s="7">
        <v>44</v>
      </c>
      <c r="DE45" s="7">
        <v>25</v>
      </c>
      <c r="DF45" s="7">
        <v>2</v>
      </c>
      <c r="DG45" s="7">
        <v>0</v>
      </c>
      <c r="DH45" s="7">
        <v>0</v>
      </c>
      <c r="DI45" s="18">
        <f t="shared" si="3"/>
        <v>231</v>
      </c>
      <c r="DJ45" s="18" t="str">
        <f t="shared" si="4"/>
        <v/>
      </c>
      <c r="DK45" s="18">
        <f t="shared" si="5"/>
        <v>236</v>
      </c>
      <c r="DL45" s="18">
        <f t="shared" si="6"/>
        <v>16</v>
      </c>
      <c r="DM45" s="18" t="str">
        <f t="shared" si="7"/>
        <v/>
      </c>
      <c r="DN45" s="18">
        <f t="shared" si="8"/>
        <v>16</v>
      </c>
      <c r="DO45" s="18">
        <v>313</v>
      </c>
      <c r="DP45" s="18">
        <v>124</v>
      </c>
      <c r="DQ45" s="18">
        <v>313</v>
      </c>
      <c r="DR45" s="18">
        <v>21</v>
      </c>
      <c r="DS45" s="18">
        <v>9</v>
      </c>
      <c r="DT45" s="18">
        <v>21</v>
      </c>
      <c r="DU45" s="18" t="s">
        <v>36</v>
      </c>
    </row>
    <row r="46" spans="54:125" x14ac:dyDescent="0.25">
      <c r="BB46" s="7">
        <v>43</v>
      </c>
      <c r="BC46" s="7" t="s">
        <v>332</v>
      </c>
      <c r="BD46" s="23" t="s">
        <v>36</v>
      </c>
      <c r="BE46" s="26">
        <v>988534585</v>
      </c>
      <c r="BF46" s="25" t="s">
        <v>52</v>
      </c>
      <c r="BG46" s="7">
        <v>73</v>
      </c>
      <c r="BH46" s="7" t="s">
        <v>320</v>
      </c>
      <c r="BI46" s="7" t="s">
        <v>367</v>
      </c>
      <c r="BJ46" s="7">
        <v>111</v>
      </c>
      <c r="BK46" s="9">
        <v>62.221909909909904</v>
      </c>
      <c r="BL46" s="9">
        <v>56.606270270270272</v>
      </c>
      <c r="BM46" s="9">
        <v>59.414414414414409</v>
      </c>
      <c r="BN46" s="9">
        <v>118.82818018018011</v>
      </c>
      <c r="BO46" s="7">
        <v>8</v>
      </c>
      <c r="BP46" s="7">
        <v>43</v>
      </c>
      <c r="BQ46" s="7">
        <v>45</v>
      </c>
      <c r="BR46" s="7">
        <v>15</v>
      </c>
      <c r="BS46" s="7">
        <v>0</v>
      </c>
      <c r="BT46" s="7">
        <v>0</v>
      </c>
      <c r="BU46" s="7">
        <v>9</v>
      </c>
      <c r="BV46" s="7">
        <v>59</v>
      </c>
      <c r="BW46" s="7">
        <v>31</v>
      </c>
      <c r="BX46" s="7">
        <v>12</v>
      </c>
      <c r="BY46" s="7">
        <v>0</v>
      </c>
      <c r="BZ46" s="7">
        <v>0</v>
      </c>
      <c r="CA46" s="7"/>
      <c r="CB46" s="9"/>
      <c r="CC46" s="9"/>
      <c r="CD46" s="9"/>
      <c r="CE46" s="9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>
        <v>111</v>
      </c>
      <c r="CS46" s="9">
        <v>62.221909909909904</v>
      </c>
      <c r="CT46" s="9">
        <v>56.606270270270272</v>
      </c>
      <c r="CU46" s="9">
        <v>59.414414414414409</v>
      </c>
      <c r="CV46" s="9">
        <v>118.82818018018011</v>
      </c>
      <c r="CW46" s="7">
        <v>8</v>
      </c>
      <c r="CX46" s="7">
        <v>43</v>
      </c>
      <c r="CY46" s="7">
        <v>45</v>
      </c>
      <c r="CZ46" s="7">
        <v>15</v>
      </c>
      <c r="DA46" s="7">
        <v>0</v>
      </c>
      <c r="DB46" s="7">
        <v>0</v>
      </c>
      <c r="DC46" s="7">
        <v>9</v>
      </c>
      <c r="DD46" s="7">
        <v>59</v>
      </c>
      <c r="DE46" s="7">
        <v>31</v>
      </c>
      <c r="DF46" s="7">
        <v>12</v>
      </c>
      <c r="DG46" s="7">
        <v>0</v>
      </c>
      <c r="DH46" s="7">
        <v>0</v>
      </c>
      <c r="DI46" s="18">
        <f t="shared" si="3"/>
        <v>144</v>
      </c>
      <c r="DJ46" s="18" t="str">
        <f t="shared" si="4"/>
        <v/>
      </c>
      <c r="DK46" s="18">
        <f t="shared" si="5"/>
        <v>143</v>
      </c>
      <c r="DL46" s="18">
        <f t="shared" si="6"/>
        <v>7</v>
      </c>
      <c r="DM46" s="18" t="str">
        <f t="shared" si="7"/>
        <v/>
      </c>
      <c r="DN46" s="18">
        <f t="shared" si="8"/>
        <v>7</v>
      </c>
      <c r="DO46" s="18">
        <v>313</v>
      </c>
      <c r="DP46" s="18">
        <v>124</v>
      </c>
      <c r="DQ46" s="18">
        <v>313</v>
      </c>
      <c r="DR46" s="18">
        <v>21</v>
      </c>
      <c r="DS46" s="18">
        <v>9</v>
      </c>
      <c r="DT46" s="18">
        <v>21</v>
      </c>
      <c r="DU46" s="18" t="s">
        <v>36</v>
      </c>
    </row>
    <row r="47" spans="54:125" x14ac:dyDescent="0.25">
      <c r="BB47" s="7">
        <v>44</v>
      </c>
      <c r="BC47" s="7" t="s">
        <v>332</v>
      </c>
      <c r="BD47" s="23" t="s">
        <v>36</v>
      </c>
      <c r="BE47" s="26">
        <v>775151409</v>
      </c>
      <c r="BF47" s="25" t="s">
        <v>51</v>
      </c>
      <c r="BG47" s="7">
        <v>82</v>
      </c>
      <c r="BH47" s="7" t="s">
        <v>320</v>
      </c>
      <c r="BI47" s="7" t="s">
        <v>368</v>
      </c>
      <c r="BJ47" s="7">
        <v>98</v>
      </c>
      <c r="BK47" s="9">
        <v>72.856826530612224</v>
      </c>
      <c r="BL47" s="9">
        <v>67.550704081632645</v>
      </c>
      <c r="BM47" s="9">
        <v>70.204081632653057</v>
      </c>
      <c r="BN47" s="9">
        <v>140.40753061224484</v>
      </c>
      <c r="BO47" s="7">
        <v>2</v>
      </c>
      <c r="BP47" s="7">
        <v>22</v>
      </c>
      <c r="BQ47" s="7">
        <v>42</v>
      </c>
      <c r="BR47" s="7">
        <v>32</v>
      </c>
      <c r="BS47" s="7">
        <v>0</v>
      </c>
      <c r="BT47" s="7">
        <v>2</v>
      </c>
      <c r="BU47" s="7">
        <v>6</v>
      </c>
      <c r="BV47" s="7">
        <v>28</v>
      </c>
      <c r="BW47" s="7">
        <v>36</v>
      </c>
      <c r="BX47" s="7">
        <v>28</v>
      </c>
      <c r="BY47" s="7">
        <v>0</v>
      </c>
      <c r="BZ47" s="7">
        <v>0</v>
      </c>
      <c r="CA47" s="7">
        <v>44</v>
      </c>
      <c r="CB47" s="9">
        <v>64.090500000000034</v>
      </c>
      <c r="CC47" s="9">
        <v>58.33300000000002</v>
      </c>
      <c r="CD47" s="9">
        <v>61.212121212121204</v>
      </c>
      <c r="CE47" s="9">
        <v>122.42350000000002</v>
      </c>
      <c r="CF47" s="7">
        <v>2</v>
      </c>
      <c r="CG47" s="7">
        <v>14</v>
      </c>
      <c r="CH47" s="7">
        <v>21</v>
      </c>
      <c r="CI47" s="7">
        <v>7</v>
      </c>
      <c r="CJ47" s="7">
        <v>0</v>
      </c>
      <c r="CK47" s="7">
        <v>0</v>
      </c>
      <c r="CL47" s="7">
        <v>3</v>
      </c>
      <c r="CM47" s="7">
        <v>22</v>
      </c>
      <c r="CN47" s="7">
        <v>16</v>
      </c>
      <c r="CO47" s="7">
        <v>3</v>
      </c>
      <c r="CP47" s="7">
        <v>0</v>
      </c>
      <c r="CQ47" s="7">
        <v>0</v>
      </c>
      <c r="CR47" s="7">
        <v>142</v>
      </c>
      <c r="CS47" s="9">
        <v>70.14049999999996</v>
      </c>
      <c r="CT47" s="9">
        <v>64.694514084506991</v>
      </c>
      <c r="CU47" s="9">
        <v>67.417840375586863</v>
      </c>
      <c r="CV47" s="9">
        <v>134.83501408450698</v>
      </c>
      <c r="CW47" s="7">
        <v>4</v>
      </c>
      <c r="CX47" s="7">
        <v>36</v>
      </c>
      <c r="CY47" s="7">
        <v>63</v>
      </c>
      <c r="CZ47" s="7">
        <v>39</v>
      </c>
      <c r="DA47" s="7">
        <v>0</v>
      </c>
      <c r="DB47" s="7">
        <v>2</v>
      </c>
      <c r="DC47" s="7">
        <v>9</v>
      </c>
      <c r="DD47" s="7">
        <v>50</v>
      </c>
      <c r="DE47" s="7">
        <v>52</v>
      </c>
      <c r="DF47" s="7">
        <v>31</v>
      </c>
      <c r="DG47" s="7">
        <v>0</v>
      </c>
      <c r="DH47" s="7">
        <v>0</v>
      </c>
      <c r="DI47" s="18">
        <f t="shared" si="3"/>
        <v>15</v>
      </c>
      <c r="DJ47" s="18">
        <f t="shared" si="4"/>
        <v>43</v>
      </c>
      <c r="DK47" s="18">
        <f t="shared" si="5"/>
        <v>21</v>
      </c>
      <c r="DL47" s="18">
        <f t="shared" si="6"/>
        <v>2</v>
      </c>
      <c r="DM47" s="18">
        <f t="shared" si="7"/>
        <v>3</v>
      </c>
      <c r="DN47" s="18">
        <f t="shared" si="8"/>
        <v>2</v>
      </c>
      <c r="DO47" s="18">
        <v>313</v>
      </c>
      <c r="DP47" s="18">
        <v>124</v>
      </c>
      <c r="DQ47" s="18">
        <v>313</v>
      </c>
      <c r="DR47" s="18">
        <v>21</v>
      </c>
      <c r="DS47" s="18">
        <v>9</v>
      </c>
      <c r="DT47" s="18">
        <v>21</v>
      </c>
      <c r="DU47" s="18" t="s">
        <v>36</v>
      </c>
    </row>
    <row r="48" spans="54:125" x14ac:dyDescent="0.25">
      <c r="BB48" s="7">
        <v>45</v>
      </c>
      <c r="BC48" s="7" t="s">
        <v>332</v>
      </c>
      <c r="BD48" s="23" t="s">
        <v>36</v>
      </c>
      <c r="BE48" s="26">
        <v>171358547</v>
      </c>
      <c r="BF48" s="25" t="s">
        <v>335</v>
      </c>
      <c r="BG48" s="7">
        <v>82</v>
      </c>
      <c r="BH48" s="7" t="s">
        <v>325</v>
      </c>
      <c r="BI48" s="7" t="s">
        <v>369</v>
      </c>
      <c r="BJ48" s="7"/>
      <c r="BK48" s="9"/>
      <c r="BL48" s="9"/>
      <c r="BM48" s="9"/>
      <c r="BN48" s="9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9"/>
      <c r="CC48" s="9"/>
      <c r="CD48" s="9"/>
      <c r="CE48" s="9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9"/>
      <c r="CT48" s="9"/>
      <c r="CU48" s="9"/>
      <c r="CV48" s="9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18" t="str">
        <f t="shared" si="3"/>
        <v/>
      </c>
      <c r="DJ48" s="18" t="str">
        <f t="shared" si="4"/>
        <v/>
      </c>
      <c r="DK48" s="18" t="str">
        <f t="shared" si="5"/>
        <v/>
      </c>
      <c r="DL48" s="18" t="str">
        <f t="shared" si="6"/>
        <v/>
      </c>
      <c r="DM48" s="18" t="str">
        <f t="shared" si="7"/>
        <v/>
      </c>
      <c r="DN48" s="18" t="str">
        <f t="shared" si="8"/>
        <v/>
      </c>
      <c r="DO48" s="18">
        <v>313</v>
      </c>
      <c r="DP48" s="18">
        <v>124</v>
      </c>
      <c r="DQ48" s="18">
        <v>313</v>
      </c>
      <c r="DR48" s="18">
        <v>21</v>
      </c>
      <c r="DS48" s="18">
        <v>9</v>
      </c>
      <c r="DT48" s="18">
        <v>21</v>
      </c>
      <c r="DU48" s="18" t="s">
        <v>36</v>
      </c>
    </row>
    <row r="49" spans="54:125" x14ac:dyDescent="0.25">
      <c r="BB49" s="7">
        <v>46</v>
      </c>
      <c r="BC49" s="7" t="s">
        <v>332</v>
      </c>
      <c r="BD49" s="23" t="s">
        <v>36</v>
      </c>
      <c r="BE49" s="26">
        <v>523974163</v>
      </c>
      <c r="BF49" s="25" t="s">
        <v>43</v>
      </c>
      <c r="BG49" s="7">
        <v>93</v>
      </c>
      <c r="BH49" s="7" t="s">
        <v>320</v>
      </c>
      <c r="BI49" s="7" t="s">
        <v>367</v>
      </c>
      <c r="BJ49" s="7">
        <v>84</v>
      </c>
      <c r="BK49" s="9">
        <v>60.55523809523811</v>
      </c>
      <c r="BL49" s="9">
        <v>52.499666666666698</v>
      </c>
      <c r="BM49" s="9">
        <v>56.527777777777786</v>
      </c>
      <c r="BN49" s="9">
        <v>113.05490476190474</v>
      </c>
      <c r="BO49" s="7">
        <v>5</v>
      </c>
      <c r="BP49" s="7">
        <v>42</v>
      </c>
      <c r="BQ49" s="7">
        <v>23</v>
      </c>
      <c r="BR49" s="7">
        <v>14</v>
      </c>
      <c r="BS49" s="7">
        <v>0</v>
      </c>
      <c r="BT49" s="7">
        <v>1</v>
      </c>
      <c r="BU49" s="7">
        <v>11</v>
      </c>
      <c r="BV49" s="7">
        <v>44</v>
      </c>
      <c r="BW49" s="7">
        <v>27</v>
      </c>
      <c r="BX49" s="7">
        <v>2</v>
      </c>
      <c r="BY49" s="7">
        <v>0</v>
      </c>
      <c r="BZ49" s="7">
        <v>0</v>
      </c>
      <c r="CA49" s="7"/>
      <c r="CB49" s="9"/>
      <c r="CC49" s="9"/>
      <c r="CD49" s="9"/>
      <c r="CE49" s="9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>
        <v>84</v>
      </c>
      <c r="CS49" s="9">
        <v>60.55523809523811</v>
      </c>
      <c r="CT49" s="9">
        <v>52.499666666666698</v>
      </c>
      <c r="CU49" s="9">
        <v>56.527777777777786</v>
      </c>
      <c r="CV49" s="9">
        <v>113.05490476190474</v>
      </c>
      <c r="CW49" s="7">
        <v>5</v>
      </c>
      <c r="CX49" s="7">
        <v>42</v>
      </c>
      <c r="CY49" s="7">
        <v>23</v>
      </c>
      <c r="CZ49" s="7">
        <v>14</v>
      </c>
      <c r="DA49" s="7">
        <v>0</v>
      </c>
      <c r="DB49" s="7">
        <v>1</v>
      </c>
      <c r="DC49" s="7">
        <v>11</v>
      </c>
      <c r="DD49" s="7">
        <v>44</v>
      </c>
      <c r="DE49" s="7">
        <v>27</v>
      </c>
      <c r="DF49" s="7">
        <v>2</v>
      </c>
      <c r="DG49" s="7">
        <v>0</v>
      </c>
      <c r="DH49" s="7">
        <v>0</v>
      </c>
      <c r="DI49" s="18">
        <f t="shared" si="3"/>
        <v>193</v>
      </c>
      <c r="DJ49" s="18" t="str">
        <f t="shared" si="4"/>
        <v/>
      </c>
      <c r="DK49" s="18">
        <f t="shared" si="5"/>
        <v>192</v>
      </c>
      <c r="DL49" s="18">
        <f t="shared" si="6"/>
        <v>12</v>
      </c>
      <c r="DM49" s="18" t="str">
        <f t="shared" si="7"/>
        <v/>
      </c>
      <c r="DN49" s="18">
        <f t="shared" si="8"/>
        <v>11</v>
      </c>
      <c r="DO49" s="18">
        <v>313</v>
      </c>
      <c r="DP49" s="18">
        <v>124</v>
      </c>
      <c r="DQ49" s="18">
        <v>313</v>
      </c>
      <c r="DR49" s="18">
        <v>21</v>
      </c>
      <c r="DS49" s="18">
        <v>9</v>
      </c>
      <c r="DT49" s="18">
        <v>21</v>
      </c>
      <c r="DU49" s="18" t="s">
        <v>36</v>
      </c>
    </row>
    <row r="50" spans="54:125" x14ac:dyDescent="0.25">
      <c r="BB50" s="7">
        <v>47</v>
      </c>
      <c r="BC50" s="7" t="s">
        <v>332</v>
      </c>
      <c r="BD50" s="23" t="s">
        <v>36</v>
      </c>
      <c r="BE50" s="26">
        <v>872988699</v>
      </c>
      <c r="BF50" s="25" t="s">
        <v>44</v>
      </c>
      <c r="BG50" s="7">
        <v>177</v>
      </c>
      <c r="BH50" s="7" t="s">
        <v>320</v>
      </c>
      <c r="BI50" s="7" t="s">
        <v>368</v>
      </c>
      <c r="BJ50" s="7">
        <v>68</v>
      </c>
      <c r="BK50" s="9">
        <v>61.323147058823572</v>
      </c>
      <c r="BL50" s="9">
        <v>59.558485294117695</v>
      </c>
      <c r="BM50" s="9">
        <v>60.441176470588211</v>
      </c>
      <c r="BN50" s="9">
        <v>120.88163235294117</v>
      </c>
      <c r="BO50" s="7">
        <v>4</v>
      </c>
      <c r="BP50" s="7">
        <v>30</v>
      </c>
      <c r="BQ50" s="7">
        <v>22</v>
      </c>
      <c r="BR50" s="7">
        <v>12</v>
      </c>
      <c r="BS50" s="7">
        <v>0</v>
      </c>
      <c r="BT50" s="7">
        <v>0</v>
      </c>
      <c r="BU50" s="7">
        <v>2</v>
      </c>
      <c r="BV50" s="7">
        <v>36</v>
      </c>
      <c r="BW50" s="7">
        <v>24</v>
      </c>
      <c r="BX50" s="7">
        <v>6</v>
      </c>
      <c r="BY50" s="7">
        <v>0</v>
      </c>
      <c r="BZ50" s="7">
        <v>0</v>
      </c>
      <c r="CA50" s="7">
        <v>72</v>
      </c>
      <c r="CB50" s="9">
        <v>73.88852777777781</v>
      </c>
      <c r="CC50" s="9">
        <v>76.57362500000005</v>
      </c>
      <c r="CD50" s="9">
        <v>75.231481481481481</v>
      </c>
      <c r="CE50" s="9">
        <v>150.46215277777773</v>
      </c>
      <c r="CF50" s="7">
        <v>1</v>
      </c>
      <c r="CG50" s="7">
        <v>12</v>
      </c>
      <c r="CH50" s="7">
        <v>29</v>
      </c>
      <c r="CI50" s="7">
        <v>30</v>
      </c>
      <c r="CJ50" s="7">
        <v>0</v>
      </c>
      <c r="CK50" s="7">
        <v>0</v>
      </c>
      <c r="CL50" s="7">
        <v>3</v>
      </c>
      <c r="CM50" s="7">
        <v>11</v>
      </c>
      <c r="CN50" s="7">
        <v>17</v>
      </c>
      <c r="CO50" s="7">
        <v>41</v>
      </c>
      <c r="CP50" s="7">
        <v>0</v>
      </c>
      <c r="CQ50" s="7">
        <v>1</v>
      </c>
      <c r="CR50" s="7">
        <v>140</v>
      </c>
      <c r="CS50" s="9">
        <v>67.785342857142822</v>
      </c>
      <c r="CT50" s="9">
        <v>68.309128571428531</v>
      </c>
      <c r="CU50" s="9">
        <v>68.047619047619037</v>
      </c>
      <c r="CV50" s="9">
        <v>136.09447142857132</v>
      </c>
      <c r="CW50" s="7">
        <v>5</v>
      </c>
      <c r="CX50" s="7">
        <v>42</v>
      </c>
      <c r="CY50" s="7">
        <v>51</v>
      </c>
      <c r="CZ50" s="7">
        <v>42</v>
      </c>
      <c r="DA50" s="7">
        <v>0</v>
      </c>
      <c r="DB50" s="7">
        <v>0</v>
      </c>
      <c r="DC50" s="7">
        <v>5</v>
      </c>
      <c r="DD50" s="7">
        <v>47</v>
      </c>
      <c r="DE50" s="7">
        <v>41</v>
      </c>
      <c r="DF50" s="7">
        <v>47</v>
      </c>
      <c r="DG50" s="7">
        <v>0</v>
      </c>
      <c r="DH50" s="7">
        <v>1</v>
      </c>
      <c r="DI50" s="18">
        <f t="shared" si="3"/>
        <v>129</v>
      </c>
      <c r="DJ50" s="18">
        <f t="shared" si="4"/>
        <v>1</v>
      </c>
      <c r="DK50" s="18">
        <f t="shared" si="5"/>
        <v>16</v>
      </c>
      <c r="DL50" s="18">
        <f t="shared" si="6"/>
        <v>6</v>
      </c>
      <c r="DM50" s="18">
        <f t="shared" si="7"/>
        <v>1</v>
      </c>
      <c r="DN50" s="18">
        <f t="shared" si="8"/>
        <v>1</v>
      </c>
      <c r="DO50" s="18">
        <v>313</v>
      </c>
      <c r="DP50" s="18">
        <v>124</v>
      </c>
      <c r="DQ50" s="18">
        <v>313</v>
      </c>
      <c r="DR50" s="18">
        <v>21</v>
      </c>
      <c r="DS50" s="18">
        <v>9</v>
      </c>
      <c r="DT50" s="18">
        <v>21</v>
      </c>
      <c r="DU50" s="18" t="s">
        <v>36</v>
      </c>
    </row>
    <row r="51" spans="54:125" x14ac:dyDescent="0.25">
      <c r="BB51" s="7">
        <v>48</v>
      </c>
      <c r="BC51" s="7" t="s">
        <v>332</v>
      </c>
      <c r="BD51" s="23" t="s">
        <v>36</v>
      </c>
      <c r="BE51" s="26">
        <v>471170932</v>
      </c>
      <c r="BF51" s="25" t="s">
        <v>46</v>
      </c>
      <c r="BG51" s="7">
        <v>178</v>
      </c>
      <c r="BH51" s="7" t="s">
        <v>320</v>
      </c>
      <c r="BI51" s="7" t="s">
        <v>367</v>
      </c>
      <c r="BJ51" s="7">
        <v>104</v>
      </c>
      <c r="BK51" s="9">
        <v>55.929153846153859</v>
      </c>
      <c r="BL51" s="9">
        <v>51.089442307692323</v>
      </c>
      <c r="BM51" s="9">
        <v>53.509615384615351</v>
      </c>
      <c r="BN51" s="9">
        <v>107.01859615384605</v>
      </c>
      <c r="BO51" s="7">
        <v>17</v>
      </c>
      <c r="BP51" s="7">
        <v>42</v>
      </c>
      <c r="BQ51" s="7">
        <v>28</v>
      </c>
      <c r="BR51" s="7">
        <v>17</v>
      </c>
      <c r="BS51" s="7">
        <v>0</v>
      </c>
      <c r="BT51" s="7">
        <v>0</v>
      </c>
      <c r="BU51" s="7">
        <v>23</v>
      </c>
      <c r="BV51" s="7">
        <v>48</v>
      </c>
      <c r="BW51" s="7">
        <v>20</v>
      </c>
      <c r="BX51" s="7">
        <v>13</v>
      </c>
      <c r="BY51" s="7">
        <v>0</v>
      </c>
      <c r="BZ51" s="7">
        <v>0</v>
      </c>
      <c r="CA51" s="7"/>
      <c r="CB51" s="9"/>
      <c r="CC51" s="9"/>
      <c r="CD51" s="9"/>
      <c r="CE51" s="9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>
        <v>104</v>
      </c>
      <c r="CS51" s="9">
        <v>55.929153846153859</v>
      </c>
      <c r="CT51" s="9">
        <v>51.089442307692323</v>
      </c>
      <c r="CU51" s="9">
        <v>53.509615384615351</v>
      </c>
      <c r="CV51" s="9">
        <v>107.01859615384605</v>
      </c>
      <c r="CW51" s="7">
        <v>17</v>
      </c>
      <c r="CX51" s="7">
        <v>42</v>
      </c>
      <c r="CY51" s="7">
        <v>28</v>
      </c>
      <c r="CZ51" s="7">
        <v>17</v>
      </c>
      <c r="DA51" s="7">
        <v>0</v>
      </c>
      <c r="DB51" s="7">
        <v>0</v>
      </c>
      <c r="DC51" s="7">
        <v>23</v>
      </c>
      <c r="DD51" s="7">
        <v>48</v>
      </c>
      <c r="DE51" s="7">
        <v>20</v>
      </c>
      <c r="DF51" s="7">
        <v>13</v>
      </c>
      <c r="DG51" s="7">
        <v>0</v>
      </c>
      <c r="DH51" s="7">
        <v>0</v>
      </c>
      <c r="DI51" s="18">
        <f t="shared" si="3"/>
        <v>244</v>
      </c>
      <c r="DJ51" s="18" t="str">
        <f t="shared" si="4"/>
        <v/>
      </c>
      <c r="DK51" s="18">
        <f t="shared" si="5"/>
        <v>248</v>
      </c>
      <c r="DL51" s="18">
        <f t="shared" si="6"/>
        <v>18</v>
      </c>
      <c r="DM51" s="18" t="str">
        <f t="shared" si="7"/>
        <v/>
      </c>
      <c r="DN51" s="18">
        <f t="shared" si="8"/>
        <v>18</v>
      </c>
      <c r="DO51" s="18">
        <v>313</v>
      </c>
      <c r="DP51" s="18">
        <v>124</v>
      </c>
      <c r="DQ51" s="18">
        <v>313</v>
      </c>
      <c r="DR51" s="18">
        <v>21</v>
      </c>
      <c r="DS51" s="18">
        <v>9</v>
      </c>
      <c r="DT51" s="18">
        <v>21</v>
      </c>
      <c r="DU51" s="18" t="s">
        <v>36</v>
      </c>
    </row>
    <row r="52" spans="54:125" x14ac:dyDescent="0.25">
      <c r="BB52" s="7">
        <v>49</v>
      </c>
      <c r="BC52" s="7" t="s">
        <v>332</v>
      </c>
      <c r="BD52" s="23" t="s">
        <v>36</v>
      </c>
      <c r="BE52" s="26">
        <v>359553780</v>
      </c>
      <c r="BF52" s="25" t="s">
        <v>42</v>
      </c>
      <c r="BG52" s="7">
        <v>193</v>
      </c>
      <c r="BH52" s="7" t="s">
        <v>320</v>
      </c>
      <c r="BI52" s="7" t="s">
        <v>368</v>
      </c>
      <c r="BJ52" s="7">
        <v>62</v>
      </c>
      <c r="BK52" s="9">
        <v>61.182483870967779</v>
      </c>
      <c r="BL52" s="9">
        <v>53.924419354838747</v>
      </c>
      <c r="BM52" s="9">
        <v>57.553763440860209</v>
      </c>
      <c r="BN52" s="9">
        <v>115.10690322580643</v>
      </c>
      <c r="BO52" s="7">
        <v>6</v>
      </c>
      <c r="BP52" s="7">
        <v>21</v>
      </c>
      <c r="BQ52" s="7">
        <v>26</v>
      </c>
      <c r="BR52" s="7">
        <v>9</v>
      </c>
      <c r="BS52" s="7">
        <v>0</v>
      </c>
      <c r="BT52" s="7">
        <v>0</v>
      </c>
      <c r="BU52" s="7">
        <v>10</v>
      </c>
      <c r="BV52" s="7">
        <v>30</v>
      </c>
      <c r="BW52" s="7">
        <v>15</v>
      </c>
      <c r="BX52" s="7">
        <v>7</v>
      </c>
      <c r="BY52" s="7">
        <v>0</v>
      </c>
      <c r="BZ52" s="7">
        <v>0</v>
      </c>
      <c r="CA52" s="7">
        <v>82</v>
      </c>
      <c r="CB52" s="9">
        <v>58.089158536585373</v>
      </c>
      <c r="CC52" s="9">
        <v>46.991536585365893</v>
      </c>
      <c r="CD52" s="9">
        <v>52.540650406504071</v>
      </c>
      <c r="CE52" s="9">
        <v>105.08069512195124</v>
      </c>
      <c r="CF52" s="7">
        <v>4</v>
      </c>
      <c r="CG52" s="7">
        <v>41</v>
      </c>
      <c r="CH52" s="7">
        <v>29</v>
      </c>
      <c r="CI52" s="7">
        <v>8</v>
      </c>
      <c r="CJ52" s="7">
        <v>0</v>
      </c>
      <c r="CK52" s="7">
        <v>0</v>
      </c>
      <c r="CL52" s="7">
        <v>16</v>
      </c>
      <c r="CM52" s="7">
        <v>47</v>
      </c>
      <c r="CN52" s="7">
        <v>17</v>
      </c>
      <c r="CO52" s="7">
        <v>2</v>
      </c>
      <c r="CP52" s="7">
        <v>0</v>
      </c>
      <c r="CQ52" s="7">
        <v>0</v>
      </c>
      <c r="CR52" s="7">
        <v>144</v>
      </c>
      <c r="CS52" s="9">
        <v>59.421006944444429</v>
      </c>
      <c r="CT52" s="9">
        <v>49.976527777777761</v>
      </c>
      <c r="CU52" s="9">
        <v>54.699074074074083</v>
      </c>
      <c r="CV52" s="9">
        <v>109.39753472222218</v>
      </c>
      <c r="CW52" s="7">
        <v>10</v>
      </c>
      <c r="CX52" s="7">
        <v>62</v>
      </c>
      <c r="CY52" s="7">
        <v>55</v>
      </c>
      <c r="CZ52" s="7">
        <v>17</v>
      </c>
      <c r="DA52" s="7">
        <v>0</v>
      </c>
      <c r="DB52" s="7">
        <v>0</v>
      </c>
      <c r="DC52" s="7">
        <v>26</v>
      </c>
      <c r="DD52" s="7">
        <v>77</v>
      </c>
      <c r="DE52" s="7">
        <v>32</v>
      </c>
      <c r="DF52" s="7">
        <v>9</v>
      </c>
      <c r="DG52" s="7">
        <v>0</v>
      </c>
      <c r="DH52" s="7">
        <v>0</v>
      </c>
      <c r="DI52" s="18">
        <f t="shared" si="3"/>
        <v>178</v>
      </c>
      <c r="DJ52" s="18">
        <f t="shared" si="4"/>
        <v>110</v>
      </c>
      <c r="DK52" s="18">
        <f t="shared" si="5"/>
        <v>230</v>
      </c>
      <c r="DL52" s="18">
        <f t="shared" si="6"/>
        <v>10</v>
      </c>
      <c r="DM52" s="18">
        <f t="shared" si="7"/>
        <v>9</v>
      </c>
      <c r="DN52" s="18">
        <f t="shared" si="8"/>
        <v>14</v>
      </c>
      <c r="DO52" s="18">
        <v>313</v>
      </c>
      <c r="DP52" s="18">
        <v>124</v>
      </c>
      <c r="DQ52" s="18">
        <v>313</v>
      </c>
      <c r="DR52" s="18">
        <v>21</v>
      </c>
      <c r="DS52" s="18">
        <v>9</v>
      </c>
      <c r="DT52" s="18">
        <v>21</v>
      </c>
      <c r="DU52" s="18" t="s">
        <v>36</v>
      </c>
    </row>
    <row r="53" spans="54:125" x14ac:dyDescent="0.25">
      <c r="BB53" s="7">
        <v>50</v>
      </c>
      <c r="BC53" s="7" t="s">
        <v>332</v>
      </c>
      <c r="BD53" s="23" t="s">
        <v>36</v>
      </c>
      <c r="BE53" s="26">
        <v>779275415</v>
      </c>
      <c r="BF53" s="25" t="s">
        <v>41</v>
      </c>
      <c r="BG53" s="7">
        <v>202</v>
      </c>
      <c r="BH53" s="7" t="s">
        <v>320</v>
      </c>
      <c r="BI53" s="7" t="s">
        <v>367</v>
      </c>
      <c r="BJ53" s="7">
        <v>59</v>
      </c>
      <c r="BK53" s="9">
        <v>58.304830508474602</v>
      </c>
      <c r="BL53" s="9">
        <v>48.982661016949173</v>
      </c>
      <c r="BM53" s="9">
        <v>53.644067796610166</v>
      </c>
      <c r="BN53" s="9">
        <v>107.2874915254237</v>
      </c>
      <c r="BO53" s="7">
        <v>10</v>
      </c>
      <c r="BP53" s="7">
        <v>20</v>
      </c>
      <c r="BQ53" s="7">
        <v>23</v>
      </c>
      <c r="BR53" s="7">
        <v>6</v>
      </c>
      <c r="BS53" s="7">
        <v>2</v>
      </c>
      <c r="BT53" s="7">
        <v>0</v>
      </c>
      <c r="BU53" s="7">
        <v>12</v>
      </c>
      <c r="BV53" s="7">
        <v>30</v>
      </c>
      <c r="BW53" s="7">
        <v>15</v>
      </c>
      <c r="BX53" s="7">
        <v>2</v>
      </c>
      <c r="BY53" s="7">
        <v>0</v>
      </c>
      <c r="BZ53" s="7">
        <v>0</v>
      </c>
      <c r="CA53" s="7"/>
      <c r="CB53" s="9"/>
      <c r="CC53" s="9"/>
      <c r="CD53" s="9"/>
      <c r="CE53" s="9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>
        <v>59</v>
      </c>
      <c r="CS53" s="9">
        <v>58.304830508474602</v>
      </c>
      <c r="CT53" s="9">
        <v>48.982661016949173</v>
      </c>
      <c r="CU53" s="9">
        <v>53.644067796610166</v>
      </c>
      <c r="CV53" s="9">
        <v>107.2874915254237</v>
      </c>
      <c r="CW53" s="7">
        <v>10</v>
      </c>
      <c r="CX53" s="7">
        <v>20</v>
      </c>
      <c r="CY53" s="7">
        <v>23</v>
      </c>
      <c r="CZ53" s="7">
        <v>6</v>
      </c>
      <c r="DA53" s="7">
        <v>2</v>
      </c>
      <c r="DB53" s="7">
        <v>0</v>
      </c>
      <c r="DC53" s="7">
        <v>12</v>
      </c>
      <c r="DD53" s="7">
        <v>30</v>
      </c>
      <c r="DE53" s="7">
        <v>15</v>
      </c>
      <c r="DF53" s="7">
        <v>2</v>
      </c>
      <c r="DG53" s="7">
        <v>0</v>
      </c>
      <c r="DH53" s="7">
        <v>0</v>
      </c>
      <c r="DI53" s="18">
        <f t="shared" si="3"/>
        <v>239</v>
      </c>
      <c r="DJ53" s="18" t="str">
        <f t="shared" si="4"/>
        <v/>
      </c>
      <c r="DK53" s="18">
        <f t="shared" si="5"/>
        <v>243</v>
      </c>
      <c r="DL53" s="18">
        <f t="shared" si="6"/>
        <v>17</v>
      </c>
      <c r="DM53" s="18" t="str">
        <f t="shared" si="7"/>
        <v/>
      </c>
      <c r="DN53" s="18">
        <f t="shared" si="8"/>
        <v>17</v>
      </c>
      <c r="DO53" s="18">
        <v>313</v>
      </c>
      <c r="DP53" s="18">
        <v>124</v>
      </c>
      <c r="DQ53" s="18">
        <v>313</v>
      </c>
      <c r="DR53" s="18">
        <v>21</v>
      </c>
      <c r="DS53" s="18">
        <v>9</v>
      </c>
      <c r="DT53" s="18">
        <v>21</v>
      </c>
      <c r="DU53" s="18" t="s">
        <v>36</v>
      </c>
    </row>
    <row r="54" spans="54:125" x14ac:dyDescent="0.25">
      <c r="BB54" s="7">
        <v>51</v>
      </c>
      <c r="BC54" s="7" t="s">
        <v>332</v>
      </c>
      <c r="BD54" s="23" t="s">
        <v>36</v>
      </c>
      <c r="BE54" s="26">
        <v>436015358</v>
      </c>
      <c r="BF54" s="25" t="s">
        <v>38</v>
      </c>
      <c r="BG54" s="7">
        <v>207</v>
      </c>
      <c r="BH54" s="7" t="s">
        <v>320</v>
      </c>
      <c r="BI54" s="7" t="s">
        <v>368</v>
      </c>
      <c r="BJ54" s="7">
        <v>52</v>
      </c>
      <c r="BK54" s="9">
        <v>56.986788461538488</v>
      </c>
      <c r="BL54" s="9">
        <v>60.063788461538493</v>
      </c>
      <c r="BM54" s="9">
        <v>58.525641025641029</v>
      </c>
      <c r="BN54" s="9">
        <v>117.05057692307695</v>
      </c>
      <c r="BO54" s="7">
        <v>7</v>
      </c>
      <c r="BP54" s="7">
        <v>21</v>
      </c>
      <c r="BQ54" s="7">
        <v>21</v>
      </c>
      <c r="BR54" s="7">
        <v>3</v>
      </c>
      <c r="BS54" s="7">
        <v>0</v>
      </c>
      <c r="BT54" s="7">
        <v>0</v>
      </c>
      <c r="BU54" s="7">
        <v>6</v>
      </c>
      <c r="BV54" s="7">
        <v>20</v>
      </c>
      <c r="BW54" s="7">
        <v>21</v>
      </c>
      <c r="BX54" s="7">
        <v>5</v>
      </c>
      <c r="BY54" s="7">
        <v>0</v>
      </c>
      <c r="BZ54" s="7">
        <v>0</v>
      </c>
      <c r="CA54" s="7">
        <v>40</v>
      </c>
      <c r="CB54" s="9">
        <v>61.749625000000002</v>
      </c>
      <c r="CC54" s="9">
        <v>55.999700000000004</v>
      </c>
      <c r="CD54" s="9">
        <v>58.875</v>
      </c>
      <c r="CE54" s="9">
        <v>117.749325</v>
      </c>
      <c r="CF54" s="7">
        <v>4</v>
      </c>
      <c r="CG54" s="7">
        <v>15</v>
      </c>
      <c r="CH54" s="7">
        <v>15</v>
      </c>
      <c r="CI54" s="7">
        <v>6</v>
      </c>
      <c r="CJ54" s="7">
        <v>0</v>
      </c>
      <c r="CK54" s="7">
        <v>0</v>
      </c>
      <c r="CL54" s="7">
        <v>2</v>
      </c>
      <c r="CM54" s="7">
        <v>24</v>
      </c>
      <c r="CN54" s="7">
        <v>11</v>
      </c>
      <c r="CO54" s="7">
        <v>3</v>
      </c>
      <c r="CP54" s="7">
        <v>0</v>
      </c>
      <c r="CQ54" s="7">
        <v>0</v>
      </c>
      <c r="CR54" s="7">
        <v>92</v>
      </c>
      <c r="CS54" s="9">
        <v>59.057586956521767</v>
      </c>
      <c r="CT54" s="9">
        <v>58.296793478260895</v>
      </c>
      <c r="CU54" s="9">
        <v>58.677536231884076</v>
      </c>
      <c r="CV54" s="9">
        <v>117.35438043478258</v>
      </c>
      <c r="CW54" s="7">
        <v>11</v>
      </c>
      <c r="CX54" s="7">
        <v>36</v>
      </c>
      <c r="CY54" s="7">
        <v>36</v>
      </c>
      <c r="CZ54" s="7">
        <v>9</v>
      </c>
      <c r="DA54" s="7">
        <v>0</v>
      </c>
      <c r="DB54" s="7">
        <v>0</v>
      </c>
      <c r="DC54" s="7">
        <v>8</v>
      </c>
      <c r="DD54" s="7">
        <v>44</v>
      </c>
      <c r="DE54" s="7">
        <v>32</v>
      </c>
      <c r="DF54" s="7">
        <v>8</v>
      </c>
      <c r="DG54" s="7">
        <v>0</v>
      </c>
      <c r="DH54" s="7">
        <v>0</v>
      </c>
      <c r="DI54" s="18">
        <f t="shared" si="3"/>
        <v>163</v>
      </c>
      <c r="DJ54" s="18">
        <f t="shared" si="4"/>
        <v>67</v>
      </c>
      <c r="DK54" s="18">
        <f t="shared" si="5"/>
        <v>156</v>
      </c>
      <c r="DL54" s="18">
        <f t="shared" si="6"/>
        <v>9</v>
      </c>
      <c r="DM54" s="18">
        <f t="shared" si="7"/>
        <v>6</v>
      </c>
      <c r="DN54" s="18">
        <f t="shared" si="8"/>
        <v>9</v>
      </c>
      <c r="DO54" s="18">
        <v>313</v>
      </c>
      <c r="DP54" s="18">
        <v>124</v>
      </c>
      <c r="DQ54" s="18">
        <v>313</v>
      </c>
      <c r="DR54" s="18">
        <v>21</v>
      </c>
      <c r="DS54" s="18">
        <v>9</v>
      </c>
      <c r="DT54" s="18">
        <v>21</v>
      </c>
      <c r="DU54" s="18" t="s">
        <v>36</v>
      </c>
    </row>
    <row r="55" spans="54:125" x14ac:dyDescent="0.25">
      <c r="BB55" s="7">
        <v>52</v>
      </c>
      <c r="BC55" s="7" t="s">
        <v>332</v>
      </c>
      <c r="BD55" s="23" t="s">
        <v>36</v>
      </c>
      <c r="BE55" s="26">
        <v>952898487</v>
      </c>
      <c r="BF55" s="25" t="s">
        <v>53</v>
      </c>
      <c r="BG55" s="7">
        <v>212</v>
      </c>
      <c r="BH55" s="7" t="s">
        <v>320</v>
      </c>
      <c r="BI55" s="7" t="s">
        <v>368</v>
      </c>
      <c r="BJ55" s="7">
        <v>131</v>
      </c>
      <c r="BK55" s="9">
        <v>59.058183206106854</v>
      </c>
      <c r="BL55" s="9">
        <v>52.467847328244268</v>
      </c>
      <c r="BM55" s="9">
        <v>55.763358778625957</v>
      </c>
      <c r="BN55" s="9">
        <v>111.52603053435108</v>
      </c>
      <c r="BO55" s="7">
        <v>15</v>
      </c>
      <c r="BP55" s="7">
        <v>47</v>
      </c>
      <c r="BQ55" s="7">
        <v>51</v>
      </c>
      <c r="BR55" s="7">
        <v>18</v>
      </c>
      <c r="BS55" s="7">
        <v>1</v>
      </c>
      <c r="BT55" s="7">
        <v>0</v>
      </c>
      <c r="BU55" s="7">
        <v>27</v>
      </c>
      <c r="BV55" s="7">
        <v>53</v>
      </c>
      <c r="BW55" s="7">
        <v>35</v>
      </c>
      <c r="BX55" s="7">
        <v>16</v>
      </c>
      <c r="BY55" s="7">
        <v>0</v>
      </c>
      <c r="BZ55" s="7">
        <v>0</v>
      </c>
      <c r="CA55" s="7">
        <v>115</v>
      </c>
      <c r="CB55" s="9">
        <v>61.419982608695655</v>
      </c>
      <c r="CC55" s="9">
        <v>51.767756521739116</v>
      </c>
      <c r="CD55" s="9">
        <v>56.594202898550712</v>
      </c>
      <c r="CE55" s="9">
        <v>113.18773913043471</v>
      </c>
      <c r="CF55" s="7">
        <v>8</v>
      </c>
      <c r="CG55" s="7">
        <v>47</v>
      </c>
      <c r="CH55" s="7">
        <v>47</v>
      </c>
      <c r="CI55" s="7">
        <v>13</v>
      </c>
      <c r="CJ55" s="7">
        <v>0</v>
      </c>
      <c r="CK55" s="7">
        <v>0</v>
      </c>
      <c r="CL55" s="7">
        <v>11</v>
      </c>
      <c r="CM55" s="7">
        <v>72</v>
      </c>
      <c r="CN55" s="7">
        <v>27</v>
      </c>
      <c r="CO55" s="7">
        <v>5</v>
      </c>
      <c r="CP55" s="7">
        <v>0</v>
      </c>
      <c r="CQ55" s="7">
        <v>0</v>
      </c>
      <c r="CR55" s="7">
        <v>246</v>
      </c>
      <c r="CS55" s="9">
        <v>60.162276422764215</v>
      </c>
      <c r="CT55" s="9">
        <v>52.140569105691021</v>
      </c>
      <c r="CU55" s="9">
        <v>56.151761517615149</v>
      </c>
      <c r="CV55" s="9">
        <v>112.30284552845514</v>
      </c>
      <c r="CW55" s="7">
        <v>23</v>
      </c>
      <c r="CX55" s="7">
        <v>94</v>
      </c>
      <c r="CY55" s="7">
        <v>98</v>
      </c>
      <c r="CZ55" s="7">
        <v>31</v>
      </c>
      <c r="DA55" s="7">
        <v>1</v>
      </c>
      <c r="DB55" s="7">
        <v>0</v>
      </c>
      <c r="DC55" s="7">
        <v>38</v>
      </c>
      <c r="DD55" s="7">
        <v>125</v>
      </c>
      <c r="DE55" s="7">
        <v>62</v>
      </c>
      <c r="DF55" s="7">
        <v>21</v>
      </c>
      <c r="DG55" s="7">
        <v>0</v>
      </c>
      <c r="DH55" s="7">
        <v>0</v>
      </c>
      <c r="DI55" s="18">
        <f t="shared" si="3"/>
        <v>205</v>
      </c>
      <c r="DJ55" s="18">
        <f t="shared" si="4"/>
        <v>88</v>
      </c>
      <c r="DK55" s="18">
        <f t="shared" si="5"/>
        <v>198</v>
      </c>
      <c r="DL55" s="18">
        <f t="shared" si="6"/>
        <v>14</v>
      </c>
      <c r="DM55" s="18">
        <f t="shared" si="7"/>
        <v>8</v>
      </c>
      <c r="DN55" s="18">
        <f t="shared" si="8"/>
        <v>12</v>
      </c>
      <c r="DO55" s="18">
        <v>313</v>
      </c>
      <c r="DP55" s="18">
        <v>124</v>
      </c>
      <c r="DQ55" s="18">
        <v>313</v>
      </c>
      <c r="DR55" s="18">
        <v>21</v>
      </c>
      <c r="DS55" s="18">
        <v>9</v>
      </c>
      <c r="DT55" s="18">
        <v>21</v>
      </c>
      <c r="DU55" s="18" t="s">
        <v>36</v>
      </c>
    </row>
    <row r="56" spans="54:125" x14ac:dyDescent="0.25">
      <c r="BB56" s="7">
        <v>53</v>
      </c>
      <c r="BC56" s="7" t="s">
        <v>332</v>
      </c>
      <c r="BD56" s="23" t="s">
        <v>36</v>
      </c>
      <c r="BE56" s="26">
        <v>267164543</v>
      </c>
      <c r="BF56" s="25" t="s">
        <v>47</v>
      </c>
      <c r="BG56" s="7">
        <v>258</v>
      </c>
      <c r="BH56" s="7" t="s">
        <v>320</v>
      </c>
      <c r="BI56" s="7" t="s">
        <v>368</v>
      </c>
      <c r="BJ56" s="7">
        <v>161</v>
      </c>
      <c r="BK56" s="9">
        <v>70.641453416149005</v>
      </c>
      <c r="BL56" s="9">
        <v>65.962440993788789</v>
      </c>
      <c r="BM56" s="9">
        <v>68.302277432712216</v>
      </c>
      <c r="BN56" s="9">
        <v>136.60389440993777</v>
      </c>
      <c r="BO56" s="7">
        <v>5</v>
      </c>
      <c r="BP56" s="7">
        <v>36</v>
      </c>
      <c r="BQ56" s="7">
        <v>75</v>
      </c>
      <c r="BR56" s="7">
        <v>45</v>
      </c>
      <c r="BS56" s="7">
        <v>0</v>
      </c>
      <c r="BT56" s="7">
        <v>0</v>
      </c>
      <c r="BU56" s="7">
        <v>6</v>
      </c>
      <c r="BV56" s="7">
        <v>57</v>
      </c>
      <c r="BW56" s="7">
        <v>65</v>
      </c>
      <c r="BX56" s="7">
        <v>33</v>
      </c>
      <c r="BY56" s="7">
        <v>0</v>
      </c>
      <c r="BZ56" s="7">
        <v>0</v>
      </c>
      <c r="CA56" s="7">
        <v>66</v>
      </c>
      <c r="CB56" s="9">
        <v>63.130969696969728</v>
      </c>
      <c r="CC56" s="9">
        <v>58.282454545454584</v>
      </c>
      <c r="CD56" s="9">
        <v>60.70707070707072</v>
      </c>
      <c r="CE56" s="9">
        <v>121.41342424242424</v>
      </c>
      <c r="CF56" s="7">
        <v>5</v>
      </c>
      <c r="CG56" s="7">
        <v>24</v>
      </c>
      <c r="CH56" s="7">
        <v>24</v>
      </c>
      <c r="CI56" s="7">
        <v>13</v>
      </c>
      <c r="CJ56" s="7">
        <v>0</v>
      </c>
      <c r="CK56" s="7">
        <v>0</v>
      </c>
      <c r="CL56" s="7">
        <v>8</v>
      </c>
      <c r="CM56" s="7">
        <v>26</v>
      </c>
      <c r="CN56" s="7">
        <v>22</v>
      </c>
      <c r="CO56" s="7">
        <v>10</v>
      </c>
      <c r="CP56" s="7">
        <v>0</v>
      </c>
      <c r="CQ56" s="7">
        <v>0</v>
      </c>
      <c r="CR56" s="7">
        <v>227</v>
      </c>
      <c r="CS56" s="9">
        <v>68.457788546255429</v>
      </c>
      <c r="CT56" s="9">
        <v>63.72949339207041</v>
      </c>
      <c r="CU56" s="9">
        <v>66.093979441997064</v>
      </c>
      <c r="CV56" s="9">
        <v>132.18728193832587</v>
      </c>
      <c r="CW56" s="7">
        <v>10</v>
      </c>
      <c r="CX56" s="7">
        <v>60</v>
      </c>
      <c r="CY56" s="7">
        <v>99</v>
      </c>
      <c r="CZ56" s="7">
        <v>58</v>
      </c>
      <c r="DA56" s="7">
        <v>0</v>
      </c>
      <c r="DB56" s="7">
        <v>0</v>
      </c>
      <c r="DC56" s="7">
        <v>14</v>
      </c>
      <c r="DD56" s="7">
        <v>83</v>
      </c>
      <c r="DE56" s="7">
        <v>87</v>
      </c>
      <c r="DF56" s="7">
        <v>43</v>
      </c>
      <c r="DG56" s="7">
        <v>0</v>
      </c>
      <c r="DH56" s="7">
        <v>0</v>
      </c>
      <c r="DI56" s="18">
        <f t="shared" si="3"/>
        <v>24</v>
      </c>
      <c r="DJ56" s="18">
        <f t="shared" si="4"/>
        <v>51</v>
      </c>
      <c r="DK56" s="18">
        <f t="shared" si="5"/>
        <v>38</v>
      </c>
      <c r="DL56" s="18">
        <f t="shared" si="6"/>
        <v>3</v>
      </c>
      <c r="DM56" s="18">
        <f t="shared" si="7"/>
        <v>5</v>
      </c>
      <c r="DN56" s="18">
        <f t="shared" si="8"/>
        <v>4</v>
      </c>
      <c r="DO56" s="18">
        <v>313</v>
      </c>
      <c r="DP56" s="18">
        <v>124</v>
      </c>
      <c r="DQ56" s="18">
        <v>313</v>
      </c>
      <c r="DR56" s="18">
        <v>21</v>
      </c>
      <c r="DS56" s="18">
        <v>9</v>
      </c>
      <c r="DT56" s="18">
        <v>21</v>
      </c>
      <c r="DU56" s="18" t="s">
        <v>36</v>
      </c>
    </row>
    <row r="57" spans="54:125" x14ac:dyDescent="0.25">
      <c r="BB57" s="7">
        <v>54</v>
      </c>
      <c r="BC57" s="7" t="s">
        <v>332</v>
      </c>
      <c r="BD57" s="23" t="s">
        <v>36</v>
      </c>
      <c r="BE57" s="26">
        <v>183973034</v>
      </c>
      <c r="BF57" s="25" t="s">
        <v>336</v>
      </c>
      <c r="BG57" s="7">
        <v>291</v>
      </c>
      <c r="BH57" s="7" t="s">
        <v>326</v>
      </c>
      <c r="BI57" s="7" t="s">
        <v>368</v>
      </c>
      <c r="BJ57" s="7"/>
      <c r="BK57" s="9"/>
      <c r="BL57" s="9"/>
      <c r="BM57" s="9"/>
      <c r="BN57" s="9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9"/>
      <c r="CC57" s="9"/>
      <c r="CD57" s="9"/>
      <c r="CE57" s="9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9"/>
      <c r="CT57" s="9"/>
      <c r="CU57" s="9"/>
      <c r="CV57" s="9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18" t="str">
        <f t="shared" si="3"/>
        <v/>
      </c>
      <c r="DJ57" s="18" t="str">
        <f t="shared" si="4"/>
        <v/>
      </c>
      <c r="DK57" s="18" t="str">
        <f t="shared" si="5"/>
        <v/>
      </c>
      <c r="DL57" s="18" t="str">
        <f t="shared" si="6"/>
        <v/>
      </c>
      <c r="DM57" s="18" t="str">
        <f t="shared" si="7"/>
        <v/>
      </c>
      <c r="DN57" s="18" t="str">
        <f t="shared" si="8"/>
        <v/>
      </c>
      <c r="DO57" s="18">
        <v>313</v>
      </c>
      <c r="DP57" s="18">
        <v>124</v>
      </c>
      <c r="DQ57" s="18">
        <v>313</v>
      </c>
      <c r="DR57" s="18">
        <v>21</v>
      </c>
      <c r="DS57" s="18">
        <v>9</v>
      </c>
      <c r="DT57" s="18">
        <v>21</v>
      </c>
      <c r="DU57" s="18" t="s">
        <v>36</v>
      </c>
    </row>
    <row r="58" spans="54:125" x14ac:dyDescent="0.25">
      <c r="BB58" s="7">
        <v>55</v>
      </c>
      <c r="BC58" s="7" t="s">
        <v>332</v>
      </c>
      <c r="BD58" s="23" t="s">
        <v>36</v>
      </c>
      <c r="BE58" s="26">
        <v>451077303</v>
      </c>
      <c r="BF58" s="25" t="s">
        <v>45</v>
      </c>
      <c r="BG58" s="7" t="s">
        <v>327</v>
      </c>
      <c r="BH58" s="7" t="s">
        <v>322</v>
      </c>
      <c r="BI58" s="7" t="s">
        <v>368</v>
      </c>
      <c r="BJ58" s="7">
        <v>205</v>
      </c>
      <c r="BK58" s="9">
        <v>73.365536585365859</v>
      </c>
      <c r="BL58" s="9">
        <v>69.284219512195108</v>
      </c>
      <c r="BM58" s="9">
        <v>71.325203252032537</v>
      </c>
      <c r="BN58" s="9">
        <v>142.6497560975609</v>
      </c>
      <c r="BO58" s="7">
        <v>6</v>
      </c>
      <c r="BP58" s="7">
        <v>36</v>
      </c>
      <c r="BQ58" s="7">
        <v>87</v>
      </c>
      <c r="BR58" s="7">
        <v>76</v>
      </c>
      <c r="BS58" s="7">
        <v>1</v>
      </c>
      <c r="BT58" s="7">
        <v>7</v>
      </c>
      <c r="BU58" s="7">
        <v>10</v>
      </c>
      <c r="BV58" s="7">
        <v>46</v>
      </c>
      <c r="BW58" s="7">
        <v>97</v>
      </c>
      <c r="BX58" s="7">
        <v>52</v>
      </c>
      <c r="BY58" s="7">
        <v>0</v>
      </c>
      <c r="BZ58" s="7">
        <v>0</v>
      </c>
      <c r="CA58" s="7">
        <v>171</v>
      </c>
      <c r="CB58" s="9">
        <v>62.826192982456092</v>
      </c>
      <c r="CC58" s="9">
        <v>58.927549707602324</v>
      </c>
      <c r="CD58" s="9">
        <v>60.877192982456151</v>
      </c>
      <c r="CE58" s="9">
        <v>121.75374269005843</v>
      </c>
      <c r="CF58" s="7">
        <v>13</v>
      </c>
      <c r="CG58" s="7">
        <v>51</v>
      </c>
      <c r="CH58" s="7">
        <v>90</v>
      </c>
      <c r="CI58" s="7">
        <v>17</v>
      </c>
      <c r="CJ58" s="7">
        <v>0</v>
      </c>
      <c r="CK58" s="7">
        <v>0</v>
      </c>
      <c r="CL58" s="7">
        <v>18</v>
      </c>
      <c r="CM58" s="7">
        <v>70</v>
      </c>
      <c r="CN58" s="7">
        <v>67</v>
      </c>
      <c r="CO58" s="7">
        <v>16</v>
      </c>
      <c r="CP58" s="7">
        <v>0</v>
      </c>
      <c r="CQ58" s="7">
        <v>0</v>
      </c>
      <c r="CR58" s="7">
        <v>376</v>
      </c>
      <c r="CS58" s="9">
        <v>68.572377659574443</v>
      </c>
      <c r="CT58" s="9">
        <v>64.574138297872253</v>
      </c>
      <c r="CU58" s="9">
        <v>66.573581560283685</v>
      </c>
      <c r="CV58" s="9">
        <v>133.14651595744664</v>
      </c>
      <c r="CW58" s="7">
        <v>19</v>
      </c>
      <c r="CX58" s="7">
        <v>87</v>
      </c>
      <c r="CY58" s="7">
        <v>177</v>
      </c>
      <c r="CZ58" s="7">
        <v>93</v>
      </c>
      <c r="DA58" s="7">
        <v>1</v>
      </c>
      <c r="DB58" s="7">
        <v>7</v>
      </c>
      <c r="DC58" s="7">
        <v>28</v>
      </c>
      <c r="DD58" s="7">
        <v>116</v>
      </c>
      <c r="DE58" s="7">
        <v>164</v>
      </c>
      <c r="DF58" s="7">
        <v>68</v>
      </c>
      <c r="DG58" s="7">
        <v>0</v>
      </c>
      <c r="DH58" s="7">
        <v>0</v>
      </c>
      <c r="DI58" s="18">
        <f t="shared" si="3"/>
        <v>8</v>
      </c>
      <c r="DJ58" s="18">
        <f t="shared" si="4"/>
        <v>47</v>
      </c>
      <c r="DK58" s="18">
        <f t="shared" si="5"/>
        <v>33</v>
      </c>
      <c r="DL58" s="18">
        <f t="shared" si="6"/>
        <v>1</v>
      </c>
      <c r="DM58" s="18">
        <f t="shared" si="7"/>
        <v>4</v>
      </c>
      <c r="DN58" s="18">
        <f t="shared" si="8"/>
        <v>3</v>
      </c>
      <c r="DO58" s="18">
        <v>313</v>
      </c>
      <c r="DP58" s="18">
        <v>124</v>
      </c>
      <c r="DQ58" s="18">
        <v>313</v>
      </c>
      <c r="DR58" s="18">
        <v>21</v>
      </c>
      <c r="DS58" s="18">
        <v>9</v>
      </c>
      <c r="DT58" s="18">
        <v>21</v>
      </c>
      <c r="DU58" s="18" t="s">
        <v>36</v>
      </c>
    </row>
    <row r="59" spans="54:125" x14ac:dyDescent="0.25">
      <c r="BB59" s="7">
        <v>56</v>
      </c>
      <c r="BC59" s="7" t="s">
        <v>332</v>
      </c>
      <c r="BD59" s="23" t="s">
        <v>55</v>
      </c>
      <c r="BE59" s="26">
        <v>600607180</v>
      </c>
      <c r="BF59" s="25" t="s">
        <v>73</v>
      </c>
      <c r="BG59" s="7">
        <v>1</v>
      </c>
      <c r="BH59" s="7" t="s">
        <v>320</v>
      </c>
      <c r="BI59" s="7" t="s">
        <v>368</v>
      </c>
      <c r="BJ59" s="7">
        <v>17</v>
      </c>
      <c r="BK59" s="9">
        <v>66.862352941176454</v>
      </c>
      <c r="BL59" s="9">
        <v>65.09770588235294</v>
      </c>
      <c r="BM59" s="9">
        <v>65.980392156862749</v>
      </c>
      <c r="BN59" s="9">
        <v>131.96005882352941</v>
      </c>
      <c r="BO59" s="7">
        <v>1</v>
      </c>
      <c r="BP59" s="7">
        <v>4</v>
      </c>
      <c r="BQ59" s="7">
        <v>6</v>
      </c>
      <c r="BR59" s="7">
        <v>6</v>
      </c>
      <c r="BS59" s="7">
        <v>0</v>
      </c>
      <c r="BT59" s="7">
        <v>0</v>
      </c>
      <c r="BU59" s="7">
        <v>1</v>
      </c>
      <c r="BV59" s="7">
        <v>5</v>
      </c>
      <c r="BW59" s="7">
        <v>10</v>
      </c>
      <c r="BX59" s="7">
        <v>1</v>
      </c>
      <c r="BY59" s="7">
        <v>0</v>
      </c>
      <c r="BZ59" s="7">
        <v>0</v>
      </c>
      <c r="CA59" s="7">
        <v>75</v>
      </c>
      <c r="CB59" s="9">
        <v>70.399679999999989</v>
      </c>
      <c r="CC59" s="9">
        <v>63.555293333333367</v>
      </c>
      <c r="CD59" s="9">
        <v>66.977777777777803</v>
      </c>
      <c r="CE59" s="9">
        <v>133.95497333333333</v>
      </c>
      <c r="CF59" s="7">
        <v>3</v>
      </c>
      <c r="CG59" s="7">
        <v>16</v>
      </c>
      <c r="CH59" s="7">
        <v>38</v>
      </c>
      <c r="CI59" s="7">
        <v>18</v>
      </c>
      <c r="CJ59" s="7">
        <v>0</v>
      </c>
      <c r="CK59" s="7">
        <v>1</v>
      </c>
      <c r="CL59" s="7">
        <v>3</v>
      </c>
      <c r="CM59" s="7">
        <v>27</v>
      </c>
      <c r="CN59" s="7">
        <v>38</v>
      </c>
      <c r="CO59" s="7">
        <v>7</v>
      </c>
      <c r="CP59" s="7">
        <v>0</v>
      </c>
      <c r="CQ59" s="7">
        <v>0</v>
      </c>
      <c r="CR59" s="7">
        <v>92</v>
      </c>
      <c r="CS59" s="9">
        <v>69.746043478260859</v>
      </c>
      <c r="CT59" s="9">
        <v>63.840304347826098</v>
      </c>
      <c r="CU59" s="9">
        <v>66.793478260869591</v>
      </c>
      <c r="CV59" s="9">
        <v>133.58634782608692</v>
      </c>
      <c r="CW59" s="7">
        <v>4</v>
      </c>
      <c r="CX59" s="7">
        <v>20</v>
      </c>
      <c r="CY59" s="7">
        <v>44</v>
      </c>
      <c r="CZ59" s="7">
        <v>24</v>
      </c>
      <c r="DA59" s="7">
        <v>0</v>
      </c>
      <c r="DB59" s="7">
        <v>1</v>
      </c>
      <c r="DC59" s="7">
        <v>4</v>
      </c>
      <c r="DD59" s="7">
        <v>32</v>
      </c>
      <c r="DE59" s="7">
        <v>48</v>
      </c>
      <c r="DF59" s="7">
        <v>8</v>
      </c>
      <c r="DG59" s="7">
        <v>0</v>
      </c>
      <c r="DH59" s="7">
        <v>0</v>
      </c>
      <c r="DI59" s="18">
        <f t="shared" si="3"/>
        <v>44</v>
      </c>
      <c r="DJ59" s="18">
        <f t="shared" si="4"/>
        <v>11</v>
      </c>
      <c r="DK59" s="18">
        <f t="shared" si="5"/>
        <v>30</v>
      </c>
      <c r="DL59" s="18">
        <f t="shared" ref="DL59:DL81" si="9">IF(BN59="","",(RANK(BN59,$BN$59:$BN$81)))</f>
        <v>6</v>
      </c>
      <c r="DM59" s="18">
        <f t="shared" ref="DM59:DM81" si="10">IF(CE59="","",(RANK(CE59,$CE$59:$CE$81)))</f>
        <v>1</v>
      </c>
      <c r="DN59" s="18">
        <f t="shared" ref="DN59:DN81" si="11">IF(CV59="","",(RANK(CV59,$CV$59:$CV$81)))</f>
        <v>4</v>
      </c>
      <c r="DO59" s="18">
        <v>313</v>
      </c>
      <c r="DP59" s="18">
        <v>124</v>
      </c>
      <c r="DQ59" s="18">
        <v>313</v>
      </c>
      <c r="DR59" s="18">
        <v>23</v>
      </c>
      <c r="DS59" s="18">
        <v>14</v>
      </c>
      <c r="DT59" s="18">
        <v>23</v>
      </c>
      <c r="DU59" s="18" t="s">
        <v>55</v>
      </c>
    </row>
    <row r="60" spans="54:125" x14ac:dyDescent="0.25">
      <c r="BB60" s="7">
        <v>57</v>
      </c>
      <c r="BC60" s="7" t="s">
        <v>332</v>
      </c>
      <c r="BD60" s="23" t="s">
        <v>55</v>
      </c>
      <c r="BE60" s="26">
        <v>427094371</v>
      </c>
      <c r="BF60" s="25" t="s">
        <v>339</v>
      </c>
      <c r="BG60" s="7">
        <v>5</v>
      </c>
      <c r="BH60" s="7" t="s">
        <v>320</v>
      </c>
      <c r="BI60" s="7" t="s">
        <v>368</v>
      </c>
      <c r="BJ60" s="7">
        <v>122</v>
      </c>
      <c r="BK60" s="9">
        <v>62.130795081967193</v>
      </c>
      <c r="BL60" s="9">
        <v>58.660868852459025</v>
      </c>
      <c r="BM60" s="9">
        <v>60.396174863387962</v>
      </c>
      <c r="BN60" s="9">
        <v>120.79166393442613</v>
      </c>
      <c r="BO60" s="7">
        <v>10</v>
      </c>
      <c r="BP60" s="7">
        <v>45</v>
      </c>
      <c r="BQ60" s="7">
        <v>41</v>
      </c>
      <c r="BR60" s="7">
        <v>26</v>
      </c>
      <c r="BS60" s="7">
        <v>1</v>
      </c>
      <c r="BT60" s="7">
        <v>2</v>
      </c>
      <c r="BU60" s="7">
        <v>13</v>
      </c>
      <c r="BV60" s="7">
        <v>50</v>
      </c>
      <c r="BW60" s="7">
        <v>42</v>
      </c>
      <c r="BX60" s="7">
        <v>17</v>
      </c>
      <c r="BY60" s="7">
        <v>0</v>
      </c>
      <c r="BZ60" s="7">
        <v>0</v>
      </c>
      <c r="CA60" s="7">
        <v>81</v>
      </c>
      <c r="CB60" s="9">
        <v>64.89675308641975</v>
      </c>
      <c r="CC60" s="9">
        <v>58.641629629629648</v>
      </c>
      <c r="CD60" s="9">
        <v>61.769547325102891</v>
      </c>
      <c r="CE60" s="9">
        <v>123.53838271604937</v>
      </c>
      <c r="CF60" s="7">
        <v>4</v>
      </c>
      <c r="CG60" s="7">
        <v>27</v>
      </c>
      <c r="CH60" s="7">
        <v>36</v>
      </c>
      <c r="CI60" s="7">
        <v>14</v>
      </c>
      <c r="CJ60" s="7">
        <v>0</v>
      </c>
      <c r="CK60" s="7">
        <v>0</v>
      </c>
      <c r="CL60" s="7">
        <v>5</v>
      </c>
      <c r="CM60" s="7">
        <v>40</v>
      </c>
      <c r="CN60" s="7">
        <v>30</v>
      </c>
      <c r="CO60" s="7">
        <v>6</v>
      </c>
      <c r="CP60" s="7">
        <v>0</v>
      </c>
      <c r="CQ60" s="7">
        <v>0</v>
      </c>
      <c r="CR60" s="7">
        <v>203</v>
      </c>
      <c r="CS60" s="9">
        <v>63.234453201970382</v>
      </c>
      <c r="CT60" s="9">
        <v>58.653192118226563</v>
      </c>
      <c r="CU60" s="9">
        <v>60.944170771756951</v>
      </c>
      <c r="CV60" s="9">
        <v>121.88764532019688</v>
      </c>
      <c r="CW60" s="7">
        <v>14</v>
      </c>
      <c r="CX60" s="7">
        <v>72</v>
      </c>
      <c r="CY60" s="7">
        <v>77</v>
      </c>
      <c r="CZ60" s="7">
        <v>40</v>
      </c>
      <c r="DA60" s="7">
        <v>1</v>
      </c>
      <c r="DB60" s="7">
        <v>2</v>
      </c>
      <c r="DC60" s="7">
        <v>18</v>
      </c>
      <c r="DD60" s="7">
        <v>90</v>
      </c>
      <c r="DE60" s="7">
        <v>72</v>
      </c>
      <c r="DF60" s="7">
        <v>23</v>
      </c>
      <c r="DG60" s="7">
        <v>0</v>
      </c>
      <c r="DH60" s="7">
        <v>0</v>
      </c>
      <c r="DI60" s="18">
        <f t="shared" si="3"/>
        <v>132</v>
      </c>
      <c r="DJ60" s="18">
        <f t="shared" si="4"/>
        <v>38</v>
      </c>
      <c r="DK60" s="18">
        <f t="shared" si="5"/>
        <v>115</v>
      </c>
      <c r="DL60" s="18">
        <f t="shared" si="9"/>
        <v>14</v>
      </c>
      <c r="DM60" s="18">
        <f t="shared" si="10"/>
        <v>5</v>
      </c>
      <c r="DN60" s="18">
        <f t="shared" si="11"/>
        <v>12</v>
      </c>
      <c r="DO60" s="18">
        <v>313</v>
      </c>
      <c r="DP60" s="18">
        <v>124</v>
      </c>
      <c r="DQ60" s="18">
        <v>313</v>
      </c>
      <c r="DR60" s="18">
        <v>23</v>
      </c>
      <c r="DS60" s="18">
        <v>14</v>
      </c>
      <c r="DT60" s="18">
        <v>23</v>
      </c>
      <c r="DU60" s="18" t="s">
        <v>55</v>
      </c>
    </row>
    <row r="61" spans="54:125" x14ac:dyDescent="0.25">
      <c r="BB61" s="7">
        <v>58</v>
      </c>
      <c r="BC61" s="7" t="s">
        <v>332</v>
      </c>
      <c r="BD61" s="23" t="s">
        <v>55</v>
      </c>
      <c r="BE61" s="26"/>
      <c r="BF61" s="25"/>
      <c r="BG61" s="7">
        <v>5</v>
      </c>
      <c r="BH61" s="7" t="s">
        <v>321</v>
      </c>
      <c r="BI61" s="7"/>
      <c r="BJ61" s="7"/>
      <c r="BK61" s="9"/>
      <c r="BL61" s="9"/>
      <c r="BM61" s="9"/>
      <c r="BN61" s="9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9"/>
      <c r="CC61" s="9"/>
      <c r="CD61" s="9"/>
      <c r="CE61" s="9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9"/>
      <c r="CT61" s="9"/>
      <c r="CU61" s="9"/>
      <c r="CV61" s="9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18" t="str">
        <f t="shared" si="3"/>
        <v/>
      </c>
      <c r="DJ61" s="18" t="str">
        <f t="shared" si="4"/>
        <v/>
      </c>
      <c r="DK61" s="18" t="str">
        <f t="shared" si="5"/>
        <v/>
      </c>
      <c r="DL61" s="18" t="str">
        <f t="shared" si="9"/>
        <v/>
      </c>
      <c r="DM61" s="18" t="str">
        <f t="shared" si="10"/>
        <v/>
      </c>
      <c r="DN61" s="18" t="str">
        <f t="shared" si="11"/>
        <v/>
      </c>
      <c r="DO61" s="18">
        <v>313</v>
      </c>
      <c r="DP61" s="18">
        <v>124</v>
      </c>
      <c r="DQ61" s="18">
        <v>313</v>
      </c>
      <c r="DR61" s="18">
        <v>23</v>
      </c>
      <c r="DS61" s="18">
        <v>14</v>
      </c>
      <c r="DT61" s="18">
        <v>23</v>
      </c>
      <c r="DU61" s="18" t="s">
        <v>55</v>
      </c>
    </row>
    <row r="62" spans="54:125" x14ac:dyDescent="0.25">
      <c r="BB62" s="7">
        <v>59</v>
      </c>
      <c r="BC62" s="7" t="s">
        <v>332</v>
      </c>
      <c r="BD62" s="23" t="s">
        <v>55</v>
      </c>
      <c r="BE62" s="26">
        <v>451665450</v>
      </c>
      <c r="BF62" s="25" t="s">
        <v>67</v>
      </c>
      <c r="BG62" s="7">
        <v>8</v>
      </c>
      <c r="BH62" s="7" t="s">
        <v>320</v>
      </c>
      <c r="BI62" s="7" t="s">
        <v>368</v>
      </c>
      <c r="BJ62" s="7">
        <v>13</v>
      </c>
      <c r="BK62" s="9">
        <v>52.307307692307702</v>
      </c>
      <c r="BL62" s="9">
        <v>35.640692307692305</v>
      </c>
      <c r="BM62" s="9">
        <v>43.974358974358978</v>
      </c>
      <c r="BN62" s="9">
        <v>87.948000000000008</v>
      </c>
      <c r="BO62" s="7">
        <v>3</v>
      </c>
      <c r="BP62" s="7">
        <v>3</v>
      </c>
      <c r="BQ62" s="7">
        <v>6</v>
      </c>
      <c r="BR62" s="7">
        <v>1</v>
      </c>
      <c r="BS62" s="7">
        <v>0</v>
      </c>
      <c r="BT62" s="7">
        <v>0</v>
      </c>
      <c r="BU62" s="7">
        <v>6</v>
      </c>
      <c r="BV62" s="7">
        <v>7</v>
      </c>
      <c r="BW62" s="7">
        <v>0</v>
      </c>
      <c r="BX62" s="7">
        <v>0</v>
      </c>
      <c r="BY62" s="7">
        <v>0</v>
      </c>
      <c r="BZ62" s="7">
        <v>0</v>
      </c>
      <c r="CA62" s="7">
        <v>75</v>
      </c>
      <c r="CB62" s="9">
        <v>50.888533333333378</v>
      </c>
      <c r="CC62" s="9">
        <v>49.466333333333367</v>
      </c>
      <c r="CD62" s="9">
        <v>50.177777777777777</v>
      </c>
      <c r="CE62" s="9">
        <v>100.35486666666665</v>
      </c>
      <c r="CF62" s="7">
        <v>17</v>
      </c>
      <c r="CG62" s="7">
        <v>29</v>
      </c>
      <c r="CH62" s="7">
        <v>22</v>
      </c>
      <c r="CI62" s="7">
        <v>7</v>
      </c>
      <c r="CJ62" s="7">
        <v>0</v>
      </c>
      <c r="CK62" s="7">
        <v>0</v>
      </c>
      <c r="CL62" s="7">
        <v>10</v>
      </c>
      <c r="CM62" s="7">
        <v>43</v>
      </c>
      <c r="CN62" s="7">
        <v>18</v>
      </c>
      <c r="CO62" s="7">
        <v>4</v>
      </c>
      <c r="CP62" s="7">
        <v>0</v>
      </c>
      <c r="CQ62" s="7">
        <v>0</v>
      </c>
      <c r="CR62" s="7">
        <v>88</v>
      </c>
      <c r="CS62" s="9">
        <v>51.098125000000046</v>
      </c>
      <c r="CT62" s="9">
        <v>47.423909090909135</v>
      </c>
      <c r="CU62" s="9">
        <v>49.261363636363633</v>
      </c>
      <c r="CV62" s="9">
        <v>98.522034090909031</v>
      </c>
      <c r="CW62" s="7">
        <v>20</v>
      </c>
      <c r="CX62" s="7">
        <v>32</v>
      </c>
      <c r="CY62" s="7">
        <v>28</v>
      </c>
      <c r="CZ62" s="7">
        <v>8</v>
      </c>
      <c r="DA62" s="7">
        <v>0</v>
      </c>
      <c r="DB62" s="7">
        <v>0</v>
      </c>
      <c r="DC62" s="7">
        <v>16</v>
      </c>
      <c r="DD62" s="7">
        <v>50</v>
      </c>
      <c r="DE62" s="7">
        <v>18</v>
      </c>
      <c r="DF62" s="7">
        <v>4</v>
      </c>
      <c r="DG62" s="7">
        <v>0</v>
      </c>
      <c r="DH62" s="7">
        <v>0</v>
      </c>
      <c r="DI62" s="18">
        <f t="shared" si="3"/>
        <v>295</v>
      </c>
      <c r="DJ62" s="18">
        <f t="shared" si="4"/>
        <v>117</v>
      </c>
      <c r="DK62" s="18">
        <f t="shared" si="5"/>
        <v>281</v>
      </c>
      <c r="DL62" s="18">
        <f t="shared" si="9"/>
        <v>20</v>
      </c>
      <c r="DM62" s="18">
        <f t="shared" si="10"/>
        <v>14</v>
      </c>
      <c r="DN62" s="18">
        <f t="shared" si="11"/>
        <v>20</v>
      </c>
      <c r="DO62" s="18">
        <v>313</v>
      </c>
      <c r="DP62" s="18">
        <v>124</v>
      </c>
      <c r="DQ62" s="18">
        <v>313</v>
      </c>
      <c r="DR62" s="18">
        <v>23</v>
      </c>
      <c r="DS62" s="18">
        <v>14</v>
      </c>
      <c r="DT62" s="18">
        <v>23</v>
      </c>
      <c r="DU62" s="18" t="s">
        <v>55</v>
      </c>
    </row>
    <row r="63" spans="54:125" x14ac:dyDescent="0.25">
      <c r="BB63" s="7">
        <v>60</v>
      </c>
      <c r="BC63" s="7" t="s">
        <v>332</v>
      </c>
      <c r="BD63" s="23" t="s">
        <v>55</v>
      </c>
      <c r="BE63" s="26">
        <v>438201532</v>
      </c>
      <c r="BF63" s="25" t="s">
        <v>56</v>
      </c>
      <c r="BG63" s="7">
        <v>9</v>
      </c>
      <c r="BH63" s="7" t="s">
        <v>320</v>
      </c>
      <c r="BI63" s="7" t="s">
        <v>368</v>
      </c>
      <c r="BJ63" s="7">
        <v>73</v>
      </c>
      <c r="BK63" s="9">
        <v>65.06816438356168</v>
      </c>
      <c r="BL63" s="9">
        <v>60.593246575342498</v>
      </c>
      <c r="BM63" s="9">
        <v>62.831050228310509</v>
      </c>
      <c r="BN63" s="9">
        <v>125.66141095890406</v>
      </c>
      <c r="BO63" s="7">
        <v>6</v>
      </c>
      <c r="BP63" s="7">
        <v>22</v>
      </c>
      <c r="BQ63" s="7">
        <v>27</v>
      </c>
      <c r="BR63" s="7">
        <v>18</v>
      </c>
      <c r="BS63" s="7">
        <v>0</v>
      </c>
      <c r="BT63" s="7">
        <v>0</v>
      </c>
      <c r="BU63" s="7">
        <v>5</v>
      </c>
      <c r="BV63" s="7">
        <v>32</v>
      </c>
      <c r="BW63" s="7">
        <v>24</v>
      </c>
      <c r="BX63" s="7">
        <v>12</v>
      </c>
      <c r="BY63" s="7">
        <v>0</v>
      </c>
      <c r="BZ63" s="7">
        <v>0</v>
      </c>
      <c r="CA63" s="7">
        <v>39</v>
      </c>
      <c r="CB63" s="9">
        <v>63.076589743589743</v>
      </c>
      <c r="CC63" s="9">
        <v>57.862923076923074</v>
      </c>
      <c r="CD63" s="9">
        <v>60.470085470085472</v>
      </c>
      <c r="CE63" s="9">
        <v>120.93951282051283</v>
      </c>
      <c r="CF63" s="7">
        <v>2</v>
      </c>
      <c r="CG63" s="7">
        <v>15</v>
      </c>
      <c r="CH63" s="7">
        <v>14</v>
      </c>
      <c r="CI63" s="7">
        <v>8</v>
      </c>
      <c r="CJ63" s="7">
        <v>0</v>
      </c>
      <c r="CK63" s="7">
        <v>0</v>
      </c>
      <c r="CL63" s="7">
        <v>2</v>
      </c>
      <c r="CM63" s="7">
        <v>22</v>
      </c>
      <c r="CN63" s="7">
        <v>12</v>
      </c>
      <c r="CO63" s="7">
        <v>3</v>
      </c>
      <c r="CP63" s="7">
        <v>0</v>
      </c>
      <c r="CQ63" s="7">
        <v>0</v>
      </c>
      <c r="CR63" s="7">
        <v>112</v>
      </c>
      <c r="CS63" s="9">
        <v>64.374669642857143</v>
      </c>
      <c r="CT63" s="9">
        <v>59.642508928571438</v>
      </c>
      <c r="CU63" s="9">
        <v>62.008928571428605</v>
      </c>
      <c r="CV63" s="9">
        <v>124.01717857142854</v>
      </c>
      <c r="CW63" s="7">
        <v>8</v>
      </c>
      <c r="CX63" s="7">
        <v>37</v>
      </c>
      <c r="CY63" s="7">
        <v>41</v>
      </c>
      <c r="CZ63" s="7">
        <v>26</v>
      </c>
      <c r="DA63" s="7">
        <v>0</v>
      </c>
      <c r="DB63" s="7">
        <v>0</v>
      </c>
      <c r="DC63" s="7">
        <v>7</v>
      </c>
      <c r="DD63" s="7">
        <v>54</v>
      </c>
      <c r="DE63" s="7">
        <v>36</v>
      </c>
      <c r="DF63" s="7">
        <v>15</v>
      </c>
      <c r="DG63" s="7">
        <v>0</v>
      </c>
      <c r="DH63" s="7">
        <v>0</v>
      </c>
      <c r="DI63" s="18">
        <f t="shared" si="3"/>
        <v>93</v>
      </c>
      <c r="DJ63" s="18">
        <f t="shared" si="4"/>
        <v>52</v>
      </c>
      <c r="DK63" s="18">
        <f t="shared" si="5"/>
        <v>94</v>
      </c>
      <c r="DL63" s="18">
        <f t="shared" si="9"/>
        <v>12</v>
      </c>
      <c r="DM63" s="18">
        <f t="shared" si="10"/>
        <v>7</v>
      </c>
      <c r="DN63" s="18">
        <f t="shared" si="11"/>
        <v>10</v>
      </c>
      <c r="DO63" s="18">
        <v>313</v>
      </c>
      <c r="DP63" s="18">
        <v>124</v>
      </c>
      <c r="DQ63" s="18">
        <v>313</v>
      </c>
      <c r="DR63" s="18">
        <v>23</v>
      </c>
      <c r="DS63" s="18">
        <v>14</v>
      </c>
      <c r="DT63" s="18">
        <v>23</v>
      </c>
      <c r="DU63" s="18" t="s">
        <v>55</v>
      </c>
    </row>
    <row r="64" spans="54:125" x14ac:dyDescent="0.25">
      <c r="BB64" s="7">
        <v>61</v>
      </c>
      <c r="BC64" s="7" t="s">
        <v>332</v>
      </c>
      <c r="BD64" s="23" t="s">
        <v>55</v>
      </c>
      <c r="BE64" s="26">
        <v>819115969</v>
      </c>
      <c r="BF64" s="25" t="s">
        <v>63</v>
      </c>
      <c r="BG64" s="7">
        <v>14</v>
      </c>
      <c r="BH64" s="7" t="s">
        <v>320</v>
      </c>
      <c r="BI64" s="7" t="s">
        <v>368</v>
      </c>
      <c r="BJ64" s="7">
        <v>119</v>
      </c>
      <c r="BK64" s="9">
        <v>69.85961344537813</v>
      </c>
      <c r="BL64" s="9">
        <v>67.422663865546198</v>
      </c>
      <c r="BM64" s="9">
        <v>68.641456582633069</v>
      </c>
      <c r="BN64" s="9">
        <v>137.28227731092431</v>
      </c>
      <c r="BO64" s="7">
        <v>3</v>
      </c>
      <c r="BP64" s="7">
        <v>37</v>
      </c>
      <c r="BQ64" s="7">
        <v>38</v>
      </c>
      <c r="BR64" s="7">
        <v>41</v>
      </c>
      <c r="BS64" s="7">
        <v>0</v>
      </c>
      <c r="BT64" s="7">
        <v>2</v>
      </c>
      <c r="BU64" s="7">
        <v>3</v>
      </c>
      <c r="BV64" s="7">
        <v>41</v>
      </c>
      <c r="BW64" s="7">
        <v>42</v>
      </c>
      <c r="BX64" s="7">
        <v>33</v>
      </c>
      <c r="BY64" s="7">
        <v>0</v>
      </c>
      <c r="BZ64" s="7">
        <v>0</v>
      </c>
      <c r="CA64" s="7">
        <v>79</v>
      </c>
      <c r="CB64" s="9">
        <v>72.404696202531667</v>
      </c>
      <c r="CC64" s="9">
        <v>61.054544303797485</v>
      </c>
      <c r="CD64" s="9">
        <v>66.729957805907176</v>
      </c>
      <c r="CE64" s="9">
        <v>133.45924050632908</v>
      </c>
      <c r="CF64" s="7">
        <v>1</v>
      </c>
      <c r="CG64" s="7">
        <v>14</v>
      </c>
      <c r="CH64" s="7">
        <v>44</v>
      </c>
      <c r="CI64" s="7">
        <v>20</v>
      </c>
      <c r="CJ64" s="7">
        <v>0</v>
      </c>
      <c r="CK64" s="7">
        <v>0</v>
      </c>
      <c r="CL64" s="7">
        <v>2</v>
      </c>
      <c r="CM64" s="7">
        <v>37</v>
      </c>
      <c r="CN64" s="7">
        <v>36</v>
      </c>
      <c r="CO64" s="7">
        <v>4</v>
      </c>
      <c r="CP64" s="7">
        <v>0</v>
      </c>
      <c r="CQ64" s="7">
        <v>0</v>
      </c>
      <c r="CR64" s="7">
        <v>198</v>
      </c>
      <c r="CS64" s="9">
        <v>70.875075757575686</v>
      </c>
      <c r="CT64" s="9">
        <v>64.881848484848476</v>
      </c>
      <c r="CU64" s="9">
        <v>67.878787878787875</v>
      </c>
      <c r="CV64" s="9">
        <v>135.75692424242413</v>
      </c>
      <c r="CW64" s="7">
        <v>4</v>
      </c>
      <c r="CX64" s="7">
        <v>51</v>
      </c>
      <c r="CY64" s="7">
        <v>82</v>
      </c>
      <c r="CZ64" s="7">
        <v>61</v>
      </c>
      <c r="DA64" s="7">
        <v>0</v>
      </c>
      <c r="DB64" s="7">
        <v>2</v>
      </c>
      <c r="DC64" s="7">
        <v>5</v>
      </c>
      <c r="DD64" s="7">
        <v>78</v>
      </c>
      <c r="DE64" s="7">
        <v>78</v>
      </c>
      <c r="DF64" s="7">
        <v>37</v>
      </c>
      <c r="DG64" s="7">
        <v>0</v>
      </c>
      <c r="DH64" s="7">
        <v>0</v>
      </c>
      <c r="DI64" s="18">
        <f t="shared" si="3"/>
        <v>22</v>
      </c>
      <c r="DJ64" s="18">
        <f t="shared" si="4"/>
        <v>13</v>
      </c>
      <c r="DK64" s="18">
        <f t="shared" si="5"/>
        <v>17</v>
      </c>
      <c r="DL64" s="18">
        <f t="shared" si="9"/>
        <v>4</v>
      </c>
      <c r="DM64" s="18">
        <f t="shared" si="10"/>
        <v>2</v>
      </c>
      <c r="DN64" s="18">
        <f t="shared" si="11"/>
        <v>2</v>
      </c>
      <c r="DO64" s="18">
        <v>313</v>
      </c>
      <c r="DP64" s="18">
        <v>124</v>
      </c>
      <c r="DQ64" s="18">
        <v>313</v>
      </c>
      <c r="DR64" s="18">
        <v>23</v>
      </c>
      <c r="DS64" s="18">
        <v>14</v>
      </c>
      <c r="DT64" s="18">
        <v>23</v>
      </c>
      <c r="DU64" s="18" t="s">
        <v>55</v>
      </c>
    </row>
    <row r="65" spans="54:125" x14ac:dyDescent="0.25">
      <c r="BB65" s="7">
        <v>62</v>
      </c>
      <c r="BC65" s="7" t="s">
        <v>332</v>
      </c>
      <c r="BD65" s="23" t="s">
        <v>55</v>
      </c>
      <c r="BE65" s="26">
        <v>146214860</v>
      </c>
      <c r="BF65" s="25" t="s">
        <v>68</v>
      </c>
      <c r="BG65" s="7">
        <v>16</v>
      </c>
      <c r="BH65" s="7" t="s">
        <v>328</v>
      </c>
      <c r="BI65" s="7" t="s">
        <v>368</v>
      </c>
      <c r="BJ65" s="7">
        <v>24</v>
      </c>
      <c r="BK65" s="9">
        <v>67.082875000000016</v>
      </c>
      <c r="BL65" s="9">
        <v>63.194125000000007</v>
      </c>
      <c r="BM65" s="9">
        <v>65.1388888888889</v>
      </c>
      <c r="BN65" s="9">
        <v>130.27699999999996</v>
      </c>
      <c r="BO65" s="7">
        <v>2</v>
      </c>
      <c r="BP65" s="7">
        <v>4</v>
      </c>
      <c r="BQ65" s="7">
        <v>12</v>
      </c>
      <c r="BR65" s="7">
        <v>6</v>
      </c>
      <c r="BS65" s="7">
        <v>0</v>
      </c>
      <c r="BT65" s="7">
        <v>0</v>
      </c>
      <c r="BU65" s="7">
        <v>0</v>
      </c>
      <c r="BV65" s="7">
        <v>9</v>
      </c>
      <c r="BW65" s="7">
        <v>11</v>
      </c>
      <c r="BX65" s="7">
        <v>4</v>
      </c>
      <c r="BY65" s="7">
        <v>0</v>
      </c>
      <c r="BZ65" s="7">
        <v>0</v>
      </c>
      <c r="CA65" s="7">
        <v>16</v>
      </c>
      <c r="CB65" s="9">
        <v>56.041499999999992</v>
      </c>
      <c r="CC65" s="9">
        <v>48.9579375</v>
      </c>
      <c r="CD65" s="9">
        <v>52.5</v>
      </c>
      <c r="CE65" s="9">
        <v>104.9994375</v>
      </c>
      <c r="CF65" s="7">
        <v>3</v>
      </c>
      <c r="CG65" s="7">
        <v>6</v>
      </c>
      <c r="CH65" s="7">
        <v>6</v>
      </c>
      <c r="CI65" s="7">
        <v>1</v>
      </c>
      <c r="CJ65" s="7">
        <v>0</v>
      </c>
      <c r="CK65" s="7">
        <v>0</v>
      </c>
      <c r="CL65" s="7">
        <v>3</v>
      </c>
      <c r="CM65" s="7">
        <v>7</v>
      </c>
      <c r="CN65" s="7">
        <v>5</v>
      </c>
      <c r="CO65" s="7">
        <v>1</v>
      </c>
      <c r="CP65" s="7">
        <v>0</v>
      </c>
      <c r="CQ65" s="7">
        <v>0</v>
      </c>
      <c r="CR65" s="7">
        <v>40</v>
      </c>
      <c r="CS65" s="9">
        <v>62.666325000000015</v>
      </c>
      <c r="CT65" s="9">
        <v>57.499650000000017</v>
      </c>
      <c r="CU65" s="9">
        <v>60.083333333333336</v>
      </c>
      <c r="CV65" s="9">
        <v>120.16597499999997</v>
      </c>
      <c r="CW65" s="7">
        <v>5</v>
      </c>
      <c r="CX65" s="7">
        <v>10</v>
      </c>
      <c r="CY65" s="7">
        <v>18</v>
      </c>
      <c r="CZ65" s="7">
        <v>7</v>
      </c>
      <c r="DA65" s="7">
        <v>0</v>
      </c>
      <c r="DB65" s="7">
        <v>0</v>
      </c>
      <c r="DC65" s="7">
        <v>3</v>
      </c>
      <c r="DD65" s="7">
        <v>16</v>
      </c>
      <c r="DE65" s="7">
        <v>16</v>
      </c>
      <c r="DF65" s="7">
        <v>5</v>
      </c>
      <c r="DG65" s="7">
        <v>0</v>
      </c>
      <c r="DH65" s="7">
        <v>0</v>
      </c>
      <c r="DI65" s="18">
        <f t="shared" si="3"/>
        <v>56</v>
      </c>
      <c r="DJ65" s="18">
        <f t="shared" si="4"/>
        <v>111</v>
      </c>
      <c r="DK65" s="18">
        <f t="shared" si="5"/>
        <v>130</v>
      </c>
      <c r="DL65" s="18">
        <f t="shared" si="9"/>
        <v>7</v>
      </c>
      <c r="DM65" s="18">
        <f t="shared" si="10"/>
        <v>13</v>
      </c>
      <c r="DN65" s="18">
        <f t="shared" si="11"/>
        <v>15</v>
      </c>
      <c r="DO65" s="18">
        <v>313</v>
      </c>
      <c r="DP65" s="18">
        <v>124</v>
      </c>
      <c r="DQ65" s="18">
        <v>313</v>
      </c>
      <c r="DR65" s="18">
        <v>23</v>
      </c>
      <c r="DS65" s="18">
        <v>14</v>
      </c>
      <c r="DT65" s="18">
        <v>23</v>
      </c>
      <c r="DU65" s="18" t="s">
        <v>55</v>
      </c>
    </row>
    <row r="66" spans="54:125" x14ac:dyDescent="0.25">
      <c r="BB66" s="7">
        <v>63</v>
      </c>
      <c r="BC66" s="7" t="s">
        <v>332</v>
      </c>
      <c r="BD66" s="23" t="s">
        <v>55</v>
      </c>
      <c r="BE66" s="26">
        <v>935684566</v>
      </c>
      <c r="BF66" s="25" t="s">
        <v>64</v>
      </c>
      <c r="BG66" s="7">
        <v>19</v>
      </c>
      <c r="BH66" s="7" t="s">
        <v>320</v>
      </c>
      <c r="BI66" s="7" t="s">
        <v>367</v>
      </c>
      <c r="BJ66" s="7">
        <v>137</v>
      </c>
      <c r="BK66" s="9">
        <v>58.612788321167876</v>
      </c>
      <c r="BL66" s="9">
        <v>54.84151824817517</v>
      </c>
      <c r="BM66" s="9">
        <v>56.72749391727492</v>
      </c>
      <c r="BN66" s="9">
        <v>113.45430656934298</v>
      </c>
      <c r="BO66" s="7">
        <v>28</v>
      </c>
      <c r="BP66" s="7">
        <v>45</v>
      </c>
      <c r="BQ66" s="7">
        <v>33</v>
      </c>
      <c r="BR66" s="7">
        <v>31</v>
      </c>
      <c r="BS66" s="7">
        <v>3</v>
      </c>
      <c r="BT66" s="7">
        <v>3</v>
      </c>
      <c r="BU66" s="7">
        <v>27</v>
      </c>
      <c r="BV66" s="7">
        <v>51</v>
      </c>
      <c r="BW66" s="7">
        <v>34</v>
      </c>
      <c r="BX66" s="7">
        <v>25</v>
      </c>
      <c r="BY66" s="7">
        <v>0</v>
      </c>
      <c r="BZ66" s="7">
        <v>0</v>
      </c>
      <c r="CA66" s="7"/>
      <c r="CB66" s="9"/>
      <c r="CC66" s="9"/>
      <c r="CD66" s="9"/>
      <c r="CE66" s="9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>
        <v>137</v>
      </c>
      <c r="CS66" s="9">
        <v>58.612788321167876</v>
      </c>
      <c r="CT66" s="9">
        <v>54.84151824817517</v>
      </c>
      <c r="CU66" s="9">
        <v>56.72749391727492</v>
      </c>
      <c r="CV66" s="9">
        <v>113.45430656934298</v>
      </c>
      <c r="CW66" s="7">
        <v>28</v>
      </c>
      <c r="CX66" s="7">
        <v>45</v>
      </c>
      <c r="CY66" s="7">
        <v>33</v>
      </c>
      <c r="CZ66" s="7">
        <v>31</v>
      </c>
      <c r="DA66" s="7">
        <v>3</v>
      </c>
      <c r="DB66" s="7">
        <v>3</v>
      </c>
      <c r="DC66" s="7">
        <v>27</v>
      </c>
      <c r="DD66" s="7">
        <v>51</v>
      </c>
      <c r="DE66" s="7">
        <v>34</v>
      </c>
      <c r="DF66" s="7">
        <v>25</v>
      </c>
      <c r="DG66" s="7">
        <v>0</v>
      </c>
      <c r="DH66" s="7">
        <v>0</v>
      </c>
      <c r="DI66" s="18">
        <f t="shared" si="3"/>
        <v>188</v>
      </c>
      <c r="DJ66" s="18" t="str">
        <f t="shared" si="4"/>
        <v/>
      </c>
      <c r="DK66" s="18">
        <f t="shared" si="5"/>
        <v>189</v>
      </c>
      <c r="DL66" s="18">
        <f t="shared" si="9"/>
        <v>16</v>
      </c>
      <c r="DM66" s="18" t="str">
        <f t="shared" si="10"/>
        <v/>
      </c>
      <c r="DN66" s="18">
        <f t="shared" si="11"/>
        <v>16</v>
      </c>
      <c r="DO66" s="18">
        <v>313</v>
      </c>
      <c r="DP66" s="18">
        <v>124</v>
      </c>
      <c r="DQ66" s="18">
        <v>313</v>
      </c>
      <c r="DR66" s="18">
        <v>23</v>
      </c>
      <c r="DS66" s="18">
        <v>14</v>
      </c>
      <c r="DT66" s="18">
        <v>23</v>
      </c>
      <c r="DU66" s="18" t="s">
        <v>55</v>
      </c>
    </row>
    <row r="67" spans="54:125" x14ac:dyDescent="0.25">
      <c r="BB67" s="7">
        <v>64</v>
      </c>
      <c r="BC67" s="7" t="s">
        <v>332</v>
      </c>
      <c r="BD67" s="23" t="s">
        <v>55</v>
      </c>
      <c r="BE67" s="26">
        <v>778590205</v>
      </c>
      <c r="BF67" s="25" t="s">
        <v>61</v>
      </c>
      <c r="BG67" s="7">
        <v>35</v>
      </c>
      <c r="BH67" s="7" t="s">
        <v>320</v>
      </c>
      <c r="BI67" s="7" t="s">
        <v>367</v>
      </c>
      <c r="BJ67" s="7">
        <v>37</v>
      </c>
      <c r="BK67" s="9">
        <v>57.927540540540555</v>
      </c>
      <c r="BL67" s="9">
        <v>51.621243243243249</v>
      </c>
      <c r="BM67" s="9">
        <v>54.774774774774791</v>
      </c>
      <c r="BN67" s="9">
        <v>109.54878378378378</v>
      </c>
      <c r="BO67" s="7">
        <v>5</v>
      </c>
      <c r="BP67" s="7">
        <v>14</v>
      </c>
      <c r="BQ67" s="7">
        <v>13</v>
      </c>
      <c r="BR67" s="7">
        <v>5</v>
      </c>
      <c r="BS67" s="7">
        <v>0</v>
      </c>
      <c r="BT67" s="7">
        <v>1</v>
      </c>
      <c r="BU67" s="7">
        <v>5</v>
      </c>
      <c r="BV67" s="7">
        <v>20</v>
      </c>
      <c r="BW67" s="7">
        <v>10</v>
      </c>
      <c r="BX67" s="7">
        <v>2</v>
      </c>
      <c r="BY67" s="7">
        <v>0</v>
      </c>
      <c r="BZ67" s="7">
        <v>0</v>
      </c>
      <c r="CA67" s="7"/>
      <c r="CB67" s="9"/>
      <c r="CC67" s="9"/>
      <c r="CD67" s="9"/>
      <c r="CE67" s="9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>
        <v>37</v>
      </c>
      <c r="CS67" s="9">
        <v>57.927540540540555</v>
      </c>
      <c r="CT67" s="9">
        <v>51.621243243243249</v>
      </c>
      <c r="CU67" s="9">
        <v>54.774774774774791</v>
      </c>
      <c r="CV67" s="9">
        <v>109.54878378378378</v>
      </c>
      <c r="CW67" s="7">
        <v>5</v>
      </c>
      <c r="CX67" s="7">
        <v>14</v>
      </c>
      <c r="CY67" s="7">
        <v>13</v>
      </c>
      <c r="CZ67" s="7">
        <v>5</v>
      </c>
      <c r="DA67" s="7">
        <v>0</v>
      </c>
      <c r="DB67" s="7">
        <v>1</v>
      </c>
      <c r="DC67" s="7">
        <v>5</v>
      </c>
      <c r="DD67" s="7">
        <v>20</v>
      </c>
      <c r="DE67" s="7">
        <v>10</v>
      </c>
      <c r="DF67" s="7">
        <v>2</v>
      </c>
      <c r="DG67" s="7">
        <v>0</v>
      </c>
      <c r="DH67" s="7">
        <v>0</v>
      </c>
      <c r="DI67" s="18">
        <f t="shared" si="3"/>
        <v>220</v>
      </c>
      <c r="DJ67" s="18" t="str">
        <f t="shared" si="4"/>
        <v/>
      </c>
      <c r="DK67" s="18">
        <f t="shared" si="5"/>
        <v>226</v>
      </c>
      <c r="DL67" s="18">
        <f t="shared" si="9"/>
        <v>17</v>
      </c>
      <c r="DM67" s="18" t="str">
        <f t="shared" si="10"/>
        <v/>
      </c>
      <c r="DN67" s="18">
        <f t="shared" si="11"/>
        <v>18</v>
      </c>
      <c r="DO67" s="18">
        <v>313</v>
      </c>
      <c r="DP67" s="18">
        <v>124</v>
      </c>
      <c r="DQ67" s="18">
        <v>313</v>
      </c>
      <c r="DR67" s="18">
        <v>23</v>
      </c>
      <c r="DS67" s="18">
        <v>14</v>
      </c>
      <c r="DT67" s="18">
        <v>23</v>
      </c>
      <c r="DU67" s="18" t="s">
        <v>55</v>
      </c>
    </row>
    <row r="68" spans="54:125" x14ac:dyDescent="0.25">
      <c r="BB68" s="7">
        <v>65</v>
      </c>
      <c r="BC68" s="7" t="s">
        <v>332</v>
      </c>
      <c r="BD68" s="23" t="s">
        <v>55</v>
      </c>
      <c r="BE68" s="26">
        <v>358784818</v>
      </c>
      <c r="BF68" s="25" t="s">
        <v>70</v>
      </c>
      <c r="BG68" s="7">
        <v>42</v>
      </c>
      <c r="BH68" s="7" t="s">
        <v>320</v>
      </c>
      <c r="BI68" s="7" t="s">
        <v>368</v>
      </c>
      <c r="BJ68" s="7">
        <v>70</v>
      </c>
      <c r="BK68" s="9">
        <v>57.523514285714313</v>
      </c>
      <c r="BL68" s="9">
        <v>50.904428571428603</v>
      </c>
      <c r="BM68" s="9">
        <v>54.214285714285708</v>
      </c>
      <c r="BN68" s="9">
        <v>108.42794285714282</v>
      </c>
      <c r="BO68" s="7">
        <v>8</v>
      </c>
      <c r="BP68" s="7">
        <v>30</v>
      </c>
      <c r="BQ68" s="7">
        <v>25</v>
      </c>
      <c r="BR68" s="7">
        <v>7</v>
      </c>
      <c r="BS68" s="7">
        <v>1</v>
      </c>
      <c r="BT68" s="7">
        <v>0</v>
      </c>
      <c r="BU68" s="7">
        <v>8</v>
      </c>
      <c r="BV68" s="7">
        <v>41</v>
      </c>
      <c r="BW68" s="7">
        <v>20</v>
      </c>
      <c r="BX68" s="7">
        <v>1</v>
      </c>
      <c r="BY68" s="7">
        <v>0</v>
      </c>
      <c r="BZ68" s="7">
        <v>0</v>
      </c>
      <c r="CA68" s="7">
        <v>66</v>
      </c>
      <c r="CB68" s="9">
        <v>56.26225757575763</v>
      </c>
      <c r="CC68" s="9">
        <v>57.878378787878837</v>
      </c>
      <c r="CD68" s="9">
        <v>57.070707070707066</v>
      </c>
      <c r="CE68" s="9">
        <v>114.14063636363633</v>
      </c>
      <c r="CF68" s="7">
        <v>7</v>
      </c>
      <c r="CG68" s="7">
        <v>30</v>
      </c>
      <c r="CH68" s="7">
        <v>25</v>
      </c>
      <c r="CI68" s="7">
        <v>4</v>
      </c>
      <c r="CJ68" s="7">
        <v>0</v>
      </c>
      <c r="CK68" s="7">
        <v>0</v>
      </c>
      <c r="CL68" s="7">
        <v>4</v>
      </c>
      <c r="CM68" s="7">
        <v>31</v>
      </c>
      <c r="CN68" s="7">
        <v>28</v>
      </c>
      <c r="CO68" s="7">
        <v>3</v>
      </c>
      <c r="CP68" s="7">
        <v>0</v>
      </c>
      <c r="CQ68" s="7">
        <v>0</v>
      </c>
      <c r="CR68" s="7">
        <v>136</v>
      </c>
      <c r="CS68" s="9">
        <v>56.911433823529393</v>
      </c>
      <c r="CT68" s="9">
        <v>54.28884558823529</v>
      </c>
      <c r="CU68" s="9">
        <v>55.600490196078425</v>
      </c>
      <c r="CV68" s="9">
        <v>111.20027941176461</v>
      </c>
      <c r="CW68" s="7">
        <v>15</v>
      </c>
      <c r="CX68" s="7">
        <v>60</v>
      </c>
      <c r="CY68" s="7">
        <v>50</v>
      </c>
      <c r="CZ68" s="7">
        <v>11</v>
      </c>
      <c r="DA68" s="7">
        <v>1</v>
      </c>
      <c r="DB68" s="7">
        <v>0</v>
      </c>
      <c r="DC68" s="7">
        <v>12</v>
      </c>
      <c r="DD68" s="7">
        <v>72</v>
      </c>
      <c r="DE68" s="7">
        <v>48</v>
      </c>
      <c r="DF68" s="7">
        <v>4</v>
      </c>
      <c r="DG68" s="7">
        <v>0</v>
      </c>
      <c r="DH68" s="7">
        <v>0</v>
      </c>
      <c r="DI68" s="18">
        <f t="shared" si="3"/>
        <v>233</v>
      </c>
      <c r="DJ68" s="18">
        <f t="shared" si="4"/>
        <v>85</v>
      </c>
      <c r="DK68" s="18">
        <f t="shared" si="5"/>
        <v>209</v>
      </c>
      <c r="DL68" s="18">
        <f t="shared" si="9"/>
        <v>18</v>
      </c>
      <c r="DM68" s="18">
        <f t="shared" si="10"/>
        <v>10</v>
      </c>
      <c r="DN68" s="18">
        <f t="shared" si="11"/>
        <v>17</v>
      </c>
      <c r="DO68" s="18">
        <v>313</v>
      </c>
      <c r="DP68" s="18">
        <v>124</v>
      </c>
      <c r="DQ68" s="18">
        <v>313</v>
      </c>
      <c r="DR68" s="18">
        <v>23</v>
      </c>
      <c r="DS68" s="18">
        <v>14</v>
      </c>
      <c r="DT68" s="18">
        <v>23</v>
      </c>
      <c r="DU68" s="18" t="s">
        <v>55</v>
      </c>
    </row>
    <row r="69" spans="54:125" x14ac:dyDescent="0.25">
      <c r="BB69" s="7">
        <v>66</v>
      </c>
      <c r="BC69" s="7" t="s">
        <v>332</v>
      </c>
      <c r="BD69" s="23" t="s">
        <v>55</v>
      </c>
      <c r="BE69" s="26">
        <v>808556781</v>
      </c>
      <c r="BF69" s="25" t="s">
        <v>58</v>
      </c>
      <c r="BG69" s="7">
        <v>44</v>
      </c>
      <c r="BH69" s="7" t="s">
        <v>320</v>
      </c>
      <c r="BI69" s="7" t="s">
        <v>367</v>
      </c>
      <c r="BJ69" s="7">
        <v>44</v>
      </c>
      <c r="BK69" s="9">
        <v>54.99975000000002</v>
      </c>
      <c r="BL69" s="9">
        <v>47.348090909090907</v>
      </c>
      <c r="BM69" s="9">
        <v>51.174242424242422</v>
      </c>
      <c r="BN69" s="9">
        <v>102.34784090909089</v>
      </c>
      <c r="BO69" s="7">
        <v>8</v>
      </c>
      <c r="BP69" s="7">
        <v>18</v>
      </c>
      <c r="BQ69" s="7">
        <v>13</v>
      </c>
      <c r="BR69" s="7">
        <v>5</v>
      </c>
      <c r="BS69" s="7">
        <v>0</v>
      </c>
      <c r="BT69" s="7">
        <v>0</v>
      </c>
      <c r="BU69" s="7">
        <v>8</v>
      </c>
      <c r="BV69" s="7">
        <v>26</v>
      </c>
      <c r="BW69" s="7">
        <v>7</v>
      </c>
      <c r="BX69" s="7">
        <v>3</v>
      </c>
      <c r="BY69" s="7">
        <v>0</v>
      </c>
      <c r="BZ69" s="7">
        <v>0</v>
      </c>
      <c r="CA69" s="7"/>
      <c r="CB69" s="9"/>
      <c r="CC69" s="9"/>
      <c r="CD69" s="9"/>
      <c r="CE69" s="9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>
        <v>44</v>
      </c>
      <c r="CS69" s="9">
        <v>54.99975000000002</v>
      </c>
      <c r="CT69" s="9">
        <v>47.348090909090907</v>
      </c>
      <c r="CU69" s="9">
        <v>51.174242424242422</v>
      </c>
      <c r="CV69" s="9">
        <v>102.34784090909089</v>
      </c>
      <c r="CW69" s="7">
        <v>8</v>
      </c>
      <c r="CX69" s="7">
        <v>18</v>
      </c>
      <c r="CY69" s="7">
        <v>13</v>
      </c>
      <c r="CZ69" s="7">
        <v>5</v>
      </c>
      <c r="DA69" s="7">
        <v>0</v>
      </c>
      <c r="DB69" s="7">
        <v>0</v>
      </c>
      <c r="DC69" s="7">
        <v>8</v>
      </c>
      <c r="DD69" s="7">
        <v>26</v>
      </c>
      <c r="DE69" s="7">
        <v>7</v>
      </c>
      <c r="DF69" s="7">
        <v>3</v>
      </c>
      <c r="DG69" s="7">
        <v>0</v>
      </c>
      <c r="DH69" s="7">
        <v>0</v>
      </c>
      <c r="DI69" s="18">
        <f t="shared" ref="DI69:DI132" si="12">IF(BN69="","",(RANK(BN69,$BN$4:$BN$326)))</f>
        <v>270</v>
      </c>
      <c r="DJ69" s="18" t="str">
        <f t="shared" ref="DJ69:DJ132" si="13">IF(CE69="","",(RANK(CE69,$CE$4:$CE$326)))</f>
        <v/>
      </c>
      <c r="DK69" s="18">
        <f t="shared" ref="DK69:DK132" si="14">IF(CV69="","",(RANK(CV69,$CV$4:$CV$326)))</f>
        <v>272</v>
      </c>
      <c r="DL69" s="18">
        <f t="shared" si="9"/>
        <v>19</v>
      </c>
      <c r="DM69" s="18" t="str">
        <f t="shared" si="10"/>
        <v/>
      </c>
      <c r="DN69" s="18">
        <f t="shared" si="11"/>
        <v>19</v>
      </c>
      <c r="DO69" s="18">
        <v>313</v>
      </c>
      <c r="DP69" s="18">
        <v>124</v>
      </c>
      <c r="DQ69" s="18">
        <v>313</v>
      </c>
      <c r="DR69" s="18">
        <v>23</v>
      </c>
      <c r="DS69" s="18">
        <v>14</v>
      </c>
      <c r="DT69" s="18">
        <v>23</v>
      </c>
      <c r="DU69" s="18" t="s">
        <v>55</v>
      </c>
    </row>
    <row r="70" spans="54:125" x14ac:dyDescent="0.25">
      <c r="BB70" s="7">
        <v>67</v>
      </c>
      <c r="BC70" s="7" t="s">
        <v>332</v>
      </c>
      <c r="BD70" s="23" t="s">
        <v>55</v>
      </c>
      <c r="BE70" s="26">
        <v>388537788</v>
      </c>
      <c r="BF70" s="25" t="s">
        <v>296</v>
      </c>
      <c r="BG70" s="7">
        <v>46</v>
      </c>
      <c r="BH70" s="7" t="s">
        <v>320</v>
      </c>
      <c r="BI70" s="7" t="s">
        <v>368</v>
      </c>
      <c r="BJ70" s="7">
        <v>38</v>
      </c>
      <c r="BK70" s="9">
        <v>66.666289473684216</v>
      </c>
      <c r="BL70" s="9">
        <v>59.034789473684214</v>
      </c>
      <c r="BM70" s="9">
        <v>62.850877192982459</v>
      </c>
      <c r="BN70" s="9">
        <v>125.70107894736839</v>
      </c>
      <c r="BO70" s="7">
        <v>2</v>
      </c>
      <c r="BP70" s="7">
        <v>14</v>
      </c>
      <c r="BQ70" s="7">
        <v>12</v>
      </c>
      <c r="BR70" s="7">
        <v>10</v>
      </c>
      <c r="BS70" s="7">
        <v>0</v>
      </c>
      <c r="BT70" s="7">
        <v>0</v>
      </c>
      <c r="BU70" s="7">
        <v>2</v>
      </c>
      <c r="BV70" s="7">
        <v>18</v>
      </c>
      <c r="BW70" s="7">
        <v>15</v>
      </c>
      <c r="BX70" s="7">
        <v>3</v>
      </c>
      <c r="BY70" s="7">
        <v>0</v>
      </c>
      <c r="BZ70" s="7">
        <v>0</v>
      </c>
      <c r="CA70" s="7">
        <v>81</v>
      </c>
      <c r="CB70" s="9">
        <v>65.678716049382714</v>
      </c>
      <c r="CC70" s="9">
        <v>54.279518518518536</v>
      </c>
      <c r="CD70" s="9">
        <v>59.979423868312743</v>
      </c>
      <c r="CE70" s="9">
        <v>119.95823456790117</v>
      </c>
      <c r="CF70" s="7">
        <v>4</v>
      </c>
      <c r="CG70" s="7">
        <v>25</v>
      </c>
      <c r="CH70" s="7">
        <v>40</v>
      </c>
      <c r="CI70" s="7">
        <v>12</v>
      </c>
      <c r="CJ70" s="7">
        <v>0</v>
      </c>
      <c r="CK70" s="7">
        <v>0</v>
      </c>
      <c r="CL70" s="7">
        <v>6</v>
      </c>
      <c r="CM70" s="7">
        <v>47</v>
      </c>
      <c r="CN70" s="7">
        <v>25</v>
      </c>
      <c r="CO70" s="7">
        <v>3</v>
      </c>
      <c r="CP70" s="7">
        <v>0</v>
      </c>
      <c r="CQ70" s="7">
        <v>0</v>
      </c>
      <c r="CR70" s="7">
        <v>119</v>
      </c>
      <c r="CS70" s="9">
        <v>65.99407563025207</v>
      </c>
      <c r="CT70" s="9">
        <v>55.798008403361337</v>
      </c>
      <c r="CU70" s="9">
        <v>60.896358543417378</v>
      </c>
      <c r="CV70" s="9">
        <v>121.79208403361338</v>
      </c>
      <c r="CW70" s="7">
        <v>6</v>
      </c>
      <c r="CX70" s="7">
        <v>39</v>
      </c>
      <c r="CY70" s="7">
        <v>52</v>
      </c>
      <c r="CZ70" s="7">
        <v>22</v>
      </c>
      <c r="DA70" s="7">
        <v>0</v>
      </c>
      <c r="DB70" s="7">
        <v>0</v>
      </c>
      <c r="DC70" s="7">
        <v>8</v>
      </c>
      <c r="DD70" s="7">
        <v>65</v>
      </c>
      <c r="DE70" s="7">
        <v>40</v>
      </c>
      <c r="DF70" s="7">
        <v>6</v>
      </c>
      <c r="DG70" s="7">
        <v>0</v>
      </c>
      <c r="DH70" s="7">
        <v>0</v>
      </c>
      <c r="DI70" s="18">
        <f t="shared" si="12"/>
        <v>92</v>
      </c>
      <c r="DJ70" s="18">
        <f t="shared" si="13"/>
        <v>56</v>
      </c>
      <c r="DK70" s="18">
        <f t="shared" si="14"/>
        <v>117</v>
      </c>
      <c r="DL70" s="18">
        <f t="shared" si="9"/>
        <v>11</v>
      </c>
      <c r="DM70" s="18">
        <f t="shared" si="10"/>
        <v>9</v>
      </c>
      <c r="DN70" s="18">
        <f t="shared" si="11"/>
        <v>13</v>
      </c>
      <c r="DO70" s="18">
        <v>313</v>
      </c>
      <c r="DP70" s="18">
        <v>124</v>
      </c>
      <c r="DQ70" s="18">
        <v>313</v>
      </c>
      <c r="DR70" s="18">
        <v>23</v>
      </c>
      <c r="DS70" s="18">
        <v>14</v>
      </c>
      <c r="DT70" s="18">
        <v>23</v>
      </c>
      <c r="DU70" s="18" t="s">
        <v>55</v>
      </c>
    </row>
    <row r="71" spans="54:125" x14ac:dyDescent="0.25">
      <c r="BB71" s="7">
        <v>68</v>
      </c>
      <c r="BC71" s="7" t="s">
        <v>332</v>
      </c>
      <c r="BD71" s="23" t="s">
        <v>55</v>
      </c>
      <c r="BE71" s="26">
        <v>100682682</v>
      </c>
      <c r="BF71" s="25" t="s">
        <v>72</v>
      </c>
      <c r="BG71" s="7">
        <v>54</v>
      </c>
      <c r="BH71" s="7" t="s">
        <v>320</v>
      </c>
      <c r="BI71" s="7" t="s">
        <v>367</v>
      </c>
      <c r="BJ71" s="7">
        <v>168</v>
      </c>
      <c r="BK71" s="9">
        <v>76.864738095238067</v>
      </c>
      <c r="BL71" s="9">
        <v>72.221851190476158</v>
      </c>
      <c r="BM71" s="9">
        <v>74.543650793650841</v>
      </c>
      <c r="BN71" s="9">
        <v>149.08658928571427</v>
      </c>
      <c r="BO71" s="7">
        <v>2</v>
      </c>
      <c r="BP71" s="7">
        <v>25</v>
      </c>
      <c r="BQ71" s="7">
        <v>69</v>
      </c>
      <c r="BR71" s="7">
        <v>72</v>
      </c>
      <c r="BS71" s="7">
        <v>0</v>
      </c>
      <c r="BT71" s="7">
        <v>5</v>
      </c>
      <c r="BU71" s="7">
        <v>1</v>
      </c>
      <c r="BV71" s="7">
        <v>36</v>
      </c>
      <c r="BW71" s="7">
        <v>81</v>
      </c>
      <c r="BX71" s="7">
        <v>50</v>
      </c>
      <c r="BY71" s="7">
        <v>0</v>
      </c>
      <c r="BZ71" s="7">
        <v>0</v>
      </c>
      <c r="CA71" s="7"/>
      <c r="CB71" s="9"/>
      <c r="CC71" s="9"/>
      <c r="CD71" s="9"/>
      <c r="CE71" s="9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>
        <v>168</v>
      </c>
      <c r="CS71" s="9">
        <v>76.864738095238067</v>
      </c>
      <c r="CT71" s="9">
        <v>72.221851190476158</v>
      </c>
      <c r="CU71" s="9">
        <v>74.543650793650841</v>
      </c>
      <c r="CV71" s="9">
        <v>149.08658928571427</v>
      </c>
      <c r="CW71" s="7">
        <v>2</v>
      </c>
      <c r="CX71" s="7">
        <v>25</v>
      </c>
      <c r="CY71" s="7">
        <v>69</v>
      </c>
      <c r="CZ71" s="7">
        <v>72</v>
      </c>
      <c r="DA71" s="7">
        <v>0</v>
      </c>
      <c r="DB71" s="7">
        <v>5</v>
      </c>
      <c r="DC71" s="7">
        <v>1</v>
      </c>
      <c r="DD71" s="7">
        <v>36</v>
      </c>
      <c r="DE71" s="7">
        <v>81</v>
      </c>
      <c r="DF71" s="7">
        <v>50</v>
      </c>
      <c r="DG71" s="7">
        <v>0</v>
      </c>
      <c r="DH71" s="7">
        <v>0</v>
      </c>
      <c r="DI71" s="18">
        <f t="shared" si="12"/>
        <v>3</v>
      </c>
      <c r="DJ71" s="18" t="str">
        <f t="shared" si="13"/>
        <v/>
      </c>
      <c r="DK71" s="18">
        <f t="shared" si="14"/>
        <v>2</v>
      </c>
      <c r="DL71" s="18">
        <f t="shared" si="9"/>
        <v>1</v>
      </c>
      <c r="DM71" s="18" t="str">
        <f t="shared" si="10"/>
        <v/>
      </c>
      <c r="DN71" s="18">
        <f t="shared" si="11"/>
        <v>1</v>
      </c>
      <c r="DO71" s="18">
        <v>313</v>
      </c>
      <c r="DP71" s="18">
        <v>124</v>
      </c>
      <c r="DQ71" s="18">
        <v>313</v>
      </c>
      <c r="DR71" s="18">
        <v>23</v>
      </c>
      <c r="DS71" s="18">
        <v>14</v>
      </c>
      <c r="DT71" s="18">
        <v>23</v>
      </c>
      <c r="DU71" s="18" t="s">
        <v>55</v>
      </c>
    </row>
    <row r="72" spans="54:125" x14ac:dyDescent="0.25">
      <c r="BB72" s="7">
        <v>69</v>
      </c>
      <c r="BC72" s="7" t="s">
        <v>332</v>
      </c>
      <c r="BD72" s="23" t="s">
        <v>55</v>
      </c>
      <c r="BE72" s="26">
        <v>449714993</v>
      </c>
      <c r="BF72" s="25" t="s">
        <v>60</v>
      </c>
      <c r="BG72" s="7">
        <v>111</v>
      </c>
      <c r="BH72" s="7" t="s">
        <v>320</v>
      </c>
      <c r="BI72" s="7" t="s">
        <v>368</v>
      </c>
      <c r="BJ72" s="7">
        <v>88</v>
      </c>
      <c r="BK72" s="9">
        <v>64.658738636363651</v>
      </c>
      <c r="BL72" s="9">
        <v>64.658784090909094</v>
      </c>
      <c r="BM72" s="9">
        <v>64.659090909090892</v>
      </c>
      <c r="BN72" s="9">
        <v>129.31752272727266</v>
      </c>
      <c r="BO72" s="7">
        <v>10</v>
      </c>
      <c r="BP72" s="7">
        <v>24</v>
      </c>
      <c r="BQ72" s="7">
        <v>30</v>
      </c>
      <c r="BR72" s="7">
        <v>24</v>
      </c>
      <c r="BS72" s="7">
        <v>0</v>
      </c>
      <c r="BT72" s="7">
        <v>1</v>
      </c>
      <c r="BU72" s="7">
        <v>3</v>
      </c>
      <c r="BV72" s="7">
        <v>33</v>
      </c>
      <c r="BW72" s="7">
        <v>35</v>
      </c>
      <c r="BX72" s="7">
        <v>17</v>
      </c>
      <c r="BY72" s="7">
        <v>0</v>
      </c>
      <c r="BZ72" s="7">
        <v>1</v>
      </c>
      <c r="CA72" s="7">
        <v>45</v>
      </c>
      <c r="CB72" s="9">
        <v>68.147844444444459</v>
      </c>
      <c r="CC72" s="9">
        <v>60.888488888888901</v>
      </c>
      <c r="CD72" s="9">
        <v>64.518518518518505</v>
      </c>
      <c r="CE72" s="9">
        <v>129.03633333333335</v>
      </c>
      <c r="CF72" s="7">
        <v>0</v>
      </c>
      <c r="CG72" s="7">
        <v>11</v>
      </c>
      <c r="CH72" s="7">
        <v>27</v>
      </c>
      <c r="CI72" s="7">
        <v>7</v>
      </c>
      <c r="CJ72" s="7">
        <v>0</v>
      </c>
      <c r="CK72" s="7">
        <v>0</v>
      </c>
      <c r="CL72" s="7">
        <v>2</v>
      </c>
      <c r="CM72" s="7">
        <v>19</v>
      </c>
      <c r="CN72" s="7">
        <v>18</v>
      </c>
      <c r="CO72" s="7">
        <v>6</v>
      </c>
      <c r="CP72" s="7">
        <v>0</v>
      </c>
      <c r="CQ72" s="7">
        <v>0</v>
      </c>
      <c r="CR72" s="7">
        <v>133</v>
      </c>
      <c r="CS72" s="9">
        <v>65.839263157894706</v>
      </c>
      <c r="CT72" s="9">
        <v>63.383120300751862</v>
      </c>
      <c r="CU72" s="9">
        <v>64.611528822055107</v>
      </c>
      <c r="CV72" s="9">
        <v>129.22238345864648</v>
      </c>
      <c r="CW72" s="7">
        <v>10</v>
      </c>
      <c r="CX72" s="7">
        <v>35</v>
      </c>
      <c r="CY72" s="7">
        <v>57</v>
      </c>
      <c r="CZ72" s="7">
        <v>31</v>
      </c>
      <c r="DA72" s="7">
        <v>0</v>
      </c>
      <c r="DB72" s="7">
        <v>1</v>
      </c>
      <c r="DC72" s="7">
        <v>5</v>
      </c>
      <c r="DD72" s="7">
        <v>52</v>
      </c>
      <c r="DE72" s="7">
        <v>53</v>
      </c>
      <c r="DF72" s="7">
        <v>23</v>
      </c>
      <c r="DG72" s="7">
        <v>0</v>
      </c>
      <c r="DH72" s="7">
        <v>1</v>
      </c>
      <c r="DI72" s="18">
        <f t="shared" si="12"/>
        <v>61</v>
      </c>
      <c r="DJ72" s="18">
        <f t="shared" si="13"/>
        <v>21</v>
      </c>
      <c r="DK72" s="18">
        <f t="shared" si="14"/>
        <v>50</v>
      </c>
      <c r="DL72" s="18">
        <f t="shared" si="9"/>
        <v>8</v>
      </c>
      <c r="DM72" s="18">
        <f t="shared" si="10"/>
        <v>4</v>
      </c>
      <c r="DN72" s="18">
        <f t="shared" si="11"/>
        <v>6</v>
      </c>
      <c r="DO72" s="18">
        <v>313</v>
      </c>
      <c r="DP72" s="18">
        <v>124</v>
      </c>
      <c r="DQ72" s="18">
        <v>313</v>
      </c>
      <c r="DR72" s="18">
        <v>23</v>
      </c>
      <c r="DS72" s="18">
        <v>14</v>
      </c>
      <c r="DT72" s="18">
        <v>23</v>
      </c>
      <c r="DU72" s="18" t="s">
        <v>55</v>
      </c>
    </row>
    <row r="73" spans="54:125" x14ac:dyDescent="0.25">
      <c r="BB73" s="7">
        <v>70</v>
      </c>
      <c r="BC73" s="7" t="s">
        <v>332</v>
      </c>
      <c r="BD73" s="23" t="s">
        <v>55</v>
      </c>
      <c r="BE73" s="26">
        <v>757787527</v>
      </c>
      <c r="BF73" s="25" t="s">
        <v>65</v>
      </c>
      <c r="BG73" s="7">
        <v>151</v>
      </c>
      <c r="BH73" s="7" t="s">
        <v>320</v>
      </c>
      <c r="BI73" s="7" t="s">
        <v>368</v>
      </c>
      <c r="BJ73" s="7">
        <v>32</v>
      </c>
      <c r="BK73" s="9">
        <v>76.04134375000001</v>
      </c>
      <c r="BL73" s="9">
        <v>67.7079375</v>
      </c>
      <c r="BM73" s="9">
        <v>71.874999999999986</v>
      </c>
      <c r="BN73" s="9">
        <v>143.74928125</v>
      </c>
      <c r="BO73" s="7">
        <v>0</v>
      </c>
      <c r="BP73" s="7">
        <v>7</v>
      </c>
      <c r="BQ73" s="7">
        <v>9</v>
      </c>
      <c r="BR73" s="7">
        <v>16</v>
      </c>
      <c r="BS73" s="7">
        <v>0</v>
      </c>
      <c r="BT73" s="7">
        <v>1</v>
      </c>
      <c r="BU73" s="7">
        <v>1</v>
      </c>
      <c r="BV73" s="7">
        <v>10</v>
      </c>
      <c r="BW73" s="7">
        <v>14</v>
      </c>
      <c r="BX73" s="7">
        <v>7</v>
      </c>
      <c r="BY73" s="7">
        <v>0</v>
      </c>
      <c r="BZ73" s="7">
        <v>0</v>
      </c>
      <c r="CA73" s="7">
        <v>23</v>
      </c>
      <c r="CB73" s="9">
        <v>62.318565217391303</v>
      </c>
      <c r="CC73" s="9">
        <v>49.854739130434787</v>
      </c>
      <c r="CD73" s="9">
        <v>56.08695652173914</v>
      </c>
      <c r="CE73" s="9">
        <v>112.17330434782608</v>
      </c>
      <c r="CF73" s="7">
        <v>0</v>
      </c>
      <c r="CG73" s="7">
        <v>11</v>
      </c>
      <c r="CH73" s="7">
        <v>11</v>
      </c>
      <c r="CI73" s="7">
        <v>1</v>
      </c>
      <c r="CJ73" s="7">
        <v>0</v>
      </c>
      <c r="CK73" s="7">
        <v>0</v>
      </c>
      <c r="CL73" s="7">
        <v>5</v>
      </c>
      <c r="CM73" s="7">
        <v>12</v>
      </c>
      <c r="CN73" s="7">
        <v>5</v>
      </c>
      <c r="CO73" s="7">
        <v>1</v>
      </c>
      <c r="CP73" s="7">
        <v>0</v>
      </c>
      <c r="CQ73" s="7">
        <v>0</v>
      </c>
      <c r="CR73" s="7">
        <v>55</v>
      </c>
      <c r="CS73" s="9">
        <v>70.30272727272731</v>
      </c>
      <c r="CT73" s="9">
        <v>60.242054545454579</v>
      </c>
      <c r="CU73" s="9">
        <v>65.272727272727266</v>
      </c>
      <c r="CV73" s="9">
        <v>130.5447818181818</v>
      </c>
      <c r="CW73" s="7">
        <v>0</v>
      </c>
      <c r="CX73" s="7">
        <v>18</v>
      </c>
      <c r="CY73" s="7">
        <v>20</v>
      </c>
      <c r="CZ73" s="7">
        <v>17</v>
      </c>
      <c r="DA73" s="7">
        <v>0</v>
      </c>
      <c r="DB73" s="7">
        <v>1</v>
      </c>
      <c r="DC73" s="7">
        <v>6</v>
      </c>
      <c r="DD73" s="7">
        <v>22</v>
      </c>
      <c r="DE73" s="7">
        <v>19</v>
      </c>
      <c r="DF73" s="7">
        <v>8</v>
      </c>
      <c r="DG73" s="7">
        <v>0</v>
      </c>
      <c r="DH73" s="7">
        <v>0</v>
      </c>
      <c r="DI73" s="18">
        <f t="shared" si="12"/>
        <v>4</v>
      </c>
      <c r="DJ73" s="18">
        <f t="shared" si="13"/>
        <v>91</v>
      </c>
      <c r="DK73" s="18">
        <f t="shared" si="14"/>
        <v>44</v>
      </c>
      <c r="DL73" s="18">
        <f t="shared" si="9"/>
        <v>2</v>
      </c>
      <c r="DM73" s="18">
        <f t="shared" si="10"/>
        <v>11</v>
      </c>
      <c r="DN73" s="18">
        <f t="shared" si="11"/>
        <v>5</v>
      </c>
      <c r="DO73" s="18">
        <v>313</v>
      </c>
      <c r="DP73" s="18">
        <v>124</v>
      </c>
      <c r="DQ73" s="18">
        <v>313</v>
      </c>
      <c r="DR73" s="18">
        <v>23</v>
      </c>
      <c r="DS73" s="18">
        <v>14</v>
      </c>
      <c r="DT73" s="18">
        <v>23</v>
      </c>
      <c r="DU73" s="18" t="s">
        <v>55</v>
      </c>
    </row>
    <row r="74" spans="54:125" x14ac:dyDescent="0.25">
      <c r="BB74" s="7">
        <v>71</v>
      </c>
      <c r="BC74" s="7" t="s">
        <v>332</v>
      </c>
      <c r="BD74" s="23" t="s">
        <v>55</v>
      </c>
      <c r="BE74" s="26">
        <v>534244208</v>
      </c>
      <c r="BF74" s="25" t="s">
        <v>69</v>
      </c>
      <c r="BG74" s="7">
        <v>159</v>
      </c>
      <c r="BH74" s="7" t="s">
        <v>320</v>
      </c>
      <c r="BI74" s="7" t="s">
        <v>367</v>
      </c>
      <c r="BJ74" s="7">
        <v>143</v>
      </c>
      <c r="BK74" s="9">
        <v>67.622069930069898</v>
      </c>
      <c r="BL74" s="9">
        <v>58.810832167832174</v>
      </c>
      <c r="BM74" s="9">
        <v>63.21678321678322</v>
      </c>
      <c r="BN74" s="9">
        <v>126.43290209790202</v>
      </c>
      <c r="BO74" s="7">
        <v>12</v>
      </c>
      <c r="BP74" s="7">
        <v>35</v>
      </c>
      <c r="BQ74" s="7">
        <v>53</v>
      </c>
      <c r="BR74" s="7">
        <v>43</v>
      </c>
      <c r="BS74" s="7">
        <v>0</v>
      </c>
      <c r="BT74" s="7">
        <v>5</v>
      </c>
      <c r="BU74" s="7">
        <v>19</v>
      </c>
      <c r="BV74" s="7">
        <v>54</v>
      </c>
      <c r="BW74" s="7">
        <v>48</v>
      </c>
      <c r="BX74" s="7">
        <v>22</v>
      </c>
      <c r="BY74" s="7">
        <v>0</v>
      </c>
      <c r="BZ74" s="7">
        <v>0</v>
      </c>
      <c r="CA74" s="7"/>
      <c r="CB74" s="9"/>
      <c r="CC74" s="9"/>
      <c r="CD74" s="9"/>
      <c r="CE74" s="9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>
        <v>143</v>
      </c>
      <c r="CS74" s="9">
        <v>67.622069930069898</v>
      </c>
      <c r="CT74" s="9">
        <v>58.810832167832174</v>
      </c>
      <c r="CU74" s="9">
        <v>63.21678321678322</v>
      </c>
      <c r="CV74" s="9">
        <v>126.43290209790202</v>
      </c>
      <c r="CW74" s="7">
        <v>12</v>
      </c>
      <c r="CX74" s="7">
        <v>35</v>
      </c>
      <c r="CY74" s="7">
        <v>53</v>
      </c>
      <c r="CZ74" s="7">
        <v>43</v>
      </c>
      <c r="DA74" s="7">
        <v>0</v>
      </c>
      <c r="DB74" s="7">
        <v>5</v>
      </c>
      <c r="DC74" s="7">
        <v>19</v>
      </c>
      <c r="DD74" s="7">
        <v>54</v>
      </c>
      <c r="DE74" s="7">
        <v>48</v>
      </c>
      <c r="DF74" s="7">
        <v>22</v>
      </c>
      <c r="DG74" s="7">
        <v>0</v>
      </c>
      <c r="DH74" s="7">
        <v>0</v>
      </c>
      <c r="DI74" s="18">
        <f t="shared" si="12"/>
        <v>84</v>
      </c>
      <c r="DJ74" s="18" t="str">
        <f t="shared" si="13"/>
        <v/>
      </c>
      <c r="DK74" s="18">
        <f t="shared" si="14"/>
        <v>73</v>
      </c>
      <c r="DL74" s="18">
        <f t="shared" si="9"/>
        <v>10</v>
      </c>
      <c r="DM74" s="18" t="str">
        <f t="shared" si="10"/>
        <v/>
      </c>
      <c r="DN74" s="18">
        <f t="shared" si="11"/>
        <v>8</v>
      </c>
      <c r="DO74" s="18">
        <v>313</v>
      </c>
      <c r="DP74" s="18">
        <v>124</v>
      </c>
      <c r="DQ74" s="18">
        <v>313</v>
      </c>
      <c r="DR74" s="18">
        <v>23</v>
      </c>
      <c r="DS74" s="18">
        <v>14</v>
      </c>
      <c r="DT74" s="18">
        <v>23</v>
      </c>
      <c r="DU74" s="18" t="s">
        <v>55</v>
      </c>
    </row>
    <row r="75" spans="54:125" x14ac:dyDescent="0.25">
      <c r="BB75" s="7">
        <v>72</v>
      </c>
      <c r="BC75" s="7" t="s">
        <v>332</v>
      </c>
      <c r="BD75" s="23" t="s">
        <v>55</v>
      </c>
      <c r="BE75" s="26">
        <v>138043367</v>
      </c>
      <c r="BF75" s="25" t="s">
        <v>71</v>
      </c>
      <c r="BG75" s="7">
        <v>164</v>
      </c>
      <c r="BH75" s="7" t="s">
        <v>320</v>
      </c>
      <c r="BI75" s="7" t="s">
        <v>368</v>
      </c>
      <c r="BJ75" s="7">
        <v>43</v>
      </c>
      <c r="BK75" s="9">
        <v>69.302023255813978</v>
      </c>
      <c r="BL75" s="9">
        <v>67.984162790697695</v>
      </c>
      <c r="BM75" s="9">
        <v>68.643410852713174</v>
      </c>
      <c r="BN75" s="9">
        <v>137.2861860465116</v>
      </c>
      <c r="BO75" s="7">
        <v>0</v>
      </c>
      <c r="BP75" s="7">
        <v>12</v>
      </c>
      <c r="BQ75" s="7">
        <v>21</v>
      </c>
      <c r="BR75" s="7">
        <v>10</v>
      </c>
      <c r="BS75" s="7">
        <v>0</v>
      </c>
      <c r="BT75" s="7">
        <v>1</v>
      </c>
      <c r="BU75" s="7">
        <v>2</v>
      </c>
      <c r="BV75" s="7">
        <v>10</v>
      </c>
      <c r="BW75" s="7">
        <v>21</v>
      </c>
      <c r="BX75" s="7">
        <v>10</v>
      </c>
      <c r="BY75" s="7">
        <v>0</v>
      </c>
      <c r="BZ75" s="7">
        <v>1</v>
      </c>
      <c r="CA75" s="7">
        <v>79</v>
      </c>
      <c r="CB75" s="9">
        <v>69.662063291139276</v>
      </c>
      <c r="CC75" s="9">
        <v>62.573455696202551</v>
      </c>
      <c r="CD75" s="9">
        <v>66.118143459915615</v>
      </c>
      <c r="CE75" s="9">
        <v>132.23551898734175</v>
      </c>
      <c r="CF75" s="7">
        <v>3</v>
      </c>
      <c r="CG75" s="7">
        <v>18</v>
      </c>
      <c r="CH75" s="7">
        <v>36</v>
      </c>
      <c r="CI75" s="7">
        <v>22</v>
      </c>
      <c r="CJ75" s="7">
        <v>0</v>
      </c>
      <c r="CK75" s="7">
        <v>0</v>
      </c>
      <c r="CL75" s="7">
        <v>4</v>
      </c>
      <c r="CM75" s="7">
        <v>33</v>
      </c>
      <c r="CN75" s="7">
        <v>31</v>
      </c>
      <c r="CO75" s="7">
        <v>11</v>
      </c>
      <c r="CP75" s="7">
        <v>0</v>
      </c>
      <c r="CQ75" s="7">
        <v>0</v>
      </c>
      <c r="CR75" s="7">
        <v>122</v>
      </c>
      <c r="CS75" s="9">
        <v>69.535163934426222</v>
      </c>
      <c r="CT75" s="9">
        <v>64.480508196721303</v>
      </c>
      <c r="CU75" s="9">
        <v>67.008196721311478</v>
      </c>
      <c r="CV75" s="9">
        <v>134.01567213114745</v>
      </c>
      <c r="CW75" s="7">
        <v>3</v>
      </c>
      <c r="CX75" s="7">
        <v>30</v>
      </c>
      <c r="CY75" s="7">
        <v>57</v>
      </c>
      <c r="CZ75" s="7">
        <v>32</v>
      </c>
      <c r="DA75" s="7">
        <v>0</v>
      </c>
      <c r="DB75" s="7">
        <v>1</v>
      </c>
      <c r="DC75" s="7">
        <v>6</v>
      </c>
      <c r="DD75" s="7">
        <v>43</v>
      </c>
      <c r="DE75" s="7">
        <v>52</v>
      </c>
      <c r="DF75" s="7">
        <v>21</v>
      </c>
      <c r="DG75" s="7">
        <v>0</v>
      </c>
      <c r="DH75" s="7">
        <v>1</v>
      </c>
      <c r="DI75" s="18">
        <f t="shared" si="12"/>
        <v>21</v>
      </c>
      <c r="DJ75" s="18">
        <f t="shared" si="13"/>
        <v>14</v>
      </c>
      <c r="DK75" s="18">
        <f t="shared" si="14"/>
        <v>28</v>
      </c>
      <c r="DL75" s="18">
        <f t="shared" si="9"/>
        <v>3</v>
      </c>
      <c r="DM75" s="18">
        <f t="shared" si="10"/>
        <v>3</v>
      </c>
      <c r="DN75" s="18">
        <f t="shared" si="11"/>
        <v>3</v>
      </c>
      <c r="DO75" s="18">
        <v>313</v>
      </c>
      <c r="DP75" s="18">
        <v>124</v>
      </c>
      <c r="DQ75" s="18">
        <v>313</v>
      </c>
      <c r="DR75" s="18">
        <v>23</v>
      </c>
      <c r="DS75" s="18">
        <v>14</v>
      </c>
      <c r="DT75" s="18">
        <v>23</v>
      </c>
      <c r="DU75" s="18" t="s">
        <v>55</v>
      </c>
    </row>
    <row r="76" spans="54:125" x14ac:dyDescent="0.25">
      <c r="BB76" s="7">
        <v>73</v>
      </c>
      <c r="BC76" s="7" t="s">
        <v>332</v>
      </c>
      <c r="BD76" s="23" t="s">
        <v>55</v>
      </c>
      <c r="BE76" s="26">
        <v>421113845</v>
      </c>
      <c r="BF76" s="25" t="s">
        <v>62</v>
      </c>
      <c r="BG76" s="7">
        <v>211</v>
      </c>
      <c r="BH76" s="7" t="s">
        <v>320</v>
      </c>
      <c r="BI76" s="7" t="s">
        <v>368</v>
      </c>
      <c r="BJ76" s="7">
        <v>109</v>
      </c>
      <c r="BK76" s="9">
        <v>67.98133027522934</v>
      </c>
      <c r="BL76" s="9">
        <v>65.565412844036686</v>
      </c>
      <c r="BM76" s="9">
        <v>66.773700305810451</v>
      </c>
      <c r="BN76" s="9">
        <v>133.54674311926607</v>
      </c>
      <c r="BO76" s="7">
        <v>7</v>
      </c>
      <c r="BP76" s="7">
        <v>29</v>
      </c>
      <c r="BQ76" s="7">
        <v>43</v>
      </c>
      <c r="BR76" s="7">
        <v>30</v>
      </c>
      <c r="BS76" s="7">
        <v>2</v>
      </c>
      <c r="BT76" s="7">
        <v>1</v>
      </c>
      <c r="BU76" s="7">
        <v>10</v>
      </c>
      <c r="BV76" s="7">
        <v>26</v>
      </c>
      <c r="BW76" s="7">
        <v>51</v>
      </c>
      <c r="BX76" s="7">
        <v>22</v>
      </c>
      <c r="BY76" s="7">
        <v>0</v>
      </c>
      <c r="BZ76" s="7">
        <v>1</v>
      </c>
      <c r="CA76" s="7">
        <v>73</v>
      </c>
      <c r="CB76" s="9">
        <v>63.28738356164385</v>
      </c>
      <c r="CC76" s="9">
        <v>56.803328767123325</v>
      </c>
      <c r="CD76" s="9">
        <v>60.045662100456632</v>
      </c>
      <c r="CE76" s="9">
        <v>120.09071232876711</v>
      </c>
      <c r="CF76" s="7">
        <v>5</v>
      </c>
      <c r="CG76" s="7">
        <v>21</v>
      </c>
      <c r="CH76" s="7">
        <v>40</v>
      </c>
      <c r="CI76" s="7">
        <v>7</v>
      </c>
      <c r="CJ76" s="7">
        <v>0</v>
      </c>
      <c r="CK76" s="7">
        <v>0</v>
      </c>
      <c r="CL76" s="7">
        <v>10</v>
      </c>
      <c r="CM76" s="7">
        <v>27</v>
      </c>
      <c r="CN76" s="7">
        <v>31</v>
      </c>
      <c r="CO76" s="7">
        <v>5</v>
      </c>
      <c r="CP76" s="7">
        <v>0</v>
      </c>
      <c r="CQ76" s="7">
        <v>0</v>
      </c>
      <c r="CR76" s="7">
        <v>182</v>
      </c>
      <c r="CS76" s="9">
        <v>66.098593406593409</v>
      </c>
      <c r="CT76" s="9">
        <v>62.050950549450512</v>
      </c>
      <c r="CU76" s="9">
        <v>64.075091575091605</v>
      </c>
      <c r="CV76" s="9">
        <v>128.14954395604391</v>
      </c>
      <c r="CW76" s="7">
        <v>12</v>
      </c>
      <c r="CX76" s="7">
        <v>50</v>
      </c>
      <c r="CY76" s="7">
        <v>83</v>
      </c>
      <c r="CZ76" s="7">
        <v>37</v>
      </c>
      <c r="DA76" s="7">
        <v>2</v>
      </c>
      <c r="DB76" s="7">
        <v>1</v>
      </c>
      <c r="DC76" s="7">
        <v>20</v>
      </c>
      <c r="DD76" s="7">
        <v>53</v>
      </c>
      <c r="DE76" s="7">
        <v>82</v>
      </c>
      <c r="DF76" s="7">
        <v>27</v>
      </c>
      <c r="DG76" s="7">
        <v>0</v>
      </c>
      <c r="DH76" s="7">
        <v>1</v>
      </c>
      <c r="DI76" s="18">
        <f t="shared" si="12"/>
        <v>37</v>
      </c>
      <c r="DJ76" s="18">
        <f t="shared" si="13"/>
        <v>55</v>
      </c>
      <c r="DK76" s="18">
        <f t="shared" si="14"/>
        <v>61</v>
      </c>
      <c r="DL76" s="18">
        <f t="shared" si="9"/>
        <v>5</v>
      </c>
      <c r="DM76" s="18">
        <f t="shared" si="10"/>
        <v>8</v>
      </c>
      <c r="DN76" s="18">
        <f t="shared" si="11"/>
        <v>7</v>
      </c>
      <c r="DO76" s="18">
        <v>313</v>
      </c>
      <c r="DP76" s="18">
        <v>124</v>
      </c>
      <c r="DQ76" s="18">
        <v>313</v>
      </c>
      <c r="DR76" s="18">
        <v>23</v>
      </c>
      <c r="DS76" s="18">
        <v>14</v>
      </c>
      <c r="DT76" s="18">
        <v>23</v>
      </c>
      <c r="DU76" s="18" t="s">
        <v>55</v>
      </c>
    </row>
    <row r="77" spans="54:125" x14ac:dyDescent="0.25">
      <c r="BB77" s="7">
        <v>74</v>
      </c>
      <c r="BC77" s="7" t="s">
        <v>332</v>
      </c>
      <c r="BD77" s="23" t="s">
        <v>55</v>
      </c>
      <c r="BE77" s="26">
        <v>662937603</v>
      </c>
      <c r="BF77" s="25" t="s">
        <v>66</v>
      </c>
      <c r="BG77" s="7">
        <v>240</v>
      </c>
      <c r="BH77" s="7" t="s">
        <v>320</v>
      </c>
      <c r="BI77" s="7" t="s">
        <v>368</v>
      </c>
      <c r="BJ77" s="7">
        <v>154</v>
      </c>
      <c r="BK77" s="9">
        <v>65.216090909090852</v>
      </c>
      <c r="BL77" s="9">
        <v>62.965032467532396</v>
      </c>
      <c r="BM77" s="9">
        <v>64.090909090909108</v>
      </c>
      <c r="BN77" s="9">
        <v>128.1811233766233</v>
      </c>
      <c r="BO77" s="7">
        <v>8</v>
      </c>
      <c r="BP77" s="7">
        <v>45</v>
      </c>
      <c r="BQ77" s="7">
        <v>67</v>
      </c>
      <c r="BR77" s="7">
        <v>34</v>
      </c>
      <c r="BS77" s="7">
        <v>1</v>
      </c>
      <c r="BT77" s="7">
        <v>2</v>
      </c>
      <c r="BU77" s="7">
        <v>10</v>
      </c>
      <c r="BV77" s="7">
        <v>59</v>
      </c>
      <c r="BW77" s="7">
        <v>66</v>
      </c>
      <c r="BX77" s="7">
        <v>19</v>
      </c>
      <c r="BY77" s="7">
        <v>0</v>
      </c>
      <c r="BZ77" s="7">
        <v>0</v>
      </c>
      <c r="CA77" s="7">
        <v>37</v>
      </c>
      <c r="CB77" s="9">
        <v>57.47713513513515</v>
      </c>
      <c r="CC77" s="9">
        <v>51.351054054054046</v>
      </c>
      <c r="CD77" s="9">
        <v>54.414414414414424</v>
      </c>
      <c r="CE77" s="9">
        <v>108.82818918918919</v>
      </c>
      <c r="CF77" s="7">
        <v>7</v>
      </c>
      <c r="CG77" s="7">
        <v>9</v>
      </c>
      <c r="CH77" s="7">
        <v>15</v>
      </c>
      <c r="CI77" s="7">
        <v>6</v>
      </c>
      <c r="CJ77" s="7">
        <v>0</v>
      </c>
      <c r="CK77" s="7">
        <v>0</v>
      </c>
      <c r="CL77" s="7">
        <v>6</v>
      </c>
      <c r="CM77" s="7">
        <v>22</v>
      </c>
      <c r="CN77" s="7">
        <v>5</v>
      </c>
      <c r="CO77" s="7">
        <v>4</v>
      </c>
      <c r="CP77" s="7">
        <v>0</v>
      </c>
      <c r="CQ77" s="7">
        <v>0</v>
      </c>
      <c r="CR77" s="7">
        <v>191</v>
      </c>
      <c r="CS77" s="9">
        <v>63.716921465968561</v>
      </c>
      <c r="CT77" s="9">
        <v>60.715204188481614</v>
      </c>
      <c r="CU77" s="9">
        <v>62.216404886561946</v>
      </c>
      <c r="CV77" s="9">
        <v>124.43212565445015</v>
      </c>
      <c r="CW77" s="7">
        <v>15</v>
      </c>
      <c r="CX77" s="7">
        <v>54</v>
      </c>
      <c r="CY77" s="7">
        <v>82</v>
      </c>
      <c r="CZ77" s="7">
        <v>40</v>
      </c>
      <c r="DA77" s="7">
        <v>1</v>
      </c>
      <c r="DB77" s="7">
        <v>2</v>
      </c>
      <c r="DC77" s="7">
        <v>16</v>
      </c>
      <c r="DD77" s="7">
        <v>81</v>
      </c>
      <c r="DE77" s="7">
        <v>71</v>
      </c>
      <c r="DF77" s="7">
        <v>23</v>
      </c>
      <c r="DG77" s="7">
        <v>0</v>
      </c>
      <c r="DH77" s="7">
        <v>0</v>
      </c>
      <c r="DI77" s="18">
        <f t="shared" si="12"/>
        <v>69</v>
      </c>
      <c r="DJ77" s="18">
        <f t="shared" si="13"/>
        <v>102</v>
      </c>
      <c r="DK77" s="18">
        <f t="shared" si="14"/>
        <v>90</v>
      </c>
      <c r="DL77" s="18">
        <f t="shared" si="9"/>
        <v>9</v>
      </c>
      <c r="DM77" s="18">
        <f t="shared" si="10"/>
        <v>12</v>
      </c>
      <c r="DN77" s="18">
        <f t="shared" si="11"/>
        <v>9</v>
      </c>
      <c r="DO77" s="18">
        <v>313</v>
      </c>
      <c r="DP77" s="18">
        <v>124</v>
      </c>
      <c r="DQ77" s="18">
        <v>313</v>
      </c>
      <c r="DR77" s="18">
        <v>23</v>
      </c>
      <c r="DS77" s="18">
        <v>14</v>
      </c>
      <c r="DT77" s="18">
        <v>23</v>
      </c>
      <c r="DU77" s="18" t="s">
        <v>55</v>
      </c>
    </row>
    <row r="78" spans="54:125" x14ac:dyDescent="0.25">
      <c r="BB78" s="7">
        <v>75</v>
      </c>
      <c r="BC78" s="7" t="s">
        <v>332</v>
      </c>
      <c r="BD78" s="23" t="s">
        <v>55</v>
      </c>
      <c r="BE78" s="26">
        <v>687416034</v>
      </c>
      <c r="BF78" s="25" t="s">
        <v>59</v>
      </c>
      <c r="BG78" s="7">
        <v>247</v>
      </c>
      <c r="BH78" s="7" t="s">
        <v>320</v>
      </c>
      <c r="BI78" s="7" t="s">
        <v>368</v>
      </c>
      <c r="BJ78" s="7">
        <v>66</v>
      </c>
      <c r="BK78" s="9">
        <v>64.54518181818186</v>
      </c>
      <c r="BL78" s="9">
        <v>58.282515151515184</v>
      </c>
      <c r="BM78" s="9">
        <v>61.414141414141419</v>
      </c>
      <c r="BN78" s="9">
        <v>122.82769696969694</v>
      </c>
      <c r="BO78" s="7">
        <v>4</v>
      </c>
      <c r="BP78" s="7">
        <v>23</v>
      </c>
      <c r="BQ78" s="7">
        <v>25</v>
      </c>
      <c r="BR78" s="7">
        <v>14</v>
      </c>
      <c r="BS78" s="7">
        <v>0</v>
      </c>
      <c r="BT78" s="7">
        <v>1</v>
      </c>
      <c r="BU78" s="7">
        <v>7</v>
      </c>
      <c r="BV78" s="7">
        <v>30</v>
      </c>
      <c r="BW78" s="7">
        <v>18</v>
      </c>
      <c r="BX78" s="7">
        <v>11</v>
      </c>
      <c r="BY78" s="7">
        <v>0</v>
      </c>
      <c r="BZ78" s="7">
        <v>0</v>
      </c>
      <c r="CA78" s="7">
        <v>38</v>
      </c>
      <c r="CB78" s="9">
        <v>62.455815789473682</v>
      </c>
      <c r="CC78" s="9">
        <v>60.175078947368412</v>
      </c>
      <c r="CD78" s="9">
        <v>61.315789473684198</v>
      </c>
      <c r="CE78" s="9">
        <v>122.63089473684207</v>
      </c>
      <c r="CF78" s="7">
        <v>2</v>
      </c>
      <c r="CG78" s="7">
        <v>16</v>
      </c>
      <c r="CH78" s="7">
        <v>19</v>
      </c>
      <c r="CI78" s="7">
        <v>1</v>
      </c>
      <c r="CJ78" s="7">
        <v>0</v>
      </c>
      <c r="CK78" s="7">
        <v>0</v>
      </c>
      <c r="CL78" s="7">
        <v>3</v>
      </c>
      <c r="CM78" s="7">
        <v>12</v>
      </c>
      <c r="CN78" s="7">
        <v>20</v>
      </c>
      <c r="CO78" s="7">
        <v>3</v>
      </c>
      <c r="CP78" s="7">
        <v>0</v>
      </c>
      <c r="CQ78" s="7">
        <v>0</v>
      </c>
      <c r="CR78" s="7">
        <v>104</v>
      </c>
      <c r="CS78" s="9">
        <v>63.781759615384615</v>
      </c>
      <c r="CT78" s="9">
        <v>58.974028846153864</v>
      </c>
      <c r="CU78" s="9">
        <v>61.378205128205117</v>
      </c>
      <c r="CV78" s="9">
        <v>122.75578846153836</v>
      </c>
      <c r="CW78" s="7">
        <v>6</v>
      </c>
      <c r="CX78" s="7">
        <v>39</v>
      </c>
      <c r="CY78" s="7">
        <v>44</v>
      </c>
      <c r="CZ78" s="7">
        <v>15</v>
      </c>
      <c r="DA78" s="7">
        <v>0</v>
      </c>
      <c r="DB78" s="7">
        <v>1</v>
      </c>
      <c r="DC78" s="7">
        <v>10</v>
      </c>
      <c r="DD78" s="7">
        <v>42</v>
      </c>
      <c r="DE78" s="7">
        <v>38</v>
      </c>
      <c r="DF78" s="7">
        <v>14</v>
      </c>
      <c r="DG78" s="7">
        <v>0</v>
      </c>
      <c r="DH78" s="7">
        <v>0</v>
      </c>
      <c r="DI78" s="18">
        <f t="shared" si="12"/>
        <v>107</v>
      </c>
      <c r="DJ78" s="18">
        <f t="shared" si="13"/>
        <v>41</v>
      </c>
      <c r="DK78" s="18">
        <f t="shared" si="14"/>
        <v>105</v>
      </c>
      <c r="DL78" s="18">
        <f t="shared" si="9"/>
        <v>13</v>
      </c>
      <c r="DM78" s="18">
        <f t="shared" si="10"/>
        <v>6</v>
      </c>
      <c r="DN78" s="18">
        <f t="shared" si="11"/>
        <v>11</v>
      </c>
      <c r="DO78" s="18">
        <v>313</v>
      </c>
      <c r="DP78" s="18">
        <v>124</v>
      </c>
      <c r="DQ78" s="18">
        <v>313</v>
      </c>
      <c r="DR78" s="18">
        <v>23</v>
      </c>
      <c r="DS78" s="18">
        <v>14</v>
      </c>
      <c r="DT78" s="18">
        <v>23</v>
      </c>
      <c r="DU78" s="18" t="s">
        <v>55</v>
      </c>
    </row>
    <row r="79" spans="54:125" x14ac:dyDescent="0.25">
      <c r="BB79" s="7">
        <v>76</v>
      </c>
      <c r="BC79" s="7" t="s">
        <v>332</v>
      </c>
      <c r="BD79" s="23" t="s">
        <v>55</v>
      </c>
      <c r="BE79" s="26">
        <v>119723300</v>
      </c>
      <c r="BF79" s="25" t="s">
        <v>57</v>
      </c>
      <c r="BG79" s="7">
        <v>266</v>
      </c>
      <c r="BH79" s="7" t="s">
        <v>320</v>
      </c>
      <c r="BI79" s="7" t="s">
        <v>367</v>
      </c>
      <c r="BJ79" s="7">
        <v>50</v>
      </c>
      <c r="BK79" s="9">
        <v>65.199720000000028</v>
      </c>
      <c r="BL79" s="9">
        <v>55.332920000000037</v>
      </c>
      <c r="BM79" s="9">
        <v>60.266666666666673</v>
      </c>
      <c r="BN79" s="9">
        <v>120.53264000000003</v>
      </c>
      <c r="BO79" s="7">
        <v>3</v>
      </c>
      <c r="BP79" s="7">
        <v>17</v>
      </c>
      <c r="BQ79" s="7">
        <v>19</v>
      </c>
      <c r="BR79" s="7">
        <v>11</v>
      </c>
      <c r="BS79" s="7">
        <v>0</v>
      </c>
      <c r="BT79" s="7">
        <v>1</v>
      </c>
      <c r="BU79" s="7">
        <v>5</v>
      </c>
      <c r="BV79" s="7">
        <v>24</v>
      </c>
      <c r="BW79" s="7">
        <v>19</v>
      </c>
      <c r="BX79" s="7">
        <v>2</v>
      </c>
      <c r="BY79" s="7">
        <v>0</v>
      </c>
      <c r="BZ79" s="7">
        <v>0</v>
      </c>
      <c r="CA79" s="7"/>
      <c r="CB79" s="9"/>
      <c r="CC79" s="9"/>
      <c r="CD79" s="9"/>
      <c r="CE79" s="9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>
        <v>50</v>
      </c>
      <c r="CS79" s="9">
        <v>65.199720000000028</v>
      </c>
      <c r="CT79" s="9">
        <v>55.332920000000037</v>
      </c>
      <c r="CU79" s="9">
        <v>60.266666666666673</v>
      </c>
      <c r="CV79" s="9">
        <v>120.53264000000003</v>
      </c>
      <c r="CW79" s="7">
        <v>3</v>
      </c>
      <c r="CX79" s="7">
        <v>17</v>
      </c>
      <c r="CY79" s="7">
        <v>19</v>
      </c>
      <c r="CZ79" s="7">
        <v>11</v>
      </c>
      <c r="DA79" s="7">
        <v>0</v>
      </c>
      <c r="DB79" s="7">
        <v>1</v>
      </c>
      <c r="DC79" s="7">
        <v>5</v>
      </c>
      <c r="DD79" s="7">
        <v>24</v>
      </c>
      <c r="DE79" s="7">
        <v>19</v>
      </c>
      <c r="DF79" s="7">
        <v>2</v>
      </c>
      <c r="DG79" s="7">
        <v>0</v>
      </c>
      <c r="DH79" s="7">
        <v>0</v>
      </c>
      <c r="DI79" s="18">
        <f t="shared" si="12"/>
        <v>135</v>
      </c>
      <c r="DJ79" s="18" t="str">
        <f t="shared" si="13"/>
        <v/>
      </c>
      <c r="DK79" s="18">
        <f t="shared" si="14"/>
        <v>126</v>
      </c>
      <c r="DL79" s="18">
        <f t="shared" si="9"/>
        <v>15</v>
      </c>
      <c r="DM79" s="18" t="str">
        <f t="shared" si="10"/>
        <v/>
      </c>
      <c r="DN79" s="18">
        <f t="shared" si="11"/>
        <v>14</v>
      </c>
      <c r="DO79" s="18">
        <v>313</v>
      </c>
      <c r="DP79" s="18">
        <v>124</v>
      </c>
      <c r="DQ79" s="18">
        <v>313</v>
      </c>
      <c r="DR79" s="18">
        <v>23</v>
      </c>
      <c r="DS79" s="18">
        <v>14</v>
      </c>
      <c r="DT79" s="18">
        <v>23</v>
      </c>
      <c r="DU79" s="18" t="s">
        <v>55</v>
      </c>
    </row>
    <row r="80" spans="54:125" x14ac:dyDescent="0.25">
      <c r="BB80" s="7">
        <v>77</v>
      </c>
      <c r="BC80" s="7" t="s">
        <v>332</v>
      </c>
      <c r="BD80" s="23" t="s">
        <v>55</v>
      </c>
      <c r="BE80" s="26">
        <v>814401406</v>
      </c>
      <c r="BF80" s="25" t="s">
        <v>337</v>
      </c>
      <c r="BG80" s="7">
        <v>268</v>
      </c>
      <c r="BH80" s="7" t="s">
        <v>325</v>
      </c>
      <c r="BI80" s="7" t="s">
        <v>368</v>
      </c>
      <c r="BJ80" s="7"/>
      <c r="BK80" s="9"/>
      <c r="BL80" s="9"/>
      <c r="BM80" s="9"/>
      <c r="BN80" s="9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9"/>
      <c r="CC80" s="9"/>
      <c r="CD80" s="9"/>
      <c r="CE80" s="9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9"/>
      <c r="CT80" s="9"/>
      <c r="CU80" s="9"/>
      <c r="CV80" s="9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18" t="str">
        <f t="shared" si="12"/>
        <v/>
      </c>
      <c r="DJ80" s="18" t="str">
        <f t="shared" si="13"/>
        <v/>
      </c>
      <c r="DK80" s="18" t="str">
        <f t="shared" si="14"/>
        <v/>
      </c>
      <c r="DL80" s="18" t="str">
        <f t="shared" si="9"/>
        <v/>
      </c>
      <c r="DM80" s="18" t="str">
        <f t="shared" si="10"/>
        <v/>
      </c>
      <c r="DN80" s="18" t="str">
        <f t="shared" si="11"/>
        <v/>
      </c>
      <c r="DO80" s="18">
        <v>313</v>
      </c>
      <c r="DP80" s="18">
        <v>124</v>
      </c>
      <c r="DQ80" s="18">
        <v>313</v>
      </c>
      <c r="DR80" s="18">
        <v>23</v>
      </c>
      <c r="DS80" s="18">
        <v>14</v>
      </c>
      <c r="DT80" s="18">
        <v>23</v>
      </c>
      <c r="DU80" s="18" t="s">
        <v>55</v>
      </c>
    </row>
    <row r="81" spans="54:125" x14ac:dyDescent="0.25">
      <c r="BB81" s="7">
        <v>78</v>
      </c>
      <c r="BC81" s="7" t="s">
        <v>332</v>
      </c>
      <c r="BD81" s="23" t="s">
        <v>55</v>
      </c>
      <c r="BE81" s="26">
        <v>920972354</v>
      </c>
      <c r="BF81" s="25" t="s">
        <v>338</v>
      </c>
      <c r="BG81" s="7" t="s">
        <v>328</v>
      </c>
      <c r="BH81" s="7" t="s">
        <v>328</v>
      </c>
      <c r="BI81" s="7" t="s">
        <v>368</v>
      </c>
      <c r="BJ81" s="7"/>
      <c r="BK81" s="9"/>
      <c r="BL81" s="9"/>
      <c r="BM81" s="9"/>
      <c r="BN81" s="9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9"/>
      <c r="CC81" s="9"/>
      <c r="CD81" s="9"/>
      <c r="CE81" s="9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9"/>
      <c r="CT81" s="9"/>
      <c r="CU81" s="9"/>
      <c r="CV81" s="9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18" t="str">
        <f t="shared" si="12"/>
        <v/>
      </c>
      <c r="DJ81" s="18" t="str">
        <f t="shared" si="13"/>
        <v/>
      </c>
      <c r="DK81" s="18" t="str">
        <f t="shared" si="14"/>
        <v/>
      </c>
      <c r="DL81" s="18" t="str">
        <f t="shared" si="9"/>
        <v/>
      </c>
      <c r="DM81" s="18" t="str">
        <f t="shared" si="10"/>
        <v/>
      </c>
      <c r="DN81" s="18" t="str">
        <f t="shared" si="11"/>
        <v/>
      </c>
      <c r="DO81" s="18">
        <v>313</v>
      </c>
      <c r="DP81" s="18">
        <v>124</v>
      </c>
      <c r="DQ81" s="18">
        <v>313</v>
      </c>
      <c r="DR81" s="18">
        <v>23</v>
      </c>
      <c r="DS81" s="18">
        <v>14</v>
      </c>
      <c r="DT81" s="18">
        <v>23</v>
      </c>
      <c r="DU81" s="18" t="s">
        <v>55</v>
      </c>
    </row>
    <row r="82" spans="54:125" x14ac:dyDescent="0.25">
      <c r="BB82" s="7">
        <v>79</v>
      </c>
      <c r="BC82" s="7" t="s">
        <v>332</v>
      </c>
      <c r="BD82" s="23" t="s">
        <v>74</v>
      </c>
      <c r="BE82" s="26">
        <v>222994854</v>
      </c>
      <c r="BF82" s="25" t="s">
        <v>340</v>
      </c>
      <c r="BG82" s="7">
        <v>2</v>
      </c>
      <c r="BH82" s="7" t="s">
        <v>323</v>
      </c>
      <c r="BI82" s="7"/>
      <c r="BJ82" s="7"/>
      <c r="BK82" s="9"/>
      <c r="BL82" s="9"/>
      <c r="BM82" s="9"/>
      <c r="BN82" s="9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9"/>
      <c r="CC82" s="9"/>
      <c r="CD82" s="9"/>
      <c r="CE82" s="9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9"/>
      <c r="CT82" s="9"/>
      <c r="CU82" s="9"/>
      <c r="CV82" s="9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18" t="str">
        <f t="shared" si="12"/>
        <v/>
      </c>
      <c r="DJ82" s="18" t="str">
        <f t="shared" si="13"/>
        <v/>
      </c>
      <c r="DK82" s="18" t="str">
        <f t="shared" si="14"/>
        <v/>
      </c>
      <c r="DL82" s="18" t="str">
        <f t="shared" ref="DL82:DL107" si="15">IF(BN82="","",(RANK(BN82,$BN$82:$BN$107)))</f>
        <v/>
      </c>
      <c r="DM82" s="18" t="str">
        <f t="shared" ref="DM82:DM107" si="16">IF(CE82="","",(RANK(CE82,$CE$82:$CE$107)))</f>
        <v/>
      </c>
      <c r="DN82" s="18" t="str">
        <f t="shared" ref="DN82:DN107" si="17">IF(CV82="","",(RANK(CV82,$CV$82:$CV$107)))</f>
        <v/>
      </c>
      <c r="DO82" s="18">
        <v>313</v>
      </c>
      <c r="DP82" s="18">
        <v>124</v>
      </c>
      <c r="DQ82" s="18">
        <v>313</v>
      </c>
      <c r="DR82" s="18">
        <v>26</v>
      </c>
      <c r="DS82" s="18">
        <v>11</v>
      </c>
      <c r="DT82" s="18">
        <v>26</v>
      </c>
      <c r="DU82" s="18" t="s">
        <v>74</v>
      </c>
    </row>
    <row r="83" spans="54:125" x14ac:dyDescent="0.25">
      <c r="BB83" s="7">
        <v>80</v>
      </c>
      <c r="BC83" s="7" t="s">
        <v>332</v>
      </c>
      <c r="BD83" s="23" t="s">
        <v>74</v>
      </c>
      <c r="BE83" s="26">
        <v>521241153</v>
      </c>
      <c r="BF83" s="25" t="s">
        <v>341</v>
      </c>
      <c r="BG83" s="7">
        <v>3</v>
      </c>
      <c r="BH83" s="7" t="s">
        <v>325</v>
      </c>
      <c r="BI83" s="7" t="s">
        <v>368</v>
      </c>
      <c r="BJ83" s="7"/>
      <c r="BK83" s="9"/>
      <c r="BL83" s="9"/>
      <c r="BM83" s="9"/>
      <c r="BN83" s="9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9"/>
      <c r="CC83" s="9"/>
      <c r="CD83" s="9"/>
      <c r="CE83" s="9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9"/>
      <c r="CT83" s="9"/>
      <c r="CU83" s="9"/>
      <c r="CV83" s="9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18" t="str">
        <f t="shared" si="12"/>
        <v/>
      </c>
      <c r="DJ83" s="18" t="str">
        <f t="shared" si="13"/>
        <v/>
      </c>
      <c r="DK83" s="18" t="str">
        <f t="shared" si="14"/>
        <v/>
      </c>
      <c r="DL83" s="18" t="str">
        <f t="shared" si="15"/>
        <v/>
      </c>
      <c r="DM83" s="18" t="str">
        <f t="shared" si="16"/>
        <v/>
      </c>
      <c r="DN83" s="18" t="str">
        <f t="shared" si="17"/>
        <v/>
      </c>
      <c r="DO83" s="18">
        <v>313</v>
      </c>
      <c r="DP83" s="18">
        <v>124</v>
      </c>
      <c r="DQ83" s="18">
        <v>313</v>
      </c>
      <c r="DR83" s="18">
        <v>26</v>
      </c>
      <c r="DS83" s="18">
        <v>11</v>
      </c>
      <c r="DT83" s="18">
        <v>26</v>
      </c>
      <c r="DU83" s="18" t="s">
        <v>74</v>
      </c>
    </row>
    <row r="84" spans="54:125" x14ac:dyDescent="0.25">
      <c r="BB84" s="7">
        <v>81</v>
      </c>
      <c r="BC84" s="7" t="s">
        <v>332</v>
      </c>
      <c r="BD84" s="23" t="s">
        <v>74</v>
      </c>
      <c r="BE84" s="26"/>
      <c r="BF84" s="25"/>
      <c r="BG84" s="7">
        <v>8</v>
      </c>
      <c r="BH84" s="7" t="s">
        <v>321</v>
      </c>
      <c r="BI84" s="7"/>
      <c r="BJ84" s="7"/>
      <c r="BK84" s="9"/>
      <c r="BL84" s="9"/>
      <c r="BM84" s="9"/>
      <c r="BN84" s="9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9"/>
      <c r="CC84" s="9"/>
      <c r="CD84" s="9"/>
      <c r="CE84" s="9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9"/>
      <c r="CT84" s="9"/>
      <c r="CU84" s="9"/>
      <c r="CV84" s="9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18" t="str">
        <f t="shared" si="12"/>
        <v/>
      </c>
      <c r="DJ84" s="18" t="str">
        <f t="shared" si="13"/>
        <v/>
      </c>
      <c r="DK84" s="18" t="str">
        <f t="shared" si="14"/>
        <v/>
      </c>
      <c r="DL84" s="18" t="str">
        <f t="shared" si="15"/>
        <v/>
      </c>
      <c r="DM84" s="18" t="str">
        <f t="shared" si="16"/>
        <v/>
      </c>
      <c r="DN84" s="18" t="str">
        <f t="shared" si="17"/>
        <v/>
      </c>
      <c r="DO84" s="18">
        <v>313</v>
      </c>
      <c r="DP84" s="18">
        <v>124</v>
      </c>
      <c r="DQ84" s="18">
        <v>313</v>
      </c>
      <c r="DR84" s="18">
        <v>26</v>
      </c>
      <c r="DS84" s="18">
        <v>11</v>
      </c>
      <c r="DT84" s="18">
        <v>26</v>
      </c>
      <c r="DU84" s="18" t="s">
        <v>74</v>
      </c>
    </row>
    <row r="85" spans="54:125" x14ac:dyDescent="0.25">
      <c r="BB85" s="7">
        <v>82</v>
      </c>
      <c r="BC85" s="7" t="s">
        <v>332</v>
      </c>
      <c r="BD85" s="23" t="s">
        <v>74</v>
      </c>
      <c r="BE85" s="26">
        <v>950613140</v>
      </c>
      <c r="BF85" s="25" t="s">
        <v>95</v>
      </c>
      <c r="BG85" s="7">
        <v>10</v>
      </c>
      <c r="BH85" s="7" t="s">
        <v>320</v>
      </c>
      <c r="BI85" s="7" t="s">
        <v>368</v>
      </c>
      <c r="BJ85" s="7">
        <v>78</v>
      </c>
      <c r="BK85" s="9">
        <v>71.666371794871822</v>
      </c>
      <c r="BL85" s="9">
        <v>58.803102564102595</v>
      </c>
      <c r="BM85" s="9">
        <v>65.235042735042725</v>
      </c>
      <c r="BN85" s="9">
        <v>130.46947435897431</v>
      </c>
      <c r="BO85" s="7">
        <v>1</v>
      </c>
      <c r="BP85" s="7">
        <v>19</v>
      </c>
      <c r="BQ85" s="7">
        <v>34</v>
      </c>
      <c r="BR85" s="7">
        <v>24</v>
      </c>
      <c r="BS85" s="7">
        <v>0</v>
      </c>
      <c r="BT85" s="7">
        <v>0</v>
      </c>
      <c r="BU85" s="7">
        <v>5</v>
      </c>
      <c r="BV85" s="7">
        <v>37</v>
      </c>
      <c r="BW85" s="7">
        <v>29</v>
      </c>
      <c r="BX85" s="7">
        <v>7</v>
      </c>
      <c r="BY85" s="7">
        <v>0</v>
      </c>
      <c r="BZ85" s="7">
        <v>0</v>
      </c>
      <c r="CA85" s="7">
        <v>81</v>
      </c>
      <c r="CB85" s="9">
        <v>66.748604938271612</v>
      </c>
      <c r="CC85" s="9">
        <v>56.872123456790156</v>
      </c>
      <c r="CD85" s="9">
        <v>61.810699588477384</v>
      </c>
      <c r="CE85" s="9">
        <v>123.62072839506169</v>
      </c>
      <c r="CF85" s="7">
        <v>5</v>
      </c>
      <c r="CG85" s="7">
        <v>19</v>
      </c>
      <c r="CH85" s="7">
        <v>43</v>
      </c>
      <c r="CI85" s="7">
        <v>14</v>
      </c>
      <c r="CJ85" s="7">
        <v>0</v>
      </c>
      <c r="CK85" s="7">
        <v>0</v>
      </c>
      <c r="CL85" s="7">
        <v>7</v>
      </c>
      <c r="CM85" s="7">
        <v>41</v>
      </c>
      <c r="CN85" s="7">
        <v>25</v>
      </c>
      <c r="CO85" s="7">
        <v>8</v>
      </c>
      <c r="CP85" s="7">
        <v>0</v>
      </c>
      <c r="CQ85" s="7">
        <v>0</v>
      </c>
      <c r="CR85" s="7">
        <v>159</v>
      </c>
      <c r="CS85" s="9">
        <v>69.16109433962265</v>
      </c>
      <c r="CT85" s="9">
        <v>57.819396226415058</v>
      </c>
      <c r="CU85" s="9">
        <v>63.490566037735846</v>
      </c>
      <c r="CV85" s="9">
        <v>126.98049056603764</v>
      </c>
      <c r="CW85" s="7">
        <v>6</v>
      </c>
      <c r="CX85" s="7">
        <v>38</v>
      </c>
      <c r="CY85" s="7">
        <v>77</v>
      </c>
      <c r="CZ85" s="7">
        <v>38</v>
      </c>
      <c r="DA85" s="7">
        <v>0</v>
      </c>
      <c r="DB85" s="7">
        <v>0</v>
      </c>
      <c r="DC85" s="7">
        <v>12</v>
      </c>
      <c r="DD85" s="7">
        <v>78</v>
      </c>
      <c r="DE85" s="7">
        <v>54</v>
      </c>
      <c r="DF85" s="7">
        <v>15</v>
      </c>
      <c r="DG85" s="7">
        <v>0</v>
      </c>
      <c r="DH85" s="7">
        <v>0</v>
      </c>
      <c r="DI85" s="18">
        <f t="shared" si="12"/>
        <v>53</v>
      </c>
      <c r="DJ85" s="18">
        <f t="shared" si="13"/>
        <v>36</v>
      </c>
      <c r="DK85" s="18">
        <f t="shared" si="14"/>
        <v>68</v>
      </c>
      <c r="DL85" s="18">
        <f t="shared" si="15"/>
        <v>7</v>
      </c>
      <c r="DM85" s="18">
        <f t="shared" si="16"/>
        <v>6</v>
      </c>
      <c r="DN85" s="18">
        <f t="shared" si="17"/>
        <v>11</v>
      </c>
      <c r="DO85" s="18">
        <v>313</v>
      </c>
      <c r="DP85" s="18">
        <v>124</v>
      </c>
      <c r="DQ85" s="18">
        <v>313</v>
      </c>
      <c r="DR85" s="18">
        <v>26</v>
      </c>
      <c r="DS85" s="18">
        <v>11</v>
      </c>
      <c r="DT85" s="18">
        <v>26</v>
      </c>
      <c r="DU85" s="18" t="s">
        <v>74</v>
      </c>
    </row>
    <row r="86" spans="54:125" x14ac:dyDescent="0.25">
      <c r="BB86" s="7">
        <v>83</v>
      </c>
      <c r="BC86" s="7" t="s">
        <v>332</v>
      </c>
      <c r="BD86" s="23" t="s">
        <v>74</v>
      </c>
      <c r="BE86" s="26">
        <v>694329559</v>
      </c>
      <c r="BF86" s="25" t="s">
        <v>79</v>
      </c>
      <c r="BG86" s="7">
        <v>12</v>
      </c>
      <c r="BH86" s="7" t="s">
        <v>320</v>
      </c>
      <c r="BI86" s="7" t="s">
        <v>367</v>
      </c>
      <c r="BJ86" s="7">
        <v>146</v>
      </c>
      <c r="BK86" s="9">
        <v>66.32386986301367</v>
      </c>
      <c r="BL86" s="9">
        <v>63.858109589041078</v>
      </c>
      <c r="BM86" s="9">
        <v>65.091324200913249</v>
      </c>
      <c r="BN86" s="9">
        <v>130.18197945205472</v>
      </c>
      <c r="BO86" s="7">
        <v>11</v>
      </c>
      <c r="BP86" s="7">
        <v>42</v>
      </c>
      <c r="BQ86" s="7">
        <v>57</v>
      </c>
      <c r="BR86" s="7">
        <v>36</v>
      </c>
      <c r="BS86" s="7">
        <v>1</v>
      </c>
      <c r="BT86" s="7">
        <v>1</v>
      </c>
      <c r="BU86" s="7">
        <v>12</v>
      </c>
      <c r="BV86" s="7">
        <v>44</v>
      </c>
      <c r="BW86" s="7">
        <v>56</v>
      </c>
      <c r="BX86" s="7">
        <v>34</v>
      </c>
      <c r="BY86" s="7">
        <v>0</v>
      </c>
      <c r="BZ86" s="7">
        <v>0</v>
      </c>
      <c r="CA86" s="7"/>
      <c r="CB86" s="9"/>
      <c r="CC86" s="9"/>
      <c r="CD86" s="9"/>
      <c r="CE86" s="9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>
        <v>146</v>
      </c>
      <c r="CS86" s="9">
        <v>66.32386986301367</v>
      </c>
      <c r="CT86" s="9">
        <v>63.858109589041078</v>
      </c>
      <c r="CU86" s="9">
        <v>65.091324200913249</v>
      </c>
      <c r="CV86" s="9">
        <v>130.18197945205472</v>
      </c>
      <c r="CW86" s="7">
        <v>11</v>
      </c>
      <c r="CX86" s="7">
        <v>42</v>
      </c>
      <c r="CY86" s="7">
        <v>57</v>
      </c>
      <c r="CZ86" s="7">
        <v>36</v>
      </c>
      <c r="DA86" s="7">
        <v>1</v>
      </c>
      <c r="DB86" s="7">
        <v>1</v>
      </c>
      <c r="DC86" s="7">
        <v>12</v>
      </c>
      <c r="DD86" s="7">
        <v>44</v>
      </c>
      <c r="DE86" s="7">
        <v>56</v>
      </c>
      <c r="DF86" s="7">
        <v>34</v>
      </c>
      <c r="DG86" s="7">
        <v>0</v>
      </c>
      <c r="DH86" s="7">
        <v>0</v>
      </c>
      <c r="DI86" s="18">
        <f t="shared" si="12"/>
        <v>59</v>
      </c>
      <c r="DJ86" s="18" t="str">
        <f t="shared" si="13"/>
        <v/>
      </c>
      <c r="DK86" s="18">
        <f t="shared" si="14"/>
        <v>46</v>
      </c>
      <c r="DL86" s="18">
        <f t="shared" si="15"/>
        <v>9</v>
      </c>
      <c r="DM86" s="18" t="str">
        <f t="shared" si="16"/>
        <v/>
      </c>
      <c r="DN86" s="18">
        <f t="shared" si="17"/>
        <v>6</v>
      </c>
      <c r="DO86" s="18">
        <v>313</v>
      </c>
      <c r="DP86" s="18">
        <v>124</v>
      </c>
      <c r="DQ86" s="18">
        <v>313</v>
      </c>
      <c r="DR86" s="18">
        <v>26</v>
      </c>
      <c r="DS86" s="18">
        <v>11</v>
      </c>
      <c r="DT86" s="18">
        <v>26</v>
      </c>
      <c r="DU86" s="18" t="s">
        <v>74</v>
      </c>
    </row>
    <row r="87" spans="54:125" x14ac:dyDescent="0.25">
      <c r="BB87" s="7">
        <v>84</v>
      </c>
      <c r="BC87" s="7" t="s">
        <v>332</v>
      </c>
      <c r="BD87" s="23" t="s">
        <v>74</v>
      </c>
      <c r="BE87" s="26">
        <v>818931898</v>
      </c>
      <c r="BF87" s="25" t="s">
        <v>93</v>
      </c>
      <c r="BG87" s="7">
        <v>32</v>
      </c>
      <c r="BH87" s="7" t="s">
        <v>320</v>
      </c>
      <c r="BI87" s="7" t="s">
        <v>368</v>
      </c>
      <c r="BJ87" s="7">
        <v>108</v>
      </c>
      <c r="BK87" s="9">
        <v>67.900879629629614</v>
      </c>
      <c r="BL87" s="9">
        <v>63.734222222222201</v>
      </c>
      <c r="BM87" s="9">
        <v>65.817901234567884</v>
      </c>
      <c r="BN87" s="9">
        <v>131.63510185185174</v>
      </c>
      <c r="BO87" s="7">
        <v>8</v>
      </c>
      <c r="BP87" s="7">
        <v>27</v>
      </c>
      <c r="BQ87" s="7">
        <v>41</v>
      </c>
      <c r="BR87" s="7">
        <v>32</v>
      </c>
      <c r="BS87" s="7">
        <v>0</v>
      </c>
      <c r="BT87" s="7">
        <v>1</v>
      </c>
      <c r="BU87" s="7">
        <v>12</v>
      </c>
      <c r="BV87" s="7">
        <v>32</v>
      </c>
      <c r="BW87" s="7">
        <v>37</v>
      </c>
      <c r="BX87" s="7">
        <v>27</v>
      </c>
      <c r="BY87" s="7">
        <v>0</v>
      </c>
      <c r="BZ87" s="7">
        <v>0</v>
      </c>
      <c r="CA87" s="7">
        <v>38</v>
      </c>
      <c r="CB87" s="9">
        <v>61.841815789473699</v>
      </c>
      <c r="CC87" s="9">
        <v>54.385605263157878</v>
      </c>
      <c r="CD87" s="9">
        <v>58.114035087719301</v>
      </c>
      <c r="CE87" s="9">
        <v>116.22742105263157</v>
      </c>
      <c r="CF87" s="7">
        <v>3</v>
      </c>
      <c r="CG87" s="7">
        <v>16</v>
      </c>
      <c r="CH87" s="7">
        <v>12</v>
      </c>
      <c r="CI87" s="7">
        <v>7</v>
      </c>
      <c r="CJ87" s="7">
        <v>0</v>
      </c>
      <c r="CK87" s="7">
        <v>0</v>
      </c>
      <c r="CL87" s="7">
        <v>5</v>
      </c>
      <c r="CM87" s="7">
        <v>17</v>
      </c>
      <c r="CN87" s="7">
        <v>16</v>
      </c>
      <c r="CO87" s="7">
        <v>0</v>
      </c>
      <c r="CP87" s="7">
        <v>0</v>
      </c>
      <c r="CQ87" s="7">
        <v>0</v>
      </c>
      <c r="CR87" s="7">
        <v>146</v>
      </c>
      <c r="CS87" s="9">
        <v>66.323863013698627</v>
      </c>
      <c r="CT87" s="9">
        <v>61.301020547945157</v>
      </c>
      <c r="CU87" s="9">
        <v>63.81278538812785</v>
      </c>
      <c r="CV87" s="9">
        <v>127.62488356164374</v>
      </c>
      <c r="CW87" s="7">
        <v>11</v>
      </c>
      <c r="CX87" s="7">
        <v>43</v>
      </c>
      <c r="CY87" s="7">
        <v>53</v>
      </c>
      <c r="CZ87" s="7">
        <v>39</v>
      </c>
      <c r="DA87" s="7">
        <v>0</v>
      </c>
      <c r="DB87" s="7">
        <v>1</v>
      </c>
      <c r="DC87" s="7">
        <v>17</v>
      </c>
      <c r="DD87" s="7">
        <v>49</v>
      </c>
      <c r="DE87" s="7">
        <v>53</v>
      </c>
      <c r="DF87" s="7">
        <v>27</v>
      </c>
      <c r="DG87" s="7">
        <v>0</v>
      </c>
      <c r="DH87" s="7">
        <v>0</v>
      </c>
      <c r="DI87" s="18">
        <f t="shared" si="12"/>
        <v>46</v>
      </c>
      <c r="DJ87" s="18">
        <f t="shared" si="13"/>
        <v>76</v>
      </c>
      <c r="DK87" s="18">
        <f t="shared" si="14"/>
        <v>65</v>
      </c>
      <c r="DL87" s="18">
        <f t="shared" si="15"/>
        <v>6</v>
      </c>
      <c r="DM87" s="18">
        <f t="shared" si="16"/>
        <v>8</v>
      </c>
      <c r="DN87" s="18">
        <f t="shared" si="17"/>
        <v>9</v>
      </c>
      <c r="DO87" s="18">
        <v>313</v>
      </c>
      <c r="DP87" s="18">
        <v>124</v>
      </c>
      <c r="DQ87" s="18">
        <v>313</v>
      </c>
      <c r="DR87" s="18">
        <v>26</v>
      </c>
      <c r="DS87" s="18">
        <v>11</v>
      </c>
      <c r="DT87" s="18">
        <v>26</v>
      </c>
      <c r="DU87" s="18" t="s">
        <v>74</v>
      </c>
    </row>
    <row r="88" spans="54:125" x14ac:dyDescent="0.25">
      <c r="BB88" s="7">
        <v>85</v>
      </c>
      <c r="BC88" s="7" t="s">
        <v>332</v>
      </c>
      <c r="BD88" s="23" t="s">
        <v>74</v>
      </c>
      <c r="BE88" s="26">
        <v>964417898</v>
      </c>
      <c r="BF88" s="25" t="s">
        <v>86</v>
      </c>
      <c r="BG88" s="7">
        <v>61</v>
      </c>
      <c r="BH88" s="7" t="s">
        <v>320</v>
      </c>
      <c r="BI88" s="7" t="s">
        <v>368</v>
      </c>
      <c r="BJ88" s="7">
        <v>67</v>
      </c>
      <c r="BK88" s="9">
        <v>64.377716417910506</v>
      </c>
      <c r="BL88" s="9">
        <v>57.71107462686571</v>
      </c>
      <c r="BM88" s="9">
        <v>61.044776119402982</v>
      </c>
      <c r="BN88" s="9">
        <v>122.08879104477609</v>
      </c>
      <c r="BO88" s="7">
        <v>5</v>
      </c>
      <c r="BP88" s="7">
        <v>25</v>
      </c>
      <c r="BQ88" s="7">
        <v>19</v>
      </c>
      <c r="BR88" s="7">
        <v>18</v>
      </c>
      <c r="BS88" s="7">
        <v>0</v>
      </c>
      <c r="BT88" s="7">
        <v>1</v>
      </c>
      <c r="BU88" s="7">
        <v>5</v>
      </c>
      <c r="BV88" s="7">
        <v>31</v>
      </c>
      <c r="BW88" s="7">
        <v>22</v>
      </c>
      <c r="BX88" s="7">
        <v>9</v>
      </c>
      <c r="BY88" s="7">
        <v>0</v>
      </c>
      <c r="BZ88" s="7">
        <v>0</v>
      </c>
      <c r="CA88" s="7">
        <v>33</v>
      </c>
      <c r="CB88" s="9">
        <v>65.75718181818182</v>
      </c>
      <c r="CC88" s="9">
        <v>60.201848484848483</v>
      </c>
      <c r="CD88" s="9">
        <v>62.979797979797986</v>
      </c>
      <c r="CE88" s="9">
        <v>125.9590303030303</v>
      </c>
      <c r="CF88" s="7">
        <v>1</v>
      </c>
      <c r="CG88" s="7">
        <v>8</v>
      </c>
      <c r="CH88" s="7">
        <v>19</v>
      </c>
      <c r="CI88" s="7">
        <v>5</v>
      </c>
      <c r="CJ88" s="7">
        <v>0</v>
      </c>
      <c r="CK88" s="7">
        <v>0</v>
      </c>
      <c r="CL88" s="7">
        <v>3</v>
      </c>
      <c r="CM88" s="7">
        <v>13</v>
      </c>
      <c r="CN88" s="7">
        <v>13</v>
      </c>
      <c r="CO88" s="7">
        <v>4</v>
      </c>
      <c r="CP88" s="7">
        <v>0</v>
      </c>
      <c r="CQ88" s="7">
        <v>0</v>
      </c>
      <c r="CR88" s="7">
        <v>100</v>
      </c>
      <c r="CS88" s="9">
        <v>64.832940000000008</v>
      </c>
      <c r="CT88" s="9">
        <v>58.533030000000018</v>
      </c>
      <c r="CU88" s="9">
        <v>61.683333333333351</v>
      </c>
      <c r="CV88" s="9">
        <v>123.36596999999998</v>
      </c>
      <c r="CW88" s="7">
        <v>6</v>
      </c>
      <c r="CX88" s="7">
        <v>33</v>
      </c>
      <c r="CY88" s="7">
        <v>38</v>
      </c>
      <c r="CZ88" s="7">
        <v>23</v>
      </c>
      <c r="DA88" s="7">
        <v>0</v>
      </c>
      <c r="DB88" s="7">
        <v>1</v>
      </c>
      <c r="DC88" s="7">
        <v>8</v>
      </c>
      <c r="DD88" s="7">
        <v>44</v>
      </c>
      <c r="DE88" s="7">
        <v>35</v>
      </c>
      <c r="DF88" s="7">
        <v>13</v>
      </c>
      <c r="DG88" s="7">
        <v>0</v>
      </c>
      <c r="DH88" s="7">
        <v>0</v>
      </c>
      <c r="DI88" s="18">
        <f t="shared" si="12"/>
        <v>116</v>
      </c>
      <c r="DJ88" s="18">
        <f t="shared" si="13"/>
        <v>29</v>
      </c>
      <c r="DK88" s="18">
        <f t="shared" si="14"/>
        <v>101</v>
      </c>
      <c r="DL88" s="18">
        <f t="shared" si="15"/>
        <v>14</v>
      </c>
      <c r="DM88" s="18">
        <f t="shared" si="16"/>
        <v>3</v>
      </c>
      <c r="DN88" s="18">
        <f t="shared" si="17"/>
        <v>13</v>
      </c>
      <c r="DO88" s="18">
        <v>313</v>
      </c>
      <c r="DP88" s="18">
        <v>124</v>
      </c>
      <c r="DQ88" s="18">
        <v>313</v>
      </c>
      <c r="DR88" s="18">
        <v>26</v>
      </c>
      <c r="DS88" s="18">
        <v>11</v>
      </c>
      <c r="DT88" s="18">
        <v>26</v>
      </c>
      <c r="DU88" s="18" t="s">
        <v>74</v>
      </c>
    </row>
    <row r="89" spans="54:125" x14ac:dyDescent="0.25">
      <c r="BB89" s="7">
        <v>86</v>
      </c>
      <c r="BC89" s="7" t="s">
        <v>332</v>
      </c>
      <c r="BD89" s="23" t="s">
        <v>74</v>
      </c>
      <c r="BE89" s="26">
        <v>125219641</v>
      </c>
      <c r="BF89" s="25" t="s">
        <v>78</v>
      </c>
      <c r="BG89" s="7">
        <v>62</v>
      </c>
      <c r="BH89" s="7" t="s">
        <v>322</v>
      </c>
      <c r="BI89" s="7" t="s">
        <v>367</v>
      </c>
      <c r="BJ89" s="7">
        <v>111</v>
      </c>
      <c r="BK89" s="9">
        <v>69.729396396396382</v>
      </c>
      <c r="BL89" s="9">
        <v>65.104774774774754</v>
      </c>
      <c r="BM89" s="9">
        <v>67.417417417417425</v>
      </c>
      <c r="BN89" s="9">
        <v>134.83417117117111</v>
      </c>
      <c r="BO89" s="7">
        <v>8</v>
      </c>
      <c r="BP89" s="7">
        <v>26</v>
      </c>
      <c r="BQ89" s="7">
        <v>42</v>
      </c>
      <c r="BR89" s="7">
        <v>35</v>
      </c>
      <c r="BS89" s="7">
        <v>0</v>
      </c>
      <c r="BT89" s="7">
        <v>4</v>
      </c>
      <c r="BU89" s="7">
        <v>6</v>
      </c>
      <c r="BV89" s="7">
        <v>43</v>
      </c>
      <c r="BW89" s="7">
        <v>34</v>
      </c>
      <c r="BX89" s="7">
        <v>28</v>
      </c>
      <c r="BY89" s="7">
        <v>0</v>
      </c>
      <c r="BZ89" s="7">
        <v>0</v>
      </c>
      <c r="CA89" s="7"/>
      <c r="CB89" s="9"/>
      <c r="CC89" s="9"/>
      <c r="CD89" s="9"/>
      <c r="CE89" s="9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>
        <v>111</v>
      </c>
      <c r="CS89" s="9">
        <v>69.729396396396382</v>
      </c>
      <c r="CT89" s="9">
        <v>65.104774774774754</v>
      </c>
      <c r="CU89" s="9">
        <v>67.417417417417425</v>
      </c>
      <c r="CV89" s="9">
        <v>134.83417117117111</v>
      </c>
      <c r="CW89" s="7">
        <v>8</v>
      </c>
      <c r="CX89" s="7">
        <v>26</v>
      </c>
      <c r="CY89" s="7">
        <v>42</v>
      </c>
      <c r="CZ89" s="7">
        <v>35</v>
      </c>
      <c r="DA89" s="7">
        <v>0</v>
      </c>
      <c r="DB89" s="7">
        <v>4</v>
      </c>
      <c r="DC89" s="7">
        <v>6</v>
      </c>
      <c r="DD89" s="7">
        <v>43</v>
      </c>
      <c r="DE89" s="7">
        <v>34</v>
      </c>
      <c r="DF89" s="7">
        <v>28</v>
      </c>
      <c r="DG89" s="7">
        <v>0</v>
      </c>
      <c r="DH89" s="7">
        <v>0</v>
      </c>
      <c r="DI89" s="18">
        <f t="shared" si="12"/>
        <v>32</v>
      </c>
      <c r="DJ89" s="18" t="str">
        <f t="shared" si="13"/>
        <v/>
      </c>
      <c r="DK89" s="18">
        <f t="shared" si="14"/>
        <v>22</v>
      </c>
      <c r="DL89" s="18">
        <f t="shared" si="15"/>
        <v>5</v>
      </c>
      <c r="DM89" s="18" t="str">
        <f t="shared" si="16"/>
        <v/>
      </c>
      <c r="DN89" s="18">
        <f t="shared" si="17"/>
        <v>4</v>
      </c>
      <c r="DO89" s="18">
        <v>313</v>
      </c>
      <c r="DP89" s="18">
        <v>124</v>
      </c>
      <c r="DQ89" s="18">
        <v>313</v>
      </c>
      <c r="DR89" s="18">
        <v>26</v>
      </c>
      <c r="DS89" s="18">
        <v>11</v>
      </c>
      <c r="DT89" s="18">
        <v>26</v>
      </c>
      <c r="DU89" s="18" t="s">
        <v>74</v>
      </c>
    </row>
    <row r="90" spans="54:125" x14ac:dyDescent="0.25">
      <c r="BB90" s="7">
        <v>87</v>
      </c>
      <c r="BC90" s="7" t="s">
        <v>332</v>
      </c>
      <c r="BD90" s="23" t="s">
        <v>74</v>
      </c>
      <c r="BE90" s="26">
        <v>530509102</v>
      </c>
      <c r="BF90" s="25" t="s">
        <v>89</v>
      </c>
      <c r="BG90" s="7">
        <v>70</v>
      </c>
      <c r="BH90" s="7" t="s">
        <v>322</v>
      </c>
      <c r="BI90" s="7" t="s">
        <v>367</v>
      </c>
      <c r="BJ90" s="7">
        <v>174</v>
      </c>
      <c r="BK90" s="9">
        <v>70.919189655172346</v>
      </c>
      <c r="BL90" s="9">
        <v>71.608844827586168</v>
      </c>
      <c r="BM90" s="9">
        <v>71.264367816091948</v>
      </c>
      <c r="BN90" s="9">
        <v>142.5280344827585</v>
      </c>
      <c r="BO90" s="7">
        <v>7</v>
      </c>
      <c r="BP90" s="7">
        <v>44</v>
      </c>
      <c r="BQ90" s="7">
        <v>61</v>
      </c>
      <c r="BR90" s="7">
        <v>62</v>
      </c>
      <c r="BS90" s="7">
        <v>0</v>
      </c>
      <c r="BT90" s="7">
        <v>2</v>
      </c>
      <c r="BU90" s="7">
        <v>12</v>
      </c>
      <c r="BV90" s="7">
        <v>36</v>
      </c>
      <c r="BW90" s="7">
        <v>57</v>
      </c>
      <c r="BX90" s="7">
        <v>69</v>
      </c>
      <c r="BY90" s="7">
        <v>0</v>
      </c>
      <c r="BZ90" s="7">
        <v>3</v>
      </c>
      <c r="CA90" s="7"/>
      <c r="CB90" s="9"/>
      <c r="CC90" s="9"/>
      <c r="CD90" s="9"/>
      <c r="CE90" s="9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>
        <v>174</v>
      </c>
      <c r="CS90" s="9">
        <v>70.919189655172346</v>
      </c>
      <c r="CT90" s="9">
        <v>71.608844827586168</v>
      </c>
      <c r="CU90" s="9">
        <v>71.264367816091948</v>
      </c>
      <c r="CV90" s="9">
        <v>142.5280344827585</v>
      </c>
      <c r="CW90" s="7">
        <v>7</v>
      </c>
      <c r="CX90" s="7">
        <v>44</v>
      </c>
      <c r="CY90" s="7">
        <v>61</v>
      </c>
      <c r="CZ90" s="7">
        <v>62</v>
      </c>
      <c r="DA90" s="7">
        <v>0</v>
      </c>
      <c r="DB90" s="7">
        <v>2</v>
      </c>
      <c r="DC90" s="7">
        <v>12</v>
      </c>
      <c r="DD90" s="7">
        <v>36</v>
      </c>
      <c r="DE90" s="7">
        <v>57</v>
      </c>
      <c r="DF90" s="7">
        <v>69</v>
      </c>
      <c r="DG90" s="7">
        <v>0</v>
      </c>
      <c r="DH90" s="7">
        <v>3</v>
      </c>
      <c r="DI90" s="18">
        <f t="shared" si="12"/>
        <v>10</v>
      </c>
      <c r="DJ90" s="18" t="str">
        <f t="shared" si="13"/>
        <v/>
      </c>
      <c r="DK90" s="18">
        <f t="shared" si="14"/>
        <v>6</v>
      </c>
      <c r="DL90" s="18">
        <f t="shared" si="15"/>
        <v>2</v>
      </c>
      <c r="DM90" s="18" t="str">
        <f t="shared" si="16"/>
        <v/>
      </c>
      <c r="DN90" s="18">
        <f t="shared" si="17"/>
        <v>2</v>
      </c>
      <c r="DO90" s="18">
        <v>313</v>
      </c>
      <c r="DP90" s="18">
        <v>124</v>
      </c>
      <c r="DQ90" s="18">
        <v>313</v>
      </c>
      <c r="DR90" s="18">
        <v>26</v>
      </c>
      <c r="DS90" s="18">
        <v>11</v>
      </c>
      <c r="DT90" s="18">
        <v>26</v>
      </c>
      <c r="DU90" s="18" t="s">
        <v>74</v>
      </c>
    </row>
    <row r="91" spans="54:125" x14ac:dyDescent="0.25">
      <c r="BB91" s="7">
        <v>88</v>
      </c>
      <c r="BC91" s="7" t="s">
        <v>332</v>
      </c>
      <c r="BD91" s="23" t="s">
        <v>74</v>
      </c>
      <c r="BE91" s="26">
        <v>770351652</v>
      </c>
      <c r="BF91" s="25" t="s">
        <v>90</v>
      </c>
      <c r="BG91" s="7">
        <v>109</v>
      </c>
      <c r="BH91" s="7" t="s">
        <v>320</v>
      </c>
      <c r="BI91" s="7" t="s">
        <v>367</v>
      </c>
      <c r="BJ91" s="7">
        <v>58</v>
      </c>
      <c r="BK91" s="9">
        <v>59.88479310344831</v>
      </c>
      <c r="BL91" s="9">
        <v>52.183620689655207</v>
      </c>
      <c r="BM91" s="9">
        <v>56.034482758620705</v>
      </c>
      <c r="BN91" s="9">
        <v>112.06841379310345</v>
      </c>
      <c r="BO91" s="7">
        <v>6</v>
      </c>
      <c r="BP91" s="7">
        <v>23</v>
      </c>
      <c r="BQ91" s="7">
        <v>22</v>
      </c>
      <c r="BR91" s="7">
        <v>7</v>
      </c>
      <c r="BS91" s="7">
        <v>1</v>
      </c>
      <c r="BT91" s="7">
        <v>0</v>
      </c>
      <c r="BU91" s="7">
        <v>12</v>
      </c>
      <c r="BV91" s="7">
        <v>21</v>
      </c>
      <c r="BW91" s="7">
        <v>23</v>
      </c>
      <c r="BX91" s="7">
        <v>2</v>
      </c>
      <c r="BY91" s="7">
        <v>0</v>
      </c>
      <c r="BZ91" s="7">
        <v>0</v>
      </c>
      <c r="CA91" s="7"/>
      <c r="CB91" s="9"/>
      <c r="CC91" s="9"/>
      <c r="CD91" s="9"/>
      <c r="CE91" s="9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>
        <v>58</v>
      </c>
      <c r="CS91" s="9">
        <v>59.88479310344831</v>
      </c>
      <c r="CT91" s="9">
        <v>52.183620689655207</v>
      </c>
      <c r="CU91" s="9">
        <v>56.034482758620705</v>
      </c>
      <c r="CV91" s="9">
        <v>112.06841379310345</v>
      </c>
      <c r="CW91" s="7">
        <v>6</v>
      </c>
      <c r="CX91" s="7">
        <v>23</v>
      </c>
      <c r="CY91" s="7">
        <v>22</v>
      </c>
      <c r="CZ91" s="7">
        <v>7</v>
      </c>
      <c r="DA91" s="7">
        <v>1</v>
      </c>
      <c r="DB91" s="7">
        <v>0</v>
      </c>
      <c r="DC91" s="7">
        <v>12</v>
      </c>
      <c r="DD91" s="7">
        <v>21</v>
      </c>
      <c r="DE91" s="7">
        <v>23</v>
      </c>
      <c r="DF91" s="7">
        <v>2</v>
      </c>
      <c r="DG91" s="7">
        <v>0</v>
      </c>
      <c r="DH91" s="7">
        <v>0</v>
      </c>
      <c r="DI91" s="18">
        <f t="shared" si="12"/>
        <v>201</v>
      </c>
      <c r="DJ91" s="18" t="str">
        <f t="shared" si="13"/>
        <v/>
      </c>
      <c r="DK91" s="18">
        <f t="shared" si="14"/>
        <v>200</v>
      </c>
      <c r="DL91" s="18">
        <f t="shared" si="15"/>
        <v>18</v>
      </c>
      <c r="DM91" s="18" t="str">
        <f t="shared" si="16"/>
        <v/>
      </c>
      <c r="DN91" s="18">
        <f t="shared" si="17"/>
        <v>18</v>
      </c>
      <c r="DO91" s="18">
        <v>313</v>
      </c>
      <c r="DP91" s="18">
        <v>124</v>
      </c>
      <c r="DQ91" s="18">
        <v>313</v>
      </c>
      <c r="DR91" s="18">
        <v>26</v>
      </c>
      <c r="DS91" s="18">
        <v>11</v>
      </c>
      <c r="DT91" s="18">
        <v>26</v>
      </c>
      <c r="DU91" s="18" t="s">
        <v>74</v>
      </c>
    </row>
    <row r="92" spans="54:125" x14ac:dyDescent="0.25">
      <c r="BB92" s="7">
        <v>89</v>
      </c>
      <c r="BC92" s="7" t="s">
        <v>332</v>
      </c>
      <c r="BD92" s="23" t="s">
        <v>74</v>
      </c>
      <c r="BE92" s="26">
        <v>553750720</v>
      </c>
      <c r="BF92" s="25" t="s">
        <v>92</v>
      </c>
      <c r="BG92" s="7">
        <v>129</v>
      </c>
      <c r="BH92" s="7" t="s">
        <v>320</v>
      </c>
      <c r="BI92" s="7" t="s">
        <v>367</v>
      </c>
      <c r="BJ92" s="7">
        <v>115</v>
      </c>
      <c r="BK92" s="9">
        <v>72.98516521739127</v>
      </c>
      <c r="BL92" s="9">
        <v>65.18808695652173</v>
      </c>
      <c r="BM92" s="9">
        <v>69.08695652173914</v>
      </c>
      <c r="BN92" s="9">
        <v>138.17325217391297</v>
      </c>
      <c r="BO92" s="7">
        <v>4</v>
      </c>
      <c r="BP92" s="7">
        <v>25</v>
      </c>
      <c r="BQ92" s="7">
        <v>39</v>
      </c>
      <c r="BR92" s="7">
        <v>47</v>
      </c>
      <c r="BS92" s="7">
        <v>0</v>
      </c>
      <c r="BT92" s="7">
        <v>1</v>
      </c>
      <c r="BU92" s="7">
        <v>6</v>
      </c>
      <c r="BV92" s="7">
        <v>38</v>
      </c>
      <c r="BW92" s="7">
        <v>52</v>
      </c>
      <c r="BX92" s="7">
        <v>19</v>
      </c>
      <c r="BY92" s="7">
        <v>0</v>
      </c>
      <c r="BZ92" s="7">
        <v>0</v>
      </c>
      <c r="CA92" s="7"/>
      <c r="CB92" s="9"/>
      <c r="CC92" s="9"/>
      <c r="CD92" s="9"/>
      <c r="CE92" s="9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>
        <v>115</v>
      </c>
      <c r="CS92" s="9">
        <v>72.98516521739127</v>
      </c>
      <c r="CT92" s="9">
        <v>65.18808695652173</v>
      </c>
      <c r="CU92" s="9">
        <v>69.08695652173914</v>
      </c>
      <c r="CV92" s="9">
        <v>138.17325217391297</v>
      </c>
      <c r="CW92" s="7">
        <v>4</v>
      </c>
      <c r="CX92" s="7">
        <v>25</v>
      </c>
      <c r="CY92" s="7">
        <v>39</v>
      </c>
      <c r="CZ92" s="7">
        <v>47</v>
      </c>
      <c r="DA92" s="7">
        <v>0</v>
      </c>
      <c r="DB92" s="7">
        <v>1</v>
      </c>
      <c r="DC92" s="7">
        <v>6</v>
      </c>
      <c r="DD92" s="7">
        <v>38</v>
      </c>
      <c r="DE92" s="7">
        <v>52</v>
      </c>
      <c r="DF92" s="7">
        <v>19</v>
      </c>
      <c r="DG92" s="7">
        <v>0</v>
      </c>
      <c r="DH92" s="7">
        <v>0</v>
      </c>
      <c r="DI92" s="18">
        <f t="shared" si="12"/>
        <v>19</v>
      </c>
      <c r="DJ92" s="18" t="str">
        <f t="shared" si="13"/>
        <v/>
      </c>
      <c r="DK92" s="18">
        <f t="shared" si="14"/>
        <v>11</v>
      </c>
      <c r="DL92" s="18">
        <f t="shared" si="15"/>
        <v>4</v>
      </c>
      <c r="DM92" s="18" t="str">
        <f t="shared" si="16"/>
        <v/>
      </c>
      <c r="DN92" s="18">
        <f t="shared" si="17"/>
        <v>3</v>
      </c>
      <c r="DO92" s="18">
        <v>313</v>
      </c>
      <c r="DP92" s="18">
        <v>124</v>
      </c>
      <c r="DQ92" s="18">
        <v>313</v>
      </c>
      <c r="DR92" s="18">
        <v>26</v>
      </c>
      <c r="DS92" s="18">
        <v>11</v>
      </c>
      <c r="DT92" s="18">
        <v>26</v>
      </c>
      <c r="DU92" s="18" t="s">
        <v>74</v>
      </c>
    </row>
    <row r="93" spans="54:125" x14ac:dyDescent="0.25">
      <c r="BB93" s="7">
        <v>90</v>
      </c>
      <c r="BC93" s="7" t="s">
        <v>332</v>
      </c>
      <c r="BD93" s="23" t="s">
        <v>74</v>
      </c>
      <c r="BE93" s="26">
        <v>253371454</v>
      </c>
      <c r="BF93" s="25" t="s">
        <v>88</v>
      </c>
      <c r="BG93" s="7">
        <v>145</v>
      </c>
      <c r="BH93" s="7" t="s">
        <v>320</v>
      </c>
      <c r="BI93" s="7" t="s">
        <v>368</v>
      </c>
      <c r="BJ93" s="7">
        <v>48</v>
      </c>
      <c r="BK93" s="9">
        <v>76.249687500000036</v>
      </c>
      <c r="BL93" s="9">
        <v>63.7496041666667</v>
      </c>
      <c r="BM93" s="9">
        <v>70.000000000000014</v>
      </c>
      <c r="BN93" s="9">
        <v>139.99929166666669</v>
      </c>
      <c r="BO93" s="7">
        <v>0</v>
      </c>
      <c r="BP93" s="7">
        <v>11</v>
      </c>
      <c r="BQ93" s="7">
        <v>16</v>
      </c>
      <c r="BR93" s="7">
        <v>21</v>
      </c>
      <c r="BS93" s="7">
        <v>0</v>
      </c>
      <c r="BT93" s="7">
        <v>3</v>
      </c>
      <c r="BU93" s="7">
        <v>3</v>
      </c>
      <c r="BV93" s="7">
        <v>19</v>
      </c>
      <c r="BW93" s="7">
        <v>14</v>
      </c>
      <c r="BX93" s="7">
        <v>12</v>
      </c>
      <c r="BY93" s="7">
        <v>0</v>
      </c>
      <c r="BZ93" s="7">
        <v>0</v>
      </c>
      <c r="CA93" s="7">
        <v>252</v>
      </c>
      <c r="CB93" s="9">
        <v>66.917674603174561</v>
      </c>
      <c r="CC93" s="9">
        <v>58.06842460317457</v>
      </c>
      <c r="CD93" s="9">
        <v>62.49338624338624</v>
      </c>
      <c r="CE93" s="9">
        <v>124.98609920634911</v>
      </c>
      <c r="CF93" s="7">
        <v>7</v>
      </c>
      <c r="CG93" s="7">
        <v>75</v>
      </c>
      <c r="CH93" s="7">
        <v>123</v>
      </c>
      <c r="CI93" s="7">
        <v>47</v>
      </c>
      <c r="CJ93" s="7">
        <v>0</v>
      </c>
      <c r="CK93" s="7">
        <v>0</v>
      </c>
      <c r="CL93" s="7">
        <v>15</v>
      </c>
      <c r="CM93" s="7">
        <v>126</v>
      </c>
      <c r="CN93" s="7">
        <v>95</v>
      </c>
      <c r="CO93" s="7">
        <v>16</v>
      </c>
      <c r="CP93" s="7">
        <v>0</v>
      </c>
      <c r="CQ93" s="7">
        <v>0</v>
      </c>
      <c r="CR93" s="7">
        <v>300</v>
      </c>
      <c r="CS93" s="9">
        <v>68.410796666666585</v>
      </c>
      <c r="CT93" s="9">
        <v>58.977413333333331</v>
      </c>
      <c r="CU93" s="9">
        <v>63.694444444444478</v>
      </c>
      <c r="CV93" s="9">
        <v>127.38820999999999</v>
      </c>
      <c r="CW93" s="7">
        <v>7</v>
      </c>
      <c r="CX93" s="7">
        <v>86</v>
      </c>
      <c r="CY93" s="7">
        <v>139</v>
      </c>
      <c r="CZ93" s="7">
        <v>68</v>
      </c>
      <c r="DA93" s="7">
        <v>0</v>
      </c>
      <c r="DB93" s="7">
        <v>3</v>
      </c>
      <c r="DC93" s="7">
        <v>18</v>
      </c>
      <c r="DD93" s="7">
        <v>145</v>
      </c>
      <c r="DE93" s="7">
        <v>109</v>
      </c>
      <c r="DF93" s="7">
        <v>28</v>
      </c>
      <c r="DG93" s="7">
        <v>0</v>
      </c>
      <c r="DH93" s="7">
        <v>0</v>
      </c>
      <c r="DI93" s="18">
        <f t="shared" si="12"/>
        <v>17</v>
      </c>
      <c r="DJ93" s="18">
        <f t="shared" si="13"/>
        <v>32</v>
      </c>
      <c r="DK93" s="18">
        <f t="shared" si="14"/>
        <v>67</v>
      </c>
      <c r="DL93" s="18">
        <f t="shared" si="15"/>
        <v>3</v>
      </c>
      <c r="DM93" s="18">
        <f t="shared" si="16"/>
        <v>5</v>
      </c>
      <c r="DN93" s="18">
        <f t="shared" si="17"/>
        <v>10</v>
      </c>
      <c r="DO93" s="18">
        <v>313</v>
      </c>
      <c r="DP93" s="18">
        <v>124</v>
      </c>
      <c r="DQ93" s="18">
        <v>313</v>
      </c>
      <c r="DR93" s="18">
        <v>26</v>
      </c>
      <c r="DS93" s="18">
        <v>11</v>
      </c>
      <c r="DT93" s="18">
        <v>26</v>
      </c>
      <c r="DU93" s="18" t="s">
        <v>74</v>
      </c>
    </row>
    <row r="94" spans="54:125" x14ac:dyDescent="0.25">
      <c r="BB94" s="7">
        <v>91</v>
      </c>
      <c r="BC94" s="7" t="s">
        <v>332</v>
      </c>
      <c r="BD94" s="23" t="s">
        <v>74</v>
      </c>
      <c r="BE94" s="26">
        <v>144738206</v>
      </c>
      <c r="BF94" s="25" t="s">
        <v>77</v>
      </c>
      <c r="BG94" s="7">
        <v>201</v>
      </c>
      <c r="BH94" s="7" t="s">
        <v>320</v>
      </c>
      <c r="BI94" s="7" t="s">
        <v>368</v>
      </c>
      <c r="BJ94" s="7">
        <v>101</v>
      </c>
      <c r="BK94" s="9">
        <v>62.07882178217826</v>
      </c>
      <c r="BL94" s="9">
        <v>56.633376237623757</v>
      </c>
      <c r="BM94" s="9">
        <v>59.356435643564332</v>
      </c>
      <c r="BN94" s="9">
        <v>118.71219801980192</v>
      </c>
      <c r="BO94" s="7">
        <v>16</v>
      </c>
      <c r="BP94" s="7">
        <v>27</v>
      </c>
      <c r="BQ94" s="7">
        <v>33</v>
      </c>
      <c r="BR94" s="7">
        <v>25</v>
      </c>
      <c r="BS94" s="7">
        <v>0</v>
      </c>
      <c r="BT94" s="7">
        <v>2</v>
      </c>
      <c r="BU94" s="7">
        <v>15</v>
      </c>
      <c r="BV94" s="7">
        <v>49</v>
      </c>
      <c r="BW94" s="7">
        <v>22</v>
      </c>
      <c r="BX94" s="7">
        <v>15</v>
      </c>
      <c r="BY94" s="7">
        <v>0</v>
      </c>
      <c r="BZ94" s="7">
        <v>0</v>
      </c>
      <c r="CA94" s="7">
        <v>30</v>
      </c>
      <c r="CB94" s="9">
        <v>53.221866666666656</v>
      </c>
      <c r="CC94" s="9">
        <v>48.666399999999989</v>
      </c>
      <c r="CD94" s="9">
        <v>50.944444444444443</v>
      </c>
      <c r="CE94" s="9">
        <v>101.88826666666664</v>
      </c>
      <c r="CF94" s="7">
        <v>7</v>
      </c>
      <c r="CG94" s="7">
        <v>13</v>
      </c>
      <c r="CH94" s="7">
        <v>9</v>
      </c>
      <c r="CI94" s="7">
        <v>1</v>
      </c>
      <c r="CJ94" s="7">
        <v>0</v>
      </c>
      <c r="CK94" s="7">
        <v>0</v>
      </c>
      <c r="CL94" s="7">
        <v>5</v>
      </c>
      <c r="CM94" s="7">
        <v>17</v>
      </c>
      <c r="CN94" s="7">
        <v>8</v>
      </c>
      <c r="CO94" s="7">
        <v>0</v>
      </c>
      <c r="CP94" s="7">
        <v>0</v>
      </c>
      <c r="CQ94" s="7">
        <v>0</v>
      </c>
      <c r="CR94" s="7">
        <v>131</v>
      </c>
      <c r="CS94" s="9">
        <v>60.050511450381705</v>
      </c>
      <c r="CT94" s="9">
        <v>54.808877862595402</v>
      </c>
      <c r="CU94" s="9">
        <v>57.4300254452926</v>
      </c>
      <c r="CV94" s="9">
        <v>114.85938931297702</v>
      </c>
      <c r="CW94" s="7">
        <v>23</v>
      </c>
      <c r="CX94" s="7">
        <v>40</v>
      </c>
      <c r="CY94" s="7">
        <v>42</v>
      </c>
      <c r="CZ94" s="7">
        <v>26</v>
      </c>
      <c r="DA94" s="7">
        <v>0</v>
      </c>
      <c r="DB94" s="7">
        <v>2</v>
      </c>
      <c r="DC94" s="7">
        <v>20</v>
      </c>
      <c r="DD94" s="7">
        <v>66</v>
      </c>
      <c r="DE94" s="7">
        <v>30</v>
      </c>
      <c r="DF94" s="7">
        <v>15</v>
      </c>
      <c r="DG94" s="7">
        <v>0</v>
      </c>
      <c r="DH94" s="7">
        <v>0</v>
      </c>
      <c r="DI94" s="18">
        <f t="shared" si="12"/>
        <v>146</v>
      </c>
      <c r="DJ94" s="18">
        <f t="shared" si="13"/>
        <v>116</v>
      </c>
      <c r="DK94" s="18">
        <f t="shared" si="14"/>
        <v>176</v>
      </c>
      <c r="DL94" s="18">
        <f t="shared" si="15"/>
        <v>16</v>
      </c>
      <c r="DM94" s="18">
        <f t="shared" si="16"/>
        <v>10</v>
      </c>
      <c r="DN94" s="18">
        <f t="shared" si="17"/>
        <v>17</v>
      </c>
      <c r="DO94" s="18">
        <v>313</v>
      </c>
      <c r="DP94" s="18">
        <v>124</v>
      </c>
      <c r="DQ94" s="18">
        <v>313</v>
      </c>
      <c r="DR94" s="18">
        <v>26</v>
      </c>
      <c r="DS94" s="18">
        <v>11</v>
      </c>
      <c r="DT94" s="18">
        <v>26</v>
      </c>
      <c r="DU94" s="18" t="s">
        <v>74</v>
      </c>
    </row>
    <row r="95" spans="54:125" x14ac:dyDescent="0.25">
      <c r="BB95" s="7">
        <v>92</v>
      </c>
      <c r="BC95" s="7" t="s">
        <v>332</v>
      </c>
      <c r="BD95" s="23" t="s">
        <v>74</v>
      </c>
      <c r="BE95" s="26">
        <v>578683257</v>
      </c>
      <c r="BF95" s="25" t="s">
        <v>84</v>
      </c>
      <c r="BG95" s="7">
        <v>210</v>
      </c>
      <c r="BH95" s="7" t="s">
        <v>320</v>
      </c>
      <c r="BI95" s="7" t="s">
        <v>368</v>
      </c>
      <c r="BJ95" s="7">
        <v>54</v>
      </c>
      <c r="BK95" s="9">
        <v>67.09850000000003</v>
      </c>
      <c r="BL95" s="9">
        <v>60.925611111111145</v>
      </c>
      <c r="BM95" s="9">
        <v>64.012345679012327</v>
      </c>
      <c r="BN95" s="9">
        <v>128.0241111111111</v>
      </c>
      <c r="BO95" s="7">
        <v>5</v>
      </c>
      <c r="BP95" s="7">
        <v>16</v>
      </c>
      <c r="BQ95" s="7">
        <v>15</v>
      </c>
      <c r="BR95" s="7">
        <v>18</v>
      </c>
      <c r="BS95" s="7">
        <v>0</v>
      </c>
      <c r="BT95" s="7">
        <v>0</v>
      </c>
      <c r="BU95" s="7">
        <v>6</v>
      </c>
      <c r="BV95" s="7">
        <v>19</v>
      </c>
      <c r="BW95" s="7">
        <v>20</v>
      </c>
      <c r="BX95" s="7">
        <v>9</v>
      </c>
      <c r="BY95" s="7">
        <v>0</v>
      </c>
      <c r="BZ95" s="7">
        <v>0</v>
      </c>
      <c r="CA95" s="7">
        <v>70</v>
      </c>
      <c r="CB95" s="9">
        <v>67.19015714285716</v>
      </c>
      <c r="CC95" s="9">
        <v>60.38058571428575</v>
      </c>
      <c r="CD95" s="9">
        <v>63.785714285714285</v>
      </c>
      <c r="CE95" s="9">
        <v>127.57074285714282</v>
      </c>
      <c r="CF95" s="7">
        <v>3</v>
      </c>
      <c r="CG95" s="7">
        <v>21</v>
      </c>
      <c r="CH95" s="7">
        <v>31</v>
      </c>
      <c r="CI95" s="7">
        <v>15</v>
      </c>
      <c r="CJ95" s="7">
        <v>0</v>
      </c>
      <c r="CK95" s="7">
        <v>0</v>
      </c>
      <c r="CL95" s="7">
        <v>4</v>
      </c>
      <c r="CM95" s="7">
        <v>29</v>
      </c>
      <c r="CN95" s="7">
        <v>30</v>
      </c>
      <c r="CO95" s="7">
        <v>7</v>
      </c>
      <c r="CP95" s="7">
        <v>0</v>
      </c>
      <c r="CQ95" s="7">
        <v>0</v>
      </c>
      <c r="CR95" s="7">
        <v>124</v>
      </c>
      <c r="CS95" s="9">
        <v>67.150241935483834</v>
      </c>
      <c r="CT95" s="9">
        <v>60.617935483870959</v>
      </c>
      <c r="CU95" s="9">
        <v>63.884408602150501</v>
      </c>
      <c r="CV95" s="9">
        <v>127.76817741935471</v>
      </c>
      <c r="CW95" s="7">
        <v>8</v>
      </c>
      <c r="CX95" s="7">
        <v>37</v>
      </c>
      <c r="CY95" s="7">
        <v>46</v>
      </c>
      <c r="CZ95" s="7">
        <v>33</v>
      </c>
      <c r="DA95" s="7">
        <v>0</v>
      </c>
      <c r="DB95" s="7">
        <v>0</v>
      </c>
      <c r="DC95" s="7">
        <v>10</v>
      </c>
      <c r="DD95" s="7">
        <v>48</v>
      </c>
      <c r="DE95" s="7">
        <v>50</v>
      </c>
      <c r="DF95" s="7">
        <v>16</v>
      </c>
      <c r="DG95" s="7">
        <v>0</v>
      </c>
      <c r="DH95" s="7">
        <v>0</v>
      </c>
      <c r="DI95" s="18">
        <f t="shared" si="12"/>
        <v>70</v>
      </c>
      <c r="DJ95" s="18">
        <f t="shared" si="13"/>
        <v>25</v>
      </c>
      <c r="DK95" s="18">
        <f t="shared" si="14"/>
        <v>64</v>
      </c>
      <c r="DL95" s="18">
        <f t="shared" si="15"/>
        <v>11</v>
      </c>
      <c r="DM95" s="18">
        <f t="shared" si="16"/>
        <v>2</v>
      </c>
      <c r="DN95" s="18">
        <f t="shared" si="17"/>
        <v>8</v>
      </c>
      <c r="DO95" s="18">
        <v>313</v>
      </c>
      <c r="DP95" s="18">
        <v>124</v>
      </c>
      <c r="DQ95" s="18">
        <v>313</v>
      </c>
      <c r="DR95" s="18">
        <v>26</v>
      </c>
      <c r="DS95" s="18">
        <v>11</v>
      </c>
      <c r="DT95" s="18">
        <v>26</v>
      </c>
      <c r="DU95" s="18" t="s">
        <v>74</v>
      </c>
    </row>
    <row r="96" spans="54:125" x14ac:dyDescent="0.25">
      <c r="BB96" s="7">
        <v>93</v>
      </c>
      <c r="BC96" s="7" t="s">
        <v>332</v>
      </c>
      <c r="BD96" s="23" t="s">
        <v>74</v>
      </c>
      <c r="BE96" s="26">
        <v>239649532</v>
      </c>
      <c r="BF96" s="25" t="s">
        <v>82</v>
      </c>
      <c r="BG96" s="7">
        <v>214</v>
      </c>
      <c r="BH96" s="7" t="s">
        <v>320</v>
      </c>
      <c r="BI96" s="7" t="s">
        <v>368</v>
      </c>
      <c r="BJ96" s="7">
        <v>98</v>
      </c>
      <c r="BK96" s="9">
        <v>60.27181632653059</v>
      </c>
      <c r="BL96" s="9">
        <v>57.108489795918366</v>
      </c>
      <c r="BM96" s="9">
        <v>58.690476190476168</v>
      </c>
      <c r="BN96" s="9">
        <v>117.38030612244889</v>
      </c>
      <c r="BO96" s="7">
        <v>11</v>
      </c>
      <c r="BP96" s="7">
        <v>37</v>
      </c>
      <c r="BQ96" s="7">
        <v>34</v>
      </c>
      <c r="BR96" s="7">
        <v>16</v>
      </c>
      <c r="BS96" s="7">
        <v>0</v>
      </c>
      <c r="BT96" s="7">
        <v>0</v>
      </c>
      <c r="BU96" s="7">
        <v>9</v>
      </c>
      <c r="BV96" s="7">
        <v>50</v>
      </c>
      <c r="BW96" s="7">
        <v>21</v>
      </c>
      <c r="BX96" s="7">
        <v>18</v>
      </c>
      <c r="BY96" s="7">
        <v>0</v>
      </c>
      <c r="BZ96" s="7">
        <v>0</v>
      </c>
      <c r="CA96" s="7">
        <v>111</v>
      </c>
      <c r="CB96" s="9">
        <v>62.492207207207194</v>
      </c>
      <c r="CC96" s="9">
        <v>55.1047927927928</v>
      </c>
      <c r="CD96" s="9">
        <v>58.798798798798778</v>
      </c>
      <c r="CE96" s="9">
        <v>117.59699999999992</v>
      </c>
      <c r="CF96" s="7">
        <v>8</v>
      </c>
      <c r="CG96" s="7">
        <v>44</v>
      </c>
      <c r="CH96" s="7">
        <v>44</v>
      </c>
      <c r="CI96" s="7">
        <v>15</v>
      </c>
      <c r="CJ96" s="7">
        <v>0</v>
      </c>
      <c r="CK96" s="7">
        <v>1</v>
      </c>
      <c r="CL96" s="7">
        <v>16</v>
      </c>
      <c r="CM96" s="7">
        <v>52</v>
      </c>
      <c r="CN96" s="7">
        <v>31</v>
      </c>
      <c r="CO96" s="7">
        <v>12</v>
      </c>
      <c r="CP96" s="7">
        <v>0</v>
      </c>
      <c r="CQ96" s="7">
        <v>0</v>
      </c>
      <c r="CR96" s="7">
        <v>209</v>
      </c>
      <c r="CS96" s="9">
        <v>61.451066985645923</v>
      </c>
      <c r="CT96" s="9">
        <v>56.044325358851665</v>
      </c>
      <c r="CU96" s="9">
        <v>58.748006379585327</v>
      </c>
      <c r="CV96" s="9">
        <v>117.49539234449752</v>
      </c>
      <c r="CW96" s="7">
        <v>19</v>
      </c>
      <c r="CX96" s="7">
        <v>81</v>
      </c>
      <c r="CY96" s="7">
        <v>78</v>
      </c>
      <c r="CZ96" s="7">
        <v>31</v>
      </c>
      <c r="DA96" s="7">
        <v>0</v>
      </c>
      <c r="DB96" s="7">
        <v>1</v>
      </c>
      <c r="DC96" s="7">
        <v>25</v>
      </c>
      <c r="DD96" s="7">
        <v>102</v>
      </c>
      <c r="DE96" s="7">
        <v>52</v>
      </c>
      <c r="DF96" s="7">
        <v>30</v>
      </c>
      <c r="DG96" s="7">
        <v>0</v>
      </c>
      <c r="DH96" s="7">
        <v>0</v>
      </c>
      <c r="DI96" s="18">
        <f t="shared" si="12"/>
        <v>160</v>
      </c>
      <c r="DJ96" s="18">
        <f t="shared" si="13"/>
        <v>68</v>
      </c>
      <c r="DK96" s="18">
        <f t="shared" si="14"/>
        <v>155</v>
      </c>
      <c r="DL96" s="18">
        <f t="shared" si="15"/>
        <v>17</v>
      </c>
      <c r="DM96" s="18">
        <f t="shared" si="16"/>
        <v>7</v>
      </c>
      <c r="DN96" s="18">
        <f t="shared" si="17"/>
        <v>14</v>
      </c>
      <c r="DO96" s="18">
        <v>313</v>
      </c>
      <c r="DP96" s="18">
        <v>124</v>
      </c>
      <c r="DQ96" s="18">
        <v>313</v>
      </c>
      <c r="DR96" s="18">
        <v>26</v>
      </c>
      <c r="DS96" s="18">
        <v>11</v>
      </c>
      <c r="DT96" s="18">
        <v>26</v>
      </c>
      <c r="DU96" s="18" t="s">
        <v>74</v>
      </c>
    </row>
    <row r="97" spans="54:125" x14ac:dyDescent="0.25">
      <c r="BB97" s="7">
        <v>94</v>
      </c>
      <c r="BC97" s="7" t="s">
        <v>332</v>
      </c>
      <c r="BD97" s="23" t="s">
        <v>74</v>
      </c>
      <c r="BE97" s="26">
        <v>977278602</v>
      </c>
      <c r="BF97" s="25" t="s">
        <v>76</v>
      </c>
      <c r="BG97" s="7">
        <v>220</v>
      </c>
      <c r="BH97" s="7" t="s">
        <v>322</v>
      </c>
      <c r="BI97" s="7" t="s">
        <v>367</v>
      </c>
      <c r="BJ97" s="7">
        <v>223</v>
      </c>
      <c r="BK97" s="9">
        <v>73.766493273542579</v>
      </c>
      <c r="BL97" s="9">
        <v>69.237354260089674</v>
      </c>
      <c r="BM97" s="9">
        <v>71.50224215246638</v>
      </c>
      <c r="BN97" s="9">
        <v>143.00384753363221</v>
      </c>
      <c r="BO97" s="7">
        <v>13</v>
      </c>
      <c r="BP97" s="7">
        <v>36</v>
      </c>
      <c r="BQ97" s="7">
        <v>79</v>
      </c>
      <c r="BR97" s="7">
        <v>95</v>
      </c>
      <c r="BS97" s="7">
        <v>0</v>
      </c>
      <c r="BT97" s="7">
        <v>9</v>
      </c>
      <c r="BU97" s="7">
        <v>19</v>
      </c>
      <c r="BV97" s="7">
        <v>51</v>
      </c>
      <c r="BW97" s="7">
        <v>75</v>
      </c>
      <c r="BX97" s="7">
        <v>78</v>
      </c>
      <c r="BY97" s="7">
        <v>0</v>
      </c>
      <c r="BZ97" s="7">
        <v>2</v>
      </c>
      <c r="CA97" s="7"/>
      <c r="CB97" s="9"/>
      <c r="CC97" s="9"/>
      <c r="CD97" s="9"/>
      <c r="CE97" s="9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>
        <v>223</v>
      </c>
      <c r="CS97" s="9">
        <v>73.766493273542579</v>
      </c>
      <c r="CT97" s="9">
        <v>69.237354260089674</v>
      </c>
      <c r="CU97" s="9">
        <v>71.50224215246638</v>
      </c>
      <c r="CV97" s="9">
        <v>143.00384753363221</v>
      </c>
      <c r="CW97" s="7">
        <v>13</v>
      </c>
      <c r="CX97" s="7">
        <v>36</v>
      </c>
      <c r="CY97" s="7">
        <v>79</v>
      </c>
      <c r="CZ97" s="7">
        <v>95</v>
      </c>
      <c r="DA97" s="7">
        <v>0</v>
      </c>
      <c r="DB97" s="7">
        <v>9</v>
      </c>
      <c r="DC97" s="7">
        <v>19</v>
      </c>
      <c r="DD97" s="7">
        <v>51</v>
      </c>
      <c r="DE97" s="7">
        <v>75</v>
      </c>
      <c r="DF97" s="7">
        <v>78</v>
      </c>
      <c r="DG97" s="7">
        <v>0</v>
      </c>
      <c r="DH97" s="7">
        <v>2</v>
      </c>
      <c r="DI97" s="18">
        <f t="shared" si="12"/>
        <v>7</v>
      </c>
      <c r="DJ97" s="18" t="str">
        <f t="shared" si="13"/>
        <v/>
      </c>
      <c r="DK97" s="18">
        <f t="shared" si="14"/>
        <v>4</v>
      </c>
      <c r="DL97" s="18">
        <f t="shared" si="15"/>
        <v>1</v>
      </c>
      <c r="DM97" s="18" t="str">
        <f t="shared" si="16"/>
        <v/>
      </c>
      <c r="DN97" s="18">
        <f t="shared" si="17"/>
        <v>1</v>
      </c>
      <c r="DO97" s="18">
        <v>313</v>
      </c>
      <c r="DP97" s="18">
        <v>124</v>
      </c>
      <c r="DQ97" s="18">
        <v>313</v>
      </c>
      <c r="DR97" s="18">
        <v>26</v>
      </c>
      <c r="DS97" s="18">
        <v>11</v>
      </c>
      <c r="DT97" s="18">
        <v>26</v>
      </c>
      <c r="DU97" s="18" t="s">
        <v>74</v>
      </c>
    </row>
    <row r="98" spans="54:125" x14ac:dyDescent="0.25">
      <c r="BB98" s="7">
        <v>95</v>
      </c>
      <c r="BC98" s="7" t="s">
        <v>332</v>
      </c>
      <c r="BD98" s="23" t="s">
        <v>74</v>
      </c>
      <c r="BE98" s="26">
        <v>950322173</v>
      </c>
      <c r="BF98" s="25" t="s">
        <v>91</v>
      </c>
      <c r="BG98" s="7">
        <v>227</v>
      </c>
      <c r="BH98" s="7" t="s">
        <v>320</v>
      </c>
      <c r="BI98" s="7" t="s">
        <v>367</v>
      </c>
      <c r="BJ98" s="7">
        <v>129</v>
      </c>
      <c r="BK98" s="9">
        <v>58.99192248062014</v>
      </c>
      <c r="BL98" s="9">
        <v>50.413124031007747</v>
      </c>
      <c r="BM98" s="9">
        <v>54.702842377260943</v>
      </c>
      <c r="BN98" s="9">
        <v>109.40504651162782</v>
      </c>
      <c r="BO98" s="7">
        <v>14</v>
      </c>
      <c r="BP98" s="7">
        <v>56</v>
      </c>
      <c r="BQ98" s="7">
        <v>45</v>
      </c>
      <c r="BR98" s="7">
        <v>14</v>
      </c>
      <c r="BS98" s="7">
        <v>0</v>
      </c>
      <c r="BT98" s="7">
        <v>0</v>
      </c>
      <c r="BU98" s="7">
        <v>26</v>
      </c>
      <c r="BV98" s="7">
        <v>67</v>
      </c>
      <c r="BW98" s="7">
        <v>28</v>
      </c>
      <c r="BX98" s="7">
        <v>8</v>
      </c>
      <c r="BY98" s="7">
        <v>0</v>
      </c>
      <c r="BZ98" s="7">
        <v>0</v>
      </c>
      <c r="CA98" s="7"/>
      <c r="CB98" s="9"/>
      <c r="CC98" s="9"/>
      <c r="CD98" s="9"/>
      <c r="CE98" s="9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>
        <v>129</v>
      </c>
      <c r="CS98" s="9">
        <v>58.99192248062014</v>
      </c>
      <c r="CT98" s="9">
        <v>50.413124031007747</v>
      </c>
      <c r="CU98" s="9">
        <v>54.702842377260943</v>
      </c>
      <c r="CV98" s="9">
        <v>109.40504651162782</v>
      </c>
      <c r="CW98" s="7">
        <v>14</v>
      </c>
      <c r="CX98" s="7">
        <v>56</v>
      </c>
      <c r="CY98" s="7">
        <v>45</v>
      </c>
      <c r="CZ98" s="7">
        <v>14</v>
      </c>
      <c r="DA98" s="7">
        <v>0</v>
      </c>
      <c r="DB98" s="7">
        <v>0</v>
      </c>
      <c r="DC98" s="7">
        <v>26</v>
      </c>
      <c r="DD98" s="7">
        <v>67</v>
      </c>
      <c r="DE98" s="7">
        <v>28</v>
      </c>
      <c r="DF98" s="7">
        <v>8</v>
      </c>
      <c r="DG98" s="7">
        <v>0</v>
      </c>
      <c r="DH98" s="7">
        <v>0</v>
      </c>
      <c r="DI98" s="18">
        <f t="shared" si="12"/>
        <v>223</v>
      </c>
      <c r="DJ98" s="18" t="str">
        <f t="shared" si="13"/>
        <v/>
      </c>
      <c r="DK98" s="18">
        <f t="shared" si="14"/>
        <v>228</v>
      </c>
      <c r="DL98" s="18">
        <f t="shared" si="15"/>
        <v>21</v>
      </c>
      <c r="DM98" s="18" t="str">
        <f t="shared" si="16"/>
        <v/>
      </c>
      <c r="DN98" s="18">
        <f t="shared" si="17"/>
        <v>21</v>
      </c>
      <c r="DO98" s="18">
        <v>313</v>
      </c>
      <c r="DP98" s="18">
        <v>124</v>
      </c>
      <c r="DQ98" s="18">
        <v>313</v>
      </c>
      <c r="DR98" s="18">
        <v>26</v>
      </c>
      <c r="DS98" s="18">
        <v>11</v>
      </c>
      <c r="DT98" s="18">
        <v>26</v>
      </c>
      <c r="DU98" s="18" t="s">
        <v>74</v>
      </c>
    </row>
    <row r="99" spans="54:125" x14ac:dyDescent="0.25">
      <c r="BB99" s="7">
        <v>96</v>
      </c>
      <c r="BC99" s="7" t="s">
        <v>332</v>
      </c>
      <c r="BD99" s="23" t="s">
        <v>74</v>
      </c>
      <c r="BE99" s="26">
        <v>172576371</v>
      </c>
      <c r="BF99" s="25" t="s">
        <v>85</v>
      </c>
      <c r="BG99" s="7">
        <v>229</v>
      </c>
      <c r="BH99" s="7" t="s">
        <v>320</v>
      </c>
      <c r="BI99" s="7" t="s">
        <v>368</v>
      </c>
      <c r="BJ99" s="7">
        <v>102</v>
      </c>
      <c r="BK99" s="9">
        <v>65.816627450980391</v>
      </c>
      <c r="BL99" s="9">
        <v>62.548686274509819</v>
      </c>
      <c r="BM99" s="9">
        <v>64.183006535947712</v>
      </c>
      <c r="BN99" s="9">
        <v>128.36531372549015</v>
      </c>
      <c r="BO99" s="7">
        <v>4</v>
      </c>
      <c r="BP99" s="7">
        <v>30</v>
      </c>
      <c r="BQ99" s="7">
        <v>47</v>
      </c>
      <c r="BR99" s="7">
        <v>21</v>
      </c>
      <c r="BS99" s="7">
        <v>1</v>
      </c>
      <c r="BT99" s="7">
        <v>2</v>
      </c>
      <c r="BU99" s="7">
        <v>9</v>
      </c>
      <c r="BV99" s="7">
        <v>29</v>
      </c>
      <c r="BW99" s="7">
        <v>55</v>
      </c>
      <c r="BX99" s="7">
        <v>9</v>
      </c>
      <c r="BY99" s="7">
        <v>0</v>
      </c>
      <c r="BZ99" s="7">
        <v>0</v>
      </c>
      <c r="CA99" s="7">
        <v>36</v>
      </c>
      <c r="CB99" s="9">
        <v>72.036666666666676</v>
      </c>
      <c r="CC99" s="9">
        <v>59.351472222222213</v>
      </c>
      <c r="CD99" s="9">
        <v>65.694444444444443</v>
      </c>
      <c r="CE99" s="9">
        <v>131.38813888888888</v>
      </c>
      <c r="CF99" s="7">
        <v>0</v>
      </c>
      <c r="CG99" s="7">
        <v>9</v>
      </c>
      <c r="CH99" s="7">
        <v>15</v>
      </c>
      <c r="CI99" s="7">
        <v>12</v>
      </c>
      <c r="CJ99" s="7">
        <v>0</v>
      </c>
      <c r="CK99" s="7">
        <v>0</v>
      </c>
      <c r="CL99" s="7">
        <v>1</v>
      </c>
      <c r="CM99" s="7">
        <v>19</v>
      </c>
      <c r="CN99" s="7">
        <v>16</v>
      </c>
      <c r="CO99" s="7">
        <v>0</v>
      </c>
      <c r="CP99" s="7">
        <v>0</v>
      </c>
      <c r="CQ99" s="7">
        <v>0</v>
      </c>
      <c r="CR99" s="7">
        <v>138</v>
      </c>
      <c r="CS99" s="9">
        <v>67.439246376811596</v>
      </c>
      <c r="CT99" s="9">
        <v>61.714630434782613</v>
      </c>
      <c r="CU99" s="9">
        <v>64.577294685990324</v>
      </c>
      <c r="CV99" s="9">
        <v>129.1538768115941</v>
      </c>
      <c r="CW99" s="7">
        <v>4</v>
      </c>
      <c r="CX99" s="7">
        <v>39</v>
      </c>
      <c r="CY99" s="7">
        <v>62</v>
      </c>
      <c r="CZ99" s="7">
        <v>33</v>
      </c>
      <c r="DA99" s="7">
        <v>1</v>
      </c>
      <c r="DB99" s="7">
        <v>2</v>
      </c>
      <c r="DC99" s="7">
        <v>10</v>
      </c>
      <c r="DD99" s="7">
        <v>48</v>
      </c>
      <c r="DE99" s="7">
        <v>71</v>
      </c>
      <c r="DF99" s="7">
        <v>9</v>
      </c>
      <c r="DG99" s="7">
        <v>0</v>
      </c>
      <c r="DH99" s="7">
        <v>0</v>
      </c>
      <c r="DI99" s="18">
        <f t="shared" si="12"/>
        <v>67</v>
      </c>
      <c r="DJ99" s="18">
        <f t="shared" si="13"/>
        <v>17</v>
      </c>
      <c r="DK99" s="18">
        <f t="shared" si="14"/>
        <v>51</v>
      </c>
      <c r="DL99" s="18">
        <f t="shared" si="15"/>
        <v>10</v>
      </c>
      <c r="DM99" s="18">
        <f t="shared" si="16"/>
        <v>1</v>
      </c>
      <c r="DN99" s="18">
        <f t="shared" si="17"/>
        <v>7</v>
      </c>
      <c r="DO99" s="18">
        <v>313</v>
      </c>
      <c r="DP99" s="18">
        <v>124</v>
      </c>
      <c r="DQ99" s="18">
        <v>313</v>
      </c>
      <c r="DR99" s="18">
        <v>26</v>
      </c>
      <c r="DS99" s="18">
        <v>11</v>
      </c>
      <c r="DT99" s="18">
        <v>26</v>
      </c>
      <c r="DU99" s="18" t="s">
        <v>74</v>
      </c>
    </row>
    <row r="100" spans="54:125" x14ac:dyDescent="0.25">
      <c r="BB100" s="7">
        <v>97</v>
      </c>
      <c r="BC100" s="7" t="s">
        <v>332</v>
      </c>
      <c r="BD100" s="23" t="s">
        <v>74</v>
      </c>
      <c r="BE100" s="26">
        <v>641789859</v>
      </c>
      <c r="BF100" s="25" t="s">
        <v>87</v>
      </c>
      <c r="BG100" s="7">
        <v>238</v>
      </c>
      <c r="BH100" s="7" t="s">
        <v>320</v>
      </c>
      <c r="BI100" s="7" t="s">
        <v>367</v>
      </c>
      <c r="BJ100" s="7">
        <v>126</v>
      </c>
      <c r="BK100" s="9">
        <v>70.713960317460277</v>
      </c>
      <c r="BL100" s="9">
        <v>59.629253968253977</v>
      </c>
      <c r="BM100" s="9">
        <v>65.171957671957657</v>
      </c>
      <c r="BN100" s="9">
        <v>130.3432142857142</v>
      </c>
      <c r="BO100" s="7">
        <v>9</v>
      </c>
      <c r="BP100" s="7">
        <v>27</v>
      </c>
      <c r="BQ100" s="7">
        <v>42</v>
      </c>
      <c r="BR100" s="7">
        <v>48</v>
      </c>
      <c r="BS100" s="7">
        <v>0</v>
      </c>
      <c r="BT100" s="7">
        <v>3</v>
      </c>
      <c r="BU100" s="7">
        <v>13</v>
      </c>
      <c r="BV100" s="7">
        <v>49</v>
      </c>
      <c r="BW100" s="7">
        <v>47</v>
      </c>
      <c r="BX100" s="7">
        <v>17</v>
      </c>
      <c r="BY100" s="7">
        <v>0</v>
      </c>
      <c r="BZ100" s="7">
        <v>0</v>
      </c>
      <c r="CA100" s="7"/>
      <c r="CB100" s="9"/>
      <c r="CC100" s="9"/>
      <c r="CD100" s="9"/>
      <c r="CE100" s="9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>
        <v>126</v>
      </c>
      <c r="CS100" s="9">
        <v>70.713960317460277</v>
      </c>
      <c r="CT100" s="9">
        <v>59.629253968253977</v>
      </c>
      <c r="CU100" s="9">
        <v>65.171957671957657</v>
      </c>
      <c r="CV100" s="9">
        <v>130.3432142857142</v>
      </c>
      <c r="CW100" s="7">
        <v>9</v>
      </c>
      <c r="CX100" s="7">
        <v>27</v>
      </c>
      <c r="CY100" s="7">
        <v>42</v>
      </c>
      <c r="CZ100" s="7">
        <v>48</v>
      </c>
      <c r="DA100" s="7">
        <v>0</v>
      </c>
      <c r="DB100" s="7">
        <v>3</v>
      </c>
      <c r="DC100" s="7">
        <v>13</v>
      </c>
      <c r="DD100" s="7">
        <v>49</v>
      </c>
      <c r="DE100" s="7">
        <v>47</v>
      </c>
      <c r="DF100" s="7">
        <v>17</v>
      </c>
      <c r="DG100" s="7">
        <v>0</v>
      </c>
      <c r="DH100" s="7">
        <v>0</v>
      </c>
      <c r="DI100" s="18">
        <f t="shared" si="12"/>
        <v>54</v>
      </c>
      <c r="DJ100" s="18" t="str">
        <f t="shared" si="13"/>
        <v/>
      </c>
      <c r="DK100" s="18">
        <f t="shared" si="14"/>
        <v>45</v>
      </c>
      <c r="DL100" s="18">
        <f t="shared" si="15"/>
        <v>8</v>
      </c>
      <c r="DM100" s="18" t="str">
        <f t="shared" si="16"/>
        <v/>
      </c>
      <c r="DN100" s="18">
        <f t="shared" si="17"/>
        <v>5</v>
      </c>
      <c r="DO100" s="18">
        <v>313</v>
      </c>
      <c r="DP100" s="18">
        <v>124</v>
      </c>
      <c r="DQ100" s="18">
        <v>313</v>
      </c>
      <c r="DR100" s="18">
        <v>26</v>
      </c>
      <c r="DS100" s="18">
        <v>11</v>
      </c>
      <c r="DT100" s="18">
        <v>26</v>
      </c>
      <c r="DU100" s="18" t="s">
        <v>74</v>
      </c>
    </row>
    <row r="101" spans="54:125" x14ac:dyDescent="0.25">
      <c r="BB101" s="7">
        <v>98</v>
      </c>
      <c r="BC101" s="7" t="s">
        <v>332</v>
      </c>
      <c r="BD101" s="23" t="s">
        <v>74</v>
      </c>
      <c r="BE101" s="26">
        <v>372307501</v>
      </c>
      <c r="BF101" s="25" t="s">
        <v>94</v>
      </c>
      <c r="BG101" s="7">
        <v>242</v>
      </c>
      <c r="BH101" s="7" t="s">
        <v>320</v>
      </c>
      <c r="BI101" s="7" t="s">
        <v>368</v>
      </c>
      <c r="BJ101" s="7">
        <v>47</v>
      </c>
      <c r="BK101" s="9">
        <v>65.176978723404275</v>
      </c>
      <c r="BL101" s="9">
        <v>57.233680851063852</v>
      </c>
      <c r="BM101" s="9">
        <v>61.205673758865252</v>
      </c>
      <c r="BN101" s="9">
        <v>122.41065957446807</v>
      </c>
      <c r="BO101" s="7">
        <v>4</v>
      </c>
      <c r="BP101" s="7">
        <v>14</v>
      </c>
      <c r="BQ101" s="7">
        <v>15</v>
      </c>
      <c r="BR101" s="7">
        <v>14</v>
      </c>
      <c r="BS101" s="7">
        <v>0</v>
      </c>
      <c r="BT101" s="7">
        <v>2</v>
      </c>
      <c r="BU101" s="7">
        <v>4</v>
      </c>
      <c r="BV101" s="7">
        <v>24</v>
      </c>
      <c r="BW101" s="7">
        <v>14</v>
      </c>
      <c r="BX101" s="7">
        <v>5</v>
      </c>
      <c r="BY101" s="7">
        <v>0</v>
      </c>
      <c r="BZ101" s="7">
        <v>0</v>
      </c>
      <c r="CA101" s="7">
        <v>48</v>
      </c>
      <c r="CB101" s="9">
        <v>58.332979166666711</v>
      </c>
      <c r="CC101" s="9">
        <v>50.485812500000009</v>
      </c>
      <c r="CD101" s="9">
        <v>54.409722222222221</v>
      </c>
      <c r="CE101" s="9">
        <v>108.8187916666667</v>
      </c>
      <c r="CF101" s="7">
        <v>4</v>
      </c>
      <c r="CG101" s="7">
        <v>21</v>
      </c>
      <c r="CH101" s="7">
        <v>16</v>
      </c>
      <c r="CI101" s="7">
        <v>7</v>
      </c>
      <c r="CJ101" s="7">
        <v>0</v>
      </c>
      <c r="CK101" s="7">
        <v>0</v>
      </c>
      <c r="CL101" s="7">
        <v>8</v>
      </c>
      <c r="CM101" s="7">
        <v>25</v>
      </c>
      <c r="CN101" s="7">
        <v>13</v>
      </c>
      <c r="CO101" s="7">
        <v>2</v>
      </c>
      <c r="CP101" s="7">
        <v>0</v>
      </c>
      <c r="CQ101" s="7">
        <v>0</v>
      </c>
      <c r="CR101" s="7">
        <v>95</v>
      </c>
      <c r="CS101" s="9">
        <v>61.718957894736846</v>
      </c>
      <c r="CT101" s="9">
        <v>53.824231578947384</v>
      </c>
      <c r="CU101" s="9">
        <v>57.771929824561411</v>
      </c>
      <c r="CV101" s="9">
        <v>115.54318947368412</v>
      </c>
      <c r="CW101" s="7">
        <v>8</v>
      </c>
      <c r="CX101" s="7">
        <v>35</v>
      </c>
      <c r="CY101" s="7">
        <v>31</v>
      </c>
      <c r="CZ101" s="7">
        <v>21</v>
      </c>
      <c r="DA101" s="7">
        <v>0</v>
      </c>
      <c r="DB101" s="7">
        <v>2</v>
      </c>
      <c r="DC101" s="7">
        <v>12</v>
      </c>
      <c r="DD101" s="7">
        <v>49</v>
      </c>
      <c r="DE101" s="7">
        <v>27</v>
      </c>
      <c r="DF101" s="7">
        <v>7</v>
      </c>
      <c r="DG101" s="7">
        <v>0</v>
      </c>
      <c r="DH101" s="7">
        <v>0</v>
      </c>
      <c r="DI101" s="18">
        <f t="shared" si="12"/>
        <v>113</v>
      </c>
      <c r="DJ101" s="18">
        <f t="shared" si="13"/>
        <v>103</v>
      </c>
      <c r="DK101" s="18">
        <f t="shared" si="14"/>
        <v>171</v>
      </c>
      <c r="DL101" s="18">
        <f t="shared" si="15"/>
        <v>13</v>
      </c>
      <c r="DM101" s="18">
        <f t="shared" si="16"/>
        <v>9</v>
      </c>
      <c r="DN101" s="18">
        <f t="shared" si="17"/>
        <v>16</v>
      </c>
      <c r="DO101" s="18">
        <v>313</v>
      </c>
      <c r="DP101" s="18">
        <v>124</v>
      </c>
      <c r="DQ101" s="18">
        <v>313</v>
      </c>
      <c r="DR101" s="18">
        <v>26</v>
      </c>
      <c r="DS101" s="18">
        <v>11</v>
      </c>
      <c r="DT101" s="18">
        <v>26</v>
      </c>
      <c r="DU101" s="18" t="s">
        <v>74</v>
      </c>
    </row>
    <row r="102" spans="54:125" x14ac:dyDescent="0.25">
      <c r="BB102" s="7">
        <v>99</v>
      </c>
      <c r="BC102" s="7" t="s">
        <v>332</v>
      </c>
      <c r="BD102" s="23" t="s">
        <v>74</v>
      </c>
      <c r="BE102" s="26">
        <v>663911520</v>
      </c>
      <c r="BF102" s="25" t="s">
        <v>96</v>
      </c>
      <c r="BG102" s="7">
        <v>250</v>
      </c>
      <c r="BH102" s="7" t="s">
        <v>320</v>
      </c>
      <c r="BI102" s="7" t="s">
        <v>367</v>
      </c>
      <c r="BJ102" s="7">
        <v>75</v>
      </c>
      <c r="BK102" s="9">
        <v>59.466386666666722</v>
      </c>
      <c r="BL102" s="9">
        <v>51.95520000000004</v>
      </c>
      <c r="BM102" s="9">
        <v>55.71111111111108</v>
      </c>
      <c r="BN102" s="9">
        <v>111.42158666666663</v>
      </c>
      <c r="BO102" s="7">
        <v>10</v>
      </c>
      <c r="BP102" s="7">
        <v>31</v>
      </c>
      <c r="BQ102" s="7">
        <v>17</v>
      </c>
      <c r="BR102" s="7">
        <v>17</v>
      </c>
      <c r="BS102" s="7">
        <v>0</v>
      </c>
      <c r="BT102" s="7">
        <v>1</v>
      </c>
      <c r="BU102" s="7">
        <v>17</v>
      </c>
      <c r="BV102" s="7">
        <v>29</v>
      </c>
      <c r="BW102" s="7">
        <v>24</v>
      </c>
      <c r="BX102" s="7">
        <v>5</v>
      </c>
      <c r="BY102" s="7">
        <v>0</v>
      </c>
      <c r="BZ102" s="7">
        <v>0</v>
      </c>
      <c r="CA102" s="7"/>
      <c r="CB102" s="9"/>
      <c r="CC102" s="9"/>
      <c r="CD102" s="9"/>
      <c r="CE102" s="9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>
        <v>75</v>
      </c>
      <c r="CS102" s="9">
        <v>59.466386666666722</v>
      </c>
      <c r="CT102" s="9">
        <v>51.95520000000004</v>
      </c>
      <c r="CU102" s="9">
        <v>55.71111111111108</v>
      </c>
      <c r="CV102" s="9">
        <v>111.42158666666663</v>
      </c>
      <c r="CW102" s="7">
        <v>10</v>
      </c>
      <c r="CX102" s="7">
        <v>31</v>
      </c>
      <c r="CY102" s="7">
        <v>17</v>
      </c>
      <c r="CZ102" s="7">
        <v>17</v>
      </c>
      <c r="DA102" s="7">
        <v>0</v>
      </c>
      <c r="DB102" s="7">
        <v>1</v>
      </c>
      <c r="DC102" s="7">
        <v>17</v>
      </c>
      <c r="DD102" s="7">
        <v>29</v>
      </c>
      <c r="DE102" s="7">
        <v>24</v>
      </c>
      <c r="DF102" s="7">
        <v>5</v>
      </c>
      <c r="DG102" s="7">
        <v>0</v>
      </c>
      <c r="DH102" s="7">
        <v>0</v>
      </c>
      <c r="DI102" s="18">
        <f t="shared" si="12"/>
        <v>207</v>
      </c>
      <c r="DJ102" s="18" t="str">
        <f t="shared" si="13"/>
        <v/>
      </c>
      <c r="DK102" s="18">
        <f t="shared" si="14"/>
        <v>206</v>
      </c>
      <c r="DL102" s="18">
        <f t="shared" si="15"/>
        <v>20</v>
      </c>
      <c r="DM102" s="18" t="str">
        <f t="shared" si="16"/>
        <v/>
      </c>
      <c r="DN102" s="18">
        <f t="shared" si="17"/>
        <v>20</v>
      </c>
      <c r="DO102" s="18">
        <v>313</v>
      </c>
      <c r="DP102" s="18">
        <v>124</v>
      </c>
      <c r="DQ102" s="18">
        <v>313</v>
      </c>
      <c r="DR102" s="18">
        <v>26</v>
      </c>
      <c r="DS102" s="18">
        <v>11</v>
      </c>
      <c r="DT102" s="18">
        <v>26</v>
      </c>
      <c r="DU102" s="18" t="s">
        <v>74</v>
      </c>
    </row>
    <row r="103" spans="54:125" x14ac:dyDescent="0.25">
      <c r="BB103" s="7">
        <v>100</v>
      </c>
      <c r="BC103" s="7" t="s">
        <v>332</v>
      </c>
      <c r="BD103" s="23" t="s">
        <v>74</v>
      </c>
      <c r="BE103" s="26">
        <v>790548173</v>
      </c>
      <c r="BF103" s="25" t="s">
        <v>83</v>
      </c>
      <c r="BG103" s="7">
        <v>251</v>
      </c>
      <c r="BH103" s="7" t="s">
        <v>320</v>
      </c>
      <c r="BI103" s="7" t="s">
        <v>368</v>
      </c>
      <c r="BJ103" s="7">
        <v>103</v>
      </c>
      <c r="BK103" s="9">
        <v>61.90903883495146</v>
      </c>
      <c r="BL103" s="9">
        <v>60.841145631067981</v>
      </c>
      <c r="BM103" s="9">
        <v>61.375404530744348</v>
      </c>
      <c r="BN103" s="9">
        <v>122.75018446601936</v>
      </c>
      <c r="BO103" s="7">
        <v>9</v>
      </c>
      <c r="BP103" s="7">
        <v>37</v>
      </c>
      <c r="BQ103" s="7">
        <v>40</v>
      </c>
      <c r="BR103" s="7">
        <v>17</v>
      </c>
      <c r="BS103" s="7">
        <v>0</v>
      </c>
      <c r="BT103" s="7">
        <v>0</v>
      </c>
      <c r="BU103" s="7">
        <v>8</v>
      </c>
      <c r="BV103" s="7">
        <v>44</v>
      </c>
      <c r="BW103" s="7">
        <v>35</v>
      </c>
      <c r="BX103" s="7">
        <v>16</v>
      </c>
      <c r="BY103" s="7">
        <v>0</v>
      </c>
      <c r="BZ103" s="7">
        <v>0</v>
      </c>
      <c r="CA103" s="7">
        <v>93</v>
      </c>
      <c r="CB103" s="9">
        <v>64.264881720430111</v>
      </c>
      <c r="CC103" s="9">
        <v>61.397494623655952</v>
      </c>
      <c r="CD103" s="9">
        <v>62.831541218637987</v>
      </c>
      <c r="CE103" s="9">
        <v>125.66237634408596</v>
      </c>
      <c r="CF103" s="7">
        <v>7</v>
      </c>
      <c r="CG103" s="7">
        <v>26</v>
      </c>
      <c r="CH103" s="7">
        <v>43</v>
      </c>
      <c r="CI103" s="7">
        <v>17</v>
      </c>
      <c r="CJ103" s="7">
        <v>0</v>
      </c>
      <c r="CK103" s="7">
        <v>0</v>
      </c>
      <c r="CL103" s="7">
        <v>8</v>
      </c>
      <c r="CM103" s="7">
        <v>34</v>
      </c>
      <c r="CN103" s="7">
        <v>41</v>
      </c>
      <c r="CO103" s="7">
        <v>10</v>
      </c>
      <c r="CP103" s="7">
        <v>0</v>
      </c>
      <c r="CQ103" s="7">
        <v>0</v>
      </c>
      <c r="CR103" s="7">
        <v>196</v>
      </c>
      <c r="CS103" s="9">
        <v>63.026862244897927</v>
      </c>
      <c r="CT103" s="9">
        <v>61.105127551020352</v>
      </c>
      <c r="CU103" s="9">
        <v>62.066326530612265</v>
      </c>
      <c r="CV103" s="9">
        <v>124.1319897959183</v>
      </c>
      <c r="CW103" s="7">
        <v>16</v>
      </c>
      <c r="CX103" s="7">
        <v>63</v>
      </c>
      <c r="CY103" s="7">
        <v>83</v>
      </c>
      <c r="CZ103" s="7">
        <v>34</v>
      </c>
      <c r="DA103" s="7">
        <v>0</v>
      </c>
      <c r="DB103" s="7">
        <v>0</v>
      </c>
      <c r="DC103" s="7">
        <v>16</v>
      </c>
      <c r="DD103" s="7">
        <v>78</v>
      </c>
      <c r="DE103" s="7">
        <v>76</v>
      </c>
      <c r="DF103" s="7">
        <v>26</v>
      </c>
      <c r="DG103" s="7">
        <v>0</v>
      </c>
      <c r="DH103" s="7">
        <v>0</v>
      </c>
      <c r="DI103" s="18">
        <f t="shared" si="12"/>
        <v>109</v>
      </c>
      <c r="DJ103" s="18">
        <f t="shared" si="13"/>
        <v>31</v>
      </c>
      <c r="DK103" s="18">
        <f t="shared" si="14"/>
        <v>93</v>
      </c>
      <c r="DL103" s="18">
        <f t="shared" si="15"/>
        <v>12</v>
      </c>
      <c r="DM103" s="18">
        <f t="shared" si="16"/>
        <v>4</v>
      </c>
      <c r="DN103" s="18">
        <f t="shared" si="17"/>
        <v>12</v>
      </c>
      <c r="DO103" s="18">
        <v>313</v>
      </c>
      <c r="DP103" s="18">
        <v>124</v>
      </c>
      <c r="DQ103" s="18">
        <v>313</v>
      </c>
      <c r="DR103" s="18">
        <v>26</v>
      </c>
      <c r="DS103" s="18">
        <v>11</v>
      </c>
      <c r="DT103" s="18">
        <v>26</v>
      </c>
      <c r="DU103" s="18" t="s">
        <v>74</v>
      </c>
    </row>
    <row r="104" spans="54:125" x14ac:dyDescent="0.25">
      <c r="BB104" s="7">
        <v>101</v>
      </c>
      <c r="BC104" s="7" t="s">
        <v>332</v>
      </c>
      <c r="BD104" s="23" t="s">
        <v>74</v>
      </c>
      <c r="BE104" s="26">
        <v>871711855</v>
      </c>
      <c r="BF104" s="25" t="s">
        <v>75</v>
      </c>
      <c r="BG104" s="7">
        <v>272</v>
      </c>
      <c r="BH104" s="7" t="s">
        <v>320</v>
      </c>
      <c r="BI104" s="7" t="s">
        <v>368</v>
      </c>
      <c r="BJ104" s="7">
        <v>159</v>
      </c>
      <c r="BK104" s="9">
        <v>62.725006289308141</v>
      </c>
      <c r="BL104" s="9">
        <v>58.091886792452797</v>
      </c>
      <c r="BM104" s="9">
        <v>60.408805031446555</v>
      </c>
      <c r="BN104" s="9">
        <v>120.81689308176092</v>
      </c>
      <c r="BO104" s="7">
        <v>18</v>
      </c>
      <c r="BP104" s="7">
        <v>43</v>
      </c>
      <c r="BQ104" s="7">
        <v>70</v>
      </c>
      <c r="BR104" s="7">
        <v>28</v>
      </c>
      <c r="BS104" s="7">
        <v>1</v>
      </c>
      <c r="BT104" s="7">
        <v>0</v>
      </c>
      <c r="BU104" s="7">
        <v>19</v>
      </c>
      <c r="BV104" s="7">
        <v>56</v>
      </c>
      <c r="BW104" s="7">
        <v>67</v>
      </c>
      <c r="BX104" s="7">
        <v>17</v>
      </c>
      <c r="BY104" s="7">
        <v>0</v>
      </c>
      <c r="BZ104" s="7">
        <v>0</v>
      </c>
      <c r="CA104" s="7">
        <v>28</v>
      </c>
      <c r="CB104" s="9">
        <v>47.142499999999984</v>
      </c>
      <c r="CC104" s="9">
        <v>41.190107142857144</v>
      </c>
      <c r="CD104" s="9">
        <v>44.166666666666686</v>
      </c>
      <c r="CE104" s="9">
        <v>88.332607142857114</v>
      </c>
      <c r="CF104" s="7">
        <v>8</v>
      </c>
      <c r="CG104" s="7">
        <v>12</v>
      </c>
      <c r="CH104" s="7">
        <v>7</v>
      </c>
      <c r="CI104" s="7">
        <v>1</v>
      </c>
      <c r="CJ104" s="7">
        <v>0</v>
      </c>
      <c r="CK104" s="7">
        <v>0</v>
      </c>
      <c r="CL104" s="7">
        <v>9</v>
      </c>
      <c r="CM104" s="7">
        <v>18</v>
      </c>
      <c r="CN104" s="7">
        <v>1</v>
      </c>
      <c r="CO104" s="7">
        <v>0</v>
      </c>
      <c r="CP104" s="7">
        <v>0</v>
      </c>
      <c r="CQ104" s="7">
        <v>0</v>
      </c>
      <c r="CR104" s="7">
        <v>187</v>
      </c>
      <c r="CS104" s="9">
        <v>60.391796791443802</v>
      </c>
      <c r="CT104" s="9">
        <v>55.561139037433101</v>
      </c>
      <c r="CU104" s="9">
        <v>57.976827094474167</v>
      </c>
      <c r="CV104" s="9">
        <v>115.95293582887693</v>
      </c>
      <c r="CW104" s="7">
        <v>26</v>
      </c>
      <c r="CX104" s="7">
        <v>55</v>
      </c>
      <c r="CY104" s="7">
        <v>77</v>
      </c>
      <c r="CZ104" s="7">
        <v>29</v>
      </c>
      <c r="DA104" s="7">
        <v>1</v>
      </c>
      <c r="DB104" s="7">
        <v>0</v>
      </c>
      <c r="DC104" s="7">
        <v>28</v>
      </c>
      <c r="DD104" s="7">
        <v>74</v>
      </c>
      <c r="DE104" s="7">
        <v>68</v>
      </c>
      <c r="DF104" s="7">
        <v>17</v>
      </c>
      <c r="DG104" s="7">
        <v>0</v>
      </c>
      <c r="DH104" s="7">
        <v>0</v>
      </c>
      <c r="DI104" s="18">
        <f t="shared" si="12"/>
        <v>130</v>
      </c>
      <c r="DJ104" s="18">
        <f t="shared" si="13"/>
        <v>123</v>
      </c>
      <c r="DK104" s="18">
        <f t="shared" si="14"/>
        <v>163</v>
      </c>
      <c r="DL104" s="18">
        <f t="shared" si="15"/>
        <v>15</v>
      </c>
      <c r="DM104" s="18">
        <f t="shared" si="16"/>
        <v>11</v>
      </c>
      <c r="DN104" s="18">
        <f t="shared" si="17"/>
        <v>15</v>
      </c>
      <c r="DO104" s="18">
        <v>313</v>
      </c>
      <c r="DP104" s="18">
        <v>124</v>
      </c>
      <c r="DQ104" s="18">
        <v>313</v>
      </c>
      <c r="DR104" s="18">
        <v>26</v>
      </c>
      <c r="DS104" s="18">
        <v>11</v>
      </c>
      <c r="DT104" s="18">
        <v>26</v>
      </c>
      <c r="DU104" s="18" t="s">
        <v>74</v>
      </c>
    </row>
    <row r="105" spans="54:125" x14ac:dyDescent="0.25">
      <c r="BB105" s="7">
        <v>102</v>
      </c>
      <c r="BC105" s="7" t="s">
        <v>332</v>
      </c>
      <c r="BD105" s="23" t="s">
        <v>74</v>
      </c>
      <c r="BE105" s="26">
        <v>369654617</v>
      </c>
      <c r="BF105" s="25" t="s">
        <v>342</v>
      </c>
      <c r="BG105" s="7">
        <v>277</v>
      </c>
      <c r="BH105" s="7" t="s">
        <v>324</v>
      </c>
      <c r="BI105" s="7" t="s">
        <v>368</v>
      </c>
      <c r="BJ105" s="7"/>
      <c r="BK105" s="9"/>
      <c r="BL105" s="9"/>
      <c r="BM105" s="9"/>
      <c r="BN105" s="9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9"/>
      <c r="CC105" s="9"/>
      <c r="CD105" s="9"/>
      <c r="CE105" s="9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9"/>
      <c r="CT105" s="9"/>
      <c r="CU105" s="9"/>
      <c r="CV105" s="9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18" t="str">
        <f t="shared" si="12"/>
        <v/>
      </c>
      <c r="DJ105" s="18" t="str">
        <f t="shared" si="13"/>
        <v/>
      </c>
      <c r="DK105" s="18" t="str">
        <f t="shared" si="14"/>
        <v/>
      </c>
      <c r="DL105" s="18" t="str">
        <f t="shared" si="15"/>
        <v/>
      </c>
      <c r="DM105" s="18" t="str">
        <f t="shared" si="16"/>
        <v/>
      </c>
      <c r="DN105" s="18" t="str">
        <f t="shared" si="17"/>
        <v/>
      </c>
      <c r="DO105" s="18">
        <v>313</v>
      </c>
      <c r="DP105" s="18">
        <v>124</v>
      </c>
      <c r="DQ105" s="18">
        <v>313</v>
      </c>
      <c r="DR105" s="18">
        <v>26</v>
      </c>
      <c r="DS105" s="18">
        <v>11</v>
      </c>
      <c r="DT105" s="18">
        <v>26</v>
      </c>
      <c r="DU105" s="18" t="s">
        <v>74</v>
      </c>
    </row>
    <row r="106" spans="54:125" x14ac:dyDescent="0.25">
      <c r="BB106" s="7">
        <v>103</v>
      </c>
      <c r="BC106" s="7" t="s">
        <v>332</v>
      </c>
      <c r="BD106" s="23" t="s">
        <v>74</v>
      </c>
      <c r="BE106" s="26">
        <v>885185622</v>
      </c>
      <c r="BF106" s="25" t="s">
        <v>81</v>
      </c>
      <c r="BG106" s="7">
        <v>312</v>
      </c>
      <c r="BH106" s="7" t="s">
        <v>320</v>
      </c>
      <c r="BI106" s="7" t="s">
        <v>367</v>
      </c>
      <c r="BJ106" s="7">
        <v>41</v>
      </c>
      <c r="BK106" s="9">
        <v>58.373609756097565</v>
      </c>
      <c r="BL106" s="9">
        <v>47.560634146341449</v>
      </c>
      <c r="BM106" s="9">
        <v>52.967479674796763</v>
      </c>
      <c r="BN106" s="9">
        <v>105.93424390243902</v>
      </c>
      <c r="BO106" s="7">
        <v>7</v>
      </c>
      <c r="BP106" s="7">
        <v>16</v>
      </c>
      <c r="BQ106" s="7">
        <v>10</v>
      </c>
      <c r="BR106" s="7">
        <v>8</v>
      </c>
      <c r="BS106" s="7">
        <v>0</v>
      </c>
      <c r="BT106" s="7">
        <v>0</v>
      </c>
      <c r="BU106" s="7">
        <v>8</v>
      </c>
      <c r="BV106" s="7">
        <v>23</v>
      </c>
      <c r="BW106" s="7">
        <v>8</v>
      </c>
      <c r="BX106" s="7">
        <v>2</v>
      </c>
      <c r="BY106" s="7">
        <v>0</v>
      </c>
      <c r="BZ106" s="7">
        <v>0</v>
      </c>
      <c r="CA106" s="7"/>
      <c r="CB106" s="9"/>
      <c r="CC106" s="9"/>
      <c r="CD106" s="9"/>
      <c r="CE106" s="9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>
        <v>41</v>
      </c>
      <c r="CS106" s="9">
        <v>58.373609756097565</v>
      </c>
      <c r="CT106" s="9">
        <v>47.560634146341449</v>
      </c>
      <c r="CU106" s="9">
        <v>52.967479674796763</v>
      </c>
      <c r="CV106" s="9">
        <v>105.93424390243902</v>
      </c>
      <c r="CW106" s="7">
        <v>7</v>
      </c>
      <c r="CX106" s="7">
        <v>16</v>
      </c>
      <c r="CY106" s="7">
        <v>10</v>
      </c>
      <c r="CZ106" s="7">
        <v>8</v>
      </c>
      <c r="DA106" s="7">
        <v>0</v>
      </c>
      <c r="DB106" s="7">
        <v>0</v>
      </c>
      <c r="DC106" s="7">
        <v>8</v>
      </c>
      <c r="DD106" s="7">
        <v>23</v>
      </c>
      <c r="DE106" s="7">
        <v>8</v>
      </c>
      <c r="DF106" s="7">
        <v>2</v>
      </c>
      <c r="DG106" s="7">
        <v>0</v>
      </c>
      <c r="DH106" s="7">
        <v>0</v>
      </c>
      <c r="DI106" s="18">
        <f t="shared" si="12"/>
        <v>253</v>
      </c>
      <c r="DJ106" s="18" t="str">
        <f t="shared" si="13"/>
        <v/>
      </c>
      <c r="DK106" s="18">
        <f t="shared" si="14"/>
        <v>257</v>
      </c>
      <c r="DL106" s="18">
        <f t="shared" si="15"/>
        <v>22</v>
      </c>
      <c r="DM106" s="18" t="str">
        <f t="shared" si="16"/>
        <v/>
      </c>
      <c r="DN106" s="18">
        <f t="shared" si="17"/>
        <v>22</v>
      </c>
      <c r="DO106" s="18">
        <v>313</v>
      </c>
      <c r="DP106" s="18">
        <v>124</v>
      </c>
      <c r="DQ106" s="18">
        <v>313</v>
      </c>
      <c r="DR106" s="18">
        <v>26</v>
      </c>
      <c r="DS106" s="18">
        <v>11</v>
      </c>
      <c r="DT106" s="18">
        <v>26</v>
      </c>
      <c r="DU106" s="18" t="s">
        <v>74</v>
      </c>
    </row>
    <row r="107" spans="54:125" x14ac:dyDescent="0.25">
      <c r="BB107" s="7">
        <v>104</v>
      </c>
      <c r="BC107" s="7" t="s">
        <v>332</v>
      </c>
      <c r="BD107" s="23" t="s">
        <v>74</v>
      </c>
      <c r="BE107" s="26">
        <v>334030022</v>
      </c>
      <c r="BF107" s="25" t="s">
        <v>80</v>
      </c>
      <c r="BG107" s="7">
        <v>328</v>
      </c>
      <c r="BH107" s="7" t="s">
        <v>320</v>
      </c>
      <c r="BI107" s="7" t="s">
        <v>367</v>
      </c>
      <c r="BJ107" s="7">
        <v>77</v>
      </c>
      <c r="BK107" s="9">
        <v>58.48450649350653</v>
      </c>
      <c r="BL107" s="9">
        <v>52.986714285714314</v>
      </c>
      <c r="BM107" s="9">
        <v>55.735930735930729</v>
      </c>
      <c r="BN107" s="9">
        <v>111.47122077922076</v>
      </c>
      <c r="BO107" s="7">
        <v>7</v>
      </c>
      <c r="BP107" s="7">
        <v>32</v>
      </c>
      <c r="BQ107" s="7">
        <v>29</v>
      </c>
      <c r="BR107" s="7">
        <v>9</v>
      </c>
      <c r="BS107" s="7">
        <v>0</v>
      </c>
      <c r="BT107" s="7">
        <v>0</v>
      </c>
      <c r="BU107" s="7">
        <v>16</v>
      </c>
      <c r="BV107" s="7">
        <v>31</v>
      </c>
      <c r="BW107" s="7">
        <v>24</v>
      </c>
      <c r="BX107" s="7">
        <v>6</v>
      </c>
      <c r="BY107" s="7">
        <v>0</v>
      </c>
      <c r="BZ107" s="7">
        <v>0</v>
      </c>
      <c r="CA107" s="7"/>
      <c r="CB107" s="9"/>
      <c r="CC107" s="9"/>
      <c r="CD107" s="9"/>
      <c r="CE107" s="9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>
        <v>77</v>
      </c>
      <c r="CS107" s="9">
        <v>58.48450649350653</v>
      </c>
      <c r="CT107" s="9">
        <v>52.986714285714314</v>
      </c>
      <c r="CU107" s="9">
        <v>55.735930735930729</v>
      </c>
      <c r="CV107" s="9">
        <v>111.47122077922076</v>
      </c>
      <c r="CW107" s="7">
        <v>7</v>
      </c>
      <c r="CX107" s="7">
        <v>32</v>
      </c>
      <c r="CY107" s="7">
        <v>29</v>
      </c>
      <c r="CZ107" s="7">
        <v>9</v>
      </c>
      <c r="DA107" s="7">
        <v>0</v>
      </c>
      <c r="DB107" s="7">
        <v>0</v>
      </c>
      <c r="DC107" s="7">
        <v>16</v>
      </c>
      <c r="DD107" s="7">
        <v>31</v>
      </c>
      <c r="DE107" s="7">
        <v>24</v>
      </c>
      <c r="DF107" s="7">
        <v>6</v>
      </c>
      <c r="DG107" s="7">
        <v>0</v>
      </c>
      <c r="DH107" s="7">
        <v>0</v>
      </c>
      <c r="DI107" s="18">
        <f t="shared" si="12"/>
        <v>206</v>
      </c>
      <c r="DJ107" s="18" t="str">
        <f t="shared" si="13"/>
        <v/>
      </c>
      <c r="DK107" s="18">
        <f t="shared" si="14"/>
        <v>205</v>
      </c>
      <c r="DL107" s="18">
        <f t="shared" si="15"/>
        <v>19</v>
      </c>
      <c r="DM107" s="18" t="str">
        <f t="shared" si="16"/>
        <v/>
      </c>
      <c r="DN107" s="18">
        <f t="shared" si="17"/>
        <v>19</v>
      </c>
      <c r="DO107" s="18">
        <v>313</v>
      </c>
      <c r="DP107" s="18">
        <v>124</v>
      </c>
      <c r="DQ107" s="18">
        <v>313</v>
      </c>
      <c r="DR107" s="18">
        <v>26</v>
      </c>
      <c r="DS107" s="18">
        <v>11</v>
      </c>
      <c r="DT107" s="18">
        <v>26</v>
      </c>
      <c r="DU107" s="18" t="s">
        <v>74</v>
      </c>
    </row>
    <row r="108" spans="54:125" x14ac:dyDescent="0.25">
      <c r="BB108" s="7">
        <v>105</v>
      </c>
      <c r="BC108" s="7" t="s">
        <v>332</v>
      </c>
      <c r="BD108" s="23" t="s">
        <v>6</v>
      </c>
      <c r="BE108" s="26">
        <v>543437996</v>
      </c>
      <c r="BF108" s="25" t="s">
        <v>7</v>
      </c>
      <c r="BG108" s="7">
        <v>131</v>
      </c>
      <c r="BH108" s="7" t="s">
        <v>320</v>
      </c>
      <c r="BI108" s="7" t="s">
        <v>367</v>
      </c>
      <c r="BJ108" s="7">
        <v>7</v>
      </c>
      <c r="BK108" s="9">
        <v>65.713999999999984</v>
      </c>
      <c r="BL108" s="9">
        <v>56.190285714285707</v>
      </c>
      <c r="BM108" s="9">
        <v>60.952380952380956</v>
      </c>
      <c r="BN108" s="9">
        <v>121.90428571428571</v>
      </c>
      <c r="BO108" s="7">
        <v>0</v>
      </c>
      <c r="BP108" s="7">
        <v>3</v>
      </c>
      <c r="BQ108" s="7">
        <v>3</v>
      </c>
      <c r="BR108" s="7">
        <v>1</v>
      </c>
      <c r="BS108" s="7">
        <v>0</v>
      </c>
      <c r="BT108" s="7">
        <v>0</v>
      </c>
      <c r="BU108" s="7">
        <v>0</v>
      </c>
      <c r="BV108" s="7">
        <v>5</v>
      </c>
      <c r="BW108" s="7">
        <v>2</v>
      </c>
      <c r="BX108" s="7">
        <v>0</v>
      </c>
      <c r="BY108" s="7">
        <v>0</v>
      </c>
      <c r="BZ108" s="7">
        <v>0</v>
      </c>
      <c r="CA108" s="7"/>
      <c r="CB108" s="9"/>
      <c r="CC108" s="9"/>
      <c r="CD108" s="9"/>
      <c r="CE108" s="9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>
        <v>7</v>
      </c>
      <c r="CS108" s="9">
        <v>65.713999999999984</v>
      </c>
      <c r="CT108" s="9">
        <v>56.190285714285707</v>
      </c>
      <c r="CU108" s="9">
        <v>60.952380952380956</v>
      </c>
      <c r="CV108" s="9">
        <v>121.90428571428571</v>
      </c>
      <c r="CW108" s="7">
        <v>0</v>
      </c>
      <c r="CX108" s="7">
        <v>3</v>
      </c>
      <c r="CY108" s="7">
        <v>3</v>
      </c>
      <c r="CZ108" s="7">
        <v>1</v>
      </c>
      <c r="DA108" s="7">
        <v>0</v>
      </c>
      <c r="DB108" s="7">
        <v>0</v>
      </c>
      <c r="DC108" s="7">
        <v>0</v>
      </c>
      <c r="DD108" s="7">
        <v>5</v>
      </c>
      <c r="DE108" s="7">
        <v>2</v>
      </c>
      <c r="DF108" s="7">
        <v>0</v>
      </c>
      <c r="DG108" s="7">
        <v>0</v>
      </c>
      <c r="DH108" s="7">
        <v>0</v>
      </c>
      <c r="DI108" s="18">
        <f t="shared" si="12"/>
        <v>118</v>
      </c>
      <c r="DJ108" s="18" t="str">
        <f t="shared" si="13"/>
        <v/>
      </c>
      <c r="DK108" s="18">
        <f t="shared" si="14"/>
        <v>114</v>
      </c>
      <c r="DL108" s="18">
        <f t="shared" ref="DL108:DL113" si="18">IF(BN108="","",(RANK(BN108,$BN$108:$BN$113)))</f>
        <v>3</v>
      </c>
      <c r="DM108" s="18" t="str">
        <f t="shared" ref="DM108:DM113" si="19">IF(CE108="","",(RANK(CE108,$CE$108:$CE$113)))</f>
        <v/>
      </c>
      <c r="DN108" s="18">
        <f t="shared" ref="DN108:DN113" si="20">IF(CV108="","",(RANK(CV108,$CV$108:$CV$113)))</f>
        <v>3</v>
      </c>
      <c r="DO108" s="18">
        <v>313</v>
      </c>
      <c r="DP108" s="18">
        <v>124</v>
      </c>
      <c r="DQ108" s="18">
        <v>313</v>
      </c>
      <c r="DR108" s="18">
        <v>6</v>
      </c>
      <c r="DS108" s="18">
        <v>2</v>
      </c>
      <c r="DT108" s="18">
        <v>6</v>
      </c>
      <c r="DU108" s="18" t="s">
        <v>6</v>
      </c>
    </row>
    <row r="109" spans="54:125" x14ac:dyDescent="0.25">
      <c r="BB109" s="7">
        <v>106</v>
      </c>
      <c r="BC109" s="7" t="s">
        <v>332</v>
      </c>
      <c r="BD109" s="23" t="s">
        <v>6</v>
      </c>
      <c r="BE109" s="26">
        <v>433275994</v>
      </c>
      <c r="BF109" s="25" t="s">
        <v>264</v>
      </c>
      <c r="BG109" s="7">
        <v>168</v>
      </c>
      <c r="BH109" s="7" t="s">
        <v>320</v>
      </c>
      <c r="BI109" s="7" t="s">
        <v>367</v>
      </c>
      <c r="BJ109" s="7">
        <v>71</v>
      </c>
      <c r="BK109" s="9">
        <v>66.055985915492982</v>
      </c>
      <c r="BL109" s="9">
        <v>58.966802816901435</v>
      </c>
      <c r="BM109" s="9">
        <v>62.511737089201873</v>
      </c>
      <c r="BN109" s="9">
        <v>125.02278873239435</v>
      </c>
      <c r="BO109" s="7">
        <v>7</v>
      </c>
      <c r="BP109" s="7">
        <v>20</v>
      </c>
      <c r="BQ109" s="7">
        <v>19</v>
      </c>
      <c r="BR109" s="7">
        <v>25</v>
      </c>
      <c r="BS109" s="7">
        <v>0</v>
      </c>
      <c r="BT109" s="7">
        <v>1</v>
      </c>
      <c r="BU109" s="7">
        <v>9</v>
      </c>
      <c r="BV109" s="7">
        <v>27</v>
      </c>
      <c r="BW109" s="7">
        <v>24</v>
      </c>
      <c r="BX109" s="7">
        <v>11</v>
      </c>
      <c r="BY109" s="7">
        <v>0</v>
      </c>
      <c r="BZ109" s="7">
        <v>0</v>
      </c>
      <c r="CA109" s="7"/>
      <c r="CB109" s="9"/>
      <c r="CC109" s="9"/>
      <c r="CD109" s="9"/>
      <c r="CE109" s="9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>
        <v>71</v>
      </c>
      <c r="CS109" s="9">
        <v>66.055985915492982</v>
      </c>
      <c r="CT109" s="9">
        <v>58.966802816901435</v>
      </c>
      <c r="CU109" s="9">
        <v>62.511737089201873</v>
      </c>
      <c r="CV109" s="9">
        <v>125.02278873239435</v>
      </c>
      <c r="CW109" s="7">
        <v>7</v>
      </c>
      <c r="CX109" s="7">
        <v>20</v>
      </c>
      <c r="CY109" s="7">
        <v>19</v>
      </c>
      <c r="CZ109" s="7">
        <v>25</v>
      </c>
      <c r="DA109" s="7">
        <v>0</v>
      </c>
      <c r="DB109" s="7">
        <v>1</v>
      </c>
      <c r="DC109" s="7">
        <v>9</v>
      </c>
      <c r="DD109" s="7">
        <v>27</v>
      </c>
      <c r="DE109" s="7">
        <v>24</v>
      </c>
      <c r="DF109" s="7">
        <v>11</v>
      </c>
      <c r="DG109" s="7">
        <v>0</v>
      </c>
      <c r="DH109" s="7">
        <v>0</v>
      </c>
      <c r="DI109" s="18">
        <f t="shared" si="12"/>
        <v>95</v>
      </c>
      <c r="DJ109" s="18" t="str">
        <f t="shared" si="13"/>
        <v/>
      </c>
      <c r="DK109" s="18">
        <f t="shared" si="14"/>
        <v>82</v>
      </c>
      <c r="DL109" s="18">
        <f t="shared" si="18"/>
        <v>2</v>
      </c>
      <c r="DM109" s="18" t="str">
        <f t="shared" si="19"/>
        <v/>
      </c>
      <c r="DN109" s="18">
        <f t="shared" si="20"/>
        <v>2</v>
      </c>
      <c r="DO109" s="18">
        <v>313</v>
      </c>
      <c r="DP109" s="18">
        <v>124</v>
      </c>
      <c r="DQ109" s="18">
        <v>313</v>
      </c>
      <c r="DR109" s="18">
        <v>6</v>
      </c>
      <c r="DS109" s="18">
        <v>2</v>
      </c>
      <c r="DT109" s="18">
        <v>6</v>
      </c>
      <c r="DU109" s="18" t="s">
        <v>6</v>
      </c>
    </row>
    <row r="110" spans="54:125" x14ac:dyDescent="0.25">
      <c r="BB110" s="7">
        <v>107</v>
      </c>
      <c r="BC110" s="7" t="s">
        <v>332</v>
      </c>
      <c r="BD110" s="23" t="s">
        <v>6</v>
      </c>
      <c r="BE110" s="26">
        <v>240332213</v>
      </c>
      <c r="BF110" s="25" t="s">
        <v>267</v>
      </c>
      <c r="BG110" s="7">
        <v>186</v>
      </c>
      <c r="BH110" s="7" t="s">
        <v>320</v>
      </c>
      <c r="BI110" s="7" t="s">
        <v>368</v>
      </c>
      <c r="BJ110" s="7">
        <v>41</v>
      </c>
      <c r="BK110" s="9">
        <v>56.341146341463428</v>
      </c>
      <c r="BL110" s="9">
        <v>50.48748780487805</v>
      </c>
      <c r="BM110" s="9">
        <v>53.414634146341442</v>
      </c>
      <c r="BN110" s="9">
        <v>106.82863414634151</v>
      </c>
      <c r="BO110" s="7">
        <v>10</v>
      </c>
      <c r="BP110" s="7">
        <v>9</v>
      </c>
      <c r="BQ110" s="7">
        <v>14</v>
      </c>
      <c r="BR110" s="7">
        <v>8</v>
      </c>
      <c r="BS110" s="7">
        <v>2</v>
      </c>
      <c r="BT110" s="7">
        <v>0</v>
      </c>
      <c r="BU110" s="7">
        <v>9</v>
      </c>
      <c r="BV110" s="7">
        <v>15</v>
      </c>
      <c r="BW110" s="7">
        <v>15</v>
      </c>
      <c r="BX110" s="7">
        <v>2</v>
      </c>
      <c r="BY110" s="7">
        <v>0</v>
      </c>
      <c r="BZ110" s="7">
        <v>0</v>
      </c>
      <c r="CA110" s="7">
        <v>21</v>
      </c>
      <c r="CB110" s="9">
        <v>63.333095238095247</v>
      </c>
      <c r="CC110" s="9">
        <v>56.031428571428556</v>
      </c>
      <c r="CD110" s="9">
        <v>59.682539682539677</v>
      </c>
      <c r="CE110" s="9">
        <v>119.3645238095238</v>
      </c>
      <c r="CF110" s="7">
        <v>3</v>
      </c>
      <c r="CG110" s="7">
        <v>5</v>
      </c>
      <c r="CH110" s="7">
        <v>9</v>
      </c>
      <c r="CI110" s="7">
        <v>4</v>
      </c>
      <c r="CJ110" s="7">
        <v>0</v>
      </c>
      <c r="CK110" s="7">
        <v>0</v>
      </c>
      <c r="CL110" s="7">
        <v>2</v>
      </c>
      <c r="CM110" s="7">
        <v>11</v>
      </c>
      <c r="CN110" s="7">
        <v>7</v>
      </c>
      <c r="CO110" s="7">
        <v>1</v>
      </c>
      <c r="CP110" s="7">
        <v>0</v>
      </c>
      <c r="CQ110" s="7">
        <v>0</v>
      </c>
      <c r="CR110" s="7">
        <v>62</v>
      </c>
      <c r="CS110" s="9">
        <v>58.709387096774222</v>
      </c>
      <c r="CT110" s="9">
        <v>52.365274193548416</v>
      </c>
      <c r="CU110" s="9">
        <v>55.537634408602138</v>
      </c>
      <c r="CV110" s="9">
        <v>111.0746612903226</v>
      </c>
      <c r="CW110" s="7">
        <v>13</v>
      </c>
      <c r="CX110" s="7">
        <v>14</v>
      </c>
      <c r="CY110" s="7">
        <v>23</v>
      </c>
      <c r="CZ110" s="7">
        <v>12</v>
      </c>
      <c r="DA110" s="7">
        <v>2</v>
      </c>
      <c r="DB110" s="7">
        <v>0</v>
      </c>
      <c r="DC110" s="7">
        <v>11</v>
      </c>
      <c r="DD110" s="7">
        <v>26</v>
      </c>
      <c r="DE110" s="7">
        <v>22</v>
      </c>
      <c r="DF110" s="7">
        <v>3</v>
      </c>
      <c r="DG110" s="7">
        <v>0</v>
      </c>
      <c r="DH110" s="7">
        <v>0</v>
      </c>
      <c r="DI110" s="18">
        <f t="shared" si="12"/>
        <v>247</v>
      </c>
      <c r="DJ110" s="18">
        <f t="shared" si="13"/>
        <v>60</v>
      </c>
      <c r="DK110" s="18">
        <f t="shared" si="14"/>
        <v>212</v>
      </c>
      <c r="DL110" s="18">
        <f t="shared" si="18"/>
        <v>6</v>
      </c>
      <c r="DM110" s="18">
        <f t="shared" si="19"/>
        <v>2</v>
      </c>
      <c r="DN110" s="18">
        <f t="shared" si="20"/>
        <v>6</v>
      </c>
      <c r="DO110" s="18">
        <v>313</v>
      </c>
      <c r="DP110" s="18">
        <v>124</v>
      </c>
      <c r="DQ110" s="18">
        <v>313</v>
      </c>
      <c r="DR110" s="18">
        <v>6</v>
      </c>
      <c r="DS110" s="18">
        <v>2</v>
      </c>
      <c r="DT110" s="18">
        <v>6</v>
      </c>
      <c r="DU110" s="18" t="s">
        <v>6</v>
      </c>
    </row>
    <row r="111" spans="54:125" x14ac:dyDescent="0.25">
      <c r="BB111" s="7">
        <v>108</v>
      </c>
      <c r="BC111" s="7" t="s">
        <v>332</v>
      </c>
      <c r="BD111" s="23" t="s">
        <v>6</v>
      </c>
      <c r="BE111" s="26">
        <v>239610496</v>
      </c>
      <c r="BF111" s="25" t="s">
        <v>343</v>
      </c>
      <c r="BG111" s="7">
        <v>231</v>
      </c>
      <c r="BH111" s="7" t="s">
        <v>320</v>
      </c>
      <c r="BI111" s="7" t="s">
        <v>367</v>
      </c>
      <c r="BJ111" s="7">
        <v>14</v>
      </c>
      <c r="BK111" s="9">
        <v>60.237714285714276</v>
      </c>
      <c r="BL111" s="9">
        <v>52.380714285714284</v>
      </c>
      <c r="BM111" s="9">
        <v>56.30952380952381</v>
      </c>
      <c r="BN111" s="9">
        <v>112.61842857142857</v>
      </c>
      <c r="BO111" s="7">
        <v>2</v>
      </c>
      <c r="BP111" s="7">
        <v>6</v>
      </c>
      <c r="BQ111" s="7">
        <v>3</v>
      </c>
      <c r="BR111" s="7">
        <v>3</v>
      </c>
      <c r="BS111" s="7">
        <v>0</v>
      </c>
      <c r="BT111" s="7">
        <v>0</v>
      </c>
      <c r="BU111" s="7">
        <v>3</v>
      </c>
      <c r="BV111" s="7">
        <v>7</v>
      </c>
      <c r="BW111" s="7">
        <v>2</v>
      </c>
      <c r="BX111" s="7">
        <v>2</v>
      </c>
      <c r="BY111" s="7">
        <v>0</v>
      </c>
      <c r="BZ111" s="7">
        <v>0</v>
      </c>
      <c r="CA111" s="7"/>
      <c r="CB111" s="9"/>
      <c r="CC111" s="9"/>
      <c r="CD111" s="9"/>
      <c r="CE111" s="9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>
        <v>14</v>
      </c>
      <c r="CS111" s="9">
        <v>60.237714285714276</v>
      </c>
      <c r="CT111" s="9">
        <v>52.380714285714284</v>
      </c>
      <c r="CU111" s="9">
        <v>56.30952380952381</v>
      </c>
      <c r="CV111" s="9">
        <v>112.61842857142857</v>
      </c>
      <c r="CW111" s="7">
        <v>2</v>
      </c>
      <c r="CX111" s="7">
        <v>6</v>
      </c>
      <c r="CY111" s="7">
        <v>3</v>
      </c>
      <c r="CZ111" s="7">
        <v>3</v>
      </c>
      <c r="DA111" s="7">
        <v>0</v>
      </c>
      <c r="DB111" s="7">
        <v>0</v>
      </c>
      <c r="DC111" s="7">
        <v>3</v>
      </c>
      <c r="DD111" s="7">
        <v>7</v>
      </c>
      <c r="DE111" s="7">
        <v>2</v>
      </c>
      <c r="DF111" s="7">
        <v>2</v>
      </c>
      <c r="DG111" s="7">
        <v>0</v>
      </c>
      <c r="DH111" s="7">
        <v>0</v>
      </c>
      <c r="DI111" s="18">
        <f t="shared" si="12"/>
        <v>197</v>
      </c>
      <c r="DJ111" s="18" t="str">
        <f t="shared" si="13"/>
        <v/>
      </c>
      <c r="DK111" s="18">
        <f t="shared" si="14"/>
        <v>196</v>
      </c>
      <c r="DL111" s="18">
        <f t="shared" si="18"/>
        <v>5</v>
      </c>
      <c r="DM111" s="18" t="str">
        <f t="shared" si="19"/>
        <v/>
      </c>
      <c r="DN111" s="18">
        <f t="shared" si="20"/>
        <v>5</v>
      </c>
      <c r="DO111" s="18">
        <v>313</v>
      </c>
      <c r="DP111" s="18">
        <v>124</v>
      </c>
      <c r="DQ111" s="18">
        <v>313</v>
      </c>
      <c r="DR111" s="18">
        <v>6</v>
      </c>
      <c r="DS111" s="18">
        <v>2</v>
      </c>
      <c r="DT111" s="18">
        <v>6</v>
      </c>
      <c r="DU111" s="18" t="s">
        <v>6</v>
      </c>
    </row>
    <row r="112" spans="54:125" x14ac:dyDescent="0.25">
      <c r="BB112" s="7">
        <v>109</v>
      </c>
      <c r="BC112" s="7" t="s">
        <v>332</v>
      </c>
      <c r="BD112" s="23" t="s">
        <v>6</v>
      </c>
      <c r="BE112" s="26">
        <v>962618910</v>
      </c>
      <c r="BF112" s="25" t="s">
        <v>276</v>
      </c>
      <c r="BG112" s="7">
        <v>235</v>
      </c>
      <c r="BH112" s="7" t="s">
        <v>320</v>
      </c>
      <c r="BI112" s="7" t="s">
        <v>368</v>
      </c>
      <c r="BJ112" s="7">
        <v>51</v>
      </c>
      <c r="BK112" s="9">
        <v>67.254568627451022</v>
      </c>
      <c r="BL112" s="9">
        <v>63.07166666666668</v>
      </c>
      <c r="BM112" s="9">
        <v>65.16339869281046</v>
      </c>
      <c r="BN112" s="9">
        <v>130.32623529411765</v>
      </c>
      <c r="BO112" s="7">
        <v>1</v>
      </c>
      <c r="BP112" s="7">
        <v>21</v>
      </c>
      <c r="BQ112" s="7">
        <v>16</v>
      </c>
      <c r="BR112" s="7">
        <v>13</v>
      </c>
      <c r="BS112" s="7">
        <v>0</v>
      </c>
      <c r="BT112" s="7">
        <v>2</v>
      </c>
      <c r="BU112" s="7">
        <v>1</v>
      </c>
      <c r="BV112" s="7">
        <v>26</v>
      </c>
      <c r="BW112" s="7">
        <v>20</v>
      </c>
      <c r="BX112" s="7">
        <v>4</v>
      </c>
      <c r="BY112" s="7">
        <v>0</v>
      </c>
      <c r="BZ112" s="7">
        <v>0</v>
      </c>
      <c r="CA112" s="7">
        <v>36</v>
      </c>
      <c r="CB112" s="9">
        <v>63.055222222222241</v>
      </c>
      <c r="CC112" s="9">
        <v>56.481111111111112</v>
      </c>
      <c r="CD112" s="9">
        <v>59.768518518518512</v>
      </c>
      <c r="CE112" s="9">
        <v>119.53633333333333</v>
      </c>
      <c r="CF112" s="7">
        <v>1</v>
      </c>
      <c r="CG112" s="7">
        <v>14</v>
      </c>
      <c r="CH112" s="7">
        <v>14</v>
      </c>
      <c r="CI112" s="7">
        <v>7</v>
      </c>
      <c r="CJ112" s="7">
        <v>0</v>
      </c>
      <c r="CK112" s="7">
        <v>0</v>
      </c>
      <c r="CL112" s="7">
        <v>6</v>
      </c>
      <c r="CM112" s="7">
        <v>15</v>
      </c>
      <c r="CN112" s="7">
        <v>10</v>
      </c>
      <c r="CO112" s="7">
        <v>5</v>
      </c>
      <c r="CP112" s="7">
        <v>0</v>
      </c>
      <c r="CQ112" s="7">
        <v>0</v>
      </c>
      <c r="CR112" s="7">
        <v>87</v>
      </c>
      <c r="CS112" s="9">
        <v>65.516908045977033</v>
      </c>
      <c r="CT112" s="9">
        <v>60.344540229885062</v>
      </c>
      <c r="CU112" s="9">
        <v>62.931034482758619</v>
      </c>
      <c r="CV112" s="9">
        <v>125.86144827586203</v>
      </c>
      <c r="CW112" s="7">
        <v>2</v>
      </c>
      <c r="CX112" s="7">
        <v>35</v>
      </c>
      <c r="CY112" s="7">
        <v>30</v>
      </c>
      <c r="CZ112" s="7">
        <v>20</v>
      </c>
      <c r="DA112" s="7">
        <v>0</v>
      </c>
      <c r="DB112" s="7">
        <v>2</v>
      </c>
      <c r="DC112" s="7">
        <v>7</v>
      </c>
      <c r="DD112" s="7">
        <v>41</v>
      </c>
      <c r="DE112" s="7">
        <v>30</v>
      </c>
      <c r="DF112" s="7">
        <v>9</v>
      </c>
      <c r="DG112" s="7">
        <v>0</v>
      </c>
      <c r="DH112" s="7">
        <v>0</v>
      </c>
      <c r="DI112" s="18">
        <f t="shared" si="12"/>
        <v>55</v>
      </c>
      <c r="DJ112" s="18">
        <f t="shared" si="13"/>
        <v>59</v>
      </c>
      <c r="DK112" s="18">
        <f t="shared" si="14"/>
        <v>74</v>
      </c>
      <c r="DL112" s="18">
        <f t="shared" si="18"/>
        <v>1</v>
      </c>
      <c r="DM112" s="18">
        <f t="shared" si="19"/>
        <v>1</v>
      </c>
      <c r="DN112" s="18">
        <f t="shared" si="20"/>
        <v>1</v>
      </c>
      <c r="DO112" s="18">
        <v>313</v>
      </c>
      <c r="DP112" s="18">
        <v>124</v>
      </c>
      <c r="DQ112" s="18">
        <v>313</v>
      </c>
      <c r="DR112" s="18">
        <v>6</v>
      </c>
      <c r="DS112" s="18">
        <v>2</v>
      </c>
      <c r="DT112" s="18">
        <v>6</v>
      </c>
      <c r="DU112" s="18" t="s">
        <v>6</v>
      </c>
    </row>
    <row r="113" spans="54:125" x14ac:dyDescent="0.25">
      <c r="BB113" s="7">
        <v>110</v>
      </c>
      <c r="BC113" s="7" t="s">
        <v>332</v>
      </c>
      <c r="BD113" s="23" t="s">
        <v>6</v>
      </c>
      <c r="BE113" s="26">
        <v>101504852</v>
      </c>
      <c r="BF113" s="25" t="s">
        <v>344</v>
      </c>
      <c r="BG113" s="7">
        <v>243</v>
      </c>
      <c r="BH113" s="7" t="s">
        <v>320</v>
      </c>
      <c r="BI113" s="14" t="s">
        <v>368</v>
      </c>
      <c r="BJ113" s="7">
        <v>16</v>
      </c>
      <c r="BK113" s="9">
        <v>61.666312499999989</v>
      </c>
      <c r="BL113" s="9">
        <v>52.916312499999982</v>
      </c>
      <c r="BM113" s="9">
        <v>57.291666666666664</v>
      </c>
      <c r="BN113" s="9">
        <v>114.58262500000001</v>
      </c>
      <c r="BO113" s="7">
        <v>1</v>
      </c>
      <c r="BP113" s="7">
        <v>8</v>
      </c>
      <c r="BQ113" s="7">
        <v>3</v>
      </c>
      <c r="BR113" s="7">
        <v>4</v>
      </c>
      <c r="BS113" s="7">
        <v>0</v>
      </c>
      <c r="BT113" s="7">
        <v>0</v>
      </c>
      <c r="BU113" s="7">
        <v>1</v>
      </c>
      <c r="BV113" s="7">
        <v>10</v>
      </c>
      <c r="BW113" s="7">
        <v>4</v>
      </c>
      <c r="BX113" s="7">
        <v>1</v>
      </c>
      <c r="BY113" s="7">
        <v>0</v>
      </c>
      <c r="BZ113" s="7">
        <v>0</v>
      </c>
      <c r="CA113" s="7"/>
      <c r="CB113" s="9"/>
      <c r="CC113" s="9"/>
      <c r="CD113" s="9"/>
      <c r="CE113" s="9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>
        <v>16</v>
      </c>
      <c r="CS113" s="9">
        <v>61.666312499999989</v>
      </c>
      <c r="CT113" s="9">
        <v>52.916312499999982</v>
      </c>
      <c r="CU113" s="9">
        <v>57.291666666666664</v>
      </c>
      <c r="CV113" s="9">
        <v>114.58262500000001</v>
      </c>
      <c r="CW113" s="7">
        <v>1</v>
      </c>
      <c r="CX113" s="7">
        <v>8</v>
      </c>
      <c r="CY113" s="7">
        <v>3</v>
      </c>
      <c r="CZ113" s="7">
        <v>4</v>
      </c>
      <c r="DA113" s="7">
        <v>0</v>
      </c>
      <c r="DB113" s="7">
        <v>0</v>
      </c>
      <c r="DC113" s="7">
        <v>1</v>
      </c>
      <c r="DD113" s="7">
        <v>10</v>
      </c>
      <c r="DE113" s="7">
        <v>4</v>
      </c>
      <c r="DF113" s="7">
        <v>1</v>
      </c>
      <c r="DG113" s="7">
        <v>0</v>
      </c>
      <c r="DH113" s="7">
        <v>0</v>
      </c>
      <c r="DI113" s="18">
        <f t="shared" si="12"/>
        <v>182</v>
      </c>
      <c r="DJ113" s="18" t="str">
        <f t="shared" si="13"/>
        <v/>
      </c>
      <c r="DK113" s="18">
        <f t="shared" si="14"/>
        <v>179</v>
      </c>
      <c r="DL113" s="18">
        <f t="shared" si="18"/>
        <v>4</v>
      </c>
      <c r="DM113" s="18" t="str">
        <f t="shared" si="19"/>
        <v/>
      </c>
      <c r="DN113" s="18">
        <f t="shared" si="20"/>
        <v>4</v>
      </c>
      <c r="DO113" s="18">
        <v>313</v>
      </c>
      <c r="DP113" s="18">
        <v>124</v>
      </c>
      <c r="DQ113" s="18">
        <v>313</v>
      </c>
      <c r="DR113" s="18">
        <v>6</v>
      </c>
      <c r="DS113" s="18">
        <v>2</v>
      </c>
      <c r="DT113" s="18">
        <v>6</v>
      </c>
      <c r="DU113" s="18" t="s">
        <v>6</v>
      </c>
    </row>
    <row r="114" spans="54:125" x14ac:dyDescent="0.25">
      <c r="BB114" s="7">
        <v>111</v>
      </c>
      <c r="BC114" s="7" t="s">
        <v>332</v>
      </c>
      <c r="BD114" s="23" t="s">
        <v>97</v>
      </c>
      <c r="BE114" s="26"/>
      <c r="BF114" s="25"/>
      <c r="BG114" s="7">
        <v>7</v>
      </c>
      <c r="BH114" s="7" t="s">
        <v>321</v>
      </c>
      <c r="BI114" s="7"/>
      <c r="BJ114" s="7"/>
      <c r="BK114" s="9"/>
      <c r="BL114" s="9"/>
      <c r="BM114" s="9"/>
      <c r="BN114" s="9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9"/>
      <c r="CC114" s="9"/>
      <c r="CD114" s="9"/>
      <c r="CE114" s="9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9"/>
      <c r="CT114" s="9"/>
      <c r="CU114" s="9"/>
      <c r="CV114" s="9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18" t="str">
        <f t="shared" si="12"/>
        <v/>
      </c>
      <c r="DJ114" s="18" t="str">
        <f t="shared" si="13"/>
        <v/>
      </c>
      <c r="DK114" s="18" t="str">
        <f t="shared" si="14"/>
        <v/>
      </c>
      <c r="DL114" s="18" t="str">
        <f t="shared" ref="DL114:DL140" si="21">IF(BN114="","",(RANK(BN114,$BN$114:$BN$140)))</f>
        <v/>
      </c>
      <c r="DM114" s="18" t="str">
        <f t="shared" ref="DM114:DM140" si="22">IF(CE114="","",(RANK(CE114,$CE$114:$CE$140)))</f>
        <v/>
      </c>
      <c r="DN114" s="18" t="str">
        <f t="shared" ref="DN114:DN140" si="23">IF(CV114="","",(RANK(CV114,$CV$114:$CV$140)))</f>
        <v/>
      </c>
      <c r="DO114" s="18">
        <v>313</v>
      </c>
      <c r="DP114" s="18">
        <v>124</v>
      </c>
      <c r="DQ114" s="18">
        <v>313</v>
      </c>
      <c r="DU114" s="18" t="s">
        <v>97</v>
      </c>
    </row>
    <row r="115" spans="54:125" x14ac:dyDescent="0.25">
      <c r="BB115" s="7">
        <v>112</v>
      </c>
      <c r="BC115" s="7" t="s">
        <v>332</v>
      </c>
      <c r="BD115" s="23" t="s">
        <v>97</v>
      </c>
      <c r="BE115" s="26">
        <v>271705940</v>
      </c>
      <c r="BF115" s="25" t="s">
        <v>113</v>
      </c>
      <c r="BG115" s="7">
        <v>105</v>
      </c>
      <c r="BH115" s="7" t="s">
        <v>320</v>
      </c>
      <c r="BI115" s="7" t="s">
        <v>367</v>
      </c>
      <c r="BJ115" s="7">
        <v>45</v>
      </c>
      <c r="BK115" s="9">
        <v>44.147799999999997</v>
      </c>
      <c r="BL115" s="9">
        <v>36.962644444444443</v>
      </c>
      <c r="BM115" s="9">
        <v>40.555555555555557</v>
      </c>
      <c r="BN115" s="9">
        <v>81.11044444444444</v>
      </c>
      <c r="BO115" s="7">
        <v>15</v>
      </c>
      <c r="BP115" s="7">
        <v>20</v>
      </c>
      <c r="BQ115" s="7">
        <v>8</v>
      </c>
      <c r="BR115" s="7">
        <v>2</v>
      </c>
      <c r="BS115" s="7">
        <v>0</v>
      </c>
      <c r="BT115" s="7">
        <v>0</v>
      </c>
      <c r="BU115" s="7">
        <v>20</v>
      </c>
      <c r="BV115" s="7">
        <v>21</v>
      </c>
      <c r="BW115" s="7">
        <v>4</v>
      </c>
      <c r="BX115" s="7">
        <v>0</v>
      </c>
      <c r="BY115" s="7">
        <v>0</v>
      </c>
      <c r="BZ115" s="7">
        <v>0</v>
      </c>
      <c r="CA115" s="7"/>
      <c r="CB115" s="9"/>
      <c r="CC115" s="9"/>
      <c r="CD115" s="9"/>
      <c r="CE115" s="9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>
        <v>45</v>
      </c>
      <c r="CS115" s="9">
        <v>44.147799999999997</v>
      </c>
      <c r="CT115" s="9">
        <v>36.962644444444443</v>
      </c>
      <c r="CU115" s="9">
        <v>40.555555555555557</v>
      </c>
      <c r="CV115" s="9">
        <v>81.11044444444444</v>
      </c>
      <c r="CW115" s="7">
        <v>15</v>
      </c>
      <c r="CX115" s="7">
        <v>20</v>
      </c>
      <c r="CY115" s="7">
        <v>8</v>
      </c>
      <c r="CZ115" s="7">
        <v>2</v>
      </c>
      <c r="DA115" s="7">
        <v>0</v>
      </c>
      <c r="DB115" s="7">
        <v>0</v>
      </c>
      <c r="DC115" s="7">
        <v>20</v>
      </c>
      <c r="DD115" s="7">
        <v>21</v>
      </c>
      <c r="DE115" s="7">
        <v>4</v>
      </c>
      <c r="DF115" s="7">
        <v>0</v>
      </c>
      <c r="DG115" s="7">
        <v>0</v>
      </c>
      <c r="DH115" s="7">
        <v>0</v>
      </c>
      <c r="DI115" s="18">
        <f t="shared" si="12"/>
        <v>299</v>
      </c>
      <c r="DJ115" s="18" t="str">
        <f t="shared" si="13"/>
        <v/>
      </c>
      <c r="DK115" s="18">
        <f t="shared" si="14"/>
        <v>300</v>
      </c>
      <c r="DL115" s="18">
        <f t="shared" si="21"/>
        <v>24</v>
      </c>
      <c r="DM115" s="18" t="str">
        <f t="shared" si="22"/>
        <v/>
      </c>
      <c r="DN115" s="18">
        <f t="shared" si="23"/>
        <v>24</v>
      </c>
      <c r="DO115" s="18">
        <v>313</v>
      </c>
      <c r="DP115" s="18">
        <v>124</v>
      </c>
      <c r="DQ115" s="18">
        <v>313</v>
      </c>
      <c r="DR115" s="18">
        <v>26</v>
      </c>
      <c r="DS115" s="18">
        <v>5</v>
      </c>
      <c r="DT115" s="18">
        <v>26</v>
      </c>
      <c r="DU115" s="18" t="s">
        <v>97</v>
      </c>
    </row>
    <row r="116" spans="54:125" x14ac:dyDescent="0.25">
      <c r="BB116" s="7">
        <v>113</v>
      </c>
      <c r="BC116" s="7" t="s">
        <v>332</v>
      </c>
      <c r="BD116" s="23" t="s">
        <v>97</v>
      </c>
      <c r="BE116" s="26">
        <v>228726967</v>
      </c>
      <c r="BF116" s="25" t="s">
        <v>100</v>
      </c>
      <c r="BG116" s="7">
        <v>106</v>
      </c>
      <c r="BH116" s="7" t="s">
        <v>320</v>
      </c>
      <c r="BI116" s="7" t="s">
        <v>367</v>
      </c>
      <c r="BJ116" s="7">
        <v>180</v>
      </c>
      <c r="BK116" s="9">
        <v>62.740411111111065</v>
      </c>
      <c r="BL116" s="9">
        <v>54.944083333333303</v>
      </c>
      <c r="BM116" s="9">
        <v>58.842592592592581</v>
      </c>
      <c r="BN116" s="9">
        <v>117.68449444444434</v>
      </c>
      <c r="BO116" s="7">
        <v>15</v>
      </c>
      <c r="BP116" s="7">
        <v>59</v>
      </c>
      <c r="BQ116" s="7">
        <v>70</v>
      </c>
      <c r="BR116" s="7">
        <v>36</v>
      </c>
      <c r="BS116" s="7">
        <v>3</v>
      </c>
      <c r="BT116" s="7">
        <v>0</v>
      </c>
      <c r="BU116" s="7">
        <v>21</v>
      </c>
      <c r="BV116" s="7">
        <v>83</v>
      </c>
      <c r="BW116" s="7">
        <v>54</v>
      </c>
      <c r="BX116" s="7">
        <v>22</v>
      </c>
      <c r="BY116" s="7">
        <v>0</v>
      </c>
      <c r="BZ116" s="7">
        <v>0</v>
      </c>
      <c r="CA116" s="7"/>
      <c r="CB116" s="9"/>
      <c r="CC116" s="9"/>
      <c r="CD116" s="9"/>
      <c r="CE116" s="9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>
        <v>180</v>
      </c>
      <c r="CS116" s="9">
        <v>62.740411111111065</v>
      </c>
      <c r="CT116" s="9">
        <v>54.944083333333303</v>
      </c>
      <c r="CU116" s="9">
        <v>58.842592592592581</v>
      </c>
      <c r="CV116" s="9">
        <v>117.68449444444434</v>
      </c>
      <c r="CW116" s="7">
        <v>15</v>
      </c>
      <c r="CX116" s="7">
        <v>59</v>
      </c>
      <c r="CY116" s="7">
        <v>70</v>
      </c>
      <c r="CZ116" s="7">
        <v>36</v>
      </c>
      <c r="DA116" s="7">
        <v>3</v>
      </c>
      <c r="DB116" s="7">
        <v>0</v>
      </c>
      <c r="DC116" s="7">
        <v>21</v>
      </c>
      <c r="DD116" s="7">
        <v>83</v>
      </c>
      <c r="DE116" s="7">
        <v>54</v>
      </c>
      <c r="DF116" s="7">
        <v>22</v>
      </c>
      <c r="DG116" s="7">
        <v>0</v>
      </c>
      <c r="DH116" s="7">
        <v>0</v>
      </c>
      <c r="DI116" s="18">
        <f t="shared" si="12"/>
        <v>157</v>
      </c>
      <c r="DJ116" s="18" t="str">
        <f t="shared" si="13"/>
        <v/>
      </c>
      <c r="DK116" s="18">
        <f t="shared" si="14"/>
        <v>152</v>
      </c>
      <c r="DL116" s="18">
        <f t="shared" si="21"/>
        <v>5</v>
      </c>
      <c r="DM116" s="18" t="str">
        <f t="shared" si="22"/>
        <v/>
      </c>
      <c r="DN116" s="18">
        <f t="shared" si="23"/>
        <v>5</v>
      </c>
      <c r="DO116" s="18">
        <v>313</v>
      </c>
      <c r="DP116" s="18">
        <v>124</v>
      </c>
      <c r="DQ116" s="18">
        <v>313</v>
      </c>
      <c r="DR116" s="18">
        <v>26</v>
      </c>
      <c r="DS116" s="18">
        <v>5</v>
      </c>
      <c r="DT116" s="18">
        <v>26</v>
      </c>
      <c r="DU116" s="18" t="s">
        <v>97</v>
      </c>
    </row>
    <row r="117" spans="54:125" x14ac:dyDescent="0.25">
      <c r="BB117" s="7">
        <v>114</v>
      </c>
      <c r="BC117" s="7" t="s">
        <v>332</v>
      </c>
      <c r="BD117" s="23" t="s">
        <v>97</v>
      </c>
      <c r="BE117" s="26">
        <v>914097360</v>
      </c>
      <c r="BF117" s="25" t="s">
        <v>117</v>
      </c>
      <c r="BG117" s="7">
        <v>110</v>
      </c>
      <c r="BH117" s="7" t="s">
        <v>320</v>
      </c>
      <c r="BI117" s="7" t="s">
        <v>367</v>
      </c>
      <c r="BJ117" s="7">
        <v>92</v>
      </c>
      <c r="BK117" s="9">
        <v>57.970673913043456</v>
      </c>
      <c r="BL117" s="9">
        <v>47.970663043478297</v>
      </c>
      <c r="BM117" s="9">
        <v>52.971014492753667</v>
      </c>
      <c r="BN117" s="9">
        <v>105.94133695652177</v>
      </c>
      <c r="BO117" s="7">
        <v>9</v>
      </c>
      <c r="BP117" s="7">
        <v>42</v>
      </c>
      <c r="BQ117" s="7">
        <v>31</v>
      </c>
      <c r="BR117" s="7">
        <v>10</v>
      </c>
      <c r="BS117" s="7">
        <v>0</v>
      </c>
      <c r="BT117" s="7">
        <v>1</v>
      </c>
      <c r="BU117" s="7">
        <v>21</v>
      </c>
      <c r="BV117" s="7">
        <v>46</v>
      </c>
      <c r="BW117" s="7">
        <v>22</v>
      </c>
      <c r="BX117" s="7">
        <v>3</v>
      </c>
      <c r="BY117" s="7">
        <v>0</v>
      </c>
      <c r="BZ117" s="7">
        <v>0</v>
      </c>
      <c r="CA117" s="7"/>
      <c r="CB117" s="9"/>
      <c r="CC117" s="9"/>
      <c r="CD117" s="9"/>
      <c r="CE117" s="9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>
        <v>92</v>
      </c>
      <c r="CS117" s="9">
        <v>57.970673913043456</v>
      </c>
      <c r="CT117" s="9">
        <v>47.970663043478297</v>
      </c>
      <c r="CU117" s="9">
        <v>52.971014492753667</v>
      </c>
      <c r="CV117" s="9">
        <v>105.94133695652177</v>
      </c>
      <c r="CW117" s="7">
        <v>9</v>
      </c>
      <c r="CX117" s="7">
        <v>42</v>
      </c>
      <c r="CY117" s="7">
        <v>31</v>
      </c>
      <c r="CZ117" s="7">
        <v>10</v>
      </c>
      <c r="DA117" s="7">
        <v>0</v>
      </c>
      <c r="DB117" s="7">
        <v>1</v>
      </c>
      <c r="DC117" s="7">
        <v>21</v>
      </c>
      <c r="DD117" s="7">
        <v>46</v>
      </c>
      <c r="DE117" s="7">
        <v>22</v>
      </c>
      <c r="DF117" s="7">
        <v>3</v>
      </c>
      <c r="DG117" s="7">
        <v>0</v>
      </c>
      <c r="DH117" s="7">
        <v>0</v>
      </c>
      <c r="DI117" s="18">
        <f t="shared" si="12"/>
        <v>252</v>
      </c>
      <c r="DJ117" s="18" t="str">
        <f t="shared" si="13"/>
        <v/>
      </c>
      <c r="DK117" s="18">
        <f t="shared" si="14"/>
        <v>256</v>
      </c>
      <c r="DL117" s="18">
        <f t="shared" si="21"/>
        <v>16</v>
      </c>
      <c r="DM117" s="18" t="str">
        <f t="shared" si="22"/>
        <v/>
      </c>
      <c r="DN117" s="18">
        <f t="shared" si="23"/>
        <v>16</v>
      </c>
      <c r="DO117" s="18">
        <v>313</v>
      </c>
      <c r="DP117" s="18">
        <v>124</v>
      </c>
      <c r="DQ117" s="18">
        <v>313</v>
      </c>
      <c r="DR117" s="18">
        <v>26</v>
      </c>
      <c r="DS117" s="18">
        <v>5</v>
      </c>
      <c r="DT117" s="18">
        <v>26</v>
      </c>
      <c r="DU117" s="18" t="s">
        <v>97</v>
      </c>
    </row>
    <row r="118" spans="54:125" x14ac:dyDescent="0.25">
      <c r="BB118" s="7">
        <v>115</v>
      </c>
      <c r="BC118" s="7" t="s">
        <v>332</v>
      </c>
      <c r="BD118" s="23" t="s">
        <v>97</v>
      </c>
      <c r="BE118" s="26">
        <v>448592519</v>
      </c>
      <c r="BF118" s="25" t="s">
        <v>99</v>
      </c>
      <c r="BG118" s="7">
        <v>127</v>
      </c>
      <c r="BH118" s="7" t="s">
        <v>320</v>
      </c>
      <c r="BI118" s="7" t="s">
        <v>367</v>
      </c>
      <c r="BJ118" s="7">
        <v>132</v>
      </c>
      <c r="BK118" s="9">
        <v>57.44914393939392</v>
      </c>
      <c r="BL118" s="9">
        <v>51.009803030303019</v>
      </c>
      <c r="BM118" s="9">
        <v>54.229797979798008</v>
      </c>
      <c r="BN118" s="9">
        <v>108.45894696969695</v>
      </c>
      <c r="BO118" s="7">
        <v>15</v>
      </c>
      <c r="BP118" s="7">
        <v>61</v>
      </c>
      <c r="BQ118" s="7">
        <v>37</v>
      </c>
      <c r="BR118" s="7">
        <v>19</v>
      </c>
      <c r="BS118" s="7">
        <v>0</v>
      </c>
      <c r="BT118" s="7">
        <v>1</v>
      </c>
      <c r="BU118" s="7">
        <v>12</v>
      </c>
      <c r="BV118" s="7">
        <v>83</v>
      </c>
      <c r="BW118" s="7">
        <v>35</v>
      </c>
      <c r="BX118" s="7">
        <v>2</v>
      </c>
      <c r="BY118" s="7">
        <v>0</v>
      </c>
      <c r="BZ118" s="7">
        <v>0</v>
      </c>
      <c r="CA118" s="7"/>
      <c r="CB118" s="9"/>
      <c r="CC118" s="9"/>
      <c r="CD118" s="9"/>
      <c r="CE118" s="9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>
        <v>132</v>
      </c>
      <c r="CS118" s="9">
        <v>57.44914393939392</v>
      </c>
      <c r="CT118" s="9">
        <v>51.009803030303019</v>
      </c>
      <c r="CU118" s="9">
        <v>54.229797979798008</v>
      </c>
      <c r="CV118" s="9">
        <v>108.45894696969695</v>
      </c>
      <c r="CW118" s="7">
        <v>15</v>
      </c>
      <c r="CX118" s="7">
        <v>61</v>
      </c>
      <c r="CY118" s="7">
        <v>37</v>
      </c>
      <c r="CZ118" s="7">
        <v>19</v>
      </c>
      <c r="DA118" s="7">
        <v>0</v>
      </c>
      <c r="DB118" s="7">
        <v>1</v>
      </c>
      <c r="DC118" s="7">
        <v>12</v>
      </c>
      <c r="DD118" s="7">
        <v>83</v>
      </c>
      <c r="DE118" s="7">
        <v>35</v>
      </c>
      <c r="DF118" s="7">
        <v>2</v>
      </c>
      <c r="DG118" s="7">
        <v>0</v>
      </c>
      <c r="DH118" s="7">
        <v>0</v>
      </c>
      <c r="DI118" s="18">
        <f t="shared" si="12"/>
        <v>232</v>
      </c>
      <c r="DJ118" s="18" t="str">
        <f t="shared" si="13"/>
        <v/>
      </c>
      <c r="DK118" s="18">
        <f t="shared" si="14"/>
        <v>237</v>
      </c>
      <c r="DL118" s="18">
        <f t="shared" si="21"/>
        <v>10</v>
      </c>
      <c r="DM118" s="18" t="str">
        <f t="shared" si="22"/>
        <v/>
      </c>
      <c r="DN118" s="18">
        <f t="shared" si="23"/>
        <v>11</v>
      </c>
      <c r="DO118" s="18">
        <v>313</v>
      </c>
      <c r="DP118" s="18">
        <v>124</v>
      </c>
      <c r="DQ118" s="18">
        <v>313</v>
      </c>
      <c r="DR118" s="18">
        <v>26</v>
      </c>
      <c r="DS118" s="18">
        <v>5</v>
      </c>
      <c r="DT118" s="18">
        <v>26</v>
      </c>
      <c r="DU118" s="18" t="s">
        <v>97</v>
      </c>
    </row>
    <row r="119" spans="54:125" x14ac:dyDescent="0.25">
      <c r="BB119" s="7">
        <v>116</v>
      </c>
      <c r="BC119" s="7" t="s">
        <v>332</v>
      </c>
      <c r="BD119" s="23" t="s">
        <v>97</v>
      </c>
      <c r="BE119" s="26">
        <v>720588584</v>
      </c>
      <c r="BF119" s="25" t="s">
        <v>119</v>
      </c>
      <c r="BG119" s="7">
        <v>139</v>
      </c>
      <c r="BH119" s="7" t="s">
        <v>320</v>
      </c>
      <c r="BI119" s="7" t="s">
        <v>368</v>
      </c>
      <c r="BJ119" s="7">
        <v>106</v>
      </c>
      <c r="BK119" s="9">
        <v>66.855000000000004</v>
      </c>
      <c r="BL119" s="9">
        <v>65.282641509433944</v>
      </c>
      <c r="BM119" s="9">
        <v>66.069182389937083</v>
      </c>
      <c r="BN119" s="9">
        <v>132.13764150943391</v>
      </c>
      <c r="BO119" s="7">
        <v>7</v>
      </c>
      <c r="BP119" s="7">
        <v>22</v>
      </c>
      <c r="BQ119" s="7">
        <v>53</v>
      </c>
      <c r="BR119" s="7">
        <v>24</v>
      </c>
      <c r="BS119" s="7">
        <v>1</v>
      </c>
      <c r="BT119" s="7">
        <v>0</v>
      </c>
      <c r="BU119" s="7">
        <v>5</v>
      </c>
      <c r="BV119" s="7">
        <v>27</v>
      </c>
      <c r="BW119" s="7">
        <v>64</v>
      </c>
      <c r="BX119" s="7">
        <v>10</v>
      </c>
      <c r="BY119" s="7">
        <v>0</v>
      </c>
      <c r="BZ119" s="7">
        <v>0</v>
      </c>
      <c r="CA119" s="7">
        <v>139</v>
      </c>
      <c r="CB119" s="9">
        <v>63.90855395683451</v>
      </c>
      <c r="CC119" s="9">
        <v>52.349798561151061</v>
      </c>
      <c r="CD119" s="9">
        <v>58.129496402877692</v>
      </c>
      <c r="CE119" s="9">
        <v>116.25835251798551</v>
      </c>
      <c r="CF119" s="7">
        <v>9</v>
      </c>
      <c r="CG119" s="7">
        <v>40</v>
      </c>
      <c r="CH119" s="7">
        <v>77</v>
      </c>
      <c r="CI119" s="7">
        <v>13</v>
      </c>
      <c r="CJ119" s="7">
        <v>0</v>
      </c>
      <c r="CK119" s="7">
        <v>0</v>
      </c>
      <c r="CL119" s="7">
        <v>11</v>
      </c>
      <c r="CM119" s="7">
        <v>89</v>
      </c>
      <c r="CN119" s="7">
        <v>36</v>
      </c>
      <c r="CO119" s="7">
        <v>3</v>
      </c>
      <c r="CP119" s="7">
        <v>0</v>
      </c>
      <c r="CQ119" s="7">
        <v>0</v>
      </c>
      <c r="CR119" s="7">
        <v>245</v>
      </c>
      <c r="CS119" s="9">
        <v>65.183342857142847</v>
      </c>
      <c r="CT119" s="9">
        <v>57.945232653061197</v>
      </c>
      <c r="CU119" s="9">
        <v>61.564625850340107</v>
      </c>
      <c r="CV119" s="9">
        <v>123.12857551020394</v>
      </c>
      <c r="CW119" s="7">
        <v>16</v>
      </c>
      <c r="CX119" s="7">
        <v>62</v>
      </c>
      <c r="CY119" s="7">
        <v>130</v>
      </c>
      <c r="CZ119" s="7">
        <v>37</v>
      </c>
      <c r="DA119" s="7">
        <v>1</v>
      </c>
      <c r="DB119" s="7">
        <v>0</v>
      </c>
      <c r="DC119" s="7">
        <v>16</v>
      </c>
      <c r="DD119" s="7">
        <v>116</v>
      </c>
      <c r="DE119" s="7">
        <v>100</v>
      </c>
      <c r="DF119" s="7">
        <v>13</v>
      </c>
      <c r="DG119" s="7">
        <v>0</v>
      </c>
      <c r="DH119" s="7">
        <v>0</v>
      </c>
      <c r="DI119" s="18">
        <f t="shared" si="12"/>
        <v>43</v>
      </c>
      <c r="DJ119" s="18">
        <f t="shared" si="13"/>
        <v>75</v>
      </c>
      <c r="DK119" s="18">
        <f t="shared" si="14"/>
        <v>102</v>
      </c>
      <c r="DL119" s="18">
        <f t="shared" si="21"/>
        <v>1</v>
      </c>
      <c r="DM119" s="18">
        <f t="shared" si="22"/>
        <v>1</v>
      </c>
      <c r="DN119" s="18">
        <f t="shared" si="23"/>
        <v>2</v>
      </c>
      <c r="DO119" s="18">
        <v>313</v>
      </c>
      <c r="DP119" s="18">
        <v>124</v>
      </c>
      <c r="DQ119" s="18">
        <v>313</v>
      </c>
      <c r="DR119" s="18">
        <v>26</v>
      </c>
      <c r="DS119" s="18">
        <v>5</v>
      </c>
      <c r="DT119" s="18">
        <v>26</v>
      </c>
      <c r="DU119" s="18" t="s">
        <v>97</v>
      </c>
    </row>
    <row r="120" spans="54:125" x14ac:dyDescent="0.25">
      <c r="BB120" s="7">
        <v>117</v>
      </c>
      <c r="BC120" s="7" t="s">
        <v>332</v>
      </c>
      <c r="BD120" s="23" t="s">
        <v>97</v>
      </c>
      <c r="BE120" s="26">
        <v>662614461</v>
      </c>
      <c r="BF120" s="25" t="s">
        <v>102</v>
      </c>
      <c r="BG120" s="7">
        <v>166</v>
      </c>
      <c r="BH120" s="7" t="s">
        <v>322</v>
      </c>
      <c r="BI120" s="15" t="s">
        <v>368</v>
      </c>
      <c r="BJ120" s="7">
        <v>180</v>
      </c>
      <c r="BK120" s="9">
        <v>65.147849999999991</v>
      </c>
      <c r="BL120" s="9">
        <v>59.444127777777702</v>
      </c>
      <c r="BM120" s="9">
        <v>62.296296296296319</v>
      </c>
      <c r="BN120" s="9">
        <v>124.59197777777774</v>
      </c>
      <c r="BO120" s="7">
        <v>22</v>
      </c>
      <c r="BP120" s="7">
        <v>46</v>
      </c>
      <c r="BQ120" s="7">
        <v>64</v>
      </c>
      <c r="BR120" s="7">
        <v>48</v>
      </c>
      <c r="BS120" s="7">
        <v>0</v>
      </c>
      <c r="BT120" s="7">
        <v>3</v>
      </c>
      <c r="BU120" s="7">
        <v>19</v>
      </c>
      <c r="BV120" s="7">
        <v>67</v>
      </c>
      <c r="BW120" s="7">
        <v>75</v>
      </c>
      <c r="BX120" s="7">
        <v>19</v>
      </c>
      <c r="BY120" s="7">
        <v>0</v>
      </c>
      <c r="BZ120" s="7">
        <v>0</v>
      </c>
      <c r="CA120" s="7"/>
      <c r="CB120" s="9"/>
      <c r="CC120" s="9"/>
      <c r="CD120" s="9"/>
      <c r="CE120" s="9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>
        <v>180</v>
      </c>
      <c r="CS120" s="9">
        <v>65.147849999999991</v>
      </c>
      <c r="CT120" s="9">
        <v>59.444127777777702</v>
      </c>
      <c r="CU120" s="9">
        <v>62.296296296296319</v>
      </c>
      <c r="CV120" s="9">
        <v>124.59197777777774</v>
      </c>
      <c r="CW120" s="7">
        <v>22</v>
      </c>
      <c r="CX120" s="7">
        <v>46</v>
      </c>
      <c r="CY120" s="7">
        <v>64</v>
      </c>
      <c r="CZ120" s="7">
        <v>48</v>
      </c>
      <c r="DA120" s="7">
        <v>0</v>
      </c>
      <c r="DB120" s="7">
        <v>3</v>
      </c>
      <c r="DC120" s="7">
        <v>19</v>
      </c>
      <c r="DD120" s="7">
        <v>67</v>
      </c>
      <c r="DE120" s="7">
        <v>75</v>
      </c>
      <c r="DF120" s="7">
        <v>19</v>
      </c>
      <c r="DG120" s="7">
        <v>0</v>
      </c>
      <c r="DH120" s="7">
        <v>0</v>
      </c>
      <c r="DI120" s="18">
        <f t="shared" si="12"/>
        <v>99</v>
      </c>
      <c r="DJ120" s="18" t="str">
        <f t="shared" si="13"/>
        <v/>
      </c>
      <c r="DK120" s="18">
        <f t="shared" si="14"/>
        <v>88</v>
      </c>
      <c r="DL120" s="18">
        <f t="shared" si="21"/>
        <v>2</v>
      </c>
      <c r="DM120" s="18" t="str">
        <f t="shared" si="22"/>
        <v/>
      </c>
      <c r="DN120" s="18">
        <f t="shared" si="23"/>
        <v>1</v>
      </c>
      <c r="DO120" s="18">
        <v>313</v>
      </c>
      <c r="DP120" s="18">
        <v>124</v>
      </c>
      <c r="DQ120" s="18">
        <v>313</v>
      </c>
      <c r="DR120" s="18">
        <v>26</v>
      </c>
      <c r="DS120" s="18">
        <v>5</v>
      </c>
      <c r="DT120" s="18">
        <v>26</v>
      </c>
      <c r="DU120" s="18" t="s">
        <v>97</v>
      </c>
    </row>
    <row r="121" spans="54:125" x14ac:dyDescent="0.25">
      <c r="BB121" s="7">
        <v>118</v>
      </c>
      <c r="BC121" s="7" t="s">
        <v>332</v>
      </c>
      <c r="BD121" s="23" t="s">
        <v>97</v>
      </c>
      <c r="BE121" s="26">
        <v>127612544</v>
      </c>
      <c r="BF121" s="25" t="s">
        <v>114</v>
      </c>
      <c r="BG121" s="7">
        <v>180</v>
      </c>
      <c r="BH121" s="7" t="s">
        <v>320</v>
      </c>
      <c r="BI121" s="7" t="s">
        <v>367</v>
      </c>
      <c r="BJ121" s="7">
        <v>157</v>
      </c>
      <c r="BK121" s="9">
        <v>56.72999363057324</v>
      </c>
      <c r="BL121" s="9">
        <v>49.723662420382155</v>
      </c>
      <c r="BM121" s="9">
        <v>53.22717622080679</v>
      </c>
      <c r="BN121" s="9">
        <v>106.45365605095532</v>
      </c>
      <c r="BO121" s="7">
        <v>26</v>
      </c>
      <c r="BP121" s="7">
        <v>60</v>
      </c>
      <c r="BQ121" s="7">
        <v>48</v>
      </c>
      <c r="BR121" s="7">
        <v>23</v>
      </c>
      <c r="BS121" s="7">
        <v>0</v>
      </c>
      <c r="BT121" s="7">
        <v>0</v>
      </c>
      <c r="BU121" s="7">
        <v>32</v>
      </c>
      <c r="BV121" s="7">
        <v>73</v>
      </c>
      <c r="BW121" s="7">
        <v>44</v>
      </c>
      <c r="BX121" s="7">
        <v>8</v>
      </c>
      <c r="BY121" s="7">
        <v>0</v>
      </c>
      <c r="BZ121" s="7">
        <v>0</v>
      </c>
      <c r="CA121" s="7"/>
      <c r="CB121" s="9"/>
      <c r="CC121" s="9"/>
      <c r="CD121" s="9"/>
      <c r="CE121" s="9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>
        <v>157</v>
      </c>
      <c r="CS121" s="9">
        <v>56.72999363057324</v>
      </c>
      <c r="CT121" s="9">
        <v>49.723662420382155</v>
      </c>
      <c r="CU121" s="9">
        <v>53.22717622080679</v>
      </c>
      <c r="CV121" s="9">
        <v>106.45365605095532</v>
      </c>
      <c r="CW121" s="7">
        <v>26</v>
      </c>
      <c r="CX121" s="7">
        <v>60</v>
      </c>
      <c r="CY121" s="7">
        <v>48</v>
      </c>
      <c r="CZ121" s="7">
        <v>23</v>
      </c>
      <c r="DA121" s="7">
        <v>0</v>
      </c>
      <c r="DB121" s="7">
        <v>0</v>
      </c>
      <c r="DC121" s="7">
        <v>32</v>
      </c>
      <c r="DD121" s="7">
        <v>73</v>
      </c>
      <c r="DE121" s="7">
        <v>44</v>
      </c>
      <c r="DF121" s="7">
        <v>8</v>
      </c>
      <c r="DG121" s="7">
        <v>0</v>
      </c>
      <c r="DH121" s="7">
        <v>0</v>
      </c>
      <c r="DI121" s="18">
        <f t="shared" si="12"/>
        <v>249</v>
      </c>
      <c r="DJ121" s="18" t="str">
        <f t="shared" si="13"/>
        <v/>
      </c>
      <c r="DK121" s="18">
        <f t="shared" si="14"/>
        <v>252</v>
      </c>
      <c r="DL121" s="18">
        <f t="shared" si="21"/>
        <v>14</v>
      </c>
      <c r="DM121" s="18" t="str">
        <f t="shared" si="22"/>
        <v/>
      </c>
      <c r="DN121" s="18">
        <f t="shared" si="23"/>
        <v>13</v>
      </c>
      <c r="DO121" s="18">
        <v>313</v>
      </c>
      <c r="DP121" s="18">
        <v>124</v>
      </c>
      <c r="DQ121" s="18">
        <v>313</v>
      </c>
      <c r="DR121" s="18">
        <v>26</v>
      </c>
      <c r="DS121" s="18">
        <v>5</v>
      </c>
      <c r="DT121" s="18">
        <v>26</v>
      </c>
      <c r="DU121" s="18" t="s">
        <v>97</v>
      </c>
    </row>
    <row r="122" spans="54:125" x14ac:dyDescent="0.25">
      <c r="BB122" s="7">
        <v>119</v>
      </c>
      <c r="BC122" s="7" t="s">
        <v>332</v>
      </c>
      <c r="BD122" s="23" t="s">
        <v>97</v>
      </c>
      <c r="BE122" s="26">
        <v>511917997</v>
      </c>
      <c r="BF122" s="25" t="s">
        <v>103</v>
      </c>
      <c r="BG122" s="7">
        <v>184</v>
      </c>
      <c r="BH122" s="7" t="s">
        <v>320</v>
      </c>
      <c r="BI122" s="7" t="s">
        <v>367</v>
      </c>
      <c r="BJ122" s="7">
        <v>83</v>
      </c>
      <c r="BK122" s="9">
        <v>54.979614457831346</v>
      </c>
      <c r="BL122" s="9">
        <v>49.638253012048231</v>
      </c>
      <c r="BM122" s="9">
        <v>52.30923694779117</v>
      </c>
      <c r="BN122" s="9">
        <v>104.61786746987951</v>
      </c>
      <c r="BO122" s="7">
        <v>19</v>
      </c>
      <c r="BP122" s="7">
        <v>28</v>
      </c>
      <c r="BQ122" s="7">
        <v>24</v>
      </c>
      <c r="BR122" s="7">
        <v>12</v>
      </c>
      <c r="BS122" s="7">
        <v>1</v>
      </c>
      <c r="BT122" s="7">
        <v>1</v>
      </c>
      <c r="BU122" s="7">
        <v>17</v>
      </c>
      <c r="BV122" s="7">
        <v>43</v>
      </c>
      <c r="BW122" s="7">
        <v>19</v>
      </c>
      <c r="BX122" s="7">
        <v>4</v>
      </c>
      <c r="BY122" s="7">
        <v>0</v>
      </c>
      <c r="BZ122" s="7">
        <v>0</v>
      </c>
      <c r="CA122" s="7"/>
      <c r="CB122" s="9"/>
      <c r="CC122" s="9"/>
      <c r="CD122" s="9"/>
      <c r="CE122" s="9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>
        <v>83</v>
      </c>
      <c r="CS122" s="9">
        <v>54.979614457831346</v>
      </c>
      <c r="CT122" s="9">
        <v>49.638253012048231</v>
      </c>
      <c r="CU122" s="9">
        <v>52.30923694779117</v>
      </c>
      <c r="CV122" s="9">
        <v>104.61786746987951</v>
      </c>
      <c r="CW122" s="7">
        <v>19</v>
      </c>
      <c r="CX122" s="7">
        <v>28</v>
      </c>
      <c r="CY122" s="7">
        <v>24</v>
      </c>
      <c r="CZ122" s="7">
        <v>12</v>
      </c>
      <c r="DA122" s="7">
        <v>1</v>
      </c>
      <c r="DB122" s="7">
        <v>1</v>
      </c>
      <c r="DC122" s="7">
        <v>17</v>
      </c>
      <c r="DD122" s="7">
        <v>43</v>
      </c>
      <c r="DE122" s="7">
        <v>19</v>
      </c>
      <c r="DF122" s="7">
        <v>4</v>
      </c>
      <c r="DG122" s="7">
        <v>0</v>
      </c>
      <c r="DH122" s="7">
        <v>0</v>
      </c>
      <c r="DI122" s="18">
        <f t="shared" si="12"/>
        <v>259</v>
      </c>
      <c r="DJ122" s="18" t="str">
        <f t="shared" si="13"/>
        <v/>
      </c>
      <c r="DK122" s="18">
        <f t="shared" si="14"/>
        <v>263</v>
      </c>
      <c r="DL122" s="18">
        <f t="shared" si="21"/>
        <v>17</v>
      </c>
      <c r="DM122" s="18" t="str">
        <f t="shared" si="22"/>
        <v/>
      </c>
      <c r="DN122" s="18">
        <f t="shared" si="23"/>
        <v>17</v>
      </c>
      <c r="DO122" s="18">
        <v>313</v>
      </c>
      <c r="DP122" s="18">
        <v>124</v>
      </c>
      <c r="DQ122" s="18">
        <v>313</v>
      </c>
      <c r="DR122" s="18">
        <v>26</v>
      </c>
      <c r="DS122" s="18">
        <v>5</v>
      </c>
      <c r="DT122" s="18">
        <v>26</v>
      </c>
      <c r="DU122" s="18" t="s">
        <v>97</v>
      </c>
    </row>
    <row r="123" spans="54:125" x14ac:dyDescent="0.25">
      <c r="BB123" s="7">
        <v>120</v>
      </c>
      <c r="BC123" s="7" t="s">
        <v>332</v>
      </c>
      <c r="BD123" s="23" t="s">
        <v>97</v>
      </c>
      <c r="BE123" s="26">
        <v>708921911</v>
      </c>
      <c r="BF123" s="25" t="s">
        <v>108</v>
      </c>
      <c r="BG123" s="7">
        <v>195</v>
      </c>
      <c r="BH123" s="7" t="s">
        <v>320</v>
      </c>
      <c r="BI123" s="7" t="s">
        <v>367</v>
      </c>
      <c r="BJ123" s="7">
        <v>225</v>
      </c>
      <c r="BK123" s="9">
        <v>52.562666666666622</v>
      </c>
      <c r="BL123" s="9">
        <v>47.288542222222183</v>
      </c>
      <c r="BM123" s="9">
        <v>49.925925925925924</v>
      </c>
      <c r="BN123" s="9">
        <v>99.851208888888777</v>
      </c>
      <c r="BO123" s="7">
        <v>48</v>
      </c>
      <c r="BP123" s="7">
        <v>104</v>
      </c>
      <c r="BQ123" s="7">
        <v>47</v>
      </c>
      <c r="BR123" s="7">
        <v>26</v>
      </c>
      <c r="BS123" s="7">
        <v>1</v>
      </c>
      <c r="BT123" s="7">
        <v>3</v>
      </c>
      <c r="BU123" s="7">
        <v>55</v>
      </c>
      <c r="BV123" s="7">
        <v>112</v>
      </c>
      <c r="BW123" s="7">
        <v>48</v>
      </c>
      <c r="BX123" s="7">
        <v>10</v>
      </c>
      <c r="BY123" s="7">
        <v>0</v>
      </c>
      <c r="BZ123" s="7">
        <v>0</v>
      </c>
      <c r="CA123" s="7"/>
      <c r="CB123" s="9"/>
      <c r="CC123" s="9"/>
      <c r="CD123" s="9"/>
      <c r="CE123" s="9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>
        <v>225</v>
      </c>
      <c r="CS123" s="9">
        <v>52.562666666666622</v>
      </c>
      <c r="CT123" s="9">
        <v>47.288542222222183</v>
      </c>
      <c r="CU123" s="9">
        <v>49.925925925925924</v>
      </c>
      <c r="CV123" s="9">
        <v>99.851208888888777</v>
      </c>
      <c r="CW123" s="7">
        <v>48</v>
      </c>
      <c r="CX123" s="7">
        <v>104</v>
      </c>
      <c r="CY123" s="7">
        <v>47</v>
      </c>
      <c r="CZ123" s="7">
        <v>26</v>
      </c>
      <c r="DA123" s="7">
        <v>1</v>
      </c>
      <c r="DB123" s="7">
        <v>3</v>
      </c>
      <c r="DC123" s="7">
        <v>55</v>
      </c>
      <c r="DD123" s="7">
        <v>112</v>
      </c>
      <c r="DE123" s="7">
        <v>48</v>
      </c>
      <c r="DF123" s="7">
        <v>10</v>
      </c>
      <c r="DG123" s="7">
        <v>0</v>
      </c>
      <c r="DH123" s="7">
        <v>0</v>
      </c>
      <c r="DI123" s="18">
        <f t="shared" si="12"/>
        <v>275</v>
      </c>
      <c r="DJ123" s="18" t="str">
        <f t="shared" si="13"/>
        <v/>
      </c>
      <c r="DK123" s="18">
        <f t="shared" si="14"/>
        <v>278</v>
      </c>
      <c r="DL123" s="18">
        <f t="shared" si="21"/>
        <v>19</v>
      </c>
      <c r="DM123" s="18" t="str">
        <f t="shared" si="22"/>
        <v/>
      </c>
      <c r="DN123" s="18">
        <f t="shared" si="23"/>
        <v>19</v>
      </c>
      <c r="DO123" s="18">
        <v>313</v>
      </c>
      <c r="DP123" s="18">
        <v>124</v>
      </c>
      <c r="DQ123" s="18">
        <v>313</v>
      </c>
      <c r="DR123" s="18">
        <v>26</v>
      </c>
      <c r="DS123" s="18">
        <v>5</v>
      </c>
      <c r="DT123" s="18">
        <v>26</v>
      </c>
      <c r="DU123" s="18" t="s">
        <v>97</v>
      </c>
    </row>
    <row r="124" spans="54:125" x14ac:dyDescent="0.25">
      <c r="BB124" s="7">
        <v>121</v>
      </c>
      <c r="BC124" s="7" t="s">
        <v>332</v>
      </c>
      <c r="BD124" s="23" t="s">
        <v>97</v>
      </c>
      <c r="BE124" s="26">
        <v>701282759</v>
      </c>
      <c r="BF124" s="25" t="s">
        <v>115</v>
      </c>
      <c r="BG124" s="7">
        <v>197</v>
      </c>
      <c r="BH124" s="7" t="s">
        <v>320</v>
      </c>
      <c r="BI124" s="7" t="s">
        <v>367</v>
      </c>
      <c r="BJ124" s="7">
        <v>49</v>
      </c>
      <c r="BK124" s="9">
        <v>57.074510204081655</v>
      </c>
      <c r="BL124" s="9">
        <v>49.999714285714305</v>
      </c>
      <c r="BM124" s="9">
        <v>53.537414965986386</v>
      </c>
      <c r="BN124" s="9">
        <v>107.07422448979594</v>
      </c>
      <c r="BO124" s="7">
        <v>6</v>
      </c>
      <c r="BP124" s="7">
        <v>23</v>
      </c>
      <c r="BQ124" s="7">
        <v>15</v>
      </c>
      <c r="BR124" s="7">
        <v>5</v>
      </c>
      <c r="BS124" s="7">
        <v>0</v>
      </c>
      <c r="BT124" s="7">
        <v>0</v>
      </c>
      <c r="BU124" s="7">
        <v>10</v>
      </c>
      <c r="BV124" s="7">
        <v>25</v>
      </c>
      <c r="BW124" s="7">
        <v>13</v>
      </c>
      <c r="BX124" s="7">
        <v>1</v>
      </c>
      <c r="BY124" s="7">
        <v>0</v>
      </c>
      <c r="BZ124" s="7">
        <v>0</v>
      </c>
      <c r="CA124" s="7"/>
      <c r="CB124" s="9"/>
      <c r="CC124" s="9"/>
      <c r="CD124" s="9"/>
      <c r="CE124" s="9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>
        <v>49</v>
      </c>
      <c r="CS124" s="9">
        <v>57.074510204081655</v>
      </c>
      <c r="CT124" s="9">
        <v>49.999714285714305</v>
      </c>
      <c r="CU124" s="9">
        <v>53.537414965986386</v>
      </c>
      <c r="CV124" s="9">
        <v>107.07422448979594</v>
      </c>
      <c r="CW124" s="7">
        <v>6</v>
      </c>
      <c r="CX124" s="7">
        <v>23</v>
      </c>
      <c r="CY124" s="7">
        <v>15</v>
      </c>
      <c r="CZ124" s="7">
        <v>5</v>
      </c>
      <c r="DA124" s="7">
        <v>0</v>
      </c>
      <c r="DB124" s="7">
        <v>0</v>
      </c>
      <c r="DC124" s="7">
        <v>10</v>
      </c>
      <c r="DD124" s="7">
        <v>25</v>
      </c>
      <c r="DE124" s="7">
        <v>13</v>
      </c>
      <c r="DF124" s="7">
        <v>1</v>
      </c>
      <c r="DG124" s="7">
        <v>0</v>
      </c>
      <c r="DH124" s="7">
        <v>0</v>
      </c>
      <c r="DI124" s="18">
        <f t="shared" si="12"/>
        <v>243</v>
      </c>
      <c r="DJ124" s="18" t="str">
        <f t="shared" si="13"/>
        <v/>
      </c>
      <c r="DK124" s="18">
        <f t="shared" si="14"/>
        <v>247</v>
      </c>
      <c r="DL124" s="18">
        <f t="shared" si="21"/>
        <v>13</v>
      </c>
      <c r="DM124" s="18" t="str">
        <f t="shared" si="22"/>
        <v/>
      </c>
      <c r="DN124" s="18">
        <f t="shared" si="23"/>
        <v>12</v>
      </c>
      <c r="DO124" s="18">
        <v>313</v>
      </c>
      <c r="DP124" s="18">
        <v>124</v>
      </c>
      <c r="DQ124" s="18">
        <v>313</v>
      </c>
      <c r="DR124" s="18">
        <v>26</v>
      </c>
      <c r="DS124" s="18">
        <v>5</v>
      </c>
      <c r="DT124" s="18">
        <v>26</v>
      </c>
      <c r="DU124" s="18" t="s">
        <v>97</v>
      </c>
    </row>
    <row r="125" spans="54:125" x14ac:dyDescent="0.25">
      <c r="BB125" s="7">
        <v>122</v>
      </c>
      <c r="BC125" s="7" t="s">
        <v>332</v>
      </c>
      <c r="BD125" s="23" t="s">
        <v>97</v>
      </c>
      <c r="BE125" s="26">
        <v>181495273</v>
      </c>
      <c r="BF125" s="25" t="s">
        <v>109</v>
      </c>
      <c r="BG125" s="7">
        <v>222</v>
      </c>
      <c r="BH125" s="7" t="s">
        <v>320</v>
      </c>
      <c r="BI125" s="7" t="s">
        <v>367</v>
      </c>
      <c r="BJ125" s="7">
        <v>129</v>
      </c>
      <c r="BK125" s="9">
        <v>57.41568992248061</v>
      </c>
      <c r="BL125" s="9">
        <v>51.239968992248066</v>
      </c>
      <c r="BM125" s="9">
        <v>54.328165374677013</v>
      </c>
      <c r="BN125" s="9">
        <v>108.65565891472865</v>
      </c>
      <c r="BO125" s="7">
        <v>19</v>
      </c>
      <c r="BP125" s="7">
        <v>48</v>
      </c>
      <c r="BQ125" s="7">
        <v>45</v>
      </c>
      <c r="BR125" s="7">
        <v>17</v>
      </c>
      <c r="BS125" s="7">
        <v>1</v>
      </c>
      <c r="BT125" s="7">
        <v>1</v>
      </c>
      <c r="BU125" s="7">
        <v>27</v>
      </c>
      <c r="BV125" s="7">
        <v>59</v>
      </c>
      <c r="BW125" s="7">
        <v>32</v>
      </c>
      <c r="BX125" s="7">
        <v>11</v>
      </c>
      <c r="BY125" s="7">
        <v>0</v>
      </c>
      <c r="BZ125" s="7">
        <v>0</v>
      </c>
      <c r="CA125" s="7"/>
      <c r="CB125" s="9"/>
      <c r="CC125" s="9"/>
      <c r="CD125" s="9"/>
      <c r="CE125" s="9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>
        <v>129</v>
      </c>
      <c r="CS125" s="9">
        <v>57.41568992248061</v>
      </c>
      <c r="CT125" s="9">
        <v>51.239968992248066</v>
      </c>
      <c r="CU125" s="9">
        <v>54.328165374677013</v>
      </c>
      <c r="CV125" s="9">
        <v>108.65565891472865</v>
      </c>
      <c r="CW125" s="7">
        <v>19</v>
      </c>
      <c r="CX125" s="7">
        <v>48</v>
      </c>
      <c r="CY125" s="7">
        <v>45</v>
      </c>
      <c r="CZ125" s="7">
        <v>17</v>
      </c>
      <c r="DA125" s="7">
        <v>1</v>
      </c>
      <c r="DB125" s="7">
        <v>1</v>
      </c>
      <c r="DC125" s="7">
        <v>27</v>
      </c>
      <c r="DD125" s="7">
        <v>59</v>
      </c>
      <c r="DE125" s="7">
        <v>32</v>
      </c>
      <c r="DF125" s="7">
        <v>11</v>
      </c>
      <c r="DG125" s="7">
        <v>0</v>
      </c>
      <c r="DH125" s="7">
        <v>0</v>
      </c>
      <c r="DI125" s="18">
        <f t="shared" si="12"/>
        <v>229</v>
      </c>
      <c r="DJ125" s="18" t="str">
        <f t="shared" si="13"/>
        <v/>
      </c>
      <c r="DK125" s="18">
        <f t="shared" si="14"/>
        <v>235</v>
      </c>
      <c r="DL125" s="18">
        <f t="shared" si="21"/>
        <v>9</v>
      </c>
      <c r="DM125" s="18" t="str">
        <f t="shared" si="22"/>
        <v/>
      </c>
      <c r="DN125" s="18">
        <f t="shared" si="23"/>
        <v>10</v>
      </c>
      <c r="DO125" s="18">
        <v>313</v>
      </c>
      <c r="DP125" s="18">
        <v>124</v>
      </c>
      <c r="DQ125" s="18">
        <v>313</v>
      </c>
      <c r="DR125" s="18">
        <v>26</v>
      </c>
      <c r="DS125" s="18">
        <v>5</v>
      </c>
      <c r="DT125" s="18">
        <v>26</v>
      </c>
      <c r="DU125" s="18" t="s">
        <v>97</v>
      </c>
    </row>
    <row r="126" spans="54:125" x14ac:dyDescent="0.25">
      <c r="BB126" s="7">
        <v>123</v>
      </c>
      <c r="BC126" s="7" t="s">
        <v>332</v>
      </c>
      <c r="BD126" s="23" t="s">
        <v>97</v>
      </c>
      <c r="BE126" s="26">
        <v>399021196</v>
      </c>
      <c r="BF126" s="25" t="s">
        <v>110</v>
      </c>
      <c r="BG126" s="7">
        <v>223</v>
      </c>
      <c r="BH126" s="7" t="s">
        <v>320</v>
      </c>
      <c r="BI126" s="7" t="s">
        <v>367</v>
      </c>
      <c r="BJ126" s="7">
        <v>165</v>
      </c>
      <c r="BK126" s="9">
        <v>52.908757575757583</v>
      </c>
      <c r="BL126" s="9">
        <v>45.090557575757565</v>
      </c>
      <c r="BM126" s="9">
        <v>49.000000000000014</v>
      </c>
      <c r="BN126" s="9">
        <v>97.999315151515077</v>
      </c>
      <c r="BO126" s="7">
        <v>29</v>
      </c>
      <c r="BP126" s="7">
        <v>78</v>
      </c>
      <c r="BQ126" s="7">
        <v>44</v>
      </c>
      <c r="BR126" s="7">
        <v>14</v>
      </c>
      <c r="BS126" s="7">
        <v>1</v>
      </c>
      <c r="BT126" s="7">
        <v>1</v>
      </c>
      <c r="BU126" s="7">
        <v>45</v>
      </c>
      <c r="BV126" s="7">
        <v>83</v>
      </c>
      <c r="BW126" s="7">
        <v>36</v>
      </c>
      <c r="BX126" s="7">
        <v>1</v>
      </c>
      <c r="BY126" s="7">
        <v>0</v>
      </c>
      <c r="BZ126" s="7">
        <v>0</v>
      </c>
      <c r="CA126" s="7"/>
      <c r="CB126" s="9"/>
      <c r="CC126" s="9"/>
      <c r="CD126" s="9"/>
      <c r="CE126" s="9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>
        <v>165</v>
      </c>
      <c r="CS126" s="9">
        <v>52.908757575757583</v>
      </c>
      <c r="CT126" s="9">
        <v>45.090557575757565</v>
      </c>
      <c r="CU126" s="9">
        <v>49.000000000000014</v>
      </c>
      <c r="CV126" s="9">
        <v>97.999315151515077</v>
      </c>
      <c r="CW126" s="7">
        <v>29</v>
      </c>
      <c r="CX126" s="7">
        <v>78</v>
      </c>
      <c r="CY126" s="7">
        <v>44</v>
      </c>
      <c r="CZ126" s="7">
        <v>14</v>
      </c>
      <c r="DA126" s="7">
        <v>1</v>
      </c>
      <c r="DB126" s="7">
        <v>1</v>
      </c>
      <c r="DC126" s="7">
        <v>45</v>
      </c>
      <c r="DD126" s="7">
        <v>83</v>
      </c>
      <c r="DE126" s="7">
        <v>36</v>
      </c>
      <c r="DF126" s="7">
        <v>1</v>
      </c>
      <c r="DG126" s="7">
        <v>0</v>
      </c>
      <c r="DH126" s="7">
        <v>0</v>
      </c>
      <c r="DI126" s="18">
        <f t="shared" si="12"/>
        <v>279</v>
      </c>
      <c r="DJ126" s="18" t="str">
        <f t="shared" si="13"/>
        <v/>
      </c>
      <c r="DK126" s="18">
        <f t="shared" si="14"/>
        <v>283</v>
      </c>
      <c r="DL126" s="18">
        <f t="shared" si="21"/>
        <v>20</v>
      </c>
      <c r="DM126" s="18" t="str">
        <f t="shared" si="22"/>
        <v/>
      </c>
      <c r="DN126" s="18">
        <f t="shared" si="23"/>
        <v>20</v>
      </c>
      <c r="DO126" s="18">
        <v>313</v>
      </c>
      <c r="DP126" s="18">
        <v>124</v>
      </c>
      <c r="DQ126" s="18">
        <v>313</v>
      </c>
      <c r="DR126" s="18">
        <v>26</v>
      </c>
      <c r="DS126" s="18">
        <v>5</v>
      </c>
      <c r="DT126" s="18">
        <v>26</v>
      </c>
      <c r="DU126" s="18" t="s">
        <v>97</v>
      </c>
    </row>
    <row r="127" spans="54:125" x14ac:dyDescent="0.25">
      <c r="BB127" s="7">
        <v>124</v>
      </c>
      <c r="BC127" s="7" t="s">
        <v>332</v>
      </c>
      <c r="BD127" s="23" t="s">
        <v>97</v>
      </c>
      <c r="BE127" s="26">
        <v>124775371</v>
      </c>
      <c r="BF127" s="25" t="s">
        <v>122</v>
      </c>
      <c r="BG127" s="7">
        <v>224</v>
      </c>
      <c r="BH127" s="7" t="s">
        <v>329</v>
      </c>
      <c r="BI127" s="7" t="s">
        <v>367</v>
      </c>
      <c r="BJ127" s="7">
        <v>19</v>
      </c>
      <c r="BK127" s="9">
        <v>47.543421052631572</v>
      </c>
      <c r="BL127" s="9">
        <v>43.157526315789475</v>
      </c>
      <c r="BM127" s="9">
        <v>45.350877192982459</v>
      </c>
      <c r="BN127" s="9">
        <v>90.700947368421041</v>
      </c>
      <c r="BO127" s="7">
        <v>7</v>
      </c>
      <c r="BP127" s="7">
        <v>5</v>
      </c>
      <c r="BQ127" s="7">
        <v>6</v>
      </c>
      <c r="BR127" s="7">
        <v>1</v>
      </c>
      <c r="BS127" s="7">
        <v>1</v>
      </c>
      <c r="BT127" s="7">
        <v>0</v>
      </c>
      <c r="BU127" s="7">
        <v>5</v>
      </c>
      <c r="BV127" s="7">
        <v>11</v>
      </c>
      <c r="BW127" s="7">
        <v>2</v>
      </c>
      <c r="BX127" s="7">
        <v>1</v>
      </c>
      <c r="BY127" s="7">
        <v>0</v>
      </c>
      <c r="BZ127" s="7">
        <v>0</v>
      </c>
      <c r="CA127" s="7"/>
      <c r="CB127" s="9"/>
      <c r="CC127" s="9"/>
      <c r="CD127" s="9"/>
      <c r="CE127" s="9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>
        <v>19</v>
      </c>
      <c r="CS127" s="9">
        <v>47.543421052631572</v>
      </c>
      <c r="CT127" s="9">
        <v>43.157526315789475</v>
      </c>
      <c r="CU127" s="9">
        <v>45.350877192982459</v>
      </c>
      <c r="CV127" s="9">
        <v>90.700947368421041</v>
      </c>
      <c r="CW127" s="7">
        <v>7</v>
      </c>
      <c r="CX127" s="7">
        <v>5</v>
      </c>
      <c r="CY127" s="7">
        <v>6</v>
      </c>
      <c r="CZ127" s="7">
        <v>1</v>
      </c>
      <c r="DA127" s="7">
        <v>1</v>
      </c>
      <c r="DB127" s="7">
        <v>0</v>
      </c>
      <c r="DC127" s="7">
        <v>5</v>
      </c>
      <c r="DD127" s="7">
        <v>11</v>
      </c>
      <c r="DE127" s="7">
        <v>2</v>
      </c>
      <c r="DF127" s="7">
        <v>1</v>
      </c>
      <c r="DG127" s="7">
        <v>0</v>
      </c>
      <c r="DH127" s="7">
        <v>0</v>
      </c>
      <c r="DI127" s="18">
        <f t="shared" si="12"/>
        <v>293</v>
      </c>
      <c r="DJ127" s="18" t="str">
        <f t="shared" si="13"/>
        <v/>
      </c>
      <c r="DK127" s="18">
        <f t="shared" si="14"/>
        <v>295</v>
      </c>
      <c r="DL127" s="18">
        <f t="shared" si="21"/>
        <v>22</v>
      </c>
      <c r="DM127" s="18" t="str">
        <f t="shared" si="22"/>
        <v/>
      </c>
      <c r="DN127" s="18">
        <f t="shared" si="23"/>
        <v>22</v>
      </c>
      <c r="DO127" s="18">
        <v>313</v>
      </c>
      <c r="DP127" s="18">
        <v>124</v>
      </c>
      <c r="DQ127" s="18">
        <v>313</v>
      </c>
      <c r="DR127" s="18">
        <v>26</v>
      </c>
      <c r="DS127" s="18">
        <v>5</v>
      </c>
      <c r="DT127" s="18">
        <v>26</v>
      </c>
      <c r="DU127" s="18" t="s">
        <v>97</v>
      </c>
    </row>
    <row r="128" spans="54:125" x14ac:dyDescent="0.25">
      <c r="BB128" s="7">
        <v>125</v>
      </c>
      <c r="BC128" s="7" t="s">
        <v>332</v>
      </c>
      <c r="BD128" s="23" t="s">
        <v>97</v>
      </c>
      <c r="BE128" s="26">
        <v>819074319</v>
      </c>
      <c r="BF128" s="25" t="s">
        <v>112</v>
      </c>
      <c r="BG128" s="7">
        <v>228</v>
      </c>
      <c r="BH128" s="7" t="s">
        <v>320</v>
      </c>
      <c r="BI128" s="7" t="s">
        <v>368</v>
      </c>
      <c r="BJ128" s="7">
        <v>137</v>
      </c>
      <c r="BK128" s="9">
        <v>59.269766423357652</v>
      </c>
      <c r="BL128" s="9">
        <v>49.853700729926999</v>
      </c>
      <c r="BM128" s="9">
        <v>54.562043795620447</v>
      </c>
      <c r="BN128" s="9">
        <v>109.12346715328465</v>
      </c>
      <c r="BO128" s="7">
        <v>15</v>
      </c>
      <c r="BP128" s="7">
        <v>59</v>
      </c>
      <c r="BQ128" s="7">
        <v>46</v>
      </c>
      <c r="BR128" s="7">
        <v>17</v>
      </c>
      <c r="BS128" s="7">
        <v>0</v>
      </c>
      <c r="BT128" s="7">
        <v>1</v>
      </c>
      <c r="BU128" s="7">
        <v>24</v>
      </c>
      <c r="BV128" s="7">
        <v>76</v>
      </c>
      <c r="BW128" s="7">
        <v>33</v>
      </c>
      <c r="BX128" s="7">
        <v>4</v>
      </c>
      <c r="BY128" s="7">
        <v>0</v>
      </c>
      <c r="BZ128" s="7">
        <v>0</v>
      </c>
      <c r="CA128" s="7">
        <v>48</v>
      </c>
      <c r="CB128" s="9">
        <v>59.513604166666688</v>
      </c>
      <c r="CC128" s="9">
        <v>52.777500000000003</v>
      </c>
      <c r="CD128" s="9">
        <v>56.145833333333321</v>
      </c>
      <c r="CE128" s="9">
        <v>112.29110416666668</v>
      </c>
      <c r="CF128" s="7">
        <v>4</v>
      </c>
      <c r="CG128" s="7">
        <v>19</v>
      </c>
      <c r="CH128" s="7">
        <v>20</v>
      </c>
      <c r="CI128" s="7">
        <v>5</v>
      </c>
      <c r="CJ128" s="7">
        <v>0</v>
      </c>
      <c r="CK128" s="7">
        <v>0</v>
      </c>
      <c r="CL128" s="7">
        <v>12</v>
      </c>
      <c r="CM128" s="7">
        <v>16</v>
      </c>
      <c r="CN128" s="7">
        <v>15</v>
      </c>
      <c r="CO128" s="7">
        <v>5</v>
      </c>
      <c r="CP128" s="7">
        <v>0</v>
      </c>
      <c r="CQ128" s="7">
        <v>0</v>
      </c>
      <c r="CR128" s="7">
        <v>185</v>
      </c>
      <c r="CS128" s="9">
        <v>59.333032432432418</v>
      </c>
      <c r="CT128" s="9">
        <v>50.612308108108081</v>
      </c>
      <c r="CU128" s="9">
        <v>54.972972972972961</v>
      </c>
      <c r="CV128" s="9">
        <v>109.94534054054047</v>
      </c>
      <c r="CW128" s="7">
        <v>19</v>
      </c>
      <c r="CX128" s="7">
        <v>78</v>
      </c>
      <c r="CY128" s="7">
        <v>66</v>
      </c>
      <c r="CZ128" s="7">
        <v>22</v>
      </c>
      <c r="DA128" s="7">
        <v>0</v>
      </c>
      <c r="DB128" s="7">
        <v>1</v>
      </c>
      <c r="DC128" s="7">
        <v>36</v>
      </c>
      <c r="DD128" s="7">
        <v>92</v>
      </c>
      <c r="DE128" s="7">
        <v>48</v>
      </c>
      <c r="DF128" s="7">
        <v>9</v>
      </c>
      <c r="DG128" s="7">
        <v>0</v>
      </c>
      <c r="DH128" s="7">
        <v>0</v>
      </c>
      <c r="DI128" s="18">
        <f t="shared" si="12"/>
        <v>225</v>
      </c>
      <c r="DJ128" s="18">
        <f t="shared" si="13"/>
        <v>90</v>
      </c>
      <c r="DK128" s="18">
        <f t="shared" si="14"/>
        <v>222</v>
      </c>
      <c r="DL128" s="18">
        <f t="shared" si="21"/>
        <v>8</v>
      </c>
      <c r="DM128" s="18">
        <f t="shared" si="22"/>
        <v>3</v>
      </c>
      <c r="DN128" s="18">
        <f t="shared" si="23"/>
        <v>8</v>
      </c>
      <c r="DO128" s="18">
        <v>313</v>
      </c>
      <c r="DP128" s="18">
        <v>124</v>
      </c>
      <c r="DQ128" s="18">
        <v>313</v>
      </c>
      <c r="DR128" s="18">
        <v>26</v>
      </c>
      <c r="DS128" s="18">
        <v>5</v>
      </c>
      <c r="DT128" s="18">
        <v>26</v>
      </c>
      <c r="DU128" s="18" t="s">
        <v>97</v>
      </c>
    </row>
    <row r="129" spans="54:125" x14ac:dyDescent="0.25">
      <c r="BB129" s="7">
        <v>126</v>
      </c>
      <c r="BC129" s="7" t="s">
        <v>332</v>
      </c>
      <c r="BD129" s="23" t="s">
        <v>97</v>
      </c>
      <c r="BE129" s="26">
        <v>229479572</v>
      </c>
      <c r="BF129" s="25" t="s">
        <v>111</v>
      </c>
      <c r="BG129" s="7">
        <v>233</v>
      </c>
      <c r="BH129" s="7" t="s">
        <v>320</v>
      </c>
      <c r="BI129" s="7" t="s">
        <v>368</v>
      </c>
      <c r="BJ129" s="7">
        <v>183</v>
      </c>
      <c r="BK129" s="9">
        <v>57.595284153005423</v>
      </c>
      <c r="BL129" s="9">
        <v>50.38216393442621</v>
      </c>
      <c r="BM129" s="9">
        <v>53.989071038251375</v>
      </c>
      <c r="BN129" s="9">
        <v>107.97744808743165</v>
      </c>
      <c r="BO129" s="7">
        <v>26</v>
      </c>
      <c r="BP129" s="7">
        <v>72</v>
      </c>
      <c r="BQ129" s="7">
        <v>53</v>
      </c>
      <c r="BR129" s="7">
        <v>32</v>
      </c>
      <c r="BS129" s="7">
        <v>0</v>
      </c>
      <c r="BT129" s="7">
        <v>1</v>
      </c>
      <c r="BU129" s="7">
        <v>37</v>
      </c>
      <c r="BV129" s="7">
        <v>88</v>
      </c>
      <c r="BW129" s="7">
        <v>44</v>
      </c>
      <c r="BX129" s="7">
        <v>14</v>
      </c>
      <c r="BY129" s="7">
        <v>0</v>
      </c>
      <c r="BZ129" s="7">
        <v>0</v>
      </c>
      <c r="CA129" s="7">
        <v>26</v>
      </c>
      <c r="CB129" s="9">
        <v>46.794576923076939</v>
      </c>
      <c r="CC129" s="9">
        <v>45.897153846153842</v>
      </c>
      <c r="CD129" s="9">
        <v>46.346153846153847</v>
      </c>
      <c r="CE129" s="9">
        <v>92.691730769230773</v>
      </c>
      <c r="CF129" s="7">
        <v>10</v>
      </c>
      <c r="CG129" s="7">
        <v>8</v>
      </c>
      <c r="CH129" s="7">
        <v>7</v>
      </c>
      <c r="CI129" s="7">
        <v>1</v>
      </c>
      <c r="CJ129" s="7">
        <v>0</v>
      </c>
      <c r="CK129" s="7">
        <v>0</v>
      </c>
      <c r="CL129" s="7">
        <v>5</v>
      </c>
      <c r="CM129" s="7">
        <v>18</v>
      </c>
      <c r="CN129" s="7">
        <v>3</v>
      </c>
      <c r="CO129" s="7">
        <v>0</v>
      </c>
      <c r="CP129" s="7">
        <v>0</v>
      </c>
      <c r="CQ129" s="7">
        <v>0</v>
      </c>
      <c r="CR129" s="7">
        <v>209</v>
      </c>
      <c r="CS129" s="9">
        <v>56.25165550239231</v>
      </c>
      <c r="CT129" s="9">
        <v>49.82422009569374</v>
      </c>
      <c r="CU129" s="9">
        <v>53.038277511961731</v>
      </c>
      <c r="CV129" s="9">
        <v>106.07587559808607</v>
      </c>
      <c r="CW129" s="7">
        <v>36</v>
      </c>
      <c r="CX129" s="7">
        <v>80</v>
      </c>
      <c r="CY129" s="7">
        <v>60</v>
      </c>
      <c r="CZ129" s="7">
        <v>33</v>
      </c>
      <c r="DA129" s="7">
        <v>0</v>
      </c>
      <c r="DB129" s="7">
        <v>1</v>
      </c>
      <c r="DC129" s="7">
        <v>42</v>
      </c>
      <c r="DD129" s="7">
        <v>106</v>
      </c>
      <c r="DE129" s="7">
        <v>47</v>
      </c>
      <c r="DF129" s="7">
        <v>14</v>
      </c>
      <c r="DG129" s="7">
        <v>0</v>
      </c>
      <c r="DH129" s="7">
        <v>0</v>
      </c>
      <c r="DI129" s="18">
        <f t="shared" si="12"/>
        <v>236</v>
      </c>
      <c r="DJ129" s="18">
        <f t="shared" si="13"/>
        <v>120</v>
      </c>
      <c r="DK129" s="18">
        <f t="shared" si="14"/>
        <v>253</v>
      </c>
      <c r="DL129" s="18">
        <f t="shared" si="21"/>
        <v>12</v>
      </c>
      <c r="DM129" s="18">
        <f t="shared" si="22"/>
        <v>5</v>
      </c>
      <c r="DN129" s="18">
        <f t="shared" si="23"/>
        <v>14</v>
      </c>
      <c r="DO129" s="18">
        <v>313</v>
      </c>
      <c r="DP129" s="18">
        <v>124</v>
      </c>
      <c r="DQ129" s="18">
        <v>313</v>
      </c>
      <c r="DR129" s="18">
        <v>26</v>
      </c>
      <c r="DS129" s="18">
        <v>5</v>
      </c>
      <c r="DT129" s="18">
        <v>26</v>
      </c>
      <c r="DU129" s="18" t="s">
        <v>97</v>
      </c>
    </row>
    <row r="130" spans="54:125" x14ac:dyDescent="0.25">
      <c r="BB130" s="7">
        <v>127</v>
      </c>
      <c r="BC130" s="7" t="s">
        <v>332</v>
      </c>
      <c r="BD130" s="23" t="s">
        <v>97</v>
      </c>
      <c r="BE130" s="26">
        <v>808572024</v>
      </c>
      <c r="BF130" s="25" t="s">
        <v>120</v>
      </c>
      <c r="BG130" s="7">
        <v>253</v>
      </c>
      <c r="BH130" s="7" t="s">
        <v>320</v>
      </c>
      <c r="BI130" s="7" t="s">
        <v>367</v>
      </c>
      <c r="BJ130" s="7">
        <v>104</v>
      </c>
      <c r="BK130" s="9">
        <v>65.448384615384583</v>
      </c>
      <c r="BL130" s="9">
        <v>55.929105769230802</v>
      </c>
      <c r="BM130" s="9">
        <v>60.689102564102576</v>
      </c>
      <c r="BN130" s="9">
        <v>121.37749038461531</v>
      </c>
      <c r="BO130" s="7">
        <v>8</v>
      </c>
      <c r="BP130" s="7">
        <v>27</v>
      </c>
      <c r="BQ130" s="7">
        <v>47</v>
      </c>
      <c r="BR130" s="7">
        <v>22</v>
      </c>
      <c r="BS130" s="7">
        <v>0</v>
      </c>
      <c r="BT130" s="7">
        <v>1</v>
      </c>
      <c r="BU130" s="7">
        <v>11</v>
      </c>
      <c r="BV130" s="7">
        <v>50</v>
      </c>
      <c r="BW130" s="7">
        <v>36</v>
      </c>
      <c r="BX130" s="7">
        <v>7</v>
      </c>
      <c r="BY130" s="7">
        <v>0</v>
      </c>
      <c r="BZ130" s="7">
        <v>0</v>
      </c>
      <c r="CA130" s="7"/>
      <c r="CB130" s="9"/>
      <c r="CC130" s="9"/>
      <c r="CD130" s="9"/>
      <c r="CE130" s="9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>
        <v>104</v>
      </c>
      <c r="CS130" s="9">
        <v>65.448384615384583</v>
      </c>
      <c r="CT130" s="9">
        <v>55.929105769230802</v>
      </c>
      <c r="CU130" s="9">
        <v>60.689102564102576</v>
      </c>
      <c r="CV130" s="9">
        <v>121.37749038461531</v>
      </c>
      <c r="CW130" s="7">
        <v>8</v>
      </c>
      <c r="CX130" s="7">
        <v>27</v>
      </c>
      <c r="CY130" s="7">
        <v>47</v>
      </c>
      <c r="CZ130" s="7">
        <v>22</v>
      </c>
      <c r="DA130" s="7">
        <v>0</v>
      </c>
      <c r="DB130" s="7">
        <v>1</v>
      </c>
      <c r="DC130" s="7">
        <v>11</v>
      </c>
      <c r="DD130" s="7">
        <v>50</v>
      </c>
      <c r="DE130" s="7">
        <v>36</v>
      </c>
      <c r="DF130" s="7">
        <v>7</v>
      </c>
      <c r="DG130" s="7">
        <v>0</v>
      </c>
      <c r="DH130" s="7">
        <v>0</v>
      </c>
      <c r="DI130" s="18">
        <f t="shared" si="12"/>
        <v>124</v>
      </c>
      <c r="DJ130" s="18" t="str">
        <f t="shared" si="13"/>
        <v/>
      </c>
      <c r="DK130" s="18">
        <f t="shared" si="14"/>
        <v>119</v>
      </c>
      <c r="DL130" s="18">
        <f t="shared" si="21"/>
        <v>4</v>
      </c>
      <c r="DM130" s="18" t="str">
        <f t="shared" si="22"/>
        <v/>
      </c>
      <c r="DN130" s="18">
        <f t="shared" si="23"/>
        <v>4</v>
      </c>
      <c r="DO130" s="18">
        <v>313</v>
      </c>
      <c r="DP130" s="18">
        <v>124</v>
      </c>
      <c r="DQ130" s="18">
        <v>313</v>
      </c>
      <c r="DR130" s="18">
        <v>26</v>
      </c>
      <c r="DS130" s="18">
        <v>5</v>
      </c>
      <c r="DT130" s="18">
        <v>26</v>
      </c>
      <c r="DU130" s="18" t="s">
        <v>97</v>
      </c>
    </row>
    <row r="131" spans="54:125" x14ac:dyDescent="0.25">
      <c r="BB131" s="7">
        <v>128</v>
      </c>
      <c r="BC131" s="7" t="s">
        <v>332</v>
      </c>
      <c r="BD131" s="23" t="s">
        <v>97</v>
      </c>
      <c r="BE131" s="26">
        <v>663986204</v>
      </c>
      <c r="BF131" s="25" t="s">
        <v>118</v>
      </c>
      <c r="BG131" s="7">
        <v>273</v>
      </c>
      <c r="BH131" s="7" t="s">
        <v>320</v>
      </c>
      <c r="BI131" s="7" t="s">
        <v>368</v>
      </c>
      <c r="BJ131" s="7">
        <v>109</v>
      </c>
      <c r="BK131" s="9">
        <v>58.348311926605511</v>
      </c>
      <c r="BL131" s="9">
        <v>49.755018348623864</v>
      </c>
      <c r="BM131" s="9">
        <v>54.051987767584109</v>
      </c>
      <c r="BN131" s="9">
        <v>108.10333027522933</v>
      </c>
      <c r="BO131" s="7">
        <v>15</v>
      </c>
      <c r="BP131" s="7">
        <v>45</v>
      </c>
      <c r="BQ131" s="7">
        <v>29</v>
      </c>
      <c r="BR131" s="7">
        <v>20</v>
      </c>
      <c r="BS131" s="7">
        <v>0</v>
      </c>
      <c r="BT131" s="7">
        <v>1</v>
      </c>
      <c r="BU131" s="7">
        <v>24</v>
      </c>
      <c r="BV131" s="7">
        <v>55</v>
      </c>
      <c r="BW131" s="7">
        <v>23</v>
      </c>
      <c r="BX131" s="7">
        <v>7</v>
      </c>
      <c r="BY131" s="7">
        <v>0</v>
      </c>
      <c r="BZ131" s="7">
        <v>0</v>
      </c>
      <c r="CA131" s="7">
        <v>25</v>
      </c>
      <c r="CB131" s="9">
        <v>64.399639999999991</v>
      </c>
      <c r="CC131" s="9">
        <v>50.666359999999997</v>
      </c>
      <c r="CD131" s="9">
        <v>57.533333333333331</v>
      </c>
      <c r="CE131" s="9">
        <v>115.066</v>
      </c>
      <c r="CF131" s="7">
        <v>3</v>
      </c>
      <c r="CG131" s="7">
        <v>6</v>
      </c>
      <c r="CH131" s="7">
        <v>11</v>
      </c>
      <c r="CI131" s="7">
        <v>5</v>
      </c>
      <c r="CJ131" s="7">
        <v>0</v>
      </c>
      <c r="CK131" s="7">
        <v>0</v>
      </c>
      <c r="CL131" s="7">
        <v>3</v>
      </c>
      <c r="CM131" s="7">
        <v>15</v>
      </c>
      <c r="CN131" s="7">
        <v>7</v>
      </c>
      <c r="CO131" s="7">
        <v>0</v>
      </c>
      <c r="CP131" s="7">
        <v>0</v>
      </c>
      <c r="CQ131" s="7">
        <v>0</v>
      </c>
      <c r="CR131" s="7">
        <v>134</v>
      </c>
      <c r="CS131" s="9">
        <v>59.477291044776109</v>
      </c>
      <c r="CT131" s="9">
        <v>49.925044776119407</v>
      </c>
      <c r="CU131" s="9">
        <v>54.701492537313442</v>
      </c>
      <c r="CV131" s="9">
        <v>109.40233582089547</v>
      </c>
      <c r="CW131" s="7">
        <v>18</v>
      </c>
      <c r="CX131" s="7">
        <v>51</v>
      </c>
      <c r="CY131" s="7">
        <v>40</v>
      </c>
      <c r="CZ131" s="7">
        <v>25</v>
      </c>
      <c r="DA131" s="7">
        <v>0</v>
      </c>
      <c r="DB131" s="7">
        <v>1</v>
      </c>
      <c r="DC131" s="7">
        <v>27</v>
      </c>
      <c r="DD131" s="7">
        <v>70</v>
      </c>
      <c r="DE131" s="7">
        <v>30</v>
      </c>
      <c r="DF131" s="7">
        <v>7</v>
      </c>
      <c r="DG131" s="7">
        <v>0</v>
      </c>
      <c r="DH131" s="7">
        <v>0</v>
      </c>
      <c r="DI131" s="18">
        <f t="shared" si="12"/>
        <v>235</v>
      </c>
      <c r="DJ131" s="18">
        <f t="shared" si="13"/>
        <v>78</v>
      </c>
      <c r="DK131" s="18">
        <f t="shared" si="14"/>
        <v>229</v>
      </c>
      <c r="DL131" s="18">
        <f t="shared" si="21"/>
        <v>11</v>
      </c>
      <c r="DM131" s="18">
        <f t="shared" si="22"/>
        <v>2</v>
      </c>
      <c r="DN131" s="18">
        <f t="shared" si="23"/>
        <v>9</v>
      </c>
      <c r="DO131" s="18">
        <v>313</v>
      </c>
      <c r="DP131" s="18">
        <v>124</v>
      </c>
      <c r="DQ131" s="18">
        <v>313</v>
      </c>
      <c r="DR131" s="18">
        <v>26</v>
      </c>
      <c r="DS131" s="18">
        <v>5</v>
      </c>
      <c r="DT131" s="18">
        <v>26</v>
      </c>
      <c r="DU131" s="18" t="s">
        <v>97</v>
      </c>
    </row>
    <row r="132" spans="54:125" x14ac:dyDescent="0.25">
      <c r="BB132" s="7">
        <v>129</v>
      </c>
      <c r="BC132" s="7" t="s">
        <v>332</v>
      </c>
      <c r="BD132" s="23" t="s">
        <v>97</v>
      </c>
      <c r="BE132" s="26">
        <v>457856587</v>
      </c>
      <c r="BF132" s="25" t="s">
        <v>121</v>
      </c>
      <c r="BG132" s="7">
        <v>274</v>
      </c>
      <c r="BH132" s="7" t="s">
        <v>320</v>
      </c>
      <c r="BI132" s="7" t="s">
        <v>368</v>
      </c>
      <c r="BJ132" s="7">
        <v>345</v>
      </c>
      <c r="BK132" s="9">
        <v>55.584214492753532</v>
      </c>
      <c r="BL132" s="9">
        <v>47.980315942028952</v>
      </c>
      <c r="BM132" s="9">
        <v>51.782608695652165</v>
      </c>
      <c r="BN132" s="9">
        <v>103.56453043478245</v>
      </c>
      <c r="BO132" s="7">
        <v>74</v>
      </c>
      <c r="BP132" s="7">
        <v>107</v>
      </c>
      <c r="BQ132" s="7">
        <v>109</v>
      </c>
      <c r="BR132" s="7">
        <v>55</v>
      </c>
      <c r="BS132" s="7">
        <v>6</v>
      </c>
      <c r="BT132" s="7">
        <v>1</v>
      </c>
      <c r="BU132" s="7">
        <v>87</v>
      </c>
      <c r="BV132" s="7">
        <v>158</v>
      </c>
      <c r="BW132" s="7">
        <v>83</v>
      </c>
      <c r="BX132" s="7">
        <v>17</v>
      </c>
      <c r="BY132" s="7">
        <v>0</v>
      </c>
      <c r="BZ132" s="7">
        <v>0</v>
      </c>
      <c r="CA132" s="7">
        <v>41</v>
      </c>
      <c r="CB132" s="9">
        <v>57.31675609756099</v>
      </c>
      <c r="CC132" s="9">
        <v>52.194780487804884</v>
      </c>
      <c r="CD132" s="9">
        <v>54.756097560975597</v>
      </c>
      <c r="CE132" s="9">
        <v>109.51153658536585</v>
      </c>
      <c r="CF132" s="7">
        <v>4</v>
      </c>
      <c r="CG132" s="7">
        <v>15</v>
      </c>
      <c r="CH132" s="7">
        <v>21</v>
      </c>
      <c r="CI132" s="7">
        <v>1</v>
      </c>
      <c r="CJ132" s="7">
        <v>0</v>
      </c>
      <c r="CK132" s="7">
        <v>0</v>
      </c>
      <c r="CL132" s="7">
        <v>4</v>
      </c>
      <c r="CM132" s="7">
        <v>26</v>
      </c>
      <c r="CN132" s="7">
        <v>10</v>
      </c>
      <c r="CO132" s="7">
        <v>1</v>
      </c>
      <c r="CP132" s="7">
        <v>0</v>
      </c>
      <c r="CQ132" s="7">
        <v>0</v>
      </c>
      <c r="CR132" s="7">
        <v>386</v>
      </c>
      <c r="CS132" s="9">
        <v>55.768240932642378</v>
      </c>
      <c r="CT132" s="9">
        <v>48.427966321243474</v>
      </c>
      <c r="CU132" s="9">
        <v>52.098445595854891</v>
      </c>
      <c r="CV132" s="9">
        <v>104.19620725388587</v>
      </c>
      <c r="CW132" s="7">
        <v>78</v>
      </c>
      <c r="CX132" s="7">
        <v>122</v>
      </c>
      <c r="CY132" s="7">
        <v>130</v>
      </c>
      <c r="CZ132" s="7">
        <v>56</v>
      </c>
      <c r="DA132" s="7">
        <v>6</v>
      </c>
      <c r="DB132" s="7">
        <v>1</v>
      </c>
      <c r="DC132" s="7">
        <v>91</v>
      </c>
      <c r="DD132" s="7">
        <v>184</v>
      </c>
      <c r="DE132" s="7">
        <v>93</v>
      </c>
      <c r="DF132" s="7">
        <v>18</v>
      </c>
      <c r="DG132" s="7">
        <v>0</v>
      </c>
      <c r="DH132" s="7">
        <v>0</v>
      </c>
      <c r="DI132" s="18">
        <f t="shared" si="12"/>
        <v>264</v>
      </c>
      <c r="DJ132" s="18">
        <f t="shared" si="13"/>
        <v>99</v>
      </c>
      <c r="DK132" s="18">
        <f t="shared" si="14"/>
        <v>265</v>
      </c>
      <c r="DL132" s="18">
        <f t="shared" si="21"/>
        <v>18</v>
      </c>
      <c r="DM132" s="18">
        <f t="shared" si="22"/>
        <v>4</v>
      </c>
      <c r="DN132" s="18">
        <f t="shared" si="23"/>
        <v>18</v>
      </c>
      <c r="DO132" s="18">
        <v>313</v>
      </c>
      <c r="DP132" s="18">
        <v>124</v>
      </c>
      <c r="DQ132" s="18">
        <v>313</v>
      </c>
      <c r="DR132" s="18">
        <v>26</v>
      </c>
      <c r="DS132" s="18">
        <v>5</v>
      </c>
      <c r="DT132" s="18">
        <v>26</v>
      </c>
      <c r="DU132" s="18" t="s">
        <v>97</v>
      </c>
    </row>
    <row r="133" spans="54:125" x14ac:dyDescent="0.25">
      <c r="BB133" s="7">
        <v>130</v>
      </c>
      <c r="BC133" s="7" t="s">
        <v>332</v>
      </c>
      <c r="BD133" s="23" t="s">
        <v>97</v>
      </c>
      <c r="BE133" s="26">
        <v>511524344</v>
      </c>
      <c r="BF133" s="25" t="s">
        <v>106</v>
      </c>
      <c r="BG133" s="7">
        <v>288</v>
      </c>
      <c r="BH133" s="7" t="s">
        <v>320</v>
      </c>
      <c r="BI133" s="7" t="s">
        <v>367</v>
      </c>
      <c r="BJ133" s="7">
        <v>293</v>
      </c>
      <c r="BK133" s="9">
        <v>63.935959044368531</v>
      </c>
      <c r="BL133" s="9">
        <v>58.429730375426594</v>
      </c>
      <c r="BM133" s="9">
        <v>61.18316268486921</v>
      </c>
      <c r="BN133" s="9">
        <v>122.36568941979509</v>
      </c>
      <c r="BO133" s="7">
        <v>33</v>
      </c>
      <c r="BP133" s="7">
        <v>77</v>
      </c>
      <c r="BQ133" s="7">
        <v>115</v>
      </c>
      <c r="BR133" s="7">
        <v>68</v>
      </c>
      <c r="BS133" s="7">
        <v>0</v>
      </c>
      <c r="BT133" s="7">
        <v>2</v>
      </c>
      <c r="BU133" s="7">
        <v>32</v>
      </c>
      <c r="BV133" s="7">
        <v>121</v>
      </c>
      <c r="BW133" s="7">
        <v>105</v>
      </c>
      <c r="BX133" s="7">
        <v>35</v>
      </c>
      <c r="BY133" s="7">
        <v>0</v>
      </c>
      <c r="BZ133" s="7">
        <v>0</v>
      </c>
      <c r="CA133" s="7"/>
      <c r="CB133" s="9"/>
      <c r="CC133" s="9"/>
      <c r="CD133" s="9"/>
      <c r="CE133" s="9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>
        <v>293</v>
      </c>
      <c r="CS133" s="9">
        <v>63.935959044368531</v>
      </c>
      <c r="CT133" s="9">
        <v>58.429730375426594</v>
      </c>
      <c r="CU133" s="9">
        <v>61.18316268486921</v>
      </c>
      <c r="CV133" s="9">
        <v>122.36568941979509</v>
      </c>
      <c r="CW133" s="7">
        <v>33</v>
      </c>
      <c r="CX133" s="7">
        <v>77</v>
      </c>
      <c r="CY133" s="7">
        <v>115</v>
      </c>
      <c r="CZ133" s="7">
        <v>68</v>
      </c>
      <c r="DA133" s="7">
        <v>0</v>
      </c>
      <c r="DB133" s="7">
        <v>2</v>
      </c>
      <c r="DC133" s="7">
        <v>32</v>
      </c>
      <c r="DD133" s="7">
        <v>121</v>
      </c>
      <c r="DE133" s="7">
        <v>105</v>
      </c>
      <c r="DF133" s="7">
        <v>35</v>
      </c>
      <c r="DG133" s="7">
        <v>0</v>
      </c>
      <c r="DH133" s="7">
        <v>0</v>
      </c>
      <c r="DI133" s="18">
        <f t="shared" ref="DI133:DI196" si="24">IF(BN133="","",(RANK(BN133,$BN$4:$BN$326)))</f>
        <v>114</v>
      </c>
      <c r="DJ133" s="18" t="str">
        <f t="shared" ref="DJ133:DJ196" si="25">IF(CE133="","",(RANK(CE133,$CE$4:$CE$326)))</f>
        <v/>
      </c>
      <c r="DK133" s="18">
        <f t="shared" ref="DK133:DK196" si="26">IF(CV133="","",(RANK(CV133,$CV$4:$CV$326)))</f>
        <v>108</v>
      </c>
      <c r="DL133" s="18">
        <f t="shared" si="21"/>
        <v>3</v>
      </c>
      <c r="DM133" s="18" t="str">
        <f t="shared" si="22"/>
        <v/>
      </c>
      <c r="DN133" s="18">
        <f t="shared" si="23"/>
        <v>3</v>
      </c>
      <c r="DO133" s="18">
        <v>313</v>
      </c>
      <c r="DP133" s="18">
        <v>124</v>
      </c>
      <c r="DQ133" s="18">
        <v>313</v>
      </c>
      <c r="DR133" s="18">
        <v>26</v>
      </c>
      <c r="DS133" s="18">
        <v>5</v>
      </c>
      <c r="DT133" s="18">
        <v>26</v>
      </c>
      <c r="DU133" s="18" t="s">
        <v>97</v>
      </c>
    </row>
    <row r="134" spans="54:125" x14ac:dyDescent="0.25">
      <c r="BB134" s="7">
        <v>131</v>
      </c>
      <c r="BC134" s="7" t="s">
        <v>332</v>
      </c>
      <c r="BD134" s="23" t="s">
        <v>97</v>
      </c>
      <c r="BE134" s="26">
        <v>915602212</v>
      </c>
      <c r="BF134" s="25" t="s">
        <v>104</v>
      </c>
      <c r="BG134" s="7">
        <v>294</v>
      </c>
      <c r="BH134" s="7" t="s">
        <v>320</v>
      </c>
      <c r="BI134" s="7" t="s">
        <v>367</v>
      </c>
      <c r="BJ134" s="7">
        <v>53</v>
      </c>
      <c r="BK134" s="9">
        <v>56.540566037735879</v>
      </c>
      <c r="BL134" s="9">
        <v>49.496490566037764</v>
      </c>
      <c r="BM134" s="9">
        <v>53.018867924528266</v>
      </c>
      <c r="BN134" s="9">
        <v>106.03705660377362</v>
      </c>
      <c r="BO134" s="7">
        <v>11</v>
      </c>
      <c r="BP134" s="7">
        <v>19</v>
      </c>
      <c r="BQ134" s="7">
        <v>12</v>
      </c>
      <c r="BR134" s="7">
        <v>11</v>
      </c>
      <c r="BS134" s="7">
        <v>1</v>
      </c>
      <c r="BT134" s="7">
        <v>2</v>
      </c>
      <c r="BU134" s="7">
        <v>12</v>
      </c>
      <c r="BV134" s="7">
        <v>25</v>
      </c>
      <c r="BW134" s="7">
        <v>13</v>
      </c>
      <c r="BX134" s="7">
        <v>3</v>
      </c>
      <c r="BY134" s="7">
        <v>0</v>
      </c>
      <c r="BZ134" s="7">
        <v>0</v>
      </c>
      <c r="CA134" s="7"/>
      <c r="CB134" s="9"/>
      <c r="CC134" s="9"/>
      <c r="CD134" s="9"/>
      <c r="CE134" s="9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>
        <v>53</v>
      </c>
      <c r="CS134" s="9">
        <v>56.540566037735879</v>
      </c>
      <c r="CT134" s="9">
        <v>49.496490566037764</v>
      </c>
      <c r="CU134" s="9">
        <v>53.018867924528266</v>
      </c>
      <c r="CV134" s="9">
        <v>106.03705660377362</v>
      </c>
      <c r="CW134" s="7">
        <v>11</v>
      </c>
      <c r="CX134" s="7">
        <v>19</v>
      </c>
      <c r="CY134" s="7">
        <v>12</v>
      </c>
      <c r="CZ134" s="7">
        <v>11</v>
      </c>
      <c r="DA134" s="7">
        <v>1</v>
      </c>
      <c r="DB134" s="7">
        <v>2</v>
      </c>
      <c r="DC134" s="7">
        <v>12</v>
      </c>
      <c r="DD134" s="7">
        <v>25</v>
      </c>
      <c r="DE134" s="7">
        <v>13</v>
      </c>
      <c r="DF134" s="7">
        <v>3</v>
      </c>
      <c r="DG134" s="7">
        <v>0</v>
      </c>
      <c r="DH134" s="7">
        <v>0</v>
      </c>
      <c r="DI134" s="18">
        <f t="shared" si="24"/>
        <v>250</v>
      </c>
      <c r="DJ134" s="18" t="str">
        <f t="shared" si="25"/>
        <v/>
      </c>
      <c r="DK134" s="18">
        <f t="shared" si="26"/>
        <v>254</v>
      </c>
      <c r="DL134" s="18">
        <f t="shared" si="21"/>
        <v>15</v>
      </c>
      <c r="DM134" s="18" t="str">
        <f t="shared" si="22"/>
        <v/>
      </c>
      <c r="DN134" s="18">
        <f t="shared" si="23"/>
        <v>15</v>
      </c>
      <c r="DO134" s="18">
        <v>313</v>
      </c>
      <c r="DP134" s="18">
        <v>124</v>
      </c>
      <c r="DQ134" s="18">
        <v>313</v>
      </c>
      <c r="DR134" s="18">
        <v>26</v>
      </c>
      <c r="DS134" s="18">
        <v>5</v>
      </c>
      <c r="DT134" s="18">
        <v>26</v>
      </c>
      <c r="DU134" s="18" t="s">
        <v>97</v>
      </c>
    </row>
    <row r="135" spans="54:125" x14ac:dyDescent="0.25">
      <c r="BB135" s="7">
        <v>132</v>
      </c>
      <c r="BC135" s="7" t="s">
        <v>332</v>
      </c>
      <c r="BD135" s="23" t="s">
        <v>97</v>
      </c>
      <c r="BE135" s="26">
        <v>984387384</v>
      </c>
      <c r="BF135" s="25" t="s">
        <v>107</v>
      </c>
      <c r="BG135" s="7">
        <v>302</v>
      </c>
      <c r="BH135" s="7" t="s">
        <v>320</v>
      </c>
      <c r="BI135" s="7" t="s">
        <v>367</v>
      </c>
      <c r="BJ135" s="7">
        <v>61</v>
      </c>
      <c r="BK135" s="9">
        <v>52.404000000000039</v>
      </c>
      <c r="BL135" s="9">
        <v>44.535131147541016</v>
      </c>
      <c r="BM135" s="9">
        <v>48.46994535519125</v>
      </c>
      <c r="BN135" s="9">
        <v>96.939131147540976</v>
      </c>
      <c r="BO135" s="7">
        <v>16</v>
      </c>
      <c r="BP135" s="7">
        <v>18</v>
      </c>
      <c r="BQ135" s="7">
        <v>18</v>
      </c>
      <c r="BR135" s="7">
        <v>9</v>
      </c>
      <c r="BS135" s="7">
        <v>0</v>
      </c>
      <c r="BT135" s="7">
        <v>0</v>
      </c>
      <c r="BU135" s="7">
        <v>19</v>
      </c>
      <c r="BV135" s="7">
        <v>25</v>
      </c>
      <c r="BW135" s="7">
        <v>14</v>
      </c>
      <c r="BX135" s="7">
        <v>3</v>
      </c>
      <c r="BY135" s="7">
        <v>0</v>
      </c>
      <c r="BZ135" s="7">
        <v>0</v>
      </c>
      <c r="CA135" s="7"/>
      <c r="CB135" s="9"/>
      <c r="CC135" s="9"/>
      <c r="CD135" s="9"/>
      <c r="CE135" s="9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>
        <v>61</v>
      </c>
      <c r="CS135" s="9">
        <v>52.404000000000039</v>
      </c>
      <c r="CT135" s="9">
        <v>44.535131147541016</v>
      </c>
      <c r="CU135" s="9">
        <v>48.46994535519125</v>
      </c>
      <c r="CV135" s="9">
        <v>96.939131147540976</v>
      </c>
      <c r="CW135" s="7">
        <v>16</v>
      </c>
      <c r="CX135" s="7">
        <v>18</v>
      </c>
      <c r="CY135" s="7">
        <v>18</v>
      </c>
      <c r="CZ135" s="7">
        <v>9</v>
      </c>
      <c r="DA135" s="7">
        <v>0</v>
      </c>
      <c r="DB135" s="7">
        <v>0</v>
      </c>
      <c r="DC135" s="7">
        <v>19</v>
      </c>
      <c r="DD135" s="7">
        <v>25</v>
      </c>
      <c r="DE135" s="7">
        <v>14</v>
      </c>
      <c r="DF135" s="7">
        <v>3</v>
      </c>
      <c r="DG135" s="7">
        <v>0</v>
      </c>
      <c r="DH135" s="7">
        <v>0</v>
      </c>
      <c r="DI135" s="18">
        <f t="shared" si="24"/>
        <v>282</v>
      </c>
      <c r="DJ135" s="18" t="str">
        <f t="shared" si="25"/>
        <v/>
      </c>
      <c r="DK135" s="18">
        <f t="shared" si="26"/>
        <v>286</v>
      </c>
      <c r="DL135" s="18">
        <f t="shared" si="21"/>
        <v>21</v>
      </c>
      <c r="DM135" s="18" t="str">
        <f t="shared" si="22"/>
        <v/>
      </c>
      <c r="DN135" s="18">
        <f t="shared" si="23"/>
        <v>21</v>
      </c>
      <c r="DO135" s="18">
        <v>313</v>
      </c>
      <c r="DP135" s="18">
        <v>124</v>
      </c>
      <c r="DQ135" s="18">
        <v>313</v>
      </c>
      <c r="DR135" s="18">
        <v>26</v>
      </c>
      <c r="DS135" s="18">
        <v>5</v>
      </c>
      <c r="DT135" s="18">
        <v>26</v>
      </c>
      <c r="DU135" s="18" t="s">
        <v>97</v>
      </c>
    </row>
    <row r="136" spans="54:125" x14ac:dyDescent="0.25">
      <c r="BB136" s="7">
        <v>133</v>
      </c>
      <c r="BC136" s="7" t="s">
        <v>332</v>
      </c>
      <c r="BD136" s="23" t="s">
        <v>97</v>
      </c>
      <c r="BE136" s="26">
        <v>898210113</v>
      </c>
      <c r="BF136" s="25" t="s">
        <v>98</v>
      </c>
      <c r="BG136" s="7">
        <v>303</v>
      </c>
      <c r="BH136" s="7" t="s">
        <v>329</v>
      </c>
      <c r="BI136" s="7" t="s">
        <v>367</v>
      </c>
      <c r="BJ136" s="7">
        <v>39</v>
      </c>
      <c r="BK136" s="9">
        <v>37.350102564102578</v>
      </c>
      <c r="BL136" s="9">
        <v>30.683358974358981</v>
      </c>
      <c r="BM136" s="9">
        <v>34.01709401709401</v>
      </c>
      <c r="BN136" s="9">
        <v>68.033461538461566</v>
      </c>
      <c r="BO136" s="7">
        <v>17</v>
      </c>
      <c r="BP136" s="7">
        <v>15</v>
      </c>
      <c r="BQ136" s="7">
        <v>6</v>
      </c>
      <c r="BR136" s="7">
        <v>1</v>
      </c>
      <c r="BS136" s="7">
        <v>0</v>
      </c>
      <c r="BT136" s="7">
        <v>0</v>
      </c>
      <c r="BU136" s="7">
        <v>26</v>
      </c>
      <c r="BV136" s="7">
        <v>11</v>
      </c>
      <c r="BW136" s="7">
        <v>2</v>
      </c>
      <c r="BX136" s="7">
        <v>0</v>
      </c>
      <c r="BY136" s="7">
        <v>0</v>
      </c>
      <c r="BZ136" s="7">
        <v>0</v>
      </c>
      <c r="CA136" s="7"/>
      <c r="CB136" s="9"/>
      <c r="CC136" s="9"/>
      <c r="CD136" s="9"/>
      <c r="CE136" s="9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>
        <v>39</v>
      </c>
      <c r="CS136" s="9">
        <v>37.350102564102578</v>
      </c>
      <c r="CT136" s="9">
        <v>30.683358974358981</v>
      </c>
      <c r="CU136" s="9">
        <v>34.01709401709401</v>
      </c>
      <c r="CV136" s="9">
        <v>68.033461538461566</v>
      </c>
      <c r="CW136" s="7">
        <v>17</v>
      </c>
      <c r="CX136" s="7">
        <v>15</v>
      </c>
      <c r="CY136" s="7">
        <v>6</v>
      </c>
      <c r="CZ136" s="7">
        <v>1</v>
      </c>
      <c r="DA136" s="7">
        <v>0</v>
      </c>
      <c r="DB136" s="7">
        <v>0</v>
      </c>
      <c r="DC136" s="7">
        <v>26</v>
      </c>
      <c r="DD136" s="7">
        <v>11</v>
      </c>
      <c r="DE136" s="7">
        <v>2</v>
      </c>
      <c r="DF136" s="7">
        <v>0</v>
      </c>
      <c r="DG136" s="7">
        <v>0</v>
      </c>
      <c r="DH136" s="7">
        <v>0</v>
      </c>
      <c r="DI136" s="18">
        <f t="shared" si="24"/>
        <v>302</v>
      </c>
      <c r="DJ136" s="18" t="str">
        <f t="shared" si="25"/>
        <v/>
      </c>
      <c r="DK136" s="18">
        <f t="shared" si="26"/>
        <v>303</v>
      </c>
      <c r="DL136" s="18">
        <f t="shared" si="21"/>
        <v>26</v>
      </c>
      <c r="DM136" s="18" t="str">
        <f t="shared" si="22"/>
        <v/>
      </c>
      <c r="DN136" s="18">
        <f t="shared" si="23"/>
        <v>26</v>
      </c>
      <c r="DO136" s="18">
        <v>313</v>
      </c>
      <c r="DP136" s="18">
        <v>124</v>
      </c>
      <c r="DQ136" s="18">
        <v>313</v>
      </c>
      <c r="DR136" s="18">
        <v>26</v>
      </c>
      <c r="DS136" s="18">
        <v>5</v>
      </c>
      <c r="DT136" s="18">
        <v>26</v>
      </c>
      <c r="DU136" s="18" t="s">
        <v>97</v>
      </c>
    </row>
    <row r="137" spans="54:125" x14ac:dyDescent="0.25">
      <c r="BB137" s="7">
        <v>134</v>
      </c>
      <c r="BC137" s="7" t="s">
        <v>332</v>
      </c>
      <c r="BD137" s="23" t="s">
        <v>97</v>
      </c>
      <c r="BE137" s="26">
        <v>100898956</v>
      </c>
      <c r="BF137" s="25" t="s">
        <v>101</v>
      </c>
      <c r="BG137" s="7">
        <v>319</v>
      </c>
      <c r="BH137" s="7" t="s">
        <v>320</v>
      </c>
      <c r="BI137" s="7" t="s">
        <v>367</v>
      </c>
      <c r="BJ137" s="7">
        <v>54</v>
      </c>
      <c r="BK137" s="9">
        <v>62.468796296296333</v>
      </c>
      <c r="BL137" s="9">
        <v>54.505851851851872</v>
      </c>
      <c r="BM137" s="9">
        <v>58.487654320987666</v>
      </c>
      <c r="BN137" s="9">
        <v>116.97464814814813</v>
      </c>
      <c r="BO137" s="7">
        <v>6</v>
      </c>
      <c r="BP137" s="7">
        <v>22</v>
      </c>
      <c r="BQ137" s="7">
        <v>13</v>
      </c>
      <c r="BR137" s="7">
        <v>13</v>
      </c>
      <c r="BS137" s="7">
        <v>0</v>
      </c>
      <c r="BT137" s="7">
        <v>1</v>
      </c>
      <c r="BU137" s="7">
        <v>6</v>
      </c>
      <c r="BV137" s="7">
        <v>30</v>
      </c>
      <c r="BW137" s="7">
        <v>15</v>
      </c>
      <c r="BX137" s="7">
        <v>3</v>
      </c>
      <c r="BY137" s="7">
        <v>0</v>
      </c>
      <c r="BZ137" s="7">
        <v>0</v>
      </c>
      <c r="CA137" s="7"/>
      <c r="CB137" s="9"/>
      <c r="CC137" s="9"/>
      <c r="CD137" s="9"/>
      <c r="CE137" s="9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>
        <v>54</v>
      </c>
      <c r="CS137" s="9">
        <v>62.468796296296333</v>
      </c>
      <c r="CT137" s="9">
        <v>54.505851851851872</v>
      </c>
      <c r="CU137" s="9">
        <v>58.487654320987666</v>
      </c>
      <c r="CV137" s="9">
        <v>116.97464814814813</v>
      </c>
      <c r="CW137" s="7">
        <v>6</v>
      </c>
      <c r="CX137" s="7">
        <v>22</v>
      </c>
      <c r="CY137" s="7">
        <v>13</v>
      </c>
      <c r="CZ137" s="7">
        <v>13</v>
      </c>
      <c r="DA137" s="7">
        <v>0</v>
      </c>
      <c r="DB137" s="7">
        <v>1</v>
      </c>
      <c r="DC137" s="7">
        <v>6</v>
      </c>
      <c r="DD137" s="7">
        <v>30</v>
      </c>
      <c r="DE137" s="7">
        <v>15</v>
      </c>
      <c r="DF137" s="7">
        <v>3</v>
      </c>
      <c r="DG137" s="7">
        <v>0</v>
      </c>
      <c r="DH137" s="7">
        <v>0</v>
      </c>
      <c r="DI137" s="18">
        <f t="shared" si="24"/>
        <v>164</v>
      </c>
      <c r="DJ137" s="18" t="str">
        <f t="shared" si="25"/>
        <v/>
      </c>
      <c r="DK137" s="18">
        <f t="shared" si="26"/>
        <v>158</v>
      </c>
      <c r="DL137" s="18">
        <f t="shared" si="21"/>
        <v>6</v>
      </c>
      <c r="DM137" s="18" t="str">
        <f t="shared" si="22"/>
        <v/>
      </c>
      <c r="DN137" s="18">
        <f t="shared" si="23"/>
        <v>6</v>
      </c>
      <c r="DO137" s="18">
        <v>313</v>
      </c>
      <c r="DP137" s="18">
        <v>124</v>
      </c>
      <c r="DQ137" s="18">
        <v>313</v>
      </c>
      <c r="DR137" s="18">
        <v>26</v>
      </c>
      <c r="DS137" s="18">
        <v>5</v>
      </c>
      <c r="DT137" s="18">
        <v>26</v>
      </c>
      <c r="DU137" s="18" t="s">
        <v>97</v>
      </c>
    </row>
    <row r="138" spans="54:125" x14ac:dyDescent="0.25">
      <c r="BB138" s="7">
        <v>135</v>
      </c>
      <c r="BC138" s="7" t="s">
        <v>332</v>
      </c>
      <c r="BD138" s="23" t="s">
        <v>97</v>
      </c>
      <c r="BE138" s="26">
        <v>727118955</v>
      </c>
      <c r="BF138" s="25" t="s">
        <v>116</v>
      </c>
      <c r="BG138" s="7">
        <v>320</v>
      </c>
      <c r="BH138" s="7" t="s">
        <v>320</v>
      </c>
      <c r="BI138" s="7" t="s">
        <v>367</v>
      </c>
      <c r="BJ138" s="7">
        <v>156</v>
      </c>
      <c r="BK138" s="9">
        <v>57.670641025641011</v>
      </c>
      <c r="BL138" s="9">
        <v>52.563769230769218</v>
      </c>
      <c r="BM138" s="9">
        <v>55.117521367521398</v>
      </c>
      <c r="BN138" s="9">
        <v>110.23441025641023</v>
      </c>
      <c r="BO138" s="7">
        <v>19</v>
      </c>
      <c r="BP138" s="7">
        <v>61</v>
      </c>
      <c r="BQ138" s="7">
        <v>52</v>
      </c>
      <c r="BR138" s="7">
        <v>24</v>
      </c>
      <c r="BS138" s="7">
        <v>3</v>
      </c>
      <c r="BT138" s="7">
        <v>0</v>
      </c>
      <c r="BU138" s="7">
        <v>24</v>
      </c>
      <c r="BV138" s="7">
        <v>74</v>
      </c>
      <c r="BW138" s="7">
        <v>48</v>
      </c>
      <c r="BX138" s="7">
        <v>10</v>
      </c>
      <c r="BY138" s="7">
        <v>0</v>
      </c>
      <c r="BZ138" s="7">
        <v>0</v>
      </c>
      <c r="CA138" s="7"/>
      <c r="CB138" s="9"/>
      <c r="CC138" s="9"/>
      <c r="CD138" s="9"/>
      <c r="CE138" s="9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>
        <v>156</v>
      </c>
      <c r="CS138" s="9">
        <v>57.670641025641011</v>
      </c>
      <c r="CT138" s="9">
        <v>52.563769230769218</v>
      </c>
      <c r="CU138" s="9">
        <v>55.117521367521398</v>
      </c>
      <c r="CV138" s="9">
        <v>110.23441025641023</v>
      </c>
      <c r="CW138" s="7">
        <v>19</v>
      </c>
      <c r="CX138" s="7">
        <v>61</v>
      </c>
      <c r="CY138" s="7">
        <v>52</v>
      </c>
      <c r="CZ138" s="7">
        <v>24</v>
      </c>
      <c r="DA138" s="7">
        <v>3</v>
      </c>
      <c r="DB138" s="7">
        <v>0</v>
      </c>
      <c r="DC138" s="7">
        <v>24</v>
      </c>
      <c r="DD138" s="7">
        <v>74</v>
      </c>
      <c r="DE138" s="7">
        <v>48</v>
      </c>
      <c r="DF138" s="7">
        <v>10</v>
      </c>
      <c r="DG138" s="7">
        <v>0</v>
      </c>
      <c r="DH138" s="7">
        <v>0</v>
      </c>
      <c r="DI138" s="18">
        <f t="shared" si="24"/>
        <v>213</v>
      </c>
      <c r="DJ138" s="18" t="str">
        <f t="shared" si="25"/>
        <v/>
      </c>
      <c r="DK138" s="18">
        <f t="shared" si="26"/>
        <v>217</v>
      </c>
      <c r="DL138" s="18">
        <f t="shared" si="21"/>
        <v>7</v>
      </c>
      <c r="DM138" s="18" t="str">
        <f t="shared" si="22"/>
        <v/>
      </c>
      <c r="DN138" s="18">
        <f t="shared" si="23"/>
        <v>7</v>
      </c>
      <c r="DO138" s="18">
        <v>313</v>
      </c>
      <c r="DP138" s="18">
        <v>124</v>
      </c>
      <c r="DQ138" s="18">
        <v>313</v>
      </c>
      <c r="DR138" s="18">
        <v>26</v>
      </c>
      <c r="DS138" s="18">
        <v>5</v>
      </c>
      <c r="DT138" s="18">
        <v>26</v>
      </c>
      <c r="DU138" s="18" t="s">
        <v>97</v>
      </c>
    </row>
    <row r="139" spans="54:125" x14ac:dyDescent="0.25">
      <c r="BB139" s="7">
        <v>136</v>
      </c>
      <c r="BC139" s="7" t="s">
        <v>332</v>
      </c>
      <c r="BD139" s="23" t="s">
        <v>97</v>
      </c>
      <c r="BE139" s="26">
        <v>545096589</v>
      </c>
      <c r="BF139" s="25" t="s">
        <v>105</v>
      </c>
      <c r="BG139" s="7">
        <v>321</v>
      </c>
      <c r="BH139" s="7" t="s">
        <v>320</v>
      </c>
      <c r="BI139" s="7" t="s">
        <v>367</v>
      </c>
      <c r="BJ139" s="7">
        <v>98</v>
      </c>
      <c r="BK139" s="9">
        <v>46.496244897959208</v>
      </c>
      <c r="BL139" s="9">
        <v>39.625459183673506</v>
      </c>
      <c r="BM139" s="9">
        <v>43.061224489795912</v>
      </c>
      <c r="BN139" s="9">
        <v>86.121704081632615</v>
      </c>
      <c r="BO139" s="7">
        <v>30</v>
      </c>
      <c r="BP139" s="7">
        <v>40</v>
      </c>
      <c r="BQ139" s="7">
        <v>24</v>
      </c>
      <c r="BR139" s="7">
        <v>4</v>
      </c>
      <c r="BS139" s="7">
        <v>2</v>
      </c>
      <c r="BT139" s="7">
        <v>1</v>
      </c>
      <c r="BU139" s="7">
        <v>42</v>
      </c>
      <c r="BV139" s="7">
        <v>36</v>
      </c>
      <c r="BW139" s="7">
        <v>19</v>
      </c>
      <c r="BX139" s="7">
        <v>1</v>
      </c>
      <c r="BY139" s="7">
        <v>0</v>
      </c>
      <c r="BZ139" s="7">
        <v>0</v>
      </c>
      <c r="CA139" s="7"/>
      <c r="CB139" s="9"/>
      <c r="CC139" s="9"/>
      <c r="CD139" s="9"/>
      <c r="CE139" s="9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>
        <v>98</v>
      </c>
      <c r="CS139" s="9">
        <v>46.496244897959208</v>
      </c>
      <c r="CT139" s="9">
        <v>39.625459183673506</v>
      </c>
      <c r="CU139" s="9">
        <v>43.061224489795912</v>
      </c>
      <c r="CV139" s="9">
        <v>86.121704081632615</v>
      </c>
      <c r="CW139" s="7">
        <v>30</v>
      </c>
      <c r="CX139" s="7">
        <v>40</v>
      </c>
      <c r="CY139" s="7">
        <v>24</v>
      </c>
      <c r="CZ139" s="7">
        <v>4</v>
      </c>
      <c r="DA139" s="7">
        <v>2</v>
      </c>
      <c r="DB139" s="7">
        <v>1</v>
      </c>
      <c r="DC139" s="7">
        <v>42</v>
      </c>
      <c r="DD139" s="7">
        <v>36</v>
      </c>
      <c r="DE139" s="7">
        <v>19</v>
      </c>
      <c r="DF139" s="7">
        <v>1</v>
      </c>
      <c r="DG139" s="7">
        <v>0</v>
      </c>
      <c r="DH139" s="7">
        <v>0</v>
      </c>
      <c r="DI139" s="18">
        <f t="shared" si="24"/>
        <v>296</v>
      </c>
      <c r="DJ139" s="18" t="str">
        <f t="shared" si="25"/>
        <v/>
      </c>
      <c r="DK139" s="18">
        <f t="shared" si="26"/>
        <v>297</v>
      </c>
      <c r="DL139" s="18">
        <f t="shared" si="21"/>
        <v>23</v>
      </c>
      <c r="DM139" s="18" t="str">
        <f t="shared" si="22"/>
        <v/>
      </c>
      <c r="DN139" s="18">
        <f t="shared" si="23"/>
        <v>23</v>
      </c>
      <c r="DO139" s="18">
        <v>313</v>
      </c>
      <c r="DP139" s="18">
        <v>124</v>
      </c>
      <c r="DQ139" s="18">
        <v>313</v>
      </c>
      <c r="DR139" s="18">
        <v>26</v>
      </c>
      <c r="DS139" s="18">
        <v>5</v>
      </c>
      <c r="DT139" s="18">
        <v>26</v>
      </c>
      <c r="DU139" s="18" t="s">
        <v>97</v>
      </c>
    </row>
    <row r="140" spans="54:125" x14ac:dyDescent="0.25">
      <c r="BB140" s="7">
        <v>137</v>
      </c>
      <c r="BC140" s="7" t="s">
        <v>332</v>
      </c>
      <c r="BD140" s="23" t="s">
        <v>97</v>
      </c>
      <c r="BE140" s="26">
        <v>955925228</v>
      </c>
      <c r="BF140" s="25" t="s">
        <v>123</v>
      </c>
      <c r="BG140" s="7">
        <v>331</v>
      </c>
      <c r="BH140" s="7" t="s">
        <v>329</v>
      </c>
      <c r="BI140" s="7" t="s">
        <v>367</v>
      </c>
      <c r="BJ140" s="7">
        <v>18</v>
      </c>
      <c r="BK140" s="9">
        <v>39.999555555555567</v>
      </c>
      <c r="BL140" s="9">
        <v>34.814499999999995</v>
      </c>
      <c r="BM140" s="9">
        <v>37.407407407407405</v>
      </c>
      <c r="BN140" s="9">
        <v>74.814055555555527</v>
      </c>
      <c r="BO140" s="7">
        <v>6</v>
      </c>
      <c r="BP140" s="7">
        <v>7</v>
      </c>
      <c r="BQ140" s="7">
        <v>5</v>
      </c>
      <c r="BR140" s="7">
        <v>0</v>
      </c>
      <c r="BS140" s="7">
        <v>1</v>
      </c>
      <c r="BT140" s="7">
        <v>0</v>
      </c>
      <c r="BU140" s="7">
        <v>7</v>
      </c>
      <c r="BV140" s="7">
        <v>11</v>
      </c>
      <c r="BW140" s="7">
        <v>0</v>
      </c>
      <c r="BX140" s="7">
        <v>0</v>
      </c>
      <c r="BY140" s="7">
        <v>0</v>
      </c>
      <c r="BZ140" s="7">
        <v>0</v>
      </c>
      <c r="CA140" s="7"/>
      <c r="CB140" s="9"/>
      <c r="CC140" s="9"/>
      <c r="CD140" s="9"/>
      <c r="CE140" s="9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>
        <v>18</v>
      </c>
      <c r="CS140" s="9">
        <v>39.999555555555567</v>
      </c>
      <c r="CT140" s="9">
        <v>34.814499999999995</v>
      </c>
      <c r="CU140" s="9">
        <v>37.407407407407405</v>
      </c>
      <c r="CV140" s="9">
        <v>74.814055555555527</v>
      </c>
      <c r="CW140" s="7">
        <v>6</v>
      </c>
      <c r="CX140" s="7">
        <v>7</v>
      </c>
      <c r="CY140" s="7">
        <v>5</v>
      </c>
      <c r="CZ140" s="7">
        <v>0</v>
      </c>
      <c r="DA140" s="7">
        <v>1</v>
      </c>
      <c r="DB140" s="7">
        <v>0</v>
      </c>
      <c r="DC140" s="7">
        <v>7</v>
      </c>
      <c r="DD140" s="7">
        <v>11</v>
      </c>
      <c r="DE140" s="7">
        <v>0</v>
      </c>
      <c r="DF140" s="7">
        <v>0</v>
      </c>
      <c r="DG140" s="7">
        <v>0</v>
      </c>
      <c r="DH140" s="7">
        <v>0</v>
      </c>
      <c r="DI140" s="18">
        <f t="shared" si="24"/>
        <v>301</v>
      </c>
      <c r="DJ140" s="18" t="str">
        <f t="shared" si="25"/>
        <v/>
      </c>
      <c r="DK140" s="18">
        <f t="shared" si="26"/>
        <v>302</v>
      </c>
      <c r="DL140" s="18">
        <f t="shared" si="21"/>
        <v>25</v>
      </c>
      <c r="DM140" s="18" t="str">
        <f t="shared" si="22"/>
        <v/>
      </c>
      <c r="DN140" s="18">
        <f t="shared" si="23"/>
        <v>25</v>
      </c>
      <c r="DO140" s="18">
        <v>313</v>
      </c>
      <c r="DP140" s="18">
        <v>124</v>
      </c>
      <c r="DQ140" s="18">
        <v>313</v>
      </c>
      <c r="DR140" s="18">
        <v>26</v>
      </c>
      <c r="DS140" s="18">
        <v>5</v>
      </c>
      <c r="DT140" s="18">
        <v>26</v>
      </c>
      <c r="DU140" s="18" t="s">
        <v>97</v>
      </c>
    </row>
    <row r="141" spans="54:125" x14ac:dyDescent="0.25">
      <c r="BB141" s="7">
        <v>138</v>
      </c>
      <c r="BC141" s="7" t="s">
        <v>332</v>
      </c>
      <c r="BD141" s="23" t="s">
        <v>124</v>
      </c>
      <c r="BE141" s="26">
        <v>901657848</v>
      </c>
      <c r="BF141" s="25" t="s">
        <v>167</v>
      </c>
      <c r="BG141" s="7">
        <v>4</v>
      </c>
      <c r="BH141" s="7" t="s">
        <v>320</v>
      </c>
      <c r="BI141" s="7" t="s">
        <v>367</v>
      </c>
      <c r="BJ141" s="7">
        <v>98</v>
      </c>
      <c r="BK141" s="9">
        <v>56.462265306122454</v>
      </c>
      <c r="BL141" s="9">
        <v>48.367000000000012</v>
      </c>
      <c r="BM141" s="9">
        <v>52.414965986394591</v>
      </c>
      <c r="BN141" s="9">
        <v>104.82926530612247</v>
      </c>
      <c r="BO141" s="7">
        <v>12</v>
      </c>
      <c r="BP141" s="7">
        <v>45</v>
      </c>
      <c r="BQ141" s="7">
        <v>28</v>
      </c>
      <c r="BR141" s="7">
        <v>13</v>
      </c>
      <c r="BS141" s="7">
        <v>0</v>
      </c>
      <c r="BT141" s="7">
        <v>1</v>
      </c>
      <c r="BU141" s="7">
        <v>24</v>
      </c>
      <c r="BV141" s="7">
        <v>47</v>
      </c>
      <c r="BW141" s="7">
        <v>22</v>
      </c>
      <c r="BX141" s="7">
        <v>5</v>
      </c>
      <c r="BY141" s="7">
        <v>0</v>
      </c>
      <c r="BZ141" s="7">
        <v>0</v>
      </c>
      <c r="CA141" s="7"/>
      <c r="CB141" s="9"/>
      <c r="CC141" s="9"/>
      <c r="CD141" s="9"/>
      <c r="CE141" s="9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>
        <v>98</v>
      </c>
      <c r="CS141" s="9">
        <v>56.462265306122454</v>
      </c>
      <c r="CT141" s="9">
        <v>48.367000000000012</v>
      </c>
      <c r="CU141" s="9">
        <v>52.414965986394591</v>
      </c>
      <c r="CV141" s="9">
        <v>104.82926530612247</v>
      </c>
      <c r="CW141" s="7">
        <v>12</v>
      </c>
      <c r="CX141" s="7">
        <v>45</v>
      </c>
      <c r="CY141" s="7">
        <v>28</v>
      </c>
      <c r="CZ141" s="7">
        <v>13</v>
      </c>
      <c r="DA141" s="7">
        <v>0</v>
      </c>
      <c r="DB141" s="7">
        <v>1</v>
      </c>
      <c r="DC141" s="7">
        <v>24</v>
      </c>
      <c r="DD141" s="7">
        <v>47</v>
      </c>
      <c r="DE141" s="7">
        <v>22</v>
      </c>
      <c r="DF141" s="7">
        <v>5</v>
      </c>
      <c r="DG141" s="7">
        <v>0</v>
      </c>
      <c r="DH141" s="7">
        <v>0</v>
      </c>
      <c r="DI141" s="18">
        <f t="shared" si="24"/>
        <v>258</v>
      </c>
      <c r="DJ141" s="18" t="str">
        <f t="shared" si="25"/>
        <v/>
      </c>
      <c r="DK141" s="18">
        <f t="shared" si="26"/>
        <v>262</v>
      </c>
      <c r="DL141" s="18">
        <f t="shared" ref="DL141:DL187" si="27">IF(BN141="","",(RANK(BN141,$BN$141:$BN$187)))</f>
        <v>38</v>
      </c>
      <c r="DM141" s="18" t="str">
        <f t="shared" ref="DM141:DM187" si="28">IF(CE141="","",(RANK(CE141,$CE$141:$CE$187)))</f>
        <v/>
      </c>
      <c r="DN141" s="18">
        <f t="shared" ref="DN141:DN187" si="29">IF(CV141="","",(RANK(CV141,$CV$141:$CV$187)))</f>
        <v>40</v>
      </c>
      <c r="DO141" s="18">
        <v>313</v>
      </c>
      <c r="DP141" s="18">
        <v>124</v>
      </c>
      <c r="DQ141" s="18">
        <v>313</v>
      </c>
      <c r="DR141" s="18">
        <v>47</v>
      </c>
      <c r="DS141" s="18">
        <v>12</v>
      </c>
      <c r="DT141" s="18">
        <v>47</v>
      </c>
      <c r="DU141" s="18" t="s">
        <v>124</v>
      </c>
    </row>
    <row r="142" spans="54:125" x14ac:dyDescent="0.25">
      <c r="BB142" s="7">
        <v>139</v>
      </c>
      <c r="BC142" s="7" t="s">
        <v>332</v>
      </c>
      <c r="BD142" s="23" t="s">
        <v>124</v>
      </c>
      <c r="BE142" s="26">
        <v>249046808</v>
      </c>
      <c r="BF142" s="25" t="s">
        <v>129</v>
      </c>
      <c r="BG142" s="7">
        <v>22</v>
      </c>
      <c r="BH142" s="7" t="s">
        <v>320</v>
      </c>
      <c r="BI142" s="7" t="s">
        <v>367</v>
      </c>
      <c r="BJ142" s="7">
        <v>273</v>
      </c>
      <c r="BK142" s="9">
        <v>60.512487179487124</v>
      </c>
      <c r="BL142" s="9">
        <v>52.66143589743583</v>
      </c>
      <c r="BM142" s="9">
        <v>56.587301587301596</v>
      </c>
      <c r="BN142" s="9">
        <v>113.17392307692299</v>
      </c>
      <c r="BO142" s="7">
        <v>24</v>
      </c>
      <c r="BP142" s="7">
        <v>115</v>
      </c>
      <c r="BQ142" s="7">
        <v>88</v>
      </c>
      <c r="BR142" s="7">
        <v>46</v>
      </c>
      <c r="BS142" s="7">
        <v>1</v>
      </c>
      <c r="BT142" s="7">
        <v>1</v>
      </c>
      <c r="BU142" s="7">
        <v>29</v>
      </c>
      <c r="BV142" s="7">
        <v>163</v>
      </c>
      <c r="BW142" s="7">
        <v>67</v>
      </c>
      <c r="BX142" s="7">
        <v>14</v>
      </c>
      <c r="BY142" s="7">
        <v>0</v>
      </c>
      <c r="BZ142" s="7">
        <v>0</v>
      </c>
      <c r="CA142" s="7"/>
      <c r="CB142" s="9"/>
      <c r="CC142" s="9"/>
      <c r="CD142" s="9"/>
      <c r="CE142" s="9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>
        <v>273</v>
      </c>
      <c r="CS142" s="9">
        <v>60.512487179487124</v>
      </c>
      <c r="CT142" s="9">
        <v>52.66143589743583</v>
      </c>
      <c r="CU142" s="9">
        <v>56.587301587301596</v>
      </c>
      <c r="CV142" s="9">
        <v>113.17392307692299</v>
      </c>
      <c r="CW142" s="7">
        <v>24</v>
      </c>
      <c r="CX142" s="7">
        <v>115</v>
      </c>
      <c r="CY142" s="7">
        <v>88</v>
      </c>
      <c r="CZ142" s="7">
        <v>46</v>
      </c>
      <c r="DA142" s="7">
        <v>1</v>
      </c>
      <c r="DB142" s="7">
        <v>1</v>
      </c>
      <c r="DC142" s="7">
        <v>29</v>
      </c>
      <c r="DD142" s="7">
        <v>163</v>
      </c>
      <c r="DE142" s="7">
        <v>67</v>
      </c>
      <c r="DF142" s="7">
        <v>14</v>
      </c>
      <c r="DG142" s="7">
        <v>0</v>
      </c>
      <c r="DH142" s="7">
        <v>0</v>
      </c>
      <c r="DI142" s="18">
        <f t="shared" si="24"/>
        <v>190</v>
      </c>
      <c r="DJ142" s="18" t="str">
        <f t="shared" si="25"/>
        <v/>
      </c>
      <c r="DK142" s="18">
        <f t="shared" si="26"/>
        <v>191</v>
      </c>
      <c r="DL142" s="18">
        <f t="shared" si="27"/>
        <v>29</v>
      </c>
      <c r="DM142" s="18" t="str">
        <f t="shared" si="28"/>
        <v/>
      </c>
      <c r="DN142" s="18">
        <f t="shared" si="29"/>
        <v>29</v>
      </c>
      <c r="DO142" s="18">
        <v>313</v>
      </c>
      <c r="DP142" s="18">
        <v>124</v>
      </c>
      <c r="DQ142" s="18">
        <v>313</v>
      </c>
      <c r="DR142" s="18">
        <v>47</v>
      </c>
      <c r="DS142" s="18">
        <v>12</v>
      </c>
      <c r="DT142" s="18">
        <v>47</v>
      </c>
      <c r="DU142" s="18" t="s">
        <v>124</v>
      </c>
    </row>
    <row r="143" spans="54:125" x14ac:dyDescent="0.25">
      <c r="BB143" s="7">
        <v>140</v>
      </c>
      <c r="BC143" s="7" t="s">
        <v>332</v>
      </c>
      <c r="BD143" s="23" t="s">
        <v>124</v>
      </c>
      <c r="BE143" s="26">
        <v>656318827</v>
      </c>
      <c r="BF143" s="25" t="s">
        <v>160</v>
      </c>
      <c r="BG143" s="7">
        <v>28</v>
      </c>
      <c r="BH143" s="7" t="s">
        <v>320</v>
      </c>
      <c r="BI143" s="7" t="s">
        <v>367</v>
      </c>
      <c r="BJ143" s="7">
        <v>257</v>
      </c>
      <c r="BK143" s="9">
        <v>63.657256809338463</v>
      </c>
      <c r="BL143" s="9">
        <v>57.613147859922158</v>
      </c>
      <c r="BM143" s="9">
        <v>60.635538261997404</v>
      </c>
      <c r="BN143" s="9">
        <v>121.27040466926059</v>
      </c>
      <c r="BO143" s="7">
        <v>21</v>
      </c>
      <c r="BP143" s="7">
        <v>84</v>
      </c>
      <c r="BQ143" s="7">
        <v>101</v>
      </c>
      <c r="BR143" s="7">
        <v>51</v>
      </c>
      <c r="BS143" s="7">
        <v>1</v>
      </c>
      <c r="BT143" s="7">
        <v>1</v>
      </c>
      <c r="BU143" s="7">
        <v>22</v>
      </c>
      <c r="BV143" s="7">
        <v>131</v>
      </c>
      <c r="BW143" s="7">
        <v>67</v>
      </c>
      <c r="BX143" s="7">
        <v>37</v>
      </c>
      <c r="BY143" s="7">
        <v>0</v>
      </c>
      <c r="BZ143" s="7">
        <v>0</v>
      </c>
      <c r="CA143" s="7"/>
      <c r="CB143" s="9"/>
      <c r="CC143" s="9"/>
      <c r="CD143" s="9"/>
      <c r="CE143" s="9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>
        <v>257</v>
      </c>
      <c r="CS143" s="9">
        <v>63.657256809338463</v>
      </c>
      <c r="CT143" s="9">
        <v>57.613147859922158</v>
      </c>
      <c r="CU143" s="9">
        <v>60.635538261997404</v>
      </c>
      <c r="CV143" s="9">
        <v>121.27040466926059</v>
      </c>
      <c r="CW143" s="7">
        <v>21</v>
      </c>
      <c r="CX143" s="7">
        <v>84</v>
      </c>
      <c r="CY143" s="7">
        <v>101</v>
      </c>
      <c r="CZ143" s="7">
        <v>51</v>
      </c>
      <c r="DA143" s="7">
        <v>1</v>
      </c>
      <c r="DB143" s="7">
        <v>1</v>
      </c>
      <c r="DC143" s="7">
        <v>22</v>
      </c>
      <c r="DD143" s="7">
        <v>131</v>
      </c>
      <c r="DE143" s="7">
        <v>67</v>
      </c>
      <c r="DF143" s="7">
        <v>37</v>
      </c>
      <c r="DG143" s="7">
        <v>0</v>
      </c>
      <c r="DH143" s="7">
        <v>0</v>
      </c>
      <c r="DI143" s="18">
        <f t="shared" si="24"/>
        <v>125</v>
      </c>
      <c r="DJ143" s="18" t="str">
        <f t="shared" si="25"/>
        <v/>
      </c>
      <c r="DK143" s="18">
        <f t="shared" si="26"/>
        <v>120</v>
      </c>
      <c r="DL143" s="18">
        <f t="shared" si="27"/>
        <v>15</v>
      </c>
      <c r="DM143" s="18" t="str">
        <f t="shared" si="28"/>
        <v/>
      </c>
      <c r="DN143" s="18">
        <f t="shared" si="29"/>
        <v>14</v>
      </c>
      <c r="DO143" s="18">
        <v>313</v>
      </c>
      <c r="DP143" s="18">
        <v>124</v>
      </c>
      <c r="DQ143" s="18">
        <v>313</v>
      </c>
      <c r="DR143" s="18">
        <v>47</v>
      </c>
      <c r="DS143" s="18">
        <v>12</v>
      </c>
      <c r="DT143" s="18">
        <v>47</v>
      </c>
      <c r="DU143" s="18" t="s">
        <v>124</v>
      </c>
    </row>
    <row r="144" spans="54:125" x14ac:dyDescent="0.25">
      <c r="BB144" s="7">
        <v>141</v>
      </c>
      <c r="BC144" s="7" t="s">
        <v>332</v>
      </c>
      <c r="BD144" s="23" t="s">
        <v>124</v>
      </c>
      <c r="BE144" s="26">
        <v>638985923</v>
      </c>
      <c r="BF144" s="25" t="s">
        <v>142</v>
      </c>
      <c r="BG144" s="7">
        <v>67</v>
      </c>
      <c r="BH144" s="7" t="s">
        <v>320</v>
      </c>
      <c r="BI144" s="7" t="s">
        <v>368</v>
      </c>
      <c r="BJ144" s="7">
        <v>231</v>
      </c>
      <c r="BK144" s="9">
        <v>67.402285714285696</v>
      </c>
      <c r="BL144" s="9">
        <v>59.696666666666651</v>
      </c>
      <c r="BM144" s="9">
        <v>63.549783549783513</v>
      </c>
      <c r="BN144" s="9">
        <v>127.09895238095221</v>
      </c>
      <c r="BO144" s="7">
        <v>21</v>
      </c>
      <c r="BP144" s="7">
        <v>55</v>
      </c>
      <c r="BQ144" s="7">
        <v>82</v>
      </c>
      <c r="BR144" s="7">
        <v>73</v>
      </c>
      <c r="BS144" s="7">
        <v>0</v>
      </c>
      <c r="BT144" s="7">
        <v>3</v>
      </c>
      <c r="BU144" s="7">
        <v>29</v>
      </c>
      <c r="BV144" s="7">
        <v>85</v>
      </c>
      <c r="BW144" s="7">
        <v>86</v>
      </c>
      <c r="BX144" s="7">
        <v>31</v>
      </c>
      <c r="BY144" s="7">
        <v>0</v>
      </c>
      <c r="BZ144" s="7">
        <v>0</v>
      </c>
      <c r="CA144" s="7">
        <v>67</v>
      </c>
      <c r="CB144" s="9">
        <v>59.502164179104504</v>
      </c>
      <c r="CC144" s="9">
        <v>54.676328358208984</v>
      </c>
      <c r="CD144" s="9">
        <v>57.089552238805958</v>
      </c>
      <c r="CE144" s="9">
        <v>114.17849253731343</v>
      </c>
      <c r="CF144" s="7">
        <v>7</v>
      </c>
      <c r="CG144" s="7">
        <v>25</v>
      </c>
      <c r="CH144" s="7">
        <v>28</v>
      </c>
      <c r="CI144" s="7">
        <v>7</v>
      </c>
      <c r="CJ144" s="7">
        <v>0</v>
      </c>
      <c r="CK144" s="7">
        <v>0</v>
      </c>
      <c r="CL144" s="7">
        <v>10</v>
      </c>
      <c r="CM144" s="7">
        <v>29</v>
      </c>
      <c r="CN144" s="7">
        <v>24</v>
      </c>
      <c r="CO144" s="7">
        <v>4</v>
      </c>
      <c r="CP144" s="7">
        <v>0</v>
      </c>
      <c r="CQ144" s="7">
        <v>0</v>
      </c>
      <c r="CR144" s="7">
        <v>298</v>
      </c>
      <c r="CS144" s="9">
        <v>65.626083892617416</v>
      </c>
      <c r="CT144" s="9">
        <v>58.567932885906011</v>
      </c>
      <c r="CU144" s="9">
        <v>62.097315436241622</v>
      </c>
      <c r="CV144" s="9">
        <v>124.19401677852333</v>
      </c>
      <c r="CW144" s="7">
        <v>28</v>
      </c>
      <c r="CX144" s="7">
        <v>80</v>
      </c>
      <c r="CY144" s="7">
        <v>110</v>
      </c>
      <c r="CZ144" s="7">
        <v>80</v>
      </c>
      <c r="DA144" s="7">
        <v>0</v>
      </c>
      <c r="DB144" s="7">
        <v>3</v>
      </c>
      <c r="DC144" s="7">
        <v>39</v>
      </c>
      <c r="DD144" s="7">
        <v>114</v>
      </c>
      <c r="DE144" s="7">
        <v>110</v>
      </c>
      <c r="DF144" s="7">
        <v>35</v>
      </c>
      <c r="DG144" s="7">
        <v>0</v>
      </c>
      <c r="DH144" s="7">
        <v>0</v>
      </c>
      <c r="DI144" s="18">
        <f t="shared" si="24"/>
        <v>79</v>
      </c>
      <c r="DJ144" s="18">
        <f t="shared" si="25"/>
        <v>83</v>
      </c>
      <c r="DK144" s="18">
        <f t="shared" si="26"/>
        <v>92</v>
      </c>
      <c r="DL144" s="18">
        <f t="shared" si="27"/>
        <v>11</v>
      </c>
      <c r="DM144" s="18">
        <f t="shared" si="28"/>
        <v>7</v>
      </c>
      <c r="DN144" s="18">
        <f t="shared" si="29"/>
        <v>12</v>
      </c>
      <c r="DO144" s="18">
        <v>313</v>
      </c>
      <c r="DP144" s="18">
        <v>124</v>
      </c>
      <c r="DQ144" s="18">
        <v>313</v>
      </c>
      <c r="DR144" s="18">
        <v>47</v>
      </c>
      <c r="DS144" s="18">
        <v>12</v>
      </c>
      <c r="DT144" s="18">
        <v>47</v>
      </c>
      <c r="DU144" s="18" t="s">
        <v>124</v>
      </c>
    </row>
    <row r="145" spans="54:125" x14ac:dyDescent="0.25">
      <c r="BB145" s="7">
        <v>142</v>
      </c>
      <c r="BC145" s="7" t="s">
        <v>332</v>
      </c>
      <c r="BD145" s="23" t="s">
        <v>124</v>
      </c>
      <c r="BE145" s="26">
        <v>471782001</v>
      </c>
      <c r="BF145" s="25" t="s">
        <v>168</v>
      </c>
      <c r="BG145" s="7">
        <v>68</v>
      </c>
      <c r="BH145" s="7" t="s">
        <v>320</v>
      </c>
      <c r="BI145" s="7" t="s">
        <v>368</v>
      </c>
      <c r="BJ145" s="7">
        <v>32</v>
      </c>
      <c r="BK145" s="9">
        <v>58.124625000000002</v>
      </c>
      <c r="BL145" s="9">
        <v>48.541281249999997</v>
      </c>
      <c r="BM145" s="9">
        <v>53.333333333333336</v>
      </c>
      <c r="BN145" s="9">
        <v>106.66590625000002</v>
      </c>
      <c r="BO145" s="7">
        <v>4</v>
      </c>
      <c r="BP145" s="7">
        <v>14</v>
      </c>
      <c r="BQ145" s="7">
        <v>9</v>
      </c>
      <c r="BR145" s="7">
        <v>5</v>
      </c>
      <c r="BS145" s="7">
        <v>0</v>
      </c>
      <c r="BT145" s="7">
        <v>0</v>
      </c>
      <c r="BU145" s="7">
        <v>5</v>
      </c>
      <c r="BV145" s="7">
        <v>19</v>
      </c>
      <c r="BW145" s="7">
        <v>6</v>
      </c>
      <c r="BX145" s="7">
        <v>2</v>
      </c>
      <c r="BY145" s="7">
        <v>0</v>
      </c>
      <c r="BZ145" s="7">
        <v>0</v>
      </c>
      <c r="CA145" s="7">
        <v>20</v>
      </c>
      <c r="CB145" s="9">
        <v>58.999649999999995</v>
      </c>
      <c r="CC145" s="9">
        <v>50.332999999999998</v>
      </c>
      <c r="CD145" s="9">
        <v>54.666666666666671</v>
      </c>
      <c r="CE145" s="9">
        <v>109.33264999999999</v>
      </c>
      <c r="CF145" s="7">
        <v>1</v>
      </c>
      <c r="CG145" s="7">
        <v>10</v>
      </c>
      <c r="CH145" s="7">
        <v>6</v>
      </c>
      <c r="CI145" s="7">
        <v>3</v>
      </c>
      <c r="CJ145" s="7">
        <v>0</v>
      </c>
      <c r="CK145" s="7">
        <v>0</v>
      </c>
      <c r="CL145" s="7">
        <v>4</v>
      </c>
      <c r="CM145" s="7">
        <v>11</v>
      </c>
      <c r="CN145" s="7">
        <v>3</v>
      </c>
      <c r="CO145" s="7">
        <v>2</v>
      </c>
      <c r="CP145" s="7">
        <v>0</v>
      </c>
      <c r="CQ145" s="7">
        <v>0</v>
      </c>
      <c r="CR145" s="7">
        <v>52</v>
      </c>
      <c r="CS145" s="9">
        <v>58.461173076923096</v>
      </c>
      <c r="CT145" s="9">
        <v>49.230403846153862</v>
      </c>
      <c r="CU145" s="9">
        <v>53.846153846153847</v>
      </c>
      <c r="CV145" s="9">
        <v>107.69157692307689</v>
      </c>
      <c r="CW145" s="7">
        <v>5</v>
      </c>
      <c r="CX145" s="7">
        <v>24</v>
      </c>
      <c r="CY145" s="7">
        <v>15</v>
      </c>
      <c r="CZ145" s="7">
        <v>8</v>
      </c>
      <c r="DA145" s="7">
        <v>0</v>
      </c>
      <c r="DB145" s="7">
        <v>0</v>
      </c>
      <c r="DC145" s="7">
        <v>9</v>
      </c>
      <c r="DD145" s="7">
        <v>30</v>
      </c>
      <c r="DE145" s="7">
        <v>9</v>
      </c>
      <c r="DF145" s="7">
        <v>4</v>
      </c>
      <c r="DG145" s="7">
        <v>0</v>
      </c>
      <c r="DH145" s="7">
        <v>0</v>
      </c>
      <c r="DI145" s="18">
        <f t="shared" si="24"/>
        <v>248</v>
      </c>
      <c r="DJ145" s="18">
        <f t="shared" si="25"/>
        <v>101</v>
      </c>
      <c r="DK145" s="18">
        <f t="shared" si="26"/>
        <v>242</v>
      </c>
      <c r="DL145" s="18">
        <f t="shared" si="27"/>
        <v>35</v>
      </c>
      <c r="DM145" s="18">
        <f t="shared" si="28"/>
        <v>11</v>
      </c>
      <c r="DN145" s="18">
        <f t="shared" si="29"/>
        <v>35</v>
      </c>
      <c r="DO145" s="18">
        <v>313</v>
      </c>
      <c r="DP145" s="18">
        <v>124</v>
      </c>
      <c r="DQ145" s="18">
        <v>313</v>
      </c>
      <c r="DR145" s="18">
        <v>47</v>
      </c>
      <c r="DS145" s="18">
        <v>12</v>
      </c>
      <c r="DT145" s="18">
        <v>47</v>
      </c>
      <c r="DU145" s="18" t="s">
        <v>124</v>
      </c>
    </row>
    <row r="146" spans="54:125" x14ac:dyDescent="0.25">
      <c r="BB146" s="7">
        <v>143</v>
      </c>
      <c r="BC146" s="7" t="s">
        <v>332</v>
      </c>
      <c r="BD146" s="23" t="s">
        <v>124</v>
      </c>
      <c r="BE146" s="26">
        <v>105666967</v>
      </c>
      <c r="BF146" s="25" t="s">
        <v>152</v>
      </c>
      <c r="BG146" s="7">
        <v>69</v>
      </c>
      <c r="BH146" s="7" t="s">
        <v>320</v>
      </c>
      <c r="BI146" s="7" t="s">
        <v>367</v>
      </c>
      <c r="BJ146" s="7">
        <v>154</v>
      </c>
      <c r="BK146" s="9">
        <v>65.216149350649317</v>
      </c>
      <c r="BL146" s="9">
        <v>59.631694805194797</v>
      </c>
      <c r="BM146" s="9">
        <v>62.424242424242408</v>
      </c>
      <c r="BN146" s="9">
        <v>124.84784415584402</v>
      </c>
      <c r="BO146" s="7">
        <v>8</v>
      </c>
      <c r="BP146" s="7">
        <v>60</v>
      </c>
      <c r="BQ146" s="7">
        <v>55</v>
      </c>
      <c r="BR146" s="7">
        <v>31</v>
      </c>
      <c r="BS146" s="7">
        <v>0</v>
      </c>
      <c r="BT146" s="7">
        <v>2</v>
      </c>
      <c r="BU146" s="7">
        <v>9</v>
      </c>
      <c r="BV146" s="7">
        <v>75</v>
      </c>
      <c r="BW146" s="7">
        <v>56</v>
      </c>
      <c r="BX146" s="7">
        <v>14</v>
      </c>
      <c r="BY146" s="7">
        <v>0</v>
      </c>
      <c r="BZ146" s="7">
        <v>0</v>
      </c>
      <c r="CA146" s="7"/>
      <c r="CB146" s="9"/>
      <c r="CC146" s="9"/>
      <c r="CD146" s="9"/>
      <c r="CE146" s="9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>
        <v>154</v>
      </c>
      <c r="CS146" s="9">
        <v>65.216149350649317</v>
      </c>
      <c r="CT146" s="9">
        <v>59.631694805194797</v>
      </c>
      <c r="CU146" s="9">
        <v>62.424242424242408</v>
      </c>
      <c r="CV146" s="9">
        <v>124.84784415584402</v>
      </c>
      <c r="CW146" s="7">
        <v>8</v>
      </c>
      <c r="CX146" s="7">
        <v>60</v>
      </c>
      <c r="CY146" s="7">
        <v>55</v>
      </c>
      <c r="CZ146" s="7">
        <v>31</v>
      </c>
      <c r="DA146" s="7">
        <v>0</v>
      </c>
      <c r="DB146" s="7">
        <v>2</v>
      </c>
      <c r="DC146" s="7">
        <v>9</v>
      </c>
      <c r="DD146" s="7">
        <v>75</v>
      </c>
      <c r="DE146" s="7">
        <v>56</v>
      </c>
      <c r="DF146" s="7">
        <v>14</v>
      </c>
      <c r="DG146" s="7">
        <v>0</v>
      </c>
      <c r="DH146" s="7">
        <v>0</v>
      </c>
      <c r="DI146" s="18">
        <f t="shared" si="24"/>
        <v>96</v>
      </c>
      <c r="DJ146" s="18" t="str">
        <f t="shared" si="25"/>
        <v/>
      </c>
      <c r="DK146" s="18">
        <f t="shared" si="26"/>
        <v>83</v>
      </c>
      <c r="DL146" s="18">
        <f t="shared" si="27"/>
        <v>13</v>
      </c>
      <c r="DM146" s="18" t="str">
        <f t="shared" si="28"/>
        <v/>
      </c>
      <c r="DN146" s="18">
        <f t="shared" si="29"/>
        <v>11</v>
      </c>
      <c r="DO146" s="18">
        <v>313</v>
      </c>
      <c r="DP146" s="18">
        <v>124</v>
      </c>
      <c r="DQ146" s="18">
        <v>313</v>
      </c>
      <c r="DR146" s="18">
        <v>47</v>
      </c>
      <c r="DS146" s="18">
        <v>12</v>
      </c>
      <c r="DT146" s="18">
        <v>47</v>
      </c>
      <c r="DU146" s="18" t="s">
        <v>124</v>
      </c>
    </row>
    <row r="147" spans="54:125" x14ac:dyDescent="0.25">
      <c r="BB147" s="7">
        <v>144</v>
      </c>
      <c r="BC147" s="7" t="s">
        <v>332</v>
      </c>
      <c r="BD147" s="23" t="s">
        <v>124</v>
      </c>
      <c r="BE147" s="26">
        <v>339840932</v>
      </c>
      <c r="BF147" s="25" t="s">
        <v>158</v>
      </c>
      <c r="BG147" s="7">
        <v>71</v>
      </c>
      <c r="BH147" s="7" t="s">
        <v>320</v>
      </c>
      <c r="BI147" s="7" t="s">
        <v>367</v>
      </c>
      <c r="BJ147" s="7">
        <v>191</v>
      </c>
      <c r="BK147" s="9">
        <v>64.415026178010436</v>
      </c>
      <c r="BL147" s="9">
        <v>54.135759162303636</v>
      </c>
      <c r="BM147" s="9">
        <v>59.275741710296678</v>
      </c>
      <c r="BN147" s="9">
        <v>118.55078534031402</v>
      </c>
      <c r="BO147" s="7">
        <v>8</v>
      </c>
      <c r="BP147" s="7">
        <v>72</v>
      </c>
      <c r="BQ147" s="7">
        <v>76</v>
      </c>
      <c r="BR147" s="7">
        <v>35</v>
      </c>
      <c r="BS147" s="7">
        <v>1</v>
      </c>
      <c r="BT147" s="7">
        <v>1</v>
      </c>
      <c r="BU147" s="7">
        <v>26</v>
      </c>
      <c r="BV147" s="7">
        <v>85</v>
      </c>
      <c r="BW147" s="7">
        <v>63</v>
      </c>
      <c r="BX147" s="7">
        <v>17</v>
      </c>
      <c r="BY147" s="7">
        <v>0</v>
      </c>
      <c r="BZ147" s="7">
        <v>0</v>
      </c>
      <c r="CA147" s="7"/>
      <c r="CB147" s="9"/>
      <c r="CC147" s="9"/>
      <c r="CD147" s="9"/>
      <c r="CE147" s="9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>
        <v>191</v>
      </c>
      <c r="CS147" s="9">
        <v>64.415026178010436</v>
      </c>
      <c r="CT147" s="9">
        <v>54.135759162303636</v>
      </c>
      <c r="CU147" s="9">
        <v>59.275741710296678</v>
      </c>
      <c r="CV147" s="9">
        <v>118.55078534031402</v>
      </c>
      <c r="CW147" s="7">
        <v>8</v>
      </c>
      <c r="CX147" s="7">
        <v>72</v>
      </c>
      <c r="CY147" s="7">
        <v>76</v>
      </c>
      <c r="CZ147" s="7">
        <v>35</v>
      </c>
      <c r="DA147" s="7">
        <v>1</v>
      </c>
      <c r="DB147" s="7">
        <v>1</v>
      </c>
      <c r="DC147" s="7">
        <v>26</v>
      </c>
      <c r="DD147" s="7">
        <v>85</v>
      </c>
      <c r="DE147" s="7">
        <v>63</v>
      </c>
      <c r="DF147" s="7">
        <v>17</v>
      </c>
      <c r="DG147" s="7">
        <v>0</v>
      </c>
      <c r="DH147" s="7">
        <v>0</v>
      </c>
      <c r="DI147" s="18">
        <f t="shared" si="24"/>
        <v>150</v>
      </c>
      <c r="DJ147" s="18" t="str">
        <f t="shared" si="25"/>
        <v/>
      </c>
      <c r="DK147" s="18">
        <f t="shared" si="26"/>
        <v>146</v>
      </c>
      <c r="DL147" s="18">
        <f t="shared" si="27"/>
        <v>21</v>
      </c>
      <c r="DM147" s="18" t="str">
        <f t="shared" si="28"/>
        <v/>
      </c>
      <c r="DN147" s="18">
        <f t="shared" si="29"/>
        <v>22</v>
      </c>
      <c r="DO147" s="18">
        <v>313</v>
      </c>
      <c r="DP147" s="18">
        <v>124</v>
      </c>
      <c r="DQ147" s="18">
        <v>313</v>
      </c>
      <c r="DR147" s="18">
        <v>47</v>
      </c>
      <c r="DS147" s="18">
        <v>12</v>
      </c>
      <c r="DT147" s="18">
        <v>47</v>
      </c>
      <c r="DU147" s="18" t="s">
        <v>124</v>
      </c>
    </row>
    <row r="148" spans="54:125" x14ac:dyDescent="0.25">
      <c r="BB148" s="7">
        <v>145</v>
      </c>
      <c r="BC148" s="7" t="s">
        <v>332</v>
      </c>
      <c r="BD148" s="23" t="s">
        <v>124</v>
      </c>
      <c r="BE148" s="26">
        <v>133835998</v>
      </c>
      <c r="BF148" s="25" t="s">
        <v>157</v>
      </c>
      <c r="BG148" s="7">
        <v>72</v>
      </c>
      <c r="BH148" s="7" t="s">
        <v>322</v>
      </c>
      <c r="BI148" s="7" t="s">
        <v>368</v>
      </c>
      <c r="BJ148" s="7">
        <v>165</v>
      </c>
      <c r="BK148" s="9">
        <v>74.666345454545393</v>
      </c>
      <c r="BL148" s="9">
        <v>68.444115151515163</v>
      </c>
      <c r="BM148" s="9">
        <v>71.555555555555557</v>
      </c>
      <c r="BN148" s="9">
        <v>143.11046060606054</v>
      </c>
      <c r="BO148" s="7">
        <v>2</v>
      </c>
      <c r="BP148" s="7">
        <v>35</v>
      </c>
      <c r="BQ148" s="7">
        <v>58</v>
      </c>
      <c r="BR148" s="7">
        <v>70</v>
      </c>
      <c r="BS148" s="7">
        <v>0</v>
      </c>
      <c r="BT148" s="7">
        <v>8</v>
      </c>
      <c r="BU148" s="7">
        <v>6</v>
      </c>
      <c r="BV148" s="7">
        <v>48</v>
      </c>
      <c r="BW148" s="7">
        <v>69</v>
      </c>
      <c r="BX148" s="7">
        <v>42</v>
      </c>
      <c r="BY148" s="7">
        <v>0</v>
      </c>
      <c r="BZ148" s="7">
        <v>1</v>
      </c>
      <c r="CA148" s="7">
        <v>90</v>
      </c>
      <c r="CB148" s="9">
        <v>66.888588888888876</v>
      </c>
      <c r="CC148" s="9">
        <v>58.92563333333333</v>
      </c>
      <c r="CD148" s="9">
        <v>62.907407407407398</v>
      </c>
      <c r="CE148" s="9">
        <v>125.81422222222214</v>
      </c>
      <c r="CF148" s="7">
        <v>2</v>
      </c>
      <c r="CG148" s="7">
        <v>28</v>
      </c>
      <c r="CH148" s="7">
        <v>45</v>
      </c>
      <c r="CI148" s="7">
        <v>15</v>
      </c>
      <c r="CJ148" s="7">
        <v>0</v>
      </c>
      <c r="CK148" s="7">
        <v>0</v>
      </c>
      <c r="CL148" s="7">
        <v>5</v>
      </c>
      <c r="CM148" s="7">
        <v>44</v>
      </c>
      <c r="CN148" s="7">
        <v>32</v>
      </c>
      <c r="CO148" s="7">
        <v>9</v>
      </c>
      <c r="CP148" s="7">
        <v>0</v>
      </c>
      <c r="CQ148" s="7">
        <v>0</v>
      </c>
      <c r="CR148" s="7">
        <v>255</v>
      </c>
      <c r="CS148" s="9">
        <v>71.921254901960708</v>
      </c>
      <c r="CT148" s="9">
        <v>65.084650980392169</v>
      </c>
      <c r="CU148" s="9">
        <v>68.503267973856197</v>
      </c>
      <c r="CV148" s="9">
        <v>137.00590588235278</v>
      </c>
      <c r="CW148" s="7">
        <v>4</v>
      </c>
      <c r="CX148" s="7">
        <v>63</v>
      </c>
      <c r="CY148" s="7">
        <v>103</v>
      </c>
      <c r="CZ148" s="7">
        <v>85</v>
      </c>
      <c r="DA148" s="7">
        <v>0</v>
      </c>
      <c r="DB148" s="7">
        <v>8</v>
      </c>
      <c r="DC148" s="7">
        <v>11</v>
      </c>
      <c r="DD148" s="7">
        <v>92</v>
      </c>
      <c r="DE148" s="7">
        <v>101</v>
      </c>
      <c r="DF148" s="7">
        <v>51</v>
      </c>
      <c r="DG148" s="7">
        <v>0</v>
      </c>
      <c r="DH148" s="7">
        <v>1</v>
      </c>
      <c r="DI148" s="18">
        <f t="shared" si="24"/>
        <v>6</v>
      </c>
      <c r="DJ148" s="18">
        <f t="shared" si="25"/>
        <v>30</v>
      </c>
      <c r="DK148" s="18">
        <f t="shared" si="26"/>
        <v>13</v>
      </c>
      <c r="DL148" s="18">
        <f t="shared" si="27"/>
        <v>1</v>
      </c>
      <c r="DM148" s="18">
        <f t="shared" si="28"/>
        <v>3</v>
      </c>
      <c r="DN148" s="18">
        <f t="shared" si="29"/>
        <v>1</v>
      </c>
      <c r="DO148" s="18">
        <v>313</v>
      </c>
      <c r="DP148" s="18">
        <v>124</v>
      </c>
      <c r="DQ148" s="18">
        <v>313</v>
      </c>
      <c r="DR148" s="18">
        <v>47</v>
      </c>
      <c r="DS148" s="18">
        <v>12</v>
      </c>
      <c r="DT148" s="18">
        <v>47</v>
      </c>
      <c r="DU148" s="18" t="s">
        <v>124</v>
      </c>
    </row>
    <row r="149" spans="54:125" x14ac:dyDescent="0.25">
      <c r="BB149" s="7">
        <v>146</v>
      </c>
      <c r="BC149" s="7" t="s">
        <v>332</v>
      </c>
      <c r="BD149" s="23" t="s">
        <v>124</v>
      </c>
      <c r="BE149" s="26">
        <v>288130419</v>
      </c>
      <c r="BF149" s="25" t="s">
        <v>140</v>
      </c>
      <c r="BG149" s="7">
        <v>74</v>
      </c>
      <c r="BH149" s="7" t="s">
        <v>320</v>
      </c>
      <c r="BI149" s="7" t="s">
        <v>368</v>
      </c>
      <c r="BJ149" s="7">
        <v>105</v>
      </c>
      <c r="BK149" s="9">
        <v>65.079009523809532</v>
      </c>
      <c r="BL149" s="9">
        <v>57.459980952380953</v>
      </c>
      <c r="BM149" s="9">
        <v>61.269841269841244</v>
      </c>
      <c r="BN149" s="9">
        <v>122.53899047619036</v>
      </c>
      <c r="BO149" s="7">
        <v>11</v>
      </c>
      <c r="BP149" s="7">
        <v>29</v>
      </c>
      <c r="BQ149" s="7">
        <v>42</v>
      </c>
      <c r="BR149" s="7">
        <v>23</v>
      </c>
      <c r="BS149" s="7">
        <v>0</v>
      </c>
      <c r="BT149" s="7">
        <v>0</v>
      </c>
      <c r="BU149" s="7">
        <v>15</v>
      </c>
      <c r="BV149" s="7">
        <v>37</v>
      </c>
      <c r="BW149" s="7">
        <v>38</v>
      </c>
      <c r="BX149" s="7">
        <v>15</v>
      </c>
      <c r="BY149" s="7">
        <v>0</v>
      </c>
      <c r="BZ149" s="7">
        <v>0</v>
      </c>
      <c r="CA149" s="7">
        <v>64</v>
      </c>
      <c r="CB149" s="9">
        <v>61.718421875000026</v>
      </c>
      <c r="CC149" s="9">
        <v>53.020515625000016</v>
      </c>
      <c r="CD149" s="9">
        <v>57.369791666666657</v>
      </c>
      <c r="CE149" s="9">
        <v>114.73893749999996</v>
      </c>
      <c r="CF149" s="7">
        <v>4</v>
      </c>
      <c r="CG149" s="7">
        <v>25</v>
      </c>
      <c r="CH149" s="7">
        <v>26</v>
      </c>
      <c r="CI149" s="7">
        <v>9</v>
      </c>
      <c r="CJ149" s="7">
        <v>0</v>
      </c>
      <c r="CK149" s="7">
        <v>0</v>
      </c>
      <c r="CL149" s="7">
        <v>9</v>
      </c>
      <c r="CM149" s="7">
        <v>31</v>
      </c>
      <c r="CN149" s="7">
        <v>22</v>
      </c>
      <c r="CO149" s="7">
        <v>2</v>
      </c>
      <c r="CP149" s="7">
        <v>0</v>
      </c>
      <c r="CQ149" s="7">
        <v>0</v>
      </c>
      <c r="CR149" s="7">
        <v>169</v>
      </c>
      <c r="CS149" s="9">
        <v>63.806360946745535</v>
      </c>
      <c r="CT149" s="9">
        <v>55.778763313609481</v>
      </c>
      <c r="CU149" s="9">
        <v>59.792899408284001</v>
      </c>
      <c r="CV149" s="9">
        <v>119.58512426035489</v>
      </c>
      <c r="CW149" s="7">
        <v>15</v>
      </c>
      <c r="CX149" s="7">
        <v>54</v>
      </c>
      <c r="CY149" s="7">
        <v>68</v>
      </c>
      <c r="CZ149" s="7">
        <v>32</v>
      </c>
      <c r="DA149" s="7">
        <v>0</v>
      </c>
      <c r="DB149" s="7">
        <v>0</v>
      </c>
      <c r="DC149" s="7">
        <v>24</v>
      </c>
      <c r="DD149" s="7">
        <v>68</v>
      </c>
      <c r="DE149" s="7">
        <v>60</v>
      </c>
      <c r="DF149" s="7">
        <v>17</v>
      </c>
      <c r="DG149" s="7">
        <v>0</v>
      </c>
      <c r="DH149" s="7">
        <v>0</v>
      </c>
      <c r="DI149" s="18">
        <f t="shared" si="24"/>
        <v>111</v>
      </c>
      <c r="DJ149" s="18">
        <f t="shared" si="25"/>
        <v>80</v>
      </c>
      <c r="DK149" s="18">
        <f t="shared" si="26"/>
        <v>137</v>
      </c>
      <c r="DL149" s="18">
        <f t="shared" si="27"/>
        <v>14</v>
      </c>
      <c r="DM149" s="18">
        <f t="shared" si="28"/>
        <v>6</v>
      </c>
      <c r="DN149" s="18">
        <f t="shared" si="29"/>
        <v>18</v>
      </c>
      <c r="DO149" s="18">
        <v>313</v>
      </c>
      <c r="DP149" s="18">
        <v>124</v>
      </c>
      <c r="DQ149" s="18">
        <v>313</v>
      </c>
      <c r="DR149" s="18">
        <v>47</v>
      </c>
      <c r="DS149" s="18">
        <v>12</v>
      </c>
      <c r="DT149" s="18">
        <v>47</v>
      </c>
      <c r="DU149" s="18" t="s">
        <v>124</v>
      </c>
    </row>
    <row r="150" spans="54:125" x14ac:dyDescent="0.25">
      <c r="BB150" s="7">
        <v>147</v>
      </c>
      <c r="BC150" s="7" t="s">
        <v>332</v>
      </c>
      <c r="BD150" s="23" t="s">
        <v>124</v>
      </c>
      <c r="BE150" s="26">
        <v>490515947</v>
      </c>
      <c r="BF150" s="25" t="s">
        <v>128</v>
      </c>
      <c r="BG150" s="7">
        <v>75</v>
      </c>
      <c r="BH150" s="7" t="s">
        <v>320</v>
      </c>
      <c r="BI150" s="7" t="s">
        <v>367</v>
      </c>
      <c r="BJ150" s="7">
        <v>134</v>
      </c>
      <c r="BK150" s="9">
        <v>70.721059701492493</v>
      </c>
      <c r="BL150" s="9">
        <v>64.85038059701489</v>
      </c>
      <c r="BM150" s="9">
        <v>67.7860696517413</v>
      </c>
      <c r="BN150" s="9">
        <v>135.57144029850741</v>
      </c>
      <c r="BO150" s="7">
        <v>9</v>
      </c>
      <c r="BP150" s="7">
        <v>32</v>
      </c>
      <c r="BQ150" s="7">
        <v>50</v>
      </c>
      <c r="BR150" s="7">
        <v>43</v>
      </c>
      <c r="BS150" s="7">
        <v>0</v>
      </c>
      <c r="BT150" s="7">
        <v>6</v>
      </c>
      <c r="BU150" s="7">
        <v>4</v>
      </c>
      <c r="BV150" s="7">
        <v>52</v>
      </c>
      <c r="BW150" s="7">
        <v>56</v>
      </c>
      <c r="BX150" s="7">
        <v>22</v>
      </c>
      <c r="BY150" s="7">
        <v>0</v>
      </c>
      <c r="BZ150" s="7">
        <v>0</v>
      </c>
      <c r="CA150" s="7"/>
      <c r="CB150" s="9"/>
      <c r="CC150" s="9"/>
      <c r="CD150" s="9"/>
      <c r="CE150" s="9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>
        <v>134</v>
      </c>
      <c r="CS150" s="9">
        <v>70.721059701492493</v>
      </c>
      <c r="CT150" s="9">
        <v>64.85038059701489</v>
      </c>
      <c r="CU150" s="9">
        <v>67.7860696517413</v>
      </c>
      <c r="CV150" s="9">
        <v>135.57144029850741</v>
      </c>
      <c r="CW150" s="7">
        <v>9</v>
      </c>
      <c r="CX150" s="7">
        <v>32</v>
      </c>
      <c r="CY150" s="7">
        <v>50</v>
      </c>
      <c r="CZ150" s="7">
        <v>43</v>
      </c>
      <c r="DA150" s="7">
        <v>0</v>
      </c>
      <c r="DB150" s="7">
        <v>6</v>
      </c>
      <c r="DC150" s="7">
        <v>4</v>
      </c>
      <c r="DD150" s="7">
        <v>52</v>
      </c>
      <c r="DE150" s="7">
        <v>56</v>
      </c>
      <c r="DF150" s="7">
        <v>22</v>
      </c>
      <c r="DG150" s="7">
        <v>0</v>
      </c>
      <c r="DH150" s="7">
        <v>0</v>
      </c>
      <c r="DI150" s="18">
        <f t="shared" si="24"/>
        <v>29</v>
      </c>
      <c r="DJ150" s="18" t="str">
        <f t="shared" si="25"/>
        <v/>
      </c>
      <c r="DK150" s="18">
        <f t="shared" si="26"/>
        <v>19</v>
      </c>
      <c r="DL150" s="18">
        <f t="shared" si="27"/>
        <v>4</v>
      </c>
      <c r="DM150" s="18" t="str">
        <f t="shared" si="28"/>
        <v/>
      </c>
      <c r="DN150" s="18">
        <f t="shared" si="29"/>
        <v>3</v>
      </c>
      <c r="DO150" s="18">
        <v>313</v>
      </c>
      <c r="DP150" s="18">
        <v>124</v>
      </c>
      <c r="DQ150" s="18">
        <v>313</v>
      </c>
      <c r="DR150" s="18">
        <v>47</v>
      </c>
      <c r="DS150" s="18">
        <v>12</v>
      </c>
      <c r="DT150" s="18">
        <v>47</v>
      </c>
      <c r="DU150" s="18" t="s">
        <v>124</v>
      </c>
    </row>
    <row r="151" spans="54:125" x14ac:dyDescent="0.25">
      <c r="BB151" s="7">
        <v>148</v>
      </c>
      <c r="BC151" s="7" t="s">
        <v>332</v>
      </c>
      <c r="BD151" s="23" t="s">
        <v>124</v>
      </c>
      <c r="BE151" s="26">
        <v>586862334</v>
      </c>
      <c r="BF151" s="25" t="s">
        <v>149</v>
      </c>
      <c r="BG151" s="7">
        <v>78</v>
      </c>
      <c r="BH151" s="7" t="s">
        <v>320</v>
      </c>
      <c r="BI151" s="7" t="s">
        <v>367</v>
      </c>
      <c r="BJ151" s="7">
        <v>66</v>
      </c>
      <c r="BK151" s="9">
        <v>57.373484848484871</v>
      </c>
      <c r="BL151" s="9">
        <v>45.757257575757606</v>
      </c>
      <c r="BM151" s="9">
        <v>51.565656565656575</v>
      </c>
      <c r="BN151" s="9">
        <v>103.13074242424243</v>
      </c>
      <c r="BO151" s="7">
        <v>9</v>
      </c>
      <c r="BP151" s="7">
        <v>28</v>
      </c>
      <c r="BQ151" s="7">
        <v>20</v>
      </c>
      <c r="BR151" s="7">
        <v>9</v>
      </c>
      <c r="BS151" s="7">
        <v>0</v>
      </c>
      <c r="BT151" s="7">
        <v>0</v>
      </c>
      <c r="BU151" s="7">
        <v>15</v>
      </c>
      <c r="BV151" s="7">
        <v>38</v>
      </c>
      <c r="BW151" s="7">
        <v>13</v>
      </c>
      <c r="BX151" s="7">
        <v>0</v>
      </c>
      <c r="BY151" s="7">
        <v>0</v>
      </c>
      <c r="BZ151" s="7">
        <v>0</v>
      </c>
      <c r="CA151" s="7"/>
      <c r="CB151" s="9"/>
      <c r="CC151" s="9"/>
      <c r="CD151" s="9"/>
      <c r="CE151" s="9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>
        <v>66</v>
      </c>
      <c r="CS151" s="9">
        <v>57.373484848484871</v>
      </c>
      <c r="CT151" s="9">
        <v>45.757257575757606</v>
      </c>
      <c r="CU151" s="9">
        <v>51.565656565656575</v>
      </c>
      <c r="CV151" s="9">
        <v>103.13074242424243</v>
      </c>
      <c r="CW151" s="7">
        <v>9</v>
      </c>
      <c r="CX151" s="7">
        <v>28</v>
      </c>
      <c r="CY151" s="7">
        <v>20</v>
      </c>
      <c r="CZ151" s="7">
        <v>9</v>
      </c>
      <c r="DA151" s="7">
        <v>0</v>
      </c>
      <c r="DB151" s="7">
        <v>0</v>
      </c>
      <c r="DC151" s="7">
        <v>15</v>
      </c>
      <c r="DD151" s="7">
        <v>38</v>
      </c>
      <c r="DE151" s="7">
        <v>13</v>
      </c>
      <c r="DF151" s="7">
        <v>0</v>
      </c>
      <c r="DG151" s="7">
        <v>0</v>
      </c>
      <c r="DH151" s="7">
        <v>0</v>
      </c>
      <c r="DI151" s="18">
        <f t="shared" si="24"/>
        <v>266</v>
      </c>
      <c r="DJ151" s="18" t="str">
        <f t="shared" si="25"/>
        <v/>
      </c>
      <c r="DK151" s="18">
        <f t="shared" si="26"/>
        <v>268</v>
      </c>
      <c r="DL151" s="18">
        <f t="shared" si="27"/>
        <v>41</v>
      </c>
      <c r="DM151" s="18" t="str">
        <f t="shared" si="28"/>
        <v/>
      </c>
      <c r="DN151" s="18">
        <f t="shared" si="29"/>
        <v>41</v>
      </c>
      <c r="DO151" s="18">
        <v>313</v>
      </c>
      <c r="DP151" s="18">
        <v>124</v>
      </c>
      <c r="DQ151" s="18">
        <v>313</v>
      </c>
      <c r="DR151" s="18">
        <v>47</v>
      </c>
      <c r="DS151" s="18">
        <v>12</v>
      </c>
      <c r="DT151" s="18">
        <v>47</v>
      </c>
      <c r="DU151" s="18" t="s">
        <v>124</v>
      </c>
    </row>
    <row r="152" spans="54:125" x14ac:dyDescent="0.25">
      <c r="BB152" s="7">
        <v>149</v>
      </c>
      <c r="BC152" s="7" t="s">
        <v>332</v>
      </c>
      <c r="BD152" s="23" t="s">
        <v>124</v>
      </c>
      <c r="BE152" s="26">
        <v>715944951</v>
      </c>
      <c r="BF152" s="25" t="s">
        <v>146</v>
      </c>
      <c r="BG152" s="7">
        <v>80</v>
      </c>
      <c r="BH152" s="7" t="s">
        <v>320</v>
      </c>
      <c r="BI152" s="7" t="s">
        <v>367</v>
      </c>
      <c r="BJ152" s="7">
        <v>188</v>
      </c>
      <c r="BK152" s="9">
        <v>66.808159574468078</v>
      </c>
      <c r="BL152" s="9">
        <v>61.790441489361676</v>
      </c>
      <c r="BM152" s="9">
        <v>64.299645390070921</v>
      </c>
      <c r="BN152" s="9">
        <v>128.5986010638297</v>
      </c>
      <c r="BO152" s="7">
        <v>15</v>
      </c>
      <c r="BP152" s="7">
        <v>51</v>
      </c>
      <c r="BQ152" s="7">
        <v>67</v>
      </c>
      <c r="BR152" s="7">
        <v>55</v>
      </c>
      <c r="BS152" s="7">
        <v>0</v>
      </c>
      <c r="BT152" s="7">
        <v>1</v>
      </c>
      <c r="BU152" s="7">
        <v>13</v>
      </c>
      <c r="BV152" s="7">
        <v>78</v>
      </c>
      <c r="BW152" s="7">
        <v>63</v>
      </c>
      <c r="BX152" s="7">
        <v>34</v>
      </c>
      <c r="BY152" s="7">
        <v>0</v>
      </c>
      <c r="BZ152" s="7">
        <v>0</v>
      </c>
      <c r="CA152" s="7"/>
      <c r="CB152" s="9"/>
      <c r="CC152" s="9"/>
      <c r="CD152" s="9"/>
      <c r="CE152" s="9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>
        <v>188</v>
      </c>
      <c r="CS152" s="9">
        <v>66.808159574468078</v>
      </c>
      <c r="CT152" s="9">
        <v>61.790441489361676</v>
      </c>
      <c r="CU152" s="9">
        <v>64.299645390070921</v>
      </c>
      <c r="CV152" s="9">
        <v>128.5986010638297</v>
      </c>
      <c r="CW152" s="7">
        <v>15</v>
      </c>
      <c r="CX152" s="7">
        <v>51</v>
      </c>
      <c r="CY152" s="7">
        <v>67</v>
      </c>
      <c r="CZ152" s="7">
        <v>55</v>
      </c>
      <c r="DA152" s="7">
        <v>0</v>
      </c>
      <c r="DB152" s="7">
        <v>1</v>
      </c>
      <c r="DC152" s="7">
        <v>13</v>
      </c>
      <c r="DD152" s="7">
        <v>78</v>
      </c>
      <c r="DE152" s="7">
        <v>63</v>
      </c>
      <c r="DF152" s="7">
        <v>34</v>
      </c>
      <c r="DG152" s="7">
        <v>0</v>
      </c>
      <c r="DH152" s="7">
        <v>0</v>
      </c>
      <c r="DI152" s="18">
        <f t="shared" si="24"/>
        <v>66</v>
      </c>
      <c r="DJ152" s="18" t="str">
        <f t="shared" si="25"/>
        <v/>
      </c>
      <c r="DK152" s="18">
        <f t="shared" si="26"/>
        <v>59</v>
      </c>
      <c r="DL152" s="18">
        <f t="shared" si="27"/>
        <v>10</v>
      </c>
      <c r="DM152" s="18" t="str">
        <f t="shared" si="28"/>
        <v/>
      </c>
      <c r="DN152" s="18">
        <f t="shared" si="29"/>
        <v>7</v>
      </c>
      <c r="DO152" s="18">
        <v>313</v>
      </c>
      <c r="DP152" s="18">
        <v>124</v>
      </c>
      <c r="DQ152" s="18">
        <v>313</v>
      </c>
      <c r="DR152" s="18">
        <v>47</v>
      </c>
      <c r="DS152" s="18">
        <v>12</v>
      </c>
      <c r="DT152" s="18">
        <v>47</v>
      </c>
      <c r="DU152" s="18" t="s">
        <v>124</v>
      </c>
    </row>
    <row r="153" spans="54:125" x14ac:dyDescent="0.25">
      <c r="BB153" s="7">
        <v>150</v>
      </c>
      <c r="BC153" s="7" t="s">
        <v>332</v>
      </c>
      <c r="BD153" s="23" t="s">
        <v>124</v>
      </c>
      <c r="BE153" s="26">
        <v>614471820</v>
      </c>
      <c r="BF153" s="25" t="s">
        <v>145</v>
      </c>
      <c r="BG153" s="7">
        <v>81</v>
      </c>
      <c r="BH153" s="7" t="s">
        <v>320</v>
      </c>
      <c r="BI153" s="7" t="s">
        <v>368</v>
      </c>
      <c r="BJ153" s="7">
        <v>97</v>
      </c>
      <c r="BK153" s="9">
        <v>66.700742268041211</v>
      </c>
      <c r="BL153" s="9">
        <v>63.573536082474256</v>
      </c>
      <c r="BM153" s="9">
        <v>65.137457044673539</v>
      </c>
      <c r="BN153" s="9">
        <v>130.27427835051537</v>
      </c>
      <c r="BO153" s="7">
        <v>10</v>
      </c>
      <c r="BP153" s="7">
        <v>28</v>
      </c>
      <c r="BQ153" s="7">
        <v>30</v>
      </c>
      <c r="BR153" s="7">
        <v>29</v>
      </c>
      <c r="BS153" s="7">
        <v>0</v>
      </c>
      <c r="BT153" s="7">
        <v>1</v>
      </c>
      <c r="BU153" s="7">
        <v>7</v>
      </c>
      <c r="BV153" s="7">
        <v>32</v>
      </c>
      <c r="BW153" s="7">
        <v>39</v>
      </c>
      <c r="BX153" s="7">
        <v>19</v>
      </c>
      <c r="BY153" s="7">
        <v>0</v>
      </c>
      <c r="BZ153" s="7">
        <v>0</v>
      </c>
      <c r="CA153" s="7">
        <v>63</v>
      </c>
      <c r="CB153" s="9">
        <v>63.914952380952414</v>
      </c>
      <c r="CC153" s="9">
        <v>57.512825396825434</v>
      </c>
      <c r="CD153" s="9">
        <v>60.714285714285694</v>
      </c>
      <c r="CE153" s="9">
        <v>121.42777777777776</v>
      </c>
      <c r="CF153" s="7">
        <v>7</v>
      </c>
      <c r="CG153" s="7">
        <v>14</v>
      </c>
      <c r="CH153" s="7">
        <v>31</v>
      </c>
      <c r="CI153" s="7">
        <v>11</v>
      </c>
      <c r="CJ153" s="7">
        <v>0</v>
      </c>
      <c r="CK153" s="7">
        <v>0</v>
      </c>
      <c r="CL153" s="7">
        <v>7</v>
      </c>
      <c r="CM153" s="7">
        <v>25</v>
      </c>
      <c r="CN153" s="7">
        <v>22</v>
      </c>
      <c r="CO153" s="7">
        <v>9</v>
      </c>
      <c r="CP153" s="7">
        <v>0</v>
      </c>
      <c r="CQ153" s="7">
        <v>0</v>
      </c>
      <c r="CR153" s="7">
        <v>160</v>
      </c>
      <c r="CS153" s="9">
        <v>65.603837499999983</v>
      </c>
      <c r="CT153" s="9">
        <v>61.18713124999995</v>
      </c>
      <c r="CU153" s="9">
        <v>63.3958333333333</v>
      </c>
      <c r="CV153" s="9">
        <v>126.79096874999982</v>
      </c>
      <c r="CW153" s="7">
        <v>17</v>
      </c>
      <c r="CX153" s="7">
        <v>42</v>
      </c>
      <c r="CY153" s="7">
        <v>61</v>
      </c>
      <c r="CZ153" s="7">
        <v>40</v>
      </c>
      <c r="DA153" s="7">
        <v>0</v>
      </c>
      <c r="DB153" s="7">
        <v>1</v>
      </c>
      <c r="DC153" s="7">
        <v>14</v>
      </c>
      <c r="DD153" s="7">
        <v>57</v>
      </c>
      <c r="DE153" s="7">
        <v>61</v>
      </c>
      <c r="DF153" s="7">
        <v>28</v>
      </c>
      <c r="DG153" s="7">
        <v>0</v>
      </c>
      <c r="DH153" s="7">
        <v>0</v>
      </c>
      <c r="DI153" s="18">
        <f t="shared" si="24"/>
        <v>57</v>
      </c>
      <c r="DJ153" s="18">
        <f t="shared" si="25"/>
        <v>50</v>
      </c>
      <c r="DK153" s="18">
        <f t="shared" si="26"/>
        <v>70</v>
      </c>
      <c r="DL153" s="18">
        <f t="shared" si="27"/>
        <v>8</v>
      </c>
      <c r="DM153" s="18">
        <f t="shared" si="28"/>
        <v>4</v>
      </c>
      <c r="DN153" s="18">
        <f t="shared" si="29"/>
        <v>9</v>
      </c>
      <c r="DO153" s="18">
        <v>313</v>
      </c>
      <c r="DP153" s="18">
        <v>124</v>
      </c>
      <c r="DQ153" s="18">
        <v>313</v>
      </c>
      <c r="DR153" s="18">
        <v>47</v>
      </c>
      <c r="DS153" s="18">
        <v>12</v>
      </c>
      <c r="DT153" s="18">
        <v>47</v>
      </c>
      <c r="DU153" s="18" t="s">
        <v>124</v>
      </c>
    </row>
    <row r="154" spans="54:125" x14ac:dyDescent="0.25">
      <c r="BB154" s="7">
        <v>151</v>
      </c>
      <c r="BC154" s="7" t="s">
        <v>332</v>
      </c>
      <c r="BD154" s="23" t="s">
        <v>124</v>
      </c>
      <c r="BE154" s="26">
        <v>376143170</v>
      </c>
      <c r="BF154" s="25" t="s">
        <v>143</v>
      </c>
      <c r="BG154" s="7">
        <v>90</v>
      </c>
      <c r="BH154" s="7" t="s">
        <v>320</v>
      </c>
      <c r="BI154" s="7" t="s">
        <v>368</v>
      </c>
      <c r="BJ154" s="7">
        <v>156</v>
      </c>
      <c r="BK154" s="9">
        <v>60.961230769230738</v>
      </c>
      <c r="BL154" s="9">
        <v>55.726185897435862</v>
      </c>
      <c r="BM154" s="9">
        <v>58.344017094017104</v>
      </c>
      <c r="BN154" s="9">
        <v>116.68741666666662</v>
      </c>
      <c r="BO154" s="7">
        <v>17</v>
      </c>
      <c r="BP154" s="7">
        <v>58</v>
      </c>
      <c r="BQ154" s="7">
        <v>55</v>
      </c>
      <c r="BR154" s="7">
        <v>26</v>
      </c>
      <c r="BS154" s="7">
        <v>0</v>
      </c>
      <c r="BT154" s="7">
        <v>2</v>
      </c>
      <c r="BU154" s="7">
        <v>16</v>
      </c>
      <c r="BV154" s="7">
        <v>80</v>
      </c>
      <c r="BW154" s="7">
        <v>43</v>
      </c>
      <c r="BX154" s="7">
        <v>17</v>
      </c>
      <c r="BY154" s="7">
        <v>0</v>
      </c>
      <c r="BZ154" s="7">
        <v>0</v>
      </c>
      <c r="CA154" s="7">
        <v>29</v>
      </c>
      <c r="CB154" s="9">
        <v>59.42486206896551</v>
      </c>
      <c r="CC154" s="9">
        <v>50.804275862068955</v>
      </c>
      <c r="CD154" s="9">
        <v>55.114942528735639</v>
      </c>
      <c r="CE154" s="9">
        <v>110.2291379310345</v>
      </c>
      <c r="CF154" s="7">
        <v>2</v>
      </c>
      <c r="CG154" s="7">
        <v>13</v>
      </c>
      <c r="CH154" s="7">
        <v>11</v>
      </c>
      <c r="CI154" s="7">
        <v>3</v>
      </c>
      <c r="CJ154" s="7">
        <v>0</v>
      </c>
      <c r="CK154" s="7">
        <v>0</v>
      </c>
      <c r="CL154" s="7">
        <v>5</v>
      </c>
      <c r="CM154" s="7">
        <v>15</v>
      </c>
      <c r="CN154" s="7">
        <v>9</v>
      </c>
      <c r="CO154" s="7">
        <v>0</v>
      </c>
      <c r="CP154" s="7">
        <v>0</v>
      </c>
      <c r="CQ154" s="7">
        <v>0</v>
      </c>
      <c r="CR154" s="7">
        <v>185</v>
      </c>
      <c r="CS154" s="9">
        <v>60.720394594594552</v>
      </c>
      <c r="CT154" s="9">
        <v>54.954643243243218</v>
      </c>
      <c r="CU154" s="9">
        <v>57.837837837837846</v>
      </c>
      <c r="CV154" s="9">
        <v>115.67503783783779</v>
      </c>
      <c r="CW154" s="7">
        <v>19</v>
      </c>
      <c r="CX154" s="7">
        <v>71</v>
      </c>
      <c r="CY154" s="7">
        <v>66</v>
      </c>
      <c r="CZ154" s="7">
        <v>29</v>
      </c>
      <c r="DA154" s="7">
        <v>0</v>
      </c>
      <c r="DB154" s="7">
        <v>2</v>
      </c>
      <c r="DC154" s="7">
        <v>21</v>
      </c>
      <c r="DD154" s="7">
        <v>95</v>
      </c>
      <c r="DE154" s="7">
        <v>52</v>
      </c>
      <c r="DF154" s="7">
        <v>17</v>
      </c>
      <c r="DG154" s="7">
        <v>0</v>
      </c>
      <c r="DH154" s="7">
        <v>0</v>
      </c>
      <c r="DI154" s="18">
        <f t="shared" si="24"/>
        <v>166</v>
      </c>
      <c r="DJ154" s="18">
        <f t="shared" si="25"/>
        <v>98</v>
      </c>
      <c r="DK154" s="18">
        <f t="shared" si="26"/>
        <v>168</v>
      </c>
      <c r="DL154" s="18">
        <f t="shared" si="27"/>
        <v>25</v>
      </c>
      <c r="DM154" s="18">
        <f t="shared" si="28"/>
        <v>9</v>
      </c>
      <c r="DN154" s="18">
        <f t="shared" si="29"/>
        <v>27</v>
      </c>
      <c r="DO154" s="18">
        <v>313</v>
      </c>
      <c r="DP154" s="18">
        <v>124</v>
      </c>
      <c r="DQ154" s="18">
        <v>313</v>
      </c>
      <c r="DR154" s="18">
        <v>47</v>
      </c>
      <c r="DS154" s="18">
        <v>12</v>
      </c>
      <c r="DT154" s="18">
        <v>47</v>
      </c>
      <c r="DU154" s="18" t="s">
        <v>124</v>
      </c>
    </row>
    <row r="155" spans="54:125" x14ac:dyDescent="0.25">
      <c r="BB155" s="7">
        <v>152</v>
      </c>
      <c r="BC155" s="7" t="s">
        <v>332</v>
      </c>
      <c r="BD155" s="23" t="s">
        <v>124</v>
      </c>
      <c r="BE155" s="26">
        <v>773989100</v>
      </c>
      <c r="BF155" s="25" t="s">
        <v>134</v>
      </c>
      <c r="BG155" s="7">
        <v>94</v>
      </c>
      <c r="BH155" s="7" t="s">
        <v>320</v>
      </c>
      <c r="BI155" s="7" t="s">
        <v>368</v>
      </c>
      <c r="BJ155" s="7">
        <v>41</v>
      </c>
      <c r="BK155" s="9">
        <v>65.365487804878057</v>
      </c>
      <c r="BL155" s="9">
        <v>64.8776585365854</v>
      </c>
      <c r="BM155" s="9">
        <v>65.121951219512212</v>
      </c>
      <c r="BN155" s="9">
        <v>130.24314634146342</v>
      </c>
      <c r="BO155" s="7">
        <v>1</v>
      </c>
      <c r="BP155" s="7">
        <v>14</v>
      </c>
      <c r="BQ155" s="7">
        <v>20</v>
      </c>
      <c r="BR155" s="7">
        <v>6</v>
      </c>
      <c r="BS155" s="7">
        <v>0</v>
      </c>
      <c r="BT155" s="7">
        <v>0</v>
      </c>
      <c r="BU155" s="7">
        <v>2</v>
      </c>
      <c r="BV155" s="7">
        <v>14</v>
      </c>
      <c r="BW155" s="7">
        <v>17</v>
      </c>
      <c r="BX155" s="7">
        <v>8</v>
      </c>
      <c r="BY155" s="7">
        <v>0</v>
      </c>
      <c r="BZ155" s="7">
        <v>0</v>
      </c>
      <c r="CA155" s="7">
        <v>52</v>
      </c>
      <c r="CB155" s="9">
        <v>67.050923076923112</v>
      </c>
      <c r="CC155" s="9">
        <v>59.615038461538489</v>
      </c>
      <c r="CD155" s="9">
        <v>63.333333333333357</v>
      </c>
      <c r="CE155" s="9">
        <v>126.66596153846154</v>
      </c>
      <c r="CF155" s="7">
        <v>3</v>
      </c>
      <c r="CG155" s="7">
        <v>14</v>
      </c>
      <c r="CH155" s="7">
        <v>22</v>
      </c>
      <c r="CI155" s="7">
        <v>13</v>
      </c>
      <c r="CJ155" s="7">
        <v>0</v>
      </c>
      <c r="CK155" s="7">
        <v>0</v>
      </c>
      <c r="CL155" s="7">
        <v>2</v>
      </c>
      <c r="CM155" s="7">
        <v>23</v>
      </c>
      <c r="CN155" s="7">
        <v>25</v>
      </c>
      <c r="CO155" s="7">
        <v>2</v>
      </c>
      <c r="CP155" s="7">
        <v>0</v>
      </c>
      <c r="CQ155" s="7">
        <v>0</v>
      </c>
      <c r="CR155" s="7">
        <v>93</v>
      </c>
      <c r="CS155" s="9">
        <v>66.307881720430089</v>
      </c>
      <c r="CT155" s="9">
        <v>61.935118279569899</v>
      </c>
      <c r="CU155" s="9">
        <v>64.121863799283148</v>
      </c>
      <c r="CV155" s="9">
        <v>128.24299999999991</v>
      </c>
      <c r="CW155" s="7">
        <v>4</v>
      </c>
      <c r="CX155" s="7">
        <v>28</v>
      </c>
      <c r="CY155" s="7">
        <v>42</v>
      </c>
      <c r="CZ155" s="7">
        <v>19</v>
      </c>
      <c r="DA155" s="7">
        <v>0</v>
      </c>
      <c r="DB155" s="7">
        <v>0</v>
      </c>
      <c r="DC155" s="7">
        <v>4</v>
      </c>
      <c r="DD155" s="7">
        <v>37</v>
      </c>
      <c r="DE155" s="7">
        <v>42</v>
      </c>
      <c r="DF155" s="7">
        <v>10</v>
      </c>
      <c r="DG155" s="7">
        <v>0</v>
      </c>
      <c r="DH155" s="7">
        <v>0</v>
      </c>
      <c r="DI155" s="18">
        <f t="shared" si="24"/>
        <v>58</v>
      </c>
      <c r="DJ155" s="18">
        <f t="shared" si="25"/>
        <v>28</v>
      </c>
      <c r="DK155" s="18">
        <f t="shared" si="26"/>
        <v>60</v>
      </c>
      <c r="DL155" s="18">
        <f t="shared" si="27"/>
        <v>9</v>
      </c>
      <c r="DM155" s="18">
        <f t="shared" si="28"/>
        <v>2</v>
      </c>
      <c r="DN155" s="18">
        <f t="shared" si="29"/>
        <v>8</v>
      </c>
      <c r="DO155" s="18">
        <v>313</v>
      </c>
      <c r="DP155" s="18">
        <v>124</v>
      </c>
      <c r="DQ155" s="18">
        <v>313</v>
      </c>
      <c r="DR155" s="18">
        <v>47</v>
      </c>
      <c r="DS155" s="18">
        <v>12</v>
      </c>
      <c r="DT155" s="18">
        <v>47</v>
      </c>
      <c r="DU155" s="18" t="s">
        <v>124</v>
      </c>
    </row>
    <row r="156" spans="54:125" x14ac:dyDescent="0.25">
      <c r="BB156" s="7">
        <v>153</v>
      </c>
      <c r="BC156" s="7" t="s">
        <v>332</v>
      </c>
      <c r="BD156" s="23" t="s">
        <v>124</v>
      </c>
      <c r="BE156" s="26">
        <v>613895981</v>
      </c>
      <c r="BF156" s="25" t="s">
        <v>151</v>
      </c>
      <c r="BG156" s="7">
        <v>96</v>
      </c>
      <c r="BH156" s="7" t="s">
        <v>320</v>
      </c>
      <c r="BI156" s="7" t="s">
        <v>367</v>
      </c>
      <c r="BJ156" s="7">
        <v>78</v>
      </c>
      <c r="BK156" s="9">
        <v>69.956897435897474</v>
      </c>
      <c r="BL156" s="9">
        <v>65.683435897435928</v>
      </c>
      <c r="BM156" s="9">
        <v>67.820512820512818</v>
      </c>
      <c r="BN156" s="9">
        <v>135.64033333333327</v>
      </c>
      <c r="BO156" s="7">
        <v>3</v>
      </c>
      <c r="BP156" s="7">
        <v>14</v>
      </c>
      <c r="BQ156" s="7">
        <v>37</v>
      </c>
      <c r="BR156" s="7">
        <v>24</v>
      </c>
      <c r="BS156" s="7">
        <v>0</v>
      </c>
      <c r="BT156" s="7">
        <v>0</v>
      </c>
      <c r="BU156" s="7">
        <v>3</v>
      </c>
      <c r="BV156" s="7">
        <v>29</v>
      </c>
      <c r="BW156" s="7">
        <v>32</v>
      </c>
      <c r="BX156" s="7">
        <v>14</v>
      </c>
      <c r="BY156" s="7">
        <v>0</v>
      </c>
      <c r="BZ156" s="7">
        <v>0</v>
      </c>
      <c r="CA156" s="7"/>
      <c r="CB156" s="9"/>
      <c r="CC156" s="9"/>
      <c r="CD156" s="9"/>
      <c r="CE156" s="9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>
        <v>78</v>
      </c>
      <c r="CS156" s="9">
        <v>69.956897435897474</v>
      </c>
      <c r="CT156" s="9">
        <v>65.683435897435928</v>
      </c>
      <c r="CU156" s="9">
        <v>67.820512820512818</v>
      </c>
      <c r="CV156" s="9">
        <v>135.64033333333327</v>
      </c>
      <c r="CW156" s="7">
        <v>3</v>
      </c>
      <c r="CX156" s="7">
        <v>14</v>
      </c>
      <c r="CY156" s="7">
        <v>37</v>
      </c>
      <c r="CZ156" s="7">
        <v>24</v>
      </c>
      <c r="DA156" s="7">
        <v>0</v>
      </c>
      <c r="DB156" s="7">
        <v>0</v>
      </c>
      <c r="DC156" s="7">
        <v>3</v>
      </c>
      <c r="DD156" s="7">
        <v>29</v>
      </c>
      <c r="DE156" s="7">
        <v>32</v>
      </c>
      <c r="DF156" s="7">
        <v>14</v>
      </c>
      <c r="DG156" s="7">
        <v>0</v>
      </c>
      <c r="DH156" s="7">
        <v>0</v>
      </c>
      <c r="DI156" s="18">
        <f t="shared" si="24"/>
        <v>27</v>
      </c>
      <c r="DJ156" s="18" t="str">
        <f t="shared" si="25"/>
        <v/>
      </c>
      <c r="DK156" s="18">
        <f t="shared" si="26"/>
        <v>18</v>
      </c>
      <c r="DL156" s="18">
        <f t="shared" si="27"/>
        <v>3</v>
      </c>
      <c r="DM156" s="18" t="str">
        <f t="shared" si="28"/>
        <v/>
      </c>
      <c r="DN156" s="18">
        <f t="shared" si="29"/>
        <v>2</v>
      </c>
      <c r="DO156" s="18">
        <v>313</v>
      </c>
      <c r="DP156" s="18">
        <v>124</v>
      </c>
      <c r="DQ156" s="18">
        <v>313</v>
      </c>
      <c r="DR156" s="18">
        <v>47</v>
      </c>
      <c r="DS156" s="18">
        <v>12</v>
      </c>
      <c r="DT156" s="18">
        <v>47</v>
      </c>
      <c r="DU156" s="18" t="s">
        <v>124</v>
      </c>
    </row>
    <row r="157" spans="54:125" x14ac:dyDescent="0.25">
      <c r="BB157" s="7">
        <v>154</v>
      </c>
      <c r="BC157" s="7" t="s">
        <v>332</v>
      </c>
      <c r="BD157" s="23" t="s">
        <v>124</v>
      </c>
      <c r="BE157" s="26">
        <v>456907499</v>
      </c>
      <c r="BF157" s="25" t="s">
        <v>148</v>
      </c>
      <c r="BG157" s="7">
        <v>107</v>
      </c>
      <c r="BH157" s="7" t="s">
        <v>320</v>
      </c>
      <c r="BI157" s="7" t="s">
        <v>368</v>
      </c>
      <c r="BJ157" s="7">
        <v>22</v>
      </c>
      <c r="BK157" s="9">
        <v>72.878454545454559</v>
      </c>
      <c r="BL157" s="9">
        <v>68.029909090909072</v>
      </c>
      <c r="BM157" s="9">
        <v>70.454545454545439</v>
      </c>
      <c r="BN157" s="9">
        <v>140.90836363636365</v>
      </c>
      <c r="BO157" s="7">
        <v>1</v>
      </c>
      <c r="BP157" s="7">
        <v>4</v>
      </c>
      <c r="BQ157" s="7">
        <v>11</v>
      </c>
      <c r="BR157" s="7">
        <v>6</v>
      </c>
      <c r="BS157" s="7">
        <v>0</v>
      </c>
      <c r="BT157" s="7">
        <v>0</v>
      </c>
      <c r="BU157" s="7">
        <v>0</v>
      </c>
      <c r="BV157" s="7">
        <v>8</v>
      </c>
      <c r="BW157" s="7">
        <v>6</v>
      </c>
      <c r="BX157" s="7">
        <v>8</v>
      </c>
      <c r="BY157" s="7">
        <v>0</v>
      </c>
      <c r="BZ157" s="7">
        <v>0</v>
      </c>
      <c r="CA157" s="7">
        <v>32</v>
      </c>
      <c r="CB157" s="9">
        <v>58.645437499999986</v>
      </c>
      <c r="CC157" s="9">
        <v>50.832937499999993</v>
      </c>
      <c r="CD157" s="9">
        <v>54.739583333333343</v>
      </c>
      <c r="CE157" s="9">
        <v>109.47837499999997</v>
      </c>
      <c r="CF157" s="7">
        <v>5</v>
      </c>
      <c r="CG157" s="7">
        <v>10</v>
      </c>
      <c r="CH157" s="7">
        <v>11</v>
      </c>
      <c r="CI157" s="7">
        <v>6</v>
      </c>
      <c r="CJ157" s="7">
        <v>0</v>
      </c>
      <c r="CK157" s="7">
        <v>0</v>
      </c>
      <c r="CL157" s="7">
        <v>7</v>
      </c>
      <c r="CM157" s="7">
        <v>15</v>
      </c>
      <c r="CN157" s="7">
        <v>8</v>
      </c>
      <c r="CO157" s="7">
        <v>2</v>
      </c>
      <c r="CP157" s="7">
        <v>0</v>
      </c>
      <c r="CQ157" s="7">
        <v>0</v>
      </c>
      <c r="CR157" s="7">
        <v>54</v>
      </c>
      <c r="CS157" s="9">
        <v>64.444074074074123</v>
      </c>
      <c r="CT157" s="9">
        <v>57.839111111111137</v>
      </c>
      <c r="CU157" s="9">
        <v>61.141975308641989</v>
      </c>
      <c r="CV157" s="9">
        <v>122.28318518518519</v>
      </c>
      <c r="CW157" s="7">
        <v>6</v>
      </c>
      <c r="CX157" s="7">
        <v>14</v>
      </c>
      <c r="CY157" s="7">
        <v>22</v>
      </c>
      <c r="CZ157" s="7">
        <v>12</v>
      </c>
      <c r="DA157" s="7">
        <v>0</v>
      </c>
      <c r="DB157" s="7">
        <v>0</v>
      </c>
      <c r="DC157" s="7">
        <v>7</v>
      </c>
      <c r="DD157" s="7">
        <v>23</v>
      </c>
      <c r="DE157" s="7">
        <v>14</v>
      </c>
      <c r="DF157" s="7">
        <v>10</v>
      </c>
      <c r="DG157" s="7">
        <v>0</v>
      </c>
      <c r="DH157" s="7">
        <v>0</v>
      </c>
      <c r="DI157" s="18">
        <f t="shared" si="24"/>
        <v>14</v>
      </c>
      <c r="DJ157" s="18">
        <f t="shared" si="25"/>
        <v>100</v>
      </c>
      <c r="DK157" s="18">
        <f t="shared" si="26"/>
        <v>110</v>
      </c>
      <c r="DL157" s="18">
        <f t="shared" si="27"/>
        <v>2</v>
      </c>
      <c r="DM157" s="18">
        <f t="shared" si="28"/>
        <v>10</v>
      </c>
      <c r="DN157" s="18">
        <f t="shared" si="29"/>
        <v>13</v>
      </c>
      <c r="DO157" s="18">
        <v>313</v>
      </c>
      <c r="DP157" s="18">
        <v>124</v>
      </c>
      <c r="DQ157" s="18">
        <v>313</v>
      </c>
      <c r="DR157" s="18">
        <v>47</v>
      </c>
      <c r="DS157" s="18">
        <v>12</v>
      </c>
      <c r="DT157" s="18">
        <v>47</v>
      </c>
      <c r="DU157" s="18" t="s">
        <v>124</v>
      </c>
    </row>
    <row r="158" spans="54:125" x14ac:dyDescent="0.25">
      <c r="BB158" s="7">
        <v>155</v>
      </c>
      <c r="BC158" s="7" t="s">
        <v>332</v>
      </c>
      <c r="BD158" s="23" t="s">
        <v>124</v>
      </c>
      <c r="BE158" s="26">
        <v>923760171</v>
      </c>
      <c r="BF158" s="25" t="s">
        <v>138</v>
      </c>
      <c r="BG158" s="7">
        <v>108</v>
      </c>
      <c r="BH158" s="7" t="s">
        <v>320</v>
      </c>
      <c r="BI158" s="7" t="s">
        <v>367</v>
      </c>
      <c r="BJ158" s="7">
        <v>112</v>
      </c>
      <c r="BK158" s="9">
        <v>62.797267857142849</v>
      </c>
      <c r="BL158" s="9">
        <v>53.452062500000018</v>
      </c>
      <c r="BM158" s="9">
        <v>58.125</v>
      </c>
      <c r="BN158" s="9">
        <v>116.24933035714278</v>
      </c>
      <c r="BO158" s="7">
        <v>10</v>
      </c>
      <c r="BP158" s="7">
        <v>40</v>
      </c>
      <c r="BQ158" s="7">
        <v>36</v>
      </c>
      <c r="BR158" s="7">
        <v>26</v>
      </c>
      <c r="BS158" s="7">
        <v>1</v>
      </c>
      <c r="BT158" s="7">
        <v>2</v>
      </c>
      <c r="BU158" s="7">
        <v>16</v>
      </c>
      <c r="BV158" s="7">
        <v>56</v>
      </c>
      <c r="BW158" s="7">
        <v>31</v>
      </c>
      <c r="BX158" s="7">
        <v>9</v>
      </c>
      <c r="BY158" s="7">
        <v>0</v>
      </c>
      <c r="BZ158" s="7">
        <v>0</v>
      </c>
      <c r="CA158" s="7"/>
      <c r="CB158" s="9"/>
      <c r="CC158" s="9"/>
      <c r="CD158" s="9"/>
      <c r="CE158" s="9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>
        <v>112</v>
      </c>
      <c r="CS158" s="9">
        <v>62.797267857142849</v>
      </c>
      <c r="CT158" s="9">
        <v>53.452062500000018</v>
      </c>
      <c r="CU158" s="9">
        <v>58.125</v>
      </c>
      <c r="CV158" s="9">
        <v>116.24933035714278</v>
      </c>
      <c r="CW158" s="7">
        <v>10</v>
      </c>
      <c r="CX158" s="7">
        <v>40</v>
      </c>
      <c r="CY158" s="7">
        <v>36</v>
      </c>
      <c r="CZ158" s="7">
        <v>26</v>
      </c>
      <c r="DA158" s="7">
        <v>1</v>
      </c>
      <c r="DB158" s="7">
        <v>2</v>
      </c>
      <c r="DC158" s="7">
        <v>16</v>
      </c>
      <c r="DD158" s="7">
        <v>56</v>
      </c>
      <c r="DE158" s="7">
        <v>31</v>
      </c>
      <c r="DF158" s="7">
        <v>9</v>
      </c>
      <c r="DG158" s="7">
        <v>0</v>
      </c>
      <c r="DH158" s="7">
        <v>0</v>
      </c>
      <c r="DI158" s="18">
        <f t="shared" si="24"/>
        <v>167</v>
      </c>
      <c r="DJ158" s="18" t="str">
        <f t="shared" si="25"/>
        <v/>
      </c>
      <c r="DK158" s="18">
        <f t="shared" si="26"/>
        <v>161</v>
      </c>
      <c r="DL158" s="18">
        <f t="shared" si="27"/>
        <v>26</v>
      </c>
      <c r="DM158" s="18" t="str">
        <f t="shared" si="28"/>
        <v/>
      </c>
      <c r="DN158" s="18">
        <f t="shared" si="29"/>
        <v>25</v>
      </c>
      <c r="DO158" s="18">
        <v>313</v>
      </c>
      <c r="DP158" s="18">
        <v>124</v>
      </c>
      <c r="DQ158" s="18">
        <v>313</v>
      </c>
      <c r="DR158" s="18">
        <v>47</v>
      </c>
      <c r="DS158" s="18">
        <v>12</v>
      </c>
      <c r="DT158" s="18">
        <v>47</v>
      </c>
      <c r="DU158" s="18" t="s">
        <v>124</v>
      </c>
    </row>
    <row r="159" spans="54:125" x14ac:dyDescent="0.25">
      <c r="BB159" s="7">
        <v>156</v>
      </c>
      <c r="BC159" s="7" t="s">
        <v>332</v>
      </c>
      <c r="BD159" s="23" t="s">
        <v>124</v>
      </c>
      <c r="BE159" s="26">
        <v>120331052</v>
      </c>
      <c r="BF159" s="25" t="s">
        <v>161</v>
      </c>
      <c r="BG159" s="7">
        <v>112</v>
      </c>
      <c r="BH159" s="7" t="s">
        <v>320</v>
      </c>
      <c r="BI159" s="7" t="s">
        <v>367</v>
      </c>
      <c r="BJ159" s="7">
        <v>121</v>
      </c>
      <c r="BK159" s="9">
        <v>68.209041322314022</v>
      </c>
      <c r="BL159" s="9">
        <v>65.977628099173543</v>
      </c>
      <c r="BM159" s="9">
        <v>67.093663911845724</v>
      </c>
      <c r="BN159" s="9">
        <v>134.18666942148755</v>
      </c>
      <c r="BO159" s="7">
        <v>7</v>
      </c>
      <c r="BP159" s="7">
        <v>30</v>
      </c>
      <c r="BQ159" s="7">
        <v>52</v>
      </c>
      <c r="BR159" s="7">
        <v>32</v>
      </c>
      <c r="BS159" s="7">
        <v>0</v>
      </c>
      <c r="BT159" s="7">
        <v>1</v>
      </c>
      <c r="BU159" s="7">
        <v>6</v>
      </c>
      <c r="BV159" s="7">
        <v>30</v>
      </c>
      <c r="BW159" s="7">
        <v>67</v>
      </c>
      <c r="BX159" s="7">
        <v>18</v>
      </c>
      <c r="BY159" s="7">
        <v>0</v>
      </c>
      <c r="BZ159" s="7">
        <v>0</v>
      </c>
      <c r="CA159" s="7"/>
      <c r="CB159" s="9"/>
      <c r="CC159" s="9"/>
      <c r="CD159" s="9"/>
      <c r="CE159" s="9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>
        <v>121</v>
      </c>
      <c r="CS159" s="9">
        <v>68.209041322314022</v>
      </c>
      <c r="CT159" s="9">
        <v>65.977628099173543</v>
      </c>
      <c r="CU159" s="9">
        <v>67.093663911845724</v>
      </c>
      <c r="CV159" s="9">
        <v>134.18666942148755</v>
      </c>
      <c r="CW159" s="7">
        <v>7</v>
      </c>
      <c r="CX159" s="7">
        <v>30</v>
      </c>
      <c r="CY159" s="7">
        <v>52</v>
      </c>
      <c r="CZ159" s="7">
        <v>32</v>
      </c>
      <c r="DA159" s="7">
        <v>0</v>
      </c>
      <c r="DB159" s="7">
        <v>1</v>
      </c>
      <c r="DC159" s="7">
        <v>6</v>
      </c>
      <c r="DD159" s="7">
        <v>30</v>
      </c>
      <c r="DE159" s="7">
        <v>67</v>
      </c>
      <c r="DF159" s="7">
        <v>18</v>
      </c>
      <c r="DG159" s="7">
        <v>0</v>
      </c>
      <c r="DH159" s="7">
        <v>0</v>
      </c>
      <c r="DI159" s="18">
        <f t="shared" si="24"/>
        <v>34</v>
      </c>
      <c r="DJ159" s="18" t="str">
        <f t="shared" si="25"/>
        <v/>
      </c>
      <c r="DK159" s="18">
        <f t="shared" si="26"/>
        <v>25</v>
      </c>
      <c r="DL159" s="18">
        <f t="shared" si="27"/>
        <v>5</v>
      </c>
      <c r="DM159" s="18" t="str">
        <f t="shared" si="28"/>
        <v/>
      </c>
      <c r="DN159" s="18">
        <f t="shared" si="29"/>
        <v>4</v>
      </c>
      <c r="DO159" s="18">
        <v>313</v>
      </c>
      <c r="DP159" s="18">
        <v>124</v>
      </c>
      <c r="DQ159" s="18">
        <v>313</v>
      </c>
      <c r="DR159" s="18">
        <v>47</v>
      </c>
      <c r="DS159" s="18">
        <v>12</v>
      </c>
      <c r="DT159" s="18">
        <v>47</v>
      </c>
      <c r="DU159" s="18" t="s">
        <v>124</v>
      </c>
    </row>
    <row r="160" spans="54:125" x14ac:dyDescent="0.25">
      <c r="BB160" s="7">
        <v>157</v>
      </c>
      <c r="BC160" s="7" t="s">
        <v>332</v>
      </c>
      <c r="BD160" s="23" t="s">
        <v>124</v>
      </c>
      <c r="BE160" s="26">
        <v>155809031</v>
      </c>
      <c r="BF160" s="25" t="s">
        <v>156</v>
      </c>
      <c r="BG160" s="7">
        <v>113</v>
      </c>
      <c r="BH160" s="7" t="s">
        <v>320</v>
      </c>
      <c r="BI160" s="7" t="s">
        <v>367</v>
      </c>
      <c r="BJ160" s="7">
        <v>272</v>
      </c>
      <c r="BK160" s="9">
        <v>63.921209558823421</v>
      </c>
      <c r="BL160" s="9">
        <v>55.244775735294084</v>
      </c>
      <c r="BM160" s="9">
        <v>59.583333333333343</v>
      </c>
      <c r="BN160" s="9">
        <v>119.16598529411758</v>
      </c>
      <c r="BO160" s="7">
        <v>22</v>
      </c>
      <c r="BP160" s="7">
        <v>97</v>
      </c>
      <c r="BQ160" s="7">
        <v>84</v>
      </c>
      <c r="BR160" s="7">
        <v>69</v>
      </c>
      <c r="BS160" s="7">
        <v>0</v>
      </c>
      <c r="BT160" s="7">
        <v>3</v>
      </c>
      <c r="BU160" s="7">
        <v>29</v>
      </c>
      <c r="BV160" s="7">
        <v>139</v>
      </c>
      <c r="BW160" s="7">
        <v>78</v>
      </c>
      <c r="BX160" s="7">
        <v>26</v>
      </c>
      <c r="BY160" s="7">
        <v>0</v>
      </c>
      <c r="BZ160" s="7">
        <v>0</v>
      </c>
      <c r="CA160" s="7"/>
      <c r="CB160" s="9"/>
      <c r="CC160" s="9"/>
      <c r="CD160" s="9"/>
      <c r="CE160" s="9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>
        <v>272</v>
      </c>
      <c r="CS160" s="9">
        <v>63.921209558823421</v>
      </c>
      <c r="CT160" s="9">
        <v>55.244775735294084</v>
      </c>
      <c r="CU160" s="9">
        <v>59.583333333333343</v>
      </c>
      <c r="CV160" s="9">
        <v>119.16598529411758</v>
      </c>
      <c r="CW160" s="7">
        <v>22</v>
      </c>
      <c r="CX160" s="7">
        <v>97</v>
      </c>
      <c r="CY160" s="7">
        <v>84</v>
      </c>
      <c r="CZ160" s="7">
        <v>69</v>
      </c>
      <c r="DA160" s="7">
        <v>0</v>
      </c>
      <c r="DB160" s="7">
        <v>3</v>
      </c>
      <c r="DC160" s="7">
        <v>29</v>
      </c>
      <c r="DD160" s="7">
        <v>139</v>
      </c>
      <c r="DE160" s="7">
        <v>78</v>
      </c>
      <c r="DF160" s="7">
        <v>26</v>
      </c>
      <c r="DG160" s="7">
        <v>0</v>
      </c>
      <c r="DH160" s="7">
        <v>0</v>
      </c>
      <c r="DI160" s="18">
        <f t="shared" si="24"/>
        <v>143</v>
      </c>
      <c r="DJ160" s="18" t="str">
        <f t="shared" si="25"/>
        <v/>
      </c>
      <c r="DK160" s="18">
        <f t="shared" si="26"/>
        <v>141</v>
      </c>
      <c r="DL160" s="18">
        <f t="shared" si="27"/>
        <v>19</v>
      </c>
      <c r="DM160" s="18" t="str">
        <f t="shared" si="28"/>
        <v/>
      </c>
      <c r="DN160" s="18">
        <f t="shared" si="29"/>
        <v>20</v>
      </c>
      <c r="DO160" s="18">
        <v>313</v>
      </c>
      <c r="DP160" s="18">
        <v>124</v>
      </c>
      <c r="DQ160" s="18">
        <v>313</v>
      </c>
      <c r="DR160" s="18">
        <v>47</v>
      </c>
      <c r="DS160" s="18">
        <v>12</v>
      </c>
      <c r="DT160" s="18">
        <v>47</v>
      </c>
      <c r="DU160" s="18" t="s">
        <v>124</v>
      </c>
    </row>
    <row r="161" spans="54:125" x14ac:dyDescent="0.25">
      <c r="BB161" s="7">
        <v>158</v>
      </c>
      <c r="BC161" s="7" t="s">
        <v>332</v>
      </c>
      <c r="BD161" s="23" t="s">
        <v>124</v>
      </c>
      <c r="BE161" s="26">
        <v>766598154</v>
      </c>
      <c r="BF161" s="25" t="s">
        <v>135</v>
      </c>
      <c r="BG161" s="7">
        <v>128</v>
      </c>
      <c r="BH161" s="7" t="s">
        <v>320</v>
      </c>
      <c r="BI161" s="7" t="s">
        <v>367</v>
      </c>
      <c r="BJ161" s="7">
        <v>225</v>
      </c>
      <c r="BK161" s="9">
        <v>57.110768888888835</v>
      </c>
      <c r="BL161" s="9">
        <v>53.095973333333305</v>
      </c>
      <c r="BM161" s="9">
        <v>55.103703703703708</v>
      </c>
      <c r="BN161" s="9">
        <v>110.20674222222212</v>
      </c>
      <c r="BO161" s="7">
        <v>34</v>
      </c>
      <c r="BP161" s="7">
        <v>88</v>
      </c>
      <c r="BQ161" s="7">
        <v>69</v>
      </c>
      <c r="BR161" s="7">
        <v>34</v>
      </c>
      <c r="BS161" s="7">
        <v>0</v>
      </c>
      <c r="BT161" s="7">
        <v>2</v>
      </c>
      <c r="BU161" s="7">
        <v>33</v>
      </c>
      <c r="BV161" s="7">
        <v>110</v>
      </c>
      <c r="BW161" s="7">
        <v>64</v>
      </c>
      <c r="BX161" s="7">
        <v>18</v>
      </c>
      <c r="BY161" s="7">
        <v>0</v>
      </c>
      <c r="BZ161" s="7">
        <v>0</v>
      </c>
      <c r="CA161" s="7"/>
      <c r="CB161" s="9"/>
      <c r="CC161" s="9"/>
      <c r="CD161" s="9"/>
      <c r="CE161" s="9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>
        <v>225</v>
      </c>
      <c r="CS161" s="9">
        <v>57.110768888888835</v>
      </c>
      <c r="CT161" s="9">
        <v>53.095973333333305</v>
      </c>
      <c r="CU161" s="9">
        <v>55.103703703703708</v>
      </c>
      <c r="CV161" s="9">
        <v>110.20674222222212</v>
      </c>
      <c r="CW161" s="7">
        <v>34</v>
      </c>
      <c r="CX161" s="7">
        <v>88</v>
      </c>
      <c r="CY161" s="7">
        <v>69</v>
      </c>
      <c r="CZ161" s="7">
        <v>34</v>
      </c>
      <c r="DA161" s="7">
        <v>0</v>
      </c>
      <c r="DB161" s="7">
        <v>2</v>
      </c>
      <c r="DC161" s="7">
        <v>33</v>
      </c>
      <c r="DD161" s="7">
        <v>110</v>
      </c>
      <c r="DE161" s="7">
        <v>64</v>
      </c>
      <c r="DF161" s="7">
        <v>18</v>
      </c>
      <c r="DG161" s="7">
        <v>0</v>
      </c>
      <c r="DH161" s="7">
        <v>0</v>
      </c>
      <c r="DI161" s="18">
        <f t="shared" si="24"/>
        <v>214</v>
      </c>
      <c r="DJ161" s="18" t="str">
        <f t="shared" si="25"/>
        <v/>
      </c>
      <c r="DK161" s="18">
        <f t="shared" si="26"/>
        <v>218</v>
      </c>
      <c r="DL161" s="18">
        <f t="shared" si="27"/>
        <v>32</v>
      </c>
      <c r="DM161" s="18" t="str">
        <f t="shared" si="28"/>
        <v/>
      </c>
      <c r="DN161" s="18">
        <f t="shared" si="29"/>
        <v>33</v>
      </c>
      <c r="DO161" s="18">
        <v>313</v>
      </c>
      <c r="DP161" s="18">
        <v>124</v>
      </c>
      <c r="DQ161" s="18">
        <v>313</v>
      </c>
      <c r="DR161" s="18">
        <v>47</v>
      </c>
      <c r="DS161" s="18">
        <v>12</v>
      </c>
      <c r="DT161" s="18">
        <v>47</v>
      </c>
      <c r="DU161" s="18" t="s">
        <v>124</v>
      </c>
    </row>
    <row r="162" spans="54:125" x14ac:dyDescent="0.25">
      <c r="BB162" s="7">
        <v>159</v>
      </c>
      <c r="BC162" s="7" t="s">
        <v>332</v>
      </c>
      <c r="BD162" s="23" t="s">
        <v>124</v>
      </c>
      <c r="BE162" s="26">
        <v>487888388</v>
      </c>
      <c r="BF162" s="25" t="s">
        <v>139</v>
      </c>
      <c r="BG162" s="7">
        <v>130</v>
      </c>
      <c r="BH162" s="7" t="s">
        <v>320</v>
      </c>
      <c r="BI162" s="7" t="s">
        <v>367</v>
      </c>
      <c r="BJ162" s="7">
        <v>89</v>
      </c>
      <c r="BK162" s="9">
        <v>50.112022471910123</v>
      </c>
      <c r="BL162" s="9">
        <v>41.422955056179809</v>
      </c>
      <c r="BM162" s="9">
        <v>45.767790262172269</v>
      </c>
      <c r="BN162" s="9">
        <v>91.53497752808984</v>
      </c>
      <c r="BO162" s="7">
        <v>23</v>
      </c>
      <c r="BP162" s="7">
        <v>37</v>
      </c>
      <c r="BQ162" s="7">
        <v>22</v>
      </c>
      <c r="BR162" s="7">
        <v>7</v>
      </c>
      <c r="BS162" s="7">
        <v>0</v>
      </c>
      <c r="BT162" s="7">
        <v>1</v>
      </c>
      <c r="BU162" s="7">
        <v>34</v>
      </c>
      <c r="BV162" s="7">
        <v>40</v>
      </c>
      <c r="BW162" s="7">
        <v>12</v>
      </c>
      <c r="BX162" s="7">
        <v>3</v>
      </c>
      <c r="BY162" s="7">
        <v>0</v>
      </c>
      <c r="BZ162" s="7">
        <v>0</v>
      </c>
      <c r="CA162" s="7"/>
      <c r="CB162" s="9"/>
      <c r="CC162" s="9"/>
      <c r="CD162" s="9"/>
      <c r="CE162" s="9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>
        <v>89</v>
      </c>
      <c r="CS162" s="9">
        <v>50.112022471910123</v>
      </c>
      <c r="CT162" s="9">
        <v>41.422955056179809</v>
      </c>
      <c r="CU162" s="9">
        <v>45.767790262172269</v>
      </c>
      <c r="CV162" s="9">
        <v>91.53497752808984</v>
      </c>
      <c r="CW162" s="7">
        <v>23</v>
      </c>
      <c r="CX162" s="7">
        <v>37</v>
      </c>
      <c r="CY162" s="7">
        <v>22</v>
      </c>
      <c r="CZ162" s="7">
        <v>7</v>
      </c>
      <c r="DA162" s="7">
        <v>0</v>
      </c>
      <c r="DB162" s="7">
        <v>1</v>
      </c>
      <c r="DC162" s="7">
        <v>34</v>
      </c>
      <c r="DD162" s="7">
        <v>40</v>
      </c>
      <c r="DE162" s="7">
        <v>12</v>
      </c>
      <c r="DF162" s="7">
        <v>3</v>
      </c>
      <c r="DG162" s="7">
        <v>0</v>
      </c>
      <c r="DH162" s="7">
        <v>0</v>
      </c>
      <c r="DI162" s="18">
        <f t="shared" si="24"/>
        <v>291</v>
      </c>
      <c r="DJ162" s="18" t="str">
        <f t="shared" si="25"/>
        <v/>
      </c>
      <c r="DK162" s="18">
        <f t="shared" si="26"/>
        <v>293</v>
      </c>
      <c r="DL162" s="18">
        <f t="shared" si="27"/>
        <v>45</v>
      </c>
      <c r="DM162" s="18" t="str">
        <f t="shared" si="28"/>
        <v/>
      </c>
      <c r="DN162" s="18">
        <f t="shared" si="29"/>
        <v>45</v>
      </c>
      <c r="DO162" s="18">
        <v>313</v>
      </c>
      <c r="DP162" s="18">
        <v>124</v>
      </c>
      <c r="DQ162" s="18">
        <v>313</v>
      </c>
      <c r="DR162" s="18">
        <v>47</v>
      </c>
      <c r="DS162" s="18">
        <v>12</v>
      </c>
      <c r="DT162" s="18">
        <v>47</v>
      </c>
      <c r="DU162" s="18" t="s">
        <v>124</v>
      </c>
    </row>
    <row r="163" spans="54:125" x14ac:dyDescent="0.25">
      <c r="BB163" s="7">
        <v>160</v>
      </c>
      <c r="BC163" s="7" t="s">
        <v>332</v>
      </c>
      <c r="BD163" s="23" t="s">
        <v>124</v>
      </c>
      <c r="BE163" s="26">
        <v>355739076</v>
      </c>
      <c r="BF163" s="25" t="s">
        <v>131</v>
      </c>
      <c r="BG163" s="7">
        <v>137</v>
      </c>
      <c r="BH163" s="7" t="s">
        <v>320</v>
      </c>
      <c r="BI163" s="7" t="s">
        <v>367</v>
      </c>
      <c r="BJ163" s="7">
        <v>219</v>
      </c>
      <c r="BK163" s="9">
        <v>60.654159817351569</v>
      </c>
      <c r="BL163" s="9">
        <v>52.72420547945201</v>
      </c>
      <c r="BM163" s="9">
        <v>56.689497716894969</v>
      </c>
      <c r="BN163" s="9">
        <v>113.37836529680354</v>
      </c>
      <c r="BO163" s="7">
        <v>31</v>
      </c>
      <c r="BP163" s="7">
        <v>66</v>
      </c>
      <c r="BQ163" s="7">
        <v>83</v>
      </c>
      <c r="BR163" s="7">
        <v>39</v>
      </c>
      <c r="BS163" s="7">
        <v>0</v>
      </c>
      <c r="BT163" s="7">
        <v>1</v>
      </c>
      <c r="BU163" s="7">
        <v>28</v>
      </c>
      <c r="BV163" s="7">
        <v>123</v>
      </c>
      <c r="BW163" s="7">
        <v>55</v>
      </c>
      <c r="BX163" s="7">
        <v>13</v>
      </c>
      <c r="BY163" s="7">
        <v>0</v>
      </c>
      <c r="BZ163" s="7">
        <v>0</v>
      </c>
      <c r="CA163" s="7"/>
      <c r="CB163" s="9"/>
      <c r="CC163" s="9"/>
      <c r="CD163" s="9"/>
      <c r="CE163" s="9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>
        <v>219</v>
      </c>
      <c r="CS163" s="9">
        <v>60.654159817351569</v>
      </c>
      <c r="CT163" s="9">
        <v>52.72420547945201</v>
      </c>
      <c r="CU163" s="9">
        <v>56.689497716894969</v>
      </c>
      <c r="CV163" s="9">
        <v>113.37836529680354</v>
      </c>
      <c r="CW163" s="7">
        <v>31</v>
      </c>
      <c r="CX163" s="7">
        <v>66</v>
      </c>
      <c r="CY163" s="7">
        <v>83</v>
      </c>
      <c r="CZ163" s="7">
        <v>39</v>
      </c>
      <c r="DA163" s="7">
        <v>0</v>
      </c>
      <c r="DB163" s="7">
        <v>1</v>
      </c>
      <c r="DC163" s="7">
        <v>28</v>
      </c>
      <c r="DD163" s="7">
        <v>123</v>
      </c>
      <c r="DE163" s="7">
        <v>55</v>
      </c>
      <c r="DF163" s="7">
        <v>13</v>
      </c>
      <c r="DG163" s="7">
        <v>0</v>
      </c>
      <c r="DH163" s="7">
        <v>0</v>
      </c>
      <c r="DI163" s="18">
        <f t="shared" si="24"/>
        <v>189</v>
      </c>
      <c r="DJ163" s="18" t="str">
        <f t="shared" si="25"/>
        <v/>
      </c>
      <c r="DK163" s="18">
        <f t="shared" si="26"/>
        <v>190</v>
      </c>
      <c r="DL163" s="18">
        <f t="shared" si="27"/>
        <v>28</v>
      </c>
      <c r="DM163" s="18" t="str">
        <f t="shared" si="28"/>
        <v/>
      </c>
      <c r="DN163" s="18">
        <f t="shared" si="29"/>
        <v>28</v>
      </c>
      <c r="DO163" s="18">
        <v>313</v>
      </c>
      <c r="DP163" s="18">
        <v>124</v>
      </c>
      <c r="DQ163" s="18">
        <v>313</v>
      </c>
      <c r="DR163" s="18">
        <v>47</v>
      </c>
      <c r="DS163" s="18">
        <v>12</v>
      </c>
      <c r="DT163" s="18">
        <v>47</v>
      </c>
      <c r="DU163" s="18" t="s">
        <v>124</v>
      </c>
    </row>
    <row r="164" spans="54:125" x14ac:dyDescent="0.25">
      <c r="BB164" s="7">
        <v>161</v>
      </c>
      <c r="BC164" s="7" t="s">
        <v>332</v>
      </c>
      <c r="BD164" s="23" t="s">
        <v>124</v>
      </c>
      <c r="BE164" s="26">
        <v>634549524</v>
      </c>
      <c r="BF164" s="25" t="s">
        <v>144</v>
      </c>
      <c r="BG164" s="7">
        <v>142</v>
      </c>
      <c r="BH164" s="7" t="s">
        <v>320</v>
      </c>
      <c r="BI164" s="7" t="s">
        <v>367</v>
      </c>
      <c r="BJ164" s="7">
        <v>134</v>
      </c>
      <c r="BK164" s="9">
        <v>59.128999999999969</v>
      </c>
      <c r="BL164" s="9">
        <v>48.009619402985081</v>
      </c>
      <c r="BM164" s="9">
        <v>53.569651741293534</v>
      </c>
      <c r="BN164" s="9">
        <v>107.13861940298499</v>
      </c>
      <c r="BO164" s="7">
        <v>15</v>
      </c>
      <c r="BP164" s="7">
        <v>53</v>
      </c>
      <c r="BQ164" s="7">
        <v>41</v>
      </c>
      <c r="BR164" s="7">
        <v>25</v>
      </c>
      <c r="BS164" s="7">
        <v>1</v>
      </c>
      <c r="BT164" s="7">
        <v>1</v>
      </c>
      <c r="BU164" s="7">
        <v>28</v>
      </c>
      <c r="BV164" s="7">
        <v>73</v>
      </c>
      <c r="BW164" s="7">
        <v>27</v>
      </c>
      <c r="BX164" s="7">
        <v>6</v>
      </c>
      <c r="BY164" s="7">
        <v>0</v>
      </c>
      <c r="BZ164" s="7">
        <v>0</v>
      </c>
      <c r="CA164" s="7"/>
      <c r="CB164" s="9"/>
      <c r="CC164" s="9"/>
      <c r="CD164" s="9"/>
      <c r="CE164" s="9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>
        <v>134</v>
      </c>
      <c r="CS164" s="9">
        <v>59.128999999999969</v>
      </c>
      <c r="CT164" s="9">
        <v>48.009619402985081</v>
      </c>
      <c r="CU164" s="9">
        <v>53.569651741293534</v>
      </c>
      <c r="CV164" s="9">
        <v>107.13861940298499</v>
      </c>
      <c r="CW164" s="7">
        <v>15</v>
      </c>
      <c r="CX164" s="7">
        <v>53</v>
      </c>
      <c r="CY164" s="7">
        <v>41</v>
      </c>
      <c r="CZ164" s="7">
        <v>25</v>
      </c>
      <c r="DA164" s="7">
        <v>1</v>
      </c>
      <c r="DB164" s="7">
        <v>1</v>
      </c>
      <c r="DC164" s="7">
        <v>28</v>
      </c>
      <c r="DD164" s="7">
        <v>73</v>
      </c>
      <c r="DE164" s="7">
        <v>27</v>
      </c>
      <c r="DF164" s="7">
        <v>6</v>
      </c>
      <c r="DG164" s="7">
        <v>0</v>
      </c>
      <c r="DH164" s="7">
        <v>0</v>
      </c>
      <c r="DI164" s="18">
        <f t="shared" si="24"/>
        <v>242</v>
      </c>
      <c r="DJ164" s="18" t="str">
        <f t="shared" si="25"/>
        <v/>
      </c>
      <c r="DK164" s="18">
        <f t="shared" si="26"/>
        <v>246</v>
      </c>
      <c r="DL164" s="18">
        <f t="shared" si="27"/>
        <v>34</v>
      </c>
      <c r="DM164" s="18" t="str">
        <f t="shared" si="28"/>
        <v/>
      </c>
      <c r="DN164" s="18">
        <f t="shared" si="29"/>
        <v>36</v>
      </c>
      <c r="DO164" s="18">
        <v>313</v>
      </c>
      <c r="DP164" s="18">
        <v>124</v>
      </c>
      <c r="DQ164" s="18">
        <v>313</v>
      </c>
      <c r="DR164" s="18">
        <v>47</v>
      </c>
      <c r="DS164" s="18">
        <v>12</v>
      </c>
      <c r="DT164" s="18">
        <v>47</v>
      </c>
      <c r="DU164" s="18" t="s">
        <v>124</v>
      </c>
    </row>
    <row r="165" spans="54:125" x14ac:dyDescent="0.25">
      <c r="BB165" s="7">
        <v>162</v>
      </c>
      <c r="BC165" s="7" t="s">
        <v>332</v>
      </c>
      <c r="BD165" s="23" t="s">
        <v>124</v>
      </c>
      <c r="BE165" s="26">
        <v>909430583</v>
      </c>
      <c r="BF165" s="25" t="s">
        <v>153</v>
      </c>
      <c r="BG165" s="7">
        <v>148</v>
      </c>
      <c r="BH165" s="7" t="s">
        <v>320</v>
      </c>
      <c r="BI165" s="14" t="s">
        <v>368</v>
      </c>
      <c r="BJ165" s="7">
        <v>99</v>
      </c>
      <c r="BK165" s="9">
        <v>66.599020202020199</v>
      </c>
      <c r="BL165" s="9">
        <v>59.225262626262612</v>
      </c>
      <c r="BM165" s="9">
        <v>62.912457912457903</v>
      </c>
      <c r="BN165" s="9">
        <v>125.82428282828275</v>
      </c>
      <c r="BO165" s="7">
        <v>3</v>
      </c>
      <c r="BP165" s="7">
        <v>34</v>
      </c>
      <c r="BQ165" s="7">
        <v>44</v>
      </c>
      <c r="BR165" s="7">
        <v>18</v>
      </c>
      <c r="BS165" s="7">
        <v>0</v>
      </c>
      <c r="BT165" s="7">
        <v>0</v>
      </c>
      <c r="BU165" s="7">
        <v>6</v>
      </c>
      <c r="BV165" s="7">
        <v>48</v>
      </c>
      <c r="BW165" s="7">
        <v>38</v>
      </c>
      <c r="BX165" s="7">
        <v>7</v>
      </c>
      <c r="BY165" s="7">
        <v>0</v>
      </c>
      <c r="BZ165" s="7">
        <v>0</v>
      </c>
      <c r="CA165" s="7"/>
      <c r="CB165" s="9"/>
      <c r="CC165" s="9"/>
      <c r="CD165" s="9"/>
      <c r="CE165" s="9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>
        <v>99</v>
      </c>
      <c r="CS165" s="9">
        <v>66.599020202020199</v>
      </c>
      <c r="CT165" s="9">
        <v>59.225262626262612</v>
      </c>
      <c r="CU165" s="9">
        <v>62.912457912457903</v>
      </c>
      <c r="CV165" s="9">
        <v>125.82428282828275</v>
      </c>
      <c r="CW165" s="7">
        <v>3</v>
      </c>
      <c r="CX165" s="7">
        <v>34</v>
      </c>
      <c r="CY165" s="7">
        <v>44</v>
      </c>
      <c r="CZ165" s="7">
        <v>18</v>
      </c>
      <c r="DA165" s="7">
        <v>0</v>
      </c>
      <c r="DB165" s="7">
        <v>0</v>
      </c>
      <c r="DC165" s="7">
        <v>6</v>
      </c>
      <c r="DD165" s="7">
        <v>48</v>
      </c>
      <c r="DE165" s="7">
        <v>38</v>
      </c>
      <c r="DF165" s="7">
        <v>7</v>
      </c>
      <c r="DG165" s="7">
        <v>0</v>
      </c>
      <c r="DH165" s="7">
        <v>0</v>
      </c>
      <c r="DI165" s="18">
        <f t="shared" si="24"/>
        <v>88</v>
      </c>
      <c r="DJ165" s="18" t="str">
        <f t="shared" si="25"/>
        <v/>
      </c>
      <c r="DK165" s="18">
        <f t="shared" si="26"/>
        <v>75</v>
      </c>
      <c r="DL165" s="18">
        <f t="shared" si="27"/>
        <v>12</v>
      </c>
      <c r="DM165" s="18" t="str">
        <f t="shared" si="28"/>
        <v/>
      </c>
      <c r="DN165" s="18">
        <f t="shared" si="29"/>
        <v>10</v>
      </c>
      <c r="DO165" s="18">
        <v>313</v>
      </c>
      <c r="DP165" s="18">
        <v>124</v>
      </c>
      <c r="DQ165" s="18">
        <v>313</v>
      </c>
      <c r="DR165" s="18">
        <v>47</v>
      </c>
      <c r="DS165" s="18">
        <v>12</v>
      </c>
      <c r="DT165" s="18">
        <v>47</v>
      </c>
      <c r="DU165" s="18" t="s">
        <v>124</v>
      </c>
    </row>
    <row r="166" spans="54:125" x14ac:dyDescent="0.25">
      <c r="BB166" s="7">
        <v>163</v>
      </c>
      <c r="BC166" s="7" t="s">
        <v>332</v>
      </c>
      <c r="BD166" s="23" t="s">
        <v>124</v>
      </c>
      <c r="BE166" s="26">
        <v>565886126</v>
      </c>
      <c r="BF166" s="25" t="s">
        <v>165</v>
      </c>
      <c r="BG166" s="7">
        <v>155</v>
      </c>
      <c r="BH166" s="7" t="s">
        <v>320</v>
      </c>
      <c r="BI166" s="7" t="s">
        <v>367</v>
      </c>
      <c r="BJ166" s="7">
        <v>93</v>
      </c>
      <c r="BK166" s="9">
        <v>46.845569892473158</v>
      </c>
      <c r="BL166" s="9">
        <v>44.121548387096823</v>
      </c>
      <c r="BM166" s="9">
        <v>45.483870967741936</v>
      </c>
      <c r="BN166" s="9">
        <v>90.96711827956986</v>
      </c>
      <c r="BO166" s="7">
        <v>29</v>
      </c>
      <c r="BP166" s="7">
        <v>38</v>
      </c>
      <c r="BQ166" s="7">
        <v>16</v>
      </c>
      <c r="BR166" s="7">
        <v>10</v>
      </c>
      <c r="BS166" s="7">
        <v>0</v>
      </c>
      <c r="BT166" s="7">
        <v>0</v>
      </c>
      <c r="BU166" s="7">
        <v>32</v>
      </c>
      <c r="BV166" s="7">
        <v>38</v>
      </c>
      <c r="BW166" s="7">
        <v>19</v>
      </c>
      <c r="BX166" s="7">
        <v>4</v>
      </c>
      <c r="BY166" s="7">
        <v>0</v>
      </c>
      <c r="BZ166" s="7">
        <v>0</v>
      </c>
      <c r="CA166" s="7"/>
      <c r="CB166" s="9"/>
      <c r="CC166" s="9"/>
      <c r="CD166" s="9"/>
      <c r="CE166" s="9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>
        <v>93</v>
      </c>
      <c r="CS166" s="9">
        <v>46.845569892473158</v>
      </c>
      <c r="CT166" s="9">
        <v>44.121548387096823</v>
      </c>
      <c r="CU166" s="9">
        <v>45.483870967741936</v>
      </c>
      <c r="CV166" s="9">
        <v>90.96711827956986</v>
      </c>
      <c r="CW166" s="7">
        <v>29</v>
      </c>
      <c r="CX166" s="7">
        <v>38</v>
      </c>
      <c r="CY166" s="7">
        <v>16</v>
      </c>
      <c r="CZ166" s="7">
        <v>10</v>
      </c>
      <c r="DA166" s="7">
        <v>0</v>
      </c>
      <c r="DB166" s="7">
        <v>0</v>
      </c>
      <c r="DC166" s="7">
        <v>32</v>
      </c>
      <c r="DD166" s="7">
        <v>38</v>
      </c>
      <c r="DE166" s="7">
        <v>19</v>
      </c>
      <c r="DF166" s="7">
        <v>4</v>
      </c>
      <c r="DG166" s="7">
        <v>0</v>
      </c>
      <c r="DH166" s="7">
        <v>0</v>
      </c>
      <c r="DI166" s="18">
        <f t="shared" si="24"/>
        <v>292</v>
      </c>
      <c r="DJ166" s="18" t="str">
        <f t="shared" si="25"/>
        <v/>
      </c>
      <c r="DK166" s="18">
        <f t="shared" si="26"/>
        <v>294</v>
      </c>
      <c r="DL166" s="18">
        <f t="shared" si="27"/>
        <v>46</v>
      </c>
      <c r="DM166" s="18" t="str">
        <f t="shared" si="28"/>
        <v/>
      </c>
      <c r="DN166" s="18">
        <f t="shared" si="29"/>
        <v>46</v>
      </c>
      <c r="DO166" s="18">
        <v>313</v>
      </c>
      <c r="DP166" s="18">
        <v>124</v>
      </c>
      <c r="DQ166" s="18">
        <v>313</v>
      </c>
      <c r="DR166" s="18">
        <v>47</v>
      </c>
      <c r="DS166" s="18">
        <v>12</v>
      </c>
      <c r="DT166" s="18">
        <v>47</v>
      </c>
      <c r="DU166" s="18" t="s">
        <v>124</v>
      </c>
    </row>
    <row r="167" spans="54:125" x14ac:dyDescent="0.25">
      <c r="BB167" s="7">
        <v>164</v>
      </c>
      <c r="BC167" s="7" t="s">
        <v>332</v>
      </c>
      <c r="BD167" s="23" t="s">
        <v>124</v>
      </c>
      <c r="BE167" s="26">
        <v>257504809</v>
      </c>
      <c r="BF167" s="25" t="s">
        <v>126</v>
      </c>
      <c r="BG167" s="7">
        <v>169</v>
      </c>
      <c r="BH167" s="7" t="s">
        <v>320</v>
      </c>
      <c r="BI167" s="7" t="s">
        <v>368</v>
      </c>
      <c r="BJ167" s="7">
        <v>70</v>
      </c>
      <c r="BK167" s="9">
        <v>60.237771428571456</v>
      </c>
      <c r="BL167" s="9">
        <v>53.856800000000042</v>
      </c>
      <c r="BM167" s="9">
        <v>57.047619047619072</v>
      </c>
      <c r="BN167" s="9">
        <v>114.09457142857144</v>
      </c>
      <c r="BO167" s="7">
        <v>8</v>
      </c>
      <c r="BP167" s="7">
        <v>22</v>
      </c>
      <c r="BQ167" s="7">
        <v>28</v>
      </c>
      <c r="BR167" s="7">
        <v>12</v>
      </c>
      <c r="BS167" s="7">
        <v>1</v>
      </c>
      <c r="BT167" s="7">
        <v>0</v>
      </c>
      <c r="BU167" s="7">
        <v>9</v>
      </c>
      <c r="BV167" s="7">
        <v>35</v>
      </c>
      <c r="BW167" s="7">
        <v>21</v>
      </c>
      <c r="BX167" s="7">
        <v>5</v>
      </c>
      <c r="BY167" s="7">
        <v>0</v>
      </c>
      <c r="BZ167" s="7">
        <v>0</v>
      </c>
      <c r="CA167" s="7">
        <v>89</v>
      </c>
      <c r="CB167" s="9">
        <v>67.228179775280893</v>
      </c>
      <c r="CC167" s="9">
        <v>59.625146067415763</v>
      </c>
      <c r="CD167" s="9">
        <v>63.426966292134821</v>
      </c>
      <c r="CE167" s="9">
        <v>126.85332584269656</v>
      </c>
      <c r="CF167" s="7">
        <v>3</v>
      </c>
      <c r="CG167" s="7">
        <v>28</v>
      </c>
      <c r="CH167" s="7">
        <v>34</v>
      </c>
      <c r="CI167" s="7">
        <v>24</v>
      </c>
      <c r="CJ167" s="7">
        <v>0</v>
      </c>
      <c r="CK167" s="7">
        <v>0</v>
      </c>
      <c r="CL167" s="7">
        <v>7</v>
      </c>
      <c r="CM167" s="7">
        <v>38</v>
      </c>
      <c r="CN167" s="7">
        <v>36</v>
      </c>
      <c r="CO167" s="7">
        <v>8</v>
      </c>
      <c r="CP167" s="7">
        <v>0</v>
      </c>
      <c r="CQ167" s="7">
        <v>0</v>
      </c>
      <c r="CR167" s="7">
        <v>159</v>
      </c>
      <c r="CS167" s="9">
        <v>64.150641509433939</v>
      </c>
      <c r="CT167" s="9">
        <v>57.08562264150941</v>
      </c>
      <c r="CU167" s="9">
        <v>60.618448637316575</v>
      </c>
      <c r="CV167" s="9">
        <v>121.23626415094334</v>
      </c>
      <c r="CW167" s="7">
        <v>11</v>
      </c>
      <c r="CX167" s="7">
        <v>50</v>
      </c>
      <c r="CY167" s="7">
        <v>62</v>
      </c>
      <c r="CZ167" s="7">
        <v>36</v>
      </c>
      <c r="DA167" s="7">
        <v>1</v>
      </c>
      <c r="DB167" s="7">
        <v>0</v>
      </c>
      <c r="DC167" s="7">
        <v>16</v>
      </c>
      <c r="DD167" s="7">
        <v>73</v>
      </c>
      <c r="DE167" s="7">
        <v>57</v>
      </c>
      <c r="DF167" s="7">
        <v>13</v>
      </c>
      <c r="DG167" s="7">
        <v>0</v>
      </c>
      <c r="DH167" s="7">
        <v>0</v>
      </c>
      <c r="DI167" s="18">
        <f t="shared" si="24"/>
        <v>185</v>
      </c>
      <c r="DJ167" s="18">
        <f t="shared" si="25"/>
        <v>27</v>
      </c>
      <c r="DK167" s="18">
        <f t="shared" si="26"/>
        <v>121</v>
      </c>
      <c r="DL167" s="18">
        <f t="shared" si="27"/>
        <v>27</v>
      </c>
      <c r="DM167" s="18">
        <f t="shared" si="28"/>
        <v>1</v>
      </c>
      <c r="DN167" s="18">
        <f t="shared" si="29"/>
        <v>15</v>
      </c>
      <c r="DO167" s="18">
        <v>313</v>
      </c>
      <c r="DP167" s="18">
        <v>124</v>
      </c>
      <c r="DQ167" s="18">
        <v>313</v>
      </c>
      <c r="DR167" s="18">
        <v>47</v>
      </c>
      <c r="DS167" s="18">
        <v>12</v>
      </c>
      <c r="DT167" s="18">
        <v>47</v>
      </c>
      <c r="DU167" s="18" t="s">
        <v>124</v>
      </c>
    </row>
    <row r="168" spans="54:125" x14ac:dyDescent="0.25">
      <c r="BB168" s="7">
        <v>165</v>
      </c>
      <c r="BC168" s="7" t="s">
        <v>332</v>
      </c>
      <c r="BD168" s="23" t="s">
        <v>124</v>
      </c>
      <c r="BE168" s="26">
        <v>693137574</v>
      </c>
      <c r="BF168" s="25" t="s">
        <v>127</v>
      </c>
      <c r="BG168" s="7">
        <v>170</v>
      </c>
      <c r="BH168" s="7" t="s">
        <v>320</v>
      </c>
      <c r="BI168" s="7" t="s">
        <v>367</v>
      </c>
      <c r="BJ168" s="7">
        <v>92</v>
      </c>
      <c r="BK168" s="9">
        <v>56.304032608695664</v>
      </c>
      <c r="BL168" s="9">
        <v>49.528728260869585</v>
      </c>
      <c r="BM168" s="9">
        <v>52.916666666666671</v>
      </c>
      <c r="BN168" s="9">
        <v>105.83276086956518</v>
      </c>
      <c r="BO168" s="7">
        <v>17</v>
      </c>
      <c r="BP168" s="7">
        <v>34</v>
      </c>
      <c r="BQ168" s="7">
        <v>26</v>
      </c>
      <c r="BR168" s="7">
        <v>15</v>
      </c>
      <c r="BS168" s="7">
        <v>1</v>
      </c>
      <c r="BT168" s="7">
        <v>0</v>
      </c>
      <c r="BU168" s="7">
        <v>20</v>
      </c>
      <c r="BV168" s="7">
        <v>46</v>
      </c>
      <c r="BW168" s="7">
        <v>21</v>
      </c>
      <c r="BX168" s="7">
        <v>5</v>
      </c>
      <c r="BY168" s="7">
        <v>0</v>
      </c>
      <c r="BZ168" s="7">
        <v>0</v>
      </c>
      <c r="CA168" s="7"/>
      <c r="CB168" s="9"/>
      <c r="CC168" s="9"/>
      <c r="CD168" s="9"/>
      <c r="CE168" s="9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>
        <v>92</v>
      </c>
      <c r="CS168" s="9">
        <v>56.304032608695664</v>
      </c>
      <c r="CT168" s="9">
        <v>49.528728260869585</v>
      </c>
      <c r="CU168" s="9">
        <v>52.916666666666671</v>
      </c>
      <c r="CV168" s="9">
        <v>105.83276086956518</v>
      </c>
      <c r="CW168" s="7">
        <v>17</v>
      </c>
      <c r="CX168" s="7">
        <v>34</v>
      </c>
      <c r="CY168" s="7">
        <v>26</v>
      </c>
      <c r="CZ168" s="7">
        <v>15</v>
      </c>
      <c r="DA168" s="7">
        <v>1</v>
      </c>
      <c r="DB168" s="7">
        <v>0</v>
      </c>
      <c r="DC168" s="7">
        <v>20</v>
      </c>
      <c r="DD168" s="7">
        <v>46</v>
      </c>
      <c r="DE168" s="7">
        <v>21</v>
      </c>
      <c r="DF168" s="7">
        <v>5</v>
      </c>
      <c r="DG168" s="7">
        <v>0</v>
      </c>
      <c r="DH168" s="7">
        <v>0</v>
      </c>
      <c r="DI168" s="18">
        <f t="shared" si="24"/>
        <v>255</v>
      </c>
      <c r="DJ168" s="18" t="str">
        <f t="shared" si="25"/>
        <v/>
      </c>
      <c r="DK168" s="18">
        <f t="shared" si="26"/>
        <v>259</v>
      </c>
      <c r="DL168" s="18">
        <f t="shared" si="27"/>
        <v>36</v>
      </c>
      <c r="DM168" s="18" t="str">
        <f t="shared" si="28"/>
        <v/>
      </c>
      <c r="DN168" s="18">
        <f t="shared" si="29"/>
        <v>38</v>
      </c>
      <c r="DO168" s="18">
        <v>313</v>
      </c>
      <c r="DP168" s="18">
        <v>124</v>
      </c>
      <c r="DQ168" s="18">
        <v>313</v>
      </c>
      <c r="DR168" s="18">
        <v>47</v>
      </c>
      <c r="DS168" s="18">
        <v>12</v>
      </c>
      <c r="DT168" s="18">
        <v>47</v>
      </c>
      <c r="DU168" s="18" t="s">
        <v>124</v>
      </c>
    </row>
    <row r="169" spans="54:125" x14ac:dyDescent="0.25">
      <c r="BB169" s="7">
        <v>166</v>
      </c>
      <c r="BC169" s="7" t="s">
        <v>332</v>
      </c>
      <c r="BD169" s="23" t="s">
        <v>124</v>
      </c>
      <c r="BE169" s="26">
        <v>903337368</v>
      </c>
      <c r="BF169" s="25" t="s">
        <v>125</v>
      </c>
      <c r="BG169" s="7">
        <v>187</v>
      </c>
      <c r="BH169" s="7" t="s">
        <v>320</v>
      </c>
      <c r="BI169" s="7" t="s">
        <v>368</v>
      </c>
      <c r="BJ169" s="7">
        <v>199</v>
      </c>
      <c r="BK169" s="9">
        <v>56.833834170854274</v>
      </c>
      <c r="BL169" s="9">
        <v>47.453592964824097</v>
      </c>
      <c r="BM169" s="9">
        <v>52.144053601340048</v>
      </c>
      <c r="BN169" s="9">
        <v>104.28742713567831</v>
      </c>
      <c r="BO169" s="7">
        <v>34</v>
      </c>
      <c r="BP169" s="7">
        <v>74</v>
      </c>
      <c r="BQ169" s="7">
        <v>57</v>
      </c>
      <c r="BR169" s="7">
        <v>34</v>
      </c>
      <c r="BS169" s="7">
        <v>0</v>
      </c>
      <c r="BT169" s="7">
        <v>1</v>
      </c>
      <c r="BU169" s="7">
        <v>49</v>
      </c>
      <c r="BV169" s="7">
        <v>99</v>
      </c>
      <c r="BW169" s="7">
        <v>41</v>
      </c>
      <c r="BX169" s="7">
        <v>10</v>
      </c>
      <c r="BY169" s="7">
        <v>0</v>
      </c>
      <c r="BZ169" s="7">
        <v>0</v>
      </c>
      <c r="CA169" s="7">
        <v>70</v>
      </c>
      <c r="CB169" s="9">
        <v>61.52350000000002</v>
      </c>
      <c r="CC169" s="9">
        <v>52.094885714285752</v>
      </c>
      <c r="CD169" s="9">
        <v>56.809523809523803</v>
      </c>
      <c r="CE169" s="9">
        <v>113.61838571428571</v>
      </c>
      <c r="CF169" s="7">
        <v>5</v>
      </c>
      <c r="CG169" s="7">
        <v>26</v>
      </c>
      <c r="CH169" s="7">
        <v>31</v>
      </c>
      <c r="CI169" s="7">
        <v>8</v>
      </c>
      <c r="CJ169" s="7">
        <v>0</v>
      </c>
      <c r="CK169" s="7">
        <v>0</v>
      </c>
      <c r="CL169" s="7">
        <v>12</v>
      </c>
      <c r="CM169" s="7">
        <v>30</v>
      </c>
      <c r="CN169" s="7">
        <v>26</v>
      </c>
      <c r="CO169" s="7">
        <v>2</v>
      </c>
      <c r="CP169" s="7">
        <v>0</v>
      </c>
      <c r="CQ169" s="7">
        <v>0</v>
      </c>
      <c r="CR169" s="7">
        <v>269</v>
      </c>
      <c r="CS169" s="9">
        <v>58.054193308550161</v>
      </c>
      <c r="CT169" s="9">
        <v>48.661364312267622</v>
      </c>
      <c r="CU169" s="9">
        <v>53.358116480793058</v>
      </c>
      <c r="CV169" s="9">
        <v>106.71555762081772</v>
      </c>
      <c r="CW169" s="7">
        <v>39</v>
      </c>
      <c r="CX169" s="7">
        <v>100</v>
      </c>
      <c r="CY169" s="7">
        <v>88</v>
      </c>
      <c r="CZ169" s="7">
        <v>42</v>
      </c>
      <c r="DA169" s="7">
        <v>0</v>
      </c>
      <c r="DB169" s="7">
        <v>1</v>
      </c>
      <c r="DC169" s="7">
        <v>61</v>
      </c>
      <c r="DD169" s="7">
        <v>129</v>
      </c>
      <c r="DE169" s="7">
        <v>67</v>
      </c>
      <c r="DF169" s="7">
        <v>12</v>
      </c>
      <c r="DG169" s="7">
        <v>0</v>
      </c>
      <c r="DH169" s="7">
        <v>0</v>
      </c>
      <c r="DI169" s="18">
        <f t="shared" si="24"/>
        <v>261</v>
      </c>
      <c r="DJ169" s="18">
        <f t="shared" si="25"/>
        <v>86</v>
      </c>
      <c r="DK169" s="18">
        <f t="shared" si="26"/>
        <v>251</v>
      </c>
      <c r="DL169" s="18">
        <f t="shared" si="27"/>
        <v>39</v>
      </c>
      <c r="DM169" s="18">
        <f t="shared" si="28"/>
        <v>8</v>
      </c>
      <c r="DN169" s="18">
        <f t="shared" si="29"/>
        <v>37</v>
      </c>
      <c r="DO169" s="18">
        <v>313</v>
      </c>
      <c r="DP169" s="18">
        <v>124</v>
      </c>
      <c r="DQ169" s="18">
        <v>313</v>
      </c>
      <c r="DR169" s="18">
        <v>47</v>
      </c>
      <c r="DS169" s="18">
        <v>12</v>
      </c>
      <c r="DT169" s="18">
        <v>47</v>
      </c>
      <c r="DU169" s="18" t="s">
        <v>124</v>
      </c>
    </row>
    <row r="170" spans="54:125" x14ac:dyDescent="0.25">
      <c r="BB170" s="7">
        <v>167</v>
      </c>
      <c r="BC170" s="7" t="s">
        <v>332</v>
      </c>
      <c r="BD170" s="23" t="s">
        <v>124</v>
      </c>
      <c r="BE170" s="26">
        <v>144679231</v>
      </c>
      <c r="BF170" s="25" t="s">
        <v>159</v>
      </c>
      <c r="BG170" s="7">
        <v>188</v>
      </c>
      <c r="BH170" s="7" t="s">
        <v>320</v>
      </c>
      <c r="BI170" s="7" t="s">
        <v>367</v>
      </c>
      <c r="BJ170" s="7">
        <v>142</v>
      </c>
      <c r="BK170" s="9">
        <v>61.830661971830985</v>
      </c>
      <c r="BL170" s="9">
        <v>56.854147887323926</v>
      </c>
      <c r="BM170" s="9">
        <v>59.342723004694832</v>
      </c>
      <c r="BN170" s="9">
        <v>118.68480985915487</v>
      </c>
      <c r="BO170" s="7">
        <v>19</v>
      </c>
      <c r="BP170" s="7">
        <v>40</v>
      </c>
      <c r="BQ170" s="7">
        <v>52</v>
      </c>
      <c r="BR170" s="7">
        <v>31</v>
      </c>
      <c r="BS170" s="7">
        <v>2</v>
      </c>
      <c r="BT170" s="7">
        <v>4</v>
      </c>
      <c r="BU170" s="7">
        <v>22</v>
      </c>
      <c r="BV170" s="7">
        <v>50</v>
      </c>
      <c r="BW170" s="7">
        <v>56</v>
      </c>
      <c r="BX170" s="7">
        <v>14</v>
      </c>
      <c r="BY170" s="7">
        <v>0</v>
      </c>
      <c r="BZ170" s="7">
        <v>1</v>
      </c>
      <c r="CA170" s="7"/>
      <c r="CB170" s="9"/>
      <c r="CC170" s="9"/>
      <c r="CD170" s="9"/>
      <c r="CE170" s="9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>
        <v>142</v>
      </c>
      <c r="CS170" s="9">
        <v>61.830661971830985</v>
      </c>
      <c r="CT170" s="9">
        <v>56.854147887323926</v>
      </c>
      <c r="CU170" s="9">
        <v>59.342723004694832</v>
      </c>
      <c r="CV170" s="9">
        <v>118.68480985915487</v>
      </c>
      <c r="CW170" s="7">
        <v>19</v>
      </c>
      <c r="CX170" s="7">
        <v>40</v>
      </c>
      <c r="CY170" s="7">
        <v>52</v>
      </c>
      <c r="CZ170" s="7">
        <v>31</v>
      </c>
      <c r="DA170" s="7">
        <v>2</v>
      </c>
      <c r="DB170" s="7">
        <v>4</v>
      </c>
      <c r="DC170" s="7">
        <v>22</v>
      </c>
      <c r="DD170" s="7">
        <v>50</v>
      </c>
      <c r="DE170" s="7">
        <v>56</v>
      </c>
      <c r="DF170" s="7">
        <v>14</v>
      </c>
      <c r="DG170" s="7">
        <v>0</v>
      </c>
      <c r="DH170" s="7">
        <v>1</v>
      </c>
      <c r="DI170" s="18">
        <f t="shared" si="24"/>
        <v>148</v>
      </c>
      <c r="DJ170" s="18" t="str">
        <f t="shared" si="25"/>
        <v/>
      </c>
      <c r="DK170" s="18">
        <f t="shared" si="26"/>
        <v>145</v>
      </c>
      <c r="DL170" s="18">
        <f t="shared" si="27"/>
        <v>20</v>
      </c>
      <c r="DM170" s="18" t="str">
        <f t="shared" si="28"/>
        <v/>
      </c>
      <c r="DN170" s="18">
        <f t="shared" si="29"/>
        <v>21</v>
      </c>
      <c r="DO170" s="18">
        <v>313</v>
      </c>
      <c r="DP170" s="18">
        <v>124</v>
      </c>
      <c r="DQ170" s="18">
        <v>313</v>
      </c>
      <c r="DR170" s="18">
        <v>47</v>
      </c>
      <c r="DS170" s="18">
        <v>12</v>
      </c>
      <c r="DT170" s="18">
        <v>47</v>
      </c>
      <c r="DU170" s="18" t="s">
        <v>124</v>
      </c>
    </row>
    <row r="171" spans="54:125" x14ac:dyDescent="0.25">
      <c r="BB171" s="7">
        <v>168</v>
      </c>
      <c r="BC171" s="7" t="s">
        <v>332</v>
      </c>
      <c r="BD171" s="23" t="s">
        <v>124</v>
      </c>
      <c r="BE171" s="26">
        <v>800505706</v>
      </c>
      <c r="BF171" s="25" t="s">
        <v>155</v>
      </c>
      <c r="BG171" s="7">
        <v>192</v>
      </c>
      <c r="BH171" s="7" t="s">
        <v>320</v>
      </c>
      <c r="BI171" s="7" t="s">
        <v>367</v>
      </c>
      <c r="BJ171" s="7">
        <v>214</v>
      </c>
      <c r="BK171" s="9">
        <v>63.644551401869094</v>
      </c>
      <c r="BL171" s="9">
        <v>56.385953271028001</v>
      </c>
      <c r="BM171" s="9">
        <v>60.015576323987538</v>
      </c>
      <c r="BN171" s="9">
        <v>120.03050467289708</v>
      </c>
      <c r="BO171" s="7">
        <v>19</v>
      </c>
      <c r="BP171" s="7">
        <v>77</v>
      </c>
      <c r="BQ171" s="7">
        <v>70</v>
      </c>
      <c r="BR171" s="7">
        <v>48</v>
      </c>
      <c r="BS171" s="7">
        <v>1</v>
      </c>
      <c r="BT171" s="7">
        <v>8</v>
      </c>
      <c r="BU171" s="7">
        <v>31</v>
      </c>
      <c r="BV171" s="7">
        <v>95</v>
      </c>
      <c r="BW171" s="7">
        <v>62</v>
      </c>
      <c r="BX171" s="7">
        <v>26</v>
      </c>
      <c r="BY171" s="7">
        <v>0</v>
      </c>
      <c r="BZ171" s="7">
        <v>1</v>
      </c>
      <c r="CA171" s="7"/>
      <c r="CB171" s="9"/>
      <c r="CC171" s="9"/>
      <c r="CD171" s="9"/>
      <c r="CE171" s="9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>
        <v>214</v>
      </c>
      <c r="CS171" s="9">
        <v>63.644551401869094</v>
      </c>
      <c r="CT171" s="9">
        <v>56.385953271028001</v>
      </c>
      <c r="CU171" s="9">
        <v>60.015576323987538</v>
      </c>
      <c r="CV171" s="9">
        <v>120.03050467289708</v>
      </c>
      <c r="CW171" s="7">
        <v>19</v>
      </c>
      <c r="CX171" s="7">
        <v>77</v>
      </c>
      <c r="CY171" s="7">
        <v>70</v>
      </c>
      <c r="CZ171" s="7">
        <v>48</v>
      </c>
      <c r="DA171" s="7">
        <v>1</v>
      </c>
      <c r="DB171" s="7">
        <v>8</v>
      </c>
      <c r="DC171" s="7">
        <v>31</v>
      </c>
      <c r="DD171" s="7">
        <v>95</v>
      </c>
      <c r="DE171" s="7">
        <v>62</v>
      </c>
      <c r="DF171" s="7">
        <v>26</v>
      </c>
      <c r="DG171" s="7">
        <v>0</v>
      </c>
      <c r="DH171" s="7">
        <v>1</v>
      </c>
      <c r="DI171" s="18">
        <f t="shared" si="24"/>
        <v>138</v>
      </c>
      <c r="DJ171" s="18" t="str">
        <f t="shared" si="25"/>
        <v/>
      </c>
      <c r="DK171" s="18">
        <f t="shared" si="26"/>
        <v>133</v>
      </c>
      <c r="DL171" s="18">
        <f t="shared" si="27"/>
        <v>17</v>
      </c>
      <c r="DM171" s="18" t="str">
        <f t="shared" si="28"/>
        <v/>
      </c>
      <c r="DN171" s="18">
        <f t="shared" si="29"/>
        <v>17</v>
      </c>
      <c r="DO171" s="18">
        <v>313</v>
      </c>
      <c r="DP171" s="18">
        <v>124</v>
      </c>
      <c r="DQ171" s="18">
        <v>313</v>
      </c>
      <c r="DR171" s="18">
        <v>47</v>
      </c>
      <c r="DS171" s="18">
        <v>12</v>
      </c>
      <c r="DT171" s="18">
        <v>47</v>
      </c>
      <c r="DU171" s="18" t="s">
        <v>124</v>
      </c>
    </row>
    <row r="172" spans="54:125" x14ac:dyDescent="0.25">
      <c r="BB172" s="7">
        <v>169</v>
      </c>
      <c r="BC172" s="7" t="s">
        <v>332</v>
      </c>
      <c r="BD172" s="23" t="s">
        <v>124</v>
      </c>
      <c r="BE172" s="26">
        <v>235581952</v>
      </c>
      <c r="BF172" s="25" t="s">
        <v>162</v>
      </c>
      <c r="BG172" s="7">
        <v>198</v>
      </c>
      <c r="BH172" s="7" t="s">
        <v>320</v>
      </c>
      <c r="BI172" s="7" t="s">
        <v>367</v>
      </c>
      <c r="BJ172" s="7">
        <v>74</v>
      </c>
      <c r="BK172" s="9">
        <v>61.486135135135171</v>
      </c>
      <c r="BL172" s="9">
        <v>51.396135135135168</v>
      </c>
      <c r="BM172" s="9">
        <v>56.44144144144142</v>
      </c>
      <c r="BN172" s="9">
        <v>112.88227027027023</v>
      </c>
      <c r="BO172" s="7">
        <v>8</v>
      </c>
      <c r="BP172" s="7">
        <v>25</v>
      </c>
      <c r="BQ172" s="7">
        <v>30</v>
      </c>
      <c r="BR172" s="7">
        <v>11</v>
      </c>
      <c r="BS172" s="7">
        <v>0</v>
      </c>
      <c r="BT172" s="7">
        <v>0</v>
      </c>
      <c r="BU172" s="7">
        <v>11</v>
      </c>
      <c r="BV172" s="7">
        <v>43</v>
      </c>
      <c r="BW172" s="7">
        <v>18</v>
      </c>
      <c r="BX172" s="7">
        <v>2</v>
      </c>
      <c r="BY172" s="7">
        <v>0</v>
      </c>
      <c r="BZ172" s="7">
        <v>0</v>
      </c>
      <c r="CA172" s="7"/>
      <c r="CB172" s="9"/>
      <c r="CC172" s="9"/>
      <c r="CD172" s="9"/>
      <c r="CE172" s="9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>
        <v>74</v>
      </c>
      <c r="CS172" s="9">
        <v>61.486135135135171</v>
      </c>
      <c r="CT172" s="9">
        <v>51.396135135135168</v>
      </c>
      <c r="CU172" s="9">
        <v>56.44144144144142</v>
      </c>
      <c r="CV172" s="9">
        <v>112.88227027027023</v>
      </c>
      <c r="CW172" s="7">
        <v>8</v>
      </c>
      <c r="CX172" s="7">
        <v>25</v>
      </c>
      <c r="CY172" s="7">
        <v>30</v>
      </c>
      <c r="CZ172" s="7">
        <v>11</v>
      </c>
      <c r="DA172" s="7">
        <v>0</v>
      </c>
      <c r="DB172" s="7">
        <v>0</v>
      </c>
      <c r="DC172" s="7">
        <v>11</v>
      </c>
      <c r="DD172" s="7">
        <v>43</v>
      </c>
      <c r="DE172" s="7">
        <v>18</v>
      </c>
      <c r="DF172" s="7">
        <v>2</v>
      </c>
      <c r="DG172" s="7">
        <v>0</v>
      </c>
      <c r="DH172" s="7">
        <v>0</v>
      </c>
      <c r="DI172" s="18">
        <f t="shared" si="24"/>
        <v>195</v>
      </c>
      <c r="DJ172" s="18" t="str">
        <f t="shared" si="25"/>
        <v/>
      </c>
      <c r="DK172" s="18">
        <f t="shared" si="26"/>
        <v>193</v>
      </c>
      <c r="DL172" s="18">
        <f t="shared" si="27"/>
        <v>30</v>
      </c>
      <c r="DM172" s="18" t="str">
        <f t="shared" si="28"/>
        <v/>
      </c>
      <c r="DN172" s="18">
        <f t="shared" si="29"/>
        <v>30</v>
      </c>
      <c r="DO172" s="18">
        <v>313</v>
      </c>
      <c r="DP172" s="18">
        <v>124</v>
      </c>
      <c r="DQ172" s="18">
        <v>313</v>
      </c>
      <c r="DR172" s="18">
        <v>47</v>
      </c>
      <c r="DS172" s="18">
        <v>12</v>
      </c>
      <c r="DT172" s="18">
        <v>47</v>
      </c>
      <c r="DU172" s="18" t="s">
        <v>124</v>
      </c>
    </row>
    <row r="173" spans="54:125" x14ac:dyDescent="0.25">
      <c r="BB173" s="7">
        <v>170</v>
      </c>
      <c r="BC173" s="7" t="s">
        <v>332</v>
      </c>
      <c r="BD173" s="23" t="s">
        <v>124</v>
      </c>
      <c r="BE173" s="26">
        <v>661503501</v>
      </c>
      <c r="BF173" s="25" t="s">
        <v>136</v>
      </c>
      <c r="BG173" s="7">
        <v>209</v>
      </c>
      <c r="BH173" s="7" t="s">
        <v>320</v>
      </c>
      <c r="BI173" s="7" t="s">
        <v>367</v>
      </c>
      <c r="BJ173" s="7">
        <v>62</v>
      </c>
      <c r="BK173" s="9">
        <v>49.354548387096798</v>
      </c>
      <c r="BL173" s="9">
        <v>38.655661290322577</v>
      </c>
      <c r="BM173" s="9">
        <v>44.005376344086024</v>
      </c>
      <c r="BN173" s="9">
        <v>88.010209677419354</v>
      </c>
      <c r="BO173" s="7">
        <v>12</v>
      </c>
      <c r="BP173" s="7">
        <v>35</v>
      </c>
      <c r="BQ173" s="7">
        <v>11</v>
      </c>
      <c r="BR173" s="7">
        <v>4</v>
      </c>
      <c r="BS173" s="7">
        <v>2</v>
      </c>
      <c r="BT173" s="7">
        <v>0</v>
      </c>
      <c r="BU173" s="7">
        <v>24</v>
      </c>
      <c r="BV173" s="7">
        <v>31</v>
      </c>
      <c r="BW173" s="7">
        <v>6</v>
      </c>
      <c r="BX173" s="7">
        <v>1</v>
      </c>
      <c r="BY173" s="7">
        <v>0</v>
      </c>
      <c r="BZ173" s="7">
        <v>0</v>
      </c>
      <c r="CA173" s="7"/>
      <c r="CB173" s="9"/>
      <c r="CC173" s="9"/>
      <c r="CD173" s="9"/>
      <c r="CE173" s="9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>
        <v>62</v>
      </c>
      <c r="CS173" s="9">
        <v>49.354548387096798</v>
      </c>
      <c r="CT173" s="9">
        <v>38.655661290322577</v>
      </c>
      <c r="CU173" s="9">
        <v>44.005376344086024</v>
      </c>
      <c r="CV173" s="9">
        <v>88.010209677419354</v>
      </c>
      <c r="CW173" s="7">
        <v>12</v>
      </c>
      <c r="CX173" s="7">
        <v>35</v>
      </c>
      <c r="CY173" s="7">
        <v>11</v>
      </c>
      <c r="CZ173" s="7">
        <v>4</v>
      </c>
      <c r="DA173" s="7">
        <v>2</v>
      </c>
      <c r="DB173" s="7">
        <v>0</v>
      </c>
      <c r="DC173" s="7">
        <v>24</v>
      </c>
      <c r="DD173" s="7">
        <v>31</v>
      </c>
      <c r="DE173" s="7">
        <v>6</v>
      </c>
      <c r="DF173" s="7">
        <v>1</v>
      </c>
      <c r="DG173" s="7">
        <v>0</v>
      </c>
      <c r="DH173" s="7">
        <v>0</v>
      </c>
      <c r="DI173" s="18">
        <f t="shared" si="24"/>
        <v>294</v>
      </c>
      <c r="DJ173" s="18" t="str">
        <f t="shared" si="25"/>
        <v/>
      </c>
      <c r="DK173" s="18">
        <f t="shared" si="26"/>
        <v>296</v>
      </c>
      <c r="DL173" s="18">
        <f t="shared" si="27"/>
        <v>47</v>
      </c>
      <c r="DM173" s="18" t="str">
        <f t="shared" si="28"/>
        <v/>
      </c>
      <c r="DN173" s="18">
        <f t="shared" si="29"/>
        <v>47</v>
      </c>
      <c r="DO173" s="18">
        <v>313</v>
      </c>
      <c r="DP173" s="18">
        <v>124</v>
      </c>
      <c r="DQ173" s="18">
        <v>313</v>
      </c>
      <c r="DR173" s="18">
        <v>47</v>
      </c>
      <c r="DS173" s="18">
        <v>12</v>
      </c>
      <c r="DT173" s="18">
        <v>47</v>
      </c>
      <c r="DU173" s="18" t="s">
        <v>124</v>
      </c>
    </row>
    <row r="174" spans="54:125" x14ac:dyDescent="0.25">
      <c r="BB174" s="7">
        <v>171</v>
      </c>
      <c r="BC174" s="7" t="s">
        <v>332</v>
      </c>
      <c r="BD174" s="23" t="s">
        <v>124</v>
      </c>
      <c r="BE174" s="26">
        <v>540977960</v>
      </c>
      <c r="BF174" s="25" t="s">
        <v>130</v>
      </c>
      <c r="BG174" s="7">
        <v>213</v>
      </c>
      <c r="BH174" s="7" t="s">
        <v>322</v>
      </c>
      <c r="BI174" s="7" t="s">
        <v>367</v>
      </c>
      <c r="BJ174" s="7">
        <v>57</v>
      </c>
      <c r="BK174" s="9">
        <v>56.783298245614056</v>
      </c>
      <c r="BL174" s="9">
        <v>48.303701754385983</v>
      </c>
      <c r="BM174" s="9">
        <v>52.543859649122837</v>
      </c>
      <c r="BN174" s="9">
        <v>105.08700000000003</v>
      </c>
      <c r="BO174" s="7">
        <v>11</v>
      </c>
      <c r="BP174" s="7">
        <v>19</v>
      </c>
      <c r="BQ174" s="7">
        <v>18</v>
      </c>
      <c r="BR174" s="7">
        <v>9</v>
      </c>
      <c r="BS174" s="7">
        <v>1</v>
      </c>
      <c r="BT174" s="7">
        <v>1</v>
      </c>
      <c r="BU174" s="7">
        <v>15</v>
      </c>
      <c r="BV174" s="7">
        <v>21</v>
      </c>
      <c r="BW174" s="7">
        <v>17</v>
      </c>
      <c r="BX174" s="7">
        <v>4</v>
      </c>
      <c r="BY174" s="7">
        <v>0</v>
      </c>
      <c r="BZ174" s="7">
        <v>0</v>
      </c>
      <c r="CA174" s="7"/>
      <c r="CB174" s="9"/>
      <c r="CC174" s="9"/>
      <c r="CD174" s="9"/>
      <c r="CE174" s="9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>
        <v>57</v>
      </c>
      <c r="CS174" s="9">
        <v>56.783298245614056</v>
      </c>
      <c r="CT174" s="9">
        <v>48.303701754385983</v>
      </c>
      <c r="CU174" s="9">
        <v>52.543859649122837</v>
      </c>
      <c r="CV174" s="9">
        <v>105.08700000000003</v>
      </c>
      <c r="CW174" s="7">
        <v>11</v>
      </c>
      <c r="CX174" s="7">
        <v>19</v>
      </c>
      <c r="CY174" s="7">
        <v>18</v>
      </c>
      <c r="CZ174" s="7">
        <v>9</v>
      </c>
      <c r="DA174" s="7">
        <v>1</v>
      </c>
      <c r="DB174" s="7">
        <v>1</v>
      </c>
      <c r="DC174" s="7">
        <v>15</v>
      </c>
      <c r="DD174" s="7">
        <v>21</v>
      </c>
      <c r="DE174" s="7">
        <v>17</v>
      </c>
      <c r="DF174" s="7">
        <v>4</v>
      </c>
      <c r="DG174" s="7">
        <v>0</v>
      </c>
      <c r="DH174" s="7">
        <v>0</v>
      </c>
      <c r="DI174" s="18">
        <f t="shared" si="24"/>
        <v>256</v>
      </c>
      <c r="DJ174" s="18" t="str">
        <f t="shared" si="25"/>
        <v/>
      </c>
      <c r="DK174" s="18">
        <f t="shared" si="26"/>
        <v>260</v>
      </c>
      <c r="DL174" s="18">
        <f t="shared" si="27"/>
        <v>37</v>
      </c>
      <c r="DM174" s="18" t="str">
        <f t="shared" si="28"/>
        <v/>
      </c>
      <c r="DN174" s="18">
        <f t="shared" si="29"/>
        <v>39</v>
      </c>
      <c r="DO174" s="18">
        <v>313</v>
      </c>
      <c r="DP174" s="18">
        <v>124</v>
      </c>
      <c r="DQ174" s="18">
        <v>313</v>
      </c>
      <c r="DR174" s="18">
        <v>47</v>
      </c>
      <c r="DS174" s="18">
        <v>12</v>
      </c>
      <c r="DT174" s="18">
        <v>47</v>
      </c>
      <c r="DU174" s="18" t="s">
        <v>124</v>
      </c>
    </row>
    <row r="175" spans="54:125" x14ac:dyDescent="0.25">
      <c r="BB175" s="7">
        <v>172</v>
      </c>
      <c r="BC175" s="7" t="s">
        <v>332</v>
      </c>
      <c r="BD175" s="23" t="s">
        <v>124</v>
      </c>
      <c r="BE175" s="26">
        <v>469245828</v>
      </c>
      <c r="BF175" s="25" t="s">
        <v>133</v>
      </c>
      <c r="BG175" s="7">
        <v>215</v>
      </c>
      <c r="BH175" s="7" t="s">
        <v>320</v>
      </c>
      <c r="BI175" s="7" t="s">
        <v>367</v>
      </c>
      <c r="BJ175" s="7">
        <v>97</v>
      </c>
      <c r="BK175" s="9">
        <v>57.766000000000027</v>
      </c>
      <c r="BL175" s="9">
        <v>50.927505154639192</v>
      </c>
      <c r="BM175" s="9">
        <v>54.347079037800668</v>
      </c>
      <c r="BN175" s="9">
        <v>108.69350515463913</v>
      </c>
      <c r="BO175" s="7">
        <v>11</v>
      </c>
      <c r="BP175" s="7">
        <v>46</v>
      </c>
      <c r="BQ175" s="7">
        <v>24</v>
      </c>
      <c r="BR175" s="7">
        <v>16</v>
      </c>
      <c r="BS175" s="7">
        <v>0</v>
      </c>
      <c r="BT175" s="7">
        <v>0</v>
      </c>
      <c r="BU175" s="7">
        <v>20</v>
      </c>
      <c r="BV175" s="7">
        <v>46</v>
      </c>
      <c r="BW175" s="7">
        <v>22</v>
      </c>
      <c r="BX175" s="7">
        <v>9</v>
      </c>
      <c r="BY175" s="7">
        <v>0</v>
      </c>
      <c r="BZ175" s="7">
        <v>0</v>
      </c>
      <c r="CA175" s="7"/>
      <c r="CB175" s="9"/>
      <c r="CC175" s="9"/>
      <c r="CD175" s="9"/>
      <c r="CE175" s="9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>
        <v>97</v>
      </c>
      <c r="CS175" s="9">
        <v>57.766000000000027</v>
      </c>
      <c r="CT175" s="9">
        <v>50.927505154639192</v>
      </c>
      <c r="CU175" s="9">
        <v>54.347079037800668</v>
      </c>
      <c r="CV175" s="9">
        <v>108.69350515463913</v>
      </c>
      <c r="CW175" s="7">
        <v>11</v>
      </c>
      <c r="CX175" s="7">
        <v>46</v>
      </c>
      <c r="CY175" s="7">
        <v>24</v>
      </c>
      <c r="CZ175" s="7">
        <v>16</v>
      </c>
      <c r="DA175" s="7">
        <v>0</v>
      </c>
      <c r="DB175" s="7">
        <v>0</v>
      </c>
      <c r="DC175" s="7">
        <v>20</v>
      </c>
      <c r="DD175" s="7">
        <v>46</v>
      </c>
      <c r="DE175" s="7">
        <v>22</v>
      </c>
      <c r="DF175" s="7">
        <v>9</v>
      </c>
      <c r="DG175" s="7">
        <v>0</v>
      </c>
      <c r="DH175" s="7">
        <v>0</v>
      </c>
      <c r="DI175" s="18">
        <f t="shared" si="24"/>
        <v>228</v>
      </c>
      <c r="DJ175" s="18" t="str">
        <f t="shared" si="25"/>
        <v/>
      </c>
      <c r="DK175" s="18">
        <f t="shared" si="26"/>
        <v>234</v>
      </c>
      <c r="DL175" s="18">
        <f t="shared" si="27"/>
        <v>33</v>
      </c>
      <c r="DM175" s="18" t="str">
        <f t="shared" si="28"/>
        <v/>
      </c>
      <c r="DN175" s="18">
        <f t="shared" si="29"/>
        <v>34</v>
      </c>
      <c r="DO175" s="18">
        <v>313</v>
      </c>
      <c r="DP175" s="18">
        <v>124</v>
      </c>
      <c r="DQ175" s="18">
        <v>313</v>
      </c>
      <c r="DR175" s="18">
        <v>47</v>
      </c>
      <c r="DS175" s="18">
        <v>12</v>
      </c>
      <c r="DT175" s="18">
        <v>47</v>
      </c>
      <c r="DU175" s="18" t="s">
        <v>124</v>
      </c>
    </row>
    <row r="176" spans="54:125" x14ac:dyDescent="0.25">
      <c r="BB176" s="7">
        <v>173</v>
      </c>
      <c r="BC176" s="7" t="s">
        <v>332</v>
      </c>
      <c r="BD176" s="23" t="s">
        <v>124</v>
      </c>
      <c r="BE176" s="26">
        <v>648307818</v>
      </c>
      <c r="BF176" s="25" t="s">
        <v>350</v>
      </c>
      <c r="BG176" s="7">
        <v>252</v>
      </c>
      <c r="BH176" s="7" t="s">
        <v>322</v>
      </c>
      <c r="BI176" s="7" t="s">
        <v>367</v>
      </c>
      <c r="BJ176" s="7">
        <v>229</v>
      </c>
      <c r="BK176" s="9">
        <v>69.606646288209546</v>
      </c>
      <c r="BL176" s="9">
        <v>63.493161572052379</v>
      </c>
      <c r="BM176" s="9">
        <v>66.550218340611323</v>
      </c>
      <c r="BN176" s="9">
        <v>133.09980786026188</v>
      </c>
      <c r="BO176" s="7">
        <v>14</v>
      </c>
      <c r="BP176" s="7">
        <v>48</v>
      </c>
      <c r="BQ176" s="7">
        <v>101</v>
      </c>
      <c r="BR176" s="7">
        <v>66</v>
      </c>
      <c r="BS176" s="7">
        <v>2</v>
      </c>
      <c r="BT176" s="7">
        <v>6</v>
      </c>
      <c r="BU176" s="7">
        <v>13</v>
      </c>
      <c r="BV176" s="7">
        <v>90</v>
      </c>
      <c r="BW176" s="7">
        <v>82</v>
      </c>
      <c r="BX176" s="7">
        <v>44</v>
      </c>
      <c r="BY176" s="7">
        <v>0</v>
      </c>
      <c r="BZ176" s="7">
        <v>1</v>
      </c>
      <c r="CA176" s="7"/>
      <c r="CB176" s="9"/>
      <c r="CC176" s="9"/>
      <c r="CD176" s="9"/>
      <c r="CE176" s="9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>
        <v>229</v>
      </c>
      <c r="CS176" s="9">
        <v>69.606646288209546</v>
      </c>
      <c r="CT176" s="9">
        <v>63.493161572052379</v>
      </c>
      <c r="CU176" s="9">
        <v>66.550218340611323</v>
      </c>
      <c r="CV176" s="9">
        <v>133.09980786026188</v>
      </c>
      <c r="CW176" s="7">
        <v>14</v>
      </c>
      <c r="CX176" s="7">
        <v>48</v>
      </c>
      <c r="CY176" s="7">
        <v>101</v>
      </c>
      <c r="CZ176" s="7">
        <v>66</v>
      </c>
      <c r="DA176" s="7">
        <v>2</v>
      </c>
      <c r="DB176" s="7">
        <v>6</v>
      </c>
      <c r="DC176" s="7">
        <v>13</v>
      </c>
      <c r="DD176" s="7">
        <v>90</v>
      </c>
      <c r="DE176" s="7">
        <v>82</v>
      </c>
      <c r="DF176" s="7">
        <v>44</v>
      </c>
      <c r="DG176" s="7">
        <v>0</v>
      </c>
      <c r="DH176" s="7">
        <v>1</v>
      </c>
      <c r="DI176" s="18">
        <f t="shared" si="24"/>
        <v>39</v>
      </c>
      <c r="DJ176" s="18" t="str">
        <f t="shared" si="25"/>
        <v/>
      </c>
      <c r="DK176" s="18">
        <f t="shared" si="26"/>
        <v>35</v>
      </c>
      <c r="DL176" s="18">
        <f t="shared" si="27"/>
        <v>7</v>
      </c>
      <c r="DM176" s="18" t="str">
        <f t="shared" si="28"/>
        <v/>
      </c>
      <c r="DN176" s="18">
        <f t="shared" si="29"/>
        <v>6</v>
      </c>
      <c r="DO176" s="18">
        <v>313</v>
      </c>
      <c r="DP176" s="18">
        <v>124</v>
      </c>
      <c r="DQ176" s="18">
        <v>313</v>
      </c>
      <c r="DR176" s="18">
        <v>47</v>
      </c>
      <c r="DS176" s="18">
        <v>12</v>
      </c>
      <c r="DT176" s="18">
        <v>47</v>
      </c>
      <c r="DU176" s="18" t="s">
        <v>124</v>
      </c>
    </row>
    <row r="177" spans="54:125" x14ac:dyDescent="0.25">
      <c r="BB177" s="7">
        <v>174</v>
      </c>
      <c r="BC177" s="7" t="s">
        <v>332</v>
      </c>
      <c r="BD177" s="23" t="s">
        <v>124</v>
      </c>
      <c r="BE177" s="26">
        <v>324967060</v>
      </c>
      <c r="BF177" s="25" t="s">
        <v>132</v>
      </c>
      <c r="BG177" s="7">
        <v>255</v>
      </c>
      <c r="BH177" s="7" t="s">
        <v>320</v>
      </c>
      <c r="BI177" s="7" t="s">
        <v>367</v>
      </c>
      <c r="BJ177" s="7">
        <v>217</v>
      </c>
      <c r="BK177" s="9">
        <v>63.025769585253428</v>
      </c>
      <c r="BL177" s="9">
        <v>54.485082949308691</v>
      </c>
      <c r="BM177" s="9">
        <v>58.755760368663559</v>
      </c>
      <c r="BN177" s="9">
        <v>117.51085253456205</v>
      </c>
      <c r="BO177" s="7">
        <v>22</v>
      </c>
      <c r="BP177" s="7">
        <v>72</v>
      </c>
      <c r="BQ177" s="7">
        <v>77</v>
      </c>
      <c r="BR177" s="7">
        <v>46</v>
      </c>
      <c r="BS177" s="7">
        <v>0</v>
      </c>
      <c r="BT177" s="7">
        <v>1</v>
      </c>
      <c r="BU177" s="7">
        <v>23</v>
      </c>
      <c r="BV177" s="7">
        <v>116</v>
      </c>
      <c r="BW177" s="7">
        <v>63</v>
      </c>
      <c r="BX177" s="7">
        <v>15</v>
      </c>
      <c r="BY177" s="7">
        <v>0</v>
      </c>
      <c r="BZ177" s="7">
        <v>0</v>
      </c>
      <c r="CA177" s="7"/>
      <c r="CB177" s="9"/>
      <c r="CC177" s="9"/>
      <c r="CD177" s="9"/>
      <c r="CE177" s="9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>
        <v>217</v>
      </c>
      <c r="CS177" s="9">
        <v>63.025769585253428</v>
      </c>
      <c r="CT177" s="9">
        <v>54.485082949308691</v>
      </c>
      <c r="CU177" s="9">
        <v>58.755760368663559</v>
      </c>
      <c r="CV177" s="9">
        <v>117.51085253456205</v>
      </c>
      <c r="CW177" s="7">
        <v>22</v>
      </c>
      <c r="CX177" s="7">
        <v>72</v>
      </c>
      <c r="CY177" s="7">
        <v>77</v>
      </c>
      <c r="CZ177" s="7">
        <v>46</v>
      </c>
      <c r="DA177" s="7">
        <v>0</v>
      </c>
      <c r="DB177" s="7">
        <v>1</v>
      </c>
      <c r="DC177" s="7">
        <v>23</v>
      </c>
      <c r="DD177" s="7">
        <v>116</v>
      </c>
      <c r="DE177" s="7">
        <v>63</v>
      </c>
      <c r="DF177" s="7">
        <v>15</v>
      </c>
      <c r="DG177" s="7">
        <v>0</v>
      </c>
      <c r="DH177" s="7">
        <v>0</v>
      </c>
      <c r="DI177" s="18">
        <f t="shared" si="24"/>
        <v>159</v>
      </c>
      <c r="DJ177" s="18" t="str">
        <f t="shared" si="25"/>
        <v/>
      </c>
      <c r="DK177" s="18">
        <f t="shared" si="26"/>
        <v>154</v>
      </c>
      <c r="DL177" s="18">
        <f t="shared" si="27"/>
        <v>24</v>
      </c>
      <c r="DM177" s="18" t="str">
        <f t="shared" si="28"/>
        <v/>
      </c>
      <c r="DN177" s="18">
        <f t="shared" si="29"/>
        <v>24</v>
      </c>
      <c r="DO177" s="18">
        <v>313</v>
      </c>
      <c r="DP177" s="18">
        <v>124</v>
      </c>
      <c r="DQ177" s="18">
        <v>313</v>
      </c>
      <c r="DR177" s="18">
        <v>47</v>
      </c>
      <c r="DS177" s="18">
        <v>12</v>
      </c>
      <c r="DT177" s="18">
        <v>47</v>
      </c>
      <c r="DU177" s="18" t="s">
        <v>124</v>
      </c>
    </row>
    <row r="178" spans="54:125" x14ac:dyDescent="0.25">
      <c r="BB178" s="7">
        <v>175</v>
      </c>
      <c r="BC178" s="7" t="s">
        <v>332</v>
      </c>
      <c r="BD178" s="23" t="s">
        <v>124</v>
      </c>
      <c r="BE178" s="26">
        <v>913092444</v>
      </c>
      <c r="BF178" s="25" t="s">
        <v>166</v>
      </c>
      <c r="BG178" s="7">
        <v>259</v>
      </c>
      <c r="BH178" s="7" t="s">
        <v>320</v>
      </c>
      <c r="BI178" s="7" t="s">
        <v>367</v>
      </c>
      <c r="BJ178" s="7">
        <v>105</v>
      </c>
      <c r="BK178" s="9">
        <v>63.555171428571434</v>
      </c>
      <c r="BL178" s="9">
        <v>55.745657142857162</v>
      </c>
      <c r="BM178" s="9">
        <v>59.650793650793645</v>
      </c>
      <c r="BN178" s="9">
        <v>119.3008285714285</v>
      </c>
      <c r="BO178" s="7">
        <v>10</v>
      </c>
      <c r="BP178" s="7">
        <v>39</v>
      </c>
      <c r="BQ178" s="7">
        <v>34</v>
      </c>
      <c r="BR178" s="7">
        <v>22</v>
      </c>
      <c r="BS178" s="7">
        <v>0</v>
      </c>
      <c r="BT178" s="7">
        <v>3</v>
      </c>
      <c r="BU178" s="7">
        <v>11</v>
      </c>
      <c r="BV178" s="7">
        <v>52</v>
      </c>
      <c r="BW178" s="7">
        <v>30</v>
      </c>
      <c r="BX178" s="7">
        <v>12</v>
      </c>
      <c r="BY178" s="7">
        <v>0</v>
      </c>
      <c r="BZ178" s="7">
        <v>1</v>
      </c>
      <c r="CA178" s="7"/>
      <c r="CB178" s="9"/>
      <c r="CC178" s="9"/>
      <c r="CD178" s="9"/>
      <c r="CE178" s="9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>
        <v>105</v>
      </c>
      <c r="CS178" s="9">
        <v>63.555171428571434</v>
      </c>
      <c r="CT178" s="9">
        <v>55.745657142857162</v>
      </c>
      <c r="CU178" s="9">
        <v>59.650793650793645</v>
      </c>
      <c r="CV178" s="9">
        <v>119.3008285714285</v>
      </c>
      <c r="CW178" s="7">
        <v>10</v>
      </c>
      <c r="CX178" s="7">
        <v>39</v>
      </c>
      <c r="CY178" s="7">
        <v>34</v>
      </c>
      <c r="CZ178" s="7">
        <v>22</v>
      </c>
      <c r="DA178" s="7">
        <v>0</v>
      </c>
      <c r="DB178" s="7">
        <v>3</v>
      </c>
      <c r="DC178" s="7">
        <v>11</v>
      </c>
      <c r="DD178" s="7">
        <v>52</v>
      </c>
      <c r="DE178" s="7">
        <v>30</v>
      </c>
      <c r="DF178" s="7">
        <v>12</v>
      </c>
      <c r="DG178" s="7">
        <v>0</v>
      </c>
      <c r="DH178" s="7">
        <v>1</v>
      </c>
      <c r="DI178" s="18">
        <f t="shared" si="24"/>
        <v>142</v>
      </c>
      <c r="DJ178" s="18" t="str">
        <f t="shared" si="25"/>
        <v/>
      </c>
      <c r="DK178" s="18">
        <f t="shared" si="26"/>
        <v>140</v>
      </c>
      <c r="DL178" s="18">
        <f t="shared" si="27"/>
        <v>18</v>
      </c>
      <c r="DM178" s="18" t="str">
        <f t="shared" si="28"/>
        <v/>
      </c>
      <c r="DN178" s="18">
        <f t="shared" si="29"/>
        <v>19</v>
      </c>
      <c r="DO178" s="18">
        <v>313</v>
      </c>
      <c r="DP178" s="18">
        <v>124</v>
      </c>
      <c r="DQ178" s="18">
        <v>313</v>
      </c>
      <c r="DR178" s="18">
        <v>47</v>
      </c>
      <c r="DS178" s="18">
        <v>12</v>
      </c>
      <c r="DT178" s="18">
        <v>47</v>
      </c>
      <c r="DU178" s="18" t="s">
        <v>124</v>
      </c>
    </row>
    <row r="179" spans="54:125" x14ac:dyDescent="0.25">
      <c r="BB179" s="7">
        <v>176</v>
      </c>
      <c r="BC179" s="7" t="s">
        <v>332</v>
      </c>
      <c r="BD179" s="23" t="s">
        <v>124</v>
      </c>
      <c r="BE179" s="26">
        <v>953248324</v>
      </c>
      <c r="BF179" s="25" t="s">
        <v>141</v>
      </c>
      <c r="BG179" s="7">
        <v>271</v>
      </c>
      <c r="BH179" s="7" t="s">
        <v>320</v>
      </c>
      <c r="BI179" s="7" t="s">
        <v>368</v>
      </c>
      <c r="BJ179" s="7">
        <v>166</v>
      </c>
      <c r="BK179" s="9">
        <v>61.40531927710839</v>
      </c>
      <c r="BL179" s="9">
        <v>56.365096385542145</v>
      </c>
      <c r="BM179" s="9">
        <v>58.885542168674689</v>
      </c>
      <c r="BN179" s="9">
        <v>117.77041566265049</v>
      </c>
      <c r="BO179" s="7">
        <v>15</v>
      </c>
      <c r="BP179" s="7">
        <v>69</v>
      </c>
      <c r="BQ179" s="7">
        <v>53</v>
      </c>
      <c r="BR179" s="7">
        <v>29</v>
      </c>
      <c r="BS179" s="7">
        <v>0</v>
      </c>
      <c r="BT179" s="7">
        <v>5</v>
      </c>
      <c r="BU179" s="7">
        <v>19</v>
      </c>
      <c r="BV179" s="7">
        <v>80</v>
      </c>
      <c r="BW179" s="7">
        <v>50</v>
      </c>
      <c r="BX179" s="7">
        <v>17</v>
      </c>
      <c r="BY179" s="7">
        <v>0</v>
      </c>
      <c r="BZ179" s="7">
        <v>0</v>
      </c>
      <c r="CA179" s="7">
        <v>40</v>
      </c>
      <c r="CB179" s="9">
        <v>58.416325000000015</v>
      </c>
      <c r="CC179" s="9">
        <v>48.916325000000001</v>
      </c>
      <c r="CD179" s="9">
        <v>53.666666666666664</v>
      </c>
      <c r="CE179" s="9">
        <v>107.33265000000002</v>
      </c>
      <c r="CF179" s="7">
        <v>5</v>
      </c>
      <c r="CG179" s="7">
        <v>15</v>
      </c>
      <c r="CH179" s="7">
        <v>16</v>
      </c>
      <c r="CI179" s="7">
        <v>4</v>
      </c>
      <c r="CJ179" s="7">
        <v>0</v>
      </c>
      <c r="CK179" s="7">
        <v>0</v>
      </c>
      <c r="CL179" s="7">
        <v>6</v>
      </c>
      <c r="CM179" s="7">
        <v>23</v>
      </c>
      <c r="CN179" s="7">
        <v>11</v>
      </c>
      <c r="CO179" s="7">
        <v>0</v>
      </c>
      <c r="CP179" s="7">
        <v>0</v>
      </c>
      <c r="CQ179" s="7">
        <v>0</v>
      </c>
      <c r="CR179" s="7">
        <v>206</v>
      </c>
      <c r="CS179" s="9">
        <v>60.824932038834895</v>
      </c>
      <c r="CT179" s="9">
        <v>54.91873300970871</v>
      </c>
      <c r="CU179" s="9">
        <v>57.872168284789645</v>
      </c>
      <c r="CV179" s="9">
        <v>115.74366504854358</v>
      </c>
      <c r="CW179" s="7">
        <v>20</v>
      </c>
      <c r="CX179" s="7">
        <v>84</v>
      </c>
      <c r="CY179" s="7">
        <v>69</v>
      </c>
      <c r="CZ179" s="7">
        <v>33</v>
      </c>
      <c r="DA179" s="7">
        <v>0</v>
      </c>
      <c r="DB179" s="7">
        <v>5</v>
      </c>
      <c r="DC179" s="7">
        <v>25</v>
      </c>
      <c r="DD179" s="7">
        <v>103</v>
      </c>
      <c r="DE179" s="7">
        <v>61</v>
      </c>
      <c r="DF179" s="7">
        <v>17</v>
      </c>
      <c r="DG179" s="7">
        <v>0</v>
      </c>
      <c r="DH179" s="7">
        <v>0</v>
      </c>
      <c r="DI179" s="18">
        <f t="shared" si="24"/>
        <v>156</v>
      </c>
      <c r="DJ179" s="18">
        <f t="shared" si="25"/>
        <v>106</v>
      </c>
      <c r="DK179" s="18">
        <f t="shared" si="26"/>
        <v>166</v>
      </c>
      <c r="DL179" s="18">
        <f t="shared" si="27"/>
        <v>23</v>
      </c>
      <c r="DM179" s="18">
        <f t="shared" si="28"/>
        <v>12</v>
      </c>
      <c r="DN179" s="18">
        <f t="shared" si="29"/>
        <v>26</v>
      </c>
      <c r="DO179" s="18">
        <v>313</v>
      </c>
      <c r="DP179" s="18">
        <v>124</v>
      </c>
      <c r="DQ179" s="18">
        <v>313</v>
      </c>
      <c r="DR179" s="18">
        <v>47</v>
      </c>
      <c r="DS179" s="18">
        <v>12</v>
      </c>
      <c r="DT179" s="18">
        <v>47</v>
      </c>
      <c r="DU179" s="18" t="s">
        <v>124</v>
      </c>
    </row>
    <row r="180" spans="54:125" x14ac:dyDescent="0.25">
      <c r="BB180" s="7">
        <v>177</v>
      </c>
      <c r="BC180" s="7" t="s">
        <v>332</v>
      </c>
      <c r="BD180" s="23" t="s">
        <v>124</v>
      </c>
      <c r="BE180" s="26">
        <v>976397687</v>
      </c>
      <c r="BF180" s="25" t="s">
        <v>137</v>
      </c>
      <c r="BG180" s="7">
        <v>293</v>
      </c>
      <c r="BH180" s="7" t="s">
        <v>320</v>
      </c>
      <c r="BI180" s="7" t="s">
        <v>367</v>
      </c>
      <c r="BJ180" s="7">
        <v>137</v>
      </c>
      <c r="BK180" s="9">
        <v>50.437656934306588</v>
      </c>
      <c r="BL180" s="9">
        <v>43.357321167883228</v>
      </c>
      <c r="BM180" s="9">
        <v>46.897810218978087</v>
      </c>
      <c r="BN180" s="9">
        <v>93.794978102189688</v>
      </c>
      <c r="BO180" s="7">
        <v>33</v>
      </c>
      <c r="BP180" s="7">
        <v>62</v>
      </c>
      <c r="BQ180" s="7">
        <v>28</v>
      </c>
      <c r="BR180" s="7">
        <v>14</v>
      </c>
      <c r="BS180" s="7">
        <v>2</v>
      </c>
      <c r="BT180" s="7">
        <v>1</v>
      </c>
      <c r="BU180" s="7">
        <v>44</v>
      </c>
      <c r="BV180" s="7">
        <v>67</v>
      </c>
      <c r="BW180" s="7">
        <v>24</v>
      </c>
      <c r="BX180" s="7">
        <v>2</v>
      </c>
      <c r="BY180" s="7">
        <v>0</v>
      </c>
      <c r="BZ180" s="7">
        <v>0</v>
      </c>
      <c r="CA180" s="7"/>
      <c r="CB180" s="9"/>
      <c r="CC180" s="9"/>
      <c r="CD180" s="9"/>
      <c r="CE180" s="9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>
        <v>137</v>
      </c>
      <c r="CS180" s="9">
        <v>50.437656934306588</v>
      </c>
      <c r="CT180" s="9">
        <v>43.357321167883228</v>
      </c>
      <c r="CU180" s="9">
        <v>46.897810218978087</v>
      </c>
      <c r="CV180" s="9">
        <v>93.794978102189688</v>
      </c>
      <c r="CW180" s="7">
        <v>33</v>
      </c>
      <c r="CX180" s="7">
        <v>62</v>
      </c>
      <c r="CY180" s="7">
        <v>28</v>
      </c>
      <c r="CZ180" s="7">
        <v>14</v>
      </c>
      <c r="DA180" s="7">
        <v>2</v>
      </c>
      <c r="DB180" s="7">
        <v>1</v>
      </c>
      <c r="DC180" s="7">
        <v>44</v>
      </c>
      <c r="DD180" s="7">
        <v>67</v>
      </c>
      <c r="DE180" s="7">
        <v>24</v>
      </c>
      <c r="DF180" s="7">
        <v>2</v>
      </c>
      <c r="DG180" s="7">
        <v>0</v>
      </c>
      <c r="DH180" s="7">
        <v>0</v>
      </c>
      <c r="DI180" s="18">
        <f t="shared" si="24"/>
        <v>290</v>
      </c>
      <c r="DJ180" s="18" t="str">
        <f t="shared" si="25"/>
        <v/>
      </c>
      <c r="DK180" s="18">
        <f t="shared" si="26"/>
        <v>292</v>
      </c>
      <c r="DL180" s="18">
        <f t="shared" si="27"/>
        <v>44</v>
      </c>
      <c r="DM180" s="18" t="str">
        <f t="shared" si="28"/>
        <v/>
      </c>
      <c r="DN180" s="18">
        <f t="shared" si="29"/>
        <v>44</v>
      </c>
      <c r="DO180" s="18">
        <v>313</v>
      </c>
      <c r="DP180" s="18">
        <v>124</v>
      </c>
      <c r="DQ180" s="18">
        <v>313</v>
      </c>
      <c r="DR180" s="18">
        <v>47</v>
      </c>
      <c r="DS180" s="18">
        <v>12</v>
      </c>
      <c r="DT180" s="18">
        <v>47</v>
      </c>
      <c r="DU180" s="18" t="s">
        <v>124</v>
      </c>
    </row>
    <row r="181" spans="54:125" x14ac:dyDescent="0.25">
      <c r="BB181" s="7">
        <v>178</v>
      </c>
      <c r="BC181" s="7" t="s">
        <v>332</v>
      </c>
      <c r="BD181" s="23" t="s">
        <v>124</v>
      </c>
      <c r="BE181" s="26">
        <v>505443946</v>
      </c>
      <c r="BF181" s="25" t="s">
        <v>150</v>
      </c>
      <c r="BG181" s="7">
        <v>295</v>
      </c>
      <c r="BH181" s="7" t="s">
        <v>320</v>
      </c>
      <c r="BI181" s="7" t="s">
        <v>367</v>
      </c>
      <c r="BJ181" s="7">
        <v>95</v>
      </c>
      <c r="BK181" s="9">
        <v>51.824221052631593</v>
      </c>
      <c r="BL181" s="9">
        <v>42.947063157894782</v>
      </c>
      <c r="BM181" s="9">
        <v>47.385964912280706</v>
      </c>
      <c r="BN181" s="9">
        <v>94.771284210526289</v>
      </c>
      <c r="BO181" s="7">
        <v>19</v>
      </c>
      <c r="BP181" s="7">
        <v>47</v>
      </c>
      <c r="BQ181" s="7">
        <v>15</v>
      </c>
      <c r="BR181" s="7">
        <v>14</v>
      </c>
      <c r="BS181" s="7">
        <v>0</v>
      </c>
      <c r="BT181" s="7">
        <v>0</v>
      </c>
      <c r="BU181" s="7">
        <v>31</v>
      </c>
      <c r="BV181" s="7">
        <v>50</v>
      </c>
      <c r="BW181" s="7">
        <v>11</v>
      </c>
      <c r="BX181" s="7">
        <v>3</v>
      </c>
      <c r="BY181" s="7">
        <v>0</v>
      </c>
      <c r="BZ181" s="7">
        <v>0</v>
      </c>
      <c r="CA181" s="7"/>
      <c r="CB181" s="9"/>
      <c r="CC181" s="9"/>
      <c r="CD181" s="9"/>
      <c r="CE181" s="9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>
        <v>95</v>
      </c>
      <c r="CS181" s="9">
        <v>51.824221052631593</v>
      </c>
      <c r="CT181" s="9">
        <v>42.947063157894782</v>
      </c>
      <c r="CU181" s="9">
        <v>47.385964912280706</v>
      </c>
      <c r="CV181" s="9">
        <v>94.771284210526289</v>
      </c>
      <c r="CW181" s="7">
        <v>19</v>
      </c>
      <c r="CX181" s="7">
        <v>47</v>
      </c>
      <c r="CY181" s="7">
        <v>15</v>
      </c>
      <c r="CZ181" s="7">
        <v>14</v>
      </c>
      <c r="DA181" s="7">
        <v>0</v>
      </c>
      <c r="DB181" s="7">
        <v>0</v>
      </c>
      <c r="DC181" s="7">
        <v>31</v>
      </c>
      <c r="DD181" s="7">
        <v>50</v>
      </c>
      <c r="DE181" s="7">
        <v>11</v>
      </c>
      <c r="DF181" s="7">
        <v>3</v>
      </c>
      <c r="DG181" s="7">
        <v>0</v>
      </c>
      <c r="DH181" s="7">
        <v>0</v>
      </c>
      <c r="DI181" s="18">
        <f t="shared" si="24"/>
        <v>289</v>
      </c>
      <c r="DJ181" s="18" t="str">
        <f t="shared" si="25"/>
        <v/>
      </c>
      <c r="DK181" s="18">
        <f t="shared" si="26"/>
        <v>291</v>
      </c>
      <c r="DL181" s="18">
        <f t="shared" si="27"/>
        <v>43</v>
      </c>
      <c r="DM181" s="18" t="str">
        <f t="shared" si="28"/>
        <v/>
      </c>
      <c r="DN181" s="18">
        <f t="shared" si="29"/>
        <v>43</v>
      </c>
      <c r="DO181" s="18">
        <v>313</v>
      </c>
      <c r="DP181" s="18">
        <v>124</v>
      </c>
      <c r="DQ181" s="18">
        <v>313</v>
      </c>
      <c r="DR181" s="18">
        <v>47</v>
      </c>
      <c r="DS181" s="18">
        <v>12</v>
      </c>
      <c r="DT181" s="18">
        <v>47</v>
      </c>
      <c r="DU181" s="18" t="s">
        <v>124</v>
      </c>
    </row>
    <row r="182" spans="54:125" x14ac:dyDescent="0.25">
      <c r="BB182" s="7">
        <v>179</v>
      </c>
      <c r="BC182" s="7" t="s">
        <v>332</v>
      </c>
      <c r="BD182" s="23" t="s">
        <v>124</v>
      </c>
      <c r="BE182" s="26">
        <v>193102658</v>
      </c>
      <c r="BF182" s="25" t="s">
        <v>154</v>
      </c>
      <c r="BG182" s="7">
        <v>296</v>
      </c>
      <c r="BH182" s="7" t="s">
        <v>320</v>
      </c>
      <c r="BI182" s="7" t="s">
        <v>367</v>
      </c>
      <c r="BJ182" s="7">
        <v>141</v>
      </c>
      <c r="BK182" s="9">
        <v>58.155695035460987</v>
      </c>
      <c r="BL182" s="9">
        <v>52.481943262411328</v>
      </c>
      <c r="BM182" s="9">
        <v>55.319148936170222</v>
      </c>
      <c r="BN182" s="9">
        <v>110.6376382978723</v>
      </c>
      <c r="BO182" s="7">
        <v>23</v>
      </c>
      <c r="BP182" s="7">
        <v>46</v>
      </c>
      <c r="BQ182" s="7">
        <v>53</v>
      </c>
      <c r="BR182" s="7">
        <v>19</v>
      </c>
      <c r="BS182" s="7">
        <v>1</v>
      </c>
      <c r="BT182" s="7">
        <v>0</v>
      </c>
      <c r="BU182" s="7">
        <v>22</v>
      </c>
      <c r="BV182" s="7">
        <v>70</v>
      </c>
      <c r="BW182" s="7">
        <v>38</v>
      </c>
      <c r="BX182" s="7">
        <v>11</v>
      </c>
      <c r="BY182" s="7">
        <v>0</v>
      </c>
      <c r="BZ182" s="7">
        <v>0</v>
      </c>
      <c r="CA182" s="7"/>
      <c r="CB182" s="9"/>
      <c r="CC182" s="9"/>
      <c r="CD182" s="9"/>
      <c r="CE182" s="9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>
        <v>141</v>
      </c>
      <c r="CS182" s="9">
        <v>58.155695035460987</v>
      </c>
      <c r="CT182" s="9">
        <v>52.481943262411328</v>
      </c>
      <c r="CU182" s="9">
        <v>55.319148936170222</v>
      </c>
      <c r="CV182" s="9">
        <v>110.6376382978723</v>
      </c>
      <c r="CW182" s="7">
        <v>23</v>
      </c>
      <c r="CX182" s="7">
        <v>46</v>
      </c>
      <c r="CY182" s="7">
        <v>53</v>
      </c>
      <c r="CZ182" s="7">
        <v>19</v>
      </c>
      <c r="DA182" s="7">
        <v>1</v>
      </c>
      <c r="DB182" s="7">
        <v>0</v>
      </c>
      <c r="DC182" s="7">
        <v>22</v>
      </c>
      <c r="DD182" s="7">
        <v>70</v>
      </c>
      <c r="DE182" s="7">
        <v>38</v>
      </c>
      <c r="DF182" s="7">
        <v>11</v>
      </c>
      <c r="DG182" s="7">
        <v>0</v>
      </c>
      <c r="DH182" s="7">
        <v>0</v>
      </c>
      <c r="DI182" s="18">
        <f t="shared" si="24"/>
        <v>211</v>
      </c>
      <c r="DJ182" s="18" t="str">
        <f t="shared" si="25"/>
        <v/>
      </c>
      <c r="DK182" s="18">
        <f t="shared" si="26"/>
        <v>216</v>
      </c>
      <c r="DL182" s="18">
        <f t="shared" si="27"/>
        <v>31</v>
      </c>
      <c r="DM182" s="18" t="str">
        <f t="shared" si="28"/>
        <v/>
      </c>
      <c r="DN182" s="18">
        <f t="shared" si="29"/>
        <v>32</v>
      </c>
      <c r="DO182" s="18">
        <v>313</v>
      </c>
      <c r="DP182" s="18">
        <v>124</v>
      </c>
      <c r="DQ182" s="18">
        <v>313</v>
      </c>
      <c r="DR182" s="18">
        <v>47</v>
      </c>
      <c r="DS182" s="18">
        <v>12</v>
      </c>
      <c r="DT182" s="18">
        <v>47</v>
      </c>
      <c r="DU182" s="18" t="s">
        <v>124</v>
      </c>
    </row>
    <row r="183" spans="54:125" x14ac:dyDescent="0.25">
      <c r="BB183" s="7">
        <v>180</v>
      </c>
      <c r="BC183" s="7" t="s">
        <v>332</v>
      </c>
      <c r="BD183" s="23" t="s">
        <v>124</v>
      </c>
      <c r="BE183" s="26">
        <v>935006897</v>
      </c>
      <c r="BF183" s="25" t="s">
        <v>169</v>
      </c>
      <c r="BG183" s="7">
        <v>305</v>
      </c>
      <c r="BH183" s="7" t="s">
        <v>320</v>
      </c>
      <c r="BI183" s="7" t="s">
        <v>367</v>
      </c>
      <c r="BJ183" s="7">
        <v>38</v>
      </c>
      <c r="BK183" s="9">
        <v>47.982078947368429</v>
      </c>
      <c r="BL183" s="9">
        <v>49.473263157894721</v>
      </c>
      <c r="BM183" s="9">
        <v>48.72807017543861</v>
      </c>
      <c r="BN183" s="9">
        <v>97.455342105263156</v>
      </c>
      <c r="BO183" s="7">
        <v>13</v>
      </c>
      <c r="BP183" s="7">
        <v>11</v>
      </c>
      <c r="BQ183" s="7">
        <v>10</v>
      </c>
      <c r="BR183" s="7">
        <v>4</v>
      </c>
      <c r="BS183" s="7">
        <v>0</v>
      </c>
      <c r="BT183" s="7">
        <v>0</v>
      </c>
      <c r="BU183" s="7">
        <v>5</v>
      </c>
      <c r="BV183" s="7">
        <v>24</v>
      </c>
      <c r="BW183" s="7">
        <v>9</v>
      </c>
      <c r="BX183" s="7">
        <v>0</v>
      </c>
      <c r="BY183" s="7">
        <v>0</v>
      </c>
      <c r="BZ183" s="7">
        <v>0</v>
      </c>
      <c r="CA183" s="7"/>
      <c r="CB183" s="9"/>
      <c r="CC183" s="9"/>
      <c r="CD183" s="9"/>
      <c r="CE183" s="9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>
        <v>38</v>
      </c>
      <c r="CS183" s="9">
        <v>47.982078947368429</v>
      </c>
      <c r="CT183" s="9">
        <v>49.473263157894721</v>
      </c>
      <c r="CU183" s="9">
        <v>48.72807017543861</v>
      </c>
      <c r="CV183" s="9">
        <v>97.455342105263156</v>
      </c>
      <c r="CW183" s="7">
        <v>13</v>
      </c>
      <c r="CX183" s="7">
        <v>11</v>
      </c>
      <c r="CY183" s="7">
        <v>10</v>
      </c>
      <c r="CZ183" s="7">
        <v>4</v>
      </c>
      <c r="DA183" s="7">
        <v>0</v>
      </c>
      <c r="DB183" s="7">
        <v>0</v>
      </c>
      <c r="DC183" s="7">
        <v>5</v>
      </c>
      <c r="DD183" s="7">
        <v>24</v>
      </c>
      <c r="DE183" s="7">
        <v>9</v>
      </c>
      <c r="DF183" s="7">
        <v>0</v>
      </c>
      <c r="DG183" s="7">
        <v>0</v>
      </c>
      <c r="DH183" s="7">
        <v>0</v>
      </c>
      <c r="DI183" s="18">
        <f t="shared" si="24"/>
        <v>280</v>
      </c>
      <c r="DJ183" s="18" t="str">
        <f t="shared" si="25"/>
        <v/>
      </c>
      <c r="DK183" s="18">
        <f t="shared" si="26"/>
        <v>284</v>
      </c>
      <c r="DL183" s="18">
        <f t="shared" si="27"/>
        <v>42</v>
      </c>
      <c r="DM183" s="18" t="str">
        <f t="shared" si="28"/>
        <v/>
      </c>
      <c r="DN183" s="18">
        <f t="shared" si="29"/>
        <v>42</v>
      </c>
      <c r="DO183" s="18">
        <v>313</v>
      </c>
      <c r="DP183" s="18">
        <v>124</v>
      </c>
      <c r="DQ183" s="18">
        <v>313</v>
      </c>
      <c r="DR183" s="18">
        <v>47</v>
      </c>
      <c r="DS183" s="18">
        <v>12</v>
      </c>
      <c r="DT183" s="18">
        <v>47</v>
      </c>
      <c r="DU183" s="18" t="s">
        <v>124</v>
      </c>
    </row>
    <row r="184" spans="54:125" x14ac:dyDescent="0.25">
      <c r="BB184" s="7">
        <v>181</v>
      </c>
      <c r="BC184" s="7" t="s">
        <v>332</v>
      </c>
      <c r="BD184" s="23" t="s">
        <v>124</v>
      </c>
      <c r="BE184" s="26">
        <v>604795422</v>
      </c>
      <c r="BF184" s="25" t="s">
        <v>163</v>
      </c>
      <c r="BG184" s="7">
        <v>307</v>
      </c>
      <c r="BH184" s="7" t="s">
        <v>320</v>
      </c>
      <c r="BI184" s="7" t="s">
        <v>367</v>
      </c>
      <c r="BJ184" s="7">
        <v>283</v>
      </c>
      <c r="BK184" s="9">
        <v>62.755865724381586</v>
      </c>
      <c r="BL184" s="9">
        <v>58.056187279151857</v>
      </c>
      <c r="BM184" s="9">
        <v>60.406360424028271</v>
      </c>
      <c r="BN184" s="9">
        <v>120.81205300353348</v>
      </c>
      <c r="BO184" s="7">
        <v>22</v>
      </c>
      <c r="BP184" s="7">
        <v>96</v>
      </c>
      <c r="BQ184" s="7">
        <v>117</v>
      </c>
      <c r="BR184" s="7">
        <v>48</v>
      </c>
      <c r="BS184" s="7">
        <v>0</v>
      </c>
      <c r="BT184" s="7">
        <v>4</v>
      </c>
      <c r="BU184" s="7">
        <v>35</v>
      </c>
      <c r="BV184" s="7">
        <v>117</v>
      </c>
      <c r="BW184" s="7">
        <v>102</v>
      </c>
      <c r="BX184" s="7">
        <v>29</v>
      </c>
      <c r="BY184" s="7">
        <v>0</v>
      </c>
      <c r="BZ184" s="7">
        <v>0</v>
      </c>
      <c r="CA184" s="7"/>
      <c r="CB184" s="9"/>
      <c r="CC184" s="9"/>
      <c r="CD184" s="9"/>
      <c r="CE184" s="9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>
        <v>283</v>
      </c>
      <c r="CS184" s="9">
        <v>62.755865724381586</v>
      </c>
      <c r="CT184" s="9">
        <v>58.056187279151857</v>
      </c>
      <c r="CU184" s="9">
        <v>60.406360424028271</v>
      </c>
      <c r="CV184" s="9">
        <v>120.81205300353348</v>
      </c>
      <c r="CW184" s="7">
        <v>22</v>
      </c>
      <c r="CX184" s="7">
        <v>96</v>
      </c>
      <c r="CY184" s="7">
        <v>117</v>
      </c>
      <c r="CZ184" s="7">
        <v>48</v>
      </c>
      <c r="DA184" s="7">
        <v>0</v>
      </c>
      <c r="DB184" s="7">
        <v>4</v>
      </c>
      <c r="DC184" s="7">
        <v>35</v>
      </c>
      <c r="DD184" s="7">
        <v>117</v>
      </c>
      <c r="DE184" s="7">
        <v>102</v>
      </c>
      <c r="DF184" s="7">
        <v>29</v>
      </c>
      <c r="DG184" s="7">
        <v>0</v>
      </c>
      <c r="DH184" s="7">
        <v>0</v>
      </c>
      <c r="DI184" s="18">
        <f t="shared" si="24"/>
        <v>131</v>
      </c>
      <c r="DJ184" s="18" t="str">
        <f t="shared" si="25"/>
        <v/>
      </c>
      <c r="DK184" s="18">
        <f t="shared" si="26"/>
        <v>124</v>
      </c>
      <c r="DL184" s="18">
        <f t="shared" si="27"/>
        <v>16</v>
      </c>
      <c r="DM184" s="18" t="str">
        <f t="shared" si="28"/>
        <v/>
      </c>
      <c r="DN184" s="18">
        <f t="shared" si="29"/>
        <v>16</v>
      </c>
      <c r="DO184" s="18">
        <v>313</v>
      </c>
      <c r="DP184" s="18">
        <v>124</v>
      </c>
      <c r="DQ184" s="18">
        <v>313</v>
      </c>
      <c r="DR184" s="18">
        <v>47</v>
      </c>
      <c r="DS184" s="18">
        <v>12</v>
      </c>
      <c r="DT184" s="18">
        <v>47</v>
      </c>
      <c r="DU184" s="18" t="s">
        <v>124</v>
      </c>
    </row>
    <row r="185" spans="54:125" x14ac:dyDescent="0.25">
      <c r="BB185" s="7">
        <v>182</v>
      </c>
      <c r="BC185" s="7" t="s">
        <v>332</v>
      </c>
      <c r="BD185" s="23" t="s">
        <v>124</v>
      </c>
      <c r="BE185" s="26">
        <v>496994471</v>
      </c>
      <c r="BF185" s="25" t="s">
        <v>164</v>
      </c>
      <c r="BG185" s="7">
        <v>309</v>
      </c>
      <c r="BH185" s="7" t="s">
        <v>320</v>
      </c>
      <c r="BI185" s="7" t="s">
        <v>367</v>
      </c>
      <c r="BJ185" s="7">
        <v>34</v>
      </c>
      <c r="BK185" s="9">
        <v>68.431000000000012</v>
      </c>
      <c r="BL185" s="9">
        <v>64.901558823529399</v>
      </c>
      <c r="BM185" s="9">
        <v>66.666666666666671</v>
      </c>
      <c r="BN185" s="9">
        <v>133.33255882352944</v>
      </c>
      <c r="BO185" s="7">
        <v>2</v>
      </c>
      <c r="BP185" s="7">
        <v>7</v>
      </c>
      <c r="BQ185" s="7">
        <v>14</v>
      </c>
      <c r="BR185" s="7">
        <v>11</v>
      </c>
      <c r="BS185" s="7">
        <v>0</v>
      </c>
      <c r="BT185" s="7">
        <v>0</v>
      </c>
      <c r="BU185" s="7">
        <v>2</v>
      </c>
      <c r="BV185" s="7">
        <v>12</v>
      </c>
      <c r="BW185" s="7">
        <v>13</v>
      </c>
      <c r="BX185" s="7">
        <v>7</v>
      </c>
      <c r="BY185" s="7">
        <v>0</v>
      </c>
      <c r="BZ185" s="7">
        <v>0</v>
      </c>
      <c r="CA185" s="7"/>
      <c r="CB185" s="9"/>
      <c r="CC185" s="9"/>
      <c r="CD185" s="9"/>
      <c r="CE185" s="9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>
        <v>34</v>
      </c>
      <c r="CS185" s="9">
        <v>68.431000000000012</v>
      </c>
      <c r="CT185" s="9">
        <v>64.901558823529399</v>
      </c>
      <c r="CU185" s="9">
        <v>66.666666666666671</v>
      </c>
      <c r="CV185" s="9">
        <v>133.33255882352944</v>
      </c>
      <c r="CW185" s="7">
        <v>2</v>
      </c>
      <c r="CX185" s="7">
        <v>7</v>
      </c>
      <c r="CY185" s="7">
        <v>14</v>
      </c>
      <c r="CZ185" s="7">
        <v>11</v>
      </c>
      <c r="DA185" s="7">
        <v>0</v>
      </c>
      <c r="DB185" s="7">
        <v>0</v>
      </c>
      <c r="DC185" s="7">
        <v>2</v>
      </c>
      <c r="DD185" s="7">
        <v>12</v>
      </c>
      <c r="DE185" s="7">
        <v>13</v>
      </c>
      <c r="DF185" s="7">
        <v>7</v>
      </c>
      <c r="DG185" s="7">
        <v>0</v>
      </c>
      <c r="DH185" s="7">
        <v>0</v>
      </c>
      <c r="DI185" s="18">
        <f t="shared" si="24"/>
        <v>38</v>
      </c>
      <c r="DJ185" s="18" t="str">
        <f t="shared" si="25"/>
        <v/>
      </c>
      <c r="DK185" s="18">
        <f t="shared" si="26"/>
        <v>32</v>
      </c>
      <c r="DL185" s="18">
        <f t="shared" si="27"/>
        <v>6</v>
      </c>
      <c r="DM185" s="18" t="str">
        <f t="shared" si="28"/>
        <v/>
      </c>
      <c r="DN185" s="18">
        <f t="shared" si="29"/>
        <v>5</v>
      </c>
      <c r="DO185" s="18">
        <v>313</v>
      </c>
      <c r="DP185" s="18">
        <v>124</v>
      </c>
      <c r="DQ185" s="18">
        <v>313</v>
      </c>
      <c r="DR185" s="18">
        <v>47</v>
      </c>
      <c r="DS185" s="18">
        <v>12</v>
      </c>
      <c r="DT185" s="18">
        <v>47</v>
      </c>
      <c r="DU185" s="18" t="s">
        <v>124</v>
      </c>
    </row>
    <row r="186" spans="54:125" x14ac:dyDescent="0.25">
      <c r="BB186" s="7">
        <v>183</v>
      </c>
      <c r="BC186" s="7" t="s">
        <v>332</v>
      </c>
      <c r="BD186" s="23" t="s">
        <v>124</v>
      </c>
      <c r="BE186" s="26">
        <v>214650278</v>
      </c>
      <c r="BF186" s="25" t="s">
        <v>147</v>
      </c>
      <c r="BG186" s="7">
        <v>310</v>
      </c>
      <c r="BH186" s="7" t="s">
        <v>320</v>
      </c>
      <c r="BI186" s="7" t="s">
        <v>368</v>
      </c>
      <c r="BJ186" s="7">
        <v>82</v>
      </c>
      <c r="BK186" s="9">
        <v>57.479317073170776</v>
      </c>
      <c r="BL186" s="9">
        <v>46.747634146341504</v>
      </c>
      <c r="BM186" s="9">
        <v>52.113821138211378</v>
      </c>
      <c r="BN186" s="9">
        <v>104.2269512195122</v>
      </c>
      <c r="BO186" s="7">
        <v>9</v>
      </c>
      <c r="BP186" s="7">
        <v>33</v>
      </c>
      <c r="BQ186" s="7">
        <v>32</v>
      </c>
      <c r="BR186" s="7">
        <v>8</v>
      </c>
      <c r="BS186" s="7">
        <v>0</v>
      </c>
      <c r="BT186" s="7">
        <v>0</v>
      </c>
      <c r="BU186" s="7">
        <v>11</v>
      </c>
      <c r="BV186" s="7">
        <v>60</v>
      </c>
      <c r="BW186" s="7">
        <v>11</v>
      </c>
      <c r="BX186" s="7">
        <v>0</v>
      </c>
      <c r="BY186" s="7">
        <v>0</v>
      </c>
      <c r="BZ186" s="7">
        <v>0</v>
      </c>
      <c r="CA186" s="7">
        <v>59</v>
      </c>
      <c r="CB186" s="9">
        <v>61.9205423728814</v>
      </c>
      <c r="CC186" s="9">
        <v>58.813169491525464</v>
      </c>
      <c r="CD186" s="9">
        <v>60.367231638418083</v>
      </c>
      <c r="CE186" s="9">
        <v>120.73371186440679</v>
      </c>
      <c r="CF186" s="7">
        <v>2</v>
      </c>
      <c r="CG186" s="7">
        <v>24</v>
      </c>
      <c r="CH186" s="7">
        <v>26</v>
      </c>
      <c r="CI186" s="7">
        <v>7</v>
      </c>
      <c r="CJ186" s="7">
        <v>0</v>
      </c>
      <c r="CK186" s="7">
        <v>0</v>
      </c>
      <c r="CL186" s="7">
        <v>6</v>
      </c>
      <c r="CM186" s="7">
        <v>24</v>
      </c>
      <c r="CN186" s="7">
        <v>20</v>
      </c>
      <c r="CO186" s="7">
        <v>9</v>
      </c>
      <c r="CP186" s="7">
        <v>0</v>
      </c>
      <c r="CQ186" s="7">
        <v>0</v>
      </c>
      <c r="CR186" s="7">
        <v>141</v>
      </c>
      <c r="CS186" s="9">
        <v>59.337702127659561</v>
      </c>
      <c r="CT186" s="9">
        <v>51.796333333333322</v>
      </c>
      <c r="CU186" s="9">
        <v>55.567375886524822</v>
      </c>
      <c r="CV186" s="9">
        <v>111.13403546099285</v>
      </c>
      <c r="CW186" s="7">
        <v>11</v>
      </c>
      <c r="CX186" s="7">
        <v>57</v>
      </c>
      <c r="CY186" s="7">
        <v>58</v>
      </c>
      <c r="CZ186" s="7">
        <v>15</v>
      </c>
      <c r="DA186" s="7">
        <v>0</v>
      </c>
      <c r="DB186" s="7">
        <v>0</v>
      </c>
      <c r="DC186" s="7">
        <v>17</v>
      </c>
      <c r="DD186" s="7">
        <v>84</v>
      </c>
      <c r="DE186" s="7">
        <v>31</v>
      </c>
      <c r="DF186" s="7">
        <v>9</v>
      </c>
      <c r="DG186" s="7">
        <v>0</v>
      </c>
      <c r="DH186" s="7">
        <v>0</v>
      </c>
      <c r="DI186" s="18">
        <f t="shared" si="24"/>
        <v>262</v>
      </c>
      <c r="DJ186" s="18">
        <f t="shared" si="25"/>
        <v>54</v>
      </c>
      <c r="DK186" s="18">
        <f t="shared" si="26"/>
        <v>211</v>
      </c>
      <c r="DL186" s="18">
        <f t="shared" si="27"/>
        <v>40</v>
      </c>
      <c r="DM186" s="18">
        <f t="shared" si="28"/>
        <v>5</v>
      </c>
      <c r="DN186" s="18">
        <f t="shared" si="29"/>
        <v>31</v>
      </c>
      <c r="DO186" s="18">
        <v>313</v>
      </c>
      <c r="DP186" s="18">
        <v>124</v>
      </c>
      <c r="DQ186" s="18">
        <v>313</v>
      </c>
      <c r="DR186" s="18">
        <v>47</v>
      </c>
      <c r="DS186" s="18">
        <v>12</v>
      </c>
      <c r="DT186" s="18">
        <v>47</v>
      </c>
      <c r="DU186" s="18" t="s">
        <v>124</v>
      </c>
    </row>
    <row r="187" spans="54:125" x14ac:dyDescent="0.25">
      <c r="BB187" s="7">
        <v>184</v>
      </c>
      <c r="BC187" s="7" t="s">
        <v>332</v>
      </c>
      <c r="BD187" s="23" t="s">
        <v>124</v>
      </c>
      <c r="BE187" s="26">
        <v>953169446</v>
      </c>
      <c r="BF187" s="25" t="s">
        <v>170</v>
      </c>
      <c r="BG187" s="7">
        <v>311</v>
      </c>
      <c r="BH187" s="7" t="s">
        <v>320</v>
      </c>
      <c r="BI187" s="7" t="s">
        <v>367</v>
      </c>
      <c r="BJ187" s="7">
        <v>236</v>
      </c>
      <c r="BK187" s="9">
        <v>60.847110169491501</v>
      </c>
      <c r="BL187" s="9">
        <v>56.99120338983046</v>
      </c>
      <c r="BM187" s="9">
        <v>58.919491525423737</v>
      </c>
      <c r="BN187" s="9">
        <v>117.83831355932196</v>
      </c>
      <c r="BO187" s="7">
        <v>24</v>
      </c>
      <c r="BP187" s="7">
        <v>83</v>
      </c>
      <c r="BQ187" s="7">
        <v>92</v>
      </c>
      <c r="BR187" s="7">
        <v>37</v>
      </c>
      <c r="BS187" s="7">
        <v>1</v>
      </c>
      <c r="BT187" s="7">
        <v>0</v>
      </c>
      <c r="BU187" s="7">
        <v>32</v>
      </c>
      <c r="BV187" s="7">
        <v>96</v>
      </c>
      <c r="BW187" s="7">
        <v>85</v>
      </c>
      <c r="BX187" s="7">
        <v>23</v>
      </c>
      <c r="BY187" s="7">
        <v>0</v>
      </c>
      <c r="BZ187" s="7">
        <v>0</v>
      </c>
      <c r="CA187" s="7"/>
      <c r="CB187" s="9"/>
      <c r="CC187" s="9"/>
      <c r="CD187" s="9"/>
      <c r="CE187" s="9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>
        <v>236</v>
      </c>
      <c r="CS187" s="9">
        <v>60.847110169491501</v>
      </c>
      <c r="CT187" s="9">
        <v>56.99120338983046</v>
      </c>
      <c r="CU187" s="9">
        <v>58.919491525423737</v>
      </c>
      <c r="CV187" s="9">
        <v>117.83831355932196</v>
      </c>
      <c r="CW187" s="7">
        <v>24</v>
      </c>
      <c r="CX187" s="7">
        <v>83</v>
      </c>
      <c r="CY187" s="7">
        <v>92</v>
      </c>
      <c r="CZ187" s="7">
        <v>37</v>
      </c>
      <c r="DA187" s="7">
        <v>1</v>
      </c>
      <c r="DB187" s="7">
        <v>0</v>
      </c>
      <c r="DC187" s="7">
        <v>32</v>
      </c>
      <c r="DD187" s="7">
        <v>96</v>
      </c>
      <c r="DE187" s="7">
        <v>85</v>
      </c>
      <c r="DF187" s="7">
        <v>23</v>
      </c>
      <c r="DG187" s="7">
        <v>0</v>
      </c>
      <c r="DH187" s="7">
        <v>0</v>
      </c>
      <c r="DI187" s="18">
        <f t="shared" si="24"/>
        <v>155</v>
      </c>
      <c r="DJ187" s="18" t="str">
        <f t="shared" si="25"/>
        <v/>
      </c>
      <c r="DK187" s="18">
        <f t="shared" si="26"/>
        <v>151</v>
      </c>
      <c r="DL187" s="18">
        <f t="shared" si="27"/>
        <v>22</v>
      </c>
      <c r="DM187" s="18" t="str">
        <f t="shared" si="28"/>
        <v/>
      </c>
      <c r="DN187" s="18">
        <f t="shared" si="29"/>
        <v>23</v>
      </c>
      <c r="DO187" s="18">
        <v>313</v>
      </c>
      <c r="DP187" s="18">
        <v>124</v>
      </c>
      <c r="DQ187" s="18">
        <v>313</v>
      </c>
      <c r="DR187" s="18">
        <v>47</v>
      </c>
      <c r="DS187" s="18">
        <v>12</v>
      </c>
      <c r="DT187" s="18">
        <v>47</v>
      </c>
      <c r="DU187" s="18" t="s">
        <v>124</v>
      </c>
    </row>
    <row r="188" spans="54:125" x14ac:dyDescent="0.25">
      <c r="BB188" s="7">
        <v>185</v>
      </c>
      <c r="BC188" s="7" t="s">
        <v>332</v>
      </c>
      <c r="BD188" s="23" t="s">
        <v>171</v>
      </c>
      <c r="BE188" s="26">
        <v>512444395</v>
      </c>
      <c r="BF188" s="25" t="s">
        <v>345</v>
      </c>
      <c r="BG188" s="7">
        <v>2</v>
      </c>
      <c r="BH188" s="7" t="s">
        <v>328</v>
      </c>
      <c r="BI188" s="7" t="s">
        <v>368</v>
      </c>
      <c r="BJ188" s="7"/>
      <c r="BK188" s="9"/>
      <c r="BL188" s="9"/>
      <c r="BM188" s="9"/>
      <c r="BN188" s="9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9"/>
      <c r="CC188" s="9"/>
      <c r="CD188" s="9"/>
      <c r="CE188" s="9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9"/>
      <c r="CT188" s="9"/>
      <c r="CU188" s="9"/>
      <c r="CV188" s="9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18" t="str">
        <f t="shared" si="24"/>
        <v/>
      </c>
      <c r="DJ188" s="18" t="str">
        <f t="shared" si="25"/>
        <v/>
      </c>
      <c r="DK188" s="18" t="str">
        <f t="shared" si="26"/>
        <v/>
      </c>
      <c r="DL188" s="18" t="str">
        <f t="shared" ref="DL188:DL202" si="30">IF(BN188="","",(RANK(BN188,$BN$188:$BN$202)))</f>
        <v/>
      </c>
      <c r="DM188" s="18" t="str">
        <f t="shared" ref="DM188:DM202" si="31">IF(CE188="","",(RANK(CE188,$CE$188:$CE$202)))</f>
        <v/>
      </c>
      <c r="DN188" s="18" t="str">
        <f t="shared" ref="DN188:DN202" si="32">IF(CV188="","",(RANK(CV188,$CV$188:$CV$202)))</f>
        <v/>
      </c>
      <c r="DO188" s="18">
        <v>313</v>
      </c>
      <c r="DP188" s="18">
        <v>124</v>
      </c>
      <c r="DQ188" s="18">
        <v>313</v>
      </c>
      <c r="DR188" s="18">
        <v>15</v>
      </c>
      <c r="DS188" s="18">
        <v>7</v>
      </c>
      <c r="DT188" s="18">
        <v>15</v>
      </c>
      <c r="DU188" s="18" t="s">
        <v>171</v>
      </c>
    </row>
    <row r="189" spans="54:125" x14ac:dyDescent="0.25">
      <c r="BB189" s="7">
        <v>186</v>
      </c>
      <c r="BC189" s="7" t="s">
        <v>332</v>
      </c>
      <c r="BD189" s="23" t="s">
        <v>171</v>
      </c>
      <c r="BE189" s="26">
        <v>219452977</v>
      </c>
      <c r="BF189" s="25" t="s">
        <v>177</v>
      </c>
      <c r="BG189" s="7">
        <v>7</v>
      </c>
      <c r="BH189" s="7" t="s">
        <v>320</v>
      </c>
      <c r="BI189" s="7" t="s">
        <v>368</v>
      </c>
      <c r="BJ189" s="7">
        <v>49</v>
      </c>
      <c r="BK189" s="9">
        <v>67.550653061224509</v>
      </c>
      <c r="BL189" s="9">
        <v>66.870387755102072</v>
      </c>
      <c r="BM189" s="9">
        <v>67.210884353741505</v>
      </c>
      <c r="BN189" s="9">
        <v>134.42104081632652</v>
      </c>
      <c r="BO189" s="7">
        <v>2</v>
      </c>
      <c r="BP189" s="7">
        <v>15</v>
      </c>
      <c r="BQ189" s="7">
        <v>19</v>
      </c>
      <c r="BR189" s="7">
        <v>13</v>
      </c>
      <c r="BS189" s="7">
        <v>0</v>
      </c>
      <c r="BT189" s="7">
        <v>0</v>
      </c>
      <c r="BU189" s="7">
        <v>1</v>
      </c>
      <c r="BV189" s="7">
        <v>15</v>
      </c>
      <c r="BW189" s="7">
        <v>24</v>
      </c>
      <c r="BX189" s="7">
        <v>9</v>
      </c>
      <c r="BY189" s="7">
        <v>0</v>
      </c>
      <c r="BZ189" s="7">
        <v>0</v>
      </c>
      <c r="CA189" s="7">
        <v>26</v>
      </c>
      <c r="CB189" s="9">
        <v>63.076576923076914</v>
      </c>
      <c r="CC189" s="9">
        <v>56.025269230769219</v>
      </c>
      <c r="CD189" s="9">
        <v>59.551282051282051</v>
      </c>
      <c r="CE189" s="9">
        <v>119.10184615384615</v>
      </c>
      <c r="CF189" s="7">
        <v>1</v>
      </c>
      <c r="CG189" s="7">
        <v>8</v>
      </c>
      <c r="CH189" s="7">
        <v>13</v>
      </c>
      <c r="CI189" s="7">
        <v>4</v>
      </c>
      <c r="CJ189" s="7">
        <v>0</v>
      </c>
      <c r="CK189" s="7">
        <v>0</v>
      </c>
      <c r="CL189" s="7">
        <v>3</v>
      </c>
      <c r="CM189" s="7">
        <v>11</v>
      </c>
      <c r="CN189" s="7">
        <v>10</v>
      </c>
      <c r="CO189" s="7">
        <v>2</v>
      </c>
      <c r="CP189" s="7">
        <v>0</v>
      </c>
      <c r="CQ189" s="7">
        <v>0</v>
      </c>
      <c r="CR189" s="7">
        <v>75</v>
      </c>
      <c r="CS189" s="9">
        <v>65.999639999999999</v>
      </c>
      <c r="CT189" s="9">
        <v>63.110746666666699</v>
      </c>
      <c r="CU189" s="9">
        <v>64.555555555555557</v>
      </c>
      <c r="CV189" s="9">
        <v>129.11038666666661</v>
      </c>
      <c r="CW189" s="7">
        <v>3</v>
      </c>
      <c r="CX189" s="7">
        <v>23</v>
      </c>
      <c r="CY189" s="7">
        <v>32</v>
      </c>
      <c r="CZ189" s="7">
        <v>17</v>
      </c>
      <c r="DA189" s="7">
        <v>0</v>
      </c>
      <c r="DB189" s="7">
        <v>0</v>
      </c>
      <c r="DC189" s="7">
        <v>4</v>
      </c>
      <c r="DD189" s="7">
        <v>26</v>
      </c>
      <c r="DE189" s="7">
        <v>34</v>
      </c>
      <c r="DF189" s="7">
        <v>11</v>
      </c>
      <c r="DG189" s="7">
        <v>0</v>
      </c>
      <c r="DH189" s="7">
        <v>0</v>
      </c>
      <c r="DI189" s="18">
        <f t="shared" si="24"/>
        <v>33</v>
      </c>
      <c r="DJ189" s="18">
        <f t="shared" si="25"/>
        <v>61</v>
      </c>
      <c r="DK189" s="18">
        <f t="shared" si="26"/>
        <v>53</v>
      </c>
      <c r="DL189" s="18">
        <f t="shared" si="30"/>
        <v>2</v>
      </c>
      <c r="DM189" s="18">
        <f t="shared" si="31"/>
        <v>3</v>
      </c>
      <c r="DN189" s="18">
        <f t="shared" si="32"/>
        <v>3</v>
      </c>
      <c r="DO189" s="18">
        <v>313</v>
      </c>
      <c r="DP189" s="18">
        <v>124</v>
      </c>
      <c r="DQ189" s="18">
        <v>313</v>
      </c>
      <c r="DR189" s="18">
        <v>15</v>
      </c>
      <c r="DS189" s="18">
        <v>7</v>
      </c>
      <c r="DT189" s="18">
        <v>15</v>
      </c>
      <c r="DU189" s="18" t="s">
        <v>171</v>
      </c>
    </row>
    <row r="190" spans="54:125" x14ac:dyDescent="0.25">
      <c r="BB190" s="7">
        <v>187</v>
      </c>
      <c r="BC190" s="7" t="s">
        <v>332</v>
      </c>
      <c r="BD190" s="23" t="s">
        <v>171</v>
      </c>
      <c r="BE190" s="26">
        <v>640014125</v>
      </c>
      <c r="BF190" s="25" t="s">
        <v>172</v>
      </c>
      <c r="BG190" s="7">
        <v>49</v>
      </c>
      <c r="BH190" s="7" t="s">
        <v>322</v>
      </c>
      <c r="BI190" s="7" t="s">
        <v>367</v>
      </c>
      <c r="BJ190" s="7">
        <v>181</v>
      </c>
      <c r="BK190" s="9">
        <v>60.423226519336993</v>
      </c>
      <c r="BL190" s="9">
        <v>55.137745856353568</v>
      </c>
      <c r="BM190" s="9">
        <v>57.780847145488053</v>
      </c>
      <c r="BN190" s="9">
        <v>115.56097237569055</v>
      </c>
      <c r="BO190" s="7">
        <v>25</v>
      </c>
      <c r="BP190" s="7">
        <v>58</v>
      </c>
      <c r="BQ190" s="7">
        <v>59</v>
      </c>
      <c r="BR190" s="7">
        <v>39</v>
      </c>
      <c r="BS190" s="7">
        <v>3</v>
      </c>
      <c r="BT190" s="7">
        <v>2</v>
      </c>
      <c r="BU190" s="7">
        <v>20</v>
      </c>
      <c r="BV190" s="7">
        <v>93</v>
      </c>
      <c r="BW190" s="7">
        <v>48</v>
      </c>
      <c r="BX190" s="7">
        <v>20</v>
      </c>
      <c r="BY190" s="7">
        <v>0</v>
      </c>
      <c r="BZ190" s="7">
        <v>0</v>
      </c>
      <c r="CA190" s="7"/>
      <c r="CB190" s="9"/>
      <c r="CC190" s="9"/>
      <c r="CD190" s="9"/>
      <c r="CE190" s="9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>
        <v>181</v>
      </c>
      <c r="CS190" s="9">
        <v>60.423226519336993</v>
      </c>
      <c r="CT190" s="9">
        <v>55.137745856353568</v>
      </c>
      <c r="CU190" s="9">
        <v>57.780847145488053</v>
      </c>
      <c r="CV190" s="9">
        <v>115.56097237569055</v>
      </c>
      <c r="CW190" s="7">
        <v>25</v>
      </c>
      <c r="CX190" s="7">
        <v>58</v>
      </c>
      <c r="CY190" s="7">
        <v>59</v>
      </c>
      <c r="CZ190" s="7">
        <v>39</v>
      </c>
      <c r="DA190" s="7">
        <v>3</v>
      </c>
      <c r="DB190" s="7">
        <v>2</v>
      </c>
      <c r="DC190" s="7">
        <v>20</v>
      </c>
      <c r="DD190" s="7">
        <v>93</v>
      </c>
      <c r="DE190" s="7">
        <v>48</v>
      </c>
      <c r="DF190" s="7">
        <v>20</v>
      </c>
      <c r="DG190" s="7">
        <v>0</v>
      </c>
      <c r="DH190" s="7">
        <v>0</v>
      </c>
      <c r="DI190" s="18">
        <f t="shared" si="24"/>
        <v>172</v>
      </c>
      <c r="DJ190" s="18" t="str">
        <f t="shared" si="25"/>
        <v/>
      </c>
      <c r="DK190" s="18">
        <f t="shared" si="26"/>
        <v>170</v>
      </c>
      <c r="DL190" s="18">
        <f t="shared" si="30"/>
        <v>8</v>
      </c>
      <c r="DM190" s="18" t="str">
        <f t="shared" si="31"/>
        <v/>
      </c>
      <c r="DN190" s="18">
        <f t="shared" si="32"/>
        <v>6</v>
      </c>
      <c r="DO190" s="18">
        <v>313</v>
      </c>
      <c r="DP190" s="18">
        <v>124</v>
      </c>
      <c r="DQ190" s="18">
        <v>313</v>
      </c>
      <c r="DR190" s="18">
        <v>15</v>
      </c>
      <c r="DS190" s="18">
        <v>7</v>
      </c>
      <c r="DT190" s="18">
        <v>15</v>
      </c>
      <c r="DU190" s="18" t="s">
        <v>171</v>
      </c>
    </row>
    <row r="191" spans="54:125" x14ac:dyDescent="0.25">
      <c r="BB191" s="7">
        <v>188</v>
      </c>
      <c r="BC191" s="7" t="s">
        <v>332</v>
      </c>
      <c r="BD191" s="23" t="s">
        <v>171</v>
      </c>
      <c r="BE191" s="26">
        <v>675859776</v>
      </c>
      <c r="BF191" s="25" t="s">
        <v>178</v>
      </c>
      <c r="BG191" s="7">
        <v>50</v>
      </c>
      <c r="BH191" s="7" t="s">
        <v>320</v>
      </c>
      <c r="BI191" s="7" t="s">
        <v>367</v>
      </c>
      <c r="BJ191" s="7">
        <v>24</v>
      </c>
      <c r="BK191" s="9">
        <v>57.777458333333321</v>
      </c>
      <c r="BL191" s="9">
        <v>51.805291666666655</v>
      </c>
      <c r="BM191" s="9">
        <v>54.791666666666664</v>
      </c>
      <c r="BN191" s="9">
        <v>109.58274999999998</v>
      </c>
      <c r="BO191" s="7">
        <v>1</v>
      </c>
      <c r="BP191" s="7">
        <v>14</v>
      </c>
      <c r="BQ191" s="7">
        <v>8</v>
      </c>
      <c r="BR191" s="7">
        <v>1</v>
      </c>
      <c r="BS191" s="7">
        <v>0</v>
      </c>
      <c r="BT191" s="7">
        <v>0</v>
      </c>
      <c r="BU191" s="7">
        <v>2</v>
      </c>
      <c r="BV191" s="7">
        <v>16</v>
      </c>
      <c r="BW191" s="7">
        <v>6</v>
      </c>
      <c r="BX191" s="7">
        <v>0</v>
      </c>
      <c r="BY191" s="7">
        <v>0</v>
      </c>
      <c r="BZ191" s="7">
        <v>0</v>
      </c>
      <c r="CA191" s="7"/>
      <c r="CB191" s="9"/>
      <c r="CC191" s="9"/>
      <c r="CD191" s="9"/>
      <c r="CE191" s="9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>
        <v>24</v>
      </c>
      <c r="CS191" s="9">
        <v>57.777458333333321</v>
      </c>
      <c r="CT191" s="9">
        <v>51.805291666666655</v>
      </c>
      <c r="CU191" s="9">
        <v>54.791666666666664</v>
      </c>
      <c r="CV191" s="9">
        <v>109.58274999999998</v>
      </c>
      <c r="CW191" s="7">
        <v>1</v>
      </c>
      <c r="CX191" s="7">
        <v>14</v>
      </c>
      <c r="CY191" s="7">
        <v>8</v>
      </c>
      <c r="CZ191" s="7">
        <v>1</v>
      </c>
      <c r="DA191" s="7">
        <v>0</v>
      </c>
      <c r="DB191" s="7">
        <v>0</v>
      </c>
      <c r="DC191" s="7">
        <v>2</v>
      </c>
      <c r="DD191" s="7">
        <v>16</v>
      </c>
      <c r="DE191" s="7">
        <v>6</v>
      </c>
      <c r="DF191" s="7">
        <v>0</v>
      </c>
      <c r="DG191" s="7">
        <v>0</v>
      </c>
      <c r="DH191" s="7">
        <v>0</v>
      </c>
      <c r="DI191" s="18">
        <f t="shared" si="24"/>
        <v>219</v>
      </c>
      <c r="DJ191" s="18" t="str">
        <f t="shared" si="25"/>
        <v/>
      </c>
      <c r="DK191" s="18">
        <f t="shared" si="26"/>
        <v>225</v>
      </c>
      <c r="DL191" s="18">
        <f t="shared" si="30"/>
        <v>11</v>
      </c>
      <c r="DM191" s="18" t="str">
        <f t="shared" si="31"/>
        <v/>
      </c>
      <c r="DN191" s="18">
        <f t="shared" si="32"/>
        <v>11</v>
      </c>
      <c r="DO191" s="18">
        <v>313</v>
      </c>
      <c r="DP191" s="18">
        <v>124</v>
      </c>
      <c r="DQ191" s="18">
        <v>313</v>
      </c>
      <c r="DR191" s="18">
        <v>15</v>
      </c>
      <c r="DS191" s="18">
        <v>7</v>
      </c>
      <c r="DT191" s="18">
        <v>15</v>
      </c>
      <c r="DU191" s="18" t="s">
        <v>171</v>
      </c>
    </row>
    <row r="192" spans="54:125" x14ac:dyDescent="0.25">
      <c r="BB192" s="7">
        <v>189</v>
      </c>
      <c r="BC192" s="7" t="s">
        <v>332</v>
      </c>
      <c r="BD192" s="23" t="s">
        <v>171</v>
      </c>
      <c r="BE192" s="26">
        <v>441060119</v>
      </c>
      <c r="BF192" s="25" t="s">
        <v>180</v>
      </c>
      <c r="BG192" s="7">
        <v>51</v>
      </c>
      <c r="BH192" s="7" t="s">
        <v>320</v>
      </c>
      <c r="BI192" s="7" t="s">
        <v>367</v>
      </c>
      <c r="BJ192" s="7">
        <v>142</v>
      </c>
      <c r="BK192" s="9">
        <v>61.642852112676046</v>
      </c>
      <c r="BL192" s="9">
        <v>53.54427464788732</v>
      </c>
      <c r="BM192" s="9">
        <v>57.593896713615031</v>
      </c>
      <c r="BN192" s="9">
        <v>115.18712676056333</v>
      </c>
      <c r="BO192" s="7">
        <v>9</v>
      </c>
      <c r="BP192" s="7">
        <v>55</v>
      </c>
      <c r="BQ192" s="7">
        <v>58</v>
      </c>
      <c r="BR192" s="7">
        <v>20</v>
      </c>
      <c r="BS192" s="7">
        <v>2</v>
      </c>
      <c r="BT192" s="7">
        <v>1</v>
      </c>
      <c r="BU192" s="7">
        <v>19</v>
      </c>
      <c r="BV192" s="7">
        <v>68</v>
      </c>
      <c r="BW192" s="7">
        <v>46</v>
      </c>
      <c r="BX192" s="7">
        <v>9</v>
      </c>
      <c r="BY192" s="7">
        <v>0</v>
      </c>
      <c r="BZ192" s="7">
        <v>0</v>
      </c>
      <c r="CA192" s="7"/>
      <c r="CB192" s="9"/>
      <c r="CC192" s="9"/>
      <c r="CD192" s="9"/>
      <c r="CE192" s="9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>
        <v>142</v>
      </c>
      <c r="CS192" s="9">
        <v>61.642852112676046</v>
      </c>
      <c r="CT192" s="9">
        <v>53.54427464788732</v>
      </c>
      <c r="CU192" s="9">
        <v>57.593896713615031</v>
      </c>
      <c r="CV192" s="9">
        <v>115.18712676056333</v>
      </c>
      <c r="CW192" s="7">
        <v>9</v>
      </c>
      <c r="CX192" s="7">
        <v>55</v>
      </c>
      <c r="CY192" s="7">
        <v>58</v>
      </c>
      <c r="CZ192" s="7">
        <v>20</v>
      </c>
      <c r="DA192" s="7">
        <v>2</v>
      </c>
      <c r="DB192" s="7">
        <v>1</v>
      </c>
      <c r="DC192" s="7">
        <v>19</v>
      </c>
      <c r="DD192" s="7">
        <v>68</v>
      </c>
      <c r="DE192" s="7">
        <v>46</v>
      </c>
      <c r="DF192" s="7">
        <v>9</v>
      </c>
      <c r="DG192" s="7">
        <v>0</v>
      </c>
      <c r="DH192" s="7">
        <v>0</v>
      </c>
      <c r="DI192" s="18">
        <f t="shared" si="24"/>
        <v>175</v>
      </c>
      <c r="DJ192" s="18" t="str">
        <f t="shared" si="25"/>
        <v/>
      </c>
      <c r="DK192" s="18">
        <f t="shared" si="26"/>
        <v>172</v>
      </c>
      <c r="DL192" s="18">
        <f t="shared" si="30"/>
        <v>9</v>
      </c>
      <c r="DM192" s="18" t="str">
        <f t="shared" si="31"/>
        <v/>
      </c>
      <c r="DN192" s="18">
        <f t="shared" si="32"/>
        <v>7</v>
      </c>
      <c r="DO192" s="18">
        <v>313</v>
      </c>
      <c r="DP192" s="18">
        <v>124</v>
      </c>
      <c r="DQ192" s="18">
        <v>313</v>
      </c>
      <c r="DR192" s="18">
        <v>15</v>
      </c>
      <c r="DS192" s="18">
        <v>7</v>
      </c>
      <c r="DT192" s="18">
        <v>15</v>
      </c>
      <c r="DU192" s="18" t="s">
        <v>171</v>
      </c>
    </row>
    <row r="193" spans="54:125" x14ac:dyDescent="0.25">
      <c r="BB193" s="7">
        <v>190</v>
      </c>
      <c r="BC193" s="7" t="s">
        <v>332</v>
      </c>
      <c r="BD193" s="23" t="s">
        <v>171</v>
      </c>
      <c r="BE193" s="26">
        <v>582254050</v>
      </c>
      <c r="BF193" s="25" t="s">
        <v>181</v>
      </c>
      <c r="BG193" s="7">
        <v>91</v>
      </c>
      <c r="BH193" s="7" t="s">
        <v>320</v>
      </c>
      <c r="BI193" s="7" t="s">
        <v>368</v>
      </c>
      <c r="BJ193" s="7">
        <v>48</v>
      </c>
      <c r="BK193" s="9">
        <v>69.930229166666706</v>
      </c>
      <c r="BL193" s="9">
        <v>58.333020833333364</v>
      </c>
      <c r="BM193" s="9">
        <v>64.131944444444471</v>
      </c>
      <c r="BN193" s="9">
        <v>128.26324999999997</v>
      </c>
      <c r="BO193" s="7">
        <v>2</v>
      </c>
      <c r="BP193" s="7">
        <v>15</v>
      </c>
      <c r="BQ193" s="7">
        <v>14</v>
      </c>
      <c r="BR193" s="7">
        <v>17</v>
      </c>
      <c r="BS193" s="7">
        <v>0</v>
      </c>
      <c r="BT193" s="7">
        <v>0</v>
      </c>
      <c r="BU193" s="7">
        <v>3</v>
      </c>
      <c r="BV193" s="7">
        <v>20</v>
      </c>
      <c r="BW193" s="7">
        <v>22</v>
      </c>
      <c r="BX193" s="7">
        <v>3</v>
      </c>
      <c r="BY193" s="7">
        <v>0</v>
      </c>
      <c r="BZ193" s="7">
        <v>0</v>
      </c>
      <c r="CA193" s="7">
        <v>27</v>
      </c>
      <c r="CB193" s="9">
        <v>55.555148148148142</v>
      </c>
      <c r="CC193" s="9">
        <v>44.444185185185184</v>
      </c>
      <c r="CD193" s="9">
        <v>49.999999999999993</v>
      </c>
      <c r="CE193" s="9">
        <v>99.999333333333325</v>
      </c>
      <c r="CF193" s="7">
        <v>3</v>
      </c>
      <c r="CG193" s="7">
        <v>13</v>
      </c>
      <c r="CH193" s="7">
        <v>9</v>
      </c>
      <c r="CI193" s="7">
        <v>2</v>
      </c>
      <c r="CJ193" s="7">
        <v>0</v>
      </c>
      <c r="CK193" s="7">
        <v>0</v>
      </c>
      <c r="CL193" s="7">
        <v>7</v>
      </c>
      <c r="CM193" s="7">
        <v>14</v>
      </c>
      <c r="CN193" s="7">
        <v>6</v>
      </c>
      <c r="CO193" s="7">
        <v>0</v>
      </c>
      <c r="CP193" s="7">
        <v>0</v>
      </c>
      <c r="CQ193" s="7">
        <v>0</v>
      </c>
      <c r="CR193" s="7">
        <v>75</v>
      </c>
      <c r="CS193" s="9">
        <v>64.755200000000016</v>
      </c>
      <c r="CT193" s="9">
        <v>53.333040000000047</v>
      </c>
      <c r="CU193" s="9">
        <v>59.044444444444466</v>
      </c>
      <c r="CV193" s="9">
        <v>118.08823999999996</v>
      </c>
      <c r="CW193" s="7">
        <v>5</v>
      </c>
      <c r="CX193" s="7">
        <v>28</v>
      </c>
      <c r="CY193" s="7">
        <v>23</v>
      </c>
      <c r="CZ193" s="7">
        <v>19</v>
      </c>
      <c r="DA193" s="7">
        <v>0</v>
      </c>
      <c r="DB193" s="7">
        <v>0</v>
      </c>
      <c r="DC193" s="7">
        <v>10</v>
      </c>
      <c r="DD193" s="7">
        <v>34</v>
      </c>
      <c r="DE193" s="7">
        <v>28</v>
      </c>
      <c r="DF193" s="7">
        <v>3</v>
      </c>
      <c r="DG193" s="7">
        <v>0</v>
      </c>
      <c r="DH193" s="7">
        <v>0</v>
      </c>
      <c r="DI193" s="18">
        <f t="shared" si="24"/>
        <v>68</v>
      </c>
      <c r="DJ193" s="18">
        <f t="shared" si="25"/>
        <v>118</v>
      </c>
      <c r="DK193" s="18">
        <f t="shared" si="26"/>
        <v>149</v>
      </c>
      <c r="DL193" s="18">
        <f t="shared" si="30"/>
        <v>4</v>
      </c>
      <c r="DM193" s="18">
        <f t="shared" si="31"/>
        <v>6</v>
      </c>
      <c r="DN193" s="18">
        <f t="shared" si="32"/>
        <v>5</v>
      </c>
      <c r="DO193" s="18">
        <v>313</v>
      </c>
      <c r="DP193" s="18">
        <v>124</v>
      </c>
      <c r="DQ193" s="18">
        <v>313</v>
      </c>
      <c r="DR193" s="18">
        <v>15</v>
      </c>
      <c r="DS193" s="18">
        <v>7</v>
      </c>
      <c r="DT193" s="18">
        <v>15</v>
      </c>
      <c r="DU193" s="18" t="s">
        <v>171</v>
      </c>
    </row>
    <row r="194" spans="54:125" x14ac:dyDescent="0.25">
      <c r="BB194" s="7">
        <v>191</v>
      </c>
      <c r="BC194" s="7" t="s">
        <v>332</v>
      </c>
      <c r="BD194" s="23" t="s">
        <v>171</v>
      </c>
      <c r="BE194" s="26">
        <v>476244899</v>
      </c>
      <c r="BF194" s="25" t="s">
        <v>175</v>
      </c>
      <c r="BG194" s="7">
        <v>160</v>
      </c>
      <c r="BH194" s="7" t="s">
        <v>347</v>
      </c>
      <c r="BI194" s="7" t="s">
        <v>368</v>
      </c>
      <c r="BJ194" s="7">
        <v>32</v>
      </c>
      <c r="BK194" s="9">
        <v>73.228843749999996</v>
      </c>
      <c r="BL194" s="9">
        <v>70.208000000000013</v>
      </c>
      <c r="BM194" s="9">
        <v>71.71875</v>
      </c>
      <c r="BN194" s="9">
        <v>143.43684375000004</v>
      </c>
      <c r="BO194" s="7">
        <v>2</v>
      </c>
      <c r="BP194" s="7">
        <v>7</v>
      </c>
      <c r="BQ194" s="7">
        <v>8</v>
      </c>
      <c r="BR194" s="7">
        <v>15</v>
      </c>
      <c r="BS194" s="7">
        <v>0</v>
      </c>
      <c r="BT194" s="7">
        <v>1</v>
      </c>
      <c r="BU194" s="7">
        <v>0</v>
      </c>
      <c r="BV194" s="7">
        <v>7</v>
      </c>
      <c r="BW194" s="7">
        <v>20</v>
      </c>
      <c r="BX194" s="7">
        <v>5</v>
      </c>
      <c r="BY194" s="7">
        <v>0</v>
      </c>
      <c r="BZ194" s="7">
        <v>0</v>
      </c>
      <c r="CA194" s="7">
        <v>254</v>
      </c>
      <c r="CB194" s="9">
        <v>69.487850393700739</v>
      </c>
      <c r="CC194" s="9">
        <v>64.015413385826719</v>
      </c>
      <c r="CD194" s="9">
        <v>66.751968503937022</v>
      </c>
      <c r="CE194" s="9">
        <v>133.50326377952746</v>
      </c>
      <c r="CF194" s="7">
        <v>8</v>
      </c>
      <c r="CG194" s="7">
        <v>59</v>
      </c>
      <c r="CH194" s="7">
        <v>132</v>
      </c>
      <c r="CI194" s="7">
        <v>55</v>
      </c>
      <c r="CJ194" s="7">
        <v>0</v>
      </c>
      <c r="CK194" s="7">
        <v>0</v>
      </c>
      <c r="CL194" s="7">
        <v>11</v>
      </c>
      <c r="CM194" s="7">
        <v>85</v>
      </c>
      <c r="CN194" s="7">
        <v>130</v>
      </c>
      <c r="CO194" s="7">
        <v>28</v>
      </c>
      <c r="CP194" s="7">
        <v>0</v>
      </c>
      <c r="CQ194" s="7">
        <v>0</v>
      </c>
      <c r="CR194" s="7">
        <v>286</v>
      </c>
      <c r="CS194" s="9">
        <v>69.906423076923062</v>
      </c>
      <c r="CT194" s="9">
        <v>64.708290209790192</v>
      </c>
      <c r="CU194" s="9">
        <v>67.307692307692335</v>
      </c>
      <c r="CV194" s="9">
        <v>134.6147132867132</v>
      </c>
      <c r="CW194" s="7">
        <v>10</v>
      </c>
      <c r="CX194" s="7">
        <v>66</v>
      </c>
      <c r="CY194" s="7">
        <v>140</v>
      </c>
      <c r="CZ194" s="7">
        <v>70</v>
      </c>
      <c r="DA194" s="7">
        <v>0</v>
      </c>
      <c r="DB194" s="7">
        <v>1</v>
      </c>
      <c r="DC194" s="7">
        <v>11</v>
      </c>
      <c r="DD194" s="7">
        <v>92</v>
      </c>
      <c r="DE194" s="7">
        <v>150</v>
      </c>
      <c r="DF194" s="7">
        <v>33</v>
      </c>
      <c r="DG194" s="7">
        <v>0</v>
      </c>
      <c r="DH194" s="7">
        <v>0</v>
      </c>
      <c r="DI194" s="18">
        <f t="shared" si="24"/>
        <v>5</v>
      </c>
      <c r="DJ194" s="18">
        <f t="shared" si="25"/>
        <v>12</v>
      </c>
      <c r="DK194" s="18">
        <f t="shared" si="26"/>
        <v>23</v>
      </c>
      <c r="DL194" s="18">
        <f t="shared" si="30"/>
        <v>1</v>
      </c>
      <c r="DM194" s="18">
        <f t="shared" si="31"/>
        <v>2</v>
      </c>
      <c r="DN194" s="18">
        <f t="shared" si="32"/>
        <v>2</v>
      </c>
      <c r="DO194" s="18">
        <v>313</v>
      </c>
      <c r="DP194" s="18">
        <v>124</v>
      </c>
      <c r="DQ194" s="18">
        <v>313</v>
      </c>
      <c r="DR194" s="18">
        <v>15</v>
      </c>
      <c r="DS194" s="18">
        <v>7</v>
      </c>
      <c r="DT194" s="18">
        <v>15</v>
      </c>
      <c r="DU194" s="18" t="s">
        <v>171</v>
      </c>
    </row>
    <row r="195" spans="54:125" x14ac:dyDescent="0.25">
      <c r="BB195" s="7">
        <v>192</v>
      </c>
      <c r="BC195" s="7" t="s">
        <v>332</v>
      </c>
      <c r="BD195" s="23" t="s">
        <v>171</v>
      </c>
      <c r="BE195" s="26">
        <v>492622444</v>
      </c>
      <c r="BF195" s="25" t="s">
        <v>174</v>
      </c>
      <c r="BG195" s="7">
        <v>162</v>
      </c>
      <c r="BH195" s="7" t="s">
        <v>320</v>
      </c>
      <c r="BI195" s="7" t="s">
        <v>368</v>
      </c>
      <c r="BJ195" s="7">
        <v>137</v>
      </c>
      <c r="BK195" s="9">
        <v>59.902313868613142</v>
      </c>
      <c r="BL195" s="9">
        <v>55.668773722627741</v>
      </c>
      <c r="BM195" s="9">
        <v>57.785888077858871</v>
      </c>
      <c r="BN195" s="9">
        <v>115.5710875912408</v>
      </c>
      <c r="BO195" s="7">
        <v>15</v>
      </c>
      <c r="BP195" s="7">
        <v>57</v>
      </c>
      <c r="BQ195" s="7">
        <v>38</v>
      </c>
      <c r="BR195" s="7">
        <v>27</v>
      </c>
      <c r="BS195" s="7">
        <v>0</v>
      </c>
      <c r="BT195" s="7">
        <v>0</v>
      </c>
      <c r="BU195" s="7">
        <v>17</v>
      </c>
      <c r="BV195" s="7">
        <v>68</v>
      </c>
      <c r="BW195" s="7">
        <v>37</v>
      </c>
      <c r="BX195" s="7">
        <v>15</v>
      </c>
      <c r="BY195" s="7">
        <v>0</v>
      </c>
      <c r="BZ195" s="7">
        <v>0</v>
      </c>
      <c r="CA195" s="7">
        <v>37</v>
      </c>
      <c r="CB195" s="9">
        <v>41.891567567567563</v>
      </c>
      <c r="CC195" s="9">
        <v>39.549216216216223</v>
      </c>
      <c r="CD195" s="9">
        <v>40.720720720720713</v>
      </c>
      <c r="CE195" s="9">
        <v>81.440783783783786</v>
      </c>
      <c r="CF195" s="7">
        <v>13</v>
      </c>
      <c r="CG195" s="7">
        <v>14</v>
      </c>
      <c r="CH195" s="7">
        <v>10</v>
      </c>
      <c r="CI195" s="7">
        <v>0</v>
      </c>
      <c r="CJ195" s="7">
        <v>0</v>
      </c>
      <c r="CK195" s="7">
        <v>0</v>
      </c>
      <c r="CL195" s="7">
        <v>15</v>
      </c>
      <c r="CM195" s="7">
        <v>16</v>
      </c>
      <c r="CN195" s="7">
        <v>6</v>
      </c>
      <c r="CO195" s="7">
        <v>0</v>
      </c>
      <c r="CP195" s="7">
        <v>0</v>
      </c>
      <c r="CQ195" s="7">
        <v>0</v>
      </c>
      <c r="CR195" s="7">
        <v>174</v>
      </c>
      <c r="CS195" s="9">
        <v>56.072442528735607</v>
      </c>
      <c r="CT195" s="9">
        <v>52.241051724137925</v>
      </c>
      <c r="CU195" s="9">
        <v>54.157088122605366</v>
      </c>
      <c r="CV195" s="9">
        <v>108.3134942528735</v>
      </c>
      <c r="CW195" s="7">
        <v>28</v>
      </c>
      <c r="CX195" s="7">
        <v>71</v>
      </c>
      <c r="CY195" s="7">
        <v>48</v>
      </c>
      <c r="CZ195" s="7">
        <v>27</v>
      </c>
      <c r="DA195" s="7">
        <v>0</v>
      </c>
      <c r="DB195" s="7">
        <v>0</v>
      </c>
      <c r="DC195" s="7">
        <v>32</v>
      </c>
      <c r="DD195" s="7">
        <v>84</v>
      </c>
      <c r="DE195" s="7">
        <v>43</v>
      </c>
      <c r="DF195" s="7">
        <v>15</v>
      </c>
      <c r="DG195" s="7">
        <v>0</v>
      </c>
      <c r="DH195" s="7">
        <v>0</v>
      </c>
      <c r="DI195" s="18">
        <f t="shared" si="24"/>
        <v>171</v>
      </c>
      <c r="DJ195" s="18">
        <f t="shared" si="25"/>
        <v>124</v>
      </c>
      <c r="DK195" s="18">
        <f t="shared" si="26"/>
        <v>239</v>
      </c>
      <c r="DL195" s="18">
        <f t="shared" si="30"/>
        <v>7</v>
      </c>
      <c r="DM195" s="18">
        <f t="shared" si="31"/>
        <v>7</v>
      </c>
      <c r="DN195" s="18">
        <f t="shared" si="32"/>
        <v>12</v>
      </c>
      <c r="DO195" s="18">
        <v>313</v>
      </c>
      <c r="DP195" s="18">
        <v>124</v>
      </c>
      <c r="DQ195" s="18">
        <v>313</v>
      </c>
      <c r="DR195" s="18">
        <v>15</v>
      </c>
      <c r="DS195" s="18">
        <v>7</v>
      </c>
      <c r="DT195" s="18">
        <v>15</v>
      </c>
      <c r="DU195" s="18" t="s">
        <v>171</v>
      </c>
    </row>
    <row r="196" spans="54:125" x14ac:dyDescent="0.25">
      <c r="BB196" s="7">
        <v>193</v>
      </c>
      <c r="BC196" s="7" t="s">
        <v>332</v>
      </c>
      <c r="BD196" s="23" t="s">
        <v>171</v>
      </c>
      <c r="BE196" s="26">
        <v>378109694</v>
      </c>
      <c r="BF196" s="25" t="s">
        <v>182</v>
      </c>
      <c r="BG196" s="7">
        <v>163</v>
      </c>
      <c r="BH196" s="7" t="s">
        <v>320</v>
      </c>
      <c r="BI196" s="7" t="s">
        <v>367</v>
      </c>
      <c r="BJ196" s="7">
        <v>84</v>
      </c>
      <c r="BK196" s="9">
        <v>56.190130952380983</v>
      </c>
      <c r="BL196" s="9">
        <v>48.888547619047664</v>
      </c>
      <c r="BM196" s="9">
        <v>52.539682539682524</v>
      </c>
      <c r="BN196" s="9">
        <v>105.07867857142853</v>
      </c>
      <c r="BO196" s="7">
        <v>15</v>
      </c>
      <c r="BP196" s="7">
        <v>32</v>
      </c>
      <c r="BQ196" s="7">
        <v>21</v>
      </c>
      <c r="BR196" s="7">
        <v>16</v>
      </c>
      <c r="BS196" s="7">
        <v>1</v>
      </c>
      <c r="BT196" s="7">
        <v>0</v>
      </c>
      <c r="BU196" s="7">
        <v>18</v>
      </c>
      <c r="BV196" s="7">
        <v>43</v>
      </c>
      <c r="BW196" s="7">
        <v>23</v>
      </c>
      <c r="BX196" s="7">
        <v>0</v>
      </c>
      <c r="BY196" s="7">
        <v>0</v>
      </c>
      <c r="BZ196" s="7">
        <v>0</v>
      </c>
      <c r="CA196" s="7"/>
      <c r="CB196" s="9"/>
      <c r="CC196" s="9"/>
      <c r="CD196" s="9"/>
      <c r="CE196" s="9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>
        <v>84</v>
      </c>
      <c r="CS196" s="9">
        <v>56.190130952380983</v>
      </c>
      <c r="CT196" s="9">
        <v>48.888547619047664</v>
      </c>
      <c r="CU196" s="9">
        <v>52.539682539682524</v>
      </c>
      <c r="CV196" s="9">
        <v>105.07867857142853</v>
      </c>
      <c r="CW196" s="7">
        <v>15</v>
      </c>
      <c r="CX196" s="7">
        <v>32</v>
      </c>
      <c r="CY196" s="7">
        <v>21</v>
      </c>
      <c r="CZ196" s="7">
        <v>16</v>
      </c>
      <c r="DA196" s="7">
        <v>1</v>
      </c>
      <c r="DB196" s="7">
        <v>0</v>
      </c>
      <c r="DC196" s="7">
        <v>18</v>
      </c>
      <c r="DD196" s="7">
        <v>43</v>
      </c>
      <c r="DE196" s="7">
        <v>23</v>
      </c>
      <c r="DF196" s="7">
        <v>0</v>
      </c>
      <c r="DG196" s="7">
        <v>0</v>
      </c>
      <c r="DH196" s="7">
        <v>0</v>
      </c>
      <c r="DI196" s="18">
        <f t="shared" si="24"/>
        <v>257</v>
      </c>
      <c r="DJ196" s="18" t="str">
        <f t="shared" si="25"/>
        <v/>
      </c>
      <c r="DK196" s="18">
        <f t="shared" si="26"/>
        <v>261</v>
      </c>
      <c r="DL196" s="18">
        <f t="shared" si="30"/>
        <v>13</v>
      </c>
      <c r="DM196" s="18" t="str">
        <f t="shared" si="31"/>
        <v/>
      </c>
      <c r="DN196" s="18">
        <f t="shared" si="32"/>
        <v>13</v>
      </c>
      <c r="DO196" s="18">
        <v>313</v>
      </c>
      <c r="DP196" s="18">
        <v>124</v>
      </c>
      <c r="DQ196" s="18">
        <v>313</v>
      </c>
      <c r="DR196" s="18">
        <v>15</v>
      </c>
      <c r="DS196" s="18">
        <v>7</v>
      </c>
      <c r="DT196" s="18">
        <v>15</v>
      </c>
      <c r="DU196" s="18" t="s">
        <v>171</v>
      </c>
    </row>
    <row r="197" spans="54:125" x14ac:dyDescent="0.25">
      <c r="BB197" s="7">
        <v>194</v>
      </c>
      <c r="BC197" s="7" t="s">
        <v>332</v>
      </c>
      <c r="BD197" s="23" t="s">
        <v>171</v>
      </c>
      <c r="BE197" s="26">
        <v>753008102</v>
      </c>
      <c r="BF197" s="25" t="s">
        <v>183</v>
      </c>
      <c r="BG197" s="7">
        <v>203</v>
      </c>
      <c r="BH197" s="7" t="s">
        <v>320</v>
      </c>
      <c r="BI197" s="7" t="s">
        <v>368</v>
      </c>
      <c r="BJ197" s="7">
        <v>24</v>
      </c>
      <c r="BK197" s="9">
        <v>64.305250000000001</v>
      </c>
      <c r="BL197" s="9">
        <v>57.221916666666658</v>
      </c>
      <c r="BM197" s="9">
        <v>60.763888888888893</v>
      </c>
      <c r="BN197" s="9">
        <v>121.52716666666669</v>
      </c>
      <c r="BO197" s="7">
        <v>3</v>
      </c>
      <c r="BP197" s="7">
        <v>9</v>
      </c>
      <c r="BQ197" s="7">
        <v>3</v>
      </c>
      <c r="BR197" s="7">
        <v>9</v>
      </c>
      <c r="BS197" s="7">
        <v>0</v>
      </c>
      <c r="BT197" s="7">
        <v>0</v>
      </c>
      <c r="BU197" s="7">
        <v>2</v>
      </c>
      <c r="BV197" s="7">
        <v>14</v>
      </c>
      <c r="BW197" s="7">
        <v>5</v>
      </c>
      <c r="BX197" s="7">
        <v>3</v>
      </c>
      <c r="BY197" s="7">
        <v>0</v>
      </c>
      <c r="BZ197" s="7">
        <v>0</v>
      </c>
      <c r="CA197" s="7">
        <v>57</v>
      </c>
      <c r="CB197" s="9">
        <v>60.175105263157924</v>
      </c>
      <c r="CC197" s="9">
        <v>50.292052631578962</v>
      </c>
      <c r="CD197" s="9">
        <v>55.233918128654963</v>
      </c>
      <c r="CE197" s="9">
        <v>110.46715789473684</v>
      </c>
      <c r="CF197" s="7">
        <v>4</v>
      </c>
      <c r="CG197" s="7">
        <v>24</v>
      </c>
      <c r="CH197" s="7">
        <v>24</v>
      </c>
      <c r="CI197" s="7">
        <v>5</v>
      </c>
      <c r="CJ197" s="7">
        <v>0</v>
      </c>
      <c r="CK197" s="7">
        <v>0</v>
      </c>
      <c r="CL197" s="7">
        <v>7</v>
      </c>
      <c r="CM197" s="7">
        <v>33</v>
      </c>
      <c r="CN197" s="7">
        <v>14</v>
      </c>
      <c r="CO197" s="7">
        <v>3</v>
      </c>
      <c r="CP197" s="7">
        <v>0</v>
      </c>
      <c r="CQ197" s="7">
        <v>0</v>
      </c>
      <c r="CR197" s="7">
        <v>81</v>
      </c>
      <c r="CS197" s="9">
        <v>61.39885185185188</v>
      </c>
      <c r="CT197" s="9">
        <v>52.345345679012382</v>
      </c>
      <c r="CU197" s="9">
        <v>56.87242798353909</v>
      </c>
      <c r="CV197" s="9">
        <v>113.74419753086416</v>
      </c>
      <c r="CW197" s="7">
        <v>7</v>
      </c>
      <c r="CX197" s="7">
        <v>33</v>
      </c>
      <c r="CY197" s="7">
        <v>27</v>
      </c>
      <c r="CZ197" s="7">
        <v>14</v>
      </c>
      <c r="DA197" s="7">
        <v>0</v>
      </c>
      <c r="DB197" s="7">
        <v>0</v>
      </c>
      <c r="DC197" s="7">
        <v>9</v>
      </c>
      <c r="DD197" s="7">
        <v>47</v>
      </c>
      <c r="DE197" s="7">
        <v>19</v>
      </c>
      <c r="DF197" s="7">
        <v>6</v>
      </c>
      <c r="DG197" s="7">
        <v>0</v>
      </c>
      <c r="DH197" s="7">
        <v>0</v>
      </c>
      <c r="DI197" s="18">
        <f t="shared" ref="DI197:DI260" si="33">IF(BN197="","",(RANK(BN197,$BN$4:$BN$326)))</f>
        <v>121</v>
      </c>
      <c r="DJ197" s="18">
        <f t="shared" ref="DJ197:DJ260" si="34">IF(CE197="","",(RANK(CE197,$CE$4:$CE$326)))</f>
        <v>97</v>
      </c>
      <c r="DK197" s="18">
        <f t="shared" ref="DK197:DK260" si="35">IF(CV197="","",(RANK(CV197,$CV$4:$CV$326)))</f>
        <v>187</v>
      </c>
      <c r="DL197" s="18">
        <f t="shared" si="30"/>
        <v>6</v>
      </c>
      <c r="DM197" s="18">
        <f t="shared" si="31"/>
        <v>5</v>
      </c>
      <c r="DN197" s="18">
        <f t="shared" si="32"/>
        <v>9</v>
      </c>
      <c r="DO197" s="18">
        <v>313</v>
      </c>
      <c r="DP197" s="18">
        <v>124</v>
      </c>
      <c r="DQ197" s="18">
        <v>313</v>
      </c>
      <c r="DR197" s="18">
        <v>15</v>
      </c>
      <c r="DS197" s="18">
        <v>7</v>
      </c>
      <c r="DT197" s="18">
        <v>15</v>
      </c>
      <c r="DU197" s="18" t="s">
        <v>171</v>
      </c>
    </row>
    <row r="198" spans="54:125" x14ac:dyDescent="0.25">
      <c r="BB198" s="7">
        <v>195</v>
      </c>
      <c r="BC198" s="7" t="s">
        <v>332</v>
      </c>
      <c r="BD198" s="23" t="s">
        <v>171</v>
      </c>
      <c r="BE198" s="26">
        <v>384004460</v>
      </c>
      <c r="BF198" s="25" t="s">
        <v>346</v>
      </c>
      <c r="BG198" s="7">
        <v>219</v>
      </c>
      <c r="BH198" s="7" t="s">
        <v>330</v>
      </c>
      <c r="BI198" s="7" t="s">
        <v>368</v>
      </c>
      <c r="BJ198" s="7"/>
      <c r="BK198" s="9"/>
      <c r="BL198" s="9"/>
      <c r="BM198" s="9"/>
      <c r="BN198" s="9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9"/>
      <c r="CC198" s="9"/>
      <c r="CD198" s="9"/>
      <c r="CE198" s="9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9"/>
      <c r="CT198" s="9"/>
      <c r="CU198" s="9"/>
      <c r="CV198" s="9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18" t="str">
        <f t="shared" si="33"/>
        <v/>
      </c>
      <c r="DJ198" s="18" t="str">
        <f t="shared" si="34"/>
        <v/>
      </c>
      <c r="DK198" s="18" t="str">
        <f t="shared" si="35"/>
        <v/>
      </c>
      <c r="DL198" s="18" t="str">
        <f t="shared" si="30"/>
        <v/>
      </c>
      <c r="DM198" s="18" t="str">
        <f t="shared" si="31"/>
        <v/>
      </c>
      <c r="DN198" s="18" t="str">
        <f t="shared" si="32"/>
        <v/>
      </c>
      <c r="DO198" s="18">
        <v>313</v>
      </c>
      <c r="DP198" s="18">
        <v>124</v>
      </c>
      <c r="DQ198" s="18">
        <v>313</v>
      </c>
      <c r="DR198" s="18">
        <v>15</v>
      </c>
      <c r="DS198" s="18">
        <v>7</v>
      </c>
      <c r="DT198" s="18">
        <v>15</v>
      </c>
      <c r="DU198" s="18" t="s">
        <v>171</v>
      </c>
    </row>
    <row r="199" spans="54:125" x14ac:dyDescent="0.25">
      <c r="BB199" s="7">
        <v>196</v>
      </c>
      <c r="BC199" s="7" t="s">
        <v>332</v>
      </c>
      <c r="BD199" s="23" t="s">
        <v>171</v>
      </c>
      <c r="BE199" s="26">
        <v>112928894</v>
      </c>
      <c r="BF199" s="25" t="s">
        <v>173</v>
      </c>
      <c r="BG199" s="7">
        <v>236</v>
      </c>
      <c r="BH199" s="7" t="s">
        <v>320</v>
      </c>
      <c r="BI199" s="7" t="s">
        <v>368</v>
      </c>
      <c r="BJ199" s="7">
        <v>131</v>
      </c>
      <c r="BK199" s="9">
        <v>54.528931297709924</v>
      </c>
      <c r="BL199" s="9">
        <v>53.409358778625943</v>
      </c>
      <c r="BM199" s="9">
        <v>53.969465648854992</v>
      </c>
      <c r="BN199" s="9">
        <v>107.93829007633589</v>
      </c>
      <c r="BO199" s="7">
        <v>26</v>
      </c>
      <c r="BP199" s="7">
        <v>55</v>
      </c>
      <c r="BQ199" s="7">
        <v>30</v>
      </c>
      <c r="BR199" s="7">
        <v>20</v>
      </c>
      <c r="BS199" s="7">
        <v>3</v>
      </c>
      <c r="BT199" s="7">
        <v>2</v>
      </c>
      <c r="BU199" s="7">
        <v>17</v>
      </c>
      <c r="BV199" s="7">
        <v>68</v>
      </c>
      <c r="BW199" s="7">
        <v>34</v>
      </c>
      <c r="BX199" s="7">
        <v>12</v>
      </c>
      <c r="BY199" s="7">
        <v>0</v>
      </c>
      <c r="BZ199" s="7">
        <v>2</v>
      </c>
      <c r="CA199" s="7">
        <v>102</v>
      </c>
      <c r="CB199" s="9">
        <v>60.391784313725466</v>
      </c>
      <c r="CC199" s="9">
        <v>53.790490196078458</v>
      </c>
      <c r="CD199" s="9">
        <v>57.091503267973856</v>
      </c>
      <c r="CE199" s="9">
        <v>114.18227450980383</v>
      </c>
      <c r="CF199" s="7">
        <v>7</v>
      </c>
      <c r="CG199" s="7">
        <v>37</v>
      </c>
      <c r="CH199" s="7">
        <v>45</v>
      </c>
      <c r="CI199" s="7">
        <v>13</v>
      </c>
      <c r="CJ199" s="7">
        <v>0</v>
      </c>
      <c r="CK199" s="7">
        <v>0</v>
      </c>
      <c r="CL199" s="7">
        <v>8</v>
      </c>
      <c r="CM199" s="7">
        <v>54</v>
      </c>
      <c r="CN199" s="7">
        <v>38</v>
      </c>
      <c r="CO199" s="7">
        <v>2</v>
      </c>
      <c r="CP199" s="7">
        <v>0</v>
      </c>
      <c r="CQ199" s="7">
        <v>0</v>
      </c>
      <c r="CR199" s="7">
        <v>233</v>
      </c>
      <c r="CS199" s="9">
        <v>57.09550214592273</v>
      </c>
      <c r="CT199" s="9">
        <v>53.576206008583647</v>
      </c>
      <c r="CU199" s="9">
        <v>55.336194563662403</v>
      </c>
      <c r="CV199" s="9">
        <v>110.6717081545064</v>
      </c>
      <c r="CW199" s="7">
        <v>33</v>
      </c>
      <c r="CX199" s="7">
        <v>92</v>
      </c>
      <c r="CY199" s="7">
        <v>75</v>
      </c>
      <c r="CZ199" s="7">
        <v>33</v>
      </c>
      <c r="DA199" s="7">
        <v>3</v>
      </c>
      <c r="DB199" s="7">
        <v>2</v>
      </c>
      <c r="DC199" s="7">
        <v>25</v>
      </c>
      <c r="DD199" s="7">
        <v>122</v>
      </c>
      <c r="DE199" s="7">
        <v>72</v>
      </c>
      <c r="DF199" s="7">
        <v>14</v>
      </c>
      <c r="DG199" s="7">
        <v>0</v>
      </c>
      <c r="DH199" s="7">
        <v>2</v>
      </c>
      <c r="DI199" s="18">
        <f t="shared" si="33"/>
        <v>237</v>
      </c>
      <c r="DJ199" s="18">
        <f t="shared" si="34"/>
        <v>82</v>
      </c>
      <c r="DK199" s="18">
        <f t="shared" si="35"/>
        <v>215</v>
      </c>
      <c r="DL199" s="18">
        <f t="shared" si="30"/>
        <v>12</v>
      </c>
      <c r="DM199" s="18">
        <f t="shared" si="31"/>
        <v>4</v>
      </c>
      <c r="DN199" s="18">
        <f t="shared" si="32"/>
        <v>10</v>
      </c>
      <c r="DO199" s="18">
        <v>313</v>
      </c>
      <c r="DP199" s="18">
        <v>124</v>
      </c>
      <c r="DQ199" s="18">
        <v>313</v>
      </c>
      <c r="DR199" s="18">
        <v>15</v>
      </c>
      <c r="DS199" s="18">
        <v>7</v>
      </c>
      <c r="DT199" s="18">
        <v>15</v>
      </c>
      <c r="DU199" s="18" t="s">
        <v>171</v>
      </c>
    </row>
    <row r="200" spans="54:125" x14ac:dyDescent="0.25">
      <c r="BB200" s="7">
        <v>197</v>
      </c>
      <c r="BC200" s="7" t="s">
        <v>332</v>
      </c>
      <c r="BD200" s="23" t="s">
        <v>171</v>
      </c>
      <c r="BE200" s="26">
        <v>967187213</v>
      </c>
      <c r="BF200" s="25" t="s">
        <v>184</v>
      </c>
      <c r="BG200" s="7">
        <v>239</v>
      </c>
      <c r="BH200" s="7" t="s">
        <v>320</v>
      </c>
      <c r="BI200" s="7" t="s">
        <v>367</v>
      </c>
      <c r="BJ200" s="7">
        <v>73</v>
      </c>
      <c r="BK200" s="9">
        <v>59.451712328767179</v>
      </c>
      <c r="BL200" s="9">
        <v>55.70743835616441</v>
      </c>
      <c r="BM200" s="9">
        <v>57.579908675799111</v>
      </c>
      <c r="BN200" s="9">
        <v>115.15915068493153</v>
      </c>
      <c r="BO200" s="7">
        <v>10</v>
      </c>
      <c r="BP200" s="7">
        <v>26</v>
      </c>
      <c r="BQ200" s="7">
        <v>22</v>
      </c>
      <c r="BR200" s="7">
        <v>15</v>
      </c>
      <c r="BS200" s="7">
        <v>1</v>
      </c>
      <c r="BT200" s="7">
        <v>0</v>
      </c>
      <c r="BU200" s="7">
        <v>13</v>
      </c>
      <c r="BV200" s="7">
        <v>32</v>
      </c>
      <c r="BW200" s="7">
        <v>16</v>
      </c>
      <c r="BX200" s="7">
        <v>12</v>
      </c>
      <c r="BY200" s="7">
        <v>0</v>
      </c>
      <c r="BZ200" s="7">
        <v>1</v>
      </c>
      <c r="CA200" s="7"/>
      <c r="CB200" s="9"/>
      <c r="CC200" s="9"/>
      <c r="CD200" s="9"/>
      <c r="CE200" s="9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>
        <v>73</v>
      </c>
      <c r="CS200" s="9">
        <v>59.451712328767179</v>
      </c>
      <c r="CT200" s="9">
        <v>55.70743835616441</v>
      </c>
      <c r="CU200" s="9">
        <v>57.579908675799111</v>
      </c>
      <c r="CV200" s="9">
        <v>115.15915068493153</v>
      </c>
      <c r="CW200" s="7">
        <v>10</v>
      </c>
      <c r="CX200" s="7">
        <v>26</v>
      </c>
      <c r="CY200" s="7">
        <v>22</v>
      </c>
      <c r="CZ200" s="7">
        <v>15</v>
      </c>
      <c r="DA200" s="7">
        <v>1</v>
      </c>
      <c r="DB200" s="7">
        <v>0</v>
      </c>
      <c r="DC200" s="7">
        <v>13</v>
      </c>
      <c r="DD200" s="7">
        <v>32</v>
      </c>
      <c r="DE200" s="7">
        <v>16</v>
      </c>
      <c r="DF200" s="7">
        <v>12</v>
      </c>
      <c r="DG200" s="7">
        <v>0</v>
      </c>
      <c r="DH200" s="7">
        <v>1</v>
      </c>
      <c r="DI200" s="18">
        <f t="shared" si="33"/>
        <v>176</v>
      </c>
      <c r="DJ200" s="18" t="str">
        <f t="shared" si="34"/>
        <v/>
      </c>
      <c r="DK200" s="18">
        <f t="shared" si="35"/>
        <v>173</v>
      </c>
      <c r="DL200" s="18">
        <f t="shared" si="30"/>
        <v>10</v>
      </c>
      <c r="DM200" s="18" t="str">
        <f t="shared" si="31"/>
        <v/>
      </c>
      <c r="DN200" s="18">
        <f t="shared" si="32"/>
        <v>8</v>
      </c>
      <c r="DO200" s="18">
        <v>313</v>
      </c>
      <c r="DP200" s="18">
        <v>124</v>
      </c>
      <c r="DQ200" s="18">
        <v>313</v>
      </c>
      <c r="DR200" s="18">
        <v>15</v>
      </c>
      <c r="DS200" s="18">
        <v>7</v>
      </c>
      <c r="DT200" s="18">
        <v>15</v>
      </c>
      <c r="DU200" s="18" t="s">
        <v>171</v>
      </c>
    </row>
    <row r="201" spans="54:125" x14ac:dyDescent="0.25">
      <c r="BB201" s="7">
        <v>198</v>
      </c>
      <c r="BC201" s="7" t="s">
        <v>332</v>
      </c>
      <c r="BD201" s="23" t="s">
        <v>171</v>
      </c>
      <c r="BE201" s="26">
        <v>202300243</v>
      </c>
      <c r="BF201" s="25" t="s">
        <v>179</v>
      </c>
      <c r="BG201" s="7">
        <v>329</v>
      </c>
      <c r="BH201" s="7" t="s">
        <v>320</v>
      </c>
      <c r="BI201" s="7" t="s">
        <v>367</v>
      </c>
      <c r="BJ201" s="7">
        <v>36</v>
      </c>
      <c r="BK201" s="9">
        <v>65.092388888888905</v>
      </c>
      <c r="BL201" s="9">
        <v>58.425666666666672</v>
      </c>
      <c r="BM201" s="9">
        <v>61.759259259259274</v>
      </c>
      <c r="BN201" s="9">
        <v>123.51805555555559</v>
      </c>
      <c r="BO201" s="7">
        <v>4</v>
      </c>
      <c r="BP201" s="7">
        <v>9</v>
      </c>
      <c r="BQ201" s="7">
        <v>16</v>
      </c>
      <c r="BR201" s="7">
        <v>7</v>
      </c>
      <c r="BS201" s="7">
        <v>0</v>
      </c>
      <c r="BT201" s="7">
        <v>1</v>
      </c>
      <c r="BU201" s="7">
        <v>5</v>
      </c>
      <c r="BV201" s="7">
        <v>15</v>
      </c>
      <c r="BW201" s="7">
        <v>12</v>
      </c>
      <c r="BX201" s="7">
        <v>4</v>
      </c>
      <c r="BY201" s="7">
        <v>0</v>
      </c>
      <c r="BZ201" s="7">
        <v>0</v>
      </c>
      <c r="CA201" s="7"/>
      <c r="CB201" s="9"/>
      <c r="CC201" s="9"/>
      <c r="CD201" s="9"/>
      <c r="CE201" s="9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>
        <v>36</v>
      </c>
      <c r="CS201" s="9">
        <v>65.092388888888905</v>
      </c>
      <c r="CT201" s="9">
        <v>58.425666666666672</v>
      </c>
      <c r="CU201" s="9">
        <v>61.759259259259274</v>
      </c>
      <c r="CV201" s="9">
        <v>123.51805555555559</v>
      </c>
      <c r="CW201" s="7">
        <v>4</v>
      </c>
      <c r="CX201" s="7">
        <v>9</v>
      </c>
      <c r="CY201" s="7">
        <v>16</v>
      </c>
      <c r="CZ201" s="7">
        <v>7</v>
      </c>
      <c r="DA201" s="7">
        <v>0</v>
      </c>
      <c r="DB201" s="7">
        <v>1</v>
      </c>
      <c r="DC201" s="7">
        <v>5</v>
      </c>
      <c r="DD201" s="7">
        <v>15</v>
      </c>
      <c r="DE201" s="7">
        <v>12</v>
      </c>
      <c r="DF201" s="7">
        <v>4</v>
      </c>
      <c r="DG201" s="7">
        <v>0</v>
      </c>
      <c r="DH201" s="7">
        <v>0</v>
      </c>
      <c r="DI201" s="18">
        <f t="shared" si="33"/>
        <v>106</v>
      </c>
      <c r="DJ201" s="18" t="str">
        <f t="shared" si="34"/>
        <v/>
      </c>
      <c r="DK201" s="18">
        <f t="shared" si="35"/>
        <v>98</v>
      </c>
      <c r="DL201" s="18">
        <f t="shared" si="30"/>
        <v>5</v>
      </c>
      <c r="DM201" s="18" t="str">
        <f t="shared" si="31"/>
        <v/>
      </c>
      <c r="DN201" s="18">
        <f t="shared" si="32"/>
        <v>4</v>
      </c>
      <c r="DO201" s="18">
        <v>313</v>
      </c>
      <c r="DP201" s="18">
        <v>124</v>
      </c>
      <c r="DQ201" s="18">
        <v>313</v>
      </c>
      <c r="DR201" s="18">
        <v>15</v>
      </c>
      <c r="DS201" s="18">
        <v>7</v>
      </c>
      <c r="DT201" s="18">
        <v>15</v>
      </c>
      <c r="DU201" s="18" t="s">
        <v>171</v>
      </c>
    </row>
    <row r="202" spans="54:125" x14ac:dyDescent="0.25">
      <c r="BB202" s="7">
        <v>199</v>
      </c>
      <c r="BC202" s="7" t="s">
        <v>332</v>
      </c>
      <c r="BD202" s="23" t="s">
        <v>171</v>
      </c>
      <c r="BE202" s="26">
        <v>492053572</v>
      </c>
      <c r="BF202" s="25" t="s">
        <v>176</v>
      </c>
      <c r="BG202" s="7" t="s">
        <v>331</v>
      </c>
      <c r="BH202" s="7" t="s">
        <v>320</v>
      </c>
      <c r="BI202" s="7" t="s">
        <v>368</v>
      </c>
      <c r="BJ202" s="7">
        <v>47</v>
      </c>
      <c r="BK202" s="9">
        <v>69.361404255319172</v>
      </c>
      <c r="BL202" s="9">
        <v>63.049319148936192</v>
      </c>
      <c r="BM202" s="9">
        <v>66.205673758865231</v>
      </c>
      <c r="BN202" s="9">
        <v>132.41072340425535</v>
      </c>
      <c r="BO202" s="7">
        <v>0</v>
      </c>
      <c r="BP202" s="7">
        <v>16</v>
      </c>
      <c r="BQ202" s="7">
        <v>21</v>
      </c>
      <c r="BR202" s="7">
        <v>10</v>
      </c>
      <c r="BS202" s="7">
        <v>0</v>
      </c>
      <c r="BT202" s="7">
        <v>1</v>
      </c>
      <c r="BU202" s="7">
        <v>2</v>
      </c>
      <c r="BV202" s="7">
        <v>19</v>
      </c>
      <c r="BW202" s="7">
        <v>22</v>
      </c>
      <c r="BX202" s="7">
        <v>4</v>
      </c>
      <c r="BY202" s="7">
        <v>0</v>
      </c>
      <c r="BZ202" s="7">
        <v>0</v>
      </c>
      <c r="CA202" s="7">
        <v>112</v>
      </c>
      <c r="CB202" s="9">
        <v>73.571133928571413</v>
      </c>
      <c r="CC202" s="9">
        <v>68.00560714285713</v>
      </c>
      <c r="CD202" s="9">
        <v>70.788690476190467</v>
      </c>
      <c r="CE202" s="9">
        <v>141.57674107142853</v>
      </c>
      <c r="CF202" s="7">
        <v>1</v>
      </c>
      <c r="CG202" s="7">
        <v>24</v>
      </c>
      <c r="CH202" s="7">
        <v>51</v>
      </c>
      <c r="CI202" s="7">
        <v>36</v>
      </c>
      <c r="CJ202" s="7">
        <v>0</v>
      </c>
      <c r="CK202" s="7">
        <v>0</v>
      </c>
      <c r="CL202" s="7">
        <v>3</v>
      </c>
      <c r="CM202" s="7">
        <v>33</v>
      </c>
      <c r="CN202" s="7">
        <v>50</v>
      </c>
      <c r="CO202" s="7">
        <v>26</v>
      </c>
      <c r="CP202" s="7">
        <v>0</v>
      </c>
      <c r="CQ202" s="7">
        <v>0</v>
      </c>
      <c r="CR202" s="7">
        <v>159</v>
      </c>
      <c r="CS202" s="9">
        <v>72.326748427672953</v>
      </c>
      <c r="CT202" s="9">
        <v>66.540540880503144</v>
      </c>
      <c r="CU202" s="9">
        <v>69.433962264150935</v>
      </c>
      <c r="CV202" s="9">
        <v>138.86728930817603</v>
      </c>
      <c r="CW202" s="7">
        <v>1</v>
      </c>
      <c r="CX202" s="7">
        <v>40</v>
      </c>
      <c r="CY202" s="7">
        <v>72</v>
      </c>
      <c r="CZ202" s="7">
        <v>46</v>
      </c>
      <c r="DA202" s="7">
        <v>0</v>
      </c>
      <c r="DB202" s="7">
        <v>1</v>
      </c>
      <c r="DC202" s="7">
        <v>5</v>
      </c>
      <c r="DD202" s="7">
        <v>52</v>
      </c>
      <c r="DE202" s="7">
        <v>72</v>
      </c>
      <c r="DF202" s="7">
        <v>30</v>
      </c>
      <c r="DG202" s="7">
        <v>0</v>
      </c>
      <c r="DH202" s="7">
        <v>0</v>
      </c>
      <c r="DI202" s="18">
        <f t="shared" si="33"/>
        <v>41</v>
      </c>
      <c r="DJ202" s="18">
        <f t="shared" si="34"/>
        <v>2</v>
      </c>
      <c r="DK202" s="18">
        <f t="shared" si="35"/>
        <v>10</v>
      </c>
      <c r="DL202" s="18">
        <f t="shared" si="30"/>
        <v>3</v>
      </c>
      <c r="DM202" s="18">
        <f t="shared" si="31"/>
        <v>1</v>
      </c>
      <c r="DN202" s="18">
        <f t="shared" si="32"/>
        <v>1</v>
      </c>
      <c r="DO202" s="18">
        <v>313</v>
      </c>
      <c r="DP202" s="18">
        <v>124</v>
      </c>
      <c r="DQ202" s="18">
        <v>313</v>
      </c>
      <c r="DR202" s="18">
        <v>15</v>
      </c>
      <c r="DS202" s="18">
        <v>7</v>
      </c>
      <c r="DT202" s="18">
        <v>15</v>
      </c>
      <c r="DU202" s="18" t="s">
        <v>171</v>
      </c>
    </row>
    <row r="203" spans="54:125" x14ac:dyDescent="0.25">
      <c r="BB203" s="7">
        <v>200</v>
      </c>
      <c r="BC203" s="7" t="s">
        <v>332</v>
      </c>
      <c r="BD203" s="23" t="s">
        <v>185</v>
      </c>
      <c r="BE203" s="26">
        <v>450450842</v>
      </c>
      <c r="BF203" s="25" t="s">
        <v>206</v>
      </c>
      <c r="BG203" s="7">
        <v>65</v>
      </c>
      <c r="BH203" s="7" t="s">
        <v>320</v>
      </c>
      <c r="BI203" s="7" t="s">
        <v>367</v>
      </c>
      <c r="BJ203" s="7">
        <v>93</v>
      </c>
      <c r="BK203" s="9">
        <v>68.2433870967742</v>
      </c>
      <c r="BL203" s="9">
        <v>63.440526881720437</v>
      </c>
      <c r="BM203" s="9">
        <v>65.842293906810056</v>
      </c>
      <c r="BN203" s="9">
        <v>131.68391397849459</v>
      </c>
      <c r="BO203" s="7">
        <v>2</v>
      </c>
      <c r="BP203" s="7">
        <v>24</v>
      </c>
      <c r="BQ203" s="7">
        <v>47</v>
      </c>
      <c r="BR203" s="7">
        <v>20</v>
      </c>
      <c r="BS203" s="7">
        <v>0</v>
      </c>
      <c r="BT203" s="7">
        <v>1</v>
      </c>
      <c r="BU203" s="7">
        <v>5</v>
      </c>
      <c r="BV203" s="7">
        <v>36</v>
      </c>
      <c r="BW203" s="7">
        <v>35</v>
      </c>
      <c r="BX203" s="7">
        <v>17</v>
      </c>
      <c r="BY203" s="7">
        <v>0</v>
      </c>
      <c r="BZ203" s="7">
        <v>0</v>
      </c>
      <c r="CA203" s="7"/>
      <c r="CB203" s="9"/>
      <c r="CC203" s="9"/>
      <c r="CD203" s="9"/>
      <c r="CE203" s="9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>
        <v>93</v>
      </c>
      <c r="CS203" s="9">
        <v>68.2433870967742</v>
      </c>
      <c r="CT203" s="9">
        <v>63.440526881720437</v>
      </c>
      <c r="CU203" s="9">
        <v>65.842293906810056</v>
      </c>
      <c r="CV203" s="9">
        <v>131.68391397849459</v>
      </c>
      <c r="CW203" s="7">
        <v>2</v>
      </c>
      <c r="CX203" s="7">
        <v>24</v>
      </c>
      <c r="CY203" s="7">
        <v>47</v>
      </c>
      <c r="CZ203" s="7">
        <v>20</v>
      </c>
      <c r="DA203" s="7">
        <v>0</v>
      </c>
      <c r="DB203" s="7">
        <v>1</v>
      </c>
      <c r="DC203" s="7">
        <v>5</v>
      </c>
      <c r="DD203" s="7">
        <v>36</v>
      </c>
      <c r="DE203" s="7">
        <v>35</v>
      </c>
      <c r="DF203" s="7">
        <v>17</v>
      </c>
      <c r="DG203" s="7">
        <v>0</v>
      </c>
      <c r="DH203" s="7">
        <v>0</v>
      </c>
      <c r="DI203" s="18">
        <f t="shared" si="33"/>
        <v>45</v>
      </c>
      <c r="DJ203" s="18" t="str">
        <f t="shared" si="34"/>
        <v/>
      </c>
      <c r="DK203" s="18">
        <f t="shared" si="35"/>
        <v>40</v>
      </c>
      <c r="DL203" s="18">
        <f t="shared" ref="DL203:DL237" si="36">IF(BN203="","",(RANK(BN203,$BN$203:$BN$237)))</f>
        <v>3</v>
      </c>
      <c r="DM203" s="18" t="str">
        <f t="shared" ref="DM203:DM237" si="37">IF(CE203="","",(RANK(CE203,$CE$203:$CE$237)))</f>
        <v/>
      </c>
      <c r="DN203" s="18">
        <f t="shared" ref="DN203:DN237" si="38">IF(CV203="","",(RANK(CV203,$CV$203:$CV$237)))</f>
        <v>3</v>
      </c>
      <c r="DO203" s="18">
        <v>313</v>
      </c>
      <c r="DP203" s="18">
        <v>124</v>
      </c>
      <c r="DQ203" s="18">
        <v>313</v>
      </c>
      <c r="DR203" s="18">
        <v>35</v>
      </c>
      <c r="DS203" s="18">
        <v>9</v>
      </c>
      <c r="DT203" s="18">
        <v>35</v>
      </c>
      <c r="DU203" s="18" t="s">
        <v>185</v>
      </c>
    </row>
    <row r="204" spans="54:125" x14ac:dyDescent="0.25">
      <c r="BB204" s="7">
        <v>201</v>
      </c>
      <c r="BC204" s="7" t="s">
        <v>332</v>
      </c>
      <c r="BD204" s="23" t="s">
        <v>185</v>
      </c>
      <c r="BE204" s="26">
        <v>556563125</v>
      </c>
      <c r="BF204" s="25" t="s">
        <v>186</v>
      </c>
      <c r="BG204" s="7">
        <v>76</v>
      </c>
      <c r="BH204" s="7" t="s">
        <v>320</v>
      </c>
      <c r="BI204" s="7" t="s">
        <v>368</v>
      </c>
      <c r="BJ204" s="7">
        <v>79</v>
      </c>
      <c r="BK204" s="9">
        <v>63.965974683544303</v>
      </c>
      <c r="BL204" s="9">
        <v>58.100924050632933</v>
      </c>
      <c r="BM204" s="9">
        <v>61.033755274261608</v>
      </c>
      <c r="BN204" s="9">
        <v>122.06689873417719</v>
      </c>
      <c r="BO204" s="7">
        <v>7</v>
      </c>
      <c r="BP204" s="7">
        <v>25</v>
      </c>
      <c r="BQ204" s="7">
        <v>28</v>
      </c>
      <c r="BR204" s="7">
        <v>19</v>
      </c>
      <c r="BS204" s="7">
        <v>0</v>
      </c>
      <c r="BT204" s="7">
        <v>1</v>
      </c>
      <c r="BU204" s="7">
        <v>10</v>
      </c>
      <c r="BV204" s="7">
        <v>30</v>
      </c>
      <c r="BW204" s="7">
        <v>34</v>
      </c>
      <c r="BX204" s="7">
        <v>5</v>
      </c>
      <c r="BY204" s="7">
        <v>0</v>
      </c>
      <c r="BZ204" s="7">
        <v>0</v>
      </c>
      <c r="CA204" s="7">
        <v>145</v>
      </c>
      <c r="CB204" s="9">
        <v>59.149103448275831</v>
      </c>
      <c r="CC204" s="9">
        <v>52.919199999999982</v>
      </c>
      <c r="CD204" s="9">
        <v>56.034482758620683</v>
      </c>
      <c r="CE204" s="9">
        <v>112.06830344827577</v>
      </c>
      <c r="CF204" s="7">
        <v>17</v>
      </c>
      <c r="CG204" s="7">
        <v>55</v>
      </c>
      <c r="CH204" s="7">
        <v>51</v>
      </c>
      <c r="CI204" s="7">
        <v>22</v>
      </c>
      <c r="CJ204" s="7">
        <v>0</v>
      </c>
      <c r="CK204" s="7">
        <v>0</v>
      </c>
      <c r="CL204" s="7">
        <v>21</v>
      </c>
      <c r="CM204" s="7">
        <v>76</v>
      </c>
      <c r="CN204" s="7">
        <v>40</v>
      </c>
      <c r="CO204" s="7">
        <v>8</v>
      </c>
      <c r="CP204" s="7">
        <v>0</v>
      </c>
      <c r="CQ204" s="7">
        <v>0</v>
      </c>
      <c r="CR204" s="7">
        <v>224</v>
      </c>
      <c r="CS204" s="9">
        <v>60.847910714285646</v>
      </c>
      <c r="CT204" s="9">
        <v>54.746683035714263</v>
      </c>
      <c r="CU204" s="9">
        <v>57.797619047619044</v>
      </c>
      <c r="CV204" s="9">
        <v>115.5945937499999</v>
      </c>
      <c r="CW204" s="7">
        <v>24</v>
      </c>
      <c r="CX204" s="7">
        <v>80</v>
      </c>
      <c r="CY204" s="7">
        <v>79</v>
      </c>
      <c r="CZ204" s="7">
        <v>41</v>
      </c>
      <c r="DA204" s="7">
        <v>0</v>
      </c>
      <c r="DB204" s="7">
        <v>1</v>
      </c>
      <c r="DC204" s="7">
        <v>31</v>
      </c>
      <c r="DD204" s="7">
        <v>106</v>
      </c>
      <c r="DE204" s="7">
        <v>74</v>
      </c>
      <c r="DF204" s="7">
        <v>13</v>
      </c>
      <c r="DG204" s="7">
        <v>0</v>
      </c>
      <c r="DH204" s="7">
        <v>0</v>
      </c>
      <c r="DI204" s="18">
        <f t="shared" si="33"/>
        <v>117</v>
      </c>
      <c r="DJ204" s="18">
        <f t="shared" si="34"/>
        <v>92</v>
      </c>
      <c r="DK204" s="18">
        <f t="shared" si="35"/>
        <v>169</v>
      </c>
      <c r="DL204" s="18">
        <f t="shared" si="36"/>
        <v>12</v>
      </c>
      <c r="DM204" s="18">
        <f t="shared" si="37"/>
        <v>7</v>
      </c>
      <c r="DN204" s="18">
        <f t="shared" si="38"/>
        <v>17</v>
      </c>
      <c r="DO204" s="18">
        <v>313</v>
      </c>
      <c r="DP204" s="18">
        <v>124</v>
      </c>
      <c r="DQ204" s="18">
        <v>313</v>
      </c>
      <c r="DR204" s="18">
        <v>35</v>
      </c>
      <c r="DS204" s="18">
        <v>9</v>
      </c>
      <c r="DT204" s="18">
        <v>35</v>
      </c>
      <c r="DU204" s="18" t="s">
        <v>185</v>
      </c>
    </row>
    <row r="205" spans="54:125" x14ac:dyDescent="0.25">
      <c r="BB205" s="7">
        <v>202</v>
      </c>
      <c r="BC205" s="7" t="s">
        <v>332</v>
      </c>
      <c r="BD205" s="23" t="s">
        <v>185</v>
      </c>
      <c r="BE205" s="26">
        <v>280390667</v>
      </c>
      <c r="BF205" s="25" t="s">
        <v>187</v>
      </c>
      <c r="BG205" s="7">
        <v>79</v>
      </c>
      <c r="BH205" s="7" t="s">
        <v>320</v>
      </c>
      <c r="BI205" s="7" t="s">
        <v>367</v>
      </c>
      <c r="BJ205" s="7">
        <v>14</v>
      </c>
      <c r="BK205" s="9">
        <v>56.666357142857137</v>
      </c>
      <c r="BL205" s="9">
        <v>41.666428571428575</v>
      </c>
      <c r="BM205" s="9">
        <v>49.166666666666671</v>
      </c>
      <c r="BN205" s="9">
        <v>98.33278571428572</v>
      </c>
      <c r="BO205" s="7">
        <v>0</v>
      </c>
      <c r="BP205" s="7">
        <v>9</v>
      </c>
      <c r="BQ205" s="7">
        <v>4</v>
      </c>
      <c r="BR205" s="7">
        <v>1</v>
      </c>
      <c r="BS205" s="7">
        <v>0</v>
      </c>
      <c r="BT205" s="7">
        <v>0</v>
      </c>
      <c r="BU205" s="7">
        <v>4</v>
      </c>
      <c r="BV205" s="7">
        <v>8</v>
      </c>
      <c r="BW205" s="7">
        <v>2</v>
      </c>
      <c r="BX205" s="7">
        <v>0</v>
      </c>
      <c r="BY205" s="7">
        <v>0</v>
      </c>
      <c r="BZ205" s="7">
        <v>0</v>
      </c>
      <c r="CA205" s="7"/>
      <c r="CB205" s="9"/>
      <c r="CC205" s="9"/>
      <c r="CD205" s="9"/>
      <c r="CE205" s="9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>
        <v>14</v>
      </c>
      <c r="CS205" s="9">
        <v>56.666357142857137</v>
      </c>
      <c r="CT205" s="9">
        <v>41.666428571428575</v>
      </c>
      <c r="CU205" s="9">
        <v>49.166666666666671</v>
      </c>
      <c r="CV205" s="9">
        <v>98.33278571428572</v>
      </c>
      <c r="CW205" s="7">
        <v>0</v>
      </c>
      <c r="CX205" s="7">
        <v>9</v>
      </c>
      <c r="CY205" s="7">
        <v>4</v>
      </c>
      <c r="CZ205" s="7">
        <v>1</v>
      </c>
      <c r="DA205" s="7">
        <v>0</v>
      </c>
      <c r="DB205" s="7">
        <v>0</v>
      </c>
      <c r="DC205" s="7">
        <v>4</v>
      </c>
      <c r="DD205" s="7">
        <v>8</v>
      </c>
      <c r="DE205" s="7">
        <v>2</v>
      </c>
      <c r="DF205" s="7">
        <v>0</v>
      </c>
      <c r="DG205" s="7">
        <v>0</v>
      </c>
      <c r="DH205" s="7">
        <v>0</v>
      </c>
      <c r="DI205" s="18">
        <f t="shared" si="33"/>
        <v>278</v>
      </c>
      <c r="DJ205" s="18" t="str">
        <f t="shared" si="34"/>
        <v/>
      </c>
      <c r="DK205" s="18">
        <f t="shared" si="35"/>
        <v>282</v>
      </c>
      <c r="DL205" s="18">
        <f t="shared" si="36"/>
        <v>29</v>
      </c>
      <c r="DM205" s="18" t="str">
        <f t="shared" si="37"/>
        <v/>
      </c>
      <c r="DN205" s="18">
        <f t="shared" si="38"/>
        <v>30</v>
      </c>
      <c r="DO205" s="18">
        <v>313</v>
      </c>
      <c r="DP205" s="18">
        <v>124</v>
      </c>
      <c r="DQ205" s="18">
        <v>313</v>
      </c>
      <c r="DR205" s="18">
        <v>35</v>
      </c>
      <c r="DS205" s="18">
        <v>9</v>
      </c>
      <c r="DT205" s="18">
        <v>35</v>
      </c>
      <c r="DU205" s="18" t="s">
        <v>185</v>
      </c>
    </row>
    <row r="206" spans="54:125" x14ac:dyDescent="0.25">
      <c r="BB206" s="7">
        <v>203</v>
      </c>
      <c r="BC206" s="7" t="s">
        <v>332</v>
      </c>
      <c r="BD206" s="23" t="s">
        <v>185</v>
      </c>
      <c r="BE206" s="26">
        <v>248911689</v>
      </c>
      <c r="BF206" s="25" t="s">
        <v>188</v>
      </c>
      <c r="BG206" s="7">
        <v>84</v>
      </c>
      <c r="BH206" s="7" t="s">
        <v>320</v>
      </c>
      <c r="BI206" s="7" t="s">
        <v>367</v>
      </c>
      <c r="BJ206" s="7">
        <v>98</v>
      </c>
      <c r="BK206" s="9">
        <v>62.380632653061234</v>
      </c>
      <c r="BL206" s="9">
        <v>57.142561224489832</v>
      </c>
      <c r="BM206" s="9">
        <v>59.761904761904745</v>
      </c>
      <c r="BN206" s="9">
        <v>119.52319387755095</v>
      </c>
      <c r="BO206" s="7">
        <v>3</v>
      </c>
      <c r="BP206" s="7">
        <v>52</v>
      </c>
      <c r="BQ206" s="7">
        <v>21</v>
      </c>
      <c r="BR206" s="7">
        <v>22</v>
      </c>
      <c r="BS206" s="7">
        <v>0</v>
      </c>
      <c r="BT206" s="7">
        <v>2</v>
      </c>
      <c r="BU206" s="7">
        <v>9</v>
      </c>
      <c r="BV206" s="7">
        <v>49</v>
      </c>
      <c r="BW206" s="7">
        <v>34</v>
      </c>
      <c r="BX206" s="7">
        <v>6</v>
      </c>
      <c r="BY206" s="7">
        <v>0</v>
      </c>
      <c r="BZ206" s="7">
        <v>0</v>
      </c>
      <c r="CA206" s="7"/>
      <c r="CB206" s="9"/>
      <c r="CC206" s="9"/>
      <c r="CD206" s="9"/>
      <c r="CE206" s="9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>
        <v>98</v>
      </c>
      <c r="CS206" s="9">
        <v>62.380632653061234</v>
      </c>
      <c r="CT206" s="9">
        <v>57.142561224489832</v>
      </c>
      <c r="CU206" s="9">
        <v>59.761904761904745</v>
      </c>
      <c r="CV206" s="9">
        <v>119.52319387755095</v>
      </c>
      <c r="CW206" s="7">
        <v>3</v>
      </c>
      <c r="CX206" s="7">
        <v>52</v>
      </c>
      <c r="CY206" s="7">
        <v>21</v>
      </c>
      <c r="CZ206" s="7">
        <v>22</v>
      </c>
      <c r="DA206" s="7">
        <v>0</v>
      </c>
      <c r="DB206" s="7">
        <v>2</v>
      </c>
      <c r="DC206" s="7">
        <v>9</v>
      </c>
      <c r="DD206" s="7">
        <v>49</v>
      </c>
      <c r="DE206" s="7">
        <v>34</v>
      </c>
      <c r="DF206" s="7">
        <v>6</v>
      </c>
      <c r="DG206" s="7">
        <v>0</v>
      </c>
      <c r="DH206" s="7">
        <v>0</v>
      </c>
      <c r="DI206" s="18">
        <f t="shared" si="33"/>
        <v>140</v>
      </c>
      <c r="DJ206" s="18" t="str">
        <f t="shared" si="34"/>
        <v/>
      </c>
      <c r="DK206" s="18">
        <f t="shared" si="35"/>
        <v>138</v>
      </c>
      <c r="DL206" s="18">
        <f t="shared" si="36"/>
        <v>14</v>
      </c>
      <c r="DM206" s="18" t="str">
        <f t="shared" si="37"/>
        <v/>
      </c>
      <c r="DN206" s="18">
        <f t="shared" si="38"/>
        <v>14</v>
      </c>
      <c r="DO206" s="18">
        <v>313</v>
      </c>
      <c r="DP206" s="18">
        <v>124</v>
      </c>
      <c r="DQ206" s="18">
        <v>313</v>
      </c>
      <c r="DR206" s="18">
        <v>35</v>
      </c>
      <c r="DS206" s="18">
        <v>9</v>
      </c>
      <c r="DT206" s="18">
        <v>35</v>
      </c>
      <c r="DU206" s="18" t="s">
        <v>185</v>
      </c>
    </row>
    <row r="207" spans="54:125" x14ac:dyDescent="0.25">
      <c r="BB207" s="7">
        <v>204</v>
      </c>
      <c r="BC207" s="7" t="s">
        <v>332</v>
      </c>
      <c r="BD207" s="23" t="s">
        <v>185</v>
      </c>
      <c r="BE207" s="26">
        <v>697294218</v>
      </c>
      <c r="BF207" s="25" t="s">
        <v>189</v>
      </c>
      <c r="BG207" s="7">
        <v>85</v>
      </c>
      <c r="BH207" s="7" t="s">
        <v>320</v>
      </c>
      <c r="BI207" s="7" t="s">
        <v>367</v>
      </c>
      <c r="BJ207" s="7">
        <v>107</v>
      </c>
      <c r="BK207" s="9">
        <v>59.56354205607478</v>
      </c>
      <c r="BL207" s="9">
        <v>49.501196261682281</v>
      </c>
      <c r="BM207" s="9">
        <v>54.532710280373834</v>
      </c>
      <c r="BN207" s="9">
        <v>109.06473831775699</v>
      </c>
      <c r="BO207" s="7">
        <v>13</v>
      </c>
      <c r="BP207" s="7">
        <v>47</v>
      </c>
      <c r="BQ207" s="7">
        <v>26</v>
      </c>
      <c r="BR207" s="7">
        <v>21</v>
      </c>
      <c r="BS207" s="7">
        <v>1</v>
      </c>
      <c r="BT207" s="7">
        <v>1</v>
      </c>
      <c r="BU207" s="7">
        <v>24</v>
      </c>
      <c r="BV207" s="7">
        <v>49</v>
      </c>
      <c r="BW207" s="7">
        <v>29</v>
      </c>
      <c r="BX207" s="7">
        <v>5</v>
      </c>
      <c r="BY207" s="7">
        <v>0</v>
      </c>
      <c r="BZ207" s="7">
        <v>0</v>
      </c>
      <c r="CA207" s="7"/>
      <c r="CB207" s="9"/>
      <c r="CC207" s="9"/>
      <c r="CD207" s="9"/>
      <c r="CE207" s="9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>
        <v>107</v>
      </c>
      <c r="CS207" s="9">
        <v>59.56354205607478</v>
      </c>
      <c r="CT207" s="9">
        <v>49.501196261682281</v>
      </c>
      <c r="CU207" s="9">
        <v>54.532710280373834</v>
      </c>
      <c r="CV207" s="9">
        <v>109.06473831775699</v>
      </c>
      <c r="CW207" s="7">
        <v>13</v>
      </c>
      <c r="CX207" s="7">
        <v>47</v>
      </c>
      <c r="CY207" s="7">
        <v>26</v>
      </c>
      <c r="CZ207" s="7">
        <v>21</v>
      </c>
      <c r="DA207" s="7">
        <v>1</v>
      </c>
      <c r="DB207" s="7">
        <v>1</v>
      </c>
      <c r="DC207" s="7">
        <v>24</v>
      </c>
      <c r="DD207" s="7">
        <v>49</v>
      </c>
      <c r="DE207" s="7">
        <v>29</v>
      </c>
      <c r="DF207" s="7">
        <v>5</v>
      </c>
      <c r="DG207" s="7">
        <v>0</v>
      </c>
      <c r="DH207" s="7">
        <v>0</v>
      </c>
      <c r="DI207" s="18">
        <f t="shared" si="33"/>
        <v>226</v>
      </c>
      <c r="DJ207" s="18" t="str">
        <f t="shared" si="34"/>
        <v/>
      </c>
      <c r="DK207" s="18">
        <f t="shared" si="35"/>
        <v>232</v>
      </c>
      <c r="DL207" s="18">
        <f t="shared" si="36"/>
        <v>21</v>
      </c>
      <c r="DM207" s="18" t="str">
        <f t="shared" si="37"/>
        <v/>
      </c>
      <c r="DN207" s="18">
        <f t="shared" si="38"/>
        <v>22</v>
      </c>
      <c r="DO207" s="18">
        <v>313</v>
      </c>
      <c r="DP207" s="18">
        <v>124</v>
      </c>
      <c r="DQ207" s="18">
        <v>313</v>
      </c>
      <c r="DR207" s="18">
        <v>35</v>
      </c>
      <c r="DS207" s="18">
        <v>9</v>
      </c>
      <c r="DT207" s="18">
        <v>35</v>
      </c>
      <c r="DU207" s="18" t="s">
        <v>185</v>
      </c>
    </row>
    <row r="208" spans="54:125" x14ac:dyDescent="0.25">
      <c r="BB208" s="7">
        <v>205</v>
      </c>
      <c r="BC208" s="7" t="s">
        <v>332</v>
      </c>
      <c r="BD208" s="23" t="s">
        <v>185</v>
      </c>
      <c r="BE208" s="26">
        <v>935131955</v>
      </c>
      <c r="BF208" s="25" t="s">
        <v>190</v>
      </c>
      <c r="BG208" s="7">
        <v>87</v>
      </c>
      <c r="BH208" s="7" t="s">
        <v>320</v>
      </c>
      <c r="BI208" s="7" t="s">
        <v>368</v>
      </c>
      <c r="BJ208" s="7">
        <v>89</v>
      </c>
      <c r="BK208" s="9">
        <v>55.542730337078659</v>
      </c>
      <c r="BL208" s="9">
        <v>52.95847191011238</v>
      </c>
      <c r="BM208" s="9">
        <v>54.250936329588015</v>
      </c>
      <c r="BN208" s="9">
        <v>108.50120224719097</v>
      </c>
      <c r="BO208" s="7">
        <v>12</v>
      </c>
      <c r="BP208" s="7">
        <v>45</v>
      </c>
      <c r="BQ208" s="7">
        <v>22</v>
      </c>
      <c r="BR208" s="7">
        <v>10</v>
      </c>
      <c r="BS208" s="7">
        <v>0</v>
      </c>
      <c r="BT208" s="7">
        <v>0</v>
      </c>
      <c r="BU208" s="7">
        <v>10</v>
      </c>
      <c r="BV208" s="7">
        <v>50</v>
      </c>
      <c r="BW208" s="7">
        <v>24</v>
      </c>
      <c r="BX208" s="7">
        <v>5</v>
      </c>
      <c r="BY208" s="7">
        <v>0</v>
      </c>
      <c r="BZ208" s="7">
        <v>0</v>
      </c>
      <c r="CA208" s="7">
        <v>109</v>
      </c>
      <c r="CB208" s="9">
        <v>62.323825688073356</v>
      </c>
      <c r="CC208" s="9">
        <v>56.63574311926606</v>
      </c>
      <c r="CD208" s="9">
        <v>59.480122324159034</v>
      </c>
      <c r="CE208" s="9">
        <v>118.95956880733941</v>
      </c>
      <c r="CF208" s="7">
        <v>9</v>
      </c>
      <c r="CG208" s="7">
        <v>33</v>
      </c>
      <c r="CH208" s="7">
        <v>50</v>
      </c>
      <c r="CI208" s="7">
        <v>17</v>
      </c>
      <c r="CJ208" s="7">
        <v>0</v>
      </c>
      <c r="CK208" s="7">
        <v>0</v>
      </c>
      <c r="CL208" s="7">
        <v>15</v>
      </c>
      <c r="CM208" s="7">
        <v>46</v>
      </c>
      <c r="CN208" s="7">
        <v>40</v>
      </c>
      <c r="CO208" s="7">
        <v>8</v>
      </c>
      <c r="CP208" s="7">
        <v>0</v>
      </c>
      <c r="CQ208" s="7">
        <v>0</v>
      </c>
      <c r="CR208" s="7">
        <v>198</v>
      </c>
      <c r="CS208" s="9">
        <v>59.275757575757559</v>
      </c>
      <c r="CT208" s="9">
        <v>54.982828282828258</v>
      </c>
      <c r="CU208" s="9">
        <v>57.129629629629605</v>
      </c>
      <c r="CV208" s="9">
        <v>114.25858585858573</v>
      </c>
      <c r="CW208" s="7">
        <v>21</v>
      </c>
      <c r="CX208" s="7">
        <v>78</v>
      </c>
      <c r="CY208" s="7">
        <v>72</v>
      </c>
      <c r="CZ208" s="7">
        <v>27</v>
      </c>
      <c r="DA208" s="7">
        <v>0</v>
      </c>
      <c r="DB208" s="7">
        <v>0</v>
      </c>
      <c r="DC208" s="7">
        <v>25</v>
      </c>
      <c r="DD208" s="7">
        <v>96</v>
      </c>
      <c r="DE208" s="7">
        <v>64</v>
      </c>
      <c r="DF208" s="7">
        <v>13</v>
      </c>
      <c r="DG208" s="7">
        <v>0</v>
      </c>
      <c r="DH208" s="7">
        <v>0</v>
      </c>
      <c r="DI208" s="18">
        <f t="shared" si="33"/>
        <v>230</v>
      </c>
      <c r="DJ208" s="18">
        <f t="shared" si="34"/>
        <v>62</v>
      </c>
      <c r="DK208" s="18">
        <f t="shared" si="35"/>
        <v>183</v>
      </c>
      <c r="DL208" s="18">
        <f t="shared" si="36"/>
        <v>22</v>
      </c>
      <c r="DM208" s="18">
        <f t="shared" si="37"/>
        <v>5</v>
      </c>
      <c r="DN208" s="18">
        <f t="shared" si="38"/>
        <v>19</v>
      </c>
      <c r="DO208" s="18">
        <v>313</v>
      </c>
      <c r="DP208" s="18">
        <v>124</v>
      </c>
      <c r="DQ208" s="18">
        <v>313</v>
      </c>
      <c r="DR208" s="18">
        <v>35</v>
      </c>
      <c r="DS208" s="18">
        <v>9</v>
      </c>
      <c r="DT208" s="18">
        <v>35</v>
      </c>
      <c r="DU208" s="18" t="s">
        <v>185</v>
      </c>
    </row>
    <row r="209" spans="54:125" x14ac:dyDescent="0.25">
      <c r="BB209" s="7">
        <v>206</v>
      </c>
      <c r="BC209" s="7" t="s">
        <v>332</v>
      </c>
      <c r="BD209" s="23" t="s">
        <v>185</v>
      </c>
      <c r="BE209" s="26">
        <v>490004865</v>
      </c>
      <c r="BF209" s="25" t="s">
        <v>191</v>
      </c>
      <c r="BG209" s="7">
        <v>89</v>
      </c>
      <c r="BH209" s="7" t="s">
        <v>320</v>
      </c>
      <c r="BI209" s="7" t="s">
        <v>368</v>
      </c>
      <c r="BJ209" s="7">
        <v>163</v>
      </c>
      <c r="BK209" s="9">
        <v>59.917852760736167</v>
      </c>
      <c r="BL209" s="9">
        <v>55.623417177914092</v>
      </c>
      <c r="BM209" s="9">
        <v>57.770961145194292</v>
      </c>
      <c r="BN209" s="9">
        <v>115.54126993865026</v>
      </c>
      <c r="BO209" s="7">
        <v>18</v>
      </c>
      <c r="BP209" s="7">
        <v>60</v>
      </c>
      <c r="BQ209" s="7">
        <v>58</v>
      </c>
      <c r="BR209" s="7">
        <v>27</v>
      </c>
      <c r="BS209" s="7">
        <v>0</v>
      </c>
      <c r="BT209" s="7">
        <v>1</v>
      </c>
      <c r="BU209" s="7">
        <v>19</v>
      </c>
      <c r="BV209" s="7">
        <v>73</v>
      </c>
      <c r="BW209" s="7">
        <v>60</v>
      </c>
      <c r="BX209" s="7">
        <v>11</v>
      </c>
      <c r="BY209" s="7">
        <v>0</v>
      </c>
      <c r="BZ209" s="7">
        <v>1</v>
      </c>
      <c r="CA209" s="7">
        <v>30</v>
      </c>
      <c r="CB209" s="9">
        <v>55.332966666666678</v>
      </c>
      <c r="CC209" s="9">
        <v>48.888500000000015</v>
      </c>
      <c r="CD209" s="9">
        <v>52.111111111111114</v>
      </c>
      <c r="CE209" s="9">
        <v>104.22146666666667</v>
      </c>
      <c r="CF209" s="7">
        <v>3</v>
      </c>
      <c r="CG209" s="7">
        <v>15</v>
      </c>
      <c r="CH209" s="7">
        <v>9</v>
      </c>
      <c r="CI209" s="7">
        <v>3</v>
      </c>
      <c r="CJ209" s="7">
        <v>0</v>
      </c>
      <c r="CK209" s="7">
        <v>0</v>
      </c>
      <c r="CL209" s="7">
        <v>4</v>
      </c>
      <c r="CM209" s="7">
        <v>21</v>
      </c>
      <c r="CN209" s="7">
        <v>2</v>
      </c>
      <c r="CO209" s="7">
        <v>3</v>
      </c>
      <c r="CP209" s="7">
        <v>0</v>
      </c>
      <c r="CQ209" s="7">
        <v>0</v>
      </c>
      <c r="CR209" s="7">
        <v>193</v>
      </c>
      <c r="CS209" s="9">
        <v>59.205176165803074</v>
      </c>
      <c r="CT209" s="9">
        <v>54.576538860103611</v>
      </c>
      <c r="CU209" s="9">
        <v>56.891191709844577</v>
      </c>
      <c r="CV209" s="9">
        <v>113.78171502590668</v>
      </c>
      <c r="CW209" s="7">
        <v>21</v>
      </c>
      <c r="CX209" s="7">
        <v>75</v>
      </c>
      <c r="CY209" s="7">
        <v>67</v>
      </c>
      <c r="CZ209" s="7">
        <v>30</v>
      </c>
      <c r="DA209" s="7">
        <v>0</v>
      </c>
      <c r="DB209" s="7">
        <v>1</v>
      </c>
      <c r="DC209" s="7">
        <v>23</v>
      </c>
      <c r="DD209" s="7">
        <v>94</v>
      </c>
      <c r="DE209" s="7">
        <v>62</v>
      </c>
      <c r="DF209" s="7">
        <v>14</v>
      </c>
      <c r="DG209" s="7">
        <v>0</v>
      </c>
      <c r="DH209" s="7">
        <v>1</v>
      </c>
      <c r="DI209" s="18">
        <f t="shared" si="33"/>
        <v>174</v>
      </c>
      <c r="DJ209" s="18">
        <f t="shared" si="34"/>
        <v>113</v>
      </c>
      <c r="DK209" s="18">
        <f t="shared" si="35"/>
        <v>185</v>
      </c>
      <c r="DL209" s="18">
        <f t="shared" si="36"/>
        <v>17</v>
      </c>
      <c r="DM209" s="18">
        <f t="shared" si="37"/>
        <v>8</v>
      </c>
      <c r="DN209" s="18">
        <f t="shared" si="38"/>
        <v>20</v>
      </c>
      <c r="DO209" s="18">
        <v>313</v>
      </c>
      <c r="DP209" s="18">
        <v>124</v>
      </c>
      <c r="DQ209" s="18">
        <v>313</v>
      </c>
      <c r="DR209" s="18">
        <v>35</v>
      </c>
      <c r="DS209" s="18">
        <v>9</v>
      </c>
      <c r="DT209" s="18">
        <v>35</v>
      </c>
      <c r="DU209" s="18" t="s">
        <v>185</v>
      </c>
    </row>
    <row r="210" spans="54:125" x14ac:dyDescent="0.25">
      <c r="BB210" s="7">
        <v>207</v>
      </c>
      <c r="BC210" s="7" t="s">
        <v>332</v>
      </c>
      <c r="BD210" s="23" t="s">
        <v>185</v>
      </c>
      <c r="BE210" s="26">
        <v>527233349</v>
      </c>
      <c r="BF210" s="25" t="s">
        <v>192</v>
      </c>
      <c r="BG210" s="7">
        <v>97</v>
      </c>
      <c r="BH210" s="7" t="s">
        <v>320</v>
      </c>
      <c r="BI210" s="7" t="s">
        <v>367</v>
      </c>
      <c r="BJ210" s="7">
        <v>24</v>
      </c>
      <c r="BK210" s="9">
        <v>40.277458333333314</v>
      </c>
      <c r="BL210" s="9">
        <v>39.444249999999997</v>
      </c>
      <c r="BM210" s="9">
        <v>39.861111111111114</v>
      </c>
      <c r="BN210" s="9">
        <v>79.721708333333325</v>
      </c>
      <c r="BO210" s="7">
        <v>9</v>
      </c>
      <c r="BP210" s="7">
        <v>11</v>
      </c>
      <c r="BQ210" s="7">
        <v>3</v>
      </c>
      <c r="BR210" s="7">
        <v>1</v>
      </c>
      <c r="BS210" s="7">
        <v>2</v>
      </c>
      <c r="BT210" s="7">
        <v>0</v>
      </c>
      <c r="BU210" s="7">
        <v>13</v>
      </c>
      <c r="BV210" s="7">
        <v>5</v>
      </c>
      <c r="BW210" s="7">
        <v>6</v>
      </c>
      <c r="BX210" s="7">
        <v>0</v>
      </c>
      <c r="BY210" s="7">
        <v>0</v>
      </c>
      <c r="BZ210" s="7">
        <v>0</v>
      </c>
      <c r="CA210" s="7"/>
      <c r="CB210" s="9"/>
      <c r="CC210" s="9"/>
      <c r="CD210" s="9"/>
      <c r="CE210" s="9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>
        <v>24</v>
      </c>
      <c r="CS210" s="9">
        <v>40.277458333333314</v>
      </c>
      <c r="CT210" s="9">
        <v>39.444249999999997</v>
      </c>
      <c r="CU210" s="9">
        <v>39.861111111111114</v>
      </c>
      <c r="CV210" s="9">
        <v>79.721708333333325</v>
      </c>
      <c r="CW210" s="7">
        <v>9</v>
      </c>
      <c r="CX210" s="7">
        <v>11</v>
      </c>
      <c r="CY210" s="7">
        <v>3</v>
      </c>
      <c r="CZ210" s="7">
        <v>1</v>
      </c>
      <c r="DA210" s="7">
        <v>2</v>
      </c>
      <c r="DB210" s="7">
        <v>0</v>
      </c>
      <c r="DC210" s="7">
        <v>13</v>
      </c>
      <c r="DD210" s="7">
        <v>5</v>
      </c>
      <c r="DE210" s="7">
        <v>6</v>
      </c>
      <c r="DF210" s="7">
        <v>0</v>
      </c>
      <c r="DG210" s="7">
        <v>0</v>
      </c>
      <c r="DH210" s="7">
        <v>0</v>
      </c>
      <c r="DI210" s="18">
        <f t="shared" si="33"/>
        <v>300</v>
      </c>
      <c r="DJ210" s="18" t="str">
        <f t="shared" si="34"/>
        <v/>
      </c>
      <c r="DK210" s="18">
        <f t="shared" si="35"/>
        <v>301</v>
      </c>
      <c r="DL210" s="18">
        <f t="shared" si="36"/>
        <v>35</v>
      </c>
      <c r="DM210" s="18" t="str">
        <f t="shared" si="37"/>
        <v/>
      </c>
      <c r="DN210" s="18">
        <f t="shared" si="38"/>
        <v>35</v>
      </c>
      <c r="DO210" s="18">
        <v>313</v>
      </c>
      <c r="DP210" s="18">
        <v>124</v>
      </c>
      <c r="DQ210" s="18">
        <v>313</v>
      </c>
      <c r="DR210" s="18">
        <v>35</v>
      </c>
      <c r="DS210" s="18">
        <v>9</v>
      </c>
      <c r="DT210" s="18">
        <v>35</v>
      </c>
      <c r="DU210" s="18" t="s">
        <v>185</v>
      </c>
    </row>
    <row r="211" spans="54:125" x14ac:dyDescent="0.25">
      <c r="BB211" s="7">
        <v>208</v>
      </c>
      <c r="BC211" s="7" t="s">
        <v>332</v>
      </c>
      <c r="BD211" s="23" t="s">
        <v>185</v>
      </c>
      <c r="BE211" s="26">
        <v>288215384</v>
      </c>
      <c r="BF211" s="25" t="s">
        <v>193</v>
      </c>
      <c r="BG211" s="7">
        <v>101</v>
      </c>
      <c r="BH211" s="7" t="s">
        <v>320</v>
      </c>
      <c r="BI211" s="7" t="s">
        <v>367</v>
      </c>
      <c r="BJ211" s="7">
        <v>132</v>
      </c>
      <c r="BK211" s="9">
        <v>52.752181818181818</v>
      </c>
      <c r="BL211" s="9">
        <v>45.807742424242427</v>
      </c>
      <c r="BM211" s="9">
        <v>49.280303030303038</v>
      </c>
      <c r="BN211" s="9">
        <v>98.559924242424202</v>
      </c>
      <c r="BO211" s="7">
        <v>23</v>
      </c>
      <c r="BP211" s="7">
        <v>57</v>
      </c>
      <c r="BQ211" s="7">
        <v>40</v>
      </c>
      <c r="BR211" s="7">
        <v>12</v>
      </c>
      <c r="BS211" s="7">
        <v>2</v>
      </c>
      <c r="BT211" s="7">
        <v>0</v>
      </c>
      <c r="BU211" s="7">
        <v>32</v>
      </c>
      <c r="BV211" s="7">
        <v>71</v>
      </c>
      <c r="BW211" s="7">
        <v>27</v>
      </c>
      <c r="BX211" s="7">
        <v>2</v>
      </c>
      <c r="BY211" s="7">
        <v>0</v>
      </c>
      <c r="BZ211" s="7">
        <v>0</v>
      </c>
      <c r="CA211" s="7"/>
      <c r="CB211" s="9"/>
      <c r="CC211" s="9"/>
      <c r="CD211" s="9"/>
      <c r="CE211" s="9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>
        <v>132</v>
      </c>
      <c r="CS211" s="9">
        <v>52.752181818181818</v>
      </c>
      <c r="CT211" s="9">
        <v>45.807742424242427</v>
      </c>
      <c r="CU211" s="9">
        <v>49.280303030303038</v>
      </c>
      <c r="CV211" s="9">
        <v>98.559924242424202</v>
      </c>
      <c r="CW211" s="7">
        <v>23</v>
      </c>
      <c r="CX211" s="7">
        <v>57</v>
      </c>
      <c r="CY211" s="7">
        <v>40</v>
      </c>
      <c r="CZ211" s="7">
        <v>12</v>
      </c>
      <c r="DA211" s="7">
        <v>2</v>
      </c>
      <c r="DB211" s="7">
        <v>0</v>
      </c>
      <c r="DC211" s="7">
        <v>32</v>
      </c>
      <c r="DD211" s="7">
        <v>71</v>
      </c>
      <c r="DE211" s="7">
        <v>27</v>
      </c>
      <c r="DF211" s="7">
        <v>2</v>
      </c>
      <c r="DG211" s="7">
        <v>0</v>
      </c>
      <c r="DH211" s="7">
        <v>0</v>
      </c>
      <c r="DI211" s="18">
        <f t="shared" si="33"/>
        <v>277</v>
      </c>
      <c r="DJ211" s="18" t="str">
        <f t="shared" si="34"/>
        <v/>
      </c>
      <c r="DK211" s="18">
        <f t="shared" si="35"/>
        <v>280</v>
      </c>
      <c r="DL211" s="18">
        <f t="shared" si="36"/>
        <v>28</v>
      </c>
      <c r="DM211" s="18" t="str">
        <f t="shared" si="37"/>
        <v/>
      </c>
      <c r="DN211" s="18">
        <f t="shared" si="38"/>
        <v>29</v>
      </c>
      <c r="DO211" s="18">
        <v>313</v>
      </c>
      <c r="DP211" s="18">
        <v>124</v>
      </c>
      <c r="DQ211" s="18">
        <v>313</v>
      </c>
      <c r="DR211" s="18">
        <v>35</v>
      </c>
      <c r="DS211" s="18">
        <v>9</v>
      </c>
      <c r="DT211" s="18">
        <v>35</v>
      </c>
      <c r="DU211" s="18" t="s">
        <v>185</v>
      </c>
    </row>
    <row r="212" spans="54:125" x14ac:dyDescent="0.25">
      <c r="BB212" s="7">
        <v>209</v>
      </c>
      <c r="BC212" s="7" t="s">
        <v>332</v>
      </c>
      <c r="BD212" s="23" t="s">
        <v>185</v>
      </c>
      <c r="BE212" s="26">
        <v>399376199</v>
      </c>
      <c r="BF212" s="25" t="s">
        <v>194</v>
      </c>
      <c r="BG212" s="7">
        <v>104</v>
      </c>
      <c r="BH212" s="7" t="s">
        <v>320</v>
      </c>
      <c r="BI212" s="7" t="s">
        <v>367</v>
      </c>
      <c r="BJ212" s="7">
        <v>228</v>
      </c>
      <c r="BK212" s="9">
        <v>65.189719298245592</v>
      </c>
      <c r="BL212" s="9">
        <v>59.356377192982443</v>
      </c>
      <c r="BM212" s="9">
        <v>62.273391812865498</v>
      </c>
      <c r="BN212" s="9">
        <v>124.54609649122797</v>
      </c>
      <c r="BO212" s="7">
        <v>20</v>
      </c>
      <c r="BP212" s="7">
        <v>73</v>
      </c>
      <c r="BQ212" s="7">
        <v>70</v>
      </c>
      <c r="BR212" s="7">
        <v>65</v>
      </c>
      <c r="BS212" s="7">
        <v>0</v>
      </c>
      <c r="BT212" s="7">
        <v>1</v>
      </c>
      <c r="BU212" s="7">
        <v>21</v>
      </c>
      <c r="BV212" s="7">
        <v>101</v>
      </c>
      <c r="BW212" s="7">
        <v>77</v>
      </c>
      <c r="BX212" s="7">
        <v>29</v>
      </c>
      <c r="BY212" s="7">
        <v>0</v>
      </c>
      <c r="BZ212" s="7">
        <v>0</v>
      </c>
      <c r="CA212" s="7"/>
      <c r="CB212" s="9"/>
      <c r="CC212" s="9"/>
      <c r="CD212" s="9"/>
      <c r="CE212" s="9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>
        <v>228</v>
      </c>
      <c r="CS212" s="9">
        <v>65.189719298245592</v>
      </c>
      <c r="CT212" s="9">
        <v>59.356377192982443</v>
      </c>
      <c r="CU212" s="9">
        <v>62.273391812865498</v>
      </c>
      <c r="CV212" s="9">
        <v>124.54609649122797</v>
      </c>
      <c r="CW212" s="7">
        <v>20</v>
      </c>
      <c r="CX212" s="7">
        <v>73</v>
      </c>
      <c r="CY212" s="7">
        <v>70</v>
      </c>
      <c r="CZ212" s="7">
        <v>65</v>
      </c>
      <c r="DA212" s="7">
        <v>0</v>
      </c>
      <c r="DB212" s="7">
        <v>1</v>
      </c>
      <c r="DC212" s="7">
        <v>21</v>
      </c>
      <c r="DD212" s="7">
        <v>101</v>
      </c>
      <c r="DE212" s="7">
        <v>77</v>
      </c>
      <c r="DF212" s="7">
        <v>29</v>
      </c>
      <c r="DG212" s="7">
        <v>0</v>
      </c>
      <c r="DH212" s="7">
        <v>0</v>
      </c>
      <c r="DI212" s="18">
        <f t="shared" si="33"/>
        <v>101</v>
      </c>
      <c r="DJ212" s="18" t="str">
        <f t="shared" si="34"/>
        <v/>
      </c>
      <c r="DK212" s="18">
        <f t="shared" si="35"/>
        <v>89</v>
      </c>
      <c r="DL212" s="18">
        <f t="shared" si="36"/>
        <v>10</v>
      </c>
      <c r="DM212" s="18" t="str">
        <f t="shared" si="37"/>
        <v/>
      </c>
      <c r="DN212" s="18">
        <f t="shared" si="38"/>
        <v>9</v>
      </c>
      <c r="DO212" s="18">
        <v>313</v>
      </c>
      <c r="DP212" s="18">
        <v>124</v>
      </c>
      <c r="DQ212" s="18">
        <v>313</v>
      </c>
      <c r="DR212" s="18">
        <v>35</v>
      </c>
      <c r="DS212" s="18">
        <v>9</v>
      </c>
      <c r="DT212" s="18">
        <v>35</v>
      </c>
      <c r="DU212" s="18" t="s">
        <v>185</v>
      </c>
    </row>
    <row r="213" spans="54:125" x14ac:dyDescent="0.25">
      <c r="BB213" s="7">
        <v>210</v>
      </c>
      <c r="BC213" s="7" t="s">
        <v>332</v>
      </c>
      <c r="BD213" s="23" t="s">
        <v>185</v>
      </c>
      <c r="BE213" s="26">
        <v>342136762</v>
      </c>
      <c r="BF213" s="25" t="s">
        <v>207</v>
      </c>
      <c r="BG213" s="7">
        <v>114</v>
      </c>
      <c r="BH213" s="7" t="s">
        <v>320</v>
      </c>
      <c r="BI213" s="7" t="s">
        <v>367</v>
      </c>
      <c r="BJ213" s="7">
        <v>214</v>
      </c>
      <c r="BK213" s="9">
        <v>55.52921962616815</v>
      </c>
      <c r="BL213" s="9">
        <v>48.597799065420553</v>
      </c>
      <c r="BM213" s="9">
        <v>52.063862928348925</v>
      </c>
      <c r="BN213" s="9">
        <v>104.12701869158872</v>
      </c>
      <c r="BO213" s="7">
        <v>39</v>
      </c>
      <c r="BP213" s="7">
        <v>84</v>
      </c>
      <c r="BQ213" s="7">
        <v>58</v>
      </c>
      <c r="BR213" s="7">
        <v>33</v>
      </c>
      <c r="BS213" s="7">
        <v>1</v>
      </c>
      <c r="BT213" s="7">
        <v>0</v>
      </c>
      <c r="BU213" s="7">
        <v>53</v>
      </c>
      <c r="BV213" s="7">
        <v>104</v>
      </c>
      <c r="BW213" s="7">
        <v>43</v>
      </c>
      <c r="BX213" s="7">
        <v>14</v>
      </c>
      <c r="BY213" s="7">
        <v>0</v>
      </c>
      <c r="BZ213" s="7">
        <v>0</v>
      </c>
      <c r="CA213" s="7"/>
      <c r="CB213" s="9"/>
      <c r="CC213" s="9"/>
      <c r="CD213" s="9"/>
      <c r="CE213" s="9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>
        <v>214</v>
      </c>
      <c r="CS213" s="9">
        <v>55.52921962616815</v>
      </c>
      <c r="CT213" s="9">
        <v>48.597799065420553</v>
      </c>
      <c r="CU213" s="9">
        <v>52.063862928348925</v>
      </c>
      <c r="CV213" s="9">
        <v>104.12701869158872</v>
      </c>
      <c r="CW213" s="7">
        <v>39</v>
      </c>
      <c r="CX213" s="7">
        <v>84</v>
      </c>
      <c r="CY213" s="7">
        <v>58</v>
      </c>
      <c r="CZ213" s="7">
        <v>33</v>
      </c>
      <c r="DA213" s="7">
        <v>1</v>
      </c>
      <c r="DB213" s="7">
        <v>0</v>
      </c>
      <c r="DC213" s="7">
        <v>53</v>
      </c>
      <c r="DD213" s="7">
        <v>104</v>
      </c>
      <c r="DE213" s="7">
        <v>43</v>
      </c>
      <c r="DF213" s="7">
        <v>14</v>
      </c>
      <c r="DG213" s="7">
        <v>0</v>
      </c>
      <c r="DH213" s="7">
        <v>0</v>
      </c>
      <c r="DI213" s="18">
        <f t="shared" si="33"/>
        <v>263</v>
      </c>
      <c r="DJ213" s="18" t="str">
        <f t="shared" si="34"/>
        <v/>
      </c>
      <c r="DK213" s="18">
        <f t="shared" si="35"/>
        <v>266</v>
      </c>
      <c r="DL213" s="18">
        <f t="shared" si="36"/>
        <v>26</v>
      </c>
      <c r="DM213" s="18" t="str">
        <f t="shared" si="37"/>
        <v/>
      </c>
      <c r="DN213" s="18">
        <f t="shared" si="38"/>
        <v>26</v>
      </c>
      <c r="DO213" s="18">
        <v>313</v>
      </c>
      <c r="DP213" s="18">
        <v>124</v>
      </c>
      <c r="DQ213" s="18">
        <v>313</v>
      </c>
      <c r="DR213" s="18">
        <v>35</v>
      </c>
      <c r="DS213" s="18">
        <v>9</v>
      </c>
      <c r="DT213" s="18">
        <v>35</v>
      </c>
      <c r="DU213" s="18" t="s">
        <v>185</v>
      </c>
    </row>
    <row r="214" spans="54:125" x14ac:dyDescent="0.25">
      <c r="BB214" s="7">
        <v>211</v>
      </c>
      <c r="BC214" s="7" t="s">
        <v>332</v>
      </c>
      <c r="BD214" s="23" t="s">
        <v>185</v>
      </c>
      <c r="BE214" s="26">
        <v>271948086</v>
      </c>
      <c r="BF214" s="25" t="s">
        <v>208</v>
      </c>
      <c r="BG214" s="7">
        <v>118</v>
      </c>
      <c r="BH214" s="7" t="s">
        <v>320</v>
      </c>
      <c r="BI214" s="7" t="s">
        <v>367</v>
      </c>
      <c r="BJ214" s="7">
        <v>185</v>
      </c>
      <c r="BK214" s="9">
        <v>61.819545945945926</v>
      </c>
      <c r="BL214" s="9">
        <v>54.360037837837815</v>
      </c>
      <c r="BM214" s="9">
        <v>58.090090090090094</v>
      </c>
      <c r="BN214" s="9">
        <v>116.17958378378371</v>
      </c>
      <c r="BO214" s="7">
        <v>28</v>
      </c>
      <c r="BP214" s="7">
        <v>54</v>
      </c>
      <c r="BQ214" s="7">
        <v>60</v>
      </c>
      <c r="BR214" s="7">
        <v>43</v>
      </c>
      <c r="BS214" s="7">
        <v>2</v>
      </c>
      <c r="BT214" s="7">
        <v>0</v>
      </c>
      <c r="BU214" s="7">
        <v>28</v>
      </c>
      <c r="BV214" s="7">
        <v>86</v>
      </c>
      <c r="BW214" s="7">
        <v>50</v>
      </c>
      <c r="BX214" s="7">
        <v>21</v>
      </c>
      <c r="BY214" s="7">
        <v>0</v>
      </c>
      <c r="BZ214" s="7">
        <v>0</v>
      </c>
      <c r="CA214" s="7"/>
      <c r="CB214" s="9"/>
      <c r="CC214" s="9"/>
      <c r="CD214" s="9"/>
      <c r="CE214" s="9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>
        <v>185</v>
      </c>
      <c r="CS214" s="9">
        <v>61.819545945945926</v>
      </c>
      <c r="CT214" s="9">
        <v>54.360037837837815</v>
      </c>
      <c r="CU214" s="9">
        <v>58.090090090090094</v>
      </c>
      <c r="CV214" s="9">
        <v>116.17958378378371</v>
      </c>
      <c r="CW214" s="7">
        <v>28</v>
      </c>
      <c r="CX214" s="7">
        <v>54</v>
      </c>
      <c r="CY214" s="7">
        <v>60</v>
      </c>
      <c r="CZ214" s="7">
        <v>43</v>
      </c>
      <c r="DA214" s="7">
        <v>2</v>
      </c>
      <c r="DB214" s="7">
        <v>0</v>
      </c>
      <c r="DC214" s="7">
        <v>28</v>
      </c>
      <c r="DD214" s="7">
        <v>86</v>
      </c>
      <c r="DE214" s="7">
        <v>50</v>
      </c>
      <c r="DF214" s="7">
        <v>21</v>
      </c>
      <c r="DG214" s="7">
        <v>0</v>
      </c>
      <c r="DH214" s="7">
        <v>0</v>
      </c>
      <c r="DI214" s="18">
        <f t="shared" si="33"/>
        <v>168</v>
      </c>
      <c r="DJ214" s="18" t="str">
        <f t="shared" si="34"/>
        <v/>
      </c>
      <c r="DK214" s="18">
        <f t="shared" si="35"/>
        <v>162</v>
      </c>
      <c r="DL214" s="18">
        <f t="shared" si="36"/>
        <v>16</v>
      </c>
      <c r="DM214" s="18" t="str">
        <f t="shared" si="37"/>
        <v/>
      </c>
      <c r="DN214" s="18">
        <f t="shared" si="38"/>
        <v>16</v>
      </c>
      <c r="DO214" s="18">
        <v>313</v>
      </c>
      <c r="DP214" s="18">
        <v>124</v>
      </c>
      <c r="DQ214" s="18">
        <v>313</v>
      </c>
      <c r="DR214" s="18">
        <v>35</v>
      </c>
      <c r="DS214" s="18">
        <v>9</v>
      </c>
      <c r="DT214" s="18">
        <v>35</v>
      </c>
      <c r="DU214" s="18" t="s">
        <v>185</v>
      </c>
    </row>
    <row r="215" spans="54:125" x14ac:dyDescent="0.25">
      <c r="BB215" s="7">
        <v>212</v>
      </c>
      <c r="BC215" s="7" t="s">
        <v>332</v>
      </c>
      <c r="BD215" s="23" t="s">
        <v>185</v>
      </c>
      <c r="BE215" s="26">
        <v>326238619</v>
      </c>
      <c r="BF215" s="25" t="s">
        <v>202</v>
      </c>
      <c r="BG215" s="7">
        <v>140</v>
      </c>
      <c r="BH215" s="7" t="s">
        <v>320</v>
      </c>
      <c r="BI215" s="7" t="s">
        <v>367</v>
      </c>
      <c r="BJ215" s="7">
        <v>21</v>
      </c>
      <c r="BK215" s="9">
        <v>63.650476190476198</v>
      </c>
      <c r="BL215" s="9">
        <v>46.190238095238087</v>
      </c>
      <c r="BM215" s="9">
        <v>54.920634920634924</v>
      </c>
      <c r="BN215" s="9">
        <v>109.8407142857143</v>
      </c>
      <c r="BO215" s="7">
        <v>2</v>
      </c>
      <c r="BP215" s="7">
        <v>8</v>
      </c>
      <c r="BQ215" s="7">
        <v>6</v>
      </c>
      <c r="BR215" s="7">
        <v>5</v>
      </c>
      <c r="BS215" s="7">
        <v>0</v>
      </c>
      <c r="BT215" s="7">
        <v>0</v>
      </c>
      <c r="BU215" s="7">
        <v>7</v>
      </c>
      <c r="BV215" s="7">
        <v>11</v>
      </c>
      <c r="BW215" s="7">
        <v>2</v>
      </c>
      <c r="BX215" s="7">
        <v>1</v>
      </c>
      <c r="BY215" s="7">
        <v>0</v>
      </c>
      <c r="BZ215" s="7">
        <v>0</v>
      </c>
      <c r="CA215" s="7"/>
      <c r="CB215" s="9"/>
      <c r="CC215" s="9"/>
      <c r="CD215" s="9"/>
      <c r="CE215" s="9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>
        <v>21</v>
      </c>
      <c r="CS215" s="9">
        <v>63.650476190476198</v>
      </c>
      <c r="CT215" s="9">
        <v>46.190238095238087</v>
      </c>
      <c r="CU215" s="9">
        <v>54.920634920634924</v>
      </c>
      <c r="CV215" s="9">
        <v>109.8407142857143</v>
      </c>
      <c r="CW215" s="7">
        <v>2</v>
      </c>
      <c r="CX215" s="7">
        <v>8</v>
      </c>
      <c r="CY215" s="7">
        <v>6</v>
      </c>
      <c r="CZ215" s="7">
        <v>5</v>
      </c>
      <c r="DA215" s="7">
        <v>0</v>
      </c>
      <c r="DB215" s="7">
        <v>0</v>
      </c>
      <c r="DC215" s="7">
        <v>7</v>
      </c>
      <c r="DD215" s="7">
        <v>11</v>
      </c>
      <c r="DE215" s="7">
        <v>2</v>
      </c>
      <c r="DF215" s="7">
        <v>1</v>
      </c>
      <c r="DG215" s="7">
        <v>0</v>
      </c>
      <c r="DH215" s="7">
        <v>0</v>
      </c>
      <c r="DI215" s="18">
        <f t="shared" si="33"/>
        <v>217</v>
      </c>
      <c r="DJ215" s="18" t="str">
        <f t="shared" si="34"/>
        <v/>
      </c>
      <c r="DK215" s="18">
        <f t="shared" si="35"/>
        <v>223</v>
      </c>
      <c r="DL215" s="18">
        <f t="shared" si="36"/>
        <v>20</v>
      </c>
      <c r="DM215" s="18" t="str">
        <f t="shared" si="37"/>
        <v/>
      </c>
      <c r="DN215" s="18">
        <f t="shared" si="38"/>
        <v>21</v>
      </c>
      <c r="DO215" s="18">
        <v>313</v>
      </c>
      <c r="DP215" s="18">
        <v>124</v>
      </c>
      <c r="DQ215" s="18">
        <v>313</v>
      </c>
      <c r="DR215" s="18">
        <v>35</v>
      </c>
      <c r="DS215" s="18">
        <v>9</v>
      </c>
      <c r="DT215" s="18">
        <v>35</v>
      </c>
      <c r="DU215" s="18" t="s">
        <v>185</v>
      </c>
    </row>
    <row r="216" spans="54:125" x14ac:dyDescent="0.25">
      <c r="BB216" s="7">
        <v>213</v>
      </c>
      <c r="BC216" s="7" t="s">
        <v>332</v>
      </c>
      <c r="BD216" s="23" t="s">
        <v>185</v>
      </c>
      <c r="BE216" s="26">
        <v>636935197</v>
      </c>
      <c r="BF216" s="25" t="s">
        <v>203</v>
      </c>
      <c r="BG216" s="7">
        <v>141</v>
      </c>
      <c r="BH216" s="7" t="s">
        <v>320</v>
      </c>
      <c r="BI216" s="7" t="s">
        <v>368</v>
      </c>
      <c r="BJ216" s="7">
        <v>90</v>
      </c>
      <c r="BK216" s="9">
        <v>59.555200000000021</v>
      </c>
      <c r="BL216" s="9">
        <v>55.295911111111138</v>
      </c>
      <c r="BM216" s="9">
        <v>57.42592592592591</v>
      </c>
      <c r="BN216" s="9">
        <v>114.85111111111108</v>
      </c>
      <c r="BO216" s="7">
        <v>6</v>
      </c>
      <c r="BP216" s="7">
        <v>37</v>
      </c>
      <c r="BQ216" s="7">
        <v>37</v>
      </c>
      <c r="BR216" s="7">
        <v>10</v>
      </c>
      <c r="BS216" s="7">
        <v>0</v>
      </c>
      <c r="BT216" s="7">
        <v>1</v>
      </c>
      <c r="BU216" s="7">
        <v>8</v>
      </c>
      <c r="BV216" s="7">
        <v>47</v>
      </c>
      <c r="BW216" s="7">
        <v>28</v>
      </c>
      <c r="BX216" s="7">
        <v>7</v>
      </c>
      <c r="BY216" s="7">
        <v>0</v>
      </c>
      <c r="BZ216" s="7">
        <v>0</v>
      </c>
      <c r="CA216" s="7">
        <v>111</v>
      </c>
      <c r="CB216" s="9">
        <v>64.35402702702703</v>
      </c>
      <c r="CC216" s="9">
        <v>60.360054054054039</v>
      </c>
      <c r="CD216" s="9">
        <v>62.357357357357358</v>
      </c>
      <c r="CE216" s="9">
        <v>124.71408108108102</v>
      </c>
      <c r="CF216" s="7">
        <v>8</v>
      </c>
      <c r="CG216" s="7">
        <v>34</v>
      </c>
      <c r="CH216" s="7">
        <v>54</v>
      </c>
      <c r="CI216" s="7">
        <v>15</v>
      </c>
      <c r="CJ216" s="7">
        <v>0</v>
      </c>
      <c r="CK216" s="7">
        <v>0</v>
      </c>
      <c r="CL216" s="7">
        <v>11</v>
      </c>
      <c r="CM216" s="7">
        <v>46</v>
      </c>
      <c r="CN216" s="7">
        <v>41</v>
      </c>
      <c r="CO216" s="7">
        <v>13</v>
      </c>
      <c r="CP216" s="7">
        <v>0</v>
      </c>
      <c r="CQ216" s="7">
        <v>0</v>
      </c>
      <c r="CR216" s="7">
        <v>201</v>
      </c>
      <c r="CS216" s="9">
        <v>62.205298507462636</v>
      </c>
      <c r="CT216" s="9">
        <v>58.092527363184082</v>
      </c>
      <c r="CU216" s="9">
        <v>60.149253731343265</v>
      </c>
      <c r="CV216" s="9">
        <v>120.29782587064666</v>
      </c>
      <c r="CW216" s="7">
        <v>14</v>
      </c>
      <c r="CX216" s="7">
        <v>71</v>
      </c>
      <c r="CY216" s="7">
        <v>91</v>
      </c>
      <c r="CZ216" s="7">
        <v>25</v>
      </c>
      <c r="DA216" s="7">
        <v>0</v>
      </c>
      <c r="DB216" s="7">
        <v>1</v>
      </c>
      <c r="DC216" s="7">
        <v>19</v>
      </c>
      <c r="DD216" s="7">
        <v>93</v>
      </c>
      <c r="DE216" s="7">
        <v>69</v>
      </c>
      <c r="DF216" s="7">
        <v>20</v>
      </c>
      <c r="DG216" s="7">
        <v>0</v>
      </c>
      <c r="DH216" s="7">
        <v>0</v>
      </c>
      <c r="DI216" s="18">
        <f t="shared" si="33"/>
        <v>179</v>
      </c>
      <c r="DJ216" s="18">
        <f t="shared" si="34"/>
        <v>33</v>
      </c>
      <c r="DK216" s="18">
        <f t="shared" si="35"/>
        <v>128</v>
      </c>
      <c r="DL216" s="18">
        <f t="shared" si="36"/>
        <v>18</v>
      </c>
      <c r="DM216" s="18">
        <f t="shared" si="37"/>
        <v>2</v>
      </c>
      <c r="DN216" s="18">
        <f t="shared" si="38"/>
        <v>12</v>
      </c>
      <c r="DO216" s="18">
        <v>313</v>
      </c>
      <c r="DP216" s="18">
        <v>124</v>
      </c>
      <c r="DQ216" s="18">
        <v>313</v>
      </c>
      <c r="DR216" s="18">
        <v>35</v>
      </c>
      <c r="DS216" s="18">
        <v>9</v>
      </c>
      <c r="DT216" s="18">
        <v>35</v>
      </c>
      <c r="DU216" s="18" t="s">
        <v>185</v>
      </c>
    </row>
    <row r="217" spans="54:125" x14ac:dyDescent="0.25">
      <c r="BB217" s="7">
        <v>214</v>
      </c>
      <c r="BC217" s="7" t="s">
        <v>332</v>
      </c>
      <c r="BD217" s="23" t="s">
        <v>185</v>
      </c>
      <c r="BE217" s="26">
        <v>663931258</v>
      </c>
      <c r="BF217" s="25" t="s">
        <v>204</v>
      </c>
      <c r="BG217" s="7">
        <v>146</v>
      </c>
      <c r="BH217" s="7" t="s">
        <v>320</v>
      </c>
      <c r="BI217" s="7" t="s">
        <v>367</v>
      </c>
      <c r="BJ217" s="7">
        <v>150</v>
      </c>
      <c r="BK217" s="9">
        <v>65.066326666666654</v>
      </c>
      <c r="BL217" s="9">
        <v>57.710733333333351</v>
      </c>
      <c r="BM217" s="9">
        <v>61.388888888888907</v>
      </c>
      <c r="BN217" s="9">
        <v>122.77705999999996</v>
      </c>
      <c r="BO217" s="7">
        <v>11</v>
      </c>
      <c r="BP217" s="7">
        <v>49</v>
      </c>
      <c r="BQ217" s="7">
        <v>56</v>
      </c>
      <c r="BR217" s="7">
        <v>34</v>
      </c>
      <c r="BS217" s="7">
        <v>1</v>
      </c>
      <c r="BT217" s="7">
        <v>0</v>
      </c>
      <c r="BU217" s="7">
        <v>11</v>
      </c>
      <c r="BV217" s="7">
        <v>74</v>
      </c>
      <c r="BW217" s="7">
        <v>45</v>
      </c>
      <c r="BX217" s="7">
        <v>20</v>
      </c>
      <c r="BY217" s="7">
        <v>0</v>
      </c>
      <c r="BZ217" s="7">
        <v>0</v>
      </c>
      <c r="CA217" s="7"/>
      <c r="CB217" s="9"/>
      <c r="CC217" s="9"/>
      <c r="CD217" s="9"/>
      <c r="CE217" s="9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>
        <v>150</v>
      </c>
      <c r="CS217" s="9">
        <v>65.066326666666654</v>
      </c>
      <c r="CT217" s="9">
        <v>57.710733333333351</v>
      </c>
      <c r="CU217" s="9">
        <v>61.388888888888907</v>
      </c>
      <c r="CV217" s="9">
        <v>122.77705999999996</v>
      </c>
      <c r="CW217" s="7">
        <v>11</v>
      </c>
      <c r="CX217" s="7">
        <v>49</v>
      </c>
      <c r="CY217" s="7">
        <v>56</v>
      </c>
      <c r="CZ217" s="7">
        <v>34</v>
      </c>
      <c r="DA217" s="7">
        <v>1</v>
      </c>
      <c r="DB217" s="7">
        <v>0</v>
      </c>
      <c r="DC217" s="7">
        <v>11</v>
      </c>
      <c r="DD217" s="7">
        <v>74</v>
      </c>
      <c r="DE217" s="7">
        <v>45</v>
      </c>
      <c r="DF217" s="7">
        <v>20</v>
      </c>
      <c r="DG217" s="7">
        <v>0</v>
      </c>
      <c r="DH217" s="7">
        <v>0</v>
      </c>
      <c r="DI217" s="18">
        <f t="shared" si="33"/>
        <v>108</v>
      </c>
      <c r="DJ217" s="18" t="str">
        <f t="shared" si="34"/>
        <v/>
      </c>
      <c r="DK217" s="18">
        <f t="shared" si="35"/>
        <v>104</v>
      </c>
      <c r="DL217" s="18">
        <f t="shared" si="36"/>
        <v>11</v>
      </c>
      <c r="DM217" s="18" t="str">
        <f t="shared" si="37"/>
        <v/>
      </c>
      <c r="DN217" s="18">
        <f t="shared" si="38"/>
        <v>11</v>
      </c>
      <c r="DO217" s="18">
        <v>313</v>
      </c>
      <c r="DP217" s="18">
        <v>124</v>
      </c>
      <c r="DQ217" s="18">
        <v>313</v>
      </c>
      <c r="DR217" s="18">
        <v>35</v>
      </c>
      <c r="DS217" s="18">
        <v>9</v>
      </c>
      <c r="DT217" s="18">
        <v>35</v>
      </c>
      <c r="DU217" s="18" t="s">
        <v>185</v>
      </c>
    </row>
    <row r="218" spans="54:125" x14ac:dyDescent="0.25">
      <c r="BB218" s="7">
        <v>215</v>
      </c>
      <c r="BC218" s="7" t="s">
        <v>332</v>
      </c>
      <c r="BD218" s="23" t="s">
        <v>185</v>
      </c>
      <c r="BE218" s="26">
        <v>161071653</v>
      </c>
      <c r="BF218" s="25" t="s">
        <v>205</v>
      </c>
      <c r="BG218" s="7">
        <v>154</v>
      </c>
      <c r="BH218" s="7" t="s">
        <v>320</v>
      </c>
      <c r="BI218" s="7" t="s">
        <v>368</v>
      </c>
      <c r="BJ218" s="7">
        <v>19</v>
      </c>
      <c r="BK218" s="9">
        <v>50.350578947368405</v>
      </c>
      <c r="BL218" s="9">
        <v>45.438210526315771</v>
      </c>
      <c r="BM218" s="9">
        <v>47.894736842105267</v>
      </c>
      <c r="BN218" s="9">
        <v>95.788789473684204</v>
      </c>
      <c r="BO218" s="7">
        <v>4</v>
      </c>
      <c r="BP218" s="7">
        <v>8</v>
      </c>
      <c r="BQ218" s="7">
        <v>5</v>
      </c>
      <c r="BR218" s="7">
        <v>2</v>
      </c>
      <c r="BS218" s="7">
        <v>0</v>
      </c>
      <c r="BT218" s="7">
        <v>0</v>
      </c>
      <c r="BU218" s="7">
        <v>5</v>
      </c>
      <c r="BV218" s="7">
        <v>10</v>
      </c>
      <c r="BW218" s="7">
        <v>4</v>
      </c>
      <c r="BX218" s="7">
        <v>0</v>
      </c>
      <c r="BY218" s="7">
        <v>0</v>
      </c>
      <c r="BZ218" s="7">
        <v>0</v>
      </c>
      <c r="CA218" s="7">
        <v>40</v>
      </c>
      <c r="CB218" s="9">
        <v>55.583024999999999</v>
      </c>
      <c r="CC218" s="9">
        <v>47.166325000000001</v>
      </c>
      <c r="CD218" s="9">
        <v>51.375000000000014</v>
      </c>
      <c r="CE218" s="9">
        <v>102.74935000000001</v>
      </c>
      <c r="CF218" s="7">
        <v>4</v>
      </c>
      <c r="CG218" s="7">
        <v>19</v>
      </c>
      <c r="CH218" s="7">
        <v>16</v>
      </c>
      <c r="CI218" s="7">
        <v>1</v>
      </c>
      <c r="CJ218" s="7">
        <v>0</v>
      </c>
      <c r="CK218" s="7">
        <v>0</v>
      </c>
      <c r="CL218" s="7">
        <v>7</v>
      </c>
      <c r="CM218" s="7">
        <v>26</v>
      </c>
      <c r="CN218" s="7">
        <v>6</v>
      </c>
      <c r="CO218" s="7">
        <v>1</v>
      </c>
      <c r="CP218" s="7">
        <v>0</v>
      </c>
      <c r="CQ218" s="7">
        <v>0</v>
      </c>
      <c r="CR218" s="7">
        <v>59</v>
      </c>
      <c r="CS218" s="9">
        <v>53.898000000000017</v>
      </c>
      <c r="CT218" s="9">
        <v>46.609813559322063</v>
      </c>
      <c r="CU218" s="9">
        <v>50.254237288135577</v>
      </c>
      <c r="CV218" s="9">
        <v>100.50781355932202</v>
      </c>
      <c r="CW218" s="7">
        <v>8</v>
      </c>
      <c r="CX218" s="7">
        <v>27</v>
      </c>
      <c r="CY218" s="7">
        <v>21</v>
      </c>
      <c r="CZ218" s="7">
        <v>3</v>
      </c>
      <c r="DA218" s="7">
        <v>0</v>
      </c>
      <c r="DB218" s="7">
        <v>0</v>
      </c>
      <c r="DC218" s="7">
        <v>12</v>
      </c>
      <c r="DD218" s="7">
        <v>36</v>
      </c>
      <c r="DE218" s="7">
        <v>10</v>
      </c>
      <c r="DF218" s="7">
        <v>1</v>
      </c>
      <c r="DG218" s="7">
        <v>0</v>
      </c>
      <c r="DH218" s="7">
        <v>0</v>
      </c>
      <c r="DI218" s="18">
        <f t="shared" si="33"/>
        <v>286</v>
      </c>
      <c r="DJ218" s="18">
        <f t="shared" si="34"/>
        <v>115</v>
      </c>
      <c r="DK218" s="18">
        <f t="shared" si="35"/>
        <v>277</v>
      </c>
      <c r="DL218" s="18">
        <f t="shared" si="36"/>
        <v>33</v>
      </c>
      <c r="DM218" s="18">
        <f t="shared" si="37"/>
        <v>9</v>
      </c>
      <c r="DN218" s="18">
        <f t="shared" si="38"/>
        <v>28</v>
      </c>
      <c r="DO218" s="18">
        <v>313</v>
      </c>
      <c r="DP218" s="18">
        <v>124</v>
      </c>
      <c r="DQ218" s="18">
        <v>313</v>
      </c>
      <c r="DR218" s="18">
        <v>35</v>
      </c>
      <c r="DS218" s="18">
        <v>9</v>
      </c>
      <c r="DT218" s="18">
        <v>35</v>
      </c>
      <c r="DU218" s="18" t="s">
        <v>185</v>
      </c>
    </row>
    <row r="219" spans="54:125" x14ac:dyDescent="0.25">
      <c r="BB219" s="7">
        <v>216</v>
      </c>
      <c r="BC219" s="7" t="s">
        <v>332</v>
      </c>
      <c r="BD219" s="23" t="s">
        <v>185</v>
      </c>
      <c r="BE219" s="26">
        <v>280546060</v>
      </c>
      <c r="BF219" s="25" t="s">
        <v>297</v>
      </c>
      <c r="BG219" s="7">
        <v>172</v>
      </c>
      <c r="BH219" s="7" t="s">
        <v>320</v>
      </c>
      <c r="BI219" s="7" t="s">
        <v>367</v>
      </c>
      <c r="BJ219" s="7">
        <v>57</v>
      </c>
      <c r="BK219" s="9">
        <v>56.432403508771962</v>
      </c>
      <c r="BL219" s="9">
        <v>46.666333333333363</v>
      </c>
      <c r="BM219" s="9">
        <v>51.549707602339176</v>
      </c>
      <c r="BN219" s="9">
        <v>103.09873684210524</v>
      </c>
      <c r="BO219" s="7">
        <v>10</v>
      </c>
      <c r="BP219" s="7">
        <v>19</v>
      </c>
      <c r="BQ219" s="7">
        <v>20</v>
      </c>
      <c r="BR219" s="7">
        <v>8</v>
      </c>
      <c r="BS219" s="7">
        <v>1</v>
      </c>
      <c r="BT219" s="7">
        <v>0</v>
      </c>
      <c r="BU219" s="7">
        <v>11</v>
      </c>
      <c r="BV219" s="7">
        <v>35</v>
      </c>
      <c r="BW219" s="7">
        <v>10</v>
      </c>
      <c r="BX219" s="7">
        <v>1</v>
      </c>
      <c r="BY219" s="7">
        <v>0</v>
      </c>
      <c r="BZ219" s="7">
        <v>0</v>
      </c>
      <c r="CA219" s="7"/>
      <c r="CB219" s="9"/>
      <c r="CC219" s="9"/>
      <c r="CD219" s="9"/>
      <c r="CE219" s="9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>
        <v>57</v>
      </c>
      <c r="CS219" s="9">
        <v>56.432403508771962</v>
      </c>
      <c r="CT219" s="9">
        <v>46.666333333333363</v>
      </c>
      <c r="CU219" s="9">
        <v>51.549707602339176</v>
      </c>
      <c r="CV219" s="9">
        <v>103.09873684210524</v>
      </c>
      <c r="CW219" s="7">
        <v>10</v>
      </c>
      <c r="CX219" s="7">
        <v>19</v>
      </c>
      <c r="CY219" s="7">
        <v>20</v>
      </c>
      <c r="CZ219" s="7">
        <v>8</v>
      </c>
      <c r="DA219" s="7">
        <v>1</v>
      </c>
      <c r="DB219" s="7">
        <v>0</v>
      </c>
      <c r="DC219" s="7">
        <v>11</v>
      </c>
      <c r="DD219" s="7">
        <v>35</v>
      </c>
      <c r="DE219" s="7">
        <v>10</v>
      </c>
      <c r="DF219" s="7">
        <v>1</v>
      </c>
      <c r="DG219" s="7">
        <v>0</v>
      </c>
      <c r="DH219" s="7">
        <v>0</v>
      </c>
      <c r="DI219" s="18">
        <f t="shared" si="33"/>
        <v>267</v>
      </c>
      <c r="DJ219" s="18" t="str">
        <f t="shared" si="34"/>
        <v/>
      </c>
      <c r="DK219" s="18">
        <f t="shared" si="35"/>
        <v>269</v>
      </c>
      <c r="DL219" s="18">
        <f t="shared" si="36"/>
        <v>27</v>
      </c>
      <c r="DM219" s="18" t="str">
        <f t="shared" si="37"/>
        <v/>
      </c>
      <c r="DN219" s="18">
        <f t="shared" si="38"/>
        <v>27</v>
      </c>
      <c r="DO219" s="18">
        <v>313</v>
      </c>
      <c r="DP219" s="18">
        <v>124</v>
      </c>
      <c r="DQ219" s="18">
        <v>313</v>
      </c>
      <c r="DR219" s="18">
        <v>35</v>
      </c>
      <c r="DS219" s="18">
        <v>9</v>
      </c>
      <c r="DT219" s="18">
        <v>35</v>
      </c>
      <c r="DU219" s="18" t="s">
        <v>185</v>
      </c>
    </row>
    <row r="220" spans="54:125" x14ac:dyDescent="0.25">
      <c r="BB220" s="7">
        <v>217</v>
      </c>
      <c r="BC220" s="7" t="s">
        <v>332</v>
      </c>
      <c r="BD220" s="23" t="s">
        <v>185</v>
      </c>
      <c r="BE220" s="26">
        <v>120179195</v>
      </c>
      <c r="BF220" s="25" t="s">
        <v>209</v>
      </c>
      <c r="BG220" s="7">
        <v>196</v>
      </c>
      <c r="BH220" s="7" t="s">
        <v>320</v>
      </c>
      <c r="BI220" s="7" t="s">
        <v>367</v>
      </c>
      <c r="BJ220" s="7">
        <v>77</v>
      </c>
      <c r="BK220" s="9">
        <v>51.861142857142902</v>
      </c>
      <c r="BL220" s="9">
        <v>45.32429870129873</v>
      </c>
      <c r="BM220" s="9">
        <v>48.593073593073584</v>
      </c>
      <c r="BN220" s="9">
        <v>97.185441558441582</v>
      </c>
      <c r="BO220" s="7">
        <v>21</v>
      </c>
      <c r="BP220" s="7">
        <v>23</v>
      </c>
      <c r="BQ220" s="7">
        <v>29</v>
      </c>
      <c r="BR220" s="7">
        <v>4</v>
      </c>
      <c r="BS220" s="7">
        <v>1</v>
      </c>
      <c r="BT220" s="7">
        <v>0</v>
      </c>
      <c r="BU220" s="7">
        <v>16</v>
      </c>
      <c r="BV220" s="7">
        <v>47</v>
      </c>
      <c r="BW220" s="7">
        <v>12</v>
      </c>
      <c r="BX220" s="7">
        <v>2</v>
      </c>
      <c r="BY220" s="7">
        <v>0</v>
      </c>
      <c r="BZ220" s="7">
        <v>0</v>
      </c>
      <c r="CA220" s="7"/>
      <c r="CB220" s="9"/>
      <c r="CC220" s="9"/>
      <c r="CD220" s="9"/>
      <c r="CE220" s="9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>
        <v>77</v>
      </c>
      <c r="CS220" s="9">
        <v>51.861142857142902</v>
      </c>
      <c r="CT220" s="9">
        <v>45.32429870129873</v>
      </c>
      <c r="CU220" s="9">
        <v>48.593073593073584</v>
      </c>
      <c r="CV220" s="9">
        <v>97.185441558441582</v>
      </c>
      <c r="CW220" s="7">
        <v>21</v>
      </c>
      <c r="CX220" s="7">
        <v>23</v>
      </c>
      <c r="CY220" s="7">
        <v>29</v>
      </c>
      <c r="CZ220" s="7">
        <v>4</v>
      </c>
      <c r="DA220" s="7">
        <v>1</v>
      </c>
      <c r="DB220" s="7">
        <v>0</v>
      </c>
      <c r="DC220" s="7">
        <v>16</v>
      </c>
      <c r="DD220" s="7">
        <v>47</v>
      </c>
      <c r="DE220" s="7">
        <v>12</v>
      </c>
      <c r="DF220" s="7">
        <v>2</v>
      </c>
      <c r="DG220" s="7">
        <v>0</v>
      </c>
      <c r="DH220" s="7">
        <v>0</v>
      </c>
      <c r="DI220" s="18">
        <f t="shared" si="33"/>
        <v>281</v>
      </c>
      <c r="DJ220" s="18" t="str">
        <f t="shared" si="34"/>
        <v/>
      </c>
      <c r="DK220" s="18">
        <f t="shared" si="35"/>
        <v>285</v>
      </c>
      <c r="DL220" s="18">
        <f t="shared" si="36"/>
        <v>30</v>
      </c>
      <c r="DM220" s="18" t="str">
        <f t="shared" si="37"/>
        <v/>
      </c>
      <c r="DN220" s="18">
        <f t="shared" si="38"/>
        <v>31</v>
      </c>
      <c r="DO220" s="18">
        <v>313</v>
      </c>
      <c r="DP220" s="18">
        <v>124</v>
      </c>
      <c r="DQ220" s="18">
        <v>313</v>
      </c>
      <c r="DR220" s="18">
        <v>35</v>
      </c>
      <c r="DS220" s="18">
        <v>9</v>
      </c>
      <c r="DT220" s="18">
        <v>35</v>
      </c>
      <c r="DU220" s="18" t="s">
        <v>185</v>
      </c>
    </row>
    <row r="221" spans="54:125" x14ac:dyDescent="0.25">
      <c r="BB221" s="7">
        <v>218</v>
      </c>
      <c r="BC221" s="7" t="s">
        <v>332</v>
      </c>
      <c r="BD221" s="23" t="s">
        <v>185</v>
      </c>
      <c r="BE221" s="26">
        <v>262556401</v>
      </c>
      <c r="BF221" s="25" t="s">
        <v>195</v>
      </c>
      <c r="BG221" s="7">
        <v>208</v>
      </c>
      <c r="BH221" s="7" t="s">
        <v>320</v>
      </c>
      <c r="BI221" s="7" t="s">
        <v>367</v>
      </c>
      <c r="BJ221" s="7">
        <v>30</v>
      </c>
      <c r="BK221" s="9">
        <v>43.888566666666662</v>
      </c>
      <c r="BL221" s="9">
        <v>39.777399999999993</v>
      </c>
      <c r="BM221" s="9">
        <v>41.833333333333336</v>
      </c>
      <c r="BN221" s="9">
        <v>83.665966666666662</v>
      </c>
      <c r="BO221" s="7">
        <v>6</v>
      </c>
      <c r="BP221" s="7">
        <v>20</v>
      </c>
      <c r="BQ221" s="7">
        <v>3</v>
      </c>
      <c r="BR221" s="7">
        <v>1</v>
      </c>
      <c r="BS221" s="7">
        <v>1</v>
      </c>
      <c r="BT221" s="7">
        <v>0</v>
      </c>
      <c r="BU221" s="7">
        <v>9</v>
      </c>
      <c r="BV221" s="7">
        <v>19</v>
      </c>
      <c r="BW221" s="7">
        <v>2</v>
      </c>
      <c r="BX221" s="7">
        <v>0</v>
      </c>
      <c r="BY221" s="7">
        <v>0</v>
      </c>
      <c r="BZ221" s="7">
        <v>0</v>
      </c>
      <c r="CA221" s="7"/>
      <c r="CB221" s="9"/>
      <c r="CC221" s="9"/>
      <c r="CD221" s="9"/>
      <c r="CE221" s="9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>
        <v>30</v>
      </c>
      <c r="CS221" s="9">
        <v>43.888566666666662</v>
      </c>
      <c r="CT221" s="9">
        <v>39.777399999999993</v>
      </c>
      <c r="CU221" s="9">
        <v>41.833333333333336</v>
      </c>
      <c r="CV221" s="9">
        <v>83.665966666666662</v>
      </c>
      <c r="CW221" s="7">
        <v>6</v>
      </c>
      <c r="CX221" s="7">
        <v>20</v>
      </c>
      <c r="CY221" s="7">
        <v>3</v>
      </c>
      <c r="CZ221" s="7">
        <v>1</v>
      </c>
      <c r="DA221" s="7">
        <v>1</v>
      </c>
      <c r="DB221" s="7">
        <v>0</v>
      </c>
      <c r="DC221" s="7">
        <v>9</v>
      </c>
      <c r="DD221" s="7">
        <v>19</v>
      </c>
      <c r="DE221" s="7">
        <v>2</v>
      </c>
      <c r="DF221" s="7">
        <v>0</v>
      </c>
      <c r="DG221" s="7">
        <v>0</v>
      </c>
      <c r="DH221" s="7">
        <v>0</v>
      </c>
      <c r="DI221" s="18">
        <f t="shared" si="33"/>
        <v>297</v>
      </c>
      <c r="DJ221" s="18" t="str">
        <f t="shared" si="34"/>
        <v/>
      </c>
      <c r="DK221" s="18">
        <f t="shared" si="35"/>
        <v>298</v>
      </c>
      <c r="DL221" s="18">
        <f t="shared" si="36"/>
        <v>34</v>
      </c>
      <c r="DM221" s="18" t="str">
        <f t="shared" si="37"/>
        <v/>
      </c>
      <c r="DN221" s="18">
        <f t="shared" si="38"/>
        <v>34</v>
      </c>
      <c r="DO221" s="18">
        <v>313</v>
      </c>
      <c r="DP221" s="18">
        <v>124</v>
      </c>
      <c r="DQ221" s="18">
        <v>313</v>
      </c>
      <c r="DR221" s="18">
        <v>35</v>
      </c>
      <c r="DS221" s="18">
        <v>9</v>
      </c>
      <c r="DT221" s="18">
        <v>35</v>
      </c>
      <c r="DU221" s="18" t="s">
        <v>185</v>
      </c>
    </row>
    <row r="222" spans="54:125" x14ac:dyDescent="0.25">
      <c r="BB222" s="7">
        <v>219</v>
      </c>
      <c r="BC222" s="7" t="s">
        <v>332</v>
      </c>
      <c r="BD222" s="23" t="s">
        <v>185</v>
      </c>
      <c r="BE222" s="26">
        <v>804820145</v>
      </c>
      <c r="BF222" s="25" t="s">
        <v>210</v>
      </c>
      <c r="BG222" s="7">
        <v>226</v>
      </c>
      <c r="BH222" s="7" t="s">
        <v>320</v>
      </c>
      <c r="BI222" s="7" t="s">
        <v>367</v>
      </c>
      <c r="BJ222" s="7">
        <v>60</v>
      </c>
      <c r="BK222" s="9">
        <v>50.888583333333365</v>
      </c>
      <c r="BL222" s="9">
        <v>45.166416666666692</v>
      </c>
      <c r="BM222" s="9">
        <v>48.027777777777779</v>
      </c>
      <c r="BN222" s="9">
        <v>96.054999999999978</v>
      </c>
      <c r="BO222" s="7">
        <v>11</v>
      </c>
      <c r="BP222" s="7">
        <v>31</v>
      </c>
      <c r="BQ222" s="7">
        <v>16</v>
      </c>
      <c r="BR222" s="7">
        <v>2</v>
      </c>
      <c r="BS222" s="7">
        <v>1</v>
      </c>
      <c r="BT222" s="7">
        <v>0</v>
      </c>
      <c r="BU222" s="7">
        <v>16</v>
      </c>
      <c r="BV222" s="7">
        <v>31</v>
      </c>
      <c r="BW222" s="7">
        <v>12</v>
      </c>
      <c r="BX222" s="7">
        <v>1</v>
      </c>
      <c r="BY222" s="7">
        <v>0</v>
      </c>
      <c r="BZ222" s="7">
        <v>0</v>
      </c>
      <c r="CA222" s="7"/>
      <c r="CB222" s="9"/>
      <c r="CC222" s="9"/>
      <c r="CD222" s="9"/>
      <c r="CE222" s="9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>
        <v>60</v>
      </c>
      <c r="CS222" s="9">
        <v>50.888583333333365</v>
      </c>
      <c r="CT222" s="9">
        <v>45.166416666666692</v>
      </c>
      <c r="CU222" s="9">
        <v>48.027777777777779</v>
      </c>
      <c r="CV222" s="9">
        <v>96.054999999999978</v>
      </c>
      <c r="CW222" s="7">
        <v>11</v>
      </c>
      <c r="CX222" s="7">
        <v>31</v>
      </c>
      <c r="CY222" s="7">
        <v>16</v>
      </c>
      <c r="CZ222" s="7">
        <v>2</v>
      </c>
      <c r="DA222" s="7">
        <v>1</v>
      </c>
      <c r="DB222" s="7">
        <v>0</v>
      </c>
      <c r="DC222" s="7">
        <v>16</v>
      </c>
      <c r="DD222" s="7">
        <v>31</v>
      </c>
      <c r="DE222" s="7">
        <v>12</v>
      </c>
      <c r="DF222" s="7">
        <v>1</v>
      </c>
      <c r="DG222" s="7">
        <v>0</v>
      </c>
      <c r="DH222" s="7">
        <v>0</v>
      </c>
      <c r="DI222" s="18">
        <f t="shared" si="33"/>
        <v>285</v>
      </c>
      <c r="DJ222" s="18" t="str">
        <f t="shared" si="34"/>
        <v/>
      </c>
      <c r="DK222" s="18">
        <f t="shared" si="35"/>
        <v>288</v>
      </c>
      <c r="DL222" s="18">
        <f t="shared" si="36"/>
        <v>32</v>
      </c>
      <c r="DM222" s="18" t="str">
        <f t="shared" si="37"/>
        <v/>
      </c>
      <c r="DN222" s="18">
        <f t="shared" si="38"/>
        <v>33</v>
      </c>
      <c r="DO222" s="18">
        <v>313</v>
      </c>
      <c r="DP222" s="18">
        <v>124</v>
      </c>
      <c r="DQ222" s="18">
        <v>313</v>
      </c>
      <c r="DR222" s="18">
        <v>35</v>
      </c>
      <c r="DS222" s="18">
        <v>9</v>
      </c>
      <c r="DT222" s="18">
        <v>35</v>
      </c>
      <c r="DU222" s="18" t="s">
        <v>185</v>
      </c>
    </row>
    <row r="223" spans="54:125" x14ac:dyDescent="0.25">
      <c r="BB223" s="7">
        <v>220</v>
      </c>
      <c r="BC223" s="7" t="s">
        <v>332</v>
      </c>
      <c r="BD223" s="23" t="s">
        <v>185</v>
      </c>
      <c r="BE223" s="26">
        <v>264794103</v>
      </c>
      <c r="BF223" s="25" t="s">
        <v>211</v>
      </c>
      <c r="BG223" s="7">
        <v>232</v>
      </c>
      <c r="BH223" s="7" t="s">
        <v>320</v>
      </c>
      <c r="BI223" s="7" t="s">
        <v>367</v>
      </c>
      <c r="BJ223" s="7">
        <v>61</v>
      </c>
      <c r="BK223" s="9">
        <v>61.092590163934453</v>
      </c>
      <c r="BL223" s="9">
        <v>53.33295081967217</v>
      </c>
      <c r="BM223" s="9">
        <v>57.21311475409837</v>
      </c>
      <c r="BN223" s="9">
        <v>114.42554098360657</v>
      </c>
      <c r="BO223" s="7">
        <v>7</v>
      </c>
      <c r="BP223" s="7">
        <v>20</v>
      </c>
      <c r="BQ223" s="7">
        <v>22</v>
      </c>
      <c r="BR223" s="7">
        <v>12</v>
      </c>
      <c r="BS223" s="7">
        <v>0</v>
      </c>
      <c r="BT223" s="7">
        <v>0</v>
      </c>
      <c r="BU223" s="7">
        <v>9</v>
      </c>
      <c r="BV223" s="7">
        <v>31</v>
      </c>
      <c r="BW223" s="7">
        <v>18</v>
      </c>
      <c r="BX223" s="7">
        <v>3</v>
      </c>
      <c r="BY223" s="7">
        <v>0</v>
      </c>
      <c r="BZ223" s="7">
        <v>0</v>
      </c>
      <c r="CA223" s="7"/>
      <c r="CB223" s="9"/>
      <c r="CC223" s="9"/>
      <c r="CD223" s="9"/>
      <c r="CE223" s="9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>
        <v>61</v>
      </c>
      <c r="CS223" s="9">
        <v>61.092590163934453</v>
      </c>
      <c r="CT223" s="9">
        <v>53.33295081967217</v>
      </c>
      <c r="CU223" s="9">
        <v>57.21311475409837</v>
      </c>
      <c r="CV223" s="9">
        <v>114.42554098360657</v>
      </c>
      <c r="CW223" s="7">
        <v>7</v>
      </c>
      <c r="CX223" s="7">
        <v>20</v>
      </c>
      <c r="CY223" s="7">
        <v>22</v>
      </c>
      <c r="CZ223" s="7">
        <v>12</v>
      </c>
      <c r="DA223" s="7">
        <v>0</v>
      </c>
      <c r="DB223" s="7">
        <v>0</v>
      </c>
      <c r="DC223" s="7">
        <v>9</v>
      </c>
      <c r="DD223" s="7">
        <v>31</v>
      </c>
      <c r="DE223" s="7">
        <v>18</v>
      </c>
      <c r="DF223" s="7">
        <v>3</v>
      </c>
      <c r="DG223" s="7">
        <v>0</v>
      </c>
      <c r="DH223" s="7">
        <v>0</v>
      </c>
      <c r="DI223" s="18">
        <f t="shared" si="33"/>
        <v>183</v>
      </c>
      <c r="DJ223" s="18" t="str">
        <f t="shared" si="34"/>
        <v/>
      </c>
      <c r="DK223" s="18">
        <f t="shared" si="35"/>
        <v>180</v>
      </c>
      <c r="DL223" s="18">
        <f t="shared" si="36"/>
        <v>19</v>
      </c>
      <c r="DM223" s="18" t="str">
        <f t="shared" si="37"/>
        <v/>
      </c>
      <c r="DN223" s="18">
        <f t="shared" si="38"/>
        <v>18</v>
      </c>
      <c r="DO223" s="18">
        <v>313</v>
      </c>
      <c r="DP223" s="18">
        <v>124</v>
      </c>
      <c r="DQ223" s="18">
        <v>313</v>
      </c>
      <c r="DR223" s="18">
        <v>35</v>
      </c>
      <c r="DS223" s="18">
        <v>9</v>
      </c>
      <c r="DT223" s="18">
        <v>35</v>
      </c>
      <c r="DU223" s="18" t="s">
        <v>185</v>
      </c>
    </row>
    <row r="224" spans="54:125" x14ac:dyDescent="0.25">
      <c r="BB224" s="7">
        <v>221</v>
      </c>
      <c r="BC224" s="7" t="s">
        <v>332</v>
      </c>
      <c r="BD224" s="23" t="s">
        <v>185</v>
      </c>
      <c r="BE224" s="26">
        <v>593669838</v>
      </c>
      <c r="BF224" s="25" t="s">
        <v>196</v>
      </c>
      <c r="BG224" s="7">
        <v>270</v>
      </c>
      <c r="BH224" s="7" t="s">
        <v>320</v>
      </c>
      <c r="BI224" s="7" t="s">
        <v>367</v>
      </c>
      <c r="BJ224" s="7">
        <v>195</v>
      </c>
      <c r="BK224" s="9">
        <v>68.478292307692286</v>
      </c>
      <c r="BL224" s="9">
        <v>60.751815384615355</v>
      </c>
      <c r="BM224" s="9">
        <v>64.615384615384613</v>
      </c>
      <c r="BN224" s="9">
        <v>129.2301076923076</v>
      </c>
      <c r="BO224" s="7">
        <v>10</v>
      </c>
      <c r="BP224" s="7">
        <v>52</v>
      </c>
      <c r="BQ224" s="7">
        <v>79</v>
      </c>
      <c r="BR224" s="7">
        <v>54</v>
      </c>
      <c r="BS224" s="7">
        <v>1</v>
      </c>
      <c r="BT224" s="7">
        <v>4</v>
      </c>
      <c r="BU224" s="7">
        <v>13</v>
      </c>
      <c r="BV224" s="7">
        <v>84</v>
      </c>
      <c r="BW224" s="7">
        <v>75</v>
      </c>
      <c r="BX224" s="7">
        <v>23</v>
      </c>
      <c r="BY224" s="7">
        <v>0</v>
      </c>
      <c r="BZ224" s="7">
        <v>2</v>
      </c>
      <c r="CA224" s="7"/>
      <c r="CB224" s="9"/>
      <c r="CC224" s="9"/>
      <c r="CD224" s="9"/>
      <c r="CE224" s="9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>
        <v>195</v>
      </c>
      <c r="CS224" s="9">
        <v>68.478292307692286</v>
      </c>
      <c r="CT224" s="9">
        <v>60.751815384615355</v>
      </c>
      <c r="CU224" s="9">
        <v>64.615384615384613</v>
      </c>
      <c r="CV224" s="9">
        <v>129.2301076923076</v>
      </c>
      <c r="CW224" s="7">
        <v>10</v>
      </c>
      <c r="CX224" s="7">
        <v>52</v>
      </c>
      <c r="CY224" s="7">
        <v>79</v>
      </c>
      <c r="CZ224" s="7">
        <v>54</v>
      </c>
      <c r="DA224" s="7">
        <v>1</v>
      </c>
      <c r="DB224" s="7">
        <v>4</v>
      </c>
      <c r="DC224" s="7">
        <v>13</v>
      </c>
      <c r="DD224" s="7">
        <v>84</v>
      </c>
      <c r="DE224" s="7">
        <v>75</v>
      </c>
      <c r="DF224" s="7">
        <v>23</v>
      </c>
      <c r="DG224" s="7">
        <v>0</v>
      </c>
      <c r="DH224" s="7">
        <v>2</v>
      </c>
      <c r="DI224" s="18">
        <f t="shared" si="33"/>
        <v>62</v>
      </c>
      <c r="DJ224" s="18" t="str">
        <f t="shared" si="34"/>
        <v/>
      </c>
      <c r="DK224" s="18">
        <f t="shared" si="35"/>
        <v>49</v>
      </c>
      <c r="DL224" s="18">
        <f t="shared" si="36"/>
        <v>5</v>
      </c>
      <c r="DM224" s="18" t="str">
        <f t="shared" si="37"/>
        <v/>
      </c>
      <c r="DN224" s="18">
        <f t="shared" si="38"/>
        <v>6</v>
      </c>
      <c r="DO224" s="18">
        <v>313</v>
      </c>
      <c r="DP224" s="18">
        <v>124</v>
      </c>
      <c r="DQ224" s="18">
        <v>313</v>
      </c>
      <c r="DR224" s="18">
        <v>35</v>
      </c>
      <c r="DS224" s="18">
        <v>9</v>
      </c>
      <c r="DT224" s="18">
        <v>35</v>
      </c>
      <c r="DU224" s="18" t="s">
        <v>185</v>
      </c>
    </row>
    <row r="225" spans="54:125" x14ac:dyDescent="0.25">
      <c r="BB225" s="7">
        <v>222</v>
      </c>
      <c r="BC225" s="7" t="s">
        <v>332</v>
      </c>
      <c r="BD225" s="23" t="s">
        <v>185</v>
      </c>
      <c r="BE225" s="26">
        <v>478842697</v>
      </c>
      <c r="BF225" s="25" t="s">
        <v>212</v>
      </c>
      <c r="BG225" s="7">
        <v>275</v>
      </c>
      <c r="BH225" s="7" t="s">
        <v>320</v>
      </c>
      <c r="BI225" s="7" t="s">
        <v>368</v>
      </c>
      <c r="BJ225" s="7">
        <v>147</v>
      </c>
      <c r="BK225" s="9">
        <v>71.133435374149684</v>
      </c>
      <c r="BL225" s="9">
        <v>64.761571428571372</v>
      </c>
      <c r="BM225" s="9">
        <v>67.947845804988674</v>
      </c>
      <c r="BN225" s="9">
        <v>135.89500680272104</v>
      </c>
      <c r="BO225" s="7">
        <v>5</v>
      </c>
      <c r="BP225" s="7">
        <v>35</v>
      </c>
      <c r="BQ225" s="7">
        <v>61</v>
      </c>
      <c r="BR225" s="7">
        <v>46</v>
      </c>
      <c r="BS225" s="7">
        <v>1</v>
      </c>
      <c r="BT225" s="7">
        <v>3</v>
      </c>
      <c r="BU225" s="7">
        <v>8</v>
      </c>
      <c r="BV225" s="7">
        <v>45</v>
      </c>
      <c r="BW225" s="7">
        <v>65</v>
      </c>
      <c r="BX225" s="7">
        <v>29</v>
      </c>
      <c r="BY225" s="7">
        <v>0</v>
      </c>
      <c r="BZ225" s="7">
        <v>1</v>
      </c>
      <c r="CA225" s="7">
        <v>54</v>
      </c>
      <c r="CB225" s="9">
        <v>63.888611111111153</v>
      </c>
      <c r="CC225" s="9">
        <v>56.913240740740768</v>
      </c>
      <c r="CD225" s="9">
        <v>60.40123456790122</v>
      </c>
      <c r="CE225" s="9">
        <v>120.80185185185185</v>
      </c>
      <c r="CF225" s="7">
        <v>2</v>
      </c>
      <c r="CG225" s="7">
        <v>17</v>
      </c>
      <c r="CH225" s="7">
        <v>27</v>
      </c>
      <c r="CI225" s="7">
        <v>8</v>
      </c>
      <c r="CJ225" s="7">
        <v>0</v>
      </c>
      <c r="CK225" s="7">
        <v>0</v>
      </c>
      <c r="CL225" s="7">
        <v>6</v>
      </c>
      <c r="CM225" s="7">
        <v>30</v>
      </c>
      <c r="CN225" s="7">
        <v>12</v>
      </c>
      <c r="CO225" s="7">
        <v>6</v>
      </c>
      <c r="CP225" s="7">
        <v>0</v>
      </c>
      <c r="CQ225" s="7">
        <v>0</v>
      </c>
      <c r="CR225" s="7">
        <v>201</v>
      </c>
      <c r="CS225" s="9">
        <v>69.187064676616941</v>
      </c>
      <c r="CT225" s="9">
        <v>62.653064676616843</v>
      </c>
      <c r="CU225" s="9">
        <v>65.920398009950262</v>
      </c>
      <c r="CV225" s="9">
        <v>131.84012935323375</v>
      </c>
      <c r="CW225" s="7">
        <v>7</v>
      </c>
      <c r="CX225" s="7">
        <v>52</v>
      </c>
      <c r="CY225" s="7">
        <v>88</v>
      </c>
      <c r="CZ225" s="7">
        <v>54</v>
      </c>
      <c r="DA225" s="7">
        <v>1</v>
      </c>
      <c r="DB225" s="7">
        <v>3</v>
      </c>
      <c r="DC225" s="7">
        <v>14</v>
      </c>
      <c r="DD225" s="7">
        <v>75</v>
      </c>
      <c r="DE225" s="7">
        <v>77</v>
      </c>
      <c r="DF225" s="7">
        <v>35</v>
      </c>
      <c r="DG225" s="7">
        <v>0</v>
      </c>
      <c r="DH225" s="7">
        <v>1</v>
      </c>
      <c r="DI225" s="18">
        <f t="shared" si="33"/>
        <v>25</v>
      </c>
      <c r="DJ225" s="18">
        <f t="shared" si="34"/>
        <v>53</v>
      </c>
      <c r="DK225" s="18">
        <f t="shared" si="35"/>
        <v>39</v>
      </c>
      <c r="DL225" s="18">
        <f t="shared" si="36"/>
        <v>2</v>
      </c>
      <c r="DM225" s="18">
        <f t="shared" si="37"/>
        <v>4</v>
      </c>
      <c r="DN225" s="18">
        <f t="shared" si="38"/>
        <v>2</v>
      </c>
      <c r="DO225" s="18">
        <v>313</v>
      </c>
      <c r="DP225" s="18">
        <v>124</v>
      </c>
      <c r="DQ225" s="18">
        <v>313</v>
      </c>
      <c r="DR225" s="18">
        <v>35</v>
      </c>
      <c r="DS225" s="18">
        <v>9</v>
      </c>
      <c r="DT225" s="18">
        <v>35</v>
      </c>
      <c r="DU225" s="18" t="s">
        <v>185</v>
      </c>
    </row>
    <row r="226" spans="54:125" x14ac:dyDescent="0.25">
      <c r="BB226" s="7">
        <v>223</v>
      </c>
      <c r="BC226" s="7" t="s">
        <v>332</v>
      </c>
      <c r="BD226" s="23" t="s">
        <v>185</v>
      </c>
      <c r="BE226" s="26">
        <v>358194559</v>
      </c>
      <c r="BF226" s="25" t="s">
        <v>197</v>
      </c>
      <c r="BG226" s="7">
        <v>278</v>
      </c>
      <c r="BH226" s="7" t="s">
        <v>320</v>
      </c>
      <c r="BI226" s="7" t="s">
        <v>368</v>
      </c>
      <c r="BJ226" s="7">
        <v>146</v>
      </c>
      <c r="BK226" s="9">
        <v>64.634363013698589</v>
      </c>
      <c r="BL226" s="9">
        <v>62.876390410958891</v>
      </c>
      <c r="BM226" s="9">
        <v>63.755707762557073</v>
      </c>
      <c r="BN226" s="9">
        <v>127.51075342465745</v>
      </c>
      <c r="BO226" s="7">
        <v>12</v>
      </c>
      <c r="BP226" s="7">
        <v>48</v>
      </c>
      <c r="BQ226" s="7">
        <v>54</v>
      </c>
      <c r="BR226" s="7">
        <v>32</v>
      </c>
      <c r="BS226" s="7">
        <v>1</v>
      </c>
      <c r="BT226" s="7">
        <v>0</v>
      </c>
      <c r="BU226" s="7">
        <v>14</v>
      </c>
      <c r="BV226" s="7">
        <v>43</v>
      </c>
      <c r="BW226" s="7">
        <v>69</v>
      </c>
      <c r="BX226" s="7">
        <v>20</v>
      </c>
      <c r="BY226" s="7">
        <v>0</v>
      </c>
      <c r="BZ226" s="7">
        <v>0</v>
      </c>
      <c r="CA226" s="7">
        <v>38</v>
      </c>
      <c r="CB226" s="9">
        <v>65.525973684210555</v>
      </c>
      <c r="CC226" s="9">
        <v>58.069921052631585</v>
      </c>
      <c r="CD226" s="9">
        <v>61.798245614035089</v>
      </c>
      <c r="CE226" s="9">
        <v>123.59589473684211</v>
      </c>
      <c r="CF226" s="7">
        <v>2</v>
      </c>
      <c r="CG226" s="7">
        <v>12</v>
      </c>
      <c r="CH226" s="7">
        <v>18</v>
      </c>
      <c r="CI226" s="7">
        <v>6</v>
      </c>
      <c r="CJ226" s="7">
        <v>0</v>
      </c>
      <c r="CK226" s="7">
        <v>0</v>
      </c>
      <c r="CL226" s="7">
        <v>3</v>
      </c>
      <c r="CM226" s="7">
        <v>18</v>
      </c>
      <c r="CN226" s="7">
        <v>14</v>
      </c>
      <c r="CO226" s="7">
        <v>3</v>
      </c>
      <c r="CP226" s="7">
        <v>0</v>
      </c>
      <c r="CQ226" s="7">
        <v>0</v>
      </c>
      <c r="CR226" s="7">
        <v>184</v>
      </c>
      <c r="CS226" s="9">
        <v>64.818499999999972</v>
      </c>
      <c r="CT226" s="9">
        <v>61.883749999999992</v>
      </c>
      <c r="CU226" s="9">
        <v>63.351449275362327</v>
      </c>
      <c r="CV226" s="9">
        <v>126.70224999999994</v>
      </c>
      <c r="CW226" s="7">
        <v>14</v>
      </c>
      <c r="CX226" s="7">
        <v>60</v>
      </c>
      <c r="CY226" s="7">
        <v>72</v>
      </c>
      <c r="CZ226" s="7">
        <v>38</v>
      </c>
      <c r="DA226" s="7">
        <v>1</v>
      </c>
      <c r="DB226" s="7">
        <v>0</v>
      </c>
      <c r="DC226" s="7">
        <v>17</v>
      </c>
      <c r="DD226" s="7">
        <v>61</v>
      </c>
      <c r="DE226" s="7">
        <v>83</v>
      </c>
      <c r="DF226" s="7">
        <v>23</v>
      </c>
      <c r="DG226" s="7">
        <v>0</v>
      </c>
      <c r="DH226" s="7">
        <v>0</v>
      </c>
      <c r="DI226" s="18">
        <f t="shared" si="33"/>
        <v>75</v>
      </c>
      <c r="DJ226" s="18">
        <f t="shared" si="34"/>
        <v>37</v>
      </c>
      <c r="DK226" s="18">
        <f t="shared" si="35"/>
        <v>72</v>
      </c>
      <c r="DL226" s="18">
        <f t="shared" si="36"/>
        <v>8</v>
      </c>
      <c r="DM226" s="18">
        <f t="shared" si="37"/>
        <v>3</v>
      </c>
      <c r="DN226" s="18">
        <f t="shared" si="38"/>
        <v>8</v>
      </c>
      <c r="DO226" s="18">
        <v>313</v>
      </c>
      <c r="DP226" s="18">
        <v>124</v>
      </c>
      <c r="DQ226" s="18">
        <v>313</v>
      </c>
      <c r="DR226" s="18">
        <v>35</v>
      </c>
      <c r="DS226" s="18">
        <v>9</v>
      </c>
      <c r="DT226" s="18">
        <v>35</v>
      </c>
      <c r="DU226" s="18" t="s">
        <v>185</v>
      </c>
    </row>
    <row r="227" spans="54:125" x14ac:dyDescent="0.25">
      <c r="BB227" s="7">
        <v>224</v>
      </c>
      <c r="BC227" s="7" t="s">
        <v>332</v>
      </c>
      <c r="BD227" s="23" t="s">
        <v>185</v>
      </c>
      <c r="BE227" s="26">
        <v>422639433</v>
      </c>
      <c r="BF227" s="25" t="s">
        <v>198</v>
      </c>
      <c r="BG227" s="7">
        <v>279</v>
      </c>
      <c r="BH227" s="7" t="s">
        <v>320</v>
      </c>
      <c r="BI227" s="7" t="s">
        <v>368</v>
      </c>
      <c r="BJ227" s="7">
        <v>85</v>
      </c>
      <c r="BK227" s="9">
        <v>64.234941176470599</v>
      </c>
      <c r="BL227" s="9">
        <v>63.764400000000009</v>
      </c>
      <c r="BM227" s="9">
        <v>64.000000000000014</v>
      </c>
      <c r="BN227" s="9">
        <v>127.99934117647057</v>
      </c>
      <c r="BO227" s="7">
        <v>6</v>
      </c>
      <c r="BP227" s="7">
        <v>27</v>
      </c>
      <c r="BQ227" s="7">
        <v>33</v>
      </c>
      <c r="BR227" s="7">
        <v>19</v>
      </c>
      <c r="BS227" s="7">
        <v>1</v>
      </c>
      <c r="BT227" s="7">
        <v>0</v>
      </c>
      <c r="BU227" s="7">
        <v>5</v>
      </c>
      <c r="BV227" s="7">
        <v>27</v>
      </c>
      <c r="BW227" s="7">
        <v>40</v>
      </c>
      <c r="BX227" s="7">
        <v>13</v>
      </c>
      <c r="BY227" s="7">
        <v>0</v>
      </c>
      <c r="BZ227" s="7">
        <v>0</v>
      </c>
      <c r="CA227" s="7">
        <v>55</v>
      </c>
      <c r="CB227" s="9">
        <v>64.302745454545473</v>
      </c>
      <c r="CC227" s="9">
        <v>52.120890909090946</v>
      </c>
      <c r="CD227" s="9">
        <v>58.212121212121225</v>
      </c>
      <c r="CE227" s="9">
        <v>116.42363636363639</v>
      </c>
      <c r="CF227" s="7">
        <v>5</v>
      </c>
      <c r="CG227" s="7">
        <v>15</v>
      </c>
      <c r="CH227" s="7">
        <v>29</v>
      </c>
      <c r="CI227" s="7">
        <v>6</v>
      </c>
      <c r="CJ227" s="7">
        <v>0</v>
      </c>
      <c r="CK227" s="7">
        <v>0</v>
      </c>
      <c r="CL227" s="7">
        <v>6</v>
      </c>
      <c r="CM227" s="7">
        <v>29</v>
      </c>
      <c r="CN227" s="7">
        <v>16</v>
      </c>
      <c r="CO227" s="7">
        <v>4</v>
      </c>
      <c r="CP227" s="7">
        <v>0</v>
      </c>
      <c r="CQ227" s="7">
        <v>0</v>
      </c>
      <c r="CR227" s="7">
        <v>140</v>
      </c>
      <c r="CS227" s="9">
        <v>64.261578571428544</v>
      </c>
      <c r="CT227" s="9">
        <v>59.190164285714246</v>
      </c>
      <c r="CU227" s="9">
        <v>61.726190476190482</v>
      </c>
      <c r="CV227" s="9">
        <v>123.45174285714279</v>
      </c>
      <c r="CW227" s="7">
        <v>11</v>
      </c>
      <c r="CX227" s="7">
        <v>42</v>
      </c>
      <c r="CY227" s="7">
        <v>62</v>
      </c>
      <c r="CZ227" s="7">
        <v>25</v>
      </c>
      <c r="DA227" s="7">
        <v>1</v>
      </c>
      <c r="DB227" s="7">
        <v>0</v>
      </c>
      <c r="DC227" s="7">
        <v>11</v>
      </c>
      <c r="DD227" s="7">
        <v>56</v>
      </c>
      <c r="DE227" s="7">
        <v>56</v>
      </c>
      <c r="DF227" s="7">
        <v>17</v>
      </c>
      <c r="DG227" s="7">
        <v>0</v>
      </c>
      <c r="DH227" s="7">
        <v>0</v>
      </c>
      <c r="DI227" s="18">
        <f t="shared" si="33"/>
        <v>71</v>
      </c>
      <c r="DJ227" s="18">
        <f t="shared" si="34"/>
        <v>71</v>
      </c>
      <c r="DK227" s="18">
        <f t="shared" si="35"/>
        <v>100</v>
      </c>
      <c r="DL227" s="18">
        <f t="shared" si="36"/>
        <v>7</v>
      </c>
      <c r="DM227" s="18">
        <f t="shared" si="37"/>
        <v>6</v>
      </c>
      <c r="DN227" s="18">
        <f t="shared" si="38"/>
        <v>10</v>
      </c>
      <c r="DO227" s="18">
        <v>313</v>
      </c>
      <c r="DP227" s="18">
        <v>124</v>
      </c>
      <c r="DQ227" s="18">
        <v>313</v>
      </c>
      <c r="DR227" s="18">
        <v>35</v>
      </c>
      <c r="DS227" s="18">
        <v>9</v>
      </c>
      <c r="DT227" s="18">
        <v>35</v>
      </c>
      <c r="DU227" s="18" t="s">
        <v>185</v>
      </c>
    </row>
    <row r="228" spans="54:125" x14ac:dyDescent="0.25">
      <c r="BB228" s="7">
        <v>225</v>
      </c>
      <c r="BC228" s="7" t="s">
        <v>332</v>
      </c>
      <c r="BD228" s="23" t="s">
        <v>185</v>
      </c>
      <c r="BE228" s="26">
        <v>567320615</v>
      </c>
      <c r="BF228" s="25" t="s">
        <v>213</v>
      </c>
      <c r="BG228" s="7">
        <v>280</v>
      </c>
      <c r="BH228" s="7" t="s">
        <v>320</v>
      </c>
      <c r="BI228" s="7" t="s">
        <v>367</v>
      </c>
      <c r="BJ228" s="7">
        <v>256</v>
      </c>
      <c r="BK228" s="9">
        <v>58.450183593749948</v>
      </c>
      <c r="BL228" s="9">
        <v>49.869464843749952</v>
      </c>
      <c r="BM228" s="9">
        <v>54.160156249999972</v>
      </c>
      <c r="BN228" s="9">
        <v>108.31964843749985</v>
      </c>
      <c r="BO228" s="7">
        <v>29</v>
      </c>
      <c r="BP228" s="7">
        <v>104</v>
      </c>
      <c r="BQ228" s="7">
        <v>88</v>
      </c>
      <c r="BR228" s="7">
        <v>35</v>
      </c>
      <c r="BS228" s="7">
        <v>0</v>
      </c>
      <c r="BT228" s="7">
        <v>0</v>
      </c>
      <c r="BU228" s="7">
        <v>42</v>
      </c>
      <c r="BV228" s="7">
        <v>145</v>
      </c>
      <c r="BW228" s="7">
        <v>55</v>
      </c>
      <c r="BX228" s="7">
        <v>14</v>
      </c>
      <c r="BY228" s="7">
        <v>0</v>
      </c>
      <c r="BZ228" s="7">
        <v>0</v>
      </c>
      <c r="CA228" s="7"/>
      <c r="CB228" s="9"/>
      <c r="CC228" s="9"/>
      <c r="CD228" s="9"/>
      <c r="CE228" s="9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>
        <v>256</v>
      </c>
      <c r="CS228" s="9">
        <v>58.450183593749948</v>
      </c>
      <c r="CT228" s="9">
        <v>49.869464843749952</v>
      </c>
      <c r="CU228" s="9">
        <v>54.160156249999972</v>
      </c>
      <c r="CV228" s="9">
        <v>108.31964843749985</v>
      </c>
      <c r="CW228" s="7">
        <v>29</v>
      </c>
      <c r="CX228" s="7">
        <v>104</v>
      </c>
      <c r="CY228" s="7">
        <v>88</v>
      </c>
      <c r="CZ228" s="7">
        <v>35</v>
      </c>
      <c r="DA228" s="7">
        <v>0</v>
      </c>
      <c r="DB228" s="7">
        <v>0</v>
      </c>
      <c r="DC228" s="7">
        <v>42</v>
      </c>
      <c r="DD228" s="7">
        <v>145</v>
      </c>
      <c r="DE228" s="7">
        <v>55</v>
      </c>
      <c r="DF228" s="7">
        <v>14</v>
      </c>
      <c r="DG228" s="7">
        <v>0</v>
      </c>
      <c r="DH228" s="7">
        <v>0</v>
      </c>
      <c r="DI228" s="18">
        <f t="shared" si="33"/>
        <v>234</v>
      </c>
      <c r="DJ228" s="18" t="str">
        <f t="shared" si="34"/>
        <v/>
      </c>
      <c r="DK228" s="18">
        <f t="shared" si="35"/>
        <v>238</v>
      </c>
      <c r="DL228" s="18">
        <f t="shared" si="36"/>
        <v>23</v>
      </c>
      <c r="DM228" s="18" t="str">
        <f t="shared" si="37"/>
        <v/>
      </c>
      <c r="DN228" s="18">
        <f t="shared" si="38"/>
        <v>23</v>
      </c>
      <c r="DO228" s="18">
        <v>313</v>
      </c>
      <c r="DP228" s="18">
        <v>124</v>
      </c>
      <c r="DQ228" s="18">
        <v>313</v>
      </c>
      <c r="DR228" s="18">
        <v>35</v>
      </c>
      <c r="DS228" s="18">
        <v>9</v>
      </c>
      <c r="DT228" s="18">
        <v>35</v>
      </c>
      <c r="DU228" s="18" t="s">
        <v>185</v>
      </c>
    </row>
    <row r="229" spans="54:125" x14ac:dyDescent="0.25">
      <c r="BB229" s="7">
        <v>226</v>
      </c>
      <c r="BC229" s="7" t="s">
        <v>332</v>
      </c>
      <c r="BD229" s="23" t="s">
        <v>185</v>
      </c>
      <c r="BE229" s="26">
        <v>901573112</v>
      </c>
      <c r="BF229" s="25" t="s">
        <v>214</v>
      </c>
      <c r="BG229" s="7">
        <v>281</v>
      </c>
      <c r="BH229" s="7" t="s">
        <v>320</v>
      </c>
      <c r="BI229" s="7" t="s">
        <v>367</v>
      </c>
      <c r="BJ229" s="7">
        <v>288</v>
      </c>
      <c r="BK229" s="9">
        <v>67.719593749999987</v>
      </c>
      <c r="BL229" s="9">
        <v>63.05521527777767</v>
      </c>
      <c r="BM229" s="9">
        <v>65.387731481481495</v>
      </c>
      <c r="BN229" s="9">
        <v>130.77480902777762</v>
      </c>
      <c r="BO229" s="7">
        <v>17</v>
      </c>
      <c r="BP229" s="7">
        <v>85</v>
      </c>
      <c r="BQ229" s="7">
        <v>106</v>
      </c>
      <c r="BR229" s="7">
        <v>80</v>
      </c>
      <c r="BS229" s="7">
        <v>2</v>
      </c>
      <c r="BT229" s="7">
        <v>3</v>
      </c>
      <c r="BU229" s="7">
        <v>16</v>
      </c>
      <c r="BV229" s="7">
        <v>111</v>
      </c>
      <c r="BW229" s="7">
        <v>115</v>
      </c>
      <c r="BX229" s="7">
        <v>46</v>
      </c>
      <c r="BY229" s="7">
        <v>0</v>
      </c>
      <c r="BZ229" s="7">
        <v>2</v>
      </c>
      <c r="CA229" s="7"/>
      <c r="CB229" s="9"/>
      <c r="CC229" s="9"/>
      <c r="CD229" s="9"/>
      <c r="CE229" s="9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>
        <v>288</v>
      </c>
      <c r="CS229" s="9">
        <v>67.719593749999987</v>
      </c>
      <c r="CT229" s="9">
        <v>63.05521527777767</v>
      </c>
      <c r="CU229" s="9">
        <v>65.387731481481495</v>
      </c>
      <c r="CV229" s="9">
        <v>130.77480902777762</v>
      </c>
      <c r="CW229" s="7">
        <v>17</v>
      </c>
      <c r="CX229" s="7">
        <v>85</v>
      </c>
      <c r="CY229" s="7">
        <v>106</v>
      </c>
      <c r="CZ229" s="7">
        <v>80</v>
      </c>
      <c r="DA229" s="7">
        <v>2</v>
      </c>
      <c r="DB229" s="7">
        <v>3</v>
      </c>
      <c r="DC229" s="7">
        <v>16</v>
      </c>
      <c r="DD229" s="7">
        <v>111</v>
      </c>
      <c r="DE229" s="7">
        <v>115</v>
      </c>
      <c r="DF229" s="7">
        <v>46</v>
      </c>
      <c r="DG229" s="7">
        <v>0</v>
      </c>
      <c r="DH229" s="7">
        <v>2</v>
      </c>
      <c r="DI229" s="18">
        <f t="shared" si="33"/>
        <v>51</v>
      </c>
      <c r="DJ229" s="18" t="str">
        <f t="shared" si="34"/>
        <v/>
      </c>
      <c r="DK229" s="18">
        <f t="shared" si="35"/>
        <v>43</v>
      </c>
      <c r="DL229" s="18">
        <f t="shared" si="36"/>
        <v>4</v>
      </c>
      <c r="DM229" s="18" t="str">
        <f t="shared" si="37"/>
        <v/>
      </c>
      <c r="DN229" s="18">
        <f t="shared" si="38"/>
        <v>4</v>
      </c>
      <c r="DO229" s="18">
        <v>313</v>
      </c>
      <c r="DP229" s="18">
        <v>124</v>
      </c>
      <c r="DQ229" s="18">
        <v>313</v>
      </c>
      <c r="DR229" s="18">
        <v>35</v>
      </c>
      <c r="DS229" s="18">
        <v>9</v>
      </c>
      <c r="DT229" s="18">
        <v>35</v>
      </c>
      <c r="DU229" s="18" t="s">
        <v>185</v>
      </c>
    </row>
    <row r="230" spans="54:125" x14ac:dyDescent="0.25">
      <c r="BB230" s="7">
        <v>227</v>
      </c>
      <c r="BC230" s="7" t="s">
        <v>332</v>
      </c>
      <c r="BD230" s="23" t="s">
        <v>185</v>
      </c>
      <c r="BE230" s="26">
        <v>860482837</v>
      </c>
      <c r="BF230" s="25" t="s">
        <v>199</v>
      </c>
      <c r="BG230" s="7">
        <v>282</v>
      </c>
      <c r="BH230" s="7" t="s">
        <v>320</v>
      </c>
      <c r="BI230" s="7" t="s">
        <v>368</v>
      </c>
      <c r="BJ230" s="7">
        <v>93</v>
      </c>
      <c r="BK230" s="9">
        <v>65.841967741935477</v>
      </c>
      <c r="BL230" s="9">
        <v>60.3939247311828</v>
      </c>
      <c r="BM230" s="9">
        <v>63.118279569892486</v>
      </c>
      <c r="BN230" s="9">
        <v>126.23589247311823</v>
      </c>
      <c r="BO230" s="7">
        <v>7</v>
      </c>
      <c r="BP230" s="7">
        <v>23</v>
      </c>
      <c r="BQ230" s="7">
        <v>40</v>
      </c>
      <c r="BR230" s="7">
        <v>23</v>
      </c>
      <c r="BS230" s="7">
        <v>0</v>
      </c>
      <c r="BT230" s="7">
        <v>0</v>
      </c>
      <c r="BU230" s="7">
        <v>3</v>
      </c>
      <c r="BV230" s="7">
        <v>43</v>
      </c>
      <c r="BW230" s="7">
        <v>39</v>
      </c>
      <c r="BX230" s="7">
        <v>8</v>
      </c>
      <c r="BY230" s="7">
        <v>0</v>
      </c>
      <c r="BZ230" s="7">
        <v>0</v>
      </c>
      <c r="CA230" s="7">
        <v>28</v>
      </c>
      <c r="CB230" s="9">
        <v>69.047321428571436</v>
      </c>
      <c r="CC230" s="9">
        <v>70.475857142857137</v>
      </c>
      <c r="CD230" s="9">
        <v>69.761904761904773</v>
      </c>
      <c r="CE230" s="9">
        <v>139.52317857142856</v>
      </c>
      <c r="CF230" s="7">
        <v>1</v>
      </c>
      <c r="CG230" s="7">
        <v>6</v>
      </c>
      <c r="CH230" s="7">
        <v>17</v>
      </c>
      <c r="CI230" s="7">
        <v>4</v>
      </c>
      <c r="CJ230" s="7">
        <v>0</v>
      </c>
      <c r="CK230" s="7">
        <v>0</v>
      </c>
      <c r="CL230" s="7">
        <v>0</v>
      </c>
      <c r="CM230" s="7">
        <v>7</v>
      </c>
      <c r="CN230" s="7">
        <v>19</v>
      </c>
      <c r="CO230" s="7">
        <v>2</v>
      </c>
      <c r="CP230" s="7">
        <v>0</v>
      </c>
      <c r="CQ230" s="7">
        <v>0</v>
      </c>
      <c r="CR230" s="7">
        <v>121</v>
      </c>
      <c r="CS230" s="9">
        <v>66.583702479338839</v>
      </c>
      <c r="CT230" s="9">
        <v>62.726933884297502</v>
      </c>
      <c r="CU230" s="9">
        <v>64.655647382920122</v>
      </c>
      <c r="CV230" s="9">
        <v>129.31063636363629</v>
      </c>
      <c r="CW230" s="7">
        <v>8</v>
      </c>
      <c r="CX230" s="7">
        <v>29</v>
      </c>
      <c r="CY230" s="7">
        <v>57</v>
      </c>
      <c r="CZ230" s="7">
        <v>27</v>
      </c>
      <c r="DA230" s="7">
        <v>0</v>
      </c>
      <c r="DB230" s="7">
        <v>0</v>
      </c>
      <c r="DC230" s="7">
        <v>3</v>
      </c>
      <c r="DD230" s="7">
        <v>50</v>
      </c>
      <c r="DE230" s="7">
        <v>58</v>
      </c>
      <c r="DF230" s="7">
        <v>10</v>
      </c>
      <c r="DG230" s="7">
        <v>0</v>
      </c>
      <c r="DH230" s="7">
        <v>0</v>
      </c>
      <c r="DI230" s="18">
        <f t="shared" si="33"/>
        <v>85</v>
      </c>
      <c r="DJ230" s="18">
        <f t="shared" si="34"/>
        <v>3</v>
      </c>
      <c r="DK230" s="18">
        <f t="shared" si="35"/>
        <v>48</v>
      </c>
      <c r="DL230" s="18">
        <f t="shared" si="36"/>
        <v>9</v>
      </c>
      <c r="DM230" s="18">
        <f t="shared" si="37"/>
        <v>1</v>
      </c>
      <c r="DN230" s="18">
        <f t="shared" si="38"/>
        <v>5</v>
      </c>
      <c r="DO230" s="18">
        <v>313</v>
      </c>
      <c r="DP230" s="18">
        <v>124</v>
      </c>
      <c r="DQ230" s="18">
        <v>313</v>
      </c>
      <c r="DR230" s="18">
        <v>35</v>
      </c>
      <c r="DS230" s="18">
        <v>9</v>
      </c>
      <c r="DT230" s="18">
        <v>35</v>
      </c>
      <c r="DU230" s="18" t="s">
        <v>185</v>
      </c>
    </row>
    <row r="231" spans="54:125" x14ac:dyDescent="0.25">
      <c r="BB231" s="7">
        <v>228</v>
      </c>
      <c r="BC231" s="7" t="s">
        <v>332</v>
      </c>
      <c r="BD231" s="23" t="s">
        <v>185</v>
      </c>
      <c r="BE231" s="26">
        <v>737158547</v>
      </c>
      <c r="BF231" s="25" t="s">
        <v>200</v>
      </c>
      <c r="BG231" s="7">
        <v>285</v>
      </c>
      <c r="BH231" s="7" t="s">
        <v>320</v>
      </c>
      <c r="BI231" s="7" t="s">
        <v>367</v>
      </c>
      <c r="BJ231" s="7">
        <v>121</v>
      </c>
      <c r="BK231" s="9">
        <v>52.010710743801681</v>
      </c>
      <c r="BL231" s="9">
        <v>44.434917355371915</v>
      </c>
      <c r="BM231" s="9">
        <v>48.223140495867767</v>
      </c>
      <c r="BN231" s="9">
        <v>96.44562809917349</v>
      </c>
      <c r="BO231" s="7">
        <v>26</v>
      </c>
      <c r="BP231" s="7">
        <v>51</v>
      </c>
      <c r="BQ231" s="7">
        <v>33</v>
      </c>
      <c r="BR231" s="7">
        <v>11</v>
      </c>
      <c r="BS231" s="7">
        <v>4</v>
      </c>
      <c r="BT231" s="7">
        <v>1</v>
      </c>
      <c r="BU231" s="7">
        <v>36</v>
      </c>
      <c r="BV231" s="7">
        <v>61</v>
      </c>
      <c r="BW231" s="7">
        <v>19</v>
      </c>
      <c r="BX231" s="7">
        <v>5</v>
      </c>
      <c r="BY231" s="7">
        <v>0</v>
      </c>
      <c r="BZ231" s="7">
        <v>0</v>
      </c>
      <c r="CA231" s="7"/>
      <c r="CB231" s="9"/>
      <c r="CC231" s="9"/>
      <c r="CD231" s="9"/>
      <c r="CE231" s="9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>
        <v>121</v>
      </c>
      <c r="CS231" s="9">
        <v>52.010710743801681</v>
      </c>
      <c r="CT231" s="9">
        <v>44.434917355371915</v>
      </c>
      <c r="CU231" s="9">
        <v>48.223140495867767</v>
      </c>
      <c r="CV231" s="9">
        <v>96.44562809917349</v>
      </c>
      <c r="CW231" s="7">
        <v>26</v>
      </c>
      <c r="CX231" s="7">
        <v>51</v>
      </c>
      <c r="CY231" s="7">
        <v>33</v>
      </c>
      <c r="CZ231" s="7">
        <v>11</v>
      </c>
      <c r="DA231" s="7">
        <v>4</v>
      </c>
      <c r="DB231" s="7">
        <v>1</v>
      </c>
      <c r="DC231" s="7">
        <v>36</v>
      </c>
      <c r="DD231" s="7">
        <v>61</v>
      </c>
      <c r="DE231" s="7">
        <v>19</v>
      </c>
      <c r="DF231" s="7">
        <v>5</v>
      </c>
      <c r="DG231" s="7">
        <v>0</v>
      </c>
      <c r="DH231" s="7">
        <v>0</v>
      </c>
      <c r="DI231" s="18">
        <f t="shared" si="33"/>
        <v>283</v>
      </c>
      <c r="DJ231" s="18" t="str">
        <f t="shared" si="34"/>
        <v/>
      </c>
      <c r="DK231" s="18">
        <f t="shared" si="35"/>
        <v>287</v>
      </c>
      <c r="DL231" s="18">
        <f t="shared" si="36"/>
        <v>31</v>
      </c>
      <c r="DM231" s="18" t="str">
        <f t="shared" si="37"/>
        <v/>
      </c>
      <c r="DN231" s="18">
        <f t="shared" si="38"/>
        <v>32</v>
      </c>
      <c r="DO231" s="18">
        <v>313</v>
      </c>
      <c r="DP231" s="18">
        <v>124</v>
      </c>
      <c r="DQ231" s="18">
        <v>313</v>
      </c>
      <c r="DR231" s="18">
        <v>35</v>
      </c>
      <c r="DS231" s="18">
        <v>9</v>
      </c>
      <c r="DT231" s="18">
        <v>35</v>
      </c>
      <c r="DU231" s="18" t="s">
        <v>185</v>
      </c>
    </row>
    <row r="232" spans="54:125" x14ac:dyDescent="0.25">
      <c r="BB232" s="7">
        <v>229</v>
      </c>
      <c r="BC232" s="7" t="s">
        <v>332</v>
      </c>
      <c r="BD232" s="23" t="s">
        <v>185</v>
      </c>
      <c r="BE232" s="26">
        <v>900681546</v>
      </c>
      <c r="BF232" s="25" t="s">
        <v>201</v>
      </c>
      <c r="BG232" s="7">
        <v>290</v>
      </c>
      <c r="BH232" s="7" t="s">
        <v>320</v>
      </c>
      <c r="BI232" s="7" t="s">
        <v>367</v>
      </c>
      <c r="BJ232" s="7">
        <v>97</v>
      </c>
      <c r="BK232" s="9">
        <v>74.260845360824732</v>
      </c>
      <c r="BL232" s="9">
        <v>68.315783505154641</v>
      </c>
      <c r="BM232" s="9">
        <v>71.288659793814432</v>
      </c>
      <c r="BN232" s="9">
        <v>142.5766288659793</v>
      </c>
      <c r="BO232" s="7">
        <v>1</v>
      </c>
      <c r="BP232" s="7">
        <v>20</v>
      </c>
      <c r="BQ232" s="7">
        <v>33</v>
      </c>
      <c r="BR232" s="7">
        <v>43</v>
      </c>
      <c r="BS232" s="7">
        <v>0</v>
      </c>
      <c r="BT232" s="7">
        <v>6</v>
      </c>
      <c r="BU232" s="7">
        <v>1</v>
      </c>
      <c r="BV232" s="7">
        <v>30</v>
      </c>
      <c r="BW232" s="7">
        <v>46</v>
      </c>
      <c r="BX232" s="7">
        <v>20</v>
      </c>
      <c r="BY232" s="7">
        <v>0</v>
      </c>
      <c r="BZ232" s="7">
        <v>0</v>
      </c>
      <c r="CA232" s="7"/>
      <c r="CB232" s="9"/>
      <c r="CC232" s="9"/>
      <c r="CD232" s="9"/>
      <c r="CE232" s="9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>
        <v>97</v>
      </c>
      <c r="CS232" s="9">
        <v>74.260845360824732</v>
      </c>
      <c r="CT232" s="9">
        <v>68.315783505154641</v>
      </c>
      <c r="CU232" s="9">
        <v>71.288659793814432</v>
      </c>
      <c r="CV232" s="9">
        <v>142.5766288659793</v>
      </c>
      <c r="CW232" s="7">
        <v>1</v>
      </c>
      <c r="CX232" s="7">
        <v>20</v>
      </c>
      <c r="CY232" s="7">
        <v>33</v>
      </c>
      <c r="CZ232" s="7">
        <v>43</v>
      </c>
      <c r="DA232" s="7">
        <v>0</v>
      </c>
      <c r="DB232" s="7">
        <v>6</v>
      </c>
      <c r="DC232" s="7">
        <v>1</v>
      </c>
      <c r="DD232" s="7">
        <v>30</v>
      </c>
      <c r="DE232" s="7">
        <v>46</v>
      </c>
      <c r="DF232" s="7">
        <v>20</v>
      </c>
      <c r="DG232" s="7">
        <v>0</v>
      </c>
      <c r="DH232" s="7">
        <v>0</v>
      </c>
      <c r="DI232" s="18">
        <f t="shared" si="33"/>
        <v>9</v>
      </c>
      <c r="DJ232" s="18" t="str">
        <f t="shared" si="34"/>
        <v/>
      </c>
      <c r="DK232" s="18">
        <f t="shared" si="35"/>
        <v>5</v>
      </c>
      <c r="DL232" s="18">
        <f t="shared" si="36"/>
        <v>1</v>
      </c>
      <c r="DM232" s="18" t="str">
        <f t="shared" si="37"/>
        <v/>
      </c>
      <c r="DN232" s="18">
        <f t="shared" si="38"/>
        <v>1</v>
      </c>
      <c r="DO232" s="18">
        <v>313</v>
      </c>
      <c r="DP232" s="18">
        <v>124</v>
      </c>
      <c r="DQ232" s="18">
        <v>313</v>
      </c>
      <c r="DR232" s="18">
        <v>35</v>
      </c>
      <c r="DS232" s="18">
        <v>9</v>
      </c>
      <c r="DT232" s="18">
        <v>35</v>
      </c>
      <c r="DU232" s="18" t="s">
        <v>185</v>
      </c>
    </row>
    <row r="233" spans="54:125" x14ac:dyDescent="0.25">
      <c r="BB233" s="7">
        <v>230</v>
      </c>
      <c r="BC233" s="7" t="s">
        <v>332</v>
      </c>
      <c r="BD233" s="23" t="s">
        <v>185</v>
      </c>
      <c r="BE233" s="26">
        <v>654880576</v>
      </c>
      <c r="BF233" s="25" t="s">
        <v>215</v>
      </c>
      <c r="BG233" s="7">
        <v>315</v>
      </c>
      <c r="BH233" s="7" t="s">
        <v>320</v>
      </c>
      <c r="BI233" s="7" t="s">
        <v>367</v>
      </c>
      <c r="BJ233" s="7">
        <v>85</v>
      </c>
      <c r="BK233" s="9">
        <v>56.3133647058824</v>
      </c>
      <c r="BL233" s="9">
        <v>49.529023529411816</v>
      </c>
      <c r="BM233" s="9">
        <v>52.921568627450974</v>
      </c>
      <c r="BN233" s="9">
        <v>105.84238823529411</v>
      </c>
      <c r="BO233" s="7">
        <v>17</v>
      </c>
      <c r="BP233" s="7">
        <v>28</v>
      </c>
      <c r="BQ233" s="7">
        <v>26</v>
      </c>
      <c r="BR233" s="7">
        <v>14</v>
      </c>
      <c r="BS233" s="7">
        <v>1</v>
      </c>
      <c r="BT233" s="7">
        <v>2</v>
      </c>
      <c r="BU233" s="7">
        <v>21</v>
      </c>
      <c r="BV233" s="7">
        <v>34</v>
      </c>
      <c r="BW233" s="7">
        <v>26</v>
      </c>
      <c r="BX233" s="7">
        <v>4</v>
      </c>
      <c r="BY233" s="7">
        <v>0</v>
      </c>
      <c r="BZ233" s="7">
        <v>0</v>
      </c>
      <c r="CA233" s="7"/>
      <c r="CB233" s="9"/>
      <c r="CC233" s="9"/>
      <c r="CD233" s="9"/>
      <c r="CE233" s="9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>
        <v>85</v>
      </c>
      <c r="CS233" s="9">
        <v>56.3133647058824</v>
      </c>
      <c r="CT233" s="9">
        <v>49.529023529411816</v>
      </c>
      <c r="CU233" s="9">
        <v>52.921568627450974</v>
      </c>
      <c r="CV233" s="9">
        <v>105.84238823529411</v>
      </c>
      <c r="CW233" s="7">
        <v>17</v>
      </c>
      <c r="CX233" s="7">
        <v>28</v>
      </c>
      <c r="CY233" s="7">
        <v>26</v>
      </c>
      <c r="CZ233" s="7">
        <v>14</v>
      </c>
      <c r="DA233" s="7">
        <v>1</v>
      </c>
      <c r="DB233" s="7">
        <v>2</v>
      </c>
      <c r="DC233" s="7">
        <v>21</v>
      </c>
      <c r="DD233" s="7">
        <v>34</v>
      </c>
      <c r="DE233" s="7">
        <v>26</v>
      </c>
      <c r="DF233" s="7">
        <v>4</v>
      </c>
      <c r="DG233" s="7">
        <v>0</v>
      </c>
      <c r="DH233" s="7">
        <v>0</v>
      </c>
      <c r="DI233" s="18">
        <f t="shared" si="33"/>
        <v>254</v>
      </c>
      <c r="DJ233" s="18" t="str">
        <f t="shared" si="34"/>
        <v/>
      </c>
      <c r="DK233" s="18">
        <f t="shared" si="35"/>
        <v>258</v>
      </c>
      <c r="DL233" s="18">
        <f t="shared" si="36"/>
        <v>25</v>
      </c>
      <c r="DM233" s="18" t="str">
        <f t="shared" si="37"/>
        <v/>
      </c>
      <c r="DN233" s="18">
        <f t="shared" si="38"/>
        <v>25</v>
      </c>
      <c r="DO233" s="18">
        <v>313</v>
      </c>
      <c r="DP233" s="18">
        <v>124</v>
      </c>
      <c r="DQ233" s="18">
        <v>313</v>
      </c>
      <c r="DR233" s="18">
        <v>35</v>
      </c>
      <c r="DS233" s="18">
        <v>9</v>
      </c>
      <c r="DT233" s="18">
        <v>35</v>
      </c>
      <c r="DU233" s="18" t="s">
        <v>185</v>
      </c>
    </row>
    <row r="234" spans="54:125" x14ac:dyDescent="0.25">
      <c r="BB234" s="7">
        <v>231</v>
      </c>
      <c r="BC234" s="7" t="s">
        <v>332</v>
      </c>
      <c r="BD234" s="23" t="s">
        <v>185</v>
      </c>
      <c r="BE234" s="26">
        <v>764668012</v>
      </c>
      <c r="BF234" s="25" t="s">
        <v>216</v>
      </c>
      <c r="BG234" s="7">
        <v>316</v>
      </c>
      <c r="BH234" s="7" t="s">
        <v>320</v>
      </c>
      <c r="BI234" s="7" t="s">
        <v>367</v>
      </c>
      <c r="BJ234" s="7">
        <v>263</v>
      </c>
      <c r="BK234" s="9">
        <v>60.189760456273724</v>
      </c>
      <c r="BL234" s="9">
        <v>59.796893536121658</v>
      </c>
      <c r="BM234" s="9">
        <v>59.9936628643853</v>
      </c>
      <c r="BN234" s="9">
        <v>119.98665399239533</v>
      </c>
      <c r="BO234" s="7">
        <v>24</v>
      </c>
      <c r="BP234" s="7">
        <v>102</v>
      </c>
      <c r="BQ234" s="7">
        <v>87</v>
      </c>
      <c r="BR234" s="7">
        <v>50</v>
      </c>
      <c r="BS234" s="7">
        <v>4</v>
      </c>
      <c r="BT234" s="7">
        <v>1</v>
      </c>
      <c r="BU234" s="7">
        <v>24</v>
      </c>
      <c r="BV234" s="7">
        <v>108</v>
      </c>
      <c r="BW234" s="7">
        <v>92</v>
      </c>
      <c r="BX234" s="7">
        <v>39</v>
      </c>
      <c r="BY234" s="7">
        <v>0</v>
      </c>
      <c r="BZ234" s="7">
        <v>1</v>
      </c>
      <c r="CA234" s="7"/>
      <c r="CB234" s="9"/>
      <c r="CC234" s="9"/>
      <c r="CD234" s="9"/>
      <c r="CE234" s="9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>
        <v>263</v>
      </c>
      <c r="CS234" s="9">
        <v>60.189760456273724</v>
      </c>
      <c r="CT234" s="9">
        <v>59.796893536121658</v>
      </c>
      <c r="CU234" s="9">
        <v>59.9936628643853</v>
      </c>
      <c r="CV234" s="9">
        <v>119.98665399239533</v>
      </c>
      <c r="CW234" s="7">
        <v>24</v>
      </c>
      <c r="CX234" s="7">
        <v>102</v>
      </c>
      <c r="CY234" s="7">
        <v>87</v>
      </c>
      <c r="CZ234" s="7">
        <v>50</v>
      </c>
      <c r="DA234" s="7">
        <v>4</v>
      </c>
      <c r="DB234" s="7">
        <v>1</v>
      </c>
      <c r="DC234" s="7">
        <v>24</v>
      </c>
      <c r="DD234" s="7">
        <v>108</v>
      </c>
      <c r="DE234" s="7">
        <v>92</v>
      </c>
      <c r="DF234" s="7">
        <v>39</v>
      </c>
      <c r="DG234" s="7">
        <v>0</v>
      </c>
      <c r="DH234" s="7">
        <v>1</v>
      </c>
      <c r="DI234" s="18">
        <f t="shared" si="33"/>
        <v>139</v>
      </c>
      <c r="DJ234" s="18" t="str">
        <f t="shared" si="34"/>
        <v/>
      </c>
      <c r="DK234" s="18">
        <f t="shared" si="35"/>
        <v>135</v>
      </c>
      <c r="DL234" s="18">
        <f t="shared" si="36"/>
        <v>13</v>
      </c>
      <c r="DM234" s="18" t="str">
        <f t="shared" si="37"/>
        <v/>
      </c>
      <c r="DN234" s="18">
        <f t="shared" si="38"/>
        <v>13</v>
      </c>
      <c r="DO234" s="18">
        <v>313</v>
      </c>
      <c r="DP234" s="18">
        <v>124</v>
      </c>
      <c r="DQ234" s="18">
        <v>313</v>
      </c>
      <c r="DR234" s="18">
        <v>35</v>
      </c>
      <c r="DS234" s="18">
        <v>9</v>
      </c>
      <c r="DT234" s="18">
        <v>35</v>
      </c>
      <c r="DU234" s="18" t="s">
        <v>185</v>
      </c>
    </row>
    <row r="235" spans="54:125" x14ac:dyDescent="0.25">
      <c r="BB235" s="7">
        <v>232</v>
      </c>
      <c r="BC235" s="7" t="s">
        <v>332</v>
      </c>
      <c r="BD235" s="23" t="s">
        <v>185</v>
      </c>
      <c r="BE235" s="26">
        <v>138080966</v>
      </c>
      <c r="BF235" s="25" t="s">
        <v>217</v>
      </c>
      <c r="BG235" s="7">
        <v>317</v>
      </c>
      <c r="BH235" s="7" t="s">
        <v>320</v>
      </c>
      <c r="BI235" s="7" t="s">
        <v>367</v>
      </c>
      <c r="BJ235" s="7">
        <v>102</v>
      </c>
      <c r="BK235" s="9">
        <v>61.437578431372586</v>
      </c>
      <c r="BL235" s="9">
        <v>56.176147058823538</v>
      </c>
      <c r="BM235" s="9">
        <v>58.807189542483655</v>
      </c>
      <c r="BN235" s="9">
        <v>117.61372549019599</v>
      </c>
      <c r="BO235" s="7">
        <v>7</v>
      </c>
      <c r="BP235" s="7">
        <v>42</v>
      </c>
      <c r="BQ235" s="7">
        <v>33</v>
      </c>
      <c r="BR235" s="7">
        <v>20</v>
      </c>
      <c r="BS235" s="7">
        <v>1</v>
      </c>
      <c r="BT235" s="7">
        <v>0</v>
      </c>
      <c r="BU235" s="7">
        <v>10</v>
      </c>
      <c r="BV235" s="7">
        <v>50</v>
      </c>
      <c r="BW235" s="7">
        <v>31</v>
      </c>
      <c r="BX235" s="7">
        <v>11</v>
      </c>
      <c r="BY235" s="7">
        <v>0</v>
      </c>
      <c r="BZ235" s="7">
        <v>0</v>
      </c>
      <c r="CA235" s="7"/>
      <c r="CB235" s="9"/>
      <c r="CC235" s="9"/>
      <c r="CD235" s="9"/>
      <c r="CE235" s="9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>
        <v>102</v>
      </c>
      <c r="CS235" s="9">
        <v>61.437578431372586</v>
      </c>
      <c r="CT235" s="9">
        <v>56.176147058823538</v>
      </c>
      <c r="CU235" s="9">
        <v>58.807189542483655</v>
      </c>
      <c r="CV235" s="9">
        <v>117.61372549019599</v>
      </c>
      <c r="CW235" s="7">
        <v>7</v>
      </c>
      <c r="CX235" s="7">
        <v>42</v>
      </c>
      <c r="CY235" s="7">
        <v>33</v>
      </c>
      <c r="CZ235" s="7">
        <v>20</v>
      </c>
      <c r="DA235" s="7">
        <v>1</v>
      </c>
      <c r="DB235" s="7">
        <v>0</v>
      </c>
      <c r="DC235" s="7">
        <v>10</v>
      </c>
      <c r="DD235" s="7">
        <v>50</v>
      </c>
      <c r="DE235" s="7">
        <v>31</v>
      </c>
      <c r="DF235" s="7">
        <v>11</v>
      </c>
      <c r="DG235" s="7">
        <v>0</v>
      </c>
      <c r="DH235" s="7">
        <v>0</v>
      </c>
      <c r="DI235" s="18">
        <f t="shared" si="33"/>
        <v>158</v>
      </c>
      <c r="DJ235" s="18" t="str">
        <f t="shared" si="34"/>
        <v/>
      </c>
      <c r="DK235" s="18">
        <f t="shared" si="35"/>
        <v>153</v>
      </c>
      <c r="DL235" s="18">
        <f t="shared" si="36"/>
        <v>15</v>
      </c>
      <c r="DM235" s="18" t="str">
        <f t="shared" si="37"/>
        <v/>
      </c>
      <c r="DN235" s="18">
        <f t="shared" si="38"/>
        <v>15</v>
      </c>
      <c r="DO235" s="18">
        <v>313</v>
      </c>
      <c r="DP235" s="18">
        <v>124</v>
      </c>
      <c r="DQ235" s="18">
        <v>313</v>
      </c>
      <c r="DR235" s="18">
        <v>35</v>
      </c>
      <c r="DS235" s="18">
        <v>9</v>
      </c>
      <c r="DT235" s="18">
        <v>35</v>
      </c>
      <c r="DU235" s="18" t="s">
        <v>185</v>
      </c>
    </row>
    <row r="236" spans="54:125" x14ac:dyDescent="0.25">
      <c r="BB236" s="7">
        <v>233</v>
      </c>
      <c r="BC236" s="7" t="s">
        <v>332</v>
      </c>
      <c r="BD236" s="23" t="s">
        <v>185</v>
      </c>
      <c r="BE236" s="26">
        <v>922793626</v>
      </c>
      <c r="BF236" s="25" t="s">
        <v>218</v>
      </c>
      <c r="BG236" s="7">
        <v>318</v>
      </c>
      <c r="BH236" s="7" t="s">
        <v>320</v>
      </c>
      <c r="BI236" s="7" t="s">
        <v>367</v>
      </c>
      <c r="BJ236" s="7">
        <v>214</v>
      </c>
      <c r="BK236" s="9">
        <v>67.227093457943923</v>
      </c>
      <c r="BL236" s="9">
        <v>61.526177570093445</v>
      </c>
      <c r="BM236" s="9">
        <v>64.376947040498422</v>
      </c>
      <c r="BN236" s="9">
        <v>128.75327102803726</v>
      </c>
      <c r="BO236" s="7">
        <v>13</v>
      </c>
      <c r="BP236" s="7">
        <v>58</v>
      </c>
      <c r="BQ236" s="7">
        <v>91</v>
      </c>
      <c r="BR236" s="7">
        <v>52</v>
      </c>
      <c r="BS236" s="7">
        <v>0</v>
      </c>
      <c r="BT236" s="7">
        <v>3</v>
      </c>
      <c r="BU236" s="7">
        <v>16</v>
      </c>
      <c r="BV236" s="7">
        <v>78</v>
      </c>
      <c r="BW236" s="7">
        <v>103</v>
      </c>
      <c r="BX236" s="7">
        <v>17</v>
      </c>
      <c r="BY236" s="7">
        <v>0</v>
      </c>
      <c r="BZ236" s="7">
        <v>1</v>
      </c>
      <c r="CA236" s="7"/>
      <c r="CB236" s="9"/>
      <c r="CC236" s="9"/>
      <c r="CD236" s="9"/>
      <c r="CE236" s="9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>
        <v>214</v>
      </c>
      <c r="CS236" s="9">
        <v>67.227093457943923</v>
      </c>
      <c r="CT236" s="9">
        <v>61.526177570093445</v>
      </c>
      <c r="CU236" s="9">
        <v>64.376947040498422</v>
      </c>
      <c r="CV236" s="9">
        <v>128.75327102803726</v>
      </c>
      <c r="CW236" s="7">
        <v>13</v>
      </c>
      <c r="CX236" s="7">
        <v>58</v>
      </c>
      <c r="CY236" s="7">
        <v>91</v>
      </c>
      <c r="CZ236" s="7">
        <v>52</v>
      </c>
      <c r="DA236" s="7">
        <v>0</v>
      </c>
      <c r="DB236" s="7">
        <v>3</v>
      </c>
      <c r="DC236" s="7">
        <v>16</v>
      </c>
      <c r="DD236" s="7">
        <v>78</v>
      </c>
      <c r="DE236" s="7">
        <v>103</v>
      </c>
      <c r="DF236" s="7">
        <v>17</v>
      </c>
      <c r="DG236" s="7">
        <v>0</v>
      </c>
      <c r="DH236" s="7">
        <v>1</v>
      </c>
      <c r="DI236" s="18">
        <f t="shared" si="33"/>
        <v>64</v>
      </c>
      <c r="DJ236" s="18" t="str">
        <f t="shared" si="34"/>
        <v/>
      </c>
      <c r="DK236" s="18">
        <f t="shared" si="35"/>
        <v>56</v>
      </c>
      <c r="DL236" s="18">
        <f t="shared" si="36"/>
        <v>6</v>
      </c>
      <c r="DM236" s="18" t="str">
        <f t="shared" si="37"/>
        <v/>
      </c>
      <c r="DN236" s="18">
        <f t="shared" si="38"/>
        <v>7</v>
      </c>
      <c r="DO236" s="18">
        <v>313</v>
      </c>
      <c r="DP236" s="18">
        <v>124</v>
      </c>
      <c r="DQ236" s="18">
        <v>313</v>
      </c>
      <c r="DR236" s="18">
        <v>35</v>
      </c>
      <c r="DS236" s="18">
        <v>9</v>
      </c>
      <c r="DT236" s="18">
        <v>35</v>
      </c>
      <c r="DU236" s="18" t="s">
        <v>185</v>
      </c>
    </row>
    <row r="237" spans="54:125" x14ac:dyDescent="0.25">
      <c r="BB237" s="7">
        <v>234</v>
      </c>
      <c r="BC237" s="7" t="s">
        <v>332</v>
      </c>
      <c r="BD237" s="23" t="s">
        <v>185</v>
      </c>
      <c r="BE237" s="26">
        <v>283535447</v>
      </c>
      <c r="BF237" s="25" t="s">
        <v>219</v>
      </c>
      <c r="BG237" s="7">
        <v>327</v>
      </c>
      <c r="BH237" s="7" t="s">
        <v>320</v>
      </c>
      <c r="BI237" s="7" t="s">
        <v>367</v>
      </c>
      <c r="BJ237" s="7">
        <v>59</v>
      </c>
      <c r="BK237" s="9">
        <v>55.988305084745804</v>
      </c>
      <c r="BL237" s="9">
        <v>49.999694915254253</v>
      </c>
      <c r="BM237" s="9">
        <v>52.994350282485868</v>
      </c>
      <c r="BN237" s="9">
        <v>105.98799999999997</v>
      </c>
      <c r="BO237" s="7">
        <v>10</v>
      </c>
      <c r="BP237" s="7">
        <v>20</v>
      </c>
      <c r="BQ237" s="7">
        <v>25</v>
      </c>
      <c r="BR237" s="7">
        <v>4</v>
      </c>
      <c r="BS237" s="7">
        <v>0</v>
      </c>
      <c r="BT237" s="7">
        <v>0</v>
      </c>
      <c r="BU237" s="7">
        <v>11</v>
      </c>
      <c r="BV237" s="7">
        <v>31</v>
      </c>
      <c r="BW237" s="7">
        <v>15</v>
      </c>
      <c r="BX237" s="7">
        <v>2</v>
      </c>
      <c r="BY237" s="7">
        <v>0</v>
      </c>
      <c r="BZ237" s="7">
        <v>0</v>
      </c>
      <c r="CA237" s="7"/>
      <c r="CB237" s="9"/>
      <c r="CC237" s="9"/>
      <c r="CD237" s="9"/>
      <c r="CE237" s="9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>
        <v>59</v>
      </c>
      <c r="CS237" s="9">
        <v>55.988305084745804</v>
      </c>
      <c r="CT237" s="9">
        <v>49.999694915254253</v>
      </c>
      <c r="CU237" s="9">
        <v>52.994350282485868</v>
      </c>
      <c r="CV237" s="9">
        <v>105.98799999999997</v>
      </c>
      <c r="CW237" s="7">
        <v>10</v>
      </c>
      <c r="CX237" s="7">
        <v>20</v>
      </c>
      <c r="CY237" s="7">
        <v>25</v>
      </c>
      <c r="CZ237" s="7">
        <v>4</v>
      </c>
      <c r="DA237" s="7">
        <v>0</v>
      </c>
      <c r="DB237" s="7">
        <v>0</v>
      </c>
      <c r="DC237" s="7">
        <v>11</v>
      </c>
      <c r="DD237" s="7">
        <v>31</v>
      </c>
      <c r="DE237" s="7">
        <v>15</v>
      </c>
      <c r="DF237" s="7">
        <v>2</v>
      </c>
      <c r="DG237" s="7">
        <v>0</v>
      </c>
      <c r="DH237" s="7">
        <v>0</v>
      </c>
      <c r="DI237" s="18">
        <f t="shared" si="33"/>
        <v>251</v>
      </c>
      <c r="DJ237" s="18" t="str">
        <f t="shared" si="34"/>
        <v/>
      </c>
      <c r="DK237" s="18">
        <f t="shared" si="35"/>
        <v>255</v>
      </c>
      <c r="DL237" s="18">
        <f t="shared" si="36"/>
        <v>24</v>
      </c>
      <c r="DM237" s="18" t="str">
        <f t="shared" si="37"/>
        <v/>
      </c>
      <c r="DN237" s="18">
        <f t="shared" si="38"/>
        <v>24</v>
      </c>
      <c r="DO237" s="18">
        <v>313</v>
      </c>
      <c r="DP237" s="18">
        <v>124</v>
      </c>
      <c r="DQ237" s="18">
        <v>313</v>
      </c>
      <c r="DR237" s="18">
        <v>35</v>
      </c>
      <c r="DS237" s="18">
        <v>9</v>
      </c>
      <c r="DT237" s="18">
        <v>35</v>
      </c>
      <c r="DU237" s="18" t="s">
        <v>185</v>
      </c>
    </row>
    <row r="238" spans="54:125" x14ac:dyDescent="0.25">
      <c r="BB238" s="7">
        <v>235</v>
      </c>
      <c r="BC238" s="7" t="s">
        <v>332</v>
      </c>
      <c r="BD238" s="23" t="s">
        <v>220</v>
      </c>
      <c r="BE238" s="26">
        <v>935178335</v>
      </c>
      <c r="BF238" s="25" t="s">
        <v>223</v>
      </c>
      <c r="BG238" s="7">
        <v>17</v>
      </c>
      <c r="BH238" s="7" t="s">
        <v>320</v>
      </c>
      <c r="BI238" s="7" t="s">
        <v>368</v>
      </c>
      <c r="BJ238" s="7">
        <v>85</v>
      </c>
      <c r="BK238" s="9">
        <v>66.23491764705885</v>
      </c>
      <c r="BL238" s="9">
        <v>60.587894117647089</v>
      </c>
      <c r="BM238" s="9">
        <v>63.411764705882362</v>
      </c>
      <c r="BN238" s="9">
        <v>126.82281176470582</v>
      </c>
      <c r="BO238" s="7">
        <v>8</v>
      </c>
      <c r="BP238" s="7">
        <v>25</v>
      </c>
      <c r="BQ238" s="7">
        <v>20</v>
      </c>
      <c r="BR238" s="7">
        <v>32</v>
      </c>
      <c r="BS238" s="7">
        <v>1</v>
      </c>
      <c r="BT238" s="7">
        <v>0</v>
      </c>
      <c r="BU238" s="7">
        <v>5</v>
      </c>
      <c r="BV238" s="7">
        <v>41</v>
      </c>
      <c r="BW238" s="7">
        <v>24</v>
      </c>
      <c r="BX238" s="7">
        <v>15</v>
      </c>
      <c r="BY238" s="7">
        <v>0</v>
      </c>
      <c r="BZ238" s="7">
        <v>0</v>
      </c>
      <c r="CA238" s="7">
        <v>167</v>
      </c>
      <c r="CB238" s="9">
        <v>64.550562874251469</v>
      </c>
      <c r="CC238" s="9">
        <v>59.959748502994003</v>
      </c>
      <c r="CD238" s="9">
        <v>62.255489021956087</v>
      </c>
      <c r="CE238" s="9">
        <v>124.51031137724542</v>
      </c>
      <c r="CF238" s="7">
        <v>13</v>
      </c>
      <c r="CG238" s="7">
        <v>46</v>
      </c>
      <c r="CH238" s="7">
        <v>77</v>
      </c>
      <c r="CI238" s="7">
        <v>31</v>
      </c>
      <c r="CJ238" s="7">
        <v>0</v>
      </c>
      <c r="CK238" s="7">
        <v>0</v>
      </c>
      <c r="CL238" s="7">
        <v>17</v>
      </c>
      <c r="CM238" s="7">
        <v>58</v>
      </c>
      <c r="CN238" s="7">
        <v>80</v>
      </c>
      <c r="CO238" s="7">
        <v>12</v>
      </c>
      <c r="CP238" s="7">
        <v>0</v>
      </c>
      <c r="CQ238" s="7">
        <v>0</v>
      </c>
      <c r="CR238" s="7">
        <v>252</v>
      </c>
      <c r="CS238" s="9">
        <v>65.118698412698365</v>
      </c>
      <c r="CT238" s="9">
        <v>60.171623015872996</v>
      </c>
      <c r="CU238" s="9">
        <v>62.645502645502646</v>
      </c>
      <c r="CV238" s="9">
        <v>125.29032142857132</v>
      </c>
      <c r="CW238" s="7">
        <v>21</v>
      </c>
      <c r="CX238" s="7">
        <v>71</v>
      </c>
      <c r="CY238" s="7">
        <v>97</v>
      </c>
      <c r="CZ238" s="7">
        <v>63</v>
      </c>
      <c r="DA238" s="7">
        <v>1</v>
      </c>
      <c r="DB238" s="7">
        <v>0</v>
      </c>
      <c r="DC238" s="7">
        <v>22</v>
      </c>
      <c r="DD238" s="7">
        <v>99</v>
      </c>
      <c r="DE238" s="7">
        <v>104</v>
      </c>
      <c r="DF238" s="7">
        <v>27</v>
      </c>
      <c r="DG238" s="7">
        <v>0</v>
      </c>
      <c r="DH238" s="7">
        <v>0</v>
      </c>
      <c r="DI238" s="18">
        <f t="shared" si="33"/>
        <v>80</v>
      </c>
      <c r="DJ238" s="18">
        <f t="shared" si="34"/>
        <v>35</v>
      </c>
      <c r="DK238" s="18">
        <f t="shared" si="35"/>
        <v>79</v>
      </c>
      <c r="DL238" s="18">
        <f t="shared" ref="DL238:DL274" si="39">IF(BN238="","",(RANK(BN238,$BN$238:$BN$274)))</f>
        <v>13</v>
      </c>
      <c r="DM238" s="18">
        <f t="shared" ref="DM238:DM274" si="40">IF(CE238="","",(RANK(CE238,$CE$238:$CE$274)))</f>
        <v>8</v>
      </c>
      <c r="DN238" s="18">
        <f t="shared" ref="DN238:DN274" si="41">IF(CV238="","",(RANK(CV238,$CV$238:$CV$274)))</f>
        <v>15</v>
      </c>
      <c r="DO238" s="18">
        <v>313</v>
      </c>
      <c r="DP238" s="18">
        <v>124</v>
      </c>
      <c r="DQ238" s="18">
        <v>313</v>
      </c>
      <c r="DR238" s="18">
        <v>37</v>
      </c>
      <c r="DS238" s="18">
        <v>21</v>
      </c>
      <c r="DT238" s="18">
        <v>37</v>
      </c>
      <c r="DU238" s="18" t="s">
        <v>220</v>
      </c>
    </row>
    <row r="239" spans="54:125" x14ac:dyDescent="0.25">
      <c r="BB239" s="7">
        <v>236</v>
      </c>
      <c r="BC239" s="7" t="s">
        <v>332</v>
      </c>
      <c r="BD239" s="23" t="s">
        <v>220</v>
      </c>
      <c r="BE239" s="26">
        <v>399082677</v>
      </c>
      <c r="BF239" s="25" t="s">
        <v>233</v>
      </c>
      <c r="BG239" s="7">
        <v>24</v>
      </c>
      <c r="BH239" s="7" t="s">
        <v>320</v>
      </c>
      <c r="BI239" s="7" t="s">
        <v>368</v>
      </c>
      <c r="BJ239" s="7">
        <v>56</v>
      </c>
      <c r="BK239" s="9">
        <v>65.059160714285738</v>
      </c>
      <c r="BL239" s="9">
        <v>59.523464285714326</v>
      </c>
      <c r="BM239" s="9">
        <v>62.291666666666664</v>
      </c>
      <c r="BN239" s="9">
        <v>124.58262499999999</v>
      </c>
      <c r="BO239" s="7">
        <v>3</v>
      </c>
      <c r="BP239" s="7">
        <v>19</v>
      </c>
      <c r="BQ239" s="7">
        <v>22</v>
      </c>
      <c r="BR239" s="7">
        <v>12</v>
      </c>
      <c r="BS239" s="7">
        <v>0</v>
      </c>
      <c r="BT239" s="7">
        <v>1</v>
      </c>
      <c r="BU239" s="7">
        <v>3</v>
      </c>
      <c r="BV239" s="7">
        <v>28</v>
      </c>
      <c r="BW239" s="7">
        <v>16</v>
      </c>
      <c r="BX239" s="7">
        <v>9</v>
      </c>
      <c r="BY239" s="7">
        <v>0</v>
      </c>
      <c r="BZ239" s="7">
        <v>0</v>
      </c>
      <c r="CA239" s="7">
        <v>53</v>
      </c>
      <c r="CB239" s="9">
        <v>61.886433962264178</v>
      </c>
      <c r="CC239" s="9">
        <v>53.333037735849061</v>
      </c>
      <c r="CD239" s="9">
        <v>57.610062893081746</v>
      </c>
      <c r="CE239" s="9">
        <v>115.21947169811317</v>
      </c>
      <c r="CF239" s="7">
        <v>3</v>
      </c>
      <c r="CG239" s="7">
        <v>24</v>
      </c>
      <c r="CH239" s="7">
        <v>16</v>
      </c>
      <c r="CI239" s="7">
        <v>10</v>
      </c>
      <c r="CJ239" s="7">
        <v>0</v>
      </c>
      <c r="CK239" s="7">
        <v>0</v>
      </c>
      <c r="CL239" s="7">
        <v>9</v>
      </c>
      <c r="CM239" s="7">
        <v>26</v>
      </c>
      <c r="CN239" s="7">
        <v>14</v>
      </c>
      <c r="CO239" s="7">
        <v>4</v>
      </c>
      <c r="CP239" s="7">
        <v>0</v>
      </c>
      <c r="CQ239" s="7">
        <v>0</v>
      </c>
      <c r="CR239" s="7">
        <v>109</v>
      </c>
      <c r="CS239" s="9">
        <v>63.516458715596329</v>
      </c>
      <c r="CT239" s="9">
        <v>56.513440366972489</v>
      </c>
      <c r="CU239" s="9">
        <v>60.015290519877674</v>
      </c>
      <c r="CV239" s="9">
        <v>120.02989908256876</v>
      </c>
      <c r="CW239" s="7">
        <v>6</v>
      </c>
      <c r="CX239" s="7">
        <v>43</v>
      </c>
      <c r="CY239" s="7">
        <v>38</v>
      </c>
      <c r="CZ239" s="7">
        <v>22</v>
      </c>
      <c r="DA239" s="7">
        <v>0</v>
      </c>
      <c r="DB239" s="7">
        <v>1</v>
      </c>
      <c r="DC239" s="7">
        <v>12</v>
      </c>
      <c r="DD239" s="7">
        <v>54</v>
      </c>
      <c r="DE239" s="7">
        <v>30</v>
      </c>
      <c r="DF239" s="7">
        <v>13</v>
      </c>
      <c r="DG239" s="7">
        <v>0</v>
      </c>
      <c r="DH239" s="7">
        <v>0</v>
      </c>
      <c r="DI239" s="18">
        <f t="shared" si="33"/>
        <v>100</v>
      </c>
      <c r="DJ239" s="18">
        <f t="shared" si="34"/>
        <v>77</v>
      </c>
      <c r="DK239" s="18">
        <f t="shared" si="35"/>
        <v>134</v>
      </c>
      <c r="DL239" s="18">
        <f t="shared" si="39"/>
        <v>19</v>
      </c>
      <c r="DM239" s="18">
        <f t="shared" si="40"/>
        <v>15</v>
      </c>
      <c r="DN239" s="18">
        <f t="shared" si="41"/>
        <v>23</v>
      </c>
      <c r="DO239" s="18">
        <v>313</v>
      </c>
      <c r="DP239" s="18">
        <v>124</v>
      </c>
      <c r="DQ239" s="18">
        <v>313</v>
      </c>
      <c r="DR239" s="18">
        <v>37</v>
      </c>
      <c r="DS239" s="18">
        <v>21</v>
      </c>
      <c r="DT239" s="18">
        <v>37</v>
      </c>
      <c r="DU239" s="18" t="s">
        <v>220</v>
      </c>
    </row>
    <row r="240" spans="54:125" x14ac:dyDescent="0.25">
      <c r="BB240" s="7">
        <v>237</v>
      </c>
      <c r="BC240" s="7" t="s">
        <v>332</v>
      </c>
      <c r="BD240" s="23" t="s">
        <v>220</v>
      </c>
      <c r="BE240" s="26">
        <v>817684814</v>
      </c>
      <c r="BF240" s="25" t="s">
        <v>222</v>
      </c>
      <c r="BG240" s="7">
        <v>25</v>
      </c>
      <c r="BH240" s="7" t="s">
        <v>320</v>
      </c>
      <c r="BI240" s="7" t="s">
        <v>368</v>
      </c>
      <c r="BJ240" s="7">
        <v>69</v>
      </c>
      <c r="BK240" s="9">
        <v>61.062492753623211</v>
      </c>
      <c r="BL240" s="9">
        <v>49.903072463768162</v>
      </c>
      <c r="BM240" s="9">
        <v>55.483091787439605</v>
      </c>
      <c r="BN240" s="9">
        <v>110.9655652173913</v>
      </c>
      <c r="BO240" s="7">
        <v>5</v>
      </c>
      <c r="BP240" s="7">
        <v>30</v>
      </c>
      <c r="BQ240" s="7">
        <v>24</v>
      </c>
      <c r="BR240" s="7">
        <v>10</v>
      </c>
      <c r="BS240" s="7">
        <v>0</v>
      </c>
      <c r="BT240" s="7">
        <v>1</v>
      </c>
      <c r="BU240" s="7">
        <v>8</v>
      </c>
      <c r="BV240" s="7">
        <v>46</v>
      </c>
      <c r="BW240" s="7">
        <v>11</v>
      </c>
      <c r="BX240" s="7">
        <v>4</v>
      </c>
      <c r="BY240" s="7">
        <v>0</v>
      </c>
      <c r="BZ240" s="7">
        <v>0</v>
      </c>
      <c r="CA240" s="7">
        <v>79</v>
      </c>
      <c r="CB240" s="9">
        <v>61.940582278481045</v>
      </c>
      <c r="CC240" s="9">
        <v>52.615734177215224</v>
      </c>
      <c r="CD240" s="9">
        <v>57.27848101265824</v>
      </c>
      <c r="CE240" s="9">
        <v>114.55631645569619</v>
      </c>
      <c r="CF240" s="7">
        <v>7</v>
      </c>
      <c r="CG240" s="7">
        <v>29</v>
      </c>
      <c r="CH240" s="7">
        <v>28</v>
      </c>
      <c r="CI240" s="7">
        <v>15</v>
      </c>
      <c r="CJ240" s="7">
        <v>0</v>
      </c>
      <c r="CK240" s="7">
        <v>0</v>
      </c>
      <c r="CL240" s="7">
        <v>12</v>
      </c>
      <c r="CM240" s="7">
        <v>38</v>
      </c>
      <c r="CN240" s="7">
        <v>26</v>
      </c>
      <c r="CO240" s="7">
        <v>3</v>
      </c>
      <c r="CP240" s="7">
        <v>0</v>
      </c>
      <c r="CQ240" s="7">
        <v>0</v>
      </c>
      <c r="CR240" s="7">
        <v>148</v>
      </c>
      <c r="CS240" s="9">
        <v>61.531202702702707</v>
      </c>
      <c r="CT240" s="9">
        <v>51.351047297297271</v>
      </c>
      <c r="CU240" s="9">
        <v>56.441441441441448</v>
      </c>
      <c r="CV240" s="9">
        <v>112.88224999999996</v>
      </c>
      <c r="CW240" s="7">
        <v>12</v>
      </c>
      <c r="CX240" s="7">
        <v>59</v>
      </c>
      <c r="CY240" s="7">
        <v>52</v>
      </c>
      <c r="CZ240" s="7">
        <v>25</v>
      </c>
      <c r="DA240" s="7">
        <v>0</v>
      </c>
      <c r="DB240" s="7">
        <v>1</v>
      </c>
      <c r="DC240" s="7">
        <v>20</v>
      </c>
      <c r="DD240" s="7">
        <v>84</v>
      </c>
      <c r="DE240" s="7">
        <v>37</v>
      </c>
      <c r="DF240" s="7">
        <v>7</v>
      </c>
      <c r="DG240" s="7">
        <v>0</v>
      </c>
      <c r="DH240" s="7">
        <v>0</v>
      </c>
      <c r="DI240" s="18">
        <f t="shared" si="33"/>
        <v>210</v>
      </c>
      <c r="DJ240" s="18">
        <f t="shared" si="34"/>
        <v>81</v>
      </c>
      <c r="DK240" s="18">
        <f t="shared" si="35"/>
        <v>194</v>
      </c>
      <c r="DL240" s="18">
        <f t="shared" si="39"/>
        <v>30</v>
      </c>
      <c r="DM240" s="18">
        <f t="shared" si="40"/>
        <v>16</v>
      </c>
      <c r="DN240" s="18">
        <f t="shared" si="41"/>
        <v>28</v>
      </c>
      <c r="DO240" s="18">
        <v>313</v>
      </c>
      <c r="DP240" s="18">
        <v>124</v>
      </c>
      <c r="DQ240" s="18">
        <v>313</v>
      </c>
      <c r="DR240" s="18">
        <v>37</v>
      </c>
      <c r="DS240" s="18">
        <v>21</v>
      </c>
      <c r="DT240" s="18">
        <v>37</v>
      </c>
      <c r="DU240" s="18" t="s">
        <v>220</v>
      </c>
    </row>
    <row r="241" spans="54:125" x14ac:dyDescent="0.25">
      <c r="BB241" s="7">
        <v>238</v>
      </c>
      <c r="BC241" s="7" t="s">
        <v>332</v>
      </c>
      <c r="BD241" s="23" t="s">
        <v>220</v>
      </c>
      <c r="BE241" s="26">
        <v>579804270</v>
      </c>
      <c r="BF241" s="25" t="s">
        <v>246</v>
      </c>
      <c r="BG241" s="7">
        <v>27</v>
      </c>
      <c r="BH241" s="7" t="s">
        <v>320</v>
      </c>
      <c r="BI241" s="7" t="s">
        <v>368</v>
      </c>
      <c r="BJ241" s="7">
        <v>80</v>
      </c>
      <c r="BK241" s="9">
        <v>65.083000000000027</v>
      </c>
      <c r="BL241" s="9">
        <v>56.583012500000031</v>
      </c>
      <c r="BM241" s="9">
        <v>60.83333333333335</v>
      </c>
      <c r="BN241" s="9">
        <v>121.66601249999994</v>
      </c>
      <c r="BO241" s="7">
        <v>3</v>
      </c>
      <c r="BP241" s="7">
        <v>33</v>
      </c>
      <c r="BQ241" s="7">
        <v>27</v>
      </c>
      <c r="BR241" s="7">
        <v>17</v>
      </c>
      <c r="BS241" s="7">
        <v>0</v>
      </c>
      <c r="BT241" s="7">
        <v>2</v>
      </c>
      <c r="BU241" s="7">
        <v>9</v>
      </c>
      <c r="BV241" s="7">
        <v>39</v>
      </c>
      <c r="BW241" s="7">
        <v>27</v>
      </c>
      <c r="BX241" s="7">
        <v>5</v>
      </c>
      <c r="BY241" s="7">
        <v>0</v>
      </c>
      <c r="BZ241" s="7">
        <v>0</v>
      </c>
      <c r="CA241" s="7">
        <v>160</v>
      </c>
      <c r="CB241" s="9">
        <v>65.87469999999999</v>
      </c>
      <c r="CC241" s="9">
        <v>56.291318749999974</v>
      </c>
      <c r="CD241" s="9">
        <v>61.083333333333314</v>
      </c>
      <c r="CE241" s="9">
        <v>122.16601874999989</v>
      </c>
      <c r="CF241" s="7">
        <v>6</v>
      </c>
      <c r="CG241" s="7">
        <v>54</v>
      </c>
      <c r="CH241" s="7">
        <v>75</v>
      </c>
      <c r="CI241" s="7">
        <v>25</v>
      </c>
      <c r="CJ241" s="7">
        <v>0</v>
      </c>
      <c r="CK241" s="7">
        <v>0</v>
      </c>
      <c r="CL241" s="7">
        <v>19</v>
      </c>
      <c r="CM241" s="7">
        <v>79</v>
      </c>
      <c r="CN241" s="7">
        <v>54</v>
      </c>
      <c r="CO241" s="7">
        <v>8</v>
      </c>
      <c r="CP241" s="7">
        <v>0</v>
      </c>
      <c r="CQ241" s="7">
        <v>0</v>
      </c>
      <c r="CR241" s="7">
        <v>240</v>
      </c>
      <c r="CS241" s="9">
        <v>65.610799999999955</v>
      </c>
      <c r="CT241" s="9">
        <v>56.388549999999938</v>
      </c>
      <c r="CU241" s="9">
        <v>60.999999999999986</v>
      </c>
      <c r="CV241" s="9">
        <v>121.99934999999986</v>
      </c>
      <c r="CW241" s="7">
        <v>9</v>
      </c>
      <c r="CX241" s="7">
        <v>87</v>
      </c>
      <c r="CY241" s="7">
        <v>102</v>
      </c>
      <c r="CZ241" s="7">
        <v>42</v>
      </c>
      <c r="DA241" s="7">
        <v>0</v>
      </c>
      <c r="DB241" s="7">
        <v>2</v>
      </c>
      <c r="DC241" s="7">
        <v>28</v>
      </c>
      <c r="DD241" s="7">
        <v>118</v>
      </c>
      <c r="DE241" s="7">
        <v>81</v>
      </c>
      <c r="DF241" s="7">
        <v>13</v>
      </c>
      <c r="DG241" s="7">
        <v>0</v>
      </c>
      <c r="DH241" s="7">
        <v>0</v>
      </c>
      <c r="DI241" s="18">
        <f t="shared" si="33"/>
        <v>120</v>
      </c>
      <c r="DJ241" s="18">
        <f t="shared" si="34"/>
        <v>46</v>
      </c>
      <c r="DK241" s="18">
        <f t="shared" si="35"/>
        <v>113</v>
      </c>
      <c r="DL241" s="18">
        <f t="shared" si="39"/>
        <v>21</v>
      </c>
      <c r="DM241" s="18">
        <f t="shared" si="40"/>
        <v>11</v>
      </c>
      <c r="DN241" s="18">
        <f t="shared" si="41"/>
        <v>21</v>
      </c>
      <c r="DO241" s="18">
        <v>313</v>
      </c>
      <c r="DP241" s="18">
        <v>124</v>
      </c>
      <c r="DQ241" s="18">
        <v>313</v>
      </c>
      <c r="DR241" s="18">
        <v>37</v>
      </c>
      <c r="DS241" s="18">
        <v>21</v>
      </c>
      <c r="DT241" s="18">
        <v>37</v>
      </c>
      <c r="DU241" s="18" t="s">
        <v>220</v>
      </c>
    </row>
    <row r="242" spans="54:125" x14ac:dyDescent="0.25">
      <c r="BB242" s="7">
        <v>239</v>
      </c>
      <c r="BC242" s="7" t="s">
        <v>332</v>
      </c>
      <c r="BD242" s="23" t="s">
        <v>220</v>
      </c>
      <c r="BE242" s="26">
        <v>258970224</v>
      </c>
      <c r="BF242" s="25" t="s">
        <v>247</v>
      </c>
      <c r="BG242" s="7">
        <v>29</v>
      </c>
      <c r="BH242" s="7" t="s">
        <v>320</v>
      </c>
      <c r="BI242" s="7" t="s">
        <v>367</v>
      </c>
      <c r="BJ242" s="7">
        <v>49</v>
      </c>
      <c r="BK242" s="9">
        <v>55.986061224489823</v>
      </c>
      <c r="BL242" s="9">
        <v>43.469122448979604</v>
      </c>
      <c r="BM242" s="9">
        <v>49.727891156462583</v>
      </c>
      <c r="BN242" s="9">
        <v>99.455183673469392</v>
      </c>
      <c r="BO242" s="7">
        <v>7</v>
      </c>
      <c r="BP242" s="7">
        <v>20</v>
      </c>
      <c r="BQ242" s="7">
        <v>12</v>
      </c>
      <c r="BR242" s="7">
        <v>10</v>
      </c>
      <c r="BS242" s="7">
        <v>1</v>
      </c>
      <c r="BT242" s="7">
        <v>0</v>
      </c>
      <c r="BU242" s="7">
        <v>15</v>
      </c>
      <c r="BV242" s="7">
        <v>25</v>
      </c>
      <c r="BW242" s="7">
        <v>7</v>
      </c>
      <c r="BX242" s="7">
        <v>2</v>
      </c>
      <c r="BY242" s="7">
        <v>0</v>
      </c>
      <c r="BZ242" s="7">
        <v>0</v>
      </c>
      <c r="CA242" s="7"/>
      <c r="CB242" s="9"/>
      <c r="CC242" s="9"/>
      <c r="CD242" s="9"/>
      <c r="CE242" s="9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>
        <v>49</v>
      </c>
      <c r="CS242" s="9">
        <v>55.986061224489823</v>
      </c>
      <c r="CT242" s="9">
        <v>43.469122448979604</v>
      </c>
      <c r="CU242" s="9">
        <v>49.727891156462583</v>
      </c>
      <c r="CV242" s="9">
        <v>99.455183673469392</v>
      </c>
      <c r="CW242" s="7">
        <v>7</v>
      </c>
      <c r="CX242" s="7">
        <v>20</v>
      </c>
      <c r="CY242" s="7">
        <v>12</v>
      </c>
      <c r="CZ242" s="7">
        <v>10</v>
      </c>
      <c r="DA242" s="7">
        <v>1</v>
      </c>
      <c r="DB242" s="7">
        <v>0</v>
      </c>
      <c r="DC242" s="7">
        <v>15</v>
      </c>
      <c r="DD242" s="7">
        <v>25</v>
      </c>
      <c r="DE242" s="7">
        <v>7</v>
      </c>
      <c r="DF242" s="7">
        <v>2</v>
      </c>
      <c r="DG242" s="7">
        <v>0</v>
      </c>
      <c r="DH242" s="7">
        <v>0</v>
      </c>
      <c r="DI242" s="18">
        <f t="shared" si="33"/>
        <v>276</v>
      </c>
      <c r="DJ242" s="18" t="str">
        <f t="shared" si="34"/>
        <v/>
      </c>
      <c r="DK242" s="18">
        <f t="shared" si="35"/>
        <v>279</v>
      </c>
      <c r="DL242" s="18">
        <f t="shared" si="39"/>
        <v>32</v>
      </c>
      <c r="DM242" s="18" t="str">
        <f t="shared" si="40"/>
        <v/>
      </c>
      <c r="DN242" s="18">
        <f t="shared" si="41"/>
        <v>34</v>
      </c>
      <c r="DO242" s="18">
        <v>313</v>
      </c>
      <c r="DP242" s="18">
        <v>124</v>
      </c>
      <c r="DQ242" s="18">
        <v>313</v>
      </c>
      <c r="DR242" s="18">
        <v>37</v>
      </c>
      <c r="DS242" s="18">
        <v>21</v>
      </c>
      <c r="DT242" s="18">
        <v>37</v>
      </c>
      <c r="DU242" s="18" t="s">
        <v>220</v>
      </c>
    </row>
    <row r="243" spans="54:125" x14ac:dyDescent="0.25">
      <c r="BB243" s="7">
        <v>240</v>
      </c>
      <c r="BC243" s="7" t="s">
        <v>332</v>
      </c>
      <c r="BD243" s="23" t="s">
        <v>220</v>
      </c>
      <c r="BE243" s="26">
        <v>609164539</v>
      </c>
      <c r="BF243" s="25" t="s">
        <v>251</v>
      </c>
      <c r="BG243" s="7">
        <v>48</v>
      </c>
      <c r="BH243" s="7" t="s">
        <v>320</v>
      </c>
      <c r="BI243" s="7" t="s">
        <v>368</v>
      </c>
      <c r="BJ243" s="7">
        <v>51</v>
      </c>
      <c r="BK243" s="9">
        <v>63.921215686274557</v>
      </c>
      <c r="BL243" s="9">
        <v>58.169588235294142</v>
      </c>
      <c r="BM243" s="9">
        <v>61.045751633986939</v>
      </c>
      <c r="BN243" s="9">
        <v>122.09080392156864</v>
      </c>
      <c r="BO243" s="7">
        <v>6</v>
      </c>
      <c r="BP243" s="7">
        <v>10</v>
      </c>
      <c r="BQ243" s="7">
        <v>24</v>
      </c>
      <c r="BR243" s="7">
        <v>11</v>
      </c>
      <c r="BS243" s="7">
        <v>1</v>
      </c>
      <c r="BT243" s="7">
        <v>0</v>
      </c>
      <c r="BU243" s="7">
        <v>8</v>
      </c>
      <c r="BV243" s="7">
        <v>18</v>
      </c>
      <c r="BW243" s="7">
        <v>18</v>
      </c>
      <c r="BX243" s="7">
        <v>7</v>
      </c>
      <c r="BY243" s="7">
        <v>0</v>
      </c>
      <c r="BZ243" s="7">
        <v>0</v>
      </c>
      <c r="CA243" s="7">
        <v>24</v>
      </c>
      <c r="CB243" s="9">
        <v>59.721875000000004</v>
      </c>
      <c r="CC243" s="9">
        <v>45.138499999999993</v>
      </c>
      <c r="CD243" s="9">
        <v>52.43055555555555</v>
      </c>
      <c r="CE243" s="9">
        <v>104.86037499999999</v>
      </c>
      <c r="CF243" s="7">
        <v>2</v>
      </c>
      <c r="CG243" s="7">
        <v>11</v>
      </c>
      <c r="CH243" s="7">
        <v>10</v>
      </c>
      <c r="CI243" s="7">
        <v>1</v>
      </c>
      <c r="CJ243" s="7">
        <v>0</v>
      </c>
      <c r="CK243" s="7">
        <v>0</v>
      </c>
      <c r="CL243" s="7">
        <v>6</v>
      </c>
      <c r="CM243" s="7">
        <v>14</v>
      </c>
      <c r="CN243" s="7">
        <v>4</v>
      </c>
      <c r="CO243" s="7">
        <v>0</v>
      </c>
      <c r="CP243" s="7">
        <v>0</v>
      </c>
      <c r="CQ243" s="7">
        <v>0</v>
      </c>
      <c r="CR243" s="7">
        <v>75</v>
      </c>
      <c r="CS243" s="9">
        <v>62.577426666666703</v>
      </c>
      <c r="CT243" s="9">
        <v>53.999640000000049</v>
      </c>
      <c r="CU243" s="9">
        <v>58.288888888888891</v>
      </c>
      <c r="CV243" s="9">
        <v>116.57706666666665</v>
      </c>
      <c r="CW243" s="7">
        <v>8</v>
      </c>
      <c r="CX243" s="7">
        <v>21</v>
      </c>
      <c r="CY243" s="7">
        <v>34</v>
      </c>
      <c r="CZ243" s="7">
        <v>12</v>
      </c>
      <c r="DA243" s="7">
        <v>1</v>
      </c>
      <c r="DB243" s="7">
        <v>0</v>
      </c>
      <c r="DC243" s="7">
        <v>14</v>
      </c>
      <c r="DD243" s="7">
        <v>32</v>
      </c>
      <c r="DE243" s="7">
        <v>22</v>
      </c>
      <c r="DF243" s="7">
        <v>7</v>
      </c>
      <c r="DG243" s="7">
        <v>0</v>
      </c>
      <c r="DH243" s="7">
        <v>0</v>
      </c>
      <c r="DI243" s="18">
        <f t="shared" si="33"/>
        <v>115</v>
      </c>
      <c r="DJ243" s="18">
        <f t="shared" si="34"/>
        <v>112</v>
      </c>
      <c r="DK243" s="18">
        <f t="shared" si="35"/>
        <v>160</v>
      </c>
      <c r="DL243" s="18">
        <f t="shared" si="39"/>
        <v>20</v>
      </c>
      <c r="DM243" s="18">
        <f t="shared" si="40"/>
        <v>20</v>
      </c>
      <c r="DN243" s="18">
        <f t="shared" si="41"/>
        <v>25</v>
      </c>
      <c r="DO243" s="18">
        <v>313</v>
      </c>
      <c r="DP243" s="18">
        <v>124</v>
      </c>
      <c r="DQ243" s="18">
        <v>313</v>
      </c>
      <c r="DR243" s="18">
        <v>37</v>
      </c>
      <c r="DS243" s="18">
        <v>21</v>
      </c>
      <c r="DT243" s="18">
        <v>37</v>
      </c>
      <c r="DU243" s="18" t="s">
        <v>220</v>
      </c>
    </row>
    <row r="244" spans="54:125" x14ac:dyDescent="0.25">
      <c r="BB244" s="7">
        <v>241</v>
      </c>
      <c r="BC244" s="7" t="s">
        <v>332</v>
      </c>
      <c r="BD244" s="23" t="s">
        <v>220</v>
      </c>
      <c r="BE244" s="26">
        <v>672758695</v>
      </c>
      <c r="BF244" s="25" t="s">
        <v>249</v>
      </c>
      <c r="BG244" s="7">
        <v>55</v>
      </c>
      <c r="BH244" s="7" t="s">
        <v>320</v>
      </c>
      <c r="BI244" s="7" t="s">
        <v>367</v>
      </c>
      <c r="BJ244" s="7">
        <v>73</v>
      </c>
      <c r="BK244" s="9">
        <v>69.451753424657568</v>
      </c>
      <c r="BL244" s="9">
        <v>64.154917808219224</v>
      </c>
      <c r="BM244" s="9">
        <v>66.803652968036516</v>
      </c>
      <c r="BN244" s="9">
        <v>133.60667123287664</v>
      </c>
      <c r="BO244" s="7">
        <v>4</v>
      </c>
      <c r="BP244" s="7">
        <v>21</v>
      </c>
      <c r="BQ244" s="7">
        <v>25</v>
      </c>
      <c r="BR244" s="7">
        <v>23</v>
      </c>
      <c r="BS244" s="7">
        <v>0</v>
      </c>
      <c r="BT244" s="7">
        <v>2</v>
      </c>
      <c r="BU244" s="7">
        <v>4</v>
      </c>
      <c r="BV244" s="7">
        <v>23</v>
      </c>
      <c r="BW244" s="7">
        <v>37</v>
      </c>
      <c r="BX244" s="7">
        <v>9</v>
      </c>
      <c r="BY244" s="7">
        <v>0</v>
      </c>
      <c r="BZ244" s="7">
        <v>0</v>
      </c>
      <c r="CA244" s="7"/>
      <c r="CB244" s="9"/>
      <c r="CC244" s="9"/>
      <c r="CD244" s="9"/>
      <c r="CE244" s="9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>
        <v>73</v>
      </c>
      <c r="CS244" s="9">
        <v>69.451753424657568</v>
      </c>
      <c r="CT244" s="9">
        <v>64.154917808219224</v>
      </c>
      <c r="CU244" s="9">
        <v>66.803652968036516</v>
      </c>
      <c r="CV244" s="9">
        <v>133.60667123287664</v>
      </c>
      <c r="CW244" s="7">
        <v>4</v>
      </c>
      <c r="CX244" s="7">
        <v>21</v>
      </c>
      <c r="CY244" s="7">
        <v>25</v>
      </c>
      <c r="CZ244" s="7">
        <v>23</v>
      </c>
      <c r="DA244" s="7">
        <v>0</v>
      </c>
      <c r="DB244" s="7">
        <v>2</v>
      </c>
      <c r="DC244" s="7">
        <v>4</v>
      </c>
      <c r="DD244" s="7">
        <v>23</v>
      </c>
      <c r="DE244" s="7">
        <v>37</v>
      </c>
      <c r="DF244" s="7">
        <v>9</v>
      </c>
      <c r="DG244" s="7">
        <v>0</v>
      </c>
      <c r="DH244" s="7">
        <v>0</v>
      </c>
      <c r="DI244" s="18">
        <f t="shared" si="33"/>
        <v>36</v>
      </c>
      <c r="DJ244" s="18" t="str">
        <f t="shared" si="34"/>
        <v/>
      </c>
      <c r="DK244" s="18">
        <f t="shared" si="35"/>
        <v>29</v>
      </c>
      <c r="DL244" s="18">
        <f t="shared" si="39"/>
        <v>7</v>
      </c>
      <c r="DM244" s="18" t="str">
        <f t="shared" si="40"/>
        <v/>
      </c>
      <c r="DN244" s="18">
        <f t="shared" si="41"/>
        <v>7</v>
      </c>
      <c r="DO244" s="18">
        <v>313</v>
      </c>
      <c r="DP244" s="18">
        <v>124</v>
      </c>
      <c r="DQ244" s="18">
        <v>313</v>
      </c>
      <c r="DR244" s="18">
        <v>37</v>
      </c>
      <c r="DS244" s="18">
        <v>21</v>
      </c>
      <c r="DT244" s="18">
        <v>37</v>
      </c>
      <c r="DU244" s="18" t="s">
        <v>220</v>
      </c>
    </row>
    <row r="245" spans="54:125" x14ac:dyDescent="0.25">
      <c r="BB245" s="7">
        <v>242</v>
      </c>
      <c r="BC245" s="7" t="s">
        <v>332</v>
      </c>
      <c r="BD245" s="23" t="s">
        <v>220</v>
      </c>
      <c r="BE245" s="26">
        <v>765492666</v>
      </c>
      <c r="BF245" s="25" t="s">
        <v>238</v>
      </c>
      <c r="BG245" s="7">
        <v>56</v>
      </c>
      <c r="BH245" s="7" t="s">
        <v>320</v>
      </c>
      <c r="BI245" s="7" t="s">
        <v>368</v>
      </c>
      <c r="BJ245" s="7">
        <v>42</v>
      </c>
      <c r="BK245" s="9">
        <v>51.586976190476193</v>
      </c>
      <c r="BL245" s="9">
        <v>44.761595238095239</v>
      </c>
      <c r="BM245" s="9">
        <v>48.17460317460317</v>
      </c>
      <c r="BN245" s="9">
        <v>96.348571428571447</v>
      </c>
      <c r="BO245" s="7">
        <v>8</v>
      </c>
      <c r="BP245" s="7">
        <v>19</v>
      </c>
      <c r="BQ245" s="7">
        <v>13</v>
      </c>
      <c r="BR245" s="7">
        <v>2</v>
      </c>
      <c r="BS245" s="7">
        <v>0</v>
      </c>
      <c r="BT245" s="7">
        <v>0</v>
      </c>
      <c r="BU245" s="7">
        <v>5</v>
      </c>
      <c r="BV245" s="7">
        <v>34</v>
      </c>
      <c r="BW245" s="7">
        <v>3</v>
      </c>
      <c r="BX245" s="7">
        <v>0</v>
      </c>
      <c r="BY245" s="7">
        <v>0</v>
      </c>
      <c r="BZ245" s="7">
        <v>0</v>
      </c>
      <c r="CA245" s="7">
        <v>47</v>
      </c>
      <c r="CB245" s="9">
        <v>64.751468085106424</v>
      </c>
      <c r="CC245" s="9">
        <v>57.588319148936179</v>
      </c>
      <c r="CD245" s="9">
        <v>61.170212765957444</v>
      </c>
      <c r="CE245" s="9">
        <v>122.33978723404253</v>
      </c>
      <c r="CF245" s="7">
        <v>1</v>
      </c>
      <c r="CG245" s="7">
        <v>14</v>
      </c>
      <c r="CH245" s="7">
        <v>27</v>
      </c>
      <c r="CI245" s="7">
        <v>5</v>
      </c>
      <c r="CJ245" s="7">
        <v>0</v>
      </c>
      <c r="CK245" s="7">
        <v>0</v>
      </c>
      <c r="CL245" s="7">
        <v>3</v>
      </c>
      <c r="CM245" s="7">
        <v>22</v>
      </c>
      <c r="CN245" s="7">
        <v>20</v>
      </c>
      <c r="CO245" s="7">
        <v>2</v>
      </c>
      <c r="CP245" s="7">
        <v>0</v>
      </c>
      <c r="CQ245" s="7">
        <v>0</v>
      </c>
      <c r="CR245" s="7">
        <v>89</v>
      </c>
      <c r="CS245" s="9">
        <v>58.539011235955073</v>
      </c>
      <c r="CT245" s="9">
        <v>51.535258426966323</v>
      </c>
      <c r="CU245" s="9">
        <v>55.037453183520583</v>
      </c>
      <c r="CV245" s="9">
        <v>110.07426966292131</v>
      </c>
      <c r="CW245" s="7">
        <v>9</v>
      </c>
      <c r="CX245" s="7">
        <v>33</v>
      </c>
      <c r="CY245" s="7">
        <v>40</v>
      </c>
      <c r="CZ245" s="7">
        <v>7</v>
      </c>
      <c r="DA245" s="7">
        <v>0</v>
      </c>
      <c r="DB245" s="7">
        <v>0</v>
      </c>
      <c r="DC245" s="7">
        <v>8</v>
      </c>
      <c r="DD245" s="7">
        <v>56</v>
      </c>
      <c r="DE245" s="7">
        <v>23</v>
      </c>
      <c r="DF245" s="7">
        <v>2</v>
      </c>
      <c r="DG245" s="7">
        <v>0</v>
      </c>
      <c r="DH245" s="7">
        <v>0</v>
      </c>
      <c r="DI245" s="18">
        <f t="shared" si="33"/>
        <v>284</v>
      </c>
      <c r="DJ245" s="18">
        <f t="shared" si="34"/>
        <v>45</v>
      </c>
      <c r="DK245" s="18">
        <f t="shared" si="35"/>
        <v>220</v>
      </c>
      <c r="DL245" s="18">
        <f t="shared" si="39"/>
        <v>33</v>
      </c>
      <c r="DM245" s="18">
        <f t="shared" si="40"/>
        <v>10</v>
      </c>
      <c r="DN245" s="18">
        <f t="shared" si="41"/>
        <v>33</v>
      </c>
      <c r="DO245" s="18">
        <v>313</v>
      </c>
      <c r="DP245" s="18">
        <v>124</v>
      </c>
      <c r="DQ245" s="18">
        <v>313</v>
      </c>
      <c r="DR245" s="18">
        <v>37</v>
      </c>
      <c r="DS245" s="18">
        <v>21</v>
      </c>
      <c r="DT245" s="18">
        <v>37</v>
      </c>
      <c r="DU245" s="18" t="s">
        <v>220</v>
      </c>
    </row>
    <row r="246" spans="54:125" x14ac:dyDescent="0.25">
      <c r="BB246" s="7">
        <v>243</v>
      </c>
      <c r="BC246" s="7" t="s">
        <v>332</v>
      </c>
      <c r="BD246" s="23" t="s">
        <v>220</v>
      </c>
      <c r="BE246" s="26">
        <v>780255461</v>
      </c>
      <c r="BF246" s="25" t="s">
        <v>248</v>
      </c>
      <c r="BG246" s="7">
        <v>58</v>
      </c>
      <c r="BH246" s="7" t="s">
        <v>320</v>
      </c>
      <c r="BI246" s="7" t="s">
        <v>367</v>
      </c>
      <c r="BJ246" s="7">
        <v>134</v>
      </c>
      <c r="BK246" s="9">
        <v>58.482283582089543</v>
      </c>
      <c r="BL246" s="9">
        <v>56.367865671641781</v>
      </c>
      <c r="BM246" s="9">
        <v>57.425373134328325</v>
      </c>
      <c r="BN246" s="9">
        <v>114.8501492537312</v>
      </c>
      <c r="BO246" s="7">
        <v>17</v>
      </c>
      <c r="BP246" s="7">
        <v>51</v>
      </c>
      <c r="BQ246" s="7">
        <v>46</v>
      </c>
      <c r="BR246" s="7">
        <v>20</v>
      </c>
      <c r="BS246" s="7">
        <v>2</v>
      </c>
      <c r="BT246" s="7">
        <v>1</v>
      </c>
      <c r="BU246" s="7">
        <v>20</v>
      </c>
      <c r="BV246" s="7">
        <v>53</v>
      </c>
      <c r="BW246" s="7">
        <v>50</v>
      </c>
      <c r="BX246" s="7">
        <v>11</v>
      </c>
      <c r="BY246" s="7">
        <v>0</v>
      </c>
      <c r="BZ246" s="7">
        <v>1</v>
      </c>
      <c r="CA246" s="7"/>
      <c r="CB246" s="9"/>
      <c r="CC246" s="9"/>
      <c r="CD246" s="9"/>
      <c r="CE246" s="9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>
        <v>134</v>
      </c>
      <c r="CS246" s="9">
        <v>58.482283582089543</v>
      </c>
      <c r="CT246" s="9">
        <v>56.367865671641781</v>
      </c>
      <c r="CU246" s="9">
        <v>57.425373134328325</v>
      </c>
      <c r="CV246" s="9">
        <v>114.8501492537312</v>
      </c>
      <c r="CW246" s="7">
        <v>17</v>
      </c>
      <c r="CX246" s="7">
        <v>51</v>
      </c>
      <c r="CY246" s="7">
        <v>46</v>
      </c>
      <c r="CZ246" s="7">
        <v>20</v>
      </c>
      <c r="DA246" s="7">
        <v>2</v>
      </c>
      <c r="DB246" s="7">
        <v>1</v>
      </c>
      <c r="DC246" s="7">
        <v>20</v>
      </c>
      <c r="DD246" s="7">
        <v>53</v>
      </c>
      <c r="DE246" s="7">
        <v>50</v>
      </c>
      <c r="DF246" s="7">
        <v>11</v>
      </c>
      <c r="DG246" s="7">
        <v>0</v>
      </c>
      <c r="DH246" s="7">
        <v>1</v>
      </c>
      <c r="DI246" s="18">
        <f t="shared" si="33"/>
        <v>180</v>
      </c>
      <c r="DJ246" s="18" t="str">
        <f t="shared" si="34"/>
        <v/>
      </c>
      <c r="DK246" s="18">
        <f t="shared" si="35"/>
        <v>177</v>
      </c>
      <c r="DL246" s="18">
        <f t="shared" si="39"/>
        <v>27</v>
      </c>
      <c r="DM246" s="18" t="str">
        <f t="shared" si="40"/>
        <v/>
      </c>
      <c r="DN246" s="18">
        <f t="shared" si="41"/>
        <v>26</v>
      </c>
      <c r="DO246" s="18">
        <v>313</v>
      </c>
      <c r="DP246" s="18">
        <v>124</v>
      </c>
      <c r="DQ246" s="18">
        <v>313</v>
      </c>
      <c r="DR246" s="18">
        <v>37</v>
      </c>
      <c r="DS246" s="18">
        <v>21</v>
      </c>
      <c r="DT246" s="18">
        <v>37</v>
      </c>
      <c r="DU246" s="18" t="s">
        <v>220</v>
      </c>
    </row>
    <row r="247" spans="54:125" x14ac:dyDescent="0.25">
      <c r="BB247" s="7">
        <v>244</v>
      </c>
      <c r="BC247" s="7" t="s">
        <v>332</v>
      </c>
      <c r="BD247" s="23" t="s">
        <v>220</v>
      </c>
      <c r="BE247" s="26">
        <v>919608761</v>
      </c>
      <c r="BF247" s="25" t="s">
        <v>227</v>
      </c>
      <c r="BG247" s="7">
        <v>59</v>
      </c>
      <c r="BH247" s="7" t="s">
        <v>320</v>
      </c>
      <c r="BI247" s="7" t="s">
        <v>368</v>
      </c>
      <c r="BJ247" s="7">
        <v>167</v>
      </c>
      <c r="BK247" s="9">
        <v>57.484718562874242</v>
      </c>
      <c r="BL247" s="9">
        <v>52.833988023952074</v>
      </c>
      <c r="BM247" s="9">
        <v>55.159680638722541</v>
      </c>
      <c r="BN247" s="9">
        <v>110.31870658682625</v>
      </c>
      <c r="BO247" s="7">
        <v>26</v>
      </c>
      <c r="BP247" s="7">
        <v>65</v>
      </c>
      <c r="BQ247" s="7">
        <v>56</v>
      </c>
      <c r="BR247" s="7">
        <v>20</v>
      </c>
      <c r="BS247" s="7">
        <v>2</v>
      </c>
      <c r="BT247" s="7">
        <v>2</v>
      </c>
      <c r="BU247" s="7">
        <v>31</v>
      </c>
      <c r="BV247" s="7">
        <v>79</v>
      </c>
      <c r="BW247" s="7">
        <v>42</v>
      </c>
      <c r="BX247" s="7">
        <v>15</v>
      </c>
      <c r="BY247" s="7">
        <v>0</v>
      </c>
      <c r="BZ247" s="7">
        <v>0</v>
      </c>
      <c r="CA247" s="7">
        <v>29</v>
      </c>
      <c r="CB247" s="9">
        <v>63.677862068965503</v>
      </c>
      <c r="CC247" s="9">
        <v>49.310034482758631</v>
      </c>
      <c r="CD247" s="9">
        <v>56.494252873563234</v>
      </c>
      <c r="CE247" s="9">
        <v>112.98789655172413</v>
      </c>
      <c r="CF247" s="7">
        <v>1</v>
      </c>
      <c r="CG247" s="7">
        <v>9</v>
      </c>
      <c r="CH247" s="7">
        <v>15</v>
      </c>
      <c r="CI247" s="7">
        <v>4</v>
      </c>
      <c r="CJ247" s="7">
        <v>0</v>
      </c>
      <c r="CK247" s="7">
        <v>0</v>
      </c>
      <c r="CL247" s="7">
        <v>4</v>
      </c>
      <c r="CM247" s="7">
        <v>22</v>
      </c>
      <c r="CN247" s="7">
        <v>2</v>
      </c>
      <c r="CO247" s="7">
        <v>1</v>
      </c>
      <c r="CP247" s="7">
        <v>0</v>
      </c>
      <c r="CQ247" s="7">
        <v>0</v>
      </c>
      <c r="CR247" s="7">
        <v>196</v>
      </c>
      <c r="CS247" s="9">
        <v>58.401051020408154</v>
      </c>
      <c r="CT247" s="9">
        <v>52.312586734693852</v>
      </c>
      <c r="CU247" s="9">
        <v>55.357142857142847</v>
      </c>
      <c r="CV247" s="9">
        <v>110.71363775510194</v>
      </c>
      <c r="CW247" s="7">
        <v>27</v>
      </c>
      <c r="CX247" s="7">
        <v>74</v>
      </c>
      <c r="CY247" s="7">
        <v>71</v>
      </c>
      <c r="CZ247" s="7">
        <v>24</v>
      </c>
      <c r="DA247" s="7">
        <v>2</v>
      </c>
      <c r="DB247" s="7">
        <v>2</v>
      </c>
      <c r="DC247" s="7">
        <v>35</v>
      </c>
      <c r="DD247" s="7">
        <v>101</v>
      </c>
      <c r="DE247" s="7">
        <v>44</v>
      </c>
      <c r="DF247" s="7">
        <v>16</v>
      </c>
      <c r="DG247" s="7">
        <v>0</v>
      </c>
      <c r="DH247" s="7">
        <v>0</v>
      </c>
      <c r="DI247" s="18">
        <f t="shared" si="33"/>
        <v>212</v>
      </c>
      <c r="DJ247" s="18">
        <f t="shared" si="34"/>
        <v>89</v>
      </c>
      <c r="DK247" s="18">
        <f t="shared" si="35"/>
        <v>214</v>
      </c>
      <c r="DL247" s="18">
        <f t="shared" si="39"/>
        <v>31</v>
      </c>
      <c r="DM247" s="18">
        <f t="shared" si="40"/>
        <v>17</v>
      </c>
      <c r="DN247" s="18">
        <f t="shared" si="41"/>
        <v>32</v>
      </c>
      <c r="DO247" s="18">
        <v>313</v>
      </c>
      <c r="DP247" s="18">
        <v>124</v>
      </c>
      <c r="DQ247" s="18">
        <v>313</v>
      </c>
      <c r="DR247" s="18">
        <v>37</v>
      </c>
      <c r="DS247" s="18">
        <v>21</v>
      </c>
      <c r="DT247" s="18">
        <v>37</v>
      </c>
      <c r="DU247" s="18" t="s">
        <v>220</v>
      </c>
    </row>
    <row r="248" spans="54:125" x14ac:dyDescent="0.25">
      <c r="BB248" s="7">
        <v>245</v>
      </c>
      <c r="BC248" s="7" t="s">
        <v>332</v>
      </c>
      <c r="BD248" s="23" t="s">
        <v>220</v>
      </c>
      <c r="BE248" s="26">
        <v>804050786</v>
      </c>
      <c r="BF248" s="25" t="s">
        <v>254</v>
      </c>
      <c r="BG248" s="7">
        <v>63</v>
      </c>
      <c r="BH248" s="7" t="s">
        <v>320</v>
      </c>
      <c r="BI248" s="7" t="s">
        <v>368</v>
      </c>
      <c r="BJ248" s="7">
        <v>88</v>
      </c>
      <c r="BK248" s="9">
        <v>62.12084090909093</v>
      </c>
      <c r="BL248" s="9">
        <v>59.090545454545463</v>
      </c>
      <c r="BM248" s="9">
        <v>60.60606060606063</v>
      </c>
      <c r="BN248" s="9">
        <v>121.21138636363635</v>
      </c>
      <c r="BO248" s="7">
        <v>7</v>
      </c>
      <c r="BP248" s="7">
        <v>30</v>
      </c>
      <c r="BQ248" s="7">
        <v>37</v>
      </c>
      <c r="BR248" s="7">
        <v>14</v>
      </c>
      <c r="BS248" s="7">
        <v>0</v>
      </c>
      <c r="BT248" s="7">
        <v>0</v>
      </c>
      <c r="BU248" s="7">
        <v>7</v>
      </c>
      <c r="BV248" s="7">
        <v>42</v>
      </c>
      <c r="BW248" s="7">
        <v>27</v>
      </c>
      <c r="BX248" s="7">
        <v>12</v>
      </c>
      <c r="BY248" s="7">
        <v>0</v>
      </c>
      <c r="BZ248" s="7">
        <v>0</v>
      </c>
      <c r="CA248" s="7">
        <v>34</v>
      </c>
      <c r="CB248" s="9">
        <v>66.470264705882371</v>
      </c>
      <c r="CC248" s="9">
        <v>58.2350294117647</v>
      </c>
      <c r="CD248" s="9">
        <v>62.352941176470573</v>
      </c>
      <c r="CE248" s="9">
        <v>124.70529411764707</v>
      </c>
      <c r="CF248" s="7">
        <v>1</v>
      </c>
      <c r="CG248" s="7">
        <v>11</v>
      </c>
      <c r="CH248" s="7">
        <v>19</v>
      </c>
      <c r="CI248" s="7">
        <v>3</v>
      </c>
      <c r="CJ248" s="7">
        <v>0</v>
      </c>
      <c r="CK248" s="7">
        <v>0</v>
      </c>
      <c r="CL248" s="7">
        <v>1</v>
      </c>
      <c r="CM248" s="7">
        <v>21</v>
      </c>
      <c r="CN248" s="7">
        <v>11</v>
      </c>
      <c r="CO248" s="7">
        <v>1</v>
      </c>
      <c r="CP248" s="7">
        <v>0</v>
      </c>
      <c r="CQ248" s="7">
        <v>0</v>
      </c>
      <c r="CR248" s="7">
        <v>122</v>
      </c>
      <c r="CS248" s="9">
        <v>63.33297540983606</v>
      </c>
      <c r="CT248" s="9">
        <v>58.852122950819648</v>
      </c>
      <c r="CU248" s="9">
        <v>61.092896174863398</v>
      </c>
      <c r="CV248" s="9">
        <v>122.18509836065569</v>
      </c>
      <c r="CW248" s="7">
        <v>8</v>
      </c>
      <c r="CX248" s="7">
        <v>41</v>
      </c>
      <c r="CY248" s="7">
        <v>56</v>
      </c>
      <c r="CZ248" s="7">
        <v>17</v>
      </c>
      <c r="DA248" s="7">
        <v>0</v>
      </c>
      <c r="DB248" s="7">
        <v>0</v>
      </c>
      <c r="DC248" s="7">
        <v>8</v>
      </c>
      <c r="DD248" s="7">
        <v>63</v>
      </c>
      <c r="DE248" s="7">
        <v>38</v>
      </c>
      <c r="DF248" s="7">
        <v>13</v>
      </c>
      <c r="DG248" s="7">
        <v>0</v>
      </c>
      <c r="DH248" s="7">
        <v>0</v>
      </c>
      <c r="DI248" s="18">
        <f t="shared" si="33"/>
        <v>126</v>
      </c>
      <c r="DJ248" s="18">
        <f t="shared" si="34"/>
        <v>34</v>
      </c>
      <c r="DK248" s="18">
        <f t="shared" si="35"/>
        <v>111</v>
      </c>
      <c r="DL248" s="18">
        <f t="shared" si="39"/>
        <v>22</v>
      </c>
      <c r="DM248" s="18">
        <f t="shared" si="40"/>
        <v>7</v>
      </c>
      <c r="DN248" s="18">
        <f t="shared" si="41"/>
        <v>20</v>
      </c>
      <c r="DO248" s="18">
        <v>313</v>
      </c>
      <c r="DP248" s="18">
        <v>124</v>
      </c>
      <c r="DQ248" s="18">
        <v>313</v>
      </c>
      <c r="DR248" s="18">
        <v>37</v>
      </c>
      <c r="DS248" s="18">
        <v>21</v>
      </c>
      <c r="DT248" s="18">
        <v>37</v>
      </c>
      <c r="DU248" s="18" t="s">
        <v>220</v>
      </c>
    </row>
    <row r="249" spans="54:125" x14ac:dyDescent="0.25">
      <c r="BB249" s="7">
        <v>246</v>
      </c>
      <c r="BC249" s="7" t="s">
        <v>332</v>
      </c>
      <c r="BD249" s="23" t="s">
        <v>220</v>
      </c>
      <c r="BE249" s="26">
        <v>894972239</v>
      </c>
      <c r="BF249" s="25" t="s">
        <v>252</v>
      </c>
      <c r="BG249" s="7">
        <v>64</v>
      </c>
      <c r="BH249" s="7" t="s">
        <v>320</v>
      </c>
      <c r="BI249" s="7" t="s">
        <v>367</v>
      </c>
      <c r="BJ249" s="7">
        <v>90</v>
      </c>
      <c r="BK249" s="9">
        <v>52.925611111111145</v>
      </c>
      <c r="BL249" s="9">
        <v>42.814522222222259</v>
      </c>
      <c r="BM249" s="9">
        <v>47.870370370370374</v>
      </c>
      <c r="BN249" s="9">
        <v>95.740133333333347</v>
      </c>
      <c r="BO249" s="7">
        <v>14</v>
      </c>
      <c r="BP249" s="7">
        <v>47</v>
      </c>
      <c r="BQ249" s="7">
        <v>23</v>
      </c>
      <c r="BR249" s="7">
        <v>6</v>
      </c>
      <c r="BS249" s="7">
        <v>0</v>
      </c>
      <c r="BT249" s="7">
        <v>0</v>
      </c>
      <c r="BU249" s="7">
        <v>22</v>
      </c>
      <c r="BV249" s="7">
        <v>59</v>
      </c>
      <c r="BW249" s="7">
        <v>4</v>
      </c>
      <c r="BX249" s="7">
        <v>5</v>
      </c>
      <c r="BY249" s="7">
        <v>0</v>
      </c>
      <c r="BZ249" s="7">
        <v>0</v>
      </c>
      <c r="CA249" s="7"/>
      <c r="CB249" s="9"/>
      <c r="CC249" s="9"/>
      <c r="CD249" s="9"/>
      <c r="CE249" s="9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>
        <v>90</v>
      </c>
      <c r="CS249" s="9">
        <v>52.925611111111145</v>
      </c>
      <c r="CT249" s="9">
        <v>42.814522222222259</v>
      </c>
      <c r="CU249" s="9">
        <v>47.870370370370374</v>
      </c>
      <c r="CV249" s="9">
        <v>95.740133333333347</v>
      </c>
      <c r="CW249" s="7">
        <v>14</v>
      </c>
      <c r="CX249" s="7">
        <v>47</v>
      </c>
      <c r="CY249" s="7">
        <v>23</v>
      </c>
      <c r="CZ249" s="7">
        <v>6</v>
      </c>
      <c r="DA249" s="7">
        <v>0</v>
      </c>
      <c r="DB249" s="7">
        <v>0</v>
      </c>
      <c r="DC249" s="7">
        <v>22</v>
      </c>
      <c r="DD249" s="7">
        <v>59</v>
      </c>
      <c r="DE249" s="7">
        <v>4</v>
      </c>
      <c r="DF249" s="7">
        <v>5</v>
      </c>
      <c r="DG249" s="7">
        <v>0</v>
      </c>
      <c r="DH249" s="7">
        <v>0</v>
      </c>
      <c r="DI249" s="18">
        <f t="shared" si="33"/>
        <v>287</v>
      </c>
      <c r="DJ249" s="18" t="str">
        <f t="shared" si="34"/>
        <v/>
      </c>
      <c r="DK249" s="18">
        <f t="shared" si="35"/>
        <v>289</v>
      </c>
      <c r="DL249" s="18">
        <f t="shared" si="39"/>
        <v>34</v>
      </c>
      <c r="DM249" s="18" t="str">
        <f t="shared" si="40"/>
        <v/>
      </c>
      <c r="DN249" s="18">
        <f t="shared" si="41"/>
        <v>35</v>
      </c>
      <c r="DO249" s="18">
        <v>313</v>
      </c>
      <c r="DP249" s="18">
        <v>124</v>
      </c>
      <c r="DQ249" s="18">
        <v>313</v>
      </c>
      <c r="DR249" s="18">
        <v>37</v>
      </c>
      <c r="DS249" s="18">
        <v>21</v>
      </c>
      <c r="DT249" s="18">
        <v>37</v>
      </c>
      <c r="DU249" s="18" t="s">
        <v>220</v>
      </c>
    </row>
    <row r="250" spans="54:125" x14ac:dyDescent="0.25">
      <c r="BB250" s="7">
        <v>247</v>
      </c>
      <c r="BC250" s="7" t="s">
        <v>332</v>
      </c>
      <c r="BD250" s="23" t="s">
        <v>220</v>
      </c>
      <c r="BE250" s="26">
        <v>368337463</v>
      </c>
      <c r="BF250" s="25" t="s">
        <v>226</v>
      </c>
      <c r="BG250" s="7">
        <v>86</v>
      </c>
      <c r="BH250" s="7" t="s">
        <v>320</v>
      </c>
      <c r="BI250" s="7" t="s">
        <v>368</v>
      </c>
      <c r="BJ250" s="7">
        <v>94</v>
      </c>
      <c r="BK250" s="9">
        <v>64.290521276595754</v>
      </c>
      <c r="BL250" s="9">
        <v>62.411063829787238</v>
      </c>
      <c r="BM250" s="9">
        <v>63.351063829787236</v>
      </c>
      <c r="BN250" s="9">
        <v>126.70158510638292</v>
      </c>
      <c r="BO250" s="7">
        <v>3</v>
      </c>
      <c r="BP250" s="7">
        <v>41</v>
      </c>
      <c r="BQ250" s="7">
        <v>37</v>
      </c>
      <c r="BR250" s="7">
        <v>13</v>
      </c>
      <c r="BS250" s="7">
        <v>0</v>
      </c>
      <c r="BT250" s="7">
        <v>0</v>
      </c>
      <c r="BU250" s="7">
        <v>7</v>
      </c>
      <c r="BV250" s="7">
        <v>36</v>
      </c>
      <c r="BW250" s="7">
        <v>36</v>
      </c>
      <c r="BX250" s="7">
        <v>15</v>
      </c>
      <c r="BY250" s="7">
        <v>0</v>
      </c>
      <c r="BZ250" s="7">
        <v>0</v>
      </c>
      <c r="CA250" s="7">
        <v>105</v>
      </c>
      <c r="CB250" s="9">
        <v>71.174257142857115</v>
      </c>
      <c r="CC250" s="9">
        <v>63.745685714285734</v>
      </c>
      <c r="CD250" s="9">
        <v>67.460317460317455</v>
      </c>
      <c r="CE250" s="9">
        <v>134.91994285714276</v>
      </c>
      <c r="CF250" s="7">
        <v>0</v>
      </c>
      <c r="CG250" s="7">
        <v>21</v>
      </c>
      <c r="CH250" s="7">
        <v>57</v>
      </c>
      <c r="CI250" s="7">
        <v>27</v>
      </c>
      <c r="CJ250" s="7">
        <v>0</v>
      </c>
      <c r="CK250" s="7">
        <v>0</v>
      </c>
      <c r="CL250" s="7">
        <v>5</v>
      </c>
      <c r="CM250" s="7">
        <v>36</v>
      </c>
      <c r="CN250" s="7">
        <v>50</v>
      </c>
      <c r="CO250" s="7">
        <v>14</v>
      </c>
      <c r="CP250" s="7">
        <v>0</v>
      </c>
      <c r="CQ250" s="7">
        <v>0</v>
      </c>
      <c r="CR250" s="7">
        <v>199</v>
      </c>
      <c r="CS250" s="9">
        <v>67.922643216080388</v>
      </c>
      <c r="CT250" s="9">
        <v>63.115261306532602</v>
      </c>
      <c r="CU250" s="9">
        <v>65.519262981574556</v>
      </c>
      <c r="CV250" s="9">
        <v>131.03790452261302</v>
      </c>
      <c r="CW250" s="7">
        <v>3</v>
      </c>
      <c r="CX250" s="7">
        <v>62</v>
      </c>
      <c r="CY250" s="7">
        <v>94</v>
      </c>
      <c r="CZ250" s="7">
        <v>40</v>
      </c>
      <c r="DA250" s="7">
        <v>0</v>
      </c>
      <c r="DB250" s="7">
        <v>0</v>
      </c>
      <c r="DC250" s="7">
        <v>12</v>
      </c>
      <c r="DD250" s="7">
        <v>72</v>
      </c>
      <c r="DE250" s="7">
        <v>86</v>
      </c>
      <c r="DF250" s="7">
        <v>29</v>
      </c>
      <c r="DG250" s="7">
        <v>0</v>
      </c>
      <c r="DH250" s="7">
        <v>0</v>
      </c>
      <c r="DI250" s="18">
        <f t="shared" si="33"/>
        <v>83</v>
      </c>
      <c r="DJ250" s="18">
        <f t="shared" si="34"/>
        <v>9</v>
      </c>
      <c r="DK250" s="18">
        <f t="shared" si="35"/>
        <v>42</v>
      </c>
      <c r="DL250" s="18">
        <f t="shared" si="39"/>
        <v>16</v>
      </c>
      <c r="DM250" s="18">
        <f t="shared" si="40"/>
        <v>3</v>
      </c>
      <c r="DN250" s="18">
        <f t="shared" si="41"/>
        <v>11</v>
      </c>
      <c r="DO250" s="18">
        <v>313</v>
      </c>
      <c r="DP250" s="18">
        <v>124</v>
      </c>
      <c r="DQ250" s="18">
        <v>313</v>
      </c>
      <c r="DR250" s="18">
        <v>37</v>
      </c>
      <c r="DS250" s="18">
        <v>21</v>
      </c>
      <c r="DT250" s="18">
        <v>37</v>
      </c>
      <c r="DU250" s="18" t="s">
        <v>220</v>
      </c>
    </row>
    <row r="251" spans="54:125" x14ac:dyDescent="0.25">
      <c r="BB251" s="7">
        <v>248</v>
      </c>
      <c r="BC251" s="7" t="s">
        <v>332</v>
      </c>
      <c r="BD251" s="23" t="s">
        <v>220</v>
      </c>
      <c r="BE251" s="26">
        <v>877487106</v>
      </c>
      <c r="BF251" s="25" t="s">
        <v>243</v>
      </c>
      <c r="BG251" s="7">
        <v>95</v>
      </c>
      <c r="BH251" s="7" t="s">
        <v>320</v>
      </c>
      <c r="BI251" s="7" t="s">
        <v>367</v>
      </c>
      <c r="BJ251" s="7">
        <v>235</v>
      </c>
      <c r="BK251" s="9">
        <v>75.474838297872296</v>
      </c>
      <c r="BL251" s="9">
        <v>66.581246808510599</v>
      </c>
      <c r="BM251" s="9">
        <v>71.028368794326241</v>
      </c>
      <c r="BN251" s="9">
        <v>142.05608510638291</v>
      </c>
      <c r="BO251" s="7">
        <v>9</v>
      </c>
      <c r="BP251" s="7">
        <v>32</v>
      </c>
      <c r="BQ251" s="7">
        <v>90</v>
      </c>
      <c r="BR251" s="7">
        <v>104</v>
      </c>
      <c r="BS251" s="7">
        <v>0</v>
      </c>
      <c r="BT251" s="7">
        <v>6</v>
      </c>
      <c r="BU251" s="7">
        <v>8</v>
      </c>
      <c r="BV251" s="7">
        <v>75</v>
      </c>
      <c r="BW251" s="7">
        <v>102</v>
      </c>
      <c r="BX251" s="7">
        <v>50</v>
      </c>
      <c r="BY251" s="7">
        <v>0</v>
      </c>
      <c r="BZ251" s="7">
        <v>3</v>
      </c>
      <c r="CA251" s="7"/>
      <c r="CB251" s="9"/>
      <c r="CC251" s="9"/>
      <c r="CD251" s="9"/>
      <c r="CE251" s="9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>
        <v>235</v>
      </c>
      <c r="CS251" s="9">
        <v>75.474838297872296</v>
      </c>
      <c r="CT251" s="9">
        <v>66.581246808510599</v>
      </c>
      <c r="CU251" s="9">
        <v>71.028368794326241</v>
      </c>
      <c r="CV251" s="9">
        <v>142.05608510638291</v>
      </c>
      <c r="CW251" s="7">
        <v>9</v>
      </c>
      <c r="CX251" s="7">
        <v>32</v>
      </c>
      <c r="CY251" s="7">
        <v>90</v>
      </c>
      <c r="CZ251" s="7">
        <v>104</v>
      </c>
      <c r="DA251" s="7">
        <v>0</v>
      </c>
      <c r="DB251" s="7">
        <v>6</v>
      </c>
      <c r="DC251" s="7">
        <v>8</v>
      </c>
      <c r="DD251" s="7">
        <v>75</v>
      </c>
      <c r="DE251" s="7">
        <v>102</v>
      </c>
      <c r="DF251" s="7">
        <v>50</v>
      </c>
      <c r="DG251" s="7">
        <v>0</v>
      </c>
      <c r="DH251" s="7">
        <v>3</v>
      </c>
      <c r="DI251" s="18">
        <f t="shared" si="33"/>
        <v>12</v>
      </c>
      <c r="DJ251" s="18" t="str">
        <f t="shared" si="34"/>
        <v/>
      </c>
      <c r="DK251" s="18">
        <f t="shared" si="35"/>
        <v>8</v>
      </c>
      <c r="DL251" s="18">
        <f t="shared" si="39"/>
        <v>3</v>
      </c>
      <c r="DM251" s="18" t="str">
        <f t="shared" si="40"/>
        <v/>
      </c>
      <c r="DN251" s="18">
        <f t="shared" si="41"/>
        <v>3</v>
      </c>
      <c r="DO251" s="18">
        <v>313</v>
      </c>
      <c r="DP251" s="18">
        <v>124</v>
      </c>
      <c r="DQ251" s="18">
        <v>313</v>
      </c>
      <c r="DR251" s="18">
        <v>37</v>
      </c>
      <c r="DS251" s="18">
        <v>21</v>
      </c>
      <c r="DT251" s="18">
        <v>37</v>
      </c>
      <c r="DU251" s="18" t="s">
        <v>220</v>
      </c>
    </row>
    <row r="252" spans="54:125" x14ac:dyDescent="0.25">
      <c r="BB252" s="7">
        <v>249</v>
      </c>
      <c r="BC252" s="7" t="s">
        <v>332</v>
      </c>
      <c r="BD252" s="23" t="s">
        <v>220</v>
      </c>
      <c r="BE252" s="26">
        <v>605469436</v>
      </c>
      <c r="BF252" s="25" t="s">
        <v>229</v>
      </c>
      <c r="BG252" s="7">
        <v>98</v>
      </c>
      <c r="BH252" s="7" t="s">
        <v>320</v>
      </c>
      <c r="BI252" s="7" t="s">
        <v>367</v>
      </c>
      <c r="BJ252" s="7">
        <v>25</v>
      </c>
      <c r="BK252" s="9">
        <v>62.799640000000011</v>
      </c>
      <c r="BL252" s="9">
        <v>55.066359999999989</v>
      </c>
      <c r="BM252" s="9">
        <v>58.93333333333333</v>
      </c>
      <c r="BN252" s="9">
        <v>117.86600000000003</v>
      </c>
      <c r="BO252" s="7">
        <v>4</v>
      </c>
      <c r="BP252" s="7">
        <v>6</v>
      </c>
      <c r="BQ252" s="7">
        <v>6</v>
      </c>
      <c r="BR252" s="7">
        <v>9</v>
      </c>
      <c r="BS252" s="7">
        <v>1</v>
      </c>
      <c r="BT252" s="7">
        <v>0</v>
      </c>
      <c r="BU252" s="7">
        <v>4</v>
      </c>
      <c r="BV252" s="7">
        <v>10</v>
      </c>
      <c r="BW252" s="7">
        <v>7</v>
      </c>
      <c r="BX252" s="7">
        <v>4</v>
      </c>
      <c r="BY252" s="7">
        <v>0</v>
      </c>
      <c r="BZ252" s="7">
        <v>0</v>
      </c>
      <c r="CA252" s="7"/>
      <c r="CB252" s="9"/>
      <c r="CC252" s="9"/>
      <c r="CD252" s="9"/>
      <c r="CE252" s="9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>
        <v>25</v>
      </c>
      <c r="CS252" s="9">
        <v>62.799640000000011</v>
      </c>
      <c r="CT252" s="9">
        <v>55.066359999999989</v>
      </c>
      <c r="CU252" s="9">
        <v>58.93333333333333</v>
      </c>
      <c r="CV252" s="9">
        <v>117.86600000000003</v>
      </c>
      <c r="CW252" s="7">
        <v>4</v>
      </c>
      <c r="CX252" s="7">
        <v>6</v>
      </c>
      <c r="CY252" s="7">
        <v>6</v>
      </c>
      <c r="CZ252" s="7">
        <v>9</v>
      </c>
      <c r="DA252" s="7">
        <v>1</v>
      </c>
      <c r="DB252" s="7">
        <v>0</v>
      </c>
      <c r="DC252" s="7">
        <v>4</v>
      </c>
      <c r="DD252" s="7">
        <v>10</v>
      </c>
      <c r="DE252" s="7">
        <v>7</v>
      </c>
      <c r="DF252" s="7">
        <v>4</v>
      </c>
      <c r="DG252" s="7">
        <v>0</v>
      </c>
      <c r="DH252" s="7">
        <v>0</v>
      </c>
      <c r="DI252" s="18">
        <f t="shared" si="33"/>
        <v>154</v>
      </c>
      <c r="DJ252" s="18" t="str">
        <f t="shared" si="34"/>
        <v/>
      </c>
      <c r="DK252" s="18">
        <f t="shared" si="35"/>
        <v>150</v>
      </c>
      <c r="DL252" s="18">
        <f t="shared" si="39"/>
        <v>25</v>
      </c>
      <c r="DM252" s="18" t="str">
        <f t="shared" si="40"/>
        <v/>
      </c>
      <c r="DN252" s="18">
        <f t="shared" si="41"/>
        <v>24</v>
      </c>
      <c r="DO252" s="18">
        <v>313</v>
      </c>
      <c r="DP252" s="18">
        <v>124</v>
      </c>
      <c r="DQ252" s="18">
        <v>313</v>
      </c>
      <c r="DR252" s="18">
        <v>37</v>
      </c>
      <c r="DS252" s="18">
        <v>21</v>
      </c>
      <c r="DT252" s="18">
        <v>37</v>
      </c>
      <c r="DU252" s="18" t="s">
        <v>220</v>
      </c>
    </row>
    <row r="253" spans="54:125" x14ac:dyDescent="0.25">
      <c r="BB253" s="7">
        <v>250</v>
      </c>
      <c r="BC253" s="7" t="s">
        <v>332</v>
      </c>
      <c r="BD253" s="23" t="s">
        <v>220</v>
      </c>
      <c r="BE253" s="26">
        <v>587631804</v>
      </c>
      <c r="BF253" s="25" t="s">
        <v>348</v>
      </c>
      <c r="BG253" s="7">
        <v>103</v>
      </c>
      <c r="BH253" s="7" t="s">
        <v>323</v>
      </c>
      <c r="BI253" s="7"/>
      <c r="BJ253" s="7"/>
      <c r="BK253" s="9"/>
      <c r="BL253" s="9"/>
      <c r="BM253" s="9"/>
      <c r="BN253" s="9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9"/>
      <c r="CC253" s="9"/>
      <c r="CD253" s="9"/>
      <c r="CE253" s="9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9"/>
      <c r="CT253" s="9"/>
      <c r="CU253" s="9"/>
      <c r="CV253" s="9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18" t="str">
        <f t="shared" si="33"/>
        <v/>
      </c>
      <c r="DJ253" s="18" t="str">
        <f t="shared" si="34"/>
        <v/>
      </c>
      <c r="DK253" s="18" t="str">
        <f t="shared" si="35"/>
        <v/>
      </c>
      <c r="DL253" s="18" t="str">
        <f t="shared" si="39"/>
        <v/>
      </c>
      <c r="DM253" s="18" t="str">
        <f t="shared" si="40"/>
        <v/>
      </c>
      <c r="DN253" s="18" t="str">
        <f t="shared" si="41"/>
        <v/>
      </c>
      <c r="DO253" s="18">
        <v>313</v>
      </c>
      <c r="DP253" s="18">
        <v>124</v>
      </c>
      <c r="DQ253" s="18">
        <v>313</v>
      </c>
      <c r="DR253" s="18">
        <v>37</v>
      </c>
      <c r="DS253" s="18">
        <v>21</v>
      </c>
      <c r="DT253" s="18">
        <v>37</v>
      </c>
      <c r="DU253" s="18" t="s">
        <v>220</v>
      </c>
    </row>
    <row r="254" spans="54:125" x14ac:dyDescent="0.25">
      <c r="BB254" s="7">
        <v>251</v>
      </c>
      <c r="BC254" s="7" t="s">
        <v>332</v>
      </c>
      <c r="BD254" s="23" t="s">
        <v>220</v>
      </c>
      <c r="BE254" s="26">
        <v>595105925</v>
      </c>
      <c r="BF254" s="25" t="s">
        <v>245</v>
      </c>
      <c r="BG254" s="7">
        <v>116</v>
      </c>
      <c r="BH254" s="7" t="s">
        <v>320</v>
      </c>
      <c r="BI254" s="7" t="s">
        <v>367</v>
      </c>
      <c r="BJ254" s="7">
        <v>124</v>
      </c>
      <c r="BK254" s="9">
        <v>70.833016129032231</v>
      </c>
      <c r="BL254" s="9">
        <v>64.56958870967739</v>
      </c>
      <c r="BM254" s="9">
        <v>67.701612903225808</v>
      </c>
      <c r="BN254" s="9">
        <v>135.40260483870958</v>
      </c>
      <c r="BO254" s="7">
        <v>5</v>
      </c>
      <c r="BP254" s="7">
        <v>27</v>
      </c>
      <c r="BQ254" s="7">
        <v>47</v>
      </c>
      <c r="BR254" s="7">
        <v>45</v>
      </c>
      <c r="BS254" s="7">
        <v>0</v>
      </c>
      <c r="BT254" s="7">
        <v>2</v>
      </c>
      <c r="BU254" s="7">
        <v>11</v>
      </c>
      <c r="BV254" s="7">
        <v>37</v>
      </c>
      <c r="BW254" s="7">
        <v>52</v>
      </c>
      <c r="BX254" s="7">
        <v>24</v>
      </c>
      <c r="BY254" s="7">
        <v>0</v>
      </c>
      <c r="BZ254" s="7">
        <v>0</v>
      </c>
      <c r="CA254" s="7"/>
      <c r="CB254" s="9"/>
      <c r="CC254" s="9"/>
      <c r="CD254" s="9"/>
      <c r="CE254" s="9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>
        <v>124</v>
      </c>
      <c r="CS254" s="9">
        <v>70.833016129032231</v>
      </c>
      <c r="CT254" s="9">
        <v>64.56958870967739</v>
      </c>
      <c r="CU254" s="9">
        <v>67.701612903225808</v>
      </c>
      <c r="CV254" s="9">
        <v>135.40260483870958</v>
      </c>
      <c r="CW254" s="7">
        <v>5</v>
      </c>
      <c r="CX254" s="7">
        <v>27</v>
      </c>
      <c r="CY254" s="7">
        <v>47</v>
      </c>
      <c r="CZ254" s="7">
        <v>45</v>
      </c>
      <c r="DA254" s="7">
        <v>0</v>
      </c>
      <c r="DB254" s="7">
        <v>2</v>
      </c>
      <c r="DC254" s="7">
        <v>11</v>
      </c>
      <c r="DD254" s="7">
        <v>37</v>
      </c>
      <c r="DE254" s="7">
        <v>52</v>
      </c>
      <c r="DF254" s="7">
        <v>24</v>
      </c>
      <c r="DG254" s="7">
        <v>0</v>
      </c>
      <c r="DH254" s="7">
        <v>0</v>
      </c>
      <c r="DI254" s="18">
        <f t="shared" si="33"/>
        <v>31</v>
      </c>
      <c r="DJ254" s="18" t="str">
        <f t="shared" si="34"/>
        <v/>
      </c>
      <c r="DK254" s="18">
        <f t="shared" si="35"/>
        <v>20</v>
      </c>
      <c r="DL254" s="18">
        <f t="shared" si="39"/>
        <v>6</v>
      </c>
      <c r="DM254" s="18" t="str">
        <f t="shared" si="40"/>
        <v/>
      </c>
      <c r="DN254" s="18">
        <f t="shared" si="41"/>
        <v>6</v>
      </c>
      <c r="DO254" s="18">
        <v>313</v>
      </c>
      <c r="DP254" s="18">
        <v>124</v>
      </c>
      <c r="DQ254" s="18">
        <v>313</v>
      </c>
      <c r="DR254" s="18">
        <v>37</v>
      </c>
      <c r="DS254" s="18">
        <v>21</v>
      </c>
      <c r="DT254" s="18">
        <v>37</v>
      </c>
      <c r="DU254" s="18" t="s">
        <v>220</v>
      </c>
    </row>
    <row r="255" spans="54:125" x14ac:dyDescent="0.25">
      <c r="BB255" s="7">
        <v>252</v>
      </c>
      <c r="BC255" s="7" t="s">
        <v>332</v>
      </c>
      <c r="BD255" s="23" t="s">
        <v>220</v>
      </c>
      <c r="BE255" s="26">
        <v>379948543</v>
      </c>
      <c r="BF255" s="25" t="s">
        <v>241</v>
      </c>
      <c r="BG255" s="7">
        <v>138</v>
      </c>
      <c r="BH255" s="7" t="s">
        <v>320</v>
      </c>
      <c r="BI255" s="7" t="s">
        <v>368</v>
      </c>
      <c r="BJ255" s="7">
        <v>54</v>
      </c>
      <c r="BK255" s="9">
        <v>63.888481481481527</v>
      </c>
      <c r="BL255" s="9">
        <v>54.197203703703728</v>
      </c>
      <c r="BM255" s="9">
        <v>59.043209876543216</v>
      </c>
      <c r="BN255" s="9">
        <v>118.08568518518521</v>
      </c>
      <c r="BO255" s="7">
        <v>4</v>
      </c>
      <c r="BP255" s="7">
        <v>17</v>
      </c>
      <c r="BQ255" s="7">
        <v>20</v>
      </c>
      <c r="BR255" s="7">
        <v>13</v>
      </c>
      <c r="BS255" s="7">
        <v>0</v>
      </c>
      <c r="BT255" s="7">
        <v>0</v>
      </c>
      <c r="BU255" s="7">
        <v>9</v>
      </c>
      <c r="BV255" s="7">
        <v>25</v>
      </c>
      <c r="BW255" s="7">
        <v>15</v>
      </c>
      <c r="BX255" s="7">
        <v>5</v>
      </c>
      <c r="BY255" s="7">
        <v>0</v>
      </c>
      <c r="BZ255" s="7">
        <v>0</v>
      </c>
      <c r="CA255" s="7">
        <v>74</v>
      </c>
      <c r="CB255" s="9">
        <v>58.873500000000064</v>
      </c>
      <c r="CC255" s="9">
        <v>52.657324324324357</v>
      </c>
      <c r="CD255" s="9">
        <v>55.765765765765771</v>
      </c>
      <c r="CE255" s="9">
        <v>111.53082432432431</v>
      </c>
      <c r="CF255" s="7">
        <v>4</v>
      </c>
      <c r="CG255" s="7">
        <v>34</v>
      </c>
      <c r="CH255" s="7">
        <v>30</v>
      </c>
      <c r="CI255" s="7">
        <v>6</v>
      </c>
      <c r="CJ255" s="7">
        <v>0</v>
      </c>
      <c r="CK255" s="7">
        <v>0</v>
      </c>
      <c r="CL255" s="7">
        <v>9</v>
      </c>
      <c r="CM255" s="7">
        <v>41</v>
      </c>
      <c r="CN255" s="7">
        <v>19</v>
      </c>
      <c r="CO255" s="7">
        <v>5</v>
      </c>
      <c r="CP255" s="7">
        <v>0</v>
      </c>
      <c r="CQ255" s="7">
        <v>0</v>
      </c>
      <c r="CR255" s="7">
        <v>128</v>
      </c>
      <c r="CS255" s="9">
        <v>60.989195312499966</v>
      </c>
      <c r="CT255" s="9">
        <v>53.306960937499994</v>
      </c>
      <c r="CU255" s="9">
        <v>57.148437500000007</v>
      </c>
      <c r="CV255" s="9">
        <v>114.29615624999995</v>
      </c>
      <c r="CW255" s="7">
        <v>8</v>
      </c>
      <c r="CX255" s="7">
        <v>51</v>
      </c>
      <c r="CY255" s="7">
        <v>50</v>
      </c>
      <c r="CZ255" s="7">
        <v>19</v>
      </c>
      <c r="DA255" s="7">
        <v>0</v>
      </c>
      <c r="DB255" s="7">
        <v>0</v>
      </c>
      <c r="DC255" s="7">
        <v>18</v>
      </c>
      <c r="DD255" s="7">
        <v>66</v>
      </c>
      <c r="DE255" s="7">
        <v>34</v>
      </c>
      <c r="DF255" s="7">
        <v>10</v>
      </c>
      <c r="DG255" s="7">
        <v>0</v>
      </c>
      <c r="DH255" s="7">
        <v>0</v>
      </c>
      <c r="DI255" s="18">
        <f t="shared" si="33"/>
        <v>153</v>
      </c>
      <c r="DJ255" s="18">
        <f t="shared" si="34"/>
        <v>94</v>
      </c>
      <c r="DK255" s="18">
        <f t="shared" si="35"/>
        <v>182</v>
      </c>
      <c r="DL255" s="18">
        <f t="shared" si="39"/>
        <v>24</v>
      </c>
      <c r="DM255" s="18">
        <f t="shared" si="40"/>
        <v>18</v>
      </c>
      <c r="DN255" s="18">
        <f t="shared" si="41"/>
        <v>27</v>
      </c>
      <c r="DO255" s="18">
        <v>313</v>
      </c>
      <c r="DP255" s="18">
        <v>124</v>
      </c>
      <c r="DQ255" s="18">
        <v>313</v>
      </c>
      <c r="DR255" s="18">
        <v>37</v>
      </c>
      <c r="DS255" s="18">
        <v>21</v>
      </c>
      <c r="DT255" s="18">
        <v>37</v>
      </c>
      <c r="DU255" s="18" t="s">
        <v>220</v>
      </c>
    </row>
    <row r="256" spans="54:125" x14ac:dyDescent="0.25">
      <c r="BB256" s="7">
        <v>253</v>
      </c>
      <c r="BC256" s="7" t="s">
        <v>332</v>
      </c>
      <c r="BD256" s="23" t="s">
        <v>220</v>
      </c>
      <c r="BE256" s="26">
        <v>133516487</v>
      </c>
      <c r="BF256" s="25" t="s">
        <v>349</v>
      </c>
      <c r="BG256" s="7">
        <v>147</v>
      </c>
      <c r="BH256" s="7" t="s">
        <v>328</v>
      </c>
      <c r="BI256" s="7" t="s">
        <v>368</v>
      </c>
      <c r="BJ256" s="7"/>
      <c r="BK256" s="9"/>
      <c r="BL256" s="9"/>
      <c r="BM256" s="9"/>
      <c r="BN256" s="9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9"/>
      <c r="CC256" s="9"/>
      <c r="CD256" s="9"/>
      <c r="CE256" s="9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9"/>
      <c r="CT256" s="9"/>
      <c r="CU256" s="9"/>
      <c r="CV256" s="9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18" t="str">
        <f t="shared" si="33"/>
        <v/>
      </c>
      <c r="DJ256" s="18" t="str">
        <f t="shared" si="34"/>
        <v/>
      </c>
      <c r="DK256" s="18" t="str">
        <f t="shared" si="35"/>
        <v/>
      </c>
      <c r="DL256" s="18" t="str">
        <f t="shared" si="39"/>
        <v/>
      </c>
      <c r="DM256" s="18" t="str">
        <f t="shared" si="40"/>
        <v/>
      </c>
      <c r="DN256" s="18" t="str">
        <f t="shared" si="41"/>
        <v/>
      </c>
      <c r="DO256" s="18">
        <v>313</v>
      </c>
      <c r="DP256" s="18">
        <v>124</v>
      </c>
      <c r="DQ256" s="18">
        <v>313</v>
      </c>
      <c r="DR256" s="18">
        <v>37</v>
      </c>
      <c r="DS256" s="18">
        <v>21</v>
      </c>
      <c r="DT256" s="18">
        <v>37</v>
      </c>
      <c r="DU256" s="18" t="s">
        <v>220</v>
      </c>
    </row>
    <row r="257" spans="54:125" x14ac:dyDescent="0.25">
      <c r="BB257" s="7">
        <v>254</v>
      </c>
      <c r="BC257" s="7" t="s">
        <v>332</v>
      </c>
      <c r="BD257" s="23" t="s">
        <v>220</v>
      </c>
      <c r="BE257" s="26">
        <v>565872923</v>
      </c>
      <c r="BF257" s="25" t="s">
        <v>298</v>
      </c>
      <c r="BG257" s="7">
        <v>152</v>
      </c>
      <c r="BH257" s="7" t="s">
        <v>320</v>
      </c>
      <c r="BI257" s="7" t="s">
        <v>370</v>
      </c>
      <c r="BJ257" s="7"/>
      <c r="BK257" s="9"/>
      <c r="BL257" s="9"/>
      <c r="BM257" s="9"/>
      <c r="BN257" s="9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>
        <v>10</v>
      </c>
      <c r="CB257" s="9">
        <v>65.666399999999996</v>
      </c>
      <c r="CC257" s="9">
        <v>71.332899999999995</v>
      </c>
      <c r="CD257" s="9">
        <v>68.500000000000014</v>
      </c>
      <c r="CE257" s="9">
        <v>136.99930000000001</v>
      </c>
      <c r="CF257" s="7">
        <v>1</v>
      </c>
      <c r="CG257" s="7">
        <v>3</v>
      </c>
      <c r="CH257" s="7">
        <v>4</v>
      </c>
      <c r="CI257" s="7">
        <v>2</v>
      </c>
      <c r="CJ257" s="7">
        <v>0</v>
      </c>
      <c r="CK257" s="7">
        <v>0</v>
      </c>
      <c r="CL257" s="7">
        <v>1</v>
      </c>
      <c r="CM257" s="7">
        <v>0</v>
      </c>
      <c r="CN257" s="7">
        <v>6</v>
      </c>
      <c r="CO257" s="7">
        <v>3</v>
      </c>
      <c r="CP257" s="7">
        <v>0</v>
      </c>
      <c r="CQ257" s="7">
        <v>0</v>
      </c>
      <c r="CR257" s="7">
        <v>10</v>
      </c>
      <c r="CS257" s="9">
        <v>65.666399999999996</v>
      </c>
      <c r="CT257" s="9">
        <v>71.332899999999995</v>
      </c>
      <c r="CU257" s="9">
        <v>68.500000000000014</v>
      </c>
      <c r="CV257" s="9">
        <v>136.99930000000001</v>
      </c>
      <c r="CW257" s="7">
        <v>1</v>
      </c>
      <c r="CX257" s="7">
        <v>3</v>
      </c>
      <c r="CY257" s="7">
        <v>4</v>
      </c>
      <c r="CZ257" s="7">
        <v>2</v>
      </c>
      <c r="DA257" s="7">
        <v>0</v>
      </c>
      <c r="DB257" s="7">
        <v>0</v>
      </c>
      <c r="DC257" s="7">
        <v>1</v>
      </c>
      <c r="DD257" s="7">
        <v>0</v>
      </c>
      <c r="DE257" s="7">
        <v>6</v>
      </c>
      <c r="DF257" s="7">
        <v>3</v>
      </c>
      <c r="DG257" s="7">
        <v>0</v>
      </c>
      <c r="DH257" s="7">
        <v>0</v>
      </c>
      <c r="DI257" s="18" t="str">
        <f t="shared" si="33"/>
        <v/>
      </c>
      <c r="DJ257" s="18">
        <f t="shared" si="34"/>
        <v>7</v>
      </c>
      <c r="DK257" s="18">
        <f t="shared" si="35"/>
        <v>14</v>
      </c>
      <c r="DL257" s="18" t="str">
        <f t="shared" si="39"/>
        <v/>
      </c>
      <c r="DM257" s="18">
        <f t="shared" si="40"/>
        <v>2</v>
      </c>
      <c r="DN257" s="18">
        <f t="shared" si="41"/>
        <v>5</v>
      </c>
      <c r="DO257" s="18">
        <v>313</v>
      </c>
      <c r="DP257" s="18">
        <v>124</v>
      </c>
      <c r="DQ257" s="18">
        <v>313</v>
      </c>
      <c r="DR257" s="18">
        <v>37</v>
      </c>
      <c r="DS257" s="18">
        <v>21</v>
      </c>
      <c r="DT257" s="18">
        <v>37</v>
      </c>
      <c r="DU257" s="18" t="s">
        <v>220</v>
      </c>
    </row>
    <row r="258" spans="54:125" x14ac:dyDescent="0.25">
      <c r="BB258" s="7">
        <v>255</v>
      </c>
      <c r="BC258" s="7" t="s">
        <v>332</v>
      </c>
      <c r="BD258" s="23" t="s">
        <v>220</v>
      </c>
      <c r="BE258" s="26">
        <v>360452736</v>
      </c>
      <c r="BF258" s="25" t="s">
        <v>236</v>
      </c>
      <c r="BG258" s="7">
        <v>165</v>
      </c>
      <c r="BH258" s="7" t="s">
        <v>320</v>
      </c>
      <c r="BI258" s="7" t="s">
        <v>368</v>
      </c>
      <c r="BJ258" s="7">
        <v>167</v>
      </c>
      <c r="BK258" s="9">
        <v>60.538634730538888</v>
      </c>
      <c r="BL258" s="9">
        <v>55.009682634730531</v>
      </c>
      <c r="BM258" s="9">
        <v>57.774451097804409</v>
      </c>
      <c r="BN258" s="9">
        <v>115.5483173652694</v>
      </c>
      <c r="BO258" s="7">
        <v>17</v>
      </c>
      <c r="BP258" s="7">
        <v>56</v>
      </c>
      <c r="BQ258" s="7">
        <v>67</v>
      </c>
      <c r="BR258" s="7">
        <v>27</v>
      </c>
      <c r="BS258" s="7">
        <v>4</v>
      </c>
      <c r="BT258" s="7">
        <v>0</v>
      </c>
      <c r="BU258" s="7">
        <v>26</v>
      </c>
      <c r="BV258" s="7">
        <v>66</v>
      </c>
      <c r="BW258" s="7">
        <v>67</v>
      </c>
      <c r="BX258" s="7">
        <v>8</v>
      </c>
      <c r="BY258" s="7">
        <v>0</v>
      </c>
      <c r="BZ258" s="7">
        <v>0</v>
      </c>
      <c r="CA258" s="7">
        <v>22</v>
      </c>
      <c r="CB258" s="9">
        <v>47.575363636363633</v>
      </c>
      <c r="CC258" s="9">
        <v>43.484545454545461</v>
      </c>
      <c r="CD258" s="9">
        <v>45.530303030303024</v>
      </c>
      <c r="CE258" s="9">
        <v>91.059909090909116</v>
      </c>
      <c r="CF258" s="7">
        <v>8</v>
      </c>
      <c r="CG258" s="7">
        <v>5</v>
      </c>
      <c r="CH258" s="7">
        <v>6</v>
      </c>
      <c r="CI258" s="7">
        <v>3</v>
      </c>
      <c r="CJ258" s="7">
        <v>0</v>
      </c>
      <c r="CK258" s="7">
        <v>0</v>
      </c>
      <c r="CL258" s="7">
        <v>7</v>
      </c>
      <c r="CM258" s="7">
        <v>10</v>
      </c>
      <c r="CN258" s="7">
        <v>4</v>
      </c>
      <c r="CO258" s="7">
        <v>1</v>
      </c>
      <c r="CP258" s="7">
        <v>0</v>
      </c>
      <c r="CQ258" s="7">
        <v>0</v>
      </c>
      <c r="CR258" s="7">
        <v>189</v>
      </c>
      <c r="CS258" s="9">
        <v>59.029682539682483</v>
      </c>
      <c r="CT258" s="9">
        <v>53.668132275132258</v>
      </c>
      <c r="CU258" s="9">
        <v>56.349206349206348</v>
      </c>
      <c r="CV258" s="9">
        <v>112.69781481481471</v>
      </c>
      <c r="CW258" s="7">
        <v>25</v>
      </c>
      <c r="CX258" s="7">
        <v>61</v>
      </c>
      <c r="CY258" s="7">
        <v>73</v>
      </c>
      <c r="CZ258" s="7">
        <v>30</v>
      </c>
      <c r="DA258" s="7">
        <v>4</v>
      </c>
      <c r="DB258" s="7">
        <v>0</v>
      </c>
      <c r="DC258" s="7">
        <v>33</v>
      </c>
      <c r="DD258" s="7">
        <v>76</v>
      </c>
      <c r="DE258" s="7">
        <v>71</v>
      </c>
      <c r="DF258" s="7">
        <v>9</v>
      </c>
      <c r="DG258" s="7">
        <v>0</v>
      </c>
      <c r="DH258" s="7">
        <v>0</v>
      </c>
      <c r="DI258" s="18">
        <f t="shared" si="33"/>
        <v>173</v>
      </c>
      <c r="DJ258" s="18">
        <f t="shared" si="34"/>
        <v>121</v>
      </c>
      <c r="DK258" s="18">
        <f t="shared" si="35"/>
        <v>195</v>
      </c>
      <c r="DL258" s="18">
        <f t="shared" si="39"/>
        <v>26</v>
      </c>
      <c r="DM258" s="18">
        <f t="shared" si="40"/>
        <v>21</v>
      </c>
      <c r="DN258" s="18">
        <f t="shared" si="41"/>
        <v>29</v>
      </c>
      <c r="DO258" s="18">
        <v>313</v>
      </c>
      <c r="DP258" s="18">
        <v>124</v>
      </c>
      <c r="DQ258" s="18">
        <v>313</v>
      </c>
      <c r="DR258" s="18">
        <v>37</v>
      </c>
      <c r="DS258" s="18">
        <v>21</v>
      </c>
      <c r="DT258" s="18">
        <v>37</v>
      </c>
      <c r="DU258" s="18" t="s">
        <v>220</v>
      </c>
    </row>
    <row r="259" spans="54:125" x14ac:dyDescent="0.25">
      <c r="BB259" s="7">
        <v>256</v>
      </c>
      <c r="BC259" s="7" t="s">
        <v>332</v>
      </c>
      <c r="BD259" s="23" t="s">
        <v>220</v>
      </c>
      <c r="BE259" s="26">
        <v>331424303</v>
      </c>
      <c r="BF259" s="25" t="s">
        <v>230</v>
      </c>
      <c r="BG259" s="7">
        <v>171</v>
      </c>
      <c r="BH259" s="7" t="s">
        <v>320</v>
      </c>
      <c r="BI259" s="7" t="s">
        <v>368</v>
      </c>
      <c r="BJ259" s="7">
        <v>89</v>
      </c>
      <c r="BK259" s="9">
        <v>68.726292134831468</v>
      </c>
      <c r="BL259" s="9">
        <v>58.913471910112399</v>
      </c>
      <c r="BM259" s="9">
        <v>63.820224719101134</v>
      </c>
      <c r="BN259" s="9">
        <v>127.63976404494376</v>
      </c>
      <c r="BO259" s="7">
        <v>4</v>
      </c>
      <c r="BP259" s="7">
        <v>29</v>
      </c>
      <c r="BQ259" s="7">
        <v>22</v>
      </c>
      <c r="BR259" s="7">
        <v>34</v>
      </c>
      <c r="BS259" s="7">
        <v>0</v>
      </c>
      <c r="BT259" s="7">
        <v>0</v>
      </c>
      <c r="BU259" s="7">
        <v>8</v>
      </c>
      <c r="BV259" s="7">
        <v>39</v>
      </c>
      <c r="BW259" s="7">
        <v>28</v>
      </c>
      <c r="BX259" s="7">
        <v>14</v>
      </c>
      <c r="BY259" s="7">
        <v>0</v>
      </c>
      <c r="BZ259" s="7">
        <v>0</v>
      </c>
      <c r="CA259" s="7">
        <v>76</v>
      </c>
      <c r="CB259" s="9">
        <v>72.19267105263161</v>
      </c>
      <c r="CC259" s="9">
        <v>67.324236842105279</v>
      </c>
      <c r="CD259" s="9">
        <v>69.758771929824533</v>
      </c>
      <c r="CE259" s="9">
        <v>139.51690789473673</v>
      </c>
      <c r="CF259" s="7">
        <v>2</v>
      </c>
      <c r="CG259" s="7">
        <v>13</v>
      </c>
      <c r="CH259" s="7">
        <v>40</v>
      </c>
      <c r="CI259" s="7">
        <v>21</v>
      </c>
      <c r="CJ259" s="7">
        <v>0</v>
      </c>
      <c r="CK259" s="7">
        <v>0</v>
      </c>
      <c r="CL259" s="7">
        <v>3</v>
      </c>
      <c r="CM259" s="7">
        <v>23</v>
      </c>
      <c r="CN259" s="7">
        <v>34</v>
      </c>
      <c r="CO259" s="7">
        <v>16</v>
      </c>
      <c r="CP259" s="7">
        <v>0</v>
      </c>
      <c r="CQ259" s="7">
        <v>0</v>
      </c>
      <c r="CR259" s="7">
        <v>165</v>
      </c>
      <c r="CS259" s="9">
        <v>70.322927272727213</v>
      </c>
      <c r="CT259" s="9">
        <v>62.787521212121185</v>
      </c>
      <c r="CU259" s="9">
        <v>66.555555555555557</v>
      </c>
      <c r="CV259" s="9">
        <v>133.11044848484838</v>
      </c>
      <c r="CW259" s="7">
        <v>6</v>
      </c>
      <c r="CX259" s="7">
        <v>42</v>
      </c>
      <c r="CY259" s="7">
        <v>62</v>
      </c>
      <c r="CZ259" s="7">
        <v>55</v>
      </c>
      <c r="DA259" s="7">
        <v>0</v>
      </c>
      <c r="DB259" s="7">
        <v>0</v>
      </c>
      <c r="DC259" s="7">
        <v>11</v>
      </c>
      <c r="DD259" s="7">
        <v>62</v>
      </c>
      <c r="DE259" s="7">
        <v>62</v>
      </c>
      <c r="DF259" s="7">
        <v>30</v>
      </c>
      <c r="DG259" s="7">
        <v>0</v>
      </c>
      <c r="DH259" s="7">
        <v>0</v>
      </c>
      <c r="DI259" s="18">
        <f t="shared" si="33"/>
        <v>74</v>
      </c>
      <c r="DJ259" s="18">
        <f t="shared" si="34"/>
        <v>4</v>
      </c>
      <c r="DK259" s="18">
        <f t="shared" si="35"/>
        <v>34</v>
      </c>
      <c r="DL259" s="18">
        <f t="shared" si="39"/>
        <v>12</v>
      </c>
      <c r="DM259" s="18">
        <f t="shared" si="40"/>
        <v>1</v>
      </c>
      <c r="DN259" s="18">
        <f t="shared" si="41"/>
        <v>8</v>
      </c>
      <c r="DO259" s="18">
        <v>313</v>
      </c>
      <c r="DP259" s="18">
        <v>124</v>
      </c>
      <c r="DQ259" s="18">
        <v>313</v>
      </c>
      <c r="DR259" s="18">
        <v>37</v>
      </c>
      <c r="DS259" s="18">
        <v>21</v>
      </c>
      <c r="DT259" s="18">
        <v>37</v>
      </c>
      <c r="DU259" s="18" t="s">
        <v>220</v>
      </c>
    </row>
    <row r="260" spans="54:125" x14ac:dyDescent="0.25">
      <c r="BB260" s="7">
        <v>257</v>
      </c>
      <c r="BC260" s="7" t="s">
        <v>332</v>
      </c>
      <c r="BD260" s="23" t="s">
        <v>220</v>
      </c>
      <c r="BE260" s="26">
        <v>755826550</v>
      </c>
      <c r="BF260" s="25" t="s">
        <v>235</v>
      </c>
      <c r="BG260" s="7">
        <v>191</v>
      </c>
      <c r="BH260" s="7" t="s">
        <v>320</v>
      </c>
      <c r="BI260" s="7" t="s">
        <v>368</v>
      </c>
      <c r="BJ260" s="7">
        <v>104</v>
      </c>
      <c r="BK260" s="9">
        <v>69.006057692307706</v>
      </c>
      <c r="BL260" s="9">
        <v>62.307336538461527</v>
      </c>
      <c r="BM260" s="9">
        <v>65.657051282051285</v>
      </c>
      <c r="BN260" s="9">
        <v>131.31339423076918</v>
      </c>
      <c r="BO260" s="7">
        <v>5</v>
      </c>
      <c r="BP260" s="7">
        <v>29</v>
      </c>
      <c r="BQ260" s="7">
        <v>33</v>
      </c>
      <c r="BR260" s="7">
        <v>37</v>
      </c>
      <c r="BS260" s="7">
        <v>0</v>
      </c>
      <c r="BT260" s="7">
        <v>2</v>
      </c>
      <c r="BU260" s="7">
        <v>7</v>
      </c>
      <c r="BV260" s="7">
        <v>37</v>
      </c>
      <c r="BW260" s="7">
        <v>40</v>
      </c>
      <c r="BX260" s="7">
        <v>20</v>
      </c>
      <c r="BY260" s="7">
        <v>0</v>
      </c>
      <c r="BZ260" s="7">
        <v>0</v>
      </c>
      <c r="CA260" s="7">
        <v>30</v>
      </c>
      <c r="CB260" s="9">
        <v>64.555233333333334</v>
      </c>
      <c r="CC260" s="9">
        <v>57.110800000000005</v>
      </c>
      <c r="CD260" s="9">
        <v>60.83333333333335</v>
      </c>
      <c r="CE260" s="9">
        <v>121.66603333333336</v>
      </c>
      <c r="CF260" s="7">
        <v>1</v>
      </c>
      <c r="CG260" s="7">
        <v>11</v>
      </c>
      <c r="CH260" s="7">
        <v>10</v>
      </c>
      <c r="CI260" s="7">
        <v>8</v>
      </c>
      <c r="CJ260" s="7">
        <v>0</v>
      </c>
      <c r="CK260" s="7">
        <v>0</v>
      </c>
      <c r="CL260" s="7">
        <v>5</v>
      </c>
      <c r="CM260" s="7">
        <v>10</v>
      </c>
      <c r="CN260" s="7">
        <v>11</v>
      </c>
      <c r="CO260" s="7">
        <v>4</v>
      </c>
      <c r="CP260" s="7">
        <v>0</v>
      </c>
      <c r="CQ260" s="7">
        <v>0</v>
      </c>
      <c r="CR260" s="7">
        <v>134</v>
      </c>
      <c r="CS260" s="9">
        <v>68.009604477611944</v>
      </c>
      <c r="CT260" s="9">
        <v>61.14393283582087</v>
      </c>
      <c r="CU260" s="9">
        <v>64.577114427860678</v>
      </c>
      <c r="CV260" s="9">
        <v>129.15353731343274</v>
      </c>
      <c r="CW260" s="7">
        <v>6</v>
      </c>
      <c r="CX260" s="7">
        <v>40</v>
      </c>
      <c r="CY260" s="7">
        <v>43</v>
      </c>
      <c r="CZ260" s="7">
        <v>45</v>
      </c>
      <c r="DA260" s="7">
        <v>0</v>
      </c>
      <c r="DB260" s="7">
        <v>2</v>
      </c>
      <c r="DC260" s="7">
        <v>12</v>
      </c>
      <c r="DD260" s="7">
        <v>47</v>
      </c>
      <c r="DE260" s="7">
        <v>51</v>
      </c>
      <c r="DF260" s="7">
        <v>24</v>
      </c>
      <c r="DG260" s="7">
        <v>0</v>
      </c>
      <c r="DH260" s="7">
        <v>0</v>
      </c>
      <c r="DI260" s="18">
        <f t="shared" si="33"/>
        <v>48</v>
      </c>
      <c r="DJ260" s="18">
        <f t="shared" si="34"/>
        <v>48</v>
      </c>
      <c r="DK260" s="18">
        <f t="shared" si="35"/>
        <v>52</v>
      </c>
      <c r="DL260" s="18">
        <f t="shared" si="39"/>
        <v>9</v>
      </c>
      <c r="DM260" s="18">
        <f t="shared" si="40"/>
        <v>12</v>
      </c>
      <c r="DN260" s="18">
        <f t="shared" si="41"/>
        <v>13</v>
      </c>
      <c r="DO260" s="18">
        <v>313</v>
      </c>
      <c r="DP260" s="18">
        <v>124</v>
      </c>
      <c r="DQ260" s="18">
        <v>313</v>
      </c>
      <c r="DR260" s="18">
        <v>37</v>
      </c>
      <c r="DS260" s="18">
        <v>21</v>
      </c>
      <c r="DT260" s="18">
        <v>37</v>
      </c>
      <c r="DU260" s="18" t="s">
        <v>220</v>
      </c>
    </row>
    <row r="261" spans="54:125" x14ac:dyDescent="0.25">
      <c r="BB261" s="7">
        <v>258</v>
      </c>
      <c r="BC261" s="7" t="s">
        <v>332</v>
      </c>
      <c r="BD261" s="23" t="s">
        <v>220</v>
      </c>
      <c r="BE261" s="26">
        <v>877429238</v>
      </c>
      <c r="BF261" s="25" t="s">
        <v>242</v>
      </c>
      <c r="BG261" s="7">
        <v>194</v>
      </c>
      <c r="BH261" s="7" t="s">
        <v>320</v>
      </c>
      <c r="BI261" s="7" t="s">
        <v>367</v>
      </c>
      <c r="BJ261" s="7">
        <v>168</v>
      </c>
      <c r="BK261" s="9">
        <v>61.58697023809524</v>
      </c>
      <c r="BL261" s="9">
        <v>50.456005952380941</v>
      </c>
      <c r="BM261" s="9">
        <v>56.021825396825371</v>
      </c>
      <c r="BN261" s="9">
        <v>112.04297619047607</v>
      </c>
      <c r="BO261" s="7">
        <v>15</v>
      </c>
      <c r="BP261" s="7">
        <v>59</v>
      </c>
      <c r="BQ261" s="7">
        <v>71</v>
      </c>
      <c r="BR261" s="7">
        <v>23</v>
      </c>
      <c r="BS261" s="7">
        <v>1</v>
      </c>
      <c r="BT261" s="7">
        <v>0</v>
      </c>
      <c r="BU261" s="7">
        <v>29</v>
      </c>
      <c r="BV261" s="7">
        <v>92</v>
      </c>
      <c r="BW261" s="7">
        <v>41</v>
      </c>
      <c r="BX261" s="7">
        <v>6</v>
      </c>
      <c r="BY261" s="7">
        <v>0</v>
      </c>
      <c r="BZ261" s="7">
        <v>0</v>
      </c>
      <c r="CA261" s="7"/>
      <c r="CB261" s="9"/>
      <c r="CC261" s="9"/>
      <c r="CD261" s="9"/>
      <c r="CE261" s="9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>
        <v>168</v>
      </c>
      <c r="CS261" s="9">
        <v>61.58697023809524</v>
      </c>
      <c r="CT261" s="9">
        <v>50.456005952380941</v>
      </c>
      <c r="CU261" s="9">
        <v>56.021825396825371</v>
      </c>
      <c r="CV261" s="9">
        <v>112.04297619047607</v>
      </c>
      <c r="CW261" s="7">
        <v>15</v>
      </c>
      <c r="CX261" s="7">
        <v>59</v>
      </c>
      <c r="CY261" s="7">
        <v>71</v>
      </c>
      <c r="CZ261" s="7">
        <v>23</v>
      </c>
      <c r="DA261" s="7">
        <v>1</v>
      </c>
      <c r="DB261" s="7">
        <v>0</v>
      </c>
      <c r="DC261" s="7">
        <v>29</v>
      </c>
      <c r="DD261" s="7">
        <v>92</v>
      </c>
      <c r="DE261" s="7">
        <v>41</v>
      </c>
      <c r="DF261" s="7">
        <v>6</v>
      </c>
      <c r="DG261" s="7">
        <v>0</v>
      </c>
      <c r="DH261" s="7">
        <v>0</v>
      </c>
      <c r="DI261" s="18">
        <f t="shared" ref="DI261:DI324" si="42">IF(BN261="","",(RANK(BN261,$BN$4:$BN$326)))</f>
        <v>202</v>
      </c>
      <c r="DJ261" s="18" t="str">
        <f t="shared" ref="DJ261:DJ324" si="43">IF(CE261="","",(RANK(CE261,$CE$4:$CE$326)))</f>
        <v/>
      </c>
      <c r="DK261" s="18">
        <f t="shared" ref="DK261:DK324" si="44">IF(CV261="","",(RANK(CV261,$CV$4:$CV$326)))</f>
        <v>201</v>
      </c>
      <c r="DL261" s="18">
        <f t="shared" si="39"/>
        <v>28</v>
      </c>
      <c r="DM261" s="18" t="str">
        <f t="shared" si="40"/>
        <v/>
      </c>
      <c r="DN261" s="18">
        <f t="shared" si="41"/>
        <v>30</v>
      </c>
      <c r="DO261" s="18">
        <v>313</v>
      </c>
      <c r="DP261" s="18">
        <v>124</v>
      </c>
      <c r="DQ261" s="18">
        <v>313</v>
      </c>
      <c r="DR261" s="18">
        <v>37</v>
      </c>
      <c r="DS261" s="18">
        <v>21</v>
      </c>
      <c r="DT261" s="18">
        <v>37</v>
      </c>
      <c r="DU261" s="18" t="s">
        <v>220</v>
      </c>
    </row>
    <row r="262" spans="54:125" x14ac:dyDescent="0.25">
      <c r="BB262" s="7">
        <v>259</v>
      </c>
      <c r="BC262" s="7" t="s">
        <v>332</v>
      </c>
      <c r="BD262" s="23" t="s">
        <v>220</v>
      </c>
      <c r="BE262" s="26">
        <v>361617570</v>
      </c>
      <c r="BF262" s="25" t="s">
        <v>221</v>
      </c>
      <c r="BG262" s="7">
        <v>204</v>
      </c>
      <c r="BH262" s="7" t="s">
        <v>320</v>
      </c>
      <c r="BI262" s="7" t="s">
        <v>367</v>
      </c>
      <c r="BJ262" s="7">
        <v>155</v>
      </c>
      <c r="BK262" s="9">
        <v>72.709367741935438</v>
      </c>
      <c r="BL262" s="9">
        <v>69.677096774193544</v>
      </c>
      <c r="BM262" s="9">
        <v>71.193548387096811</v>
      </c>
      <c r="BN262" s="9">
        <v>142.38646451612902</v>
      </c>
      <c r="BO262" s="7">
        <v>3</v>
      </c>
      <c r="BP262" s="7">
        <v>41</v>
      </c>
      <c r="BQ262" s="7">
        <v>54</v>
      </c>
      <c r="BR262" s="7">
        <v>57</v>
      </c>
      <c r="BS262" s="7">
        <v>0</v>
      </c>
      <c r="BT262" s="7">
        <v>3</v>
      </c>
      <c r="BU262" s="7">
        <v>5</v>
      </c>
      <c r="BV262" s="7">
        <v>42</v>
      </c>
      <c r="BW262" s="7">
        <v>62</v>
      </c>
      <c r="BX262" s="7">
        <v>46</v>
      </c>
      <c r="BY262" s="7">
        <v>0</v>
      </c>
      <c r="BZ262" s="7">
        <v>5</v>
      </c>
      <c r="CA262" s="7"/>
      <c r="CB262" s="9"/>
      <c r="CC262" s="9"/>
      <c r="CD262" s="9"/>
      <c r="CE262" s="9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>
        <v>155</v>
      </c>
      <c r="CS262" s="9">
        <v>72.709367741935438</v>
      </c>
      <c r="CT262" s="9">
        <v>69.677096774193544</v>
      </c>
      <c r="CU262" s="9">
        <v>71.193548387096811</v>
      </c>
      <c r="CV262" s="9">
        <v>142.38646451612902</v>
      </c>
      <c r="CW262" s="7">
        <v>3</v>
      </c>
      <c r="CX262" s="7">
        <v>41</v>
      </c>
      <c r="CY262" s="7">
        <v>54</v>
      </c>
      <c r="CZ262" s="7">
        <v>57</v>
      </c>
      <c r="DA262" s="7">
        <v>0</v>
      </c>
      <c r="DB262" s="7">
        <v>3</v>
      </c>
      <c r="DC262" s="7">
        <v>5</v>
      </c>
      <c r="DD262" s="7">
        <v>42</v>
      </c>
      <c r="DE262" s="7">
        <v>62</v>
      </c>
      <c r="DF262" s="7">
        <v>46</v>
      </c>
      <c r="DG262" s="7">
        <v>0</v>
      </c>
      <c r="DH262" s="7">
        <v>5</v>
      </c>
      <c r="DI262" s="18">
        <f t="shared" si="42"/>
        <v>11</v>
      </c>
      <c r="DJ262" s="18" t="str">
        <f t="shared" si="43"/>
        <v/>
      </c>
      <c r="DK262" s="18">
        <f t="shared" si="44"/>
        <v>7</v>
      </c>
      <c r="DL262" s="18">
        <f t="shared" si="39"/>
        <v>2</v>
      </c>
      <c r="DM262" s="18" t="str">
        <f t="shared" si="40"/>
        <v/>
      </c>
      <c r="DN262" s="18">
        <f t="shared" si="41"/>
        <v>2</v>
      </c>
      <c r="DO262" s="18">
        <v>313</v>
      </c>
      <c r="DP262" s="18">
        <v>124</v>
      </c>
      <c r="DQ262" s="18">
        <v>313</v>
      </c>
      <c r="DR262" s="18">
        <v>37</v>
      </c>
      <c r="DS262" s="18">
        <v>21</v>
      </c>
      <c r="DT262" s="18">
        <v>37</v>
      </c>
      <c r="DU262" s="18" t="s">
        <v>220</v>
      </c>
    </row>
    <row r="263" spans="54:125" x14ac:dyDescent="0.25">
      <c r="BB263" s="7">
        <v>260</v>
      </c>
      <c r="BC263" s="7" t="s">
        <v>332</v>
      </c>
      <c r="BD263" s="23" t="s">
        <v>220</v>
      </c>
      <c r="BE263" s="26">
        <v>512637753</v>
      </c>
      <c r="BF263" s="25" t="s">
        <v>225</v>
      </c>
      <c r="BG263" s="7">
        <v>221</v>
      </c>
      <c r="BH263" s="7" t="s">
        <v>320</v>
      </c>
      <c r="BI263" s="7" t="s">
        <v>368</v>
      </c>
      <c r="BJ263" s="7">
        <v>191</v>
      </c>
      <c r="BK263" s="9">
        <v>64.64191623036649</v>
      </c>
      <c r="BL263" s="9">
        <v>62.111350785340257</v>
      </c>
      <c r="BM263" s="9">
        <v>63.376963350785331</v>
      </c>
      <c r="BN263" s="9">
        <v>126.75326701570671</v>
      </c>
      <c r="BO263" s="7">
        <v>20</v>
      </c>
      <c r="BP263" s="7">
        <v>55</v>
      </c>
      <c r="BQ263" s="7">
        <v>73</v>
      </c>
      <c r="BR263" s="7">
        <v>43</v>
      </c>
      <c r="BS263" s="7">
        <v>0</v>
      </c>
      <c r="BT263" s="7">
        <v>1</v>
      </c>
      <c r="BU263" s="7">
        <v>11</v>
      </c>
      <c r="BV263" s="7">
        <v>81</v>
      </c>
      <c r="BW263" s="7">
        <v>70</v>
      </c>
      <c r="BX263" s="7">
        <v>29</v>
      </c>
      <c r="BY263" s="7">
        <v>0</v>
      </c>
      <c r="BZ263" s="7">
        <v>0</v>
      </c>
      <c r="CA263" s="7">
        <v>22</v>
      </c>
      <c r="CB263" s="9">
        <v>57.726999999999997</v>
      </c>
      <c r="CC263" s="9">
        <v>49.090499999999999</v>
      </c>
      <c r="CD263" s="9">
        <v>53.409090909090921</v>
      </c>
      <c r="CE263" s="9">
        <v>106.81750000000001</v>
      </c>
      <c r="CF263" s="7">
        <v>2</v>
      </c>
      <c r="CG263" s="7">
        <v>10</v>
      </c>
      <c r="CH263" s="7">
        <v>8</v>
      </c>
      <c r="CI263" s="7">
        <v>2</v>
      </c>
      <c r="CJ263" s="7">
        <v>0</v>
      </c>
      <c r="CK263" s="7">
        <v>0</v>
      </c>
      <c r="CL263" s="7">
        <v>4</v>
      </c>
      <c r="CM263" s="7">
        <v>12</v>
      </c>
      <c r="CN263" s="7">
        <v>5</v>
      </c>
      <c r="CO263" s="7">
        <v>1</v>
      </c>
      <c r="CP263" s="7">
        <v>0</v>
      </c>
      <c r="CQ263" s="7">
        <v>0</v>
      </c>
      <c r="CR263" s="7">
        <v>213</v>
      </c>
      <c r="CS263" s="9">
        <v>63.927699530516442</v>
      </c>
      <c r="CT263" s="9">
        <v>60.766474178403676</v>
      </c>
      <c r="CU263" s="9">
        <v>62.347417840375577</v>
      </c>
      <c r="CV263" s="9">
        <v>124.69417370892009</v>
      </c>
      <c r="CW263" s="7">
        <v>22</v>
      </c>
      <c r="CX263" s="7">
        <v>65</v>
      </c>
      <c r="CY263" s="7">
        <v>81</v>
      </c>
      <c r="CZ263" s="7">
        <v>45</v>
      </c>
      <c r="DA263" s="7">
        <v>0</v>
      </c>
      <c r="DB263" s="7">
        <v>1</v>
      </c>
      <c r="DC263" s="7">
        <v>15</v>
      </c>
      <c r="DD263" s="7">
        <v>93</v>
      </c>
      <c r="DE263" s="7">
        <v>75</v>
      </c>
      <c r="DF263" s="7">
        <v>30</v>
      </c>
      <c r="DG263" s="7">
        <v>0</v>
      </c>
      <c r="DH263" s="7">
        <v>0</v>
      </c>
      <c r="DI263" s="18">
        <f t="shared" si="42"/>
        <v>82</v>
      </c>
      <c r="DJ263" s="18">
        <f t="shared" si="43"/>
        <v>109</v>
      </c>
      <c r="DK263" s="18">
        <f t="shared" si="44"/>
        <v>87</v>
      </c>
      <c r="DL263" s="18">
        <f t="shared" si="39"/>
        <v>15</v>
      </c>
      <c r="DM263" s="18">
        <f t="shared" si="40"/>
        <v>19</v>
      </c>
      <c r="DN263" s="18">
        <f t="shared" si="41"/>
        <v>18</v>
      </c>
      <c r="DO263" s="18">
        <v>313</v>
      </c>
      <c r="DP263" s="18">
        <v>124</v>
      </c>
      <c r="DQ263" s="18">
        <v>313</v>
      </c>
      <c r="DR263" s="18">
        <v>37</v>
      </c>
      <c r="DS263" s="18">
        <v>21</v>
      </c>
      <c r="DT263" s="18">
        <v>37</v>
      </c>
      <c r="DU263" s="18" t="s">
        <v>220</v>
      </c>
    </row>
    <row r="264" spans="54:125" x14ac:dyDescent="0.25">
      <c r="BB264" s="7">
        <v>261</v>
      </c>
      <c r="BC264" s="7" t="s">
        <v>332</v>
      </c>
      <c r="BD264" s="23" t="s">
        <v>220</v>
      </c>
      <c r="BE264" s="26">
        <v>369603683</v>
      </c>
      <c r="BF264" s="25" t="s">
        <v>224</v>
      </c>
      <c r="BG264" s="7">
        <v>245</v>
      </c>
      <c r="BH264" s="7" t="s">
        <v>320</v>
      </c>
      <c r="BI264" s="7" t="s">
        <v>368</v>
      </c>
      <c r="BJ264" s="7">
        <v>173</v>
      </c>
      <c r="BK264" s="9">
        <v>65.163427745664762</v>
      </c>
      <c r="BL264" s="9">
        <v>60.982312138728297</v>
      </c>
      <c r="BM264" s="9">
        <v>63.073217726396926</v>
      </c>
      <c r="BN264" s="9">
        <v>126.14573988439298</v>
      </c>
      <c r="BO264" s="7">
        <v>16</v>
      </c>
      <c r="BP264" s="7">
        <v>58</v>
      </c>
      <c r="BQ264" s="7">
        <v>46</v>
      </c>
      <c r="BR264" s="7">
        <v>53</v>
      </c>
      <c r="BS264" s="7">
        <v>1</v>
      </c>
      <c r="BT264" s="7">
        <v>2</v>
      </c>
      <c r="BU264" s="7">
        <v>14</v>
      </c>
      <c r="BV264" s="7">
        <v>67</v>
      </c>
      <c r="BW264" s="7">
        <v>66</v>
      </c>
      <c r="BX264" s="7">
        <v>26</v>
      </c>
      <c r="BY264" s="7">
        <v>0</v>
      </c>
      <c r="BZ264" s="7">
        <v>0</v>
      </c>
      <c r="CA264" s="7">
        <v>108</v>
      </c>
      <c r="CB264" s="9">
        <v>66.14164814814815</v>
      </c>
      <c r="CC264" s="9">
        <v>56.234222222222222</v>
      </c>
      <c r="CD264" s="9">
        <v>61.188271604938244</v>
      </c>
      <c r="CE264" s="9">
        <v>122.37587037037027</v>
      </c>
      <c r="CF264" s="7">
        <v>9</v>
      </c>
      <c r="CG264" s="7">
        <v>24</v>
      </c>
      <c r="CH264" s="7">
        <v>59</v>
      </c>
      <c r="CI264" s="7">
        <v>16</v>
      </c>
      <c r="CJ264" s="7">
        <v>0</v>
      </c>
      <c r="CK264" s="7">
        <v>0</v>
      </c>
      <c r="CL264" s="7">
        <v>14</v>
      </c>
      <c r="CM264" s="7">
        <v>47</v>
      </c>
      <c r="CN264" s="7">
        <v>37</v>
      </c>
      <c r="CO264" s="7">
        <v>10</v>
      </c>
      <c r="CP264" s="7">
        <v>0</v>
      </c>
      <c r="CQ264" s="7">
        <v>0</v>
      </c>
      <c r="CR264" s="7">
        <v>281</v>
      </c>
      <c r="CS264" s="9">
        <v>65.53939857651244</v>
      </c>
      <c r="CT264" s="9">
        <v>59.157423487544449</v>
      </c>
      <c r="CU264" s="9">
        <v>62.348754448398566</v>
      </c>
      <c r="CV264" s="9">
        <v>124.69682206405679</v>
      </c>
      <c r="CW264" s="7">
        <v>25</v>
      </c>
      <c r="CX264" s="7">
        <v>82</v>
      </c>
      <c r="CY264" s="7">
        <v>105</v>
      </c>
      <c r="CZ264" s="7">
        <v>69</v>
      </c>
      <c r="DA264" s="7">
        <v>1</v>
      </c>
      <c r="DB264" s="7">
        <v>2</v>
      </c>
      <c r="DC264" s="7">
        <v>28</v>
      </c>
      <c r="DD264" s="7">
        <v>114</v>
      </c>
      <c r="DE264" s="7">
        <v>103</v>
      </c>
      <c r="DF264" s="7">
        <v>36</v>
      </c>
      <c r="DG264" s="7">
        <v>0</v>
      </c>
      <c r="DH264" s="7">
        <v>0</v>
      </c>
      <c r="DI264" s="18">
        <f t="shared" si="42"/>
        <v>86</v>
      </c>
      <c r="DJ264" s="18">
        <f t="shared" si="43"/>
        <v>44</v>
      </c>
      <c r="DK264" s="18">
        <f t="shared" si="44"/>
        <v>86</v>
      </c>
      <c r="DL264" s="18">
        <f t="shared" si="39"/>
        <v>17</v>
      </c>
      <c r="DM264" s="18">
        <f t="shared" si="40"/>
        <v>9</v>
      </c>
      <c r="DN264" s="18">
        <f t="shared" si="41"/>
        <v>17</v>
      </c>
      <c r="DO264" s="18">
        <v>313</v>
      </c>
      <c r="DP264" s="18">
        <v>124</v>
      </c>
      <c r="DQ264" s="18">
        <v>313</v>
      </c>
      <c r="DR264" s="18">
        <v>37</v>
      </c>
      <c r="DS264" s="18">
        <v>21</v>
      </c>
      <c r="DT264" s="18">
        <v>37</v>
      </c>
      <c r="DU264" s="18" t="s">
        <v>220</v>
      </c>
    </row>
    <row r="265" spans="54:125" x14ac:dyDescent="0.25">
      <c r="BB265" s="7">
        <v>262</v>
      </c>
      <c r="BC265" s="7" t="s">
        <v>332</v>
      </c>
      <c r="BD265" s="23" t="s">
        <v>220</v>
      </c>
      <c r="BE265" s="26">
        <v>734799246</v>
      </c>
      <c r="BF265" s="25" t="s">
        <v>239</v>
      </c>
      <c r="BG265" s="7">
        <v>249</v>
      </c>
      <c r="BH265" s="7" t="s">
        <v>320</v>
      </c>
      <c r="BI265" s="7" t="s">
        <v>368</v>
      </c>
      <c r="BJ265" s="7">
        <v>123</v>
      </c>
      <c r="BK265" s="9">
        <v>65.501056910569076</v>
      </c>
      <c r="BL265" s="9">
        <v>65.013203252032497</v>
      </c>
      <c r="BM265" s="9">
        <v>65.257452574525729</v>
      </c>
      <c r="BN265" s="9">
        <v>130.51426016260154</v>
      </c>
      <c r="BO265" s="7">
        <v>8</v>
      </c>
      <c r="BP265" s="7">
        <v>40</v>
      </c>
      <c r="BQ265" s="7">
        <v>45</v>
      </c>
      <c r="BR265" s="7">
        <v>30</v>
      </c>
      <c r="BS265" s="7">
        <v>1</v>
      </c>
      <c r="BT265" s="7">
        <v>0</v>
      </c>
      <c r="BU265" s="7">
        <v>7</v>
      </c>
      <c r="BV265" s="7">
        <v>41</v>
      </c>
      <c r="BW265" s="7">
        <v>48</v>
      </c>
      <c r="BX265" s="7">
        <v>27</v>
      </c>
      <c r="BY265" s="7">
        <v>0</v>
      </c>
      <c r="BZ265" s="7">
        <v>0</v>
      </c>
      <c r="CA265" s="7">
        <v>42</v>
      </c>
      <c r="CB265" s="9">
        <v>67.698071428571438</v>
      </c>
      <c r="CC265" s="9">
        <v>61.269523809523825</v>
      </c>
      <c r="CD265" s="9">
        <v>64.484126984126959</v>
      </c>
      <c r="CE265" s="9">
        <v>128.96759523809519</v>
      </c>
      <c r="CF265" s="7">
        <v>3</v>
      </c>
      <c r="CG265" s="7">
        <v>8</v>
      </c>
      <c r="CH265" s="7">
        <v>22</v>
      </c>
      <c r="CI265" s="7">
        <v>9</v>
      </c>
      <c r="CJ265" s="7">
        <v>0</v>
      </c>
      <c r="CK265" s="7">
        <v>0</v>
      </c>
      <c r="CL265" s="7">
        <v>3</v>
      </c>
      <c r="CM265" s="7">
        <v>16</v>
      </c>
      <c r="CN265" s="7">
        <v>17</v>
      </c>
      <c r="CO265" s="7">
        <v>6</v>
      </c>
      <c r="CP265" s="7">
        <v>0</v>
      </c>
      <c r="CQ265" s="7">
        <v>0</v>
      </c>
      <c r="CR265" s="7">
        <v>165</v>
      </c>
      <c r="CS265" s="9">
        <v>66.060296969696907</v>
      </c>
      <c r="CT265" s="9">
        <v>64.060266666666664</v>
      </c>
      <c r="CU265" s="9">
        <v>65.060606060606062</v>
      </c>
      <c r="CV265" s="9">
        <v>130.12056363636356</v>
      </c>
      <c r="CW265" s="7">
        <v>11</v>
      </c>
      <c r="CX265" s="7">
        <v>48</v>
      </c>
      <c r="CY265" s="7">
        <v>67</v>
      </c>
      <c r="CZ265" s="7">
        <v>39</v>
      </c>
      <c r="DA265" s="7">
        <v>1</v>
      </c>
      <c r="DB265" s="7">
        <v>0</v>
      </c>
      <c r="DC265" s="7">
        <v>10</v>
      </c>
      <c r="DD265" s="7">
        <v>57</v>
      </c>
      <c r="DE265" s="7">
        <v>65</v>
      </c>
      <c r="DF265" s="7">
        <v>33</v>
      </c>
      <c r="DG265" s="7">
        <v>0</v>
      </c>
      <c r="DH265" s="7">
        <v>0</v>
      </c>
      <c r="DI265" s="18">
        <f t="shared" si="42"/>
        <v>52</v>
      </c>
      <c r="DJ265" s="18">
        <f t="shared" si="43"/>
        <v>22</v>
      </c>
      <c r="DK265" s="18">
        <f t="shared" si="44"/>
        <v>47</v>
      </c>
      <c r="DL265" s="18">
        <f t="shared" si="39"/>
        <v>10</v>
      </c>
      <c r="DM265" s="18">
        <f t="shared" si="40"/>
        <v>4</v>
      </c>
      <c r="DN265" s="18">
        <f t="shared" si="41"/>
        <v>12</v>
      </c>
      <c r="DO265" s="18">
        <v>313</v>
      </c>
      <c r="DP265" s="18">
        <v>124</v>
      </c>
      <c r="DQ265" s="18">
        <v>313</v>
      </c>
      <c r="DR265" s="18">
        <v>37</v>
      </c>
      <c r="DS265" s="18">
        <v>21</v>
      </c>
      <c r="DT265" s="18">
        <v>37</v>
      </c>
      <c r="DU265" s="18" t="s">
        <v>220</v>
      </c>
    </row>
    <row r="266" spans="54:125" x14ac:dyDescent="0.25">
      <c r="BB266" s="7">
        <v>263</v>
      </c>
      <c r="BC266" s="7" t="s">
        <v>332</v>
      </c>
      <c r="BD266" s="23" t="s">
        <v>220</v>
      </c>
      <c r="BE266" s="26">
        <v>289742956</v>
      </c>
      <c r="BF266" s="25" t="s">
        <v>244</v>
      </c>
      <c r="BG266" s="7">
        <v>254</v>
      </c>
      <c r="BH266" s="7" t="s">
        <v>320</v>
      </c>
      <c r="BI266" s="7" t="s">
        <v>367</v>
      </c>
      <c r="BJ266" s="7">
        <v>120</v>
      </c>
      <c r="BK266" s="9">
        <v>63.277416666666667</v>
      </c>
      <c r="BL266" s="9">
        <v>56.777483333333322</v>
      </c>
      <c r="BM266" s="9">
        <v>60.027777777777807</v>
      </c>
      <c r="BN266" s="9">
        <v>120.05490000000002</v>
      </c>
      <c r="BO266" s="7">
        <v>12</v>
      </c>
      <c r="BP266" s="7">
        <v>42</v>
      </c>
      <c r="BQ266" s="7">
        <v>36</v>
      </c>
      <c r="BR266" s="7">
        <v>30</v>
      </c>
      <c r="BS266" s="7">
        <v>0</v>
      </c>
      <c r="BT266" s="7">
        <v>0</v>
      </c>
      <c r="BU266" s="7">
        <v>14</v>
      </c>
      <c r="BV266" s="7">
        <v>55</v>
      </c>
      <c r="BW266" s="7">
        <v>35</v>
      </c>
      <c r="BX266" s="7">
        <v>16</v>
      </c>
      <c r="BY266" s="7">
        <v>0</v>
      </c>
      <c r="BZ266" s="7">
        <v>1</v>
      </c>
      <c r="CA266" s="7"/>
      <c r="CB266" s="9"/>
      <c r="CC266" s="9"/>
      <c r="CD266" s="9"/>
      <c r="CE266" s="9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>
        <v>120</v>
      </c>
      <c r="CS266" s="9">
        <v>63.277416666666667</v>
      </c>
      <c r="CT266" s="9">
        <v>56.777483333333322</v>
      </c>
      <c r="CU266" s="9">
        <v>60.027777777777807</v>
      </c>
      <c r="CV266" s="9">
        <v>120.05490000000002</v>
      </c>
      <c r="CW266" s="7">
        <v>12</v>
      </c>
      <c r="CX266" s="7">
        <v>42</v>
      </c>
      <c r="CY266" s="7">
        <v>36</v>
      </c>
      <c r="CZ266" s="7">
        <v>30</v>
      </c>
      <c r="DA266" s="7">
        <v>0</v>
      </c>
      <c r="DB266" s="7">
        <v>0</v>
      </c>
      <c r="DC266" s="7">
        <v>14</v>
      </c>
      <c r="DD266" s="7">
        <v>55</v>
      </c>
      <c r="DE266" s="7">
        <v>35</v>
      </c>
      <c r="DF266" s="7">
        <v>16</v>
      </c>
      <c r="DG266" s="7">
        <v>0</v>
      </c>
      <c r="DH266" s="7">
        <v>1</v>
      </c>
      <c r="DI266" s="18">
        <f t="shared" si="42"/>
        <v>137</v>
      </c>
      <c r="DJ266" s="18" t="str">
        <f t="shared" si="43"/>
        <v/>
      </c>
      <c r="DK266" s="18">
        <f t="shared" si="44"/>
        <v>132</v>
      </c>
      <c r="DL266" s="18">
        <f t="shared" si="39"/>
        <v>23</v>
      </c>
      <c r="DM266" s="18" t="str">
        <f t="shared" si="40"/>
        <v/>
      </c>
      <c r="DN266" s="18">
        <f t="shared" si="41"/>
        <v>22</v>
      </c>
      <c r="DO266" s="18">
        <v>313</v>
      </c>
      <c r="DP266" s="18">
        <v>124</v>
      </c>
      <c r="DQ266" s="18">
        <v>313</v>
      </c>
      <c r="DR266" s="18">
        <v>37</v>
      </c>
      <c r="DS266" s="18">
        <v>21</v>
      </c>
      <c r="DT266" s="18">
        <v>37</v>
      </c>
      <c r="DU266" s="18" t="s">
        <v>220</v>
      </c>
    </row>
    <row r="267" spans="54:125" x14ac:dyDescent="0.25">
      <c r="BB267" s="7">
        <v>264</v>
      </c>
      <c r="BC267" s="7" t="s">
        <v>332</v>
      </c>
      <c r="BD267" s="23" t="s">
        <v>220</v>
      </c>
      <c r="BE267" s="26">
        <v>456391171</v>
      </c>
      <c r="BF267" s="25" t="s">
        <v>234</v>
      </c>
      <c r="BG267" s="7">
        <v>257</v>
      </c>
      <c r="BH267" s="7" t="s">
        <v>320</v>
      </c>
      <c r="BI267" s="7" t="s">
        <v>368</v>
      </c>
      <c r="BJ267" s="7">
        <v>199</v>
      </c>
      <c r="BK267" s="9">
        <v>68.391648241206013</v>
      </c>
      <c r="BL267" s="9">
        <v>60.703190954773831</v>
      </c>
      <c r="BM267" s="9">
        <v>64.547738693467338</v>
      </c>
      <c r="BN267" s="9">
        <v>129.09483919597983</v>
      </c>
      <c r="BO267" s="7">
        <v>9</v>
      </c>
      <c r="BP267" s="7">
        <v>54</v>
      </c>
      <c r="BQ267" s="7">
        <v>80</v>
      </c>
      <c r="BR267" s="7">
        <v>56</v>
      </c>
      <c r="BS267" s="7">
        <v>0</v>
      </c>
      <c r="BT267" s="7">
        <v>3</v>
      </c>
      <c r="BU267" s="7">
        <v>13</v>
      </c>
      <c r="BV267" s="7">
        <v>85</v>
      </c>
      <c r="BW267" s="7">
        <v>75</v>
      </c>
      <c r="BX267" s="7">
        <v>26</v>
      </c>
      <c r="BY267" s="7">
        <v>0</v>
      </c>
      <c r="BZ267" s="7">
        <v>1</v>
      </c>
      <c r="CA267" s="7">
        <v>87</v>
      </c>
      <c r="CB267" s="9">
        <v>65.976724137931029</v>
      </c>
      <c r="CC267" s="9">
        <v>62.98819540229885</v>
      </c>
      <c r="CD267" s="9">
        <v>64.482758620689665</v>
      </c>
      <c r="CE267" s="9">
        <v>128.96491954022986</v>
      </c>
      <c r="CF267" s="7">
        <v>4</v>
      </c>
      <c r="CG267" s="7">
        <v>25</v>
      </c>
      <c r="CH267" s="7">
        <v>47</v>
      </c>
      <c r="CI267" s="7">
        <v>11</v>
      </c>
      <c r="CJ267" s="7">
        <v>0</v>
      </c>
      <c r="CK267" s="7">
        <v>0</v>
      </c>
      <c r="CL267" s="7">
        <v>5</v>
      </c>
      <c r="CM267" s="7">
        <v>39</v>
      </c>
      <c r="CN267" s="7">
        <v>26</v>
      </c>
      <c r="CO267" s="7">
        <v>17</v>
      </c>
      <c r="CP267" s="7">
        <v>0</v>
      </c>
      <c r="CQ267" s="7">
        <v>0</v>
      </c>
      <c r="CR267" s="7">
        <v>286</v>
      </c>
      <c r="CS267" s="9">
        <v>67.657038461538448</v>
      </c>
      <c r="CT267" s="9">
        <v>61.398279720279639</v>
      </c>
      <c r="CU267" s="9">
        <v>64.527972027972083</v>
      </c>
      <c r="CV267" s="9">
        <v>129.05531818181808</v>
      </c>
      <c r="CW267" s="7">
        <v>13</v>
      </c>
      <c r="CX267" s="7">
        <v>79</v>
      </c>
      <c r="CY267" s="7">
        <v>127</v>
      </c>
      <c r="CZ267" s="7">
        <v>67</v>
      </c>
      <c r="DA267" s="7">
        <v>0</v>
      </c>
      <c r="DB267" s="7">
        <v>3</v>
      </c>
      <c r="DC267" s="7">
        <v>18</v>
      </c>
      <c r="DD267" s="7">
        <v>124</v>
      </c>
      <c r="DE267" s="7">
        <v>101</v>
      </c>
      <c r="DF267" s="7">
        <v>43</v>
      </c>
      <c r="DG267" s="7">
        <v>0</v>
      </c>
      <c r="DH267" s="7">
        <v>1</v>
      </c>
      <c r="DI267" s="18">
        <f t="shared" si="42"/>
        <v>63</v>
      </c>
      <c r="DJ267" s="18">
        <f t="shared" si="43"/>
        <v>23</v>
      </c>
      <c r="DK267" s="18">
        <f t="shared" si="44"/>
        <v>54</v>
      </c>
      <c r="DL267" s="18">
        <f t="shared" si="39"/>
        <v>11</v>
      </c>
      <c r="DM267" s="18">
        <f t="shared" si="40"/>
        <v>5</v>
      </c>
      <c r="DN267" s="18">
        <f t="shared" si="41"/>
        <v>14</v>
      </c>
      <c r="DO267" s="18">
        <v>313</v>
      </c>
      <c r="DP267" s="18">
        <v>124</v>
      </c>
      <c r="DQ267" s="18">
        <v>313</v>
      </c>
      <c r="DR267" s="18">
        <v>37</v>
      </c>
      <c r="DS267" s="18">
        <v>21</v>
      </c>
      <c r="DT267" s="18">
        <v>37</v>
      </c>
      <c r="DU267" s="18" t="s">
        <v>220</v>
      </c>
    </row>
    <row r="268" spans="54:125" x14ac:dyDescent="0.25">
      <c r="BB268" s="7">
        <v>265</v>
      </c>
      <c r="BC268" s="7" t="s">
        <v>332</v>
      </c>
      <c r="BD268" s="23" t="s">
        <v>220</v>
      </c>
      <c r="BE268" s="26">
        <v>158412786</v>
      </c>
      <c r="BF268" s="25" t="s">
        <v>250</v>
      </c>
      <c r="BG268" s="7">
        <v>260</v>
      </c>
      <c r="BH268" s="7" t="s">
        <v>320</v>
      </c>
      <c r="BI268" s="7" t="s">
        <v>367</v>
      </c>
      <c r="BJ268" s="7">
        <v>49</v>
      </c>
      <c r="BK268" s="9">
        <v>60.884040816326561</v>
      </c>
      <c r="BL268" s="9">
        <v>50.475816326530641</v>
      </c>
      <c r="BM268" s="9">
        <v>55.680272108843539</v>
      </c>
      <c r="BN268" s="9">
        <v>111.35985714285712</v>
      </c>
      <c r="BO268" s="7">
        <v>8</v>
      </c>
      <c r="BP268" s="7">
        <v>12</v>
      </c>
      <c r="BQ268" s="7">
        <v>21</v>
      </c>
      <c r="BR268" s="7">
        <v>8</v>
      </c>
      <c r="BS268" s="7">
        <v>0</v>
      </c>
      <c r="BT268" s="7">
        <v>0</v>
      </c>
      <c r="BU268" s="7">
        <v>6</v>
      </c>
      <c r="BV268" s="7">
        <v>28</v>
      </c>
      <c r="BW268" s="7">
        <v>13</v>
      </c>
      <c r="BX268" s="7">
        <v>2</v>
      </c>
      <c r="BY268" s="7">
        <v>0</v>
      </c>
      <c r="BZ268" s="7">
        <v>0</v>
      </c>
      <c r="CA268" s="7"/>
      <c r="CB268" s="9"/>
      <c r="CC268" s="9"/>
      <c r="CD268" s="9"/>
      <c r="CE268" s="9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>
        <v>49</v>
      </c>
      <c r="CS268" s="9">
        <v>60.884040816326561</v>
      </c>
      <c r="CT268" s="9">
        <v>50.475816326530641</v>
      </c>
      <c r="CU268" s="9">
        <v>55.680272108843539</v>
      </c>
      <c r="CV268" s="9">
        <v>111.35985714285712</v>
      </c>
      <c r="CW268" s="7">
        <v>8</v>
      </c>
      <c r="CX268" s="7">
        <v>12</v>
      </c>
      <c r="CY268" s="7">
        <v>21</v>
      </c>
      <c r="CZ268" s="7">
        <v>8</v>
      </c>
      <c r="DA268" s="7">
        <v>0</v>
      </c>
      <c r="DB268" s="7">
        <v>0</v>
      </c>
      <c r="DC268" s="7">
        <v>6</v>
      </c>
      <c r="DD268" s="7">
        <v>28</v>
      </c>
      <c r="DE268" s="7">
        <v>13</v>
      </c>
      <c r="DF268" s="7">
        <v>2</v>
      </c>
      <c r="DG268" s="7">
        <v>0</v>
      </c>
      <c r="DH268" s="7">
        <v>0</v>
      </c>
      <c r="DI268" s="18">
        <f t="shared" si="42"/>
        <v>209</v>
      </c>
      <c r="DJ268" s="18" t="str">
        <f t="shared" si="43"/>
        <v/>
      </c>
      <c r="DK268" s="18">
        <f t="shared" si="44"/>
        <v>208</v>
      </c>
      <c r="DL268" s="18">
        <f t="shared" si="39"/>
        <v>29</v>
      </c>
      <c r="DM268" s="18" t="str">
        <f t="shared" si="40"/>
        <v/>
      </c>
      <c r="DN268" s="18">
        <f t="shared" si="41"/>
        <v>31</v>
      </c>
      <c r="DO268" s="18">
        <v>313</v>
      </c>
      <c r="DP268" s="18">
        <v>124</v>
      </c>
      <c r="DQ268" s="18">
        <v>313</v>
      </c>
      <c r="DR268" s="18">
        <v>37</v>
      </c>
      <c r="DS268" s="18">
        <v>21</v>
      </c>
      <c r="DT268" s="18">
        <v>37</v>
      </c>
      <c r="DU268" s="18" t="s">
        <v>220</v>
      </c>
    </row>
    <row r="269" spans="54:125" x14ac:dyDescent="0.25">
      <c r="BB269" s="7">
        <v>266</v>
      </c>
      <c r="BC269" s="7" t="s">
        <v>332</v>
      </c>
      <c r="BD269" s="23" t="s">
        <v>220</v>
      </c>
      <c r="BE269" s="26">
        <v>728214007</v>
      </c>
      <c r="BF269" s="25" t="s">
        <v>237</v>
      </c>
      <c r="BG269" s="7">
        <v>261</v>
      </c>
      <c r="BH269" s="7" t="s">
        <v>322</v>
      </c>
      <c r="BI269" s="7" t="s">
        <v>367</v>
      </c>
      <c r="BJ269" s="7">
        <v>145</v>
      </c>
      <c r="BK269" s="9">
        <v>72.275531034482782</v>
      </c>
      <c r="BL269" s="9">
        <v>69.424972413793142</v>
      </c>
      <c r="BM269" s="9">
        <v>70.850574712643663</v>
      </c>
      <c r="BN269" s="9">
        <v>141.70050344827578</v>
      </c>
      <c r="BO269" s="7">
        <v>4</v>
      </c>
      <c r="BP269" s="7">
        <v>28</v>
      </c>
      <c r="BQ269" s="7">
        <v>61</v>
      </c>
      <c r="BR269" s="7">
        <v>52</v>
      </c>
      <c r="BS269" s="7">
        <v>0</v>
      </c>
      <c r="BT269" s="7">
        <v>1</v>
      </c>
      <c r="BU269" s="7">
        <v>9</v>
      </c>
      <c r="BV269" s="7">
        <v>27</v>
      </c>
      <c r="BW269" s="7">
        <v>71</v>
      </c>
      <c r="BX269" s="7">
        <v>38</v>
      </c>
      <c r="BY269" s="7">
        <v>0</v>
      </c>
      <c r="BZ269" s="7">
        <v>1</v>
      </c>
      <c r="CA269" s="7"/>
      <c r="CB269" s="9"/>
      <c r="CC269" s="9"/>
      <c r="CD269" s="9"/>
      <c r="CE269" s="9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>
        <v>145</v>
      </c>
      <c r="CS269" s="9">
        <v>72.275531034482782</v>
      </c>
      <c r="CT269" s="9">
        <v>69.424972413793142</v>
      </c>
      <c r="CU269" s="9">
        <v>70.850574712643663</v>
      </c>
      <c r="CV269" s="9">
        <v>141.70050344827578</v>
      </c>
      <c r="CW269" s="7">
        <v>4</v>
      </c>
      <c r="CX269" s="7">
        <v>28</v>
      </c>
      <c r="CY269" s="7">
        <v>61</v>
      </c>
      <c r="CZ269" s="7">
        <v>52</v>
      </c>
      <c r="DA269" s="7">
        <v>0</v>
      </c>
      <c r="DB269" s="7">
        <v>1</v>
      </c>
      <c r="DC269" s="7">
        <v>9</v>
      </c>
      <c r="DD269" s="7">
        <v>27</v>
      </c>
      <c r="DE269" s="7">
        <v>71</v>
      </c>
      <c r="DF269" s="7">
        <v>38</v>
      </c>
      <c r="DG269" s="7">
        <v>0</v>
      </c>
      <c r="DH269" s="7">
        <v>1</v>
      </c>
      <c r="DI269" s="18">
        <f t="shared" si="42"/>
        <v>13</v>
      </c>
      <c r="DJ269" s="18" t="str">
        <f t="shared" si="43"/>
        <v/>
      </c>
      <c r="DK269" s="18">
        <f t="shared" si="44"/>
        <v>9</v>
      </c>
      <c r="DL269" s="18">
        <f t="shared" si="39"/>
        <v>4</v>
      </c>
      <c r="DM269" s="18" t="str">
        <f t="shared" si="40"/>
        <v/>
      </c>
      <c r="DN269" s="18">
        <f t="shared" si="41"/>
        <v>4</v>
      </c>
      <c r="DO269" s="18">
        <v>313</v>
      </c>
      <c r="DP269" s="18">
        <v>124</v>
      </c>
      <c r="DQ269" s="18">
        <v>313</v>
      </c>
      <c r="DR269" s="18">
        <v>37</v>
      </c>
      <c r="DS269" s="18">
        <v>21</v>
      </c>
      <c r="DT269" s="18">
        <v>37</v>
      </c>
      <c r="DU269" s="18" t="s">
        <v>220</v>
      </c>
    </row>
    <row r="270" spans="54:125" x14ac:dyDescent="0.25">
      <c r="BB270" s="7">
        <v>267</v>
      </c>
      <c r="BC270" s="7" t="s">
        <v>332</v>
      </c>
      <c r="BD270" s="23" t="s">
        <v>220</v>
      </c>
      <c r="BE270" s="26">
        <v>512270364</v>
      </c>
      <c r="BF270" s="25" t="s">
        <v>232</v>
      </c>
      <c r="BG270" s="7">
        <v>263</v>
      </c>
      <c r="BH270" s="7" t="s">
        <v>320</v>
      </c>
      <c r="BI270" s="7" t="s">
        <v>367</v>
      </c>
      <c r="BJ270" s="7">
        <v>157</v>
      </c>
      <c r="BK270" s="9">
        <v>70.509210191082829</v>
      </c>
      <c r="BL270" s="9">
        <v>61.761866242038202</v>
      </c>
      <c r="BM270" s="9">
        <v>66.135881104033984</v>
      </c>
      <c r="BN270" s="9">
        <v>132.27107643312098</v>
      </c>
      <c r="BO270" s="7">
        <v>3</v>
      </c>
      <c r="BP270" s="7">
        <v>42</v>
      </c>
      <c r="BQ270" s="7">
        <v>64</v>
      </c>
      <c r="BR270" s="7">
        <v>48</v>
      </c>
      <c r="BS270" s="7">
        <v>0</v>
      </c>
      <c r="BT270" s="7">
        <v>0</v>
      </c>
      <c r="BU270" s="7">
        <v>16</v>
      </c>
      <c r="BV270" s="7">
        <v>55</v>
      </c>
      <c r="BW270" s="7">
        <v>57</v>
      </c>
      <c r="BX270" s="7">
        <v>29</v>
      </c>
      <c r="BY270" s="7">
        <v>0</v>
      </c>
      <c r="BZ270" s="7">
        <v>0</v>
      </c>
      <c r="CA270" s="7"/>
      <c r="CB270" s="9"/>
      <c r="CC270" s="9"/>
      <c r="CD270" s="9"/>
      <c r="CE270" s="9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>
        <v>157</v>
      </c>
      <c r="CS270" s="9">
        <v>70.509210191082829</v>
      </c>
      <c r="CT270" s="9">
        <v>61.761866242038202</v>
      </c>
      <c r="CU270" s="9">
        <v>66.135881104033984</v>
      </c>
      <c r="CV270" s="9">
        <v>132.27107643312098</v>
      </c>
      <c r="CW270" s="7">
        <v>3</v>
      </c>
      <c r="CX270" s="7">
        <v>42</v>
      </c>
      <c r="CY270" s="7">
        <v>64</v>
      </c>
      <c r="CZ270" s="7">
        <v>48</v>
      </c>
      <c r="DA270" s="7">
        <v>0</v>
      </c>
      <c r="DB270" s="7">
        <v>0</v>
      </c>
      <c r="DC270" s="7">
        <v>16</v>
      </c>
      <c r="DD270" s="7">
        <v>55</v>
      </c>
      <c r="DE270" s="7">
        <v>57</v>
      </c>
      <c r="DF270" s="7">
        <v>29</v>
      </c>
      <c r="DG270" s="7">
        <v>0</v>
      </c>
      <c r="DH270" s="7">
        <v>0</v>
      </c>
      <c r="DI270" s="18">
        <f t="shared" si="42"/>
        <v>42</v>
      </c>
      <c r="DJ270" s="18" t="str">
        <f t="shared" si="43"/>
        <v/>
      </c>
      <c r="DK270" s="18">
        <f t="shared" si="44"/>
        <v>37</v>
      </c>
      <c r="DL270" s="18">
        <f t="shared" si="39"/>
        <v>8</v>
      </c>
      <c r="DM270" s="18" t="str">
        <f t="shared" si="40"/>
        <v/>
      </c>
      <c r="DN270" s="18">
        <f t="shared" si="41"/>
        <v>9</v>
      </c>
      <c r="DO270" s="18">
        <v>313</v>
      </c>
      <c r="DP270" s="18">
        <v>124</v>
      </c>
      <c r="DQ270" s="18">
        <v>313</v>
      </c>
      <c r="DR270" s="18">
        <v>37</v>
      </c>
      <c r="DS270" s="18">
        <v>21</v>
      </c>
      <c r="DT270" s="18">
        <v>37</v>
      </c>
      <c r="DU270" s="18" t="s">
        <v>220</v>
      </c>
    </row>
    <row r="271" spans="54:125" x14ac:dyDescent="0.25">
      <c r="BB271" s="7">
        <v>268</v>
      </c>
      <c r="BC271" s="7" t="s">
        <v>332</v>
      </c>
      <c r="BD271" s="23" t="s">
        <v>220</v>
      </c>
      <c r="BE271" s="26">
        <v>655058353</v>
      </c>
      <c r="BF271" s="25" t="s">
        <v>231</v>
      </c>
      <c r="BG271" s="7">
        <v>264</v>
      </c>
      <c r="BH271" s="7" t="s">
        <v>322</v>
      </c>
      <c r="BI271" s="7" t="s">
        <v>368</v>
      </c>
      <c r="BJ271" s="7">
        <v>93</v>
      </c>
      <c r="BK271" s="9">
        <v>70.60897849462367</v>
      </c>
      <c r="BL271" s="9">
        <v>64.80251612903227</v>
      </c>
      <c r="BM271" s="9">
        <v>67.70609318996415</v>
      </c>
      <c r="BN271" s="9">
        <v>135.41149462365584</v>
      </c>
      <c r="BO271" s="7">
        <v>6</v>
      </c>
      <c r="BP271" s="7">
        <v>21</v>
      </c>
      <c r="BQ271" s="7">
        <v>31</v>
      </c>
      <c r="BR271" s="7">
        <v>35</v>
      </c>
      <c r="BS271" s="7">
        <v>0</v>
      </c>
      <c r="BT271" s="7">
        <v>2</v>
      </c>
      <c r="BU271" s="7">
        <v>7</v>
      </c>
      <c r="BV271" s="7">
        <v>29</v>
      </c>
      <c r="BW271" s="7">
        <v>35</v>
      </c>
      <c r="BX271" s="7">
        <v>22</v>
      </c>
      <c r="BY271" s="7">
        <v>0</v>
      </c>
      <c r="BZ271" s="7">
        <v>0</v>
      </c>
      <c r="CA271" s="7">
        <v>91</v>
      </c>
      <c r="CB271" s="9">
        <v>66.373307692307691</v>
      </c>
      <c r="CC271" s="9">
        <v>60.732274725274721</v>
      </c>
      <c r="CD271" s="9">
        <v>63.553113553113562</v>
      </c>
      <c r="CE271" s="9">
        <v>127.10558241758235</v>
      </c>
      <c r="CF271" s="7">
        <v>4</v>
      </c>
      <c r="CG271" s="7">
        <v>26</v>
      </c>
      <c r="CH271" s="7">
        <v>42</v>
      </c>
      <c r="CI271" s="7">
        <v>19</v>
      </c>
      <c r="CJ271" s="7">
        <v>0</v>
      </c>
      <c r="CK271" s="7">
        <v>0</v>
      </c>
      <c r="CL271" s="7">
        <v>2</v>
      </c>
      <c r="CM271" s="7">
        <v>41</v>
      </c>
      <c r="CN271" s="7">
        <v>40</v>
      </c>
      <c r="CO271" s="7">
        <v>8</v>
      </c>
      <c r="CP271" s="7">
        <v>0</v>
      </c>
      <c r="CQ271" s="7">
        <v>0</v>
      </c>
      <c r="CR271" s="7">
        <v>184</v>
      </c>
      <c r="CS271" s="9">
        <v>68.514163043478234</v>
      </c>
      <c r="CT271" s="9">
        <v>62.789516304347842</v>
      </c>
      <c r="CU271" s="9">
        <v>65.65217391304347</v>
      </c>
      <c r="CV271" s="9">
        <v>131.30367934782595</v>
      </c>
      <c r="CW271" s="7">
        <v>10</v>
      </c>
      <c r="CX271" s="7">
        <v>47</v>
      </c>
      <c r="CY271" s="7">
        <v>73</v>
      </c>
      <c r="CZ271" s="7">
        <v>54</v>
      </c>
      <c r="DA271" s="7">
        <v>0</v>
      </c>
      <c r="DB271" s="7">
        <v>2</v>
      </c>
      <c r="DC271" s="7">
        <v>9</v>
      </c>
      <c r="DD271" s="7">
        <v>70</v>
      </c>
      <c r="DE271" s="7">
        <v>75</v>
      </c>
      <c r="DF271" s="7">
        <v>30</v>
      </c>
      <c r="DG271" s="7">
        <v>0</v>
      </c>
      <c r="DH271" s="7">
        <v>0</v>
      </c>
      <c r="DI271" s="18">
        <f t="shared" si="42"/>
        <v>30</v>
      </c>
      <c r="DJ271" s="18">
        <f t="shared" si="43"/>
        <v>26</v>
      </c>
      <c r="DK271" s="18">
        <f t="shared" si="44"/>
        <v>41</v>
      </c>
      <c r="DL271" s="18">
        <f t="shared" si="39"/>
        <v>5</v>
      </c>
      <c r="DM271" s="18">
        <f t="shared" si="40"/>
        <v>6</v>
      </c>
      <c r="DN271" s="18">
        <f t="shared" si="41"/>
        <v>10</v>
      </c>
      <c r="DO271" s="18">
        <v>313</v>
      </c>
      <c r="DP271" s="18">
        <v>124</v>
      </c>
      <c r="DQ271" s="18">
        <v>313</v>
      </c>
      <c r="DR271" s="18">
        <v>37</v>
      </c>
      <c r="DS271" s="18">
        <v>21</v>
      </c>
      <c r="DT271" s="18">
        <v>37</v>
      </c>
      <c r="DU271" s="18" t="s">
        <v>220</v>
      </c>
    </row>
    <row r="272" spans="54:125" x14ac:dyDescent="0.25">
      <c r="BB272" s="7">
        <v>269</v>
      </c>
      <c r="BC272" s="7" t="s">
        <v>332</v>
      </c>
      <c r="BD272" s="23" t="s">
        <v>220</v>
      </c>
      <c r="BE272" s="26">
        <v>611627697</v>
      </c>
      <c r="BF272" s="25" t="s">
        <v>253</v>
      </c>
      <c r="BG272" s="7">
        <v>265</v>
      </c>
      <c r="BH272" s="7" t="s">
        <v>320</v>
      </c>
      <c r="BI272" s="7" t="s">
        <v>368</v>
      </c>
      <c r="BJ272" s="7">
        <v>103</v>
      </c>
      <c r="BK272" s="9">
        <v>65.015805825242737</v>
      </c>
      <c r="BL272" s="9">
        <v>61.779611650485435</v>
      </c>
      <c r="BM272" s="9">
        <v>63.398058252427191</v>
      </c>
      <c r="BN272" s="9">
        <v>126.79541747572812</v>
      </c>
      <c r="BO272" s="7">
        <v>9</v>
      </c>
      <c r="BP272" s="7">
        <v>29</v>
      </c>
      <c r="BQ272" s="7">
        <v>44</v>
      </c>
      <c r="BR272" s="7">
        <v>21</v>
      </c>
      <c r="BS272" s="7">
        <v>0</v>
      </c>
      <c r="BT272" s="7">
        <v>1</v>
      </c>
      <c r="BU272" s="7">
        <v>8</v>
      </c>
      <c r="BV272" s="7">
        <v>42</v>
      </c>
      <c r="BW272" s="7">
        <v>33</v>
      </c>
      <c r="BX272" s="7">
        <v>20</v>
      </c>
      <c r="BY272" s="7">
        <v>0</v>
      </c>
      <c r="BZ272" s="7">
        <v>0</v>
      </c>
      <c r="CA272" s="7">
        <v>32</v>
      </c>
      <c r="CB272" s="9">
        <v>60.937187500000007</v>
      </c>
      <c r="CC272" s="9">
        <v>58.749656249999994</v>
      </c>
      <c r="CD272" s="9">
        <v>59.843750000000007</v>
      </c>
      <c r="CE272" s="9">
        <v>119.68684374999999</v>
      </c>
      <c r="CF272" s="7">
        <v>1</v>
      </c>
      <c r="CG272" s="7">
        <v>14</v>
      </c>
      <c r="CH272" s="7">
        <v>13</v>
      </c>
      <c r="CI272" s="7">
        <v>4</v>
      </c>
      <c r="CJ272" s="7">
        <v>0</v>
      </c>
      <c r="CK272" s="7">
        <v>0</v>
      </c>
      <c r="CL272" s="7">
        <v>2</v>
      </c>
      <c r="CM272" s="7">
        <v>15</v>
      </c>
      <c r="CN272" s="7">
        <v>15</v>
      </c>
      <c r="CO272" s="7">
        <v>0</v>
      </c>
      <c r="CP272" s="7">
        <v>0</v>
      </c>
      <c r="CQ272" s="7">
        <v>0</v>
      </c>
      <c r="CR272" s="7">
        <v>135</v>
      </c>
      <c r="CS272" s="9">
        <v>64.049022222222206</v>
      </c>
      <c r="CT272" s="9">
        <v>61.061399999999992</v>
      </c>
      <c r="CU272" s="9">
        <v>62.555555555555571</v>
      </c>
      <c r="CV272" s="9">
        <v>125.11042222222217</v>
      </c>
      <c r="CW272" s="7">
        <v>10</v>
      </c>
      <c r="CX272" s="7">
        <v>43</v>
      </c>
      <c r="CY272" s="7">
        <v>57</v>
      </c>
      <c r="CZ272" s="7">
        <v>25</v>
      </c>
      <c r="DA272" s="7">
        <v>0</v>
      </c>
      <c r="DB272" s="7">
        <v>1</v>
      </c>
      <c r="DC272" s="7">
        <v>10</v>
      </c>
      <c r="DD272" s="7">
        <v>57</v>
      </c>
      <c r="DE272" s="7">
        <v>48</v>
      </c>
      <c r="DF272" s="7">
        <v>20</v>
      </c>
      <c r="DG272" s="7">
        <v>0</v>
      </c>
      <c r="DH272" s="7">
        <v>0</v>
      </c>
      <c r="DI272" s="18">
        <f t="shared" si="42"/>
        <v>81</v>
      </c>
      <c r="DJ272" s="18">
        <f t="shared" si="43"/>
        <v>58</v>
      </c>
      <c r="DK272" s="18">
        <f t="shared" si="44"/>
        <v>80</v>
      </c>
      <c r="DL272" s="18">
        <f t="shared" si="39"/>
        <v>14</v>
      </c>
      <c r="DM272" s="18">
        <f t="shared" si="40"/>
        <v>13</v>
      </c>
      <c r="DN272" s="18">
        <f t="shared" si="41"/>
        <v>16</v>
      </c>
      <c r="DO272" s="18">
        <v>313</v>
      </c>
      <c r="DP272" s="18">
        <v>124</v>
      </c>
      <c r="DQ272" s="18">
        <v>313</v>
      </c>
      <c r="DR272" s="18">
        <v>37</v>
      </c>
      <c r="DS272" s="18">
        <v>21</v>
      </c>
      <c r="DT272" s="18">
        <v>37</v>
      </c>
      <c r="DU272" s="18" t="s">
        <v>220</v>
      </c>
    </row>
    <row r="273" spans="54:125" x14ac:dyDescent="0.25">
      <c r="BB273" s="7">
        <v>270</v>
      </c>
      <c r="BC273" s="7" t="s">
        <v>332</v>
      </c>
      <c r="BD273" s="23" t="s">
        <v>220</v>
      </c>
      <c r="BE273" s="26">
        <v>609565233</v>
      </c>
      <c r="BF273" s="25" t="s">
        <v>240</v>
      </c>
      <c r="BG273" s="7">
        <v>269</v>
      </c>
      <c r="BH273" s="7" t="s">
        <v>320</v>
      </c>
      <c r="BI273" s="7" t="s">
        <v>368</v>
      </c>
      <c r="BJ273" s="7">
        <v>135</v>
      </c>
      <c r="BK273" s="9">
        <v>65.505844444444435</v>
      </c>
      <c r="BL273" s="9">
        <v>60.221874074074059</v>
      </c>
      <c r="BM273" s="9">
        <v>62.864197530864196</v>
      </c>
      <c r="BN273" s="9">
        <v>125.72771851851843</v>
      </c>
      <c r="BO273" s="7">
        <v>10</v>
      </c>
      <c r="BP273" s="7">
        <v>39</v>
      </c>
      <c r="BQ273" s="7">
        <v>50</v>
      </c>
      <c r="BR273" s="7">
        <v>36</v>
      </c>
      <c r="BS273" s="7">
        <v>2</v>
      </c>
      <c r="BT273" s="7">
        <v>3</v>
      </c>
      <c r="BU273" s="7">
        <v>12</v>
      </c>
      <c r="BV273" s="7">
        <v>53</v>
      </c>
      <c r="BW273" s="7">
        <v>55</v>
      </c>
      <c r="BX273" s="7">
        <v>15</v>
      </c>
      <c r="BY273" s="7">
        <v>0</v>
      </c>
      <c r="BZ273" s="7">
        <v>0</v>
      </c>
      <c r="CA273" s="7">
        <v>68</v>
      </c>
      <c r="CB273" s="9">
        <v>60.48988235294123</v>
      </c>
      <c r="CC273" s="9">
        <v>55.931073529411798</v>
      </c>
      <c r="CD273" s="9">
        <v>58.210784313725455</v>
      </c>
      <c r="CE273" s="9">
        <v>116.42095588235289</v>
      </c>
      <c r="CF273" s="7">
        <v>5</v>
      </c>
      <c r="CG273" s="7">
        <v>30</v>
      </c>
      <c r="CH273" s="7">
        <v>26</v>
      </c>
      <c r="CI273" s="7">
        <v>7</v>
      </c>
      <c r="CJ273" s="7">
        <v>0</v>
      </c>
      <c r="CK273" s="7">
        <v>0</v>
      </c>
      <c r="CL273" s="7">
        <v>8</v>
      </c>
      <c r="CM273" s="7">
        <v>35</v>
      </c>
      <c r="CN273" s="7">
        <v>21</v>
      </c>
      <c r="CO273" s="7">
        <v>4</v>
      </c>
      <c r="CP273" s="7">
        <v>0</v>
      </c>
      <c r="CQ273" s="7">
        <v>0</v>
      </c>
      <c r="CR273" s="7">
        <v>203</v>
      </c>
      <c r="CS273" s="9">
        <v>63.82562068965516</v>
      </c>
      <c r="CT273" s="9">
        <v>58.784561576354626</v>
      </c>
      <c r="CU273" s="9">
        <v>61.305418719211808</v>
      </c>
      <c r="CV273" s="9">
        <v>122.61018226600972</v>
      </c>
      <c r="CW273" s="7">
        <v>15</v>
      </c>
      <c r="CX273" s="7">
        <v>69</v>
      </c>
      <c r="CY273" s="7">
        <v>76</v>
      </c>
      <c r="CZ273" s="7">
        <v>43</v>
      </c>
      <c r="DA273" s="7">
        <v>2</v>
      </c>
      <c r="DB273" s="7">
        <v>3</v>
      </c>
      <c r="DC273" s="7">
        <v>20</v>
      </c>
      <c r="DD273" s="7">
        <v>88</v>
      </c>
      <c r="DE273" s="7">
        <v>76</v>
      </c>
      <c r="DF273" s="7">
        <v>19</v>
      </c>
      <c r="DG273" s="7">
        <v>0</v>
      </c>
      <c r="DH273" s="7">
        <v>0</v>
      </c>
      <c r="DI273" s="18">
        <f t="shared" si="42"/>
        <v>91</v>
      </c>
      <c r="DJ273" s="18">
        <f t="shared" si="43"/>
        <v>72</v>
      </c>
      <c r="DK273" s="18">
        <f t="shared" si="44"/>
        <v>107</v>
      </c>
      <c r="DL273" s="18">
        <f t="shared" si="39"/>
        <v>18</v>
      </c>
      <c r="DM273" s="18">
        <f t="shared" si="40"/>
        <v>14</v>
      </c>
      <c r="DN273" s="18">
        <f t="shared" si="41"/>
        <v>19</v>
      </c>
      <c r="DO273" s="18">
        <v>313</v>
      </c>
      <c r="DP273" s="18">
        <v>124</v>
      </c>
      <c r="DQ273" s="18">
        <v>313</v>
      </c>
      <c r="DR273" s="18">
        <v>37</v>
      </c>
      <c r="DS273" s="18">
        <v>21</v>
      </c>
      <c r="DT273" s="18">
        <v>37</v>
      </c>
      <c r="DU273" s="18" t="s">
        <v>220</v>
      </c>
    </row>
    <row r="274" spans="54:125" x14ac:dyDescent="0.25">
      <c r="BB274" s="7">
        <v>271</v>
      </c>
      <c r="BC274" s="7" t="s">
        <v>332</v>
      </c>
      <c r="BD274" s="23" t="s">
        <v>220</v>
      </c>
      <c r="BE274" s="26">
        <v>603090715</v>
      </c>
      <c r="BF274" s="25" t="s">
        <v>228</v>
      </c>
      <c r="BG274" s="7">
        <v>287</v>
      </c>
      <c r="BH274" s="7" t="s">
        <v>326</v>
      </c>
      <c r="BI274" s="7" t="s">
        <v>367</v>
      </c>
      <c r="BJ274" s="7">
        <v>113</v>
      </c>
      <c r="BK274" s="9">
        <v>79.498185840707933</v>
      </c>
      <c r="BL274" s="9">
        <v>73.893460176991113</v>
      </c>
      <c r="BM274" s="9">
        <v>76.696165191740405</v>
      </c>
      <c r="BN274" s="9">
        <v>153.391646017699</v>
      </c>
      <c r="BO274" s="7">
        <v>1</v>
      </c>
      <c r="BP274" s="7">
        <v>12</v>
      </c>
      <c r="BQ274" s="7">
        <v>41</v>
      </c>
      <c r="BR274" s="7">
        <v>59</v>
      </c>
      <c r="BS274" s="7">
        <v>0</v>
      </c>
      <c r="BT274" s="7">
        <v>7</v>
      </c>
      <c r="BU274" s="7">
        <v>1</v>
      </c>
      <c r="BV274" s="7">
        <v>17</v>
      </c>
      <c r="BW274" s="7">
        <v>63</v>
      </c>
      <c r="BX274" s="7">
        <v>32</v>
      </c>
      <c r="BY274" s="7">
        <v>0</v>
      </c>
      <c r="BZ274" s="7">
        <v>0</v>
      </c>
      <c r="CA274" s="7"/>
      <c r="CB274" s="9"/>
      <c r="CC274" s="9"/>
      <c r="CD274" s="9"/>
      <c r="CE274" s="9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>
        <v>113</v>
      </c>
      <c r="CS274" s="9">
        <v>79.498185840707933</v>
      </c>
      <c r="CT274" s="9">
        <v>73.893460176991113</v>
      </c>
      <c r="CU274" s="9">
        <v>76.696165191740405</v>
      </c>
      <c r="CV274" s="9">
        <v>153.391646017699</v>
      </c>
      <c r="CW274" s="7">
        <v>1</v>
      </c>
      <c r="CX274" s="7">
        <v>12</v>
      </c>
      <c r="CY274" s="7">
        <v>41</v>
      </c>
      <c r="CZ274" s="7">
        <v>59</v>
      </c>
      <c r="DA274" s="7">
        <v>0</v>
      </c>
      <c r="DB274" s="7">
        <v>7</v>
      </c>
      <c r="DC274" s="7">
        <v>1</v>
      </c>
      <c r="DD274" s="7">
        <v>17</v>
      </c>
      <c r="DE274" s="7">
        <v>63</v>
      </c>
      <c r="DF274" s="7">
        <v>32</v>
      </c>
      <c r="DG274" s="7">
        <v>0</v>
      </c>
      <c r="DH274" s="7">
        <v>0</v>
      </c>
      <c r="DI274" s="18">
        <f t="shared" si="42"/>
        <v>1</v>
      </c>
      <c r="DJ274" s="18" t="str">
        <f t="shared" si="43"/>
        <v/>
      </c>
      <c r="DK274" s="18">
        <f t="shared" si="44"/>
        <v>1</v>
      </c>
      <c r="DL274" s="18">
        <f t="shared" si="39"/>
        <v>1</v>
      </c>
      <c r="DM274" s="18" t="str">
        <f t="shared" si="40"/>
        <v/>
      </c>
      <c r="DN274" s="18">
        <f t="shared" si="41"/>
        <v>1</v>
      </c>
      <c r="DO274" s="18">
        <v>313</v>
      </c>
      <c r="DP274" s="18">
        <v>124</v>
      </c>
      <c r="DQ274" s="18">
        <v>313</v>
      </c>
      <c r="DR274" s="18">
        <v>37</v>
      </c>
      <c r="DS274" s="18">
        <v>21</v>
      </c>
      <c r="DT274" s="18">
        <v>37</v>
      </c>
      <c r="DU274" s="18" t="s">
        <v>220</v>
      </c>
    </row>
    <row r="275" spans="54:125" x14ac:dyDescent="0.25">
      <c r="BB275" s="7">
        <v>272</v>
      </c>
      <c r="BC275" s="7" t="s">
        <v>332</v>
      </c>
      <c r="BD275" s="23" t="s">
        <v>255</v>
      </c>
      <c r="BE275" s="26">
        <v>601920575</v>
      </c>
      <c r="BF275" s="25" t="s">
        <v>351</v>
      </c>
      <c r="BG275" s="7">
        <v>20</v>
      </c>
      <c r="BH275" s="7" t="s">
        <v>323</v>
      </c>
      <c r="BI275" s="7" t="s">
        <v>369</v>
      </c>
      <c r="BJ275" s="7"/>
      <c r="BK275" s="9"/>
      <c r="BL275" s="9"/>
      <c r="BM275" s="9"/>
      <c r="BN275" s="9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9"/>
      <c r="CC275" s="9"/>
      <c r="CD275" s="9"/>
      <c r="CE275" s="9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9"/>
      <c r="CT275" s="9"/>
      <c r="CU275" s="9"/>
      <c r="CV275" s="9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18" t="str">
        <f t="shared" si="42"/>
        <v/>
      </c>
      <c r="DJ275" s="18" t="str">
        <f t="shared" si="43"/>
        <v/>
      </c>
      <c r="DK275" s="18" t="str">
        <f t="shared" si="44"/>
        <v/>
      </c>
      <c r="DL275" s="18" t="str">
        <f t="shared" ref="DL275:DL305" si="45">IF(BN275="","",(RANK(BN275,$BN$275:$BN$305)))</f>
        <v/>
      </c>
      <c r="DM275" s="18" t="str">
        <f t="shared" ref="DM275:DM305" si="46">IF(CE275="","",(RANK(CE275,$CE$275:$CE$305)))</f>
        <v/>
      </c>
      <c r="DN275" s="18" t="str">
        <f t="shared" ref="DN275:DN305" si="47">IF(CV275="","",(RANK(CV275,$CV$275:$CV$305)))</f>
        <v/>
      </c>
      <c r="DO275" s="18">
        <v>313</v>
      </c>
      <c r="DP275" s="18">
        <v>124</v>
      </c>
      <c r="DQ275" s="18">
        <v>313</v>
      </c>
      <c r="DR275" s="18">
        <v>31</v>
      </c>
      <c r="DS275" s="18">
        <v>5</v>
      </c>
      <c r="DT275" s="18">
        <v>31</v>
      </c>
      <c r="DU275" s="18" t="s">
        <v>255</v>
      </c>
    </row>
    <row r="276" spans="54:125" x14ac:dyDescent="0.25">
      <c r="BB276" s="7">
        <v>273</v>
      </c>
      <c r="BC276" s="7" t="s">
        <v>332</v>
      </c>
      <c r="BD276" s="23" t="s">
        <v>255</v>
      </c>
      <c r="BE276" s="26">
        <v>257162017</v>
      </c>
      <c r="BF276" s="25" t="s">
        <v>274</v>
      </c>
      <c r="BG276" s="7">
        <v>26</v>
      </c>
      <c r="BH276" s="7" t="s">
        <v>320</v>
      </c>
      <c r="BI276" s="7" t="s">
        <v>368</v>
      </c>
      <c r="BJ276" s="7">
        <v>291</v>
      </c>
      <c r="BK276" s="9">
        <v>63.848457044673495</v>
      </c>
      <c r="BL276" s="9">
        <v>57.639993127147733</v>
      </c>
      <c r="BM276" s="9">
        <v>60.744558991981613</v>
      </c>
      <c r="BN276" s="9">
        <v>121.48845017182109</v>
      </c>
      <c r="BO276" s="7">
        <v>37</v>
      </c>
      <c r="BP276" s="7">
        <v>89</v>
      </c>
      <c r="BQ276" s="7">
        <v>87</v>
      </c>
      <c r="BR276" s="7">
        <v>78</v>
      </c>
      <c r="BS276" s="7">
        <v>2</v>
      </c>
      <c r="BT276" s="7">
        <v>8</v>
      </c>
      <c r="BU276" s="7">
        <v>45</v>
      </c>
      <c r="BV276" s="7">
        <v>111</v>
      </c>
      <c r="BW276" s="7">
        <v>86</v>
      </c>
      <c r="BX276" s="7">
        <v>49</v>
      </c>
      <c r="BY276" s="7">
        <v>0</v>
      </c>
      <c r="BZ276" s="7">
        <v>2</v>
      </c>
      <c r="CA276" s="7">
        <v>87</v>
      </c>
      <c r="CB276" s="9">
        <v>61.800436781609207</v>
      </c>
      <c r="CC276" s="9">
        <v>50.191252873563265</v>
      </c>
      <c r="CD276" s="9">
        <v>55.996168582375503</v>
      </c>
      <c r="CE276" s="9">
        <v>111.99168965517239</v>
      </c>
      <c r="CF276" s="7">
        <v>6</v>
      </c>
      <c r="CG276" s="7">
        <v>31</v>
      </c>
      <c r="CH276" s="7">
        <v>39</v>
      </c>
      <c r="CI276" s="7">
        <v>11</v>
      </c>
      <c r="CJ276" s="7">
        <v>0</v>
      </c>
      <c r="CK276" s="7">
        <v>0</v>
      </c>
      <c r="CL276" s="7">
        <v>8</v>
      </c>
      <c r="CM276" s="7">
        <v>65</v>
      </c>
      <c r="CN276" s="7">
        <v>9</v>
      </c>
      <c r="CO276" s="7">
        <v>5</v>
      </c>
      <c r="CP276" s="7">
        <v>0</v>
      </c>
      <c r="CQ276" s="7">
        <v>0</v>
      </c>
      <c r="CR276" s="7">
        <v>378</v>
      </c>
      <c r="CS276" s="9">
        <v>63.377087301587252</v>
      </c>
      <c r="CT276" s="9">
        <v>55.925600529100464</v>
      </c>
      <c r="CU276" s="9">
        <v>59.651675485008838</v>
      </c>
      <c r="CV276" s="9">
        <v>119.30268783068773</v>
      </c>
      <c r="CW276" s="7">
        <v>43</v>
      </c>
      <c r="CX276" s="7">
        <v>120</v>
      </c>
      <c r="CY276" s="7">
        <v>126</v>
      </c>
      <c r="CZ276" s="7">
        <v>89</v>
      </c>
      <c r="DA276" s="7">
        <v>2</v>
      </c>
      <c r="DB276" s="7">
        <v>8</v>
      </c>
      <c r="DC276" s="7">
        <v>53</v>
      </c>
      <c r="DD276" s="7">
        <v>176</v>
      </c>
      <c r="DE276" s="7">
        <v>95</v>
      </c>
      <c r="DF276" s="7">
        <v>54</v>
      </c>
      <c r="DG276" s="7">
        <v>0</v>
      </c>
      <c r="DH276" s="7">
        <v>2</v>
      </c>
      <c r="DI276" s="18">
        <f t="shared" si="42"/>
        <v>123</v>
      </c>
      <c r="DJ276" s="18">
        <f t="shared" si="43"/>
        <v>93</v>
      </c>
      <c r="DK276" s="18">
        <f t="shared" si="44"/>
        <v>139</v>
      </c>
      <c r="DL276" s="18">
        <f t="shared" si="45"/>
        <v>7</v>
      </c>
      <c r="DM276" s="18">
        <f t="shared" si="46"/>
        <v>4</v>
      </c>
      <c r="DN276" s="18">
        <f t="shared" si="47"/>
        <v>11</v>
      </c>
      <c r="DO276" s="18">
        <v>313</v>
      </c>
      <c r="DP276" s="18">
        <v>124</v>
      </c>
      <c r="DQ276" s="18">
        <v>313</v>
      </c>
      <c r="DR276" s="18">
        <v>31</v>
      </c>
      <c r="DS276" s="18">
        <v>5</v>
      </c>
      <c r="DT276" s="18">
        <v>31</v>
      </c>
      <c r="DU276" s="18" t="s">
        <v>255</v>
      </c>
    </row>
    <row r="277" spans="54:125" x14ac:dyDescent="0.25">
      <c r="BB277" s="7">
        <v>274</v>
      </c>
      <c r="BC277" s="7" t="s">
        <v>332</v>
      </c>
      <c r="BD277" s="23" t="s">
        <v>255</v>
      </c>
      <c r="BE277" s="26">
        <v>848141733</v>
      </c>
      <c r="BF277" s="25" t="s">
        <v>352</v>
      </c>
      <c r="BG277" s="7">
        <v>33</v>
      </c>
      <c r="BH277" s="7" t="s">
        <v>320</v>
      </c>
      <c r="BI277" s="7" t="s">
        <v>367</v>
      </c>
      <c r="BJ277" s="7">
        <v>39</v>
      </c>
      <c r="BK277" s="9">
        <v>53.760333333333328</v>
      </c>
      <c r="BL277" s="9">
        <v>47.520974358974357</v>
      </c>
      <c r="BM277" s="9">
        <v>50.641025641025642</v>
      </c>
      <c r="BN277" s="9">
        <v>101.28130769230768</v>
      </c>
      <c r="BO277" s="7">
        <v>8</v>
      </c>
      <c r="BP277" s="7">
        <v>16</v>
      </c>
      <c r="BQ277" s="7">
        <v>13</v>
      </c>
      <c r="BR277" s="7">
        <v>2</v>
      </c>
      <c r="BS277" s="7">
        <v>0</v>
      </c>
      <c r="BT277" s="7">
        <v>0</v>
      </c>
      <c r="BU277" s="7">
        <v>7</v>
      </c>
      <c r="BV277" s="7">
        <v>23</v>
      </c>
      <c r="BW277" s="7">
        <v>7</v>
      </c>
      <c r="BX277" s="7">
        <v>2</v>
      </c>
      <c r="BY277" s="7">
        <v>0</v>
      </c>
      <c r="BZ277" s="7">
        <v>0</v>
      </c>
      <c r="CA277" s="7"/>
      <c r="CB277" s="9"/>
      <c r="CC277" s="9"/>
      <c r="CD277" s="9"/>
      <c r="CE277" s="9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>
        <v>39</v>
      </c>
      <c r="CS277" s="9">
        <v>53.760333333333328</v>
      </c>
      <c r="CT277" s="9">
        <v>47.520974358974357</v>
      </c>
      <c r="CU277" s="9">
        <v>50.641025641025642</v>
      </c>
      <c r="CV277" s="9">
        <v>101.28130769230768</v>
      </c>
      <c r="CW277" s="7">
        <v>8</v>
      </c>
      <c r="CX277" s="7">
        <v>16</v>
      </c>
      <c r="CY277" s="7">
        <v>13</v>
      </c>
      <c r="CZ277" s="7">
        <v>2</v>
      </c>
      <c r="DA277" s="7">
        <v>0</v>
      </c>
      <c r="DB277" s="7">
        <v>0</v>
      </c>
      <c r="DC277" s="7">
        <v>7</v>
      </c>
      <c r="DD277" s="7">
        <v>23</v>
      </c>
      <c r="DE277" s="7">
        <v>7</v>
      </c>
      <c r="DF277" s="7">
        <v>2</v>
      </c>
      <c r="DG277" s="7">
        <v>0</v>
      </c>
      <c r="DH277" s="7">
        <v>0</v>
      </c>
      <c r="DI277" s="18">
        <f t="shared" si="42"/>
        <v>271</v>
      </c>
      <c r="DJ277" s="18" t="str">
        <f t="shared" si="43"/>
        <v/>
      </c>
      <c r="DK277" s="18">
        <f t="shared" si="44"/>
        <v>273</v>
      </c>
      <c r="DL277" s="18">
        <f t="shared" si="45"/>
        <v>26</v>
      </c>
      <c r="DM277" s="18" t="str">
        <f t="shared" si="46"/>
        <v/>
      </c>
      <c r="DN277" s="18">
        <f t="shared" si="47"/>
        <v>26</v>
      </c>
      <c r="DO277" s="18">
        <v>313</v>
      </c>
      <c r="DP277" s="18">
        <v>124</v>
      </c>
      <c r="DQ277" s="18">
        <v>313</v>
      </c>
      <c r="DR277" s="18">
        <v>31</v>
      </c>
      <c r="DS277" s="18">
        <v>5</v>
      </c>
      <c r="DT277" s="18">
        <v>31</v>
      </c>
      <c r="DU277" s="18" t="s">
        <v>255</v>
      </c>
    </row>
    <row r="278" spans="54:125" x14ac:dyDescent="0.25">
      <c r="BB278" s="7">
        <v>275</v>
      </c>
      <c r="BC278" s="7" t="s">
        <v>332</v>
      </c>
      <c r="BD278" s="23" t="s">
        <v>255</v>
      </c>
      <c r="BE278" s="26">
        <v>840385592</v>
      </c>
      <c r="BF278" s="25" t="s">
        <v>256</v>
      </c>
      <c r="BG278" s="7">
        <v>92</v>
      </c>
      <c r="BH278" s="7" t="s">
        <v>320</v>
      </c>
      <c r="BI278" s="7" t="s">
        <v>367</v>
      </c>
      <c r="BJ278" s="7">
        <v>107</v>
      </c>
      <c r="BK278" s="9">
        <v>66.323654205607454</v>
      </c>
      <c r="BL278" s="9">
        <v>59.407785046728982</v>
      </c>
      <c r="BM278" s="9">
        <v>62.86604361370717</v>
      </c>
      <c r="BN278" s="9">
        <v>125.7314392523364</v>
      </c>
      <c r="BO278" s="7">
        <v>8</v>
      </c>
      <c r="BP278" s="7">
        <v>22</v>
      </c>
      <c r="BQ278" s="7">
        <v>55</v>
      </c>
      <c r="BR278" s="7">
        <v>22</v>
      </c>
      <c r="BS278" s="7">
        <v>1</v>
      </c>
      <c r="BT278" s="7">
        <v>1</v>
      </c>
      <c r="BU278" s="7">
        <v>5</v>
      </c>
      <c r="BV278" s="7">
        <v>55</v>
      </c>
      <c r="BW278" s="7">
        <v>37</v>
      </c>
      <c r="BX278" s="7">
        <v>10</v>
      </c>
      <c r="BY278" s="7">
        <v>0</v>
      </c>
      <c r="BZ278" s="7">
        <v>0</v>
      </c>
      <c r="CA278" s="7"/>
      <c r="CB278" s="9"/>
      <c r="CC278" s="9"/>
      <c r="CD278" s="9"/>
      <c r="CE278" s="9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>
        <v>107</v>
      </c>
      <c r="CS278" s="9">
        <v>66.323654205607454</v>
      </c>
      <c r="CT278" s="9">
        <v>59.407785046728982</v>
      </c>
      <c r="CU278" s="9">
        <v>62.86604361370717</v>
      </c>
      <c r="CV278" s="9">
        <v>125.7314392523364</v>
      </c>
      <c r="CW278" s="7">
        <v>8</v>
      </c>
      <c r="CX278" s="7">
        <v>22</v>
      </c>
      <c r="CY278" s="7">
        <v>55</v>
      </c>
      <c r="CZ278" s="7">
        <v>22</v>
      </c>
      <c r="DA278" s="7">
        <v>1</v>
      </c>
      <c r="DB278" s="7">
        <v>1</v>
      </c>
      <c r="DC278" s="7">
        <v>5</v>
      </c>
      <c r="DD278" s="7">
        <v>55</v>
      </c>
      <c r="DE278" s="7">
        <v>37</v>
      </c>
      <c r="DF278" s="7">
        <v>10</v>
      </c>
      <c r="DG278" s="7">
        <v>0</v>
      </c>
      <c r="DH278" s="7">
        <v>0</v>
      </c>
      <c r="DI278" s="18">
        <f t="shared" si="42"/>
        <v>90</v>
      </c>
      <c r="DJ278" s="18" t="str">
        <f t="shared" si="43"/>
        <v/>
      </c>
      <c r="DK278" s="18">
        <f t="shared" si="44"/>
        <v>77</v>
      </c>
      <c r="DL278" s="18">
        <f t="shared" si="45"/>
        <v>4</v>
      </c>
      <c r="DM278" s="18" t="str">
        <f t="shared" si="46"/>
        <v/>
      </c>
      <c r="DN278" s="18">
        <f t="shared" si="47"/>
        <v>3</v>
      </c>
      <c r="DO278" s="18">
        <v>313</v>
      </c>
      <c r="DP278" s="18">
        <v>124</v>
      </c>
      <c r="DQ278" s="18">
        <v>313</v>
      </c>
      <c r="DR278" s="18">
        <v>31</v>
      </c>
      <c r="DS278" s="18">
        <v>5</v>
      </c>
      <c r="DT278" s="18">
        <v>31</v>
      </c>
      <c r="DU278" s="18" t="s">
        <v>255</v>
      </c>
    </row>
    <row r="279" spans="54:125" x14ac:dyDescent="0.25">
      <c r="BB279" s="7">
        <v>276</v>
      </c>
      <c r="BC279" s="7" t="s">
        <v>332</v>
      </c>
      <c r="BD279" s="23" t="s">
        <v>255</v>
      </c>
      <c r="BE279" s="26">
        <v>305973190</v>
      </c>
      <c r="BF279" s="25" t="s">
        <v>268</v>
      </c>
      <c r="BG279" s="7">
        <v>117</v>
      </c>
      <c r="BH279" s="7" t="s">
        <v>320</v>
      </c>
      <c r="BI279" s="7" t="s">
        <v>367</v>
      </c>
      <c r="BJ279" s="7">
        <v>460</v>
      </c>
      <c r="BK279" s="9">
        <v>63.304010869565111</v>
      </c>
      <c r="BL279" s="9">
        <v>58.492415217391247</v>
      </c>
      <c r="BM279" s="9">
        <v>60.898550724637687</v>
      </c>
      <c r="BN279" s="9">
        <v>121.79642608695643</v>
      </c>
      <c r="BO279" s="7">
        <v>49</v>
      </c>
      <c r="BP279" s="7">
        <v>146</v>
      </c>
      <c r="BQ279" s="7">
        <v>153</v>
      </c>
      <c r="BR279" s="7">
        <v>112</v>
      </c>
      <c r="BS279" s="7">
        <v>2</v>
      </c>
      <c r="BT279" s="7">
        <v>3</v>
      </c>
      <c r="BU279" s="7">
        <v>66</v>
      </c>
      <c r="BV279" s="7">
        <v>154</v>
      </c>
      <c r="BW279" s="7">
        <v>176</v>
      </c>
      <c r="BX279" s="7">
        <v>64</v>
      </c>
      <c r="BY279" s="7">
        <v>0</v>
      </c>
      <c r="BZ279" s="7">
        <v>0</v>
      </c>
      <c r="CA279" s="7"/>
      <c r="CB279" s="9"/>
      <c r="CC279" s="9"/>
      <c r="CD279" s="9"/>
      <c r="CE279" s="9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>
        <v>460</v>
      </c>
      <c r="CS279" s="9">
        <v>63.304010869565111</v>
      </c>
      <c r="CT279" s="9">
        <v>58.492415217391247</v>
      </c>
      <c r="CU279" s="9">
        <v>60.898550724637687</v>
      </c>
      <c r="CV279" s="9">
        <v>121.79642608695643</v>
      </c>
      <c r="CW279" s="7">
        <v>49</v>
      </c>
      <c r="CX279" s="7">
        <v>146</v>
      </c>
      <c r="CY279" s="7">
        <v>153</v>
      </c>
      <c r="CZ279" s="7">
        <v>112</v>
      </c>
      <c r="DA279" s="7">
        <v>2</v>
      </c>
      <c r="DB279" s="7">
        <v>3</v>
      </c>
      <c r="DC279" s="7">
        <v>66</v>
      </c>
      <c r="DD279" s="7">
        <v>154</v>
      </c>
      <c r="DE279" s="7">
        <v>176</v>
      </c>
      <c r="DF279" s="7">
        <v>64</v>
      </c>
      <c r="DG279" s="7">
        <v>0</v>
      </c>
      <c r="DH279" s="7">
        <v>0</v>
      </c>
      <c r="DI279" s="18">
        <f t="shared" si="42"/>
        <v>119</v>
      </c>
      <c r="DJ279" s="18" t="str">
        <f t="shared" si="43"/>
        <v/>
      </c>
      <c r="DK279" s="18">
        <f t="shared" si="44"/>
        <v>116</v>
      </c>
      <c r="DL279" s="18">
        <f t="shared" si="45"/>
        <v>6</v>
      </c>
      <c r="DM279" s="18" t="str">
        <f t="shared" si="46"/>
        <v/>
      </c>
      <c r="DN279" s="18">
        <f t="shared" si="47"/>
        <v>6</v>
      </c>
      <c r="DO279" s="18">
        <v>313</v>
      </c>
      <c r="DP279" s="18">
        <v>124</v>
      </c>
      <c r="DQ279" s="18">
        <v>313</v>
      </c>
      <c r="DR279" s="18">
        <v>31</v>
      </c>
      <c r="DS279" s="18">
        <v>5</v>
      </c>
      <c r="DT279" s="18">
        <v>31</v>
      </c>
      <c r="DU279" s="18" t="s">
        <v>255</v>
      </c>
    </row>
    <row r="280" spans="54:125" x14ac:dyDescent="0.25">
      <c r="BB280" s="7">
        <v>277</v>
      </c>
      <c r="BC280" s="7" t="s">
        <v>332</v>
      </c>
      <c r="BD280" s="23" t="s">
        <v>255</v>
      </c>
      <c r="BE280" s="26">
        <v>857678612</v>
      </c>
      <c r="BF280" s="25" t="s">
        <v>353</v>
      </c>
      <c r="BG280" s="7">
        <v>119</v>
      </c>
      <c r="BH280" s="7" t="s">
        <v>320</v>
      </c>
      <c r="BI280" s="7" t="s">
        <v>367</v>
      </c>
      <c r="BJ280" s="7">
        <v>79</v>
      </c>
      <c r="BK280" s="9">
        <v>56.033443037974713</v>
      </c>
      <c r="BL280" s="9">
        <v>44.978569620253204</v>
      </c>
      <c r="BM280" s="9">
        <v>50.50632911392406</v>
      </c>
      <c r="BN280" s="9">
        <v>101.01201265822786</v>
      </c>
      <c r="BO280" s="7">
        <v>11</v>
      </c>
      <c r="BP280" s="7">
        <v>35</v>
      </c>
      <c r="BQ280" s="7">
        <v>22</v>
      </c>
      <c r="BR280" s="7">
        <v>11</v>
      </c>
      <c r="BS280" s="7">
        <v>1</v>
      </c>
      <c r="BT280" s="7">
        <v>1</v>
      </c>
      <c r="BU280" s="7">
        <v>24</v>
      </c>
      <c r="BV280" s="7">
        <v>35</v>
      </c>
      <c r="BW280" s="7">
        <v>17</v>
      </c>
      <c r="BX280" s="7">
        <v>3</v>
      </c>
      <c r="BY280" s="7">
        <v>0</v>
      </c>
      <c r="BZ280" s="7">
        <v>0</v>
      </c>
      <c r="CA280" s="7"/>
      <c r="CB280" s="9"/>
      <c r="CC280" s="9"/>
      <c r="CD280" s="9"/>
      <c r="CE280" s="9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>
        <v>79</v>
      </c>
      <c r="CS280" s="9">
        <v>56.033443037974713</v>
      </c>
      <c r="CT280" s="9">
        <v>44.978569620253204</v>
      </c>
      <c r="CU280" s="9">
        <v>50.50632911392406</v>
      </c>
      <c r="CV280" s="9">
        <v>101.01201265822786</v>
      </c>
      <c r="CW280" s="7">
        <v>11</v>
      </c>
      <c r="CX280" s="7">
        <v>35</v>
      </c>
      <c r="CY280" s="7">
        <v>22</v>
      </c>
      <c r="CZ280" s="7">
        <v>11</v>
      </c>
      <c r="DA280" s="7">
        <v>1</v>
      </c>
      <c r="DB280" s="7">
        <v>1</v>
      </c>
      <c r="DC280" s="7">
        <v>24</v>
      </c>
      <c r="DD280" s="7">
        <v>35</v>
      </c>
      <c r="DE280" s="7">
        <v>17</v>
      </c>
      <c r="DF280" s="7">
        <v>3</v>
      </c>
      <c r="DG280" s="7">
        <v>0</v>
      </c>
      <c r="DH280" s="7">
        <v>0</v>
      </c>
      <c r="DI280" s="18">
        <f t="shared" si="42"/>
        <v>272</v>
      </c>
      <c r="DJ280" s="18" t="str">
        <f t="shared" si="43"/>
        <v/>
      </c>
      <c r="DK280" s="18">
        <f t="shared" si="44"/>
        <v>274</v>
      </c>
      <c r="DL280" s="18">
        <f t="shared" si="45"/>
        <v>27</v>
      </c>
      <c r="DM280" s="18" t="str">
        <f t="shared" si="46"/>
        <v/>
      </c>
      <c r="DN280" s="18">
        <f t="shared" si="47"/>
        <v>27</v>
      </c>
      <c r="DO280" s="18">
        <v>313</v>
      </c>
      <c r="DP280" s="18">
        <v>124</v>
      </c>
      <c r="DQ280" s="18">
        <v>313</v>
      </c>
      <c r="DR280" s="18">
        <v>31</v>
      </c>
      <c r="DS280" s="18">
        <v>5</v>
      </c>
      <c r="DT280" s="18">
        <v>31</v>
      </c>
      <c r="DU280" s="18" t="s">
        <v>255</v>
      </c>
    </row>
    <row r="281" spans="54:125" x14ac:dyDescent="0.25">
      <c r="BB281" s="7">
        <v>278</v>
      </c>
      <c r="BC281" s="7" t="s">
        <v>332</v>
      </c>
      <c r="BD281" s="23" t="s">
        <v>255</v>
      </c>
      <c r="BE281" s="26">
        <v>981250963</v>
      </c>
      <c r="BF281" s="25" t="s">
        <v>354</v>
      </c>
      <c r="BG281" s="7">
        <v>120</v>
      </c>
      <c r="BH281" s="7" t="s">
        <v>320</v>
      </c>
      <c r="BI281" s="7" t="s">
        <v>367</v>
      </c>
      <c r="BJ281" s="7">
        <v>122</v>
      </c>
      <c r="BK281" s="9">
        <v>59.507868852459033</v>
      </c>
      <c r="BL281" s="9">
        <v>57.240139344262317</v>
      </c>
      <c r="BM281" s="9">
        <v>58.374316939890718</v>
      </c>
      <c r="BN281" s="9">
        <v>116.74800819672126</v>
      </c>
      <c r="BO281" s="7">
        <v>17</v>
      </c>
      <c r="BP281" s="7">
        <v>43</v>
      </c>
      <c r="BQ281" s="7">
        <v>41</v>
      </c>
      <c r="BR281" s="7">
        <v>21</v>
      </c>
      <c r="BS281" s="7">
        <v>1</v>
      </c>
      <c r="BT281" s="7">
        <v>0</v>
      </c>
      <c r="BU281" s="7">
        <v>13</v>
      </c>
      <c r="BV281" s="7">
        <v>49</v>
      </c>
      <c r="BW281" s="7">
        <v>46</v>
      </c>
      <c r="BX281" s="7">
        <v>14</v>
      </c>
      <c r="BY281" s="7">
        <v>0</v>
      </c>
      <c r="BZ281" s="7">
        <v>0</v>
      </c>
      <c r="CA281" s="7"/>
      <c r="CB281" s="9"/>
      <c r="CC281" s="9"/>
      <c r="CD281" s="9"/>
      <c r="CE281" s="9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>
        <v>122</v>
      </c>
      <c r="CS281" s="9">
        <v>59.507868852459033</v>
      </c>
      <c r="CT281" s="9">
        <v>57.240139344262317</v>
      </c>
      <c r="CU281" s="9">
        <v>58.374316939890718</v>
      </c>
      <c r="CV281" s="9">
        <v>116.74800819672126</v>
      </c>
      <c r="CW281" s="7">
        <v>17</v>
      </c>
      <c r="CX281" s="7">
        <v>43</v>
      </c>
      <c r="CY281" s="7">
        <v>41</v>
      </c>
      <c r="CZ281" s="7">
        <v>21</v>
      </c>
      <c r="DA281" s="7">
        <v>1</v>
      </c>
      <c r="DB281" s="7">
        <v>0</v>
      </c>
      <c r="DC281" s="7">
        <v>13</v>
      </c>
      <c r="DD281" s="7">
        <v>49</v>
      </c>
      <c r="DE281" s="7">
        <v>46</v>
      </c>
      <c r="DF281" s="7">
        <v>14</v>
      </c>
      <c r="DG281" s="7">
        <v>0</v>
      </c>
      <c r="DH281" s="7">
        <v>0</v>
      </c>
      <c r="DI281" s="18">
        <f t="shared" si="42"/>
        <v>165</v>
      </c>
      <c r="DJ281" s="18" t="str">
        <f t="shared" si="43"/>
        <v/>
      </c>
      <c r="DK281" s="18">
        <f t="shared" si="44"/>
        <v>159</v>
      </c>
      <c r="DL281" s="18">
        <f t="shared" si="45"/>
        <v>11</v>
      </c>
      <c r="DM281" s="18" t="str">
        <f t="shared" si="46"/>
        <v/>
      </c>
      <c r="DN281" s="18">
        <f t="shared" si="47"/>
        <v>12</v>
      </c>
      <c r="DO281" s="18">
        <v>313</v>
      </c>
      <c r="DP281" s="18">
        <v>124</v>
      </c>
      <c r="DQ281" s="18">
        <v>313</v>
      </c>
      <c r="DR281" s="18">
        <v>31</v>
      </c>
      <c r="DS281" s="18">
        <v>5</v>
      </c>
      <c r="DT281" s="18">
        <v>31</v>
      </c>
      <c r="DU281" s="18" t="s">
        <v>255</v>
      </c>
    </row>
    <row r="282" spans="54:125" x14ac:dyDescent="0.25">
      <c r="BB282" s="7">
        <v>279</v>
      </c>
      <c r="BC282" s="7" t="s">
        <v>332</v>
      </c>
      <c r="BD282" s="23" t="s">
        <v>255</v>
      </c>
      <c r="BE282" s="26">
        <v>445040859</v>
      </c>
      <c r="BF282" s="25" t="s">
        <v>266</v>
      </c>
      <c r="BG282" s="7">
        <v>121</v>
      </c>
      <c r="BH282" s="7" t="s">
        <v>320</v>
      </c>
      <c r="BI282" s="7" t="s">
        <v>367</v>
      </c>
      <c r="BJ282" s="7">
        <v>315</v>
      </c>
      <c r="BK282" s="9">
        <v>63.227180952380948</v>
      </c>
      <c r="BL282" s="9">
        <v>56.835663492063503</v>
      </c>
      <c r="BM282" s="9">
        <v>60.031746031745975</v>
      </c>
      <c r="BN282" s="9">
        <v>120.06284444444424</v>
      </c>
      <c r="BO282" s="7">
        <v>22</v>
      </c>
      <c r="BP282" s="7">
        <v>111</v>
      </c>
      <c r="BQ282" s="7">
        <v>120</v>
      </c>
      <c r="BR282" s="7">
        <v>62</v>
      </c>
      <c r="BS282" s="7">
        <v>1</v>
      </c>
      <c r="BT282" s="7">
        <v>1</v>
      </c>
      <c r="BU282" s="7">
        <v>37</v>
      </c>
      <c r="BV282" s="7">
        <v>134</v>
      </c>
      <c r="BW282" s="7">
        <v>117</v>
      </c>
      <c r="BX282" s="7">
        <v>27</v>
      </c>
      <c r="BY282" s="7">
        <v>0</v>
      </c>
      <c r="BZ282" s="7">
        <v>0</v>
      </c>
      <c r="CA282" s="7"/>
      <c r="CB282" s="9"/>
      <c r="CC282" s="9"/>
      <c r="CD282" s="9"/>
      <c r="CE282" s="9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>
        <v>315</v>
      </c>
      <c r="CS282" s="9">
        <v>63.227180952380948</v>
      </c>
      <c r="CT282" s="9">
        <v>56.835663492063503</v>
      </c>
      <c r="CU282" s="9">
        <v>60.031746031745975</v>
      </c>
      <c r="CV282" s="9">
        <v>120.06284444444424</v>
      </c>
      <c r="CW282" s="7">
        <v>22</v>
      </c>
      <c r="CX282" s="7">
        <v>111</v>
      </c>
      <c r="CY282" s="7">
        <v>120</v>
      </c>
      <c r="CZ282" s="7">
        <v>62</v>
      </c>
      <c r="DA282" s="7">
        <v>1</v>
      </c>
      <c r="DB282" s="7">
        <v>1</v>
      </c>
      <c r="DC282" s="7">
        <v>37</v>
      </c>
      <c r="DD282" s="7">
        <v>134</v>
      </c>
      <c r="DE282" s="7">
        <v>117</v>
      </c>
      <c r="DF282" s="7">
        <v>27</v>
      </c>
      <c r="DG282" s="7">
        <v>0</v>
      </c>
      <c r="DH282" s="7">
        <v>0</v>
      </c>
      <c r="DI282" s="18">
        <f t="shared" si="42"/>
        <v>136</v>
      </c>
      <c r="DJ282" s="18" t="str">
        <f t="shared" si="43"/>
        <v/>
      </c>
      <c r="DK282" s="18">
        <f t="shared" si="44"/>
        <v>131</v>
      </c>
      <c r="DL282" s="18">
        <f t="shared" si="45"/>
        <v>10</v>
      </c>
      <c r="DM282" s="18" t="str">
        <f t="shared" si="46"/>
        <v/>
      </c>
      <c r="DN282" s="18">
        <f t="shared" si="47"/>
        <v>10</v>
      </c>
      <c r="DO282" s="18">
        <v>313</v>
      </c>
      <c r="DP282" s="18">
        <v>124</v>
      </c>
      <c r="DQ282" s="18">
        <v>313</v>
      </c>
      <c r="DR282" s="18">
        <v>31</v>
      </c>
      <c r="DS282" s="18">
        <v>5</v>
      </c>
      <c r="DT282" s="18">
        <v>31</v>
      </c>
      <c r="DU282" s="18" t="s">
        <v>255</v>
      </c>
    </row>
    <row r="283" spans="54:125" x14ac:dyDescent="0.25">
      <c r="BB283" s="7">
        <v>280</v>
      </c>
      <c r="BC283" s="7" t="s">
        <v>332</v>
      </c>
      <c r="BD283" s="23" t="s">
        <v>255</v>
      </c>
      <c r="BE283" s="26">
        <v>473175730</v>
      </c>
      <c r="BF283" s="25" t="s">
        <v>257</v>
      </c>
      <c r="BG283" s="7">
        <v>122</v>
      </c>
      <c r="BH283" s="7" t="s">
        <v>329</v>
      </c>
      <c r="BI283" s="7" t="s">
        <v>367</v>
      </c>
      <c r="BJ283" s="7">
        <v>14</v>
      </c>
      <c r="BK283" s="9">
        <v>51.904428571428561</v>
      </c>
      <c r="BL283" s="9">
        <v>54.99971428571429</v>
      </c>
      <c r="BM283" s="9">
        <v>53.452380952380956</v>
      </c>
      <c r="BN283" s="9">
        <v>106.90414285714284</v>
      </c>
      <c r="BO283" s="7">
        <v>2</v>
      </c>
      <c r="BP283" s="7">
        <v>7</v>
      </c>
      <c r="BQ283" s="7">
        <v>4</v>
      </c>
      <c r="BR283" s="7">
        <v>1</v>
      </c>
      <c r="BS283" s="7">
        <v>1</v>
      </c>
      <c r="BT283" s="7">
        <v>0</v>
      </c>
      <c r="BU283" s="7">
        <v>2</v>
      </c>
      <c r="BV283" s="7">
        <v>6</v>
      </c>
      <c r="BW283" s="7">
        <v>4</v>
      </c>
      <c r="BX283" s="7">
        <v>2</v>
      </c>
      <c r="BY283" s="7">
        <v>0</v>
      </c>
      <c r="BZ283" s="7">
        <v>0</v>
      </c>
      <c r="CA283" s="7"/>
      <c r="CB283" s="9"/>
      <c r="CC283" s="9"/>
      <c r="CD283" s="9"/>
      <c r="CE283" s="9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>
        <v>14</v>
      </c>
      <c r="CS283" s="9">
        <v>51.904428571428561</v>
      </c>
      <c r="CT283" s="9">
        <v>54.99971428571429</v>
      </c>
      <c r="CU283" s="9">
        <v>53.452380952380956</v>
      </c>
      <c r="CV283" s="9">
        <v>106.90414285714284</v>
      </c>
      <c r="CW283" s="7">
        <v>2</v>
      </c>
      <c r="CX283" s="7">
        <v>7</v>
      </c>
      <c r="CY283" s="7">
        <v>4</v>
      </c>
      <c r="CZ283" s="7">
        <v>1</v>
      </c>
      <c r="DA283" s="7">
        <v>1</v>
      </c>
      <c r="DB283" s="7">
        <v>0</v>
      </c>
      <c r="DC283" s="7">
        <v>2</v>
      </c>
      <c r="DD283" s="7">
        <v>6</v>
      </c>
      <c r="DE283" s="7">
        <v>4</v>
      </c>
      <c r="DF283" s="7">
        <v>2</v>
      </c>
      <c r="DG283" s="7">
        <v>0</v>
      </c>
      <c r="DH283" s="7">
        <v>0</v>
      </c>
      <c r="DI283" s="18">
        <f t="shared" si="42"/>
        <v>246</v>
      </c>
      <c r="DJ283" s="18" t="str">
        <f t="shared" si="43"/>
        <v/>
      </c>
      <c r="DK283" s="18">
        <f t="shared" si="44"/>
        <v>250</v>
      </c>
      <c r="DL283" s="18">
        <f t="shared" si="45"/>
        <v>22</v>
      </c>
      <c r="DM283" s="18" t="str">
        <f t="shared" si="46"/>
        <v/>
      </c>
      <c r="DN283" s="18">
        <f t="shared" si="47"/>
        <v>22</v>
      </c>
      <c r="DO283" s="18">
        <v>313</v>
      </c>
      <c r="DP283" s="18">
        <v>124</v>
      </c>
      <c r="DQ283" s="18">
        <v>313</v>
      </c>
      <c r="DR283" s="18">
        <v>31</v>
      </c>
      <c r="DS283" s="18">
        <v>5</v>
      </c>
      <c r="DT283" s="18">
        <v>31</v>
      </c>
      <c r="DU283" s="18" t="s">
        <v>255</v>
      </c>
    </row>
    <row r="284" spans="54:125" x14ac:dyDescent="0.25">
      <c r="BB284" s="7">
        <v>281</v>
      </c>
      <c r="BC284" s="7" t="s">
        <v>332</v>
      </c>
      <c r="BD284" s="23" t="s">
        <v>255</v>
      </c>
      <c r="BE284" s="26">
        <v>548990607</v>
      </c>
      <c r="BF284" s="25" t="s">
        <v>258</v>
      </c>
      <c r="BG284" s="7">
        <v>123</v>
      </c>
      <c r="BH284" s="7" t="s">
        <v>320</v>
      </c>
      <c r="BI284" s="7" t="s">
        <v>367</v>
      </c>
      <c r="BJ284" s="7">
        <v>100</v>
      </c>
      <c r="BK284" s="9">
        <v>63.199690000000004</v>
      </c>
      <c r="BL284" s="9">
        <v>48.799670000000035</v>
      </c>
      <c r="BM284" s="9">
        <v>55.999999999999993</v>
      </c>
      <c r="BN284" s="9">
        <v>111.99935999999994</v>
      </c>
      <c r="BO284" s="7">
        <v>9</v>
      </c>
      <c r="BP284" s="7">
        <v>36</v>
      </c>
      <c r="BQ284" s="7">
        <v>30</v>
      </c>
      <c r="BR284" s="7">
        <v>25</v>
      </c>
      <c r="BS284" s="7">
        <v>0</v>
      </c>
      <c r="BT284" s="7">
        <v>1</v>
      </c>
      <c r="BU284" s="7">
        <v>15</v>
      </c>
      <c r="BV284" s="7">
        <v>58</v>
      </c>
      <c r="BW284" s="7">
        <v>22</v>
      </c>
      <c r="BX284" s="7">
        <v>5</v>
      </c>
      <c r="BY284" s="7">
        <v>0</v>
      </c>
      <c r="BZ284" s="7">
        <v>0</v>
      </c>
      <c r="CA284" s="7"/>
      <c r="CB284" s="9"/>
      <c r="CC284" s="9"/>
      <c r="CD284" s="9"/>
      <c r="CE284" s="9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>
        <v>100</v>
      </c>
      <c r="CS284" s="9">
        <v>63.199690000000004</v>
      </c>
      <c r="CT284" s="9">
        <v>48.799670000000035</v>
      </c>
      <c r="CU284" s="9">
        <v>55.999999999999993</v>
      </c>
      <c r="CV284" s="9">
        <v>111.99935999999994</v>
      </c>
      <c r="CW284" s="7">
        <v>9</v>
      </c>
      <c r="CX284" s="7">
        <v>36</v>
      </c>
      <c r="CY284" s="7">
        <v>30</v>
      </c>
      <c r="CZ284" s="7">
        <v>25</v>
      </c>
      <c r="DA284" s="7">
        <v>0</v>
      </c>
      <c r="DB284" s="7">
        <v>1</v>
      </c>
      <c r="DC284" s="7">
        <v>15</v>
      </c>
      <c r="DD284" s="7">
        <v>58</v>
      </c>
      <c r="DE284" s="7">
        <v>22</v>
      </c>
      <c r="DF284" s="7">
        <v>5</v>
      </c>
      <c r="DG284" s="7">
        <v>0</v>
      </c>
      <c r="DH284" s="7">
        <v>0</v>
      </c>
      <c r="DI284" s="18">
        <f t="shared" si="42"/>
        <v>203</v>
      </c>
      <c r="DJ284" s="18" t="str">
        <f t="shared" si="43"/>
        <v/>
      </c>
      <c r="DK284" s="18">
        <f t="shared" si="44"/>
        <v>202</v>
      </c>
      <c r="DL284" s="18">
        <f t="shared" si="45"/>
        <v>16</v>
      </c>
      <c r="DM284" s="18" t="str">
        <f t="shared" si="46"/>
        <v/>
      </c>
      <c r="DN284" s="18">
        <f t="shared" si="47"/>
        <v>15</v>
      </c>
      <c r="DO284" s="18">
        <v>313</v>
      </c>
      <c r="DP284" s="18">
        <v>124</v>
      </c>
      <c r="DQ284" s="18">
        <v>313</v>
      </c>
      <c r="DR284" s="18">
        <v>31</v>
      </c>
      <c r="DS284" s="18">
        <v>5</v>
      </c>
      <c r="DT284" s="18">
        <v>31</v>
      </c>
      <c r="DU284" s="18" t="s">
        <v>255</v>
      </c>
    </row>
    <row r="285" spans="54:125" x14ac:dyDescent="0.25">
      <c r="BB285" s="7">
        <v>282</v>
      </c>
      <c r="BC285" s="7" t="s">
        <v>332</v>
      </c>
      <c r="BD285" s="23" t="s">
        <v>255</v>
      </c>
      <c r="BE285" s="26">
        <v>561712266</v>
      </c>
      <c r="BF285" s="25" t="s">
        <v>260</v>
      </c>
      <c r="BG285" s="7">
        <v>124</v>
      </c>
      <c r="BH285" s="7" t="s">
        <v>320</v>
      </c>
      <c r="BI285" s="7" t="s">
        <v>367</v>
      </c>
      <c r="BJ285" s="7">
        <v>243</v>
      </c>
      <c r="BK285" s="9">
        <v>65.555242798353888</v>
      </c>
      <c r="BL285" s="9">
        <v>59.478419753086428</v>
      </c>
      <c r="BM285" s="9">
        <v>62.517146776406058</v>
      </c>
      <c r="BN285" s="9">
        <v>125.03366255144029</v>
      </c>
      <c r="BO285" s="7">
        <v>20</v>
      </c>
      <c r="BP285" s="7">
        <v>68</v>
      </c>
      <c r="BQ285" s="7">
        <v>106</v>
      </c>
      <c r="BR285" s="7">
        <v>49</v>
      </c>
      <c r="BS285" s="7">
        <v>1</v>
      </c>
      <c r="BT285" s="7">
        <v>3</v>
      </c>
      <c r="BU285" s="7">
        <v>26</v>
      </c>
      <c r="BV285" s="7">
        <v>95</v>
      </c>
      <c r="BW285" s="7">
        <v>93</v>
      </c>
      <c r="BX285" s="7">
        <v>29</v>
      </c>
      <c r="BY285" s="7">
        <v>0</v>
      </c>
      <c r="BZ285" s="7">
        <v>0</v>
      </c>
      <c r="CA285" s="7"/>
      <c r="CB285" s="9"/>
      <c r="CC285" s="9"/>
      <c r="CD285" s="9"/>
      <c r="CE285" s="9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>
        <v>243</v>
      </c>
      <c r="CS285" s="9">
        <v>65.555242798353888</v>
      </c>
      <c r="CT285" s="9">
        <v>59.478419753086428</v>
      </c>
      <c r="CU285" s="9">
        <v>62.517146776406058</v>
      </c>
      <c r="CV285" s="9">
        <v>125.03366255144029</v>
      </c>
      <c r="CW285" s="7">
        <v>20</v>
      </c>
      <c r="CX285" s="7">
        <v>68</v>
      </c>
      <c r="CY285" s="7">
        <v>106</v>
      </c>
      <c r="CZ285" s="7">
        <v>49</v>
      </c>
      <c r="DA285" s="7">
        <v>1</v>
      </c>
      <c r="DB285" s="7">
        <v>3</v>
      </c>
      <c r="DC285" s="7">
        <v>26</v>
      </c>
      <c r="DD285" s="7">
        <v>95</v>
      </c>
      <c r="DE285" s="7">
        <v>93</v>
      </c>
      <c r="DF285" s="7">
        <v>29</v>
      </c>
      <c r="DG285" s="7">
        <v>0</v>
      </c>
      <c r="DH285" s="7">
        <v>0</v>
      </c>
      <c r="DI285" s="18">
        <f t="shared" si="42"/>
        <v>94</v>
      </c>
      <c r="DJ285" s="18" t="str">
        <f t="shared" si="43"/>
        <v/>
      </c>
      <c r="DK285" s="18">
        <f t="shared" si="44"/>
        <v>81</v>
      </c>
      <c r="DL285" s="18">
        <f t="shared" si="45"/>
        <v>5</v>
      </c>
      <c r="DM285" s="18" t="str">
        <f t="shared" si="46"/>
        <v/>
      </c>
      <c r="DN285" s="18">
        <f t="shared" si="47"/>
        <v>5</v>
      </c>
      <c r="DO285" s="18">
        <v>313</v>
      </c>
      <c r="DP285" s="18">
        <v>124</v>
      </c>
      <c r="DQ285" s="18">
        <v>313</v>
      </c>
      <c r="DR285" s="18">
        <v>31</v>
      </c>
      <c r="DS285" s="18">
        <v>5</v>
      </c>
      <c r="DT285" s="18">
        <v>31</v>
      </c>
      <c r="DU285" s="18" t="s">
        <v>255</v>
      </c>
    </row>
    <row r="286" spans="54:125" x14ac:dyDescent="0.25">
      <c r="BB286" s="7">
        <v>283</v>
      </c>
      <c r="BC286" s="7" t="s">
        <v>332</v>
      </c>
      <c r="BD286" s="23" t="s">
        <v>255</v>
      </c>
      <c r="BE286" s="26">
        <v>129080088</v>
      </c>
      <c r="BF286" s="25" t="s">
        <v>265</v>
      </c>
      <c r="BG286" s="7">
        <v>125</v>
      </c>
      <c r="BH286" s="7" t="s">
        <v>320</v>
      </c>
      <c r="BI286" s="7" t="s">
        <v>367</v>
      </c>
      <c r="BJ286" s="7">
        <v>81</v>
      </c>
      <c r="BK286" s="9">
        <v>55.71980246913585</v>
      </c>
      <c r="BL286" s="9">
        <v>51.522320987654354</v>
      </c>
      <c r="BM286" s="9">
        <v>53.621399176954732</v>
      </c>
      <c r="BN286" s="9">
        <v>107.2421234567901</v>
      </c>
      <c r="BO286" s="7">
        <v>15</v>
      </c>
      <c r="BP286" s="7">
        <v>32</v>
      </c>
      <c r="BQ286" s="7">
        <v>25</v>
      </c>
      <c r="BR286" s="7">
        <v>9</v>
      </c>
      <c r="BS286" s="7">
        <v>0</v>
      </c>
      <c r="BT286" s="7">
        <v>0</v>
      </c>
      <c r="BU286" s="7">
        <v>13</v>
      </c>
      <c r="BV286" s="7">
        <v>40</v>
      </c>
      <c r="BW286" s="7">
        <v>26</v>
      </c>
      <c r="BX286" s="7">
        <v>2</v>
      </c>
      <c r="BY286" s="7">
        <v>0</v>
      </c>
      <c r="BZ286" s="7">
        <v>0</v>
      </c>
      <c r="CA286" s="7"/>
      <c r="CB286" s="9"/>
      <c r="CC286" s="9"/>
      <c r="CD286" s="9"/>
      <c r="CE286" s="9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>
        <v>81</v>
      </c>
      <c r="CS286" s="9">
        <v>55.71980246913585</v>
      </c>
      <c r="CT286" s="9">
        <v>51.522320987654354</v>
      </c>
      <c r="CU286" s="9">
        <v>53.621399176954732</v>
      </c>
      <c r="CV286" s="9">
        <v>107.2421234567901</v>
      </c>
      <c r="CW286" s="7">
        <v>15</v>
      </c>
      <c r="CX286" s="7">
        <v>32</v>
      </c>
      <c r="CY286" s="7">
        <v>25</v>
      </c>
      <c r="CZ286" s="7">
        <v>9</v>
      </c>
      <c r="DA286" s="7">
        <v>0</v>
      </c>
      <c r="DB286" s="7">
        <v>0</v>
      </c>
      <c r="DC286" s="7">
        <v>13</v>
      </c>
      <c r="DD286" s="7">
        <v>40</v>
      </c>
      <c r="DE286" s="7">
        <v>26</v>
      </c>
      <c r="DF286" s="7">
        <v>2</v>
      </c>
      <c r="DG286" s="7">
        <v>0</v>
      </c>
      <c r="DH286" s="7">
        <v>0</v>
      </c>
      <c r="DI286" s="18">
        <f t="shared" si="42"/>
        <v>240</v>
      </c>
      <c r="DJ286" s="18" t="str">
        <f t="shared" si="43"/>
        <v/>
      </c>
      <c r="DK286" s="18">
        <f t="shared" si="44"/>
        <v>244</v>
      </c>
      <c r="DL286" s="18">
        <f t="shared" si="45"/>
        <v>19</v>
      </c>
      <c r="DM286" s="18" t="str">
        <f t="shared" si="46"/>
        <v/>
      </c>
      <c r="DN286" s="18">
        <f t="shared" si="47"/>
        <v>19</v>
      </c>
      <c r="DO286" s="18">
        <v>313</v>
      </c>
      <c r="DP286" s="18">
        <v>124</v>
      </c>
      <c r="DQ286" s="18">
        <v>313</v>
      </c>
      <c r="DR286" s="18">
        <v>31</v>
      </c>
      <c r="DS286" s="18">
        <v>5</v>
      </c>
      <c r="DT286" s="18">
        <v>31</v>
      </c>
      <c r="DU286" s="18" t="s">
        <v>255</v>
      </c>
    </row>
    <row r="287" spans="54:125" x14ac:dyDescent="0.25">
      <c r="BB287" s="7">
        <v>284</v>
      </c>
      <c r="BC287" s="7" t="s">
        <v>332</v>
      </c>
      <c r="BD287" s="23" t="s">
        <v>255</v>
      </c>
      <c r="BE287" s="26">
        <v>118162550</v>
      </c>
      <c r="BF287" s="25" t="s">
        <v>269</v>
      </c>
      <c r="BG287" s="7">
        <v>136</v>
      </c>
      <c r="BH287" s="7" t="s">
        <v>320</v>
      </c>
      <c r="BI287" s="7" t="s">
        <v>367</v>
      </c>
      <c r="BJ287" s="7">
        <v>257</v>
      </c>
      <c r="BK287" s="9">
        <v>67.081412451361814</v>
      </c>
      <c r="BL287" s="9">
        <v>60.894607003890982</v>
      </c>
      <c r="BM287" s="9">
        <v>63.988326848248988</v>
      </c>
      <c r="BN287" s="9">
        <v>127.97601945525273</v>
      </c>
      <c r="BO287" s="7">
        <v>19</v>
      </c>
      <c r="BP287" s="7">
        <v>69</v>
      </c>
      <c r="BQ287" s="7">
        <v>104</v>
      </c>
      <c r="BR287" s="7">
        <v>65</v>
      </c>
      <c r="BS287" s="7">
        <v>0</v>
      </c>
      <c r="BT287" s="7">
        <v>2</v>
      </c>
      <c r="BU287" s="7">
        <v>28</v>
      </c>
      <c r="BV287" s="7">
        <v>93</v>
      </c>
      <c r="BW287" s="7">
        <v>95</v>
      </c>
      <c r="BX287" s="7">
        <v>41</v>
      </c>
      <c r="BY287" s="7">
        <v>0</v>
      </c>
      <c r="BZ287" s="7">
        <v>1</v>
      </c>
      <c r="CA287" s="7"/>
      <c r="CB287" s="9"/>
      <c r="CC287" s="9"/>
      <c r="CD287" s="9"/>
      <c r="CE287" s="9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>
        <v>257</v>
      </c>
      <c r="CS287" s="9">
        <v>67.081412451361814</v>
      </c>
      <c r="CT287" s="9">
        <v>60.894607003890982</v>
      </c>
      <c r="CU287" s="9">
        <v>63.988326848248988</v>
      </c>
      <c r="CV287" s="9">
        <v>127.97601945525273</v>
      </c>
      <c r="CW287" s="7">
        <v>19</v>
      </c>
      <c r="CX287" s="7">
        <v>69</v>
      </c>
      <c r="CY287" s="7">
        <v>104</v>
      </c>
      <c r="CZ287" s="7">
        <v>65</v>
      </c>
      <c r="DA287" s="7">
        <v>0</v>
      </c>
      <c r="DB287" s="7">
        <v>2</v>
      </c>
      <c r="DC287" s="7">
        <v>28</v>
      </c>
      <c r="DD287" s="7">
        <v>93</v>
      </c>
      <c r="DE287" s="7">
        <v>95</v>
      </c>
      <c r="DF287" s="7">
        <v>41</v>
      </c>
      <c r="DG287" s="7">
        <v>0</v>
      </c>
      <c r="DH287" s="7">
        <v>1</v>
      </c>
      <c r="DI287" s="18">
        <f t="shared" si="42"/>
        <v>73</v>
      </c>
      <c r="DJ287" s="18" t="str">
        <f t="shared" si="43"/>
        <v/>
      </c>
      <c r="DK287" s="18">
        <f t="shared" si="44"/>
        <v>62</v>
      </c>
      <c r="DL287" s="18">
        <f t="shared" si="45"/>
        <v>2</v>
      </c>
      <c r="DM287" s="18" t="str">
        <f t="shared" si="46"/>
        <v/>
      </c>
      <c r="DN287" s="18">
        <f t="shared" si="47"/>
        <v>2</v>
      </c>
      <c r="DO287" s="18">
        <v>313</v>
      </c>
      <c r="DP287" s="18">
        <v>124</v>
      </c>
      <c r="DQ287" s="18">
        <v>313</v>
      </c>
      <c r="DR287" s="18">
        <v>31</v>
      </c>
      <c r="DS287" s="18">
        <v>5</v>
      </c>
      <c r="DT287" s="18">
        <v>31</v>
      </c>
      <c r="DU287" s="18" t="s">
        <v>255</v>
      </c>
    </row>
    <row r="288" spans="54:125" x14ac:dyDescent="0.25">
      <c r="BB288" s="7">
        <v>285</v>
      </c>
      <c r="BC288" s="7" t="s">
        <v>332</v>
      </c>
      <c r="BD288" s="23" t="s">
        <v>255</v>
      </c>
      <c r="BE288" s="26">
        <v>486145038</v>
      </c>
      <c r="BF288" s="25" t="s">
        <v>259</v>
      </c>
      <c r="BG288" s="7">
        <v>149</v>
      </c>
      <c r="BH288" s="7" t="s">
        <v>320</v>
      </c>
      <c r="BI288" s="7" t="s">
        <v>368</v>
      </c>
      <c r="BJ288" s="7">
        <v>364</v>
      </c>
      <c r="BK288" s="9">
        <v>65.887972527472428</v>
      </c>
      <c r="BL288" s="9">
        <v>61.309181318681233</v>
      </c>
      <c r="BM288" s="9">
        <v>63.598901098901052</v>
      </c>
      <c r="BN288" s="9">
        <v>127.19715384615355</v>
      </c>
      <c r="BO288" s="7">
        <v>20</v>
      </c>
      <c r="BP288" s="7">
        <v>128</v>
      </c>
      <c r="BQ288" s="7">
        <v>128</v>
      </c>
      <c r="BR288" s="7">
        <v>88</v>
      </c>
      <c r="BS288" s="7">
        <v>2</v>
      </c>
      <c r="BT288" s="7">
        <v>4</v>
      </c>
      <c r="BU288" s="7">
        <v>23</v>
      </c>
      <c r="BV288" s="7">
        <v>141</v>
      </c>
      <c r="BW288" s="7">
        <v>152</v>
      </c>
      <c r="BX288" s="7">
        <v>48</v>
      </c>
      <c r="BY288" s="7">
        <v>0</v>
      </c>
      <c r="BZ288" s="7">
        <v>0</v>
      </c>
      <c r="CA288" s="7">
        <v>82</v>
      </c>
      <c r="CB288" s="9">
        <v>59.552560975609772</v>
      </c>
      <c r="CC288" s="9">
        <v>57.479292682926882</v>
      </c>
      <c r="CD288" s="9">
        <v>58.516260162601647</v>
      </c>
      <c r="CE288" s="9">
        <v>117.03185365853659</v>
      </c>
      <c r="CF288" s="7">
        <v>6</v>
      </c>
      <c r="CG288" s="7">
        <v>37</v>
      </c>
      <c r="CH288" s="7">
        <v>30</v>
      </c>
      <c r="CI288" s="7">
        <v>9</v>
      </c>
      <c r="CJ288" s="7">
        <v>0</v>
      </c>
      <c r="CK288" s="7">
        <v>0</v>
      </c>
      <c r="CL288" s="7">
        <v>5</v>
      </c>
      <c r="CM288" s="7">
        <v>44</v>
      </c>
      <c r="CN288" s="7">
        <v>28</v>
      </c>
      <c r="CO288" s="7">
        <v>5</v>
      </c>
      <c r="CP288" s="7">
        <v>0</v>
      </c>
      <c r="CQ288" s="7">
        <v>0</v>
      </c>
      <c r="CR288" s="7">
        <v>446</v>
      </c>
      <c r="CS288" s="9">
        <v>64.723165919282437</v>
      </c>
      <c r="CT288" s="9">
        <v>60.605031390134513</v>
      </c>
      <c r="CU288" s="9">
        <v>62.664424514200263</v>
      </c>
      <c r="CV288" s="9">
        <v>125.32819730941675</v>
      </c>
      <c r="CW288" s="7">
        <v>26</v>
      </c>
      <c r="CX288" s="7">
        <v>165</v>
      </c>
      <c r="CY288" s="7">
        <v>158</v>
      </c>
      <c r="CZ288" s="7">
        <v>97</v>
      </c>
      <c r="DA288" s="7">
        <v>2</v>
      </c>
      <c r="DB288" s="7">
        <v>4</v>
      </c>
      <c r="DC288" s="7">
        <v>28</v>
      </c>
      <c r="DD288" s="7">
        <v>185</v>
      </c>
      <c r="DE288" s="7">
        <v>180</v>
      </c>
      <c r="DF288" s="7">
        <v>53</v>
      </c>
      <c r="DG288" s="7">
        <v>0</v>
      </c>
      <c r="DH288" s="7">
        <v>0</v>
      </c>
      <c r="DI288" s="18">
        <f t="shared" si="42"/>
        <v>78</v>
      </c>
      <c r="DJ288" s="18">
        <f t="shared" si="43"/>
        <v>69</v>
      </c>
      <c r="DK288" s="18">
        <f t="shared" si="44"/>
        <v>78</v>
      </c>
      <c r="DL288" s="18">
        <f t="shared" si="45"/>
        <v>3</v>
      </c>
      <c r="DM288" s="18">
        <f t="shared" si="46"/>
        <v>3</v>
      </c>
      <c r="DN288" s="18">
        <f t="shared" si="47"/>
        <v>4</v>
      </c>
      <c r="DO288" s="18">
        <v>313</v>
      </c>
      <c r="DP288" s="18">
        <v>124</v>
      </c>
      <c r="DQ288" s="18">
        <v>313</v>
      </c>
      <c r="DR288" s="18">
        <v>31</v>
      </c>
      <c r="DS288" s="18">
        <v>5</v>
      </c>
      <c r="DT288" s="18">
        <v>31</v>
      </c>
      <c r="DU288" s="18" t="s">
        <v>255</v>
      </c>
    </row>
    <row r="289" spans="54:125" x14ac:dyDescent="0.25">
      <c r="BB289" s="7">
        <v>286</v>
      </c>
      <c r="BC289" s="7" t="s">
        <v>332</v>
      </c>
      <c r="BD289" s="23" t="s">
        <v>255</v>
      </c>
      <c r="BE289" s="26">
        <v>383785168</v>
      </c>
      <c r="BF289" s="25" t="s">
        <v>355</v>
      </c>
      <c r="BG289" s="7">
        <v>156</v>
      </c>
      <c r="BH289" s="7" t="s">
        <v>320</v>
      </c>
      <c r="BI289" s="7" t="s">
        <v>367</v>
      </c>
      <c r="BJ289" s="7">
        <v>203</v>
      </c>
      <c r="BK289" s="9">
        <v>59.704093596059082</v>
      </c>
      <c r="BL289" s="9">
        <v>54.006231527093568</v>
      </c>
      <c r="BM289" s="9">
        <v>56.855500821018033</v>
      </c>
      <c r="BN289" s="9">
        <v>113.71032512315257</v>
      </c>
      <c r="BO289" s="7">
        <v>21</v>
      </c>
      <c r="BP289" s="7">
        <v>81</v>
      </c>
      <c r="BQ289" s="7">
        <v>63</v>
      </c>
      <c r="BR289" s="7">
        <v>38</v>
      </c>
      <c r="BS289" s="7">
        <v>1</v>
      </c>
      <c r="BT289" s="7">
        <v>4</v>
      </c>
      <c r="BU289" s="7">
        <v>34</v>
      </c>
      <c r="BV289" s="7">
        <v>93</v>
      </c>
      <c r="BW289" s="7">
        <v>51</v>
      </c>
      <c r="BX289" s="7">
        <v>25</v>
      </c>
      <c r="BY289" s="7">
        <v>0</v>
      </c>
      <c r="BZ289" s="7">
        <v>0</v>
      </c>
      <c r="CA289" s="7"/>
      <c r="CB289" s="9"/>
      <c r="CC289" s="9"/>
      <c r="CD289" s="9"/>
      <c r="CE289" s="9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>
        <v>203</v>
      </c>
      <c r="CS289" s="9">
        <v>59.704093596059082</v>
      </c>
      <c r="CT289" s="9">
        <v>54.006231527093568</v>
      </c>
      <c r="CU289" s="9">
        <v>56.855500821018033</v>
      </c>
      <c r="CV289" s="9">
        <v>113.71032512315257</v>
      </c>
      <c r="CW289" s="7">
        <v>21</v>
      </c>
      <c r="CX289" s="7">
        <v>81</v>
      </c>
      <c r="CY289" s="7">
        <v>63</v>
      </c>
      <c r="CZ289" s="7">
        <v>38</v>
      </c>
      <c r="DA289" s="7">
        <v>1</v>
      </c>
      <c r="DB289" s="7">
        <v>4</v>
      </c>
      <c r="DC289" s="7">
        <v>34</v>
      </c>
      <c r="DD289" s="7">
        <v>93</v>
      </c>
      <c r="DE289" s="7">
        <v>51</v>
      </c>
      <c r="DF289" s="7">
        <v>25</v>
      </c>
      <c r="DG289" s="7">
        <v>0</v>
      </c>
      <c r="DH289" s="7">
        <v>0</v>
      </c>
      <c r="DI289" s="18">
        <f t="shared" si="42"/>
        <v>187</v>
      </c>
      <c r="DJ289" s="18" t="str">
        <f t="shared" si="43"/>
        <v/>
      </c>
      <c r="DK289" s="18">
        <f t="shared" si="44"/>
        <v>188</v>
      </c>
      <c r="DL289" s="18">
        <f t="shared" si="45"/>
        <v>13</v>
      </c>
      <c r="DM289" s="18" t="str">
        <f t="shared" si="46"/>
        <v/>
      </c>
      <c r="DN289" s="18">
        <f t="shared" si="47"/>
        <v>14</v>
      </c>
      <c r="DO289" s="18">
        <v>313</v>
      </c>
      <c r="DP289" s="18">
        <v>124</v>
      </c>
      <c r="DQ289" s="18">
        <v>313</v>
      </c>
      <c r="DR289" s="18">
        <v>31</v>
      </c>
      <c r="DS289" s="18">
        <v>5</v>
      </c>
      <c r="DT289" s="18">
        <v>31</v>
      </c>
      <c r="DU289" s="18" t="s">
        <v>255</v>
      </c>
    </row>
    <row r="290" spans="54:125" x14ac:dyDescent="0.25">
      <c r="BB290" s="7">
        <v>287</v>
      </c>
      <c r="BC290" s="7" t="s">
        <v>332</v>
      </c>
      <c r="BD290" s="23" t="s">
        <v>255</v>
      </c>
      <c r="BE290" s="26">
        <v>853425552</v>
      </c>
      <c r="BF290" s="25" t="s">
        <v>275</v>
      </c>
      <c r="BG290" s="7">
        <v>181</v>
      </c>
      <c r="BH290" s="7" t="s">
        <v>320</v>
      </c>
      <c r="BI290" s="7" t="s">
        <v>368</v>
      </c>
      <c r="BJ290" s="7">
        <v>134</v>
      </c>
      <c r="BK290" s="9">
        <v>62.337955223880584</v>
      </c>
      <c r="BL290" s="9">
        <v>50.745947761194024</v>
      </c>
      <c r="BM290" s="9">
        <v>56.542288557213922</v>
      </c>
      <c r="BN290" s="9">
        <v>113.08390298507453</v>
      </c>
      <c r="BO290" s="7">
        <v>14</v>
      </c>
      <c r="BP290" s="7">
        <v>45</v>
      </c>
      <c r="BQ290" s="7">
        <v>48</v>
      </c>
      <c r="BR290" s="7">
        <v>27</v>
      </c>
      <c r="BS290" s="7">
        <v>0</v>
      </c>
      <c r="BT290" s="7">
        <v>1</v>
      </c>
      <c r="BU290" s="7">
        <v>20</v>
      </c>
      <c r="BV290" s="7">
        <v>78</v>
      </c>
      <c r="BW290" s="7">
        <v>27</v>
      </c>
      <c r="BX290" s="7">
        <v>9</v>
      </c>
      <c r="BY290" s="7">
        <v>0</v>
      </c>
      <c r="BZ290" s="7">
        <v>1</v>
      </c>
      <c r="CA290" s="7">
        <v>72</v>
      </c>
      <c r="CB290" s="9">
        <v>72.592333333333315</v>
      </c>
      <c r="CC290" s="9">
        <v>64.675597222222279</v>
      </c>
      <c r="CD290" s="9">
        <v>68.634259259259224</v>
      </c>
      <c r="CE290" s="9">
        <v>137.26793055555544</v>
      </c>
      <c r="CF290" s="7">
        <v>0</v>
      </c>
      <c r="CG290" s="7">
        <v>12</v>
      </c>
      <c r="CH290" s="7">
        <v>41</v>
      </c>
      <c r="CI290" s="7">
        <v>19</v>
      </c>
      <c r="CJ290" s="7">
        <v>0</v>
      </c>
      <c r="CK290" s="7">
        <v>0</v>
      </c>
      <c r="CL290" s="7">
        <v>3</v>
      </c>
      <c r="CM290" s="7">
        <v>20</v>
      </c>
      <c r="CN290" s="7">
        <v>37</v>
      </c>
      <c r="CO290" s="7">
        <v>12</v>
      </c>
      <c r="CP290" s="7">
        <v>0</v>
      </c>
      <c r="CQ290" s="7">
        <v>0</v>
      </c>
      <c r="CR290" s="7">
        <v>206</v>
      </c>
      <c r="CS290" s="9">
        <v>65.922009708737804</v>
      </c>
      <c r="CT290" s="9">
        <v>55.614563106796112</v>
      </c>
      <c r="CU290" s="9">
        <v>60.768608414239488</v>
      </c>
      <c r="CV290" s="9">
        <v>121.53657281553387</v>
      </c>
      <c r="CW290" s="7">
        <v>14</v>
      </c>
      <c r="CX290" s="7">
        <v>57</v>
      </c>
      <c r="CY290" s="7">
        <v>89</v>
      </c>
      <c r="CZ290" s="7">
        <v>46</v>
      </c>
      <c r="DA290" s="7">
        <v>0</v>
      </c>
      <c r="DB290" s="7">
        <v>1</v>
      </c>
      <c r="DC290" s="7">
        <v>23</v>
      </c>
      <c r="DD290" s="7">
        <v>98</v>
      </c>
      <c r="DE290" s="7">
        <v>64</v>
      </c>
      <c r="DF290" s="7">
        <v>21</v>
      </c>
      <c r="DG290" s="7">
        <v>0</v>
      </c>
      <c r="DH290" s="7">
        <v>1</v>
      </c>
      <c r="DI290" s="18">
        <f t="shared" si="42"/>
        <v>192</v>
      </c>
      <c r="DJ290" s="18">
        <f t="shared" si="43"/>
        <v>6</v>
      </c>
      <c r="DK290" s="18">
        <f t="shared" si="44"/>
        <v>118</v>
      </c>
      <c r="DL290" s="18">
        <f t="shared" si="45"/>
        <v>14</v>
      </c>
      <c r="DM290" s="18">
        <f t="shared" si="46"/>
        <v>1</v>
      </c>
      <c r="DN290" s="18">
        <f t="shared" si="47"/>
        <v>7</v>
      </c>
      <c r="DO290" s="18">
        <v>313</v>
      </c>
      <c r="DP290" s="18">
        <v>124</v>
      </c>
      <c r="DQ290" s="18">
        <v>313</v>
      </c>
      <c r="DR290" s="18">
        <v>31</v>
      </c>
      <c r="DS290" s="18">
        <v>5</v>
      </c>
      <c r="DT290" s="18">
        <v>31</v>
      </c>
      <c r="DU290" s="18" t="s">
        <v>255</v>
      </c>
    </row>
    <row r="291" spans="54:125" x14ac:dyDescent="0.25">
      <c r="BB291" s="7">
        <v>288</v>
      </c>
      <c r="BC291" s="7" t="s">
        <v>332</v>
      </c>
      <c r="BD291" s="23" t="s">
        <v>255</v>
      </c>
      <c r="BE291" s="26">
        <v>115596565</v>
      </c>
      <c r="BF291" s="25" t="s">
        <v>271</v>
      </c>
      <c r="BG291" s="7">
        <v>183</v>
      </c>
      <c r="BH291" s="7" t="s">
        <v>320</v>
      </c>
      <c r="BI291" s="7" t="s">
        <v>368</v>
      </c>
      <c r="BJ291" s="7">
        <v>95</v>
      </c>
      <c r="BK291" s="9">
        <v>64.420757894736852</v>
      </c>
      <c r="BL291" s="9">
        <v>56.17510526315791</v>
      </c>
      <c r="BM291" s="9">
        <v>60.298245614035075</v>
      </c>
      <c r="BN291" s="9">
        <v>120.59586315789468</v>
      </c>
      <c r="BO291" s="7">
        <v>10</v>
      </c>
      <c r="BP291" s="7">
        <v>23</v>
      </c>
      <c r="BQ291" s="7">
        <v>47</v>
      </c>
      <c r="BR291" s="7">
        <v>15</v>
      </c>
      <c r="BS291" s="7">
        <v>0</v>
      </c>
      <c r="BT291" s="7">
        <v>0</v>
      </c>
      <c r="BU291" s="7">
        <v>13</v>
      </c>
      <c r="BV291" s="7">
        <v>39</v>
      </c>
      <c r="BW291" s="7">
        <v>38</v>
      </c>
      <c r="BX291" s="7">
        <v>5</v>
      </c>
      <c r="BY291" s="7">
        <v>0</v>
      </c>
      <c r="BZ291" s="7">
        <v>0</v>
      </c>
      <c r="CA291" s="7">
        <v>58</v>
      </c>
      <c r="CB291" s="9">
        <v>67.873224137931075</v>
      </c>
      <c r="CC291" s="9">
        <v>52.011155172413822</v>
      </c>
      <c r="CD291" s="9">
        <v>59.942528735632187</v>
      </c>
      <c r="CE291" s="9">
        <v>119.88437931034484</v>
      </c>
      <c r="CF291" s="7">
        <v>2</v>
      </c>
      <c r="CG291" s="7">
        <v>10</v>
      </c>
      <c r="CH291" s="7">
        <v>37</v>
      </c>
      <c r="CI291" s="7">
        <v>9</v>
      </c>
      <c r="CJ291" s="7">
        <v>0</v>
      </c>
      <c r="CK291" s="7">
        <v>0</v>
      </c>
      <c r="CL291" s="7">
        <v>3</v>
      </c>
      <c r="CM291" s="7">
        <v>41</v>
      </c>
      <c r="CN291" s="7">
        <v>14</v>
      </c>
      <c r="CO291" s="7">
        <v>0</v>
      </c>
      <c r="CP291" s="7">
        <v>0</v>
      </c>
      <c r="CQ291" s="7">
        <v>0</v>
      </c>
      <c r="CR291" s="7">
        <v>153</v>
      </c>
      <c r="CS291" s="9">
        <v>65.729535947712378</v>
      </c>
      <c r="CT291" s="9">
        <v>54.59661437908494</v>
      </c>
      <c r="CU291" s="9">
        <v>60.16339869281046</v>
      </c>
      <c r="CV291" s="9">
        <v>120.3261503267973</v>
      </c>
      <c r="CW291" s="7">
        <v>12</v>
      </c>
      <c r="CX291" s="7">
        <v>33</v>
      </c>
      <c r="CY291" s="7">
        <v>84</v>
      </c>
      <c r="CZ291" s="7">
        <v>24</v>
      </c>
      <c r="DA291" s="7">
        <v>0</v>
      </c>
      <c r="DB291" s="7">
        <v>0</v>
      </c>
      <c r="DC291" s="7">
        <v>16</v>
      </c>
      <c r="DD291" s="7">
        <v>80</v>
      </c>
      <c r="DE291" s="7">
        <v>52</v>
      </c>
      <c r="DF291" s="7">
        <v>5</v>
      </c>
      <c r="DG291" s="7">
        <v>0</v>
      </c>
      <c r="DH291" s="7">
        <v>0</v>
      </c>
      <c r="DI291" s="18">
        <f t="shared" si="42"/>
        <v>134</v>
      </c>
      <c r="DJ291" s="18">
        <f t="shared" si="43"/>
        <v>57</v>
      </c>
      <c r="DK291" s="18">
        <f t="shared" si="44"/>
        <v>127</v>
      </c>
      <c r="DL291" s="18">
        <f t="shared" si="45"/>
        <v>9</v>
      </c>
      <c r="DM291" s="18">
        <f t="shared" si="46"/>
        <v>2</v>
      </c>
      <c r="DN291" s="18">
        <f t="shared" si="47"/>
        <v>9</v>
      </c>
      <c r="DO291" s="18">
        <v>313</v>
      </c>
      <c r="DP291" s="18">
        <v>124</v>
      </c>
      <c r="DQ291" s="18">
        <v>313</v>
      </c>
      <c r="DR291" s="18">
        <v>31</v>
      </c>
      <c r="DS291" s="18">
        <v>5</v>
      </c>
      <c r="DT291" s="18">
        <v>31</v>
      </c>
      <c r="DU291" s="18" t="s">
        <v>255</v>
      </c>
    </row>
    <row r="292" spans="54:125" x14ac:dyDescent="0.25">
      <c r="BB292" s="7">
        <v>289</v>
      </c>
      <c r="BC292" s="7" t="s">
        <v>332</v>
      </c>
      <c r="BD292" s="23" t="s">
        <v>255</v>
      </c>
      <c r="BE292" s="26">
        <v>523285545</v>
      </c>
      <c r="BF292" s="25" t="s">
        <v>356</v>
      </c>
      <c r="BG292" s="7">
        <v>185</v>
      </c>
      <c r="BH292" s="7" t="s">
        <v>320</v>
      </c>
      <c r="BI292" s="7" t="s">
        <v>367</v>
      </c>
      <c r="BJ292" s="7">
        <v>78</v>
      </c>
      <c r="BK292" s="9">
        <v>51.495487179487213</v>
      </c>
      <c r="BL292" s="9">
        <v>43.888589743589776</v>
      </c>
      <c r="BM292" s="9">
        <v>47.692307692307701</v>
      </c>
      <c r="BN292" s="9">
        <v>95.384076923076918</v>
      </c>
      <c r="BO292" s="7">
        <v>23</v>
      </c>
      <c r="BP292" s="7">
        <v>26</v>
      </c>
      <c r="BQ292" s="7">
        <v>20</v>
      </c>
      <c r="BR292" s="7">
        <v>9</v>
      </c>
      <c r="BS292" s="7">
        <v>1</v>
      </c>
      <c r="BT292" s="7">
        <v>0</v>
      </c>
      <c r="BU292" s="7">
        <v>18</v>
      </c>
      <c r="BV292" s="7">
        <v>49</v>
      </c>
      <c r="BW292" s="7">
        <v>9</v>
      </c>
      <c r="BX292" s="7">
        <v>2</v>
      </c>
      <c r="BY292" s="7">
        <v>0</v>
      </c>
      <c r="BZ292" s="7">
        <v>0</v>
      </c>
      <c r="CA292" s="7"/>
      <c r="CB292" s="9"/>
      <c r="CC292" s="9"/>
      <c r="CD292" s="9"/>
      <c r="CE292" s="9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>
        <v>78</v>
      </c>
      <c r="CS292" s="9">
        <v>51.495487179487213</v>
      </c>
      <c r="CT292" s="9">
        <v>43.888589743589776</v>
      </c>
      <c r="CU292" s="9">
        <v>47.692307692307701</v>
      </c>
      <c r="CV292" s="9">
        <v>95.384076923076918</v>
      </c>
      <c r="CW292" s="7">
        <v>23</v>
      </c>
      <c r="CX292" s="7">
        <v>26</v>
      </c>
      <c r="CY292" s="7">
        <v>20</v>
      </c>
      <c r="CZ292" s="7">
        <v>9</v>
      </c>
      <c r="DA292" s="7">
        <v>1</v>
      </c>
      <c r="DB292" s="7">
        <v>0</v>
      </c>
      <c r="DC292" s="7">
        <v>18</v>
      </c>
      <c r="DD292" s="7">
        <v>49</v>
      </c>
      <c r="DE292" s="7">
        <v>9</v>
      </c>
      <c r="DF292" s="7">
        <v>2</v>
      </c>
      <c r="DG292" s="7">
        <v>0</v>
      </c>
      <c r="DH292" s="7">
        <v>0</v>
      </c>
      <c r="DI292" s="18">
        <f t="shared" si="42"/>
        <v>288</v>
      </c>
      <c r="DJ292" s="18" t="str">
        <f t="shared" si="43"/>
        <v/>
      </c>
      <c r="DK292" s="18">
        <f t="shared" si="44"/>
        <v>290</v>
      </c>
      <c r="DL292" s="18">
        <f t="shared" si="45"/>
        <v>29</v>
      </c>
      <c r="DM292" s="18" t="str">
        <f t="shared" si="46"/>
        <v/>
      </c>
      <c r="DN292" s="18">
        <f t="shared" si="47"/>
        <v>29</v>
      </c>
      <c r="DO292" s="18">
        <v>313</v>
      </c>
      <c r="DP292" s="18">
        <v>124</v>
      </c>
      <c r="DQ292" s="18">
        <v>313</v>
      </c>
      <c r="DR292" s="18">
        <v>31</v>
      </c>
      <c r="DS292" s="18">
        <v>5</v>
      </c>
      <c r="DT292" s="18">
        <v>31</v>
      </c>
      <c r="DU292" s="18" t="s">
        <v>255</v>
      </c>
    </row>
    <row r="293" spans="54:125" x14ac:dyDescent="0.25">
      <c r="BB293" s="7">
        <v>290</v>
      </c>
      <c r="BC293" s="7" t="s">
        <v>332</v>
      </c>
      <c r="BD293" s="23" t="s">
        <v>255</v>
      </c>
      <c r="BE293" s="26">
        <v>344261012</v>
      </c>
      <c r="BF293" s="25" t="s">
        <v>357</v>
      </c>
      <c r="BG293" s="7">
        <v>206</v>
      </c>
      <c r="BH293" s="7" t="s">
        <v>320</v>
      </c>
      <c r="BI293" s="7" t="s">
        <v>367</v>
      </c>
      <c r="BJ293" s="7">
        <v>55</v>
      </c>
      <c r="BK293" s="9">
        <v>58.605672727272768</v>
      </c>
      <c r="BL293" s="9">
        <v>48.363309090909105</v>
      </c>
      <c r="BM293" s="9">
        <v>53.484848484848492</v>
      </c>
      <c r="BN293" s="9">
        <v>106.96898181818182</v>
      </c>
      <c r="BO293" s="7">
        <v>8</v>
      </c>
      <c r="BP293" s="7">
        <v>19</v>
      </c>
      <c r="BQ293" s="7">
        <v>21</v>
      </c>
      <c r="BR293" s="7">
        <v>7</v>
      </c>
      <c r="BS293" s="7">
        <v>0</v>
      </c>
      <c r="BT293" s="7">
        <v>0</v>
      </c>
      <c r="BU293" s="7">
        <v>8</v>
      </c>
      <c r="BV293" s="7">
        <v>33</v>
      </c>
      <c r="BW293" s="7">
        <v>11</v>
      </c>
      <c r="BX293" s="7">
        <v>3</v>
      </c>
      <c r="BY293" s="7">
        <v>0</v>
      </c>
      <c r="BZ293" s="7">
        <v>0</v>
      </c>
      <c r="CA293" s="7"/>
      <c r="CB293" s="9"/>
      <c r="CC293" s="9"/>
      <c r="CD293" s="9"/>
      <c r="CE293" s="9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>
        <v>55</v>
      </c>
      <c r="CS293" s="9">
        <v>58.605672727272768</v>
      </c>
      <c r="CT293" s="9">
        <v>48.363309090909105</v>
      </c>
      <c r="CU293" s="9">
        <v>53.484848484848492</v>
      </c>
      <c r="CV293" s="9">
        <v>106.96898181818182</v>
      </c>
      <c r="CW293" s="7">
        <v>8</v>
      </c>
      <c r="CX293" s="7">
        <v>19</v>
      </c>
      <c r="CY293" s="7">
        <v>21</v>
      </c>
      <c r="CZ293" s="7">
        <v>7</v>
      </c>
      <c r="DA293" s="7">
        <v>0</v>
      </c>
      <c r="DB293" s="7">
        <v>0</v>
      </c>
      <c r="DC293" s="7">
        <v>8</v>
      </c>
      <c r="DD293" s="7">
        <v>33</v>
      </c>
      <c r="DE293" s="7">
        <v>11</v>
      </c>
      <c r="DF293" s="7">
        <v>3</v>
      </c>
      <c r="DG293" s="7">
        <v>0</v>
      </c>
      <c r="DH293" s="7">
        <v>0</v>
      </c>
      <c r="DI293" s="18">
        <f t="shared" si="42"/>
        <v>245</v>
      </c>
      <c r="DJ293" s="18" t="str">
        <f t="shared" si="43"/>
        <v/>
      </c>
      <c r="DK293" s="18">
        <f t="shared" si="44"/>
        <v>249</v>
      </c>
      <c r="DL293" s="18">
        <f t="shared" si="45"/>
        <v>21</v>
      </c>
      <c r="DM293" s="18" t="str">
        <f t="shared" si="46"/>
        <v/>
      </c>
      <c r="DN293" s="18">
        <f t="shared" si="47"/>
        <v>21</v>
      </c>
      <c r="DO293" s="18">
        <v>313</v>
      </c>
      <c r="DP293" s="18">
        <v>124</v>
      </c>
      <c r="DQ293" s="18">
        <v>313</v>
      </c>
      <c r="DR293" s="18">
        <v>31</v>
      </c>
      <c r="DS293" s="18">
        <v>5</v>
      </c>
      <c r="DT293" s="18">
        <v>31</v>
      </c>
      <c r="DU293" s="18" t="s">
        <v>255</v>
      </c>
    </row>
    <row r="294" spans="54:125" x14ac:dyDescent="0.25">
      <c r="BB294" s="7">
        <v>291</v>
      </c>
      <c r="BC294" s="7" t="s">
        <v>332</v>
      </c>
      <c r="BD294" s="23" t="s">
        <v>255</v>
      </c>
      <c r="BE294" s="26">
        <v>145475088</v>
      </c>
      <c r="BF294" s="25" t="s">
        <v>270</v>
      </c>
      <c r="BG294" s="7">
        <v>216</v>
      </c>
      <c r="BH294" s="7" t="s">
        <v>320</v>
      </c>
      <c r="BI294" s="14" t="s">
        <v>368</v>
      </c>
      <c r="BJ294" s="7">
        <v>79</v>
      </c>
      <c r="BK294" s="9">
        <v>59.746468354430419</v>
      </c>
      <c r="BL294" s="9">
        <v>47.425848101265863</v>
      </c>
      <c r="BM294" s="9">
        <v>53.586497890295369</v>
      </c>
      <c r="BN294" s="9">
        <v>107.17231645569619</v>
      </c>
      <c r="BO294" s="7">
        <v>10</v>
      </c>
      <c r="BP294" s="7">
        <v>25</v>
      </c>
      <c r="BQ294" s="7">
        <v>30</v>
      </c>
      <c r="BR294" s="7">
        <v>14</v>
      </c>
      <c r="BS294" s="7">
        <v>0</v>
      </c>
      <c r="BT294" s="7">
        <v>0</v>
      </c>
      <c r="BU294" s="7">
        <v>17</v>
      </c>
      <c r="BV294" s="7">
        <v>44</v>
      </c>
      <c r="BW294" s="7">
        <v>18</v>
      </c>
      <c r="BX294" s="7">
        <v>0</v>
      </c>
      <c r="BY294" s="7">
        <v>0</v>
      </c>
      <c r="BZ294" s="7">
        <v>0</v>
      </c>
      <c r="CA294" s="7"/>
      <c r="CB294" s="9"/>
      <c r="CC294" s="9"/>
      <c r="CD294" s="9"/>
      <c r="CE294" s="9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>
        <v>79</v>
      </c>
      <c r="CS294" s="9">
        <v>59.746468354430419</v>
      </c>
      <c r="CT294" s="9">
        <v>47.425848101265863</v>
      </c>
      <c r="CU294" s="9">
        <v>53.586497890295369</v>
      </c>
      <c r="CV294" s="9">
        <v>107.17231645569619</v>
      </c>
      <c r="CW294" s="7">
        <v>10</v>
      </c>
      <c r="CX294" s="7">
        <v>25</v>
      </c>
      <c r="CY294" s="7">
        <v>30</v>
      </c>
      <c r="CZ294" s="7">
        <v>14</v>
      </c>
      <c r="DA294" s="7">
        <v>0</v>
      </c>
      <c r="DB294" s="7">
        <v>0</v>
      </c>
      <c r="DC294" s="7">
        <v>17</v>
      </c>
      <c r="DD294" s="7">
        <v>44</v>
      </c>
      <c r="DE294" s="7">
        <v>18</v>
      </c>
      <c r="DF294" s="7">
        <v>0</v>
      </c>
      <c r="DG294" s="7">
        <v>0</v>
      </c>
      <c r="DH294" s="7">
        <v>0</v>
      </c>
      <c r="DI294" s="18">
        <f t="shared" si="42"/>
        <v>241</v>
      </c>
      <c r="DJ294" s="18" t="str">
        <f t="shared" si="43"/>
        <v/>
      </c>
      <c r="DK294" s="18">
        <f t="shared" si="44"/>
        <v>245</v>
      </c>
      <c r="DL294" s="18">
        <f t="shared" si="45"/>
        <v>20</v>
      </c>
      <c r="DM294" s="18" t="str">
        <f t="shared" si="46"/>
        <v/>
      </c>
      <c r="DN294" s="18">
        <f t="shared" si="47"/>
        <v>20</v>
      </c>
      <c r="DO294" s="18">
        <v>313</v>
      </c>
      <c r="DP294" s="18">
        <v>124</v>
      </c>
      <c r="DQ294" s="18">
        <v>313</v>
      </c>
      <c r="DR294" s="18">
        <v>31</v>
      </c>
      <c r="DS294" s="18">
        <v>5</v>
      </c>
      <c r="DT294" s="18">
        <v>31</v>
      </c>
      <c r="DU294" s="18" t="s">
        <v>255</v>
      </c>
    </row>
    <row r="295" spans="54:125" x14ac:dyDescent="0.25">
      <c r="BB295" s="7">
        <v>292</v>
      </c>
      <c r="BC295" s="7" t="s">
        <v>332</v>
      </c>
      <c r="BD295" s="23" t="s">
        <v>255</v>
      </c>
      <c r="BE295" s="26">
        <v>860085015</v>
      </c>
      <c r="BF295" s="25" t="s">
        <v>358</v>
      </c>
      <c r="BG295" s="7">
        <v>218</v>
      </c>
      <c r="BH295" s="7" t="s">
        <v>320</v>
      </c>
      <c r="BI295" s="7" t="s">
        <v>367</v>
      </c>
      <c r="BJ295" s="7">
        <v>446</v>
      </c>
      <c r="BK295" s="9">
        <v>60.933899103138984</v>
      </c>
      <c r="BL295" s="9">
        <v>54.76050896860977</v>
      </c>
      <c r="BM295" s="9">
        <v>57.847533632286968</v>
      </c>
      <c r="BN295" s="9">
        <v>115.69440807174871</v>
      </c>
      <c r="BO295" s="7">
        <v>46</v>
      </c>
      <c r="BP295" s="7">
        <v>169</v>
      </c>
      <c r="BQ295" s="7">
        <v>146</v>
      </c>
      <c r="BR295" s="7">
        <v>85</v>
      </c>
      <c r="BS295" s="7">
        <v>1</v>
      </c>
      <c r="BT295" s="7">
        <v>4</v>
      </c>
      <c r="BU295" s="7">
        <v>63</v>
      </c>
      <c r="BV295" s="7">
        <v>203</v>
      </c>
      <c r="BW295" s="7">
        <v>141</v>
      </c>
      <c r="BX295" s="7">
        <v>39</v>
      </c>
      <c r="BY295" s="7">
        <v>0</v>
      </c>
      <c r="BZ295" s="7">
        <v>0</v>
      </c>
      <c r="CA295" s="7"/>
      <c r="CB295" s="9"/>
      <c r="CC295" s="9"/>
      <c r="CD295" s="9"/>
      <c r="CE295" s="9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>
        <v>446</v>
      </c>
      <c r="CS295" s="9">
        <v>60.933899103138984</v>
      </c>
      <c r="CT295" s="9">
        <v>54.76050896860977</v>
      </c>
      <c r="CU295" s="9">
        <v>57.847533632286968</v>
      </c>
      <c r="CV295" s="9">
        <v>115.69440807174871</v>
      </c>
      <c r="CW295" s="7">
        <v>46</v>
      </c>
      <c r="CX295" s="7">
        <v>169</v>
      </c>
      <c r="CY295" s="7">
        <v>146</v>
      </c>
      <c r="CZ295" s="7">
        <v>85</v>
      </c>
      <c r="DA295" s="7">
        <v>1</v>
      </c>
      <c r="DB295" s="7">
        <v>4</v>
      </c>
      <c r="DC295" s="7">
        <v>63</v>
      </c>
      <c r="DD295" s="7">
        <v>203</v>
      </c>
      <c r="DE295" s="7">
        <v>141</v>
      </c>
      <c r="DF295" s="7">
        <v>39</v>
      </c>
      <c r="DG295" s="7">
        <v>0</v>
      </c>
      <c r="DH295" s="7">
        <v>0</v>
      </c>
      <c r="DI295" s="18">
        <f t="shared" si="42"/>
        <v>170</v>
      </c>
      <c r="DJ295" s="18" t="str">
        <f t="shared" si="43"/>
        <v/>
      </c>
      <c r="DK295" s="18">
        <f t="shared" si="44"/>
        <v>167</v>
      </c>
      <c r="DL295" s="18">
        <f t="shared" si="45"/>
        <v>12</v>
      </c>
      <c r="DM295" s="18" t="str">
        <f t="shared" si="46"/>
        <v/>
      </c>
      <c r="DN295" s="18">
        <f t="shared" si="47"/>
        <v>13</v>
      </c>
      <c r="DO295" s="18">
        <v>313</v>
      </c>
      <c r="DP295" s="18">
        <v>124</v>
      </c>
      <c r="DQ295" s="18">
        <v>313</v>
      </c>
      <c r="DR295" s="18">
        <v>31</v>
      </c>
      <c r="DS295" s="18">
        <v>5</v>
      </c>
      <c r="DT295" s="18">
        <v>31</v>
      </c>
      <c r="DU295" s="18" t="s">
        <v>255</v>
      </c>
    </row>
    <row r="296" spans="54:125" x14ac:dyDescent="0.25">
      <c r="BB296" s="7">
        <v>293</v>
      </c>
      <c r="BC296" s="7" t="s">
        <v>332</v>
      </c>
      <c r="BD296" s="23" t="s">
        <v>255</v>
      </c>
      <c r="BE296" s="26">
        <v>646041279</v>
      </c>
      <c r="BF296" s="25" t="s">
        <v>262</v>
      </c>
      <c r="BG296" s="7">
        <v>230</v>
      </c>
      <c r="BH296" s="7" t="s">
        <v>320</v>
      </c>
      <c r="BI296" s="7" t="s">
        <v>368</v>
      </c>
      <c r="BJ296" s="7">
        <v>121</v>
      </c>
      <c r="BK296" s="9">
        <v>58.539603305785143</v>
      </c>
      <c r="BL296" s="9">
        <v>54.076793388429742</v>
      </c>
      <c r="BM296" s="9">
        <v>56.308539944903586</v>
      </c>
      <c r="BN296" s="9">
        <v>112.61639669421483</v>
      </c>
      <c r="BO296" s="7">
        <v>17</v>
      </c>
      <c r="BP296" s="7">
        <v>41</v>
      </c>
      <c r="BQ296" s="7">
        <v>42</v>
      </c>
      <c r="BR296" s="7">
        <v>21</v>
      </c>
      <c r="BS296" s="7">
        <v>0</v>
      </c>
      <c r="BT296" s="7">
        <v>2</v>
      </c>
      <c r="BU296" s="7">
        <v>22</v>
      </c>
      <c r="BV296" s="7">
        <v>52</v>
      </c>
      <c r="BW296" s="7">
        <v>35</v>
      </c>
      <c r="BX296" s="7">
        <v>12</v>
      </c>
      <c r="BY296" s="7">
        <v>0</v>
      </c>
      <c r="BZ296" s="7">
        <v>0</v>
      </c>
      <c r="CA296" s="7">
        <v>30</v>
      </c>
      <c r="CB296" s="9">
        <v>48.110833333333332</v>
      </c>
      <c r="CC296" s="9">
        <v>40.777499999999996</v>
      </c>
      <c r="CD296" s="9">
        <v>44.44444444444445</v>
      </c>
      <c r="CE296" s="9">
        <v>88.888333333333335</v>
      </c>
      <c r="CF296" s="7">
        <v>8</v>
      </c>
      <c r="CG296" s="7">
        <v>13</v>
      </c>
      <c r="CH296" s="7">
        <v>9</v>
      </c>
      <c r="CI296" s="7">
        <v>0</v>
      </c>
      <c r="CJ296" s="7">
        <v>0</v>
      </c>
      <c r="CK296" s="7">
        <v>0</v>
      </c>
      <c r="CL296" s="7">
        <v>10</v>
      </c>
      <c r="CM296" s="7">
        <v>18</v>
      </c>
      <c r="CN296" s="7">
        <v>2</v>
      </c>
      <c r="CO296" s="7">
        <v>0</v>
      </c>
      <c r="CP296" s="7">
        <v>0</v>
      </c>
      <c r="CQ296" s="7">
        <v>0</v>
      </c>
      <c r="CR296" s="7">
        <v>151</v>
      </c>
      <c r="CS296" s="9">
        <v>56.467662251655632</v>
      </c>
      <c r="CT296" s="9">
        <v>51.434549668874155</v>
      </c>
      <c r="CU296" s="9">
        <v>53.951434878587193</v>
      </c>
      <c r="CV296" s="9">
        <v>107.90221192052972</v>
      </c>
      <c r="CW296" s="7">
        <v>25</v>
      </c>
      <c r="CX296" s="7">
        <v>54</v>
      </c>
      <c r="CY296" s="7">
        <v>51</v>
      </c>
      <c r="CZ296" s="7">
        <v>21</v>
      </c>
      <c r="DA296" s="7">
        <v>0</v>
      </c>
      <c r="DB296" s="7">
        <v>2</v>
      </c>
      <c r="DC296" s="7">
        <v>32</v>
      </c>
      <c r="DD296" s="7">
        <v>70</v>
      </c>
      <c r="DE296" s="7">
        <v>37</v>
      </c>
      <c r="DF296" s="7">
        <v>12</v>
      </c>
      <c r="DG296" s="7">
        <v>0</v>
      </c>
      <c r="DH296" s="7">
        <v>0</v>
      </c>
      <c r="DI296" s="18">
        <f t="shared" si="42"/>
        <v>198</v>
      </c>
      <c r="DJ296" s="18">
        <f t="shared" si="43"/>
        <v>122</v>
      </c>
      <c r="DK296" s="18">
        <f t="shared" si="44"/>
        <v>240</v>
      </c>
      <c r="DL296" s="18">
        <f t="shared" si="45"/>
        <v>15</v>
      </c>
      <c r="DM296" s="18">
        <f t="shared" si="46"/>
        <v>5</v>
      </c>
      <c r="DN296" s="18">
        <f t="shared" si="47"/>
        <v>17</v>
      </c>
      <c r="DO296" s="18">
        <v>313</v>
      </c>
      <c r="DP296" s="18">
        <v>124</v>
      </c>
      <c r="DQ296" s="18">
        <v>313</v>
      </c>
      <c r="DR296" s="18">
        <v>31</v>
      </c>
      <c r="DS296" s="18">
        <v>5</v>
      </c>
      <c r="DT296" s="18">
        <v>31</v>
      </c>
      <c r="DU296" s="18" t="s">
        <v>255</v>
      </c>
    </row>
    <row r="297" spans="54:125" x14ac:dyDescent="0.25">
      <c r="BB297" s="7">
        <v>294</v>
      </c>
      <c r="BC297" s="7" t="s">
        <v>332</v>
      </c>
      <c r="BD297" s="23" t="s">
        <v>255</v>
      </c>
      <c r="BE297" s="26">
        <v>301545779</v>
      </c>
      <c r="BF297" s="25" t="s">
        <v>359</v>
      </c>
      <c r="BG297" s="7">
        <v>234</v>
      </c>
      <c r="BH297" s="7" t="s">
        <v>320</v>
      </c>
      <c r="BI297" s="7" t="s">
        <v>367</v>
      </c>
      <c r="BJ297" s="7">
        <v>124</v>
      </c>
      <c r="BK297" s="9">
        <v>67.419064516129012</v>
      </c>
      <c r="BL297" s="9">
        <v>61.236225806451571</v>
      </c>
      <c r="BM297" s="9">
        <v>64.327956989247298</v>
      </c>
      <c r="BN297" s="9">
        <v>128.65529032258053</v>
      </c>
      <c r="BO297" s="7">
        <v>10</v>
      </c>
      <c r="BP297" s="7">
        <v>34</v>
      </c>
      <c r="BQ297" s="7">
        <v>40</v>
      </c>
      <c r="BR297" s="7">
        <v>40</v>
      </c>
      <c r="BS297" s="7">
        <v>1</v>
      </c>
      <c r="BT297" s="7">
        <v>7</v>
      </c>
      <c r="BU297" s="7">
        <v>13</v>
      </c>
      <c r="BV297" s="7">
        <v>40</v>
      </c>
      <c r="BW297" s="7">
        <v>47</v>
      </c>
      <c r="BX297" s="7">
        <v>24</v>
      </c>
      <c r="BY297" s="7">
        <v>0</v>
      </c>
      <c r="BZ297" s="7">
        <v>1</v>
      </c>
      <c r="CA297" s="7"/>
      <c r="CB297" s="9"/>
      <c r="CC297" s="9"/>
      <c r="CD297" s="9"/>
      <c r="CE297" s="9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>
        <v>124</v>
      </c>
      <c r="CS297" s="9">
        <v>67.419064516129012</v>
      </c>
      <c r="CT297" s="9">
        <v>61.236225806451571</v>
      </c>
      <c r="CU297" s="9">
        <v>64.327956989247298</v>
      </c>
      <c r="CV297" s="9">
        <v>128.65529032258053</v>
      </c>
      <c r="CW297" s="7">
        <v>10</v>
      </c>
      <c r="CX297" s="7">
        <v>34</v>
      </c>
      <c r="CY297" s="7">
        <v>40</v>
      </c>
      <c r="CZ297" s="7">
        <v>40</v>
      </c>
      <c r="DA297" s="7">
        <v>1</v>
      </c>
      <c r="DB297" s="7">
        <v>7</v>
      </c>
      <c r="DC297" s="7">
        <v>13</v>
      </c>
      <c r="DD297" s="7">
        <v>40</v>
      </c>
      <c r="DE297" s="7">
        <v>47</v>
      </c>
      <c r="DF297" s="7">
        <v>24</v>
      </c>
      <c r="DG297" s="7">
        <v>0</v>
      </c>
      <c r="DH297" s="7">
        <v>1</v>
      </c>
      <c r="DI297" s="18">
        <f t="shared" si="42"/>
        <v>65</v>
      </c>
      <c r="DJ297" s="18" t="str">
        <f t="shared" si="43"/>
        <v/>
      </c>
      <c r="DK297" s="18">
        <f t="shared" si="44"/>
        <v>58</v>
      </c>
      <c r="DL297" s="18">
        <f t="shared" si="45"/>
        <v>1</v>
      </c>
      <c r="DM297" s="18" t="str">
        <f t="shared" si="46"/>
        <v/>
      </c>
      <c r="DN297" s="18">
        <f t="shared" si="47"/>
        <v>1</v>
      </c>
      <c r="DO297" s="18">
        <v>313</v>
      </c>
      <c r="DP297" s="18">
        <v>124</v>
      </c>
      <c r="DQ297" s="18">
        <v>313</v>
      </c>
      <c r="DR297" s="18">
        <v>31</v>
      </c>
      <c r="DS297" s="18">
        <v>5</v>
      </c>
      <c r="DT297" s="18">
        <v>31</v>
      </c>
      <c r="DU297" s="18" t="s">
        <v>255</v>
      </c>
    </row>
    <row r="298" spans="54:125" x14ac:dyDescent="0.25">
      <c r="BB298" s="7">
        <v>295</v>
      </c>
      <c r="BC298" s="7" t="s">
        <v>332</v>
      </c>
      <c r="BD298" s="23" t="s">
        <v>255</v>
      </c>
      <c r="BE298" s="26">
        <v>398620624</v>
      </c>
      <c r="BF298" s="25" t="s">
        <v>273</v>
      </c>
      <c r="BG298" s="7">
        <v>237</v>
      </c>
      <c r="BH298" s="7" t="s">
        <v>320</v>
      </c>
      <c r="BI298" s="7" t="s">
        <v>367</v>
      </c>
      <c r="BJ298" s="7">
        <v>76</v>
      </c>
      <c r="BK298" s="9">
        <v>56.57861842105266</v>
      </c>
      <c r="BL298" s="9">
        <v>46.183894736842127</v>
      </c>
      <c r="BM298" s="9">
        <v>51.381578947368418</v>
      </c>
      <c r="BN298" s="9">
        <v>102.76251315789473</v>
      </c>
      <c r="BO298" s="7">
        <v>10</v>
      </c>
      <c r="BP298" s="7">
        <v>37</v>
      </c>
      <c r="BQ298" s="7">
        <v>18</v>
      </c>
      <c r="BR298" s="7">
        <v>11</v>
      </c>
      <c r="BS298" s="7">
        <v>0</v>
      </c>
      <c r="BT298" s="7">
        <v>1</v>
      </c>
      <c r="BU298" s="7">
        <v>17</v>
      </c>
      <c r="BV298" s="7">
        <v>47</v>
      </c>
      <c r="BW298" s="7">
        <v>10</v>
      </c>
      <c r="BX298" s="7">
        <v>2</v>
      </c>
      <c r="BY298" s="7">
        <v>0</v>
      </c>
      <c r="BZ298" s="7">
        <v>0</v>
      </c>
      <c r="CA298" s="7"/>
      <c r="CB298" s="9"/>
      <c r="CC298" s="9"/>
      <c r="CD298" s="9"/>
      <c r="CE298" s="9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>
        <v>76</v>
      </c>
      <c r="CS298" s="9">
        <v>56.57861842105266</v>
      </c>
      <c r="CT298" s="9">
        <v>46.183894736842127</v>
      </c>
      <c r="CU298" s="9">
        <v>51.381578947368418</v>
      </c>
      <c r="CV298" s="9">
        <v>102.76251315789473</v>
      </c>
      <c r="CW298" s="7">
        <v>10</v>
      </c>
      <c r="CX298" s="7">
        <v>37</v>
      </c>
      <c r="CY298" s="7">
        <v>18</v>
      </c>
      <c r="CZ298" s="7">
        <v>11</v>
      </c>
      <c r="DA298" s="7">
        <v>0</v>
      </c>
      <c r="DB298" s="7">
        <v>1</v>
      </c>
      <c r="DC298" s="7">
        <v>17</v>
      </c>
      <c r="DD298" s="7">
        <v>47</v>
      </c>
      <c r="DE298" s="7">
        <v>10</v>
      </c>
      <c r="DF298" s="7">
        <v>2</v>
      </c>
      <c r="DG298" s="7">
        <v>0</v>
      </c>
      <c r="DH298" s="7">
        <v>0</v>
      </c>
      <c r="DI298" s="18">
        <f t="shared" si="42"/>
        <v>269</v>
      </c>
      <c r="DJ298" s="18" t="str">
        <f t="shared" si="43"/>
        <v/>
      </c>
      <c r="DK298" s="18">
        <f t="shared" si="44"/>
        <v>271</v>
      </c>
      <c r="DL298" s="18">
        <f t="shared" si="45"/>
        <v>25</v>
      </c>
      <c r="DM298" s="18" t="str">
        <f t="shared" si="46"/>
        <v/>
      </c>
      <c r="DN298" s="18">
        <f t="shared" si="47"/>
        <v>25</v>
      </c>
      <c r="DO298" s="18">
        <v>313</v>
      </c>
      <c r="DP298" s="18">
        <v>124</v>
      </c>
      <c r="DQ298" s="18">
        <v>313</v>
      </c>
      <c r="DR298" s="18">
        <v>31</v>
      </c>
      <c r="DS298" s="18">
        <v>5</v>
      </c>
      <c r="DT298" s="18">
        <v>31</v>
      </c>
      <c r="DU298" s="18" t="s">
        <v>255</v>
      </c>
    </row>
    <row r="299" spans="54:125" x14ac:dyDescent="0.25">
      <c r="BB299" s="7">
        <v>296</v>
      </c>
      <c r="BC299" s="7" t="s">
        <v>332</v>
      </c>
      <c r="BD299" s="23" t="s">
        <v>255</v>
      </c>
      <c r="BE299" s="26">
        <v>556244694</v>
      </c>
      <c r="BF299" s="25" t="s">
        <v>360</v>
      </c>
      <c r="BG299" s="7">
        <v>241</v>
      </c>
      <c r="BH299" s="7" t="s">
        <v>320</v>
      </c>
      <c r="BI299" s="7" t="s">
        <v>367</v>
      </c>
      <c r="BJ299" s="7">
        <v>71</v>
      </c>
      <c r="BK299" s="9">
        <v>54.600647887323987</v>
      </c>
      <c r="BL299" s="9">
        <v>53.098281690140894</v>
      </c>
      <c r="BM299" s="9">
        <v>53.849765258215974</v>
      </c>
      <c r="BN299" s="9">
        <v>107.69892957746477</v>
      </c>
      <c r="BO299" s="7">
        <v>15</v>
      </c>
      <c r="BP299" s="7">
        <v>24</v>
      </c>
      <c r="BQ299" s="7">
        <v>23</v>
      </c>
      <c r="BR299" s="7">
        <v>9</v>
      </c>
      <c r="BS299" s="7">
        <v>1</v>
      </c>
      <c r="BT299" s="7">
        <v>1</v>
      </c>
      <c r="BU299" s="7">
        <v>14</v>
      </c>
      <c r="BV299" s="7">
        <v>26</v>
      </c>
      <c r="BW299" s="7">
        <v>27</v>
      </c>
      <c r="BX299" s="7">
        <v>4</v>
      </c>
      <c r="BY299" s="7">
        <v>0</v>
      </c>
      <c r="BZ299" s="7">
        <v>0</v>
      </c>
      <c r="CA299" s="7"/>
      <c r="CB299" s="9"/>
      <c r="CC299" s="9"/>
      <c r="CD299" s="9"/>
      <c r="CE299" s="9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>
        <v>71</v>
      </c>
      <c r="CS299" s="9">
        <v>54.600647887323987</v>
      </c>
      <c r="CT299" s="9">
        <v>53.098281690140894</v>
      </c>
      <c r="CU299" s="9">
        <v>53.849765258215974</v>
      </c>
      <c r="CV299" s="9">
        <v>107.69892957746477</v>
      </c>
      <c r="CW299" s="7">
        <v>15</v>
      </c>
      <c r="CX299" s="7">
        <v>24</v>
      </c>
      <c r="CY299" s="7">
        <v>23</v>
      </c>
      <c r="CZ299" s="7">
        <v>9</v>
      </c>
      <c r="DA299" s="7">
        <v>1</v>
      </c>
      <c r="DB299" s="7">
        <v>1</v>
      </c>
      <c r="DC299" s="7">
        <v>14</v>
      </c>
      <c r="DD299" s="7">
        <v>26</v>
      </c>
      <c r="DE299" s="7">
        <v>27</v>
      </c>
      <c r="DF299" s="7">
        <v>4</v>
      </c>
      <c r="DG299" s="7">
        <v>0</v>
      </c>
      <c r="DH299" s="7">
        <v>0</v>
      </c>
      <c r="DI299" s="18">
        <f t="shared" si="42"/>
        <v>238</v>
      </c>
      <c r="DJ299" s="18" t="str">
        <f t="shared" si="43"/>
        <v/>
      </c>
      <c r="DK299" s="18">
        <f t="shared" si="44"/>
        <v>241</v>
      </c>
      <c r="DL299" s="18">
        <f t="shared" si="45"/>
        <v>18</v>
      </c>
      <c r="DM299" s="18" t="str">
        <f t="shared" si="46"/>
        <v/>
      </c>
      <c r="DN299" s="18">
        <f t="shared" si="47"/>
        <v>18</v>
      </c>
      <c r="DO299" s="18">
        <v>313</v>
      </c>
      <c r="DP299" s="18">
        <v>124</v>
      </c>
      <c r="DQ299" s="18">
        <v>313</v>
      </c>
      <c r="DR299" s="18">
        <v>31</v>
      </c>
      <c r="DS299" s="18">
        <v>5</v>
      </c>
      <c r="DT299" s="18">
        <v>31</v>
      </c>
      <c r="DU299" s="18" t="s">
        <v>255</v>
      </c>
    </row>
    <row r="300" spans="54:125" x14ac:dyDescent="0.25">
      <c r="BB300" s="7">
        <v>297</v>
      </c>
      <c r="BC300" s="7" t="s">
        <v>332</v>
      </c>
      <c r="BD300" s="23" t="s">
        <v>255</v>
      </c>
      <c r="BE300" s="26">
        <v>613640268</v>
      </c>
      <c r="BF300" s="25" t="s">
        <v>361</v>
      </c>
      <c r="BG300" s="7">
        <v>256</v>
      </c>
      <c r="BH300" s="7" t="s">
        <v>320</v>
      </c>
      <c r="BI300" s="7" t="s">
        <v>367</v>
      </c>
      <c r="BJ300" s="7">
        <v>56</v>
      </c>
      <c r="BK300" s="9">
        <v>56.368696428571475</v>
      </c>
      <c r="BL300" s="9">
        <v>44.285357142857158</v>
      </c>
      <c r="BM300" s="9">
        <v>50.32738095238097</v>
      </c>
      <c r="BN300" s="9">
        <v>100.65405357142859</v>
      </c>
      <c r="BO300" s="7">
        <v>9</v>
      </c>
      <c r="BP300" s="7">
        <v>22</v>
      </c>
      <c r="BQ300" s="7">
        <v>17</v>
      </c>
      <c r="BR300" s="7">
        <v>8</v>
      </c>
      <c r="BS300" s="7">
        <v>0</v>
      </c>
      <c r="BT300" s="7">
        <v>0</v>
      </c>
      <c r="BU300" s="7">
        <v>16</v>
      </c>
      <c r="BV300" s="7">
        <v>30</v>
      </c>
      <c r="BW300" s="7">
        <v>9</v>
      </c>
      <c r="BX300" s="7">
        <v>1</v>
      </c>
      <c r="BY300" s="7">
        <v>0</v>
      </c>
      <c r="BZ300" s="7">
        <v>0</v>
      </c>
      <c r="CA300" s="7"/>
      <c r="CB300" s="9"/>
      <c r="CC300" s="9"/>
      <c r="CD300" s="9"/>
      <c r="CE300" s="9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>
        <v>56</v>
      </c>
      <c r="CS300" s="9">
        <v>56.368696428571475</v>
      </c>
      <c r="CT300" s="9">
        <v>44.285357142857158</v>
      </c>
      <c r="CU300" s="9">
        <v>50.32738095238097</v>
      </c>
      <c r="CV300" s="9">
        <v>100.65405357142859</v>
      </c>
      <c r="CW300" s="7">
        <v>9</v>
      </c>
      <c r="CX300" s="7">
        <v>22</v>
      </c>
      <c r="CY300" s="7">
        <v>17</v>
      </c>
      <c r="CZ300" s="7">
        <v>8</v>
      </c>
      <c r="DA300" s="7">
        <v>0</v>
      </c>
      <c r="DB300" s="7">
        <v>0</v>
      </c>
      <c r="DC300" s="7">
        <v>16</v>
      </c>
      <c r="DD300" s="7">
        <v>30</v>
      </c>
      <c r="DE300" s="7">
        <v>9</v>
      </c>
      <c r="DF300" s="7">
        <v>1</v>
      </c>
      <c r="DG300" s="7">
        <v>0</v>
      </c>
      <c r="DH300" s="7">
        <v>0</v>
      </c>
      <c r="DI300" s="18">
        <f t="shared" si="42"/>
        <v>274</v>
      </c>
      <c r="DJ300" s="18" t="str">
        <f t="shared" si="43"/>
        <v/>
      </c>
      <c r="DK300" s="18">
        <f t="shared" si="44"/>
        <v>276</v>
      </c>
      <c r="DL300" s="18">
        <f t="shared" si="45"/>
        <v>28</v>
      </c>
      <c r="DM300" s="18" t="str">
        <f t="shared" si="46"/>
        <v/>
      </c>
      <c r="DN300" s="18">
        <f t="shared" si="47"/>
        <v>28</v>
      </c>
      <c r="DO300" s="18">
        <v>313</v>
      </c>
      <c r="DP300" s="18">
        <v>124</v>
      </c>
      <c r="DQ300" s="18">
        <v>313</v>
      </c>
      <c r="DR300" s="18">
        <v>31</v>
      </c>
      <c r="DS300" s="18">
        <v>5</v>
      </c>
      <c r="DT300" s="18">
        <v>31</v>
      </c>
      <c r="DU300" s="18" t="s">
        <v>255</v>
      </c>
    </row>
    <row r="301" spans="54:125" x14ac:dyDescent="0.25">
      <c r="BB301" s="7">
        <v>298</v>
      </c>
      <c r="BC301" s="7" t="s">
        <v>332</v>
      </c>
      <c r="BD301" s="23" t="s">
        <v>255</v>
      </c>
      <c r="BE301" s="26">
        <v>745832558</v>
      </c>
      <c r="BF301" s="25" t="s">
        <v>362</v>
      </c>
      <c r="BG301" s="7">
        <v>262</v>
      </c>
      <c r="BH301" s="7" t="s">
        <v>320</v>
      </c>
      <c r="BI301" s="7" t="s">
        <v>367</v>
      </c>
      <c r="BJ301" s="7">
        <v>108</v>
      </c>
      <c r="BK301" s="9">
        <v>56.079916666666669</v>
      </c>
      <c r="BL301" s="9">
        <v>47.221879629629655</v>
      </c>
      <c r="BM301" s="9">
        <v>51.651234567901248</v>
      </c>
      <c r="BN301" s="9">
        <v>103.30179629629626</v>
      </c>
      <c r="BO301" s="7">
        <v>15</v>
      </c>
      <c r="BP301" s="7">
        <v>49</v>
      </c>
      <c r="BQ301" s="7">
        <v>31</v>
      </c>
      <c r="BR301" s="7">
        <v>13</v>
      </c>
      <c r="BS301" s="7">
        <v>0</v>
      </c>
      <c r="BT301" s="7">
        <v>0</v>
      </c>
      <c r="BU301" s="7">
        <v>25</v>
      </c>
      <c r="BV301" s="7">
        <v>57</v>
      </c>
      <c r="BW301" s="7">
        <v>21</v>
      </c>
      <c r="BX301" s="7">
        <v>5</v>
      </c>
      <c r="BY301" s="7">
        <v>0</v>
      </c>
      <c r="BZ301" s="7">
        <v>1</v>
      </c>
      <c r="CA301" s="7"/>
      <c r="CB301" s="9"/>
      <c r="CC301" s="9"/>
      <c r="CD301" s="9"/>
      <c r="CE301" s="9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>
        <v>108</v>
      </c>
      <c r="CS301" s="9">
        <v>56.079916666666669</v>
      </c>
      <c r="CT301" s="9">
        <v>47.221879629629655</v>
      </c>
      <c r="CU301" s="9">
        <v>51.651234567901248</v>
      </c>
      <c r="CV301" s="9">
        <v>103.30179629629626</v>
      </c>
      <c r="CW301" s="7">
        <v>15</v>
      </c>
      <c r="CX301" s="7">
        <v>49</v>
      </c>
      <c r="CY301" s="7">
        <v>31</v>
      </c>
      <c r="CZ301" s="7">
        <v>13</v>
      </c>
      <c r="DA301" s="7">
        <v>0</v>
      </c>
      <c r="DB301" s="7">
        <v>0</v>
      </c>
      <c r="DC301" s="7">
        <v>25</v>
      </c>
      <c r="DD301" s="7">
        <v>57</v>
      </c>
      <c r="DE301" s="7">
        <v>21</v>
      </c>
      <c r="DF301" s="7">
        <v>5</v>
      </c>
      <c r="DG301" s="7">
        <v>0</v>
      </c>
      <c r="DH301" s="7">
        <v>1</v>
      </c>
      <c r="DI301" s="18">
        <f t="shared" si="42"/>
        <v>265</v>
      </c>
      <c r="DJ301" s="18" t="str">
        <f t="shared" si="43"/>
        <v/>
      </c>
      <c r="DK301" s="18">
        <f t="shared" si="44"/>
        <v>267</v>
      </c>
      <c r="DL301" s="18">
        <f t="shared" si="45"/>
        <v>23</v>
      </c>
      <c r="DM301" s="18" t="str">
        <f t="shared" si="46"/>
        <v/>
      </c>
      <c r="DN301" s="18">
        <f t="shared" si="47"/>
        <v>23</v>
      </c>
      <c r="DO301" s="18">
        <v>313</v>
      </c>
      <c r="DP301" s="18">
        <v>124</v>
      </c>
      <c r="DQ301" s="18">
        <v>313</v>
      </c>
      <c r="DR301" s="18">
        <v>31</v>
      </c>
      <c r="DS301" s="18">
        <v>5</v>
      </c>
      <c r="DT301" s="18">
        <v>31</v>
      </c>
      <c r="DU301" s="18" t="s">
        <v>255</v>
      </c>
    </row>
    <row r="302" spans="54:125" x14ac:dyDescent="0.25">
      <c r="BB302" s="7">
        <v>299</v>
      </c>
      <c r="BC302" s="7" t="s">
        <v>332</v>
      </c>
      <c r="BD302" s="23" t="s">
        <v>255</v>
      </c>
      <c r="BE302" s="26">
        <v>226270818</v>
      </c>
      <c r="BF302" s="25" t="s">
        <v>363</v>
      </c>
      <c r="BG302" s="7">
        <v>322</v>
      </c>
      <c r="BH302" s="7" t="s">
        <v>320</v>
      </c>
      <c r="BI302" s="7" t="s">
        <v>367</v>
      </c>
      <c r="BJ302" s="7">
        <v>340</v>
      </c>
      <c r="BK302" s="9">
        <v>55.519279411764671</v>
      </c>
      <c r="BL302" s="9">
        <v>47.568273529411719</v>
      </c>
      <c r="BM302" s="9">
        <v>51.544117647058833</v>
      </c>
      <c r="BN302" s="9">
        <v>103.0875529411764</v>
      </c>
      <c r="BO302" s="7">
        <v>49</v>
      </c>
      <c r="BP302" s="7">
        <v>142</v>
      </c>
      <c r="BQ302" s="7">
        <v>101</v>
      </c>
      <c r="BR302" s="7">
        <v>48</v>
      </c>
      <c r="BS302" s="7">
        <v>6</v>
      </c>
      <c r="BT302" s="7">
        <v>1</v>
      </c>
      <c r="BU302" s="7">
        <v>76</v>
      </c>
      <c r="BV302" s="7">
        <v>176</v>
      </c>
      <c r="BW302" s="7">
        <v>75</v>
      </c>
      <c r="BX302" s="7">
        <v>13</v>
      </c>
      <c r="BY302" s="7">
        <v>0</v>
      </c>
      <c r="BZ302" s="7">
        <v>0</v>
      </c>
      <c r="CA302" s="7"/>
      <c r="CB302" s="9"/>
      <c r="CC302" s="9"/>
      <c r="CD302" s="9"/>
      <c r="CE302" s="9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>
        <v>340</v>
      </c>
      <c r="CS302" s="9">
        <v>55.519279411764671</v>
      </c>
      <c r="CT302" s="9">
        <v>47.568273529411719</v>
      </c>
      <c r="CU302" s="9">
        <v>51.544117647058833</v>
      </c>
      <c r="CV302" s="9">
        <v>103.0875529411764</v>
      </c>
      <c r="CW302" s="7">
        <v>49</v>
      </c>
      <c r="CX302" s="7">
        <v>142</v>
      </c>
      <c r="CY302" s="7">
        <v>101</v>
      </c>
      <c r="CZ302" s="7">
        <v>48</v>
      </c>
      <c r="DA302" s="7">
        <v>6</v>
      </c>
      <c r="DB302" s="7">
        <v>1</v>
      </c>
      <c r="DC302" s="7">
        <v>76</v>
      </c>
      <c r="DD302" s="7">
        <v>176</v>
      </c>
      <c r="DE302" s="7">
        <v>75</v>
      </c>
      <c r="DF302" s="7">
        <v>13</v>
      </c>
      <c r="DG302" s="7">
        <v>0</v>
      </c>
      <c r="DH302" s="7">
        <v>0</v>
      </c>
      <c r="DI302" s="18">
        <f t="shared" si="42"/>
        <v>268</v>
      </c>
      <c r="DJ302" s="18" t="str">
        <f t="shared" si="43"/>
        <v/>
      </c>
      <c r="DK302" s="18">
        <f t="shared" si="44"/>
        <v>270</v>
      </c>
      <c r="DL302" s="18">
        <f t="shared" si="45"/>
        <v>24</v>
      </c>
      <c r="DM302" s="18" t="str">
        <f t="shared" si="46"/>
        <v/>
      </c>
      <c r="DN302" s="18">
        <f t="shared" si="47"/>
        <v>24</v>
      </c>
      <c r="DO302" s="18">
        <v>313</v>
      </c>
      <c r="DP302" s="18">
        <v>124</v>
      </c>
      <c r="DQ302" s="18">
        <v>313</v>
      </c>
      <c r="DR302" s="18">
        <v>31</v>
      </c>
      <c r="DS302" s="18">
        <v>5</v>
      </c>
      <c r="DT302" s="18">
        <v>31</v>
      </c>
      <c r="DU302" s="18" t="s">
        <v>255</v>
      </c>
    </row>
    <row r="303" spans="54:125" x14ac:dyDescent="0.25">
      <c r="BB303" s="7">
        <v>300</v>
      </c>
      <c r="BC303" s="7" t="s">
        <v>332</v>
      </c>
      <c r="BD303" s="23" t="s">
        <v>255</v>
      </c>
      <c r="BE303" s="26">
        <v>617787944</v>
      </c>
      <c r="BF303" s="25" t="s">
        <v>272</v>
      </c>
      <c r="BG303" s="7">
        <v>323</v>
      </c>
      <c r="BH303" s="7" t="s">
        <v>320</v>
      </c>
      <c r="BI303" s="7" t="s">
        <v>367</v>
      </c>
      <c r="BJ303" s="7">
        <v>54</v>
      </c>
      <c r="BK303" s="9">
        <v>59.320666666666696</v>
      </c>
      <c r="BL303" s="9">
        <v>50.802111111111131</v>
      </c>
      <c r="BM303" s="9">
        <v>55.061728395061721</v>
      </c>
      <c r="BN303" s="9">
        <v>110.12277777777774</v>
      </c>
      <c r="BO303" s="7">
        <v>5</v>
      </c>
      <c r="BP303" s="7">
        <v>25</v>
      </c>
      <c r="BQ303" s="7">
        <v>15</v>
      </c>
      <c r="BR303" s="7">
        <v>9</v>
      </c>
      <c r="BS303" s="7">
        <v>0</v>
      </c>
      <c r="BT303" s="7">
        <v>0</v>
      </c>
      <c r="BU303" s="7">
        <v>10</v>
      </c>
      <c r="BV303" s="7">
        <v>30</v>
      </c>
      <c r="BW303" s="7">
        <v>12</v>
      </c>
      <c r="BX303" s="7">
        <v>2</v>
      </c>
      <c r="BY303" s="7">
        <v>0</v>
      </c>
      <c r="BZ303" s="7">
        <v>0</v>
      </c>
      <c r="CA303" s="7"/>
      <c r="CB303" s="9"/>
      <c r="CC303" s="9"/>
      <c r="CD303" s="9"/>
      <c r="CE303" s="9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>
        <v>54</v>
      </c>
      <c r="CS303" s="9">
        <v>59.320666666666696</v>
      </c>
      <c r="CT303" s="9">
        <v>50.802111111111131</v>
      </c>
      <c r="CU303" s="9">
        <v>55.061728395061721</v>
      </c>
      <c r="CV303" s="9">
        <v>110.12277777777774</v>
      </c>
      <c r="CW303" s="7">
        <v>5</v>
      </c>
      <c r="CX303" s="7">
        <v>25</v>
      </c>
      <c r="CY303" s="7">
        <v>15</v>
      </c>
      <c r="CZ303" s="7">
        <v>9</v>
      </c>
      <c r="DA303" s="7">
        <v>0</v>
      </c>
      <c r="DB303" s="7">
        <v>0</v>
      </c>
      <c r="DC303" s="7">
        <v>10</v>
      </c>
      <c r="DD303" s="7">
        <v>30</v>
      </c>
      <c r="DE303" s="7">
        <v>12</v>
      </c>
      <c r="DF303" s="7">
        <v>2</v>
      </c>
      <c r="DG303" s="7">
        <v>0</v>
      </c>
      <c r="DH303" s="7">
        <v>0</v>
      </c>
      <c r="DI303" s="18">
        <f t="shared" si="42"/>
        <v>215</v>
      </c>
      <c r="DJ303" s="18" t="str">
        <f t="shared" si="43"/>
        <v/>
      </c>
      <c r="DK303" s="18">
        <f t="shared" si="44"/>
        <v>219</v>
      </c>
      <c r="DL303" s="18">
        <f t="shared" si="45"/>
        <v>17</v>
      </c>
      <c r="DM303" s="18" t="str">
        <f t="shared" si="46"/>
        <v/>
      </c>
      <c r="DN303" s="18">
        <f t="shared" si="47"/>
        <v>16</v>
      </c>
      <c r="DO303" s="18">
        <v>313</v>
      </c>
      <c r="DP303" s="18">
        <v>124</v>
      </c>
      <c r="DQ303" s="18">
        <v>313</v>
      </c>
      <c r="DR303" s="18">
        <v>31</v>
      </c>
      <c r="DS303" s="18">
        <v>5</v>
      </c>
      <c r="DT303" s="18">
        <v>31</v>
      </c>
      <c r="DU303" s="18" t="s">
        <v>255</v>
      </c>
    </row>
    <row r="304" spans="54:125" x14ac:dyDescent="0.25">
      <c r="BB304" s="7">
        <v>301</v>
      </c>
      <c r="BC304" s="7" t="s">
        <v>332</v>
      </c>
      <c r="BD304" s="23" t="s">
        <v>255</v>
      </c>
      <c r="BE304" s="26">
        <v>638397194</v>
      </c>
      <c r="BF304" s="25" t="s">
        <v>261</v>
      </c>
      <c r="BG304" s="7">
        <v>324</v>
      </c>
      <c r="BH304" s="7" t="s">
        <v>320</v>
      </c>
      <c r="BI304" s="7" t="s">
        <v>367</v>
      </c>
      <c r="BJ304" s="7">
        <v>74</v>
      </c>
      <c r="BK304" s="9">
        <v>45.314986486486525</v>
      </c>
      <c r="BL304" s="9">
        <v>37.92759459459463</v>
      </c>
      <c r="BM304" s="9">
        <v>41.621621621621614</v>
      </c>
      <c r="BN304" s="9">
        <v>83.242581081081084</v>
      </c>
      <c r="BO304" s="7">
        <v>19</v>
      </c>
      <c r="BP304" s="7">
        <v>37</v>
      </c>
      <c r="BQ304" s="7">
        <v>14</v>
      </c>
      <c r="BR304" s="7">
        <v>4</v>
      </c>
      <c r="BS304" s="7">
        <v>1</v>
      </c>
      <c r="BT304" s="7">
        <v>0</v>
      </c>
      <c r="BU304" s="7">
        <v>32</v>
      </c>
      <c r="BV304" s="7">
        <v>35</v>
      </c>
      <c r="BW304" s="7">
        <v>4</v>
      </c>
      <c r="BX304" s="7">
        <v>3</v>
      </c>
      <c r="BY304" s="7">
        <v>0</v>
      </c>
      <c r="BZ304" s="7">
        <v>0</v>
      </c>
      <c r="CA304" s="7"/>
      <c r="CB304" s="9"/>
      <c r="CC304" s="9"/>
      <c r="CD304" s="9"/>
      <c r="CE304" s="9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>
        <v>74</v>
      </c>
      <c r="CS304" s="9">
        <v>45.314986486486525</v>
      </c>
      <c r="CT304" s="9">
        <v>37.92759459459463</v>
      </c>
      <c r="CU304" s="9">
        <v>41.621621621621614</v>
      </c>
      <c r="CV304" s="9">
        <v>83.242581081081084</v>
      </c>
      <c r="CW304" s="7">
        <v>19</v>
      </c>
      <c r="CX304" s="7">
        <v>37</v>
      </c>
      <c r="CY304" s="7">
        <v>14</v>
      </c>
      <c r="CZ304" s="7">
        <v>4</v>
      </c>
      <c r="DA304" s="7">
        <v>1</v>
      </c>
      <c r="DB304" s="7">
        <v>0</v>
      </c>
      <c r="DC304" s="7">
        <v>32</v>
      </c>
      <c r="DD304" s="7">
        <v>35</v>
      </c>
      <c r="DE304" s="7">
        <v>4</v>
      </c>
      <c r="DF304" s="7">
        <v>3</v>
      </c>
      <c r="DG304" s="7">
        <v>0</v>
      </c>
      <c r="DH304" s="7">
        <v>0</v>
      </c>
      <c r="DI304" s="18">
        <f t="shared" si="42"/>
        <v>298</v>
      </c>
      <c r="DJ304" s="18" t="str">
        <f t="shared" si="43"/>
        <v/>
      </c>
      <c r="DK304" s="18">
        <f t="shared" si="44"/>
        <v>299</v>
      </c>
      <c r="DL304" s="18">
        <f t="shared" si="45"/>
        <v>30</v>
      </c>
      <c r="DM304" s="18" t="str">
        <f t="shared" si="46"/>
        <v/>
      </c>
      <c r="DN304" s="18">
        <f t="shared" si="47"/>
        <v>30</v>
      </c>
      <c r="DO304" s="18">
        <v>313</v>
      </c>
      <c r="DP304" s="18">
        <v>124</v>
      </c>
      <c r="DQ304" s="18">
        <v>313</v>
      </c>
      <c r="DR304" s="18">
        <v>31</v>
      </c>
      <c r="DS304" s="18">
        <v>5</v>
      </c>
      <c r="DT304" s="18">
        <v>31</v>
      </c>
      <c r="DU304" s="18" t="s">
        <v>255</v>
      </c>
    </row>
    <row r="305" spans="54:125" x14ac:dyDescent="0.25">
      <c r="BB305" s="7">
        <v>302</v>
      </c>
      <c r="BC305" s="7" t="s">
        <v>332</v>
      </c>
      <c r="BD305" s="23" t="s">
        <v>255</v>
      </c>
      <c r="BE305" s="26">
        <v>931713125</v>
      </c>
      <c r="BF305" s="25" t="s">
        <v>263</v>
      </c>
      <c r="BG305" s="7">
        <v>326</v>
      </c>
      <c r="BH305" s="7" t="s">
        <v>320</v>
      </c>
      <c r="BI305" s="7" t="s">
        <v>367</v>
      </c>
      <c r="BJ305" s="7">
        <v>259</v>
      </c>
      <c r="BK305" s="9">
        <v>62.856810810810778</v>
      </c>
      <c r="BL305" s="9">
        <v>57.914737451737452</v>
      </c>
      <c r="BM305" s="9">
        <v>60.386100386100381</v>
      </c>
      <c r="BN305" s="9">
        <v>120.77154826254814</v>
      </c>
      <c r="BO305" s="7">
        <v>27</v>
      </c>
      <c r="BP305" s="7">
        <v>85</v>
      </c>
      <c r="BQ305" s="7">
        <v>97</v>
      </c>
      <c r="BR305" s="7">
        <v>50</v>
      </c>
      <c r="BS305" s="7">
        <v>3</v>
      </c>
      <c r="BT305" s="7">
        <v>5</v>
      </c>
      <c r="BU305" s="7">
        <v>31</v>
      </c>
      <c r="BV305" s="7">
        <v>107</v>
      </c>
      <c r="BW305" s="7">
        <v>94</v>
      </c>
      <c r="BX305" s="7">
        <v>27</v>
      </c>
      <c r="BY305" s="7">
        <v>0</v>
      </c>
      <c r="BZ305" s="7">
        <v>0</v>
      </c>
      <c r="CA305" s="7"/>
      <c r="CB305" s="9"/>
      <c r="CC305" s="9"/>
      <c r="CD305" s="9"/>
      <c r="CE305" s="9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>
        <v>259</v>
      </c>
      <c r="CS305" s="9">
        <v>62.856810810810778</v>
      </c>
      <c r="CT305" s="9">
        <v>57.914737451737452</v>
      </c>
      <c r="CU305" s="9">
        <v>60.386100386100381</v>
      </c>
      <c r="CV305" s="9">
        <v>120.77154826254814</v>
      </c>
      <c r="CW305" s="7">
        <v>27</v>
      </c>
      <c r="CX305" s="7">
        <v>85</v>
      </c>
      <c r="CY305" s="7">
        <v>97</v>
      </c>
      <c r="CZ305" s="7">
        <v>50</v>
      </c>
      <c r="DA305" s="7">
        <v>3</v>
      </c>
      <c r="DB305" s="7">
        <v>5</v>
      </c>
      <c r="DC305" s="7">
        <v>31</v>
      </c>
      <c r="DD305" s="7">
        <v>107</v>
      </c>
      <c r="DE305" s="7">
        <v>94</v>
      </c>
      <c r="DF305" s="7">
        <v>27</v>
      </c>
      <c r="DG305" s="7">
        <v>0</v>
      </c>
      <c r="DH305" s="7">
        <v>0</v>
      </c>
      <c r="DI305" s="18">
        <f t="shared" si="42"/>
        <v>133</v>
      </c>
      <c r="DJ305" s="18" t="str">
        <f t="shared" si="43"/>
        <v/>
      </c>
      <c r="DK305" s="18">
        <f t="shared" si="44"/>
        <v>125</v>
      </c>
      <c r="DL305" s="18">
        <f t="shared" si="45"/>
        <v>8</v>
      </c>
      <c r="DM305" s="18" t="str">
        <f t="shared" si="46"/>
        <v/>
      </c>
      <c r="DN305" s="18">
        <f t="shared" si="47"/>
        <v>8</v>
      </c>
      <c r="DO305" s="18">
        <v>313</v>
      </c>
      <c r="DP305" s="18">
        <v>124</v>
      </c>
      <c r="DQ305" s="18">
        <v>313</v>
      </c>
      <c r="DR305" s="18">
        <v>31</v>
      </c>
      <c r="DS305" s="18">
        <v>5</v>
      </c>
      <c r="DT305" s="18">
        <v>31</v>
      </c>
      <c r="DU305" s="18" t="s">
        <v>255</v>
      </c>
    </row>
    <row r="306" spans="54:125" x14ac:dyDescent="0.25">
      <c r="BB306" s="7">
        <v>303</v>
      </c>
      <c r="BC306" s="7" t="s">
        <v>332</v>
      </c>
      <c r="BD306" s="23" t="s">
        <v>277</v>
      </c>
      <c r="BE306" s="26"/>
      <c r="BF306" s="25"/>
      <c r="BG306" s="7">
        <v>4</v>
      </c>
      <c r="BH306" s="7" t="s">
        <v>321</v>
      </c>
      <c r="BI306" s="7"/>
      <c r="BJ306" s="7"/>
      <c r="BK306" s="9"/>
      <c r="BL306" s="9"/>
      <c r="BM306" s="9"/>
      <c r="BN306" s="9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9"/>
      <c r="CC306" s="9"/>
      <c r="CD306" s="9"/>
      <c r="CE306" s="9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9"/>
      <c r="CT306" s="9"/>
      <c r="CU306" s="9"/>
      <c r="CV306" s="9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18" t="str">
        <f t="shared" si="42"/>
        <v/>
      </c>
      <c r="DJ306" s="18" t="str">
        <f t="shared" si="43"/>
        <v/>
      </c>
      <c r="DK306" s="18" t="str">
        <f t="shared" si="44"/>
        <v/>
      </c>
      <c r="DL306" s="18" t="str">
        <f t="shared" ref="DL306:DL326" si="48">IF(BN306="","",(RANK(BN306,$BN$306:$BN$326)))</f>
        <v/>
      </c>
      <c r="DM306" s="18" t="str">
        <f t="shared" ref="DM306:DM326" si="49">IF(CE306="","",(RANK(CE306,$CE$306:$CE$326)))</f>
        <v/>
      </c>
      <c r="DN306" s="18" t="str">
        <f t="shared" ref="DN306:DN326" si="50">IF(CV306="","",(RANK(CV306,$CV$306:$CV$326)))</f>
        <v/>
      </c>
      <c r="DO306" s="18">
        <v>313</v>
      </c>
      <c r="DP306" s="18">
        <v>124</v>
      </c>
      <c r="DQ306" s="18">
        <v>313</v>
      </c>
      <c r="DR306" s="18">
        <v>21</v>
      </c>
      <c r="DS306" s="18">
        <v>11</v>
      </c>
      <c r="DT306" s="18">
        <v>21</v>
      </c>
      <c r="DU306" s="18" t="s">
        <v>277</v>
      </c>
    </row>
    <row r="307" spans="54:125" x14ac:dyDescent="0.25">
      <c r="BB307" s="7">
        <v>304</v>
      </c>
      <c r="BC307" s="7" t="s">
        <v>332</v>
      </c>
      <c r="BD307" s="23" t="s">
        <v>277</v>
      </c>
      <c r="BE307" s="26">
        <v>823233078</v>
      </c>
      <c r="BF307" s="25" t="s">
        <v>285</v>
      </c>
      <c r="BG307" s="7">
        <v>13</v>
      </c>
      <c r="BH307" s="7" t="s">
        <v>320</v>
      </c>
      <c r="BI307" s="7" t="s">
        <v>367</v>
      </c>
      <c r="BJ307" s="7">
        <v>101</v>
      </c>
      <c r="BK307" s="9">
        <v>65.643267326732669</v>
      </c>
      <c r="BL307" s="9">
        <v>58.316495049504965</v>
      </c>
      <c r="BM307" s="9">
        <v>61.980198019801968</v>
      </c>
      <c r="BN307" s="9">
        <v>123.95976237623756</v>
      </c>
      <c r="BO307" s="7">
        <v>10</v>
      </c>
      <c r="BP307" s="7">
        <v>31</v>
      </c>
      <c r="BQ307" s="7">
        <v>31</v>
      </c>
      <c r="BR307" s="7">
        <v>29</v>
      </c>
      <c r="BS307" s="7">
        <v>0</v>
      </c>
      <c r="BT307" s="7">
        <v>3</v>
      </c>
      <c r="BU307" s="7">
        <v>12</v>
      </c>
      <c r="BV307" s="7">
        <v>43</v>
      </c>
      <c r="BW307" s="7">
        <v>31</v>
      </c>
      <c r="BX307" s="7">
        <v>15</v>
      </c>
      <c r="BY307" s="7">
        <v>0</v>
      </c>
      <c r="BZ307" s="7">
        <v>1</v>
      </c>
      <c r="CA307" s="7"/>
      <c r="CB307" s="9"/>
      <c r="CC307" s="9"/>
      <c r="CD307" s="9"/>
      <c r="CE307" s="9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>
        <v>101</v>
      </c>
      <c r="CS307" s="9">
        <v>65.643267326732669</v>
      </c>
      <c r="CT307" s="9">
        <v>58.316495049504965</v>
      </c>
      <c r="CU307" s="9">
        <v>61.980198019801968</v>
      </c>
      <c r="CV307" s="9">
        <v>123.95976237623756</v>
      </c>
      <c r="CW307" s="7">
        <v>10</v>
      </c>
      <c r="CX307" s="7">
        <v>31</v>
      </c>
      <c r="CY307" s="7">
        <v>31</v>
      </c>
      <c r="CZ307" s="7">
        <v>29</v>
      </c>
      <c r="DA307" s="7">
        <v>0</v>
      </c>
      <c r="DB307" s="7">
        <v>3</v>
      </c>
      <c r="DC307" s="7">
        <v>12</v>
      </c>
      <c r="DD307" s="7">
        <v>43</v>
      </c>
      <c r="DE307" s="7">
        <v>31</v>
      </c>
      <c r="DF307" s="7">
        <v>15</v>
      </c>
      <c r="DG307" s="7">
        <v>0</v>
      </c>
      <c r="DH307" s="7">
        <v>1</v>
      </c>
      <c r="DI307" s="18">
        <f t="shared" si="42"/>
        <v>104</v>
      </c>
      <c r="DJ307" s="18" t="str">
        <f t="shared" si="43"/>
        <v/>
      </c>
      <c r="DK307" s="18">
        <f t="shared" si="44"/>
        <v>95</v>
      </c>
      <c r="DL307" s="18">
        <f t="shared" si="48"/>
        <v>10</v>
      </c>
      <c r="DM307" s="18" t="str">
        <f t="shared" si="49"/>
        <v/>
      </c>
      <c r="DN307" s="18">
        <f t="shared" si="50"/>
        <v>9</v>
      </c>
      <c r="DO307" s="18">
        <v>313</v>
      </c>
      <c r="DP307" s="18">
        <v>124</v>
      </c>
      <c r="DQ307" s="18">
        <v>313</v>
      </c>
      <c r="DR307" s="18">
        <v>21</v>
      </c>
      <c r="DS307" s="18">
        <v>11</v>
      </c>
      <c r="DT307" s="18">
        <v>21</v>
      </c>
      <c r="DU307" s="18" t="s">
        <v>277</v>
      </c>
    </row>
    <row r="308" spans="54:125" x14ac:dyDescent="0.25">
      <c r="BB308" s="7">
        <v>305</v>
      </c>
      <c r="BC308" s="7" t="s">
        <v>332</v>
      </c>
      <c r="BD308" s="23" t="s">
        <v>277</v>
      </c>
      <c r="BE308" s="26">
        <v>539173281</v>
      </c>
      <c r="BF308" s="25" t="s">
        <v>281</v>
      </c>
      <c r="BG308" s="7">
        <v>18</v>
      </c>
      <c r="BH308" s="7" t="s">
        <v>320</v>
      </c>
      <c r="BI308" s="7" t="s">
        <v>368</v>
      </c>
      <c r="BJ308" s="7">
        <v>91</v>
      </c>
      <c r="BK308" s="9">
        <v>62.820186813186837</v>
      </c>
      <c r="BL308" s="9">
        <v>55.713934065934083</v>
      </c>
      <c r="BM308" s="9">
        <v>59.267399267399263</v>
      </c>
      <c r="BN308" s="9">
        <v>118.53412087912082</v>
      </c>
      <c r="BO308" s="7">
        <v>11</v>
      </c>
      <c r="BP308" s="7">
        <v>25</v>
      </c>
      <c r="BQ308" s="7">
        <v>34</v>
      </c>
      <c r="BR308" s="7">
        <v>21</v>
      </c>
      <c r="BS308" s="7">
        <v>0</v>
      </c>
      <c r="BT308" s="7">
        <v>1</v>
      </c>
      <c r="BU308" s="7">
        <v>16</v>
      </c>
      <c r="BV308" s="7">
        <v>37</v>
      </c>
      <c r="BW308" s="7">
        <v>29</v>
      </c>
      <c r="BX308" s="7">
        <v>9</v>
      </c>
      <c r="BY308" s="7">
        <v>0</v>
      </c>
      <c r="BZ308" s="7">
        <v>0</v>
      </c>
      <c r="CA308" s="7">
        <v>70</v>
      </c>
      <c r="CB308" s="9">
        <v>69.761557142857171</v>
      </c>
      <c r="CC308" s="9">
        <v>65.380628571428602</v>
      </c>
      <c r="CD308" s="9">
        <v>67.571428571428569</v>
      </c>
      <c r="CE308" s="9">
        <v>135.14218571428569</v>
      </c>
      <c r="CF308" s="7">
        <v>2</v>
      </c>
      <c r="CG308" s="7">
        <v>12</v>
      </c>
      <c r="CH308" s="7">
        <v>41</v>
      </c>
      <c r="CI308" s="7">
        <v>15</v>
      </c>
      <c r="CJ308" s="7">
        <v>0</v>
      </c>
      <c r="CK308" s="7">
        <v>0</v>
      </c>
      <c r="CL308" s="7">
        <v>0</v>
      </c>
      <c r="CM308" s="7">
        <v>28</v>
      </c>
      <c r="CN308" s="7">
        <v>32</v>
      </c>
      <c r="CO308" s="7">
        <v>10</v>
      </c>
      <c r="CP308" s="7">
        <v>0</v>
      </c>
      <c r="CQ308" s="7">
        <v>0</v>
      </c>
      <c r="CR308" s="7">
        <v>161</v>
      </c>
      <c r="CS308" s="9">
        <v>65.83817391304342</v>
      </c>
      <c r="CT308" s="9">
        <v>59.916844720496854</v>
      </c>
      <c r="CU308" s="9">
        <v>62.87784679089031</v>
      </c>
      <c r="CV308" s="9">
        <v>125.75501863354037</v>
      </c>
      <c r="CW308" s="7">
        <v>13</v>
      </c>
      <c r="CX308" s="7">
        <v>37</v>
      </c>
      <c r="CY308" s="7">
        <v>75</v>
      </c>
      <c r="CZ308" s="7">
        <v>36</v>
      </c>
      <c r="DA308" s="7">
        <v>0</v>
      </c>
      <c r="DB308" s="7">
        <v>1</v>
      </c>
      <c r="DC308" s="7">
        <v>16</v>
      </c>
      <c r="DD308" s="7">
        <v>65</v>
      </c>
      <c r="DE308" s="7">
        <v>61</v>
      </c>
      <c r="DF308" s="7">
        <v>19</v>
      </c>
      <c r="DG308" s="7">
        <v>0</v>
      </c>
      <c r="DH308" s="7">
        <v>0</v>
      </c>
      <c r="DI308" s="18">
        <f t="shared" si="42"/>
        <v>151</v>
      </c>
      <c r="DJ308" s="18">
        <f t="shared" si="43"/>
        <v>8</v>
      </c>
      <c r="DK308" s="18">
        <f t="shared" si="44"/>
        <v>76</v>
      </c>
      <c r="DL308" s="18">
        <f t="shared" si="48"/>
        <v>13</v>
      </c>
      <c r="DM308" s="18">
        <f t="shared" si="49"/>
        <v>1</v>
      </c>
      <c r="DN308" s="18">
        <f t="shared" si="50"/>
        <v>7</v>
      </c>
      <c r="DO308" s="18">
        <v>313</v>
      </c>
      <c r="DP308" s="18">
        <v>124</v>
      </c>
      <c r="DQ308" s="18">
        <v>313</v>
      </c>
      <c r="DR308" s="18">
        <v>21</v>
      </c>
      <c r="DS308" s="18">
        <v>11</v>
      </c>
      <c r="DT308" s="18">
        <v>21</v>
      </c>
      <c r="DU308" s="18" t="s">
        <v>277</v>
      </c>
    </row>
    <row r="309" spans="54:125" x14ac:dyDescent="0.25">
      <c r="BB309" s="7">
        <v>306</v>
      </c>
      <c r="BC309" s="7" t="s">
        <v>332</v>
      </c>
      <c r="BD309" s="23" t="s">
        <v>277</v>
      </c>
      <c r="BE309" s="26">
        <v>502010385</v>
      </c>
      <c r="BF309" s="25" t="s">
        <v>280</v>
      </c>
      <c r="BG309" s="7">
        <v>20</v>
      </c>
      <c r="BH309" s="7" t="s">
        <v>322</v>
      </c>
      <c r="BI309" s="7" t="s">
        <v>368</v>
      </c>
      <c r="BJ309" s="7">
        <v>218</v>
      </c>
      <c r="BK309" s="9">
        <v>70.534839449541238</v>
      </c>
      <c r="BL309" s="9">
        <v>65.0913944954128</v>
      </c>
      <c r="BM309" s="9">
        <v>67.813455657492355</v>
      </c>
      <c r="BN309" s="9">
        <v>135.62623394495401</v>
      </c>
      <c r="BO309" s="7">
        <v>3</v>
      </c>
      <c r="BP309" s="7">
        <v>57</v>
      </c>
      <c r="BQ309" s="7">
        <v>96</v>
      </c>
      <c r="BR309" s="7">
        <v>62</v>
      </c>
      <c r="BS309" s="7">
        <v>1</v>
      </c>
      <c r="BT309" s="7">
        <v>2</v>
      </c>
      <c r="BU309" s="7">
        <v>13</v>
      </c>
      <c r="BV309" s="7">
        <v>66</v>
      </c>
      <c r="BW309" s="7">
        <v>96</v>
      </c>
      <c r="BX309" s="7">
        <v>43</v>
      </c>
      <c r="BY309" s="7">
        <v>0</v>
      </c>
      <c r="BZ309" s="7">
        <v>0</v>
      </c>
      <c r="CA309" s="7">
        <v>254</v>
      </c>
      <c r="CB309" s="9">
        <v>67.886807086614084</v>
      </c>
      <c r="CC309" s="9">
        <v>63.542999999999971</v>
      </c>
      <c r="CD309" s="9">
        <v>65.715223097112869</v>
      </c>
      <c r="CE309" s="9">
        <v>131.42980708661412</v>
      </c>
      <c r="CF309" s="7">
        <v>3</v>
      </c>
      <c r="CG309" s="7">
        <v>66</v>
      </c>
      <c r="CH309" s="7">
        <v>147</v>
      </c>
      <c r="CI309" s="7">
        <v>38</v>
      </c>
      <c r="CJ309" s="7">
        <v>0</v>
      </c>
      <c r="CK309" s="7">
        <v>0</v>
      </c>
      <c r="CL309" s="7">
        <v>6</v>
      </c>
      <c r="CM309" s="7">
        <v>106</v>
      </c>
      <c r="CN309" s="7">
        <v>111</v>
      </c>
      <c r="CO309" s="7">
        <v>31</v>
      </c>
      <c r="CP309" s="7">
        <v>0</v>
      </c>
      <c r="CQ309" s="7">
        <v>0</v>
      </c>
      <c r="CR309" s="7">
        <v>472</v>
      </c>
      <c r="CS309" s="9">
        <v>69.109838983050793</v>
      </c>
      <c r="CT309" s="9">
        <v>64.25814830508466</v>
      </c>
      <c r="CU309" s="9">
        <v>66.684322033898283</v>
      </c>
      <c r="CV309" s="9">
        <v>133.3679872881354</v>
      </c>
      <c r="CW309" s="7">
        <v>6</v>
      </c>
      <c r="CX309" s="7">
        <v>123</v>
      </c>
      <c r="CY309" s="7">
        <v>243</v>
      </c>
      <c r="CZ309" s="7">
        <v>100</v>
      </c>
      <c r="DA309" s="7">
        <v>1</v>
      </c>
      <c r="DB309" s="7">
        <v>2</v>
      </c>
      <c r="DC309" s="7">
        <v>19</v>
      </c>
      <c r="DD309" s="7">
        <v>172</v>
      </c>
      <c r="DE309" s="7">
        <v>207</v>
      </c>
      <c r="DF309" s="7">
        <v>74</v>
      </c>
      <c r="DG309" s="7">
        <v>0</v>
      </c>
      <c r="DH309" s="7">
        <v>0</v>
      </c>
      <c r="DI309" s="18">
        <f t="shared" si="42"/>
        <v>28</v>
      </c>
      <c r="DJ309" s="18">
        <f t="shared" si="43"/>
        <v>16</v>
      </c>
      <c r="DK309" s="18">
        <f t="shared" si="44"/>
        <v>31</v>
      </c>
      <c r="DL309" s="18">
        <f t="shared" si="48"/>
        <v>3</v>
      </c>
      <c r="DM309" s="18">
        <f t="shared" si="49"/>
        <v>3</v>
      </c>
      <c r="DN309" s="18">
        <f t="shared" si="50"/>
        <v>2</v>
      </c>
      <c r="DO309" s="18">
        <v>313</v>
      </c>
      <c r="DP309" s="18">
        <v>124</v>
      </c>
      <c r="DQ309" s="18">
        <v>313</v>
      </c>
      <c r="DR309" s="18">
        <v>21</v>
      </c>
      <c r="DS309" s="18">
        <v>11</v>
      </c>
      <c r="DT309" s="18">
        <v>21</v>
      </c>
      <c r="DU309" s="18" t="s">
        <v>277</v>
      </c>
    </row>
    <row r="310" spans="54:125" x14ac:dyDescent="0.25">
      <c r="BB310" s="7">
        <v>307</v>
      </c>
      <c r="BC310" s="7" t="s">
        <v>332</v>
      </c>
      <c r="BD310" s="23" t="s">
        <v>277</v>
      </c>
      <c r="BE310" s="26">
        <v>883514448</v>
      </c>
      <c r="BF310" s="25" t="s">
        <v>279</v>
      </c>
      <c r="BG310" s="7">
        <v>21</v>
      </c>
      <c r="BH310" s="7" t="s">
        <v>320</v>
      </c>
      <c r="BI310" s="7" t="s">
        <v>367</v>
      </c>
      <c r="BJ310" s="7">
        <v>119</v>
      </c>
      <c r="BK310" s="9">
        <v>65.994050420168065</v>
      </c>
      <c r="BL310" s="9">
        <v>58.318966386554635</v>
      </c>
      <c r="BM310" s="9">
        <v>62.156862745098032</v>
      </c>
      <c r="BN310" s="9">
        <v>124.31301680672263</v>
      </c>
      <c r="BO310" s="7">
        <v>8</v>
      </c>
      <c r="BP310" s="7">
        <v>34</v>
      </c>
      <c r="BQ310" s="7">
        <v>47</v>
      </c>
      <c r="BR310" s="7">
        <v>30</v>
      </c>
      <c r="BS310" s="7">
        <v>1</v>
      </c>
      <c r="BT310" s="7">
        <v>0</v>
      </c>
      <c r="BU310" s="7">
        <v>18</v>
      </c>
      <c r="BV310" s="7">
        <v>43</v>
      </c>
      <c r="BW310" s="7">
        <v>40</v>
      </c>
      <c r="BX310" s="7">
        <v>18</v>
      </c>
      <c r="BY310" s="7">
        <v>0</v>
      </c>
      <c r="BZ310" s="7">
        <v>0</v>
      </c>
      <c r="CA310" s="7"/>
      <c r="CB310" s="9"/>
      <c r="CC310" s="9"/>
      <c r="CD310" s="9"/>
      <c r="CE310" s="9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>
        <v>119</v>
      </c>
      <c r="CS310" s="9">
        <v>65.994050420168065</v>
      </c>
      <c r="CT310" s="9">
        <v>58.318966386554635</v>
      </c>
      <c r="CU310" s="9">
        <v>62.156862745098032</v>
      </c>
      <c r="CV310" s="9">
        <v>124.31301680672263</v>
      </c>
      <c r="CW310" s="7">
        <v>8</v>
      </c>
      <c r="CX310" s="7">
        <v>34</v>
      </c>
      <c r="CY310" s="7">
        <v>47</v>
      </c>
      <c r="CZ310" s="7">
        <v>30</v>
      </c>
      <c r="DA310" s="7">
        <v>1</v>
      </c>
      <c r="DB310" s="7">
        <v>0</v>
      </c>
      <c r="DC310" s="7">
        <v>18</v>
      </c>
      <c r="DD310" s="7">
        <v>43</v>
      </c>
      <c r="DE310" s="7">
        <v>40</v>
      </c>
      <c r="DF310" s="7">
        <v>18</v>
      </c>
      <c r="DG310" s="7">
        <v>0</v>
      </c>
      <c r="DH310" s="7">
        <v>0</v>
      </c>
      <c r="DI310" s="18">
        <f t="shared" si="42"/>
        <v>103</v>
      </c>
      <c r="DJ310" s="18" t="str">
        <f t="shared" si="43"/>
        <v/>
      </c>
      <c r="DK310" s="18">
        <f t="shared" si="44"/>
        <v>91</v>
      </c>
      <c r="DL310" s="18">
        <f t="shared" si="48"/>
        <v>9</v>
      </c>
      <c r="DM310" s="18" t="str">
        <f t="shared" si="49"/>
        <v/>
      </c>
      <c r="DN310" s="18">
        <f t="shared" si="50"/>
        <v>8</v>
      </c>
      <c r="DO310" s="18">
        <v>313</v>
      </c>
      <c r="DP310" s="18">
        <v>124</v>
      </c>
      <c r="DQ310" s="18">
        <v>313</v>
      </c>
      <c r="DR310" s="18">
        <v>21</v>
      </c>
      <c r="DS310" s="18">
        <v>11</v>
      </c>
      <c r="DT310" s="18">
        <v>21</v>
      </c>
      <c r="DU310" s="18" t="s">
        <v>277</v>
      </c>
    </row>
    <row r="311" spans="54:125" x14ac:dyDescent="0.25">
      <c r="BB311" s="7">
        <v>308</v>
      </c>
      <c r="BC311" s="7" t="s">
        <v>332</v>
      </c>
      <c r="BD311" s="23" t="s">
        <v>277</v>
      </c>
      <c r="BE311" s="26">
        <v>368971935</v>
      </c>
      <c r="BF311" s="25" t="s">
        <v>283</v>
      </c>
      <c r="BG311" s="7">
        <v>31</v>
      </c>
      <c r="BH311" s="7" t="s">
        <v>320</v>
      </c>
      <c r="BI311" s="7" t="s">
        <v>367</v>
      </c>
      <c r="BJ311" s="7">
        <v>55</v>
      </c>
      <c r="BK311" s="9">
        <v>59.090636363636385</v>
      </c>
      <c r="BL311" s="9">
        <v>56.787527272727289</v>
      </c>
      <c r="BM311" s="9">
        <v>57.939393939393923</v>
      </c>
      <c r="BN311" s="9">
        <v>115.87816363636358</v>
      </c>
      <c r="BO311" s="7">
        <v>7</v>
      </c>
      <c r="BP311" s="7">
        <v>17</v>
      </c>
      <c r="BQ311" s="7">
        <v>23</v>
      </c>
      <c r="BR311" s="7">
        <v>8</v>
      </c>
      <c r="BS311" s="7">
        <v>0</v>
      </c>
      <c r="BT311" s="7">
        <v>0</v>
      </c>
      <c r="BU311" s="7">
        <v>11</v>
      </c>
      <c r="BV311" s="7">
        <v>18</v>
      </c>
      <c r="BW311" s="7">
        <v>16</v>
      </c>
      <c r="BX311" s="7">
        <v>10</v>
      </c>
      <c r="BY311" s="7">
        <v>0</v>
      </c>
      <c r="BZ311" s="7">
        <v>0</v>
      </c>
      <c r="CA311" s="7"/>
      <c r="CB311" s="9"/>
      <c r="CC311" s="9"/>
      <c r="CD311" s="9"/>
      <c r="CE311" s="9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>
        <v>55</v>
      </c>
      <c r="CS311" s="9">
        <v>59.090636363636385</v>
      </c>
      <c r="CT311" s="9">
        <v>56.787527272727289</v>
      </c>
      <c r="CU311" s="9">
        <v>57.939393939393923</v>
      </c>
      <c r="CV311" s="9">
        <v>115.87816363636358</v>
      </c>
      <c r="CW311" s="7">
        <v>7</v>
      </c>
      <c r="CX311" s="7">
        <v>17</v>
      </c>
      <c r="CY311" s="7">
        <v>23</v>
      </c>
      <c r="CZ311" s="7">
        <v>8</v>
      </c>
      <c r="DA311" s="7">
        <v>0</v>
      </c>
      <c r="DB311" s="7">
        <v>0</v>
      </c>
      <c r="DC311" s="7">
        <v>11</v>
      </c>
      <c r="DD311" s="7">
        <v>18</v>
      </c>
      <c r="DE311" s="7">
        <v>16</v>
      </c>
      <c r="DF311" s="7">
        <v>10</v>
      </c>
      <c r="DG311" s="7">
        <v>0</v>
      </c>
      <c r="DH311" s="7">
        <v>0</v>
      </c>
      <c r="DI311" s="18">
        <f t="shared" si="42"/>
        <v>169</v>
      </c>
      <c r="DJ311" s="18" t="str">
        <f t="shared" si="43"/>
        <v/>
      </c>
      <c r="DK311" s="18">
        <f t="shared" si="44"/>
        <v>164</v>
      </c>
      <c r="DL311" s="18">
        <f t="shared" si="48"/>
        <v>15</v>
      </c>
      <c r="DM311" s="18" t="str">
        <f t="shared" si="49"/>
        <v/>
      </c>
      <c r="DN311" s="18">
        <f t="shared" si="50"/>
        <v>14</v>
      </c>
      <c r="DO311" s="18">
        <v>313</v>
      </c>
      <c r="DP311" s="18">
        <v>124</v>
      </c>
      <c r="DQ311" s="18">
        <v>313</v>
      </c>
      <c r="DR311" s="18">
        <v>21</v>
      </c>
      <c r="DS311" s="18">
        <v>11</v>
      </c>
      <c r="DT311" s="18">
        <v>21</v>
      </c>
      <c r="DU311" s="18" t="s">
        <v>277</v>
      </c>
    </row>
    <row r="312" spans="54:125" x14ac:dyDescent="0.25">
      <c r="BB312" s="7">
        <v>309</v>
      </c>
      <c r="BC312" s="7" t="s">
        <v>332</v>
      </c>
      <c r="BD312" s="23" t="s">
        <v>277</v>
      </c>
      <c r="BE312" s="26">
        <v>433987482</v>
      </c>
      <c r="BF312" s="25" t="s">
        <v>284</v>
      </c>
      <c r="BG312" s="7">
        <v>38</v>
      </c>
      <c r="BH312" s="7" t="s">
        <v>320</v>
      </c>
      <c r="BI312" s="7" t="s">
        <v>367</v>
      </c>
      <c r="BJ312" s="7">
        <v>79</v>
      </c>
      <c r="BK312" s="9">
        <v>57.383620253164587</v>
      </c>
      <c r="BL312" s="9">
        <v>54.345620253164604</v>
      </c>
      <c r="BM312" s="9">
        <v>55.86497890295356</v>
      </c>
      <c r="BN312" s="9">
        <v>111.72924050632909</v>
      </c>
      <c r="BO312" s="7">
        <v>13</v>
      </c>
      <c r="BP312" s="7">
        <v>29</v>
      </c>
      <c r="BQ312" s="7">
        <v>28</v>
      </c>
      <c r="BR312" s="7">
        <v>9</v>
      </c>
      <c r="BS312" s="7">
        <v>0</v>
      </c>
      <c r="BT312" s="7">
        <v>0</v>
      </c>
      <c r="BU312" s="7">
        <v>10</v>
      </c>
      <c r="BV312" s="7">
        <v>40</v>
      </c>
      <c r="BW312" s="7">
        <v>23</v>
      </c>
      <c r="BX312" s="7">
        <v>6</v>
      </c>
      <c r="BY312" s="7">
        <v>0</v>
      </c>
      <c r="BZ312" s="7">
        <v>0</v>
      </c>
      <c r="CA312" s="7"/>
      <c r="CB312" s="9"/>
      <c r="CC312" s="9"/>
      <c r="CD312" s="9"/>
      <c r="CE312" s="9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>
        <v>79</v>
      </c>
      <c r="CS312" s="9">
        <v>57.383620253164587</v>
      </c>
      <c r="CT312" s="9">
        <v>54.345620253164604</v>
      </c>
      <c r="CU312" s="9">
        <v>55.86497890295356</v>
      </c>
      <c r="CV312" s="9">
        <v>111.72924050632909</v>
      </c>
      <c r="CW312" s="7">
        <v>13</v>
      </c>
      <c r="CX312" s="7">
        <v>29</v>
      </c>
      <c r="CY312" s="7">
        <v>28</v>
      </c>
      <c r="CZ312" s="7">
        <v>9</v>
      </c>
      <c r="DA312" s="7">
        <v>0</v>
      </c>
      <c r="DB312" s="7">
        <v>0</v>
      </c>
      <c r="DC312" s="7">
        <v>10</v>
      </c>
      <c r="DD312" s="7">
        <v>40</v>
      </c>
      <c r="DE312" s="7">
        <v>23</v>
      </c>
      <c r="DF312" s="7">
        <v>6</v>
      </c>
      <c r="DG312" s="7">
        <v>0</v>
      </c>
      <c r="DH312" s="7">
        <v>0</v>
      </c>
      <c r="DI312" s="18">
        <f t="shared" si="42"/>
        <v>204</v>
      </c>
      <c r="DJ312" s="18" t="str">
        <f t="shared" si="43"/>
        <v/>
      </c>
      <c r="DK312" s="18">
        <f t="shared" si="44"/>
        <v>204</v>
      </c>
      <c r="DL312" s="18">
        <f t="shared" si="48"/>
        <v>17</v>
      </c>
      <c r="DM312" s="18" t="str">
        <f t="shared" si="49"/>
        <v/>
      </c>
      <c r="DN312" s="18">
        <f t="shared" si="50"/>
        <v>16</v>
      </c>
      <c r="DO312" s="18">
        <v>313</v>
      </c>
      <c r="DP312" s="18">
        <v>124</v>
      </c>
      <c r="DQ312" s="18">
        <v>313</v>
      </c>
      <c r="DR312" s="18">
        <v>21</v>
      </c>
      <c r="DS312" s="18">
        <v>11</v>
      </c>
      <c r="DT312" s="18">
        <v>21</v>
      </c>
      <c r="DU312" s="18" t="s">
        <v>277</v>
      </c>
    </row>
    <row r="313" spans="54:125" x14ac:dyDescent="0.25">
      <c r="BB313" s="7">
        <v>310</v>
      </c>
      <c r="BC313" s="7" t="s">
        <v>332</v>
      </c>
      <c r="BD313" s="23" t="s">
        <v>277</v>
      </c>
      <c r="BE313" s="26">
        <v>148009842</v>
      </c>
      <c r="BF313" s="25" t="s">
        <v>365</v>
      </c>
      <c r="BG313" s="7">
        <v>52</v>
      </c>
      <c r="BH313" s="7" t="s">
        <v>320</v>
      </c>
      <c r="BI313" s="7" t="s">
        <v>367</v>
      </c>
      <c r="BJ313" s="7">
        <v>74</v>
      </c>
      <c r="BK313" s="9">
        <v>56.531175675675719</v>
      </c>
      <c r="BL313" s="9">
        <v>52.972608108108147</v>
      </c>
      <c r="BM313" s="9">
        <v>54.752252252252255</v>
      </c>
      <c r="BN313" s="9">
        <v>109.50378378378377</v>
      </c>
      <c r="BO313" s="7">
        <v>6</v>
      </c>
      <c r="BP313" s="7">
        <v>39</v>
      </c>
      <c r="BQ313" s="7">
        <v>22</v>
      </c>
      <c r="BR313" s="7">
        <v>7</v>
      </c>
      <c r="BS313" s="7">
        <v>2</v>
      </c>
      <c r="BT313" s="7">
        <v>0</v>
      </c>
      <c r="BU313" s="7">
        <v>12</v>
      </c>
      <c r="BV313" s="7">
        <v>34</v>
      </c>
      <c r="BW313" s="7">
        <v>22</v>
      </c>
      <c r="BX313" s="7">
        <v>6</v>
      </c>
      <c r="BY313" s="7">
        <v>0</v>
      </c>
      <c r="BZ313" s="7">
        <v>1</v>
      </c>
      <c r="CA313" s="7"/>
      <c r="CB313" s="9"/>
      <c r="CC313" s="9"/>
      <c r="CD313" s="9"/>
      <c r="CE313" s="9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>
        <v>74</v>
      </c>
      <c r="CS313" s="9">
        <v>56.531175675675719</v>
      </c>
      <c r="CT313" s="9">
        <v>52.972608108108147</v>
      </c>
      <c r="CU313" s="9">
        <v>54.752252252252255</v>
      </c>
      <c r="CV313" s="9">
        <v>109.50378378378377</v>
      </c>
      <c r="CW313" s="7">
        <v>6</v>
      </c>
      <c r="CX313" s="7">
        <v>39</v>
      </c>
      <c r="CY313" s="7">
        <v>22</v>
      </c>
      <c r="CZ313" s="7">
        <v>7</v>
      </c>
      <c r="DA313" s="7">
        <v>2</v>
      </c>
      <c r="DB313" s="7">
        <v>0</v>
      </c>
      <c r="DC313" s="7">
        <v>12</v>
      </c>
      <c r="DD313" s="7">
        <v>34</v>
      </c>
      <c r="DE313" s="7">
        <v>22</v>
      </c>
      <c r="DF313" s="7">
        <v>6</v>
      </c>
      <c r="DG313" s="7">
        <v>0</v>
      </c>
      <c r="DH313" s="7">
        <v>1</v>
      </c>
      <c r="DI313" s="18">
        <f t="shared" si="42"/>
        <v>222</v>
      </c>
      <c r="DJ313" s="18" t="str">
        <f t="shared" si="43"/>
        <v/>
      </c>
      <c r="DK313" s="18">
        <f t="shared" si="44"/>
        <v>227</v>
      </c>
      <c r="DL313" s="18">
        <f t="shared" si="48"/>
        <v>19</v>
      </c>
      <c r="DM313" s="18" t="str">
        <f t="shared" si="49"/>
        <v/>
      </c>
      <c r="DN313" s="18">
        <f t="shared" si="50"/>
        <v>19</v>
      </c>
      <c r="DO313" s="18">
        <v>313</v>
      </c>
      <c r="DP313" s="18">
        <v>124</v>
      </c>
      <c r="DQ313" s="18">
        <v>313</v>
      </c>
      <c r="DR313" s="18">
        <v>21</v>
      </c>
      <c r="DS313" s="18">
        <v>11</v>
      </c>
      <c r="DT313" s="18">
        <v>21</v>
      </c>
      <c r="DU313" s="18" t="s">
        <v>277</v>
      </c>
    </row>
    <row r="314" spans="54:125" x14ac:dyDescent="0.25">
      <c r="BB314" s="7">
        <v>311</v>
      </c>
      <c r="BC314" s="7" t="s">
        <v>332</v>
      </c>
      <c r="BD314" s="23" t="s">
        <v>277</v>
      </c>
      <c r="BE314" s="26">
        <v>171508600</v>
      </c>
      <c r="BF314" s="25" t="s">
        <v>278</v>
      </c>
      <c r="BG314" s="7">
        <v>53</v>
      </c>
      <c r="BH314" s="7" t="s">
        <v>320</v>
      </c>
      <c r="BI314" s="7" t="s">
        <v>368</v>
      </c>
      <c r="BJ314" s="7">
        <v>148</v>
      </c>
      <c r="BK314" s="9">
        <v>71.058229729729717</v>
      </c>
      <c r="BL314" s="9">
        <v>66.035675675675662</v>
      </c>
      <c r="BM314" s="9">
        <v>68.547297297297291</v>
      </c>
      <c r="BN314" s="9">
        <v>137.09390540540531</v>
      </c>
      <c r="BO314" s="7">
        <v>9</v>
      </c>
      <c r="BP314" s="7">
        <v>33</v>
      </c>
      <c r="BQ314" s="7">
        <v>52</v>
      </c>
      <c r="BR314" s="7">
        <v>54</v>
      </c>
      <c r="BS314" s="7">
        <v>0</v>
      </c>
      <c r="BT314" s="7">
        <v>6</v>
      </c>
      <c r="BU314" s="7">
        <v>10</v>
      </c>
      <c r="BV314" s="7">
        <v>44</v>
      </c>
      <c r="BW314" s="7">
        <v>61</v>
      </c>
      <c r="BX314" s="7">
        <v>33</v>
      </c>
      <c r="BY314" s="7">
        <v>0</v>
      </c>
      <c r="BZ314" s="7">
        <v>1</v>
      </c>
      <c r="CA314" s="7">
        <v>142</v>
      </c>
      <c r="CB314" s="9">
        <v>67.699190140845047</v>
      </c>
      <c r="CC314" s="9">
        <v>63.168690140845065</v>
      </c>
      <c r="CD314" s="9">
        <v>65.434272300469488</v>
      </c>
      <c r="CE314" s="9">
        <v>130.86788028169008</v>
      </c>
      <c r="CF314" s="7">
        <v>8</v>
      </c>
      <c r="CG314" s="7">
        <v>33</v>
      </c>
      <c r="CH314" s="7">
        <v>67</v>
      </c>
      <c r="CI314" s="7">
        <v>34</v>
      </c>
      <c r="CJ314" s="7">
        <v>0</v>
      </c>
      <c r="CK314" s="7">
        <v>0</v>
      </c>
      <c r="CL314" s="7">
        <v>10</v>
      </c>
      <c r="CM314" s="7">
        <v>47</v>
      </c>
      <c r="CN314" s="7">
        <v>63</v>
      </c>
      <c r="CO314" s="7">
        <v>22</v>
      </c>
      <c r="CP314" s="7">
        <v>0</v>
      </c>
      <c r="CQ314" s="7">
        <v>0</v>
      </c>
      <c r="CR314" s="7">
        <v>290</v>
      </c>
      <c r="CS314" s="9">
        <v>69.413458620689582</v>
      </c>
      <c r="CT314" s="9">
        <v>64.631841379310345</v>
      </c>
      <c r="CU314" s="9">
        <v>67.022988505747122</v>
      </c>
      <c r="CV314" s="9">
        <v>134.04529999999988</v>
      </c>
      <c r="CW314" s="7">
        <v>17</v>
      </c>
      <c r="CX314" s="7">
        <v>66</v>
      </c>
      <c r="CY314" s="7">
        <v>119</v>
      </c>
      <c r="CZ314" s="7">
        <v>88</v>
      </c>
      <c r="DA314" s="7">
        <v>0</v>
      </c>
      <c r="DB314" s="7">
        <v>6</v>
      </c>
      <c r="DC314" s="7">
        <v>20</v>
      </c>
      <c r="DD314" s="7">
        <v>91</v>
      </c>
      <c r="DE314" s="7">
        <v>124</v>
      </c>
      <c r="DF314" s="7">
        <v>55</v>
      </c>
      <c r="DG314" s="7">
        <v>0</v>
      </c>
      <c r="DH314" s="7">
        <v>1</v>
      </c>
      <c r="DI314" s="18">
        <f t="shared" si="42"/>
        <v>23</v>
      </c>
      <c r="DJ314" s="18">
        <f t="shared" si="43"/>
        <v>19</v>
      </c>
      <c r="DK314" s="18">
        <f t="shared" si="44"/>
        <v>26</v>
      </c>
      <c r="DL314" s="18">
        <f t="shared" si="48"/>
        <v>2</v>
      </c>
      <c r="DM314" s="18">
        <f t="shared" si="49"/>
        <v>4</v>
      </c>
      <c r="DN314" s="18">
        <f t="shared" si="50"/>
        <v>1</v>
      </c>
      <c r="DO314" s="18">
        <v>313</v>
      </c>
      <c r="DP314" s="18">
        <v>124</v>
      </c>
      <c r="DQ314" s="18">
        <v>313</v>
      </c>
      <c r="DR314" s="18">
        <v>21</v>
      </c>
      <c r="DS314" s="18">
        <v>11</v>
      </c>
      <c r="DT314" s="18">
        <v>21</v>
      </c>
      <c r="DU314" s="18" t="s">
        <v>277</v>
      </c>
    </row>
    <row r="315" spans="54:125" x14ac:dyDescent="0.25">
      <c r="BB315" s="7">
        <v>312</v>
      </c>
      <c r="BC315" s="7" t="s">
        <v>332</v>
      </c>
      <c r="BD315" s="23" t="s">
        <v>277</v>
      </c>
      <c r="BE315" s="26">
        <v>504884209</v>
      </c>
      <c r="BF315" s="25" t="s">
        <v>282</v>
      </c>
      <c r="BG315" s="7">
        <v>60</v>
      </c>
      <c r="BH315" s="7" t="s">
        <v>320</v>
      </c>
      <c r="BI315" s="7" t="s">
        <v>368</v>
      </c>
      <c r="BJ315" s="7">
        <v>73</v>
      </c>
      <c r="BK315" s="9">
        <v>60.775904109589071</v>
      </c>
      <c r="BL315" s="9">
        <v>56.574972602739749</v>
      </c>
      <c r="BM315" s="9">
        <v>58.675799086757976</v>
      </c>
      <c r="BN315" s="9">
        <v>117.35087671232874</v>
      </c>
      <c r="BO315" s="7">
        <v>9</v>
      </c>
      <c r="BP315" s="7">
        <v>29</v>
      </c>
      <c r="BQ315" s="7">
        <v>22</v>
      </c>
      <c r="BR315" s="7">
        <v>13</v>
      </c>
      <c r="BS315" s="7">
        <v>0</v>
      </c>
      <c r="BT315" s="7">
        <v>1</v>
      </c>
      <c r="BU315" s="7">
        <v>8</v>
      </c>
      <c r="BV315" s="7">
        <v>38</v>
      </c>
      <c r="BW315" s="7">
        <v>15</v>
      </c>
      <c r="BX315" s="7">
        <v>12</v>
      </c>
      <c r="BY315" s="7">
        <v>0</v>
      </c>
      <c r="BZ315" s="7">
        <v>0</v>
      </c>
      <c r="CA315" s="7">
        <v>176</v>
      </c>
      <c r="CB315" s="9">
        <v>65.226965909090936</v>
      </c>
      <c r="CC315" s="9">
        <v>57.499693181818117</v>
      </c>
      <c r="CD315" s="9">
        <v>61.363636363636374</v>
      </c>
      <c r="CE315" s="9">
        <v>122.72665909090902</v>
      </c>
      <c r="CF315" s="7">
        <v>10</v>
      </c>
      <c r="CG315" s="7">
        <v>46</v>
      </c>
      <c r="CH315" s="7">
        <v>98</v>
      </c>
      <c r="CI315" s="7">
        <v>22</v>
      </c>
      <c r="CJ315" s="7">
        <v>0</v>
      </c>
      <c r="CK315" s="7">
        <v>0</v>
      </c>
      <c r="CL315" s="7">
        <v>17</v>
      </c>
      <c r="CM315" s="7">
        <v>80</v>
      </c>
      <c r="CN315" s="7">
        <v>60</v>
      </c>
      <c r="CO315" s="7">
        <v>19</v>
      </c>
      <c r="CP315" s="7">
        <v>0</v>
      </c>
      <c r="CQ315" s="7">
        <v>0</v>
      </c>
      <c r="CR315" s="7">
        <v>249</v>
      </c>
      <c r="CS315" s="9">
        <v>63.922036144578286</v>
      </c>
      <c r="CT315" s="9">
        <v>57.228590361445754</v>
      </c>
      <c r="CU315" s="9">
        <v>60.575635876840714</v>
      </c>
      <c r="CV315" s="9">
        <v>121.15062650602404</v>
      </c>
      <c r="CW315" s="7">
        <v>19</v>
      </c>
      <c r="CX315" s="7">
        <v>75</v>
      </c>
      <c r="CY315" s="7">
        <v>120</v>
      </c>
      <c r="CZ315" s="7">
        <v>35</v>
      </c>
      <c r="DA315" s="7">
        <v>0</v>
      </c>
      <c r="DB315" s="7">
        <v>1</v>
      </c>
      <c r="DC315" s="7">
        <v>25</v>
      </c>
      <c r="DD315" s="7">
        <v>118</v>
      </c>
      <c r="DE315" s="7">
        <v>75</v>
      </c>
      <c r="DF315" s="7">
        <v>31</v>
      </c>
      <c r="DG315" s="7">
        <v>0</v>
      </c>
      <c r="DH315" s="7">
        <v>0</v>
      </c>
      <c r="DI315" s="18">
        <f t="shared" si="42"/>
        <v>161</v>
      </c>
      <c r="DJ315" s="18">
        <f t="shared" si="43"/>
        <v>40</v>
      </c>
      <c r="DK315" s="18">
        <f t="shared" si="44"/>
        <v>123</v>
      </c>
      <c r="DL315" s="18">
        <f t="shared" si="48"/>
        <v>14</v>
      </c>
      <c r="DM315" s="18">
        <f t="shared" si="49"/>
        <v>5</v>
      </c>
      <c r="DN315" s="18">
        <f t="shared" si="50"/>
        <v>13</v>
      </c>
      <c r="DO315" s="18">
        <v>313</v>
      </c>
      <c r="DP315" s="18">
        <v>124</v>
      </c>
      <c r="DQ315" s="18">
        <v>313</v>
      </c>
      <c r="DR315" s="18">
        <v>21</v>
      </c>
      <c r="DS315" s="18">
        <v>11</v>
      </c>
      <c r="DT315" s="18">
        <v>21</v>
      </c>
      <c r="DU315" s="18" t="s">
        <v>277</v>
      </c>
    </row>
    <row r="316" spans="54:125" x14ac:dyDescent="0.25">
      <c r="BB316" s="7">
        <v>313</v>
      </c>
      <c r="BC316" s="7" t="s">
        <v>332</v>
      </c>
      <c r="BD316" s="23" t="s">
        <v>277</v>
      </c>
      <c r="BE316" s="26">
        <v>213256639</v>
      </c>
      <c r="BF316" s="25" t="s">
        <v>287</v>
      </c>
      <c r="BG316" s="7">
        <v>150</v>
      </c>
      <c r="BH316" s="7" t="s">
        <v>320</v>
      </c>
      <c r="BI316" s="7" t="s">
        <v>368</v>
      </c>
      <c r="BJ316" s="7">
        <v>20</v>
      </c>
      <c r="BK316" s="9">
        <v>65.166250000000005</v>
      </c>
      <c r="BL316" s="9">
        <v>60.833049999999993</v>
      </c>
      <c r="BM316" s="9">
        <v>62.999999999999986</v>
      </c>
      <c r="BN316" s="9">
        <v>125.99930000000002</v>
      </c>
      <c r="BO316" s="7">
        <v>1</v>
      </c>
      <c r="BP316" s="7">
        <v>5</v>
      </c>
      <c r="BQ316" s="7">
        <v>11</v>
      </c>
      <c r="BR316" s="7">
        <v>3</v>
      </c>
      <c r="BS316" s="7">
        <v>0</v>
      </c>
      <c r="BT316" s="7">
        <v>0</v>
      </c>
      <c r="BU316" s="7">
        <v>0</v>
      </c>
      <c r="BV316" s="7">
        <v>11</v>
      </c>
      <c r="BW316" s="7">
        <v>7</v>
      </c>
      <c r="BX316" s="7">
        <v>2</v>
      </c>
      <c r="BY316" s="7">
        <v>0</v>
      </c>
      <c r="BZ316" s="7">
        <v>0</v>
      </c>
      <c r="CA316" s="7">
        <v>18</v>
      </c>
      <c r="CB316" s="9">
        <v>50.555111111111088</v>
      </c>
      <c r="CC316" s="9">
        <v>44.073777777777771</v>
      </c>
      <c r="CD316" s="9">
        <v>47.31481481481481</v>
      </c>
      <c r="CE316" s="9">
        <v>94.628888888888866</v>
      </c>
      <c r="CF316" s="7">
        <v>1</v>
      </c>
      <c r="CG316" s="7">
        <v>12</v>
      </c>
      <c r="CH316" s="7">
        <v>4</v>
      </c>
      <c r="CI316" s="7">
        <v>1</v>
      </c>
      <c r="CJ316" s="7">
        <v>0</v>
      </c>
      <c r="CK316" s="7">
        <v>0</v>
      </c>
      <c r="CL316" s="7">
        <v>4</v>
      </c>
      <c r="CM316" s="7">
        <v>11</v>
      </c>
      <c r="CN316" s="7">
        <v>3</v>
      </c>
      <c r="CO316" s="7">
        <v>0</v>
      </c>
      <c r="CP316" s="7">
        <v>0</v>
      </c>
      <c r="CQ316" s="7">
        <v>0</v>
      </c>
      <c r="CR316" s="7">
        <v>38</v>
      </c>
      <c r="CS316" s="9">
        <v>58.245184210526325</v>
      </c>
      <c r="CT316" s="9">
        <v>52.894447368421055</v>
      </c>
      <c r="CU316" s="9">
        <v>55.570175438596486</v>
      </c>
      <c r="CV316" s="9">
        <v>111.13963157894739</v>
      </c>
      <c r="CW316" s="7">
        <v>2</v>
      </c>
      <c r="CX316" s="7">
        <v>17</v>
      </c>
      <c r="CY316" s="7">
        <v>15</v>
      </c>
      <c r="CZ316" s="7">
        <v>4</v>
      </c>
      <c r="DA316" s="7">
        <v>0</v>
      </c>
      <c r="DB316" s="7">
        <v>0</v>
      </c>
      <c r="DC316" s="7">
        <v>4</v>
      </c>
      <c r="DD316" s="7">
        <v>22</v>
      </c>
      <c r="DE316" s="7">
        <v>10</v>
      </c>
      <c r="DF316" s="7">
        <v>2</v>
      </c>
      <c r="DG316" s="7">
        <v>0</v>
      </c>
      <c r="DH316" s="7">
        <v>0</v>
      </c>
      <c r="DI316" s="18">
        <f t="shared" si="42"/>
        <v>87</v>
      </c>
      <c r="DJ316" s="18">
        <f t="shared" si="43"/>
        <v>119</v>
      </c>
      <c r="DK316" s="18">
        <f t="shared" si="44"/>
        <v>210</v>
      </c>
      <c r="DL316" s="18">
        <f t="shared" si="48"/>
        <v>8</v>
      </c>
      <c r="DM316" s="18">
        <f t="shared" si="49"/>
        <v>11</v>
      </c>
      <c r="DN316" s="18">
        <f t="shared" si="50"/>
        <v>17</v>
      </c>
      <c r="DO316" s="18">
        <v>313</v>
      </c>
      <c r="DP316" s="18">
        <v>124</v>
      </c>
      <c r="DQ316" s="18">
        <v>313</v>
      </c>
      <c r="DR316" s="18">
        <v>21</v>
      </c>
      <c r="DS316" s="18">
        <v>11</v>
      </c>
      <c r="DT316" s="18">
        <v>21</v>
      </c>
      <c r="DU316" s="18" t="s">
        <v>277</v>
      </c>
    </row>
    <row r="317" spans="54:125" x14ac:dyDescent="0.25">
      <c r="BB317" s="7">
        <v>314</v>
      </c>
      <c r="BC317" s="7" t="s">
        <v>332</v>
      </c>
      <c r="BD317" s="23" t="s">
        <v>277</v>
      </c>
      <c r="BE317" s="26">
        <v>983205594</v>
      </c>
      <c r="BF317" s="25" t="s">
        <v>286</v>
      </c>
      <c r="BG317" s="7">
        <v>153</v>
      </c>
      <c r="BH317" s="7" t="s">
        <v>320</v>
      </c>
      <c r="BI317" s="7" t="s">
        <v>368</v>
      </c>
      <c r="BJ317" s="7">
        <v>41</v>
      </c>
      <c r="BK317" s="9">
        <v>62.438634146341471</v>
      </c>
      <c r="BL317" s="9">
        <v>56.259902439024408</v>
      </c>
      <c r="BM317" s="9">
        <v>59.34959349593494</v>
      </c>
      <c r="BN317" s="9">
        <v>118.69853658536584</v>
      </c>
      <c r="BO317" s="7">
        <v>3</v>
      </c>
      <c r="BP317" s="7">
        <v>13</v>
      </c>
      <c r="BQ317" s="7">
        <v>19</v>
      </c>
      <c r="BR317" s="7">
        <v>6</v>
      </c>
      <c r="BS317" s="7">
        <v>0</v>
      </c>
      <c r="BT317" s="7">
        <v>0</v>
      </c>
      <c r="BU317" s="7">
        <v>2</v>
      </c>
      <c r="BV317" s="7">
        <v>27</v>
      </c>
      <c r="BW317" s="7">
        <v>9</v>
      </c>
      <c r="BX317" s="7">
        <v>3</v>
      </c>
      <c r="BY317" s="7">
        <v>0</v>
      </c>
      <c r="BZ317" s="7">
        <v>0</v>
      </c>
      <c r="CA317" s="7">
        <v>77</v>
      </c>
      <c r="CB317" s="9">
        <v>69.523493506493509</v>
      </c>
      <c r="CC317" s="9">
        <v>65.021311688311712</v>
      </c>
      <c r="CD317" s="9">
        <v>67.27272727272728</v>
      </c>
      <c r="CE317" s="9">
        <v>134.54480519480518</v>
      </c>
      <c r="CF317" s="7">
        <v>2</v>
      </c>
      <c r="CG317" s="7">
        <v>21</v>
      </c>
      <c r="CH317" s="7">
        <v>38</v>
      </c>
      <c r="CI317" s="7">
        <v>16</v>
      </c>
      <c r="CJ317" s="7">
        <v>0</v>
      </c>
      <c r="CK317" s="7">
        <v>0</v>
      </c>
      <c r="CL317" s="7">
        <v>4</v>
      </c>
      <c r="CM317" s="7">
        <v>23</v>
      </c>
      <c r="CN317" s="7">
        <v>36</v>
      </c>
      <c r="CO317" s="7">
        <v>14</v>
      </c>
      <c r="CP317" s="7">
        <v>0</v>
      </c>
      <c r="CQ317" s="7">
        <v>0</v>
      </c>
      <c r="CR317" s="7">
        <v>118</v>
      </c>
      <c r="CS317" s="9">
        <v>67.061805084745757</v>
      </c>
      <c r="CT317" s="9">
        <v>61.977093220338993</v>
      </c>
      <c r="CU317" s="9">
        <v>64.519774011299447</v>
      </c>
      <c r="CV317" s="9">
        <v>129.03889830508473</v>
      </c>
      <c r="CW317" s="7">
        <v>5</v>
      </c>
      <c r="CX317" s="7">
        <v>34</v>
      </c>
      <c r="CY317" s="7">
        <v>57</v>
      </c>
      <c r="CZ317" s="7">
        <v>22</v>
      </c>
      <c r="DA317" s="7">
        <v>0</v>
      </c>
      <c r="DB317" s="7">
        <v>0</v>
      </c>
      <c r="DC317" s="7">
        <v>6</v>
      </c>
      <c r="DD317" s="7">
        <v>50</v>
      </c>
      <c r="DE317" s="7">
        <v>45</v>
      </c>
      <c r="DF317" s="7">
        <v>17</v>
      </c>
      <c r="DG317" s="7">
        <v>0</v>
      </c>
      <c r="DH317" s="7">
        <v>0</v>
      </c>
      <c r="DI317" s="18">
        <f t="shared" si="42"/>
        <v>147</v>
      </c>
      <c r="DJ317" s="18">
        <f t="shared" si="43"/>
        <v>10</v>
      </c>
      <c r="DK317" s="18">
        <f t="shared" si="44"/>
        <v>55</v>
      </c>
      <c r="DL317" s="18">
        <f t="shared" si="48"/>
        <v>12</v>
      </c>
      <c r="DM317" s="18">
        <f t="shared" si="49"/>
        <v>2</v>
      </c>
      <c r="DN317" s="18">
        <f t="shared" si="50"/>
        <v>4</v>
      </c>
      <c r="DO317" s="18">
        <v>313</v>
      </c>
      <c r="DP317" s="18">
        <v>124</v>
      </c>
      <c r="DQ317" s="18">
        <v>313</v>
      </c>
      <c r="DR317" s="18">
        <v>21</v>
      </c>
      <c r="DS317" s="18">
        <v>11</v>
      </c>
      <c r="DT317" s="18">
        <v>21</v>
      </c>
      <c r="DU317" s="18" t="s">
        <v>277</v>
      </c>
    </row>
    <row r="318" spans="54:125" x14ac:dyDescent="0.25">
      <c r="BB318" s="7">
        <v>315</v>
      </c>
      <c r="BC318" s="7" t="s">
        <v>332</v>
      </c>
      <c r="BD318" s="23" t="s">
        <v>277</v>
      </c>
      <c r="BE318" s="26">
        <v>715246636</v>
      </c>
      <c r="BF318" s="25" t="s">
        <v>288</v>
      </c>
      <c r="BG318" s="7">
        <v>158</v>
      </c>
      <c r="BH318" s="7" t="s">
        <v>320</v>
      </c>
      <c r="BI318" s="7" t="s">
        <v>368</v>
      </c>
      <c r="BJ318" s="7">
        <v>184</v>
      </c>
      <c r="BK318" s="9">
        <v>67.390913043478179</v>
      </c>
      <c r="BL318" s="9">
        <v>62.39098369565216</v>
      </c>
      <c r="BM318" s="9">
        <v>64.891304347826093</v>
      </c>
      <c r="BN318" s="9">
        <v>129.78189673913036</v>
      </c>
      <c r="BO318" s="7">
        <v>11</v>
      </c>
      <c r="BP318" s="7">
        <v>55</v>
      </c>
      <c r="BQ318" s="7">
        <v>67</v>
      </c>
      <c r="BR318" s="7">
        <v>51</v>
      </c>
      <c r="BS318" s="7">
        <v>1</v>
      </c>
      <c r="BT318" s="7">
        <v>1</v>
      </c>
      <c r="BU318" s="7">
        <v>13</v>
      </c>
      <c r="BV318" s="7">
        <v>63</v>
      </c>
      <c r="BW318" s="7">
        <v>77</v>
      </c>
      <c r="BX318" s="7">
        <v>31</v>
      </c>
      <c r="BY318" s="7">
        <v>0</v>
      </c>
      <c r="BZ318" s="7">
        <v>0</v>
      </c>
      <c r="CA318" s="7">
        <v>110</v>
      </c>
      <c r="CB318" s="9">
        <v>64.514827272727274</v>
      </c>
      <c r="CC318" s="9">
        <v>57.12084545454546</v>
      </c>
      <c r="CD318" s="9">
        <v>60.81818181818182</v>
      </c>
      <c r="CE318" s="9">
        <v>121.63567272727266</v>
      </c>
      <c r="CF318" s="7">
        <v>3</v>
      </c>
      <c r="CG318" s="7">
        <v>35</v>
      </c>
      <c r="CH318" s="7">
        <v>57</v>
      </c>
      <c r="CI318" s="7">
        <v>15</v>
      </c>
      <c r="CJ318" s="7">
        <v>0</v>
      </c>
      <c r="CK318" s="7">
        <v>0</v>
      </c>
      <c r="CL318" s="7">
        <v>13</v>
      </c>
      <c r="CM318" s="7">
        <v>51</v>
      </c>
      <c r="CN318" s="7">
        <v>32</v>
      </c>
      <c r="CO318" s="7">
        <v>14</v>
      </c>
      <c r="CP318" s="7">
        <v>0</v>
      </c>
      <c r="CQ318" s="7">
        <v>0</v>
      </c>
      <c r="CR318" s="7">
        <v>294</v>
      </c>
      <c r="CS318" s="9">
        <v>66.314826530612208</v>
      </c>
      <c r="CT318" s="9">
        <v>60.419163265306125</v>
      </c>
      <c r="CU318" s="9">
        <v>63.367346938775498</v>
      </c>
      <c r="CV318" s="9">
        <v>126.73398979591826</v>
      </c>
      <c r="CW318" s="7">
        <v>14</v>
      </c>
      <c r="CX318" s="7">
        <v>90</v>
      </c>
      <c r="CY318" s="7">
        <v>124</v>
      </c>
      <c r="CZ318" s="7">
        <v>66</v>
      </c>
      <c r="DA318" s="7">
        <v>1</v>
      </c>
      <c r="DB318" s="7">
        <v>1</v>
      </c>
      <c r="DC318" s="7">
        <v>26</v>
      </c>
      <c r="DD318" s="7">
        <v>114</v>
      </c>
      <c r="DE318" s="7">
        <v>109</v>
      </c>
      <c r="DF318" s="7">
        <v>45</v>
      </c>
      <c r="DG318" s="7">
        <v>0</v>
      </c>
      <c r="DH318" s="7">
        <v>0</v>
      </c>
      <c r="DI318" s="18">
        <f t="shared" si="42"/>
        <v>60</v>
      </c>
      <c r="DJ318" s="18">
        <f t="shared" si="43"/>
        <v>49</v>
      </c>
      <c r="DK318" s="18">
        <f t="shared" si="44"/>
        <v>71</v>
      </c>
      <c r="DL318" s="18">
        <f t="shared" si="48"/>
        <v>7</v>
      </c>
      <c r="DM318" s="18">
        <f t="shared" si="49"/>
        <v>6</v>
      </c>
      <c r="DN318" s="18">
        <f t="shared" si="50"/>
        <v>6</v>
      </c>
      <c r="DO318" s="18">
        <v>313</v>
      </c>
      <c r="DP318" s="18">
        <v>124</v>
      </c>
      <c r="DQ318" s="18">
        <v>313</v>
      </c>
      <c r="DR318" s="18">
        <v>21</v>
      </c>
      <c r="DS318" s="18">
        <v>11</v>
      </c>
      <c r="DT318" s="18">
        <v>21</v>
      </c>
      <c r="DU318" s="18" t="s">
        <v>277</v>
      </c>
    </row>
    <row r="319" spans="54:125" x14ac:dyDescent="0.25">
      <c r="BB319" s="7">
        <v>316</v>
      </c>
      <c r="BC319" s="7" t="s">
        <v>332</v>
      </c>
      <c r="BD319" s="23" t="s">
        <v>277</v>
      </c>
      <c r="BE319" s="26">
        <v>574251673</v>
      </c>
      <c r="BF319" s="25" t="s">
        <v>289</v>
      </c>
      <c r="BG319" s="7">
        <v>161</v>
      </c>
      <c r="BH319" s="7" t="s">
        <v>320</v>
      </c>
      <c r="BI319" s="7" t="s">
        <v>367</v>
      </c>
      <c r="BJ319" s="7">
        <v>69</v>
      </c>
      <c r="BK319" s="9">
        <v>59.130086956521772</v>
      </c>
      <c r="BL319" s="9">
        <v>50.676000000000045</v>
      </c>
      <c r="BM319" s="9">
        <v>54.903381642512088</v>
      </c>
      <c r="BN319" s="9">
        <v>109.80608695652172</v>
      </c>
      <c r="BO319" s="7">
        <v>9</v>
      </c>
      <c r="BP319" s="7">
        <v>26</v>
      </c>
      <c r="BQ319" s="7">
        <v>23</v>
      </c>
      <c r="BR319" s="7">
        <v>11</v>
      </c>
      <c r="BS319" s="7">
        <v>0</v>
      </c>
      <c r="BT319" s="7">
        <v>0</v>
      </c>
      <c r="BU319" s="7">
        <v>14</v>
      </c>
      <c r="BV319" s="7">
        <v>30</v>
      </c>
      <c r="BW319" s="7">
        <v>19</v>
      </c>
      <c r="BX319" s="7">
        <v>6</v>
      </c>
      <c r="BY319" s="7">
        <v>0</v>
      </c>
      <c r="BZ319" s="7">
        <v>0</v>
      </c>
      <c r="CA319" s="7"/>
      <c r="CB319" s="9"/>
      <c r="CC319" s="9"/>
      <c r="CD319" s="9"/>
      <c r="CE319" s="9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>
        <v>69</v>
      </c>
      <c r="CS319" s="9">
        <v>59.130086956521772</v>
      </c>
      <c r="CT319" s="9">
        <v>50.676000000000045</v>
      </c>
      <c r="CU319" s="9">
        <v>54.903381642512088</v>
      </c>
      <c r="CV319" s="9">
        <v>109.80608695652172</v>
      </c>
      <c r="CW319" s="7">
        <v>9</v>
      </c>
      <c r="CX319" s="7">
        <v>26</v>
      </c>
      <c r="CY319" s="7">
        <v>23</v>
      </c>
      <c r="CZ319" s="7">
        <v>11</v>
      </c>
      <c r="DA319" s="7">
        <v>0</v>
      </c>
      <c r="DB319" s="7">
        <v>0</v>
      </c>
      <c r="DC319" s="7">
        <v>14</v>
      </c>
      <c r="DD319" s="7">
        <v>30</v>
      </c>
      <c r="DE319" s="7">
        <v>19</v>
      </c>
      <c r="DF319" s="7">
        <v>6</v>
      </c>
      <c r="DG319" s="7">
        <v>0</v>
      </c>
      <c r="DH319" s="7">
        <v>0</v>
      </c>
      <c r="DI319" s="18">
        <f t="shared" si="42"/>
        <v>218</v>
      </c>
      <c r="DJ319" s="18" t="str">
        <f t="shared" si="43"/>
        <v/>
      </c>
      <c r="DK319" s="18">
        <f t="shared" si="44"/>
        <v>224</v>
      </c>
      <c r="DL319" s="18">
        <f t="shared" si="48"/>
        <v>18</v>
      </c>
      <c r="DM319" s="18" t="str">
        <f t="shared" si="49"/>
        <v/>
      </c>
      <c r="DN319" s="18">
        <f t="shared" si="50"/>
        <v>18</v>
      </c>
      <c r="DO319" s="18">
        <v>313</v>
      </c>
      <c r="DP319" s="18">
        <v>124</v>
      </c>
      <c r="DQ319" s="18">
        <v>313</v>
      </c>
      <c r="DR319" s="18">
        <v>21</v>
      </c>
      <c r="DS319" s="18">
        <v>11</v>
      </c>
      <c r="DT319" s="18">
        <v>21</v>
      </c>
      <c r="DU319" s="18" t="s">
        <v>277</v>
      </c>
    </row>
    <row r="320" spans="54:125" x14ac:dyDescent="0.25">
      <c r="BB320" s="7">
        <v>317</v>
      </c>
      <c r="BC320" s="7" t="s">
        <v>332</v>
      </c>
      <c r="BD320" s="23" t="s">
        <v>277</v>
      </c>
      <c r="BE320" s="26">
        <v>473909489</v>
      </c>
      <c r="BF320" s="25" t="s">
        <v>290</v>
      </c>
      <c r="BG320" s="7">
        <v>167</v>
      </c>
      <c r="BH320" s="7" t="s">
        <v>320</v>
      </c>
      <c r="BI320" s="7" t="s">
        <v>368</v>
      </c>
      <c r="BJ320" s="7">
        <v>128</v>
      </c>
      <c r="BK320" s="9">
        <v>71.145562499999983</v>
      </c>
      <c r="BL320" s="9">
        <v>68.931914062499999</v>
      </c>
      <c r="BM320" s="9">
        <v>70.039062500000014</v>
      </c>
      <c r="BN320" s="9">
        <v>140.07747656249995</v>
      </c>
      <c r="BO320" s="7">
        <v>7</v>
      </c>
      <c r="BP320" s="7">
        <v>26</v>
      </c>
      <c r="BQ320" s="7">
        <v>50</v>
      </c>
      <c r="BR320" s="7">
        <v>45</v>
      </c>
      <c r="BS320" s="7">
        <v>1</v>
      </c>
      <c r="BT320" s="7">
        <v>3</v>
      </c>
      <c r="BU320" s="7">
        <v>7</v>
      </c>
      <c r="BV320" s="7">
        <v>33</v>
      </c>
      <c r="BW320" s="7">
        <v>50</v>
      </c>
      <c r="BX320" s="7">
        <v>38</v>
      </c>
      <c r="BY320" s="7">
        <v>0</v>
      </c>
      <c r="BZ320" s="7">
        <v>1</v>
      </c>
      <c r="CA320" s="7">
        <v>148</v>
      </c>
      <c r="CB320" s="9">
        <v>57.837506756756717</v>
      </c>
      <c r="CC320" s="9">
        <v>49.16633783783783</v>
      </c>
      <c r="CD320" s="9">
        <v>53.502252252252248</v>
      </c>
      <c r="CE320" s="9">
        <v>107.00384459459451</v>
      </c>
      <c r="CF320" s="7">
        <v>17</v>
      </c>
      <c r="CG320" s="7">
        <v>62</v>
      </c>
      <c r="CH320" s="7">
        <v>52</v>
      </c>
      <c r="CI320" s="7">
        <v>17</v>
      </c>
      <c r="CJ320" s="7">
        <v>0</v>
      </c>
      <c r="CK320" s="7">
        <v>0</v>
      </c>
      <c r="CL320" s="7">
        <v>35</v>
      </c>
      <c r="CM320" s="7">
        <v>71</v>
      </c>
      <c r="CN320" s="7">
        <v>33</v>
      </c>
      <c r="CO320" s="7">
        <v>9</v>
      </c>
      <c r="CP320" s="7">
        <v>0</v>
      </c>
      <c r="CQ320" s="7">
        <v>0</v>
      </c>
      <c r="CR320" s="7">
        <v>276</v>
      </c>
      <c r="CS320" s="9">
        <v>64.009358695652125</v>
      </c>
      <c r="CT320" s="9">
        <v>58.332981884057922</v>
      </c>
      <c r="CU320" s="9">
        <v>61.171497584541058</v>
      </c>
      <c r="CV320" s="9">
        <v>122.34234057971005</v>
      </c>
      <c r="CW320" s="7">
        <v>24</v>
      </c>
      <c r="CX320" s="7">
        <v>88</v>
      </c>
      <c r="CY320" s="7">
        <v>102</v>
      </c>
      <c r="CZ320" s="7">
        <v>62</v>
      </c>
      <c r="DA320" s="7">
        <v>1</v>
      </c>
      <c r="DB320" s="7">
        <v>3</v>
      </c>
      <c r="DC320" s="7">
        <v>42</v>
      </c>
      <c r="DD320" s="7">
        <v>104</v>
      </c>
      <c r="DE320" s="7">
        <v>83</v>
      </c>
      <c r="DF320" s="7">
        <v>47</v>
      </c>
      <c r="DG320" s="7">
        <v>0</v>
      </c>
      <c r="DH320" s="7">
        <v>1</v>
      </c>
      <c r="DI320" s="18">
        <f t="shared" si="42"/>
        <v>16</v>
      </c>
      <c r="DJ320" s="18">
        <f t="shared" si="43"/>
        <v>108</v>
      </c>
      <c r="DK320" s="18">
        <f t="shared" si="44"/>
        <v>109</v>
      </c>
      <c r="DL320" s="18">
        <f t="shared" si="48"/>
        <v>1</v>
      </c>
      <c r="DM320" s="18">
        <f t="shared" si="49"/>
        <v>10</v>
      </c>
      <c r="DN320" s="18">
        <f t="shared" si="50"/>
        <v>11</v>
      </c>
      <c r="DO320" s="18">
        <v>313</v>
      </c>
      <c r="DP320" s="18">
        <v>124</v>
      </c>
      <c r="DQ320" s="18">
        <v>313</v>
      </c>
      <c r="DR320" s="18">
        <v>21</v>
      </c>
      <c r="DS320" s="18">
        <v>11</v>
      </c>
      <c r="DT320" s="18">
        <v>21</v>
      </c>
      <c r="DU320" s="18" t="s">
        <v>277</v>
      </c>
    </row>
    <row r="321" spans="54:125" x14ac:dyDescent="0.25">
      <c r="BB321" s="7">
        <v>318</v>
      </c>
      <c r="BC321" s="7" t="s">
        <v>332</v>
      </c>
      <c r="BD321" s="23" t="s">
        <v>277</v>
      </c>
      <c r="BE321" s="26">
        <v>299228437</v>
      </c>
      <c r="BF321" s="25" t="s">
        <v>291</v>
      </c>
      <c r="BG321" s="7">
        <v>173</v>
      </c>
      <c r="BH321" s="7" t="s">
        <v>320</v>
      </c>
      <c r="BI321" s="7" t="s">
        <v>367</v>
      </c>
      <c r="BJ321" s="7">
        <v>17</v>
      </c>
      <c r="BK321" s="9">
        <v>70.587823529411764</v>
      </c>
      <c r="BL321" s="9">
        <v>52.156529411764708</v>
      </c>
      <c r="BM321" s="9">
        <v>61.372549019607838</v>
      </c>
      <c r="BN321" s="9">
        <v>122.74435294117644</v>
      </c>
      <c r="BO321" s="7">
        <v>0</v>
      </c>
      <c r="BP321" s="7">
        <v>7</v>
      </c>
      <c r="BQ321" s="7">
        <v>3</v>
      </c>
      <c r="BR321" s="7">
        <v>7</v>
      </c>
      <c r="BS321" s="7">
        <v>0</v>
      </c>
      <c r="BT321" s="7">
        <v>0</v>
      </c>
      <c r="BU321" s="7">
        <v>1</v>
      </c>
      <c r="BV321" s="7">
        <v>11</v>
      </c>
      <c r="BW321" s="7">
        <v>5</v>
      </c>
      <c r="BX321" s="7">
        <v>0</v>
      </c>
      <c r="BY321" s="7">
        <v>0</v>
      </c>
      <c r="BZ321" s="7">
        <v>0</v>
      </c>
      <c r="CA321" s="7"/>
      <c r="CB321" s="9"/>
      <c r="CC321" s="9"/>
      <c r="CD321" s="9"/>
      <c r="CE321" s="9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>
        <v>17</v>
      </c>
      <c r="CS321" s="9">
        <v>70.587823529411764</v>
      </c>
      <c r="CT321" s="9">
        <v>52.156529411764708</v>
      </c>
      <c r="CU321" s="9">
        <v>61.372549019607838</v>
      </c>
      <c r="CV321" s="9">
        <v>122.74435294117644</v>
      </c>
      <c r="CW321" s="7">
        <v>0</v>
      </c>
      <c r="CX321" s="7">
        <v>7</v>
      </c>
      <c r="CY321" s="7">
        <v>3</v>
      </c>
      <c r="CZ321" s="7">
        <v>7</v>
      </c>
      <c r="DA321" s="7">
        <v>0</v>
      </c>
      <c r="DB321" s="7">
        <v>0</v>
      </c>
      <c r="DC321" s="7">
        <v>1</v>
      </c>
      <c r="DD321" s="7">
        <v>11</v>
      </c>
      <c r="DE321" s="7">
        <v>5</v>
      </c>
      <c r="DF321" s="7">
        <v>0</v>
      </c>
      <c r="DG321" s="7">
        <v>0</v>
      </c>
      <c r="DH321" s="7">
        <v>0</v>
      </c>
      <c r="DI321" s="18">
        <f t="shared" si="42"/>
        <v>110</v>
      </c>
      <c r="DJ321" s="18" t="str">
        <f t="shared" si="43"/>
        <v/>
      </c>
      <c r="DK321" s="18">
        <f t="shared" si="44"/>
        <v>106</v>
      </c>
      <c r="DL321" s="18">
        <f t="shared" si="48"/>
        <v>11</v>
      </c>
      <c r="DM321" s="18" t="str">
        <f t="shared" si="49"/>
        <v/>
      </c>
      <c r="DN321" s="18">
        <f t="shared" si="50"/>
        <v>10</v>
      </c>
      <c r="DO321" s="18">
        <v>313</v>
      </c>
      <c r="DP321" s="18">
        <v>124</v>
      </c>
      <c r="DQ321" s="18">
        <v>313</v>
      </c>
      <c r="DR321" s="18">
        <v>21</v>
      </c>
      <c r="DS321" s="18">
        <v>11</v>
      </c>
      <c r="DT321" s="18">
        <v>21</v>
      </c>
      <c r="DU321" s="18" t="s">
        <v>277</v>
      </c>
    </row>
    <row r="322" spans="54:125" x14ac:dyDescent="0.25">
      <c r="BB322" s="7">
        <v>319</v>
      </c>
      <c r="BC322" s="7" t="s">
        <v>332</v>
      </c>
      <c r="BD322" s="23" t="s">
        <v>277</v>
      </c>
      <c r="BE322" s="26">
        <v>224738240</v>
      </c>
      <c r="BF322" s="25" t="s">
        <v>292</v>
      </c>
      <c r="BG322" s="7">
        <v>175</v>
      </c>
      <c r="BH322" s="7" t="s">
        <v>320</v>
      </c>
      <c r="BI322" s="7" t="s">
        <v>368</v>
      </c>
      <c r="BJ322" s="7">
        <v>35</v>
      </c>
      <c r="BK322" s="9">
        <v>60.951942857142853</v>
      </c>
      <c r="BL322" s="9">
        <v>52.190171428571439</v>
      </c>
      <c r="BM322" s="9">
        <v>56.571428571428569</v>
      </c>
      <c r="BN322" s="9">
        <v>113.14211428571429</v>
      </c>
      <c r="BO322" s="7">
        <v>4</v>
      </c>
      <c r="BP322" s="7">
        <v>14</v>
      </c>
      <c r="BQ322" s="7">
        <v>9</v>
      </c>
      <c r="BR322" s="7">
        <v>8</v>
      </c>
      <c r="BS322" s="7">
        <v>0</v>
      </c>
      <c r="BT322" s="7">
        <v>0</v>
      </c>
      <c r="BU322" s="7">
        <v>5</v>
      </c>
      <c r="BV322" s="7">
        <v>17</v>
      </c>
      <c r="BW322" s="7">
        <v>11</v>
      </c>
      <c r="BX322" s="7">
        <v>2</v>
      </c>
      <c r="BY322" s="7">
        <v>0</v>
      </c>
      <c r="BZ322" s="7">
        <v>0</v>
      </c>
      <c r="CA322" s="7">
        <v>87</v>
      </c>
      <c r="CB322" s="9">
        <v>61.685494252873561</v>
      </c>
      <c r="CC322" s="9">
        <v>52.490091954023029</v>
      </c>
      <c r="CD322" s="9">
        <v>57.088122605363978</v>
      </c>
      <c r="CE322" s="9">
        <v>114.17558620689653</v>
      </c>
      <c r="CF322" s="7">
        <v>8</v>
      </c>
      <c r="CG322" s="7">
        <v>35</v>
      </c>
      <c r="CH322" s="7">
        <v>33</v>
      </c>
      <c r="CI322" s="7">
        <v>11</v>
      </c>
      <c r="CJ322" s="7">
        <v>0</v>
      </c>
      <c r="CK322" s="7">
        <v>0</v>
      </c>
      <c r="CL322" s="7">
        <v>9</v>
      </c>
      <c r="CM322" s="7">
        <v>48</v>
      </c>
      <c r="CN322" s="7">
        <v>26</v>
      </c>
      <c r="CO322" s="7">
        <v>4</v>
      </c>
      <c r="CP322" s="7">
        <v>0</v>
      </c>
      <c r="CQ322" s="7">
        <v>0</v>
      </c>
      <c r="CR322" s="7">
        <v>122</v>
      </c>
      <c r="CS322" s="9">
        <v>61.475049180327851</v>
      </c>
      <c r="CT322" s="9">
        <v>52.404049180327881</v>
      </c>
      <c r="CU322" s="9">
        <v>56.939890710382521</v>
      </c>
      <c r="CV322" s="9">
        <v>113.87909836065569</v>
      </c>
      <c r="CW322" s="7">
        <v>12</v>
      </c>
      <c r="CX322" s="7">
        <v>49</v>
      </c>
      <c r="CY322" s="7">
        <v>42</v>
      </c>
      <c r="CZ322" s="7">
        <v>19</v>
      </c>
      <c r="DA322" s="7">
        <v>0</v>
      </c>
      <c r="DB322" s="7">
        <v>0</v>
      </c>
      <c r="DC322" s="7">
        <v>14</v>
      </c>
      <c r="DD322" s="7">
        <v>65</v>
      </c>
      <c r="DE322" s="7">
        <v>37</v>
      </c>
      <c r="DF322" s="7">
        <v>6</v>
      </c>
      <c r="DG322" s="7">
        <v>0</v>
      </c>
      <c r="DH322" s="7">
        <v>0</v>
      </c>
      <c r="DI322" s="18">
        <f t="shared" si="42"/>
        <v>191</v>
      </c>
      <c r="DJ322" s="18">
        <f t="shared" si="43"/>
        <v>84</v>
      </c>
      <c r="DK322" s="18">
        <f t="shared" si="44"/>
        <v>184</v>
      </c>
      <c r="DL322" s="18">
        <f t="shared" si="48"/>
        <v>16</v>
      </c>
      <c r="DM322" s="18">
        <f t="shared" si="49"/>
        <v>8</v>
      </c>
      <c r="DN322" s="18">
        <f t="shared" si="50"/>
        <v>15</v>
      </c>
      <c r="DO322" s="18">
        <v>313</v>
      </c>
      <c r="DP322" s="18">
        <v>124</v>
      </c>
      <c r="DQ322" s="18">
        <v>313</v>
      </c>
      <c r="DR322" s="18">
        <v>21</v>
      </c>
      <c r="DS322" s="18">
        <v>11</v>
      </c>
      <c r="DT322" s="18">
        <v>21</v>
      </c>
      <c r="DU322" s="18" t="s">
        <v>277</v>
      </c>
    </row>
    <row r="323" spans="54:125" x14ac:dyDescent="0.25">
      <c r="BB323" s="7">
        <v>320</v>
      </c>
      <c r="BC323" s="7" t="s">
        <v>332</v>
      </c>
      <c r="BD323" s="23" t="s">
        <v>277</v>
      </c>
      <c r="BE323" s="26">
        <v>978197407</v>
      </c>
      <c r="BF323" s="25" t="s">
        <v>364</v>
      </c>
      <c r="BG323" s="7">
        <v>176</v>
      </c>
      <c r="BH323" s="7" t="s">
        <v>320</v>
      </c>
      <c r="BI323" s="7" t="s">
        <v>367</v>
      </c>
      <c r="BJ323" s="7">
        <v>56</v>
      </c>
      <c r="BK323" s="9">
        <v>55.118750000000027</v>
      </c>
      <c r="BL323" s="9">
        <v>45.773428571428575</v>
      </c>
      <c r="BM323" s="9">
        <v>50.446428571428569</v>
      </c>
      <c r="BN323" s="9">
        <v>100.89217857142856</v>
      </c>
      <c r="BO323" s="7">
        <v>11</v>
      </c>
      <c r="BP323" s="7">
        <v>24</v>
      </c>
      <c r="BQ323" s="7">
        <v>12</v>
      </c>
      <c r="BR323" s="7">
        <v>9</v>
      </c>
      <c r="BS323" s="7">
        <v>1</v>
      </c>
      <c r="BT323" s="7">
        <v>1</v>
      </c>
      <c r="BU323" s="7">
        <v>15</v>
      </c>
      <c r="BV323" s="7">
        <v>28</v>
      </c>
      <c r="BW323" s="7">
        <v>9</v>
      </c>
      <c r="BX323" s="7">
        <v>4</v>
      </c>
      <c r="BY323" s="7">
        <v>0</v>
      </c>
      <c r="BZ323" s="7">
        <v>0</v>
      </c>
      <c r="CA323" s="7"/>
      <c r="CB323" s="9"/>
      <c r="CC323" s="9"/>
      <c r="CD323" s="9"/>
      <c r="CE323" s="9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>
        <v>56</v>
      </c>
      <c r="CS323" s="9">
        <v>55.118750000000027</v>
      </c>
      <c r="CT323" s="9">
        <v>45.773428571428575</v>
      </c>
      <c r="CU323" s="9">
        <v>50.446428571428569</v>
      </c>
      <c r="CV323" s="9">
        <v>100.89217857142856</v>
      </c>
      <c r="CW323" s="7">
        <v>11</v>
      </c>
      <c r="CX323" s="7">
        <v>24</v>
      </c>
      <c r="CY323" s="7">
        <v>12</v>
      </c>
      <c r="CZ323" s="7">
        <v>9</v>
      </c>
      <c r="DA323" s="7">
        <v>1</v>
      </c>
      <c r="DB323" s="7">
        <v>1</v>
      </c>
      <c r="DC323" s="7">
        <v>15</v>
      </c>
      <c r="DD323" s="7">
        <v>28</v>
      </c>
      <c r="DE323" s="7">
        <v>9</v>
      </c>
      <c r="DF323" s="7">
        <v>4</v>
      </c>
      <c r="DG323" s="7">
        <v>0</v>
      </c>
      <c r="DH323" s="7">
        <v>0</v>
      </c>
      <c r="DI323" s="18">
        <f t="shared" si="42"/>
        <v>273</v>
      </c>
      <c r="DJ323" s="18" t="str">
        <f t="shared" si="43"/>
        <v/>
      </c>
      <c r="DK323" s="18">
        <f t="shared" si="44"/>
        <v>275</v>
      </c>
      <c r="DL323" s="18">
        <f t="shared" si="48"/>
        <v>20</v>
      </c>
      <c r="DM323" s="18" t="str">
        <f t="shared" si="49"/>
        <v/>
      </c>
      <c r="DN323" s="18">
        <f t="shared" si="50"/>
        <v>20</v>
      </c>
      <c r="DO323" s="18">
        <v>313</v>
      </c>
      <c r="DP323" s="18">
        <v>124</v>
      </c>
      <c r="DQ323" s="18">
        <v>313</v>
      </c>
      <c r="DR323" s="18">
        <v>21</v>
      </c>
      <c r="DS323" s="18">
        <v>11</v>
      </c>
      <c r="DT323" s="18">
        <v>21</v>
      </c>
      <c r="DU323" s="18" t="s">
        <v>277</v>
      </c>
    </row>
    <row r="324" spans="54:125" x14ac:dyDescent="0.25">
      <c r="BB324" s="7">
        <v>321</v>
      </c>
      <c r="BC324" s="7" t="s">
        <v>332</v>
      </c>
      <c r="BD324" s="23" t="s">
        <v>277</v>
      </c>
      <c r="BE324" s="26">
        <v>211923160</v>
      </c>
      <c r="BF324" s="25" t="s">
        <v>293</v>
      </c>
      <c r="BG324" s="7">
        <v>225</v>
      </c>
      <c r="BH324" s="7" t="s">
        <v>320</v>
      </c>
      <c r="BI324" s="7" t="s">
        <v>368</v>
      </c>
      <c r="BJ324" s="7">
        <v>59</v>
      </c>
      <c r="BK324" s="9">
        <v>69.943169491525452</v>
      </c>
      <c r="BL324" s="9">
        <v>61.016644067796641</v>
      </c>
      <c r="BM324" s="9">
        <v>65.480225988700582</v>
      </c>
      <c r="BN324" s="9">
        <v>130.95981355932201</v>
      </c>
      <c r="BO324" s="7">
        <v>2</v>
      </c>
      <c r="BP324" s="7">
        <v>16</v>
      </c>
      <c r="BQ324" s="7">
        <v>21</v>
      </c>
      <c r="BR324" s="7">
        <v>20</v>
      </c>
      <c r="BS324" s="7">
        <v>0</v>
      </c>
      <c r="BT324" s="7">
        <v>2</v>
      </c>
      <c r="BU324" s="7">
        <v>4</v>
      </c>
      <c r="BV324" s="7">
        <v>29</v>
      </c>
      <c r="BW324" s="7">
        <v>16</v>
      </c>
      <c r="BX324" s="7">
        <v>10</v>
      </c>
      <c r="BY324" s="7">
        <v>0</v>
      </c>
      <c r="BZ324" s="7">
        <v>0</v>
      </c>
      <c r="CA324" s="7">
        <v>60</v>
      </c>
      <c r="CB324" s="9">
        <v>60.055283333333364</v>
      </c>
      <c r="CC324" s="9">
        <v>53.332933333333358</v>
      </c>
      <c r="CD324" s="9">
        <v>56.694444444444436</v>
      </c>
      <c r="CE324" s="9">
        <v>113.38821666666664</v>
      </c>
      <c r="CF324" s="7">
        <v>4</v>
      </c>
      <c r="CG324" s="7">
        <v>25</v>
      </c>
      <c r="CH324" s="7">
        <v>26</v>
      </c>
      <c r="CI324" s="7">
        <v>5</v>
      </c>
      <c r="CJ324" s="7">
        <v>0</v>
      </c>
      <c r="CK324" s="7">
        <v>0</v>
      </c>
      <c r="CL324" s="7">
        <v>6</v>
      </c>
      <c r="CM324" s="7">
        <v>34</v>
      </c>
      <c r="CN324" s="7">
        <v>11</v>
      </c>
      <c r="CO324" s="7">
        <v>9</v>
      </c>
      <c r="CP324" s="7">
        <v>0</v>
      </c>
      <c r="CQ324" s="7">
        <v>0</v>
      </c>
      <c r="CR324" s="7">
        <v>119</v>
      </c>
      <c r="CS324" s="9">
        <v>64.957680672268879</v>
      </c>
      <c r="CT324" s="9">
        <v>57.142504201680666</v>
      </c>
      <c r="CU324" s="9">
        <v>61.050420168067227</v>
      </c>
      <c r="CV324" s="9">
        <v>122.1001848739495</v>
      </c>
      <c r="CW324" s="7">
        <v>6</v>
      </c>
      <c r="CX324" s="7">
        <v>41</v>
      </c>
      <c r="CY324" s="7">
        <v>47</v>
      </c>
      <c r="CZ324" s="7">
        <v>25</v>
      </c>
      <c r="DA324" s="7">
        <v>0</v>
      </c>
      <c r="DB324" s="7">
        <v>2</v>
      </c>
      <c r="DC324" s="7">
        <v>10</v>
      </c>
      <c r="DD324" s="7">
        <v>63</v>
      </c>
      <c r="DE324" s="7">
        <v>27</v>
      </c>
      <c r="DF324" s="7">
        <v>19</v>
      </c>
      <c r="DG324" s="7">
        <v>0</v>
      </c>
      <c r="DH324" s="7">
        <v>0</v>
      </c>
      <c r="DI324" s="18">
        <f t="shared" si="42"/>
        <v>49</v>
      </c>
      <c r="DJ324" s="18">
        <f t="shared" si="43"/>
        <v>87</v>
      </c>
      <c r="DK324" s="18">
        <f t="shared" si="44"/>
        <v>112</v>
      </c>
      <c r="DL324" s="18">
        <f t="shared" si="48"/>
        <v>6</v>
      </c>
      <c r="DM324" s="18">
        <f t="shared" si="49"/>
        <v>9</v>
      </c>
      <c r="DN324" s="18">
        <f t="shared" si="50"/>
        <v>12</v>
      </c>
      <c r="DO324" s="18">
        <v>313</v>
      </c>
      <c r="DP324" s="18">
        <v>124</v>
      </c>
      <c r="DQ324" s="18">
        <v>313</v>
      </c>
      <c r="DR324" s="18">
        <v>21</v>
      </c>
      <c r="DS324" s="18">
        <v>11</v>
      </c>
      <c r="DT324" s="18">
        <v>21</v>
      </c>
      <c r="DU324" s="18" t="s">
        <v>277</v>
      </c>
    </row>
    <row r="325" spans="54:125" x14ac:dyDescent="0.25">
      <c r="BB325" s="7">
        <v>322</v>
      </c>
      <c r="BC325" s="7" t="s">
        <v>332</v>
      </c>
      <c r="BD325" s="23" t="s">
        <v>277</v>
      </c>
      <c r="BE325" s="26">
        <v>890042539</v>
      </c>
      <c r="BF325" s="25" t="s">
        <v>294</v>
      </c>
      <c r="BG325" s="7">
        <v>286</v>
      </c>
      <c r="BH325" s="7" t="s">
        <v>320</v>
      </c>
      <c r="BI325" s="7" t="s">
        <v>368</v>
      </c>
      <c r="BJ325" s="7">
        <v>200</v>
      </c>
      <c r="BK325" s="9">
        <v>66.549649999999943</v>
      </c>
      <c r="BL325" s="9">
        <v>64.799669999999963</v>
      </c>
      <c r="BM325" s="9">
        <v>65.674999999999997</v>
      </c>
      <c r="BN325" s="9">
        <v>131.34931999999992</v>
      </c>
      <c r="BO325" s="7">
        <v>9</v>
      </c>
      <c r="BP325" s="7">
        <v>61</v>
      </c>
      <c r="BQ325" s="7">
        <v>78</v>
      </c>
      <c r="BR325" s="7">
        <v>52</v>
      </c>
      <c r="BS325" s="7">
        <v>1</v>
      </c>
      <c r="BT325" s="7">
        <v>1</v>
      </c>
      <c r="BU325" s="7">
        <v>9</v>
      </c>
      <c r="BV325" s="7">
        <v>66</v>
      </c>
      <c r="BW325" s="7">
        <v>93</v>
      </c>
      <c r="BX325" s="7">
        <v>32</v>
      </c>
      <c r="BY325" s="7">
        <v>0</v>
      </c>
      <c r="BZ325" s="7">
        <v>0</v>
      </c>
      <c r="CA325" s="7">
        <v>43</v>
      </c>
      <c r="CB325" s="9">
        <v>61.162465116279087</v>
      </c>
      <c r="CC325" s="9">
        <v>55.193418604651171</v>
      </c>
      <c r="CD325" s="9">
        <v>58.178294573643406</v>
      </c>
      <c r="CE325" s="9">
        <v>116.35588372093021</v>
      </c>
      <c r="CF325" s="7">
        <v>4</v>
      </c>
      <c r="CG325" s="7">
        <v>14</v>
      </c>
      <c r="CH325" s="7">
        <v>20</v>
      </c>
      <c r="CI325" s="7">
        <v>5</v>
      </c>
      <c r="CJ325" s="7">
        <v>0</v>
      </c>
      <c r="CK325" s="7">
        <v>0</v>
      </c>
      <c r="CL325" s="7">
        <v>5</v>
      </c>
      <c r="CM325" s="7">
        <v>21</v>
      </c>
      <c r="CN325" s="7">
        <v>14</v>
      </c>
      <c r="CO325" s="7">
        <v>3</v>
      </c>
      <c r="CP325" s="7">
        <v>0</v>
      </c>
      <c r="CQ325" s="7">
        <v>0</v>
      </c>
      <c r="CR325" s="7">
        <v>243</v>
      </c>
      <c r="CS325" s="9">
        <v>65.596362139917645</v>
      </c>
      <c r="CT325" s="9">
        <v>63.099798353909414</v>
      </c>
      <c r="CU325" s="9">
        <v>64.34842249657062</v>
      </c>
      <c r="CV325" s="9">
        <v>128.69616049382702</v>
      </c>
      <c r="CW325" s="7">
        <v>13</v>
      </c>
      <c r="CX325" s="7">
        <v>75</v>
      </c>
      <c r="CY325" s="7">
        <v>98</v>
      </c>
      <c r="CZ325" s="7">
        <v>57</v>
      </c>
      <c r="DA325" s="7">
        <v>1</v>
      </c>
      <c r="DB325" s="7">
        <v>1</v>
      </c>
      <c r="DC325" s="7">
        <v>14</v>
      </c>
      <c r="DD325" s="7">
        <v>87</v>
      </c>
      <c r="DE325" s="7">
        <v>107</v>
      </c>
      <c r="DF325" s="7">
        <v>35</v>
      </c>
      <c r="DG325" s="7">
        <v>0</v>
      </c>
      <c r="DH325" s="7">
        <v>0</v>
      </c>
      <c r="DI325" s="18">
        <f t="shared" ref="DI325:DI326" si="51">IF(BN325="","",(RANK(BN325,$BN$4:$BN$326)))</f>
        <v>47</v>
      </c>
      <c r="DJ325" s="18">
        <f t="shared" ref="DJ325:DJ326" si="52">IF(CE325="","",(RANK(CE325,$CE$4:$CE$326)))</f>
        <v>74</v>
      </c>
      <c r="DK325" s="18">
        <f t="shared" ref="DK325:DK326" si="53">IF(CV325="","",(RANK(CV325,$CV$4:$CV$326)))</f>
        <v>57</v>
      </c>
      <c r="DL325" s="18">
        <f t="shared" si="48"/>
        <v>5</v>
      </c>
      <c r="DM325" s="18">
        <f t="shared" si="49"/>
        <v>7</v>
      </c>
      <c r="DN325" s="18">
        <f t="shared" si="50"/>
        <v>5</v>
      </c>
      <c r="DO325" s="18">
        <v>313</v>
      </c>
      <c r="DP325" s="18">
        <v>124</v>
      </c>
      <c r="DQ325" s="18">
        <v>313</v>
      </c>
      <c r="DR325" s="18">
        <v>21</v>
      </c>
      <c r="DS325" s="18">
        <v>11</v>
      </c>
      <c r="DT325" s="18">
        <v>21</v>
      </c>
      <c r="DU325" s="18" t="s">
        <v>277</v>
      </c>
    </row>
    <row r="326" spans="54:125" x14ac:dyDescent="0.25">
      <c r="BB326" s="7">
        <v>323</v>
      </c>
      <c r="BC326" s="7" t="s">
        <v>332</v>
      </c>
      <c r="BD326" s="23" t="s">
        <v>277</v>
      </c>
      <c r="BE326" s="26">
        <v>185350024</v>
      </c>
      <c r="BF326" s="25" t="s">
        <v>295</v>
      </c>
      <c r="BG326" s="7">
        <v>308</v>
      </c>
      <c r="BH326" s="7" t="s">
        <v>320</v>
      </c>
      <c r="BI326" s="7" t="s">
        <v>367</v>
      </c>
      <c r="BJ326" s="7">
        <v>244</v>
      </c>
      <c r="BK326" s="9">
        <v>67.977762295081916</v>
      </c>
      <c r="BL326" s="9">
        <v>64.617172131147498</v>
      </c>
      <c r="BM326" s="9">
        <v>66.297814207650276</v>
      </c>
      <c r="BN326" s="9">
        <v>132.5949344262294</v>
      </c>
      <c r="BO326" s="7">
        <v>9</v>
      </c>
      <c r="BP326" s="7">
        <v>67</v>
      </c>
      <c r="BQ326" s="7">
        <v>102</v>
      </c>
      <c r="BR326" s="7">
        <v>66</v>
      </c>
      <c r="BS326" s="7">
        <v>1</v>
      </c>
      <c r="BT326" s="7">
        <v>2</v>
      </c>
      <c r="BU326" s="7">
        <v>8</v>
      </c>
      <c r="BV326" s="7">
        <v>98</v>
      </c>
      <c r="BW326" s="7">
        <v>90</v>
      </c>
      <c r="BX326" s="7">
        <v>48</v>
      </c>
      <c r="BY326" s="7">
        <v>0</v>
      </c>
      <c r="BZ326" s="7">
        <v>0</v>
      </c>
      <c r="CA326" s="7"/>
      <c r="CB326" s="9"/>
      <c r="CC326" s="9"/>
      <c r="CD326" s="9"/>
      <c r="CE326" s="9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>
        <v>244</v>
      </c>
      <c r="CS326" s="9">
        <v>67.977762295081916</v>
      </c>
      <c r="CT326" s="9">
        <v>64.617172131147498</v>
      </c>
      <c r="CU326" s="9">
        <v>66.297814207650276</v>
      </c>
      <c r="CV326" s="9">
        <v>132.5949344262294</v>
      </c>
      <c r="CW326" s="7">
        <v>9</v>
      </c>
      <c r="CX326" s="7">
        <v>67</v>
      </c>
      <c r="CY326" s="7">
        <v>102</v>
      </c>
      <c r="CZ326" s="7">
        <v>66</v>
      </c>
      <c r="DA326" s="7">
        <v>1</v>
      </c>
      <c r="DB326" s="7">
        <v>2</v>
      </c>
      <c r="DC326" s="7">
        <v>8</v>
      </c>
      <c r="DD326" s="7">
        <v>98</v>
      </c>
      <c r="DE326" s="7">
        <v>90</v>
      </c>
      <c r="DF326" s="7">
        <v>48</v>
      </c>
      <c r="DG326" s="7">
        <v>0</v>
      </c>
      <c r="DH326" s="7">
        <v>0</v>
      </c>
      <c r="DI326" s="18">
        <f t="shared" si="51"/>
        <v>40</v>
      </c>
      <c r="DJ326" s="18" t="str">
        <f t="shared" si="52"/>
        <v/>
      </c>
      <c r="DK326" s="18">
        <f t="shared" si="53"/>
        <v>36</v>
      </c>
      <c r="DL326" s="18">
        <f t="shared" si="48"/>
        <v>4</v>
      </c>
      <c r="DM326" s="18" t="str">
        <f t="shared" si="49"/>
        <v/>
      </c>
      <c r="DN326" s="18">
        <f t="shared" si="50"/>
        <v>3</v>
      </c>
      <c r="DO326" s="18">
        <v>313</v>
      </c>
      <c r="DP326" s="18">
        <v>124</v>
      </c>
      <c r="DQ326" s="18">
        <v>313</v>
      </c>
      <c r="DR326" s="18">
        <v>21</v>
      </c>
      <c r="DS326" s="18">
        <v>11</v>
      </c>
      <c r="DT326" s="18">
        <v>21</v>
      </c>
      <c r="DU326" s="18" t="s">
        <v>277</v>
      </c>
    </row>
    <row r="327" spans="54:125" x14ac:dyDescent="0.25">
      <c r="DI327" s="18" t="str">
        <f t="shared" ref="DI327:DI334" si="54">IF(BN327="","",(RANK(BN327,$BN$4:$BN$326)))</f>
        <v/>
      </c>
      <c r="DJ327" s="18" t="str">
        <f t="shared" ref="DJ327:DJ334" si="55">IF(CE327="","",(RANK(CE327,$CE$4:$CE$326)))</f>
        <v/>
      </c>
      <c r="DK327" s="18" t="str">
        <f t="shared" ref="DK327:DK334" si="56">IF(CV327="","",(RANK(CV327,$CV$4:$CV$326)))</f>
        <v/>
      </c>
    </row>
    <row r="328" spans="54:125" x14ac:dyDescent="0.25">
      <c r="DI328" s="18" t="str">
        <f t="shared" si="54"/>
        <v/>
      </c>
      <c r="DJ328" s="18" t="str">
        <f t="shared" si="55"/>
        <v/>
      </c>
      <c r="DK328" s="18" t="str">
        <f t="shared" si="56"/>
        <v/>
      </c>
    </row>
    <row r="329" spans="54:125" x14ac:dyDescent="0.25">
      <c r="DI329" s="18" t="str">
        <f t="shared" si="54"/>
        <v/>
      </c>
      <c r="DJ329" s="18" t="str">
        <f t="shared" si="55"/>
        <v/>
      </c>
      <c r="DK329" s="18" t="str">
        <f t="shared" si="56"/>
        <v/>
      </c>
    </row>
    <row r="330" spans="54:125" x14ac:dyDescent="0.25">
      <c r="DI330" s="18" t="str">
        <f t="shared" si="54"/>
        <v/>
      </c>
      <c r="DJ330" s="18" t="str">
        <f t="shared" si="55"/>
        <v/>
      </c>
      <c r="DK330" s="18" t="str">
        <f t="shared" si="56"/>
        <v/>
      </c>
    </row>
    <row r="331" spans="54:125" x14ac:dyDescent="0.25">
      <c r="DI331" s="18" t="str">
        <f t="shared" si="54"/>
        <v/>
      </c>
      <c r="DJ331" s="18" t="str">
        <f t="shared" si="55"/>
        <v/>
      </c>
      <c r="DK331" s="18" t="str">
        <f t="shared" si="56"/>
        <v/>
      </c>
    </row>
    <row r="332" spans="54:125" x14ac:dyDescent="0.25">
      <c r="DI332" s="18" t="str">
        <f t="shared" si="54"/>
        <v/>
      </c>
      <c r="DJ332" s="18" t="str">
        <f t="shared" si="55"/>
        <v/>
      </c>
      <c r="DK332" s="18" t="str">
        <f t="shared" si="56"/>
        <v/>
      </c>
    </row>
    <row r="333" spans="54:125" x14ac:dyDescent="0.25">
      <c r="DI333" s="18" t="str">
        <f t="shared" si="54"/>
        <v/>
      </c>
      <c r="DJ333" s="18" t="str">
        <f t="shared" si="55"/>
        <v/>
      </c>
      <c r="DK333" s="18" t="str">
        <f t="shared" si="56"/>
        <v/>
      </c>
    </row>
    <row r="334" spans="54:125" x14ac:dyDescent="0.25">
      <c r="DI334" s="18" t="str">
        <f t="shared" si="54"/>
        <v/>
      </c>
      <c r="DJ334" s="18" t="str">
        <f t="shared" si="55"/>
        <v/>
      </c>
      <c r="DK334" s="18" t="str">
        <f t="shared" si="56"/>
        <v/>
      </c>
    </row>
    <row r="335" spans="54:125" x14ac:dyDescent="0.25">
      <c r="BB335" s="7">
        <v>1</v>
      </c>
      <c r="BC335" s="7" t="s">
        <v>332</v>
      </c>
      <c r="BD335" s="7" t="s">
        <v>2</v>
      </c>
      <c r="BE335" s="7" t="s">
        <v>2</v>
      </c>
      <c r="BF335" s="7" t="s">
        <v>1</v>
      </c>
      <c r="BG335" s="7"/>
      <c r="BH335" s="7"/>
      <c r="BI335" s="7"/>
      <c r="BJ335" s="7">
        <v>4922</v>
      </c>
      <c r="BK335" s="9">
        <v>63.280171068673006</v>
      </c>
      <c r="BL335" s="9">
        <v>57.348295408371989</v>
      </c>
      <c r="BM335" s="9">
        <v>60.314574021400638</v>
      </c>
      <c r="BN335" s="9">
        <v>120.62846647704387</v>
      </c>
      <c r="BO335" s="7">
        <v>432</v>
      </c>
      <c r="BP335" s="7">
        <v>1664</v>
      </c>
      <c r="BQ335" s="7">
        <v>1791</v>
      </c>
      <c r="BR335" s="7">
        <v>1035</v>
      </c>
      <c r="BS335" s="7">
        <v>29</v>
      </c>
      <c r="BT335" s="7">
        <v>58</v>
      </c>
      <c r="BU335" s="7">
        <v>598</v>
      </c>
      <c r="BV335" s="7">
        <v>2113</v>
      </c>
      <c r="BW335" s="7">
        <v>1595</v>
      </c>
      <c r="BX335" s="7">
        <v>616</v>
      </c>
      <c r="BY335" s="7">
        <v>0</v>
      </c>
      <c r="BZ335" s="7">
        <v>10</v>
      </c>
      <c r="CA335" s="7">
        <v>1068</v>
      </c>
      <c r="CB335" s="9">
        <v>63.102047752808318</v>
      </c>
      <c r="CC335" s="9">
        <v>57.131364232209073</v>
      </c>
      <c r="CD335" s="9">
        <v>60.117041198501902</v>
      </c>
      <c r="CE335" s="9">
        <v>120.2334119850174</v>
      </c>
      <c r="CF335" s="7">
        <v>73</v>
      </c>
      <c r="CG335" s="7">
        <v>363</v>
      </c>
      <c r="CH335" s="7">
        <v>487</v>
      </c>
      <c r="CI335" s="7">
        <v>145</v>
      </c>
      <c r="CJ335" s="7">
        <v>0</v>
      </c>
      <c r="CK335" s="7">
        <v>0</v>
      </c>
      <c r="CL335" s="7">
        <v>96</v>
      </c>
      <c r="CM335" s="7">
        <v>532</v>
      </c>
      <c r="CN335" s="7">
        <v>338</v>
      </c>
      <c r="CO335" s="7">
        <v>102</v>
      </c>
      <c r="CP335" s="7">
        <v>0</v>
      </c>
      <c r="CQ335" s="7">
        <v>0</v>
      </c>
      <c r="CR335" s="7">
        <v>5991</v>
      </c>
      <c r="CS335" s="9">
        <v>63.240636788518181</v>
      </c>
      <c r="CT335" s="9">
        <v>57.307284259724774</v>
      </c>
      <c r="CU335" s="9">
        <v>60.274300339398216</v>
      </c>
      <c r="CV335" s="9">
        <v>120.54792104823738</v>
      </c>
      <c r="CW335" s="7">
        <v>506</v>
      </c>
      <c r="CX335" s="7">
        <v>2027</v>
      </c>
      <c r="CY335" s="7">
        <v>2278</v>
      </c>
      <c r="CZ335" s="7">
        <v>1180</v>
      </c>
      <c r="DA335" s="7">
        <v>29</v>
      </c>
      <c r="DB335" s="7">
        <v>58</v>
      </c>
      <c r="DC335" s="7">
        <v>694</v>
      </c>
      <c r="DD335" s="7">
        <v>2646</v>
      </c>
      <c r="DE335" s="7">
        <v>1933</v>
      </c>
      <c r="DF335" s="7">
        <v>718</v>
      </c>
      <c r="DG335" s="7">
        <v>0</v>
      </c>
      <c r="DH335" s="7">
        <v>10</v>
      </c>
      <c r="DI335" s="18">
        <f>IF(BN335="","",(RANK(BN335,$BN$335:$BN$346)))</f>
        <v>7</v>
      </c>
      <c r="DJ335" s="18">
        <f>IF(CE335="","",(RANK(CE335,$CE$335:$CE$346)))</f>
        <v>7</v>
      </c>
      <c r="DK335" s="18">
        <f>IF(CV335="","",(RANK(CV335,$CV$335:$CV$346)))</f>
        <v>6</v>
      </c>
      <c r="DO335" s="18">
        <v>12</v>
      </c>
      <c r="DP335" s="18">
        <v>12</v>
      </c>
      <c r="DQ335" s="18">
        <v>12</v>
      </c>
    </row>
    <row r="336" spans="54:125" x14ac:dyDescent="0.25">
      <c r="BB336" s="7">
        <v>2</v>
      </c>
      <c r="BC336" s="7" t="s">
        <v>332</v>
      </c>
      <c r="BD336" s="7" t="s">
        <v>36</v>
      </c>
      <c r="BE336" s="7" t="s">
        <v>36</v>
      </c>
      <c r="BF336" s="7" t="s">
        <v>1</v>
      </c>
      <c r="BG336" s="7"/>
      <c r="BH336" s="7"/>
      <c r="BI336" s="7"/>
      <c r="BJ336" s="7">
        <v>1651</v>
      </c>
      <c r="BK336" s="9">
        <v>63.609596002421881</v>
      </c>
      <c r="BL336" s="9">
        <v>58.311806783766599</v>
      </c>
      <c r="BM336" s="9">
        <v>60.961033716939276</v>
      </c>
      <c r="BN336" s="9">
        <v>121.92140278619074</v>
      </c>
      <c r="BO336" s="7">
        <v>137</v>
      </c>
      <c r="BP336" s="7">
        <v>562</v>
      </c>
      <c r="BQ336" s="7">
        <v>614</v>
      </c>
      <c r="BR336" s="7">
        <v>338</v>
      </c>
      <c r="BS336" s="7">
        <v>4</v>
      </c>
      <c r="BT336" s="7">
        <v>15</v>
      </c>
      <c r="BU336" s="7">
        <v>186</v>
      </c>
      <c r="BV336" s="7">
        <v>690</v>
      </c>
      <c r="BW336" s="7">
        <v>554</v>
      </c>
      <c r="BX336" s="7">
        <v>221</v>
      </c>
      <c r="BY336" s="7">
        <v>0</v>
      </c>
      <c r="BZ336" s="7">
        <v>0</v>
      </c>
      <c r="CA336" s="7">
        <v>711</v>
      </c>
      <c r="CB336" s="9">
        <v>63.300185654008011</v>
      </c>
      <c r="CC336" s="9">
        <v>57.144520393811248</v>
      </c>
      <c r="CD336" s="9">
        <v>60.222691045475827</v>
      </c>
      <c r="CE336" s="9">
        <v>120.44470604781924</v>
      </c>
      <c r="CF336" s="7">
        <v>46</v>
      </c>
      <c r="CG336" s="7">
        <v>246</v>
      </c>
      <c r="CH336" s="7">
        <v>303</v>
      </c>
      <c r="CI336" s="7">
        <v>116</v>
      </c>
      <c r="CJ336" s="7">
        <v>0</v>
      </c>
      <c r="CK336" s="7">
        <v>0</v>
      </c>
      <c r="CL336" s="7">
        <v>80</v>
      </c>
      <c r="CM336" s="7">
        <v>326</v>
      </c>
      <c r="CN336" s="7">
        <v>218</v>
      </c>
      <c r="CO336" s="7">
        <v>87</v>
      </c>
      <c r="CP336" s="7">
        <v>0</v>
      </c>
      <c r="CQ336" s="7">
        <v>2</v>
      </c>
      <c r="CR336" s="7">
        <v>2362</v>
      </c>
      <c r="CS336" s="9">
        <v>63.516458509737141</v>
      </c>
      <c r="CT336" s="9">
        <v>57.960434801015268</v>
      </c>
      <c r="CU336" s="9">
        <v>60.73878069432682</v>
      </c>
      <c r="CV336" s="9">
        <v>121.47689331075536</v>
      </c>
      <c r="CW336" s="7">
        <v>183</v>
      </c>
      <c r="CX336" s="7">
        <v>808</v>
      </c>
      <c r="CY336" s="7">
        <v>917</v>
      </c>
      <c r="CZ336" s="7">
        <v>454</v>
      </c>
      <c r="DA336" s="7">
        <v>4</v>
      </c>
      <c r="DB336" s="7">
        <v>15</v>
      </c>
      <c r="DC336" s="7">
        <v>266</v>
      </c>
      <c r="DD336" s="7">
        <v>1016</v>
      </c>
      <c r="DE336" s="7">
        <v>772</v>
      </c>
      <c r="DF336" s="7">
        <v>308</v>
      </c>
      <c r="DG336" s="7">
        <v>0</v>
      </c>
      <c r="DH336" s="7">
        <v>2</v>
      </c>
      <c r="DI336" s="18">
        <f t="shared" ref="DI336:DI346" si="57">IF(BN336="","",(RANK(BN336,$BN$335:$BN$346)))</f>
        <v>5</v>
      </c>
      <c r="DJ336" s="18">
        <f t="shared" ref="DJ336:DJ346" si="58">IF(CE336="","",(RANK(CE336,$CE$335:$CE$346)))</f>
        <v>6</v>
      </c>
      <c r="DK336" s="18">
        <f t="shared" ref="DK336:DK346" si="59">IF(CV336="","",(RANK(CV336,$CV$335:$CV$346)))</f>
        <v>5</v>
      </c>
      <c r="DO336" s="18">
        <v>12</v>
      </c>
      <c r="DP336" s="18">
        <v>12</v>
      </c>
      <c r="DQ336" s="18">
        <v>12</v>
      </c>
    </row>
    <row r="337" spans="54:121" x14ac:dyDescent="0.25">
      <c r="BB337" s="7">
        <v>3</v>
      </c>
      <c r="BC337" s="7" t="s">
        <v>332</v>
      </c>
      <c r="BD337" s="7" t="s">
        <v>55</v>
      </c>
      <c r="BE337" s="7" t="s">
        <v>55</v>
      </c>
      <c r="BF337" s="7" t="s">
        <v>1</v>
      </c>
      <c r="BG337" s="7"/>
      <c r="BH337" s="7"/>
      <c r="BI337" s="7"/>
      <c r="BJ337" s="7">
        <v>1547</v>
      </c>
      <c r="BK337" s="9">
        <v>65.858318034905409</v>
      </c>
      <c r="BL337" s="9">
        <v>61.26878086619179</v>
      </c>
      <c r="BM337" s="9">
        <v>63.563887093298909</v>
      </c>
      <c r="BN337" s="9">
        <v>127.12709890109933</v>
      </c>
      <c r="BO337" s="7">
        <v>122</v>
      </c>
      <c r="BP337" s="7">
        <v>453</v>
      </c>
      <c r="BQ337" s="7">
        <v>562</v>
      </c>
      <c r="BR337" s="7">
        <v>410</v>
      </c>
      <c r="BS337" s="7">
        <v>8</v>
      </c>
      <c r="BT337" s="7">
        <v>26</v>
      </c>
      <c r="BU337" s="7">
        <v>136</v>
      </c>
      <c r="BV337" s="7">
        <v>582</v>
      </c>
      <c r="BW337" s="7">
        <v>568</v>
      </c>
      <c r="BX337" s="7">
        <v>261</v>
      </c>
      <c r="BY337" s="7">
        <v>0</v>
      </c>
      <c r="BZ337" s="7">
        <v>3</v>
      </c>
      <c r="CA337" s="7">
        <v>807</v>
      </c>
      <c r="CB337" s="9">
        <v>63.923664188351502</v>
      </c>
      <c r="CC337" s="9">
        <v>57.583304832713296</v>
      </c>
      <c r="CD337" s="9">
        <v>60.753820735233411</v>
      </c>
      <c r="CE337" s="9">
        <v>121.50696902106486</v>
      </c>
      <c r="CF337" s="7">
        <v>58</v>
      </c>
      <c r="CG337" s="7">
        <v>248</v>
      </c>
      <c r="CH337" s="7">
        <v>373</v>
      </c>
      <c r="CI337" s="7">
        <v>128</v>
      </c>
      <c r="CJ337" s="7">
        <v>0</v>
      </c>
      <c r="CK337" s="7">
        <v>1</v>
      </c>
      <c r="CL337" s="7">
        <v>65</v>
      </c>
      <c r="CM337" s="7">
        <v>379</v>
      </c>
      <c r="CN337" s="7">
        <v>302</v>
      </c>
      <c r="CO337" s="7">
        <v>61</v>
      </c>
      <c r="CP337" s="7">
        <v>0</v>
      </c>
      <c r="CQ337" s="7">
        <v>0</v>
      </c>
      <c r="CR337" s="7">
        <v>2354</v>
      </c>
      <c r="CS337" s="9">
        <v>65.195078589634335</v>
      </c>
      <c r="CT337" s="9">
        <v>60.005323279523552</v>
      </c>
      <c r="CU337" s="9">
        <v>62.600538091192369</v>
      </c>
      <c r="CV337" s="9">
        <v>125.200401869161</v>
      </c>
      <c r="CW337" s="7">
        <v>180</v>
      </c>
      <c r="CX337" s="7">
        <v>701</v>
      </c>
      <c r="CY337" s="7">
        <v>935</v>
      </c>
      <c r="CZ337" s="7">
        <v>538</v>
      </c>
      <c r="DA337" s="7">
        <v>8</v>
      </c>
      <c r="DB337" s="7">
        <v>27</v>
      </c>
      <c r="DC337" s="7">
        <v>201</v>
      </c>
      <c r="DD337" s="7">
        <v>961</v>
      </c>
      <c r="DE337" s="7">
        <v>870</v>
      </c>
      <c r="DF337" s="7">
        <v>322</v>
      </c>
      <c r="DG337" s="7">
        <v>0</v>
      </c>
      <c r="DH337" s="7">
        <v>3</v>
      </c>
      <c r="DI337" s="18">
        <f t="shared" si="57"/>
        <v>2</v>
      </c>
      <c r="DJ337" s="18">
        <f t="shared" si="58"/>
        <v>4</v>
      </c>
      <c r="DK337" s="18">
        <f t="shared" si="59"/>
        <v>3</v>
      </c>
      <c r="DO337" s="18">
        <v>12</v>
      </c>
      <c r="DP337" s="18">
        <v>12</v>
      </c>
      <c r="DQ337" s="18">
        <v>12</v>
      </c>
    </row>
    <row r="338" spans="54:121" x14ac:dyDescent="0.25">
      <c r="BB338" s="7">
        <v>4</v>
      </c>
      <c r="BC338" s="7" t="s">
        <v>332</v>
      </c>
      <c r="BD338" s="7" t="s">
        <v>74</v>
      </c>
      <c r="BE338" s="7" t="s">
        <v>74</v>
      </c>
      <c r="BF338" s="7" t="s">
        <v>1</v>
      </c>
      <c r="BG338" s="7"/>
      <c r="BH338" s="7"/>
      <c r="BI338" s="7"/>
      <c r="BJ338" s="7">
        <v>2240</v>
      </c>
      <c r="BK338" s="9">
        <v>66.41930848214237</v>
      </c>
      <c r="BL338" s="9">
        <v>60.934191517856313</v>
      </c>
      <c r="BM338" s="9">
        <v>63.677083333333314</v>
      </c>
      <c r="BN338" s="9">
        <v>127.3535000000016</v>
      </c>
      <c r="BO338" s="7">
        <v>177</v>
      </c>
      <c r="BP338" s="7">
        <v>644</v>
      </c>
      <c r="BQ338" s="7">
        <v>807</v>
      </c>
      <c r="BR338" s="7">
        <v>612</v>
      </c>
      <c r="BS338" s="7">
        <v>4</v>
      </c>
      <c r="BT338" s="7">
        <v>32</v>
      </c>
      <c r="BU338" s="7">
        <v>242</v>
      </c>
      <c r="BV338" s="7">
        <v>822</v>
      </c>
      <c r="BW338" s="7">
        <v>764</v>
      </c>
      <c r="BX338" s="7">
        <v>412</v>
      </c>
      <c r="BY338" s="7">
        <v>0</v>
      </c>
      <c r="BZ338" s="7">
        <v>5</v>
      </c>
      <c r="CA338" s="7">
        <v>820</v>
      </c>
      <c r="CB338" s="9">
        <v>64.288287804877513</v>
      </c>
      <c r="CC338" s="9">
        <v>56.731373170731302</v>
      </c>
      <c r="CD338" s="9">
        <v>60.510162601625986</v>
      </c>
      <c r="CE338" s="9">
        <v>121.01966097560879</v>
      </c>
      <c r="CF338" s="7">
        <v>53</v>
      </c>
      <c r="CG338" s="7">
        <v>264</v>
      </c>
      <c r="CH338" s="7">
        <v>362</v>
      </c>
      <c r="CI338" s="7">
        <v>141</v>
      </c>
      <c r="CJ338" s="7">
        <v>0</v>
      </c>
      <c r="CK338" s="7">
        <v>1</v>
      </c>
      <c r="CL338" s="7">
        <v>81</v>
      </c>
      <c r="CM338" s="7">
        <v>391</v>
      </c>
      <c r="CN338" s="7">
        <v>289</v>
      </c>
      <c r="CO338" s="7">
        <v>59</v>
      </c>
      <c r="CP338" s="7">
        <v>0</v>
      </c>
      <c r="CQ338" s="7">
        <v>0</v>
      </c>
      <c r="CR338" s="7">
        <v>3060</v>
      </c>
      <c r="CS338" s="9">
        <v>65.848250653595414</v>
      </c>
      <c r="CT338" s="9">
        <v>59.807946078431584</v>
      </c>
      <c r="CU338" s="9">
        <v>62.828431372549026</v>
      </c>
      <c r="CV338" s="9">
        <v>125.65619673202926</v>
      </c>
      <c r="CW338" s="7">
        <v>230</v>
      </c>
      <c r="CX338" s="7">
        <v>908</v>
      </c>
      <c r="CY338" s="7">
        <v>1169</v>
      </c>
      <c r="CZ338" s="7">
        <v>753</v>
      </c>
      <c r="DA338" s="7">
        <v>4</v>
      </c>
      <c r="DB338" s="7">
        <v>33</v>
      </c>
      <c r="DC338" s="7">
        <v>323</v>
      </c>
      <c r="DD338" s="7">
        <v>1213</v>
      </c>
      <c r="DE338" s="7">
        <v>1053</v>
      </c>
      <c r="DF338" s="7">
        <v>471</v>
      </c>
      <c r="DG338" s="7">
        <v>0</v>
      </c>
      <c r="DH338" s="7">
        <v>5</v>
      </c>
      <c r="DI338" s="18">
        <f t="shared" si="57"/>
        <v>1</v>
      </c>
      <c r="DJ338" s="18">
        <f t="shared" si="58"/>
        <v>5</v>
      </c>
      <c r="DK338" s="18">
        <f t="shared" si="59"/>
        <v>1</v>
      </c>
      <c r="DO338" s="18">
        <v>12</v>
      </c>
      <c r="DP338" s="18">
        <v>12</v>
      </c>
      <c r="DQ338" s="18">
        <v>12</v>
      </c>
    </row>
    <row r="339" spans="54:121" x14ac:dyDescent="0.25">
      <c r="BB339" s="7">
        <v>5</v>
      </c>
      <c r="BC339" s="7" t="s">
        <v>332</v>
      </c>
      <c r="BD339" s="7" t="s">
        <v>6</v>
      </c>
      <c r="BE339" s="7" t="s">
        <v>6</v>
      </c>
      <c r="BF339" s="7" t="s">
        <v>1</v>
      </c>
      <c r="BG339" s="7"/>
      <c r="BH339" s="7"/>
      <c r="BI339" s="7"/>
      <c r="BJ339" s="7">
        <v>200</v>
      </c>
      <c r="BK339" s="9">
        <v>63.599659999999979</v>
      </c>
      <c r="BL339" s="9">
        <v>57.233039999999974</v>
      </c>
      <c r="BM339" s="9">
        <v>60.416666666666643</v>
      </c>
      <c r="BN339" s="9">
        <v>120.83269999999987</v>
      </c>
      <c r="BO339" s="7">
        <v>21</v>
      </c>
      <c r="BP339" s="7">
        <v>67</v>
      </c>
      <c r="BQ339" s="7">
        <v>58</v>
      </c>
      <c r="BR339" s="7">
        <v>54</v>
      </c>
      <c r="BS339" s="7">
        <v>2</v>
      </c>
      <c r="BT339" s="7">
        <v>3</v>
      </c>
      <c r="BU339" s="7">
        <v>23</v>
      </c>
      <c r="BV339" s="7">
        <v>90</v>
      </c>
      <c r="BW339" s="7">
        <v>67</v>
      </c>
      <c r="BX339" s="7">
        <v>20</v>
      </c>
      <c r="BY339" s="7">
        <v>0</v>
      </c>
      <c r="BZ339" s="7">
        <v>0</v>
      </c>
      <c r="CA339" s="7">
        <v>57</v>
      </c>
      <c r="CB339" s="9">
        <v>63.157596491228105</v>
      </c>
      <c r="CC339" s="9">
        <v>56.315438596491262</v>
      </c>
      <c r="CD339" s="9">
        <v>59.736842105263172</v>
      </c>
      <c r="CE339" s="9">
        <v>119.47303508771928</v>
      </c>
      <c r="CF339" s="7">
        <v>4</v>
      </c>
      <c r="CG339" s="7">
        <v>19</v>
      </c>
      <c r="CH339" s="7">
        <v>23</v>
      </c>
      <c r="CI339" s="7">
        <v>11</v>
      </c>
      <c r="CJ339" s="7">
        <v>0</v>
      </c>
      <c r="CK339" s="7">
        <v>0</v>
      </c>
      <c r="CL339" s="7">
        <v>8</v>
      </c>
      <c r="CM339" s="7">
        <v>26</v>
      </c>
      <c r="CN339" s="7">
        <v>17</v>
      </c>
      <c r="CO339" s="7">
        <v>6</v>
      </c>
      <c r="CP339" s="7">
        <v>0</v>
      </c>
      <c r="CQ339" s="7">
        <v>0</v>
      </c>
      <c r="CR339" s="7">
        <v>257</v>
      </c>
      <c r="CS339" s="9">
        <v>63.501614785992203</v>
      </c>
      <c r="CT339" s="9">
        <v>57.02952529182879</v>
      </c>
      <c r="CU339" s="9">
        <v>60.265888456549952</v>
      </c>
      <c r="CV339" s="9">
        <v>120.53114007782096</v>
      </c>
      <c r="CW339" s="7">
        <v>25</v>
      </c>
      <c r="CX339" s="7">
        <v>86</v>
      </c>
      <c r="CY339" s="7">
        <v>81</v>
      </c>
      <c r="CZ339" s="7">
        <v>65</v>
      </c>
      <c r="DA339" s="7">
        <v>2</v>
      </c>
      <c r="DB339" s="7">
        <v>3</v>
      </c>
      <c r="DC339" s="7">
        <v>31</v>
      </c>
      <c r="DD339" s="7">
        <v>116</v>
      </c>
      <c r="DE339" s="7">
        <v>84</v>
      </c>
      <c r="DF339" s="7">
        <v>26</v>
      </c>
      <c r="DG339" s="7">
        <v>0</v>
      </c>
      <c r="DH339" s="7">
        <v>0</v>
      </c>
      <c r="DI339" s="18">
        <f t="shared" si="57"/>
        <v>6</v>
      </c>
      <c r="DJ339" s="18">
        <f t="shared" si="58"/>
        <v>8</v>
      </c>
      <c r="DK339" s="18">
        <f t="shared" si="59"/>
        <v>7</v>
      </c>
      <c r="DO339" s="18">
        <v>12</v>
      </c>
      <c r="DP339" s="18">
        <v>12</v>
      </c>
      <c r="DQ339" s="18">
        <v>12</v>
      </c>
    </row>
    <row r="340" spans="54:121" x14ac:dyDescent="0.25">
      <c r="BB340" s="7">
        <v>6</v>
      </c>
      <c r="BC340" s="7" t="s">
        <v>332</v>
      </c>
      <c r="BD340" s="7" t="s">
        <v>97</v>
      </c>
      <c r="BE340" s="7" t="s">
        <v>97</v>
      </c>
      <c r="BF340" s="7" t="s">
        <v>1</v>
      </c>
      <c r="BG340" s="7"/>
      <c r="BH340" s="7"/>
      <c r="BI340" s="7"/>
      <c r="BJ340" s="7">
        <v>3212</v>
      </c>
      <c r="BK340" s="9">
        <v>57.651185865504885</v>
      </c>
      <c r="BL340" s="9">
        <v>50.858937110834212</v>
      </c>
      <c r="BM340" s="9">
        <v>54.255396430054155</v>
      </c>
      <c r="BN340" s="9">
        <v>108.51012297634185</v>
      </c>
      <c r="BO340" s="7">
        <v>513</v>
      </c>
      <c r="BP340" s="7">
        <v>1165</v>
      </c>
      <c r="BQ340" s="7">
        <v>1021</v>
      </c>
      <c r="BR340" s="7">
        <v>513</v>
      </c>
      <c r="BS340" s="7">
        <v>22</v>
      </c>
      <c r="BT340" s="7">
        <v>22</v>
      </c>
      <c r="BU340" s="7">
        <v>640</v>
      </c>
      <c r="BV340" s="7">
        <v>1493</v>
      </c>
      <c r="BW340" s="7">
        <v>883</v>
      </c>
      <c r="BX340" s="7">
        <v>196</v>
      </c>
      <c r="BY340" s="7">
        <v>0</v>
      </c>
      <c r="BZ340" s="7">
        <v>0</v>
      </c>
      <c r="CA340" s="7">
        <v>279</v>
      </c>
      <c r="CB340" s="9">
        <v>60.632899641576998</v>
      </c>
      <c r="CC340" s="9">
        <v>51.648433691756225</v>
      </c>
      <c r="CD340" s="9">
        <v>56.140979689366816</v>
      </c>
      <c r="CE340" s="9">
        <v>112.28133333333329</v>
      </c>
      <c r="CF340" s="7">
        <v>30</v>
      </c>
      <c r="CG340" s="7">
        <v>88</v>
      </c>
      <c r="CH340" s="7">
        <v>136</v>
      </c>
      <c r="CI340" s="7">
        <v>25</v>
      </c>
      <c r="CJ340" s="7">
        <v>0</v>
      </c>
      <c r="CK340" s="7">
        <v>0</v>
      </c>
      <c r="CL340" s="7">
        <v>35</v>
      </c>
      <c r="CM340" s="7">
        <v>164</v>
      </c>
      <c r="CN340" s="7">
        <v>71</v>
      </c>
      <c r="CO340" s="7">
        <v>9</v>
      </c>
      <c r="CP340" s="7">
        <v>0</v>
      </c>
      <c r="CQ340" s="7">
        <v>0</v>
      </c>
      <c r="CR340" s="7">
        <v>3491</v>
      </c>
      <c r="CS340" s="9">
        <v>57.88948381552644</v>
      </c>
      <c r="CT340" s="9">
        <v>50.92203351475235</v>
      </c>
      <c r="CU340" s="9">
        <v>54.406091855247013</v>
      </c>
      <c r="CV340" s="9">
        <v>108.81151733028129</v>
      </c>
      <c r="CW340" s="7">
        <v>543</v>
      </c>
      <c r="CX340" s="7">
        <v>1253</v>
      </c>
      <c r="CY340" s="7">
        <v>1157</v>
      </c>
      <c r="CZ340" s="7">
        <v>538</v>
      </c>
      <c r="DA340" s="7">
        <v>22</v>
      </c>
      <c r="DB340" s="7">
        <v>22</v>
      </c>
      <c r="DC340" s="7">
        <v>675</v>
      </c>
      <c r="DD340" s="7">
        <v>1657</v>
      </c>
      <c r="DE340" s="7">
        <v>954</v>
      </c>
      <c r="DF340" s="7">
        <v>205</v>
      </c>
      <c r="DG340" s="7">
        <v>0</v>
      </c>
      <c r="DH340" s="7">
        <v>0</v>
      </c>
      <c r="DI340" s="18">
        <f t="shared" si="57"/>
        <v>12</v>
      </c>
      <c r="DJ340" s="18">
        <f t="shared" si="58"/>
        <v>12</v>
      </c>
      <c r="DK340" s="18">
        <f t="shared" si="59"/>
        <v>12</v>
      </c>
      <c r="DO340" s="18">
        <v>12</v>
      </c>
      <c r="DP340" s="18">
        <v>12</v>
      </c>
      <c r="DQ340" s="18">
        <v>12</v>
      </c>
    </row>
    <row r="341" spans="54:121" x14ac:dyDescent="0.25">
      <c r="BB341" s="7">
        <v>7</v>
      </c>
      <c r="BC341" s="7" t="s">
        <v>332</v>
      </c>
      <c r="BD341" s="7" t="s">
        <v>124</v>
      </c>
      <c r="BE341" s="7" t="s">
        <v>124</v>
      </c>
      <c r="BF341" s="7" t="s">
        <v>1</v>
      </c>
      <c r="BG341" s="7"/>
      <c r="BH341" s="7"/>
      <c r="BI341" s="7"/>
      <c r="BJ341" s="7">
        <v>6422</v>
      </c>
      <c r="BK341" s="9">
        <v>61.987108221739682</v>
      </c>
      <c r="BL341" s="9">
        <v>55.240508564312073</v>
      </c>
      <c r="BM341" s="9">
        <v>58.61413889753981</v>
      </c>
      <c r="BN341" s="9">
        <v>117.22761678604562</v>
      </c>
      <c r="BO341" s="7">
        <v>695</v>
      </c>
      <c r="BP341" s="7">
        <v>2206</v>
      </c>
      <c r="BQ341" s="7">
        <v>2218</v>
      </c>
      <c r="BR341" s="7">
        <v>1303</v>
      </c>
      <c r="BS341" s="7">
        <v>19</v>
      </c>
      <c r="BT341" s="7">
        <v>72</v>
      </c>
      <c r="BU341" s="7">
        <v>886</v>
      </c>
      <c r="BV341" s="7">
        <v>2978</v>
      </c>
      <c r="BW341" s="7">
        <v>1916</v>
      </c>
      <c r="BX341" s="7">
        <v>642</v>
      </c>
      <c r="BY341" s="7">
        <v>0</v>
      </c>
      <c r="BZ341" s="7">
        <v>5</v>
      </c>
      <c r="CA341" s="7">
        <v>675</v>
      </c>
      <c r="CB341" s="9">
        <v>63.007071111110754</v>
      </c>
      <c r="CC341" s="9">
        <v>55.658921481481229</v>
      </c>
      <c r="CD341" s="9">
        <v>59.333333333333293</v>
      </c>
      <c r="CE341" s="9">
        <v>118.66599259259208</v>
      </c>
      <c r="CF341" s="7">
        <v>46</v>
      </c>
      <c r="CG341" s="7">
        <v>232</v>
      </c>
      <c r="CH341" s="7">
        <v>287</v>
      </c>
      <c r="CI341" s="7">
        <v>110</v>
      </c>
      <c r="CJ341" s="7">
        <v>0</v>
      </c>
      <c r="CK341" s="7">
        <v>0</v>
      </c>
      <c r="CL341" s="7">
        <v>80</v>
      </c>
      <c r="CM341" s="7">
        <v>308</v>
      </c>
      <c r="CN341" s="7">
        <v>238</v>
      </c>
      <c r="CO341" s="7">
        <v>49</v>
      </c>
      <c r="CP341" s="7">
        <v>0</v>
      </c>
      <c r="CQ341" s="7">
        <v>0</v>
      </c>
      <c r="CR341" s="7">
        <v>7097</v>
      </c>
      <c r="CS341" s="9">
        <v>62.084117514444777</v>
      </c>
      <c r="CT341" s="9">
        <v>55.280304072145164</v>
      </c>
      <c r="CU341" s="9">
        <v>58.682541919120908</v>
      </c>
      <c r="CV341" s="9">
        <v>117.36442158658207</v>
      </c>
      <c r="CW341" s="7">
        <v>741</v>
      </c>
      <c r="CX341" s="7">
        <v>2438</v>
      </c>
      <c r="CY341" s="7">
        <v>2505</v>
      </c>
      <c r="CZ341" s="7">
        <v>1413</v>
      </c>
      <c r="DA341" s="7">
        <v>19</v>
      </c>
      <c r="DB341" s="7">
        <v>72</v>
      </c>
      <c r="DC341" s="7">
        <v>966</v>
      </c>
      <c r="DD341" s="7">
        <v>3286</v>
      </c>
      <c r="DE341" s="7">
        <v>2154</v>
      </c>
      <c r="DF341" s="7">
        <v>691</v>
      </c>
      <c r="DG341" s="7">
        <v>0</v>
      </c>
      <c r="DH341" s="7">
        <v>5</v>
      </c>
      <c r="DI341" s="18">
        <f t="shared" si="57"/>
        <v>9</v>
      </c>
      <c r="DJ341" s="18">
        <f t="shared" si="58"/>
        <v>9</v>
      </c>
      <c r="DK341" s="18">
        <f t="shared" si="59"/>
        <v>10</v>
      </c>
      <c r="DO341" s="18">
        <v>12</v>
      </c>
      <c r="DP341" s="18">
        <v>12</v>
      </c>
      <c r="DQ341" s="18">
        <v>12</v>
      </c>
    </row>
    <row r="342" spans="54:121" x14ac:dyDescent="0.25">
      <c r="BB342" s="7">
        <v>8</v>
      </c>
      <c r="BC342" s="7" t="s">
        <v>332</v>
      </c>
      <c r="BD342" s="7" t="s">
        <v>171</v>
      </c>
      <c r="BE342" s="7" t="s">
        <v>171</v>
      </c>
      <c r="BF342" s="7" t="s">
        <v>1</v>
      </c>
      <c r="BG342" s="7"/>
      <c r="BH342" s="7"/>
      <c r="BI342" s="7"/>
      <c r="BJ342" s="7">
        <v>1008</v>
      </c>
      <c r="BK342" s="9">
        <v>61.153764880951776</v>
      </c>
      <c r="BL342" s="9">
        <v>55.938822420634388</v>
      </c>
      <c r="BM342" s="9">
        <v>58.546626984127045</v>
      </c>
      <c r="BN342" s="9">
        <v>117.09258730158611</v>
      </c>
      <c r="BO342" s="7">
        <v>114</v>
      </c>
      <c r="BP342" s="7">
        <v>368</v>
      </c>
      <c r="BQ342" s="7">
        <v>317</v>
      </c>
      <c r="BR342" s="7">
        <v>209</v>
      </c>
      <c r="BS342" s="7">
        <v>10</v>
      </c>
      <c r="BT342" s="7">
        <v>8</v>
      </c>
      <c r="BU342" s="7">
        <v>119</v>
      </c>
      <c r="BV342" s="7">
        <v>478</v>
      </c>
      <c r="BW342" s="7">
        <v>315</v>
      </c>
      <c r="BX342" s="7">
        <v>96</v>
      </c>
      <c r="BY342" s="7">
        <v>0</v>
      </c>
      <c r="BZ342" s="7">
        <v>3</v>
      </c>
      <c r="CA342" s="7">
        <v>615</v>
      </c>
      <c r="CB342" s="9">
        <v>65.31673495934929</v>
      </c>
      <c r="CC342" s="9">
        <v>59.105351219511988</v>
      </c>
      <c r="CD342" s="9">
        <v>62.211382113821124</v>
      </c>
      <c r="CE342" s="9">
        <v>124.42208617886129</v>
      </c>
      <c r="CF342" s="7">
        <v>37</v>
      </c>
      <c r="CG342" s="7">
        <v>179</v>
      </c>
      <c r="CH342" s="7">
        <v>284</v>
      </c>
      <c r="CI342" s="7">
        <v>115</v>
      </c>
      <c r="CJ342" s="7">
        <v>0</v>
      </c>
      <c r="CK342" s="7">
        <v>0</v>
      </c>
      <c r="CL342" s="7">
        <v>54</v>
      </c>
      <c r="CM342" s="7">
        <v>246</v>
      </c>
      <c r="CN342" s="7">
        <v>254</v>
      </c>
      <c r="CO342" s="7">
        <v>61</v>
      </c>
      <c r="CP342" s="7">
        <v>0</v>
      </c>
      <c r="CQ342" s="7">
        <v>0</v>
      </c>
      <c r="CR342" s="7">
        <v>1623</v>
      </c>
      <c r="CS342" s="9">
        <v>62.731230437460631</v>
      </c>
      <c r="CT342" s="9">
        <v>57.138708564386107</v>
      </c>
      <c r="CU342" s="9">
        <v>59.935304990757857</v>
      </c>
      <c r="CV342" s="9">
        <v>119.86993900184866</v>
      </c>
      <c r="CW342" s="7">
        <v>151</v>
      </c>
      <c r="CX342" s="7">
        <v>547</v>
      </c>
      <c r="CY342" s="7">
        <v>601</v>
      </c>
      <c r="CZ342" s="7">
        <v>324</v>
      </c>
      <c r="DA342" s="7">
        <v>10</v>
      </c>
      <c r="DB342" s="7">
        <v>8</v>
      </c>
      <c r="DC342" s="7">
        <v>173</v>
      </c>
      <c r="DD342" s="7">
        <v>724</v>
      </c>
      <c r="DE342" s="7">
        <v>569</v>
      </c>
      <c r="DF342" s="7">
        <v>157</v>
      </c>
      <c r="DG342" s="7">
        <v>0</v>
      </c>
      <c r="DH342" s="7">
        <v>3</v>
      </c>
      <c r="DI342" s="18">
        <f t="shared" si="57"/>
        <v>10</v>
      </c>
      <c r="DJ342" s="18">
        <f t="shared" si="58"/>
        <v>1</v>
      </c>
      <c r="DK342" s="18">
        <f t="shared" si="59"/>
        <v>8</v>
      </c>
      <c r="DO342" s="18">
        <v>12</v>
      </c>
      <c r="DP342" s="18">
        <v>12</v>
      </c>
      <c r="DQ342" s="18">
        <v>12</v>
      </c>
    </row>
    <row r="343" spans="54:121" x14ac:dyDescent="0.25">
      <c r="BB343" s="7">
        <v>9</v>
      </c>
      <c r="BC343" s="7" t="s">
        <v>332</v>
      </c>
      <c r="BD343" s="7" t="s">
        <v>185</v>
      </c>
      <c r="BE343" s="7" t="s">
        <v>185</v>
      </c>
      <c r="BF343" s="7" t="s">
        <v>1</v>
      </c>
      <c r="BG343" s="7"/>
      <c r="BH343" s="7"/>
      <c r="BI343" s="7"/>
      <c r="BJ343" s="7">
        <v>4142</v>
      </c>
      <c r="BK343" s="9">
        <v>61.706571463062538</v>
      </c>
      <c r="BL343" s="9">
        <v>55.963775229358859</v>
      </c>
      <c r="BM343" s="9">
        <v>58.835506196684399</v>
      </c>
      <c r="BN343" s="9">
        <v>117.67034669242302</v>
      </c>
      <c r="BO343" s="7">
        <v>436</v>
      </c>
      <c r="BP343" s="7">
        <v>1451</v>
      </c>
      <c r="BQ343" s="7">
        <v>1420</v>
      </c>
      <c r="BR343" s="7">
        <v>835</v>
      </c>
      <c r="BS343" s="7">
        <v>29</v>
      </c>
      <c r="BT343" s="7">
        <v>31</v>
      </c>
      <c r="BU343" s="7">
        <v>540</v>
      </c>
      <c r="BV343" s="7">
        <v>1857</v>
      </c>
      <c r="BW343" s="7">
        <v>1344</v>
      </c>
      <c r="BX343" s="7">
        <v>401</v>
      </c>
      <c r="BY343" s="7">
        <v>0</v>
      </c>
      <c r="BZ343" s="7">
        <v>8</v>
      </c>
      <c r="CA343" s="7">
        <v>610</v>
      </c>
      <c r="CB343" s="9">
        <v>61.977822950819437</v>
      </c>
      <c r="CC343" s="9">
        <v>55.770162295081896</v>
      </c>
      <c r="CD343" s="9">
        <v>58.874316939890676</v>
      </c>
      <c r="CE343" s="9">
        <v>117.74798524590135</v>
      </c>
      <c r="CF343" s="7">
        <v>51</v>
      </c>
      <c r="CG343" s="7">
        <v>206</v>
      </c>
      <c r="CH343" s="7">
        <v>271</v>
      </c>
      <c r="CI343" s="7">
        <v>82</v>
      </c>
      <c r="CJ343" s="7">
        <v>0</v>
      </c>
      <c r="CK343" s="7">
        <v>0</v>
      </c>
      <c r="CL343" s="7">
        <v>73</v>
      </c>
      <c r="CM343" s="7">
        <v>299</v>
      </c>
      <c r="CN343" s="7">
        <v>190</v>
      </c>
      <c r="CO343" s="7">
        <v>48</v>
      </c>
      <c r="CP343" s="7">
        <v>0</v>
      </c>
      <c r="CQ343" s="7">
        <v>0</v>
      </c>
      <c r="CR343" s="7">
        <v>4752</v>
      </c>
      <c r="CS343" s="9">
        <v>61.741391203705192</v>
      </c>
      <c r="CT343" s="9">
        <v>55.938921717173052</v>
      </c>
      <c r="CU343" s="9">
        <v>58.840488215488229</v>
      </c>
      <c r="CV343" s="9">
        <v>117.68031292087798</v>
      </c>
      <c r="CW343" s="7">
        <v>487</v>
      </c>
      <c r="CX343" s="7">
        <v>1657</v>
      </c>
      <c r="CY343" s="7">
        <v>1691</v>
      </c>
      <c r="CZ343" s="7">
        <v>917</v>
      </c>
      <c r="DA343" s="7">
        <v>29</v>
      </c>
      <c r="DB343" s="7">
        <v>31</v>
      </c>
      <c r="DC343" s="7">
        <v>613</v>
      </c>
      <c r="DD343" s="7">
        <v>2156</v>
      </c>
      <c r="DE343" s="7">
        <v>1534</v>
      </c>
      <c r="DF343" s="7">
        <v>449</v>
      </c>
      <c r="DG343" s="7">
        <v>0</v>
      </c>
      <c r="DH343" s="7">
        <v>8</v>
      </c>
      <c r="DI343" s="18">
        <f t="shared" si="57"/>
        <v>8</v>
      </c>
      <c r="DJ343" s="18">
        <f t="shared" si="58"/>
        <v>11</v>
      </c>
      <c r="DK343" s="18">
        <f t="shared" si="59"/>
        <v>9</v>
      </c>
      <c r="DO343" s="18">
        <v>12</v>
      </c>
      <c r="DP343" s="18">
        <v>12</v>
      </c>
      <c r="DQ343" s="18">
        <v>12</v>
      </c>
    </row>
    <row r="344" spans="54:121" x14ac:dyDescent="0.25">
      <c r="BB344" s="7">
        <v>10</v>
      </c>
      <c r="BC344" s="7" t="s">
        <v>332</v>
      </c>
      <c r="BD344" s="7" t="s">
        <v>220</v>
      </c>
      <c r="BE344" s="7" t="s">
        <v>220</v>
      </c>
      <c r="BF344" s="7" t="s">
        <v>1</v>
      </c>
      <c r="BG344" s="7"/>
      <c r="BH344" s="7"/>
      <c r="BI344" s="7"/>
      <c r="BJ344" s="7">
        <v>3800</v>
      </c>
      <c r="BK344" s="9">
        <v>65.975110526317067</v>
      </c>
      <c r="BL344" s="9">
        <v>59.990022368422139</v>
      </c>
      <c r="BM344" s="9">
        <v>62.982894736842233</v>
      </c>
      <c r="BN344" s="9">
        <v>125.96513289474105</v>
      </c>
      <c r="BO344" s="7">
        <v>283</v>
      </c>
      <c r="BP344" s="7">
        <v>1139</v>
      </c>
      <c r="BQ344" s="7">
        <v>1368</v>
      </c>
      <c r="BR344" s="7">
        <v>1010</v>
      </c>
      <c r="BS344" s="7">
        <v>17</v>
      </c>
      <c r="BT344" s="7">
        <v>42</v>
      </c>
      <c r="BU344" s="7">
        <v>369</v>
      </c>
      <c r="BV344" s="7">
        <v>1526</v>
      </c>
      <c r="BW344" s="7">
        <v>1337</v>
      </c>
      <c r="BX344" s="7">
        <v>568</v>
      </c>
      <c r="BY344" s="7">
        <v>0</v>
      </c>
      <c r="BZ344" s="7">
        <v>12</v>
      </c>
      <c r="CA344" s="7">
        <v>1360</v>
      </c>
      <c r="CB344" s="9">
        <v>64.803596323528637</v>
      </c>
      <c r="CC344" s="9">
        <v>57.874671323528617</v>
      </c>
      <c r="CD344" s="9">
        <v>61.339460784313793</v>
      </c>
      <c r="CE344" s="9">
        <v>122.6782676470587</v>
      </c>
      <c r="CF344" s="7">
        <v>78</v>
      </c>
      <c r="CG344" s="7">
        <v>422</v>
      </c>
      <c r="CH344" s="7">
        <v>631</v>
      </c>
      <c r="CI344" s="7">
        <v>229</v>
      </c>
      <c r="CJ344" s="7">
        <v>0</v>
      </c>
      <c r="CK344" s="7">
        <v>0</v>
      </c>
      <c r="CL344" s="7">
        <v>139</v>
      </c>
      <c r="CM344" s="7">
        <v>605</v>
      </c>
      <c r="CN344" s="7">
        <v>496</v>
      </c>
      <c r="CO344" s="7">
        <v>120</v>
      </c>
      <c r="CP344" s="7">
        <v>0</v>
      </c>
      <c r="CQ344" s="7">
        <v>0</v>
      </c>
      <c r="CR344" s="7">
        <v>5160</v>
      </c>
      <c r="CS344" s="9">
        <v>65.666339341087124</v>
      </c>
      <c r="CT344" s="9">
        <v>59.432487984498017</v>
      </c>
      <c r="CU344" s="9">
        <v>62.549741602067336</v>
      </c>
      <c r="CV344" s="9">
        <v>125.09882732558127</v>
      </c>
      <c r="CW344" s="7">
        <v>361</v>
      </c>
      <c r="CX344" s="7">
        <v>1561</v>
      </c>
      <c r="CY344" s="7">
        <v>1999</v>
      </c>
      <c r="CZ344" s="7">
        <v>1239</v>
      </c>
      <c r="DA344" s="7">
        <v>17</v>
      </c>
      <c r="DB344" s="7">
        <v>42</v>
      </c>
      <c r="DC344" s="7">
        <v>508</v>
      </c>
      <c r="DD344" s="7">
        <v>2131</v>
      </c>
      <c r="DE344" s="7">
        <v>1833</v>
      </c>
      <c r="DF344" s="7">
        <v>688</v>
      </c>
      <c r="DG344" s="7">
        <v>0</v>
      </c>
      <c r="DH344" s="7">
        <v>12</v>
      </c>
      <c r="DI344" s="18">
        <f t="shared" si="57"/>
        <v>4</v>
      </c>
      <c r="DJ344" s="18">
        <f t="shared" si="58"/>
        <v>3</v>
      </c>
      <c r="DK344" s="18">
        <f t="shared" si="59"/>
        <v>4</v>
      </c>
      <c r="DO344" s="18">
        <v>12</v>
      </c>
      <c r="DP344" s="18">
        <v>12</v>
      </c>
      <c r="DQ344" s="18">
        <v>12</v>
      </c>
    </row>
    <row r="345" spans="54:121" x14ac:dyDescent="0.25">
      <c r="BB345" s="7">
        <v>11</v>
      </c>
      <c r="BC345" s="7" t="s">
        <v>332</v>
      </c>
      <c r="BD345" s="7" t="s">
        <v>255</v>
      </c>
      <c r="BE345" s="7" t="s">
        <v>255</v>
      </c>
      <c r="BF345" s="7" t="s">
        <v>1</v>
      </c>
      <c r="BG345" s="7"/>
      <c r="BH345" s="7"/>
      <c r="BI345" s="7"/>
      <c r="BJ345" s="7">
        <v>4845</v>
      </c>
      <c r="BK345" s="9">
        <v>61.400430546957359</v>
      </c>
      <c r="BL345" s="9">
        <v>54.828702992777473</v>
      </c>
      <c r="BM345" s="9">
        <v>58.114895080839382</v>
      </c>
      <c r="BN345" s="9">
        <v>116.22913353973449</v>
      </c>
      <c r="BO345" s="7">
        <v>545</v>
      </c>
      <c r="BP345" s="7">
        <v>1686</v>
      </c>
      <c r="BQ345" s="7">
        <v>1661</v>
      </c>
      <c r="BR345" s="7">
        <v>953</v>
      </c>
      <c r="BS345" s="7">
        <v>27</v>
      </c>
      <c r="BT345" s="7">
        <v>50</v>
      </c>
      <c r="BU345" s="7">
        <v>733</v>
      </c>
      <c r="BV345" s="7">
        <v>2133</v>
      </c>
      <c r="BW345" s="7">
        <v>1507</v>
      </c>
      <c r="BX345" s="7">
        <v>472</v>
      </c>
      <c r="BY345" s="7">
        <v>0</v>
      </c>
      <c r="BZ345" s="7">
        <v>6</v>
      </c>
      <c r="CA345" s="7">
        <v>329</v>
      </c>
      <c r="CB345" s="9">
        <v>63.424218844984743</v>
      </c>
      <c r="CC345" s="9">
        <v>54.639987841945313</v>
      </c>
      <c r="CD345" s="9">
        <v>59.032421479229974</v>
      </c>
      <c r="CE345" s="9">
        <v>118.06420668692992</v>
      </c>
      <c r="CF345" s="7">
        <v>22</v>
      </c>
      <c r="CG345" s="7">
        <v>103</v>
      </c>
      <c r="CH345" s="7">
        <v>156</v>
      </c>
      <c r="CI345" s="7">
        <v>48</v>
      </c>
      <c r="CJ345" s="7">
        <v>0</v>
      </c>
      <c r="CK345" s="7">
        <v>0</v>
      </c>
      <c r="CL345" s="7">
        <v>29</v>
      </c>
      <c r="CM345" s="7">
        <v>188</v>
      </c>
      <c r="CN345" s="7">
        <v>90</v>
      </c>
      <c r="CO345" s="7">
        <v>22</v>
      </c>
      <c r="CP345" s="7">
        <v>0</v>
      </c>
      <c r="CQ345" s="7">
        <v>0</v>
      </c>
      <c r="CR345" s="7">
        <v>5174</v>
      </c>
      <c r="CS345" s="9">
        <v>61.529117510631814</v>
      </c>
      <c r="CT345" s="9">
        <v>54.816703131041336</v>
      </c>
      <c r="CU345" s="9">
        <v>58.173237984795691</v>
      </c>
      <c r="CV345" s="9">
        <v>116.34582064167114</v>
      </c>
      <c r="CW345" s="7">
        <v>567</v>
      </c>
      <c r="CX345" s="7">
        <v>1789</v>
      </c>
      <c r="CY345" s="7">
        <v>1817</v>
      </c>
      <c r="CZ345" s="7">
        <v>1001</v>
      </c>
      <c r="DA345" s="7">
        <v>27</v>
      </c>
      <c r="DB345" s="7">
        <v>50</v>
      </c>
      <c r="DC345" s="7">
        <v>762</v>
      </c>
      <c r="DD345" s="7">
        <v>2321</v>
      </c>
      <c r="DE345" s="7">
        <v>1597</v>
      </c>
      <c r="DF345" s="7">
        <v>494</v>
      </c>
      <c r="DG345" s="7">
        <v>0</v>
      </c>
      <c r="DH345" s="7">
        <v>6</v>
      </c>
      <c r="DI345" s="18">
        <f t="shared" si="57"/>
        <v>11</v>
      </c>
      <c r="DJ345" s="18">
        <f t="shared" si="58"/>
        <v>10</v>
      </c>
      <c r="DK345" s="18">
        <f t="shared" si="59"/>
        <v>11</v>
      </c>
      <c r="DO345" s="18">
        <v>12</v>
      </c>
      <c r="DP345" s="18">
        <v>12</v>
      </c>
      <c r="DQ345" s="18">
        <v>12</v>
      </c>
    </row>
    <row r="346" spans="54:121" x14ac:dyDescent="0.25">
      <c r="BB346" s="7">
        <v>12</v>
      </c>
      <c r="BC346" s="7" t="s">
        <v>332</v>
      </c>
      <c r="BD346" s="7" t="s">
        <v>277</v>
      </c>
      <c r="BE346" s="7" t="s">
        <v>277</v>
      </c>
      <c r="BF346" s="7" t="s">
        <v>1</v>
      </c>
      <c r="BG346" s="7"/>
      <c r="BH346" s="7"/>
      <c r="BI346" s="7"/>
      <c r="BJ346" s="7">
        <v>2011</v>
      </c>
      <c r="BK346" s="9">
        <v>65.832574838387885</v>
      </c>
      <c r="BL346" s="9">
        <v>60.79362555942221</v>
      </c>
      <c r="BM346" s="9">
        <v>63.313442731642574</v>
      </c>
      <c r="BN346" s="9">
        <v>126.62620039781291</v>
      </c>
      <c r="BO346" s="7">
        <v>142</v>
      </c>
      <c r="BP346" s="7">
        <v>608</v>
      </c>
      <c r="BQ346" s="7">
        <v>750</v>
      </c>
      <c r="BR346" s="7">
        <v>511</v>
      </c>
      <c r="BS346" s="7">
        <v>9</v>
      </c>
      <c r="BT346" s="7">
        <v>23</v>
      </c>
      <c r="BU346" s="7">
        <v>188</v>
      </c>
      <c r="BV346" s="7">
        <v>776</v>
      </c>
      <c r="BW346" s="7">
        <v>719</v>
      </c>
      <c r="BX346" s="7">
        <v>328</v>
      </c>
      <c r="BY346" s="7">
        <v>0</v>
      </c>
      <c r="BZ346" s="7">
        <v>4</v>
      </c>
      <c r="CA346" s="7">
        <v>1185</v>
      </c>
      <c r="CB346" s="9">
        <v>64.759167088606858</v>
      </c>
      <c r="CC346" s="9">
        <v>58.486309704640604</v>
      </c>
      <c r="CD346" s="9">
        <v>61.623066104078809</v>
      </c>
      <c r="CE346" s="9">
        <v>123.24547679324824</v>
      </c>
      <c r="CF346" s="7">
        <v>62</v>
      </c>
      <c r="CG346" s="7">
        <v>361</v>
      </c>
      <c r="CH346" s="7">
        <v>583</v>
      </c>
      <c r="CI346" s="7">
        <v>179</v>
      </c>
      <c r="CJ346" s="7">
        <v>0</v>
      </c>
      <c r="CK346" s="7">
        <v>0</v>
      </c>
      <c r="CL346" s="7">
        <v>109</v>
      </c>
      <c r="CM346" s="7">
        <v>520</v>
      </c>
      <c r="CN346" s="7">
        <v>421</v>
      </c>
      <c r="CO346" s="7">
        <v>135</v>
      </c>
      <c r="CP346" s="7">
        <v>0</v>
      </c>
      <c r="CQ346" s="7">
        <v>0</v>
      </c>
      <c r="CR346" s="7">
        <v>3196</v>
      </c>
      <c r="CS346" s="9">
        <v>65.434581038799195</v>
      </c>
      <c r="CT346" s="9">
        <v>59.938128285357195</v>
      </c>
      <c r="CU346" s="9">
        <v>62.686691697955787</v>
      </c>
      <c r="CV346" s="9">
        <v>125.37270932415835</v>
      </c>
      <c r="CW346" s="7">
        <v>204</v>
      </c>
      <c r="CX346" s="7">
        <v>969</v>
      </c>
      <c r="CY346" s="7">
        <v>1333</v>
      </c>
      <c r="CZ346" s="7">
        <v>690</v>
      </c>
      <c r="DA346" s="7">
        <v>9</v>
      </c>
      <c r="DB346" s="7">
        <v>23</v>
      </c>
      <c r="DC346" s="7">
        <v>297</v>
      </c>
      <c r="DD346" s="7">
        <v>1296</v>
      </c>
      <c r="DE346" s="7">
        <v>1140</v>
      </c>
      <c r="DF346" s="7">
        <v>463</v>
      </c>
      <c r="DG346" s="7">
        <v>0</v>
      </c>
      <c r="DH346" s="7">
        <v>4</v>
      </c>
      <c r="DI346" s="18">
        <f t="shared" si="57"/>
        <v>3</v>
      </c>
      <c r="DJ346" s="18">
        <f t="shared" si="58"/>
        <v>2</v>
      </c>
      <c r="DK346" s="18">
        <f t="shared" si="59"/>
        <v>2</v>
      </c>
      <c r="DO346" s="18">
        <v>12</v>
      </c>
      <c r="DP346" s="18">
        <v>12</v>
      </c>
      <c r="DQ346" s="18">
        <v>12</v>
      </c>
    </row>
    <row r="347" spans="54:121" x14ac:dyDescent="0.25">
      <c r="BB347" s="16"/>
      <c r="BC347" s="16"/>
      <c r="BD347" s="16"/>
      <c r="BE347" s="16"/>
      <c r="BF347" s="16"/>
      <c r="BG347" s="16"/>
      <c r="BH347" s="16"/>
      <c r="BI347" s="16"/>
      <c r="BJ347" s="16"/>
      <c r="BK347" s="17"/>
      <c r="BL347" s="17"/>
      <c r="BM347" s="17"/>
      <c r="BN347" s="17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7"/>
      <c r="CC347" s="17"/>
      <c r="CD347" s="17"/>
      <c r="CE347" s="17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7"/>
      <c r="CT347" s="17"/>
      <c r="CU347" s="17"/>
      <c r="CV347" s="17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</row>
    <row r="348" spans="54:121" x14ac:dyDescent="0.25">
      <c r="BB348" s="16"/>
      <c r="BC348" s="16"/>
      <c r="BD348" s="16"/>
      <c r="BE348" s="16"/>
      <c r="BF348" s="16"/>
      <c r="BG348" s="16"/>
      <c r="BH348" s="16"/>
      <c r="BI348" s="16"/>
      <c r="BJ348" s="16"/>
      <c r="BK348" s="17"/>
      <c r="BL348" s="17"/>
      <c r="BM348" s="17"/>
      <c r="BN348" s="17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7"/>
      <c r="CC348" s="17"/>
      <c r="CD348" s="17"/>
      <c r="CE348" s="17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7"/>
      <c r="CT348" s="17"/>
      <c r="CU348" s="17"/>
      <c r="CV348" s="17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</row>
    <row r="349" spans="54:121" ht="72.599999999999994" customHeight="1" x14ac:dyDescent="0.25">
      <c r="BB349" s="7">
        <v>1</v>
      </c>
      <c r="BC349" s="8" t="s">
        <v>1</v>
      </c>
      <c r="BD349" s="8" t="s">
        <v>1</v>
      </c>
      <c r="BE349" s="8" t="s">
        <v>1</v>
      </c>
      <c r="BF349" s="8" t="s">
        <v>376</v>
      </c>
      <c r="BG349" s="8"/>
      <c r="BH349" s="8"/>
      <c r="BI349" s="8"/>
      <c r="BJ349" s="7">
        <v>36000</v>
      </c>
      <c r="BK349" s="9">
        <v>62.803741444459661</v>
      </c>
      <c r="BL349" s="9">
        <v>56.761888277785474</v>
      </c>
      <c r="BM349" s="9">
        <v>59.783148148148101</v>
      </c>
      <c r="BN349" s="9">
        <v>119.56562972224781</v>
      </c>
      <c r="BO349" s="7">
        <v>3617</v>
      </c>
      <c r="BP349" s="7">
        <v>12013</v>
      </c>
      <c r="BQ349" s="7">
        <v>12587</v>
      </c>
      <c r="BR349" s="7">
        <v>7783</v>
      </c>
      <c r="BS349" s="7">
        <v>180</v>
      </c>
      <c r="BT349" s="7">
        <v>382</v>
      </c>
      <c r="BU349" s="7">
        <v>4660</v>
      </c>
      <c r="BV349" s="7">
        <v>15538</v>
      </c>
      <c r="BW349" s="7">
        <v>11569</v>
      </c>
      <c r="BX349" s="7">
        <v>4233</v>
      </c>
      <c r="BY349" s="7">
        <v>0</v>
      </c>
      <c r="BZ349" s="7">
        <v>56</v>
      </c>
      <c r="CA349" s="7">
        <v>8516</v>
      </c>
      <c r="CB349" s="9">
        <v>63.816801667450974</v>
      </c>
      <c r="CC349" s="9">
        <v>57.09102219352031</v>
      </c>
      <c r="CD349" s="9">
        <v>60.454242993580898</v>
      </c>
      <c r="CE349" s="9">
        <v>120.90782386096032</v>
      </c>
      <c r="CF349" s="7">
        <v>560</v>
      </c>
      <c r="CG349" s="7">
        <v>2731</v>
      </c>
      <c r="CH349" s="7">
        <v>3896</v>
      </c>
      <c r="CI349" s="7">
        <v>1329</v>
      </c>
      <c r="CJ349" s="7">
        <v>0</v>
      </c>
      <c r="CK349" s="7">
        <v>2</v>
      </c>
      <c r="CL349" s="7">
        <v>849</v>
      </c>
      <c r="CM349" s="7">
        <v>3984</v>
      </c>
      <c r="CN349" s="7">
        <v>2924</v>
      </c>
      <c r="CO349" s="7">
        <v>759</v>
      </c>
      <c r="CP349" s="7">
        <v>0</v>
      </c>
      <c r="CQ349" s="7">
        <v>2</v>
      </c>
      <c r="CR349" s="7">
        <v>44517</v>
      </c>
      <c r="CS349" s="9">
        <v>62.996501134429664</v>
      </c>
      <c r="CT349" s="9">
        <v>56.824549183482411</v>
      </c>
      <c r="CU349" s="9">
        <v>59.910858024274916</v>
      </c>
      <c r="CV349" s="9">
        <v>119.82105031787518</v>
      </c>
      <c r="CW349" s="7">
        <v>4178</v>
      </c>
      <c r="CX349" s="7">
        <v>14744</v>
      </c>
      <c r="CY349" s="7">
        <v>16483</v>
      </c>
      <c r="CZ349" s="7">
        <v>9112</v>
      </c>
      <c r="DA349" s="7">
        <v>180</v>
      </c>
      <c r="DB349" s="7">
        <v>384</v>
      </c>
      <c r="DC349" s="7">
        <v>5509</v>
      </c>
      <c r="DD349" s="7">
        <v>19523</v>
      </c>
      <c r="DE349" s="7">
        <v>14493</v>
      </c>
      <c r="DF349" s="7">
        <v>4992</v>
      </c>
      <c r="DG349" s="7">
        <v>0</v>
      </c>
      <c r="DH349" s="7">
        <v>58</v>
      </c>
    </row>
  </sheetData>
  <sheetProtection algorithmName="SHA-512" hashValue="RwVsZx8J/DVYyMu9+gpSFP+nKP2ithioySXdEXQPvoz/9d12Kx7q8CPOohPcK255c/6HFS9UxreHSYFIXnX92A==" saltValue="WF4txQ/lIZjQ6ZrmiWtNXQ==" spinCount="100000" sheet="1" objects="1" scenarios="1"/>
  <mergeCells count="50">
    <mergeCell ref="A5:A6"/>
    <mergeCell ref="A7:B7"/>
    <mergeCell ref="T9:Y29"/>
    <mergeCell ref="T4:T6"/>
    <mergeCell ref="U4:U6"/>
    <mergeCell ref="V4:V6"/>
    <mergeCell ref="W4:W6"/>
    <mergeCell ref="X4:X6"/>
    <mergeCell ref="Y4:Y6"/>
    <mergeCell ref="A1:A3"/>
    <mergeCell ref="B1:Y1"/>
    <mergeCell ref="B2:B3"/>
    <mergeCell ref="C2:C3"/>
    <mergeCell ref="D2:D3"/>
    <mergeCell ref="E2:E3"/>
    <mergeCell ref="T2:V2"/>
    <mergeCell ref="W2:Y2"/>
    <mergeCell ref="F2:F3"/>
    <mergeCell ref="G2:G3"/>
    <mergeCell ref="H2:M2"/>
    <mergeCell ref="N2:S2"/>
    <mergeCell ref="BB1:BI2"/>
    <mergeCell ref="BJ1:BZ1"/>
    <mergeCell ref="CA1:CQ1"/>
    <mergeCell ref="DR2:DT2"/>
    <mergeCell ref="CF2:CK2"/>
    <mergeCell ref="CL2:CQ2"/>
    <mergeCell ref="CR2:CR3"/>
    <mergeCell ref="CS2:CS3"/>
    <mergeCell ref="CT2:CT3"/>
    <mergeCell ref="CU2:CU3"/>
    <mergeCell ref="DO2:DQ2"/>
    <mergeCell ref="CV2:CV3"/>
    <mergeCell ref="CW2:DB2"/>
    <mergeCell ref="DC2:DH2"/>
    <mergeCell ref="DI2:DK2"/>
    <mergeCell ref="DL2:DN2"/>
    <mergeCell ref="CR1:DH1"/>
    <mergeCell ref="BJ2:BJ3"/>
    <mergeCell ref="BK2:BK3"/>
    <mergeCell ref="BL2:BL3"/>
    <mergeCell ref="BM2:BM3"/>
    <mergeCell ref="BN2:BN3"/>
    <mergeCell ref="BO2:BT2"/>
    <mergeCell ref="CD2:CD3"/>
    <mergeCell ref="CE2:CE3"/>
    <mergeCell ref="BU2:BZ2"/>
    <mergeCell ref="CA2:CA3"/>
    <mergeCell ref="CB2:CB3"/>
    <mergeCell ref="CC2:CC3"/>
  </mergeCells>
  <pageMargins left="0.25" right="0.25" top="0.25" bottom="0.25" header="0" footer="0"/>
  <pageSetup scale="4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 monitorinq nəticələri-2022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Leyirat</dc:creator>
  <cp:lastModifiedBy>User</cp:lastModifiedBy>
  <cp:lastPrinted>2022-07-04T07:48:39Z</cp:lastPrinted>
  <dcterms:created xsi:type="dcterms:W3CDTF">2022-06-21T21:29:47Z</dcterms:created>
  <dcterms:modified xsi:type="dcterms:W3CDTF">2022-08-10T06:38:52Z</dcterms:modified>
</cp:coreProperties>
</file>